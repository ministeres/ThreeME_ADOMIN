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7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4250A084-B660-4FDA-9E39-24276BF2F8A1}" xr6:coauthVersionLast="47" xr6:coauthVersionMax="47" xr10:uidLastSave="{00000000-0000-0000-0000-000000000000}"/>
  <bookViews>
    <workbookView xWindow="-120" yWindow="-120" windowWidth="29040" windowHeight="15840" firstSheet="1" activeTab="1" xr2:uid="{00000000-000D-0000-FFFF-FFFF00000000}"/>
  </bookViews>
  <sheets>
    <sheet name="T energie vecteurs" sheetId="13" r:id="rId1"/>
    <sheet name="T energie usages" sheetId="16" r:id="rId2"/>
    <sheet name="T transport" sheetId="32" r:id="rId3"/>
    <sheet name="Résultats" sheetId="2" r:id="rId4"/>
    <sheet name="T CO2" sheetId="31" r:id="rId5"/>
    <sheet name="T logement" sheetId="14" r:id="rId6"/>
    <sheet name="Graphique1" sheetId="27" r:id="rId7"/>
    <sheet name="Graphique2" sheetId="30" r:id="rId8"/>
    <sheet name="Graphique3" sheetId="22" r:id="rId9"/>
    <sheet name="Graphique4" sheetId="23" r:id="rId10"/>
    <sheet name="Graphique5" sheetId="24" r:id="rId11"/>
    <sheet name="Graphique6" sheetId="26" r:id="rId12"/>
    <sheet name="T parc auto" sheetId="25" r:id="rId13"/>
    <sheet name="Graphique7" sheetId="28" r:id="rId14"/>
    <sheet name="Graphique8" sheetId="29" r:id="rId15"/>
    <sheet name="Graphique9" sheetId="19" r:id="rId16"/>
    <sheet name="Graphique10" sheetId="20" r:id="rId17"/>
    <sheet name="Table Graphs" sheetId="33" r:id="rId18"/>
  </sheets>
  <externalReferences>
    <externalReference r:id="rId19"/>
    <externalReference r:id="rId20"/>
    <externalReference r:id="rId21"/>
    <externalReference r:id="rId22"/>
    <externalReference r:id="rId23"/>
  </externalReferences>
  <definedNames>
    <definedName name="_xlnm.Print_Area" localSheetId="12">'T parc auto'!$C$26:$AM$107</definedName>
    <definedName name="_xlnm.Print_Area" localSheetId="2">'T transport'!$B$1:$AU$32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8" i="16" l="1"/>
  <c r="Q58" i="16"/>
  <c r="P58" i="16"/>
  <c r="O58" i="16"/>
  <c r="R57" i="16"/>
  <c r="P57" i="16"/>
  <c r="O57" i="16"/>
  <c r="R56" i="16"/>
  <c r="Q56" i="16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4" i="16"/>
  <c r="K27" i="16"/>
  <c r="K40" i="16"/>
  <c r="K53" i="16"/>
  <c r="K66" i="16"/>
  <c r="K79" i="16"/>
  <c r="K92" i="16"/>
  <c r="K105" i="16"/>
  <c r="K118" i="16"/>
  <c r="S14" i="16" l="1"/>
  <c r="T14" i="16" s="1"/>
  <c r="R55" i="16"/>
  <c r="Q55" i="16"/>
  <c r="Q42" i="16"/>
  <c r="P42" i="16"/>
  <c r="K58" i="16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H38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AU20" i="32"/>
  <c r="AA20" i="32"/>
  <c r="Q20" i="32"/>
  <c r="AU17" i="32"/>
  <c r="AA17" i="32"/>
  <c r="Q17" i="32"/>
  <c r="BB10" i="32"/>
  <c r="BB9" i="32"/>
  <c r="BB8" i="32"/>
  <c r="BB7" i="32"/>
  <c r="S57" i="16" l="1"/>
  <c r="R42" i="16"/>
  <c r="R46" i="16" s="1"/>
  <c r="P55" i="16"/>
  <c r="P59" i="16" s="1"/>
  <c r="S37" i="16"/>
  <c r="T37" i="16" s="1"/>
  <c r="S41" i="16"/>
  <c r="T41" i="16" s="1"/>
  <c r="S45" i="16"/>
  <c r="T45" i="16" s="1"/>
  <c r="S54" i="16"/>
  <c r="T54" i="16" s="1"/>
  <c r="H50" i="16"/>
  <c r="K102" i="16"/>
  <c r="I37" i="16"/>
  <c r="L110" i="16"/>
  <c r="L40" i="16"/>
  <c r="R59" i="16"/>
  <c r="Q46" i="16"/>
  <c r="S44" i="16"/>
  <c r="S58" i="16"/>
  <c r="T58" i="16" s="1"/>
  <c r="S53" i="16"/>
  <c r="T53" i="16" s="1"/>
  <c r="O55" i="16"/>
  <c r="O59" i="16" s="1"/>
  <c r="Q59" i="16"/>
  <c r="S43" i="16"/>
  <c r="S56" i="16"/>
  <c r="L39" i="16"/>
  <c r="L54" i="16"/>
  <c r="L41" i="16"/>
  <c r="I102" i="16"/>
  <c r="L52" i="16"/>
  <c r="I107" i="16"/>
  <c r="L38" i="16"/>
  <c r="L45" i="16"/>
  <c r="L53" i="16"/>
  <c r="L57" i="16"/>
  <c r="I55" i="16"/>
  <c r="L51" i="16"/>
  <c r="L58" i="16"/>
  <c r="J37" i="16"/>
  <c r="J42" i="16"/>
  <c r="J50" i="16"/>
  <c r="K37" i="16"/>
  <c r="K42" i="16"/>
  <c r="L44" i="16"/>
  <c r="H55" i="16"/>
  <c r="J107" i="16"/>
  <c r="I42" i="16"/>
  <c r="H102" i="16"/>
  <c r="K107" i="16"/>
  <c r="J55" i="16"/>
  <c r="L105" i="16"/>
  <c r="H107" i="16"/>
  <c r="K50" i="16"/>
  <c r="K55" i="16"/>
  <c r="S50" i="16"/>
  <c r="T50" i="16" s="1"/>
  <c r="P46" i="16"/>
  <c r="O42" i="16"/>
  <c r="S40" i="16"/>
  <c r="T40" i="16" s="1"/>
  <c r="I50" i="16"/>
  <c r="H42" i="16"/>
  <c r="L43" i="16"/>
  <c r="H37" i="16"/>
  <c r="L106" i="16"/>
  <c r="L56" i="16"/>
  <c r="J102" i="16"/>
  <c r="L109" i="16"/>
  <c r="L104" i="16"/>
  <c r="L103" i="16"/>
  <c r="L108" i="16"/>
  <c r="BD10" i="32"/>
  <c r="BD9" i="32"/>
  <c r="BD8" i="32"/>
  <c r="BD7" i="32"/>
  <c r="BC10" i="32"/>
  <c r="BC9" i="32"/>
  <c r="BC8" i="32"/>
  <c r="BC7" i="32"/>
  <c r="AU6" i="32"/>
  <c r="AA6" i="32"/>
  <c r="Q6" i="32"/>
  <c r="AU9" i="32"/>
  <c r="AA9" i="32"/>
  <c r="Q9" i="32"/>
  <c r="S55" i="16" l="1"/>
  <c r="T55" i="16" s="1"/>
  <c r="T59" i="16" s="1"/>
  <c r="S42" i="16"/>
  <c r="T42" i="16" s="1"/>
  <c r="T46" i="16" s="1"/>
  <c r="S59" i="16"/>
  <c r="I111" i="16"/>
  <c r="K111" i="16"/>
  <c r="H111" i="16"/>
  <c r="I46" i="16"/>
  <c r="J111" i="16"/>
  <c r="K46" i="16"/>
  <c r="L42" i="16"/>
  <c r="L107" i="16"/>
  <c r="I59" i="16"/>
  <c r="K59" i="16"/>
  <c r="J59" i="16"/>
  <c r="L102" i="16"/>
  <c r="J46" i="16"/>
  <c r="L55" i="16"/>
  <c r="H59" i="16"/>
  <c r="O46" i="16"/>
  <c r="S46" i="16" s="1"/>
  <c r="L50" i="16"/>
  <c r="L37" i="16"/>
  <c r="H46" i="16"/>
  <c r="A58" i="32"/>
  <c r="A36" i="32"/>
  <c r="A1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A4" i="32" s="1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U4" i="32" s="1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R6" i="32"/>
  <c r="S6" i="32"/>
  <c r="T6" i="32"/>
  <c r="U6" i="32"/>
  <c r="V6" i="32"/>
  <c r="W6" i="32"/>
  <c r="X6" i="32"/>
  <c r="Y6" i="32"/>
  <c r="Z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Q7" i="32" s="1"/>
  <c r="R8" i="32"/>
  <c r="S8" i="32"/>
  <c r="T8" i="32"/>
  <c r="U8" i="32"/>
  <c r="V8" i="32"/>
  <c r="W8" i="32"/>
  <c r="X8" i="32"/>
  <c r="Y8" i="32"/>
  <c r="Z8" i="32"/>
  <c r="AA8" i="32"/>
  <c r="AA7" i="32" s="1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U7" i="32" s="1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R9" i="32"/>
  <c r="S9" i="32"/>
  <c r="T9" i="32"/>
  <c r="U9" i="32"/>
  <c r="V9" i="32"/>
  <c r="W9" i="32"/>
  <c r="X9" i="32"/>
  <c r="Y9" i="32"/>
  <c r="Z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AR14" i="32"/>
  <c r="AS14" i="32"/>
  <c r="AT14" i="32"/>
  <c r="AU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AR15" i="32"/>
  <c r="AS15" i="32"/>
  <c r="AT15" i="32"/>
  <c r="AU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AR16" i="32"/>
  <c r="AS16" i="32"/>
  <c r="AT16" i="32"/>
  <c r="AU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R17" i="32"/>
  <c r="S17" i="32"/>
  <c r="T17" i="32"/>
  <c r="U17" i="32"/>
  <c r="V17" i="32"/>
  <c r="W17" i="32"/>
  <c r="X17" i="32"/>
  <c r="Y17" i="32"/>
  <c r="Z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AR17" i="32"/>
  <c r="AS17" i="32"/>
  <c r="AT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AR18" i="32"/>
  <c r="AS18" i="32"/>
  <c r="AT18" i="32"/>
  <c r="AU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AR19" i="32"/>
  <c r="AS19" i="32"/>
  <c r="AT19" i="32"/>
  <c r="AU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R20" i="32"/>
  <c r="S20" i="32"/>
  <c r="T20" i="32"/>
  <c r="U20" i="32"/>
  <c r="V20" i="32"/>
  <c r="W20" i="32"/>
  <c r="X20" i="32"/>
  <c r="Y20" i="32"/>
  <c r="Z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AR20" i="32"/>
  <c r="AS20" i="32"/>
  <c r="AT20" i="32"/>
  <c r="A23" i="32"/>
  <c r="H29" i="31"/>
  <c r="T2" i="14"/>
  <c r="X2" i="25"/>
  <c r="T2" i="25"/>
  <c r="L111" i="16" l="1"/>
  <c r="L59" i="16"/>
  <c r="L46" i="16"/>
  <c r="AJ7" i="32"/>
  <c r="AO4" i="32"/>
  <c r="AI7" i="32"/>
  <c r="AN4" i="32"/>
  <c r="AB4" i="32"/>
  <c r="AT7" i="32"/>
  <c r="AH7" i="32"/>
  <c r="V7" i="32"/>
  <c r="AM4" i="32"/>
  <c r="Z4" i="32"/>
  <c r="AS7" i="32"/>
  <c r="AG7" i="32"/>
  <c r="AL4" i="32"/>
  <c r="AR7" i="32"/>
  <c r="AF7" i="32"/>
  <c r="T7" i="32"/>
  <c r="AK4" i="32"/>
  <c r="Y4" i="32"/>
  <c r="X4" i="32"/>
  <c r="S7" i="32"/>
  <c r="X7" i="32"/>
  <c r="AC4" i="32"/>
  <c r="W7" i="32"/>
  <c r="AQ7" i="32"/>
  <c r="AE7" i="32"/>
  <c r="AJ4" i="32"/>
  <c r="AP7" i="32"/>
  <c r="AD7" i="32"/>
  <c r="AI4" i="32"/>
  <c r="W4" i="32"/>
  <c r="V4" i="32"/>
  <c r="Q4" i="32"/>
  <c r="AX3" i="32" s="1"/>
  <c r="Q10" i="32"/>
  <c r="U7" i="32"/>
  <c r="R7" i="32"/>
  <c r="AO7" i="32"/>
  <c r="AC7" i="32"/>
  <c r="AT4" i="32"/>
  <c r="AH4" i="32"/>
  <c r="AN7" i="32"/>
  <c r="AB7" i="32"/>
  <c r="AS4" i="32"/>
  <c r="AG4" i="32"/>
  <c r="U4" i="32"/>
  <c r="AM7" i="32"/>
  <c r="AR4" i="32"/>
  <c r="AF4" i="32"/>
  <c r="T4" i="32"/>
  <c r="AL7" i="32"/>
  <c r="Z7" i="32"/>
  <c r="AQ4" i="32"/>
  <c r="AE4" i="32"/>
  <c r="S4" i="32"/>
  <c r="AK7" i="32"/>
  <c r="Y7" i="32"/>
  <c r="AP4" i="32"/>
  <c r="AD4" i="32"/>
  <c r="R4" i="32"/>
  <c r="AP31" i="32"/>
  <c r="AD31" i="32"/>
  <c r="R31" i="32"/>
  <c r="F31" i="32"/>
  <c r="AM30" i="32"/>
  <c r="AA30" i="32"/>
  <c r="O30" i="32"/>
  <c r="C30" i="32"/>
  <c r="AS28" i="32"/>
  <c r="AG28" i="32"/>
  <c r="AP27" i="32"/>
  <c r="AD27" i="32"/>
  <c r="R27" i="32"/>
  <c r="F27" i="32"/>
  <c r="L25" i="32"/>
  <c r="AS25" i="32"/>
  <c r="AG25" i="32"/>
  <c r="U25" i="32"/>
  <c r="I25" i="32"/>
  <c r="AL31" i="32"/>
  <c r="Z31" i="32"/>
  <c r="Z10" i="32"/>
  <c r="D30" i="32"/>
  <c r="M31" i="32"/>
  <c r="V30" i="32"/>
  <c r="AK27" i="32"/>
  <c r="Y10" i="32"/>
  <c r="AE25" i="32"/>
  <c r="AD25" i="32"/>
  <c r="AT28" i="32"/>
  <c r="AH21" i="32"/>
  <c r="AG31" i="32"/>
  <c r="U31" i="32"/>
  <c r="AP30" i="32"/>
  <c r="AD30" i="32"/>
  <c r="R30" i="32"/>
  <c r="F30" i="32"/>
  <c r="X28" i="32"/>
  <c r="AS27" i="32"/>
  <c r="AG27" i="32"/>
  <c r="I27" i="32"/>
  <c r="AA25" i="32"/>
  <c r="O25" i="32"/>
  <c r="C25" i="32"/>
  <c r="AR31" i="32"/>
  <c r="AF31" i="32"/>
  <c r="T31" i="32"/>
  <c r="H31" i="32"/>
  <c r="AO30" i="32"/>
  <c r="AC30" i="32"/>
  <c r="Q30" i="32"/>
  <c r="AU28" i="32"/>
  <c r="AI28" i="32"/>
  <c r="W28" i="32"/>
  <c r="K28" i="32"/>
  <c r="AR27" i="32"/>
  <c r="AF27" i="32"/>
  <c r="AL25" i="32"/>
  <c r="Z25" i="32"/>
  <c r="N25" i="32"/>
  <c r="AS10" i="32"/>
  <c r="AG10" i="32"/>
  <c r="U10" i="32"/>
  <c r="I10" i="32"/>
  <c r="S31" i="32"/>
  <c r="AN30" i="32"/>
  <c r="AH28" i="32"/>
  <c r="V28" i="32"/>
  <c r="J28" i="32"/>
  <c r="AE27" i="32"/>
  <c r="AS31" i="32"/>
  <c r="I31" i="32"/>
  <c r="AM25" i="32"/>
  <c r="N31" i="32"/>
  <c r="AU30" i="32"/>
  <c r="AI30" i="32"/>
  <c r="W30" i="32"/>
  <c r="K30" i="32"/>
  <c r="AO28" i="32"/>
  <c r="N10" i="32"/>
  <c r="S21" i="32"/>
  <c r="G21" i="32"/>
  <c r="H21" i="32"/>
  <c r="T21" i="32"/>
  <c r="AC28" i="32"/>
  <c r="E28" i="32"/>
  <c r="AL27" i="32"/>
  <c r="Z27" i="32"/>
  <c r="AR25" i="32"/>
  <c r="AF25" i="32"/>
  <c r="T25" i="32"/>
  <c r="H25" i="32"/>
  <c r="S27" i="32"/>
  <c r="T27" i="32"/>
  <c r="N27" i="32"/>
  <c r="O28" i="32"/>
  <c r="AJ27" i="32"/>
  <c r="AP25" i="32"/>
  <c r="AG21" i="32"/>
  <c r="AE21" i="32"/>
  <c r="AK31" i="32"/>
  <c r="AT30" i="32"/>
  <c r="AB28" i="32"/>
  <c r="P28" i="32"/>
  <c r="G25" i="32"/>
  <c r="AS21" i="32"/>
  <c r="I21" i="32"/>
  <c r="H27" i="32"/>
  <c r="AJ28" i="32"/>
  <c r="U30" i="32"/>
  <c r="AA28" i="32"/>
  <c r="AJ21" i="32"/>
  <c r="AF21" i="32"/>
  <c r="AO25" i="32"/>
  <c r="Q25" i="32"/>
  <c r="E25" i="32"/>
  <c r="AU2" i="32"/>
  <c r="AI25" i="32"/>
  <c r="K2" i="32"/>
  <c r="K54" i="32" s="1"/>
  <c r="V25" i="32"/>
  <c r="J25" i="32"/>
  <c r="L30" i="32"/>
  <c r="AD28" i="32"/>
  <c r="O10" i="32"/>
  <c r="X30" i="32"/>
  <c r="AM27" i="32"/>
  <c r="AM10" i="32"/>
  <c r="AA27" i="32"/>
  <c r="AA10" i="32"/>
  <c r="C27" i="32"/>
  <c r="C10" i="32"/>
  <c r="C28" i="32"/>
  <c r="L21" i="32"/>
  <c r="AP13" i="32"/>
  <c r="F13" i="32"/>
  <c r="F25" i="32"/>
  <c r="AJ31" i="32"/>
  <c r="O27" i="32"/>
  <c r="AT21" i="32"/>
  <c r="V21" i="32"/>
  <c r="AL10" i="32"/>
  <c r="AO10" i="32"/>
  <c r="AC10" i="32"/>
  <c r="E10" i="32"/>
  <c r="AY3" i="32"/>
  <c r="AK25" i="32"/>
  <c r="Y25" i="32"/>
  <c r="M2" i="32"/>
  <c r="M55" i="32" s="1"/>
  <c r="M25" i="32"/>
  <c r="L27" i="32"/>
  <c r="AK10" i="32"/>
  <c r="M10" i="32"/>
  <c r="AN10" i="32"/>
  <c r="AB10" i="32"/>
  <c r="P10" i="32"/>
  <c r="D10" i="32"/>
  <c r="AJ25" i="32"/>
  <c r="X25" i="32"/>
  <c r="L2" i="32"/>
  <c r="L53" i="32" s="1"/>
  <c r="AM31" i="32"/>
  <c r="R28" i="32"/>
  <c r="AM28" i="32"/>
  <c r="AG30" i="32"/>
  <c r="O31" i="32"/>
  <c r="C31" i="32"/>
  <c r="AJ30" i="32"/>
  <c r="AP28" i="32"/>
  <c r="AN28" i="32"/>
  <c r="D28" i="32"/>
  <c r="Y27" i="32"/>
  <c r="M27" i="32"/>
  <c r="AQ13" i="32"/>
  <c r="AQ25" i="32"/>
  <c r="AE13" i="32"/>
  <c r="S13" i="32"/>
  <c r="S25" i="32"/>
  <c r="G13" i="32"/>
  <c r="F28" i="32"/>
  <c r="AA31" i="32"/>
  <c r="J30" i="32"/>
  <c r="J21" i="32"/>
  <c r="X31" i="32"/>
  <c r="L31" i="32"/>
  <c r="X21" i="32"/>
  <c r="X27" i="32"/>
  <c r="AD13" i="32"/>
  <c r="U21" i="32"/>
  <c r="R13" i="32"/>
  <c r="AZ14" i="32"/>
  <c r="AU21" i="32"/>
  <c r="AI21" i="32"/>
  <c r="W21" i="32"/>
  <c r="K21" i="32"/>
  <c r="AC13" i="32"/>
  <c r="AU31" i="32"/>
  <c r="AR21" i="32"/>
  <c r="Q31" i="32"/>
  <c r="Z21" i="32"/>
  <c r="AR28" i="32"/>
  <c r="T28" i="32"/>
  <c r="AC21" i="32"/>
  <c r="E21" i="32"/>
  <c r="K13" i="32"/>
  <c r="AH31" i="32"/>
  <c r="AQ30" i="32"/>
  <c r="Y28" i="32"/>
  <c r="AT27" i="32"/>
  <c r="V27" i="32"/>
  <c r="I30" i="32"/>
  <c r="AY14" i="32"/>
  <c r="AS13" i="32"/>
  <c r="AG13" i="32"/>
  <c r="U13" i="32"/>
  <c r="I13" i="32"/>
  <c r="AS30" i="32"/>
  <c r="E30" i="32"/>
  <c r="Q28" i="32"/>
  <c r="AQ27" i="32"/>
  <c r="AZ13" i="32"/>
  <c r="AR13" i="32"/>
  <c r="AF13" i="32"/>
  <c r="T13" i="32"/>
  <c r="H13" i="32"/>
  <c r="P30" i="32"/>
  <c r="AE31" i="32"/>
  <c r="I28" i="32"/>
  <c r="AZ2" i="32"/>
  <c r="AX13" i="32"/>
  <c r="AL13" i="32"/>
  <c r="Z13" i="32"/>
  <c r="N13" i="32"/>
  <c r="Y31" i="32"/>
  <c r="AH30" i="32"/>
  <c r="P13" i="32"/>
  <c r="AK13" i="32"/>
  <c r="Y13" i="32"/>
  <c r="M13" i="32"/>
  <c r="AM21" i="32"/>
  <c r="O21" i="32"/>
  <c r="AP21" i="32"/>
  <c r="R21" i="32"/>
  <c r="F21" i="32"/>
  <c r="AJ13" i="32"/>
  <c r="X13" i="32"/>
  <c r="W31" i="32"/>
  <c r="K31" i="32"/>
  <c r="AR30" i="32"/>
  <c r="AF30" i="32"/>
  <c r="T30" i="32"/>
  <c r="H30" i="32"/>
  <c r="AX2" i="32"/>
  <c r="AL28" i="32"/>
  <c r="Z28" i="32"/>
  <c r="N28" i="32"/>
  <c r="AZ3" i="32"/>
  <c r="AI27" i="32"/>
  <c r="W27" i="32"/>
  <c r="K27" i="32"/>
  <c r="AA21" i="32"/>
  <c r="C21" i="32"/>
  <c r="AD21" i="32"/>
  <c r="L13" i="32"/>
  <c r="AO31" i="32"/>
  <c r="AC31" i="32"/>
  <c r="AL21" i="32"/>
  <c r="N21" i="32"/>
  <c r="AF28" i="32"/>
  <c r="AO21" i="32"/>
  <c r="AX14" i="32"/>
  <c r="AI13" i="32"/>
  <c r="V31" i="32"/>
  <c r="AE30" i="32"/>
  <c r="G30" i="32"/>
  <c r="AK28" i="32"/>
  <c r="AH27" i="32"/>
  <c r="J27" i="32"/>
  <c r="R25" i="32"/>
  <c r="AI31" i="32"/>
  <c r="E31" i="32"/>
  <c r="H28" i="32"/>
  <c r="AU13" i="32"/>
  <c r="W13" i="32"/>
  <c r="AT31" i="32"/>
  <c r="J31" i="32"/>
  <c r="S30" i="32"/>
  <c r="M28" i="32"/>
  <c r="AB30" i="32"/>
  <c r="U28" i="32"/>
  <c r="G27" i="32"/>
  <c r="AQ21" i="32"/>
  <c r="AN31" i="32"/>
  <c r="AB31" i="32"/>
  <c r="P31" i="32"/>
  <c r="D31" i="32"/>
  <c r="AK21" i="32"/>
  <c r="Y21" i="32"/>
  <c r="M21" i="32"/>
  <c r="AQ28" i="32"/>
  <c r="AE28" i="32"/>
  <c r="S28" i="32"/>
  <c r="G28" i="32"/>
  <c r="AN21" i="32"/>
  <c r="AB21" i="32"/>
  <c r="P21" i="32"/>
  <c r="D21" i="32"/>
  <c r="AT13" i="32"/>
  <c r="AH13" i="32"/>
  <c r="V13" i="32"/>
  <c r="J13" i="32"/>
  <c r="AP10" i="32"/>
  <c r="AD10" i="32"/>
  <c r="R10" i="32"/>
  <c r="F10" i="32"/>
  <c r="AY2" i="32"/>
  <c r="L28" i="32"/>
  <c r="U27" i="32"/>
  <c r="AN25" i="32"/>
  <c r="AB25" i="32"/>
  <c r="P25" i="32"/>
  <c r="D25" i="32"/>
  <c r="AA2" i="32"/>
  <c r="O2" i="32"/>
  <c r="O44" i="32" s="1"/>
  <c r="C2" i="32"/>
  <c r="C40" i="32" s="1"/>
  <c r="AQ31" i="32"/>
  <c r="G31" i="32"/>
  <c r="AM13" i="32"/>
  <c r="AA13" i="32"/>
  <c r="O13" i="32"/>
  <c r="C13" i="32"/>
  <c r="N2" i="32"/>
  <c r="I2" i="32"/>
  <c r="I42" i="32" s="1"/>
  <c r="AJ10" i="32"/>
  <c r="X10" i="32"/>
  <c r="L10" i="32"/>
  <c r="H2" i="32"/>
  <c r="H50" i="32" s="1"/>
  <c r="G2" i="32"/>
  <c r="G41" i="32" s="1"/>
  <c r="F2" i="32"/>
  <c r="F41" i="32" s="1"/>
  <c r="E2" i="32"/>
  <c r="E54" i="32" s="1"/>
  <c r="P2" i="32"/>
  <c r="P55" i="32" s="1"/>
  <c r="D2" i="32"/>
  <c r="D42" i="32" s="1"/>
  <c r="AO13" i="32"/>
  <c r="J2" i="32"/>
  <c r="J40" i="32" s="1"/>
  <c r="AL30" i="32"/>
  <c r="Z30" i="32"/>
  <c r="N30" i="32"/>
  <c r="AO27" i="32"/>
  <c r="AC27" i="32"/>
  <c r="Q27" i="32"/>
  <c r="E27" i="32"/>
  <c r="AU25" i="32"/>
  <c r="W25" i="32"/>
  <c r="K25" i="32"/>
  <c r="AB13" i="32"/>
  <c r="D13" i="32"/>
  <c r="AK30" i="32"/>
  <c r="Y30" i="32"/>
  <c r="M30" i="32"/>
  <c r="AN27" i="32"/>
  <c r="AB27" i="32"/>
  <c r="P27" i="32"/>
  <c r="D27" i="32"/>
  <c r="AT25" i="32"/>
  <c r="AH25" i="32"/>
  <c r="Q21" i="32"/>
  <c r="AU10" i="32"/>
  <c r="AZ4" i="32" s="1"/>
  <c r="AI10" i="32"/>
  <c r="W10" i="32"/>
  <c r="K10" i="32"/>
  <c r="Q13" i="32"/>
  <c r="AN13" i="32"/>
  <c r="AY13" i="32"/>
  <c r="AT10" i="32"/>
  <c r="AH10" i="32"/>
  <c r="V10" i="32"/>
  <c r="J10" i="32"/>
  <c r="E13" i="32"/>
  <c r="AR10" i="32"/>
  <c r="AF10" i="32"/>
  <c r="T10" i="32"/>
  <c r="H10" i="32"/>
  <c r="AQ10" i="32"/>
  <c r="AE10" i="32"/>
  <c r="S10" i="32"/>
  <c r="G10" i="32"/>
  <c r="AU27" i="32"/>
  <c r="AC25" i="32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AN2" i="32" l="1"/>
  <c r="AN40" i="32" s="1"/>
  <c r="AB2" i="32"/>
  <c r="AB50" i="32" s="1"/>
  <c r="AZ7" i="32"/>
  <c r="AZ8" i="32"/>
  <c r="AE2" i="32"/>
  <c r="AE40" i="32" s="1"/>
  <c r="AL2" i="32"/>
  <c r="AL39" i="32" s="1"/>
  <c r="AT2" i="32"/>
  <c r="AT50" i="32" s="1"/>
  <c r="AM2" i="32"/>
  <c r="AM50" i="32" s="1"/>
  <c r="T2" i="32"/>
  <c r="T50" i="32" s="1"/>
  <c r="AO2" i="32"/>
  <c r="AO43" i="32" s="1"/>
  <c r="AJ2" i="32"/>
  <c r="AJ51" i="32" s="1"/>
  <c r="AK2" i="32"/>
  <c r="AK41" i="32" s="1"/>
  <c r="AS2" i="32"/>
  <c r="AS54" i="32" s="1"/>
  <c r="W2" i="32"/>
  <c r="W41" i="32" s="1"/>
  <c r="AH2" i="32"/>
  <c r="AH43" i="32" s="1"/>
  <c r="Z2" i="32"/>
  <c r="Z43" i="32" s="1"/>
  <c r="AI2" i="32"/>
  <c r="AI24" i="32" s="1"/>
  <c r="AF2" i="32"/>
  <c r="AF54" i="32" s="1"/>
  <c r="AR2" i="32"/>
  <c r="AR53" i="32" s="1"/>
  <c r="AC2" i="32"/>
  <c r="AC52" i="32" s="1"/>
  <c r="Y2" i="32"/>
  <c r="Y43" i="32" s="1"/>
  <c r="AG2" i="32"/>
  <c r="AG50" i="32" s="1"/>
  <c r="V2" i="32"/>
  <c r="V54" i="32" s="1"/>
  <c r="X2" i="32"/>
  <c r="X39" i="32" s="1"/>
  <c r="S2" i="32"/>
  <c r="S41" i="32" s="1"/>
  <c r="AQ2" i="32"/>
  <c r="AQ40" i="32" s="1"/>
  <c r="AP2" i="32"/>
  <c r="AP53" i="32" s="1"/>
  <c r="AD2" i="32"/>
  <c r="AD41" i="32" s="1"/>
  <c r="AX4" i="32"/>
  <c r="U2" i="32"/>
  <c r="U50" i="32" s="1"/>
  <c r="R2" i="32"/>
  <c r="R41" i="32" s="1"/>
  <c r="Q2" i="32"/>
  <c r="AX8" i="32" s="1"/>
  <c r="R26" i="32"/>
  <c r="AA42" i="32"/>
  <c r="AY9" i="32"/>
  <c r="AY8" i="32"/>
  <c r="AU44" i="32"/>
  <c r="AZ9" i="32"/>
  <c r="AY7" i="32"/>
  <c r="F26" i="32"/>
  <c r="AD26" i="32"/>
  <c r="C29" i="32"/>
  <c r="AG26" i="32"/>
  <c r="AS26" i="32"/>
  <c r="C32" i="32"/>
  <c r="K32" i="32"/>
  <c r="K29" i="32"/>
  <c r="O29" i="32"/>
  <c r="W26" i="32"/>
  <c r="AM29" i="32"/>
  <c r="F29" i="32"/>
  <c r="R29" i="32"/>
  <c r="AD29" i="32"/>
  <c r="AP32" i="32"/>
  <c r="AM32" i="32"/>
  <c r="AA29" i="32"/>
  <c r="AP26" i="32"/>
  <c r="F32" i="32"/>
  <c r="V29" i="32"/>
  <c r="H29" i="32"/>
  <c r="AK26" i="32"/>
  <c r="AU24" i="32"/>
  <c r="L41" i="32"/>
  <c r="K39" i="32"/>
  <c r="J26" i="32"/>
  <c r="AC29" i="32"/>
  <c r="AO29" i="32"/>
  <c r="R32" i="32"/>
  <c r="K45" i="32"/>
  <c r="AI29" i="32"/>
  <c r="AH26" i="32"/>
  <c r="AL26" i="32"/>
  <c r="Q29" i="32"/>
  <c r="D29" i="32"/>
  <c r="AN29" i="32"/>
  <c r="AT26" i="32"/>
  <c r="K42" i="32"/>
  <c r="E24" i="32"/>
  <c r="U29" i="32"/>
  <c r="K40" i="32"/>
  <c r="AF26" i="32"/>
  <c r="V26" i="32"/>
  <c r="AR32" i="32"/>
  <c r="N24" i="32"/>
  <c r="T29" i="32"/>
  <c r="AD32" i="32"/>
  <c r="L55" i="32"/>
  <c r="H26" i="32"/>
  <c r="AE26" i="32"/>
  <c r="AP29" i="32"/>
  <c r="Z26" i="32"/>
  <c r="AR26" i="32"/>
  <c r="S29" i="32"/>
  <c r="AJ26" i="32"/>
  <c r="H45" i="32"/>
  <c r="AF29" i="32"/>
  <c r="O26" i="32"/>
  <c r="G32" i="32"/>
  <c r="N26" i="32"/>
  <c r="W29" i="32"/>
  <c r="I26" i="32"/>
  <c r="AU29" i="32"/>
  <c r="AI32" i="32"/>
  <c r="AH29" i="32"/>
  <c r="S26" i="32"/>
  <c r="D51" i="32"/>
  <c r="P51" i="32"/>
  <c r="AT29" i="32"/>
  <c r="AH32" i="32"/>
  <c r="P29" i="32"/>
  <c r="T26" i="32"/>
  <c r="AJ29" i="32"/>
  <c r="AQ32" i="32"/>
  <c r="AF32" i="32"/>
  <c r="D56" i="32"/>
  <c r="AQ26" i="32"/>
  <c r="E50" i="32"/>
  <c r="K41" i="32"/>
  <c r="K55" i="32"/>
  <c r="M26" i="32"/>
  <c r="J56" i="32"/>
  <c r="J32" i="32"/>
  <c r="AA26" i="32"/>
  <c r="P50" i="32"/>
  <c r="K52" i="32"/>
  <c r="K43" i="32"/>
  <c r="K65" i="32" s="1"/>
  <c r="K50" i="32"/>
  <c r="G29" i="32"/>
  <c r="L24" i="32"/>
  <c r="K24" i="32"/>
  <c r="L43" i="32"/>
  <c r="K53" i="32"/>
  <c r="K56" i="32"/>
  <c r="K44" i="32"/>
  <c r="G26" i="32"/>
  <c r="AE29" i="32"/>
  <c r="K51" i="32"/>
  <c r="F55" i="32"/>
  <c r="P24" i="32"/>
  <c r="AU41" i="32"/>
  <c r="AU54" i="32"/>
  <c r="J42" i="32"/>
  <c r="AU42" i="32"/>
  <c r="AU55" i="32"/>
  <c r="AX55" i="32" s="1"/>
  <c r="W32" i="32"/>
  <c r="I44" i="32"/>
  <c r="M54" i="32"/>
  <c r="AU40" i="32"/>
  <c r="E44" i="32"/>
  <c r="M56" i="32"/>
  <c r="M53" i="32"/>
  <c r="E29" i="32"/>
  <c r="AU50" i="32"/>
  <c r="C54" i="32"/>
  <c r="M51" i="32"/>
  <c r="AU39" i="32"/>
  <c r="AI26" i="32"/>
  <c r="AU52" i="32"/>
  <c r="D52" i="32"/>
  <c r="AU43" i="32"/>
  <c r="D45" i="32"/>
  <c r="P44" i="32"/>
  <c r="C50" i="32"/>
  <c r="AU51" i="32"/>
  <c r="AE32" i="32"/>
  <c r="AB29" i="32"/>
  <c r="AU53" i="32"/>
  <c r="I43" i="32"/>
  <c r="AJ32" i="32"/>
  <c r="P40" i="32"/>
  <c r="C52" i="32"/>
  <c r="K26" i="32"/>
  <c r="C24" i="32"/>
  <c r="V32" i="32"/>
  <c r="AR29" i="32"/>
  <c r="C42" i="32"/>
  <c r="M41" i="32"/>
  <c r="E55" i="32"/>
  <c r="P42" i="32"/>
  <c r="F51" i="32"/>
  <c r="E51" i="32"/>
  <c r="F56" i="32"/>
  <c r="O32" i="32"/>
  <c r="E56" i="32"/>
  <c r="L29" i="32"/>
  <c r="E53" i="32"/>
  <c r="F53" i="32"/>
  <c r="M50" i="32"/>
  <c r="D50" i="32"/>
  <c r="AA32" i="32"/>
  <c r="AY4" i="32"/>
  <c r="AA45" i="32"/>
  <c r="H41" i="32"/>
  <c r="H39" i="32"/>
  <c r="H61" i="32" s="1"/>
  <c r="N41" i="32"/>
  <c r="D54" i="32"/>
  <c r="H42" i="32"/>
  <c r="D40" i="32"/>
  <c r="L26" i="32"/>
  <c r="L32" i="32"/>
  <c r="N39" i="32"/>
  <c r="D53" i="32"/>
  <c r="AA40" i="32"/>
  <c r="AU45" i="32"/>
  <c r="S32" i="32"/>
  <c r="P43" i="32"/>
  <c r="P39" i="32"/>
  <c r="P41" i="32"/>
  <c r="I40" i="32"/>
  <c r="P56" i="32"/>
  <c r="P54" i="32"/>
  <c r="E39" i="32"/>
  <c r="N42" i="32"/>
  <c r="J29" i="32"/>
  <c r="P52" i="32"/>
  <c r="AA41" i="32"/>
  <c r="N44" i="32"/>
  <c r="P45" i="32"/>
  <c r="P53" i="32"/>
  <c r="J50" i="32"/>
  <c r="AX15" i="32"/>
  <c r="AT32" i="32"/>
  <c r="U26" i="32"/>
  <c r="U32" i="32"/>
  <c r="J53" i="32"/>
  <c r="H52" i="32"/>
  <c r="N54" i="32"/>
  <c r="I52" i="32"/>
  <c r="L52" i="32"/>
  <c r="L42" i="32"/>
  <c r="L64" i="32" s="1"/>
  <c r="L54" i="32"/>
  <c r="L50" i="32"/>
  <c r="L48" i="32" s="1"/>
  <c r="L40" i="32"/>
  <c r="L44" i="32"/>
  <c r="AM26" i="32"/>
  <c r="O42" i="32"/>
  <c r="G43" i="32"/>
  <c r="J45" i="32"/>
  <c r="H32" i="32"/>
  <c r="L45" i="32"/>
  <c r="F43" i="32"/>
  <c r="N56" i="32"/>
  <c r="C56" i="32"/>
  <c r="I45" i="32"/>
  <c r="G51" i="32"/>
  <c r="H51" i="32"/>
  <c r="X26" i="32"/>
  <c r="X32" i="32"/>
  <c r="F42" i="32"/>
  <c r="M45" i="32"/>
  <c r="I54" i="32"/>
  <c r="E45" i="32"/>
  <c r="G50" i="32"/>
  <c r="AA53" i="32"/>
  <c r="AA43" i="32"/>
  <c r="AA39" i="32"/>
  <c r="AA51" i="32"/>
  <c r="AA55" i="32"/>
  <c r="AW55" i="32" s="1"/>
  <c r="AA52" i="32"/>
  <c r="AA24" i="32"/>
  <c r="D43" i="32"/>
  <c r="D39" i="32"/>
  <c r="D41" i="32"/>
  <c r="D55" i="32"/>
  <c r="D24" i="32"/>
  <c r="F24" i="32"/>
  <c r="E52" i="32"/>
  <c r="E41" i="32"/>
  <c r="F45" i="32"/>
  <c r="AA54" i="32"/>
  <c r="G55" i="32"/>
  <c r="E43" i="32"/>
  <c r="E65" i="32" s="1"/>
  <c r="H54" i="32"/>
  <c r="G53" i="32"/>
  <c r="M43" i="32"/>
  <c r="E40" i="32"/>
  <c r="G54" i="32"/>
  <c r="X29" i="32"/>
  <c r="J24" i="32"/>
  <c r="J41" i="32"/>
  <c r="J43" i="32"/>
  <c r="J39" i="32"/>
  <c r="G24" i="32"/>
  <c r="T32" i="32"/>
  <c r="AY15" i="32"/>
  <c r="AA56" i="32"/>
  <c r="J52" i="32"/>
  <c r="H40" i="32"/>
  <c r="G56" i="32"/>
  <c r="C44" i="32"/>
  <c r="J51" i="32"/>
  <c r="J62" i="32" s="1"/>
  <c r="H56" i="32"/>
  <c r="J54" i="32"/>
  <c r="G45" i="32"/>
  <c r="I24" i="32"/>
  <c r="I55" i="32"/>
  <c r="I51" i="32"/>
  <c r="I41" i="32"/>
  <c r="I39" i="32"/>
  <c r="I53" i="32"/>
  <c r="I64" i="32" s="1"/>
  <c r="I50" i="32"/>
  <c r="G52" i="32"/>
  <c r="G63" i="32" s="1"/>
  <c r="E42" i="32"/>
  <c r="I29" i="32"/>
  <c r="I32" i="32"/>
  <c r="AQ29" i="32"/>
  <c r="O52" i="32"/>
  <c r="M24" i="32"/>
  <c r="M42" i="32"/>
  <c r="M40" i="32"/>
  <c r="M44" i="32"/>
  <c r="M66" i="32" s="1"/>
  <c r="J55" i="32"/>
  <c r="AA44" i="32"/>
  <c r="O45" i="32"/>
  <c r="N55" i="32"/>
  <c r="N51" i="32"/>
  <c r="N40" i="32"/>
  <c r="F54" i="32"/>
  <c r="F50" i="32"/>
  <c r="F44" i="32"/>
  <c r="F40" i="32"/>
  <c r="F52" i="32"/>
  <c r="F63" i="32" s="1"/>
  <c r="H43" i="32"/>
  <c r="J44" i="32"/>
  <c r="O54" i="32"/>
  <c r="H55" i="32"/>
  <c r="G39" i="32"/>
  <c r="AZ15" i="32"/>
  <c r="AU56" i="32"/>
  <c r="I56" i="32"/>
  <c r="H53" i="32"/>
  <c r="H48" i="32" s="1"/>
  <c r="N45" i="32"/>
  <c r="N43" i="32"/>
  <c r="L39" i="32"/>
  <c r="O53" i="32"/>
  <c r="O43" i="32"/>
  <c r="O39" i="32"/>
  <c r="O55" i="32"/>
  <c r="O66" i="32" s="1"/>
  <c r="O51" i="32"/>
  <c r="O41" i="32"/>
  <c r="O50" i="32"/>
  <c r="O56" i="32"/>
  <c r="H44" i="32"/>
  <c r="M39" i="32"/>
  <c r="D44" i="32"/>
  <c r="L51" i="32"/>
  <c r="C45" i="32"/>
  <c r="G40" i="32"/>
  <c r="G42" i="32"/>
  <c r="G44" i="32"/>
  <c r="AS29" i="32"/>
  <c r="AS32" i="32"/>
  <c r="N50" i="32"/>
  <c r="N52" i="32"/>
  <c r="AG29" i="32"/>
  <c r="AG32" i="32"/>
  <c r="O24" i="32"/>
  <c r="H24" i="32"/>
  <c r="N53" i="32"/>
  <c r="O40" i="32"/>
  <c r="C53" i="32"/>
  <c r="C43" i="32"/>
  <c r="C39" i="32"/>
  <c r="C55" i="32"/>
  <c r="C51" i="32"/>
  <c r="C62" i="32" s="1"/>
  <c r="C41" i="32"/>
  <c r="F39" i="32"/>
  <c r="AA50" i="32"/>
  <c r="Y26" i="32"/>
  <c r="M52" i="32"/>
  <c r="L56" i="32"/>
  <c r="C26" i="32"/>
  <c r="AO32" i="32"/>
  <c r="AO26" i="32"/>
  <c r="N32" i="32"/>
  <c r="N29" i="32"/>
  <c r="AL32" i="32"/>
  <c r="AL29" i="32"/>
  <c r="D26" i="32"/>
  <c r="D32" i="32"/>
  <c r="P26" i="32"/>
  <c r="P32" i="32"/>
  <c r="AB32" i="32"/>
  <c r="AB26" i="32"/>
  <c r="AN32" i="32"/>
  <c r="AN26" i="32"/>
  <c r="M32" i="32"/>
  <c r="M29" i="32"/>
  <c r="Y32" i="32"/>
  <c r="Y29" i="32"/>
  <c r="Z32" i="32"/>
  <c r="Z29" i="32"/>
  <c r="AU26" i="32"/>
  <c r="AU32" i="32"/>
  <c r="AK32" i="32"/>
  <c r="AK29" i="32"/>
  <c r="E32" i="32"/>
  <c r="E26" i="32"/>
  <c r="Q32" i="32"/>
  <c r="Q26" i="32"/>
  <c r="AC32" i="32"/>
  <c r="AC26" i="32"/>
  <c r="Q120" i="16"/>
  <c r="P120" i="16"/>
  <c r="Q107" i="16"/>
  <c r="O107" i="16"/>
  <c r="Q94" i="16"/>
  <c r="Q81" i="16"/>
  <c r="P81" i="16"/>
  <c r="O81" i="16"/>
  <c r="Q68" i="16"/>
  <c r="O68" i="16"/>
  <c r="Q29" i="16"/>
  <c r="Q16" i="16"/>
  <c r="O16" i="16"/>
  <c r="F128" i="16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N39" i="32" l="1"/>
  <c r="AN43" i="32"/>
  <c r="AN42" i="32"/>
  <c r="AN44" i="32"/>
  <c r="AN52" i="32"/>
  <c r="AN54" i="32"/>
  <c r="AN24" i="32"/>
  <c r="AN41" i="32"/>
  <c r="AN55" i="32"/>
  <c r="AN56" i="32"/>
  <c r="AN53" i="32"/>
  <c r="AN45" i="32"/>
  <c r="AN50" i="32"/>
  <c r="AN61" i="32" s="1"/>
  <c r="AN51" i="32"/>
  <c r="AN62" i="32" s="1"/>
  <c r="AE39" i="32"/>
  <c r="AI52" i="32"/>
  <c r="AB24" i="32"/>
  <c r="AB52" i="32"/>
  <c r="AE50" i="32"/>
  <c r="AE43" i="32"/>
  <c r="AE42" i="32"/>
  <c r="AE53" i="32"/>
  <c r="AB40" i="32"/>
  <c r="AL55" i="32"/>
  <c r="AE55" i="32"/>
  <c r="T42" i="32"/>
  <c r="T51" i="32"/>
  <c r="AL50" i="32"/>
  <c r="AL61" i="32" s="1"/>
  <c r="AT45" i="32"/>
  <c r="AE24" i="32"/>
  <c r="AB54" i="32"/>
  <c r="T40" i="32"/>
  <c r="AB45" i="32"/>
  <c r="AL45" i="32"/>
  <c r="AB42" i="32"/>
  <c r="AB44" i="32"/>
  <c r="AB53" i="32"/>
  <c r="AB48" i="32" s="1"/>
  <c r="AB55" i="32"/>
  <c r="AB41" i="32"/>
  <c r="Y42" i="32"/>
  <c r="AB39" i="32"/>
  <c r="AB61" i="32" s="1"/>
  <c r="AB56" i="32"/>
  <c r="AB51" i="32"/>
  <c r="Y24" i="32"/>
  <c r="T52" i="32"/>
  <c r="AB43" i="32"/>
  <c r="AE44" i="32"/>
  <c r="AE54" i="32"/>
  <c r="AE41" i="32"/>
  <c r="AE51" i="32"/>
  <c r="AE62" i="32" s="1"/>
  <c r="AK45" i="32"/>
  <c r="AM42" i="32"/>
  <c r="AT44" i="32"/>
  <c r="AM55" i="32"/>
  <c r="AR56" i="32"/>
  <c r="AE52" i="32"/>
  <c r="AE45" i="32"/>
  <c r="AM39" i="32"/>
  <c r="AM61" i="32" s="1"/>
  <c r="AM53" i="32"/>
  <c r="AM48" i="32" s="1"/>
  <c r="AT40" i="32"/>
  <c r="AR54" i="32"/>
  <c r="AT39" i="32"/>
  <c r="AR50" i="32"/>
  <c r="AR48" i="32" s="1"/>
  <c r="AI53" i="32"/>
  <c r="AL44" i="32"/>
  <c r="AT43" i="32"/>
  <c r="AT54" i="32"/>
  <c r="AC55" i="32"/>
  <c r="AL54" i="32"/>
  <c r="AT53" i="32"/>
  <c r="AT48" i="32" s="1"/>
  <c r="AE56" i="32"/>
  <c r="AO56" i="32"/>
  <c r="T55" i="32"/>
  <c r="AL41" i="32"/>
  <c r="AO42" i="32"/>
  <c r="AO45" i="32"/>
  <c r="AG41" i="32"/>
  <c r="T54" i="32"/>
  <c r="Y39" i="32"/>
  <c r="AL24" i="32"/>
  <c r="AJ42" i="32"/>
  <c r="Q54" i="32"/>
  <c r="AT56" i="32"/>
  <c r="AT42" i="32"/>
  <c r="T56" i="32"/>
  <c r="AT55" i="32"/>
  <c r="AT52" i="32"/>
  <c r="AL43" i="32"/>
  <c r="AT41" i="32"/>
  <c r="T53" i="32"/>
  <c r="T48" i="32" s="1"/>
  <c r="AT24" i="32"/>
  <c r="Q43" i="32"/>
  <c r="AM44" i="32"/>
  <c r="AL40" i="32"/>
  <c r="AO50" i="32"/>
  <c r="AL56" i="32"/>
  <c r="AO54" i="32"/>
  <c r="AO65" i="32" s="1"/>
  <c r="AO53" i="32"/>
  <c r="AO41" i="32"/>
  <c r="AO44" i="32"/>
  <c r="AL53" i="32"/>
  <c r="AO40" i="32"/>
  <c r="T45" i="32"/>
  <c r="AO52" i="32"/>
  <c r="AO39" i="32"/>
  <c r="AL42" i="32"/>
  <c r="AL37" i="32" s="1"/>
  <c r="AO51" i="32"/>
  <c r="AG51" i="32"/>
  <c r="AL51" i="32"/>
  <c r="AL52" i="32"/>
  <c r="AM40" i="32"/>
  <c r="AM45" i="32"/>
  <c r="AM41" i="32"/>
  <c r="AC24" i="32"/>
  <c r="AM54" i="32"/>
  <c r="Q51" i="32"/>
  <c r="AC54" i="32"/>
  <c r="AC56" i="32"/>
  <c r="AM52" i="32"/>
  <c r="AM56" i="32"/>
  <c r="AK50" i="32"/>
  <c r="AC40" i="32"/>
  <c r="Q40" i="32"/>
  <c r="Q56" i="32"/>
  <c r="AS53" i="32"/>
  <c r="AK53" i="32"/>
  <c r="AS39" i="32"/>
  <c r="X40" i="32"/>
  <c r="AS45" i="32"/>
  <c r="AT51" i="32"/>
  <c r="AJ24" i="32"/>
  <c r="AJ52" i="32"/>
  <c r="T24" i="32"/>
  <c r="AJ41" i="32"/>
  <c r="AK40" i="32"/>
  <c r="AK51" i="32"/>
  <c r="AK44" i="32"/>
  <c r="AK42" i="32"/>
  <c r="AK43" i="32"/>
  <c r="Y53" i="32"/>
  <c r="AK24" i="32"/>
  <c r="AK55" i="32"/>
  <c r="AJ56" i="32"/>
  <c r="AG39" i="32"/>
  <c r="AG61" i="32" s="1"/>
  <c r="AJ53" i="32"/>
  <c r="Q39" i="32"/>
  <c r="AM43" i="32"/>
  <c r="AJ45" i="32"/>
  <c r="Y56" i="32"/>
  <c r="AJ55" i="32"/>
  <c r="AM24" i="32"/>
  <c r="AJ54" i="32"/>
  <c r="AG40" i="32"/>
  <c r="AJ39" i="32"/>
  <c r="AI40" i="32"/>
  <c r="AJ50" i="32"/>
  <c r="AJ43" i="32"/>
  <c r="AJ44" i="32"/>
  <c r="Y55" i="32"/>
  <c r="Y54" i="32"/>
  <c r="Y65" i="32" s="1"/>
  <c r="T44" i="32"/>
  <c r="Y40" i="32"/>
  <c r="AO55" i="32"/>
  <c r="AJ40" i="32"/>
  <c r="AJ62" i="32" s="1"/>
  <c r="AC53" i="32"/>
  <c r="AS52" i="32"/>
  <c r="T41" i="32"/>
  <c r="AM51" i="32"/>
  <c r="AS43" i="32"/>
  <c r="AS65" i="32" s="1"/>
  <c r="X53" i="32"/>
  <c r="AF44" i="32"/>
  <c r="AI43" i="32"/>
  <c r="AF53" i="32"/>
  <c r="U44" i="32"/>
  <c r="AI42" i="32"/>
  <c r="AI44" i="32"/>
  <c r="AP40" i="32"/>
  <c r="AF43" i="32"/>
  <c r="AF65" i="32" s="1"/>
  <c r="U24" i="32"/>
  <c r="AI45" i="32"/>
  <c r="AF56" i="32"/>
  <c r="AF45" i="32"/>
  <c r="AI55" i="32"/>
  <c r="AP51" i="32"/>
  <c r="AQ53" i="32"/>
  <c r="W40" i="32"/>
  <c r="U52" i="32"/>
  <c r="AI54" i="32"/>
  <c r="AI39" i="32"/>
  <c r="AI51" i="32"/>
  <c r="AI56" i="32"/>
  <c r="AH24" i="32"/>
  <c r="AF42" i="32"/>
  <c r="U53" i="32"/>
  <c r="U48" i="32" s="1"/>
  <c r="AI50" i="32"/>
  <c r="Z56" i="32"/>
  <c r="AH39" i="32"/>
  <c r="W43" i="32"/>
  <c r="Q44" i="32"/>
  <c r="AP24" i="32"/>
  <c r="Z40" i="32"/>
  <c r="AH45" i="32"/>
  <c r="AH40" i="32"/>
  <c r="AH50" i="32"/>
  <c r="AS55" i="32"/>
  <c r="Z45" i="32"/>
  <c r="Z41" i="32"/>
  <c r="T39" i="32"/>
  <c r="T61" i="32" s="1"/>
  <c r="AH41" i="32"/>
  <c r="T43" i="32"/>
  <c r="AR24" i="32"/>
  <c r="AP55" i="32"/>
  <c r="AK54" i="32"/>
  <c r="AO24" i="32"/>
  <c r="AP42" i="32"/>
  <c r="AP64" i="32" s="1"/>
  <c r="AH54" i="32"/>
  <c r="AH65" i="32" s="1"/>
  <c r="AH51" i="32"/>
  <c r="AS41" i="32"/>
  <c r="AH55" i="32"/>
  <c r="R52" i="32"/>
  <c r="R63" i="32" s="1"/>
  <c r="AS51" i="32"/>
  <c r="R40" i="32"/>
  <c r="AH52" i="32"/>
  <c r="R24" i="32"/>
  <c r="AS56" i="32"/>
  <c r="Z51" i="32"/>
  <c r="Z54" i="32"/>
  <c r="Z65" i="32" s="1"/>
  <c r="Z44" i="32"/>
  <c r="AP54" i="32"/>
  <c r="AQ54" i="32"/>
  <c r="AP43" i="32"/>
  <c r="AS24" i="32"/>
  <c r="R50" i="32"/>
  <c r="AR52" i="32"/>
  <c r="R53" i="32"/>
  <c r="W56" i="32"/>
  <c r="R39" i="32"/>
  <c r="Z53" i="32"/>
  <c r="AR40" i="32"/>
  <c r="AD54" i="32"/>
  <c r="AR42" i="32"/>
  <c r="AR64" i="32" s="1"/>
  <c r="Z52" i="32"/>
  <c r="AR41" i="32"/>
  <c r="Z42" i="32"/>
  <c r="Z39" i="32"/>
  <c r="AD45" i="32"/>
  <c r="AH44" i="32"/>
  <c r="AP56" i="32"/>
  <c r="AP50" i="32"/>
  <c r="AP48" i="32" s="1"/>
  <c r="W53" i="32"/>
  <c r="AH42" i="32"/>
  <c r="AS42" i="32"/>
  <c r="AP41" i="32"/>
  <c r="AP39" i="32"/>
  <c r="AQ43" i="32"/>
  <c r="AK56" i="32"/>
  <c r="U43" i="32"/>
  <c r="Z24" i="32"/>
  <c r="AH56" i="32"/>
  <c r="AP52" i="32"/>
  <c r="AF50" i="32"/>
  <c r="AS50" i="32"/>
  <c r="W42" i="32"/>
  <c r="AS44" i="32"/>
  <c r="AK39" i="32"/>
  <c r="W50" i="32"/>
  <c r="AS40" i="32"/>
  <c r="AQ52" i="32"/>
  <c r="AG54" i="32"/>
  <c r="AG43" i="32"/>
  <c r="AQ51" i="32"/>
  <c r="AQ62" i="32" s="1"/>
  <c r="W54" i="32"/>
  <c r="AQ24" i="32"/>
  <c r="AC42" i="32"/>
  <c r="U55" i="32"/>
  <c r="Z50" i="32"/>
  <c r="AH53" i="32"/>
  <c r="AK52" i="32"/>
  <c r="AK63" i="32" s="1"/>
  <c r="U56" i="32"/>
  <c r="AP44" i="32"/>
  <c r="AC41" i="32"/>
  <c r="AC63" i="32" s="1"/>
  <c r="AI41" i="32"/>
  <c r="W45" i="32"/>
  <c r="W44" i="32"/>
  <c r="Z55" i="32"/>
  <c r="AF51" i="32"/>
  <c r="AX40" i="32"/>
  <c r="AQ41" i="32"/>
  <c r="W51" i="32"/>
  <c r="W39" i="32"/>
  <c r="AQ45" i="32"/>
  <c r="W52" i="32"/>
  <c r="W63" i="32" s="1"/>
  <c r="W55" i="32"/>
  <c r="AQ42" i="32"/>
  <c r="W24" i="32"/>
  <c r="AG44" i="32"/>
  <c r="S44" i="32"/>
  <c r="X45" i="32"/>
  <c r="Y50" i="32"/>
  <c r="S42" i="32"/>
  <c r="S50" i="32"/>
  <c r="X51" i="32"/>
  <c r="U41" i="32"/>
  <c r="V50" i="32"/>
  <c r="AR39" i="32"/>
  <c r="AF41" i="32"/>
  <c r="Q24" i="32"/>
  <c r="Y44" i="32"/>
  <c r="AG24" i="32"/>
  <c r="V55" i="32"/>
  <c r="U51" i="32"/>
  <c r="AD55" i="32"/>
  <c r="U54" i="32"/>
  <c r="V45" i="32"/>
  <c r="AF40" i="32"/>
  <c r="S55" i="32"/>
  <c r="S51" i="32"/>
  <c r="S56" i="32"/>
  <c r="AP45" i="32"/>
  <c r="X50" i="32"/>
  <c r="X61" i="32" s="1"/>
  <c r="X54" i="32"/>
  <c r="S54" i="32"/>
  <c r="X42" i="32"/>
  <c r="X37" i="32" s="1"/>
  <c r="S52" i="32"/>
  <c r="S63" i="32" s="1"/>
  <c r="S24" i="32"/>
  <c r="X52" i="32"/>
  <c r="X55" i="32"/>
  <c r="X43" i="32"/>
  <c r="X41" i="32"/>
  <c r="S53" i="32"/>
  <c r="V39" i="32"/>
  <c r="X56" i="32"/>
  <c r="X24" i="32"/>
  <c r="V51" i="32"/>
  <c r="V40" i="32"/>
  <c r="V41" i="32"/>
  <c r="AU61" i="32"/>
  <c r="U45" i="32"/>
  <c r="S40" i="32"/>
  <c r="U42" i="32"/>
  <c r="AD50" i="32"/>
  <c r="AG53" i="32"/>
  <c r="AG48" i="32" s="1"/>
  <c r="U39" i="32"/>
  <c r="U61" i="32" s="1"/>
  <c r="AC43" i="32"/>
  <c r="V24" i="32"/>
  <c r="Q53" i="32"/>
  <c r="X44" i="32"/>
  <c r="Q41" i="32"/>
  <c r="AF55" i="32"/>
  <c r="AR44" i="32"/>
  <c r="S45" i="32"/>
  <c r="AD42" i="32"/>
  <c r="R42" i="32"/>
  <c r="R44" i="32"/>
  <c r="Q45" i="32"/>
  <c r="AC44" i="32"/>
  <c r="AC51" i="32"/>
  <c r="AF39" i="32"/>
  <c r="AR55" i="32"/>
  <c r="AQ50" i="32"/>
  <c r="AF24" i="32"/>
  <c r="AQ56" i="32"/>
  <c r="AD52" i="32"/>
  <c r="AD63" i="32" s="1"/>
  <c r="AG45" i="32"/>
  <c r="V44" i="32"/>
  <c r="Y41" i="32"/>
  <c r="AR43" i="32"/>
  <c r="Q55" i="32"/>
  <c r="AD40" i="32"/>
  <c r="AG56" i="32"/>
  <c r="R54" i="32"/>
  <c r="AC45" i="32"/>
  <c r="AR51" i="32"/>
  <c r="AG52" i="32"/>
  <c r="AC39" i="32"/>
  <c r="V53" i="32"/>
  <c r="Y45" i="32"/>
  <c r="Y67" i="32" s="1"/>
  <c r="AD44" i="32"/>
  <c r="V56" i="32"/>
  <c r="Q52" i="32"/>
  <c r="V52" i="32"/>
  <c r="AG42" i="32"/>
  <c r="V43" i="32"/>
  <c r="V65" i="32" s="1"/>
  <c r="AG55" i="32"/>
  <c r="S39" i="32"/>
  <c r="AR45" i="32"/>
  <c r="S43" i="32"/>
  <c r="AQ55" i="32"/>
  <c r="Y52" i="32"/>
  <c r="AF52" i="32"/>
  <c r="V42" i="32"/>
  <c r="AQ44" i="32"/>
  <c r="AD39" i="32"/>
  <c r="AC50" i="32"/>
  <c r="Y51" i="32"/>
  <c r="Q50" i="32"/>
  <c r="AQ39" i="32"/>
  <c r="AD53" i="32"/>
  <c r="AD24" i="32"/>
  <c r="AD51" i="32"/>
  <c r="R55" i="32"/>
  <c r="R56" i="32"/>
  <c r="R51" i="32"/>
  <c r="AD43" i="32"/>
  <c r="AD56" i="32"/>
  <c r="R45" i="32"/>
  <c r="R43" i="32"/>
  <c r="U40" i="32"/>
  <c r="Q42" i="32"/>
  <c r="AX44" i="32"/>
  <c r="AY10" i="32"/>
  <c r="AW42" i="32"/>
  <c r="AZ10" i="32"/>
  <c r="AX7" i="32"/>
  <c r="AX9" i="32"/>
  <c r="L66" i="32"/>
  <c r="K67" i="32"/>
  <c r="AX51" i="32"/>
  <c r="L63" i="32"/>
  <c r="M62" i="32"/>
  <c r="K62" i="32"/>
  <c r="J64" i="32"/>
  <c r="K37" i="32"/>
  <c r="L65" i="32"/>
  <c r="K61" i="32"/>
  <c r="I63" i="32"/>
  <c r="K64" i="32"/>
  <c r="H67" i="32"/>
  <c r="D48" i="32"/>
  <c r="AW56" i="32"/>
  <c r="P67" i="32"/>
  <c r="D62" i="32"/>
  <c r="C65" i="32"/>
  <c r="D67" i="32"/>
  <c r="C64" i="32"/>
  <c r="AU65" i="32"/>
  <c r="AU63" i="32"/>
  <c r="AX54" i="32"/>
  <c r="P48" i="32"/>
  <c r="AX56" i="32"/>
  <c r="M64" i="32"/>
  <c r="AW51" i="32"/>
  <c r="K63" i="32"/>
  <c r="C63" i="32"/>
  <c r="D63" i="32"/>
  <c r="P62" i="32"/>
  <c r="E48" i="32"/>
  <c r="M67" i="32"/>
  <c r="O48" i="32"/>
  <c r="G62" i="32"/>
  <c r="K66" i="32"/>
  <c r="H66" i="32"/>
  <c r="AU48" i="32"/>
  <c r="K48" i="32"/>
  <c r="H62" i="32"/>
  <c r="F67" i="32"/>
  <c r="E62" i="32"/>
  <c r="O64" i="32"/>
  <c r="M65" i="32"/>
  <c r="AX53" i="32"/>
  <c r="E67" i="32"/>
  <c r="J67" i="32"/>
  <c r="I65" i="32"/>
  <c r="N48" i="32"/>
  <c r="AU37" i="32"/>
  <c r="P66" i="32"/>
  <c r="I48" i="32"/>
  <c r="G48" i="32"/>
  <c r="F62" i="32"/>
  <c r="F66" i="32"/>
  <c r="F64" i="32"/>
  <c r="O65" i="32"/>
  <c r="F48" i="32"/>
  <c r="E64" i="32"/>
  <c r="AU62" i="32"/>
  <c r="C67" i="32"/>
  <c r="D65" i="32"/>
  <c r="AX50" i="32"/>
  <c r="E66" i="32"/>
  <c r="I66" i="32"/>
  <c r="N65" i="32"/>
  <c r="N62" i="32"/>
  <c r="AX39" i="32"/>
  <c r="M63" i="32"/>
  <c r="P65" i="32"/>
  <c r="C66" i="32"/>
  <c r="G64" i="32"/>
  <c r="D66" i="32"/>
  <c r="AX42" i="32"/>
  <c r="AW53" i="32"/>
  <c r="AA63" i="32"/>
  <c r="P64" i="32"/>
  <c r="N67" i="32"/>
  <c r="AU64" i="32"/>
  <c r="AX43" i="32"/>
  <c r="AU66" i="32"/>
  <c r="H65" i="32"/>
  <c r="AX52" i="32"/>
  <c r="I62" i="32"/>
  <c r="M48" i="32"/>
  <c r="F37" i="32"/>
  <c r="F61" i="32"/>
  <c r="AA66" i="32"/>
  <c r="AW44" i="32"/>
  <c r="L61" i="32"/>
  <c r="L37" i="32"/>
  <c r="J66" i="32"/>
  <c r="G67" i="32"/>
  <c r="J37" i="32"/>
  <c r="J61" i="32"/>
  <c r="N66" i="32"/>
  <c r="E61" i="32"/>
  <c r="E37" i="32"/>
  <c r="AU67" i="32"/>
  <c r="AX45" i="32"/>
  <c r="D64" i="32"/>
  <c r="AA48" i="32"/>
  <c r="AW50" i="32"/>
  <c r="G66" i="32"/>
  <c r="J65" i="32"/>
  <c r="H37" i="32"/>
  <c r="H64" i="32"/>
  <c r="C61" i="32"/>
  <c r="C37" i="32"/>
  <c r="J63" i="32"/>
  <c r="AW52" i="32"/>
  <c r="J48" i="32"/>
  <c r="O63" i="32"/>
  <c r="G37" i="32"/>
  <c r="G61" i="32"/>
  <c r="I61" i="32"/>
  <c r="AW39" i="32"/>
  <c r="AA37" i="32"/>
  <c r="AA61" i="32"/>
  <c r="F65" i="32"/>
  <c r="H63" i="32"/>
  <c r="AA64" i="32"/>
  <c r="M61" i="32"/>
  <c r="M37" i="32"/>
  <c r="AA65" i="32"/>
  <c r="AW43" i="32"/>
  <c r="N63" i="32"/>
  <c r="I37" i="32"/>
  <c r="D61" i="32"/>
  <c r="D37" i="32"/>
  <c r="L67" i="32"/>
  <c r="AW54" i="32"/>
  <c r="AW41" i="32"/>
  <c r="P63" i="32"/>
  <c r="AX41" i="32"/>
  <c r="O61" i="32"/>
  <c r="O37" i="32"/>
  <c r="G65" i="32"/>
  <c r="L62" i="32"/>
  <c r="P61" i="32"/>
  <c r="P37" i="32"/>
  <c r="N61" i="32"/>
  <c r="N37" i="32"/>
  <c r="AW45" i="32"/>
  <c r="AA67" i="32"/>
  <c r="AW40" i="32"/>
  <c r="AA62" i="32"/>
  <c r="O62" i="32"/>
  <c r="O67" i="32"/>
  <c r="I67" i="32"/>
  <c r="C48" i="32"/>
  <c r="N64" i="32"/>
  <c r="E63" i="32"/>
  <c r="P94" i="16"/>
  <c r="P98" i="16" s="1"/>
  <c r="P29" i="16"/>
  <c r="P33" i="16" s="1"/>
  <c r="O120" i="16"/>
  <c r="O124" i="16" s="1"/>
  <c r="P16" i="16"/>
  <c r="P20" i="16" s="1"/>
  <c r="P68" i="16"/>
  <c r="P72" i="16" s="1"/>
  <c r="Q98" i="16"/>
  <c r="R29" i="16"/>
  <c r="R33" i="16" s="1"/>
  <c r="S70" i="16"/>
  <c r="S122" i="16"/>
  <c r="P124" i="16"/>
  <c r="S66" i="16"/>
  <c r="T66" i="16" s="1"/>
  <c r="S123" i="16"/>
  <c r="T123" i="16" s="1"/>
  <c r="S32" i="16"/>
  <c r="T32" i="16" s="1"/>
  <c r="R94" i="16"/>
  <c r="R98" i="16" s="1"/>
  <c r="O111" i="16"/>
  <c r="R81" i="16"/>
  <c r="S81" i="16" s="1"/>
  <c r="T81" i="16" s="1"/>
  <c r="S92" i="16"/>
  <c r="T92" i="16" s="1"/>
  <c r="S102" i="16"/>
  <c r="T102" i="16" s="1"/>
  <c r="S97" i="16"/>
  <c r="T97" i="16" s="1"/>
  <c r="S109" i="16"/>
  <c r="Q124" i="16"/>
  <c r="S67" i="16"/>
  <c r="T67" i="16" s="1"/>
  <c r="R68" i="16"/>
  <c r="R72" i="16" s="1"/>
  <c r="S71" i="16"/>
  <c r="T71" i="16" s="1"/>
  <c r="O85" i="16"/>
  <c r="S83" i="16"/>
  <c r="S95" i="16"/>
  <c r="Q111" i="16"/>
  <c r="S118" i="16"/>
  <c r="T118" i="16" s="1"/>
  <c r="S119" i="16"/>
  <c r="T119" i="16" s="1"/>
  <c r="R120" i="16"/>
  <c r="R124" i="16" s="1"/>
  <c r="P85" i="16"/>
  <c r="Q33" i="16"/>
  <c r="O72" i="16"/>
  <c r="S105" i="16"/>
  <c r="T105" i="16" s="1"/>
  <c r="S108" i="16"/>
  <c r="S110" i="16"/>
  <c r="T110" i="16" s="1"/>
  <c r="S121" i="16"/>
  <c r="S80" i="16"/>
  <c r="T80" i="16" s="1"/>
  <c r="S93" i="16"/>
  <c r="T93" i="16" s="1"/>
  <c r="O20" i="16"/>
  <c r="S84" i="16"/>
  <c r="T84" i="16" s="1"/>
  <c r="S79" i="16"/>
  <c r="T79" i="16" s="1"/>
  <c r="S89" i="16"/>
  <c r="T89" i="16" s="1"/>
  <c r="S96" i="16"/>
  <c r="R107" i="16"/>
  <c r="R111" i="16" s="1"/>
  <c r="S69" i="16"/>
  <c r="Q72" i="16"/>
  <c r="Q85" i="16"/>
  <c r="S106" i="16"/>
  <c r="T106" i="16" s="1"/>
  <c r="S63" i="16"/>
  <c r="T63" i="16" s="1"/>
  <c r="S115" i="16"/>
  <c r="T115" i="16" s="1"/>
  <c r="S76" i="16"/>
  <c r="T76" i="16" s="1"/>
  <c r="S82" i="16"/>
  <c r="O94" i="16"/>
  <c r="P107" i="16"/>
  <c r="P111" i="16" s="1"/>
  <c r="S15" i="16"/>
  <c r="T15" i="16" s="1"/>
  <c r="S18" i="16"/>
  <c r="S30" i="16"/>
  <c r="R16" i="16"/>
  <c r="R20" i="16" s="1"/>
  <c r="S19" i="16"/>
  <c r="T19" i="16" s="1"/>
  <c r="S27" i="16"/>
  <c r="T27" i="16" s="1"/>
  <c r="S28" i="16"/>
  <c r="T28" i="16" s="1"/>
  <c r="O29" i="16"/>
  <c r="O33" i="16" s="1"/>
  <c r="Q20" i="16"/>
  <c r="S17" i="16"/>
  <c r="S31" i="16"/>
  <c r="S24" i="16"/>
  <c r="T24" i="16" s="1"/>
  <c r="S11" i="16"/>
  <c r="T11" i="16" s="1"/>
  <c r="H16" i="31"/>
  <c r="H42" i="31"/>
  <c r="H55" i="31"/>
  <c r="H68" i="31"/>
  <c r="H81" i="31"/>
  <c r="G15" i="31"/>
  <c r="F15" i="31"/>
  <c r="E15" i="31"/>
  <c r="D15" i="31"/>
  <c r="C15" i="31"/>
  <c r="F13" i="31"/>
  <c r="D13" i="31"/>
  <c r="G12" i="31"/>
  <c r="F12" i="31"/>
  <c r="D12" i="31"/>
  <c r="C12" i="31"/>
  <c r="F10" i="31"/>
  <c r="D10" i="31"/>
  <c r="C10" i="31"/>
  <c r="C9" i="31"/>
  <c r="F8" i="31"/>
  <c r="D8" i="31"/>
  <c r="G28" i="31"/>
  <c r="F28" i="31"/>
  <c r="E28" i="31"/>
  <c r="D28" i="31"/>
  <c r="C28" i="31"/>
  <c r="F26" i="31"/>
  <c r="D26" i="31"/>
  <c r="G25" i="31"/>
  <c r="F25" i="31"/>
  <c r="D25" i="31"/>
  <c r="C25" i="31"/>
  <c r="F23" i="31"/>
  <c r="D23" i="31"/>
  <c r="C23" i="31"/>
  <c r="C22" i="31"/>
  <c r="F21" i="31"/>
  <c r="D21" i="31"/>
  <c r="G41" i="31"/>
  <c r="F41" i="31"/>
  <c r="E41" i="31"/>
  <c r="D41" i="31"/>
  <c r="C41" i="31"/>
  <c r="F39" i="31"/>
  <c r="D39" i="31"/>
  <c r="G38" i="31"/>
  <c r="F38" i="31"/>
  <c r="D38" i="31"/>
  <c r="C38" i="31"/>
  <c r="F36" i="31"/>
  <c r="D36" i="31"/>
  <c r="C36" i="31"/>
  <c r="C35" i="31"/>
  <c r="F34" i="31"/>
  <c r="D34" i="31"/>
  <c r="G54" i="31"/>
  <c r="F54" i="31"/>
  <c r="E54" i="31"/>
  <c r="D54" i="31"/>
  <c r="C54" i="31"/>
  <c r="F52" i="31"/>
  <c r="D52" i="31"/>
  <c r="G51" i="31"/>
  <c r="F51" i="31"/>
  <c r="D51" i="31"/>
  <c r="C51" i="31"/>
  <c r="F49" i="31"/>
  <c r="D49" i="31"/>
  <c r="C49" i="31"/>
  <c r="C48" i="31"/>
  <c r="F47" i="31"/>
  <c r="D47" i="31"/>
  <c r="G67" i="31"/>
  <c r="F67" i="31"/>
  <c r="E67" i="31"/>
  <c r="D67" i="31"/>
  <c r="C67" i="31"/>
  <c r="F65" i="31"/>
  <c r="D65" i="31"/>
  <c r="G64" i="31"/>
  <c r="F64" i="31"/>
  <c r="D64" i="31"/>
  <c r="C64" i="31"/>
  <c r="F62" i="31"/>
  <c r="D62" i="31"/>
  <c r="C62" i="31"/>
  <c r="C61" i="31"/>
  <c r="F60" i="31"/>
  <c r="D60" i="31"/>
  <c r="G80" i="31"/>
  <c r="F80" i="31"/>
  <c r="E80" i="31"/>
  <c r="D80" i="31"/>
  <c r="C80" i="31"/>
  <c r="F78" i="31"/>
  <c r="D78" i="31"/>
  <c r="G77" i="31"/>
  <c r="F77" i="31"/>
  <c r="D77" i="31"/>
  <c r="C77" i="31"/>
  <c r="F75" i="31"/>
  <c r="D75" i="31"/>
  <c r="C75" i="31"/>
  <c r="C74" i="31"/>
  <c r="F73" i="31"/>
  <c r="D73" i="31"/>
  <c r="T85" i="16" l="1"/>
  <c r="AN66" i="32"/>
  <c r="AN64" i="32"/>
  <c r="AN63" i="32"/>
  <c r="AN37" i="32"/>
  <c r="AK64" i="32"/>
  <c r="AN65" i="32"/>
  <c r="AN67" i="32"/>
  <c r="AN48" i="32"/>
  <c r="T65" i="32"/>
  <c r="AE37" i="32"/>
  <c r="AE61" i="32"/>
  <c r="AI63" i="32"/>
  <c r="AE64" i="32"/>
  <c r="AE48" i="32"/>
  <c r="AK67" i="32"/>
  <c r="AE66" i="32"/>
  <c r="AL66" i="32"/>
  <c r="AB63" i="32"/>
  <c r="AG63" i="32"/>
  <c r="AT67" i="32"/>
  <c r="AB37" i="32"/>
  <c r="AE65" i="32"/>
  <c r="T62" i="32"/>
  <c r="AB62" i="32"/>
  <c r="AB67" i="32"/>
  <c r="AJ37" i="32"/>
  <c r="AB65" i="32"/>
  <c r="AT66" i="32"/>
  <c r="AT37" i="32"/>
  <c r="AT64" i="32"/>
  <c r="AL67" i="32"/>
  <c r="AB66" i="32"/>
  <c r="T63" i="32"/>
  <c r="AC65" i="32"/>
  <c r="AT65" i="32"/>
  <c r="AE63" i="32"/>
  <c r="AT61" i="32"/>
  <c r="AB64" i="32"/>
  <c r="AS61" i="32"/>
  <c r="AT62" i="32"/>
  <c r="AC66" i="32"/>
  <c r="AL65" i="32"/>
  <c r="AO67" i="32"/>
  <c r="Y37" i="32"/>
  <c r="AR67" i="32"/>
  <c r="AT63" i="32"/>
  <c r="S61" i="32"/>
  <c r="AL63" i="32"/>
  <c r="AL62" i="32"/>
  <c r="AG62" i="32"/>
  <c r="AM66" i="32"/>
  <c r="AJ64" i="32"/>
  <c r="AE67" i="32"/>
  <c r="AR65" i="32"/>
  <c r="Y64" i="32"/>
  <c r="Q67" i="32"/>
  <c r="AI64" i="32"/>
  <c r="AI48" i="32"/>
  <c r="AJ63" i="32"/>
  <c r="AM37" i="32"/>
  <c r="W64" i="32"/>
  <c r="AO48" i="32"/>
  <c r="AQ67" i="32"/>
  <c r="U67" i="32"/>
  <c r="AM64" i="32"/>
  <c r="Q65" i="32"/>
  <c r="AR61" i="32"/>
  <c r="U64" i="32"/>
  <c r="T66" i="32"/>
  <c r="AO63" i="32"/>
  <c r="AO62" i="32"/>
  <c r="AO61" i="32"/>
  <c r="AK66" i="32"/>
  <c r="AM63" i="32"/>
  <c r="AL64" i="32"/>
  <c r="Q62" i="32"/>
  <c r="AO64" i="32"/>
  <c r="AJ48" i="32"/>
  <c r="T67" i="32"/>
  <c r="Y61" i="32"/>
  <c r="AO37" i="32"/>
  <c r="AO66" i="32"/>
  <c r="AC67" i="32"/>
  <c r="T64" i="32"/>
  <c r="X62" i="32"/>
  <c r="AP61" i="32"/>
  <c r="AF67" i="32"/>
  <c r="AJ66" i="32"/>
  <c r="AL48" i="32"/>
  <c r="AK37" i="32"/>
  <c r="AF64" i="32"/>
  <c r="AJ65" i="32"/>
  <c r="AK48" i="32"/>
  <c r="AS37" i="32"/>
  <c r="AM62" i="32"/>
  <c r="AM67" i="32"/>
  <c r="AC48" i="32"/>
  <c r="X67" i="32"/>
  <c r="V48" i="32"/>
  <c r="AC64" i="32"/>
  <c r="R65" i="32"/>
  <c r="AG67" i="32"/>
  <c r="U66" i="32"/>
  <c r="AH37" i="32"/>
  <c r="AD67" i="32"/>
  <c r="AC62" i="32"/>
  <c r="AS48" i="32"/>
  <c r="AS67" i="32"/>
  <c r="AH63" i="32"/>
  <c r="Z37" i="32"/>
  <c r="AI65" i="32"/>
  <c r="AJ67" i="32"/>
  <c r="AS62" i="32"/>
  <c r="AR63" i="32"/>
  <c r="AP65" i="32"/>
  <c r="AM65" i="32"/>
  <c r="AK62" i="32"/>
  <c r="Z67" i="32"/>
  <c r="AG37" i="32"/>
  <c r="AF37" i="32"/>
  <c r="AH62" i="32"/>
  <c r="AI67" i="32"/>
  <c r="AD37" i="32"/>
  <c r="X65" i="32"/>
  <c r="S66" i="32"/>
  <c r="AJ61" i="32"/>
  <c r="AD65" i="32"/>
  <c r="AQ66" i="32"/>
  <c r="AF48" i="32"/>
  <c r="R61" i="32"/>
  <c r="AK65" i="32"/>
  <c r="R62" i="32"/>
  <c r="V37" i="32"/>
  <c r="W66" i="32"/>
  <c r="W65" i="32"/>
  <c r="AP63" i="32"/>
  <c r="AI66" i="32"/>
  <c r="AK61" i="32"/>
  <c r="Y48" i="32"/>
  <c r="AH61" i="32"/>
  <c r="Z64" i="32"/>
  <c r="AH67" i="32"/>
  <c r="AI62" i="32"/>
  <c r="T37" i="32"/>
  <c r="Q66" i="32"/>
  <c r="Y66" i="32"/>
  <c r="AI61" i="32"/>
  <c r="AP62" i="32"/>
  <c r="W67" i="32"/>
  <c r="V61" i="32"/>
  <c r="R48" i="32"/>
  <c r="AQ37" i="32"/>
  <c r="AF66" i="32"/>
  <c r="AS63" i="32"/>
  <c r="S37" i="32"/>
  <c r="Q61" i="32"/>
  <c r="W62" i="32"/>
  <c r="Y62" i="32"/>
  <c r="U37" i="32"/>
  <c r="AR66" i="32"/>
  <c r="V62" i="32"/>
  <c r="AQ63" i="32"/>
  <c r="Z61" i="32"/>
  <c r="AS66" i="32"/>
  <c r="Z66" i="32"/>
  <c r="AX10" i="32"/>
  <c r="AI37" i="32"/>
  <c r="X48" i="32"/>
  <c r="R64" i="32"/>
  <c r="AR37" i="32"/>
  <c r="AQ64" i="32"/>
  <c r="AG65" i="32"/>
  <c r="Z62" i="32"/>
  <c r="AF61" i="32"/>
  <c r="U63" i="32"/>
  <c r="AP66" i="32"/>
  <c r="AP67" i="32"/>
  <c r="AQ65" i="32"/>
  <c r="AH66" i="32"/>
  <c r="Z63" i="32"/>
  <c r="Q64" i="32"/>
  <c r="AR62" i="32"/>
  <c r="U65" i="32"/>
  <c r="W37" i="32"/>
  <c r="W48" i="32"/>
  <c r="AH64" i="32"/>
  <c r="X64" i="32"/>
  <c r="AF63" i="32"/>
  <c r="Z48" i="32"/>
  <c r="V66" i="32"/>
  <c r="AD61" i="32"/>
  <c r="X63" i="32"/>
  <c r="AS64" i="32"/>
  <c r="AP37" i="32"/>
  <c r="S65" i="32"/>
  <c r="AC61" i="32"/>
  <c r="AF62" i="32"/>
  <c r="AH48" i="32"/>
  <c r="R37" i="32"/>
  <c r="W61" i="32"/>
  <c r="Q63" i="32"/>
  <c r="V64" i="32"/>
  <c r="AD66" i="32"/>
  <c r="Y63" i="32"/>
  <c r="R66" i="32"/>
  <c r="S48" i="32"/>
  <c r="S67" i="32"/>
  <c r="S62" i="32"/>
  <c r="X66" i="32"/>
  <c r="AD48" i="32"/>
  <c r="S64" i="32"/>
  <c r="AD64" i="32"/>
  <c r="U62" i="32"/>
  <c r="AG66" i="32"/>
  <c r="AQ61" i="32"/>
  <c r="V63" i="32"/>
  <c r="AG64" i="32"/>
  <c r="V67" i="32"/>
  <c r="R67" i="32"/>
  <c r="AQ48" i="32"/>
  <c r="Q48" i="32"/>
  <c r="AC37" i="32"/>
  <c r="AD62" i="32"/>
  <c r="Q37" i="32"/>
  <c r="R85" i="16"/>
  <c r="S85" i="16" s="1"/>
  <c r="S120" i="16"/>
  <c r="T120" i="16" s="1"/>
  <c r="T124" i="16" s="1"/>
  <c r="S68" i="16"/>
  <c r="T68" i="16" s="1"/>
  <c r="T72" i="16" s="1"/>
  <c r="S94" i="16"/>
  <c r="T94" i="16" s="1"/>
  <c r="T98" i="16" s="1"/>
  <c r="S124" i="16"/>
  <c r="S33" i="16"/>
  <c r="S16" i="16"/>
  <c r="T16" i="16" s="1"/>
  <c r="T20" i="16" s="1"/>
  <c r="S20" i="16"/>
  <c r="S29" i="16"/>
  <c r="T29" i="16" s="1"/>
  <c r="T33" i="16" s="1"/>
  <c r="S111" i="16"/>
  <c r="S107" i="16"/>
  <c r="T107" i="16" s="1"/>
  <c r="T111" i="16" s="1"/>
  <c r="S72" i="16"/>
  <c r="O98" i="16"/>
  <c r="S98" i="16" s="1"/>
  <c r="H41" i="31"/>
  <c r="F126" i="16" l="1"/>
  <c r="C204" i="16" l="1"/>
  <c r="E5" i="13" l="1"/>
  <c r="F2" i="25" l="1"/>
  <c r="E2" i="25"/>
  <c r="E26" i="25" l="1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3" i="25"/>
  <c r="E27" i="25"/>
  <c r="E29" i="25"/>
  <c r="E31" i="25"/>
  <c r="E33" i="25"/>
  <c r="E35" i="25"/>
  <c r="E37" i="25"/>
  <c r="E39" i="25"/>
  <c r="E41" i="25"/>
  <c r="E43" i="25"/>
  <c r="E45" i="25"/>
  <c r="E47" i="25"/>
  <c r="E49" i="25"/>
  <c r="E51" i="25"/>
  <c r="E53" i="25"/>
  <c r="E55" i="25"/>
  <c r="E57" i="25"/>
  <c r="E59" i="25"/>
  <c r="E61" i="25"/>
  <c r="F63" i="25"/>
  <c r="F26" i="25"/>
  <c r="F28" i="25"/>
  <c r="F30" i="25"/>
  <c r="F32" i="25"/>
  <c r="F34" i="25"/>
  <c r="F36" i="25"/>
  <c r="F38" i="25"/>
  <c r="F40" i="25"/>
  <c r="F42" i="25"/>
  <c r="F44" i="25"/>
  <c r="F46" i="25"/>
  <c r="F48" i="25"/>
  <c r="F50" i="25"/>
  <c r="F52" i="25"/>
  <c r="F54" i="25"/>
  <c r="F56" i="25"/>
  <c r="F58" i="25"/>
  <c r="F60" i="25"/>
  <c r="F62" i="25"/>
  <c r="F64" i="25"/>
  <c r="F61" i="25"/>
  <c r="F59" i="25"/>
  <c r="F27" i="25"/>
  <c r="F29" i="25"/>
  <c r="F31" i="25"/>
  <c r="F33" i="25"/>
  <c r="F35" i="25"/>
  <c r="F37" i="25"/>
  <c r="F39" i="25"/>
  <c r="F41" i="25"/>
  <c r="F43" i="25"/>
  <c r="F45" i="25"/>
  <c r="F47" i="25"/>
  <c r="F49" i="25"/>
  <c r="F51" i="25"/>
  <c r="F53" i="25"/>
  <c r="F55" i="25"/>
  <c r="F57" i="25"/>
  <c r="B11" i="33"/>
  <c r="B10" i="33"/>
  <c r="B9" i="33"/>
  <c r="B8" i="33"/>
  <c r="B7" i="33"/>
  <c r="B6" i="33"/>
  <c r="B5" i="33"/>
  <c r="B4" i="33"/>
  <c r="A4" i="14"/>
  <c r="A26" i="25"/>
  <c r="A4" i="25"/>
  <c r="A3" i="31"/>
  <c r="A4" i="16"/>
  <c r="A31" i="13"/>
  <c r="A4" i="13"/>
  <c r="G76" i="31" l="1"/>
  <c r="G63" i="31"/>
  <c r="G50" i="31"/>
  <c r="G37" i="31"/>
  <c r="G24" i="31"/>
  <c r="C76" i="31"/>
  <c r="C50" i="31"/>
  <c r="C24" i="31"/>
  <c r="G11" i="31"/>
  <c r="C11" i="31"/>
  <c r="C19" i="31"/>
  <c r="G19" i="31"/>
  <c r="C72" i="31"/>
  <c r="C71" i="31" s="1"/>
  <c r="G71" i="31"/>
  <c r="G58" i="31"/>
  <c r="C58" i="31"/>
  <c r="G45" i="31"/>
  <c r="C45" i="31"/>
  <c r="G32" i="31"/>
  <c r="C32" i="31"/>
  <c r="G6" i="31"/>
  <c r="C6" i="31"/>
  <c r="G27" i="31" l="1"/>
  <c r="F63" i="31"/>
  <c r="F37" i="31"/>
  <c r="F76" i="31"/>
  <c r="G14" i="31"/>
  <c r="D24" i="31"/>
  <c r="G79" i="31"/>
  <c r="H80" i="31"/>
  <c r="D63" i="31"/>
  <c r="H54" i="31"/>
  <c r="F24" i="31"/>
  <c r="H67" i="31"/>
  <c r="D76" i="31"/>
  <c r="F50" i="31"/>
  <c r="C79" i="31"/>
  <c r="C53" i="31"/>
  <c r="H15" i="31"/>
  <c r="D37" i="31"/>
  <c r="G40" i="31"/>
  <c r="G53" i="31"/>
  <c r="H28" i="31"/>
  <c r="C14" i="31"/>
  <c r="F11" i="31"/>
  <c r="C27" i="31"/>
  <c r="G66" i="31"/>
  <c r="D11" i="31"/>
  <c r="C37" i="31"/>
  <c r="D50" i="31"/>
  <c r="C63" i="31"/>
  <c r="C40" i="31" l="1"/>
  <c r="C66" i="31"/>
  <c r="E70" i="25" l="1"/>
  <c r="E72" i="25"/>
  <c r="E79" i="25" l="1"/>
  <c r="E75" i="25"/>
  <c r="E78" i="25"/>
  <c r="E74" i="25"/>
  <c r="E91" i="25"/>
  <c r="E71" i="25"/>
  <c r="E82" i="25"/>
  <c r="E83" i="25"/>
  <c r="E81" i="25"/>
  <c r="E69" i="25"/>
  <c r="E106" i="25"/>
  <c r="E94" i="25"/>
  <c r="E105" i="25"/>
  <c r="E87" i="25"/>
  <c r="E95" i="25"/>
  <c r="F97" i="25"/>
  <c r="F80" i="25"/>
  <c r="G2" i="25"/>
  <c r="E103" i="25"/>
  <c r="E96" i="25"/>
  <c r="E100" i="25"/>
  <c r="E98" i="25"/>
  <c r="E93" i="25"/>
  <c r="E80" i="25"/>
  <c r="E76" i="25"/>
  <c r="E77" i="25"/>
  <c r="E101" i="25"/>
  <c r="E92" i="25"/>
  <c r="E99" i="25"/>
  <c r="E104" i="25"/>
  <c r="E102" i="25"/>
  <c r="E97" i="25"/>
  <c r="E68" i="25"/>
  <c r="E73" i="25"/>
  <c r="E84" i="25"/>
  <c r="E89" i="25" l="1"/>
  <c r="E4" i="25"/>
  <c r="F71" i="25"/>
  <c r="F95" i="25"/>
  <c r="G48" i="25"/>
  <c r="G43" i="25"/>
  <c r="G46" i="25"/>
  <c r="G51" i="25"/>
  <c r="G55" i="25"/>
  <c r="G59" i="25"/>
  <c r="G63" i="25"/>
  <c r="G47" i="25"/>
  <c r="G52" i="25"/>
  <c r="G56" i="25"/>
  <c r="G60" i="25"/>
  <c r="G64" i="25"/>
  <c r="G49" i="25"/>
  <c r="G57" i="25"/>
  <c r="G44" i="25"/>
  <c r="G50" i="25"/>
  <c r="G58" i="25"/>
  <c r="G61" i="25"/>
  <c r="G30" i="25"/>
  <c r="G34" i="25"/>
  <c r="G38" i="25"/>
  <c r="G42" i="25"/>
  <c r="G36" i="25"/>
  <c r="G40" i="25"/>
  <c r="G29" i="25"/>
  <c r="G33" i="25"/>
  <c r="G45" i="25"/>
  <c r="G62" i="25"/>
  <c r="G27" i="25"/>
  <c r="G31" i="25"/>
  <c r="G35" i="25"/>
  <c r="G39" i="25"/>
  <c r="G26" i="25"/>
  <c r="G53" i="25"/>
  <c r="G28" i="25"/>
  <c r="G32" i="25"/>
  <c r="G54" i="25"/>
  <c r="G37" i="25"/>
  <c r="G41" i="25"/>
  <c r="F74" i="25"/>
  <c r="F92" i="25"/>
  <c r="F82" i="25"/>
  <c r="F78" i="25"/>
  <c r="F75" i="25"/>
  <c r="F72" i="25"/>
  <c r="F100" i="25"/>
  <c r="F101" i="25"/>
  <c r="F105" i="25"/>
  <c r="F103" i="25"/>
  <c r="F98" i="25"/>
  <c r="F93" i="25"/>
  <c r="F96" i="25"/>
  <c r="F104" i="25"/>
  <c r="F91" i="25"/>
  <c r="F70" i="25"/>
  <c r="F83" i="25"/>
  <c r="F77" i="25"/>
  <c r="F69" i="25"/>
  <c r="F76" i="25"/>
  <c r="F79" i="25"/>
  <c r="F102" i="25"/>
  <c r="F73" i="25"/>
  <c r="F81" i="25"/>
  <c r="F84" i="25"/>
  <c r="F106" i="25"/>
  <c r="E90" i="25"/>
  <c r="E85" i="25"/>
  <c r="H2" i="25"/>
  <c r="F68" i="25"/>
  <c r="F99" i="25"/>
  <c r="F94" i="25"/>
  <c r="E88" i="25"/>
  <c r="E86" i="25"/>
  <c r="G4" i="25" l="1"/>
  <c r="G5" i="25" s="1"/>
  <c r="F86" i="25"/>
  <c r="F4" i="25"/>
  <c r="G78" i="25"/>
  <c r="F88" i="25"/>
  <c r="F87" i="25"/>
  <c r="F89" i="25"/>
  <c r="G75" i="25"/>
  <c r="H43" i="25"/>
  <c r="H44" i="25"/>
  <c r="H45" i="25"/>
  <c r="H46" i="25"/>
  <c r="H47" i="25"/>
  <c r="H48" i="25"/>
  <c r="H50" i="25"/>
  <c r="H51" i="25"/>
  <c r="H52" i="25"/>
  <c r="H53" i="25"/>
  <c r="H49" i="25"/>
  <c r="H26" i="25"/>
  <c r="H30" i="25"/>
  <c r="H34" i="25"/>
  <c r="H38" i="25"/>
  <c r="H42" i="25"/>
  <c r="H32" i="25"/>
  <c r="H40" i="25"/>
  <c r="H33" i="25"/>
  <c r="H54" i="25"/>
  <c r="H55" i="25"/>
  <c r="H56" i="25"/>
  <c r="H57" i="25"/>
  <c r="H58" i="25"/>
  <c r="H59" i="25"/>
  <c r="H60" i="25"/>
  <c r="H61" i="25"/>
  <c r="H62" i="25"/>
  <c r="H63" i="25"/>
  <c r="H64" i="25"/>
  <c r="H27" i="25"/>
  <c r="H31" i="25"/>
  <c r="H35" i="25"/>
  <c r="H39" i="25"/>
  <c r="H28" i="25"/>
  <c r="H36" i="25"/>
  <c r="H29" i="25"/>
  <c r="H37" i="25"/>
  <c r="H41" i="25"/>
  <c r="G97" i="25"/>
  <c r="G71" i="25"/>
  <c r="G81" i="25"/>
  <c r="G82" i="25"/>
  <c r="G69" i="25"/>
  <c r="G94" i="25"/>
  <c r="G84" i="25"/>
  <c r="G102" i="25"/>
  <c r="G92" i="25"/>
  <c r="G83" i="25"/>
  <c r="G99" i="25"/>
  <c r="G73" i="25"/>
  <c r="G80" i="25"/>
  <c r="G86" i="25"/>
  <c r="G105" i="25"/>
  <c r="G96" i="25"/>
  <c r="G103" i="25"/>
  <c r="G68" i="25"/>
  <c r="G77" i="25"/>
  <c r="G93" i="25"/>
  <c r="G106" i="25"/>
  <c r="G100" i="25"/>
  <c r="G91" i="25"/>
  <c r="G6" i="25" s="1"/>
  <c r="G70" i="25"/>
  <c r="I2" i="25"/>
  <c r="G72" i="25"/>
  <c r="G74" i="25"/>
  <c r="G76" i="25"/>
  <c r="G79" i="25"/>
  <c r="G98" i="25"/>
  <c r="G101" i="25"/>
  <c r="G88" i="25"/>
  <c r="G104" i="25"/>
  <c r="G95" i="25"/>
  <c r="F85" i="25"/>
  <c r="F90" i="25"/>
  <c r="H102" i="25" l="1"/>
  <c r="H4" i="25"/>
  <c r="H5" i="25" s="1"/>
  <c r="H91" i="25"/>
  <c r="H6" i="25" s="1"/>
  <c r="I43" i="25"/>
  <c r="I4" i="25" s="1"/>
  <c r="I5" i="25" s="1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44" i="25"/>
  <c r="I45" i="25"/>
  <c r="I46" i="25"/>
  <c r="I47" i="25"/>
  <c r="I48" i="25"/>
  <c r="I27" i="25"/>
  <c r="I32" i="25"/>
  <c r="I36" i="25"/>
  <c r="I49" i="25"/>
  <c r="I26" i="25"/>
  <c r="I31" i="25"/>
  <c r="I35" i="25"/>
  <c r="I39" i="25"/>
  <c r="I34" i="25"/>
  <c r="I29" i="25"/>
  <c r="I28" i="25"/>
  <c r="I33" i="25"/>
  <c r="I42" i="25"/>
  <c r="I30" i="25"/>
  <c r="I38" i="25"/>
  <c r="I41" i="25"/>
  <c r="I37" i="25"/>
  <c r="I40" i="25"/>
  <c r="G7" i="25"/>
  <c r="G8" i="25" s="1"/>
  <c r="G89" i="25"/>
  <c r="H95" i="25"/>
  <c r="H103" i="25"/>
  <c r="H72" i="25"/>
  <c r="H73" i="25"/>
  <c r="H80" i="25"/>
  <c r="H71" i="25"/>
  <c r="H81" i="25"/>
  <c r="H98" i="25"/>
  <c r="H105" i="25"/>
  <c r="H96" i="25"/>
  <c r="H79" i="25"/>
  <c r="H94" i="25"/>
  <c r="H99" i="25"/>
  <c r="H7" i="25" s="1"/>
  <c r="G87" i="25"/>
  <c r="H76" i="25"/>
  <c r="J2" i="25"/>
  <c r="H83" i="25"/>
  <c r="H70" i="25"/>
  <c r="H87" i="25"/>
  <c r="H93" i="25"/>
  <c r="H84" i="25"/>
  <c r="H100" i="25"/>
  <c r="H89" i="25"/>
  <c r="H86" i="25"/>
  <c r="H75" i="25"/>
  <c r="H69" i="25"/>
  <c r="H74" i="25"/>
  <c r="H97" i="25"/>
  <c r="H88" i="25"/>
  <c r="H104" i="25"/>
  <c r="H68" i="25"/>
  <c r="H78" i="25"/>
  <c r="H77" i="25"/>
  <c r="H82" i="25"/>
  <c r="H106" i="25"/>
  <c r="H101" i="25"/>
  <c r="H92" i="25"/>
  <c r="G85" i="25"/>
  <c r="G90" i="25"/>
  <c r="H8" i="25" l="1"/>
  <c r="I96" i="25"/>
  <c r="I103" i="25"/>
  <c r="J44" i="25"/>
  <c r="J45" i="25"/>
  <c r="J46" i="25"/>
  <c r="J47" i="25"/>
  <c r="J48" i="25"/>
  <c r="J49" i="25"/>
  <c r="J43" i="25"/>
  <c r="J4" i="25" s="1"/>
  <c r="J5" i="25" s="1"/>
  <c r="J26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28" i="25"/>
  <c r="J29" i="25"/>
  <c r="J33" i="25"/>
  <c r="J37" i="25"/>
  <c r="J27" i="25"/>
  <c r="J32" i="25"/>
  <c r="J36" i="25"/>
  <c r="J35" i="25"/>
  <c r="J40" i="25"/>
  <c r="J30" i="25"/>
  <c r="J34" i="25"/>
  <c r="J31" i="25"/>
  <c r="J39" i="25"/>
  <c r="J42" i="25"/>
  <c r="J38" i="25"/>
  <c r="J41" i="25"/>
  <c r="I91" i="25"/>
  <c r="I99" i="25"/>
  <c r="I94" i="25"/>
  <c r="I100" i="25"/>
  <c r="I104" i="25"/>
  <c r="I102" i="25"/>
  <c r="I97" i="25"/>
  <c r="I68" i="25"/>
  <c r="I73" i="25"/>
  <c r="I89" i="25"/>
  <c r="K2" i="25"/>
  <c r="I84" i="25"/>
  <c r="I82" i="25"/>
  <c r="I106" i="25"/>
  <c r="I101" i="25"/>
  <c r="I81" i="25"/>
  <c r="I80" i="25"/>
  <c r="I77" i="25"/>
  <c r="I74" i="25"/>
  <c r="I83" i="25"/>
  <c r="I87" i="25"/>
  <c r="I105" i="25"/>
  <c r="I69" i="25"/>
  <c r="I76" i="25"/>
  <c r="I78" i="25"/>
  <c r="I71" i="25"/>
  <c r="H85" i="25"/>
  <c r="H90" i="25"/>
  <c r="I79" i="25"/>
  <c r="I72" i="25"/>
  <c r="I70" i="25"/>
  <c r="I75" i="25"/>
  <c r="I92" i="25"/>
  <c r="I95" i="25"/>
  <c r="I98" i="25"/>
  <c r="I93" i="25"/>
  <c r="I18" i="25" l="1"/>
  <c r="J100" i="25"/>
  <c r="J95" i="25"/>
  <c r="J101" i="25"/>
  <c r="J97" i="25"/>
  <c r="J102" i="25"/>
  <c r="J91" i="25"/>
  <c r="J6" i="25" s="1"/>
  <c r="I16" i="25"/>
  <c r="I17" i="25"/>
  <c r="I7" i="25"/>
  <c r="I15" i="25"/>
  <c r="I6" i="25"/>
  <c r="I14" i="25"/>
  <c r="I13" i="25"/>
  <c r="J77" i="25"/>
  <c r="J73" i="25"/>
  <c r="J80" i="25"/>
  <c r="K44" i="25"/>
  <c r="K45" i="25"/>
  <c r="K46" i="25"/>
  <c r="K47" i="25"/>
  <c r="K48" i="25"/>
  <c r="K49" i="25"/>
  <c r="K27" i="25"/>
  <c r="K43" i="25"/>
  <c r="K4" i="25" s="1"/>
  <c r="K5" i="25" s="1"/>
  <c r="K26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30" i="25"/>
  <c r="K34" i="25"/>
  <c r="K38" i="25"/>
  <c r="K28" i="25"/>
  <c r="K29" i="25"/>
  <c r="K33" i="25"/>
  <c r="K37" i="25"/>
  <c r="K36" i="25"/>
  <c r="K41" i="25"/>
  <c r="K31" i="25"/>
  <c r="K35" i="25"/>
  <c r="K40" i="25"/>
  <c r="K32" i="25"/>
  <c r="K39" i="25"/>
  <c r="K42" i="25"/>
  <c r="I88" i="25"/>
  <c r="J78" i="25"/>
  <c r="J96" i="25"/>
  <c r="J93" i="25"/>
  <c r="J104" i="25"/>
  <c r="J92" i="25"/>
  <c r="J105" i="25"/>
  <c r="J68" i="25"/>
  <c r="J106" i="25"/>
  <c r="J89" i="25"/>
  <c r="J82" i="25"/>
  <c r="J74" i="25"/>
  <c r="J84" i="25"/>
  <c r="J72" i="25"/>
  <c r="J83" i="25"/>
  <c r="J99" i="25"/>
  <c r="J7" i="25" s="1"/>
  <c r="J94" i="25"/>
  <c r="I90" i="25"/>
  <c r="I85" i="25"/>
  <c r="J70" i="25"/>
  <c r="J81" i="25"/>
  <c r="L2" i="25"/>
  <c r="J75" i="25"/>
  <c r="J69" i="25"/>
  <c r="J71" i="25"/>
  <c r="J76" i="25"/>
  <c r="J79" i="25"/>
  <c r="J103" i="25"/>
  <c r="J98" i="25"/>
  <c r="I86" i="25"/>
  <c r="J8" i="25" l="1"/>
  <c r="I19" i="25"/>
  <c r="I8" i="25"/>
  <c r="K101" i="25"/>
  <c r="L43" i="25"/>
  <c r="L4" i="25" s="1"/>
  <c r="L5" i="25" s="1"/>
  <c r="L44" i="25"/>
  <c r="L45" i="25"/>
  <c r="L46" i="25"/>
  <c r="L47" i="25"/>
  <c r="L48" i="25"/>
  <c r="L49" i="25"/>
  <c r="L28" i="25"/>
  <c r="L31" i="25"/>
  <c r="L35" i="25"/>
  <c r="L3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30" i="25"/>
  <c r="L34" i="25"/>
  <c r="L38" i="25"/>
  <c r="L29" i="25"/>
  <c r="L37" i="25"/>
  <c r="L42" i="25"/>
  <c r="L32" i="25"/>
  <c r="L36" i="25"/>
  <c r="L41" i="25"/>
  <c r="L26" i="25"/>
  <c r="L27" i="25"/>
  <c r="L33" i="25"/>
  <c r="L40" i="25"/>
  <c r="K97" i="25"/>
  <c r="K104" i="25"/>
  <c r="K95" i="25"/>
  <c r="K93" i="25"/>
  <c r="K78" i="25"/>
  <c r="K72" i="25"/>
  <c r="K84" i="25"/>
  <c r="J87" i="25"/>
  <c r="K75" i="25"/>
  <c r="K76" i="25"/>
  <c r="K70" i="25"/>
  <c r="K81" i="25"/>
  <c r="K88" i="25"/>
  <c r="K98" i="25"/>
  <c r="K92" i="25"/>
  <c r="K83" i="25"/>
  <c r="K99" i="25"/>
  <c r="K7" i="25" s="1"/>
  <c r="J86" i="25"/>
  <c r="K68" i="25"/>
  <c r="K82" i="25"/>
  <c r="K74" i="25"/>
  <c r="K69" i="25"/>
  <c r="K106" i="25"/>
  <c r="K94" i="25"/>
  <c r="K102" i="25"/>
  <c r="K96" i="25"/>
  <c r="K103" i="25"/>
  <c r="K71" i="25"/>
  <c r="K77" i="25"/>
  <c r="J85" i="25"/>
  <c r="J90" i="25"/>
  <c r="M2" i="25"/>
  <c r="K79" i="25"/>
  <c r="K73" i="25"/>
  <c r="K80" i="25"/>
  <c r="K105" i="25"/>
  <c r="K100" i="25"/>
  <c r="K91" i="25"/>
  <c r="K6" i="25" s="1"/>
  <c r="J88" i="25"/>
  <c r="M43" i="25" l="1"/>
  <c r="M4" i="25" s="1"/>
  <c r="M5" i="25" s="1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49" i="25"/>
  <c r="M45" i="25"/>
  <c r="M47" i="25"/>
  <c r="M32" i="25"/>
  <c r="M36" i="25"/>
  <c r="M31" i="25"/>
  <c r="M35" i="25"/>
  <c r="M46" i="25"/>
  <c r="M30" i="25"/>
  <c r="M38" i="25"/>
  <c r="M39" i="25"/>
  <c r="M26" i="25"/>
  <c r="M27" i="25"/>
  <c r="M33" i="25"/>
  <c r="M40" i="25"/>
  <c r="M29" i="25"/>
  <c r="M37" i="25"/>
  <c r="M42" i="25"/>
  <c r="M44" i="25"/>
  <c r="M48" i="25"/>
  <c r="M28" i="25"/>
  <c r="M34" i="25"/>
  <c r="M41" i="25"/>
  <c r="K8" i="25"/>
  <c r="L78" i="25"/>
  <c r="L77" i="25"/>
  <c r="L74" i="25"/>
  <c r="L81" i="25"/>
  <c r="K89" i="25"/>
  <c r="L105" i="25"/>
  <c r="L96" i="25"/>
  <c r="K87" i="25"/>
  <c r="L68" i="25"/>
  <c r="L80" i="25"/>
  <c r="L71" i="25"/>
  <c r="L73" i="25"/>
  <c r="L79" i="25"/>
  <c r="L91" i="25"/>
  <c r="L6" i="25" s="1"/>
  <c r="L87" i="25"/>
  <c r="L93" i="25"/>
  <c r="L84" i="25"/>
  <c r="L72" i="25"/>
  <c r="L95" i="25"/>
  <c r="L75" i="25"/>
  <c r="N2" i="25"/>
  <c r="L83" i="25"/>
  <c r="L99" i="25"/>
  <c r="L7" i="25" s="1"/>
  <c r="L94" i="25"/>
  <c r="L97" i="25"/>
  <c r="L88" i="25"/>
  <c r="L104" i="25"/>
  <c r="L76" i="25"/>
  <c r="L69" i="25"/>
  <c r="L82" i="25"/>
  <c r="L70" i="25"/>
  <c r="L98" i="25"/>
  <c r="L102" i="25"/>
  <c r="L103" i="25"/>
  <c r="L101" i="25"/>
  <c r="L92" i="25"/>
  <c r="K85" i="25"/>
  <c r="K90" i="25"/>
  <c r="L106" i="25"/>
  <c r="L100" i="25"/>
  <c r="K86" i="25"/>
  <c r="M93" i="25" l="1"/>
  <c r="M69" i="25"/>
  <c r="M98" i="25"/>
  <c r="M94" i="25"/>
  <c r="M74" i="25"/>
  <c r="M70" i="25"/>
  <c r="N43" i="25"/>
  <c r="N4" i="25" s="1"/>
  <c r="N5" i="25" s="1"/>
  <c r="N50" i="25"/>
  <c r="N51" i="25"/>
  <c r="N52" i="25"/>
  <c r="N26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27" i="25"/>
  <c r="N29" i="25"/>
  <c r="N33" i="25"/>
  <c r="N37" i="25"/>
  <c r="N45" i="25"/>
  <c r="N47" i="25"/>
  <c r="N32" i="25"/>
  <c r="N36" i="25"/>
  <c r="N31" i="25"/>
  <c r="N40" i="25"/>
  <c r="N42" i="25"/>
  <c r="N48" i="25"/>
  <c r="N34" i="25"/>
  <c r="N41" i="25"/>
  <c r="N46" i="25"/>
  <c r="N30" i="25"/>
  <c r="N38" i="25"/>
  <c r="N39" i="25"/>
  <c r="N49" i="25"/>
  <c r="N35" i="25"/>
  <c r="N44" i="25"/>
  <c r="N28" i="25"/>
  <c r="M91" i="25"/>
  <c r="M6" i="25" s="1"/>
  <c r="M80" i="25"/>
  <c r="M75" i="25"/>
  <c r="M99" i="25"/>
  <c r="M7" i="25" s="1"/>
  <c r="L8" i="25"/>
  <c r="M77" i="25"/>
  <c r="M83" i="25"/>
  <c r="M96" i="25"/>
  <c r="M103" i="25"/>
  <c r="M95" i="25"/>
  <c r="M92" i="25"/>
  <c r="M100" i="25"/>
  <c r="M82" i="25"/>
  <c r="M84" i="25"/>
  <c r="M72" i="25"/>
  <c r="M87" i="25"/>
  <c r="M104" i="25"/>
  <c r="M102" i="25"/>
  <c r="M97" i="25"/>
  <c r="L85" i="25"/>
  <c r="L90" i="25"/>
  <c r="M68" i="25"/>
  <c r="M79" i="25"/>
  <c r="O2" i="25"/>
  <c r="M106" i="25"/>
  <c r="M101" i="25"/>
  <c r="L86" i="25"/>
  <c r="L89" i="25"/>
  <c r="M73" i="25"/>
  <c r="M76" i="25"/>
  <c r="M81" i="25"/>
  <c r="M71" i="25"/>
  <c r="M78" i="25"/>
  <c r="M105" i="25"/>
  <c r="N77" i="25" l="1"/>
  <c r="N81" i="25"/>
  <c r="N71" i="25"/>
  <c r="N95" i="25"/>
  <c r="N91" i="25"/>
  <c r="N6" i="25" s="1"/>
  <c r="N105" i="25"/>
  <c r="N96" i="25"/>
  <c r="N93" i="25"/>
  <c r="O44" i="25"/>
  <c r="O45" i="25"/>
  <c r="O46" i="25"/>
  <c r="O47" i="25"/>
  <c r="O48" i="25"/>
  <c r="O49" i="25"/>
  <c r="O27" i="25"/>
  <c r="O50" i="25"/>
  <c r="O51" i="25"/>
  <c r="O52" i="25"/>
  <c r="O26" i="25"/>
  <c r="O43" i="25"/>
  <c r="O4" i="25" s="1"/>
  <c r="O5" i="25" s="1"/>
  <c r="O28" i="25"/>
  <c r="O30" i="25"/>
  <c r="O34" i="25"/>
  <c r="O38" i="25"/>
  <c r="O29" i="25"/>
  <c r="O33" i="25"/>
  <c r="O37" i="25"/>
  <c r="O32" i="25"/>
  <c r="O41" i="25"/>
  <c r="O35" i="25"/>
  <c r="O42" i="25"/>
  <c r="O31" i="25"/>
  <c r="O40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36" i="25"/>
  <c r="O39" i="25"/>
  <c r="M8" i="25"/>
  <c r="M89" i="25"/>
  <c r="M88" i="25"/>
  <c r="N84" i="25"/>
  <c r="N78" i="25"/>
  <c r="N70" i="25"/>
  <c r="N69" i="25"/>
  <c r="N76" i="25"/>
  <c r="N83" i="25"/>
  <c r="N75" i="25"/>
  <c r="N74" i="25"/>
  <c r="N92" i="25"/>
  <c r="N101" i="25"/>
  <c r="N97" i="25"/>
  <c r="N99" i="25"/>
  <c r="N7" i="25" s="1"/>
  <c r="N100" i="25"/>
  <c r="N72" i="25"/>
  <c r="N79" i="25"/>
  <c r="N104" i="25"/>
  <c r="N103" i="25"/>
  <c r="N98" i="25"/>
  <c r="N89" i="25"/>
  <c r="N102" i="25"/>
  <c r="M90" i="25"/>
  <c r="M85" i="25"/>
  <c r="P2" i="25"/>
  <c r="N73" i="25"/>
  <c r="N80" i="25"/>
  <c r="N106" i="25"/>
  <c r="M86" i="25"/>
  <c r="N87" i="25"/>
  <c r="N68" i="25"/>
  <c r="N82" i="25"/>
  <c r="N94" i="25"/>
  <c r="O84" i="25" l="1"/>
  <c r="O71" i="25"/>
  <c r="O76" i="25"/>
  <c r="N8" i="25"/>
  <c r="O83" i="25"/>
  <c r="O77" i="25"/>
  <c r="O94" i="25"/>
  <c r="O72" i="25"/>
  <c r="P44" i="25"/>
  <c r="P45" i="25"/>
  <c r="P46" i="25"/>
  <c r="P47" i="25"/>
  <c r="P48" i="25"/>
  <c r="P49" i="25"/>
  <c r="P28" i="25"/>
  <c r="P26" i="25"/>
  <c r="P31" i="25"/>
  <c r="P35" i="25"/>
  <c r="P39" i="25"/>
  <c r="P43" i="25"/>
  <c r="P4" i="25" s="1"/>
  <c r="P5" i="25" s="1"/>
  <c r="P27" i="25"/>
  <c r="P30" i="25"/>
  <c r="P34" i="25"/>
  <c r="P38" i="25"/>
  <c r="P50" i="25"/>
  <c r="P52" i="25"/>
  <c r="P33" i="25"/>
  <c r="P42" i="25"/>
  <c r="P36" i="25"/>
  <c r="P32" i="25"/>
  <c r="P41" i="25"/>
  <c r="P51" i="25"/>
  <c r="P29" i="25"/>
  <c r="P37" i="25"/>
  <c r="P40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O70" i="25"/>
  <c r="O78" i="25"/>
  <c r="Q2" i="25"/>
  <c r="O101" i="25"/>
  <c r="O103" i="25"/>
  <c r="N90" i="25"/>
  <c r="N85" i="25"/>
  <c r="O99" i="25"/>
  <c r="O7" i="25" s="1"/>
  <c r="O102" i="25"/>
  <c r="O96" i="25"/>
  <c r="O82" i="25"/>
  <c r="O75" i="25"/>
  <c r="O74" i="25"/>
  <c r="O69" i="25"/>
  <c r="O97" i="25"/>
  <c r="O105" i="25"/>
  <c r="O106" i="25"/>
  <c r="O100" i="25"/>
  <c r="O91" i="25"/>
  <c r="O6" i="25" s="1"/>
  <c r="N86" i="25"/>
  <c r="O92" i="25"/>
  <c r="O98" i="25"/>
  <c r="O68" i="25"/>
  <c r="O79" i="25"/>
  <c r="O81" i="25"/>
  <c r="O73" i="25"/>
  <c r="O80" i="25"/>
  <c r="O93" i="25"/>
  <c r="O104" i="25"/>
  <c r="O95" i="25"/>
  <c r="N88" i="25"/>
  <c r="P91" i="25" l="1"/>
  <c r="P6" i="25" s="1"/>
  <c r="P94" i="25"/>
  <c r="O8" i="25"/>
  <c r="Q43" i="25"/>
  <c r="Q4" i="25" s="1"/>
  <c r="Q5" i="25" s="1"/>
  <c r="Q50" i="25"/>
  <c r="Q51" i="25"/>
  <c r="Q52" i="25"/>
  <c r="Q44" i="25"/>
  <c r="Q45" i="25"/>
  <c r="Q46" i="25"/>
  <c r="Q47" i="25"/>
  <c r="Q48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32" i="25"/>
  <c r="Q36" i="25"/>
  <c r="Q26" i="25"/>
  <c r="Q28" i="25"/>
  <c r="Q31" i="25"/>
  <c r="Q35" i="25"/>
  <c r="Q27" i="25"/>
  <c r="Q34" i="25"/>
  <c r="Q37" i="25"/>
  <c r="Q39" i="25"/>
  <c r="Q33" i="25"/>
  <c r="Q42" i="25"/>
  <c r="Q30" i="25"/>
  <c r="Q38" i="25"/>
  <c r="Q41" i="25"/>
  <c r="Q49" i="25"/>
  <c r="Q29" i="25"/>
  <c r="Q40" i="25"/>
  <c r="P92" i="25"/>
  <c r="P98" i="25"/>
  <c r="P106" i="25"/>
  <c r="P101" i="25"/>
  <c r="O85" i="25"/>
  <c r="O90" i="25"/>
  <c r="P86" i="25"/>
  <c r="P80" i="25"/>
  <c r="P74" i="25"/>
  <c r="P95" i="25"/>
  <c r="P99" i="25"/>
  <c r="P7" i="25" s="1"/>
  <c r="P105" i="25"/>
  <c r="P96" i="25"/>
  <c r="P70" i="25"/>
  <c r="O86" i="25"/>
  <c r="O89" i="25"/>
  <c r="O87" i="25"/>
  <c r="P75" i="25"/>
  <c r="O88" i="25"/>
  <c r="P73" i="25"/>
  <c r="P76" i="25"/>
  <c r="P79" i="25"/>
  <c r="R2" i="25"/>
  <c r="P83" i="25"/>
  <c r="P102" i="25"/>
  <c r="P93" i="25"/>
  <c r="P84" i="25"/>
  <c r="P100" i="25"/>
  <c r="P68" i="25"/>
  <c r="P78" i="25"/>
  <c r="P69" i="25"/>
  <c r="P72" i="25"/>
  <c r="P77" i="25"/>
  <c r="P82" i="25"/>
  <c r="P71" i="25"/>
  <c r="P81" i="25"/>
  <c r="P103" i="25"/>
  <c r="P97" i="25"/>
  <c r="P104" i="25"/>
  <c r="P8" i="25" l="1"/>
  <c r="Q92" i="25"/>
  <c r="Q103" i="25"/>
  <c r="Q73" i="25"/>
  <c r="Q69" i="25"/>
  <c r="R43" i="25"/>
  <c r="R4" i="25" s="1"/>
  <c r="R5" i="25" s="1"/>
  <c r="R44" i="25"/>
  <c r="R45" i="25"/>
  <c r="R46" i="25"/>
  <c r="R47" i="25"/>
  <c r="R48" i="25"/>
  <c r="R49" i="25"/>
  <c r="R26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29" i="25"/>
  <c r="R33" i="25"/>
  <c r="R37" i="25"/>
  <c r="R32" i="25"/>
  <c r="R36" i="25"/>
  <c r="R28" i="25"/>
  <c r="R35" i="25"/>
  <c r="R39" i="25"/>
  <c r="R40" i="25"/>
  <c r="R51" i="25"/>
  <c r="R38" i="25"/>
  <c r="R50" i="25"/>
  <c r="R52" i="25"/>
  <c r="R27" i="25"/>
  <c r="R34" i="25"/>
  <c r="R31" i="25"/>
  <c r="R42" i="25"/>
  <c r="R30" i="25"/>
  <c r="R41" i="25"/>
  <c r="Q70" i="25"/>
  <c r="Q100" i="25"/>
  <c r="Q94" i="25"/>
  <c r="Q91" i="25"/>
  <c r="Q6" i="25" s="1"/>
  <c r="Q96" i="25"/>
  <c r="Q99" i="25"/>
  <c r="Q7" i="25" s="1"/>
  <c r="Q104" i="25"/>
  <c r="Q76" i="25"/>
  <c r="Q77" i="25"/>
  <c r="Q80" i="25"/>
  <c r="Q83" i="25"/>
  <c r="Q74" i="25"/>
  <c r="Q71" i="25"/>
  <c r="Q84" i="25"/>
  <c r="Q95" i="25"/>
  <c r="Q102" i="25"/>
  <c r="Q97" i="25"/>
  <c r="P87" i="25"/>
  <c r="Q68" i="25"/>
  <c r="Q75" i="25"/>
  <c r="Q106" i="25"/>
  <c r="Q101" i="25"/>
  <c r="P85" i="25"/>
  <c r="P90" i="25"/>
  <c r="Q72" i="25"/>
  <c r="Q79" i="25"/>
  <c r="Q78" i="25"/>
  <c r="Q105" i="25"/>
  <c r="P88" i="25"/>
  <c r="S2" i="25"/>
  <c r="Q81" i="25"/>
  <c r="Q82" i="25"/>
  <c r="Q87" i="25"/>
  <c r="Q98" i="25"/>
  <c r="Q93" i="25"/>
  <c r="P89" i="25"/>
  <c r="R73" i="25" l="1"/>
  <c r="R81" i="25"/>
  <c r="R93" i="25"/>
  <c r="R74" i="25"/>
  <c r="R78" i="25"/>
  <c r="R92" i="25"/>
  <c r="R96" i="25"/>
  <c r="R100" i="25"/>
  <c r="R97" i="25"/>
  <c r="R95" i="25"/>
  <c r="R91" i="25"/>
  <c r="R6" i="25" s="1"/>
  <c r="R69" i="25"/>
  <c r="R80" i="25"/>
  <c r="Q8" i="25"/>
  <c r="R70" i="25"/>
  <c r="R71" i="25"/>
  <c r="R82" i="25"/>
  <c r="S44" i="25"/>
  <c r="S45" i="25"/>
  <c r="S46" i="25"/>
  <c r="S47" i="25"/>
  <c r="S48" i="25"/>
  <c r="S49" i="25"/>
  <c r="S43" i="25"/>
  <c r="S4" i="25" s="1"/>
  <c r="S5" i="25" s="1"/>
  <c r="S50" i="25"/>
  <c r="S51" i="25"/>
  <c r="S52" i="25"/>
  <c r="S27" i="25"/>
  <c r="S26" i="25"/>
  <c r="S68" i="25" s="1"/>
  <c r="S53" i="25"/>
  <c r="S54" i="25"/>
  <c r="S55" i="25"/>
  <c r="S56" i="25"/>
  <c r="S57" i="25"/>
  <c r="S58" i="25"/>
  <c r="S59" i="25"/>
  <c r="S60" i="25"/>
  <c r="S61" i="25"/>
  <c r="S62" i="25"/>
  <c r="S63" i="25"/>
  <c r="S64" i="25"/>
  <c r="S30" i="25"/>
  <c r="S34" i="25"/>
  <c r="S38" i="25"/>
  <c r="S29" i="25"/>
  <c r="S33" i="25"/>
  <c r="S37" i="25"/>
  <c r="S36" i="25"/>
  <c r="S41" i="25"/>
  <c r="S28" i="25"/>
  <c r="S35" i="25"/>
  <c r="S39" i="25"/>
  <c r="S40" i="25"/>
  <c r="S32" i="25"/>
  <c r="S31" i="25"/>
  <c r="S42" i="25"/>
  <c r="R75" i="25"/>
  <c r="R79" i="25"/>
  <c r="Q89" i="25"/>
  <c r="R99" i="25"/>
  <c r="R7" i="25" s="1"/>
  <c r="R104" i="25"/>
  <c r="R101" i="25"/>
  <c r="R94" i="25"/>
  <c r="R105" i="25"/>
  <c r="Q90" i="25"/>
  <c r="Q85" i="25"/>
  <c r="R68" i="25"/>
  <c r="R84" i="25"/>
  <c r="R103" i="25"/>
  <c r="R98" i="25"/>
  <c r="R83" i="25"/>
  <c r="R72" i="25"/>
  <c r="R89" i="25"/>
  <c r="R102" i="25"/>
  <c r="Q86" i="25"/>
  <c r="R77" i="25"/>
  <c r="R88" i="25"/>
  <c r="R76" i="25"/>
  <c r="R106" i="25"/>
  <c r="Q88" i="25"/>
  <c r="S70" i="25" l="1"/>
  <c r="S71" i="25"/>
  <c r="S69" i="25"/>
  <c r="S79" i="25"/>
  <c r="R8" i="25"/>
  <c r="S75" i="25"/>
  <c r="T43" i="25"/>
  <c r="T4" i="25" s="1"/>
  <c r="T5" i="25" s="1"/>
  <c r="T28" i="25"/>
  <c r="T44" i="25"/>
  <c r="T45" i="25"/>
  <c r="T46" i="25"/>
  <c r="T47" i="25"/>
  <c r="T48" i="25"/>
  <c r="T49" i="25"/>
  <c r="T50" i="25"/>
  <c r="T51" i="25"/>
  <c r="T52" i="25"/>
  <c r="T27" i="25"/>
  <c r="T31" i="25"/>
  <c r="T35" i="25"/>
  <c r="T39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30" i="25"/>
  <c r="T34" i="25"/>
  <c r="T38" i="25"/>
  <c r="T26" i="25"/>
  <c r="T29" i="25"/>
  <c r="T37" i="25"/>
  <c r="T42" i="25"/>
  <c r="T36" i="25"/>
  <c r="T41" i="25"/>
  <c r="T33" i="25"/>
  <c r="T40" i="25"/>
  <c r="T32" i="25"/>
  <c r="X43" i="25"/>
  <c r="X4" i="25" s="1"/>
  <c r="X5" i="25" s="1"/>
  <c r="X49" i="25"/>
  <c r="X50" i="25"/>
  <c r="X51" i="25"/>
  <c r="X52" i="25"/>
  <c r="X44" i="25"/>
  <c r="X46" i="25"/>
  <c r="X48" i="25"/>
  <c r="X26" i="25"/>
  <c r="X31" i="25"/>
  <c r="X35" i="25"/>
  <c r="X39" i="25"/>
  <c r="X30" i="25"/>
  <c r="X34" i="25"/>
  <c r="X38" i="25"/>
  <c r="X47" i="25"/>
  <c r="X33" i="25"/>
  <c r="X42" i="25"/>
  <c r="X28" i="25"/>
  <c r="X53" i="25"/>
  <c r="X54" i="25"/>
  <c r="X55" i="25"/>
  <c r="X56" i="25"/>
  <c r="X57" i="25"/>
  <c r="X58" i="25"/>
  <c r="X59" i="25"/>
  <c r="X60" i="25"/>
  <c r="X61" i="25"/>
  <c r="X62" i="25"/>
  <c r="X63" i="25"/>
  <c r="X64" i="25"/>
  <c r="X32" i="25"/>
  <c r="X41" i="25"/>
  <c r="X45" i="25"/>
  <c r="X29" i="25"/>
  <c r="X37" i="25"/>
  <c r="X40" i="25"/>
  <c r="X27" i="25"/>
  <c r="X36" i="25"/>
  <c r="S101" i="25"/>
  <c r="S93" i="25"/>
  <c r="S72" i="25"/>
  <c r="S78" i="25"/>
  <c r="S82" i="25"/>
  <c r="S94" i="25"/>
  <c r="S102" i="25"/>
  <c r="S92" i="25"/>
  <c r="S83" i="25"/>
  <c r="S99" i="25"/>
  <c r="S89" i="25"/>
  <c r="S84" i="25"/>
  <c r="S105" i="25"/>
  <c r="S96" i="25"/>
  <c r="S103" i="25"/>
  <c r="R85" i="25"/>
  <c r="R90" i="25"/>
  <c r="S73" i="25"/>
  <c r="S97" i="25"/>
  <c r="S106" i="25"/>
  <c r="S100" i="25"/>
  <c r="S91" i="25"/>
  <c r="S6" i="25" s="1"/>
  <c r="Y2" i="25"/>
  <c r="AC2" i="25"/>
  <c r="R86" i="25"/>
  <c r="R87" i="25"/>
  <c r="U2" i="25"/>
  <c r="S81" i="25"/>
  <c r="S74" i="25"/>
  <c r="S76" i="25"/>
  <c r="S77" i="25"/>
  <c r="S80" i="25"/>
  <c r="S98" i="25"/>
  <c r="S88" i="25"/>
  <c r="S104" i="25"/>
  <c r="S95" i="25"/>
  <c r="X105" i="25" l="1"/>
  <c r="T104" i="25"/>
  <c r="X91" i="25"/>
  <c r="X6" i="25" s="1"/>
  <c r="X102" i="25"/>
  <c r="X94" i="25"/>
  <c r="AC43" i="25"/>
  <c r="AC4" i="25" s="1"/>
  <c r="AC5" i="25" s="1"/>
  <c r="AC49" i="25"/>
  <c r="AC50" i="25"/>
  <c r="AC51" i="25"/>
  <c r="AC52" i="25"/>
  <c r="AC44" i="25"/>
  <c r="AC45" i="25"/>
  <c r="AC46" i="25"/>
  <c r="AC47" i="25"/>
  <c r="AC48" i="25"/>
  <c r="AC53" i="25"/>
  <c r="AC54" i="25"/>
  <c r="AC55" i="25"/>
  <c r="AC56" i="25"/>
  <c r="AC57" i="25"/>
  <c r="AC58" i="25"/>
  <c r="AC59" i="25"/>
  <c r="AC60" i="25"/>
  <c r="AC61" i="25"/>
  <c r="AC62" i="25"/>
  <c r="AC63" i="25"/>
  <c r="AC64" i="25"/>
  <c r="AC28" i="25"/>
  <c r="AC32" i="25"/>
  <c r="AC36" i="25"/>
  <c r="AC31" i="25"/>
  <c r="AC35" i="25"/>
  <c r="AC30" i="25"/>
  <c r="AC38" i="25"/>
  <c r="AC39" i="25"/>
  <c r="AC41" i="25"/>
  <c r="AC33" i="25"/>
  <c r="AC40" i="25"/>
  <c r="AC27" i="25"/>
  <c r="AC29" i="25"/>
  <c r="AC37" i="25"/>
  <c r="AC42" i="25"/>
  <c r="AC34" i="25"/>
  <c r="AC26" i="25"/>
  <c r="Y43" i="25"/>
  <c r="Y4" i="25" s="1"/>
  <c r="Y5" i="25" s="1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27" i="25"/>
  <c r="Y28" i="25"/>
  <c r="Y32" i="25"/>
  <c r="Y36" i="25"/>
  <c r="Y44" i="25"/>
  <c r="Y46" i="25"/>
  <c r="Y48" i="25"/>
  <c r="Y26" i="25"/>
  <c r="Y31" i="25"/>
  <c r="Y35" i="25"/>
  <c r="Y34" i="25"/>
  <c r="Y45" i="25"/>
  <c r="Y29" i="25"/>
  <c r="Y47" i="25"/>
  <c r="Y33" i="25"/>
  <c r="Y39" i="25"/>
  <c r="Y42" i="25"/>
  <c r="Y30" i="25"/>
  <c r="Y38" i="25"/>
  <c r="Y41" i="25"/>
  <c r="Y37" i="25"/>
  <c r="Y40" i="25"/>
  <c r="J16" i="25"/>
  <c r="U43" i="25"/>
  <c r="U4" i="25" s="1"/>
  <c r="U5" i="25" s="1"/>
  <c r="U44" i="25"/>
  <c r="U45" i="25"/>
  <c r="U46" i="25"/>
  <c r="U47" i="25"/>
  <c r="U48" i="25"/>
  <c r="U49" i="25"/>
  <c r="U50" i="25"/>
  <c r="U51" i="25"/>
  <c r="U52" i="25"/>
  <c r="U53" i="25"/>
  <c r="U54" i="25"/>
  <c r="U55" i="25"/>
  <c r="U56" i="25"/>
  <c r="U57" i="25"/>
  <c r="U58" i="25"/>
  <c r="U59" i="25"/>
  <c r="U60" i="25"/>
  <c r="U61" i="25"/>
  <c r="U62" i="25"/>
  <c r="U63" i="25"/>
  <c r="U64" i="25"/>
  <c r="U28" i="25"/>
  <c r="U32" i="25"/>
  <c r="U36" i="25"/>
  <c r="U27" i="25"/>
  <c r="U31" i="25"/>
  <c r="U35" i="25"/>
  <c r="U30" i="25"/>
  <c r="U38" i="25"/>
  <c r="U41" i="25"/>
  <c r="U40" i="25"/>
  <c r="U26" i="25"/>
  <c r="U29" i="25"/>
  <c r="U37" i="25"/>
  <c r="U42" i="25"/>
  <c r="U34" i="25"/>
  <c r="U39" i="25"/>
  <c r="U33" i="25"/>
  <c r="J15" i="25"/>
  <c r="S7" i="25"/>
  <c r="S8" i="25" s="1"/>
  <c r="T91" i="25"/>
  <c r="T6" i="25" s="1"/>
  <c r="T94" i="25"/>
  <c r="T97" i="25"/>
  <c r="T102" i="25"/>
  <c r="X96" i="25"/>
  <c r="X75" i="25"/>
  <c r="X82" i="25"/>
  <c r="J17" i="25"/>
  <c r="T103" i="25"/>
  <c r="T68" i="25"/>
  <c r="T75" i="25"/>
  <c r="T72" i="25"/>
  <c r="T73" i="25"/>
  <c r="T89" i="25"/>
  <c r="T70" i="25"/>
  <c r="T95" i="25"/>
  <c r="T99" i="25"/>
  <c r="T7" i="25" s="1"/>
  <c r="T106" i="25"/>
  <c r="T101" i="25"/>
  <c r="T92" i="25"/>
  <c r="X68" i="25"/>
  <c r="X69" i="25"/>
  <c r="X78" i="25"/>
  <c r="X71" i="25"/>
  <c r="X95" i="25"/>
  <c r="X99" i="25"/>
  <c r="X7" i="25" s="1"/>
  <c r="X93" i="25"/>
  <c r="X84" i="25"/>
  <c r="X100" i="25"/>
  <c r="J18" i="25"/>
  <c r="T105" i="25"/>
  <c r="T96" i="25"/>
  <c r="X72" i="25"/>
  <c r="X79" i="25"/>
  <c r="X80" i="25"/>
  <c r="X70" i="25"/>
  <c r="X77" i="25"/>
  <c r="X103" i="25"/>
  <c r="X97" i="25"/>
  <c r="X88" i="25"/>
  <c r="X104" i="25"/>
  <c r="S85" i="25"/>
  <c r="S90" i="25"/>
  <c r="T82" i="25"/>
  <c r="T80" i="25"/>
  <c r="AD2" i="25"/>
  <c r="X89" i="25"/>
  <c r="T76" i="25"/>
  <c r="Z2" i="25"/>
  <c r="V2" i="25"/>
  <c r="T69" i="25"/>
  <c r="T74" i="25"/>
  <c r="T81" i="25"/>
  <c r="T98" i="25"/>
  <c r="T79" i="25"/>
  <c r="T71" i="25"/>
  <c r="T77" i="25"/>
  <c r="T78" i="25"/>
  <c r="T83" i="25"/>
  <c r="T93" i="25"/>
  <c r="T84" i="25"/>
  <c r="T100" i="25"/>
  <c r="X83" i="25"/>
  <c r="X76" i="25"/>
  <c r="AH2" i="25"/>
  <c r="X73" i="25"/>
  <c r="X74" i="25"/>
  <c r="X81" i="25"/>
  <c r="X98" i="25"/>
  <c r="X106" i="25"/>
  <c r="X101" i="25"/>
  <c r="X92" i="25"/>
  <c r="J13" i="25"/>
  <c r="J14" i="25"/>
  <c r="S87" i="25"/>
  <c r="S86" i="25"/>
  <c r="X8" i="25" l="1"/>
  <c r="AC91" i="25"/>
  <c r="AC6" i="25" s="1"/>
  <c r="AC92" i="25"/>
  <c r="U92" i="25"/>
  <c r="U99" i="25"/>
  <c r="U7" i="25" s="1"/>
  <c r="U73" i="25"/>
  <c r="Y99" i="25"/>
  <c r="Y7" i="25" s="1"/>
  <c r="Y77" i="25"/>
  <c r="Y73" i="25"/>
  <c r="AC95" i="25"/>
  <c r="V44" i="25"/>
  <c r="V45" i="25"/>
  <c r="V46" i="25"/>
  <c r="V47" i="25"/>
  <c r="V48" i="25"/>
  <c r="V26" i="25"/>
  <c r="V43" i="25"/>
  <c r="V4" i="25" s="1"/>
  <c r="V5" i="25" s="1"/>
  <c r="V53" i="25"/>
  <c r="V54" i="25"/>
  <c r="V55" i="25"/>
  <c r="V56" i="25"/>
  <c r="V57" i="25"/>
  <c r="V58" i="25"/>
  <c r="V59" i="25"/>
  <c r="V60" i="25"/>
  <c r="V61" i="25"/>
  <c r="V62" i="25"/>
  <c r="V63" i="25"/>
  <c r="V64" i="25"/>
  <c r="V49" i="25"/>
  <c r="V50" i="25"/>
  <c r="V51" i="25"/>
  <c r="V52" i="25"/>
  <c r="V29" i="25"/>
  <c r="V33" i="25"/>
  <c r="V37" i="25"/>
  <c r="V28" i="25"/>
  <c r="V32" i="25"/>
  <c r="V36" i="25"/>
  <c r="V31" i="25"/>
  <c r="V40" i="25"/>
  <c r="V42" i="25"/>
  <c r="V41" i="25"/>
  <c r="V30" i="25"/>
  <c r="V38" i="25"/>
  <c r="V27" i="25"/>
  <c r="V35" i="25"/>
  <c r="V34" i="25"/>
  <c r="V39" i="25"/>
  <c r="AD43" i="25"/>
  <c r="AD4" i="25" s="1"/>
  <c r="AD5" i="25" s="1"/>
  <c r="AD49" i="25"/>
  <c r="AD50" i="25"/>
  <c r="AD51" i="25"/>
  <c r="AD52" i="25"/>
  <c r="AD26" i="25"/>
  <c r="AD44" i="25"/>
  <c r="AD45" i="25"/>
  <c r="AD46" i="25"/>
  <c r="AD47" i="25"/>
  <c r="AD48" i="25"/>
  <c r="AD53" i="25"/>
  <c r="AD54" i="25"/>
  <c r="AD55" i="25"/>
  <c r="AD56" i="25"/>
  <c r="AD57" i="25"/>
  <c r="AD58" i="25"/>
  <c r="AD59" i="25"/>
  <c r="AD60" i="25"/>
  <c r="AD61" i="25"/>
  <c r="AD62" i="25"/>
  <c r="AD63" i="25"/>
  <c r="AD64" i="25"/>
  <c r="AD27" i="25"/>
  <c r="AD29" i="25"/>
  <c r="AD33" i="25"/>
  <c r="AD37" i="25"/>
  <c r="AD28" i="25"/>
  <c r="AD32" i="25"/>
  <c r="AD36" i="25"/>
  <c r="AD31" i="25"/>
  <c r="AD40" i="25"/>
  <c r="AD42" i="25"/>
  <c r="AD34" i="25"/>
  <c r="AD41" i="25"/>
  <c r="AD30" i="25"/>
  <c r="AD38" i="25"/>
  <c r="AD39" i="25"/>
  <c r="AD35" i="25"/>
  <c r="Y84" i="25"/>
  <c r="T8" i="25"/>
  <c r="AH43" i="25"/>
  <c r="AH4" i="25" s="1"/>
  <c r="AH5" i="25" s="1"/>
  <c r="AH26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45" i="25"/>
  <c r="AH47" i="25"/>
  <c r="AH29" i="25"/>
  <c r="AH33" i="25"/>
  <c r="AH37" i="25"/>
  <c r="AH49" i="25"/>
  <c r="AH50" i="25"/>
  <c r="AH51" i="25"/>
  <c r="AH52" i="25"/>
  <c r="AH28" i="25"/>
  <c r="AH32" i="25"/>
  <c r="AH36" i="25"/>
  <c r="AH44" i="25"/>
  <c r="AH35" i="25"/>
  <c r="AH40" i="25"/>
  <c r="AH27" i="25"/>
  <c r="AH38" i="25"/>
  <c r="AH48" i="25"/>
  <c r="AH34" i="25"/>
  <c r="AH39" i="25"/>
  <c r="AH46" i="25"/>
  <c r="AH31" i="25"/>
  <c r="AH42" i="25"/>
  <c r="AH30" i="25"/>
  <c r="AH41" i="25"/>
  <c r="Z44" i="25"/>
  <c r="Z45" i="25"/>
  <c r="Z46" i="25"/>
  <c r="Z47" i="25"/>
  <c r="Z48" i="25"/>
  <c r="Z26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29" i="25"/>
  <c r="Z33" i="25"/>
  <c r="Z37" i="25"/>
  <c r="Z27" i="25"/>
  <c r="Z28" i="25"/>
  <c r="Z32" i="25"/>
  <c r="Z36" i="25"/>
  <c r="Z43" i="25"/>
  <c r="Z4" i="25" s="1"/>
  <c r="Z5" i="25" s="1"/>
  <c r="Z35" i="25"/>
  <c r="Z40" i="25"/>
  <c r="Z30" i="25"/>
  <c r="Z34" i="25"/>
  <c r="Z31" i="25"/>
  <c r="Z39" i="25"/>
  <c r="Z42" i="25"/>
  <c r="Z38" i="25"/>
  <c r="Z41" i="25"/>
  <c r="Y69" i="25"/>
  <c r="J19" i="25"/>
  <c r="T87" i="25"/>
  <c r="U103" i="25"/>
  <c r="U94" i="25"/>
  <c r="U105" i="25"/>
  <c r="Y95" i="25"/>
  <c r="U95" i="25"/>
  <c r="U96" i="25"/>
  <c r="U100" i="25"/>
  <c r="U98" i="25"/>
  <c r="U93" i="25"/>
  <c r="Y96" i="25"/>
  <c r="Y91" i="25"/>
  <c r="Y6" i="25" s="1"/>
  <c r="AC99" i="25"/>
  <c r="AC7" i="25" s="1"/>
  <c r="AC94" i="25"/>
  <c r="AC105" i="25"/>
  <c r="U80" i="25"/>
  <c r="U77" i="25"/>
  <c r="U76" i="25"/>
  <c r="U84" i="25"/>
  <c r="U71" i="25"/>
  <c r="U82" i="25"/>
  <c r="U83" i="25"/>
  <c r="Y72" i="25"/>
  <c r="Y80" i="25"/>
  <c r="Y83" i="25"/>
  <c r="Y94" i="25"/>
  <c r="Y105" i="25"/>
  <c r="T86" i="25"/>
  <c r="AC96" i="25"/>
  <c r="U91" i="25"/>
  <c r="U6" i="25" s="1"/>
  <c r="T88" i="25"/>
  <c r="AC68" i="25"/>
  <c r="AC71" i="25"/>
  <c r="AC73" i="25"/>
  <c r="AC76" i="25"/>
  <c r="AC74" i="25"/>
  <c r="AC75" i="25"/>
  <c r="AC82" i="25"/>
  <c r="AC103" i="25"/>
  <c r="AC100" i="25"/>
  <c r="AC98" i="25"/>
  <c r="AC93" i="25"/>
  <c r="U79" i="25"/>
  <c r="U72" i="25"/>
  <c r="U75" i="25"/>
  <c r="U88" i="25"/>
  <c r="U104" i="25"/>
  <c r="U102" i="25"/>
  <c r="U97" i="25"/>
  <c r="Y79" i="25"/>
  <c r="Y76" i="25"/>
  <c r="AI2" i="25"/>
  <c r="Y92" i="25"/>
  <c r="Y104" i="25"/>
  <c r="Y98" i="25"/>
  <c r="Y93" i="25"/>
  <c r="X85" i="25"/>
  <c r="X90" i="25"/>
  <c r="AC69" i="25"/>
  <c r="Y86" i="25"/>
  <c r="AC70" i="25"/>
  <c r="AC89" i="25"/>
  <c r="AC80" i="25"/>
  <c r="AC72" i="25"/>
  <c r="AC77" i="25"/>
  <c r="AC87" i="25"/>
  <c r="AC84" i="25"/>
  <c r="AC104" i="25"/>
  <c r="AC102" i="25"/>
  <c r="AC97" i="25"/>
  <c r="U69" i="25"/>
  <c r="U74" i="25"/>
  <c r="U81" i="25"/>
  <c r="W2" i="25"/>
  <c r="U87" i="25"/>
  <c r="U106" i="25"/>
  <c r="U101" i="25"/>
  <c r="Y74" i="25"/>
  <c r="Y81" i="25"/>
  <c r="Y70" i="25"/>
  <c r="Y71" i="25"/>
  <c r="Y78" i="25"/>
  <c r="Y100" i="25"/>
  <c r="Y103" i="25"/>
  <c r="Y102" i="25"/>
  <c r="Y97" i="25"/>
  <c r="X86" i="25"/>
  <c r="T85" i="25"/>
  <c r="T90" i="25"/>
  <c r="AC78" i="25"/>
  <c r="AC79" i="25"/>
  <c r="AC81" i="25"/>
  <c r="AC83" i="25"/>
  <c r="AM2" i="25"/>
  <c r="AC88" i="25"/>
  <c r="AC106" i="25"/>
  <c r="AC101" i="25"/>
  <c r="U68" i="25"/>
  <c r="U70" i="25"/>
  <c r="AA2" i="25"/>
  <c r="AE2" i="25"/>
  <c r="U78" i="25"/>
  <c r="U89" i="25"/>
  <c r="Y68" i="25"/>
  <c r="Y75" i="25"/>
  <c r="Y82" i="25"/>
  <c r="Y106" i="25"/>
  <c r="Y101" i="25"/>
  <c r="X87" i="25"/>
  <c r="AC8" i="25" l="1"/>
  <c r="V100" i="25"/>
  <c r="V96" i="25"/>
  <c r="Z101" i="25"/>
  <c r="Z97" i="25"/>
  <c r="AD81" i="25"/>
  <c r="AD78" i="25"/>
  <c r="Z80" i="25"/>
  <c r="Z69" i="25"/>
  <c r="U8" i="25"/>
  <c r="Z70" i="25"/>
  <c r="V93" i="25"/>
  <c r="V105" i="25"/>
  <c r="AH80" i="25"/>
  <c r="AD97" i="25"/>
  <c r="V77" i="25"/>
  <c r="Y8" i="25"/>
  <c r="AD74" i="25"/>
  <c r="AD105" i="25"/>
  <c r="AH97" i="25"/>
  <c r="AD71" i="25"/>
  <c r="AD70" i="25"/>
  <c r="AD69" i="25"/>
  <c r="AH100" i="25"/>
  <c r="AH104" i="25"/>
  <c r="AH96" i="25"/>
  <c r="AH101" i="25"/>
  <c r="AD77" i="25"/>
  <c r="AD73" i="25"/>
  <c r="AH92" i="25"/>
  <c r="AD101" i="25"/>
  <c r="AD92" i="25"/>
  <c r="V75" i="25"/>
  <c r="V74" i="25"/>
  <c r="AD91" i="25"/>
  <c r="AD6" i="25" s="1"/>
  <c r="Z74" i="25"/>
  <c r="AH99" i="25"/>
  <c r="AH7" i="25" s="1"/>
  <c r="AD104" i="25"/>
  <c r="AD100" i="25"/>
  <c r="AD96" i="25"/>
  <c r="V95" i="25"/>
  <c r="AD93" i="25"/>
  <c r="Z81" i="25"/>
  <c r="Z77" i="25"/>
  <c r="Z71" i="25"/>
  <c r="AH93" i="25"/>
  <c r="AD95" i="25"/>
  <c r="V70" i="25"/>
  <c r="AE44" i="25"/>
  <c r="AE45" i="25"/>
  <c r="AE46" i="25"/>
  <c r="AE47" i="25"/>
  <c r="AE48" i="25"/>
  <c r="AE43" i="25"/>
  <c r="AE4" i="25" s="1"/>
  <c r="AE5" i="25" s="1"/>
  <c r="AE27" i="25"/>
  <c r="AE49" i="25"/>
  <c r="AE50" i="25"/>
  <c r="AE51" i="25"/>
  <c r="AE52" i="25"/>
  <c r="AE26" i="25"/>
  <c r="AE30" i="25"/>
  <c r="AE34" i="25"/>
  <c r="AE38" i="25"/>
  <c r="AE29" i="25"/>
  <c r="AE33" i="25"/>
  <c r="AE37" i="25"/>
  <c r="AE32" i="25"/>
  <c r="AE41" i="25"/>
  <c r="AE35" i="25"/>
  <c r="AE42" i="25"/>
  <c r="AE31" i="25"/>
  <c r="AE40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28" i="25"/>
  <c r="AE36" i="25"/>
  <c r="AE39" i="25"/>
  <c r="AM44" i="25"/>
  <c r="AM45" i="25"/>
  <c r="AM46" i="25"/>
  <c r="AM47" i="25"/>
  <c r="AM48" i="25"/>
  <c r="AM43" i="25"/>
  <c r="AM4" i="25" s="1"/>
  <c r="AM5" i="25" s="1"/>
  <c r="AM27" i="25"/>
  <c r="AM26" i="25"/>
  <c r="AM30" i="25"/>
  <c r="AM34" i="25"/>
  <c r="AM38" i="25"/>
  <c r="AM29" i="25"/>
  <c r="AM33" i="25"/>
  <c r="AM37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32" i="25"/>
  <c r="AM41" i="25"/>
  <c r="AM49" i="25"/>
  <c r="AM42" i="25"/>
  <c r="AM50" i="25"/>
  <c r="AM52" i="25"/>
  <c r="AM31" i="25"/>
  <c r="AM40" i="25"/>
  <c r="AM28" i="25"/>
  <c r="AM36" i="25"/>
  <c r="AM39" i="25"/>
  <c r="AM51" i="25"/>
  <c r="AM35" i="25"/>
  <c r="AI44" i="25"/>
  <c r="AI45" i="25"/>
  <c r="AI46" i="25"/>
  <c r="AI47" i="25"/>
  <c r="AI48" i="25"/>
  <c r="AI43" i="25"/>
  <c r="AI4" i="25" s="1"/>
  <c r="AI5" i="25" s="1"/>
  <c r="AI49" i="25"/>
  <c r="AI50" i="25"/>
  <c r="AI51" i="25"/>
  <c r="AI52" i="25"/>
  <c r="AI27" i="25"/>
  <c r="AI26" i="25"/>
  <c r="AI53" i="25"/>
  <c r="AI54" i="25"/>
  <c r="AI55" i="25"/>
  <c r="AI56" i="25"/>
  <c r="AI57" i="25"/>
  <c r="AI58" i="25"/>
  <c r="AI59" i="25"/>
  <c r="AI60" i="25"/>
  <c r="AI61" i="25"/>
  <c r="AI62" i="25"/>
  <c r="AI63" i="25"/>
  <c r="AI64" i="25"/>
  <c r="AI30" i="25"/>
  <c r="AI34" i="25"/>
  <c r="AI38" i="25"/>
  <c r="AI29" i="25"/>
  <c r="AI33" i="25"/>
  <c r="AI37" i="25"/>
  <c r="AI28" i="25"/>
  <c r="AI36" i="25"/>
  <c r="AI41" i="25"/>
  <c r="AI35" i="25"/>
  <c r="AI40" i="25"/>
  <c r="AI32" i="25"/>
  <c r="AI39" i="25"/>
  <c r="AI31" i="25"/>
  <c r="AI42" i="25"/>
  <c r="AA44" i="25"/>
  <c r="AA45" i="25"/>
  <c r="AA46" i="25"/>
  <c r="AA47" i="25"/>
  <c r="AA48" i="25"/>
  <c r="AA27" i="25"/>
  <c r="AA26" i="25"/>
  <c r="AA53" i="25"/>
  <c r="AA54" i="25"/>
  <c r="AA55" i="25"/>
  <c r="AA56" i="25"/>
  <c r="AA57" i="25"/>
  <c r="AA58" i="25"/>
  <c r="AA59" i="25"/>
  <c r="AA60" i="25"/>
  <c r="AA61" i="25"/>
  <c r="AA62" i="25"/>
  <c r="AA63" i="25"/>
  <c r="AA64" i="25"/>
  <c r="AA30" i="25"/>
  <c r="AA34" i="25"/>
  <c r="AA38" i="25"/>
  <c r="AA29" i="25"/>
  <c r="AA33" i="25"/>
  <c r="AA37" i="25"/>
  <c r="AA49" i="25"/>
  <c r="AA51" i="25"/>
  <c r="AA28" i="25"/>
  <c r="AA36" i="25"/>
  <c r="AA41" i="25"/>
  <c r="AA31" i="25"/>
  <c r="AA39" i="25"/>
  <c r="AA43" i="25"/>
  <c r="AA4" i="25" s="1"/>
  <c r="AA5" i="25" s="1"/>
  <c r="AA35" i="25"/>
  <c r="AA40" i="25"/>
  <c r="AA50" i="25"/>
  <c r="AA52" i="25"/>
  <c r="AA32" i="25"/>
  <c r="AA42" i="25"/>
  <c r="W44" i="25"/>
  <c r="W45" i="25"/>
  <c r="W46" i="25"/>
  <c r="W47" i="25"/>
  <c r="W48" i="25"/>
  <c r="W43" i="25"/>
  <c r="W4" i="25" s="1"/>
  <c r="W5" i="25" s="1"/>
  <c r="W27" i="25"/>
  <c r="W26" i="25"/>
  <c r="W30" i="25"/>
  <c r="W34" i="25"/>
  <c r="W38" i="25"/>
  <c r="W49" i="25"/>
  <c r="W50" i="25"/>
  <c r="W51" i="25"/>
  <c r="W52" i="25"/>
  <c r="W29" i="25"/>
  <c r="W33" i="25"/>
  <c r="W37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32" i="25"/>
  <c r="W39" i="25"/>
  <c r="W41" i="25"/>
  <c r="W42" i="25"/>
  <c r="W31" i="25"/>
  <c r="W40" i="25"/>
  <c r="W28" i="25"/>
  <c r="W36" i="25"/>
  <c r="W35" i="25"/>
  <c r="Y87" i="25"/>
  <c r="V92" i="25"/>
  <c r="Z75" i="25"/>
  <c r="Z73" i="25"/>
  <c r="Z78" i="25"/>
  <c r="V82" i="25"/>
  <c r="V71" i="25"/>
  <c r="V76" i="25"/>
  <c r="V79" i="25"/>
  <c r="V104" i="25"/>
  <c r="V103" i="25"/>
  <c r="V98" i="25"/>
  <c r="Z82" i="25"/>
  <c r="Z84" i="25"/>
  <c r="Z72" i="25"/>
  <c r="Z79" i="25"/>
  <c r="AH74" i="25"/>
  <c r="AH69" i="25"/>
  <c r="AH71" i="25"/>
  <c r="AH76" i="25"/>
  <c r="AH91" i="25"/>
  <c r="AH6" i="25" s="1"/>
  <c r="AH82" i="25"/>
  <c r="AH98" i="25"/>
  <c r="V91" i="25"/>
  <c r="V6" i="25" s="1"/>
  <c r="AD75" i="25"/>
  <c r="AD76" i="25"/>
  <c r="AD79" i="25"/>
  <c r="AD103" i="25"/>
  <c r="AD98" i="25"/>
  <c r="AD80" i="25"/>
  <c r="Z106" i="25"/>
  <c r="AB2" i="25"/>
  <c r="AJ2" i="25"/>
  <c r="Z68" i="25"/>
  <c r="Z93" i="25"/>
  <c r="Z83" i="25"/>
  <c r="Z104" i="25"/>
  <c r="Z99" i="25"/>
  <c r="Z7" i="25" s="1"/>
  <c r="Z94" i="25"/>
  <c r="AH81" i="25"/>
  <c r="AH78" i="25"/>
  <c r="AH73" i="25"/>
  <c r="AH83" i="25"/>
  <c r="AH77" i="25"/>
  <c r="AH95" i="25"/>
  <c r="AH102" i="25"/>
  <c r="V73" i="25"/>
  <c r="V69" i="25"/>
  <c r="V81" i="25"/>
  <c r="V84" i="25"/>
  <c r="V87" i="25"/>
  <c r="V102" i="25"/>
  <c r="Y90" i="25"/>
  <c r="Y85" i="25"/>
  <c r="AD83" i="25"/>
  <c r="AD88" i="25"/>
  <c r="AD102" i="25"/>
  <c r="U90" i="25"/>
  <c r="U85" i="25"/>
  <c r="AF2" i="25"/>
  <c r="Z92" i="25"/>
  <c r="Z105" i="25"/>
  <c r="Z103" i="25"/>
  <c r="Z98" i="25"/>
  <c r="AH68" i="25"/>
  <c r="AH79" i="25"/>
  <c r="AH106" i="25"/>
  <c r="V68" i="25"/>
  <c r="V83" i="25"/>
  <c r="V106" i="25"/>
  <c r="AC90" i="25"/>
  <c r="AC85" i="25"/>
  <c r="AD89" i="25"/>
  <c r="AD68" i="25"/>
  <c r="AD82" i="25"/>
  <c r="AD106" i="25"/>
  <c r="U86" i="25"/>
  <c r="Z95" i="25"/>
  <c r="AD87" i="25"/>
  <c r="Z96" i="25"/>
  <c r="Z76" i="25"/>
  <c r="Z100" i="25"/>
  <c r="Z91" i="25"/>
  <c r="Z6" i="25" s="1"/>
  <c r="Z86" i="25"/>
  <c r="Z102" i="25"/>
  <c r="AH70" i="25"/>
  <c r="AH75" i="25"/>
  <c r="AH72" i="25"/>
  <c r="AH84" i="25"/>
  <c r="AH105" i="25"/>
  <c r="AH103" i="25"/>
  <c r="AH94" i="25"/>
  <c r="V80" i="25"/>
  <c r="V78" i="25"/>
  <c r="V72" i="25"/>
  <c r="V101" i="25"/>
  <c r="V97" i="25"/>
  <c r="V99" i="25"/>
  <c r="V7" i="25" s="1"/>
  <c r="V94" i="25"/>
  <c r="AC86" i="25"/>
  <c r="Y88" i="25"/>
  <c r="AD72" i="25"/>
  <c r="AD84" i="25"/>
  <c r="AD99" i="25"/>
  <c r="AD7" i="25" s="1"/>
  <c r="AD94" i="25"/>
  <c r="Y89" i="25"/>
  <c r="AE82" i="25" l="1"/>
  <c r="AI71" i="25"/>
  <c r="AE92" i="25"/>
  <c r="AD8" i="25"/>
  <c r="AE93" i="25"/>
  <c r="AE81" i="25"/>
  <c r="AH8" i="25"/>
  <c r="AE102" i="25"/>
  <c r="V8" i="25"/>
  <c r="Z8" i="25"/>
  <c r="AE77" i="25"/>
  <c r="AF44" i="25"/>
  <c r="AF45" i="25"/>
  <c r="AF46" i="25"/>
  <c r="AF47" i="25"/>
  <c r="AF48" i="25"/>
  <c r="AF43" i="25"/>
  <c r="AF4" i="25" s="1"/>
  <c r="AF5" i="25" s="1"/>
  <c r="AF49" i="25"/>
  <c r="AF50" i="25"/>
  <c r="AF51" i="25"/>
  <c r="AF52" i="25"/>
  <c r="AF26" i="25"/>
  <c r="AF31" i="25"/>
  <c r="AF35" i="25"/>
  <c r="AF27" i="25"/>
  <c r="AF30" i="25"/>
  <c r="AF34" i="25"/>
  <c r="AF38" i="25"/>
  <c r="AF33" i="25"/>
  <c r="AF42" i="25"/>
  <c r="AF53" i="25"/>
  <c r="AF54" i="25"/>
  <c r="AF55" i="25"/>
  <c r="AF56" i="25"/>
  <c r="AF57" i="25"/>
  <c r="AF58" i="25"/>
  <c r="AF59" i="25"/>
  <c r="AF60" i="25"/>
  <c r="AF61" i="25"/>
  <c r="AF62" i="25"/>
  <c r="AF63" i="25"/>
  <c r="AF64" i="25"/>
  <c r="AF36" i="25"/>
  <c r="AF32" i="25"/>
  <c r="AF41" i="25"/>
  <c r="AF29" i="25"/>
  <c r="AF37" i="25"/>
  <c r="AF40" i="25"/>
  <c r="AF28" i="25"/>
  <c r="AF39" i="25"/>
  <c r="AJ48" i="25"/>
  <c r="AJ49" i="25"/>
  <c r="AJ50" i="25"/>
  <c r="AJ51" i="25"/>
  <c r="AJ52" i="25"/>
  <c r="AJ43" i="25"/>
  <c r="AJ4" i="25" s="1"/>
  <c r="AJ5" i="25" s="1"/>
  <c r="AJ27" i="25"/>
  <c r="AJ31" i="25"/>
  <c r="AJ35" i="25"/>
  <c r="AJ45" i="25"/>
  <c r="AJ47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30" i="25"/>
  <c r="AJ34" i="25"/>
  <c r="AJ38" i="25"/>
  <c r="AJ26" i="25"/>
  <c r="AJ29" i="25"/>
  <c r="AJ37" i="25"/>
  <c r="AJ42" i="25"/>
  <c r="AJ39" i="25"/>
  <c r="AJ44" i="25"/>
  <c r="AJ28" i="25"/>
  <c r="AJ36" i="25"/>
  <c r="AJ41" i="25"/>
  <c r="AJ33" i="25"/>
  <c r="AJ40" i="25"/>
  <c r="AJ46" i="25"/>
  <c r="AJ32" i="25"/>
  <c r="AE72" i="25"/>
  <c r="AB43" i="25"/>
  <c r="AB4" i="25" s="1"/>
  <c r="AB5" i="25" s="1"/>
  <c r="AB44" i="25"/>
  <c r="AB45" i="25"/>
  <c r="AB46" i="25"/>
  <c r="AB47" i="25"/>
  <c r="AB48" i="25"/>
  <c r="AB31" i="25"/>
  <c r="AB35" i="25"/>
  <c r="AB39" i="25"/>
  <c r="AB53" i="25"/>
  <c r="AB54" i="25"/>
  <c r="AB55" i="25"/>
  <c r="AB56" i="25"/>
  <c r="AB57" i="25"/>
  <c r="AB58" i="25"/>
  <c r="AB59" i="25"/>
  <c r="AB60" i="25"/>
  <c r="AB61" i="25"/>
  <c r="AB62" i="25"/>
  <c r="AB63" i="25"/>
  <c r="AB64" i="25"/>
  <c r="AB30" i="25"/>
  <c r="AB34" i="25"/>
  <c r="AB38" i="25"/>
  <c r="AB27" i="25"/>
  <c r="AB29" i="25"/>
  <c r="AB37" i="25"/>
  <c r="AB42" i="25"/>
  <c r="AB52" i="25"/>
  <c r="AB32" i="25"/>
  <c r="AB49" i="25"/>
  <c r="AB51" i="25"/>
  <c r="AB28" i="25"/>
  <c r="AB36" i="25"/>
  <c r="AB41" i="25"/>
  <c r="AB26" i="25"/>
  <c r="AB33" i="25"/>
  <c r="AB40" i="25"/>
  <c r="AB50" i="25"/>
  <c r="AA97" i="25"/>
  <c r="AA93" i="25"/>
  <c r="AE94" i="25"/>
  <c r="AM97" i="25"/>
  <c r="AE97" i="25"/>
  <c r="AE105" i="25"/>
  <c r="AM94" i="25"/>
  <c r="AE79" i="25"/>
  <c r="AD86" i="25"/>
  <c r="AI75" i="25"/>
  <c r="AI76" i="25"/>
  <c r="AI82" i="25"/>
  <c r="AI70" i="25"/>
  <c r="W71" i="25"/>
  <c r="W76" i="25"/>
  <c r="W72" i="25"/>
  <c r="W77" i="25"/>
  <c r="AM102" i="25"/>
  <c r="AM92" i="25"/>
  <c r="AM99" i="25"/>
  <c r="AM7" i="25" s="1"/>
  <c r="AA98" i="25"/>
  <c r="AA104" i="25"/>
  <c r="AA95" i="25"/>
  <c r="AE84" i="25"/>
  <c r="AE76" i="25"/>
  <c r="AE80" i="25"/>
  <c r="AE83" i="25"/>
  <c r="AE99" i="25"/>
  <c r="AE7" i="25" s="1"/>
  <c r="AI81" i="25"/>
  <c r="AI79" i="25"/>
  <c r="AI93" i="25"/>
  <c r="AI69" i="25"/>
  <c r="AI101" i="25"/>
  <c r="AI97" i="25"/>
  <c r="AI106" i="25"/>
  <c r="AI100" i="25"/>
  <c r="AI91" i="25"/>
  <c r="AI6" i="25" s="1"/>
  <c r="AA68" i="25"/>
  <c r="AA79" i="25"/>
  <c r="AA73" i="25"/>
  <c r="V85" i="25"/>
  <c r="V90" i="25"/>
  <c r="AH85" i="25"/>
  <c r="AH90" i="25"/>
  <c r="AM68" i="25"/>
  <c r="AM73" i="25"/>
  <c r="AM84" i="25"/>
  <c r="V89" i="25"/>
  <c r="AH87" i="25"/>
  <c r="AH89" i="25"/>
  <c r="AA72" i="25"/>
  <c r="AK2" i="25"/>
  <c r="AA101" i="25"/>
  <c r="AA81" i="25"/>
  <c r="AA94" i="25"/>
  <c r="AA102" i="25"/>
  <c r="AA92" i="25"/>
  <c r="AA83" i="25"/>
  <c r="AA99" i="25"/>
  <c r="AA7" i="25" s="1"/>
  <c r="V86" i="25"/>
  <c r="AH86" i="25"/>
  <c r="AE71" i="25"/>
  <c r="AE70" i="25"/>
  <c r="AE69" i="25"/>
  <c r="AE101" i="25"/>
  <c r="AE96" i="25"/>
  <c r="AE103" i="25"/>
  <c r="AI84" i="25"/>
  <c r="AI74" i="25"/>
  <c r="AI72" i="25"/>
  <c r="AI73" i="25"/>
  <c r="AI80" i="25"/>
  <c r="AI98" i="25"/>
  <c r="AI104" i="25"/>
  <c r="AI95" i="25"/>
  <c r="W75" i="25"/>
  <c r="W70" i="25"/>
  <c r="W81" i="25"/>
  <c r="W79" i="25"/>
  <c r="W98" i="25"/>
  <c r="W93" i="25"/>
  <c r="W104" i="25"/>
  <c r="W95" i="25"/>
  <c r="AM72" i="25"/>
  <c r="AM75" i="25"/>
  <c r="AM77" i="25"/>
  <c r="AM82" i="25"/>
  <c r="AM86" i="25"/>
  <c r="AM105" i="25"/>
  <c r="AM96" i="25"/>
  <c r="AM103" i="25"/>
  <c r="AA89" i="25"/>
  <c r="V88" i="25"/>
  <c r="W87" i="25"/>
  <c r="W91" i="25"/>
  <c r="W6" i="25" s="1"/>
  <c r="AM74" i="25"/>
  <c r="AM80" i="25"/>
  <c r="AM83" i="25"/>
  <c r="AA76" i="25"/>
  <c r="AA71" i="25"/>
  <c r="AA74" i="25"/>
  <c r="AA70" i="25"/>
  <c r="AA80" i="25"/>
  <c r="AA105" i="25"/>
  <c r="AA96" i="25"/>
  <c r="AA103" i="25"/>
  <c r="AE75" i="25"/>
  <c r="AE74" i="25"/>
  <c r="AE73" i="25"/>
  <c r="AE98" i="25"/>
  <c r="AE106" i="25"/>
  <c r="AE100" i="25"/>
  <c r="AE91" i="25"/>
  <c r="AE6" i="25" s="1"/>
  <c r="AI68" i="25"/>
  <c r="AI78" i="25"/>
  <c r="AI77" i="25"/>
  <c r="AI89" i="25"/>
  <c r="AI94" i="25"/>
  <c r="AI102" i="25"/>
  <c r="AI92" i="25"/>
  <c r="AI83" i="25"/>
  <c r="AI99" i="25"/>
  <c r="AI7" i="25" s="1"/>
  <c r="W97" i="25"/>
  <c r="W78" i="25"/>
  <c r="W74" i="25"/>
  <c r="W69" i="25"/>
  <c r="W94" i="25"/>
  <c r="W102" i="25"/>
  <c r="W101" i="25"/>
  <c r="W92" i="25"/>
  <c r="W83" i="25"/>
  <c r="W99" i="25"/>
  <c r="W7" i="25" s="1"/>
  <c r="AM76" i="25"/>
  <c r="AM78" i="25"/>
  <c r="AM81" i="25"/>
  <c r="AM79" i="25"/>
  <c r="AM93" i="25"/>
  <c r="AM106" i="25"/>
  <c r="AM100" i="25"/>
  <c r="AM91" i="25"/>
  <c r="AM6" i="25" s="1"/>
  <c r="AA82" i="25"/>
  <c r="AE86" i="25"/>
  <c r="W106" i="25"/>
  <c r="W100" i="25"/>
  <c r="AM71" i="25"/>
  <c r="AH88" i="25"/>
  <c r="Z85" i="25"/>
  <c r="Z90" i="25"/>
  <c r="Z89" i="25"/>
  <c r="Z88" i="25"/>
  <c r="AA78" i="25"/>
  <c r="AA75" i="25"/>
  <c r="AA77" i="25"/>
  <c r="AA69" i="25"/>
  <c r="AA84" i="25"/>
  <c r="AA106" i="25"/>
  <c r="AA100" i="25"/>
  <c r="AA91" i="25"/>
  <c r="AA6" i="25" s="1"/>
  <c r="AD90" i="25"/>
  <c r="AD85" i="25"/>
  <c r="AE68" i="25"/>
  <c r="AE78" i="25"/>
  <c r="AE88" i="25"/>
  <c r="AE104" i="25"/>
  <c r="AE95" i="25"/>
  <c r="AI105" i="25"/>
  <c r="AI96" i="25"/>
  <c r="AI103" i="25"/>
  <c r="AG2" i="25"/>
  <c r="W68" i="25"/>
  <c r="W82" i="25"/>
  <c r="W73" i="25"/>
  <c r="W80" i="25"/>
  <c r="W84" i="25"/>
  <c r="W105" i="25"/>
  <c r="W96" i="25"/>
  <c r="W103" i="25"/>
  <c r="AM70" i="25"/>
  <c r="AM69" i="25"/>
  <c r="AM98" i="25"/>
  <c r="AM101" i="25"/>
  <c r="AM88" i="25"/>
  <c r="AM104" i="25"/>
  <c r="AM95" i="25"/>
  <c r="Z87" i="25"/>
  <c r="K15" i="25" l="1"/>
  <c r="K17" i="25"/>
  <c r="AF102" i="25"/>
  <c r="AF91" i="25"/>
  <c r="AF6" i="25" s="1"/>
  <c r="AF94" i="25"/>
  <c r="AM8" i="25"/>
  <c r="AK43" i="25"/>
  <c r="AK4" i="25" s="1"/>
  <c r="AK5" i="25" s="1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28" i="25"/>
  <c r="AK32" i="25"/>
  <c r="AK36" i="25"/>
  <c r="AK27" i="25"/>
  <c r="AK31" i="25"/>
  <c r="AK35" i="25"/>
  <c r="AK30" i="25"/>
  <c r="AK38" i="25"/>
  <c r="AK39" i="25"/>
  <c r="AK41" i="25"/>
  <c r="AK40" i="25"/>
  <c r="AK26" i="25"/>
  <c r="AK29" i="25"/>
  <c r="AK37" i="25"/>
  <c r="AK42" i="25"/>
  <c r="AK34" i="25"/>
  <c r="AK33" i="25"/>
  <c r="W8" i="25"/>
  <c r="AA8" i="25"/>
  <c r="AG43" i="25"/>
  <c r="AG4" i="25" s="1"/>
  <c r="AG5" i="25" s="1"/>
  <c r="AG49" i="25"/>
  <c r="AG50" i="25"/>
  <c r="AG51" i="25"/>
  <c r="AG52" i="25"/>
  <c r="AG44" i="25"/>
  <c r="AG45" i="25"/>
  <c r="AG46" i="25"/>
  <c r="AG47" i="25"/>
  <c r="AG53" i="25"/>
  <c r="AG54" i="25"/>
  <c r="AG55" i="25"/>
  <c r="AG56" i="25"/>
  <c r="AG57" i="25"/>
  <c r="AG58" i="25"/>
  <c r="AG59" i="25"/>
  <c r="AG60" i="25"/>
  <c r="AG61" i="25"/>
  <c r="AG62" i="25"/>
  <c r="AG63" i="25"/>
  <c r="AG64" i="25"/>
  <c r="AG28" i="25"/>
  <c r="AG32" i="25"/>
  <c r="AG36" i="25"/>
  <c r="AG26" i="25"/>
  <c r="AG31" i="25"/>
  <c r="AG35" i="25"/>
  <c r="AG48" i="25"/>
  <c r="AG34" i="25"/>
  <c r="AG39" i="25"/>
  <c r="AG37" i="25"/>
  <c r="AG33" i="25"/>
  <c r="AG42" i="25"/>
  <c r="AG27" i="25"/>
  <c r="AG30" i="25"/>
  <c r="AG38" i="25"/>
  <c r="AG41" i="25"/>
  <c r="AG29" i="25"/>
  <c r="AG40" i="25"/>
  <c r="AE8" i="25"/>
  <c r="AI8" i="25"/>
  <c r="AM89" i="25"/>
  <c r="AM87" i="25"/>
  <c r="AF98" i="25"/>
  <c r="AF95" i="25"/>
  <c r="AF99" i="25"/>
  <c r="AF7" i="25" s="1"/>
  <c r="AJ105" i="25"/>
  <c r="AJ96" i="25"/>
  <c r="AF72" i="25"/>
  <c r="AF69" i="25"/>
  <c r="AF70" i="25"/>
  <c r="AF77" i="25"/>
  <c r="AF93" i="25"/>
  <c r="AF84" i="25"/>
  <c r="AF100" i="25"/>
  <c r="AB72" i="25"/>
  <c r="AB83" i="25"/>
  <c r="AB71" i="25"/>
  <c r="AB79" i="25"/>
  <c r="K18" i="25"/>
  <c r="AF103" i="25"/>
  <c r="AB99" i="25"/>
  <c r="AB7" i="25" s="1"/>
  <c r="AB92" i="25"/>
  <c r="AI85" i="25"/>
  <c r="AI90" i="25"/>
  <c r="W85" i="25"/>
  <c r="W90" i="25"/>
  <c r="AJ69" i="25"/>
  <c r="W89" i="25"/>
  <c r="AB69" i="25"/>
  <c r="AB76" i="25"/>
  <c r="AB95" i="25"/>
  <c r="AB75" i="25"/>
  <c r="AL2" i="25"/>
  <c r="AB77" i="25"/>
  <c r="AB89" i="25"/>
  <c r="AB105" i="25"/>
  <c r="AB96" i="25"/>
  <c r="AI87" i="25"/>
  <c r="AE85" i="25"/>
  <c r="AE90" i="25"/>
  <c r="K13" i="25"/>
  <c r="K14" i="25"/>
  <c r="AI86" i="25"/>
  <c r="W86" i="25"/>
  <c r="AJ73" i="25"/>
  <c r="AJ72" i="25"/>
  <c r="AJ71" i="25"/>
  <c r="AJ70" i="25"/>
  <c r="AJ82" i="25"/>
  <c r="AJ83" i="25"/>
  <c r="AJ94" i="25"/>
  <c r="AJ93" i="25"/>
  <c r="AJ84" i="25"/>
  <c r="AJ100" i="25"/>
  <c r="AM85" i="25"/>
  <c r="AM90" i="25"/>
  <c r="W88" i="25"/>
  <c r="AF76" i="25"/>
  <c r="AF75" i="25"/>
  <c r="AF78" i="25"/>
  <c r="AF74" i="25"/>
  <c r="AF81" i="25"/>
  <c r="AF83" i="25"/>
  <c r="AF97" i="25"/>
  <c r="AF104" i="25"/>
  <c r="AB101" i="25"/>
  <c r="AJ86" i="25"/>
  <c r="AA85" i="25"/>
  <c r="AA90" i="25"/>
  <c r="AB73" i="25"/>
  <c r="AB78" i="25"/>
  <c r="AB98" i="25"/>
  <c r="AB82" i="25"/>
  <c r="AB70" i="25"/>
  <c r="AB81" i="25"/>
  <c r="AB94" i="25"/>
  <c r="AB93" i="25"/>
  <c r="AB84" i="25"/>
  <c r="AB100" i="25"/>
  <c r="K16" i="25"/>
  <c r="AA87" i="25"/>
  <c r="AJ76" i="25"/>
  <c r="AJ75" i="25"/>
  <c r="AJ74" i="25"/>
  <c r="AJ95" i="25"/>
  <c r="AJ91" i="25"/>
  <c r="AJ6" i="25" s="1"/>
  <c r="AJ102" i="25"/>
  <c r="AJ97" i="25"/>
  <c r="AJ104" i="25"/>
  <c r="AF82" i="25"/>
  <c r="AF79" i="25"/>
  <c r="AF80" i="25"/>
  <c r="AF87" i="25"/>
  <c r="AF106" i="25"/>
  <c r="AF101" i="25"/>
  <c r="AF92" i="25"/>
  <c r="AB106" i="25"/>
  <c r="AJ68" i="25"/>
  <c r="AJ80" i="25"/>
  <c r="AJ81" i="25"/>
  <c r="AB68" i="25"/>
  <c r="AB80" i="25"/>
  <c r="AB103" i="25"/>
  <c r="AB87" i="25"/>
  <c r="AB74" i="25"/>
  <c r="AB91" i="25"/>
  <c r="AB6" i="25" s="1"/>
  <c r="AB102" i="25"/>
  <c r="AB97" i="25"/>
  <c r="AB88" i="25"/>
  <c r="AB104" i="25"/>
  <c r="AA88" i="25"/>
  <c r="AJ106" i="25"/>
  <c r="AJ79" i="25"/>
  <c r="AJ98" i="25"/>
  <c r="AJ78" i="25"/>
  <c r="AJ77" i="25"/>
  <c r="AJ99" i="25"/>
  <c r="AJ7" i="25" s="1"/>
  <c r="AJ103" i="25"/>
  <c r="AJ101" i="25"/>
  <c r="AJ92" i="25"/>
  <c r="AA86" i="25"/>
  <c r="AI88" i="25"/>
  <c r="AE87" i="25"/>
  <c r="AE89" i="25"/>
  <c r="AF68" i="25"/>
  <c r="AF73" i="25"/>
  <c r="AF71" i="25"/>
  <c r="AF105" i="25"/>
  <c r="AF96" i="25"/>
  <c r="AF8" i="25" l="1"/>
  <c r="AK103" i="25"/>
  <c r="AK91" i="25"/>
  <c r="AK6" i="25" s="1"/>
  <c r="AG91" i="25"/>
  <c r="AG6" i="25" s="1"/>
  <c r="AG100" i="25"/>
  <c r="AG99" i="25"/>
  <c r="AG7" i="25" s="1"/>
  <c r="AG94" i="25"/>
  <c r="K19" i="25"/>
  <c r="AG104" i="25"/>
  <c r="AG96" i="25"/>
  <c r="AG92" i="25"/>
  <c r="AB8" i="25"/>
  <c r="AJ8" i="25"/>
  <c r="AL44" i="25"/>
  <c r="AL45" i="25"/>
  <c r="AL46" i="25"/>
  <c r="AL47" i="25"/>
  <c r="AL26" i="25"/>
  <c r="AL48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29" i="25"/>
  <c r="AL33" i="25"/>
  <c r="AL37" i="25"/>
  <c r="AL43" i="25"/>
  <c r="AL4" i="25" s="1"/>
  <c r="AL5" i="25" s="1"/>
  <c r="AL28" i="25"/>
  <c r="AL32" i="25"/>
  <c r="AL36" i="25"/>
  <c r="AL50" i="25"/>
  <c r="AL52" i="25"/>
  <c r="AL27" i="25"/>
  <c r="AL31" i="25"/>
  <c r="AL40" i="25"/>
  <c r="AL42" i="25"/>
  <c r="AL41" i="25"/>
  <c r="AL30" i="25"/>
  <c r="AL38" i="25"/>
  <c r="AL39" i="25"/>
  <c r="AL49" i="25"/>
  <c r="AL51" i="25"/>
  <c r="AL35" i="25"/>
  <c r="AL34" i="25"/>
  <c r="AK99" i="25"/>
  <c r="AK7" i="25" s="1"/>
  <c r="AK100" i="25"/>
  <c r="AJ88" i="25"/>
  <c r="AK95" i="25"/>
  <c r="AK92" i="25"/>
  <c r="AK96" i="25"/>
  <c r="AK104" i="25"/>
  <c r="AJ89" i="25"/>
  <c r="AG103" i="25"/>
  <c r="AG102" i="25"/>
  <c r="AG97" i="25"/>
  <c r="AJ87" i="25"/>
  <c r="AK98" i="25"/>
  <c r="AK93" i="25"/>
  <c r="AF89" i="25"/>
  <c r="AF86" i="25"/>
  <c r="AK102" i="25"/>
  <c r="AK77" i="25"/>
  <c r="AG77" i="25"/>
  <c r="AK76" i="25"/>
  <c r="AK78" i="25"/>
  <c r="AK83" i="25"/>
  <c r="AK97" i="25"/>
  <c r="AB85" i="25"/>
  <c r="AB90" i="25"/>
  <c r="AG72" i="25"/>
  <c r="AG79" i="25"/>
  <c r="AG78" i="25"/>
  <c r="AG106" i="25"/>
  <c r="AG101" i="25"/>
  <c r="AK80" i="25"/>
  <c r="AK84" i="25"/>
  <c r="AG80" i="25"/>
  <c r="AG75" i="25"/>
  <c r="AK70" i="25"/>
  <c r="AK69" i="25"/>
  <c r="AK79" i="25"/>
  <c r="AK72" i="25"/>
  <c r="AK87" i="25"/>
  <c r="AK106" i="25"/>
  <c r="AK101" i="25"/>
  <c r="AB86" i="25"/>
  <c r="AG69" i="25"/>
  <c r="AG74" i="25"/>
  <c r="AG70" i="25"/>
  <c r="AG81" i="25"/>
  <c r="AG82" i="25"/>
  <c r="AG87" i="25"/>
  <c r="AG105" i="25"/>
  <c r="AK68" i="25"/>
  <c r="AK75" i="25"/>
  <c r="AG68" i="25"/>
  <c r="AF85" i="25"/>
  <c r="AF90" i="25"/>
  <c r="AK74" i="25"/>
  <c r="AK73" i="25"/>
  <c r="AK82" i="25"/>
  <c r="AK81" i="25"/>
  <c r="AK71" i="25"/>
  <c r="AK88" i="25"/>
  <c r="AK94" i="25"/>
  <c r="AK89" i="25"/>
  <c r="AK105" i="25"/>
  <c r="AJ85" i="25"/>
  <c r="AJ90" i="25"/>
  <c r="AF88" i="25"/>
  <c r="AG73" i="25"/>
  <c r="AG76" i="25"/>
  <c r="AG71" i="25"/>
  <c r="AG83" i="25"/>
  <c r="AG84" i="25"/>
  <c r="AG95" i="25"/>
  <c r="AG98" i="25"/>
  <c r="AG93" i="25"/>
  <c r="AK8" i="25" l="1"/>
  <c r="AG8" i="25"/>
  <c r="AL80" i="25"/>
  <c r="AL93" i="25"/>
  <c r="AL105" i="25"/>
  <c r="AL104" i="25"/>
  <c r="AL74" i="25"/>
  <c r="AL83" i="25"/>
  <c r="AL75" i="25"/>
  <c r="AL71" i="25"/>
  <c r="AL95" i="25"/>
  <c r="AL77" i="25"/>
  <c r="AG89" i="25"/>
  <c r="AL100" i="25"/>
  <c r="AL96" i="25"/>
  <c r="AL91" i="25"/>
  <c r="AL6" i="25" s="1"/>
  <c r="AL92" i="25"/>
  <c r="AL101" i="25"/>
  <c r="AL97" i="25"/>
  <c r="AL99" i="25"/>
  <c r="AL7" i="25" s="1"/>
  <c r="AL73" i="25"/>
  <c r="AL69" i="25"/>
  <c r="AL81" i="25"/>
  <c r="AL84" i="25"/>
  <c r="AL82" i="25"/>
  <c r="AL98" i="25"/>
  <c r="AG90" i="25"/>
  <c r="AG85" i="25"/>
  <c r="AL68" i="25"/>
  <c r="AL102" i="25"/>
  <c r="AK90" i="25"/>
  <c r="AK85" i="25"/>
  <c r="AG88" i="25"/>
  <c r="AG86" i="25"/>
  <c r="AL72" i="25"/>
  <c r="AL106" i="25"/>
  <c r="AK86" i="25"/>
  <c r="AL70" i="25"/>
  <c r="AL78" i="25"/>
  <c r="AL76" i="25"/>
  <c r="AL79" i="25"/>
  <c r="AL103" i="25"/>
  <c r="AL94" i="25"/>
  <c r="AL8" i="25" l="1"/>
  <c r="AL85" i="25"/>
  <c r="AL90" i="25"/>
  <c r="AL86" i="25"/>
  <c r="AL88" i="25"/>
  <c r="AL87" i="25"/>
  <c r="AL89" i="25"/>
  <c r="E2" i="14" l="1"/>
  <c r="F2" i="14" s="1"/>
  <c r="G2" i="14" s="1"/>
  <c r="H2" i="14" l="1"/>
  <c r="G11" i="14"/>
  <c r="G7" i="14"/>
  <c r="G10" i="14"/>
  <c r="G6" i="14"/>
  <c r="G9" i="14"/>
  <c r="G5" i="14"/>
  <c r="G8" i="14"/>
  <c r="G15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E11" i="13"/>
  <c r="E15" i="13"/>
  <c r="E20" i="13"/>
  <c r="E24" i="13"/>
  <c r="E12" i="13"/>
  <c r="E16" i="13"/>
  <c r="E21" i="13"/>
  <c r="E25" i="13"/>
  <c r="E8" i="13"/>
  <c r="E13" i="13"/>
  <c r="E17" i="13"/>
  <c r="E22" i="13"/>
  <c r="E26" i="13"/>
  <c r="E9" i="13"/>
  <c r="E14" i="13"/>
  <c r="E18" i="13"/>
  <c r="E23" i="13"/>
  <c r="F5" i="13"/>
  <c r="E5" i="14"/>
  <c r="E4" i="14"/>
  <c r="E33" i="13" l="1"/>
  <c r="G5" i="13"/>
  <c r="G44" i="13" s="1"/>
  <c r="F9" i="31"/>
  <c r="G19" i="14"/>
  <c r="G21" i="14"/>
  <c r="G16" i="14"/>
  <c r="G18" i="14"/>
  <c r="G20" i="14"/>
  <c r="G22" i="14"/>
  <c r="G17" i="14"/>
  <c r="I2" i="14"/>
  <c r="H15" i="14"/>
  <c r="H8" i="14"/>
  <c r="H7" i="14"/>
  <c r="H11" i="14"/>
  <c r="H6" i="14"/>
  <c r="H10" i="14"/>
  <c r="H5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J14" i="16"/>
  <c r="H17" i="16"/>
  <c r="H14" i="16"/>
  <c r="I14" i="16"/>
  <c r="D9" i="31" s="1"/>
  <c r="K13" i="16"/>
  <c r="I17" i="16"/>
  <c r="J13" i="16"/>
  <c r="J15" i="16"/>
  <c r="K19" i="16"/>
  <c r="H19" i="16"/>
  <c r="E7" i="13"/>
  <c r="E19" i="13"/>
  <c r="E10" i="13"/>
  <c r="E16" i="14"/>
  <c r="E15" i="14"/>
  <c r="H13" i="16"/>
  <c r="K15" i="16"/>
  <c r="J19" i="16"/>
  <c r="H15" i="16"/>
  <c r="I19" i="16"/>
  <c r="J17" i="16"/>
  <c r="K18" i="16"/>
  <c r="I13" i="16"/>
  <c r="I12" i="16"/>
  <c r="D7" i="31" s="1"/>
  <c r="J12" i="16"/>
  <c r="K17" i="16"/>
  <c r="I18" i="16"/>
  <c r="F20" i="13"/>
  <c r="F11" i="13"/>
  <c r="H12" i="16"/>
  <c r="J18" i="16"/>
  <c r="F26" i="13"/>
  <c r="F25" i="13"/>
  <c r="F23" i="13"/>
  <c r="K12" i="16"/>
  <c r="F7" i="31" s="1"/>
  <c r="F6" i="31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6" i="16" l="1"/>
  <c r="K16" i="16"/>
  <c r="J16" i="16"/>
  <c r="I16" i="16"/>
  <c r="G15" i="13"/>
  <c r="G39" i="13"/>
  <c r="G17" i="13"/>
  <c r="G16" i="13"/>
  <c r="G48" i="13"/>
  <c r="G14" i="13"/>
  <c r="G51" i="13"/>
  <c r="G24" i="13"/>
  <c r="G11" i="13"/>
  <c r="G47" i="13"/>
  <c r="G13" i="13"/>
  <c r="G12" i="13"/>
  <c r="G23" i="13"/>
  <c r="G9" i="13"/>
  <c r="G35" i="13"/>
  <c r="G26" i="13"/>
  <c r="G41" i="13"/>
  <c r="G22" i="13"/>
  <c r="G8" i="13"/>
  <c r="G49" i="13"/>
  <c r="G34" i="13"/>
  <c r="H5" i="13"/>
  <c r="H37" i="13" s="1"/>
  <c r="G25" i="13"/>
  <c r="G46" i="13"/>
  <c r="G21" i="13"/>
  <c r="G20" i="13"/>
  <c r="G43" i="13"/>
  <c r="G18" i="13"/>
  <c r="G38" i="13"/>
  <c r="G52" i="13"/>
  <c r="G50" i="13"/>
  <c r="G40" i="13"/>
  <c r="G37" i="13"/>
  <c r="G42" i="13"/>
  <c r="F14" i="31"/>
  <c r="H17" i="14"/>
  <c r="H16" i="14"/>
  <c r="H18" i="14"/>
  <c r="H21" i="14"/>
  <c r="H19" i="14"/>
  <c r="H20" i="14"/>
  <c r="H22" i="14"/>
  <c r="J2" i="14"/>
  <c r="I5" i="14"/>
  <c r="I9" i="14"/>
  <c r="I15" i="14"/>
  <c r="I8" i="14"/>
  <c r="I7" i="14"/>
  <c r="I11" i="14"/>
  <c r="I6" i="14"/>
  <c r="I10" i="14"/>
  <c r="H50" i="13"/>
  <c r="H35" i="13"/>
  <c r="H25" i="13"/>
  <c r="H11" i="13"/>
  <c r="H15" i="13"/>
  <c r="D6" i="31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E27" i="13"/>
  <c r="F7" i="13"/>
  <c r="I11" i="16"/>
  <c r="L17" i="16"/>
  <c r="L19" i="16"/>
  <c r="L13" i="16"/>
  <c r="H11" i="16"/>
  <c r="L12" i="16"/>
  <c r="F19" i="13"/>
  <c r="L15" i="16"/>
  <c r="L18" i="16"/>
  <c r="F10" i="13"/>
  <c r="I20" i="16" l="1"/>
  <c r="H20" i="16"/>
  <c r="J20" i="16"/>
  <c r="K20" i="16"/>
  <c r="L16" i="16"/>
  <c r="G7" i="13"/>
  <c r="G45" i="13"/>
  <c r="G33" i="13"/>
  <c r="G10" i="13"/>
  <c r="G19" i="13"/>
  <c r="H40" i="13"/>
  <c r="H43" i="13"/>
  <c r="H52" i="13"/>
  <c r="H24" i="13"/>
  <c r="H34" i="13"/>
  <c r="H33" i="13" s="1"/>
  <c r="H41" i="13"/>
  <c r="H22" i="13"/>
  <c r="H38" i="13"/>
  <c r="H42" i="13"/>
  <c r="H20" i="13"/>
  <c r="H44" i="13"/>
  <c r="H46" i="13"/>
  <c r="H13" i="13"/>
  <c r="H9" i="13"/>
  <c r="H47" i="13"/>
  <c r="H21" i="13"/>
  <c r="H17" i="13"/>
  <c r="H26" i="13"/>
  <c r="H8" i="13"/>
  <c r="H51" i="13"/>
  <c r="H14" i="13"/>
  <c r="H16" i="13"/>
  <c r="H23" i="13"/>
  <c r="H39" i="13"/>
  <c r="H48" i="13"/>
  <c r="I5" i="13"/>
  <c r="I42" i="13" s="1"/>
  <c r="H12" i="13"/>
  <c r="H18" i="13"/>
  <c r="H49" i="13"/>
  <c r="G36" i="13"/>
  <c r="I17" i="14"/>
  <c r="I22" i="14"/>
  <c r="I20" i="14"/>
  <c r="I18" i="14"/>
  <c r="I16" i="14"/>
  <c r="I21" i="14"/>
  <c r="I19" i="14"/>
  <c r="J5" i="13"/>
  <c r="I51" i="13"/>
  <c r="I47" i="13"/>
  <c r="I38" i="13"/>
  <c r="I49" i="13"/>
  <c r="I52" i="13"/>
  <c r="I48" i="13"/>
  <c r="I43" i="13"/>
  <c r="I39" i="13"/>
  <c r="I34" i="13"/>
  <c r="I44" i="13"/>
  <c r="I41" i="13"/>
  <c r="I37" i="13"/>
  <c r="I46" i="13"/>
  <c r="I50" i="13"/>
  <c r="I40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K2" i="14"/>
  <c r="J6" i="14"/>
  <c r="J10" i="14"/>
  <c r="J5" i="14"/>
  <c r="J9" i="14"/>
  <c r="J15" i="14"/>
  <c r="J8" i="14"/>
  <c r="J7" i="14"/>
  <c r="J11" i="14"/>
  <c r="D14" i="31"/>
  <c r="F53" i="13"/>
  <c r="F17" i="14"/>
  <c r="F22" i="14"/>
  <c r="F21" i="14"/>
  <c r="F16" i="14"/>
  <c r="F19" i="14"/>
  <c r="F18" i="14"/>
  <c r="F20" i="14"/>
  <c r="L11" i="16"/>
  <c r="F27" i="13"/>
  <c r="L20" i="16" l="1"/>
  <c r="L21" i="16"/>
  <c r="G27" i="13"/>
  <c r="G53" i="13"/>
  <c r="H45" i="13"/>
  <c r="H7" i="13"/>
  <c r="H10" i="13"/>
  <c r="H36" i="13"/>
  <c r="H19" i="13"/>
  <c r="I35" i="13"/>
  <c r="I33" i="13" s="1"/>
  <c r="AA47" i="13" s="1"/>
  <c r="F22" i="31"/>
  <c r="H31" i="16"/>
  <c r="H28" i="16"/>
  <c r="I31" i="16"/>
  <c r="K30" i="16"/>
  <c r="J30" i="16"/>
  <c r="J27" i="16"/>
  <c r="I25" i="16"/>
  <c r="D20" i="31" s="1"/>
  <c r="J28" i="16"/>
  <c r="H26" i="16"/>
  <c r="H30" i="16"/>
  <c r="H32" i="16"/>
  <c r="I32" i="16"/>
  <c r="I27" i="16"/>
  <c r="D22" i="31" s="1"/>
  <c r="J31" i="16"/>
  <c r="K28" i="16"/>
  <c r="H25" i="16"/>
  <c r="I28" i="16"/>
  <c r="J25" i="16"/>
  <c r="K26" i="16"/>
  <c r="H27" i="16"/>
  <c r="I30" i="16"/>
  <c r="K25" i="16"/>
  <c r="F20" i="31" s="1"/>
  <c r="J32" i="16"/>
  <c r="K31" i="16"/>
  <c r="J26" i="16"/>
  <c r="K32" i="16"/>
  <c r="I26" i="16"/>
  <c r="E7" i="31"/>
  <c r="E8" i="31"/>
  <c r="H8" i="31" s="1"/>
  <c r="E12" i="31"/>
  <c r="E10" i="31"/>
  <c r="H10" i="31" s="1"/>
  <c r="E13" i="31"/>
  <c r="H13" i="31" s="1"/>
  <c r="E9" i="31"/>
  <c r="H9" i="31" s="1"/>
  <c r="Z17" i="14"/>
  <c r="J18" i="14"/>
  <c r="Z18" i="14"/>
  <c r="Z19" i="14"/>
  <c r="J16" i="14"/>
  <c r="J22" i="14"/>
  <c r="J20" i="14"/>
  <c r="L2" i="14"/>
  <c r="K7" i="14"/>
  <c r="K11" i="14"/>
  <c r="K6" i="14"/>
  <c r="K10" i="14"/>
  <c r="K5" i="14"/>
  <c r="K9" i="14"/>
  <c r="K15" i="14"/>
  <c r="K8" i="14"/>
  <c r="AK34" i="13"/>
  <c r="I7" i="13"/>
  <c r="AA46" i="13"/>
  <c r="AK33" i="13"/>
  <c r="I45" i="13"/>
  <c r="AA48" i="13"/>
  <c r="AA45" i="13"/>
  <c r="J19" i="14"/>
  <c r="J21" i="14"/>
  <c r="I36" i="13"/>
  <c r="AA44" i="13" s="1"/>
  <c r="J17" i="14"/>
  <c r="I19" i="13"/>
  <c r="I10" i="13"/>
  <c r="K5" i="13"/>
  <c r="J52" i="13"/>
  <c r="J48" i="13"/>
  <c r="J43" i="13"/>
  <c r="J39" i="13"/>
  <c r="J34" i="13"/>
  <c r="J50" i="13"/>
  <c r="J41" i="13"/>
  <c r="J49" i="13"/>
  <c r="J44" i="13"/>
  <c r="J40" i="13"/>
  <c r="J35" i="13"/>
  <c r="J46" i="13"/>
  <c r="J42" i="13"/>
  <c r="J51" i="13"/>
  <c r="J38" i="13"/>
  <c r="J47" i="13"/>
  <c r="J37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H53" i="13" l="1"/>
  <c r="H27" i="13"/>
  <c r="J24" i="16"/>
  <c r="J29" i="16"/>
  <c r="L27" i="16"/>
  <c r="K29" i="16"/>
  <c r="L25" i="16"/>
  <c r="H24" i="16"/>
  <c r="K24" i="16"/>
  <c r="F19" i="31"/>
  <c r="F27" i="31" s="1"/>
  <c r="L30" i="16"/>
  <c r="H29" i="16"/>
  <c r="I29" i="16"/>
  <c r="L26" i="16"/>
  <c r="L28" i="16"/>
  <c r="L31" i="16"/>
  <c r="D19" i="31"/>
  <c r="D27" i="31" s="1"/>
  <c r="I24" i="16"/>
  <c r="L32" i="16"/>
  <c r="AA33" i="13"/>
  <c r="Z20" i="14"/>
  <c r="K19" i="14"/>
  <c r="AA49" i="13"/>
  <c r="AF33" i="13"/>
  <c r="J36" i="13"/>
  <c r="I27" i="13"/>
  <c r="AA8" i="13" s="1"/>
  <c r="K20" i="14"/>
  <c r="J33" i="13"/>
  <c r="AA37" i="13"/>
  <c r="AA38" i="13"/>
  <c r="K22" i="14"/>
  <c r="J19" i="13"/>
  <c r="J10" i="13"/>
  <c r="J45" i="13"/>
  <c r="L5" i="13"/>
  <c r="K49" i="13"/>
  <c r="K44" i="13"/>
  <c r="K40" i="13"/>
  <c r="K35" i="13"/>
  <c r="K51" i="13"/>
  <c r="K50" i="13"/>
  <c r="K46" i="13"/>
  <c r="K41" i="13"/>
  <c r="K37" i="13"/>
  <c r="K47" i="13"/>
  <c r="K42" i="13"/>
  <c r="K43" i="13"/>
  <c r="K34" i="13"/>
  <c r="K39" i="13"/>
  <c r="K48" i="13"/>
  <c r="K38" i="13"/>
  <c r="K52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6" i="13"/>
  <c r="K25" i="13"/>
  <c r="AA34" i="13"/>
  <c r="AF34" i="13"/>
  <c r="K16" i="14"/>
  <c r="K18" i="14"/>
  <c r="I53" i="13"/>
  <c r="K21" i="14"/>
  <c r="M2" i="14"/>
  <c r="L15" i="14"/>
  <c r="L8" i="14"/>
  <c r="L7" i="14"/>
  <c r="L11" i="14"/>
  <c r="L6" i="14"/>
  <c r="L10" i="14"/>
  <c r="L5" i="14"/>
  <c r="L9" i="14"/>
  <c r="J7" i="13"/>
  <c r="AA35" i="13"/>
  <c r="AK35" i="13"/>
  <c r="AA36" i="13"/>
  <c r="K17" i="14"/>
  <c r="E6" i="31"/>
  <c r="H7" i="31"/>
  <c r="E11" i="31"/>
  <c r="H11" i="31" s="1"/>
  <c r="H12" i="31"/>
  <c r="K33" i="16" l="1"/>
  <c r="J33" i="16"/>
  <c r="I33" i="16"/>
  <c r="L29" i="16"/>
  <c r="H33" i="16"/>
  <c r="L24" i="16"/>
  <c r="J27" i="13"/>
  <c r="AF35" i="13"/>
  <c r="L17" i="14"/>
  <c r="K33" i="13"/>
  <c r="L20" i="14"/>
  <c r="L22" i="14"/>
  <c r="L16" i="14"/>
  <c r="L18" i="14"/>
  <c r="AA39" i="13"/>
  <c r="L21" i="14"/>
  <c r="L19" i="14"/>
  <c r="J53" i="13"/>
  <c r="N2" i="14"/>
  <c r="M5" i="14"/>
  <c r="M9" i="14"/>
  <c r="M15" i="14"/>
  <c r="M8" i="14"/>
  <c r="M7" i="14"/>
  <c r="M11" i="14"/>
  <c r="M6" i="14"/>
  <c r="M10" i="14"/>
  <c r="K7" i="13"/>
  <c r="K36" i="13"/>
  <c r="K19" i="13"/>
  <c r="K10" i="13"/>
  <c r="M5" i="13"/>
  <c r="L50" i="13"/>
  <c r="L46" i="13"/>
  <c r="L41" i="13"/>
  <c r="L37" i="13"/>
  <c r="L43" i="13"/>
  <c r="L51" i="13"/>
  <c r="L47" i="13"/>
  <c r="L42" i="13"/>
  <c r="L38" i="13"/>
  <c r="L52" i="13"/>
  <c r="L48" i="13"/>
  <c r="L44" i="13"/>
  <c r="L35" i="13"/>
  <c r="L40" i="13"/>
  <c r="L49" i="13"/>
  <c r="L39" i="13"/>
  <c r="L34" i="13"/>
  <c r="L8" i="13"/>
  <c r="L9" i="13"/>
  <c r="L13" i="13"/>
  <c r="L17" i="13"/>
  <c r="L22" i="13"/>
  <c r="L11" i="13"/>
  <c r="L15" i="13"/>
  <c r="L25" i="13"/>
  <c r="L12" i="13"/>
  <c r="L16" i="13"/>
  <c r="L21" i="13"/>
  <c r="L26" i="13"/>
  <c r="L14" i="13"/>
  <c r="L18" i="13"/>
  <c r="L23" i="13"/>
  <c r="L20" i="13"/>
  <c r="L24" i="13"/>
  <c r="K45" i="13"/>
  <c r="E14" i="31"/>
  <c r="H14" i="31" s="1"/>
  <c r="H6" i="31"/>
  <c r="L33" i="16" l="1"/>
  <c r="E22" i="31"/>
  <c r="H22" i="31" s="1"/>
  <c r="L9" i="31" s="1"/>
  <c r="E25" i="31"/>
  <c r="E23" i="31"/>
  <c r="H23" i="31" s="1"/>
  <c r="L10" i="31" s="1"/>
  <c r="E26" i="31"/>
  <c r="H26" i="31" s="1"/>
  <c r="E21" i="31"/>
  <c r="H21" i="31" s="1"/>
  <c r="E20" i="31"/>
  <c r="L33" i="13"/>
  <c r="K53" i="13"/>
  <c r="M17" i="14"/>
  <c r="L7" i="13"/>
  <c r="K27" i="13"/>
  <c r="L36" i="13"/>
  <c r="N5" i="13"/>
  <c r="F35" i="31" s="1"/>
  <c r="M51" i="13"/>
  <c r="M47" i="13"/>
  <c r="M42" i="13"/>
  <c r="M38" i="13"/>
  <c r="M44" i="13"/>
  <c r="M52" i="13"/>
  <c r="M48" i="13"/>
  <c r="M43" i="13"/>
  <c r="M39" i="13"/>
  <c r="M34" i="13"/>
  <c r="M49" i="13"/>
  <c r="M46" i="13"/>
  <c r="M37" i="13"/>
  <c r="M50" i="13"/>
  <c r="M40" i="13"/>
  <c r="M41" i="13"/>
  <c r="M35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L10" i="13"/>
  <c r="M22" i="14"/>
  <c r="M20" i="14"/>
  <c r="L45" i="13"/>
  <c r="M18" i="14"/>
  <c r="M16" i="14"/>
  <c r="L19" i="13"/>
  <c r="M21" i="14"/>
  <c r="M19" i="14"/>
  <c r="O2" i="14"/>
  <c r="N6" i="14"/>
  <c r="N10" i="14"/>
  <c r="N5" i="14"/>
  <c r="N9" i="14"/>
  <c r="N15" i="14"/>
  <c r="N8" i="14"/>
  <c r="N7" i="14"/>
  <c r="N11" i="14"/>
  <c r="E19" i="31" l="1"/>
  <c r="H19" i="31" s="1"/>
  <c r="L8" i="31" s="1"/>
  <c r="H20" i="31"/>
  <c r="H25" i="31"/>
  <c r="E24" i="31"/>
  <c r="L53" i="13"/>
  <c r="L27" i="13"/>
  <c r="N18" i="14"/>
  <c r="N22" i="14"/>
  <c r="N20" i="14"/>
  <c r="P2" i="14"/>
  <c r="O7" i="14"/>
  <c r="O11" i="14"/>
  <c r="O6" i="14"/>
  <c r="O10" i="14"/>
  <c r="O5" i="14"/>
  <c r="O9" i="14"/>
  <c r="O15" i="14"/>
  <c r="O8" i="14"/>
  <c r="M7" i="13"/>
  <c r="M33" i="13"/>
  <c r="N16" i="14"/>
  <c r="M36" i="13"/>
  <c r="N19" i="14"/>
  <c r="N21" i="14"/>
  <c r="M19" i="13"/>
  <c r="M10" i="13"/>
  <c r="M45" i="13"/>
  <c r="O5" i="13"/>
  <c r="N52" i="13"/>
  <c r="N48" i="13"/>
  <c r="N43" i="13"/>
  <c r="N39" i="13"/>
  <c r="N34" i="13"/>
  <c r="N46" i="13"/>
  <c r="N49" i="13"/>
  <c r="N44" i="13"/>
  <c r="N40" i="13"/>
  <c r="N35" i="13"/>
  <c r="N50" i="13"/>
  <c r="N41" i="13"/>
  <c r="N47" i="13"/>
  <c r="N38" i="13"/>
  <c r="N42" i="13"/>
  <c r="N51" i="13"/>
  <c r="N37" i="13"/>
  <c r="N25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6" i="13"/>
  <c r="H71" i="16"/>
  <c r="H70" i="16"/>
  <c r="H66" i="16"/>
  <c r="K69" i="16"/>
  <c r="K64" i="16"/>
  <c r="F33" i="31" s="1"/>
  <c r="J69" i="16"/>
  <c r="I71" i="16"/>
  <c r="I65" i="16"/>
  <c r="J64" i="16"/>
  <c r="H69" i="16"/>
  <c r="H67" i="16"/>
  <c r="I69" i="16"/>
  <c r="K70" i="16"/>
  <c r="K65" i="16"/>
  <c r="I67" i="16"/>
  <c r="J71" i="16"/>
  <c r="K67" i="16"/>
  <c r="K71" i="16"/>
  <c r="H65" i="16"/>
  <c r="H64" i="16"/>
  <c r="I70" i="16"/>
  <c r="J67" i="16"/>
  <c r="I64" i="16"/>
  <c r="D33" i="31" s="1"/>
  <c r="J65" i="16"/>
  <c r="J66" i="16"/>
  <c r="I66" i="16"/>
  <c r="D35" i="31" s="1"/>
  <c r="J70" i="16"/>
  <c r="N17" i="14"/>
  <c r="H24" i="31" l="1"/>
  <c r="L11" i="31" s="1"/>
  <c r="L12" i="31" s="1"/>
  <c r="E27" i="31"/>
  <c r="H27" i="31" s="1"/>
  <c r="M27" i="13"/>
  <c r="N7" i="13"/>
  <c r="M53" i="13"/>
  <c r="J63" i="16"/>
  <c r="F32" i="31"/>
  <c r="F40" i="31" s="1"/>
  <c r="K63" i="16"/>
  <c r="L71" i="16"/>
  <c r="O17" i="14"/>
  <c r="I68" i="16"/>
  <c r="N45" i="13"/>
  <c r="O20" i="14"/>
  <c r="O22" i="14"/>
  <c r="I63" i="16"/>
  <c r="H63" i="16"/>
  <c r="L64" i="16"/>
  <c r="K68" i="16"/>
  <c r="L65" i="16"/>
  <c r="L67" i="16"/>
  <c r="L66" i="16"/>
  <c r="N19" i="13"/>
  <c r="N10" i="13"/>
  <c r="N36" i="13"/>
  <c r="N33" i="13"/>
  <c r="O16" i="14"/>
  <c r="O18" i="14"/>
  <c r="L69" i="16"/>
  <c r="H68" i="16"/>
  <c r="J68" i="16"/>
  <c r="L70" i="16"/>
  <c r="P5" i="13"/>
  <c r="O49" i="13"/>
  <c r="O44" i="13"/>
  <c r="O40" i="13"/>
  <c r="O35" i="13"/>
  <c r="O47" i="13"/>
  <c r="O42" i="13"/>
  <c r="O50" i="13"/>
  <c r="O46" i="13"/>
  <c r="O41" i="13"/>
  <c r="O37" i="13"/>
  <c r="O51" i="13"/>
  <c r="O48" i="13"/>
  <c r="O39" i="13"/>
  <c r="O52" i="13"/>
  <c r="O34" i="13"/>
  <c r="O43" i="13"/>
  <c r="O38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9" i="14"/>
  <c r="O21" i="14"/>
  <c r="Q2" i="14"/>
  <c r="P15" i="14"/>
  <c r="P8" i="14"/>
  <c r="P7" i="14"/>
  <c r="P11" i="14"/>
  <c r="P6" i="14"/>
  <c r="P10" i="14"/>
  <c r="P5" i="14"/>
  <c r="P9" i="14"/>
  <c r="O33" i="13" l="1"/>
  <c r="N27" i="13"/>
  <c r="P17" i="14"/>
  <c r="P16" i="14"/>
  <c r="N53" i="13"/>
  <c r="I72" i="16"/>
  <c r="O7" i="13"/>
  <c r="O36" i="13"/>
  <c r="L63" i="16"/>
  <c r="H72" i="16"/>
  <c r="K72" i="16"/>
  <c r="P20" i="14"/>
  <c r="P22" i="14"/>
  <c r="R2" i="14"/>
  <c r="Q5" i="14"/>
  <c r="Q9" i="14"/>
  <c r="Q15" i="14"/>
  <c r="Q8" i="14"/>
  <c r="Q7" i="14"/>
  <c r="Q11" i="14"/>
  <c r="Q6" i="14"/>
  <c r="Q10" i="14"/>
  <c r="P18" i="14"/>
  <c r="O19" i="13"/>
  <c r="O10" i="13"/>
  <c r="O45" i="13"/>
  <c r="Q5" i="13"/>
  <c r="P50" i="13"/>
  <c r="P46" i="13"/>
  <c r="P41" i="13"/>
  <c r="P37" i="13"/>
  <c r="P52" i="13"/>
  <c r="P48" i="13"/>
  <c r="P51" i="13"/>
  <c r="P47" i="13"/>
  <c r="P42" i="13"/>
  <c r="P38" i="13"/>
  <c r="P43" i="13"/>
  <c r="P49" i="13"/>
  <c r="P40" i="13"/>
  <c r="P44" i="13"/>
  <c r="P39" i="13"/>
  <c r="P34" i="13"/>
  <c r="P35" i="13"/>
  <c r="P8" i="13"/>
  <c r="P9" i="13"/>
  <c r="P14" i="13"/>
  <c r="P18" i="13"/>
  <c r="P23" i="13"/>
  <c r="P25" i="13"/>
  <c r="P16" i="13"/>
  <c r="P21" i="13"/>
  <c r="P13" i="13"/>
  <c r="P17" i="13"/>
  <c r="P22" i="13"/>
  <c r="P12" i="13"/>
  <c r="P11" i="13"/>
  <c r="P15" i="13"/>
  <c r="P20" i="13"/>
  <c r="P24" i="13"/>
  <c r="P26" i="13"/>
  <c r="L68" i="16"/>
  <c r="D32" i="31"/>
  <c r="P21" i="14"/>
  <c r="P19" i="14"/>
  <c r="J72" i="16"/>
  <c r="E34" i="31" l="1"/>
  <c r="H34" i="31" s="1"/>
  <c r="E35" i="31"/>
  <c r="E36" i="31"/>
  <c r="H36" i="31" s="1"/>
  <c r="E39" i="31"/>
  <c r="H39" i="31" s="1"/>
  <c r="E38" i="31"/>
  <c r="E33" i="31"/>
  <c r="Q17" i="14"/>
  <c r="Q18" i="14"/>
  <c r="O27" i="13"/>
  <c r="Q22" i="14"/>
  <c r="Q21" i="14"/>
  <c r="O53" i="13"/>
  <c r="Q20" i="14"/>
  <c r="P19" i="13"/>
  <c r="P33" i="13"/>
  <c r="P36" i="13"/>
  <c r="R5" i="13"/>
  <c r="Q51" i="13"/>
  <c r="Q47" i="13"/>
  <c r="Q42" i="13"/>
  <c r="Q38" i="13"/>
  <c r="Q49" i="13"/>
  <c r="Q52" i="13"/>
  <c r="Q48" i="13"/>
  <c r="Q43" i="13"/>
  <c r="Q39" i="13"/>
  <c r="Q34" i="13"/>
  <c r="Q44" i="13"/>
  <c r="Q50" i="13"/>
  <c r="Q41" i="13"/>
  <c r="Q46" i="13"/>
  <c r="Q40" i="13"/>
  <c r="Q35" i="13"/>
  <c r="Q37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16" i="14"/>
  <c r="D40" i="31"/>
  <c r="Q19" i="14"/>
  <c r="S2" i="14"/>
  <c r="R6" i="14"/>
  <c r="R10" i="14"/>
  <c r="R5" i="14"/>
  <c r="R9" i="14"/>
  <c r="R15" i="14"/>
  <c r="R8" i="14"/>
  <c r="R7" i="14"/>
  <c r="R11" i="14"/>
  <c r="L72" i="16"/>
  <c r="P10" i="13"/>
  <c r="P7" i="13"/>
  <c r="P45" i="13"/>
  <c r="P53" i="13" l="1"/>
  <c r="P27" i="13"/>
  <c r="Q7" i="13"/>
  <c r="Q45" i="13"/>
  <c r="Q36" i="13"/>
  <c r="R17" i="14"/>
  <c r="Q33" i="13"/>
  <c r="R22" i="14"/>
  <c r="R20" i="14"/>
  <c r="S15" i="14"/>
  <c r="S8" i="14"/>
  <c r="S5" i="14"/>
  <c r="S9" i="14"/>
  <c r="S6" i="14"/>
  <c r="S10" i="14"/>
  <c r="S7" i="14"/>
  <c r="S11" i="14"/>
  <c r="E37" i="31"/>
  <c r="H37" i="31" s="1"/>
  <c r="H38" i="31"/>
  <c r="E32" i="31"/>
  <c r="H32" i="31" s="1"/>
  <c r="H33" i="31"/>
  <c r="R18" i="14"/>
  <c r="R16" i="14"/>
  <c r="Q19" i="13"/>
  <c r="Q10" i="13"/>
  <c r="S5" i="13"/>
  <c r="F48" i="31" s="1"/>
  <c r="R52" i="13"/>
  <c r="R48" i="13"/>
  <c r="R43" i="13"/>
  <c r="R39" i="13"/>
  <c r="R34" i="13"/>
  <c r="R50" i="13"/>
  <c r="R49" i="13"/>
  <c r="R44" i="13"/>
  <c r="R40" i="13"/>
  <c r="R35" i="13"/>
  <c r="R46" i="13"/>
  <c r="R41" i="13"/>
  <c r="R51" i="13"/>
  <c r="R37" i="13"/>
  <c r="R42" i="13"/>
  <c r="R38" i="13"/>
  <c r="R47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H35" i="31"/>
  <c r="Y10" i="14" l="1"/>
  <c r="S17" i="14"/>
  <c r="S21" i="14"/>
  <c r="S22" i="14"/>
  <c r="E40" i="31"/>
  <c r="H40" i="31" s="1"/>
  <c r="S18" i="14"/>
  <c r="S19" i="14"/>
  <c r="S20" i="14"/>
  <c r="Q27" i="13"/>
  <c r="Q53" i="13"/>
  <c r="R45" i="13"/>
  <c r="R19" i="13"/>
  <c r="R10" i="13"/>
  <c r="S49" i="13"/>
  <c r="S44" i="13"/>
  <c r="S40" i="13"/>
  <c r="S35" i="13"/>
  <c r="S51" i="13"/>
  <c r="S42" i="13"/>
  <c r="S50" i="13"/>
  <c r="S46" i="13"/>
  <c r="S41" i="13"/>
  <c r="S37" i="13"/>
  <c r="S47" i="13"/>
  <c r="S52" i="13"/>
  <c r="S34" i="13"/>
  <c r="S43" i="13"/>
  <c r="S38" i="13"/>
  <c r="S39" i="13"/>
  <c r="S48" i="13"/>
  <c r="I84" i="16"/>
  <c r="J80" i="16"/>
  <c r="I78" i="16"/>
  <c r="I79" i="16"/>
  <c r="D48" i="31" s="1"/>
  <c r="K84" i="16"/>
  <c r="S25" i="13"/>
  <c r="K82" i="16"/>
  <c r="S9" i="13"/>
  <c r="K80" i="16"/>
  <c r="S12" i="13"/>
  <c r="S14" i="13"/>
  <c r="S17" i="13"/>
  <c r="T5" i="13"/>
  <c r="F61" i="31" s="1"/>
  <c r="H78" i="16"/>
  <c r="H83" i="16"/>
  <c r="H84" i="16"/>
  <c r="S20" i="13"/>
  <c r="K83" i="16"/>
  <c r="K78" i="16"/>
  <c r="S13" i="13"/>
  <c r="K77" i="16"/>
  <c r="F46" i="31" s="1"/>
  <c r="S15" i="13"/>
  <c r="S21" i="13"/>
  <c r="I83" i="16"/>
  <c r="H82" i="16"/>
  <c r="S16" i="13"/>
  <c r="S24" i="13"/>
  <c r="J83" i="16"/>
  <c r="H79" i="16"/>
  <c r="I80" i="16"/>
  <c r="J84" i="16"/>
  <c r="I82" i="16"/>
  <c r="S18" i="13"/>
  <c r="S23" i="13"/>
  <c r="J78" i="16"/>
  <c r="H80" i="16"/>
  <c r="I77" i="16"/>
  <c r="D46" i="31" s="1"/>
  <c r="J77" i="16"/>
  <c r="H77" i="16"/>
  <c r="S22" i="13"/>
  <c r="J82" i="16"/>
  <c r="S11" i="13"/>
  <c r="J79" i="16"/>
  <c r="S26" i="13"/>
  <c r="S8" i="13"/>
  <c r="U2" i="14"/>
  <c r="U4" i="14" s="1"/>
  <c r="T6" i="14"/>
  <c r="T10" i="14"/>
  <c r="T7" i="14"/>
  <c r="T11" i="14"/>
  <c r="T15" i="14"/>
  <c r="T8" i="14"/>
  <c r="T5" i="14"/>
  <c r="T9" i="14"/>
  <c r="R7" i="13"/>
  <c r="R36" i="13"/>
  <c r="S16" i="14"/>
  <c r="R33" i="13"/>
  <c r="AA19" i="14" l="1"/>
  <c r="AA18" i="14"/>
  <c r="S19" i="13"/>
  <c r="AA17" i="14"/>
  <c r="I81" i="16"/>
  <c r="R27" i="13"/>
  <c r="AL34" i="13"/>
  <c r="T22" i="14"/>
  <c r="T16" i="14"/>
  <c r="T18" i="14"/>
  <c r="S7" i="13"/>
  <c r="AB45" i="13"/>
  <c r="T20" i="14"/>
  <c r="T19" i="14"/>
  <c r="T21" i="14"/>
  <c r="L80" i="16"/>
  <c r="L84" i="16"/>
  <c r="U5" i="13"/>
  <c r="T44" i="13"/>
  <c r="T46" i="13"/>
  <c r="T42" i="13"/>
  <c r="T43" i="13"/>
  <c r="K95" i="16"/>
  <c r="I91" i="16"/>
  <c r="I95" i="16"/>
  <c r="I93" i="16"/>
  <c r="I92" i="16"/>
  <c r="D61" i="31" s="1"/>
  <c r="T20" i="13"/>
  <c r="H97" i="16"/>
  <c r="T26" i="13"/>
  <c r="J93" i="16"/>
  <c r="T24" i="13"/>
  <c r="T9" i="13"/>
  <c r="T40" i="13"/>
  <c r="T41" i="13"/>
  <c r="T38" i="13"/>
  <c r="T52" i="13"/>
  <c r="K96" i="16"/>
  <c r="I97" i="16"/>
  <c r="K91" i="16"/>
  <c r="T14" i="13"/>
  <c r="H95" i="16"/>
  <c r="H93" i="16"/>
  <c r="T8" i="13"/>
  <c r="H92" i="16"/>
  <c r="T13" i="13"/>
  <c r="T16" i="13"/>
  <c r="T23" i="13"/>
  <c r="T25" i="13"/>
  <c r="T34" i="13"/>
  <c r="T37" i="13"/>
  <c r="T51" i="13"/>
  <c r="T48" i="13"/>
  <c r="J97" i="16"/>
  <c r="I90" i="16"/>
  <c r="D59" i="31" s="1"/>
  <c r="J91" i="16"/>
  <c r="K93" i="16"/>
  <c r="I96" i="16"/>
  <c r="T17" i="13"/>
  <c r="H91" i="16"/>
  <c r="H90" i="16"/>
  <c r="T12" i="13"/>
  <c r="H96" i="16"/>
  <c r="T18" i="13"/>
  <c r="T15" i="13"/>
  <c r="T50" i="13"/>
  <c r="T47" i="13"/>
  <c r="J92" i="16"/>
  <c r="K90" i="16"/>
  <c r="F59" i="31" s="1"/>
  <c r="J90" i="16"/>
  <c r="T21" i="13"/>
  <c r="T22" i="13"/>
  <c r="T49" i="13"/>
  <c r="T35" i="13"/>
  <c r="T39" i="13"/>
  <c r="K97" i="16"/>
  <c r="J95" i="16"/>
  <c r="J96" i="16"/>
  <c r="T11" i="13"/>
  <c r="S36" i="13"/>
  <c r="AB44" i="13" s="1"/>
  <c r="R53" i="13"/>
  <c r="T17" i="14"/>
  <c r="H76" i="16"/>
  <c r="L77" i="16"/>
  <c r="S33" i="13"/>
  <c r="AB47" i="13" s="1"/>
  <c r="S10" i="13"/>
  <c r="J76" i="16"/>
  <c r="L83" i="16"/>
  <c r="K81" i="16"/>
  <c r="AB48" i="13"/>
  <c r="AL33" i="13"/>
  <c r="AB46" i="13"/>
  <c r="S45" i="13"/>
  <c r="V2" i="14"/>
  <c r="V4" i="14" s="1"/>
  <c r="U15" i="14"/>
  <c r="U8" i="14"/>
  <c r="U5" i="14"/>
  <c r="U9" i="14"/>
  <c r="U6" i="14"/>
  <c r="U10" i="14"/>
  <c r="U7" i="14"/>
  <c r="U11" i="14"/>
  <c r="J81" i="16"/>
  <c r="I76" i="16"/>
  <c r="L79" i="16"/>
  <c r="H81" i="16"/>
  <c r="L82" i="16"/>
  <c r="F45" i="31"/>
  <c r="F53" i="31" s="1"/>
  <c r="K76" i="16"/>
  <c r="L78" i="16"/>
  <c r="S27" i="13" l="1"/>
  <c r="AB8" i="13" s="1"/>
  <c r="AA20" i="14"/>
  <c r="I85" i="16"/>
  <c r="T7" i="13"/>
  <c r="AL35" i="13"/>
  <c r="U21" i="14"/>
  <c r="U19" i="14"/>
  <c r="U17" i="14"/>
  <c r="U22" i="14"/>
  <c r="AB33" i="13"/>
  <c r="U20" i="14"/>
  <c r="L81" i="16"/>
  <c r="K85" i="16"/>
  <c r="T10" i="13"/>
  <c r="L96" i="16"/>
  <c r="U18" i="14"/>
  <c r="U16" i="14"/>
  <c r="AG34" i="13"/>
  <c r="AB36" i="13"/>
  <c r="S53" i="13"/>
  <c r="AB37" i="13"/>
  <c r="AB35" i="13"/>
  <c r="L93" i="16"/>
  <c r="T19" i="13"/>
  <c r="T45" i="13"/>
  <c r="AB38" i="13"/>
  <c r="J85" i="16"/>
  <c r="AG33" i="13"/>
  <c r="AB34" i="13"/>
  <c r="J89" i="16"/>
  <c r="T33" i="13"/>
  <c r="H94" i="16"/>
  <c r="L95" i="16"/>
  <c r="K94" i="16"/>
  <c r="W2" i="14"/>
  <c r="W4" i="14" s="1"/>
  <c r="V5" i="14"/>
  <c r="V9" i="14"/>
  <c r="V6" i="14"/>
  <c r="V10" i="14"/>
  <c r="V7" i="14"/>
  <c r="V11" i="14"/>
  <c r="V8" i="14"/>
  <c r="V15" i="14"/>
  <c r="AB49" i="13"/>
  <c r="J94" i="16"/>
  <c r="F58" i="31"/>
  <c r="F66" i="31" s="1"/>
  <c r="K89" i="16"/>
  <c r="L90" i="16"/>
  <c r="H89" i="16"/>
  <c r="L92" i="16"/>
  <c r="V5" i="13"/>
  <c r="U50" i="13"/>
  <c r="U46" i="13"/>
  <c r="U41" i="13"/>
  <c r="U37" i="13"/>
  <c r="U43" i="13"/>
  <c r="U51" i="13"/>
  <c r="U47" i="13"/>
  <c r="U42" i="13"/>
  <c r="U38" i="13"/>
  <c r="U52" i="13"/>
  <c r="U48" i="13"/>
  <c r="U35" i="13"/>
  <c r="U44" i="13"/>
  <c r="U49" i="13"/>
  <c r="U34" i="13"/>
  <c r="U39" i="13"/>
  <c r="U40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I89" i="16"/>
  <c r="T36" i="13"/>
  <c r="D45" i="31"/>
  <c r="H85" i="16"/>
  <c r="L76" i="16"/>
  <c r="L91" i="16"/>
  <c r="L97" i="16"/>
  <c r="I94" i="16"/>
  <c r="E48" i="31" l="1"/>
  <c r="E46" i="31"/>
  <c r="E47" i="31"/>
  <c r="H47" i="31" s="1"/>
  <c r="E51" i="31"/>
  <c r="E52" i="31"/>
  <c r="H52" i="31" s="1"/>
  <c r="E49" i="31"/>
  <c r="H49" i="31" s="1"/>
  <c r="M10" i="31" s="1"/>
  <c r="L85" i="16"/>
  <c r="T53" i="13"/>
  <c r="T27" i="13"/>
  <c r="V22" i="14"/>
  <c r="V20" i="14"/>
  <c r="AB39" i="13"/>
  <c r="I98" i="16"/>
  <c r="V18" i="14"/>
  <c r="V16" i="14"/>
  <c r="AG35" i="13"/>
  <c r="U19" i="13"/>
  <c r="U10" i="13"/>
  <c r="U33" i="13"/>
  <c r="K98" i="16"/>
  <c r="U36" i="13"/>
  <c r="W5" i="13"/>
  <c r="V51" i="13"/>
  <c r="V47" i="13"/>
  <c r="V42" i="13"/>
  <c r="V38" i="13"/>
  <c r="V44" i="13"/>
  <c r="V52" i="13"/>
  <c r="V48" i="13"/>
  <c r="V43" i="13"/>
  <c r="V39" i="13"/>
  <c r="V34" i="13"/>
  <c r="V49" i="13"/>
  <c r="V37" i="13"/>
  <c r="V35" i="13"/>
  <c r="V41" i="13"/>
  <c r="V40" i="13"/>
  <c r="V46" i="13"/>
  <c r="V50" i="13"/>
  <c r="V8" i="13"/>
  <c r="V11" i="13"/>
  <c r="V13" i="13"/>
  <c r="V15" i="13"/>
  <c r="V17" i="13"/>
  <c r="V20" i="13"/>
  <c r="V22" i="13"/>
  <c r="V24" i="13"/>
  <c r="V26" i="13"/>
  <c r="V9" i="13"/>
  <c r="V12" i="13"/>
  <c r="V14" i="13"/>
  <c r="V16" i="13"/>
  <c r="V18" i="13"/>
  <c r="V21" i="13"/>
  <c r="V23" i="13"/>
  <c r="V25" i="13"/>
  <c r="L94" i="16"/>
  <c r="J98" i="16"/>
  <c r="D58" i="31"/>
  <c r="D53" i="31"/>
  <c r="U7" i="13"/>
  <c r="U45" i="13"/>
  <c r="V21" i="14"/>
  <c r="W5" i="14"/>
  <c r="W9" i="14"/>
  <c r="W6" i="14"/>
  <c r="W10" i="14"/>
  <c r="W7" i="14"/>
  <c r="W11" i="14"/>
  <c r="W8" i="14"/>
  <c r="W15" i="14"/>
  <c r="L89" i="16"/>
  <c r="H98" i="16"/>
  <c r="V19" i="14"/>
  <c r="V17" i="14"/>
  <c r="F74" i="31" l="1"/>
  <c r="K133" i="16"/>
  <c r="R133" i="16"/>
  <c r="E62" i="31"/>
  <c r="H62" i="31" s="1"/>
  <c r="E61" i="31"/>
  <c r="E59" i="31"/>
  <c r="E60" i="31"/>
  <c r="H60" i="31" s="1"/>
  <c r="E65" i="31"/>
  <c r="H65" i="31" s="1"/>
  <c r="E64" i="31"/>
  <c r="U27" i="13"/>
  <c r="L98" i="16"/>
  <c r="W18" i="14"/>
  <c r="W16" i="14"/>
  <c r="U53" i="13"/>
  <c r="W22" i="14"/>
  <c r="V7" i="13"/>
  <c r="V33" i="13"/>
  <c r="W21" i="14"/>
  <c r="D66" i="31"/>
  <c r="H48" i="31"/>
  <c r="M9" i="31" s="1"/>
  <c r="W19" i="14"/>
  <c r="W17" i="14"/>
  <c r="V45" i="13"/>
  <c r="V36" i="13"/>
  <c r="W43" i="13"/>
  <c r="X43" i="13" s="1"/>
  <c r="W40" i="13"/>
  <c r="X40" i="13" s="1"/>
  <c r="W50" i="13"/>
  <c r="X50" i="13" s="1"/>
  <c r="W42" i="13"/>
  <c r="X42" i="13" s="1"/>
  <c r="H117" i="16"/>
  <c r="J123" i="16"/>
  <c r="J121" i="16"/>
  <c r="H116" i="16"/>
  <c r="W25" i="13"/>
  <c r="X25" i="13" s="1"/>
  <c r="H123" i="16"/>
  <c r="W8" i="13"/>
  <c r="X8" i="13" s="1"/>
  <c r="I116" i="16"/>
  <c r="W15" i="13"/>
  <c r="X15" i="13" s="1"/>
  <c r="J118" i="16"/>
  <c r="I117" i="16"/>
  <c r="I118" i="16"/>
  <c r="W14" i="13"/>
  <c r="X14" i="13" s="1"/>
  <c r="W18" i="13"/>
  <c r="X18" i="13" s="1"/>
  <c r="W39" i="13"/>
  <c r="X39" i="13" s="1"/>
  <c r="W34" i="13"/>
  <c r="X34" i="13" s="1"/>
  <c r="W46" i="13"/>
  <c r="X46" i="13" s="1"/>
  <c r="W51" i="13"/>
  <c r="X51" i="13" s="1"/>
  <c r="H118" i="16"/>
  <c r="J117" i="16"/>
  <c r="K119" i="16"/>
  <c r="J116" i="16"/>
  <c r="W24" i="13"/>
  <c r="X24" i="13" s="1"/>
  <c r="I121" i="16"/>
  <c r="J122" i="16"/>
  <c r="H121" i="16"/>
  <c r="W13" i="13"/>
  <c r="X13" i="13" s="1"/>
  <c r="H122" i="16"/>
  <c r="W12" i="13"/>
  <c r="X12" i="13" s="1"/>
  <c r="W20" i="13"/>
  <c r="X20" i="13" s="1"/>
  <c r="W52" i="13"/>
  <c r="W49" i="13"/>
  <c r="X49" i="13" s="1"/>
  <c r="W41" i="13"/>
  <c r="X41" i="13" s="1"/>
  <c r="W37" i="13"/>
  <c r="X37" i="13" s="1"/>
  <c r="W38" i="13"/>
  <c r="X38" i="13" s="1"/>
  <c r="J119" i="16"/>
  <c r="H119" i="16"/>
  <c r="K121" i="16"/>
  <c r="K116" i="16"/>
  <c r="I122" i="16"/>
  <c r="W22" i="13"/>
  <c r="X22" i="13" s="1"/>
  <c r="W23" i="13"/>
  <c r="X23" i="13" s="1"/>
  <c r="W17" i="13"/>
  <c r="X17" i="13" s="1"/>
  <c r="I119" i="16"/>
  <c r="W9" i="13"/>
  <c r="X9" i="13" s="1"/>
  <c r="W48" i="13"/>
  <c r="X48" i="13" s="1"/>
  <c r="W44" i="13"/>
  <c r="X44" i="13" s="1"/>
  <c r="W47" i="13"/>
  <c r="X47" i="13" s="1"/>
  <c r="W35" i="13"/>
  <c r="X35" i="13" s="1"/>
  <c r="I123" i="16"/>
  <c r="K123" i="16"/>
  <c r="K117" i="16"/>
  <c r="K122" i="16"/>
  <c r="W26" i="13"/>
  <c r="W21" i="13"/>
  <c r="X21" i="13" s="1"/>
  <c r="W11" i="13"/>
  <c r="X11" i="13" s="1"/>
  <c r="W16" i="13"/>
  <c r="X16" i="13" s="1"/>
  <c r="E45" i="31"/>
  <c r="H45" i="31" s="1"/>
  <c r="M8" i="31" s="1"/>
  <c r="H46" i="31"/>
  <c r="E50" i="31"/>
  <c r="H50" i="31" s="1"/>
  <c r="M11" i="31" s="1"/>
  <c r="H51" i="31"/>
  <c r="W20" i="14"/>
  <c r="V19" i="13"/>
  <c r="V10" i="13"/>
  <c r="P134" i="16" l="1"/>
  <c r="I134" i="16"/>
  <c r="J132" i="16"/>
  <c r="Q132" i="16"/>
  <c r="D72" i="31"/>
  <c r="I131" i="16"/>
  <c r="P131" i="16"/>
  <c r="O133" i="16"/>
  <c r="H133" i="16"/>
  <c r="K132" i="16"/>
  <c r="R132" i="16"/>
  <c r="I137" i="16"/>
  <c r="P137" i="16"/>
  <c r="H137" i="16"/>
  <c r="O137" i="16"/>
  <c r="H131" i="16"/>
  <c r="O131" i="16"/>
  <c r="K138" i="16"/>
  <c r="R138" i="16"/>
  <c r="F72" i="31"/>
  <c r="F71" i="31" s="1"/>
  <c r="F79" i="31" s="1"/>
  <c r="R131" i="16"/>
  <c r="K131" i="16"/>
  <c r="Q136" i="16"/>
  <c r="J136" i="16"/>
  <c r="J138" i="16"/>
  <c r="Q138" i="16"/>
  <c r="I138" i="16"/>
  <c r="P138" i="16"/>
  <c r="H136" i="16"/>
  <c r="O136" i="16"/>
  <c r="O134" i="16"/>
  <c r="H134" i="16"/>
  <c r="H132" i="16"/>
  <c r="O132" i="16"/>
  <c r="R136" i="16"/>
  <c r="K136" i="16"/>
  <c r="H138" i="16"/>
  <c r="O138" i="16"/>
  <c r="R137" i="16"/>
  <c r="K137" i="16"/>
  <c r="J137" i="16"/>
  <c r="Q137" i="16"/>
  <c r="Q134" i="16"/>
  <c r="J134" i="16"/>
  <c r="P136" i="16"/>
  <c r="I136" i="16"/>
  <c r="D74" i="31"/>
  <c r="P133" i="16"/>
  <c r="I133" i="16"/>
  <c r="I132" i="16"/>
  <c r="P132" i="16"/>
  <c r="J131" i="16"/>
  <c r="Q131" i="16"/>
  <c r="J133" i="16"/>
  <c r="Q133" i="16"/>
  <c r="R134" i="16"/>
  <c r="K134" i="16"/>
  <c r="L117" i="16"/>
  <c r="AM34" i="13"/>
  <c r="L116" i="16"/>
  <c r="AB17" i="14"/>
  <c r="M12" i="31"/>
  <c r="AB19" i="14"/>
  <c r="V27" i="13"/>
  <c r="K120" i="16"/>
  <c r="W7" i="13"/>
  <c r="V53" i="13"/>
  <c r="AB18" i="14"/>
  <c r="J120" i="16"/>
  <c r="H120" i="16"/>
  <c r="L121" i="16"/>
  <c r="L119" i="16"/>
  <c r="AM33" i="13"/>
  <c r="W45" i="13"/>
  <c r="AC46" i="13"/>
  <c r="L123" i="16"/>
  <c r="E63" i="31"/>
  <c r="H63" i="31" s="1"/>
  <c r="H64" i="31"/>
  <c r="E53" i="31"/>
  <c r="H53" i="31" s="1"/>
  <c r="W19" i="13"/>
  <c r="W10" i="13"/>
  <c r="AC45" i="13"/>
  <c r="L122" i="16"/>
  <c r="I120" i="16"/>
  <c r="W33" i="13"/>
  <c r="AC47" i="13" s="1"/>
  <c r="H61" i="31"/>
  <c r="E58" i="31"/>
  <c r="H58" i="31" s="1"/>
  <c r="H59" i="31"/>
  <c r="W36" i="13"/>
  <c r="AC44" i="13" s="1"/>
  <c r="J115" i="16"/>
  <c r="K115" i="16"/>
  <c r="AC48" i="13"/>
  <c r="L118" i="16"/>
  <c r="I115" i="16"/>
  <c r="H115" i="16"/>
  <c r="L120" i="16" l="1"/>
  <c r="L133" i="16"/>
  <c r="S133" i="16"/>
  <c r="L132" i="16"/>
  <c r="S132" i="16"/>
  <c r="Q135" i="16"/>
  <c r="J135" i="16"/>
  <c r="R130" i="16"/>
  <c r="K130" i="16"/>
  <c r="Q130" i="16"/>
  <c r="J130" i="16"/>
  <c r="R135" i="16"/>
  <c r="K135" i="16"/>
  <c r="L138" i="16"/>
  <c r="S138" i="16"/>
  <c r="H130" i="16"/>
  <c r="O130" i="16"/>
  <c r="P135" i="16"/>
  <c r="I135" i="16"/>
  <c r="L134" i="16"/>
  <c r="S134" i="16"/>
  <c r="S131" i="16"/>
  <c r="L131" i="16"/>
  <c r="O135" i="16"/>
  <c r="H135" i="16"/>
  <c r="P130" i="16"/>
  <c r="I130" i="16"/>
  <c r="S137" i="16"/>
  <c r="L137" i="16"/>
  <c r="S136" i="16"/>
  <c r="L136" i="16"/>
  <c r="AM35" i="13"/>
  <c r="AC38" i="13"/>
  <c r="W27" i="13"/>
  <c r="AC8" i="13" s="1"/>
  <c r="AB20" i="14"/>
  <c r="J124" i="16"/>
  <c r="AC36" i="13"/>
  <c r="AC33" i="13"/>
  <c r="AC34" i="13"/>
  <c r="K124" i="16"/>
  <c r="I124" i="16"/>
  <c r="AC35" i="13"/>
  <c r="AC37" i="13"/>
  <c r="AC49" i="13"/>
  <c r="D71" i="31"/>
  <c r="W53" i="13"/>
  <c r="L115" i="16"/>
  <c r="H124" i="16"/>
  <c r="E66" i="31"/>
  <c r="H66" i="31" s="1"/>
  <c r="AH33" i="13"/>
  <c r="AH34" i="13"/>
  <c r="O139" i="16" l="1"/>
  <c r="H139" i="16"/>
  <c r="S130" i="16"/>
  <c r="L130" i="16"/>
  <c r="J139" i="16"/>
  <c r="Q139" i="16"/>
  <c r="S135" i="16"/>
  <c r="L135" i="16"/>
  <c r="P139" i="16"/>
  <c r="I139" i="16"/>
  <c r="K139" i="16"/>
  <c r="R139" i="16"/>
  <c r="E75" i="31"/>
  <c r="H75" i="31" s="1"/>
  <c r="N10" i="31" s="1"/>
  <c r="E74" i="31"/>
  <c r="H74" i="31" s="1"/>
  <c r="N9" i="31" s="1"/>
  <c r="E73" i="31"/>
  <c r="H73" i="31" s="1"/>
  <c r="E78" i="31"/>
  <c r="H78" i="31" s="1"/>
  <c r="E77" i="31"/>
  <c r="E72" i="31"/>
  <c r="H72" i="31" s="1"/>
  <c r="L124" i="16"/>
  <c r="AC39" i="13"/>
  <c r="AH35" i="13"/>
  <c r="D79" i="31"/>
  <c r="L139" i="16" l="1"/>
  <c r="S139" i="16"/>
  <c r="E76" i="31"/>
  <c r="H76" i="31" s="1"/>
  <c r="N11" i="31" s="1"/>
  <c r="H77" i="31"/>
  <c r="E71" i="31"/>
  <c r="H71" i="31" s="1"/>
  <c r="N8" i="31" s="1"/>
  <c r="N12" i="31" l="1"/>
  <c r="E79" i="31"/>
  <c r="H79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6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<sst xmlns="http://schemas.openxmlformats.org/spreadsheetml/2006/main" count="1886" uniqueCount="544">
  <si>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</si>
  <si>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</si>
  <si>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</si>
  <si>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</si>
  <si>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</si>
  <si>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</si>
  <si>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</si>
  <si>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</si>
  <si>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</si>
  <si>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</si>
  <si>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</si>
  <si>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</si>
  <si>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</si>
  <si>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</si>
  <si>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</si>
  <si>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</si>
  <si>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</si>
  <si>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</si>
  <si>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</si>
  <si>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</si>
  <si>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</si>
  <si>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</si>
  <si>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</si>
  <si>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</si>
  <si>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</si>
  <si>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</si>
  <si>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</si>
  <si>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</si>
  <si>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</si>
  <si>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</si>
  <si>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</si>
  <si>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</si>
  <si>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</si>
  <si>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</si>
  <si>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</si>
  <si>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</si>
  <si>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</si>
  <si>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</si>
  <si>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</si>
  <si>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</si>
  <si>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</si>
  <si>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</si>
  <si>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</si>
  <si>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</si>
  <si>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</si>
  <si>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</si>
  <si>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</si>
  <si>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</si>
  <si>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</si>
  <si>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</si>
  <si>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</si>
  <si>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</si>
  <si>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</si>
  <si>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</si>
  <si>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</si>
  <si>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</si>
  <si>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</si>
  <si>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</si>
  <si>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</si>
  <si>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</si>
  <si>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</si>
  <si>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</si>
  <si>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</si>
  <si>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</si>
  <si>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</si>
  <si>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</si>
  <si>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</si>
  <si>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</si>
  <si>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</si>
  <si>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</si>
  <si>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</si>
  <si>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</si>
  <si>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</si>
  <si>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</si>
  <si>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</si>
  <si>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</si>
  <si>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</si>
  <si>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</si>
  <si>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</si>
  <si>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</si>
  <si>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</si>
  <si>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</si>
  <si>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</si>
  <si>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</si>
  <si>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</si>
  <si>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</si>
  <si>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</si>
  <si>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</si>
  <si>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</si>
  <si>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</si>
  <si>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</si>
  <si>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</si>
  <si>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</si>
  <si>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</si>
  <si>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</si>
  <si>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</si>
  <si>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</si>
  <si>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</si>
  <si>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</si>
  <si>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</si>
  <si>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</si>
  <si>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</si>
  <si>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</si>
  <si>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ER_OIL_2</t>
  </si>
  <si>
    <t>ER_OIL_2201_2</t>
  </si>
  <si>
    <t>ER_OIL_2202_2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</si>
  <si>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</si>
  <si>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</si>
  <si>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</si>
  <si>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</si>
  <si>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</si>
  <si>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</si>
  <si>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</si>
  <si>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</si>
  <si>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ER_ELEC_2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</si>
  <si>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</si>
  <si>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</si>
  <si>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</si>
  <si>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</si>
  <si>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</si>
  <si>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</si>
  <si>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</si>
  <si>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</si>
  <si>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</si>
  <si>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ER_AGRICULTURE_2</t>
  </si>
  <si>
    <t>ER_INDUS_2</t>
  </si>
  <si>
    <t>ER_RESIDENTIAL_2</t>
  </si>
  <si>
    <t>ER_TERTIARY_2</t>
  </si>
  <si>
    <t>ER_TRANS_PRIVATE_2</t>
  </si>
  <si>
    <t>ER_TRANS_PUBLIC_2</t>
  </si>
  <si>
    <t>ER_AUTO_2</t>
  </si>
  <si>
    <t>ER_AUTO_TH_A_2</t>
  </si>
  <si>
    <t>ER_AUTO_TH_B_2</t>
  </si>
  <si>
    <t>ER_AUTO_TH_C_2</t>
  </si>
  <si>
    <t>ER_AUTO_TH_D_2</t>
  </si>
  <si>
    <t>ER_AUTO_TH_E_2</t>
  </si>
  <si>
    <t>ER_AUTO_TH_F_2</t>
  </si>
  <si>
    <t>ER_AUTO_TH_G_2</t>
  </si>
  <si>
    <t>ER_AUTO_ELEC_A_2</t>
  </si>
  <si>
    <t>ER_AUTO_ELEC_B_2</t>
  </si>
  <si>
    <t>ER_AUTO_ELEC_C_2</t>
  </si>
  <si>
    <t>ER_AUTO_ELEC_D_2</t>
  </si>
  <si>
    <t>ER_AUTO_ELEC_E_2</t>
  </si>
  <si>
    <t>ER_AUTO_ELEC_F_2</t>
  </si>
  <si>
    <t>ER_AUTO_ELEC_G_2</t>
  </si>
  <si>
    <t>ER_AUTO_COAL_2</t>
  </si>
  <si>
    <t>ER_AUTO_TH_2</t>
  </si>
  <si>
    <t>ER_AUTO_ELEC_2</t>
  </si>
  <si>
    <t>ER_AUTO_GAS_2</t>
  </si>
  <si>
    <t>ER_NEWAUTO_2</t>
  </si>
  <si>
    <t>ER_NEWAUTO_TH_2</t>
  </si>
  <si>
    <t>ER_NEWAUTO_TH_A_2</t>
  </si>
  <si>
    <t>ER_NEWAUTO_TH_B_2</t>
  </si>
  <si>
    <t>ER_NEWAUTO_TH_C_2</t>
  </si>
  <si>
    <t>ER_NEWAUTO_TH_D_2</t>
  </si>
  <si>
    <t>ER_NEWAUTO_TH_E_2</t>
  </si>
  <si>
    <t>ER_NEWAUTO_TH_F_2</t>
  </si>
  <si>
    <t>ER_NEWAUTO_TH_G_2</t>
  </si>
  <si>
    <t>ER_NEWAUTO_ELEC_2</t>
  </si>
  <si>
    <t>ER_NEWAUTO_ELEC_A_2</t>
  </si>
  <si>
    <t>ER_NEWAUTO_ELEC_B_2</t>
  </si>
  <si>
    <t>ER_NEWAUTO_ELEC_C_2</t>
  </si>
  <si>
    <t>ER_NEWAUTO_ELEC_D_2</t>
  </si>
  <si>
    <t>ER_NEWAUTO_ELEC_E_2</t>
  </si>
  <si>
    <t>ER_NEWAUTO_ELEC_F_2</t>
  </si>
  <si>
    <t>ER_NEWAUTO_ELEC_G_2</t>
  </si>
  <si>
    <t>ER_AGRICULTURE_COAL_2</t>
  </si>
  <si>
    <t>ER_INDUS_COAL_2</t>
  </si>
  <si>
    <t>ER_RESIDENTIAL_COAL_2</t>
  </si>
  <si>
    <t>ER_TERTIARY_COAL_2</t>
  </si>
  <si>
    <t>ER_TRANS_PRIVATE_COAL_2</t>
  </si>
  <si>
    <t>ER_TRANS_PUBLIC_COAL_2</t>
  </si>
  <si>
    <t>ER_AGRICULTURE_OIL_2</t>
  </si>
  <si>
    <t>ER_INDUS_OIL_2</t>
  </si>
  <si>
    <t>ER_RESIDENTIAL_OIL_2</t>
  </si>
  <si>
    <t>ER_TERTIARY_OIL_2</t>
  </si>
  <si>
    <t>ER_TRANS_PRIVATE_OIL_2</t>
  </si>
  <si>
    <t>ER_TRANS_PUBLIC_OIL_2</t>
  </si>
  <si>
    <t>ER_AGRICULTURE_ELEC_2</t>
  </si>
  <si>
    <t>ER_INDUS_ELEC_2</t>
  </si>
  <si>
    <t>ER_RESIDENTIAL_ELEC_2</t>
  </si>
  <si>
    <t>ER_TERTIARY_ELEC_2</t>
  </si>
  <si>
    <t>ER_TRANS_PRIVATE_ELEC_2</t>
  </si>
  <si>
    <t>ER_TRANS_PUBLIC_ELEC_2</t>
  </si>
  <si>
    <t>ER_AGRICULTURE_GAS_2</t>
  </si>
  <si>
    <t>ER_INDUS_GAS_2</t>
  </si>
  <si>
    <t>ER_RESIDENTIAL_GAS_2</t>
  </si>
  <si>
    <t>ER_TERTIARY_GAS_2</t>
  </si>
  <si>
    <t>ER_TRANS_PRIVATE_GAS_2</t>
  </si>
  <si>
    <t>ER_TRANS_PUBLIC_GAS_2</t>
  </si>
  <si>
    <t>ER_BUIL_2</t>
  </si>
  <si>
    <t>ER_BUIL_A_2</t>
  </si>
  <si>
    <t>ER_BUIL_B_2</t>
  </si>
  <si>
    <t>ER_BUIL_C_2</t>
  </si>
  <si>
    <t>ER_BUIL_D_2</t>
  </si>
  <si>
    <t>ER_BUIL_E_2</t>
  </si>
  <si>
    <t>ER_BUIL_F_2</t>
  </si>
  <si>
    <t>ER_BUIL_G_2</t>
  </si>
  <si>
    <t>TTCO_VOL_SIGNAL_2</t>
  </si>
  <si>
    <t>PGDP_2</t>
  </si>
  <si>
    <t>100*(GDP_2/@ELEM(GDP_2,"2006"))</t>
  </si>
  <si>
    <t>100*(EMS_TOT_2/@ELEM(EMS_TOT_2,"2006"))</t>
  </si>
  <si>
    <t>EMS_DC_04_2</t>
  </si>
  <si>
    <t>EMS_DC_05_2</t>
  </si>
  <si>
    <t>EMS_DC_2</t>
  </si>
  <si>
    <t>EMS_HH_2</t>
  </si>
  <si>
    <t>EMS_HH_21_2</t>
  </si>
  <si>
    <t>EMS_HH_21_H01_2</t>
  </si>
  <si>
    <t>EMS_HH_22_2</t>
  </si>
  <si>
    <t>EMS_HH_22_H01_2</t>
  </si>
  <si>
    <t>EMS_HH_24_2</t>
  </si>
  <si>
    <t>EMS_HH_24_H01_2</t>
  </si>
  <si>
    <t>EMS_SEC_TOT_01_2</t>
  </si>
  <si>
    <t>EMS_SEC_TOT_02_2</t>
  </si>
  <si>
    <t>EMS_SEC_TOT_03_2</t>
  </si>
  <si>
    <t>EMS_SEC_TOT_04_2</t>
  </si>
  <si>
    <t>EMS_SEC_TOT_05_2</t>
  </si>
  <si>
    <t>EMS_SEC_TOT_06_2</t>
  </si>
  <si>
    <t>EMS_SEC_TOT_07_2</t>
  </si>
  <si>
    <t>EMS_SEC_TOT_08_2</t>
  </si>
  <si>
    <t>EMS_SEC_TOT_09_2</t>
  </si>
  <si>
    <t>EMS_SEC_TOT_10_2</t>
  </si>
  <si>
    <t>EMS_SEC_TOT_11_2</t>
  </si>
  <si>
    <t>EMS_SEC_TOT_12_2</t>
  </si>
  <si>
    <t>EMS_SEC_TOT_13_2</t>
  </si>
  <si>
    <t>EMS_SEC_TOT_14_2</t>
  </si>
  <si>
    <t>EMS_SEC_TOT_15_2</t>
  </si>
  <si>
    <t>EMS_SEC_TOT_16_2</t>
  </si>
  <si>
    <t>EMS_SEC_TOT_17_2</t>
  </si>
  <si>
    <t>EMS_SEC_TOT_18_2</t>
  </si>
  <si>
    <t>EMS_SEC_TOT_19_2</t>
  </si>
  <si>
    <t>EMS_SEC_TOT_2</t>
  </si>
  <si>
    <t>EMS_SEC_TOT_20_2</t>
  </si>
  <si>
    <t>EMS_SEC_TOT_21_05_2</t>
  </si>
  <si>
    <t>EMS_SEC_TOT_21_06_2</t>
  </si>
  <si>
    <t>EMS_SEC_TOT_21_07_2</t>
  </si>
  <si>
    <t>EMS_SEC_TOT_21_08_2</t>
  </si>
  <si>
    <t>EMS_SEC_TOT_21_10_2</t>
  </si>
  <si>
    <t>EMS_SEC_TOT_21_12_2</t>
  </si>
  <si>
    <t>EMS_SEC_TOT_21_19_2</t>
  </si>
  <si>
    <t>EMS_SEC_TOT_21_20_2</t>
  </si>
  <si>
    <t>EMS_SEC_TOT_21_2304_2</t>
  </si>
  <si>
    <t>EMS_SEC_TOT_2201_2</t>
  </si>
  <si>
    <t>EMS_SEC_TOT_22_01_2</t>
  </si>
  <si>
    <t>EMS_SEC_TOT_22_02_2</t>
  </si>
  <si>
    <t>EMS_SEC_TOT_22_03_2</t>
  </si>
  <si>
    <t>EMS_SEC_TOT_22_04_2</t>
  </si>
  <si>
    <t>EMS_SEC_TOT_22_05_2</t>
  </si>
  <si>
    <t>EMS_SEC_TOT_22_06_2</t>
  </si>
  <si>
    <t>EMS_SEC_TOT_22_07_2</t>
  </si>
  <si>
    <t>EMS_SEC_TOT_22_08_2</t>
  </si>
  <si>
    <t>EMS_SEC_TOT_22_09_2</t>
  </si>
  <si>
    <t>EMS_SEC_TOT_22_12_2</t>
  </si>
  <si>
    <t>EMS_SEC_TOT_22_13_2</t>
  </si>
  <si>
    <t>EMS_SEC_TOT_22_14_2</t>
  </si>
  <si>
    <t>EMS_SEC_TOT_22_15_2</t>
  </si>
  <si>
    <t>EMS_SEC_TOT_22_16_2</t>
  </si>
  <si>
    <t>EMS_SEC_TOT_22_17_2</t>
  </si>
  <si>
    <t>EMS_SEC_TOT_22_18_2</t>
  </si>
  <si>
    <t>EMS_SEC_TOT_22_19_2</t>
  </si>
  <si>
    <t>EMS_SEC_TOT_22_20_2</t>
  </si>
  <si>
    <t>EMS_SEC_TOT_22_2201_2</t>
  </si>
  <si>
    <t>EMS_SEC_TOT_22_2302_2</t>
  </si>
  <si>
    <t>EMS_SEC_TOT_2302_2</t>
  </si>
  <si>
    <t>EMS_SEC_TOT_2303_2</t>
  </si>
  <si>
    <t>EMS_SEC_TOT_2304_2</t>
  </si>
  <si>
    <t>EMS_SEC_TOT_2401_2</t>
  </si>
  <si>
    <t>EMS_SEC_TOT_24_01_2</t>
  </si>
  <si>
    <t>EMS_SEC_TOT_24_02_2</t>
  </si>
  <si>
    <t>EMS_SEC_TOT_24_03_2</t>
  </si>
  <si>
    <t>EMS_SEC_TOT_24_04_2</t>
  </si>
  <si>
    <t>EMS_SEC_TOT_24_05_2</t>
  </si>
  <si>
    <t>EMS_SEC_TOT_24_06_2</t>
  </si>
  <si>
    <t>EMS_SEC_TOT_24_07_2</t>
  </si>
  <si>
    <t>EMS_SEC_TOT_24_08_2</t>
  </si>
  <si>
    <t>EMS_SEC_TOT_24_09_2</t>
  </si>
  <si>
    <t>EMS_SEC_TOT_24_10_2</t>
  </si>
  <si>
    <t>EMS_SEC_TOT_24_11_2</t>
  </si>
  <si>
    <t>EMS_SEC_TOT_24_12_2</t>
  </si>
  <si>
    <t>EMS_SEC_TOT_24_13_2</t>
  </si>
  <si>
    <t>EMS_SEC_TOT_24_14_2</t>
  </si>
  <si>
    <t>EMS_SEC_TOT_24_15_2</t>
  </si>
  <si>
    <t>EMS_SEC_TOT_24_16_2</t>
  </si>
  <si>
    <t>EMS_SEC_TOT_24_17_2</t>
  </si>
  <si>
    <t>EMS_SEC_TOT_24_18_2</t>
  </si>
  <si>
    <t>EMS_SEC_TOT_24_19_2</t>
  </si>
  <si>
    <t>EMS_SEC_TOT_24_20_2</t>
  </si>
  <si>
    <t>EMS_SEC_TOT_24_2201_2</t>
  </si>
  <si>
    <t>EMS_SEC_TOT_24_2303_2</t>
  </si>
  <si>
    <t>EMS_SEC_TOT_24_2401_2</t>
  </si>
  <si>
    <t>EMS_SECSOU_2</t>
  </si>
  <si>
    <t>EMS_SECSOU_21_2</t>
  </si>
  <si>
    <t>EMS_SECSOU_22_2</t>
  </si>
  <si>
    <t>EMS_SECSOU_24_2</t>
  </si>
  <si>
    <t>EMS_SOU_2</t>
  </si>
  <si>
    <t>EMS_SOU_21_2</t>
  </si>
  <si>
    <t>EMS_SOU_22_2</t>
  </si>
  <si>
    <t>EMS_SOU_24_2</t>
  </si>
  <si>
    <t>EMS_TOT_2</t>
  </si>
  <si>
    <t>Q_MTEP_EP_2</t>
  </si>
  <si>
    <t>Q_MTEP_EP_21_2</t>
  </si>
  <si>
    <t>Q_MTEP_EP_21_21_2</t>
  </si>
  <si>
    <t>Q_MTEP_EP_2201_2</t>
  </si>
  <si>
    <t>Q_MTEP_EP_2202_2</t>
  </si>
  <si>
    <t>Q_MTEP_EP_22_2201_2</t>
  </si>
  <si>
    <t>Q_MTEP_EP_22_2202_2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</si>
  <si>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</si>
  <si>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</si>
  <si>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</si>
  <si>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</si>
  <si>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</si>
  <si>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</si>
  <si>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</si>
  <si>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</si>
  <si>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Q_MTEP_EP_23_2301_2</t>
  </si>
  <si>
    <t>Q_MTEP_EP_23_2302_2</t>
  </si>
  <si>
    <t>Q_MTEP_EP_23_2303_2</t>
  </si>
  <si>
    <t>Q_MTEP_EP_23_2304_2</t>
  </si>
  <si>
    <t>Q_MTEP_EP_23_2305_2</t>
  </si>
  <si>
    <t>Q_MTEP_EP_23_2306_2</t>
  </si>
  <si>
    <t>Q_MTEP_EP_23_2307_2</t>
  </si>
  <si>
    <t>Q_MTEP_EP_23_2308_2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</si>
  <si>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</si>
  <si>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</si>
  <si>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</si>
  <si>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</si>
  <si>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</si>
  <si>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</si>
  <si>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</si>
  <si>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</si>
  <si>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</si>
  <si>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</si>
  <si>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</si>
  <si>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</si>
  <si>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</si>
  <si>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</si>
  <si>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</si>
  <si>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</si>
  <si>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</si>
  <si>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</si>
  <si>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</si>
  <si>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</si>
  <si>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</si>
  <si>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</si>
  <si>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</si>
  <si>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</si>
  <si>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</si>
  <si>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</si>
  <si>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</si>
  <si>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</si>
  <si>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</si>
  <si>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</si>
  <si>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</si>
  <si>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</si>
  <si>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</si>
  <si>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</si>
  <si>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Q_Mtep_ep_2201_2</t>
  </si>
  <si>
    <t>Q_Mtep_ep_2202_2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</si>
  <si>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</si>
  <si>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</si>
  <si>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</si>
  <si>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</si>
  <si>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</si>
  <si>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</si>
  <si>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</si>
  <si>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</si>
  <si>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</si>
  <si>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</si>
  <si>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</si>
  <si>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</si>
  <si>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</si>
  <si>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</si>
  <si>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Q_Mtep_ep_21_2</t>
  </si>
  <si>
    <t>ER_Oil_2</t>
  </si>
  <si>
    <t>ER_oil_2201_2</t>
  </si>
  <si>
    <t>ER_oil_2202_2</t>
  </si>
  <si>
    <t>ER_elec_2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</si>
  <si>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</si>
  <si>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</si>
  <si>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</si>
  <si>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</si>
  <si>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</si>
  <si>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</si>
  <si>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</si>
  <si>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</si>
  <si>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</si>
  <si>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</si>
  <si>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</si>
  <si>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</si>
  <si>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</si>
  <si>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</si>
  <si>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</si>
  <si>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</si>
  <si>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</si>
  <si>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</si>
  <si>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</si>
  <si>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</si>
  <si>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</si>
  <si>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</si>
  <si>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</si>
  <si>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</si>
  <si>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</si>
  <si>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</si>
  <si>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</si>
  <si>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</si>
  <si>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</si>
  <si>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</si>
  <si>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</si>
  <si>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</si>
  <si>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</si>
  <si>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</si>
  <si>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</si>
  <si>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</si>
  <si>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</si>
  <si>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</si>
  <si>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</si>
  <si>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</si>
  <si>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</si>
  <si>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</si>
  <si>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</si>
  <si>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</si>
  <si>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</si>
  <si>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ER_AUTO_2/1000</t>
  </si>
  <si>
    <t>ER_AUTO_ELEC_2/ER_AUTO_2</t>
  </si>
  <si>
    <t>ER_AUTO_TH_2/ER_AUTO_2</t>
  </si>
  <si>
    <t>ER_NEWAUTO_ELEC_2/ER_NEWAUTO_2</t>
  </si>
  <si>
    <t>ER_NEWAUTO_ELEC_A_2/ER_NEWAUTO_2</t>
  </si>
  <si>
    <t>ER_NEWAUTO_ELEC_B_2/ER_NEWAUTO_2</t>
  </si>
  <si>
    <t>ER_NEWAUTO_ELEC_C_2/ER_NEWAUTO_2</t>
  </si>
  <si>
    <t>ER_NEWAUTO_ELEC_D_2/ER_NEWAUTO_2</t>
  </si>
  <si>
    <t>ER_NEWAUTO_ELEC_E_2/ER_NEWAUTO_2</t>
  </si>
  <si>
    <t>ER_NEWAUTO_ELEC_F_2/ER_NEWAUTO_2</t>
  </si>
  <si>
    <t>ER_NEWAUTO_ELEC_G_2/ER_NEWAUTO_2</t>
  </si>
  <si>
    <t>ER_NEWAUTO_TH_2/ER_NEWAUTO_2</t>
  </si>
  <si>
    <t>ER_NEWAUTO_TH_A_2/ER_NEWAUTO_2</t>
  </si>
  <si>
    <t>ER_NEWAUTO_TH_B_2/ER_NEWAUTO_2</t>
  </si>
  <si>
    <t>ER_NEWAUTO_TH_C_2/ER_NEWAUTO_2</t>
  </si>
  <si>
    <t>ER_NEWAUTO_TH_D_2/ER_NEWAUTO_2</t>
  </si>
  <si>
    <t>ER_NEWAUTO_TH_E_2/ER_NEWAUTO_2</t>
  </si>
  <si>
    <t>ER_NEWAUTO_TH_F_2/ER_NEWAUTO_2</t>
  </si>
  <si>
    <t>ER_NEWAUTO_TH_G_2/ER_NEWAUTO_2</t>
  </si>
  <si>
    <t>ER_AUTO_COAL_2/ER_AUTO_2</t>
  </si>
  <si>
    <t>ER_AUTO_GAS_2/ER_AUTO_2</t>
  </si>
  <si>
    <t>ER_AUTO_ELEC_A_2/ER_AUTO_2</t>
  </si>
  <si>
    <t>ER_AUTO_ELEC_B_2/ER_AUTO_2</t>
  </si>
  <si>
    <t>ER_AUTO_ELEC_C_2/ER_AUTO_2</t>
  </si>
  <si>
    <t>ER_AUTO_ELEC_D_2/ER_AUTO_2</t>
  </si>
  <si>
    <t>ER_AUTO_ELEC_E_2/ER_AUTO_2</t>
  </si>
  <si>
    <t>ER_AUTO_ELEC_F_2/ER_AUTO_2</t>
  </si>
  <si>
    <t>ER_AUTO_ELEC_G_2/ER_AUTO_2</t>
  </si>
  <si>
    <t>ER_AUTO_TH_A_2/ER_AUTO_2</t>
  </si>
  <si>
    <t>ER_AUTO_TH_B_2/ER_AUTO_2</t>
  </si>
  <si>
    <t>ER_AUTO_TH_C_2/ER_AUTO_2</t>
  </si>
  <si>
    <t>ER_AUTO_TH_D_2/ER_AUTO_2</t>
  </si>
  <si>
    <t>ER_AUTO_TH_E_2/ER_AUTO_2</t>
  </si>
  <si>
    <t>ER_AUTO_TH_F_2/ER_AUTO_2</t>
  </si>
  <si>
    <t>ER_AUTO_TH_G_2/ER_AUTO_2</t>
  </si>
  <si>
    <t>Cf. onglet "G mix energie"</t>
  </si>
  <si>
    <t>electricité</t>
  </si>
  <si>
    <t>chaleur (bois…)</t>
  </si>
  <si>
    <t>gaz</t>
  </si>
  <si>
    <t>carburant</t>
  </si>
  <si>
    <t>Electric</t>
  </si>
  <si>
    <t>Stock of vehicles</t>
  </si>
  <si>
    <t>S1</t>
  </si>
  <si>
    <t>Transport (milliers de km voyageurs)</t>
  </si>
  <si>
    <t>Avion (France + RDM)</t>
  </si>
  <si>
    <t>Longue Distance (LD)</t>
  </si>
  <si>
    <t xml:space="preserve">    voiture LD</t>
  </si>
  <si>
    <t xml:space="preserve">    train</t>
  </si>
  <si>
    <t>Courte Distance (CD)</t>
  </si>
  <si>
    <t xml:space="preserve">    voiture CD</t>
  </si>
  <si>
    <t xml:space="preserve">    bus</t>
  </si>
  <si>
    <t>Voiture CD+LD</t>
  </si>
  <si>
    <t>TEND</t>
  </si>
  <si>
    <t>Ecarts de transport 
(milliers de km voyageurs)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</si>
  <si>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</si>
  <si>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</si>
  <si>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</si>
  <si>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</si>
  <si>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</si>
  <si>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</si>
  <si>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</si>
  <si>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</si>
  <si>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1) Copier-coller sorties Eviews en B2
2) veillez à ce que les données commencent en 2004
3) modifier le scénario si besoin en B1</t>
  </si>
  <si>
    <t>Energie finale</t>
  </si>
  <si>
    <t>EMS_TOT_2/@ELEM(EMS_TOT,"2006")*100</t>
  </si>
  <si>
    <t>c</t>
  </si>
  <si>
    <t>Différences en 2050 résultant des modifs de chocs</t>
  </si>
  <si>
    <t>Ecarts par rapport à la cible</t>
  </si>
  <si>
    <t>Industry</t>
  </si>
  <si>
    <t>Industry energetic uses</t>
  </si>
  <si>
    <t>SNBC3</t>
  </si>
  <si>
    <t>Part modale hors avion</t>
  </si>
  <si>
    <t>voiture CD</t>
  </si>
  <si>
    <t>voiture LD</t>
  </si>
  <si>
    <t>voiture CD+LD</t>
  </si>
  <si>
    <t>Transport (parts modales en %)</t>
  </si>
  <si>
    <t>2030/2019</t>
  </si>
  <si>
    <t>2050/2019</t>
  </si>
  <si>
    <t>Total hors avion</t>
  </si>
  <si>
    <t>Ecarts de transport 
(points de %)</t>
  </si>
  <si>
    <t>Avion</t>
  </si>
  <si>
    <t>train</t>
  </si>
  <si>
    <t>bus</t>
  </si>
  <si>
    <t>route</t>
  </si>
  <si>
    <t>Cibles DGEC</t>
  </si>
  <si>
    <t>TTCO_VOL_SIGNAL_1</t>
  </si>
  <si>
    <t>PGDP_1</t>
  </si>
  <si>
    <t>(GDP_2/GDP_1-1)*100</t>
  </si>
  <si>
    <t>(CH_2/CH_1-1)*100</t>
  </si>
  <si>
    <t>(I_2/I_1-1)*100</t>
  </si>
  <si>
    <t>(X_2/X_1-1)*100</t>
  </si>
  <si>
    <t>(M_2/M_1-1)*100</t>
  </si>
  <si>
    <t>(DC_VAL_2/(PGDP_2*GDP_2)-DC_VAL_1/(PGDP_1*GDP_1))*100</t>
  </si>
  <si>
    <t>(UNR_TOT_2-UNR_TOT_1)*100</t>
  </si>
  <si>
    <t>(L_2/L_1-1)*100</t>
  </si>
  <si>
    <t>((W_S_2/PCH_2)/(W_S_1/PCH_1)-1)*100</t>
  </si>
  <si>
    <t>INFL_FR_2-INFL_FR_1</t>
  </si>
  <si>
    <t>R_2-R_1</t>
  </si>
  <si>
    <t>(DEBT_G_VAL_2/(PGDP_2*GDP_2)-DEBT_G_VAL_1/(PGDP_1*GDP_1))*100</t>
  </si>
  <si>
    <t>(DP_G_VAL_2-DP_G_VAL_1)*100</t>
  </si>
  <si>
    <t>100*(GDP_2/GDP_1-1)</t>
  </si>
  <si>
    <t>100*(CH_2/CH_1-1)</t>
  </si>
  <si>
    <t>100*(I_2/I_1-1)</t>
  </si>
  <si>
    <t>100*(X_2/X_1-1)</t>
  </si>
  <si>
    <t>100*(M_2/M_1-1)</t>
  </si>
  <si>
    <t>100*(UNR_TOT_2-UNR_TOT_1)</t>
  </si>
  <si>
    <t>100*(L_2/L_1-1)</t>
  </si>
  <si>
    <t>100*((W_2/PCH_2)/(W_1/PCH_1)-1)</t>
  </si>
  <si>
    <t>100*(PCH_2/PCH_1-1)</t>
  </si>
  <si>
    <t>100*(R_2-R_1)</t>
  </si>
  <si>
    <t>100*(DEBT_G_VAL_2/(PGDP_2*GDP_2)-DEBT_G_VAL_1/(PGDP_1*GDP_1))</t>
  </si>
  <si>
    <t>100*(DP_G_VAL_2-DP_G_VAL_1)</t>
  </si>
  <si>
    <t>100*(EMS_TOT_2/EMS_TOT_1-1)</t>
  </si>
  <si>
    <t>KM_AUTO_H01_1</t>
  </si>
  <si>
    <t>KM_TRAVELER_18_H01_1</t>
  </si>
  <si>
    <t>KM_TRAV_AUTO_LD_H01_1</t>
  </si>
  <si>
    <t>KM_TRAV_AUTO_CD_H01_1</t>
  </si>
  <si>
    <t>KM_TRAVELER_14_H01_1</t>
  </si>
  <si>
    <t>KM_TRAVELER_15_H01_1</t>
  </si>
  <si>
    <t>KM_TRAVELER_CD_H01_1</t>
  </si>
  <si>
    <t>KM_TRAVELER_LD_H01_1</t>
  </si>
  <si>
    <t>Hors chal env PAC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</si>
</sst>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#,##0.0"/>
    <numFmt numFmtId="167" formatCode="0.000"/>
    <numFmt numFmtId="168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323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/>
    <xf numFmtId="0" fontId="2" fillId="0" borderId="1" xfId="0" applyFont="1" applyBorder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2" fontId="2" fillId="0" borderId="0" xfId="0" applyNumberFormat="1" applyFont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1" fontId="0" fillId="0" borderId="0" xfId="0" applyNumberFormat="1"/>
    <xf numFmtId="0" fontId="19" fillId="0" borderId="0" xfId="3" applyFill="1"/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11" fillId="2" borderId="0" xfId="0" applyNumberFormat="1" applyFont="1" applyFill="1" applyAlignment="1">
      <alignment horizontal="right"/>
    </xf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0" fontId="22" fillId="2" borderId="0" xfId="4" applyFill="1"/>
    <xf numFmtId="1" fontId="22" fillId="2" borderId="0" xfId="4" applyNumberFormat="1" applyFill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9" fontId="2" fillId="3" borderId="21" xfId="0" applyNumberFormat="1" applyFont="1" applyFill="1" applyBorder="1" applyAlignment="1">
      <alignment horizontal="center"/>
    </xf>
    <xf numFmtId="9" fontId="2" fillId="3" borderId="26" xfId="0" applyNumberFormat="1" applyFont="1" applyFill="1" applyBorder="1" applyAlignment="1">
      <alignment horizontal="center"/>
    </xf>
    <xf numFmtId="9" fontId="0" fillId="2" borderId="18" xfId="0" applyNumberFormat="1" applyFill="1" applyBorder="1" applyAlignment="1">
      <alignment vertical="center"/>
    </xf>
    <xf numFmtId="9" fontId="0" fillId="2" borderId="37" xfId="0" applyNumberFormat="1" applyFill="1" applyBorder="1" applyAlignment="1">
      <alignment vertical="center"/>
    </xf>
    <xf numFmtId="9" fontId="22" fillId="2" borderId="17" xfId="4" applyNumberFormat="1" applyFill="1" applyBorder="1" applyAlignment="1">
      <alignment vertical="center"/>
    </xf>
    <xf numFmtId="0" fontId="12" fillId="2" borderId="1" xfId="0" applyFont="1" applyFill="1" applyBorder="1"/>
    <xf numFmtId="1" fontId="2" fillId="7" borderId="1" xfId="0" applyNumberFormat="1" applyFont="1" applyFill="1" applyBorder="1" applyAlignment="1">
      <alignment horizontal="left"/>
    </xf>
    <xf numFmtId="1" fontId="22" fillId="2" borderId="0" xfId="4" applyNumberFormat="1" applyFill="1" applyBorder="1"/>
    <xf numFmtId="1" fontId="22" fillId="2" borderId="0" xfId="4" applyNumberForma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0" fillId="0" borderId="0" xfId="0" applyNumberFormat="1" applyAlignment="1">
      <alignment vertical="center"/>
    </xf>
    <xf numFmtId="1" fontId="26" fillId="10" borderId="0" xfId="5" applyNumberFormat="1" applyFont="1" applyFill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ill="1" applyBorder="1"/>
    <xf numFmtId="2" fontId="22" fillId="2" borderId="0" xfId="4" applyNumberFormat="1" applyFill="1" applyBorder="1"/>
    <xf numFmtId="9" fontId="0" fillId="2" borderId="0" xfId="0" applyNumberFormat="1" applyFill="1" applyAlignment="1">
      <alignment horizontal="right"/>
    </xf>
    <xf numFmtId="9" fontId="0" fillId="2" borderId="6" xfId="0" applyNumberFormat="1" applyFill="1" applyBorder="1" applyAlignment="1">
      <alignment horizontal="right"/>
    </xf>
    <xf numFmtId="9" fontId="0" fillId="2" borderId="3" xfId="0" applyNumberFormat="1" applyFill="1" applyBorder="1" applyAlignment="1">
      <alignment horizontal="right"/>
    </xf>
    <xf numFmtId="9" fontId="0" fillId="2" borderId="10" xfId="0" applyNumberFormat="1" applyFill="1" applyBorder="1" applyAlignment="1">
      <alignment horizontal="right"/>
    </xf>
    <xf numFmtId="9" fontId="22" fillId="2" borderId="0" xfId="4" applyNumberFormat="1" applyFill="1" applyBorder="1" applyAlignment="1">
      <alignment horizontal="right"/>
    </xf>
    <xf numFmtId="165" fontId="2" fillId="2" borderId="0" xfId="1" applyNumberFormat="1" applyFont="1" applyFill="1" applyBorder="1"/>
    <xf numFmtId="2" fontId="2" fillId="2" borderId="0" xfId="0" applyNumberFormat="1" applyFont="1" applyFill="1" applyAlignment="1">
      <alignment horizontal="right"/>
    </xf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/>
    <xf numFmtId="164" fontId="14" fillId="2" borderId="0" xfId="0" applyNumberFormat="1" applyFont="1" applyFill="1"/>
    <xf numFmtId="11" fontId="0" fillId="2" borderId="0" xfId="0" applyNumberFormat="1" applyFill="1"/>
    <xf numFmtId="3" fontId="0" fillId="2" borderId="0" xfId="0" applyNumberFormat="1" applyFill="1"/>
    <xf numFmtId="3" fontId="2" fillId="3" borderId="22" xfId="0" applyNumberFormat="1" applyFont="1" applyFill="1" applyBorder="1" applyAlignment="1">
      <alignment horizontal="right"/>
    </xf>
    <xf numFmtId="3" fontId="0" fillId="2" borderId="22" xfId="0" applyNumberFormat="1" applyFill="1" applyBorder="1" applyAlignment="1">
      <alignment horizontal="right"/>
    </xf>
    <xf numFmtId="3" fontId="0" fillId="2" borderId="10" xfId="0" applyNumberFormat="1" applyFill="1" applyBorder="1" applyAlignment="1">
      <alignment horizontal="right"/>
    </xf>
    <xf numFmtId="0" fontId="8" fillId="2" borderId="27" xfId="0" applyFont="1" applyFill="1" applyBorder="1"/>
    <xf numFmtId="0" fontId="0" fillId="2" borderId="28" xfId="0" applyFill="1" applyBorder="1"/>
    <xf numFmtId="0" fontId="7" fillId="2" borderId="18" xfId="0" applyFont="1" applyFill="1" applyBorder="1" applyAlignment="1">
      <alignment horizontal="left" indent="2"/>
    </xf>
    <xf numFmtId="0" fontId="7" fillId="2" borderId="17" xfId="0" applyFont="1" applyFill="1" applyBorder="1" applyAlignment="1">
      <alignment horizontal="left" indent="2"/>
    </xf>
    <xf numFmtId="0" fontId="2" fillId="2" borderId="25" xfId="0" applyFont="1" applyFill="1" applyBorder="1"/>
    <xf numFmtId="0" fontId="2" fillId="2" borderId="18" xfId="0" applyFont="1" applyFill="1" applyBorder="1"/>
    <xf numFmtId="0" fontId="7" fillId="2" borderId="37" xfId="0" applyFont="1" applyFill="1" applyBorder="1" applyAlignment="1">
      <alignment horizontal="left" indent="2"/>
    </xf>
    <xf numFmtId="0" fontId="2" fillId="2" borderId="28" xfId="0" applyFont="1" applyFill="1" applyBorder="1"/>
    <xf numFmtId="3" fontId="0" fillId="2" borderId="3" xfId="1" applyNumberFormat="1" applyFont="1" applyFill="1" applyBorder="1" applyAlignment="1">
      <alignment horizontal="right"/>
    </xf>
    <xf numFmtId="3" fontId="2" fillId="3" borderId="24" xfId="0" applyNumberFormat="1" applyFont="1" applyFill="1" applyBorder="1" applyAlignment="1">
      <alignment horizontal="right"/>
    </xf>
    <xf numFmtId="3" fontId="0" fillId="2" borderId="6" xfId="1" applyNumberFormat="1" applyFont="1" applyFill="1" applyBorder="1" applyAlignment="1">
      <alignment horizontal="right"/>
    </xf>
    <xf numFmtId="3" fontId="0" fillId="2" borderId="10" xfId="1" applyNumberFormat="1" applyFont="1" applyFill="1" applyBorder="1" applyAlignment="1">
      <alignment horizontal="right"/>
    </xf>
    <xf numFmtId="0" fontId="9" fillId="2" borderId="0" xfId="0" applyFont="1" applyFill="1"/>
    <xf numFmtId="0" fontId="2" fillId="2" borderId="6" xfId="0" applyFont="1" applyFill="1" applyBorder="1"/>
    <xf numFmtId="0" fontId="0" fillId="2" borderId="6" xfId="0" applyFill="1" applyBorder="1"/>
    <xf numFmtId="9" fontId="22" fillId="2" borderId="0" xfId="4" applyNumberFormat="1" applyFill="1"/>
    <xf numFmtId="165" fontId="0" fillId="2" borderId="0" xfId="0" applyNumberFormat="1" applyFill="1"/>
    <xf numFmtId="3" fontId="2" fillId="3" borderId="15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7" fillId="11" borderId="3" xfId="0" applyFont="1" applyFill="1" applyBorder="1"/>
    <xf numFmtId="0" fontId="6" fillId="0" borderId="4" xfId="0" applyFont="1" applyBorder="1"/>
    <xf numFmtId="0" fontId="6" fillId="2" borderId="4" xfId="0" applyFont="1" applyFill="1" applyBorder="1"/>
    <xf numFmtId="0" fontId="2" fillId="10" borderId="0" xfId="0" applyFont="1" applyFill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/>
    <xf numFmtId="3" fontId="2" fillId="2" borderId="5" xfId="0" applyNumberFormat="1" applyFont="1" applyFill="1" applyBorder="1"/>
    <xf numFmtId="3" fontId="2" fillId="2" borderId="0" xfId="0" applyNumberFormat="1" applyFont="1" applyFill="1"/>
    <xf numFmtId="3" fontId="2" fillId="2" borderId="7" xfId="0" applyNumberFormat="1" applyFont="1" applyFill="1" applyBorder="1"/>
    <xf numFmtId="0" fontId="0" fillId="0" borderId="15" xfId="0" applyBorder="1"/>
    <xf numFmtId="3" fontId="0" fillId="2" borderId="4" xfId="0" applyNumberFormat="1" applyFill="1" applyBorder="1"/>
    <xf numFmtId="3" fontId="0" fillId="2" borderId="1" xfId="0" applyNumberFormat="1" applyFill="1" applyBorder="1"/>
    <xf numFmtId="3" fontId="0" fillId="2" borderId="16" xfId="0" applyNumberFormat="1" applyFill="1" applyBorder="1"/>
    <xf numFmtId="3" fontId="0" fillId="0" borderId="0" xfId="0" applyNumberFormat="1"/>
    <xf numFmtId="0" fontId="0" fillId="0" borderId="27" xfId="0" applyBorder="1"/>
    <xf numFmtId="3" fontId="0" fillId="2" borderId="8" xfId="0" applyNumberFormat="1" applyFill="1" applyBorder="1"/>
    <xf numFmtId="3" fontId="0" fillId="2" borderId="2" xfId="0" applyNumberFormat="1" applyFill="1" applyBorder="1"/>
    <xf numFmtId="3" fontId="0" fillId="2" borderId="7" xfId="0" applyNumberFormat="1" applyFill="1" applyBorder="1"/>
    <xf numFmtId="0" fontId="0" fillId="0" borderId="18" xfId="0" applyBorder="1"/>
    <xf numFmtId="3" fontId="0" fillId="2" borderId="5" xfId="0" applyNumberFormat="1" applyFill="1" applyBorder="1"/>
    <xf numFmtId="3" fontId="0" fillId="2" borderId="6" xfId="0" applyNumberFormat="1" applyFill="1" applyBorder="1"/>
    <xf numFmtId="0" fontId="0" fillId="0" borderId="17" xfId="0" applyBorder="1"/>
    <xf numFmtId="3" fontId="0" fillId="2" borderId="9" xfId="0" applyNumberFormat="1" applyFill="1" applyBorder="1"/>
    <xf numFmtId="3" fontId="0" fillId="2" borderId="3" xfId="0" applyNumberFormat="1" applyFill="1" applyBorder="1"/>
    <xf numFmtId="3" fontId="0" fillId="2" borderId="10" xfId="0" applyNumberFormat="1" applyFill="1" applyBorder="1"/>
    <xf numFmtId="167" fontId="0" fillId="2" borderId="0" xfId="0" applyNumberFormat="1" applyFill="1"/>
    <xf numFmtId="0" fontId="11" fillId="11" borderId="1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5" xfId="0" applyBorder="1"/>
    <xf numFmtId="0" fontId="2" fillId="5" borderId="41" xfId="0" applyFont="1" applyFill="1" applyBorder="1" applyAlignment="1">
      <alignment horizontal="center" vertical="center"/>
    </xf>
    <xf numFmtId="164" fontId="16" fillId="2" borderId="0" xfId="0" applyNumberFormat="1" applyFont="1" applyFill="1" applyAlignment="1">
      <alignment horizontal="right"/>
    </xf>
    <xf numFmtId="165" fontId="0" fillId="10" borderId="36" xfId="0" applyNumberFormat="1" applyFill="1" applyBorder="1"/>
    <xf numFmtId="1" fontId="0" fillId="0" borderId="0" xfId="0" applyNumberFormat="1" applyAlignment="1">
      <alignment horizontal="right"/>
    </xf>
    <xf numFmtId="0" fontId="13" fillId="0" borderId="0" xfId="0" applyFont="1"/>
    <xf numFmtId="0" fontId="16" fillId="0" borderId="0" xfId="0" applyFont="1"/>
    <xf numFmtId="1" fontId="2" fillId="13" borderId="4" xfId="0" applyNumberFormat="1" applyFont="1" applyFill="1" applyBorder="1" applyAlignment="1">
      <alignment horizontal="left"/>
    </xf>
    <xf numFmtId="0" fontId="0" fillId="13" borderId="0" xfId="0" applyFill="1"/>
    <xf numFmtId="164" fontId="2" fillId="13" borderId="1" xfId="0" applyNumberFormat="1" applyFont="1" applyFill="1" applyBorder="1" applyAlignment="1">
      <alignment horizontal="right"/>
    </xf>
    <xf numFmtId="164" fontId="2" fillId="13" borderId="1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" fontId="2" fillId="14" borderId="4" xfId="0" applyNumberFormat="1" applyFont="1" applyFill="1" applyBorder="1"/>
    <xf numFmtId="0" fontId="0" fillId="14" borderId="3" xfId="0" applyFill="1" applyBorder="1"/>
    <xf numFmtId="164" fontId="2" fillId="14" borderId="1" xfId="0" applyNumberFormat="1" applyFont="1" applyFill="1" applyBorder="1"/>
    <xf numFmtId="164" fontId="2" fillId="14" borderId="15" xfId="0" applyNumberFormat="1" applyFont="1" applyFill="1" applyBorder="1"/>
    <xf numFmtId="164" fontId="11" fillId="13" borderId="4" xfId="0" quotePrefix="1" applyNumberFormat="1" applyFont="1" applyFill="1" applyBorder="1" applyAlignment="1">
      <alignment horizontal="right"/>
    </xf>
    <xf numFmtId="164" fontId="11" fillId="13" borderId="1" xfId="0" applyNumberFormat="1" applyFont="1" applyFill="1" applyBorder="1" applyAlignment="1">
      <alignment horizontal="right"/>
    </xf>
    <xf numFmtId="164" fontId="11" fillId="13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11" fillId="13" borderId="4" xfId="0" applyNumberFormat="1" applyFont="1" applyFill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164" fontId="11" fillId="14" borderId="4" xfId="0" applyNumberFormat="1" applyFont="1" applyFill="1" applyBorder="1"/>
    <xf numFmtId="164" fontId="11" fillId="14" borderId="1" xfId="0" applyNumberFormat="1" applyFont="1" applyFill="1" applyBorder="1"/>
    <xf numFmtId="164" fontId="11" fillId="14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0" fontId="21" fillId="2" borderId="0" xfId="0" applyFont="1" applyFill="1"/>
    <xf numFmtId="168" fontId="21" fillId="2" borderId="6" xfId="0" applyNumberFormat="1" applyFont="1" applyFill="1" applyBorder="1" applyAlignment="1">
      <alignment horizontal="right"/>
    </xf>
    <xf numFmtId="168" fontId="21" fillId="2" borderId="10" xfId="0" applyNumberFormat="1" applyFont="1" applyFill="1" applyBorder="1" applyAlignment="1">
      <alignment horizontal="right"/>
    </xf>
    <xf numFmtId="0" fontId="21" fillId="0" borderId="0" xfId="0" applyFont="1"/>
    <xf numFmtId="9" fontId="0" fillId="0" borderId="0" xfId="1" applyFont="1"/>
    <xf numFmtId="9" fontId="0" fillId="2" borderId="4" xfId="1" applyFont="1" applyFill="1" applyBorder="1"/>
    <xf numFmtId="9" fontId="0" fillId="2" borderId="2" xfId="1" applyFont="1" applyFill="1" applyBorder="1"/>
    <xf numFmtId="9" fontId="0" fillId="2" borderId="7" xfId="1" applyFont="1" applyFill="1" applyBorder="1"/>
    <xf numFmtId="9" fontId="0" fillId="0" borderId="0" xfId="0" applyNumberFormat="1"/>
    <xf numFmtId="9" fontId="0" fillId="2" borderId="0" xfId="1" applyFont="1" applyFill="1"/>
    <xf numFmtId="9" fontId="0" fillId="2" borderId="6" xfId="1" applyFont="1" applyFill="1" applyBorder="1"/>
    <xf numFmtId="9" fontId="0" fillId="2" borderId="3" xfId="1" applyFont="1" applyFill="1" applyBorder="1"/>
    <xf numFmtId="9" fontId="0" fillId="2" borderId="10" xfId="1" applyFont="1" applyFill="1" applyBorder="1"/>
    <xf numFmtId="9" fontId="0" fillId="2" borderId="1" xfId="1" applyFont="1" applyFill="1" applyBorder="1"/>
    <xf numFmtId="9" fontId="0" fillId="2" borderId="16" xfId="1" applyFont="1" applyFill="1" applyBorder="1"/>
    <xf numFmtId="9" fontId="2" fillId="0" borderId="0" xfId="0" applyNumberFormat="1" applyFont="1"/>
    <xf numFmtId="9" fontId="2" fillId="2" borderId="0" xfId="1" applyFont="1" applyFill="1"/>
    <xf numFmtId="165" fontId="0" fillId="0" borderId="0" xfId="1" applyNumberFormat="1" applyFont="1"/>
    <xf numFmtId="0" fontId="28" fillId="15" borderId="5" xfId="0" applyFont="1" applyFill="1" applyBorder="1" applyAlignment="1">
      <alignment horizontal="left" indent="2"/>
    </xf>
    <xf numFmtId="0" fontId="2" fillId="15" borderId="0" xfId="0" applyFont="1" applyFill="1"/>
    <xf numFmtId="1" fontId="2" fillId="15" borderId="0" xfId="0" applyNumberFormat="1" applyFont="1" applyFill="1" applyAlignment="1">
      <alignment horizontal="right"/>
    </xf>
    <xf numFmtId="1" fontId="2" fillId="15" borderId="18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 wrapText="1"/>
    </xf>
    <xf numFmtId="1" fontId="11" fillId="16" borderId="15" xfId="0" applyNumberFormat="1" applyFont="1" applyFill="1" applyBorder="1" applyAlignment="1">
      <alignment horizontal="right"/>
    </xf>
    <xf numFmtId="1" fontId="11" fillId="17" borderId="15" xfId="0" applyNumberFormat="1" applyFont="1" applyFill="1" applyBorder="1"/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7.xml"/><Relationship Id="rId18" Type="http://schemas.openxmlformats.org/officeDocument/2006/relationships/worksheet" Target="worksheets/sheet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chartsheet" Target="chartsheets/sheet1.xml"/><Relationship Id="rId12" Type="http://schemas.openxmlformats.org/officeDocument/2006/relationships/chartsheet" Target="chartsheets/sheet6.xml"/><Relationship Id="rId17" Type="http://schemas.openxmlformats.org/officeDocument/2006/relationships/chartsheet" Target="chartsheets/sheet10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9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5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8.xml"/><Relationship Id="rId23" Type="http://schemas.openxmlformats.org/officeDocument/2006/relationships/externalLink" Target="externalLinks/externalLink5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7.xml"/><Relationship Id="rId22" Type="http://schemas.openxmlformats.org/officeDocument/2006/relationships/externalLink" Target="externalLinks/externalLink4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SNBC3 : Energie finale par usage et énergie primaire (Mtep)</c:v>
            </c:pt>
          </c:strCache>
        </c:strRef>
      </c:tx>
      <c:layout>
        <c:manualLayout>
          <c:xMode val="edge"/>
          <c:yMode val="edge"/>
          <c:x val="4.15560737277888E-2"/>
          <c:y val="1.879086784349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ER_RESIDENTIAL_coal_2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ER_TRANS_PUBLIC_coal_2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ER_TERTIARY_coal_2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199.46769746219996</c:v>
                </c:pt>
                <c:pt idx="1">
                  <c:v>191.22028988949987</c:v>
                </c:pt>
                <c:pt idx="2">
                  <c:v>141.64441097540004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ER_INDUS_coal_2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647219379051268E-3"/>
                  <c:y val="-3.134796238244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7-4F22-A5E8-E4153E109927}"/>
                </c:ext>
              </c:extLst>
            </c:dLbl>
            <c:dLbl>
              <c:idx val="1"/>
              <c:layout>
                <c:manualLayout>
                  <c:x val="1.3647219379051519E-3"/>
                  <c:y val="-2.5078369905956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7-4F22-A5E8-E4153E109927}"/>
                </c:ext>
              </c:extLst>
            </c:dLbl>
            <c:dLbl>
              <c:idx val="2"/>
              <c:layout>
                <c:manualLayout>
                  <c:x val="5.4588877516206077E-3"/>
                  <c:y val="-1.46290491118078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7-4F22-A5E8-E4153E10992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smooth val="0"/>
          <c:extLst>
            <c:ext xmlns:c16="http://schemas.microsoft.com/office/drawing/2014/chart" uri="{C3380CC4-5D6E-409C-BE32-E72D297353CC}">
              <c16:uniqueId val="{00000000-B687-4F22-A5E8-E4153E10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506857222784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vecteurs'!$Z$48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CC-4F25-BB18-D2DE93E1EAE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CC-4F25-BB18-D2DE93E1EAE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vecteurs'!$AA$48:$AC$48</c:f>
              <c:numCache>
                <c:formatCode>0</c:formatCode>
                <c:ptCount val="3"/>
                <c:pt idx="0">
                  <c:v>1.74017497</c:v>
                </c:pt>
                <c:pt idx="1">
                  <c:v>0.5517053972</c:v>
                </c:pt>
                <c:pt idx="2">
                  <c:v>0.1095811738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C-4F25-BB18-D2DE93E1EAE8}"/>
            </c:ext>
          </c:extLst>
        </c:ser>
        <c:ser>
          <c:idx val="3"/>
          <c:order val="1"/>
          <c:tx>
            <c:strRef>
              <c:f>'T energie vecteurs'!$Z$47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CC-4F25-BB18-D2DE93E1EAE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vecteurs'!$AA$47:$AC$47</c:f>
              <c:numCache>
                <c:formatCode>0</c:formatCode>
                <c:ptCount val="3"/>
                <c:pt idx="0">
                  <c:v>52.293378851</c:v>
                </c:pt>
                <c:pt idx="1">
                  <c:v>42.704749002999996</c:v>
                </c:pt>
                <c:pt idx="2">
                  <c:v>18.584274893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CC-4F25-BB18-D2DE93E1EAE8}"/>
            </c:ext>
          </c:extLst>
        </c:ser>
        <c:ser>
          <c:idx val="1"/>
          <c:order val="2"/>
          <c:tx>
            <c:strRef>
              <c:f>'T energie vecteurs'!$Z$45</c:f>
              <c:strCache>
                <c:ptCount val="1"/>
                <c:pt idx="0">
                  <c:v>chaleur (bois…)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vecteurs'!$AA$45:$AC$45</c:f>
              <c:numCache>
                <c:formatCode>0</c:formatCode>
                <c:ptCount val="3"/>
                <c:pt idx="0">
                  <c:v>10.425269618700002</c:v>
                </c:pt>
                <c:pt idx="1">
                  <c:v>19.117683861999993</c:v>
                </c:pt>
                <c:pt idx="2">
                  <c:v>16.6972256719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C-4F25-BB18-D2DE93E1EAE8}"/>
            </c:ext>
          </c:extLst>
        </c:ser>
        <c:ser>
          <c:idx val="2"/>
          <c:order val="3"/>
          <c:tx>
            <c:strRef>
              <c:f>'T energie vecteurs'!$Z$46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vecteurs'!$AA$46:$AC$46</c:f>
              <c:numCache>
                <c:formatCode>0</c:formatCode>
                <c:ptCount val="3"/>
                <c:pt idx="0">
                  <c:v>23.2254688475</c:v>
                </c:pt>
                <c:pt idx="1">
                  <c:v>13.257208283000001</c:v>
                </c:pt>
                <c:pt idx="2">
                  <c:v>4.4992155140000003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C-4F25-BB18-D2DE93E1EAE8}"/>
            </c:ext>
          </c:extLst>
        </c:ser>
        <c:ser>
          <c:idx val="4"/>
          <c:order val="4"/>
          <c:tx>
            <c:strRef>
              <c:f>'T energie vecteurs'!$Z$44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vecteurs'!$AA$44:$AC$44</c:f>
              <c:numCache>
                <c:formatCode>0</c:formatCode>
                <c:ptCount val="3"/>
                <c:pt idx="0">
                  <c:v>32.698821604799996</c:v>
                </c:pt>
                <c:pt idx="1">
                  <c:v>36.337475507900002</c:v>
                </c:pt>
                <c:pt idx="2">
                  <c:v>47.424138566100005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CC-4F25-BB18-D2DE93E1E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11088"/>
        <c:axId val="231610696"/>
      </c:barChart>
      <c:catAx>
        <c:axId val="2316110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0696"/>
        <c:crosses val="autoZero"/>
        <c:auto val="1"/>
        <c:lblAlgn val="ctr"/>
        <c:lblOffset val="100"/>
        <c:noMultiLvlLbl val="0"/>
      </c:catAx>
      <c:valAx>
        <c:axId val="231610696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SNBC3 : Ventilation du mix énergie (Mtep)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0739596005"/>
          <c:y val="0.24874563404511155"/>
          <c:w val="0.1834512958142259"/>
          <c:h val="0.23607401739359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2.4994425092065915E-2</c:v>
                </c:pt>
                <c:pt idx="1">
                  <c:v>2.4811072409364057E-2</c:v>
                </c:pt>
                <c:pt idx="2">
                  <c:v>2.4547123566144167E-2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0.66723666876109289</c:v>
                </c:pt>
                <c:pt idx="1">
                  <c:v>0.57862544235988156</c:v>
                </c:pt>
                <c:pt idx="2">
                  <c:v>0.29530182821308493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9.8618400900619366E-2</c:v>
                </c:pt>
                <c:pt idx="1">
                  <c:v>8.5082657388454164E-2</c:v>
                </c:pt>
                <c:pt idx="2">
                  <c:v>6.0615803806183963E-2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4.6279031131135955E-2</c:v>
                </c:pt>
                <c:pt idx="1">
                  <c:v>0.11704854161030852</c:v>
                </c:pt>
                <c:pt idx="2">
                  <c:v>0.23022599777499511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8.5267193775286312E-2</c:v>
                </c:pt>
                <c:pt idx="1">
                  <c:v>0.12932391395704804</c:v>
                </c:pt>
                <c:pt idx="2">
                  <c:v>0.34915314058727659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7.7604280339799769E-2</c:v>
                </c:pt>
                <c:pt idx="1">
                  <c:v>6.5108372274943635E-2</c:v>
                </c:pt>
                <c:pt idx="2">
                  <c:v>4.0156106052315135E-2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SNBC3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6046167306E-2"/>
              <c:y val="2.402380831726580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0.94711814226272517</c:v>
                </c:pt>
                <c:pt idx="1">
                  <c:v>0.91771552824831859</c:v>
                </c:pt>
                <c:pt idx="2">
                  <c:v>0.69969192098518962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5.2881857737274864E-2</c:v>
                </c:pt>
                <c:pt idx="1">
                  <c:v>8.2284471751681451E-2</c:v>
                </c:pt>
                <c:pt idx="2">
                  <c:v>0.30030807901481033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SNBC3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0.97055581086477782</c:v>
                </c:pt>
                <c:pt idx="1">
                  <c:v>0.79211570836266987</c:v>
                </c:pt>
                <c:pt idx="2">
                  <c:v>5.6817641254248215E-2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2.9444189135222149E-2</c:v>
                </c:pt>
                <c:pt idx="1">
                  <c:v>0.20788429163733008</c:v>
                </c:pt>
                <c:pt idx="2">
                  <c:v>0.94318235874575174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SNBC3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104.40247159763975</c:v>
                </c:pt>
                <c:pt idx="1">
                  <c:v>85.850497411140097</c:v>
                </c:pt>
                <c:pt idx="2">
                  <c:v>24.84619772860939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40.828363913178052</c:v>
                </c:pt>
                <c:pt idx="1">
                  <c:v>26.176239351619671</c:v>
                </c:pt>
                <c:pt idx="2">
                  <c:v>9.9753484817604452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23.693229718633766</c:v>
                </c:pt>
                <c:pt idx="1">
                  <c:v>14.174367275719041</c:v>
                </c:pt>
                <c:pt idx="2">
                  <c:v>3.8758517627965166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88.226316329876568</c:v>
                </c:pt>
                <c:pt idx="1">
                  <c:v>69.446434841068182</c:v>
                </c:pt>
                <c:pt idx="2">
                  <c:v>43.267911327833005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Graphs'!$B$9</c:f>
              <c:strCache>
                <c:ptCount val="1"/>
                <c:pt idx="0">
                  <c:v>SNBC3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677304466662714E-2"/>
          <c:y val="0.18782278038184441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auto'!$I$5:$AM$5</c:f>
              <c:numCache>
                <c:formatCode>#\ ##0.0</c:formatCode>
                <c:ptCount val="31"/>
                <c:pt idx="0">
                  <c:v>37.46813839</c:v>
                </c:pt>
                <c:pt idx="1">
                  <c:v>37.674700530000003</c:v>
                </c:pt>
                <c:pt idx="2">
                  <c:v>37.77606376</c:v>
                </c:pt>
                <c:pt idx="3">
                  <c:v>37.847518880000003</c:v>
                </c:pt>
                <c:pt idx="4">
                  <c:v>37.774379830000001</c:v>
                </c:pt>
                <c:pt idx="5">
                  <c:v>37.610316130000001</c:v>
                </c:pt>
                <c:pt idx="6">
                  <c:v>37.339257259999997</c:v>
                </c:pt>
                <c:pt idx="7">
                  <c:v>36.974615030000002</c:v>
                </c:pt>
                <c:pt idx="8">
                  <c:v>36.581806049999997</c:v>
                </c:pt>
                <c:pt idx="9">
                  <c:v>36.184514270000001</c:v>
                </c:pt>
                <c:pt idx="10">
                  <c:v>35.719150029999994</c:v>
                </c:pt>
                <c:pt idx="11">
                  <c:v>35.337121670000002</c:v>
                </c:pt>
                <c:pt idx="12">
                  <c:v>35.001497860000001</c:v>
                </c:pt>
                <c:pt idx="13">
                  <c:v>34.67484228</c:v>
                </c:pt>
                <c:pt idx="14">
                  <c:v>34.356460970000001</c:v>
                </c:pt>
                <c:pt idx="15">
                  <c:v>34.046939939999994</c:v>
                </c:pt>
                <c:pt idx="16">
                  <c:v>33.772836679999998</c:v>
                </c:pt>
                <c:pt idx="17">
                  <c:v>33.516610239999999</c:v>
                </c:pt>
                <c:pt idx="18">
                  <c:v>33.268125269999999</c:v>
                </c:pt>
                <c:pt idx="19">
                  <c:v>33.029700630000001</c:v>
                </c:pt>
                <c:pt idx="20">
                  <c:v>32.800690329999995</c:v>
                </c:pt>
                <c:pt idx="21">
                  <c:v>32.577114629999997</c:v>
                </c:pt>
                <c:pt idx="22">
                  <c:v>32.362155649999998</c:v>
                </c:pt>
                <c:pt idx="23">
                  <c:v>32.162529710000001</c:v>
                </c:pt>
                <c:pt idx="24">
                  <c:v>31.970599149999998</c:v>
                </c:pt>
                <c:pt idx="25">
                  <c:v>31.71733746</c:v>
                </c:pt>
                <c:pt idx="26">
                  <c:v>31.481696929999998</c:v>
                </c:pt>
                <c:pt idx="27">
                  <c:v>31.260945489999997</c:v>
                </c:pt>
                <c:pt idx="28">
                  <c:v>31.05079014</c:v>
                </c:pt>
                <c:pt idx="29">
                  <c:v>30.843645939999998</c:v>
                </c:pt>
                <c:pt idx="30">
                  <c:v>30.611075769999999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5D2-B2A5-76AA1C492B9B}"/>
            </c:ext>
          </c:extLst>
        </c:ser>
        <c:ser>
          <c:idx val="2"/>
          <c:order val="1"/>
          <c:tx>
            <c:strRef>
              <c:f>'[5]T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'[5]T parc auto'!$I$5:$AM$5</c:f>
              <c:numCache>
                <c:formatCode>General</c:formatCode>
                <c:ptCount val="31"/>
                <c:pt idx="0">
                  <c:v>34.664492700000004</c:v>
                </c:pt>
                <c:pt idx="1">
                  <c:v>34.956187980000003</c:v>
                </c:pt>
                <c:pt idx="2">
                  <c:v>35.116030049999999</c:v>
                </c:pt>
                <c:pt idx="3">
                  <c:v>35.22984451</c:v>
                </c:pt>
                <c:pt idx="4">
                  <c:v>35.293663940000002</c:v>
                </c:pt>
                <c:pt idx="5">
                  <c:v>35.310390290000001</c:v>
                </c:pt>
                <c:pt idx="6">
                  <c:v>35.378433780000002</c:v>
                </c:pt>
                <c:pt idx="7">
                  <c:v>35.496856720000004</c:v>
                </c:pt>
                <c:pt idx="8">
                  <c:v>35.653829440000003</c:v>
                </c:pt>
                <c:pt idx="9">
                  <c:v>35.834650719999999</c:v>
                </c:pt>
                <c:pt idx="10">
                  <c:v>36.029956510000005</c:v>
                </c:pt>
                <c:pt idx="11">
                  <c:v>36.22702245</c:v>
                </c:pt>
                <c:pt idx="12">
                  <c:v>36.422585409999996</c:v>
                </c:pt>
                <c:pt idx="13">
                  <c:v>36.615497920000003</c:v>
                </c:pt>
                <c:pt idx="14">
                  <c:v>36.806113070000002</c:v>
                </c:pt>
                <c:pt idx="15">
                  <c:v>36.99621071</c:v>
                </c:pt>
                <c:pt idx="16">
                  <c:v>37.184294620000003</c:v>
                </c:pt>
                <c:pt idx="17">
                  <c:v>37.372872549999997</c:v>
                </c:pt>
                <c:pt idx="18">
                  <c:v>37.563526299999999</c:v>
                </c:pt>
                <c:pt idx="19">
                  <c:v>37.757729379999994</c:v>
                </c:pt>
                <c:pt idx="20">
                  <c:v>37.955981359999996</c:v>
                </c:pt>
                <c:pt idx="21">
                  <c:v>38.166927919999999</c:v>
                </c:pt>
                <c:pt idx="22">
                  <c:v>38.388725370000003</c:v>
                </c:pt>
                <c:pt idx="23">
                  <c:v>38.617999920000003</c:v>
                </c:pt>
                <c:pt idx="24">
                  <c:v>38.852641049999995</c:v>
                </c:pt>
                <c:pt idx="25">
                  <c:v>39.090289320000004</c:v>
                </c:pt>
                <c:pt idx="26">
                  <c:v>39.328744280000002</c:v>
                </c:pt>
                <c:pt idx="27">
                  <c:v>39.56777889</c:v>
                </c:pt>
                <c:pt idx="28">
                  <c:v>39.807161919999999</c:v>
                </c:pt>
                <c:pt idx="29">
                  <c:v>40.046711999999999</c:v>
                </c:pt>
                <c:pt idx="30">
                  <c:v>40.288447350000006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3-45D2-B2A5-76AA1C492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chemeClr val="tx1"/>
                    </a:solidFill>
                  </a:rPr>
                  <a:t>Parc auto</a:t>
                </a:r>
                <a:br>
                  <a:rPr lang="fr-FR" b="1">
                    <a:solidFill>
                      <a:schemeClr val="tx1"/>
                    </a:solidFill>
                  </a:rPr>
                </a:br>
                <a:r>
                  <a:rPr lang="fr-FR" b="1">
                    <a:solidFill>
                      <a:schemeClr val="tx1"/>
                    </a:solidFill>
                  </a:rPr>
                  <a:t>(millions de</a:t>
                </a:r>
                <a:r>
                  <a:rPr lang="fr-FR" b="1" baseline="0">
                    <a:solidFill>
                      <a:schemeClr val="tx1"/>
                    </a:solidFill>
                  </a:rPr>
                  <a:t> véhicules)</a:t>
                </a:r>
              </a:p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fr-FR" b="1" baseline="0">
                    <a:solidFill>
                      <a:schemeClr val="tx1"/>
                    </a:solidFill>
                  </a:rPr>
                  <a:t>(actualiser TEND)</a:t>
                </a:r>
                <a:endParaRPr lang="fr-FR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417526627996E-2"/>
              <c:y val="3.879238910236656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835039786960974E-2"/>
          <c:y val="0.19199059976233585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auto'!$I$6:$AM$6</c:f>
              <c:numCache>
                <c:formatCode>0%</c:formatCode>
                <c:ptCount val="31"/>
                <c:pt idx="0">
                  <c:v>1.3883814017801272E-2</c:v>
                </c:pt>
                <c:pt idx="1">
                  <c:v>1.7520260708493017E-2</c:v>
                </c:pt>
                <c:pt idx="2">
                  <c:v>2.2233542206410127E-2</c:v>
                </c:pt>
                <c:pt idx="3">
                  <c:v>2.8192371562930835E-2</c:v>
                </c:pt>
                <c:pt idx="4">
                  <c:v>3.4874895919634746E-2</c:v>
                </c:pt>
                <c:pt idx="5">
                  <c:v>4.242697603190819E-2</c:v>
                </c:pt>
                <c:pt idx="6">
                  <c:v>5.1414845015050524E-2</c:v>
                </c:pt>
                <c:pt idx="7">
                  <c:v>6.295543637469482E-2</c:v>
                </c:pt>
                <c:pt idx="8">
                  <c:v>7.8807445538900622E-2</c:v>
                </c:pt>
                <c:pt idx="9">
                  <c:v>9.9735330425370944E-2</c:v>
                </c:pt>
                <c:pt idx="10">
                  <c:v>0.12492856546844322</c:v>
                </c:pt>
                <c:pt idx="11">
                  <c:v>0.15595004557709921</c:v>
                </c:pt>
                <c:pt idx="12">
                  <c:v>0.19114138674178441</c:v>
                </c:pt>
                <c:pt idx="13">
                  <c:v>0.22828093959537976</c:v>
                </c:pt>
                <c:pt idx="14">
                  <c:v>0.26596717353917843</c:v>
                </c:pt>
                <c:pt idx="15">
                  <c:v>0.30323888514487163</c:v>
                </c:pt>
                <c:pt idx="16">
                  <c:v>0.34002887139180044</c:v>
                </c:pt>
                <c:pt idx="17">
                  <c:v>0.37565622059756359</c:v>
                </c:pt>
                <c:pt idx="18">
                  <c:v>0.40978945820832546</c:v>
                </c:pt>
                <c:pt idx="19">
                  <c:v>0.44243243781407537</c:v>
                </c:pt>
                <c:pt idx="20">
                  <c:v>0.47358195189546187</c:v>
                </c:pt>
                <c:pt idx="21">
                  <c:v>0.50307159047498484</c:v>
                </c:pt>
                <c:pt idx="22">
                  <c:v>0.53102287733419273</c:v>
                </c:pt>
                <c:pt idx="23">
                  <c:v>0.55759884846446051</c:v>
                </c:pt>
                <c:pt idx="24">
                  <c:v>0.58275592467274728</c:v>
                </c:pt>
                <c:pt idx="25">
                  <c:v>0.60746101731579583</c:v>
                </c:pt>
                <c:pt idx="26">
                  <c:v>0.63088719277623762</c:v>
                </c:pt>
                <c:pt idx="27">
                  <c:v>0.65306155556077528</c:v>
                </c:pt>
                <c:pt idx="28">
                  <c:v>0.67399900181734962</c:v>
                </c:pt>
                <c:pt idx="29">
                  <c:v>0.69368885480080189</c:v>
                </c:pt>
                <c:pt idx="30">
                  <c:v>0.7119374713827642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F-413C-A382-BDDA928D9525}"/>
            </c:ext>
          </c:extLst>
        </c:ser>
        <c:ser>
          <c:idx val="2"/>
          <c:order val="1"/>
          <c:tx>
            <c:strRef>
              <c:f>'[5]T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'[5]T parc auto'!$I$6:$AM$6</c:f>
              <c:numCache>
                <c:formatCode>General</c:formatCode>
                <c:ptCount val="31"/>
                <c:pt idx="0">
                  <c:v>8.5699726798540449E-3</c:v>
                </c:pt>
                <c:pt idx="1">
                  <c:v>1.3125767536852568E-2</c:v>
                </c:pt>
                <c:pt idx="2">
                  <c:v>2.093814652035246E-2</c:v>
                </c:pt>
                <c:pt idx="3">
                  <c:v>2.9339596650975963E-2</c:v>
                </c:pt>
                <c:pt idx="4">
                  <c:v>3.8422705171822412E-2</c:v>
                </c:pt>
                <c:pt idx="5">
                  <c:v>4.8298948326351107E-2</c:v>
                </c:pt>
                <c:pt idx="6">
                  <c:v>5.9426982864022086E-2</c:v>
                </c:pt>
                <c:pt idx="7">
                  <c:v>7.1945526561541698E-2</c:v>
                </c:pt>
                <c:pt idx="8">
                  <c:v>8.5942049539349558E-2</c:v>
                </c:pt>
                <c:pt idx="9">
                  <c:v>0.10147172535354351</c:v>
                </c:pt>
                <c:pt idx="10">
                  <c:v>0.11859008108472456</c:v>
                </c:pt>
                <c:pt idx="11">
                  <c:v>0.13730358074183932</c:v>
                </c:pt>
                <c:pt idx="12">
                  <c:v>0.15763780877629907</c:v>
                </c:pt>
                <c:pt idx="13">
                  <c:v>0.17959577390884213</c:v>
                </c:pt>
                <c:pt idx="14">
                  <c:v>0.20315166958215294</c:v>
                </c:pt>
                <c:pt idx="15">
                  <c:v>0.22824904180571959</c:v>
                </c:pt>
                <c:pt idx="16">
                  <c:v>0.2547637951132391</c:v>
                </c:pt>
                <c:pt idx="17">
                  <c:v>0.28256330245612871</c:v>
                </c:pt>
                <c:pt idx="18">
                  <c:v>0.31147078409409074</c:v>
                </c:pt>
                <c:pt idx="19">
                  <c:v>0.34127816401018973</c:v>
                </c:pt>
                <c:pt idx="20">
                  <c:v>0.3717464103001657</c:v>
                </c:pt>
                <c:pt idx="21">
                  <c:v>0.40269710709271045</c:v>
                </c:pt>
                <c:pt idx="22">
                  <c:v>0.43384849821076515</c:v>
                </c:pt>
                <c:pt idx="23">
                  <c:v>0.464913357170052</c:v>
                </c:pt>
                <c:pt idx="24">
                  <c:v>0.49563467577965337</c:v>
                </c:pt>
                <c:pt idx="25">
                  <c:v>0.52577836510113596</c:v>
                </c:pt>
                <c:pt idx="26">
                  <c:v>0.55514202702634574</c:v>
                </c:pt>
                <c:pt idx="27">
                  <c:v>0.58357173153926301</c:v>
                </c:pt>
                <c:pt idx="28">
                  <c:v>0.61094374421556352</c:v>
                </c:pt>
                <c:pt idx="29">
                  <c:v>0.63716406480512056</c:v>
                </c:pt>
                <c:pt idx="30">
                  <c:v>0.66218106938290833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F-413C-A382-BDDA928D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ysClr val="windowText" lastClr="000000"/>
                    </a:solidFill>
                  </a:rPr>
                  <a:t>Pénétration véhicule</a:t>
                </a:r>
                <a:r>
                  <a:rPr lang="fr-FR" b="1" baseline="0">
                    <a:solidFill>
                      <a:sysClr val="windowText" lastClr="000000"/>
                    </a:solidFill>
                  </a:rPr>
                  <a:t> elec (% du parc)</a:t>
                </a:r>
              </a:p>
              <a:p>
                <a:pPr>
                  <a:defRPr/>
                </a:pPr>
                <a:r>
                  <a:rPr lang="fr-FR" b="1" baseline="0">
                    <a:solidFill>
                      <a:sysClr val="windowText" lastClr="000000"/>
                    </a:solidFill>
                  </a:rPr>
                  <a:t>(actualiser TEND)</a:t>
                </a:r>
                <a:endParaRPr lang="fr-FR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388951702174E-2"/>
              <c:y val="3.654170667887090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SNBC3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0%</c:formatCode>
                <c:ptCount val="3"/>
                <c:pt idx="0">
                  <c:v>0.1223109049694102</c:v>
                </c:pt>
                <c:pt idx="1">
                  <c:v>7.5448145684781295E-2</c:v>
                </c:pt>
                <c:pt idx="2">
                  <c:v>2.3967211518878286E-2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0%</c:formatCode>
                <c:ptCount val="3"/>
                <c:pt idx="0">
                  <c:v>0.71982210395054513</c:v>
                </c:pt>
                <c:pt idx="1">
                  <c:v>0.63268906012655202</c:v>
                </c:pt>
                <c:pt idx="2">
                  <c:v>0.20774450048019336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0%</c:formatCode>
                <c:ptCount val="3"/>
                <c:pt idx="0">
                  <c:v>0.14398317716633161</c:v>
                </c:pt>
                <c:pt idx="1">
                  <c:v>0.16693422862503654</c:v>
                </c:pt>
                <c:pt idx="2">
                  <c:v>5.635081667369967E-2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0%</c:formatCode>
                <c:ptCount val="3"/>
                <c:pt idx="0">
                  <c:v>1.3883814017801272E-2</c:v>
                </c:pt>
                <c:pt idx="1">
                  <c:v>0.12492856546844322</c:v>
                </c:pt>
                <c:pt idx="2">
                  <c:v>0.7119374713827642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Graphs'!$B$11</c:f>
          <c:strCache>
            <c:ptCount val="1"/>
            <c:pt idx="0">
              <c:v>SNBC3 : Ventilation du parc de logements (%)</c:v>
            </c:pt>
          </c:strCache>
        </c:strRef>
      </c:tx>
      <c:layout>
        <c:manualLayout>
          <c:xMode val="edge"/>
          <c:yMode val="edge"/>
          <c:x val="3.4237370593317988E-2"/>
          <c:y val="1.2537313727519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0.16941109140936561</c:v>
                </c:pt>
                <c:pt idx="1">
                  <c:v>0.12119857968813237</c:v>
                </c:pt>
                <c:pt idx="2">
                  <c:v>6.4796086710942516E-2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0.75979490119700632</c:v>
                </c:pt>
                <c:pt idx="1">
                  <c:v>0.71575005093872834</c:v>
                </c:pt>
                <c:pt idx="2">
                  <c:v>0.51766112159161159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7.079400719904419E-2</c:v>
                </c:pt>
                <c:pt idx="1">
                  <c:v>0.16305136930764463</c:v>
                </c:pt>
                <c:pt idx="2">
                  <c:v>0.4177623055746052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Callonnecg/Github/ThreeME/data/shocks/Bilan%20S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shocks\Bilan%20&#233;nergie%20-%20AMErun2%20-%20AMSrun3.xlsx" TargetMode="External"/><Relationship Id="rId1" Type="http://schemas.openxmlformats.org/officeDocument/2006/relationships/externalLinkPath" Target="/GitHub/ThreeME/data/shocks/Bilan%20&#233;nergie%20-%20AMErun2%20-%20AMSrun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1_Transports\Transports_AMS_run2-vf10.xlsx" TargetMode="External"/><Relationship Id="rId1" Type="http://schemas.openxmlformats.org/officeDocument/2006/relationships/externalLinkPath" Target="/Users/callonnecg/Documents/Github/ThreeME/data/calibrations/Documents%20MTE/AMS-run2/001_Transports/Transports_AMS_run2-vf1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esktop\Temporaire\reporting%202%20-%20energie%20SNBC3%20-%20template%20parts%20modales%20voyageurs.xlsx" TargetMode="External"/><Relationship Id="rId1" Type="http://schemas.openxmlformats.org/officeDocument/2006/relationships/externalLinkPath" Target="https://ademecloud-my.sharepoint.com/Users/alma.monserand/Desktop/Temporaire/reporting%202%20-%20energie%20SNBC3%20-%20template%20parts%20modales%20voyageurs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Github\ThreeME\results\reporting%201%20-%20energie%20TEND.xlsx" TargetMode="External"/><Relationship Id="rId1" Type="http://schemas.openxmlformats.org/officeDocument/2006/relationships/externalLinkPath" Target="https://ademecloud-my.sharepoint.com/Users/alma.monserand/Documents/GitHub/ThreeME/results/reporting%201%20-%20energie%20TE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>
        <row r="4">
          <cell r="H4">
            <v>10.400607231191495</v>
          </cell>
          <cell r="AJ4">
            <v>9.6821026074859624</v>
          </cell>
        </row>
        <row r="5">
          <cell r="H5">
            <v>3.4968412155770827</v>
          </cell>
          <cell r="AJ5">
            <v>3.4968412155770827</v>
          </cell>
        </row>
        <row r="8">
          <cell r="AJ8">
            <v>0.62105913154569725</v>
          </cell>
        </row>
        <row r="9">
          <cell r="AJ9">
            <v>0.01</v>
          </cell>
        </row>
        <row r="10">
          <cell r="H10">
            <v>2.6577034315641361</v>
          </cell>
          <cell r="AJ10">
            <v>1.0959867027277013</v>
          </cell>
        </row>
        <row r="11">
          <cell r="H11">
            <v>0</v>
          </cell>
          <cell r="AJ11">
            <v>0.01</v>
          </cell>
        </row>
        <row r="12">
          <cell r="H12">
            <v>2.2929206076239605</v>
          </cell>
          <cell r="AJ12">
            <v>12.585580636323101</v>
          </cell>
        </row>
        <row r="13">
          <cell r="H13">
            <v>0</v>
          </cell>
          <cell r="AJ13">
            <v>7.4283543184877532</v>
          </cell>
        </row>
        <row r="14">
          <cell r="H14">
            <v>17.773000859845226</v>
          </cell>
          <cell r="AJ14">
            <v>3.8663975346227235</v>
          </cell>
        </row>
        <row r="15">
          <cell r="AJ15">
            <v>0.31052956577284868</v>
          </cell>
        </row>
        <row r="17">
          <cell r="H17">
            <v>10.490111779879621</v>
          </cell>
          <cell r="AJ17">
            <v>1.3970598106217755</v>
          </cell>
        </row>
        <row r="18">
          <cell r="H18">
            <v>5.4600171969045563</v>
          </cell>
          <cell r="AJ18">
            <v>10.432652801530878</v>
          </cell>
        </row>
        <row r="19">
          <cell r="H19">
            <v>1.1621270136304822</v>
          </cell>
          <cell r="AJ19">
            <v>12.301085039507219</v>
          </cell>
        </row>
        <row r="20">
          <cell r="AJ20">
            <v>0.69912973511411425</v>
          </cell>
        </row>
        <row r="21">
          <cell r="AJ21">
            <v>0.94296387002405035</v>
          </cell>
        </row>
        <row r="22">
          <cell r="AJ22">
            <v>6.7613203915324087</v>
          </cell>
        </row>
        <row r="28">
          <cell r="H28">
            <v>5.438782729559458</v>
          </cell>
        </row>
        <row r="29">
          <cell r="H29">
            <v>11.911185835668668</v>
          </cell>
        </row>
        <row r="30">
          <cell r="H30">
            <v>12.325609312525271</v>
          </cell>
        </row>
        <row r="31">
          <cell r="H31">
            <v>0.79152054400721716</v>
          </cell>
        </row>
        <row r="32">
          <cell r="H32">
            <v>0.25795356835769562</v>
          </cell>
        </row>
        <row r="33">
          <cell r="H33">
            <v>7.4811633429693902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v2 "/>
      <sheetName val=" fonds chaleur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"/>
      <sheetName val="Bilans_E_AMS_Kyoto_run3_2023"/>
      <sheetName val="Bilans_E_AMS_Kyoto_run3_2025"/>
      <sheetName val="Bilans_E_AMS_Kyoto_run3_2028"/>
      <sheetName val="Bilans_E_AMS_Kyoto_run3_2030"/>
      <sheetName val="Bilans_E_AMS_Kyoto_run3_2033"/>
      <sheetName val="Bilans_E_AMS_Kyoto_run3_2035"/>
      <sheetName val="Bilans_E_AMS_Kyoto_run3_2038"/>
      <sheetName val="Bilans_E_AMS_Kyoto_run3_2040"/>
      <sheetName val="Bilans_E_AMS_Kyoto_run3_2045"/>
      <sheetName val="Bilans_E_AMS_Kyoto_run3_2050"/>
      <sheetName val="Bilans_E_AMS_Kyoto_run3"/>
      <sheetName val="Bilans_E_AMS_Kyoto_run3_MTE"/>
      <sheetName val="Bilans_E_AMS_Kyoto_run3_MTE_anc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  <sheetName val=" fonds chaleur en tep"/>
      <sheetName val=" fonds chaleur en twh"/>
    </sheetNames>
    <sheetDataSet>
      <sheetData sheetId="0"/>
      <sheetData sheetId="1">
        <row r="22">
          <cell r="D22">
            <v>0.9556818277818554</v>
          </cell>
        </row>
      </sheetData>
      <sheetData sheetId="2"/>
      <sheetData sheetId="3"/>
      <sheetData sheetId="4"/>
      <sheetData sheetId="5">
        <row r="22">
          <cell r="M22">
            <v>0.94256889676315481</v>
          </cell>
        </row>
      </sheetData>
      <sheetData sheetId="6"/>
      <sheetData sheetId="7"/>
      <sheetData sheetId="8"/>
      <sheetData sheetId="9"/>
      <sheetData sheetId="10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1.1415347236508699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0.10895527045374473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18.686166128192799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3.5678886111111101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/>
      <sheetData sheetId="13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21.793321666666667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4.4104077777777784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4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21.859968333333335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4.1018563888888897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L13">
            <v>24.298097404469559</v>
          </cell>
        </row>
      </sheetData>
      <sheetData sheetId="16">
        <row r="13">
          <cell r="L13">
            <v>64.055272794649682</v>
          </cell>
        </row>
      </sheetData>
      <sheetData sheetId="17">
        <row r="13">
          <cell r="L13">
            <v>71.534753758802367</v>
          </cell>
        </row>
      </sheetData>
      <sheetData sheetId="18">
        <row r="13">
          <cell r="L13">
            <v>73.711460432822037</v>
          </cell>
        </row>
      </sheetData>
      <sheetData sheetId="19">
        <row r="13">
          <cell r="L13">
            <v>60.003896317889257</v>
          </cell>
        </row>
      </sheetData>
      <sheetData sheetId="20">
        <row r="13">
          <cell r="L13">
            <v>50.941346245748719</v>
          </cell>
        </row>
      </sheetData>
      <sheetData sheetId="21">
        <row r="13">
          <cell r="L13">
            <v>38.942042128507637</v>
          </cell>
        </row>
      </sheetData>
      <sheetData sheetId="22">
        <row r="13">
          <cell r="L13">
            <v>31.055970799843635</v>
          </cell>
        </row>
      </sheetData>
      <sheetData sheetId="23">
        <row r="13">
          <cell r="L13">
            <v>16.706363002811486</v>
          </cell>
        </row>
      </sheetData>
      <sheetData sheetId="24">
        <row r="13">
          <cell r="L13">
            <v>12.7985093299136</v>
          </cell>
        </row>
      </sheetData>
      <sheetData sheetId="25"/>
      <sheetData sheetId="26">
        <row r="13">
          <cell r="L13">
            <v>86.192023090421856</v>
          </cell>
          <cell r="T13">
            <v>8.2175953615538209</v>
          </cell>
          <cell r="U13">
            <v>120.70181135843518</v>
          </cell>
          <cell r="V13">
            <v>155.95540999328384</v>
          </cell>
          <cell r="W13">
            <v>125.61536332451628</v>
          </cell>
          <cell r="X13">
            <v>16.904139208606786</v>
          </cell>
        </row>
        <row r="22">
          <cell r="T22">
            <v>2.4841856077042066</v>
          </cell>
          <cell r="U22">
            <v>99.196233029113813</v>
          </cell>
          <cell r="V22">
            <v>115.18135311514705</v>
          </cell>
          <cell r="W22">
            <v>63.673123299044839</v>
          </cell>
          <cell r="X22">
            <v>4.2283415153063242</v>
          </cell>
        </row>
        <row r="30">
          <cell r="T30">
            <v>0</v>
          </cell>
          <cell r="U30">
            <v>18.813292152120741</v>
          </cell>
          <cell r="V30">
            <v>17.330040012113464</v>
          </cell>
          <cell r="W30">
            <v>16.26962770883793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4.8413821640415255</v>
          </cell>
          <cell r="U37">
            <v>26.937463537570867</v>
          </cell>
          <cell r="V37">
            <v>73.413726167362853</v>
          </cell>
          <cell r="W37">
            <v>0.46982123257429881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0.36066131262685786</v>
          </cell>
          <cell r="U39">
            <v>4.7991131198633983E-4</v>
          </cell>
          <cell r="V39">
            <v>3.6562035035050702</v>
          </cell>
          <cell r="W39">
            <v>3.5112271315974612</v>
          </cell>
          <cell r="X39">
            <v>0</v>
          </cell>
        </row>
        <row r="40">
          <cell r="T40">
            <v>0.25</v>
          </cell>
          <cell r="U40">
            <v>1.390278564453125</v>
          </cell>
          <cell r="V40">
            <v>58.81291503857112</v>
          </cell>
          <cell r="W40">
            <v>20.889920153176526</v>
          </cell>
          <cell r="X40">
            <v>0</v>
          </cell>
        </row>
        <row r="41">
          <cell r="T41">
            <v>2.7934691016396722</v>
          </cell>
          <cell r="U41">
            <v>0.93174084898654219</v>
          </cell>
          <cell r="V41">
            <v>0</v>
          </cell>
          <cell r="W41">
            <v>0</v>
          </cell>
          <cell r="X41">
            <v>36.659680118734968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419.79556605067489</v>
          </cell>
        </row>
        <row r="43">
          <cell r="T43">
            <v>35.262359218486715</v>
          </cell>
          <cell r="U43">
            <v>24.165235131191906</v>
          </cell>
          <cell r="V43">
            <v>30.264105073000309</v>
          </cell>
          <cell r="W43">
            <v>18.302012365463629</v>
          </cell>
          <cell r="X43">
            <v>0</v>
          </cell>
        </row>
        <row r="44">
          <cell r="T44">
            <v>0</v>
          </cell>
          <cell r="U44">
            <v>6.1285070662635537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4.8925078124999999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41.197055664062503</v>
          </cell>
        </row>
        <row r="53">
          <cell r="E53">
            <v>13.300999650365602</v>
          </cell>
        </row>
        <row r="54">
          <cell r="E54">
            <v>114.54386945674393</v>
          </cell>
        </row>
        <row r="55">
          <cell r="E55">
            <v>0</v>
          </cell>
        </row>
        <row r="56">
          <cell r="E56">
            <v>8.8573866734579565E-2</v>
          </cell>
        </row>
        <row r="57">
          <cell r="E57">
            <v>0</v>
          </cell>
        </row>
      </sheetData>
      <sheetData sheetId="27">
        <row r="13">
          <cell r="L13">
            <v>74.597074661503257</v>
          </cell>
        </row>
      </sheetData>
      <sheetData sheetId="28">
        <row r="13">
          <cell r="L13">
            <v>57.004792385507699</v>
          </cell>
          <cell r="T13">
            <v>7.7729232574275695</v>
          </cell>
          <cell r="U13">
            <v>149.97591807761651</v>
          </cell>
          <cell r="V13">
            <v>166.37329866218946</v>
          </cell>
          <cell r="W13">
            <v>121.98780292325297</v>
          </cell>
          <cell r="X13">
            <v>34.37904289575053</v>
          </cell>
        </row>
        <row r="22">
          <cell r="T22">
            <v>1.8992499702384933</v>
          </cell>
          <cell r="U22">
            <v>81.675242038488676</v>
          </cell>
          <cell r="V22">
            <v>85.098949623624506</v>
          </cell>
          <cell r="W22">
            <v>52.738757939191267</v>
          </cell>
          <cell r="X22">
            <v>7.503677414417977</v>
          </cell>
        </row>
        <row r="30">
          <cell r="T30">
            <v>0</v>
          </cell>
          <cell r="U30">
            <v>19.64973892074547</v>
          </cell>
          <cell r="V30">
            <v>28.91573310749396</v>
          </cell>
          <cell r="W30">
            <v>21.68981250781421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11.011050824063592</v>
          </cell>
          <cell r="U37">
            <v>40.443549417210768</v>
          </cell>
          <cell r="V37">
            <v>60.462677002926597</v>
          </cell>
          <cell r="W37">
            <v>0.66301904787483434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0.62518456969816016</v>
          </cell>
          <cell r="U39">
            <v>5.5791983277925228E-4</v>
          </cell>
          <cell r="V39">
            <v>6.0227221136395004</v>
          </cell>
          <cell r="W39">
            <v>5.7126687446965985</v>
          </cell>
          <cell r="X39">
            <v>0</v>
          </cell>
        </row>
        <row r="40">
          <cell r="T40">
            <v>0.5</v>
          </cell>
          <cell r="U40">
            <v>4.88145654296875</v>
          </cell>
          <cell r="V40">
            <v>86.174932209680449</v>
          </cell>
          <cell r="W40">
            <v>32.610726720036368</v>
          </cell>
          <cell r="X40">
            <v>0</v>
          </cell>
        </row>
        <row r="41">
          <cell r="T41">
            <v>4.0387192002052101</v>
          </cell>
          <cell r="U41">
            <v>0.94472173154286976</v>
          </cell>
          <cell r="V41">
            <v>0</v>
          </cell>
          <cell r="W41">
            <v>0</v>
          </cell>
          <cell r="X41">
            <v>37.003548542473339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327.31240488287597</v>
          </cell>
        </row>
        <row r="43">
          <cell r="T43">
            <v>30.726482620518151</v>
          </cell>
          <cell r="U43">
            <v>11.411404613984462</v>
          </cell>
          <cell r="V43">
            <v>11.051911751931332</v>
          </cell>
          <cell r="W43">
            <v>3.647846365657839</v>
          </cell>
          <cell r="X43">
            <v>0</v>
          </cell>
        </row>
        <row r="44">
          <cell r="T44">
            <v>0</v>
          </cell>
          <cell r="U44">
            <v>10.269254107073522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0.92572558593749998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21.539217285156251</v>
          </cell>
        </row>
        <row r="53">
          <cell r="E53">
            <v>13.537810909623058</v>
          </cell>
        </row>
        <row r="54">
          <cell r="E54">
            <v>115.2369297376637</v>
          </cell>
        </row>
        <row r="55">
          <cell r="E55">
            <v>0</v>
          </cell>
        </row>
        <row r="56">
          <cell r="E56">
            <v>0.21009810940790719</v>
          </cell>
        </row>
        <row r="57">
          <cell r="E57">
            <v>1.1371080780029297</v>
          </cell>
        </row>
      </sheetData>
      <sheetData sheetId="29">
        <row r="13">
          <cell r="L13">
            <v>83.337259091529631</v>
          </cell>
        </row>
      </sheetData>
      <sheetData sheetId="30">
        <row r="13">
          <cell r="L13">
            <v>95.466033511784872</v>
          </cell>
          <cell r="T13">
            <v>8.6394549115432451</v>
          </cell>
          <cell r="U13">
            <v>153.63376409766943</v>
          </cell>
          <cell r="V13">
            <v>154.71508066801636</v>
          </cell>
          <cell r="W13">
            <v>121.82988531988985</v>
          </cell>
          <cell r="X13">
            <v>64.85163743776981</v>
          </cell>
        </row>
        <row r="22">
          <cell r="T22">
            <v>1.7976500828628292</v>
          </cell>
          <cell r="U22">
            <v>77.127391103588607</v>
          </cell>
          <cell r="V22">
            <v>62.480514463276663</v>
          </cell>
          <cell r="W22">
            <v>39.952116113539262</v>
          </cell>
          <cell r="X22">
            <v>10.108389747247291</v>
          </cell>
        </row>
        <row r="30">
          <cell r="T30">
            <v>0</v>
          </cell>
          <cell r="U30">
            <v>19.531581585374159</v>
          </cell>
          <cell r="V30">
            <v>40.414130897924252</v>
          </cell>
          <cell r="W30">
            <v>23.34788734439358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13.268691220387016</v>
          </cell>
          <cell r="U37">
            <v>38.482812658254467</v>
          </cell>
          <cell r="V37">
            <v>51.327953484818188</v>
          </cell>
          <cell r="W37">
            <v>0.59825096685183632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0.96290247555165809</v>
          </cell>
          <cell r="U39">
            <v>6.9244826847420892E-4</v>
          </cell>
          <cell r="V39">
            <v>8.4399601726258009</v>
          </cell>
          <cell r="W39">
            <v>7.9118943755575595</v>
          </cell>
          <cell r="X39">
            <v>0</v>
          </cell>
        </row>
        <row r="40">
          <cell r="T40">
            <v>0.75</v>
          </cell>
          <cell r="U40">
            <v>7.96939501953125</v>
          </cell>
          <cell r="V40">
            <v>106.12788282579821</v>
          </cell>
          <cell r="W40">
            <v>42.388089169065466</v>
          </cell>
          <cell r="X40">
            <v>0</v>
          </cell>
        </row>
        <row r="41">
          <cell r="T41">
            <v>5.5416929804733215</v>
          </cell>
          <cell r="U41">
            <v>0.86864625843500676</v>
          </cell>
          <cell r="V41">
            <v>0</v>
          </cell>
          <cell r="W41">
            <v>0</v>
          </cell>
          <cell r="X41">
            <v>41.017765544975838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211.71015331690265</v>
          </cell>
        </row>
        <row r="43">
          <cell r="T43">
            <v>22.236615834161011</v>
          </cell>
          <cell r="U43">
            <v>6.9248578185022795</v>
          </cell>
          <cell r="V43">
            <v>1.1922779453513948</v>
          </cell>
          <cell r="W43">
            <v>2.1695259016738468</v>
          </cell>
          <cell r="X43">
            <v>0</v>
          </cell>
        </row>
        <row r="44">
          <cell r="T44">
            <v>0</v>
          </cell>
          <cell r="U44">
            <v>9.5007953936584837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0.59552978515624999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12.5134462890625</v>
          </cell>
        </row>
        <row r="53">
          <cell r="E53">
            <v>12.973217825865042</v>
          </cell>
        </row>
        <row r="54">
          <cell r="E54">
            <v>108.38831705718137</v>
          </cell>
        </row>
        <row r="55">
          <cell r="E55">
            <v>0</v>
          </cell>
        </row>
        <row r="56">
          <cell r="E56">
            <v>3.3783937339937218</v>
          </cell>
        </row>
        <row r="57">
          <cell r="E57">
            <v>1.487132000092672</v>
          </cell>
        </row>
      </sheetData>
      <sheetData sheetId="31">
        <row r="13">
          <cell r="L13">
            <v>112.47635741768158</v>
          </cell>
        </row>
      </sheetData>
      <sheetData sheetId="32">
        <row r="13">
          <cell r="L13">
            <v>125.47851234932489</v>
          </cell>
          <cell r="T13">
            <v>9.5059865656589242</v>
          </cell>
          <cell r="U13">
            <v>158.55335920514725</v>
          </cell>
          <cell r="V13">
            <v>151.24868898897191</v>
          </cell>
          <cell r="W13">
            <v>121.37238070067973</v>
          </cell>
          <cell r="X13">
            <v>98.588545998647945</v>
          </cell>
        </row>
        <row r="22">
          <cell r="T22">
            <v>1.6960501954871656</v>
          </cell>
          <cell r="U22">
            <v>70.544008247711929</v>
          </cell>
          <cell r="V22">
            <v>39.26367448194933</v>
          </cell>
          <cell r="W22">
            <v>27.549886913301172</v>
          </cell>
          <cell r="X22">
            <v>12.027313360200161</v>
          </cell>
        </row>
        <row r="30">
          <cell r="T30">
            <v>0</v>
          </cell>
          <cell r="U30">
            <v>19.589550837757145</v>
          </cell>
          <cell r="V30">
            <v>40.573888251039236</v>
          </cell>
          <cell r="W30">
            <v>23.260331591038877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15.52633161671044</v>
          </cell>
          <cell r="U37">
            <v>37.391289864504934</v>
          </cell>
          <cell r="V37">
            <v>44.494417008077924</v>
          </cell>
          <cell r="W37">
            <v>0.53348745170182088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1.300620381405156</v>
          </cell>
          <cell r="U39">
            <v>7.8820466826144567E-4</v>
          </cell>
          <cell r="V39">
            <v>11.112810725871574</v>
          </cell>
          <cell r="W39">
            <v>10.099133053150796</v>
          </cell>
          <cell r="X39">
            <v>0</v>
          </cell>
        </row>
        <row r="40">
          <cell r="T40">
            <v>1</v>
          </cell>
          <cell r="U40">
            <v>10.938740234375</v>
          </cell>
          <cell r="V40">
            <v>136.92844956569715</v>
          </cell>
          <cell r="W40">
            <v>52.106590615041483</v>
          </cell>
          <cell r="X40">
            <v>0</v>
          </cell>
        </row>
        <row r="41">
          <cell r="T41">
            <v>6.9560280843062596</v>
          </cell>
          <cell r="U41">
            <v>0.65571165030445222</v>
          </cell>
          <cell r="V41">
            <v>0</v>
          </cell>
          <cell r="W41">
            <v>0</v>
          </cell>
          <cell r="X41">
            <v>36.960574276816558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101.77401649068347</v>
          </cell>
        </row>
        <row r="43">
          <cell r="T43">
            <v>13.844421020879521</v>
          </cell>
          <cell r="U43">
            <v>3.1554639427466697</v>
          </cell>
          <cell r="V43">
            <v>0.45829125770018231</v>
          </cell>
          <cell r="W43">
            <v>0.72441471608254671</v>
          </cell>
          <cell r="X43">
            <v>0</v>
          </cell>
        </row>
        <row r="44">
          <cell r="T44">
            <v>0</v>
          </cell>
          <cell r="U44">
            <v>8.8042095890605694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0.31248754882812502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11.840306396484376</v>
          </cell>
        </row>
        <row r="53">
          <cell r="E53">
            <v>12.555456003161671</v>
          </cell>
        </row>
        <row r="54">
          <cell r="E54">
            <v>102.03544321387012</v>
          </cell>
        </row>
        <row r="55">
          <cell r="E55">
            <v>0</v>
          </cell>
        </row>
        <row r="56">
          <cell r="E56">
            <v>6.330380960194816</v>
          </cell>
        </row>
        <row r="57">
          <cell r="E57">
            <v>1.8671101278544562</v>
          </cell>
        </row>
      </sheetData>
      <sheetData sheetId="33">
        <row r="13">
          <cell r="L13">
            <v>64.652591069811592</v>
          </cell>
        </row>
      </sheetData>
      <sheetData sheetId="34">
        <row r="13">
          <cell r="L13">
            <v>28.679288227585289</v>
          </cell>
          <cell r="T13">
            <v>11.227117591013034</v>
          </cell>
          <cell r="U13">
            <v>175.53759404222941</v>
          </cell>
          <cell r="V13">
            <v>135.77624988749807</v>
          </cell>
          <cell r="W13">
            <v>123.17781879034489</v>
          </cell>
          <cell r="X13">
            <v>129.21827578196925</v>
          </cell>
        </row>
        <row r="22">
          <cell r="T22">
            <v>1.459595922347638</v>
          </cell>
          <cell r="U22">
            <v>55.476680983540973</v>
          </cell>
          <cell r="V22">
            <v>27.268319880371575</v>
          </cell>
          <cell r="W22">
            <v>8.8076196126240713</v>
          </cell>
          <cell r="X22">
            <v>14.472730677280335</v>
          </cell>
        </row>
        <row r="30">
          <cell r="T30">
            <v>0</v>
          </cell>
          <cell r="U30">
            <v>19.118062217384278</v>
          </cell>
          <cell r="V30">
            <v>35.160977387086433</v>
          </cell>
          <cell r="W30">
            <v>22.010319853686262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20.041612409357288</v>
          </cell>
          <cell r="U37">
            <v>33.03282021908791</v>
          </cell>
          <cell r="V37">
            <v>38.670548162755892</v>
          </cell>
          <cell r="W37">
            <v>0.43608334641640845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2.1874070050904897</v>
          </cell>
          <cell r="U39">
            <v>8.5890570413253253E-4</v>
          </cell>
          <cell r="V39">
            <v>14.856183742724458</v>
          </cell>
          <cell r="W39">
            <v>13.972057854326216</v>
          </cell>
          <cell r="X39">
            <v>0</v>
          </cell>
        </row>
        <row r="40">
          <cell r="T40">
            <v>1.5</v>
          </cell>
          <cell r="U40">
            <v>15.325538085937501</v>
          </cell>
          <cell r="V40">
            <v>170.26801174847219</v>
          </cell>
          <cell r="W40">
            <v>64.752372842201794</v>
          </cell>
          <cell r="X40">
            <v>0</v>
          </cell>
        </row>
        <row r="41">
          <cell r="T41">
            <v>6.8596219696114309</v>
          </cell>
          <cell r="U41">
            <v>0</v>
          </cell>
          <cell r="V41">
            <v>0</v>
          </cell>
          <cell r="W41">
            <v>0</v>
          </cell>
          <cell r="X41">
            <v>21.896930013474247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2.5646039905747262</v>
          </cell>
        </row>
        <row r="43">
          <cell r="T43">
            <v>0</v>
          </cell>
          <cell r="U43">
            <v>0</v>
          </cell>
          <cell r="V43">
            <v>1.33686813190731E-2</v>
          </cell>
          <cell r="W43">
            <v>5.9571518115922428E-2</v>
          </cell>
          <cell r="X43">
            <v>0</v>
          </cell>
        </row>
        <row r="44">
          <cell r="T44">
            <v>0</v>
          </cell>
          <cell r="U44">
            <v>7.3058555419217219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0</v>
          </cell>
        </row>
        <row r="53">
          <cell r="E53">
            <v>7.019987079045241</v>
          </cell>
        </row>
        <row r="54">
          <cell r="E54">
            <v>91.376834551502185</v>
          </cell>
        </row>
        <row r="55">
          <cell r="E55">
            <v>0</v>
          </cell>
        </row>
        <row r="56">
          <cell r="E56">
            <v>10.939475194884611</v>
          </cell>
        </row>
        <row r="57">
          <cell r="E57">
            <v>6.6285490677230623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/>
      <sheetData sheetId="10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lan énergie"/>
      <sheetName val="FE_et_bio"/>
      <sheetName val="VP"/>
      <sheetName val="VUL"/>
      <sheetName val="PL"/>
      <sheetName val="donnees parc"/>
      <sheetName val="B&amp;C"/>
      <sheetName val="2RM"/>
      <sheetName val="Autres_modes"/>
      <sheetName val="Aérien"/>
      <sheetName val="Trafic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3">
          <cell r="H23">
            <v>629.84570702567703</v>
          </cell>
          <cell r="J23">
            <v>746.12634327708076</v>
          </cell>
          <cell r="N23">
            <v>684.63084367246472</v>
          </cell>
        </row>
        <row r="25">
          <cell r="H25">
            <v>64.888834107401252</v>
          </cell>
          <cell r="J25">
            <v>140.59793923050162</v>
          </cell>
          <cell r="N25">
            <v>187.05149835225939</v>
          </cell>
        </row>
        <row r="26">
          <cell r="H26">
            <v>37.912440194392154</v>
          </cell>
          <cell r="J26">
            <v>75.079943524557834</v>
          </cell>
          <cell r="N26">
            <v>97.003287033728711</v>
          </cell>
        </row>
        <row r="27">
          <cell r="H27">
            <v>7.2496149479999996</v>
          </cell>
          <cell r="J27">
            <v>14.4</v>
          </cell>
          <cell r="N27">
            <v>6.5</v>
          </cell>
        </row>
        <row r="28">
          <cell r="H28">
            <v>9.5825009382689181</v>
          </cell>
          <cell r="J28">
            <v>11.58776593289357</v>
          </cell>
          <cell r="N28">
            <v>11.683292928212129</v>
          </cell>
        </row>
        <row r="29">
          <cell r="H29">
            <v>5.5</v>
          </cell>
          <cell r="J29">
            <v>19.108172758676037</v>
          </cell>
          <cell r="N29">
            <v>28.331906374785511</v>
          </cell>
        </row>
        <row r="30">
          <cell r="H30">
            <v>754.94948226573945</v>
          </cell>
          <cell r="J30">
            <v>1006.9001647237097</v>
          </cell>
          <cell r="N30">
            <v>1015.2008283614504</v>
          </cell>
        </row>
        <row r="31">
          <cell r="H31">
            <v>749.44948226573945</v>
          </cell>
          <cell r="J31">
            <v>987.79199196503373</v>
          </cell>
          <cell r="N31">
            <v>986.86892198666487</v>
          </cell>
        </row>
      </sheetData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 energie vecteurs"/>
      <sheetName val="T energie usages"/>
      <sheetName val="Résultats"/>
      <sheetName val="T CO2"/>
      <sheetName val="T logement"/>
      <sheetName val="G energie"/>
      <sheetName val="G mix energie"/>
      <sheetName val="G mix élec"/>
      <sheetName val="G mix carb"/>
      <sheetName val="G mix gaz"/>
      <sheetName val="G CO2"/>
      <sheetName val="T parc auto"/>
      <sheetName val="G parc auto total"/>
      <sheetName val="G parc elec"/>
      <sheetName val="G parc auto"/>
      <sheetName val="T transport"/>
      <sheetName val="G parc logt"/>
      <sheetName val="Table Graphs"/>
    </sheetNames>
    <sheetDataSet>
      <sheetData sheetId="0" refreshError="1"/>
      <sheetData sheetId="1" refreshError="1"/>
      <sheetData sheetId="2">
        <row r="1">
          <cell r="B1" t="str">
            <v>SNBC3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 energie"/>
      <sheetName val="G mix élec"/>
      <sheetName val="G mix carb"/>
      <sheetName val="G mix gaz"/>
      <sheetName val="T CO2"/>
      <sheetName val="G CO2"/>
      <sheetName val="T parc auto"/>
      <sheetName val="G parc auto"/>
      <sheetName val="T logement"/>
      <sheetName val="G parc logt"/>
      <sheetName val="Table Graph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4">
          <cell r="A4" t="str">
            <v>TEND</v>
          </cell>
        </row>
        <row r="5">
          <cell r="I5">
            <v>34.664492700000004</v>
          </cell>
          <cell r="J5">
            <v>34.956187980000003</v>
          </cell>
          <cell r="K5">
            <v>35.116030049999999</v>
          </cell>
          <cell r="L5">
            <v>35.22984451</v>
          </cell>
          <cell r="M5">
            <v>35.293663940000002</v>
          </cell>
          <cell r="N5">
            <v>35.310390290000001</v>
          </cell>
          <cell r="O5">
            <v>35.378433780000002</v>
          </cell>
          <cell r="P5">
            <v>35.496856720000004</v>
          </cell>
          <cell r="Q5">
            <v>35.653829440000003</v>
          </cell>
          <cell r="R5">
            <v>35.834650719999999</v>
          </cell>
          <cell r="S5">
            <v>36.029956510000005</v>
          </cell>
          <cell r="T5">
            <v>36.22702245</v>
          </cell>
          <cell r="U5">
            <v>36.422585409999996</v>
          </cell>
          <cell r="V5">
            <v>36.615497920000003</v>
          </cell>
          <cell r="W5">
            <v>36.806113070000002</v>
          </cell>
          <cell r="X5">
            <v>36.99621071</v>
          </cell>
          <cell r="Y5">
            <v>37.184294620000003</v>
          </cell>
          <cell r="Z5">
            <v>37.372872549999997</v>
          </cell>
          <cell r="AA5">
            <v>37.563526299999999</v>
          </cell>
          <cell r="AB5">
            <v>37.757729379999994</v>
          </cell>
          <cell r="AC5">
            <v>37.955981359999996</v>
          </cell>
          <cell r="AD5">
            <v>38.166927919999999</v>
          </cell>
          <cell r="AE5">
            <v>38.388725370000003</v>
          </cell>
          <cell r="AF5">
            <v>38.617999920000003</v>
          </cell>
          <cell r="AG5">
            <v>38.852641049999995</v>
          </cell>
          <cell r="AH5">
            <v>39.090289320000004</v>
          </cell>
          <cell r="AI5">
            <v>39.328744280000002</v>
          </cell>
          <cell r="AJ5">
            <v>39.56777889</v>
          </cell>
          <cell r="AK5">
            <v>39.807161919999999</v>
          </cell>
          <cell r="AL5">
            <v>40.046711999999999</v>
          </cell>
          <cell r="AM5">
            <v>40.288447350000006</v>
          </cell>
        </row>
        <row r="6">
          <cell r="I6">
            <v>8.5699726798540449E-3</v>
          </cell>
          <cell r="J6">
            <v>1.3125767536852568E-2</v>
          </cell>
          <cell r="K6">
            <v>2.093814652035246E-2</v>
          </cell>
          <cell r="L6">
            <v>2.9339596650975963E-2</v>
          </cell>
          <cell r="M6">
            <v>3.8422705171822412E-2</v>
          </cell>
          <cell r="N6">
            <v>4.8298948326351107E-2</v>
          </cell>
          <cell r="O6">
            <v>5.9426982864022086E-2</v>
          </cell>
          <cell r="P6">
            <v>7.1945526561541698E-2</v>
          </cell>
          <cell r="Q6">
            <v>8.5942049539349558E-2</v>
          </cell>
          <cell r="R6">
            <v>0.10147172535354351</v>
          </cell>
          <cell r="S6">
            <v>0.11859008108472456</v>
          </cell>
          <cell r="T6">
            <v>0.13730358074183932</v>
          </cell>
          <cell r="U6">
            <v>0.15763780877629907</v>
          </cell>
          <cell r="V6">
            <v>0.17959577390884213</v>
          </cell>
          <cell r="W6">
            <v>0.20315166958215294</v>
          </cell>
          <cell r="X6">
            <v>0.22824904180571959</v>
          </cell>
          <cell r="Y6">
            <v>0.2547637951132391</v>
          </cell>
          <cell r="Z6">
            <v>0.28256330245612871</v>
          </cell>
          <cell r="AA6">
            <v>0.31147078409409074</v>
          </cell>
          <cell r="AB6">
            <v>0.34127816401018973</v>
          </cell>
          <cell r="AC6">
            <v>0.3717464103001657</v>
          </cell>
          <cell r="AD6">
            <v>0.40269710709271045</v>
          </cell>
          <cell r="AE6">
            <v>0.43384849821076515</v>
          </cell>
          <cell r="AF6">
            <v>0.464913357170052</v>
          </cell>
          <cell r="AG6">
            <v>0.49563467577965337</v>
          </cell>
          <cell r="AH6">
            <v>0.52577836510113596</v>
          </cell>
          <cell r="AI6">
            <v>0.55514202702634574</v>
          </cell>
          <cell r="AJ6">
            <v>0.58357173153926301</v>
          </cell>
          <cell r="AK6">
            <v>0.61094374421556352</v>
          </cell>
          <cell r="AL6">
            <v>0.63716406480512056</v>
          </cell>
          <cell r="AM6">
            <v>0.66218106938290833</v>
          </cell>
        </row>
      </sheetData>
      <sheetData sheetId="10" refreshError="1"/>
      <sheetData sheetId="11"/>
      <sheetData sheetId="12" refreshError="1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tabColor rgb="FF0070C0"/>
  </sheetPr>
  <dimension ref="A1:BF524"/>
  <sheetViews>
    <sheetView zoomScale="90" zoomScaleNormal="90" workbookViewId="0"/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8" width="5.5703125" customWidth="1"/>
    <col min="9" max="23" width="7.42578125" customWidth="1"/>
    <col min="25" max="58" width="11.42578125" style="3"/>
  </cols>
  <sheetData>
    <row r="1" spans="1:29" ht="28.5" x14ac:dyDescent="0.45">
      <c r="A1" s="171" t="s">
        <v>97</v>
      </c>
      <c r="B1" s="3"/>
      <c r="C1" s="3"/>
      <c r="D1" s="3" t="s">
        <v>487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46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172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61" t="str">
        <f>Résultats!B1</f>
        <v>SNBC3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s="3" customFormat="1" ht="23.25" x14ac:dyDescent="0.35">
      <c r="A5" s="46"/>
      <c r="D5" s="7"/>
      <c r="E5" s="235">
        <f>Résultats!E1</f>
        <v>4</v>
      </c>
      <c r="F5" s="235">
        <f>E5+9</f>
        <v>13</v>
      </c>
      <c r="G5" s="235">
        <f>F5+3</f>
        <v>16</v>
      </c>
      <c r="H5" s="235">
        <f t="shared" ref="H5:S5" si="0">G5+1</f>
        <v>17</v>
      </c>
      <c r="I5" s="235">
        <f t="shared" si="0"/>
        <v>18</v>
      </c>
      <c r="J5" s="235">
        <f t="shared" si="0"/>
        <v>19</v>
      </c>
      <c r="K5" s="235">
        <f t="shared" si="0"/>
        <v>20</v>
      </c>
      <c r="L5" s="235">
        <f t="shared" si="0"/>
        <v>21</v>
      </c>
      <c r="M5" s="235">
        <f t="shared" si="0"/>
        <v>22</v>
      </c>
      <c r="N5" s="235">
        <f t="shared" si="0"/>
        <v>23</v>
      </c>
      <c r="O5" s="235">
        <f t="shared" si="0"/>
        <v>24</v>
      </c>
      <c r="P5" s="235">
        <f t="shared" si="0"/>
        <v>25</v>
      </c>
      <c r="Q5" s="235">
        <f t="shared" si="0"/>
        <v>26</v>
      </c>
      <c r="R5" s="235">
        <f t="shared" si="0"/>
        <v>27</v>
      </c>
      <c r="S5" s="235">
        <f t="shared" si="0"/>
        <v>28</v>
      </c>
      <c r="T5" s="235">
        <f>S5+5</f>
        <v>33</v>
      </c>
      <c r="U5" s="235">
        <f>T5+5</f>
        <v>38</v>
      </c>
      <c r="V5" s="235">
        <f>U5+5</f>
        <v>43</v>
      </c>
      <c r="W5" s="235">
        <f>V5+5</f>
        <v>48</v>
      </c>
    </row>
    <row r="6" spans="1:29" x14ac:dyDescent="0.25">
      <c r="A6" s="3"/>
      <c r="B6" s="168"/>
      <c r="C6" s="2"/>
      <c r="D6" s="15"/>
      <c r="E6" s="4">
        <v>2006</v>
      </c>
      <c r="F6" s="4">
        <v>2015</v>
      </c>
      <c r="G6" s="20">
        <v>2018</v>
      </c>
      <c r="H6" s="27">
        <v>2019</v>
      </c>
      <c r="I6" s="83">
        <v>2020</v>
      </c>
      <c r="J6" s="91">
        <v>2021</v>
      </c>
      <c r="K6" s="27">
        <v>2022</v>
      </c>
      <c r="L6" s="27">
        <v>2023</v>
      </c>
      <c r="M6" s="27">
        <v>2024</v>
      </c>
      <c r="N6" s="83">
        <v>2025</v>
      </c>
      <c r="O6" s="91">
        <v>2026</v>
      </c>
      <c r="P6" s="27">
        <v>2027</v>
      </c>
      <c r="Q6" s="27">
        <v>2028</v>
      </c>
      <c r="R6" s="27">
        <v>2029</v>
      </c>
      <c r="S6" s="92">
        <v>2030</v>
      </c>
      <c r="T6" s="93">
        <v>2035</v>
      </c>
      <c r="U6" s="93">
        <v>2040</v>
      </c>
      <c r="V6" s="93">
        <v>2045</v>
      </c>
      <c r="W6" s="93">
        <v>2050</v>
      </c>
      <c r="X6" s="3"/>
      <c r="Y6" s="19"/>
      <c r="Z6" s="166" t="s">
        <v>90</v>
      </c>
      <c r="AA6" s="166"/>
      <c r="AB6" s="166"/>
      <c r="AC6" s="38"/>
    </row>
    <row r="7" spans="1:29" ht="15" customHeight="1" x14ac:dyDescent="0.25">
      <c r="A7" s="3"/>
      <c r="B7" s="320" t="s">
        <v>0</v>
      </c>
      <c r="C7" s="5" t="s">
        <v>1</v>
      </c>
      <c r="D7" s="2"/>
      <c r="E7" s="6">
        <f>SUM(E8:E9)</f>
        <v>71.586185679799996</v>
      </c>
      <c r="F7" s="6">
        <f>SUM(F8:F9)</f>
        <v>61.806702725000001</v>
      </c>
      <c r="G7" s="84">
        <f t="shared" ref="G7:R7" si="1">SUM(G8:G9)</f>
        <v>56.365504745999999</v>
      </c>
      <c r="H7" s="6">
        <f t="shared" si="1"/>
        <v>54.793606018999995</v>
      </c>
      <c r="I7" s="85">
        <f t="shared" si="1"/>
        <v>53.346630060999999</v>
      </c>
      <c r="J7" s="84">
        <f t="shared" si="1"/>
        <v>53.497203765000002</v>
      </c>
      <c r="K7" s="6">
        <f t="shared" si="1"/>
        <v>53.550473480000001</v>
      </c>
      <c r="L7" s="6">
        <f t="shared" si="1"/>
        <v>53.742272941000003</v>
      </c>
      <c r="M7" s="6">
        <f t="shared" si="1"/>
        <v>53.164866364000005</v>
      </c>
      <c r="N7" s="85">
        <f t="shared" si="1"/>
        <v>51.827707066000002</v>
      </c>
      <c r="O7" s="84">
        <f t="shared" si="1"/>
        <v>50.411233488000001</v>
      </c>
      <c r="P7" s="6">
        <f t="shared" si="1"/>
        <v>48.893481655000002</v>
      </c>
      <c r="Q7" s="6">
        <f t="shared" si="1"/>
        <v>47.454913765999997</v>
      </c>
      <c r="R7" s="6">
        <f t="shared" si="1"/>
        <v>46.008761199000006</v>
      </c>
      <c r="S7" s="85">
        <f>SUM(S8:S9)</f>
        <v>44.511892672999998</v>
      </c>
      <c r="T7" s="94">
        <f>SUM(T8:T9)</f>
        <v>35.306483372999999</v>
      </c>
      <c r="U7" s="94">
        <f>SUM(U8:U9)</f>
        <v>26.922319236</v>
      </c>
      <c r="V7" s="94">
        <f>SUM(V8:V9)</f>
        <v>22.337740016000001</v>
      </c>
      <c r="W7" s="94">
        <f>SUM(W8:W9)</f>
        <v>19.082851683000001</v>
      </c>
      <c r="X7" s="3"/>
      <c r="Y7" s="75"/>
      <c r="Z7" s="194"/>
      <c r="AA7" s="195">
        <v>2020</v>
      </c>
      <c r="AB7" s="195">
        <v>2030</v>
      </c>
      <c r="AC7" s="196">
        <v>2050</v>
      </c>
    </row>
    <row r="8" spans="1:29" x14ac:dyDescent="0.25">
      <c r="A8" s="3"/>
      <c r="B8" s="321"/>
      <c r="C8" s="3" t="s">
        <v>2</v>
      </c>
      <c r="D8" s="15" t="s">
        <v>356</v>
      </c>
      <c r="E8" s="16">
        <f>VLOOKUP($D8,Résultats!$B$2:$AX$476,E$5,FALSE)</f>
        <v>70.71179746</v>
      </c>
      <c r="F8" s="16">
        <f>VLOOKUP($D8,Résultats!$B$2:$AX$476,F$5,FALSE)</f>
        <v>58.881957659999998</v>
      </c>
      <c r="G8" s="22">
        <f>VLOOKUP($D8,Résultats!$B$2:$AX$476,G$5,FALSE)</f>
        <v>53.554933800000001</v>
      </c>
      <c r="H8" s="16">
        <f>VLOOKUP($D8,Résultats!$B$2:$AX$476,H$5,FALSE)</f>
        <v>52.009059129999997</v>
      </c>
      <c r="I8" s="86">
        <f>VLOOKUP($D8,Résultats!$B$2:$AX$476,I$5,FALSE)</f>
        <v>50.581259039999999</v>
      </c>
      <c r="J8" s="22">
        <f>VLOOKUP($D8,Résultats!$B$2:$AX$476,J$5,FALSE)</f>
        <v>50.601234789999999</v>
      </c>
      <c r="K8" s="16">
        <f>VLOOKUP($D8,Résultats!$B$2:$AX$476,K$5,FALSE)</f>
        <v>50.533827909999999</v>
      </c>
      <c r="L8" s="16">
        <f>VLOOKUP($D8,Résultats!$B$2:$AX$476,L$5,FALSE)</f>
        <v>50.601484360000001</v>
      </c>
      <c r="M8" s="16">
        <f>VLOOKUP($D8,Résultats!$B$2:$AX$476,M$5,FALSE)</f>
        <v>49.988795340000003</v>
      </c>
      <c r="N8" s="86">
        <f>VLOOKUP($D8,Résultats!$B$2:$AX$476,N$5,FALSE)</f>
        <v>48.65905309</v>
      </c>
      <c r="O8" s="22">
        <f>VLOOKUP($D8,Résultats!$B$2:$AX$476,O$5,FALSE)</f>
        <v>47.177672319999999</v>
      </c>
      <c r="P8" s="16">
        <f>VLOOKUP($D8,Résultats!$B$2:$AX$476,P$5,FALSE)</f>
        <v>45.596682090000002</v>
      </c>
      <c r="Q8" s="16">
        <f>VLOOKUP($D8,Résultats!$B$2:$AX$476,Q$5,FALSE)</f>
        <v>44.084065129999999</v>
      </c>
      <c r="R8" s="16">
        <f>VLOOKUP($D8,Résultats!$B$2:$AX$476,R$5,FALSE)</f>
        <v>42.567528080000002</v>
      </c>
      <c r="S8" s="86">
        <f>VLOOKUP($D8,Résultats!$B$2:$AX$476,S$5,FALSE)</f>
        <v>40.997954960000001</v>
      </c>
      <c r="T8" s="95">
        <f>VLOOKUP($D8,Résultats!$B$2:$AX$476,T$5,FALSE)</f>
        <v>30.910174189999999</v>
      </c>
      <c r="U8" s="95">
        <f>VLOOKUP($D8,Résultats!$B$2:$AX$476,U$5,FALSE)</f>
        <v>22.032487830000001</v>
      </c>
      <c r="V8" s="95">
        <f>VLOOKUP($D8,Résultats!$B$2:$AX$476,V$5,FALSE)</f>
        <v>16.52217362</v>
      </c>
      <c r="W8" s="95">
        <f>VLOOKUP($D8,Résultats!$B$2:$AX$476,W$5,FALSE)</f>
        <v>13.501843790000001</v>
      </c>
      <c r="X8" s="45">
        <f>W8-'[1]Cibles THREEME'!$H4</f>
        <v>3.1012365588085054</v>
      </c>
      <c r="Y8" s="75"/>
      <c r="Z8" s="198" t="s">
        <v>68</v>
      </c>
      <c r="AA8" s="199">
        <f>I27</f>
        <v>199.46769746219996</v>
      </c>
      <c r="AB8" s="199">
        <f>S27</f>
        <v>191.22028988949987</v>
      </c>
      <c r="AC8" s="89">
        <f>W27</f>
        <v>141.64441097540004</v>
      </c>
    </row>
    <row r="9" spans="1:29" x14ac:dyDescent="0.25">
      <c r="A9" s="3"/>
      <c r="B9" s="322"/>
      <c r="C9" s="7" t="s">
        <v>3</v>
      </c>
      <c r="D9" s="15" t="s">
        <v>357</v>
      </c>
      <c r="E9" s="16">
        <f>VLOOKUP($D9,Résultats!$B$2:$AX$476,E$5,FALSE)</f>
        <v>0.87438821980000003</v>
      </c>
      <c r="F9" s="16">
        <f>VLOOKUP($D9,Résultats!$B$2:$AX$476,F$5,FALSE)</f>
        <v>2.9247450650000002</v>
      </c>
      <c r="G9" s="22">
        <f>VLOOKUP($D9,Résultats!$B$2:$AX$476,G$5,FALSE)</f>
        <v>2.8105709459999999</v>
      </c>
      <c r="H9" s="16">
        <f>VLOOKUP($D9,Résultats!$B$2:$AX$476,H$5,FALSE)</f>
        <v>2.784546889</v>
      </c>
      <c r="I9" s="86">
        <f>VLOOKUP($D9,Résultats!$B$2:$AX$476,I$5,FALSE)</f>
        <v>2.765371021</v>
      </c>
      <c r="J9" s="22">
        <f>VLOOKUP($D9,Résultats!$B$2:$AX$476,J$5,FALSE)</f>
        <v>2.8959689750000002</v>
      </c>
      <c r="K9" s="16">
        <f>VLOOKUP($D9,Résultats!$B$2:$AX$476,K$5,FALSE)</f>
        <v>3.0166455700000001</v>
      </c>
      <c r="L9" s="16">
        <f>VLOOKUP($D9,Résultats!$B$2:$AX$476,L$5,FALSE)</f>
        <v>3.1407885809999998</v>
      </c>
      <c r="M9" s="16">
        <f>VLOOKUP($D9,Résultats!$B$2:$AX$476,M$5,FALSE)</f>
        <v>3.1760710240000001</v>
      </c>
      <c r="N9" s="86">
        <f>VLOOKUP($D9,Résultats!$B$2:$AX$476,N$5,FALSE)</f>
        <v>3.1686539759999999</v>
      </c>
      <c r="O9" s="22">
        <f>VLOOKUP($D9,Résultats!$B$2:$AX$476,O$5,FALSE)</f>
        <v>3.233561168</v>
      </c>
      <c r="P9" s="16">
        <f>VLOOKUP($D9,Résultats!$B$2:$AX$476,P$5,FALSE)</f>
        <v>3.2967995650000002</v>
      </c>
      <c r="Q9" s="16">
        <f>VLOOKUP($D9,Résultats!$B$2:$AX$476,Q$5,FALSE)</f>
        <v>3.3708486359999998</v>
      </c>
      <c r="R9" s="16">
        <f>VLOOKUP($D9,Résultats!$B$2:$AX$476,R$5,FALSE)</f>
        <v>3.4412331190000001</v>
      </c>
      <c r="S9" s="86">
        <f>VLOOKUP($D9,Résultats!$B$2:$AX$476,S$5,FALSE)</f>
        <v>3.5139377129999998</v>
      </c>
      <c r="T9" s="95">
        <f>VLOOKUP($D9,Résultats!$B$2:$AX$476,T$5,FALSE)</f>
        <v>4.3963091829999996</v>
      </c>
      <c r="U9" s="95">
        <f>VLOOKUP($D9,Résultats!$B$2:$AX$476,U$5,FALSE)</f>
        <v>4.8898314059999999</v>
      </c>
      <c r="V9" s="95">
        <f>VLOOKUP($D9,Résultats!$B$2:$AX$476,V$5,FALSE)</f>
        <v>5.8155663960000004</v>
      </c>
      <c r="W9" s="95">
        <f>VLOOKUP($D9,Résultats!$B$2:$AX$476,W$5,FALSE)</f>
        <v>5.5810078929999998</v>
      </c>
      <c r="X9" s="45">
        <f>W9-'[1]Cibles THREEME'!$H5</f>
        <v>2.0841666774229171</v>
      </c>
      <c r="Y9" s="75"/>
      <c r="Z9" s="75"/>
      <c r="AA9" s="75"/>
      <c r="AB9" s="75"/>
      <c r="AC9" s="75"/>
    </row>
    <row r="10" spans="1:29" ht="15" customHeight="1" x14ac:dyDescent="0.25">
      <c r="A10" s="3"/>
      <c r="B10" s="320" t="s">
        <v>4</v>
      </c>
      <c r="C10" s="5" t="s">
        <v>1</v>
      </c>
      <c r="D10" s="2"/>
      <c r="E10" s="8">
        <f>SUM(E11:E18)</f>
        <v>120.75824202860002</v>
      </c>
      <c r="F10" s="8">
        <f>SUM(F11:F18)</f>
        <v>127.51909963400001</v>
      </c>
      <c r="G10" s="21">
        <f t="shared" ref="G10:R10" si="2">SUM(G11:G18)</f>
        <v>117.68102483499999</v>
      </c>
      <c r="H10" s="8">
        <f t="shared" si="2"/>
        <v>114.031877573</v>
      </c>
      <c r="I10" s="87">
        <f t="shared" si="2"/>
        <v>110.01039747899999</v>
      </c>
      <c r="J10" s="21">
        <f t="shared" si="2"/>
        <v>108.514350619</v>
      </c>
      <c r="K10" s="8">
        <f t="shared" si="2"/>
        <v>107.34351536700001</v>
      </c>
      <c r="L10" s="8">
        <f t="shared" si="2"/>
        <v>106.41267665400001</v>
      </c>
      <c r="M10" s="8">
        <f t="shared" si="2"/>
        <v>119.494170946</v>
      </c>
      <c r="N10" s="87">
        <f t="shared" si="2"/>
        <v>129.0216063403</v>
      </c>
      <c r="O10" s="21">
        <f t="shared" si="2"/>
        <v>126.3390916339</v>
      </c>
      <c r="P10" s="8">
        <f t="shared" si="2"/>
        <v>123.9836359987</v>
      </c>
      <c r="Q10" s="8">
        <f t="shared" si="2"/>
        <v>121.5298447485</v>
      </c>
      <c r="R10" s="8">
        <f t="shared" si="2"/>
        <v>117.42511276629999</v>
      </c>
      <c r="S10" s="87">
        <f>SUM(S11:S18)</f>
        <v>113.55420682429988</v>
      </c>
      <c r="T10" s="96">
        <f>SUM(T11:T18)</f>
        <v>126.09113055009988</v>
      </c>
      <c r="U10" s="96">
        <f>SUM(U11:U18)</f>
        <v>132.09750016149999</v>
      </c>
      <c r="V10" s="96">
        <f>SUM(V11:V18)</f>
        <v>115.32771653610001</v>
      </c>
      <c r="W10" s="96">
        <f>SUM(W11:W18)</f>
        <v>101.22464330430002</v>
      </c>
      <c r="X10" s="45"/>
      <c r="Y10" s="75"/>
      <c r="Z10" s="75"/>
      <c r="AA10" s="75"/>
      <c r="AB10" s="75"/>
      <c r="AC10" s="75"/>
    </row>
    <row r="11" spans="1:29" x14ac:dyDescent="0.25">
      <c r="A11" s="3"/>
      <c r="B11" s="321"/>
      <c r="C11" s="3" t="s">
        <v>5</v>
      </c>
      <c r="D11" s="3" t="s">
        <v>358</v>
      </c>
      <c r="E11" s="16">
        <f>VLOOKUP($D11,Résultats!$B$2:$AX$476,E$5,FALSE)</f>
        <v>103.6846785</v>
      </c>
      <c r="F11" s="16">
        <f>VLOOKUP($D11,Résultats!$B$2:$AX$476,F$5,FALSE)</f>
        <v>108.22778510000001</v>
      </c>
      <c r="G11" s="22">
        <f>VLOOKUP($D11,Résultats!$B$2:$AX$476,G$5,FALSE)</f>
        <v>97.627541699999995</v>
      </c>
      <c r="H11" s="16">
        <f>VLOOKUP($D11,Résultats!$B$2:$AX$476,H$5,FALSE)</f>
        <v>93.522572539999999</v>
      </c>
      <c r="I11" s="86">
        <f>VLOOKUP($D11,Résultats!$B$2:$AX$476,I$5,FALSE)</f>
        <v>89.115229279999994</v>
      </c>
      <c r="J11" s="22">
        <f>VLOOKUP($D11,Résultats!$B$2:$AX$476,J$5,FALSE)</f>
        <v>87.336926129999995</v>
      </c>
      <c r="K11" s="16">
        <f>VLOOKUP($D11,Résultats!$B$2:$AX$476,K$5,FALSE)</f>
        <v>85.821677379999997</v>
      </c>
      <c r="L11" s="16">
        <f>VLOOKUP($D11,Résultats!$B$2:$AX$476,L$5,FALSE)</f>
        <v>84.496707310000005</v>
      </c>
      <c r="M11" s="16">
        <f>VLOOKUP($D11,Résultats!$B$2:$AX$476,M$5,FALSE)</f>
        <v>96.451103869999997</v>
      </c>
      <c r="N11" s="86">
        <f>VLOOKUP($D11,Résultats!$B$2:$AX$476,N$5,FALSE)</f>
        <v>106.02771970000001</v>
      </c>
      <c r="O11" s="22">
        <f>VLOOKUP($D11,Résultats!$B$2:$AX$476,O$5,FALSE)</f>
        <v>102.9782589</v>
      </c>
      <c r="P11" s="16">
        <f>VLOOKUP($D11,Résultats!$B$2:$AX$476,P$5,FALSE)</f>
        <v>100.19079259999999</v>
      </c>
      <c r="Q11" s="16">
        <f>VLOOKUP($D11,Résultats!$B$2:$AX$476,Q$5,FALSE)</f>
        <v>97.364969299999998</v>
      </c>
      <c r="R11" s="16">
        <f>VLOOKUP($D11,Résultats!$B$2:$AX$476,R$5,FALSE)</f>
        <v>93.749959349999997</v>
      </c>
      <c r="S11" s="86">
        <f>VLOOKUP($D11,Résultats!$B$2:$AX$476,S$5,FALSE)</f>
        <v>90.336772909999894</v>
      </c>
      <c r="T11" s="95">
        <f>VLOOKUP($D11,Résultats!$B$2:$AX$476,T$5,FALSE)</f>
        <v>96.426973219999894</v>
      </c>
      <c r="U11" s="95">
        <f>VLOOKUP($D11,Résultats!$B$2:$AX$476,U$5,FALSE)</f>
        <v>99.907123380000002</v>
      </c>
      <c r="V11" s="95">
        <f>VLOOKUP($D11,Résultats!$B$2:$AX$476,V$5,FALSE)</f>
        <v>79.411406990000003</v>
      </c>
      <c r="W11" s="95">
        <f>VLOOKUP($D11,Résultats!$B$2:$AX$476,W$5,FALSE)</f>
        <v>60.519561430000003</v>
      </c>
      <c r="X11" s="45">
        <f>W11-'[1]Cibles THREEME'!$H10</f>
        <v>57.861857998435866</v>
      </c>
      <c r="Y11" s="75"/>
      <c r="Z11" s="75"/>
      <c r="AA11" s="75"/>
      <c r="AB11" s="75"/>
      <c r="AC11" s="75"/>
    </row>
    <row r="12" spans="1:29" x14ac:dyDescent="0.25">
      <c r="A12" s="3"/>
      <c r="B12" s="321"/>
      <c r="C12" s="3" t="s">
        <v>6</v>
      </c>
      <c r="D12" s="3" t="s">
        <v>359</v>
      </c>
      <c r="E12" s="16">
        <f>VLOOKUP($D12,Résultats!$B$2:$AX$476,E$5,FALSE)</f>
        <v>1.4657924280000001</v>
      </c>
      <c r="F12" s="16">
        <f>VLOOKUP($D12,Résultats!$B$2:$AX$476,F$5,FALSE)</f>
        <v>1.3946131049999999</v>
      </c>
      <c r="G12" s="22">
        <f>VLOOKUP($D12,Résultats!$B$2:$AX$476,G$5,FALSE)</f>
        <v>1.3267074759999999</v>
      </c>
      <c r="H12" s="16">
        <f>VLOOKUP($D12,Résultats!$B$2:$AX$476,H$5,FALSE)</f>
        <v>1.2969579849999999</v>
      </c>
      <c r="I12" s="86">
        <f>VLOOKUP($D12,Résultats!$B$2:$AX$476,I$5,FALSE)</f>
        <v>1.2630388210000001</v>
      </c>
      <c r="J12" s="22">
        <f>VLOOKUP($D12,Résultats!$B$2:$AX$476,J$5,FALSE)</f>
        <v>1.3874022690000001</v>
      </c>
      <c r="K12" s="16">
        <f>VLOOKUP($D12,Résultats!$B$2:$AX$476,K$5,FALSE)</f>
        <v>1.517989689</v>
      </c>
      <c r="L12" s="16">
        <f>VLOOKUP($D12,Résultats!$B$2:$AX$476,L$5,FALSE)</f>
        <v>1.654758186</v>
      </c>
      <c r="M12" s="16">
        <f>VLOOKUP($D12,Résultats!$B$2:$AX$476,M$5,FALSE)</f>
        <v>1.454297376</v>
      </c>
      <c r="N12" s="86">
        <f>VLOOKUP($D12,Résultats!$B$2:$AX$476,N$5,FALSE)</f>
        <v>1.2026551839999999</v>
      </c>
      <c r="O12" s="22">
        <f>VLOOKUP($D12,Résultats!$B$2:$AX$476,O$5,FALSE)</f>
        <v>1.2642704499999999</v>
      </c>
      <c r="P12" s="16">
        <f>VLOOKUP($D12,Résultats!$B$2:$AX$476,P$5,FALSE)</f>
        <v>1.3847415439999999</v>
      </c>
      <c r="Q12" s="16">
        <f>VLOOKUP($D12,Résultats!$B$2:$AX$476,Q$5,FALSE)</f>
        <v>1.5018486230000001</v>
      </c>
      <c r="R12" s="16">
        <f>VLOOKUP($D12,Résultats!$B$2:$AX$476,R$5,FALSE)</f>
        <v>1.4662649990000001</v>
      </c>
      <c r="S12" s="86">
        <f>VLOOKUP($D12,Résultats!$B$2:$AX$476,S$5,FALSE)</f>
        <v>1.432157195</v>
      </c>
      <c r="T12" s="95">
        <f>VLOOKUP($D12,Résultats!$B$2:$AX$476,T$5,FALSE)</f>
        <v>1.721257555</v>
      </c>
      <c r="U12" s="95">
        <f>VLOOKUP($D12,Résultats!$B$2:$AX$476,U$5,FALSE)</f>
        <v>0.83379656619999998</v>
      </c>
      <c r="V12" s="95">
        <f>VLOOKUP($D12,Résultats!$B$2:$AX$476,V$5,FALSE)</f>
        <v>0.61015367060000003</v>
      </c>
      <c r="W12" s="95">
        <f>VLOOKUP($D12,Résultats!$B$2:$AX$476,W$5,FALSE)</f>
        <v>0.60554427280000001</v>
      </c>
      <c r="X12" s="45">
        <f>W12-'[1]Cibles THREEME'!$H11</f>
        <v>0.60554427280000001</v>
      </c>
      <c r="Y12" s="75"/>
      <c r="Z12" s="200"/>
      <c r="AA12" s="188"/>
      <c r="AB12" s="188"/>
      <c r="AC12" s="188"/>
    </row>
    <row r="13" spans="1:29" x14ac:dyDescent="0.25">
      <c r="A13" s="3"/>
      <c r="B13" s="321"/>
      <c r="C13" s="3" t="s">
        <v>7</v>
      </c>
      <c r="D13" s="3" t="s">
        <v>360</v>
      </c>
      <c r="E13" s="16">
        <f>VLOOKUP($D13,Résultats!$B$2:$AX$476,E$5,FALSE)</f>
        <v>3.1385469659999998</v>
      </c>
      <c r="F13" s="16">
        <f>VLOOKUP($D13,Résultats!$B$2:$AX$476,F$5,FALSE)</f>
        <v>3.5737452599999999</v>
      </c>
      <c r="G13" s="22">
        <f>VLOOKUP($D13,Résultats!$B$2:$AX$476,G$5,FALSE)</f>
        <v>4.4465645699999996</v>
      </c>
      <c r="H13" s="16">
        <f>VLOOKUP($D13,Résultats!$B$2:$AX$476,H$5,FALSE)</f>
        <v>4.7145037179999996</v>
      </c>
      <c r="I13" s="86">
        <f>VLOOKUP($D13,Résultats!$B$2:$AX$476,I$5,FALSE)</f>
        <v>4.9633954999999998</v>
      </c>
      <c r="J13" s="22">
        <f>VLOOKUP($D13,Résultats!$B$2:$AX$476,J$5,FALSE)</f>
        <v>4.7118839760000002</v>
      </c>
      <c r="K13" s="16">
        <f>VLOOKUP($D13,Résultats!$B$2:$AX$476,K$5,FALSE)</f>
        <v>4.4744529809999998</v>
      </c>
      <c r="L13" s="16">
        <f>VLOOKUP($D13,Résultats!$B$2:$AX$476,L$5,FALSE)</f>
        <v>4.2460408899999997</v>
      </c>
      <c r="M13" s="16">
        <f>VLOOKUP($D13,Résultats!$B$2:$AX$476,M$5,FALSE)</f>
        <v>5.0157721400000002</v>
      </c>
      <c r="N13" s="86">
        <f>VLOOKUP($D13,Résultats!$B$2:$AX$476,N$5,FALSE)</f>
        <v>5.5886103580000004</v>
      </c>
      <c r="O13" s="22">
        <f>VLOOKUP($D13,Résultats!$B$2:$AX$476,O$5,FALSE)</f>
        <v>5.4114763249999998</v>
      </c>
      <c r="P13" s="16">
        <f>VLOOKUP($D13,Résultats!$B$2:$AX$476,P$5,FALSE)</f>
        <v>5.2493827069999996</v>
      </c>
      <c r="Q13" s="16">
        <f>VLOOKUP($D13,Résultats!$B$2:$AX$476,Q$5,FALSE)</f>
        <v>5.0864850109999997</v>
      </c>
      <c r="R13" s="16">
        <f>VLOOKUP($D13,Résultats!$B$2:$AX$476,R$5,FALSE)</f>
        <v>4.3183980200000001</v>
      </c>
      <c r="S13" s="86">
        <f>VLOOKUP($D13,Résultats!$B$2:$AX$476,S$5,FALSE)</f>
        <v>3.6118517369999998</v>
      </c>
      <c r="T13" s="95">
        <f>VLOOKUP($D13,Résultats!$B$2:$AX$476,T$5,FALSE)</f>
        <v>2.6838606299999999</v>
      </c>
      <c r="U13" s="95">
        <f>VLOOKUP($D13,Résultats!$B$2:$AX$476,U$5,FALSE)</f>
        <v>0.64781579349999996</v>
      </c>
      <c r="V13" s="95">
        <f>VLOOKUP($D13,Résultats!$B$2:$AX$476,V$5,FALSE)</f>
        <v>0.6354694689</v>
      </c>
      <c r="W13" s="95">
        <f>VLOOKUP($D13,Résultats!$B$2:$AX$476,W$5,FALSE)</f>
        <v>0.63048065669999998</v>
      </c>
      <c r="X13" s="45">
        <f>W13-'[1]Cibles THREEME'!$H12</f>
        <v>-1.6624399509239605</v>
      </c>
      <c r="Y13" s="75"/>
    </row>
    <row r="14" spans="1:29" x14ac:dyDescent="0.25">
      <c r="A14" s="3"/>
      <c r="B14" s="321"/>
      <c r="C14" s="3" t="s">
        <v>8</v>
      </c>
      <c r="D14" s="3" t="s">
        <v>361</v>
      </c>
      <c r="E14" s="16">
        <f>VLOOKUP($D14,Résultats!$B$2:$AX$476,E$5,FALSE)</f>
        <v>4.6069232089999996</v>
      </c>
      <c r="F14" s="16">
        <f>VLOOKUP($D14,Résultats!$B$2:$AX$476,F$5,FALSE)</f>
        <v>2.8496589800000001</v>
      </c>
      <c r="G14" s="22">
        <f>VLOOKUP($D14,Résultats!$B$2:$AX$476,G$5,FALSE)</f>
        <v>1.8593681209999999</v>
      </c>
      <c r="H14" s="16">
        <f>VLOOKUP($D14,Résultats!$B$2:$AX$476,H$5,FALSE)</f>
        <v>1.815609756</v>
      </c>
      <c r="I14" s="86">
        <f>VLOOKUP($D14,Résultats!$B$2:$AX$476,I$5,FALSE)</f>
        <v>1.7661035789999999</v>
      </c>
      <c r="J14" s="22">
        <f>VLOOKUP($D14,Résultats!$B$2:$AX$476,J$5,FALSE)</f>
        <v>1.757932273</v>
      </c>
      <c r="K14" s="16">
        <f>VLOOKUP($D14,Résultats!$B$2:$AX$476,K$5,FALSE)</f>
        <v>1.75485997</v>
      </c>
      <c r="L14" s="16">
        <f>VLOOKUP($D14,Résultats!$B$2:$AX$476,L$5,FALSE)</f>
        <v>1.755623473</v>
      </c>
      <c r="M14" s="16">
        <f>VLOOKUP($D14,Résultats!$B$2:$AX$476,M$5,FALSE)</f>
        <v>1.218594119</v>
      </c>
      <c r="N14" s="86">
        <f>VLOOKUP($D14,Résultats!$B$2:$AX$476,N$5,FALSE)</f>
        <v>0.52556893930000004</v>
      </c>
      <c r="O14" s="22">
        <f>VLOOKUP($D14,Résultats!$B$2:$AX$476,O$5,FALSE)</f>
        <v>0.52292615090000005</v>
      </c>
      <c r="P14" s="16">
        <f>VLOOKUP($D14,Résultats!$B$2:$AX$476,P$5,FALSE)</f>
        <v>0.52095412070000002</v>
      </c>
      <c r="Q14" s="16">
        <f>VLOOKUP($D14,Résultats!$B$2:$AX$476,Q$5,FALSE)</f>
        <v>0.5181486045</v>
      </c>
      <c r="R14" s="16">
        <f>VLOOKUP($D14,Résultats!$B$2:$AX$476,R$5,FALSE)</f>
        <v>0.50983499229999996</v>
      </c>
      <c r="S14" s="86">
        <f>VLOOKUP($D14,Résultats!$B$2:$AX$476,S$5,FALSE)</f>
        <v>0.5019073033</v>
      </c>
      <c r="T14" s="95">
        <f>VLOOKUP($D14,Résultats!$B$2:$AX$476,T$5,FALSE)</f>
        <v>0.57697118309999995</v>
      </c>
      <c r="U14" s="95">
        <f>VLOOKUP($D14,Résultats!$B$2:$AX$476,U$5,FALSE)</f>
        <v>0.62218087879999995</v>
      </c>
      <c r="V14" s="95">
        <f>VLOOKUP($D14,Résultats!$B$2:$AX$476,V$5,FALSE)</f>
        <v>0.61015367060000003</v>
      </c>
      <c r="W14" s="95">
        <f>VLOOKUP($D14,Résultats!$B$2:$AX$476,W$5,FALSE)</f>
        <v>0.60554427280000001</v>
      </c>
      <c r="X14" s="45">
        <f>W14-'[1]Cibles THREEME'!$H13</f>
        <v>0.60554427280000001</v>
      </c>
      <c r="Y14" s="75"/>
    </row>
    <row r="15" spans="1:29" x14ac:dyDescent="0.25">
      <c r="A15" s="3"/>
      <c r="B15" s="321"/>
      <c r="C15" s="3" t="s">
        <v>9</v>
      </c>
      <c r="D15" s="3" t="s">
        <v>362</v>
      </c>
      <c r="E15" s="16">
        <f>VLOOKUP($D15,Résultats!$B$2:$AX$476,E$5,FALSE)</f>
        <v>0.50773300079999995</v>
      </c>
      <c r="F15" s="16">
        <f>VLOOKUP($D15,Résultats!$B$2:$AX$476,F$5,FALSE)</f>
        <v>2.3758011630000002</v>
      </c>
      <c r="G15" s="22">
        <f>VLOOKUP($D15,Résultats!$B$2:$AX$476,G$5,FALSE)</f>
        <v>2.9828436360000001</v>
      </c>
      <c r="H15" s="16">
        <f>VLOOKUP($D15,Résultats!$B$2:$AX$476,H$5,FALSE)</f>
        <v>3.1724803829999999</v>
      </c>
      <c r="I15" s="86">
        <f>VLOOKUP($D15,Résultats!$B$2:$AX$476,I$5,FALSE)</f>
        <v>3.3505605549999999</v>
      </c>
      <c r="J15" s="22">
        <f>VLOOKUP($D15,Résultats!$B$2:$AX$476,J$5,FALSE)</f>
        <v>3.4804011030000002</v>
      </c>
      <c r="K15" s="16">
        <f>VLOOKUP($D15,Résultats!$B$2:$AX$476,K$5,FALSE)</f>
        <v>3.6194717679999999</v>
      </c>
      <c r="L15" s="16">
        <f>VLOOKUP($D15,Résultats!$B$2:$AX$476,L$5,FALSE)</f>
        <v>3.7663375270000001</v>
      </c>
      <c r="M15" s="16">
        <f>VLOOKUP($D15,Résultats!$B$2:$AX$476,M$5,FALSE)</f>
        <v>4.4257505139999997</v>
      </c>
      <c r="N15" s="86">
        <f>VLOOKUP($D15,Résultats!$B$2:$AX$476,N$5,FALSE)</f>
        <v>4.982466359</v>
      </c>
      <c r="O15" s="22">
        <f>VLOOKUP($D15,Résultats!$B$2:$AX$476,O$5,FALSE)</f>
        <v>5.1663472309999996</v>
      </c>
      <c r="P15" s="16">
        <f>VLOOKUP($D15,Résultats!$B$2:$AX$476,P$5,FALSE)</f>
        <v>5.3457116129999998</v>
      </c>
      <c r="Q15" s="16">
        <f>VLOOKUP($D15,Résultats!$B$2:$AX$476,Q$5,FALSE)</f>
        <v>5.5060701459999999</v>
      </c>
      <c r="R15" s="16">
        <f>VLOOKUP($D15,Résultats!$B$2:$AX$476,R$5,FALSE)</f>
        <v>5.632968999</v>
      </c>
      <c r="S15" s="86">
        <f>VLOOKUP($D15,Résultats!$B$2:$AX$476,S$5,FALSE)</f>
        <v>5.7481589900000003</v>
      </c>
      <c r="T15" s="95">
        <f>VLOOKUP($D15,Résultats!$B$2:$AX$476,T$5,FALSE)</f>
        <v>10.270545289999999</v>
      </c>
      <c r="U15" s="95">
        <f>VLOOKUP($D15,Résultats!$B$2:$AX$476,U$5,FALSE)</f>
        <v>13.464721340000001</v>
      </c>
      <c r="V15" s="95">
        <f>VLOOKUP($D15,Résultats!$B$2:$AX$476,V$5,FALSE)</f>
        <v>16.12954745</v>
      </c>
      <c r="W15" s="95">
        <f>VLOOKUP($D15,Résultats!$B$2:$AX$476,W$5,FALSE)</f>
        <v>19.198974440000001</v>
      </c>
      <c r="X15" s="45">
        <f>W15-'[1]Cibles THREEME'!$H14</f>
        <v>1.4259735801547748</v>
      </c>
      <c r="Y15" s="75"/>
    </row>
    <row r="16" spans="1:29" x14ac:dyDescent="0.25">
      <c r="A16" s="3"/>
      <c r="B16" s="321"/>
      <c r="C16" s="3" t="s">
        <v>10</v>
      </c>
      <c r="D16" s="3" t="s">
        <v>363</v>
      </c>
      <c r="E16" s="16">
        <f>VLOOKUP($D16,Résultats!$B$2:$AX$476,E$5,FALSE)</f>
        <v>0.50773300079999995</v>
      </c>
      <c r="F16" s="16">
        <f>VLOOKUP($D16,Résultats!$B$2:$AX$476,F$5,FALSE)</f>
        <v>1.4165532240000001</v>
      </c>
      <c r="G16" s="22">
        <f>VLOOKUP($D16,Résultats!$B$2:$AX$476,G$5,FALSE)</f>
        <v>1.670632498</v>
      </c>
      <c r="H16" s="16">
        <f>VLOOKUP($D16,Résultats!$B$2:$AX$476,H$5,FALSE)</f>
        <v>1.7477206599999999</v>
      </c>
      <c r="I16" s="86">
        <f>VLOOKUP($D16,Résultats!$B$2:$AX$476,I$5,FALSE)</f>
        <v>1.8185270250000001</v>
      </c>
      <c r="J16" s="22">
        <f>VLOOKUP($D16,Résultats!$B$2:$AX$476,J$5,FALSE)</f>
        <v>1.8530788579999999</v>
      </c>
      <c r="K16" s="16">
        <f>VLOOKUP($D16,Résultats!$B$2:$AX$476,K$5,FALSE)</f>
        <v>1.892769017</v>
      </c>
      <c r="L16" s="16">
        <f>VLOOKUP($D16,Résultats!$B$2:$AX$476,L$5,FALSE)</f>
        <v>1.9365810240000001</v>
      </c>
      <c r="M16" s="16">
        <f>VLOOKUP($D16,Résultats!$B$2:$AX$476,M$5,FALSE)</f>
        <v>2.5229908280000002</v>
      </c>
      <c r="N16" s="86">
        <f>VLOOKUP($D16,Résultats!$B$2:$AX$476,N$5,FALSE)</f>
        <v>3.0750117709999998</v>
      </c>
      <c r="O16" s="22">
        <f>VLOOKUP($D16,Résultats!$B$2:$AX$476,O$5,FALSE)</f>
        <v>3.5557169370000001</v>
      </c>
      <c r="P16" s="16">
        <f>VLOOKUP($D16,Résultats!$B$2:$AX$476,P$5,FALSE)</f>
        <v>4.0143879550000001</v>
      </c>
      <c r="Q16" s="16">
        <f>VLOOKUP($D16,Résultats!$B$2:$AX$476,Q$5,FALSE)</f>
        <v>4.4416911020000001</v>
      </c>
      <c r="R16" s="16">
        <f>VLOOKUP($D16,Résultats!$B$2:$AX$476,R$5,FALSE)</f>
        <v>4.8376928770000003</v>
      </c>
      <c r="S16" s="86">
        <f>VLOOKUP($D16,Résultats!$B$2:$AX$476,S$5,FALSE)</f>
        <v>5.202546119</v>
      </c>
      <c r="T16" s="95">
        <f>VLOOKUP($D16,Résultats!$B$2:$AX$476,T$5,FALSE)</f>
        <v>7.270446905</v>
      </c>
      <c r="U16" s="95">
        <f>VLOOKUP($D16,Résultats!$B$2:$AX$476,U$5,FALSE)</f>
        <v>9.2272426000000003</v>
      </c>
      <c r="V16" s="95">
        <f>VLOOKUP($D16,Résultats!$B$2:$AX$476,V$5,FALSE)</f>
        <v>10.805691660000001</v>
      </c>
      <c r="W16" s="95">
        <f>VLOOKUP($D16,Résultats!$B$2:$AX$476,W$5,FALSE)</f>
        <v>12.65949674</v>
      </c>
      <c r="X16" s="45">
        <f>W16-'[1]Cibles THREEME'!$H17</f>
        <v>2.1693849601203787</v>
      </c>
      <c r="Y16" s="75"/>
    </row>
    <row r="17" spans="1:39" x14ac:dyDescent="0.25">
      <c r="A17" s="3"/>
      <c r="B17" s="321"/>
      <c r="C17" s="3" t="s">
        <v>11</v>
      </c>
      <c r="D17" s="3" t="s">
        <v>364</v>
      </c>
      <c r="E17" s="16">
        <f>VLOOKUP($D17,Résultats!$B$2:$AX$476,E$5,FALSE)</f>
        <v>4.0667060099999999</v>
      </c>
      <c r="F17" s="16">
        <f>VLOOKUP($D17,Résultats!$B$2:$AX$476,F$5,FALSE)</f>
        <v>2.846784258</v>
      </c>
      <c r="G17" s="22">
        <f>VLOOKUP($D17,Résultats!$B$2:$AX$476,G$5,FALSE)</f>
        <v>3.6625202030000001</v>
      </c>
      <c r="H17" s="16">
        <f>VLOOKUP($D17,Résultats!$B$2:$AX$476,H$5,FALSE)</f>
        <v>3.9205340639999999</v>
      </c>
      <c r="I17" s="86">
        <f>VLOOKUP($D17,Résultats!$B$2:$AX$476,I$5,FALSE)</f>
        <v>4.1648421960000004</v>
      </c>
      <c r="J17" s="22">
        <f>VLOOKUP($D17,Résultats!$B$2:$AX$476,J$5,FALSE)</f>
        <v>4.3195003310000004</v>
      </c>
      <c r="K17" s="16">
        <f>VLOOKUP($D17,Résultats!$B$2:$AX$476,K$5,FALSE)</f>
        <v>4.485869214</v>
      </c>
      <c r="L17" s="16">
        <f>VLOOKUP($D17,Résultats!$B$2:$AX$476,L$5,FALSE)</f>
        <v>4.6621204409999999</v>
      </c>
      <c r="M17" s="16">
        <f>VLOOKUP($D17,Résultats!$B$2:$AX$476,M$5,FALSE)</f>
        <v>4.6088504439999998</v>
      </c>
      <c r="N17" s="86">
        <f>VLOOKUP($D17,Résultats!$B$2:$AX$476,N$5,FALSE)</f>
        <v>4.3652387539999999</v>
      </c>
      <c r="O17" s="22">
        <f>VLOOKUP($D17,Résultats!$B$2:$AX$476,O$5,FALSE)</f>
        <v>4.3016028420000003</v>
      </c>
      <c r="P17" s="16">
        <f>VLOOKUP($D17,Résultats!$B$2:$AX$476,P$5,FALSE)</f>
        <v>4.2455616850000002</v>
      </c>
      <c r="Q17" s="16">
        <f>VLOOKUP($D17,Résultats!$B$2:$AX$476,Q$5,FALSE)</f>
        <v>4.1846791980000004</v>
      </c>
      <c r="R17" s="16">
        <f>VLOOKUP($D17,Résultats!$B$2:$AX$476,R$5,FALSE)</f>
        <v>4.0996520009999999</v>
      </c>
      <c r="S17" s="86">
        <f>VLOOKUP($D17,Résultats!$B$2:$AX$476,S$5,FALSE)</f>
        <v>4.0188159749999999</v>
      </c>
      <c r="T17" s="95">
        <f>VLOOKUP($D17,Résultats!$B$2:$AX$476,T$5,FALSE)</f>
        <v>3.867411267</v>
      </c>
      <c r="U17" s="95">
        <f>VLOOKUP($D17,Résultats!$B$2:$AX$476,U$5,FALSE)</f>
        <v>3.7559001350000001</v>
      </c>
      <c r="V17" s="95">
        <f>VLOOKUP($D17,Résultats!$B$2:$AX$476,V$5,FALSE)</f>
        <v>3.5705670610000002</v>
      </c>
      <c r="W17" s="95">
        <f>VLOOKUP($D17,Résultats!$B$2:$AX$476,W$5,FALSE)</f>
        <v>3.5290995039999999</v>
      </c>
      <c r="X17" s="45">
        <f>W17-'[1]Cibles THREEME'!$H18</f>
        <v>-1.9309176929045564</v>
      </c>
      <c r="Y17" s="75"/>
    </row>
    <row r="18" spans="1:39" x14ac:dyDescent="0.25">
      <c r="A18" s="3"/>
      <c r="B18" s="322"/>
      <c r="C18" s="7" t="s">
        <v>12</v>
      </c>
      <c r="D18" s="3" t="s">
        <v>365</v>
      </c>
      <c r="E18" s="17">
        <f>VLOOKUP($D18,Résultats!$B$2:$AX$476,E$5,FALSE)</f>
        <v>2.7801289140000001</v>
      </c>
      <c r="F18" s="17">
        <f>VLOOKUP($D18,Résultats!$B$2:$AX$476,F$5,FALSE)</f>
        <v>4.8341585440000001</v>
      </c>
      <c r="G18" s="88">
        <f>VLOOKUP($D18,Résultats!$B$2:$AX$476,G$5,FALSE)</f>
        <v>4.104846631</v>
      </c>
      <c r="H18" s="17">
        <f>VLOOKUP($D18,Résultats!$B$2:$AX$476,H$5,FALSE)</f>
        <v>3.8414984670000001</v>
      </c>
      <c r="I18" s="89">
        <f>VLOOKUP($D18,Résultats!$B$2:$AX$476,I$5,FALSE)</f>
        <v>3.568700523</v>
      </c>
      <c r="J18" s="88">
        <f>VLOOKUP($D18,Résultats!$B$2:$AX$476,J$5,FALSE)</f>
        <v>3.667225679</v>
      </c>
      <c r="K18" s="17">
        <f>VLOOKUP($D18,Résultats!$B$2:$AX$476,K$5,FALSE)</f>
        <v>3.7764253480000001</v>
      </c>
      <c r="L18" s="17">
        <f>VLOOKUP($D18,Résultats!$B$2:$AX$476,L$5,FALSE)</f>
        <v>3.8945078030000002</v>
      </c>
      <c r="M18" s="17">
        <f>VLOOKUP($D18,Résultats!$B$2:$AX$476,M$5,FALSE)</f>
        <v>3.796811655</v>
      </c>
      <c r="N18" s="89">
        <f>VLOOKUP($D18,Résultats!$B$2:$AX$476,N$5,FALSE)</f>
        <v>3.2543352749999999</v>
      </c>
      <c r="O18" s="88">
        <f>VLOOKUP($D18,Résultats!$B$2:$AX$476,O$5,FALSE)</f>
        <v>3.1384927980000001</v>
      </c>
      <c r="P18" s="17">
        <f>VLOOKUP($D18,Résultats!$B$2:$AX$476,P$5,FALSE)</f>
        <v>3.0321037739999999</v>
      </c>
      <c r="Q18" s="17">
        <f>VLOOKUP($D18,Résultats!$B$2:$AX$476,Q$5,FALSE)</f>
        <v>2.9259527639999998</v>
      </c>
      <c r="R18" s="17">
        <f>VLOOKUP($D18,Résultats!$B$2:$AX$476,R$5,FALSE)</f>
        <v>2.8103415279999999</v>
      </c>
      <c r="S18" s="89">
        <f>VLOOKUP($D18,Résultats!$B$2:$AX$476,S$5,FALSE)</f>
        <v>2.7019965949999998</v>
      </c>
      <c r="T18" s="97">
        <f>VLOOKUP($D18,Résultats!$B$2:$AX$476,T$5,FALSE)</f>
        <v>3.2736645000000002</v>
      </c>
      <c r="U18" s="97">
        <f>VLOOKUP($D18,Résultats!$B$2:$AX$476,U$5,FALSE)</f>
        <v>3.6387194680000001</v>
      </c>
      <c r="V18" s="97">
        <f>VLOOKUP($D18,Résultats!$B$2:$AX$476,V$5,FALSE)</f>
        <v>3.5547265650000002</v>
      </c>
      <c r="W18" s="97">
        <f>VLOOKUP($D18,Résultats!$B$2:$AX$476,W$5,FALSE)</f>
        <v>3.4759419880000002</v>
      </c>
      <c r="X18" s="45">
        <f>W18-'[1]Cibles THREEME'!$H19</f>
        <v>2.3138149743695182</v>
      </c>
      <c r="Y18" s="75"/>
    </row>
    <row r="19" spans="1:39" ht="15" customHeight="1" x14ac:dyDescent="0.25">
      <c r="A19" s="3"/>
      <c r="B19" s="320" t="s">
        <v>53</v>
      </c>
      <c r="C19" s="5" t="s">
        <v>1</v>
      </c>
      <c r="D19" s="2"/>
      <c r="E19" s="6">
        <f>SUM(E20:E25)</f>
        <v>33.752780600400008</v>
      </c>
      <c r="F19" s="6">
        <f>SUM(F20:F25)</f>
        <v>36.153323099400005</v>
      </c>
      <c r="G19" s="84">
        <f t="shared" ref="G19:R19" si="3">SUM(G20:G25)</f>
        <v>35.841332254199997</v>
      </c>
      <c r="H19" s="6">
        <f t="shared" si="3"/>
        <v>34.9932263173</v>
      </c>
      <c r="I19" s="85">
        <f t="shared" si="3"/>
        <v>34.370494952200005</v>
      </c>
      <c r="J19" s="84">
        <f t="shared" si="3"/>
        <v>34.063740760400002</v>
      </c>
      <c r="K19" s="6">
        <f t="shared" si="3"/>
        <v>34.0123932845</v>
      </c>
      <c r="L19" s="6">
        <f t="shared" si="3"/>
        <v>34.072120282199997</v>
      </c>
      <c r="M19" s="6">
        <f t="shared" si="3"/>
        <v>33.839900060600002</v>
      </c>
      <c r="N19" s="85">
        <f t="shared" si="3"/>
        <v>34.177603210299999</v>
      </c>
      <c r="O19" s="84">
        <f t="shared" si="3"/>
        <v>34.247510697999999</v>
      </c>
      <c r="P19" s="6">
        <f t="shared" si="3"/>
        <v>33.855329076000004</v>
      </c>
      <c r="Q19" s="6">
        <f t="shared" si="3"/>
        <v>33.481432347999998</v>
      </c>
      <c r="R19" s="6">
        <f t="shared" si="3"/>
        <v>33.099544230999996</v>
      </c>
      <c r="S19" s="85">
        <f>SUM(S20:S25)</f>
        <v>32.60248499499999</v>
      </c>
      <c r="T19" s="94">
        <f>SUM(T20:T25)</f>
        <v>28.537905916</v>
      </c>
      <c r="U19" s="94">
        <f>SUM(U20:U25)</f>
        <v>25.779231766899997</v>
      </c>
      <c r="V19" s="94">
        <f>SUM(V20:V25)</f>
        <v>22.890761959799999</v>
      </c>
      <c r="W19" s="94">
        <f>SUM(W20:W25)</f>
        <v>21.227334814300001</v>
      </c>
      <c r="X19" s="3"/>
      <c r="Y19" s="75"/>
    </row>
    <row r="20" spans="1:39" x14ac:dyDescent="0.25">
      <c r="A20" s="3"/>
      <c r="B20" s="321"/>
      <c r="C20" s="3" t="s">
        <v>13</v>
      </c>
      <c r="D20" s="3" t="s">
        <v>366</v>
      </c>
      <c r="E20" s="16">
        <f>VLOOKUP($D20,Résultats!$B$2:$AX$476,E$5,FALSE)</f>
        <v>30.46956342</v>
      </c>
      <c r="F20" s="16">
        <f>VLOOKUP($D20,Résultats!$B$2:$AX$476,F$5,FALSE)</f>
        <v>24.9284663</v>
      </c>
      <c r="G20" s="22">
        <f>VLOOKUP($D20,Résultats!$B$2:$AX$476,G$5,FALSE)</f>
        <v>24.3080085</v>
      </c>
      <c r="H20" s="16">
        <f>VLOOKUP($D20,Résultats!$B$2:$AX$476,H$5,FALSE)</f>
        <v>23.620862800000001</v>
      </c>
      <c r="I20" s="86">
        <f>VLOOKUP($D20,Résultats!$B$2:$AX$476,I$5,FALSE)</f>
        <v>23.100167370000001</v>
      </c>
      <c r="J20" s="22">
        <f>VLOOKUP($D20,Résultats!$B$2:$AX$476,J$5,FALSE)</f>
        <v>21.981077389999999</v>
      </c>
      <c r="K20" s="16">
        <f>VLOOKUP($D20,Résultats!$B$2:$AX$476,K$5,FALSE)</f>
        <v>21.013301500000001</v>
      </c>
      <c r="L20" s="16">
        <f>VLOOKUP($D20,Résultats!$B$2:$AX$476,L$5,FALSE)</f>
        <v>20.089923429999999</v>
      </c>
      <c r="M20" s="16">
        <f>VLOOKUP($D20,Résultats!$B$2:$AX$476,M$5,FALSE)</f>
        <v>18.198317419999999</v>
      </c>
      <c r="N20" s="86">
        <f>VLOOKUP($D20,Résultats!$B$2:$AX$476,N$5,FALSE)</f>
        <v>17.703911680000001</v>
      </c>
      <c r="O20" s="22">
        <f>VLOOKUP($D20,Résultats!$B$2:$AX$476,O$5,FALSE)</f>
        <v>16.175366629999999</v>
      </c>
      <c r="P20" s="16">
        <f>VLOOKUP($D20,Résultats!$B$2:$AX$476,P$5,FALSE)</f>
        <v>14.48632783</v>
      </c>
      <c r="Q20" s="16">
        <f>VLOOKUP($D20,Résultats!$B$2:$AX$476,Q$5,FALSE)</f>
        <v>13.10809424</v>
      </c>
      <c r="R20" s="16">
        <f>VLOOKUP($D20,Résultats!$B$2:$AX$476,R$5,FALSE)</f>
        <v>11.86680982</v>
      </c>
      <c r="S20" s="86">
        <f>VLOOKUP($D20,Résultats!$B$2:$AX$476,S$5,FALSE)</f>
        <v>10.62143036</v>
      </c>
      <c r="T20" s="95">
        <f>VLOOKUP($D20,Résultats!$B$2:$AX$476,T$5,FALSE)</f>
        <v>5.8854362629999999</v>
      </c>
      <c r="U20" s="95">
        <f>VLOOKUP($D20,Résultats!$B$2:$AX$476,U$5,FALSE)</f>
        <v>1.2181011690000001</v>
      </c>
      <c r="V20" s="95">
        <f>VLOOKUP($D20,Résultats!$B$2:$AX$476,V$5,FALSE)</f>
        <v>0.90814137070000001</v>
      </c>
      <c r="W20" s="95">
        <f>VLOOKUP($D20,Résultats!$B$2:$AX$476,W$5,FALSE)</f>
        <v>0.25589044779999998</v>
      </c>
      <c r="X20" s="45">
        <f>W20-'[1]Cibles THREEME'!$H28</f>
        <v>-5.1828922817594583</v>
      </c>
      <c r="Y20" s="75"/>
    </row>
    <row r="21" spans="1:39" x14ac:dyDescent="0.25">
      <c r="A21" s="3"/>
      <c r="B21" s="321"/>
      <c r="C21" s="3" t="s">
        <v>14</v>
      </c>
      <c r="D21" s="3" t="s">
        <v>367</v>
      </c>
      <c r="E21" s="16">
        <f>VLOOKUP($D21,Résultats!$B$2:$AX$476,E$5,FALSE)</f>
        <v>1.3861615430000001</v>
      </c>
      <c r="F21" s="16">
        <f>VLOOKUP($D21,Résultats!$B$2:$AX$476,F$5,FALSE)</f>
        <v>6.3033491110000002</v>
      </c>
      <c r="G21" s="22">
        <f>VLOOKUP($D21,Résultats!$B$2:$AX$476,G$5,FALSE)</f>
        <v>6.4873951209999996</v>
      </c>
      <c r="H21" s="16">
        <f>VLOOKUP($D21,Résultats!$B$2:$AX$476,H$5,FALSE)</f>
        <v>6.4168380249999997</v>
      </c>
      <c r="I21" s="86">
        <f>VLOOKUP($D21,Résultats!$B$2:$AX$476,I$5,FALSE)</f>
        <v>6.3869276130000001</v>
      </c>
      <c r="J21" s="22">
        <f>VLOOKUP($D21,Résultats!$B$2:$AX$476,J$5,FALSE)</f>
        <v>6.5051517609999996</v>
      </c>
      <c r="K21" s="16">
        <f>VLOOKUP($D21,Résultats!$B$2:$AX$476,K$5,FALSE)</f>
        <v>6.674769586</v>
      </c>
      <c r="L21" s="16">
        <f>VLOOKUP($D21,Résultats!$B$2:$AX$476,L$5,FALSE)</f>
        <v>6.8708641200000002</v>
      </c>
      <c r="M21" s="16">
        <f>VLOOKUP($D21,Résultats!$B$2:$AX$476,M$5,FALSE)</f>
        <v>5.5194291040000003</v>
      </c>
      <c r="N21" s="86">
        <f>VLOOKUP($D21,Résultats!$B$2:$AX$476,N$5,FALSE)</f>
        <v>5.5825738139999999</v>
      </c>
      <c r="O21" s="22">
        <f>VLOOKUP($D21,Résultats!$B$2:$AX$476,O$5,FALSE)</f>
        <v>6.3027982280000003</v>
      </c>
      <c r="P21" s="16">
        <f>VLOOKUP($D21,Résultats!$B$2:$AX$476,P$5,FALSE)</f>
        <v>6.9169710719999999</v>
      </c>
      <c r="Q21" s="16">
        <f>VLOOKUP($D21,Résultats!$B$2:$AX$476,Q$5,FALSE)</f>
        <v>7.0856878679999999</v>
      </c>
      <c r="R21" s="16">
        <f>VLOOKUP($D21,Résultats!$B$2:$AX$476,R$5,FALSE)</f>
        <v>7.2153321330000004</v>
      </c>
      <c r="S21" s="86">
        <f>VLOOKUP($D21,Résultats!$B$2:$AX$476,S$5,FALSE)</f>
        <v>7.3195020169999996</v>
      </c>
      <c r="T21" s="95">
        <f>VLOOKUP($D21,Résultats!$B$2:$AX$476,T$5,FALSE)</f>
        <v>7.2872205389999998</v>
      </c>
      <c r="U21" s="95">
        <f>VLOOKUP($D21,Résultats!$B$2:$AX$476,U$5,FALSE)</f>
        <v>7.3723958420000004</v>
      </c>
      <c r="V21" s="95">
        <f>VLOOKUP($D21,Résultats!$B$2:$AX$476,V$5,FALSE)</f>
        <v>5.9389252729999997</v>
      </c>
      <c r="W21" s="95">
        <f>VLOOKUP($D21,Résultats!$B$2:$AX$476,W$5,FALSE)</f>
        <v>4.7109040950000001</v>
      </c>
      <c r="X21" s="45">
        <f>W21-'[1]Cibles THREEME'!$H29</f>
        <v>-7.2002817406686681</v>
      </c>
      <c r="Y21" s="75"/>
    </row>
    <row r="22" spans="1:39" x14ac:dyDescent="0.25">
      <c r="A22" s="3"/>
      <c r="B22" s="321"/>
      <c r="C22" s="3" t="s">
        <v>15</v>
      </c>
      <c r="D22" s="3" t="s">
        <v>368</v>
      </c>
      <c r="E22" s="16">
        <f>VLOOKUP($D22,Résultats!$B$2:$AX$476,E$5,FALSE)</f>
        <v>0.41865197459999998</v>
      </c>
      <c r="F22" s="16">
        <f>VLOOKUP($D22,Résultats!$B$2:$AX$476,F$5,FALSE)</f>
        <v>0.44707026979999998</v>
      </c>
      <c r="G22" s="22">
        <f>VLOOKUP($D22,Résultats!$B$2:$AX$476,G$5,FALSE)</f>
        <v>0.60417910470000002</v>
      </c>
      <c r="H22" s="16">
        <f>VLOOKUP($D22,Résultats!$B$2:$AX$476,H$5,FALSE)</f>
        <v>0.64286092890000002</v>
      </c>
      <c r="I22" s="86">
        <f>VLOOKUP($D22,Résultats!$B$2:$AX$476,I$5,FALSE)</f>
        <v>0.68385509749999995</v>
      </c>
      <c r="J22" s="22">
        <f>VLOOKUP($D22,Résultats!$B$2:$AX$476,J$5,FALSE)</f>
        <v>0.87643524429999997</v>
      </c>
      <c r="K22" s="16">
        <f>VLOOKUP($D22,Résultats!$B$2:$AX$476,K$5,FALSE)</f>
        <v>1.0787091559999999</v>
      </c>
      <c r="L22" s="16">
        <f>VLOOKUP($D22,Résultats!$B$2:$AX$476,L$5,FALSE)</f>
        <v>1.28997059</v>
      </c>
      <c r="M22" s="16">
        <f>VLOOKUP($D22,Résultats!$B$2:$AX$476,M$5,FALSE)</f>
        <v>1.2116483659999999</v>
      </c>
      <c r="N22" s="86">
        <f>VLOOKUP($D22,Résultats!$B$2:$AX$476,N$5,FALSE)</f>
        <v>1.3053340659999999</v>
      </c>
      <c r="O22" s="22">
        <f>VLOOKUP($D22,Résultats!$B$2:$AX$476,O$5,FALSE)</f>
        <v>1.632812457</v>
      </c>
      <c r="P22" s="16">
        <f>VLOOKUP($D22,Résultats!$B$2:$AX$476,P$5,FALSE)</f>
        <v>1.924994044</v>
      </c>
      <c r="Q22" s="16">
        <f>VLOOKUP($D22,Résultats!$B$2:$AX$476,Q$5,FALSE)</f>
        <v>2.2288610160000002</v>
      </c>
      <c r="R22" s="16">
        <f>VLOOKUP($D22,Résultats!$B$2:$AX$476,R$5,FALSE)</f>
        <v>2.5027611090000002</v>
      </c>
      <c r="S22" s="86">
        <f>VLOOKUP($D22,Résultats!$B$2:$AX$476,S$5,FALSE)</f>
        <v>2.7559653530000001</v>
      </c>
      <c r="T22" s="95">
        <f>VLOOKUP($D22,Résultats!$B$2:$AX$476,T$5,FALSE)</f>
        <v>2.9356524469999998</v>
      </c>
      <c r="U22" s="95">
        <f>VLOOKUP($D22,Résultats!$B$2:$AX$476,U$5,FALSE)</f>
        <v>3.838198657</v>
      </c>
      <c r="V22" s="95">
        <f>VLOOKUP($D22,Résultats!$B$2:$AX$476,V$5,FALSE)</f>
        <v>3.5391923350000001</v>
      </c>
      <c r="W22" s="95">
        <f>VLOOKUP($D22,Résultats!$B$2:$AX$476,W$5,FALSE)</f>
        <v>4.243580701</v>
      </c>
      <c r="X22" s="45">
        <f>W22-'[1]Cibles THREEME'!$H30</f>
        <v>-8.0820286115252706</v>
      </c>
      <c r="Y22" s="75"/>
      <c r="Z22" s="75"/>
      <c r="AA22" s="75"/>
    </row>
    <row r="23" spans="1:39" x14ac:dyDescent="0.25">
      <c r="A23" s="3"/>
      <c r="B23" s="321"/>
      <c r="C23" s="3" t="s">
        <v>16</v>
      </c>
      <c r="D23" s="3" t="s">
        <v>369</v>
      </c>
      <c r="E23" s="16">
        <f>VLOOKUP($D23,Résultats!$B$2:$AX$476,E$5,FALSE)</f>
        <v>0.64109971359999995</v>
      </c>
      <c r="F23" s="16">
        <f>VLOOKUP($D23,Résultats!$B$2:$AX$476,F$5,FALSE)</f>
        <v>0.60044616179999999</v>
      </c>
      <c r="G23" s="22">
        <f>VLOOKUP($D23,Résultats!$B$2:$AX$476,G$5,FALSE)</f>
        <v>1.1742922069999999</v>
      </c>
      <c r="H23" s="16">
        <f>VLOOKUP($D23,Résultats!$B$2:$AX$476,H$5,FALSE)</f>
        <v>1.3068111229999999</v>
      </c>
      <c r="I23" s="86">
        <f>VLOOKUP($D23,Résultats!$B$2:$AX$476,I$5,FALSE)</f>
        <v>1.427463878</v>
      </c>
      <c r="J23" s="22">
        <f>VLOOKUP($D23,Résultats!$B$2:$AX$476,J$5,FALSE)</f>
        <v>1.4621430369999999</v>
      </c>
      <c r="K23" s="16">
        <f>VLOOKUP($D23,Résultats!$B$2:$AX$476,K$5,FALSE)</f>
        <v>1.5078419380000001</v>
      </c>
      <c r="L23" s="16">
        <f>VLOOKUP($D23,Résultats!$B$2:$AX$476,L$5,FALSE)</f>
        <v>1.559051851</v>
      </c>
      <c r="M23" s="16">
        <f>VLOOKUP($D23,Résultats!$B$2:$AX$476,M$5,FALSE)</f>
        <v>1.1672072120000001</v>
      </c>
      <c r="N23" s="86">
        <f>VLOOKUP($D23,Résultats!$B$2:$AX$476,N$5,FALSE)</f>
        <v>0.98693562830000003</v>
      </c>
      <c r="O23" s="22">
        <f>VLOOKUP($D23,Résultats!$B$2:$AX$476,O$5,FALSE)</f>
        <v>1.060087936</v>
      </c>
      <c r="P23" s="16">
        <f>VLOOKUP($D23,Résultats!$B$2:$AX$476,P$5,FALSE)</f>
        <v>1.115634536</v>
      </c>
      <c r="Q23" s="16">
        <f>VLOOKUP($D23,Résultats!$B$2:$AX$476,Q$5,FALSE)</f>
        <v>1.1849523470000001</v>
      </c>
      <c r="R23" s="16">
        <f>VLOOKUP($D23,Résultats!$B$2:$AX$476,R$5,FALSE)</f>
        <v>1.2890114509999999</v>
      </c>
      <c r="S23" s="86">
        <f>VLOOKUP($D23,Résultats!$B$2:$AX$476,S$5,FALSE)</f>
        <v>1.383683276</v>
      </c>
      <c r="T23" s="95">
        <f>VLOOKUP($D23,Résultats!$B$2:$AX$476,T$5,FALSE)</f>
        <v>1.187422786</v>
      </c>
      <c r="U23" s="95">
        <f>VLOOKUP($D23,Résultats!$B$2:$AX$476,U$5,FALSE)</f>
        <v>0.92225424889999996</v>
      </c>
      <c r="V23" s="95">
        <f>VLOOKUP($D23,Résultats!$B$2:$AX$476,V$5,FALSE)</f>
        <v>0.67139490810000002</v>
      </c>
      <c r="W23" s="95">
        <f>VLOOKUP($D23,Résultats!$B$2:$AX$476,W$5,FALSE)</f>
        <v>0.47237171049999999</v>
      </c>
      <c r="X23" s="45">
        <f>W23-'[1]Cibles THREEME'!$H31</f>
        <v>-0.31914883350721718</v>
      </c>
      <c r="Y23" s="75"/>
      <c r="Z23" s="75"/>
      <c r="AA23" s="75"/>
    </row>
    <row r="24" spans="1:39" x14ac:dyDescent="0.25">
      <c r="A24" s="3"/>
      <c r="B24" s="321"/>
      <c r="C24" s="3" t="s">
        <v>17</v>
      </c>
      <c r="D24" s="3" t="s">
        <v>370</v>
      </c>
      <c r="E24" s="16">
        <f>VLOOKUP($D24,Résultats!$B$2:$AX$476,E$5,FALSE)</f>
        <v>0.41865197459999998</v>
      </c>
      <c r="F24" s="16">
        <f>VLOOKUP($D24,Résultats!$B$2:$AX$476,F$5,FALSE)</f>
        <v>0.44707026979999998</v>
      </c>
      <c r="G24" s="22">
        <f>VLOOKUP($D24,Résultats!$B$2:$AX$476,G$5,FALSE)</f>
        <v>0.52995705950000005</v>
      </c>
      <c r="H24" s="16">
        <f>VLOOKUP($D24,Résultats!$B$2:$AX$476,H$5,FALSE)</f>
        <v>0.5461303274</v>
      </c>
      <c r="I24" s="86">
        <f>VLOOKUP($D24,Résultats!$B$2:$AX$476,I$5,FALSE)</f>
        <v>0.56490990870000002</v>
      </c>
      <c r="J24" s="22">
        <f>VLOOKUP($D24,Résultats!$B$2:$AX$476,J$5,FALSE)</f>
        <v>0.61930171209999996</v>
      </c>
      <c r="K24" s="16">
        <f>VLOOKUP($D24,Résultats!$B$2:$AX$476,K$5,FALSE)</f>
        <v>0.67926257349999997</v>
      </c>
      <c r="L24" s="16">
        <f>VLOOKUP($D24,Résultats!$B$2:$AX$476,L$5,FALSE)</f>
        <v>0.74306765519999995</v>
      </c>
      <c r="M24" s="16">
        <f>VLOOKUP($D24,Résultats!$B$2:$AX$476,M$5,FALSE)</f>
        <v>0.79282362760000002</v>
      </c>
      <c r="N24" s="86">
        <f>VLOOKUP($D24,Résultats!$B$2:$AX$476,N$5,FALSE)</f>
        <v>0.95215375099999999</v>
      </c>
      <c r="O24" s="22">
        <f>VLOOKUP($D24,Résultats!$B$2:$AX$476,O$5,FALSE)</f>
        <v>1.0524602510000001</v>
      </c>
      <c r="P24" s="16">
        <f>VLOOKUP($D24,Résultats!$B$2:$AX$476,P$5,FALSE)</f>
        <v>1.1354738040000001</v>
      </c>
      <c r="Q24" s="16">
        <f>VLOOKUP($D24,Résultats!$B$2:$AX$476,Q$5,FALSE)</f>
        <v>1.228076781</v>
      </c>
      <c r="R24" s="16">
        <f>VLOOKUP($D24,Résultats!$B$2:$AX$476,R$5,FALSE)</f>
        <v>1.3268597360000001</v>
      </c>
      <c r="S24" s="86">
        <f>VLOOKUP($D24,Résultats!$B$2:$AX$476,S$5,FALSE)</f>
        <v>1.4171309299999999</v>
      </c>
      <c r="T24" s="95">
        <f>VLOOKUP($D24,Résultats!$B$2:$AX$476,T$5,FALSE)</f>
        <v>1.717577546</v>
      </c>
      <c r="U24" s="95">
        <f>VLOOKUP($D24,Résultats!$B$2:$AX$476,U$5,FALSE)</f>
        <v>1.9448959100000001</v>
      </c>
      <c r="V24" s="95">
        <f>VLOOKUP($D24,Résultats!$B$2:$AX$476,V$5,FALSE)</f>
        <v>1.684887603</v>
      </c>
      <c r="W24" s="95">
        <f>VLOOKUP($D24,Résultats!$B$2:$AX$476,W$5,FALSE)</f>
        <v>1.609202303</v>
      </c>
      <c r="X24" s="45">
        <f>W24-'[1]Cibles THREEME'!$H32</f>
        <v>1.3512487346423043</v>
      </c>
      <c r="Y24" s="75"/>
      <c r="Z24" s="75"/>
      <c r="AA24" s="75"/>
    </row>
    <row r="25" spans="1:39" x14ac:dyDescent="0.25">
      <c r="A25" s="3"/>
      <c r="B25" s="322"/>
      <c r="C25" s="7" t="s">
        <v>12</v>
      </c>
      <c r="D25" s="3" t="s">
        <v>371</v>
      </c>
      <c r="E25" s="17">
        <f>VLOOKUP($D25,Résultats!$B$2:$AX$476,E$5,FALSE)</f>
        <v>0.41865197459999998</v>
      </c>
      <c r="F25" s="17">
        <f>VLOOKUP($D25,Résultats!$B$2:$AX$476,F$5,FALSE)</f>
        <v>3.4269209869999999</v>
      </c>
      <c r="G25" s="88">
        <f>VLOOKUP($D25,Résultats!$B$2:$AX$476,G$5,FALSE)</f>
        <v>2.7375002620000002</v>
      </c>
      <c r="H25" s="17">
        <f>VLOOKUP($D25,Résultats!$B$2:$AX$476,H$5,FALSE)</f>
        <v>2.4597231129999999</v>
      </c>
      <c r="I25" s="89">
        <f>VLOOKUP($D25,Résultats!$B$2:$AX$476,I$5,FALSE)</f>
        <v>2.2071710850000001</v>
      </c>
      <c r="J25" s="88">
        <f>VLOOKUP($D25,Résultats!$B$2:$AX$476,J$5,FALSE)</f>
        <v>2.6196316159999999</v>
      </c>
      <c r="K25" s="17">
        <f>VLOOKUP($D25,Résultats!$B$2:$AX$476,K$5,FALSE)</f>
        <v>3.0585085310000002</v>
      </c>
      <c r="L25" s="17">
        <f>VLOOKUP($D25,Résultats!$B$2:$AX$476,L$5,FALSE)</f>
        <v>3.519242636</v>
      </c>
      <c r="M25" s="17">
        <f>VLOOKUP($D25,Résultats!$B$2:$AX$476,M$5,FALSE)</f>
        <v>6.9504743309999997</v>
      </c>
      <c r="N25" s="89">
        <f>VLOOKUP($D25,Résultats!$B$2:$AX$476,N$5,FALSE)</f>
        <v>7.6466942710000003</v>
      </c>
      <c r="O25" s="88">
        <f>VLOOKUP($D25,Résultats!$B$2:$AX$476,O$5,FALSE)</f>
        <v>8.0239851959999999</v>
      </c>
      <c r="P25" s="17">
        <f>VLOOKUP($D25,Résultats!$B$2:$AX$476,P$5,FALSE)</f>
        <v>8.2759277900000008</v>
      </c>
      <c r="Q25" s="17">
        <f>VLOOKUP($D25,Résultats!$B$2:$AX$476,Q$5,FALSE)</f>
        <v>8.6457600960000001</v>
      </c>
      <c r="R25" s="17">
        <f>VLOOKUP($D25,Résultats!$B$2:$AX$476,R$5,FALSE)</f>
        <v>8.8987699819999904</v>
      </c>
      <c r="S25" s="89">
        <f>VLOOKUP($D25,Résultats!$B$2:$AX$476,S$5,FALSE)</f>
        <v>9.1047730589999905</v>
      </c>
      <c r="T25" s="97">
        <f>VLOOKUP($D25,Résultats!$B$2:$AX$476,T$5,FALSE)</f>
        <v>9.524596335</v>
      </c>
      <c r="U25" s="97">
        <f>VLOOKUP($D25,Résultats!$B$2:$AX$476,U$5,FALSE)</f>
        <v>10.48338594</v>
      </c>
      <c r="V25" s="97">
        <f>VLOOKUP($D25,Résultats!$B$2:$AX$476,V$5,FALSE)</f>
        <v>10.14822047</v>
      </c>
      <c r="W25" s="97">
        <f>VLOOKUP($D25,Résultats!$B$2:$AX$476,W$5,FALSE)</f>
        <v>9.935385557</v>
      </c>
      <c r="X25" s="45">
        <f>W25-'[1]Cibles THREEME'!$H33</f>
        <v>2.4542222140306098</v>
      </c>
      <c r="Y25" s="75"/>
      <c r="Z25" s="75"/>
      <c r="AA25" s="75"/>
    </row>
    <row r="26" spans="1:39" x14ac:dyDescent="0.25">
      <c r="A26" s="3"/>
      <c r="B26" s="170" t="s">
        <v>8</v>
      </c>
      <c r="C26" s="2"/>
      <c r="D26" s="14" t="s">
        <v>372</v>
      </c>
      <c r="E26" s="6">
        <f>VLOOKUP($D26,Résultats!$B$2:$AX$476,E$5,FALSE)</f>
        <v>4.7606703819999998</v>
      </c>
      <c r="F26" s="6">
        <f>VLOOKUP($D26,Résultats!$B$2:$AX$476,F$5,FALSE)</f>
        <v>3.5884926780000002</v>
      </c>
      <c r="G26" s="84">
        <f>VLOOKUP($D26,Résultats!$B$2:$AX$476,G$5,FALSE)</f>
        <v>2.0998347380000002</v>
      </c>
      <c r="H26" s="6">
        <f>VLOOKUP($D26,Résultats!$B$2:$AX$476,H$5,FALSE)</f>
        <v>1.9136969559999999</v>
      </c>
      <c r="I26" s="85">
        <f>VLOOKUP($D26,Résultats!$B$2:$AX$476,I$5,FALSE)</f>
        <v>1.74017497</v>
      </c>
      <c r="J26" s="84">
        <f>VLOOKUP($D26,Résultats!$B$2:$AX$476,J$5,FALSE)</f>
        <v>1.7058610919999999</v>
      </c>
      <c r="K26" s="6">
        <f>VLOOKUP($D26,Résultats!$B$2:$AX$476,K$5,FALSE)</f>
        <v>1.690692732</v>
      </c>
      <c r="L26" s="6">
        <f>VLOOKUP($D26,Résultats!$B$2:$AX$476,L$5,FALSE)</f>
        <v>1.6899967229999999</v>
      </c>
      <c r="M26" s="6">
        <f>VLOOKUP($D26,Résultats!$B$2:$AX$476,M$5,FALSE)</f>
        <v>1.6116966740000001</v>
      </c>
      <c r="N26" s="85">
        <f>VLOOKUP($D26,Résultats!$B$2:$AX$476,N$5,FALSE)</f>
        <v>1.297990625</v>
      </c>
      <c r="O26" s="84">
        <f>VLOOKUP($D26,Résultats!$B$2:$AX$476,O$5,FALSE)</f>
        <v>1.07322947</v>
      </c>
      <c r="P26" s="6">
        <f>VLOOKUP($D26,Résultats!$B$2:$AX$476,P$5,FALSE)</f>
        <v>0.89710689079999995</v>
      </c>
      <c r="Q26" s="6">
        <f>VLOOKUP($D26,Résultats!$B$2:$AX$476,Q$5,FALSE)</f>
        <v>0.75564669220000003</v>
      </c>
      <c r="R26" s="6">
        <f>VLOOKUP($D26,Résultats!$B$2:$AX$476,R$5,FALSE)</f>
        <v>0.64252412550000004</v>
      </c>
      <c r="S26" s="85">
        <f>VLOOKUP($D26,Résultats!$B$2:$AX$476,S$5,FALSE)</f>
        <v>0.5517053972</v>
      </c>
      <c r="T26" s="94">
        <f>VLOOKUP($D26,Résultats!$B$2:$AX$476,T$5,FALSE)</f>
        <v>0.25933823680000001</v>
      </c>
      <c r="U26" s="94">
        <f>VLOOKUP($D26,Résultats!$B$2:$AX$476,U$5,FALSE)</f>
        <v>0.14310809999999999</v>
      </c>
      <c r="V26" s="94">
        <f>VLOOKUP($D26,Résultats!$B$2:$AX$476,V$5,FALSE)</f>
        <v>0.1216680057</v>
      </c>
      <c r="W26" s="94">
        <f>VLOOKUP($D26,Résultats!$B$2:$AX$476,W$5,FALSE)</f>
        <v>0.1095811738</v>
      </c>
      <c r="X26" s="3"/>
      <c r="Y26" s="75"/>
      <c r="Z26" s="75"/>
      <c r="AA26" s="75"/>
    </row>
    <row r="27" spans="1:39" x14ac:dyDescent="0.25">
      <c r="A27" s="3"/>
      <c r="B27" s="169" t="s">
        <v>1</v>
      </c>
      <c r="C27" s="2"/>
      <c r="D27" s="2"/>
      <c r="E27" s="9">
        <f>E26+E19+E10+E7</f>
        <v>230.85787869080002</v>
      </c>
      <c r="F27" s="9">
        <f>F26+F19+F10+F7</f>
        <v>229.06761813640003</v>
      </c>
      <c r="G27" s="23">
        <f t="shared" ref="G27:R27" si="4">G26+G19+G10+G7</f>
        <v>211.98769657319997</v>
      </c>
      <c r="H27" s="9">
        <f t="shared" si="4"/>
        <v>205.73240686529999</v>
      </c>
      <c r="I27" s="90">
        <f t="shared" si="4"/>
        <v>199.46769746219996</v>
      </c>
      <c r="J27" s="23">
        <f t="shared" si="4"/>
        <v>197.78115623639999</v>
      </c>
      <c r="K27" s="9">
        <f t="shared" si="4"/>
        <v>196.59707486350001</v>
      </c>
      <c r="L27" s="9">
        <f t="shared" si="4"/>
        <v>195.91706660020003</v>
      </c>
      <c r="M27" s="9">
        <f t="shared" si="4"/>
        <v>208.1106340446</v>
      </c>
      <c r="N27" s="90">
        <f t="shared" si="4"/>
        <v>216.32490724159999</v>
      </c>
      <c r="O27" s="23">
        <f t="shared" si="4"/>
        <v>212.07106528989999</v>
      </c>
      <c r="P27" s="9">
        <f t="shared" si="4"/>
        <v>207.62955362050002</v>
      </c>
      <c r="Q27" s="9">
        <f t="shared" si="4"/>
        <v>203.22183755470002</v>
      </c>
      <c r="R27" s="9">
        <f t="shared" si="4"/>
        <v>197.17594232179999</v>
      </c>
      <c r="S27" s="90">
        <f>S26+S19+S10+S7</f>
        <v>191.22028988949987</v>
      </c>
      <c r="T27" s="98">
        <f>T26+T19+T10+T7</f>
        <v>190.19485807589987</v>
      </c>
      <c r="U27" s="98">
        <f>U26+U19+U10+U7</f>
        <v>184.94215926439998</v>
      </c>
      <c r="V27" s="98">
        <f>V26+V19+V10+V7</f>
        <v>160.6778865176</v>
      </c>
      <c r="W27" s="98">
        <f>W26+W19+W10+W7</f>
        <v>141.64441097540004</v>
      </c>
      <c r="X27" s="3"/>
      <c r="Y27" s="75"/>
      <c r="Z27" s="75"/>
      <c r="AA27" s="75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172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61" t="str">
        <f>Résultats!B1</f>
        <v>SNBC3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166" t="s">
        <v>91</v>
      </c>
      <c r="AA31" s="166"/>
      <c r="AB31" s="166"/>
      <c r="AC31" s="38"/>
      <c r="AE31" s="166" t="s">
        <v>94</v>
      </c>
      <c r="AF31" s="166"/>
      <c r="AG31" s="166"/>
      <c r="AH31" s="38"/>
      <c r="AJ31" s="166" t="s">
        <v>95</v>
      </c>
      <c r="AK31" s="166"/>
      <c r="AL31" s="166"/>
      <c r="AM31" s="38"/>
    </row>
    <row r="32" spans="1:39" x14ac:dyDescent="0.25">
      <c r="A32" s="3"/>
      <c r="B32" s="168"/>
      <c r="C32" s="2"/>
      <c r="D32" s="15"/>
      <c r="E32" s="4">
        <v>2006</v>
      </c>
      <c r="F32" s="4">
        <v>2015</v>
      </c>
      <c r="G32" s="20">
        <v>2018</v>
      </c>
      <c r="H32" s="27">
        <v>2019</v>
      </c>
      <c r="I32" s="83">
        <v>2020</v>
      </c>
      <c r="J32" s="91">
        <v>2021</v>
      </c>
      <c r="K32" s="27">
        <v>2022</v>
      </c>
      <c r="L32" s="27">
        <v>2023</v>
      </c>
      <c r="M32" s="27">
        <v>2024</v>
      </c>
      <c r="N32" s="83">
        <v>2025</v>
      </c>
      <c r="O32" s="91">
        <v>2026</v>
      </c>
      <c r="P32" s="27">
        <v>2027</v>
      </c>
      <c r="Q32" s="27">
        <v>2028</v>
      </c>
      <c r="R32" s="27">
        <v>2029</v>
      </c>
      <c r="S32" s="92">
        <v>2030</v>
      </c>
      <c r="T32" s="93">
        <v>2035</v>
      </c>
      <c r="U32" s="93">
        <v>2040</v>
      </c>
      <c r="V32" s="93">
        <v>2045</v>
      </c>
      <c r="W32" s="93">
        <v>2050</v>
      </c>
      <c r="X32" s="3"/>
      <c r="Z32" s="194"/>
      <c r="AA32" s="195">
        <v>2020</v>
      </c>
      <c r="AB32" s="195">
        <v>2030</v>
      </c>
      <c r="AC32" s="196">
        <v>2050</v>
      </c>
      <c r="AE32" s="194"/>
      <c r="AF32" s="195">
        <v>2020</v>
      </c>
      <c r="AG32" s="195">
        <v>2030</v>
      </c>
      <c r="AH32" s="196">
        <v>2050</v>
      </c>
      <c r="AJ32" s="194"/>
      <c r="AK32" s="195">
        <v>2020</v>
      </c>
      <c r="AL32" s="195">
        <v>2030</v>
      </c>
      <c r="AM32" s="196">
        <v>2050</v>
      </c>
    </row>
    <row r="33" spans="1:39" x14ac:dyDescent="0.25">
      <c r="A33" s="3"/>
      <c r="B33" s="320" t="s">
        <v>0</v>
      </c>
      <c r="C33" s="5" t="s">
        <v>1</v>
      </c>
      <c r="D33" s="2" t="s">
        <v>373</v>
      </c>
      <c r="E33" s="6">
        <f>SUM(E34:E35)</f>
        <v>67.551490169799891</v>
      </c>
      <c r="F33" s="6">
        <f>SUM(F34:F35)</f>
        <v>59.892673685000005</v>
      </c>
      <c r="G33" s="84">
        <f t="shared" ref="G33:R33" si="5">SUM(G34:G35)</f>
        <v>54.998249856000001</v>
      </c>
      <c r="H33" s="6">
        <f t="shared" si="5"/>
        <v>53.587925598999995</v>
      </c>
      <c r="I33" s="85">
        <f t="shared" si="5"/>
        <v>52.293378851</v>
      </c>
      <c r="J33" s="84">
        <f t="shared" si="5"/>
        <v>52.252739645000005</v>
      </c>
      <c r="K33" s="6">
        <f t="shared" si="5"/>
        <v>52.118586190000002</v>
      </c>
      <c r="L33" s="6">
        <f t="shared" si="5"/>
        <v>52.120581521000005</v>
      </c>
      <c r="M33" s="6">
        <f t="shared" si="5"/>
        <v>51.318354324000005</v>
      </c>
      <c r="N33" s="85">
        <f t="shared" si="5"/>
        <v>49.794752456000005</v>
      </c>
      <c r="O33" s="84">
        <f t="shared" si="5"/>
        <v>48.418932108</v>
      </c>
      <c r="P33" s="6">
        <f t="shared" si="5"/>
        <v>46.947437864999998</v>
      </c>
      <c r="Q33" s="6">
        <f t="shared" si="5"/>
        <v>45.553619395999995</v>
      </c>
      <c r="R33" s="6">
        <f t="shared" si="5"/>
        <v>44.152642859000004</v>
      </c>
      <c r="S33" s="85">
        <f>SUM(S34:S35)</f>
        <v>42.704749002999996</v>
      </c>
      <c r="T33" s="94">
        <f>SUM(T34:T35)</f>
        <v>33.791667383000004</v>
      </c>
      <c r="U33" s="94">
        <f>SUM(U34:U35)</f>
        <v>25.677668466</v>
      </c>
      <c r="V33" s="94">
        <f>SUM(V34:V35)</f>
        <v>21.334152436</v>
      </c>
      <c r="W33" s="94">
        <f>SUM(W34:W35)</f>
        <v>18.584274893</v>
      </c>
      <c r="X33" s="3"/>
      <c r="Z33" s="197" t="s">
        <v>42</v>
      </c>
      <c r="AA33" s="201">
        <f>(I38+I40)/I36</f>
        <v>2.4994425092065915E-2</v>
      </c>
      <c r="AB33" s="201">
        <f>(S38+S40)/S36</f>
        <v>2.4811072409364057E-2</v>
      </c>
      <c r="AC33" s="202">
        <f>(W38+W40)/W36</f>
        <v>2.4547123566144167E-2</v>
      </c>
      <c r="AE33" s="197" t="s">
        <v>96</v>
      </c>
      <c r="AF33" s="201">
        <f>I34/I33</f>
        <v>0.94711814226272517</v>
      </c>
      <c r="AG33" s="201">
        <f>S34/S33</f>
        <v>0.91771552824831859</v>
      </c>
      <c r="AH33" s="202">
        <f>W34/W33</f>
        <v>0.69969192098518962</v>
      </c>
      <c r="AJ33" s="197" t="s">
        <v>66</v>
      </c>
      <c r="AK33" s="201">
        <f>I46/(I46+I48)</f>
        <v>0.97055581086477782</v>
      </c>
      <c r="AL33" s="201">
        <f>S46/(S46+S48)</f>
        <v>0.79211570836266987</v>
      </c>
      <c r="AM33" s="202">
        <f>W46/(W46+W48)</f>
        <v>5.6817641254248215E-2</v>
      </c>
    </row>
    <row r="34" spans="1:39" x14ac:dyDescent="0.25">
      <c r="A34" s="3"/>
      <c r="B34" s="321"/>
      <c r="C34" s="3" t="s">
        <v>2</v>
      </c>
      <c r="D34" s="15" t="s">
        <v>374</v>
      </c>
      <c r="E34" s="16">
        <f>VLOOKUP($D34,Résultats!$B$2:$AX$476,E$5,FALSE)</f>
        <v>66.677101949999894</v>
      </c>
      <c r="F34" s="16">
        <f>VLOOKUP($D34,Résultats!$B$2:$AX$476,F$5,FALSE)</f>
        <v>56.967928620000002</v>
      </c>
      <c r="G34" s="22">
        <f>VLOOKUP($D34,Résultats!$B$2:$AX$476,G$5,FALSE)</f>
        <v>52.187678910000002</v>
      </c>
      <c r="H34" s="16">
        <f>VLOOKUP($D34,Résultats!$B$2:$AX$476,H$5,FALSE)</f>
        <v>50.803378709999997</v>
      </c>
      <c r="I34" s="86">
        <f>VLOOKUP($D34,Résultats!$B$2:$AX$476,I$5,FALSE)</f>
        <v>49.52800783</v>
      </c>
      <c r="J34" s="22">
        <f>VLOOKUP($D34,Résultats!$B$2:$AX$476,J$5,FALSE)</f>
        <v>49.356770670000003</v>
      </c>
      <c r="K34" s="16">
        <f>VLOOKUP($D34,Résultats!$B$2:$AX$476,K$5,FALSE)</f>
        <v>49.101940620000001</v>
      </c>
      <c r="L34" s="16">
        <f>VLOOKUP($D34,Résultats!$B$2:$AX$476,L$5,FALSE)</f>
        <v>48.979792940000003</v>
      </c>
      <c r="M34" s="16">
        <f>VLOOKUP($D34,Résultats!$B$2:$AX$476,M$5,FALSE)</f>
        <v>48.142283300000003</v>
      </c>
      <c r="N34" s="86">
        <f>VLOOKUP($D34,Résultats!$B$2:$AX$476,N$5,FALSE)</f>
        <v>46.626098480000003</v>
      </c>
      <c r="O34" s="22">
        <f>VLOOKUP($D34,Résultats!$B$2:$AX$476,O$5,FALSE)</f>
        <v>45.185370939999999</v>
      </c>
      <c r="P34" s="16">
        <f>VLOOKUP($D34,Résultats!$B$2:$AX$476,P$5,FALSE)</f>
        <v>43.650638299999997</v>
      </c>
      <c r="Q34" s="16">
        <f>VLOOKUP($D34,Résultats!$B$2:$AX$476,Q$5,FALSE)</f>
        <v>42.182770759999997</v>
      </c>
      <c r="R34" s="16">
        <f>VLOOKUP($D34,Résultats!$B$2:$AX$476,R$5,FALSE)</f>
        <v>40.711409740000001</v>
      </c>
      <c r="S34" s="86">
        <f>VLOOKUP($D34,Résultats!$B$2:$AX$476,S$5,FALSE)</f>
        <v>39.190811289999999</v>
      </c>
      <c r="T34" s="95">
        <f>VLOOKUP($D34,Résultats!$B$2:$AX$476,T$5,FALSE)</f>
        <v>29.3953582</v>
      </c>
      <c r="U34" s="95">
        <f>VLOOKUP($D34,Résultats!$B$2:$AX$476,U$5,FALSE)</f>
        <v>20.787837060000001</v>
      </c>
      <c r="V34" s="95">
        <f>VLOOKUP($D34,Résultats!$B$2:$AX$476,V$5,FALSE)</f>
        <v>15.518586040000001</v>
      </c>
      <c r="W34" s="95">
        <f>VLOOKUP($D34,Résultats!$B$2:$AX$476,W$5,FALSE)</f>
        <v>13.003266999999999</v>
      </c>
      <c r="X34" s="45">
        <f>W34-'[1]Cibles THREEME'!$AJ4</f>
        <v>3.3211643925140368</v>
      </c>
      <c r="Z34" s="197" t="s">
        <v>61</v>
      </c>
      <c r="AA34" s="201">
        <f>I37/I36</f>
        <v>0.66723666876109289</v>
      </c>
      <c r="AB34" s="201">
        <f>S37/S36</f>
        <v>0.57862544235988156</v>
      </c>
      <c r="AC34" s="202">
        <f>W37/W36</f>
        <v>0.29530182821308493</v>
      </c>
      <c r="AE34" s="198" t="s">
        <v>65</v>
      </c>
      <c r="AF34" s="203">
        <f>I35/I33</f>
        <v>5.2881857737274864E-2</v>
      </c>
      <c r="AG34" s="203">
        <f>S35/S33</f>
        <v>8.2284471751681451E-2</v>
      </c>
      <c r="AH34" s="204">
        <f>W35/W33</f>
        <v>0.30030807901481033</v>
      </c>
      <c r="AJ34" s="198" t="s">
        <v>67</v>
      </c>
      <c r="AK34" s="203">
        <f>I48/(I46+I48)</f>
        <v>2.9444189135222149E-2</v>
      </c>
      <c r="AL34" s="203">
        <f>S48/(S46+S48)</f>
        <v>0.20788429163733008</v>
      </c>
      <c r="AM34" s="204">
        <f>W48/(W46+W48)</f>
        <v>0.94318235874575174</v>
      </c>
    </row>
    <row r="35" spans="1:39" x14ac:dyDescent="0.25">
      <c r="A35" s="3"/>
      <c r="B35" s="322"/>
      <c r="C35" s="7" t="s">
        <v>3</v>
      </c>
      <c r="D35" s="3" t="s">
        <v>375</v>
      </c>
      <c r="E35" s="16">
        <f>VLOOKUP($D35,Résultats!$B$2:$AX$476,E$5,FALSE)</f>
        <v>0.87438821980000003</v>
      </c>
      <c r="F35" s="16">
        <f>VLOOKUP($D35,Résultats!$B$2:$AX$476,F$5,FALSE)</f>
        <v>2.9247450650000002</v>
      </c>
      <c r="G35" s="22">
        <f>VLOOKUP($D35,Résultats!$B$2:$AX$476,G$5,FALSE)</f>
        <v>2.8105709459999999</v>
      </c>
      <c r="H35" s="16">
        <f>VLOOKUP($D35,Résultats!$B$2:$AX$476,H$5,FALSE)</f>
        <v>2.784546889</v>
      </c>
      <c r="I35" s="86">
        <f>VLOOKUP($D35,Résultats!$B$2:$AX$476,I$5,FALSE)</f>
        <v>2.765371021</v>
      </c>
      <c r="J35" s="22">
        <f>VLOOKUP($D35,Résultats!$B$2:$AX$476,J$5,FALSE)</f>
        <v>2.8959689750000002</v>
      </c>
      <c r="K35" s="16">
        <f>VLOOKUP($D35,Résultats!$B$2:$AX$476,K$5,FALSE)</f>
        <v>3.0166455700000001</v>
      </c>
      <c r="L35" s="16">
        <f>VLOOKUP($D35,Résultats!$B$2:$AX$476,L$5,FALSE)</f>
        <v>3.1407885809999998</v>
      </c>
      <c r="M35" s="16">
        <f>VLOOKUP($D35,Résultats!$B$2:$AX$476,M$5,FALSE)</f>
        <v>3.1760710240000001</v>
      </c>
      <c r="N35" s="86">
        <f>VLOOKUP($D35,Résultats!$B$2:$AX$476,N$5,FALSE)</f>
        <v>3.1686539759999999</v>
      </c>
      <c r="O35" s="22">
        <f>VLOOKUP($D35,Résultats!$B$2:$AX$476,O$5,FALSE)</f>
        <v>3.233561168</v>
      </c>
      <c r="P35" s="16">
        <f>VLOOKUP($D35,Résultats!$B$2:$AX$476,P$5,FALSE)</f>
        <v>3.2967995650000002</v>
      </c>
      <c r="Q35" s="16">
        <f>VLOOKUP($D35,Résultats!$B$2:$AX$476,Q$5,FALSE)</f>
        <v>3.3708486359999998</v>
      </c>
      <c r="R35" s="16">
        <f>VLOOKUP($D35,Résultats!$B$2:$AX$476,R$5,FALSE)</f>
        <v>3.4412331190000001</v>
      </c>
      <c r="S35" s="86">
        <f>VLOOKUP($D35,Résultats!$B$2:$AX$476,S$5,FALSE)</f>
        <v>3.5139377129999998</v>
      </c>
      <c r="T35" s="95">
        <f>VLOOKUP($D35,Résultats!$B$2:$AX$476,T$5,FALSE)</f>
        <v>4.3963091829999996</v>
      </c>
      <c r="U35" s="95">
        <f>VLOOKUP($D35,Résultats!$B$2:$AX$476,U$5,FALSE)</f>
        <v>4.8898314059999999</v>
      </c>
      <c r="V35" s="95">
        <f>VLOOKUP($D35,Résultats!$B$2:$AX$476,V$5,FALSE)</f>
        <v>5.8155663960000004</v>
      </c>
      <c r="W35" s="95">
        <f>VLOOKUP($D35,Résultats!$B$2:$AX$476,W$5,FALSE)</f>
        <v>5.5810078929999998</v>
      </c>
      <c r="X35" s="45">
        <f>W35-'[1]Cibles THREEME'!$AJ5</f>
        <v>2.0841666774229171</v>
      </c>
      <c r="Z35" s="197" t="s">
        <v>93</v>
      </c>
      <c r="AA35" s="201">
        <f>I43/I36</f>
        <v>9.8618400900619366E-2</v>
      </c>
      <c r="AB35" s="201">
        <f>S43/S36</f>
        <v>8.5082657388454164E-2</v>
      </c>
      <c r="AC35" s="202">
        <f>W43/W36</f>
        <v>6.0615803806183963E-2</v>
      </c>
      <c r="AE35" s="189" t="s">
        <v>92</v>
      </c>
      <c r="AF35" s="205">
        <f>SUM(AF33:AF34)</f>
        <v>1</v>
      </c>
      <c r="AG35" s="205">
        <f t="shared" ref="AG35:AH35" si="6">SUM(AG33:AG34)</f>
        <v>1</v>
      </c>
      <c r="AH35" s="205">
        <f t="shared" si="6"/>
        <v>1</v>
      </c>
      <c r="AJ35" s="189" t="s">
        <v>92</v>
      </c>
      <c r="AK35" s="205">
        <f>SUM(AK33:AK34)</f>
        <v>1</v>
      </c>
      <c r="AL35" s="205">
        <f t="shared" ref="AL35" si="7">SUM(AL33:AL34)</f>
        <v>1</v>
      </c>
      <c r="AM35" s="205">
        <f t="shared" ref="AM35" si="8">SUM(AM33:AM34)</f>
        <v>1</v>
      </c>
    </row>
    <row r="36" spans="1:39" x14ac:dyDescent="0.25">
      <c r="A36" s="3"/>
      <c r="B36" s="320" t="s">
        <v>4</v>
      </c>
      <c r="C36" s="5" t="s">
        <v>1</v>
      </c>
      <c r="D36" s="2" t="s">
        <v>376</v>
      </c>
      <c r="E36" s="8">
        <f>SUM(E37:E44)</f>
        <v>33.390186363200002</v>
      </c>
      <c r="F36" s="8">
        <f>SUM(F37:F44)</f>
        <v>34.034415853600002</v>
      </c>
      <c r="G36" s="21">
        <f t="shared" ref="G36:R36" si="9">SUM(G37:G44)</f>
        <v>33.466946000599997</v>
      </c>
      <c r="H36" s="8">
        <f t="shared" si="9"/>
        <v>33.144821598799993</v>
      </c>
      <c r="I36" s="87">
        <f t="shared" si="9"/>
        <v>32.698821604799996</v>
      </c>
      <c r="J36" s="21">
        <f t="shared" si="9"/>
        <v>32.937241671500004</v>
      </c>
      <c r="K36" s="8">
        <f t="shared" si="9"/>
        <v>33.281452789399999</v>
      </c>
      <c r="L36" s="8">
        <f t="shared" si="9"/>
        <v>33.704781268700003</v>
      </c>
      <c r="M36" s="8">
        <f t="shared" si="9"/>
        <v>35.241609689099995</v>
      </c>
      <c r="N36" s="87">
        <f t="shared" si="9"/>
        <v>35.694990780099999</v>
      </c>
      <c r="O36" s="21">
        <f t="shared" si="9"/>
        <v>35.856492028000005</v>
      </c>
      <c r="P36" s="8">
        <f t="shared" si="9"/>
        <v>36.089176042799991</v>
      </c>
      <c r="Q36" s="8">
        <f t="shared" si="9"/>
        <v>36.2459269808</v>
      </c>
      <c r="R36" s="8">
        <f t="shared" si="9"/>
        <v>36.282823054200001</v>
      </c>
      <c r="S36" s="87">
        <f>SUM(S37:S44)</f>
        <v>36.337475507900002</v>
      </c>
      <c r="T36" s="96">
        <f>SUM(T37:T44)</f>
        <v>39.919922272699999</v>
      </c>
      <c r="U36" s="96">
        <f>SUM(U37:U44)</f>
        <v>42.313230416799996</v>
      </c>
      <c r="V36" s="96">
        <f>SUM(V37:V44)</f>
        <v>45.396880803599991</v>
      </c>
      <c r="W36" s="96">
        <f>SUM(W37:W44)</f>
        <v>47.424138566100005</v>
      </c>
      <c r="X36" s="3"/>
      <c r="Z36" s="197" t="s">
        <v>62</v>
      </c>
      <c r="AA36" s="201">
        <f>I42/I36</f>
        <v>4.6279031131135955E-2</v>
      </c>
      <c r="AB36" s="201">
        <f>S42/S36</f>
        <v>0.11704854161030852</v>
      </c>
      <c r="AC36" s="202">
        <f>W42/W36</f>
        <v>0.23022599777499511</v>
      </c>
    </row>
    <row r="37" spans="1:39" x14ac:dyDescent="0.25">
      <c r="A37" s="3"/>
      <c r="B37" s="321"/>
      <c r="C37" s="3" t="s">
        <v>5</v>
      </c>
      <c r="D37" s="3" t="s">
        <v>377</v>
      </c>
      <c r="E37" s="16">
        <f>VLOOKUP($D37,Résultats!$B$2:$AX$476,E$5,FALSE)</f>
        <v>26.011154829999999</v>
      </c>
      <c r="F37" s="16">
        <f>VLOOKUP($D37,Résultats!$B$2:$AX$476,F$5,FALSE)</f>
        <v>25.64926492</v>
      </c>
      <c r="G37" s="22">
        <f>VLOOKUP($D37,Résultats!$B$2:$AX$476,G$5,FALSE)</f>
        <v>23.600184200000001</v>
      </c>
      <c r="H37" s="16">
        <f>VLOOKUP($D37,Résultats!$B$2:$AX$476,H$5,FALSE)</f>
        <v>22.753921680000001</v>
      </c>
      <c r="I37" s="86">
        <f>VLOOKUP($D37,Résultats!$B$2:$AX$476,I$5,FALSE)</f>
        <v>21.817852800000001</v>
      </c>
      <c r="J37" s="22">
        <f>VLOOKUP($D37,Résultats!$B$2:$AX$476,J$5,FALSE)</f>
        <v>21.69323559</v>
      </c>
      <c r="K37" s="16">
        <f>VLOOKUP($D37,Résultats!$B$2:$AX$476,K$5,FALSE)</f>
        <v>21.63162397</v>
      </c>
      <c r="L37" s="16">
        <f>VLOOKUP($D37,Résultats!$B$2:$AX$476,L$5,FALSE)</f>
        <v>21.613098310000002</v>
      </c>
      <c r="M37" s="16">
        <f>VLOOKUP($D37,Résultats!$B$2:$AX$476,M$5,FALSE)</f>
        <v>22.299800439999999</v>
      </c>
      <c r="N37" s="86">
        <f>VLOOKUP($D37,Résultats!$B$2:$AX$476,N$5,FALSE)</f>
        <v>22.30459905</v>
      </c>
      <c r="O37" s="22">
        <f>VLOOKUP($D37,Résultats!$B$2:$AX$476,O$5,FALSE)</f>
        <v>21.993938180000001</v>
      </c>
      <c r="P37" s="16">
        <f>VLOOKUP($D37,Résultats!$B$2:$AX$476,P$5,FALSE)</f>
        <v>21.728583929999999</v>
      </c>
      <c r="Q37" s="16">
        <f>VLOOKUP($D37,Résultats!$B$2:$AX$476,Q$5,FALSE)</f>
        <v>21.432243400000001</v>
      </c>
      <c r="R37" s="16">
        <f>VLOOKUP($D37,Résultats!$B$2:$AX$476,R$5,FALSE)</f>
        <v>21.218830669999999</v>
      </c>
      <c r="S37" s="86">
        <f>VLOOKUP($D37,Résultats!$B$2:$AX$476,S$5,FALSE)</f>
        <v>21.02578784</v>
      </c>
      <c r="T37" s="95">
        <f>VLOOKUP($D37,Résultats!$B$2:$AX$476,T$5,FALSE)</f>
        <v>20.32686099</v>
      </c>
      <c r="U37" s="95">
        <f>VLOOKUP($D37,Résultats!$B$2:$AX$476,U$5,FALSE)</f>
        <v>19.732086899999999</v>
      </c>
      <c r="V37" s="95">
        <f>VLOOKUP($D37,Résultats!$B$2:$AX$476,V$5,FALSE)</f>
        <v>17.502752149999999</v>
      </c>
      <c r="W37" s="95">
        <f>VLOOKUP($D37,Résultats!$B$2:$AX$476,W$5,FALSE)</f>
        <v>14.00443482</v>
      </c>
      <c r="X37" s="45">
        <f>W37-'[1]Cibles THREEME'!$AJ8</f>
        <v>13.383375688454302</v>
      </c>
      <c r="Z37" s="197" t="s">
        <v>63</v>
      </c>
      <c r="AA37" s="201">
        <f>I41/I36</f>
        <v>8.5267193775286312E-2</v>
      </c>
      <c r="AB37" s="201">
        <f>S41/S36</f>
        <v>0.12932391395704804</v>
      </c>
      <c r="AC37" s="202">
        <f>W41/W36</f>
        <v>0.34915314058727659</v>
      </c>
    </row>
    <row r="38" spans="1:39" x14ac:dyDescent="0.25">
      <c r="A38" s="3"/>
      <c r="B38" s="321"/>
      <c r="C38" s="3" t="s">
        <v>6</v>
      </c>
      <c r="D38" s="3" t="s">
        <v>378</v>
      </c>
      <c r="E38" s="16">
        <f>VLOOKUP($D38,Résultats!$B$2:$AX$476,E$5,FALSE)</f>
        <v>0.4232294553</v>
      </c>
      <c r="F38" s="16">
        <f>VLOOKUP($D38,Résultats!$B$2:$AX$476,F$5,FALSE)</f>
        <v>0.4296664643</v>
      </c>
      <c r="G38" s="22">
        <f>VLOOKUP($D38,Résultats!$B$2:$AX$476,G$5,FALSE)</f>
        <v>0.42104112199999999</v>
      </c>
      <c r="H38" s="16">
        <f>VLOOKUP($D38,Résultats!$B$2:$AX$476,H$5,FALSE)</f>
        <v>0.41562455110000002</v>
      </c>
      <c r="I38" s="86">
        <f>VLOOKUP($D38,Résultats!$B$2:$AX$476,I$5,FALSE)</f>
        <v>0.40864412360000002</v>
      </c>
      <c r="J38" s="22">
        <f>VLOOKUP($D38,Résultats!$B$2:$AX$476,J$5,FALSE)</f>
        <v>0.44947102039999998</v>
      </c>
      <c r="K38" s="16">
        <f>VLOOKUP($D38,Résultats!$B$2:$AX$476,K$5,FALSE)</f>
        <v>0.49263150659999999</v>
      </c>
      <c r="L38" s="16">
        <f>VLOOKUP($D38,Résultats!$B$2:$AX$476,L$5,FALSE)</f>
        <v>0.53807531909999995</v>
      </c>
      <c r="M38" s="16">
        <f>VLOOKUP($D38,Résultats!$B$2:$AX$476,M$5,FALSE)</f>
        <v>0.50999785440000001</v>
      </c>
      <c r="N38" s="86">
        <f>VLOOKUP($D38,Résultats!$B$2:$AX$476,N$5,FALSE)</f>
        <v>0.46688727679999997</v>
      </c>
      <c r="O38" s="22">
        <f>VLOOKUP($D38,Résultats!$B$2:$AX$476,O$5,FALSE)</f>
        <v>0.4460268047</v>
      </c>
      <c r="P38" s="16">
        <f>VLOOKUP($D38,Résultats!$B$2:$AX$476,P$5,FALSE)</f>
        <v>0.44843820750000002</v>
      </c>
      <c r="Q38" s="16">
        <f>VLOOKUP($D38,Résultats!$B$2:$AX$476,Q$5,FALSE)</f>
        <v>0.44992351450000001</v>
      </c>
      <c r="R38" s="16">
        <f>VLOOKUP($D38,Résultats!$B$2:$AX$476,R$5,FALSE)</f>
        <v>0.45024154919999998</v>
      </c>
      <c r="S38" s="86">
        <f>VLOOKUP($D38,Résultats!$B$2:$AX$476,S$5,FALSE)</f>
        <v>0.45078586799999998</v>
      </c>
      <c r="T38" s="95">
        <f>VLOOKUP($D38,Résultats!$B$2:$AX$476,T$5,FALSE)</f>
        <v>0.49510346840000002</v>
      </c>
      <c r="U38" s="95">
        <f>VLOOKUP($D38,Résultats!$B$2:$AX$476,U$5,FALSE)</f>
        <v>0.5200302752</v>
      </c>
      <c r="V38" s="95">
        <f>VLOOKUP($D38,Résultats!$B$2:$AX$476,V$5,FALSE)</f>
        <v>0.55721671220000002</v>
      </c>
      <c r="W38" s="95">
        <f>VLOOKUP($D38,Résultats!$B$2:$AX$476,W$5,FALSE)</f>
        <v>0.58206309469999995</v>
      </c>
      <c r="X38" s="45">
        <f>W38-'[1]Cibles THREEME'!$AJ9</f>
        <v>0.57206309469999994</v>
      </c>
      <c r="Z38" s="198" t="s">
        <v>64</v>
      </c>
      <c r="AA38" s="203">
        <f>(I39+I44)/I36</f>
        <v>7.7604280339799769E-2</v>
      </c>
      <c r="AB38" s="203">
        <f>(S39+S44)/S36</f>
        <v>6.5108372274943635E-2</v>
      </c>
      <c r="AC38" s="204">
        <f>(W39+W44)/W36</f>
        <v>4.0156106052315135E-2</v>
      </c>
    </row>
    <row r="39" spans="1:39" x14ac:dyDescent="0.25">
      <c r="A39" s="3"/>
      <c r="B39" s="321"/>
      <c r="C39" s="3" t="s">
        <v>7</v>
      </c>
      <c r="D39" s="3" t="s">
        <v>379</v>
      </c>
      <c r="E39" s="16">
        <f>VLOOKUP($D39,Résultats!$B$2:$AX$476,E$5,FALSE)</f>
        <v>1.3331427810000001</v>
      </c>
      <c r="F39" s="16">
        <f>VLOOKUP($D39,Résultats!$B$2:$AX$476,F$5,FALSE)</f>
        <v>1.3319036310000001</v>
      </c>
      <c r="G39" s="22">
        <f>VLOOKUP($D39,Résultats!$B$2:$AX$476,G$5,FALSE)</f>
        <v>1.7028982429999999</v>
      </c>
      <c r="H39" s="16">
        <f>VLOOKUP($D39,Résultats!$B$2:$AX$476,H$5,FALSE)</f>
        <v>1.8216718569999999</v>
      </c>
      <c r="I39" s="86">
        <f>VLOOKUP($D39,Résultats!$B$2:$AX$476,I$5,FALSE)</f>
        <v>1.9346776130000001</v>
      </c>
      <c r="J39" s="22">
        <f>VLOOKUP($D39,Résultats!$B$2:$AX$476,J$5,FALSE)</f>
        <v>1.8595466970000001</v>
      </c>
      <c r="K39" s="16">
        <f>VLOOKUP($D39,Résultats!$B$2:$AX$476,K$5,FALSE)</f>
        <v>1.7882901419999999</v>
      </c>
      <c r="L39" s="16">
        <f>VLOOKUP($D39,Résultats!$B$2:$AX$476,L$5,FALSE)</f>
        <v>1.718662296</v>
      </c>
      <c r="M39" s="16">
        <f>VLOOKUP($D39,Résultats!$B$2:$AX$476,M$5,FALSE)</f>
        <v>2.017315505</v>
      </c>
      <c r="N39" s="86">
        <f>VLOOKUP($D39,Résultats!$B$2:$AX$476,N$5,FALSE)</f>
        <v>2.251244893</v>
      </c>
      <c r="O39" s="22">
        <f>VLOOKUP($D39,Résultats!$B$2:$AX$476,O$5,FALSE)</f>
        <v>2.2075341000000002</v>
      </c>
      <c r="P39" s="16">
        <f>VLOOKUP($D39,Résultats!$B$2:$AX$476,P$5,FALSE)</f>
        <v>2.168830292</v>
      </c>
      <c r="Q39" s="16">
        <f>VLOOKUP($D39,Résultats!$B$2:$AX$476,Q$5,FALSE)</f>
        <v>2.1274775130000001</v>
      </c>
      <c r="R39" s="16">
        <f>VLOOKUP($D39,Résultats!$B$2:$AX$476,R$5,FALSE)</f>
        <v>1.8482967749999999</v>
      </c>
      <c r="S39" s="86">
        <f>VLOOKUP($D39,Résultats!$B$2:$AX$476,S$5,FALSE)</f>
        <v>1.5819639249999999</v>
      </c>
      <c r="T39" s="95">
        <f>VLOOKUP($D39,Résultats!$B$2:$AX$476,T$5,FALSE)</f>
        <v>1.099575797</v>
      </c>
      <c r="U39" s="95">
        <f>VLOOKUP($D39,Résultats!$B$2:$AX$476,U$5,FALSE)</f>
        <v>0.51943037979999995</v>
      </c>
      <c r="V39" s="95">
        <f>VLOOKUP($D39,Résultats!$B$2:$AX$476,V$5,FALSE)</f>
        <v>0.55721671220000002</v>
      </c>
      <c r="W39" s="95">
        <f>VLOOKUP($D39,Résultats!$B$2:$AX$476,W$5,FALSE)</f>
        <v>0.58206309469999995</v>
      </c>
      <c r="X39" s="45">
        <f>W39-'[1]Cibles THREEME'!$AJ10</f>
        <v>-0.51392360802770132</v>
      </c>
      <c r="Z39" s="189" t="s">
        <v>92</v>
      </c>
      <c r="AA39" s="205">
        <f>SUM(AA33:AA38)</f>
        <v>1.0000000000000002</v>
      </c>
      <c r="AB39" s="205">
        <f t="shared" ref="AB39:AC39" si="10">SUM(AB33:AB38)</f>
        <v>0.99999999999999989</v>
      </c>
      <c r="AC39" s="205">
        <f t="shared" si="10"/>
        <v>0.99999999999999989</v>
      </c>
      <c r="AJ39" s="189"/>
      <c r="AK39" s="205"/>
      <c r="AL39" s="205"/>
      <c r="AM39" s="205"/>
    </row>
    <row r="40" spans="1:39" x14ac:dyDescent="0.25">
      <c r="A40" s="3"/>
      <c r="B40" s="321"/>
      <c r="C40" s="3" t="s">
        <v>8</v>
      </c>
      <c r="D40" s="3" t="s">
        <v>380</v>
      </c>
      <c r="E40" s="16">
        <f>VLOOKUP($D40,Résultats!$B$2:$AX$476,E$5,FALSE)</f>
        <v>1.330192163</v>
      </c>
      <c r="F40" s="16">
        <f>VLOOKUP($D40,Résultats!$B$2:$AX$476,F$5,FALSE)</f>
        <v>0.6243388607</v>
      </c>
      <c r="G40" s="22">
        <f>VLOOKUP($D40,Résultats!$B$2:$AX$476,G$5,FALSE)</f>
        <v>0.42104112199999999</v>
      </c>
      <c r="H40" s="16">
        <f>VLOOKUP($D40,Résultats!$B$2:$AX$476,H$5,FALSE)</f>
        <v>0.41562455110000002</v>
      </c>
      <c r="I40" s="86">
        <f>VLOOKUP($D40,Résultats!$B$2:$AX$476,I$5,FALSE)</f>
        <v>0.40864412360000002</v>
      </c>
      <c r="J40" s="22">
        <f>VLOOKUP($D40,Résultats!$B$2:$AX$476,J$5,FALSE)</f>
        <v>0.41151911940000002</v>
      </c>
      <c r="K40" s="16">
        <f>VLOOKUP($D40,Résultats!$B$2:$AX$476,K$5,FALSE)</f>
        <v>0.41571341309999998</v>
      </c>
      <c r="L40" s="16">
        <f>VLOOKUP($D40,Résultats!$B$2:$AX$476,L$5,FALSE)</f>
        <v>0.42089287580000001</v>
      </c>
      <c r="M40" s="16">
        <f>VLOOKUP($D40,Résultats!$B$2:$AX$476,M$5,FALSE)</f>
        <v>0.43931345570000002</v>
      </c>
      <c r="N40" s="86">
        <f>VLOOKUP($D40,Résultats!$B$2:$AX$476,N$5,FALSE)</f>
        <v>0.44423750420000002</v>
      </c>
      <c r="O40" s="22">
        <f>VLOOKUP($D40,Résultats!$B$2:$AX$476,O$5,FALSE)</f>
        <v>0.4460268047</v>
      </c>
      <c r="P40" s="16">
        <f>VLOOKUP($D40,Résultats!$B$2:$AX$476,P$5,FALSE)</f>
        <v>0.44843820750000002</v>
      </c>
      <c r="Q40" s="16">
        <f>VLOOKUP($D40,Résultats!$B$2:$AX$476,Q$5,FALSE)</f>
        <v>0.44992351450000001</v>
      </c>
      <c r="R40" s="16">
        <f>VLOOKUP($D40,Résultats!$B$2:$AX$476,R$5,FALSE)</f>
        <v>0.45024154919999998</v>
      </c>
      <c r="S40" s="86">
        <f>VLOOKUP($D40,Résultats!$B$2:$AX$476,S$5,FALSE)</f>
        <v>0.45078586799999998</v>
      </c>
      <c r="T40" s="95">
        <f>VLOOKUP($D40,Résultats!$B$2:$AX$476,T$5,FALSE)</f>
        <v>0.49510346840000002</v>
      </c>
      <c r="U40" s="95">
        <f>VLOOKUP($D40,Résultats!$B$2:$AX$476,U$5,FALSE)</f>
        <v>0.51943037979999995</v>
      </c>
      <c r="V40" s="95">
        <f>VLOOKUP($D40,Résultats!$B$2:$AX$476,V$5,FALSE)</f>
        <v>0.55721671220000002</v>
      </c>
      <c r="W40" s="95">
        <f>VLOOKUP($D40,Résultats!$B$2:$AX$476,W$5,FALSE)</f>
        <v>0.58206309469999995</v>
      </c>
      <c r="X40" s="45">
        <f>W40-'[1]Cibles THREEME'!$AJ11</f>
        <v>0.57206309469999994</v>
      </c>
    </row>
    <row r="41" spans="1:39" x14ac:dyDescent="0.25">
      <c r="A41" s="3"/>
      <c r="B41" s="321"/>
      <c r="C41" s="3" t="s">
        <v>9</v>
      </c>
      <c r="D41" s="3" t="s">
        <v>381</v>
      </c>
      <c r="E41" s="16">
        <f>VLOOKUP($D41,Résultats!$B$2:$AX$476,E$5,FALSE)</f>
        <v>0.4232294553</v>
      </c>
      <c r="F41" s="16">
        <f>VLOOKUP($D41,Résultats!$B$2:$AX$476,F$5,FALSE)</f>
        <v>1.9234027520000001</v>
      </c>
      <c r="G41" s="22">
        <f>VLOOKUP($D41,Résultats!$B$2:$AX$476,G$5,FALSE)</f>
        <v>2.4557429580000001</v>
      </c>
      <c r="H41" s="16">
        <f>VLOOKUP($D41,Résultats!$B$2:$AX$476,H$5,FALSE)</f>
        <v>2.6261005929999999</v>
      </c>
      <c r="I41" s="86">
        <f>VLOOKUP($D41,Résultats!$B$2:$AX$476,I$5,FALSE)</f>
        <v>2.7881367579999998</v>
      </c>
      <c r="J41" s="22">
        <f>VLOOKUP($D41,Résultats!$B$2:$AX$476,J$5,FALSE)</f>
        <v>2.9394781220000001</v>
      </c>
      <c r="K41" s="16">
        <f>VLOOKUP($D41,Résultats!$B$2:$AX$476,K$5,FALSE)</f>
        <v>3.1033413790000002</v>
      </c>
      <c r="L41" s="16">
        <f>VLOOKUP($D41,Résultats!$B$2:$AX$476,L$5,FALSE)</f>
        <v>3.2784320579999999</v>
      </c>
      <c r="M41" s="16">
        <f>VLOOKUP($D41,Résultats!$B$2:$AX$476,M$5,FALSE)</f>
        <v>3.6162657650000001</v>
      </c>
      <c r="N41" s="86">
        <f>VLOOKUP($D41,Résultats!$B$2:$AX$476,N$5,FALSE)</f>
        <v>3.8406106179999999</v>
      </c>
      <c r="O41" s="22">
        <f>VLOOKUP($D41,Résultats!$B$2:$AX$476,O$5,FALSE)</f>
        <v>4.0172377939999997</v>
      </c>
      <c r="P41" s="16">
        <f>VLOOKUP($D41,Résultats!$B$2:$AX$476,P$5,FALSE)</f>
        <v>4.1935809639999997</v>
      </c>
      <c r="Q41" s="16">
        <f>VLOOKUP($D41,Résultats!$B$2:$AX$476,Q$5,FALSE)</f>
        <v>4.3556758330000003</v>
      </c>
      <c r="R41" s="16">
        <f>VLOOKUP($D41,Résultats!$B$2:$AX$476,R$5,FALSE)</f>
        <v>4.5299874510000002</v>
      </c>
      <c r="S41" s="86">
        <f>VLOOKUP($D41,Résultats!$B$2:$AX$476,S$5,FALSE)</f>
        <v>4.6993045560000004</v>
      </c>
      <c r="T41" s="95">
        <f>VLOOKUP($D41,Résultats!$B$2:$AX$476,T$5,FALSE)</f>
        <v>8.0052924660000002</v>
      </c>
      <c r="U41" s="95">
        <f>VLOOKUP($D41,Résultats!$B$2:$AX$476,U$5,FALSE)</f>
        <v>10.190964429999999</v>
      </c>
      <c r="V41" s="95">
        <f>VLOOKUP($D41,Résultats!$B$2:$AX$476,V$5,FALSE)</f>
        <v>13.28095111</v>
      </c>
      <c r="W41" s="95">
        <f>VLOOKUP($D41,Résultats!$B$2:$AX$476,W$5,FALSE)</f>
        <v>16.55828692</v>
      </c>
      <c r="X41" s="45">
        <f>W41-'[1]Cibles THREEME'!$AJ12</f>
        <v>3.9727062836768994</v>
      </c>
    </row>
    <row r="42" spans="1:39" x14ac:dyDescent="0.25">
      <c r="A42" s="3"/>
      <c r="B42" s="321"/>
      <c r="C42" s="3" t="s">
        <v>10</v>
      </c>
      <c r="D42" s="3" t="s">
        <v>382</v>
      </c>
      <c r="E42" s="16">
        <f>VLOOKUP($D42,Résultats!$B$2:$AX$476,E$5,FALSE)</f>
        <v>0.4232294553</v>
      </c>
      <c r="F42" s="16">
        <f>VLOOKUP($D42,Résultats!$B$2:$AX$476,F$5,FALSE)</f>
        <v>1.1468141409999999</v>
      </c>
      <c r="G42" s="22">
        <f>VLOOKUP($D42,Résultats!$B$2:$AX$476,G$5,FALSE)</f>
        <v>1.3754136969999999</v>
      </c>
      <c r="H42" s="16">
        <f>VLOOKUP($D42,Résultats!$B$2:$AX$476,H$5,FALSE)</f>
        <v>1.4467198240000001</v>
      </c>
      <c r="I42" s="86">
        <f>VLOOKUP($D42,Résultats!$B$2:$AX$476,I$5,FALSE)</f>
        <v>1.5132697829999999</v>
      </c>
      <c r="J42" s="22">
        <f>VLOOKUP($D42,Résultats!$B$2:$AX$476,J$5,FALSE)</f>
        <v>1.565073852</v>
      </c>
      <c r="K42" s="16">
        <f>VLOOKUP($D42,Résultats!$B$2:$AX$476,K$5,FALSE)</f>
        <v>1.6228634420000001</v>
      </c>
      <c r="L42" s="16">
        <f>VLOOKUP($D42,Résultats!$B$2:$AX$476,L$5,FALSE)</f>
        <v>1.685709065</v>
      </c>
      <c r="M42" s="16">
        <f>VLOOKUP($D42,Résultats!$B$2:$AX$476,M$5,FALSE)</f>
        <v>2.0615272660000001</v>
      </c>
      <c r="N42" s="86">
        <f>VLOOKUP($D42,Résultats!$B$2:$AX$476,N$5,FALSE)</f>
        <v>2.3702965570000001</v>
      </c>
      <c r="O42" s="22">
        <f>VLOOKUP($D42,Résultats!$B$2:$AX$476,O$5,FALSE)</f>
        <v>2.7648471589999999</v>
      </c>
      <c r="P42" s="16">
        <f>VLOOKUP($D42,Résultats!$B$2:$AX$476,P$5,FALSE)</f>
        <v>3.1491898800000002</v>
      </c>
      <c r="Q42" s="16">
        <f>VLOOKUP($D42,Résultats!$B$2:$AX$476,Q$5,FALSE)</f>
        <v>3.5136796430000001</v>
      </c>
      <c r="R42" s="16">
        <f>VLOOKUP($D42,Résultats!$B$2:$AX$476,R$5,FALSE)</f>
        <v>3.8904329190000002</v>
      </c>
      <c r="S42" s="86">
        <f>VLOOKUP($D42,Résultats!$B$2:$AX$476,S$5,FALSE)</f>
        <v>4.253248514</v>
      </c>
      <c r="T42" s="95">
        <f>VLOOKUP($D42,Résultats!$B$2:$AX$476,T$5,FALSE)</f>
        <v>5.6668903329999996</v>
      </c>
      <c r="U42" s="95">
        <f>VLOOKUP($D42,Résultats!$B$2:$AX$476,U$5,FALSE)</f>
        <v>6.9837688279999997</v>
      </c>
      <c r="V42" s="95">
        <f>VLOOKUP($D42,Résultats!$B$2:$AX$476,V$5,FALSE)</f>
        <v>8.8973272819999902</v>
      </c>
      <c r="W42" s="95">
        <f>VLOOKUP($D42,Résultats!$B$2:$AX$476,W$5,FALSE)</f>
        <v>10.91826962</v>
      </c>
      <c r="X42" s="45">
        <f>W42-'[1]Cibles THREEME'!$AJ13</f>
        <v>3.489915301512247</v>
      </c>
      <c r="Z42" s="60" t="s">
        <v>457</v>
      </c>
    </row>
    <row r="43" spans="1:39" x14ac:dyDescent="0.25">
      <c r="A43" s="3"/>
      <c r="B43" s="321"/>
      <c r="C43" s="3" t="s">
        <v>11</v>
      </c>
      <c r="D43" s="3" t="s">
        <v>383</v>
      </c>
      <c r="E43" s="16">
        <f>VLOOKUP($D43,Résultats!$B$2:$AX$476,E$5,FALSE)</f>
        <v>3.0227787679999998</v>
      </c>
      <c r="F43" s="16">
        <f>VLOOKUP($D43,Résultats!$B$2:$AX$476,F$5,FALSE)</f>
        <v>2.1586624940000001</v>
      </c>
      <c r="G43" s="22">
        <f>VLOOKUP($D43,Résultats!$B$2:$AX$476,G$5,FALSE)</f>
        <v>2.8130056049999999</v>
      </c>
      <c r="H43" s="16">
        <f>VLOOKUP($D43,Résultats!$B$2:$AX$476,H$5,FALSE)</f>
        <v>3.023591009</v>
      </c>
      <c r="I43" s="86">
        <f>VLOOKUP($D43,Résultats!$B$2:$AX$476,I$5,FALSE)</f>
        <v>3.2247054980000001</v>
      </c>
      <c r="J43" s="22">
        <f>VLOOKUP($D43,Résultats!$B$2:$AX$476,J$5,FALSE)</f>
        <v>3.3923071440000001</v>
      </c>
      <c r="K43" s="16">
        <f>VLOOKUP($D43,Résultats!$B$2:$AX$476,K$5,FALSE)</f>
        <v>3.574192617</v>
      </c>
      <c r="L43" s="16">
        <f>VLOOKUP($D43,Résultats!$B$2:$AX$476,L$5,FALSE)</f>
        <v>3.7688091300000002</v>
      </c>
      <c r="M43" s="16">
        <f>VLOOKUP($D43,Résultats!$B$2:$AX$476,M$5,FALSE)</f>
        <v>3.5036345729999998</v>
      </c>
      <c r="N43" s="86">
        <f>VLOOKUP($D43,Résultats!$B$2:$AX$476,N$5,FALSE)</f>
        <v>3.1361119980000001</v>
      </c>
      <c r="O43" s="22">
        <f>VLOOKUP($D43,Résultats!$B$2:$AX$476,O$5,FALSE)</f>
        <v>3.1230957199999998</v>
      </c>
      <c r="P43" s="16">
        <f>VLOOKUP($D43,Résultats!$B$2:$AX$476,P$5,FALSE)</f>
        <v>3.1153723449999999</v>
      </c>
      <c r="Q43" s="16">
        <f>VLOOKUP($D43,Résultats!$B$2:$AX$476,Q$5,FALSE)</f>
        <v>3.102104534</v>
      </c>
      <c r="R43" s="16">
        <f>VLOOKUP($D43,Résultats!$B$2:$AX$476,R$5,FALSE)</f>
        <v>3.0959413580000001</v>
      </c>
      <c r="S43" s="86">
        <f>VLOOKUP($D43,Résultats!$B$2:$AX$476,S$5,FALSE)</f>
        <v>3.0916889790000002</v>
      </c>
      <c r="T43" s="95">
        <f>VLOOKUP($D43,Résultats!$B$2:$AX$476,T$5,FALSE)</f>
        <v>2.8351916519999998</v>
      </c>
      <c r="U43" s="95">
        <f>VLOOKUP($D43,Résultats!$B$2:$AX$476,U$5,FALSE)</f>
        <v>2.6686359940000002</v>
      </c>
      <c r="V43" s="95">
        <f>VLOOKUP($D43,Résultats!$B$2:$AX$476,V$5,FALSE)</f>
        <v>2.768980472</v>
      </c>
      <c r="W43" s="95">
        <f>VLOOKUP($D43,Résultats!$B$2:$AX$476,W$5,FALSE)</f>
        <v>2.8746522790000002</v>
      </c>
      <c r="X43" s="45">
        <f>W43-'[1]Cibles THREEME'!$AJ14</f>
        <v>-0.99174525562272331</v>
      </c>
      <c r="Z43" s="194"/>
      <c r="AA43" s="195">
        <v>2020</v>
      </c>
      <c r="AB43" s="195">
        <v>2030</v>
      </c>
      <c r="AC43" s="196">
        <v>2050</v>
      </c>
    </row>
    <row r="44" spans="1:39" x14ac:dyDescent="0.25">
      <c r="A44" s="3"/>
      <c r="B44" s="322"/>
      <c r="C44" s="7" t="s">
        <v>12</v>
      </c>
      <c r="D44" s="3" t="s">
        <v>384</v>
      </c>
      <c r="E44" s="17">
        <f>VLOOKUP($D44,Résultats!$B$2:$AX$476,E$5,FALSE)</f>
        <v>0.4232294553</v>
      </c>
      <c r="F44" s="17">
        <f>VLOOKUP($D44,Résultats!$B$2:$AX$476,F$5,FALSE)</f>
        <v>0.77036259060000001</v>
      </c>
      <c r="G44" s="88">
        <f>VLOOKUP($D44,Résultats!$B$2:$AX$476,G$5,FALSE)</f>
        <v>0.67761905359999997</v>
      </c>
      <c r="H44" s="17">
        <f>VLOOKUP($D44,Résultats!$B$2:$AX$476,H$5,FALSE)</f>
        <v>0.64156753359999996</v>
      </c>
      <c r="I44" s="89">
        <f>VLOOKUP($D44,Résultats!$B$2:$AX$476,I$5,FALSE)</f>
        <v>0.60289090560000003</v>
      </c>
      <c r="J44" s="88">
        <f>VLOOKUP($D44,Résultats!$B$2:$AX$476,J$5,FALSE)</f>
        <v>0.62661012670000005</v>
      </c>
      <c r="K44" s="17">
        <f>VLOOKUP($D44,Résultats!$B$2:$AX$476,K$5,FALSE)</f>
        <v>0.65279631969999996</v>
      </c>
      <c r="L44" s="17">
        <f>VLOOKUP($D44,Résultats!$B$2:$AX$476,L$5,FALSE)</f>
        <v>0.68110221479999999</v>
      </c>
      <c r="M44" s="17">
        <f>VLOOKUP($D44,Résultats!$B$2:$AX$476,M$5,FALSE)</f>
        <v>0.79375483000000002</v>
      </c>
      <c r="N44" s="89">
        <f>VLOOKUP($D44,Résultats!$B$2:$AX$476,N$5,FALSE)</f>
        <v>0.88100288309999997</v>
      </c>
      <c r="O44" s="88">
        <f>VLOOKUP($D44,Résultats!$B$2:$AX$476,O$5,FALSE)</f>
        <v>0.85778546560000002</v>
      </c>
      <c r="P44" s="17">
        <f>VLOOKUP($D44,Résultats!$B$2:$AX$476,P$5,FALSE)</f>
        <v>0.83674221680000005</v>
      </c>
      <c r="Q44" s="17">
        <f>VLOOKUP($D44,Résultats!$B$2:$AX$476,Q$5,FALSE)</f>
        <v>0.81489902879999998</v>
      </c>
      <c r="R44" s="17">
        <f>VLOOKUP($D44,Résultats!$B$2:$AX$476,R$5,FALSE)</f>
        <v>0.79885078279999999</v>
      </c>
      <c r="S44" s="89">
        <f>VLOOKUP($D44,Résultats!$B$2:$AX$476,S$5,FALSE)</f>
        <v>0.78390995789999995</v>
      </c>
      <c r="T44" s="97">
        <f>VLOOKUP($D44,Résultats!$B$2:$AX$476,T$5,FALSE)</f>
        <v>0.99590409790000001</v>
      </c>
      <c r="U44" s="97">
        <f>VLOOKUP($D44,Résultats!$B$2:$AX$476,U$5,FALSE)</f>
        <v>1.1788832300000001</v>
      </c>
      <c r="V44" s="97">
        <f>VLOOKUP($D44,Résultats!$B$2:$AX$476,V$5,FALSE)</f>
        <v>1.275219653</v>
      </c>
      <c r="W44" s="97">
        <f>VLOOKUP($D44,Résultats!$B$2:$AX$476,W$5,FALSE)</f>
        <v>1.322305643</v>
      </c>
      <c r="X44" s="45">
        <f>W44-'[1]Cibles THREEME'!$AJ15</f>
        <v>1.0117760772271513</v>
      </c>
      <c r="Z44" s="197" t="s">
        <v>458</v>
      </c>
      <c r="AA44" s="16">
        <f>I36</f>
        <v>32.698821604799996</v>
      </c>
      <c r="AB44" s="16">
        <f>S36</f>
        <v>36.337475507900002</v>
      </c>
      <c r="AC44" s="86">
        <f>W36</f>
        <v>47.424138566100005</v>
      </c>
    </row>
    <row r="45" spans="1:39" x14ac:dyDescent="0.25">
      <c r="A45" s="3"/>
      <c r="B45" s="320" t="s">
        <v>53</v>
      </c>
      <c r="C45" s="5" t="s">
        <v>1</v>
      </c>
      <c r="D45" s="2" t="s">
        <v>385</v>
      </c>
      <c r="E45" s="6">
        <f>SUM(E46:E51)</f>
        <v>32.766873197700001</v>
      </c>
      <c r="F45" s="6">
        <f>SUM(F46:F51)</f>
        <v>35.110269207400002</v>
      </c>
      <c r="G45" s="84">
        <f t="shared" ref="G45:R45" si="11">SUM(G46:G51)</f>
        <v>34.934175033700001</v>
      </c>
      <c r="H45" s="6">
        <f t="shared" si="11"/>
        <v>34.176874880300005</v>
      </c>
      <c r="I45" s="85">
        <f t="shared" si="11"/>
        <v>33.650738466200004</v>
      </c>
      <c r="J45" s="84">
        <f t="shared" si="11"/>
        <v>33.390514739400004</v>
      </c>
      <c r="K45" s="6">
        <f t="shared" si="11"/>
        <v>33.380497714499995</v>
      </c>
      <c r="L45" s="6">
        <f t="shared" si="11"/>
        <v>33.479779278199999</v>
      </c>
      <c r="M45" s="6">
        <f t="shared" si="11"/>
        <v>33.362131606600002</v>
      </c>
      <c r="N45" s="85">
        <f t="shared" si="11"/>
        <v>33.757116992700006</v>
      </c>
      <c r="O45" s="84">
        <f t="shared" si="11"/>
        <v>33.877318241300003</v>
      </c>
      <c r="P45" s="6">
        <f t="shared" si="11"/>
        <v>33.535230522999996</v>
      </c>
      <c r="Q45" s="6">
        <f t="shared" si="11"/>
        <v>33.201118268000002</v>
      </c>
      <c r="R45" s="6">
        <f t="shared" si="11"/>
        <v>32.846998987999996</v>
      </c>
      <c r="S45" s="85">
        <f>SUM(S46:S51)</f>
        <v>32.37489214499999</v>
      </c>
      <c r="T45" s="94">
        <f>SUM(T46:T51)</f>
        <v>28.405998996999998</v>
      </c>
      <c r="U45" s="94">
        <f>SUM(U46:U51)</f>
        <v>25.716212429399999</v>
      </c>
      <c r="V45" s="94">
        <f>SUM(V46:V51)</f>
        <v>22.8443940011</v>
      </c>
      <c r="W45" s="94">
        <f>SUM(W46:W51)</f>
        <v>21.196441185899999</v>
      </c>
      <c r="X45" s="3"/>
      <c r="Z45" s="197" t="s">
        <v>459</v>
      </c>
      <c r="AA45" s="16">
        <f>SUM(I47,I49:I51)</f>
        <v>10.425269618700002</v>
      </c>
      <c r="AB45" s="16">
        <f>S47+SUM(S49:S51)</f>
        <v>19.117683861999993</v>
      </c>
      <c r="AC45" s="86">
        <f>W47+SUM(W49:W51)</f>
        <v>16.6972256719</v>
      </c>
    </row>
    <row r="46" spans="1:39" x14ac:dyDescent="0.25">
      <c r="A46" s="3"/>
      <c r="B46" s="321"/>
      <c r="C46" s="3" t="s">
        <v>13</v>
      </c>
      <c r="D46" s="3" t="s">
        <v>386</v>
      </c>
      <c r="E46" s="16">
        <f>VLOOKUP($D46,Résultats!$B$2:$AX$476,E$5,FALSE)</f>
        <v>29.611875959999999</v>
      </c>
      <c r="F46" s="16">
        <f>VLOOKUP($D46,Résultats!$B$2:$AX$476,F$5,FALSE)</f>
        <v>24.0387883</v>
      </c>
      <c r="G46" s="22">
        <f>VLOOKUP($D46,Résultats!$B$2:$AX$476,G$5,FALSE)</f>
        <v>23.607541879999999</v>
      </c>
      <c r="H46" s="16">
        <f>VLOOKUP($D46,Résultats!$B$2:$AX$476,H$5,FALSE)</f>
        <v>22.994827650000001</v>
      </c>
      <c r="I46" s="86">
        <f>VLOOKUP($D46,Résultats!$B$2:$AX$476,I$5,FALSE)</f>
        <v>22.54161375</v>
      </c>
      <c r="J46" s="22">
        <f>VLOOKUP($D46,Résultats!$B$2:$AX$476,J$5,FALSE)</f>
        <v>21.46252518</v>
      </c>
      <c r="K46" s="16">
        <f>VLOOKUP($D46,Résultats!$B$2:$AX$476,K$5,FALSE)</f>
        <v>20.529967299999999</v>
      </c>
      <c r="L46" s="16">
        <f>VLOOKUP($D46,Résultats!$B$2:$AX$476,L$5,FALSE)</f>
        <v>19.639685499999999</v>
      </c>
      <c r="M46" s="16">
        <f>VLOOKUP($D46,Résultats!$B$2:$AX$476,M$5,FALSE)</f>
        <v>17.825114209999999</v>
      </c>
      <c r="N46" s="86">
        <f>VLOOKUP($D46,Résultats!$B$2:$AX$476,N$5,FALSE)</f>
        <v>17.369117030000002</v>
      </c>
      <c r="O46" s="22">
        <f>VLOOKUP($D46,Résultats!$B$2:$AX$476,O$5,FALSE)</f>
        <v>15.89421782</v>
      </c>
      <c r="P46" s="16">
        <f>VLOOKUP($D46,Résultats!$B$2:$AX$476,P$5,FALSE)</f>
        <v>14.256762419999999</v>
      </c>
      <c r="Q46" s="16">
        <f>VLOOKUP($D46,Résultats!$B$2:$AX$476,Q$5,FALSE)</f>
        <v>12.920543800000001</v>
      </c>
      <c r="R46" s="16">
        <f>VLOOKUP($D46,Résultats!$B$2:$AX$476,R$5,FALSE)</f>
        <v>11.714748030000001</v>
      </c>
      <c r="S46" s="86">
        <f>VLOOKUP($D46,Résultats!$B$2:$AX$476,S$5,FALSE)</f>
        <v>10.50124293</v>
      </c>
      <c r="T46" s="95">
        <f>VLOOKUP($D46,Résultats!$B$2:$AX$476,T$5,FALSE)</f>
        <v>5.8370640199999997</v>
      </c>
      <c r="U46" s="95">
        <f>VLOOKUP($D46,Résultats!$B$2:$AX$476,U$5,FALSE)</f>
        <v>1.211390231</v>
      </c>
      <c r="V46" s="95">
        <f>VLOOKUP($D46,Résultats!$B$2:$AX$476,V$5,FALSE)</f>
        <v>0.90458339070000005</v>
      </c>
      <c r="W46" s="95">
        <f>VLOOKUP($D46,Résultats!$B$2:$AX$476,W$5,FALSE)</f>
        <v>0.25563481300000002</v>
      </c>
      <c r="X46" s="45">
        <f>W46-'[1]Cibles THREEME'!$AJ17</f>
        <v>-1.1414249976217756</v>
      </c>
      <c r="Z46" s="197" t="s">
        <v>460</v>
      </c>
      <c r="AA46" s="16">
        <f>I46+I48</f>
        <v>23.2254688475</v>
      </c>
      <c r="AB46" s="16">
        <f>S46+S48</f>
        <v>13.257208283000001</v>
      </c>
      <c r="AC46" s="86">
        <f>W46+W48</f>
        <v>4.4992155140000003</v>
      </c>
    </row>
    <row r="47" spans="1:39" x14ac:dyDescent="0.25">
      <c r="A47" s="3"/>
      <c r="B47" s="321"/>
      <c r="C47" s="3" t="s">
        <v>14</v>
      </c>
      <c r="D47" s="3" t="s">
        <v>387</v>
      </c>
      <c r="E47" s="16">
        <f>VLOOKUP($D47,Résultats!$B$2:$AX$476,E$5,FALSE)</f>
        <v>1.3861615430000001</v>
      </c>
      <c r="F47" s="16">
        <f>VLOOKUP($D47,Résultats!$B$2:$AX$476,F$5,FALSE)</f>
        <v>6.3033491110000002</v>
      </c>
      <c r="G47" s="22">
        <f>VLOOKUP($D47,Résultats!$B$2:$AX$476,G$5,FALSE)</f>
        <v>6.4873951209999996</v>
      </c>
      <c r="H47" s="16">
        <f>VLOOKUP($D47,Résultats!$B$2:$AX$476,H$5,FALSE)</f>
        <v>6.4168380249999997</v>
      </c>
      <c r="I47" s="86">
        <f>VLOOKUP($D47,Résultats!$B$2:$AX$476,I$5,FALSE)</f>
        <v>6.3869276130000001</v>
      </c>
      <c r="J47" s="22">
        <f>VLOOKUP($D47,Résultats!$B$2:$AX$476,J$5,FALSE)</f>
        <v>6.5051517609999996</v>
      </c>
      <c r="K47" s="16">
        <f>VLOOKUP($D47,Résultats!$B$2:$AX$476,K$5,FALSE)</f>
        <v>6.674769586</v>
      </c>
      <c r="L47" s="16">
        <f>VLOOKUP($D47,Résultats!$B$2:$AX$476,L$5,FALSE)</f>
        <v>6.8708641200000002</v>
      </c>
      <c r="M47" s="16">
        <f>VLOOKUP($D47,Résultats!$B$2:$AX$476,M$5,FALSE)</f>
        <v>5.5194291040000003</v>
      </c>
      <c r="N47" s="86">
        <f>VLOOKUP($D47,Résultats!$B$2:$AX$476,N$5,FALSE)</f>
        <v>5.5825738139999999</v>
      </c>
      <c r="O47" s="22">
        <f>VLOOKUP($D47,Résultats!$B$2:$AX$476,O$5,FALSE)</f>
        <v>6.3027982280000003</v>
      </c>
      <c r="P47" s="16">
        <f>VLOOKUP($D47,Résultats!$B$2:$AX$476,P$5,FALSE)</f>
        <v>6.9169710719999999</v>
      </c>
      <c r="Q47" s="16">
        <f>VLOOKUP($D47,Résultats!$B$2:$AX$476,Q$5,FALSE)</f>
        <v>7.0856878679999999</v>
      </c>
      <c r="R47" s="16">
        <f>VLOOKUP($D47,Résultats!$B$2:$AX$476,R$5,FALSE)</f>
        <v>7.2153321330000004</v>
      </c>
      <c r="S47" s="86">
        <f>VLOOKUP($D47,Résultats!$B$2:$AX$476,S$5,FALSE)</f>
        <v>7.3195020169999996</v>
      </c>
      <c r="T47" s="95">
        <f>VLOOKUP($D47,Résultats!$B$2:$AX$476,T$5,FALSE)</f>
        <v>7.2872205389999998</v>
      </c>
      <c r="U47" s="95">
        <f>VLOOKUP($D47,Résultats!$B$2:$AX$476,U$5,FALSE)</f>
        <v>7.3723958420000004</v>
      </c>
      <c r="V47" s="95">
        <f>VLOOKUP($D47,Résultats!$B$2:$AX$476,V$5,FALSE)</f>
        <v>5.9389252729999997</v>
      </c>
      <c r="W47" s="95">
        <f>VLOOKUP($D47,Résultats!$B$2:$AX$476,W$5,FALSE)</f>
        <v>4.7109040950000001</v>
      </c>
      <c r="X47" s="45">
        <f>W47-'[1]Cibles THREEME'!$AJ18</f>
        <v>-5.7217487065308781</v>
      </c>
      <c r="Z47" s="197" t="s">
        <v>461</v>
      </c>
      <c r="AA47" s="16">
        <f>I33</f>
        <v>52.293378851</v>
      </c>
      <c r="AB47" s="16">
        <f>S33</f>
        <v>42.704749002999996</v>
      </c>
      <c r="AC47" s="86">
        <f>W33</f>
        <v>18.584274893</v>
      </c>
    </row>
    <row r="48" spans="1:39" x14ac:dyDescent="0.25">
      <c r="A48" s="3"/>
      <c r="B48" s="321"/>
      <c r="C48" s="3" t="s">
        <v>15</v>
      </c>
      <c r="D48" s="3" t="s">
        <v>388</v>
      </c>
      <c r="E48" s="16">
        <f>VLOOKUP($D48,Résultats!$B$2:$AX$476,E$5,FALSE)</f>
        <v>0.41865197459999998</v>
      </c>
      <c r="F48" s="16">
        <f>VLOOKUP($D48,Résultats!$B$2:$AX$476,F$5,FALSE)</f>
        <v>0.44707026979999998</v>
      </c>
      <c r="G48" s="22">
        <f>VLOOKUP($D48,Résultats!$B$2:$AX$476,G$5,FALSE)</f>
        <v>0.60417910470000002</v>
      </c>
      <c r="H48" s="16">
        <f>VLOOKUP($D48,Résultats!$B$2:$AX$476,H$5,FALSE)</f>
        <v>0.64286092890000002</v>
      </c>
      <c r="I48" s="86">
        <f>VLOOKUP($D48,Résultats!$B$2:$AX$476,I$5,FALSE)</f>
        <v>0.68385509749999995</v>
      </c>
      <c r="J48" s="22">
        <f>VLOOKUP($D48,Résultats!$B$2:$AX$476,J$5,FALSE)</f>
        <v>0.87643524429999997</v>
      </c>
      <c r="K48" s="16">
        <f>VLOOKUP($D48,Résultats!$B$2:$AX$476,K$5,FALSE)</f>
        <v>1.0787091559999999</v>
      </c>
      <c r="L48" s="16">
        <f>VLOOKUP($D48,Résultats!$B$2:$AX$476,L$5,FALSE)</f>
        <v>1.28997059</v>
      </c>
      <c r="M48" s="16">
        <f>VLOOKUP($D48,Résultats!$B$2:$AX$476,M$5,FALSE)</f>
        <v>1.2116483659999999</v>
      </c>
      <c r="N48" s="86">
        <f>VLOOKUP($D48,Résultats!$B$2:$AX$476,N$5,FALSE)</f>
        <v>1.3053340659999999</v>
      </c>
      <c r="O48" s="22">
        <f>VLOOKUP($D48,Résultats!$B$2:$AX$476,O$5,FALSE)</f>
        <v>1.632812457</v>
      </c>
      <c r="P48" s="16">
        <f>VLOOKUP($D48,Résultats!$B$2:$AX$476,P$5,FALSE)</f>
        <v>1.924994044</v>
      </c>
      <c r="Q48" s="16">
        <f>VLOOKUP($D48,Résultats!$B$2:$AX$476,Q$5,FALSE)</f>
        <v>2.2288610160000002</v>
      </c>
      <c r="R48" s="16">
        <f>VLOOKUP($D48,Résultats!$B$2:$AX$476,R$5,FALSE)</f>
        <v>2.5027611090000002</v>
      </c>
      <c r="S48" s="86">
        <f>VLOOKUP($D48,Résultats!$B$2:$AX$476,S$5,FALSE)</f>
        <v>2.7559653530000001</v>
      </c>
      <c r="T48" s="95">
        <f>VLOOKUP($D48,Résultats!$B$2:$AX$476,T$5,FALSE)</f>
        <v>2.9356524469999998</v>
      </c>
      <c r="U48" s="95">
        <f>VLOOKUP($D48,Résultats!$B$2:$AX$476,U$5,FALSE)</f>
        <v>3.838198657</v>
      </c>
      <c r="V48" s="95">
        <f>VLOOKUP($D48,Résultats!$B$2:$AX$476,V$5,FALSE)</f>
        <v>3.5391923350000001</v>
      </c>
      <c r="W48" s="95">
        <f>VLOOKUP($D48,Résultats!$B$2:$AX$476,W$5,FALSE)</f>
        <v>4.243580701</v>
      </c>
      <c r="X48" s="45">
        <f>W48-'[1]Cibles THREEME'!$AJ19</f>
        <v>-8.0575043385072185</v>
      </c>
      <c r="Z48" s="198" t="s">
        <v>42</v>
      </c>
      <c r="AA48" s="17">
        <f>I52</f>
        <v>1.74017497</v>
      </c>
      <c r="AB48" s="17">
        <f>S52</f>
        <v>0.5517053972</v>
      </c>
      <c r="AC48" s="89">
        <f>W52</f>
        <v>0.1095811738</v>
      </c>
    </row>
    <row r="49" spans="1:29" x14ac:dyDescent="0.25">
      <c r="A49" s="3"/>
      <c r="B49" s="321"/>
      <c r="C49" s="3" t="s">
        <v>16</v>
      </c>
      <c r="D49" s="3" t="s">
        <v>389</v>
      </c>
      <c r="E49" s="16">
        <f>VLOOKUP($D49,Résultats!$B$2:$AX$476,E$5,FALSE)</f>
        <v>0.51287977090000003</v>
      </c>
      <c r="F49" s="16">
        <f>VLOOKUP($D49,Résultats!$B$2:$AX$476,F$5,FALSE)</f>
        <v>0.44707026979999998</v>
      </c>
      <c r="G49" s="22">
        <f>VLOOKUP($D49,Résultats!$B$2:$AX$476,G$5,FALSE)</f>
        <v>0.96760160650000004</v>
      </c>
      <c r="H49" s="16">
        <f>VLOOKUP($D49,Résultats!$B$2:$AX$476,H$5,FALSE)</f>
        <v>1.116494836</v>
      </c>
      <c r="I49" s="86">
        <f>VLOOKUP($D49,Résultats!$B$2:$AX$476,I$5,FALSE)</f>
        <v>1.266261012</v>
      </c>
      <c r="J49" s="22">
        <f>VLOOKUP($D49,Résultats!$B$2:$AX$476,J$5,FALSE)</f>
        <v>1.307469226</v>
      </c>
      <c r="K49" s="16">
        <f>VLOOKUP($D49,Résultats!$B$2:$AX$476,K$5,FALSE)</f>
        <v>1.359280568</v>
      </c>
      <c r="L49" s="16">
        <f>VLOOKUP($D49,Résultats!$B$2:$AX$476,L$5,FALSE)</f>
        <v>1.416948777</v>
      </c>
      <c r="M49" s="16">
        <f>VLOOKUP($D49,Résultats!$B$2:$AX$476,M$5,FALSE)</f>
        <v>1.0626419680000001</v>
      </c>
      <c r="N49" s="86">
        <f>VLOOKUP($D49,Résultats!$B$2:$AX$476,N$5,FALSE)</f>
        <v>0.90124406069999996</v>
      </c>
      <c r="O49" s="22">
        <f>VLOOKUP($D49,Résultats!$B$2:$AX$476,O$5,FALSE)</f>
        <v>0.97104428929999997</v>
      </c>
      <c r="P49" s="16">
        <f>VLOOKUP($D49,Résultats!$B$2:$AX$476,P$5,FALSE)</f>
        <v>1.0251013929999999</v>
      </c>
      <c r="Q49" s="16">
        <f>VLOOKUP($D49,Résultats!$B$2:$AX$476,Q$5,FALSE)</f>
        <v>1.092188707</v>
      </c>
      <c r="R49" s="16">
        <f>VLOOKUP($D49,Résultats!$B$2:$AX$476,R$5,FALSE)</f>
        <v>1.1885279980000001</v>
      </c>
      <c r="S49" s="86">
        <f>VLOOKUP($D49,Résultats!$B$2:$AX$476,S$5,FALSE)</f>
        <v>1.2762778560000001</v>
      </c>
      <c r="T49" s="95">
        <f>VLOOKUP($D49,Résultats!$B$2:$AX$476,T$5,FALSE)</f>
        <v>1.10388811</v>
      </c>
      <c r="U49" s="95">
        <f>VLOOKUP($D49,Résultats!$B$2:$AX$476,U$5,FALSE)</f>
        <v>0.86594584939999997</v>
      </c>
      <c r="V49" s="95">
        <f>VLOOKUP($D49,Résultats!$B$2:$AX$476,V$5,FALSE)</f>
        <v>0.62858492939999999</v>
      </c>
      <c r="W49" s="95">
        <f>VLOOKUP($D49,Résultats!$B$2:$AX$476,W$5,FALSE)</f>
        <v>0.44173371690000002</v>
      </c>
      <c r="X49" s="45">
        <f>W49-'[1]Cibles THREEME'!$AJ20</f>
        <v>-0.25739601821411423</v>
      </c>
      <c r="Z49" s="189" t="s">
        <v>485</v>
      </c>
      <c r="AA49" s="189">
        <f>SUM(AA44:AA48)</f>
        <v>120.383113892</v>
      </c>
      <c r="AB49" s="189">
        <f t="shared" ref="AB49:AC49" si="12">SUM(AB44:AB48)</f>
        <v>111.9688220531</v>
      </c>
      <c r="AC49" s="189">
        <f t="shared" si="12"/>
        <v>87.314435818800007</v>
      </c>
    </row>
    <row r="50" spans="1:29" x14ac:dyDescent="0.25">
      <c r="A50" s="3"/>
      <c r="B50" s="321"/>
      <c r="C50" s="3" t="s">
        <v>17</v>
      </c>
      <c r="D50" s="3" t="s">
        <v>390</v>
      </c>
      <c r="E50" s="16">
        <f>VLOOKUP($D50,Résultats!$B$2:$AX$476,E$5,FALSE)</f>
        <v>0.41865197459999998</v>
      </c>
      <c r="F50" s="16">
        <f>VLOOKUP($D50,Résultats!$B$2:$AX$476,F$5,FALSE)</f>
        <v>0.44707026979999998</v>
      </c>
      <c r="G50" s="22">
        <f>VLOOKUP($D50,Résultats!$B$2:$AX$476,G$5,FALSE)</f>
        <v>0.52995705950000005</v>
      </c>
      <c r="H50" s="16">
        <f>VLOOKUP($D50,Résultats!$B$2:$AX$476,H$5,FALSE)</f>
        <v>0.5461303274</v>
      </c>
      <c r="I50" s="86">
        <f>VLOOKUP($D50,Résultats!$B$2:$AX$476,I$5,FALSE)</f>
        <v>0.56490990870000002</v>
      </c>
      <c r="J50" s="22">
        <f>VLOOKUP($D50,Résultats!$B$2:$AX$476,J$5,FALSE)</f>
        <v>0.61930171209999996</v>
      </c>
      <c r="K50" s="16">
        <f>VLOOKUP($D50,Résultats!$B$2:$AX$476,K$5,FALSE)</f>
        <v>0.67926257349999997</v>
      </c>
      <c r="L50" s="16">
        <f>VLOOKUP($D50,Résultats!$B$2:$AX$476,L$5,FALSE)</f>
        <v>0.74306765519999995</v>
      </c>
      <c r="M50" s="16">
        <f>VLOOKUP($D50,Résultats!$B$2:$AX$476,M$5,FALSE)</f>
        <v>0.79282362760000002</v>
      </c>
      <c r="N50" s="86">
        <f>VLOOKUP($D50,Résultats!$B$2:$AX$476,N$5,FALSE)</f>
        <v>0.95215375099999999</v>
      </c>
      <c r="O50" s="22">
        <f>VLOOKUP($D50,Résultats!$B$2:$AX$476,O$5,FALSE)</f>
        <v>1.0524602510000001</v>
      </c>
      <c r="P50" s="16">
        <f>VLOOKUP($D50,Résultats!$B$2:$AX$476,P$5,FALSE)</f>
        <v>1.1354738040000001</v>
      </c>
      <c r="Q50" s="16">
        <f>VLOOKUP($D50,Résultats!$B$2:$AX$476,Q$5,FALSE)</f>
        <v>1.228076781</v>
      </c>
      <c r="R50" s="16">
        <f>VLOOKUP($D50,Résultats!$B$2:$AX$476,R$5,FALSE)</f>
        <v>1.3268597360000001</v>
      </c>
      <c r="S50" s="86">
        <f>VLOOKUP($D50,Résultats!$B$2:$AX$476,S$5,FALSE)</f>
        <v>1.4171309299999999</v>
      </c>
      <c r="T50" s="95">
        <f>VLOOKUP($D50,Résultats!$B$2:$AX$476,T$5,FALSE)</f>
        <v>1.717577546</v>
      </c>
      <c r="U50" s="95">
        <f>VLOOKUP($D50,Résultats!$B$2:$AX$476,U$5,FALSE)</f>
        <v>1.9448959100000001</v>
      </c>
      <c r="V50" s="95">
        <f>VLOOKUP($D50,Résultats!$B$2:$AX$476,V$5,FALSE)</f>
        <v>1.684887603</v>
      </c>
      <c r="W50" s="95">
        <f>VLOOKUP($D50,Résultats!$B$2:$AX$476,W$5,FALSE)</f>
        <v>1.609202303</v>
      </c>
      <c r="X50" s="45">
        <f>W50-'[1]Cibles THREEME'!$AJ21</f>
        <v>0.66623843297594965</v>
      </c>
    </row>
    <row r="51" spans="1:29" x14ac:dyDescent="0.25">
      <c r="A51" s="3"/>
      <c r="B51" s="322"/>
      <c r="C51" s="7" t="s">
        <v>12</v>
      </c>
      <c r="D51" s="3" t="s">
        <v>391</v>
      </c>
      <c r="E51" s="17">
        <f>VLOOKUP($D51,Résultats!$B$2:$AX$476,E$5,FALSE)</f>
        <v>0.41865197459999998</v>
      </c>
      <c r="F51" s="17">
        <f>VLOOKUP($D51,Résultats!$B$2:$AX$476,F$5,FALSE)</f>
        <v>3.4269209869999999</v>
      </c>
      <c r="G51" s="88">
        <f>VLOOKUP($D51,Résultats!$B$2:$AX$476,G$5,FALSE)</f>
        <v>2.7375002620000002</v>
      </c>
      <c r="H51" s="17">
        <f>VLOOKUP($D51,Résultats!$B$2:$AX$476,H$5,FALSE)</f>
        <v>2.4597231129999999</v>
      </c>
      <c r="I51" s="89">
        <f>VLOOKUP($D51,Résultats!$B$2:$AX$476,I$5,FALSE)</f>
        <v>2.2071710850000001</v>
      </c>
      <c r="J51" s="88">
        <f>VLOOKUP($D51,Résultats!$B$2:$AX$476,J$5,FALSE)</f>
        <v>2.6196316159999999</v>
      </c>
      <c r="K51" s="17">
        <f>VLOOKUP($D51,Résultats!$B$2:$AX$476,K$5,FALSE)</f>
        <v>3.0585085310000002</v>
      </c>
      <c r="L51" s="17">
        <f>VLOOKUP($D51,Résultats!$B$2:$AX$476,L$5,FALSE)</f>
        <v>3.519242636</v>
      </c>
      <c r="M51" s="17">
        <f>VLOOKUP($D51,Résultats!$B$2:$AX$476,M$5,FALSE)</f>
        <v>6.9504743309999997</v>
      </c>
      <c r="N51" s="89">
        <f>VLOOKUP($D51,Résultats!$B$2:$AX$476,N$5,FALSE)</f>
        <v>7.6466942710000003</v>
      </c>
      <c r="O51" s="88">
        <f>VLOOKUP($D51,Résultats!$B$2:$AX$476,O$5,FALSE)</f>
        <v>8.0239851959999999</v>
      </c>
      <c r="P51" s="17">
        <f>VLOOKUP($D51,Résultats!$B$2:$AX$476,P$5,FALSE)</f>
        <v>8.2759277900000008</v>
      </c>
      <c r="Q51" s="17">
        <f>VLOOKUP($D51,Résultats!$B$2:$AX$476,Q$5,FALSE)</f>
        <v>8.6457600960000001</v>
      </c>
      <c r="R51" s="17">
        <f>VLOOKUP($D51,Résultats!$B$2:$AX$476,R$5,FALSE)</f>
        <v>8.8987699819999904</v>
      </c>
      <c r="S51" s="89">
        <f>VLOOKUP($D51,Résultats!$B$2:$AX$476,S$5,FALSE)</f>
        <v>9.1047730589999905</v>
      </c>
      <c r="T51" s="97">
        <f>VLOOKUP($D51,Résultats!$B$2:$AX$476,T$5,FALSE)</f>
        <v>9.524596335</v>
      </c>
      <c r="U51" s="97">
        <f>VLOOKUP($D51,Résultats!$B$2:$AX$476,U$5,FALSE)</f>
        <v>10.48338594</v>
      </c>
      <c r="V51" s="97">
        <f>VLOOKUP($D51,Résultats!$B$2:$AX$476,V$5,FALSE)</f>
        <v>10.14822047</v>
      </c>
      <c r="W51" s="97">
        <f>VLOOKUP($D51,Résultats!$B$2:$AX$476,W$5,FALSE)</f>
        <v>9.935385557</v>
      </c>
      <c r="X51" s="45">
        <f>W51-'[1]Cibles THREEME'!$AJ22</f>
        <v>3.1740651654675913</v>
      </c>
    </row>
    <row r="52" spans="1:29" x14ac:dyDescent="0.25">
      <c r="A52" s="3"/>
      <c r="B52" s="170" t="s">
        <v>8</v>
      </c>
      <c r="C52" s="2"/>
      <c r="D52" s="14" t="s">
        <v>392</v>
      </c>
      <c r="E52" s="6">
        <f>VLOOKUP($D52,Résultats!$B$2:$AX$476,E$5,FALSE)</f>
        <v>4.7606703819999998</v>
      </c>
      <c r="F52" s="6">
        <f>VLOOKUP($D52,Résultats!$B$2:$AX$476,F$5,FALSE)</f>
        <v>3.5884926780000002</v>
      </c>
      <c r="G52" s="84">
        <f>VLOOKUP($D52,Résultats!$B$2:$AX$476,G$5,FALSE)</f>
        <v>2.0998347380000002</v>
      </c>
      <c r="H52" s="6">
        <f>VLOOKUP($D52,Résultats!$B$2:$AX$476,H$5,FALSE)</f>
        <v>1.9136969559999999</v>
      </c>
      <c r="I52" s="85">
        <f>VLOOKUP($D52,Résultats!$B$2:$AX$476,I$5,FALSE)</f>
        <v>1.74017497</v>
      </c>
      <c r="J52" s="84">
        <f>VLOOKUP($D52,Résultats!$B$2:$AX$476,J$5,FALSE)</f>
        <v>1.7058610919999999</v>
      </c>
      <c r="K52" s="6">
        <f>VLOOKUP($D52,Résultats!$B$2:$AX$476,K$5,FALSE)</f>
        <v>1.690692732</v>
      </c>
      <c r="L52" s="6">
        <f>VLOOKUP($D52,Résultats!$B$2:$AX$476,L$5,FALSE)</f>
        <v>1.6899967229999999</v>
      </c>
      <c r="M52" s="6">
        <f>VLOOKUP($D52,Résultats!$B$2:$AX$476,M$5,FALSE)</f>
        <v>1.6116966740000001</v>
      </c>
      <c r="N52" s="85">
        <f>VLOOKUP($D52,Résultats!$B$2:$AX$476,N$5,FALSE)</f>
        <v>1.297990625</v>
      </c>
      <c r="O52" s="84">
        <f>VLOOKUP($D52,Résultats!$B$2:$AX$476,O$5,FALSE)</f>
        <v>1.07322947</v>
      </c>
      <c r="P52" s="6">
        <f>VLOOKUP($D52,Résultats!$B$2:$AX$476,P$5,FALSE)</f>
        <v>0.89710689079999995</v>
      </c>
      <c r="Q52" s="6">
        <f>VLOOKUP($D52,Résultats!$B$2:$AX$476,Q$5,FALSE)</f>
        <v>0.75564669220000003</v>
      </c>
      <c r="R52" s="6">
        <f>VLOOKUP($D52,Résultats!$B$2:$AX$476,R$5,FALSE)</f>
        <v>0.64252412550000004</v>
      </c>
      <c r="S52" s="85">
        <f>VLOOKUP($D52,Résultats!$B$2:$AX$476,S$5,FALSE)</f>
        <v>0.5517053972</v>
      </c>
      <c r="T52" s="94">
        <f>VLOOKUP($D52,Résultats!$B$2:$AX$476,T$5,FALSE)</f>
        <v>0.25933823680000001</v>
      </c>
      <c r="U52" s="94">
        <f>VLOOKUP($D52,Résultats!$B$2:$AX$476,U$5,FALSE)</f>
        <v>0.14310809999999999</v>
      </c>
      <c r="V52" s="94">
        <f>VLOOKUP($D52,Résultats!$B$2:$AX$476,V$5,FALSE)</f>
        <v>0.1216680057</v>
      </c>
      <c r="W52" s="94">
        <f>VLOOKUP($D52,Résultats!$B$2:$AX$476,W$5,FALSE)</f>
        <v>0.1095811738</v>
      </c>
      <c r="X52" s="3"/>
    </row>
    <row r="53" spans="1:29" x14ac:dyDescent="0.25">
      <c r="A53" s="3"/>
      <c r="B53" s="169" t="s">
        <v>1</v>
      </c>
      <c r="C53" s="2"/>
      <c r="D53" s="2" t="s">
        <v>393</v>
      </c>
      <c r="E53" s="9">
        <f>E52+E45+E36+E33</f>
        <v>138.46922011269987</v>
      </c>
      <c r="F53" s="9">
        <f>F52+F45+F36+F33</f>
        <v>132.62585142400002</v>
      </c>
      <c r="G53" s="23">
        <f t="shared" ref="G53:R53" si="13">G52+G45+G36+G33</f>
        <v>125.49920562829999</v>
      </c>
      <c r="H53" s="9">
        <f t="shared" si="13"/>
        <v>122.8233190341</v>
      </c>
      <c r="I53" s="90">
        <f t="shared" si="13"/>
        <v>120.383113892</v>
      </c>
      <c r="J53" s="23">
        <f t="shared" si="13"/>
        <v>120.28635714790001</v>
      </c>
      <c r="K53" s="9">
        <f t="shared" si="13"/>
        <v>120.47122942589999</v>
      </c>
      <c r="L53" s="9">
        <f t="shared" si="13"/>
        <v>120.99513879090001</v>
      </c>
      <c r="M53" s="9">
        <f t="shared" si="13"/>
        <v>121.5337922937</v>
      </c>
      <c r="N53" s="90">
        <f t="shared" si="13"/>
        <v>120.5448508538</v>
      </c>
      <c r="O53" s="23">
        <f t="shared" si="13"/>
        <v>119.2259718473</v>
      </c>
      <c r="P53" s="9">
        <f t="shared" si="13"/>
        <v>117.46895132159999</v>
      </c>
      <c r="Q53" s="9">
        <f t="shared" si="13"/>
        <v>115.756311337</v>
      </c>
      <c r="R53" s="9">
        <f t="shared" si="13"/>
        <v>113.92498902669999</v>
      </c>
      <c r="S53" s="90">
        <f>S52+S45+S36+S33</f>
        <v>111.96882205309998</v>
      </c>
      <c r="T53" s="98">
        <f>T52+T45+T36+T33</f>
        <v>102.3769268895</v>
      </c>
      <c r="U53" s="98">
        <f>U52+U45+U36+U33</f>
        <v>93.850219412199991</v>
      </c>
      <c r="V53" s="98">
        <f>V52+V45+V36+V33</f>
        <v>89.697095246399982</v>
      </c>
      <c r="W53" s="98">
        <f>W52+W45+W36+W33</f>
        <v>87.314435818800007</v>
      </c>
      <c r="X53" s="3"/>
    </row>
    <row r="54" spans="1:29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9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9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9" s="3" customFormat="1" x14ac:dyDescent="0.25"/>
    <row r="58" spans="1:29" s="3" customFormat="1" x14ac:dyDescent="0.25"/>
    <row r="59" spans="1:29" s="3" customFormat="1" x14ac:dyDescent="0.25"/>
    <row r="60" spans="1:29" s="3" customFormat="1" x14ac:dyDescent="0.25"/>
    <row r="61" spans="1:29" s="3" customFormat="1" x14ac:dyDescent="0.25"/>
    <row r="62" spans="1:29" s="3" customFormat="1" x14ac:dyDescent="0.25"/>
    <row r="63" spans="1:29" s="3" customFormat="1" x14ac:dyDescent="0.25"/>
    <row r="64" spans="1:29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0070C0"/>
  </sheetPr>
  <dimension ref="A1:AE860"/>
  <sheetViews>
    <sheetView tabSelected="1" topLeftCell="C94" zoomScale="70" zoomScaleNormal="70" workbookViewId="0">
      <selection activeCell="T15" sqref="T15"/>
    </sheetView>
  </sheetViews>
  <sheetFormatPr baseColWidth="10" defaultRowHeight="15" x14ac:dyDescent="0.25"/>
  <cols>
    <col min="1" max="2" width="11.42578125" style="3"/>
    <col min="3" max="3" width="37.28515625" customWidth="1"/>
    <col min="4" max="4" width="25.2851562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2" width="11.42578125" customWidth="1"/>
    <col min="14" max="14" width="24.85546875" style="3" customWidth="1"/>
    <col min="20" max="20" width="11.42578125" style="3"/>
    <col min="21" max="21" width="37.28515625" customWidth="1"/>
    <col min="22" max="22" width="25.2851562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31" max="31" width="11.42578125" style="3"/>
  </cols>
  <sheetData>
    <row r="1" spans="1:30" ht="28.5" x14ac:dyDescent="0.45">
      <c r="A1" s="171" t="s">
        <v>98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41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61" t="str">
        <f>Résultats!B1</f>
        <v>SNBC3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41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41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42"/>
      <c r="C6" s="42"/>
      <c r="D6" s="42"/>
      <c r="E6" s="42"/>
      <c r="F6" s="42"/>
      <c r="G6" s="42"/>
      <c r="H6" s="42"/>
      <c r="I6" s="42"/>
      <c r="J6" s="3"/>
      <c r="K6" s="3"/>
      <c r="M6" s="3"/>
      <c r="O6" s="3"/>
      <c r="P6" s="3"/>
      <c r="Q6" s="3"/>
      <c r="R6" s="41"/>
      <c r="S6" s="41"/>
      <c r="T6" s="42"/>
      <c r="U6" s="42"/>
      <c r="V6" s="42"/>
      <c r="W6" s="42"/>
      <c r="X6" s="42"/>
      <c r="Y6" s="42"/>
      <c r="Z6" s="42"/>
      <c r="AA6" s="42"/>
      <c r="AB6" s="3"/>
      <c r="AC6" s="3"/>
    </row>
    <row r="7" spans="1:30" ht="18.75" x14ac:dyDescent="0.3">
      <c r="C7" s="41" t="s">
        <v>83</v>
      </c>
      <c r="I7" s="3"/>
      <c r="J7" s="3"/>
      <c r="K7" s="3"/>
      <c r="L7" s="3"/>
      <c r="M7" s="3"/>
      <c r="N7" s="41" t="s">
        <v>84</v>
      </c>
      <c r="O7" s="3"/>
      <c r="P7" s="3"/>
      <c r="Q7" s="3"/>
      <c r="R7" s="3"/>
      <c r="S7" s="3"/>
      <c r="U7" s="41" t="s">
        <v>83</v>
      </c>
      <c r="AA7" s="3"/>
      <c r="AB7" s="3"/>
      <c r="AC7" s="3"/>
      <c r="AD7" s="3"/>
    </row>
    <row r="8" spans="1:30" ht="23.25" x14ac:dyDescent="0.35">
      <c r="B8" s="46"/>
      <c r="C8" s="42" t="s">
        <v>50</v>
      </c>
      <c r="D8" s="3"/>
      <c r="E8" s="42"/>
      <c r="F8" s="42"/>
      <c r="G8" s="42"/>
      <c r="H8" s="42"/>
      <c r="I8" s="42"/>
      <c r="J8" s="42"/>
      <c r="K8" s="42"/>
      <c r="L8" s="3"/>
      <c r="M8" s="3"/>
      <c r="N8" t="s">
        <v>85</v>
      </c>
      <c r="U8" s="42" t="s">
        <v>50</v>
      </c>
      <c r="V8" s="3"/>
      <c r="W8" s="42"/>
      <c r="X8" s="42"/>
      <c r="Y8" s="42"/>
      <c r="Z8" s="42"/>
      <c r="AA8" s="42"/>
      <c r="AB8" s="42"/>
      <c r="AC8" s="42"/>
      <c r="AD8" s="3"/>
    </row>
    <row r="9" spans="1:30" x14ac:dyDescent="0.25">
      <c r="B9" s="42"/>
      <c r="C9" s="3"/>
      <c r="D9" s="3"/>
      <c r="E9" s="3"/>
      <c r="F9" s="3"/>
      <c r="G9" s="3"/>
      <c r="H9" s="42"/>
      <c r="I9" s="42"/>
      <c r="J9" s="42"/>
      <c r="K9" s="42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42"/>
      <c r="AA9" s="42"/>
      <c r="AB9" s="42"/>
      <c r="AC9" s="42"/>
      <c r="AD9" s="3"/>
    </row>
    <row r="10" spans="1:30" ht="31.5" x14ac:dyDescent="0.35">
      <c r="B10" s="42"/>
      <c r="C10" s="145">
        <v>2015</v>
      </c>
      <c r="D10" s="146"/>
      <c r="E10" s="146"/>
      <c r="F10" s="146"/>
      <c r="G10" s="146"/>
      <c r="H10" s="76" t="s">
        <v>36</v>
      </c>
      <c r="I10" s="76" t="s">
        <v>49</v>
      </c>
      <c r="J10" s="76" t="s">
        <v>38</v>
      </c>
      <c r="K10" s="76" t="s">
        <v>48</v>
      </c>
      <c r="L10" s="93" t="s">
        <v>1</v>
      </c>
      <c r="M10" s="19"/>
      <c r="N10" s="145">
        <v>2015</v>
      </c>
      <c r="O10" s="141" t="s">
        <v>36</v>
      </c>
      <c r="P10" s="76" t="s">
        <v>49</v>
      </c>
      <c r="Q10" s="76" t="s">
        <v>38</v>
      </c>
      <c r="R10" s="76" t="s">
        <v>48</v>
      </c>
      <c r="S10" s="93" t="s">
        <v>1</v>
      </c>
      <c r="T10" s="317" t="s">
        <v>543</v>
      </c>
      <c r="U10" s="145">
        <v>2015</v>
      </c>
      <c r="V10" s="146"/>
      <c r="W10" s="146"/>
      <c r="X10" s="146"/>
      <c r="Y10" s="146"/>
      <c r="Z10" s="76" t="s">
        <v>36</v>
      </c>
      <c r="AA10" s="76" t="s">
        <v>49</v>
      </c>
      <c r="AB10" s="76" t="s">
        <v>38</v>
      </c>
      <c r="AC10" s="76" t="s">
        <v>48</v>
      </c>
      <c r="AD10" s="93" t="s">
        <v>1</v>
      </c>
    </row>
    <row r="11" spans="1:30" x14ac:dyDescent="0.25">
      <c r="C11" s="147" t="s">
        <v>18</v>
      </c>
      <c r="H11" s="8">
        <f>SUM(H12:H13)</f>
        <v>0</v>
      </c>
      <c r="I11" s="8">
        <f>SUM(I12:I13)</f>
        <v>43.137573549999999</v>
      </c>
      <c r="J11" s="8">
        <f>SUM(J12:J13)</f>
        <v>1.2923352473</v>
      </c>
      <c r="K11" s="8">
        <f>SUM(K12:K13)</f>
        <v>0.2493317746332</v>
      </c>
      <c r="L11" s="96">
        <f>SUM(H11:K11)</f>
        <v>44.6792405719332</v>
      </c>
      <c r="M11" s="75"/>
      <c r="N11" s="150" t="s">
        <v>18</v>
      </c>
      <c r="O11" s="29">
        <f>'[2]Bilan 2015'!$X$46</f>
        <v>0</v>
      </c>
      <c r="P11" s="28">
        <f>SUM('[2]Bilan 2015'!$X$41:$X$43)</f>
        <v>42.748696780825377</v>
      </c>
      <c r="Q11" s="28">
        <f>'[2]Bilan 2015'!$X$13</f>
        <v>0.94471195184866696</v>
      </c>
      <c r="R11" s="28">
        <f>('[2]Bilan 2015'!$X$22+'[2]Bilan 2015'!$X$30+SUM('[2]Bilan 2015'!$X$36:$X$40)+SUM('[2]Bilan 2015'!$X$44:$X$45)+'[2]Bilan 2015'!$X$47)</f>
        <v>7.267406707154804E-2</v>
      </c>
      <c r="S11" s="142">
        <f>SUM(O11:R11)</f>
        <v>43.76608279974559</v>
      </c>
      <c r="T11" s="318">
        <f>S11</f>
        <v>43.76608279974559</v>
      </c>
      <c r="U11" s="147" t="s">
        <v>18</v>
      </c>
      <c r="Z11" s="8">
        <v>0</v>
      </c>
      <c r="AA11" s="8">
        <v>43.355639600000003</v>
      </c>
      <c r="AB11" s="8">
        <v>1.2708550473</v>
      </c>
      <c r="AC11" s="8">
        <v>0.24541983271082998</v>
      </c>
      <c r="AD11" s="96">
        <v>44.871914480010837</v>
      </c>
    </row>
    <row r="12" spans="1:30" x14ac:dyDescent="0.25">
      <c r="C12" s="148" t="s">
        <v>19</v>
      </c>
      <c r="D12" t="s">
        <v>394</v>
      </c>
      <c r="E12" t="s">
        <v>395</v>
      </c>
      <c r="F12" t="s">
        <v>396</v>
      </c>
      <c r="G12" t="s">
        <v>397</v>
      </c>
      <c r="H12" s="16">
        <f>VLOOKUP(D12,Résultats!$B$2:$AX$476,'T energie vecteurs'!F5,FALSE)</f>
        <v>0</v>
      </c>
      <c r="I12" s="16">
        <f>VLOOKUP(E12,Résultats!$B$2:$AX$476,'T energie vecteurs'!F5,FALSE)</f>
        <v>24.178210549999999</v>
      </c>
      <c r="J12" s="16">
        <f>VLOOKUP(F12,Résultats!$B$2:$AX$476,'T energie vecteurs'!F5,FALSE)</f>
        <v>2.3864354300000001E-2</v>
      </c>
      <c r="K12" s="16">
        <f>VLOOKUP(G12,Résultats!$B$2:$AX$476,'T energie vecteurs'!F5,FALSE)</f>
        <v>1.06854332E-5</v>
      </c>
      <c r="L12" s="95">
        <f t="shared" ref="L12:L19" si="0">SUM(H12:K12)</f>
        <v>24.202085589733198</v>
      </c>
      <c r="M12" s="16"/>
      <c r="N12" s="148" t="s">
        <v>19</v>
      </c>
      <c r="O12" s="143"/>
      <c r="P12" s="16"/>
      <c r="Q12" s="34"/>
      <c r="R12" s="16"/>
      <c r="S12" s="95"/>
      <c r="T12" s="95"/>
      <c r="U12" s="148" t="s">
        <v>19</v>
      </c>
      <c r="V12" t="s">
        <v>394</v>
      </c>
      <c r="W12" t="s">
        <v>395</v>
      </c>
      <c r="X12" t="s">
        <v>396</v>
      </c>
      <c r="Y12" t="s">
        <v>397</v>
      </c>
      <c r="Z12" s="16">
        <v>0</v>
      </c>
      <c r="AA12" s="16">
        <v>24.309185230000001</v>
      </c>
      <c r="AB12" s="16">
        <v>2.30451523E-2</v>
      </c>
      <c r="AC12" s="16">
        <v>7.6120108299999998E-6</v>
      </c>
      <c r="AD12" s="95">
        <v>24.33223799431083</v>
      </c>
    </row>
    <row r="13" spans="1:30" x14ac:dyDescent="0.25">
      <c r="C13" s="149" t="s">
        <v>20</v>
      </c>
      <c r="D13" t="s">
        <v>398</v>
      </c>
      <c r="E13" t="s">
        <v>399</v>
      </c>
      <c r="F13" t="s">
        <v>400</v>
      </c>
      <c r="G13" t="s">
        <v>401</v>
      </c>
      <c r="H13" s="16">
        <f>VLOOKUP(D13,Résultats!$B$2:$AX$476,'T energie vecteurs'!F5,FALSE)</f>
        <v>0</v>
      </c>
      <c r="I13" s="16">
        <f>VLOOKUP(E13,Résultats!$B$2:$AX$476,'T energie vecteurs'!F5,FALSE)</f>
        <v>18.959363</v>
      </c>
      <c r="J13" s="16">
        <f>VLOOKUP(F13,Résultats!$B$2:$AX$476,'T energie vecteurs'!F5,FALSE)</f>
        <v>1.2684708929999999</v>
      </c>
      <c r="K13" s="16">
        <f>VLOOKUP(G13,Résultats!$B$2:$AX$476,'T energie vecteurs'!F5,FALSE)</f>
        <v>0.24932108920000001</v>
      </c>
      <c r="L13" s="95">
        <f t="shared" si="0"/>
        <v>20.477154982199998</v>
      </c>
      <c r="M13" s="16"/>
      <c r="N13" s="149" t="s">
        <v>20</v>
      </c>
      <c r="O13" s="143"/>
      <c r="P13" s="16"/>
      <c r="Q13" s="34"/>
      <c r="R13" s="16"/>
      <c r="S13" s="95"/>
      <c r="T13" s="95"/>
      <c r="U13" s="149" t="s">
        <v>20</v>
      </c>
      <c r="V13" t="s">
        <v>398</v>
      </c>
      <c r="W13" t="s">
        <v>399</v>
      </c>
      <c r="X13" t="s">
        <v>400</v>
      </c>
      <c r="Y13" t="s">
        <v>401</v>
      </c>
      <c r="Z13" s="16">
        <v>0</v>
      </c>
      <c r="AA13" s="16">
        <v>19.046454369999999</v>
      </c>
      <c r="AB13" s="16">
        <v>1.2478098950000001</v>
      </c>
      <c r="AC13" s="16">
        <v>0.24541222069999999</v>
      </c>
      <c r="AD13" s="95">
        <v>20.539676485699999</v>
      </c>
    </row>
    <row r="14" spans="1:30" x14ac:dyDescent="0.25">
      <c r="C14" s="147" t="s">
        <v>21</v>
      </c>
      <c r="D14" t="s">
        <v>402</v>
      </c>
      <c r="E14" t="s">
        <v>403</v>
      </c>
      <c r="F14" t="s">
        <v>404</v>
      </c>
      <c r="G14" t="s">
        <v>405</v>
      </c>
      <c r="H14" s="8">
        <f>VLOOKUP(D14,Résultats!$B$2:$AX$476,'T energie vecteurs'!F5,FALSE)</f>
        <v>0.33130144299999997</v>
      </c>
      <c r="I14" s="8">
        <f>VLOOKUP(E14,Résultats!$B$2:$AX$476,'T energie vecteurs'!F5,FALSE)</f>
        <v>7.2432191079999999</v>
      </c>
      <c r="J14" s="8">
        <f>VLOOKUP(F14,Résultats!$B$2:$AX$476,'T energie vecteurs'!F5,FALSE)</f>
        <v>13.749912500000001</v>
      </c>
      <c r="K14" s="8">
        <f>VLOOKUP(G14,Résultats!$B$2:$AX$476,'T energie vecteurs'!F5,FALSE)+2</f>
        <v>19.69456336</v>
      </c>
      <c r="L14" s="96">
        <f>SUM(H14:K14)</f>
        <v>41.018996411000003</v>
      </c>
      <c r="M14" s="75"/>
      <c r="N14" s="150" t="s">
        <v>21</v>
      </c>
      <c r="O14" s="29">
        <f>'[2]Bilan 2015'!$V$46</f>
        <v>3.6764196608413298E-2</v>
      </c>
      <c r="P14" s="28">
        <f>SUM('[2]Bilan 2015'!$V$41:$V$43)</f>
        <v>6.6752954110546101</v>
      </c>
      <c r="Q14" s="28">
        <f>'[2]Bilan 2015'!$V$13</f>
        <v>13.6203670581426</v>
      </c>
      <c r="R14" s="28">
        <f>('[2]Bilan 2015'!$V$22+'[2]Bilan 2015'!$V$30+SUM('[2]Bilan 2015'!$V$36:$V$40)+SUM('[2]Bilan 2015'!$V$44:$V$45)+'[2]Bilan 2015'!$V$47)</f>
        <v>21.832863706323721</v>
      </c>
      <c r="S14" s="142">
        <f>SUM(O14:R14)</f>
        <v>42.165290372129348</v>
      </c>
      <c r="T14" s="318">
        <f>S14-'[2]Bilan 2015'!$V$40</f>
        <v>39.648468942279031</v>
      </c>
      <c r="U14" s="147" t="s">
        <v>21</v>
      </c>
      <c r="V14" t="s">
        <v>402</v>
      </c>
      <c r="W14" t="s">
        <v>403</v>
      </c>
      <c r="X14" t="s">
        <v>404</v>
      </c>
      <c r="Y14" t="s">
        <v>405</v>
      </c>
      <c r="Z14" s="8">
        <v>0.33851726789999997</v>
      </c>
      <c r="AA14" s="8">
        <v>7.1809389299999999</v>
      </c>
      <c r="AB14" s="8">
        <v>13.838159299999999</v>
      </c>
      <c r="AC14" s="8">
        <v>20.478671769999998</v>
      </c>
      <c r="AD14" s="96">
        <v>41.836287267899998</v>
      </c>
    </row>
    <row r="15" spans="1:30" x14ac:dyDescent="0.25">
      <c r="C15" s="147" t="s">
        <v>22</v>
      </c>
      <c r="D15" t="s">
        <v>406</v>
      </c>
      <c r="E15" t="s">
        <v>407</v>
      </c>
      <c r="F15" t="s">
        <v>408</v>
      </c>
      <c r="G15" t="s">
        <v>409</v>
      </c>
      <c r="H15" s="8">
        <f>VLOOKUP(D15,Résultats!$B$2:$AX$476,'T energie vecteurs'!F5,FALSE)</f>
        <v>0</v>
      </c>
      <c r="I15" s="8">
        <f>VLOOKUP(E15,Résultats!$B$2:$AX$476,'T energie vecteurs'!F5,FALSE)</f>
        <v>3.779866948</v>
      </c>
      <c r="J15" s="8">
        <f>VLOOKUP(F15,Résultats!$B$2:$AX$476,'T energie vecteurs'!F5,FALSE)</f>
        <v>11.57655602</v>
      </c>
      <c r="K15" s="8">
        <f>VLOOKUP(G15,Résultats!$B$2:$AX$476,'T energie vecteurs'!F5,FALSE)</f>
        <v>9.1318221269999995</v>
      </c>
      <c r="L15" s="96">
        <f t="shared" si="0"/>
        <v>24.488245095</v>
      </c>
      <c r="M15" s="75"/>
      <c r="N15" s="150" t="s">
        <v>22</v>
      </c>
      <c r="O15" s="29">
        <f>'[2]Bilan 2015'!$W$46</f>
        <v>4.3073392295861899E-2</v>
      </c>
      <c r="P15" s="28">
        <f>SUM('[2]Bilan 2015'!$W$41:$W$43)</f>
        <v>3.01546564464017</v>
      </c>
      <c r="Q15" s="28">
        <f>'[2]Bilan 2015'!$W$13</f>
        <v>12.701365476499801</v>
      </c>
      <c r="R15" s="28">
        <f>('[2]Bilan 2015'!$W$22+'[2]Bilan 2015'!$W$30+SUM('[2]Bilan 2015'!$W$36:$W$40)+SUM('[2]Bilan 2015'!$W$44:$W$45)+'[2]Bilan 2015'!$W$47)</f>
        <v>8.7461122445901367</v>
      </c>
      <c r="S15" s="142">
        <f t="shared" ref="S15:S19" si="1">SUM(O15:R15)</f>
        <v>24.506016758025968</v>
      </c>
      <c r="T15" s="318">
        <f>S15-'[2]Bilan 2015'!$W$40</f>
        <v>24.067510417302429</v>
      </c>
      <c r="U15" s="147" t="s">
        <v>22</v>
      </c>
      <c r="V15" t="s">
        <v>406</v>
      </c>
      <c r="W15" t="s">
        <v>407</v>
      </c>
      <c r="X15" t="s">
        <v>408</v>
      </c>
      <c r="Y15" t="s">
        <v>409</v>
      </c>
      <c r="Z15" s="8">
        <v>0</v>
      </c>
      <c r="AA15" s="8">
        <v>3.6196490689999998</v>
      </c>
      <c r="AB15" s="8">
        <v>11.39121155</v>
      </c>
      <c r="AC15" s="8">
        <v>9.8570778879999903</v>
      </c>
      <c r="AD15" s="96">
        <v>24.867938506999991</v>
      </c>
    </row>
    <row r="16" spans="1:30" x14ac:dyDescent="0.25">
      <c r="C16" s="147" t="s">
        <v>23</v>
      </c>
      <c r="H16" s="8">
        <f>SUM(H17:H18)</f>
        <v>5.0023697938000007</v>
      </c>
      <c r="I16" s="8">
        <f t="shared" ref="I16:K16" si="2">SUM(I17:I18)</f>
        <v>16.777480051999998</v>
      </c>
      <c r="J16" s="8">
        <f t="shared" si="2"/>
        <v>10.963094849999999</v>
      </c>
      <c r="K16" s="8">
        <f t="shared" si="2"/>
        <v>14.326029517</v>
      </c>
      <c r="L16" s="96">
        <f>SUM(H16:K16)</f>
        <v>47.068974212800001</v>
      </c>
      <c r="M16" s="75"/>
      <c r="N16" s="150" t="s">
        <v>490</v>
      </c>
      <c r="O16" s="29">
        <f>O17+O18</f>
        <v>4.2636280705371687</v>
      </c>
      <c r="P16" s="28">
        <f t="shared" ref="P16:R16" si="3">P17+P18</f>
        <v>14.865720748941945</v>
      </c>
      <c r="Q16" s="28">
        <f t="shared" si="3"/>
        <v>10.069552160228</v>
      </c>
      <c r="R16" s="28">
        <f t="shared" si="3"/>
        <v>13.756399814544654</v>
      </c>
      <c r="S16" s="142">
        <f t="shared" si="1"/>
        <v>42.95530079425177</v>
      </c>
      <c r="T16" s="318">
        <f t="shared" ref="T16" si="4">S16</f>
        <v>42.95530079425177</v>
      </c>
      <c r="U16" s="147" t="s">
        <v>23</v>
      </c>
      <c r="Z16" s="8">
        <v>4.8734490504999997</v>
      </c>
      <c r="AA16" s="8">
        <v>15.975274195999999</v>
      </c>
      <c r="AB16" s="8">
        <v>10.86974479</v>
      </c>
      <c r="AC16" s="8">
        <v>14.559423379</v>
      </c>
      <c r="AD16" s="96">
        <v>46.277891415500001</v>
      </c>
    </row>
    <row r="17" spans="2:30" x14ac:dyDescent="0.25">
      <c r="C17" s="149" t="s">
        <v>24</v>
      </c>
      <c r="D17" t="s">
        <v>410</v>
      </c>
      <c r="E17" t="s">
        <v>411</v>
      </c>
      <c r="F17" t="s">
        <v>412</v>
      </c>
      <c r="G17" t="s">
        <v>413</v>
      </c>
      <c r="H17" s="16">
        <f>VLOOKUP(D17,Résultats!$B$2:$AX$476,'T energie vecteurs'!F5,FALSE)</f>
        <v>4.0035977120000004</v>
      </c>
      <c r="I17" s="16">
        <f>VLOOKUP(E17,Résultats!$B$2:$AX$476,'T energie vecteurs'!F5,FALSE)</f>
        <v>14.885319259999999</v>
      </c>
      <c r="J17" s="16">
        <f>VLOOKUP(F17,Résultats!$B$2:$AX$476,'T energie vecteurs'!F5,FALSE)</f>
        <v>10.963094849999999</v>
      </c>
      <c r="K17" s="16">
        <f>VLOOKUP(G17,Résultats!$B$2:$AX$476,'T energie vecteurs'!F5,FALSE)</f>
        <v>12.55821523</v>
      </c>
      <c r="L17" s="95">
        <f t="shared" si="0"/>
        <v>42.410227052000003</v>
      </c>
      <c r="M17" s="16"/>
      <c r="N17" s="149" t="s">
        <v>491</v>
      </c>
      <c r="O17" s="143">
        <f>'[2]Bilan 2015'!$U$46</f>
        <v>1.0493092649428299</v>
      </c>
      <c r="P17" s="30">
        <f>SUM('[2]Bilan 2015'!$U$41:$U$43)</f>
        <v>2.4127207489419455</v>
      </c>
      <c r="Q17" s="30">
        <f>'[2]Bilan 2015'!$U$13</f>
        <v>10.069552160228</v>
      </c>
      <c r="R17" s="30">
        <f>('[2]Bilan 2015'!$U$22+'[2]Bilan 2015'!$U$30+SUM('[2]Bilan 2015'!$U$36:$U$40)+SUM('[2]Bilan 2015'!$U$44:$U$45)+'[2]Bilan 2015'!$U$47)</f>
        <v>12.654813573219924</v>
      </c>
      <c r="S17" s="95">
        <f t="shared" si="1"/>
        <v>26.186395747332696</v>
      </c>
      <c r="T17" s="95"/>
      <c r="U17" s="149" t="s">
        <v>24</v>
      </c>
      <c r="V17" t="s">
        <v>410</v>
      </c>
      <c r="W17" t="s">
        <v>411</v>
      </c>
      <c r="X17" t="s">
        <v>412</v>
      </c>
      <c r="Y17" t="s">
        <v>413</v>
      </c>
      <c r="Z17" s="16">
        <v>3.8797746900000001</v>
      </c>
      <c r="AA17" s="16">
        <v>14.0791413</v>
      </c>
      <c r="AB17" s="16">
        <v>10.86974479</v>
      </c>
      <c r="AC17" s="16">
        <v>12.769227190000001</v>
      </c>
      <c r="AD17" s="95">
        <v>41.597887970000002</v>
      </c>
    </row>
    <row r="18" spans="2:30" x14ac:dyDescent="0.25">
      <c r="C18" s="149" t="s">
        <v>47</v>
      </c>
      <c r="D18" t="s">
        <v>414</v>
      </c>
      <c r="E18" t="s">
        <v>415</v>
      </c>
      <c r="F18" t="s">
        <v>416</v>
      </c>
      <c r="G18" t="s">
        <v>417</v>
      </c>
      <c r="H18" s="16">
        <f>VLOOKUP(D18,Résultats!$B$2:$AX$476,'T energie vecteurs'!F5,FALSE)</f>
        <v>0.99877208179999999</v>
      </c>
      <c r="I18" s="16">
        <f>VLOOKUP(E18,Résultats!$B$2:$AX$476,'T energie vecteurs'!F5,FALSE)</f>
        <v>1.8921607920000001</v>
      </c>
      <c r="J18" s="16">
        <f>VLOOKUP(F18,Résultats!$B$2:$AX$476,'T energie vecteurs'!F5,FALSE)</f>
        <v>0</v>
      </c>
      <c r="K18" s="16">
        <f>VLOOKUP(G18,Résultats!$B$2:$AX$476,'T energie vecteurs'!F5,FALSE)</f>
        <v>1.767814287</v>
      </c>
      <c r="L18" s="95">
        <f t="shared" si="0"/>
        <v>4.6587471608</v>
      </c>
      <c r="M18" s="16"/>
      <c r="N18" s="149" t="s">
        <v>47</v>
      </c>
      <c r="O18" s="22">
        <f>'[2]Bilan 2015'!$E$52</f>
        <v>3.2143188055943388</v>
      </c>
      <c r="P18" s="16">
        <f>('[2]Bilan 2015'!$E$54+'[2]Bilan 2015'!$E$56)</f>
        <v>12.452999999999999</v>
      </c>
      <c r="Q18" s="16">
        <v>0</v>
      </c>
      <c r="R18" s="16">
        <f>('[2]Bilan 2015'!$E$53+'[2]Bilan 2015'!$E$55+'[2]Bilan 2015'!$E$57)</f>
        <v>1.1015862413247299</v>
      </c>
      <c r="S18" s="95">
        <f t="shared" si="1"/>
        <v>16.768905046919066</v>
      </c>
      <c r="T18" s="95"/>
      <c r="U18" s="149" t="s">
        <v>47</v>
      </c>
      <c r="V18" t="s">
        <v>414</v>
      </c>
      <c r="W18" t="s">
        <v>415</v>
      </c>
      <c r="X18" t="s">
        <v>416</v>
      </c>
      <c r="Y18" t="s">
        <v>417</v>
      </c>
      <c r="Z18" s="16">
        <v>0.99367436050000002</v>
      </c>
      <c r="AA18" s="16">
        <v>1.8961328959999999</v>
      </c>
      <c r="AB18" s="16">
        <v>0</v>
      </c>
      <c r="AC18" s="16">
        <v>1.790196189</v>
      </c>
      <c r="AD18" s="95">
        <v>4.6800034455000006</v>
      </c>
    </row>
    <row r="19" spans="2:30" x14ac:dyDescent="0.25">
      <c r="C19" s="312" t="s">
        <v>25</v>
      </c>
      <c r="D19" s="313" t="s">
        <v>418</v>
      </c>
      <c r="E19" s="313" t="s">
        <v>419</v>
      </c>
      <c r="F19" s="313" t="s">
        <v>420</v>
      </c>
      <c r="G19" s="313" t="s">
        <v>421</v>
      </c>
      <c r="H19" s="314">
        <f>VLOOKUP(D19,Résultats!$B$2:$AX$476,'T energie vecteurs'!F5,FALSE)</f>
        <v>0</v>
      </c>
      <c r="I19" s="314">
        <f>VLOOKUP(E19,Résultats!$B$2:$AX$476,'T energie vecteurs'!F5,FALSE)</f>
        <v>2.4754793400000001</v>
      </c>
      <c r="J19" s="314">
        <f>VLOOKUP(F19,Résultats!$B$2:$AX$476,'T energie vecteurs'!F5,FALSE)</f>
        <v>0.31951541039999998</v>
      </c>
      <c r="K19" s="314">
        <f>VLOOKUP(G19,Résultats!$B$2:$AX$476,'T energie vecteurs'!F5,FALSE)</f>
        <v>0.39410968880000002</v>
      </c>
      <c r="L19" s="315">
        <f t="shared" si="0"/>
        <v>3.1891044391999999</v>
      </c>
      <c r="M19" s="16"/>
      <c r="N19" s="150" t="s">
        <v>25</v>
      </c>
      <c r="O19" s="29">
        <f>'[2]Bilan 2015'!$T$46</f>
        <v>2.2137192704974398E-3</v>
      </c>
      <c r="P19" s="28">
        <f>SUM('[2]Bilan 2015'!$T$41:$T$43)</f>
        <v>3.4936667755496749</v>
      </c>
      <c r="Q19" s="28">
        <f>'[2]Bilan 2015'!$T$13</f>
        <v>0.74651762682717104</v>
      </c>
      <c r="R19" s="28">
        <f>('[2]Bilan 2015'!$T$22+'[2]Bilan 2015'!$T$30+SUM('[2]Bilan 2015'!$T$36:$T$40)+SUM('[2]Bilan 2015'!$T$44:$T$45)+'[2]Bilan 2015'!$T$47)</f>
        <v>0.24365267378081518</v>
      </c>
      <c r="S19" s="142">
        <f t="shared" si="1"/>
        <v>4.4860507954281585</v>
      </c>
      <c r="T19" s="318">
        <f>S19</f>
        <v>4.4860507954281585</v>
      </c>
      <c r="U19" s="312" t="s">
        <v>25</v>
      </c>
      <c r="V19" s="313" t="s">
        <v>418</v>
      </c>
      <c r="W19" s="313" t="s">
        <v>419</v>
      </c>
      <c r="X19" s="313" t="s">
        <v>420</v>
      </c>
      <c r="Y19" s="313" t="s">
        <v>421</v>
      </c>
      <c r="Z19" s="314">
        <v>0</v>
      </c>
      <c r="AA19" s="314">
        <v>2.4072938719999999</v>
      </c>
      <c r="AB19" s="314">
        <v>0.31377965889999998</v>
      </c>
      <c r="AC19" s="314">
        <v>0.39531180760000001</v>
      </c>
      <c r="AD19" s="315">
        <v>3.1163853385000002</v>
      </c>
    </row>
    <row r="20" spans="2:30" x14ac:dyDescent="0.25">
      <c r="C20" s="23" t="s">
        <v>26</v>
      </c>
      <c r="D20" s="10"/>
      <c r="E20" s="10"/>
      <c r="F20" s="10"/>
      <c r="G20" s="10"/>
      <c r="H20" s="9">
        <f>SUM(H11,H14:H16,H19)</f>
        <v>5.3336712368000008</v>
      </c>
      <c r="I20" s="9">
        <f t="shared" ref="I20:K20" si="5">SUM(I11,I14:I16,I19)</f>
        <v>73.413618998000004</v>
      </c>
      <c r="J20" s="9">
        <f t="shared" si="5"/>
        <v>37.9014140277</v>
      </c>
      <c r="K20" s="9">
        <f t="shared" si="5"/>
        <v>43.795856467433204</v>
      </c>
      <c r="L20" s="98">
        <f>SUM(H20:K20)</f>
        <v>160.44456072993322</v>
      </c>
      <c r="M20" s="79"/>
      <c r="N20" s="151" t="s">
        <v>26</v>
      </c>
      <c r="O20" s="32">
        <f>O11+O14+O15+O16+O19</f>
        <v>4.3456793787119414</v>
      </c>
      <c r="P20" s="31">
        <f>P11+P14+P15+P16+P19</f>
        <v>70.798845361011772</v>
      </c>
      <c r="Q20" s="31">
        <f>Q11+Q14+Q15+Q16+Q19</f>
        <v>38.082514273546238</v>
      </c>
      <c r="R20" s="31">
        <f>R11+R14+R15+R16+R19</f>
        <v>44.651702506310876</v>
      </c>
      <c r="S20" s="144">
        <f>SUM(O20:R20)</f>
        <v>157.87874151958081</v>
      </c>
      <c r="T20" s="319">
        <f>SUM(T11:T19)</f>
        <v>154.92341374900698</v>
      </c>
      <c r="U20" s="23" t="s">
        <v>26</v>
      </c>
      <c r="V20" s="10"/>
      <c r="W20" s="10"/>
      <c r="X20" s="10"/>
      <c r="Y20" s="10"/>
      <c r="Z20" s="9">
        <v>5.2119663184</v>
      </c>
      <c r="AA20" s="9">
        <v>72.538795666999988</v>
      </c>
      <c r="AB20" s="9">
        <v>37.6837503462</v>
      </c>
      <c r="AC20" s="9">
        <v>45.535904677310825</v>
      </c>
      <c r="AD20" s="98">
        <v>160.97041700891083</v>
      </c>
    </row>
    <row r="21" spans="2:30" s="3" customFormat="1" x14ac:dyDescent="0.25">
      <c r="B21" s="60"/>
      <c r="H21" s="45"/>
      <c r="I21" s="45"/>
      <c r="J21" s="45"/>
      <c r="K21" s="45"/>
      <c r="L21" s="45">
        <f>L11+L14+L15+L16+L19</f>
        <v>160.44456072993322</v>
      </c>
      <c r="M21" s="45"/>
      <c r="N21" s="45"/>
      <c r="O21" s="77"/>
      <c r="P21" s="77"/>
      <c r="Q21" s="77"/>
      <c r="R21" s="78"/>
      <c r="S21" s="45"/>
      <c r="Z21" s="45"/>
      <c r="AA21" s="45"/>
      <c r="AB21" s="45"/>
      <c r="AC21" s="45"/>
      <c r="AD21" s="45">
        <v>160.97041700891083</v>
      </c>
    </row>
    <row r="22" spans="2:30" s="3" customFormat="1" x14ac:dyDescent="0.25">
      <c r="I22" s="45"/>
      <c r="J22" s="45"/>
      <c r="K22" s="45"/>
      <c r="AA22" s="45"/>
      <c r="AB22" s="45"/>
      <c r="AC22" s="45"/>
    </row>
    <row r="23" spans="2:30" ht="31.5" x14ac:dyDescent="0.35">
      <c r="C23" s="145">
        <v>2020</v>
      </c>
      <c r="D23" s="146"/>
      <c r="E23" s="146"/>
      <c r="F23" s="146"/>
      <c r="G23" s="146"/>
      <c r="H23" s="76" t="s">
        <v>36</v>
      </c>
      <c r="I23" s="76" t="s">
        <v>49</v>
      </c>
      <c r="J23" s="76" t="s">
        <v>38</v>
      </c>
      <c r="K23" s="76" t="s">
        <v>48</v>
      </c>
      <c r="L23" s="93" t="s">
        <v>1</v>
      </c>
      <c r="M23" s="19"/>
      <c r="N23" s="145">
        <v>2020</v>
      </c>
      <c r="O23" s="141" t="s">
        <v>36</v>
      </c>
      <c r="P23" s="76" t="s">
        <v>49</v>
      </c>
      <c r="Q23" s="76" t="s">
        <v>38</v>
      </c>
      <c r="R23" s="76" t="s">
        <v>48</v>
      </c>
      <c r="S23" s="93" t="s">
        <v>1</v>
      </c>
      <c r="T23" s="317" t="s">
        <v>543</v>
      </c>
      <c r="U23" s="145">
        <v>2020</v>
      </c>
      <c r="V23" s="146"/>
      <c r="W23" s="146"/>
      <c r="X23" s="146"/>
      <c r="Y23" s="146"/>
      <c r="Z23" s="76" t="s">
        <v>36</v>
      </c>
      <c r="AA23" s="76" t="s">
        <v>49</v>
      </c>
      <c r="AB23" s="76" t="s">
        <v>38</v>
      </c>
      <c r="AC23" s="76" t="s">
        <v>48</v>
      </c>
      <c r="AD23" s="93" t="s">
        <v>1</v>
      </c>
    </row>
    <row r="24" spans="2:30" x14ac:dyDescent="0.25">
      <c r="C24" s="147" t="s">
        <v>18</v>
      </c>
      <c r="H24" s="8">
        <f>SUM(H25:H26)</f>
        <v>0</v>
      </c>
      <c r="I24" s="8">
        <f>SUM(I25:I26)</f>
        <v>41.516359510000001</v>
      </c>
      <c r="J24" s="8">
        <f>SUM(J25:J26)</f>
        <v>1.5285456766999999</v>
      </c>
      <c r="K24" s="8">
        <f>SUM(K25:K26)</f>
        <v>0.27851239518869997</v>
      </c>
      <c r="L24" s="96">
        <f t="shared" ref="L24:L33" si="6">SUM(H24:K24)</f>
        <v>43.323417581888698</v>
      </c>
      <c r="M24" s="75"/>
      <c r="N24" s="150" t="s">
        <v>18</v>
      </c>
      <c r="O24" s="29">
        <f>'[2]Bilan 2020'!$X$46/11.63</f>
        <v>0</v>
      </c>
      <c r="P24" s="28">
        <f>SUM('[2]Bilan 2020'!$X$41:$X$43)/11.63</f>
        <v>35.668036461633939</v>
      </c>
      <c r="Q24" s="28">
        <f>'[2]Bilan 2020'!$X$13/11.63</f>
        <v>0.71687008340498715</v>
      </c>
      <c r="R24" s="28">
        <f>('[2]Bilan 2020'!$X$22+'[2]Bilan 2020'!$X$30+SUM('[2]Bilan 2020'!$X$36:$X$40)+SUM('[2]Bilan 2020'!$X$44:$X$45)+'[2]Bilan 2020'!$X$47)/11.63</f>
        <v>0.19326865864144452</v>
      </c>
      <c r="S24" s="142">
        <f>SUM(O24:R24)</f>
        <v>36.578175203680367</v>
      </c>
      <c r="T24" s="318">
        <f>S24</f>
        <v>36.578175203680367</v>
      </c>
      <c r="U24" s="147" t="s">
        <v>18</v>
      </c>
      <c r="Z24" s="8">
        <v>0</v>
      </c>
      <c r="AA24" s="8">
        <v>41.965124959999997</v>
      </c>
      <c r="AB24" s="8">
        <v>1.6061754189999999</v>
      </c>
      <c r="AC24" s="8">
        <v>0.27392036909290002</v>
      </c>
      <c r="AD24" s="96">
        <v>43.845220748092899</v>
      </c>
    </row>
    <row r="25" spans="2:30" x14ac:dyDescent="0.25">
      <c r="C25" s="148" t="s">
        <v>19</v>
      </c>
      <c r="D25" t="s">
        <v>394</v>
      </c>
      <c r="E25" t="s">
        <v>395</v>
      </c>
      <c r="F25" t="s">
        <v>396</v>
      </c>
      <c r="G25" t="s">
        <v>397</v>
      </c>
      <c r="H25" s="16">
        <f>VLOOKUP(D25,Résultats!$B$2:$AX$476,'T energie vecteurs'!I5,FALSE)</f>
        <v>0</v>
      </c>
      <c r="I25" s="16">
        <f>VLOOKUP(E25,Résultats!$B$2:$AX$476,'T energie vecteurs'!I5,FALSE)</f>
        <v>23.165879270000001</v>
      </c>
      <c r="J25" s="16">
        <f>VLOOKUP(F25,Résultats!$B$2:$AX$476,'T energie vecteurs'!I5,FALSE)</f>
        <v>9.5355663699999996E-2</v>
      </c>
      <c r="K25" s="16">
        <f>VLOOKUP(G77,Résultats!$B$2:$AX$476,'T energie vecteurs'!I5,FALSE)</f>
        <v>1.48806887E-5</v>
      </c>
      <c r="L25" s="95">
        <f t="shared" si="6"/>
        <v>23.261249814388702</v>
      </c>
      <c r="M25" s="16"/>
      <c r="N25" s="148" t="s">
        <v>19</v>
      </c>
      <c r="O25" s="143"/>
      <c r="P25" s="16"/>
      <c r="Q25" s="34"/>
      <c r="R25" s="16"/>
      <c r="S25" s="95"/>
      <c r="T25" s="95"/>
      <c r="U25" s="148" t="s">
        <v>19</v>
      </c>
      <c r="V25" t="s">
        <v>394</v>
      </c>
      <c r="W25" t="s">
        <v>395</v>
      </c>
      <c r="X25" t="s">
        <v>396</v>
      </c>
      <c r="Y25" t="s">
        <v>397</v>
      </c>
      <c r="Z25" s="16">
        <v>0</v>
      </c>
      <c r="AA25" s="16">
        <v>23.34422906</v>
      </c>
      <c r="AB25" s="16">
        <v>9.1818586999999896E-2</v>
      </c>
      <c r="AC25" s="16">
        <v>1.03554929E-5</v>
      </c>
      <c r="AD25" s="95">
        <v>23.436058002492899</v>
      </c>
    </row>
    <row r="26" spans="2:30" x14ac:dyDescent="0.25">
      <c r="C26" s="149" t="s">
        <v>20</v>
      </c>
      <c r="D26" t="s">
        <v>398</v>
      </c>
      <c r="E26" t="s">
        <v>399</v>
      </c>
      <c r="F26" t="s">
        <v>400</v>
      </c>
      <c r="G26" t="s">
        <v>401</v>
      </c>
      <c r="H26" s="16">
        <f>VLOOKUP(D26,Résultats!$B$2:$AX$476,'T energie vecteurs'!I5,FALSE)</f>
        <v>0</v>
      </c>
      <c r="I26" s="16">
        <f>VLOOKUP(E26,Résultats!$B$2:$AX$476,'T energie vecteurs'!I5,FALSE)</f>
        <v>18.35048024</v>
      </c>
      <c r="J26" s="16">
        <f>VLOOKUP(F26,Résultats!$B$2:$AX$476,'T energie vecteurs'!I5,FALSE)</f>
        <v>1.4331900129999999</v>
      </c>
      <c r="K26" s="16">
        <f>VLOOKUP(G26,Résultats!$B$2:$AX$476,'T energie vecteurs'!I5,FALSE)</f>
        <v>0.27849751449999999</v>
      </c>
      <c r="L26" s="95">
        <f t="shared" si="6"/>
        <v>20.0621677675</v>
      </c>
      <c r="M26" s="16"/>
      <c r="N26" s="149" t="s">
        <v>20</v>
      </c>
      <c r="O26" s="143"/>
      <c r="P26" s="16"/>
      <c r="Q26" s="34"/>
      <c r="R26" s="16"/>
      <c r="S26" s="95"/>
      <c r="T26" s="95"/>
      <c r="U26" s="149" t="s">
        <v>20</v>
      </c>
      <c r="V26" t="s">
        <v>398</v>
      </c>
      <c r="W26" t="s">
        <v>399</v>
      </c>
      <c r="X26" t="s">
        <v>400</v>
      </c>
      <c r="Y26" t="s">
        <v>401</v>
      </c>
      <c r="Z26" s="16">
        <v>0</v>
      </c>
      <c r="AA26" s="16">
        <v>18.620895900000001</v>
      </c>
      <c r="AB26" s="16">
        <v>1.514356832</v>
      </c>
      <c r="AC26" s="16">
        <v>0.2739100136</v>
      </c>
      <c r="AD26" s="95">
        <v>20.4091627456</v>
      </c>
    </row>
    <row r="27" spans="2:30" x14ac:dyDescent="0.25">
      <c r="C27" s="147" t="s">
        <v>21</v>
      </c>
      <c r="D27" t="s">
        <v>402</v>
      </c>
      <c r="E27" t="s">
        <v>403</v>
      </c>
      <c r="F27" t="s">
        <v>404</v>
      </c>
      <c r="G27" t="s">
        <v>405</v>
      </c>
      <c r="H27" s="8">
        <f>VLOOKUP(D27,Résultats!$B$2:$AX$476,'T energie vecteurs'!I5,FALSE)</f>
        <v>0.31827963390000003</v>
      </c>
      <c r="I27" s="8">
        <f>VLOOKUP(E27,Résultats!$B$2:$AX$476,'T energie vecteurs'!I5,FALSE)</f>
        <v>6.4564723150000001</v>
      </c>
      <c r="J27" s="8">
        <f>VLOOKUP(F27,Résultats!$B$2:$AX$476,'T energie vecteurs'!I5,FALSE)</f>
        <v>14.43122953</v>
      </c>
      <c r="K27" s="8">
        <f>VLOOKUP(G27,Résultats!$B$2:$AX$476,'T energie vecteurs'!I5,FALSE)+2</f>
        <v>19.14923057</v>
      </c>
      <c r="L27" s="96">
        <f t="shared" si="6"/>
        <v>40.3552120489</v>
      </c>
      <c r="M27" s="75"/>
      <c r="N27" s="150" t="s">
        <v>21</v>
      </c>
      <c r="O27" s="29">
        <f>'[2]Bilan 2020'!$V$46/11.63</f>
        <v>2.0700734999999998E-2</v>
      </c>
      <c r="P27" s="28">
        <f>SUM('[2]Bilan 2020'!$V$41:$V$43)/11.63</f>
        <v>4.2874727518867157</v>
      </c>
      <c r="Q27" s="28">
        <f>'[2]Bilan 2020'!$V$13/11.63</f>
        <v>13.618731599337918</v>
      </c>
      <c r="R27" s="28">
        <f>('[2]Bilan 2020'!$V$22+'[2]Bilan 2020'!$V$30+SUM('[2]Bilan 2020'!$V$36:$V$40)+SUM('[2]Bilan 2020'!$V$44:$V$45)+'[2]Bilan 2020'!$V$47)/11.63</f>
        <v>20.408410382607048</v>
      </c>
      <c r="S27" s="142">
        <f t="shared" ref="S27:S33" si="7">SUM(O27:R27)</f>
        <v>38.335315468831681</v>
      </c>
      <c r="T27" s="318">
        <f>S27-'[2]Bilan 2020'!$V$40/11.63</f>
        <v>35.977053263806368</v>
      </c>
      <c r="U27" s="147" t="s">
        <v>21</v>
      </c>
      <c r="V27" t="s">
        <v>402</v>
      </c>
      <c r="W27" t="s">
        <v>403</v>
      </c>
      <c r="X27" t="s">
        <v>404</v>
      </c>
      <c r="Y27" t="s">
        <v>405</v>
      </c>
      <c r="Z27" s="8">
        <v>0.3273750668</v>
      </c>
      <c r="AA27" s="8">
        <v>6.4424024400000004</v>
      </c>
      <c r="AB27" s="8">
        <v>14.585902320000001</v>
      </c>
      <c r="AC27" s="8">
        <v>19.844722619999999</v>
      </c>
      <c r="AD27" s="96">
        <v>41.200402446799998</v>
      </c>
    </row>
    <row r="28" spans="2:30" x14ac:dyDescent="0.25">
      <c r="C28" s="147" t="s">
        <v>22</v>
      </c>
      <c r="D28" t="s">
        <v>406</v>
      </c>
      <c r="E28" t="s">
        <v>407</v>
      </c>
      <c r="F28" t="s">
        <v>408</v>
      </c>
      <c r="G28" t="s">
        <v>409</v>
      </c>
      <c r="H28" s="8">
        <f>VLOOKUP(D28,Résultats!$B$2:$AX$476,'T energie vecteurs'!I5,FALSE)</f>
        <v>0</v>
      </c>
      <c r="I28" s="8">
        <f>VLOOKUP(E28,Résultats!$B$2:$AX$476,'T energie vecteurs'!I5,FALSE)</f>
        <v>2.7309638669999998</v>
      </c>
      <c r="J28" s="8">
        <f>VLOOKUP(F28,Résultats!$B$2:$AX$476,'T energie vecteurs'!I5,FALSE)</f>
        <v>11.124724240000001</v>
      </c>
      <c r="K28" s="8">
        <f>VLOOKUP(G28,Résultats!$B$2:$AX$476,'T energie vecteurs'!I5,FALSE)</f>
        <v>7.8623169549999998</v>
      </c>
      <c r="L28" s="96">
        <f t="shared" si="6"/>
        <v>21.718005062</v>
      </c>
      <c r="M28" s="75"/>
      <c r="N28" s="150" t="s">
        <v>22</v>
      </c>
      <c r="O28" s="29">
        <f>('[2]Bilan 2020'!$W$46)/11.63</f>
        <v>3.0546421000000001E-2</v>
      </c>
      <c r="P28" s="28">
        <f>SUM('[2]Bilan 2020'!$W$41:$W$43)/11.63</f>
        <v>2.7068355531694666</v>
      </c>
      <c r="Q28" s="28">
        <f>('[2]Bilan 2020'!$W$13)/11.63</f>
        <v>10.724850576412381</v>
      </c>
      <c r="R28" s="28">
        <f>('[2]Bilan 2020'!$W$22+'[2]Bilan 2020'!$W$30+SUM('[2]Bilan 2020'!$W$36:$W$40)+SUM('[2]Bilan 2020'!$W$44:$W$45)+'[2]Bilan 2020'!$W$47)/11.63</f>
        <v>7.1906336380053082</v>
      </c>
      <c r="S28" s="142">
        <f t="shared" si="7"/>
        <v>20.652866188587154</v>
      </c>
      <c r="T28" s="318">
        <f>S28-'[2]Bilan 2020'!$W$40/11.63</f>
        <v>20.267160637808516</v>
      </c>
      <c r="U28" s="147" t="s">
        <v>22</v>
      </c>
      <c r="V28" t="s">
        <v>406</v>
      </c>
      <c r="W28" t="s">
        <v>407</v>
      </c>
      <c r="X28" t="s">
        <v>408</v>
      </c>
      <c r="Y28" t="s">
        <v>409</v>
      </c>
      <c r="Z28" s="8">
        <v>0</v>
      </c>
      <c r="AA28" s="8">
        <v>2.6039873509999998</v>
      </c>
      <c r="AB28" s="8">
        <v>11.04595926</v>
      </c>
      <c r="AC28" s="8">
        <v>8.3377862569999994</v>
      </c>
      <c r="AD28" s="96">
        <v>21.987732868000002</v>
      </c>
    </row>
    <row r="29" spans="2:30" x14ac:dyDescent="0.25">
      <c r="C29" s="147" t="s">
        <v>23</v>
      </c>
      <c r="H29" s="8">
        <f>SUM(H30:H32)</f>
        <v>2.6469646478</v>
      </c>
      <c r="I29" s="8">
        <f>SUM(I30:I32)</f>
        <v>13.618844106000001</v>
      </c>
      <c r="J29" s="8">
        <f>SUM(J30:J32)</f>
        <v>9.29211927019999</v>
      </c>
      <c r="K29" s="8">
        <f>SUM(K30:K32)</f>
        <v>15.174419947099999</v>
      </c>
      <c r="L29" s="96">
        <f t="shared" si="6"/>
        <v>40.732347971099991</v>
      </c>
      <c r="M29" s="75"/>
      <c r="N29" s="150" t="s">
        <v>490</v>
      </c>
      <c r="O29" s="29">
        <f>O30+O31</f>
        <v>3.1626378182920636</v>
      </c>
      <c r="P29" s="28">
        <f t="shared" ref="P29:R29" si="8">P30+P31</f>
        <v>13.919973516612528</v>
      </c>
      <c r="Q29" s="28">
        <f t="shared" si="8"/>
        <v>9.0413234941421319</v>
      </c>
      <c r="R29" s="28">
        <f t="shared" si="8"/>
        <v>14.312071337572707</v>
      </c>
      <c r="S29" s="142">
        <f t="shared" si="7"/>
        <v>40.436006166619435</v>
      </c>
      <c r="T29" s="318">
        <f t="shared" ref="T29" si="9">S29</f>
        <v>40.436006166619435</v>
      </c>
      <c r="U29" s="147" t="s">
        <v>23</v>
      </c>
      <c r="Z29" s="8">
        <v>2.5925666285000002</v>
      </c>
      <c r="AA29" s="8">
        <v>13.053391905</v>
      </c>
      <c r="AB29" s="8">
        <v>9.2636677653999993</v>
      </c>
      <c r="AC29" s="8">
        <v>15.7393140773</v>
      </c>
      <c r="AD29" s="96">
        <v>40.648940376200002</v>
      </c>
    </row>
    <row r="30" spans="2:30" x14ac:dyDescent="0.25">
      <c r="C30" s="149" t="s">
        <v>24</v>
      </c>
      <c r="D30" t="s">
        <v>410</v>
      </c>
      <c r="E30" t="s">
        <v>411</v>
      </c>
      <c r="F30" t="s">
        <v>412</v>
      </c>
      <c r="G30" t="s">
        <v>413</v>
      </c>
      <c r="H30" s="16">
        <f>VLOOKUP(D30,Résultats!$B$2:$AX$476,'T energie vecteurs'!I5,FALSE)</f>
        <v>1.783851729</v>
      </c>
      <c r="I30" s="16">
        <f>VLOOKUP(E30,Résultats!$B$2:$AX$476,'T energie vecteurs'!I5,FALSE)</f>
        <v>9.3517986420000003</v>
      </c>
      <c r="J30" s="16">
        <f>VLOOKUP(F30,Résultats!$B$2:$AX$476,'T energie vecteurs'!I5,FALSE)</f>
        <v>8.9811539239999902</v>
      </c>
      <c r="K30" s="16">
        <f>VLOOKUP(G30,Résultats!$B$2:$AX$476,'T energie vecteurs'!I5,FALSE)</f>
        <v>12.704339539999999</v>
      </c>
      <c r="L30" s="95">
        <f t="shared" si="6"/>
        <v>32.821143834999987</v>
      </c>
      <c r="M30" s="16"/>
      <c r="N30" s="149" t="s">
        <v>491</v>
      </c>
      <c r="O30" s="143">
        <f>'[2]Bilan 2020'!$U$46/11.63</f>
        <v>0.77267988499999996</v>
      </c>
      <c r="P30" s="30">
        <f>SUM('[2]Bilan 2020'!$U$41:$U$43)/11.63</f>
        <v>2.7003587770125286</v>
      </c>
      <c r="Q30" s="30">
        <f>'[2]Bilan 2020'!$U$13/11.63</f>
        <v>9.0413234941421319</v>
      </c>
      <c r="R30" s="30">
        <f>('[2]Bilan 2020'!$U$22+'[2]Bilan 2020'!$U$30+SUM('[2]Bilan 2020'!$U$36:$U$40)+SUM('[2]Bilan 2020'!$U$44:$U$45)+'[2]Bilan 2020'!$U$47)/11.63</f>
        <v>13.277854957521116</v>
      </c>
      <c r="S30" s="95">
        <f t="shared" si="7"/>
        <v>25.792217113675775</v>
      </c>
      <c r="T30" s="95"/>
      <c r="U30" s="149" t="s">
        <v>24</v>
      </c>
      <c r="V30" t="s">
        <v>410</v>
      </c>
      <c r="W30" t="s">
        <v>411</v>
      </c>
      <c r="X30" t="s">
        <v>412</v>
      </c>
      <c r="Y30" t="s">
        <v>413</v>
      </c>
      <c r="Z30" s="16">
        <v>1.7254365659999999</v>
      </c>
      <c r="AA30" s="16">
        <v>8.8272969410000002</v>
      </c>
      <c r="AB30" s="16">
        <v>8.9556578529999999</v>
      </c>
      <c r="AC30" s="16">
        <v>13.223262549999999</v>
      </c>
      <c r="AD30" s="95">
        <v>32.731653909999999</v>
      </c>
    </row>
    <row r="31" spans="2:30" x14ac:dyDescent="0.25">
      <c r="C31" s="149" t="s">
        <v>47</v>
      </c>
      <c r="D31" t="s">
        <v>414</v>
      </c>
      <c r="E31" t="s">
        <v>415</v>
      </c>
      <c r="F31" t="s">
        <v>416</v>
      </c>
      <c r="G31" t="s">
        <v>417</v>
      </c>
      <c r="H31" s="16">
        <f>VLOOKUP(D31,Résultats!$B$2:$AX$476,'T energie vecteurs'!I5,FALSE)</f>
        <v>0.86311291879999996</v>
      </c>
      <c r="I31" s="16">
        <f>VLOOKUP(E31,Résultats!$B$2:$AX$476,'T energie vecteurs'!I5,FALSE)</f>
        <v>1.875958418</v>
      </c>
      <c r="J31" s="16">
        <f>VLOOKUP(F31,Résultats!$B$2:$AX$476,'T energie vecteurs'!I5,FALSE)</f>
        <v>0</v>
      </c>
      <c r="K31" s="16">
        <f>VLOOKUP(G31,Résultats!$B$2:$AX$476,'T energie vecteurs'!I5,FALSE)</f>
        <v>2.1003998159999999</v>
      </c>
      <c r="L31" s="95">
        <f t="shared" si="6"/>
        <v>4.8394711527999998</v>
      </c>
      <c r="M31" s="16"/>
      <c r="N31" s="149" t="s">
        <v>47</v>
      </c>
      <c r="O31" s="22">
        <f>'[2]Bilan 2020'!$E$52/11.63</f>
        <v>2.3899579332920635</v>
      </c>
      <c r="P31" s="16">
        <f>('[2]Bilan 2020'!$E$54+'[2]Bilan 2020'!$E$56)/11.63</f>
        <v>11.219614739599999</v>
      </c>
      <c r="Q31" s="16">
        <v>0</v>
      </c>
      <c r="R31" s="16">
        <f>('[2]Bilan 2020'!$E$53+'[2]Bilan 2020'!$E$55+'[2]Bilan 2020'!$E$57)/11.63</f>
        <v>1.0342163800515907</v>
      </c>
      <c r="S31" s="95">
        <f t="shared" si="7"/>
        <v>14.643789052943653</v>
      </c>
      <c r="T31" s="95"/>
      <c r="U31" s="149" t="s">
        <v>47</v>
      </c>
      <c r="V31" t="s">
        <v>414</v>
      </c>
      <c r="W31" t="s">
        <v>415</v>
      </c>
      <c r="X31" t="s">
        <v>416</v>
      </c>
      <c r="Y31" t="s">
        <v>417</v>
      </c>
      <c r="Z31" s="16">
        <v>0.86713006250000002</v>
      </c>
      <c r="AA31" s="16">
        <v>1.8773317759999999</v>
      </c>
      <c r="AB31" s="16">
        <v>0</v>
      </c>
      <c r="AC31" s="16">
        <v>2.148056773</v>
      </c>
      <c r="AD31" s="95">
        <v>4.8925186114999999</v>
      </c>
    </row>
    <row r="32" spans="2:30" x14ac:dyDescent="0.25">
      <c r="C32" s="149" t="s">
        <v>25</v>
      </c>
      <c r="D32" t="s">
        <v>418</v>
      </c>
      <c r="E32" t="s">
        <v>419</v>
      </c>
      <c r="F32" t="s">
        <v>420</v>
      </c>
      <c r="G32" t="s">
        <v>421</v>
      </c>
      <c r="H32" s="16">
        <f>VLOOKUP(D32,Résultats!$B$2:$AX$476,'T energie vecteurs'!I5,FALSE)</f>
        <v>0</v>
      </c>
      <c r="I32" s="16">
        <f>VLOOKUP(E32,Résultats!$B$2:$AX$476,'T energie vecteurs'!I5,FALSE)</f>
        <v>2.391087046</v>
      </c>
      <c r="J32" s="16">
        <f>VLOOKUP(F32,Résultats!$B$2:$AX$476,'T energie vecteurs'!I5,FALSE)</f>
        <v>0.31096534619999999</v>
      </c>
      <c r="K32" s="16">
        <f>VLOOKUP(G32,Résultats!$B$2:$AX$476,'T energie vecteurs'!I5,FALSE)</f>
        <v>0.36968059110000001</v>
      </c>
      <c r="L32" s="95">
        <f t="shared" si="6"/>
        <v>3.0717329833</v>
      </c>
      <c r="M32" s="16"/>
      <c r="N32" s="150" t="s">
        <v>25</v>
      </c>
      <c r="O32" s="29">
        <f>'[2]Bilan 2020'!$T$46/11.63</f>
        <v>1.3217009999999998E-3</v>
      </c>
      <c r="P32" s="28">
        <f>SUM('[2]Bilan 2020'!$T$41:$T$43)/11.63</f>
        <v>3.3486884684627563</v>
      </c>
      <c r="Q32" s="28">
        <f>'[2]Bilan 2020'!$T$13/11.63</f>
        <v>0.69143728159498707</v>
      </c>
      <c r="R32" s="28">
        <f>('[2]Bilan 2020'!$T$22+'[2]Bilan 2020'!$T$30+SUM('[2]Bilan 2020'!$T$36:$T$40)+SUM('[2]Bilan 2020'!$T$44:$T$45)+'[2]Bilan 2020'!$T$47)/11.63</f>
        <v>0.41959097162510717</v>
      </c>
      <c r="S32" s="142">
        <f t="shared" si="7"/>
        <v>4.4610384226828508</v>
      </c>
      <c r="T32" s="318">
        <f>S32</f>
        <v>4.4610384226828508</v>
      </c>
      <c r="U32" s="149" t="s">
        <v>25</v>
      </c>
      <c r="V32" t="s">
        <v>418</v>
      </c>
      <c r="W32" t="s">
        <v>419</v>
      </c>
      <c r="X32" t="s">
        <v>420</v>
      </c>
      <c r="Y32" t="s">
        <v>421</v>
      </c>
      <c r="Z32" s="16">
        <v>0</v>
      </c>
      <c r="AA32" s="16">
        <v>2.3487631879999999</v>
      </c>
      <c r="AB32" s="16">
        <v>0.30800991239999997</v>
      </c>
      <c r="AC32" s="16">
        <v>0.3679947543</v>
      </c>
      <c r="AD32" s="95">
        <v>3.0247678546999999</v>
      </c>
    </row>
    <row r="33" spans="3:30" x14ac:dyDescent="0.25">
      <c r="C33" s="23" t="s">
        <v>26</v>
      </c>
      <c r="D33" s="10"/>
      <c r="E33" s="10"/>
      <c r="F33" s="10"/>
      <c r="G33" s="10"/>
      <c r="H33" s="9">
        <f>SUM(H24,H27:H29)</f>
        <v>2.9652442817</v>
      </c>
      <c r="I33" s="9">
        <f>SUM(I24,I27:I29)</f>
        <v>64.322639797999997</v>
      </c>
      <c r="J33" s="9">
        <f>SUM(J24,J27:J29)</f>
        <v>36.376618716899991</v>
      </c>
      <c r="K33" s="9">
        <f>SUM(K24,K27:K29)</f>
        <v>42.464479867288702</v>
      </c>
      <c r="L33" s="98">
        <f t="shared" si="6"/>
        <v>146.12898266388868</v>
      </c>
      <c r="M33" s="79"/>
      <c r="N33" s="151" t="s">
        <v>26</v>
      </c>
      <c r="O33" s="32">
        <f>O24+O27+O28+O29+O32</f>
        <v>3.2152066752920638</v>
      </c>
      <c r="P33" s="31">
        <f>P24+P27+P28+P29+P32</f>
        <v>59.931006751765409</v>
      </c>
      <c r="Q33" s="31">
        <f>Q24+Q27+Q28+Q29+Q32</f>
        <v>34.793213034892403</v>
      </c>
      <c r="R33" s="31">
        <f>R24+R27+R28+R29+R32</f>
        <v>42.523974988451613</v>
      </c>
      <c r="S33" s="144">
        <f t="shared" si="7"/>
        <v>140.46340145040148</v>
      </c>
      <c r="T33" s="319">
        <f>SUM(T24:T32)</f>
        <v>137.71943369459754</v>
      </c>
      <c r="U33" s="23" t="s">
        <v>26</v>
      </c>
      <c r="V33" s="10"/>
      <c r="W33" s="10"/>
      <c r="X33" s="10"/>
      <c r="Y33" s="10"/>
      <c r="Z33" s="9">
        <v>2.9199416953000004</v>
      </c>
      <c r="AA33" s="9">
        <v>64.064906656000005</v>
      </c>
      <c r="AB33" s="9">
        <v>36.501704764400003</v>
      </c>
      <c r="AC33" s="9">
        <v>44.195743323392897</v>
      </c>
      <c r="AD33" s="98">
        <v>147.68229643909291</v>
      </c>
    </row>
    <row r="34" spans="3:30" s="3" customFormat="1" x14ac:dyDescent="0.25">
      <c r="H34" s="45"/>
      <c r="I34" s="45"/>
      <c r="J34" s="45"/>
      <c r="K34" s="45"/>
      <c r="L34" s="45"/>
      <c r="M34" s="45"/>
      <c r="N34" s="45"/>
      <c r="O34" s="77"/>
      <c r="P34" s="77"/>
      <c r="Q34" s="77"/>
      <c r="R34" s="78"/>
      <c r="S34" s="45"/>
      <c r="T34" s="45"/>
      <c r="Z34" s="45"/>
      <c r="AA34" s="45"/>
      <c r="AB34" s="45"/>
      <c r="AC34" s="45"/>
      <c r="AD34" s="45"/>
    </row>
    <row r="35" spans="3:30" s="3" customFormat="1" x14ac:dyDescent="0.25"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Z35" s="45"/>
      <c r="AA35" s="45"/>
      <c r="AB35" s="45"/>
      <c r="AC35" s="45"/>
      <c r="AD35" s="45"/>
    </row>
    <row r="36" spans="3:30" ht="31.5" x14ac:dyDescent="0.35">
      <c r="C36" s="145">
        <v>2022</v>
      </c>
      <c r="D36" s="146"/>
      <c r="E36" s="146"/>
      <c r="F36" s="146"/>
      <c r="G36" s="146"/>
      <c r="H36" s="76" t="s">
        <v>36</v>
      </c>
      <c r="I36" s="76" t="s">
        <v>49</v>
      </c>
      <c r="J36" s="76" t="s">
        <v>38</v>
      </c>
      <c r="K36" s="76" t="s">
        <v>48</v>
      </c>
      <c r="L36" s="93" t="s">
        <v>1</v>
      </c>
      <c r="M36" s="19"/>
      <c r="N36" s="145">
        <v>2022</v>
      </c>
      <c r="O36" s="141" t="s">
        <v>36</v>
      </c>
      <c r="P36" s="76" t="s">
        <v>49</v>
      </c>
      <c r="Q36" s="76" t="s">
        <v>38</v>
      </c>
      <c r="R36" s="76" t="s">
        <v>48</v>
      </c>
      <c r="S36" s="93" t="s">
        <v>1</v>
      </c>
      <c r="T36" s="317" t="s">
        <v>543</v>
      </c>
      <c r="U36" s="145">
        <v>2022</v>
      </c>
      <c r="V36" s="146"/>
      <c r="W36" s="146"/>
      <c r="X36" s="146"/>
      <c r="Y36" s="146"/>
      <c r="Z36" s="76" t="s">
        <v>36</v>
      </c>
      <c r="AA36" s="76" t="s">
        <v>49</v>
      </c>
      <c r="AB36" s="76" t="s">
        <v>38</v>
      </c>
      <c r="AC36" s="76" t="s">
        <v>48</v>
      </c>
      <c r="AD36" s="93" t="s">
        <v>1</v>
      </c>
    </row>
    <row r="37" spans="3:30" x14ac:dyDescent="0.25">
      <c r="C37" s="147" t="s">
        <v>18</v>
      </c>
      <c r="H37" s="8">
        <f>SUM(H38:H39)</f>
        <v>0</v>
      </c>
      <c r="I37" s="8">
        <f>SUM(I38:I39)</f>
        <v>41.488322910000001</v>
      </c>
      <c r="J37" s="8">
        <f>SUM(J38:J39)</f>
        <v>1.8617096857000002</v>
      </c>
      <c r="K37" s="8">
        <f>SUM(K38:K39)</f>
        <v>0.38906989770019995</v>
      </c>
      <c r="L37" s="96">
        <f t="shared" ref="L37:L46" si="10">SUM(H37:K37)</f>
        <v>43.739102493400203</v>
      </c>
      <c r="M37" s="75"/>
      <c r="N37" s="150" t="s">
        <v>18</v>
      </c>
      <c r="O37" s="29">
        <f>'[2]Bilan 2022 réel'!$X$46/11.63</f>
        <v>0</v>
      </c>
      <c r="P37" s="28">
        <f>SUM('[2]Bilan 2022 réel'!$X$41:$X$43)/11.63</f>
        <v>43.395882986244146</v>
      </c>
      <c r="Q37" s="28">
        <f>'[2]Bilan 2022 réel'!$X$13/11.63</f>
        <v>0.93062751504729158</v>
      </c>
      <c r="R37" s="28">
        <f>('[2]Bilan 2022 réel'!$X$22+'[2]Bilan 2022 réel'!$X$30+SUM('[2]Bilan 2022 réel'!$X$36:$X$40)+SUM('[2]Bilan 2022 réel'!$X$44:$X$45)+'[2]Bilan 2022 réel'!$X$47)/11.63</f>
        <v>0.31885683576956142</v>
      </c>
      <c r="S37" s="142">
        <f>SUM(O37:R37)</f>
        <v>44.645367337060996</v>
      </c>
      <c r="T37" s="318">
        <f>S37</f>
        <v>44.645367337060996</v>
      </c>
      <c r="U37" s="147" t="s">
        <v>18</v>
      </c>
      <c r="Z37" s="8">
        <v>0</v>
      </c>
      <c r="AA37" s="8">
        <v>41.810292540000006</v>
      </c>
      <c r="AB37" s="8">
        <v>1.781673914</v>
      </c>
      <c r="AC37" s="8">
        <v>0.38301068976960001</v>
      </c>
      <c r="AD37" s="96">
        <v>43.974977143769607</v>
      </c>
    </row>
    <row r="38" spans="3:30" x14ac:dyDescent="0.25">
      <c r="C38" s="148" t="s">
        <v>19</v>
      </c>
      <c r="D38" t="s">
        <v>394</v>
      </c>
      <c r="E38" t="s">
        <v>395</v>
      </c>
      <c r="F38" t="s">
        <v>396</v>
      </c>
      <c r="G38" t="s">
        <v>397</v>
      </c>
      <c r="H38" s="16">
        <f>VLOOKUP(D38,Résultats!$B$2:$AX$476,'T energie vecteurs'!K5,FALSE)</f>
        <v>0</v>
      </c>
      <c r="I38" s="16">
        <f>VLOOKUP(E38,Résultats!$B$2:$AX$476,'T energie vecteurs'!K5,FALSE)</f>
        <v>22.80196634</v>
      </c>
      <c r="J38" s="16">
        <f>VLOOKUP(F38,Résultats!$B$2:$AX$476,'T energie vecteurs'!K5,FALSE)</f>
        <v>0.15432586170000001</v>
      </c>
      <c r="K38" s="16">
        <f>VLOOKUP(G51,Résultats!$B$2:$AX$476,'T energie vecteurs'!K5,FALSE)</f>
        <v>1.8428800199999999E-5</v>
      </c>
      <c r="L38" s="95">
        <f t="shared" si="10"/>
        <v>22.956310630500198</v>
      </c>
      <c r="M38" s="16"/>
      <c r="N38" s="148" t="s">
        <v>19</v>
      </c>
      <c r="O38" s="143"/>
      <c r="P38" s="16"/>
      <c r="Q38" s="34"/>
      <c r="R38" s="16"/>
      <c r="S38" s="95"/>
      <c r="T38" s="95"/>
      <c r="U38" s="148" t="s">
        <v>19</v>
      </c>
      <c r="V38" t="s">
        <v>394</v>
      </c>
      <c r="W38" t="s">
        <v>395</v>
      </c>
      <c r="X38" t="s">
        <v>396</v>
      </c>
      <c r="Y38" t="s">
        <v>397</v>
      </c>
      <c r="Z38" s="16">
        <v>0</v>
      </c>
      <c r="AA38" s="16">
        <v>22.934727110000001</v>
      </c>
      <c r="AB38" s="16">
        <v>0.147253986</v>
      </c>
      <c r="AC38" s="16">
        <v>1.34494696E-5</v>
      </c>
      <c r="AD38" s="95">
        <v>23.081994545469598</v>
      </c>
    </row>
    <row r="39" spans="3:30" x14ac:dyDescent="0.25">
      <c r="C39" s="149" t="s">
        <v>20</v>
      </c>
      <c r="D39" t="s">
        <v>398</v>
      </c>
      <c r="E39" t="s">
        <v>399</v>
      </c>
      <c r="F39" t="s">
        <v>400</v>
      </c>
      <c r="G39" t="s">
        <v>401</v>
      </c>
      <c r="H39" s="16">
        <f>VLOOKUP(D39,Résultats!$B$2:$AX$476,'T energie vecteurs'!K5,FALSE)</f>
        <v>0</v>
      </c>
      <c r="I39" s="16">
        <f>VLOOKUP(E39,Résultats!$B$2:$AX$476,'T energie vecteurs'!K5,FALSE)</f>
        <v>18.686356570000001</v>
      </c>
      <c r="J39" s="16">
        <f>VLOOKUP(F39,Résultats!$B$2:$AX$476,'T energie vecteurs'!K5,FALSE)</f>
        <v>1.7073838240000001</v>
      </c>
      <c r="K39" s="16">
        <f>VLOOKUP(G39,Résultats!$B$2:$AX$476,'T energie vecteurs'!K5,FALSE)</f>
        <v>0.38905146889999997</v>
      </c>
      <c r="L39" s="95">
        <f t="shared" si="10"/>
        <v>20.782791862900002</v>
      </c>
      <c r="M39" s="16"/>
      <c r="N39" s="149" t="s">
        <v>20</v>
      </c>
      <c r="O39" s="143"/>
      <c r="P39" s="16"/>
      <c r="Q39" s="34"/>
      <c r="R39" s="16"/>
      <c r="S39" s="95"/>
      <c r="T39" s="95"/>
      <c r="U39" s="149" t="s">
        <v>20</v>
      </c>
      <c r="V39" t="s">
        <v>398</v>
      </c>
      <c r="W39" t="s">
        <v>399</v>
      </c>
      <c r="X39" t="s">
        <v>400</v>
      </c>
      <c r="Y39" t="s">
        <v>401</v>
      </c>
      <c r="Z39" s="16">
        <v>0</v>
      </c>
      <c r="AA39" s="16">
        <v>18.875565430000002</v>
      </c>
      <c r="AB39" s="16">
        <v>1.634419928</v>
      </c>
      <c r="AC39" s="16">
        <v>0.38299724029999999</v>
      </c>
      <c r="AD39" s="95">
        <v>20.892982598300001</v>
      </c>
    </row>
    <row r="40" spans="3:30" x14ac:dyDescent="0.25">
      <c r="C40" s="147" t="s">
        <v>21</v>
      </c>
      <c r="D40" t="s">
        <v>402</v>
      </c>
      <c r="E40" t="s">
        <v>403</v>
      </c>
      <c r="F40" t="s">
        <v>404</v>
      </c>
      <c r="G40" t="s">
        <v>405</v>
      </c>
      <c r="H40" s="8">
        <f>VLOOKUP(D40,Résultats!$B$2:$AX$476,'T energie vecteurs'!K5,FALSE)</f>
        <v>0.30460656120000001</v>
      </c>
      <c r="I40" s="8">
        <f>VLOOKUP(E40,Résultats!$B$2:$AX$476,'T energie vecteurs'!K5,FALSE)</f>
        <v>6.3059604309999999</v>
      </c>
      <c r="J40" s="8">
        <f>VLOOKUP(F40,Résultats!$B$2:$AX$476,'T energie vecteurs'!K5,FALSE)</f>
        <v>14.500980800000001</v>
      </c>
      <c r="K40" s="8">
        <f>VLOOKUP(G40,Résultats!$B$2:$AX$476,'T energie vecteurs'!K5,FALSE)+2</f>
        <v>18.609698529999999</v>
      </c>
      <c r="L40" s="96">
        <f t="shared" si="10"/>
        <v>39.721246322200003</v>
      </c>
      <c r="M40" s="75"/>
      <c r="N40" s="150" t="s">
        <v>21</v>
      </c>
      <c r="O40" s="29">
        <f>'[2]Bilan 2022 réel'!$V$46/11.63</f>
        <v>2.6476317000000003E-2</v>
      </c>
      <c r="P40" s="28">
        <f>SUM('[2]Bilan 2022 réel'!$V$41:$V$43)/11.63</f>
        <v>3.5006052343</v>
      </c>
      <c r="Q40" s="28">
        <f>'[2]Bilan 2022 réel'!$V$13/11.63</f>
        <v>13.359407222699915</v>
      </c>
      <c r="R40" s="28">
        <f>('[2]Bilan 2022 réel'!$V$22+'[2]Bilan 2022 réel'!$V$30+SUM('[2]Bilan 2022 réel'!$V$36:$V$40)+SUM('[2]Bilan 2022 réel'!$V$44:$V$45)+'[2]Bilan 2022 réel'!$V$47)/11.63</f>
        <v>20.358936597126686</v>
      </c>
      <c r="S40" s="142">
        <f t="shared" ref="S40:S46" si="11">SUM(O40:R40)</f>
        <v>37.245425371126601</v>
      </c>
      <c r="T40" s="318">
        <f>S40-'[2]Bilan 2022 réel'!$V$40/11.63</f>
        <v>33.84496208174091</v>
      </c>
      <c r="U40" s="147" t="s">
        <v>21</v>
      </c>
      <c r="V40" t="s">
        <v>402</v>
      </c>
      <c r="W40" t="s">
        <v>403</v>
      </c>
      <c r="X40" t="s">
        <v>404</v>
      </c>
      <c r="Y40" t="s">
        <v>405</v>
      </c>
      <c r="Z40" s="8">
        <v>0.31219329709999999</v>
      </c>
      <c r="AA40" s="8">
        <v>6.2348415160000004</v>
      </c>
      <c r="AB40" s="8">
        <v>14.63904994</v>
      </c>
      <c r="AC40" s="8">
        <v>19.286858410000001</v>
      </c>
      <c r="AD40" s="96">
        <v>40.472943163099998</v>
      </c>
    </row>
    <row r="41" spans="3:30" x14ac:dyDescent="0.25">
      <c r="C41" s="147" t="s">
        <v>22</v>
      </c>
      <c r="D41" t="s">
        <v>406</v>
      </c>
      <c r="E41" t="s">
        <v>407</v>
      </c>
      <c r="F41" t="s">
        <v>408</v>
      </c>
      <c r="G41" t="s">
        <v>409</v>
      </c>
      <c r="H41" s="8">
        <f>VLOOKUP(D41,Résultats!$B$2:$AX$476,'T energie vecteurs'!K5,FALSE)</f>
        <v>0</v>
      </c>
      <c r="I41" s="8">
        <f>VLOOKUP(E41,Résultats!$B$2:$AX$476,'T energie vecteurs'!K5,FALSE)</f>
        <v>2.7561024930000002</v>
      </c>
      <c r="J41" s="8">
        <f>VLOOKUP(F41,Résultats!$B$2:$AX$476,'T energie vecteurs'!K5,FALSE)</f>
        <v>11.080014780000001</v>
      </c>
      <c r="K41" s="8">
        <f>VLOOKUP(G41,Résultats!$B$2:$AX$476,'T energie vecteurs'!K5,FALSE)</f>
        <v>7.7469857629999996</v>
      </c>
      <c r="L41" s="96">
        <f t="shared" si="10"/>
        <v>21.583103036000001</v>
      </c>
      <c r="M41" s="75"/>
      <c r="N41" s="150" t="s">
        <v>22</v>
      </c>
      <c r="O41" s="29">
        <f>('[2]Bilan 2022 réel'!$W$46)/11.63</f>
        <v>3.2835727999999995E-2</v>
      </c>
      <c r="P41" s="28">
        <f>SUM('[2]Bilan 2022 réel'!$W$41:$W$43)/11.63</f>
        <v>2.0815720291000002</v>
      </c>
      <c r="Q41" s="28">
        <f>('[2]Bilan 2022 réel'!$W$13)/11.63</f>
        <v>11.4388796216681</v>
      </c>
      <c r="R41" s="28">
        <f>('[2]Bilan 2022 réel'!$W$22+'[2]Bilan 2022 réel'!$W$30+SUM('[2]Bilan 2022 réel'!$W$36:$W$40)+SUM('[2]Bilan 2022 réel'!$W$44:$W$45)+'[2]Bilan 2022 réel'!$W$47)/11.63</f>
        <v>7.4016622456291197</v>
      </c>
      <c r="S41" s="142">
        <f t="shared" si="11"/>
        <v>20.954949624397219</v>
      </c>
      <c r="T41" s="318">
        <f>S41-'[2]Bilan 2022 réel'!$W$40/11.63</f>
        <v>20.534610033301394</v>
      </c>
      <c r="U41" s="147" t="s">
        <v>22</v>
      </c>
      <c r="V41" t="s">
        <v>406</v>
      </c>
      <c r="W41" t="s">
        <v>407</v>
      </c>
      <c r="X41" t="s">
        <v>408</v>
      </c>
      <c r="Y41" t="s">
        <v>409</v>
      </c>
      <c r="Z41" s="8">
        <v>0</v>
      </c>
      <c r="AA41" s="8">
        <v>2.6169436909999999</v>
      </c>
      <c r="AB41" s="8">
        <v>11.02221012</v>
      </c>
      <c r="AC41" s="8">
        <v>8.2857059690000003</v>
      </c>
      <c r="AD41" s="96">
        <v>21.924859779999998</v>
      </c>
    </row>
    <row r="42" spans="3:30" x14ac:dyDescent="0.25">
      <c r="C42" s="147" t="s">
        <v>23</v>
      </c>
      <c r="H42" s="8">
        <f>SUM(H43:H45)</f>
        <v>2.6128304736999999</v>
      </c>
      <c r="I42" s="8">
        <f>SUM(I43:I45)</f>
        <v>13.604149134999989</v>
      </c>
      <c r="J42" s="8">
        <f>SUM(J43:J45)</f>
        <v>9.5801682275999998</v>
      </c>
      <c r="K42" s="8">
        <f>SUM(K43:K45)</f>
        <v>15.447282278599999</v>
      </c>
      <c r="L42" s="96">
        <f t="shared" si="10"/>
        <v>41.244430114899991</v>
      </c>
      <c r="M42" s="75"/>
      <c r="N42" s="150" t="s">
        <v>490</v>
      </c>
      <c r="O42" s="29">
        <f>O43+O44</f>
        <v>4.5030917883254036</v>
      </c>
      <c r="P42" s="28">
        <f t="shared" ref="P42:R42" si="12">P43+P44</f>
        <v>11.747675010745624</v>
      </c>
      <c r="Q42" s="28">
        <f t="shared" si="12"/>
        <v>9.2559822012037838</v>
      </c>
      <c r="R42" s="28">
        <f t="shared" si="12"/>
        <v>13.798624448265977</v>
      </c>
      <c r="S42" s="142">
        <f t="shared" si="11"/>
        <v>39.305373448540784</v>
      </c>
      <c r="T42" s="318">
        <f t="shared" ref="T42" si="13">S42</f>
        <v>39.305373448540784</v>
      </c>
      <c r="U42" s="147" t="s">
        <v>23</v>
      </c>
      <c r="Z42" s="8">
        <v>2.5316255411999999</v>
      </c>
      <c r="AA42" s="8">
        <v>12.886592322</v>
      </c>
      <c r="AB42" s="8">
        <v>9.5034660708999894</v>
      </c>
      <c r="AC42" s="8">
        <v>16.1083081837</v>
      </c>
      <c r="AD42" s="96">
        <v>41.029992117799992</v>
      </c>
    </row>
    <row r="43" spans="3:30" x14ac:dyDescent="0.25">
      <c r="C43" s="149" t="s">
        <v>24</v>
      </c>
      <c r="D43" t="s">
        <v>410</v>
      </c>
      <c r="E43" t="s">
        <v>411</v>
      </c>
      <c r="F43" t="s">
        <v>412</v>
      </c>
      <c r="G43" t="s">
        <v>413</v>
      </c>
      <c r="H43" s="16">
        <f>VLOOKUP(D43,Résultats!$B$2:$AX$476,'T energie vecteurs'!K5,FALSE)</f>
        <v>1.7377502600000001</v>
      </c>
      <c r="I43" s="16">
        <f>VLOOKUP(E43,Résultats!$B$2:$AX$476,'T energie vecteurs'!K5,FALSE)</f>
        <v>9.1769543509999902</v>
      </c>
      <c r="J43" s="16">
        <f>VLOOKUP(F43,Résultats!$B$2:$AX$476,'T energie vecteurs'!K5,FALSE)</f>
        <v>9.2611877570000001</v>
      </c>
      <c r="K43" s="16">
        <f>VLOOKUP(G43,Résultats!$B$2:$AX$476,'T energie vecteurs'!K5,FALSE)</f>
        <v>12.92880918</v>
      </c>
      <c r="L43" s="95">
        <f t="shared" si="10"/>
        <v>33.104701547999994</v>
      </c>
      <c r="M43" s="16"/>
      <c r="N43" s="149" t="s">
        <v>491</v>
      </c>
      <c r="O43" s="143">
        <f>'[2]Bilan 2022 réel'!$U$46/11.63</f>
        <v>0.63402045200000001</v>
      </c>
      <c r="P43" s="30">
        <f>SUM('[2]Bilan 2022 réel'!$U$41:$U$43)/11.63</f>
        <v>2.4775829957456241</v>
      </c>
      <c r="Q43" s="30">
        <f>'[2]Bilan 2022 réel'!$U$13/11.63</f>
        <v>9.2559822012037838</v>
      </c>
      <c r="R43" s="30">
        <f>('[2]Bilan 2022 réel'!$U$22+'[2]Bilan 2022 réel'!$U$30+SUM('[2]Bilan 2022 réel'!$U$36:$U$40)+SUM('[2]Bilan 2022 réel'!$U$44:$U$45)+'[2]Bilan 2022 réel'!$U$47)/11.63</f>
        <v>12.926272664087129</v>
      </c>
      <c r="S43" s="95">
        <f t="shared" si="11"/>
        <v>25.293858313036537</v>
      </c>
      <c r="T43" s="95"/>
      <c r="U43" s="149" t="s">
        <v>24</v>
      </c>
      <c r="V43" t="s">
        <v>410</v>
      </c>
      <c r="W43" t="s">
        <v>411</v>
      </c>
      <c r="X43" t="s">
        <v>412</v>
      </c>
      <c r="Y43" t="s">
        <v>413</v>
      </c>
      <c r="Z43" s="16">
        <v>1.659046974</v>
      </c>
      <c r="AA43" s="16">
        <v>8.5065270589999997</v>
      </c>
      <c r="AB43" s="16">
        <v>9.1865033539999903</v>
      </c>
      <c r="AC43" s="16">
        <v>13.536308180000001</v>
      </c>
      <c r="AD43" s="95">
        <v>32.888385566999993</v>
      </c>
    </row>
    <row r="44" spans="3:30" x14ac:dyDescent="0.25">
      <c r="C44" s="149" t="s">
        <v>47</v>
      </c>
      <c r="D44" t="s">
        <v>414</v>
      </c>
      <c r="E44" t="s">
        <v>415</v>
      </c>
      <c r="F44" t="s">
        <v>416</v>
      </c>
      <c r="G44" t="s">
        <v>417</v>
      </c>
      <c r="H44" s="16">
        <f>VLOOKUP(D44,Résultats!$B$2:$AX$476,'T energie vecteurs'!K5,FALSE)</f>
        <v>0.8750802137</v>
      </c>
      <c r="I44" s="16">
        <f>VLOOKUP(E44,Résultats!$B$2:$AX$476,'T energie vecteurs'!K5,FALSE)</f>
        <v>1.9165839339999999</v>
      </c>
      <c r="J44" s="16">
        <f>VLOOKUP(F44,Résultats!$B$2:$AX$476,'T energie vecteurs'!K5,FALSE)</f>
        <v>0</v>
      </c>
      <c r="K44" s="16">
        <f>VLOOKUP(G44,Résultats!$B$2:$AX$476,'T energie vecteurs'!K5,FALSE)</f>
        <v>2.1370487680000001</v>
      </c>
      <c r="L44" s="95">
        <f t="shared" si="10"/>
        <v>4.9287129157000003</v>
      </c>
      <c r="M44" s="16"/>
      <c r="N44" s="149" t="s">
        <v>47</v>
      </c>
      <c r="O44" s="22">
        <f>'[2]Bilan 2022 réel'!$E$52/11.63</f>
        <v>3.8690713363254039</v>
      </c>
      <c r="P44" s="16">
        <f>('[2]Bilan 2022 réel'!$E$54+'[2]Bilan 2022 réel'!$E$56)/11.63</f>
        <v>9.2700920149999995</v>
      </c>
      <c r="Q44" s="16">
        <v>0</v>
      </c>
      <c r="R44" s="16">
        <f>('[2]Bilan 2022 réel'!$E$53+'[2]Bilan 2022 réel'!$E$55+'[2]Bilan 2022 réel'!$E$57)/11.63</f>
        <v>0.87235178417884784</v>
      </c>
      <c r="S44" s="95">
        <f t="shared" si="11"/>
        <v>14.011515135504252</v>
      </c>
      <c r="T44" s="95"/>
      <c r="U44" s="149" t="s">
        <v>47</v>
      </c>
      <c r="V44" t="s">
        <v>414</v>
      </c>
      <c r="W44" t="s">
        <v>415</v>
      </c>
      <c r="X44" t="s">
        <v>416</v>
      </c>
      <c r="Y44" t="s">
        <v>417</v>
      </c>
      <c r="Z44" s="16">
        <v>0.87257856720000004</v>
      </c>
      <c r="AA44" s="16">
        <v>1.9171234580000001</v>
      </c>
      <c r="AB44" s="16">
        <v>0</v>
      </c>
      <c r="AC44" s="16">
        <v>2.1893607770000001</v>
      </c>
      <c r="AD44" s="95">
        <v>4.9790628021999996</v>
      </c>
    </row>
    <row r="45" spans="3:30" x14ac:dyDescent="0.25">
      <c r="C45" s="149" t="s">
        <v>25</v>
      </c>
      <c r="D45" t="s">
        <v>418</v>
      </c>
      <c r="E45" t="s">
        <v>419</v>
      </c>
      <c r="F45" t="s">
        <v>420</v>
      </c>
      <c r="G45" t="s">
        <v>421</v>
      </c>
      <c r="H45" s="16">
        <f>VLOOKUP(D45,Résultats!$B$2:$AX$476,'T energie vecteurs'!K5,FALSE)</f>
        <v>0</v>
      </c>
      <c r="I45" s="16">
        <f>VLOOKUP(E45,Résultats!$B$2:$AX$476,'T energie vecteurs'!K5,FALSE)</f>
        <v>2.5106108499999999</v>
      </c>
      <c r="J45" s="16">
        <f>VLOOKUP(F45,Résultats!$B$2:$AX$476,'T energie vecteurs'!K5,FALSE)</f>
        <v>0.31898047060000001</v>
      </c>
      <c r="K45" s="16">
        <f>VLOOKUP(G45,Résultats!$B$2:$AX$476,'T energie vecteurs'!K5,FALSE)</f>
        <v>0.38142433060000003</v>
      </c>
      <c r="L45" s="95">
        <f t="shared" si="10"/>
        <v>3.2110156512000003</v>
      </c>
      <c r="M45" s="16"/>
      <c r="N45" s="150" t="s">
        <v>25</v>
      </c>
      <c r="O45" s="29">
        <f>'[2]Bilan 2022 réel'!$T$46/11.63</f>
        <v>1.651664E-3</v>
      </c>
      <c r="P45" s="28">
        <f>SUM('[2]Bilan 2022 réel'!$T$41:$T$43)/11.63</f>
        <v>3.5697769387513203</v>
      </c>
      <c r="Q45" s="28">
        <f>'[2]Bilan 2022 réel'!$T$13/11.63</f>
        <v>0.67291487532244199</v>
      </c>
      <c r="R45" s="28">
        <f>('[2]Bilan 2022 réel'!$T$22+'[2]Bilan 2022 réel'!$T$30+SUM('[2]Bilan 2022 réel'!$T$36:$T$40)+SUM('[2]Bilan 2022 réel'!$T$44:$T$45)+'[2]Bilan 2022 réel'!$T$47)/11.63</f>
        <v>0.43996563007547523</v>
      </c>
      <c r="S45" s="142">
        <f t="shared" si="11"/>
        <v>4.6843091081492378</v>
      </c>
      <c r="T45" s="318">
        <f>S45</f>
        <v>4.6843091081492378</v>
      </c>
      <c r="U45" s="149" t="s">
        <v>25</v>
      </c>
      <c r="V45" t="s">
        <v>418</v>
      </c>
      <c r="W45" t="s">
        <v>419</v>
      </c>
      <c r="X45" t="s">
        <v>420</v>
      </c>
      <c r="Y45" t="s">
        <v>421</v>
      </c>
      <c r="Z45" s="16">
        <v>0</v>
      </c>
      <c r="AA45" s="16">
        <v>2.4629418049999998</v>
      </c>
      <c r="AB45" s="16">
        <v>0.3169627169</v>
      </c>
      <c r="AC45" s="16">
        <v>0.3826392267</v>
      </c>
      <c r="AD45" s="95">
        <v>3.1625437485999996</v>
      </c>
    </row>
    <row r="46" spans="3:30" x14ac:dyDescent="0.25">
      <c r="C46" s="23" t="s">
        <v>26</v>
      </c>
      <c r="D46" s="10"/>
      <c r="E46" s="10"/>
      <c r="F46" s="10"/>
      <c r="G46" s="10"/>
      <c r="H46" s="9">
        <f>SUM(H37,H40:H42)</f>
        <v>2.9174370348999998</v>
      </c>
      <c r="I46" s="9">
        <f>SUM(I37,I40:I42)</f>
        <v>64.154534968999997</v>
      </c>
      <c r="J46" s="9">
        <f>SUM(J37,J40:J42)</f>
        <v>37.022873493299997</v>
      </c>
      <c r="K46" s="9">
        <f>SUM(K37,K40:K42)</f>
        <v>42.193036469300196</v>
      </c>
      <c r="L46" s="98">
        <f t="shared" si="10"/>
        <v>146.28788196650021</v>
      </c>
      <c r="M46" s="79"/>
      <c r="N46" s="151" t="s">
        <v>26</v>
      </c>
      <c r="O46" s="32">
        <f>O37+O40+O41+O42+O45</f>
        <v>4.5640554973254037</v>
      </c>
      <c r="P46" s="31">
        <f>P37+P40+P41+P42+P45</f>
        <v>64.295512199141086</v>
      </c>
      <c r="Q46" s="31">
        <f>Q37+Q40+Q41+Q42+Q45</f>
        <v>35.657811435941532</v>
      </c>
      <c r="R46" s="31">
        <f>R37+R40+R41+R42+R45</f>
        <v>42.318045756866823</v>
      </c>
      <c r="S46" s="144">
        <f t="shared" si="11"/>
        <v>146.83542488927486</v>
      </c>
      <c r="T46" s="319">
        <f>SUM(T37:T45)</f>
        <v>143.01462200879334</v>
      </c>
      <c r="U46" s="23" t="s">
        <v>26</v>
      </c>
      <c r="V46" s="10"/>
      <c r="W46" s="10"/>
      <c r="X46" s="10"/>
      <c r="Y46" s="10"/>
      <c r="Z46" s="9">
        <v>2.8438188382999998</v>
      </c>
      <c r="AA46" s="9">
        <v>63.548670069000011</v>
      </c>
      <c r="AB46" s="9">
        <v>36.946400044899988</v>
      </c>
      <c r="AC46" s="9">
        <v>44.063883252469594</v>
      </c>
      <c r="AD46" s="98">
        <v>147.40277220466959</v>
      </c>
    </row>
    <row r="47" spans="3:30" s="3" customFormat="1" x14ac:dyDescent="0.25">
      <c r="H47" s="45"/>
      <c r="I47" s="45"/>
      <c r="J47" s="45"/>
      <c r="K47" s="45"/>
      <c r="L47" s="45"/>
      <c r="M47" s="45"/>
      <c r="N47" s="45"/>
      <c r="O47" s="77"/>
      <c r="P47" s="77"/>
      <c r="Q47" s="77"/>
      <c r="R47" s="78"/>
      <c r="S47" s="45"/>
      <c r="T47" s="45"/>
      <c r="Z47" s="45"/>
      <c r="AA47" s="45"/>
      <c r="AB47" s="45"/>
      <c r="AC47" s="45"/>
      <c r="AD47" s="45"/>
    </row>
    <row r="48" spans="3:30" s="3" customFormat="1" x14ac:dyDescent="0.25"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Z48" s="45"/>
      <c r="AA48" s="45"/>
      <c r="AB48" s="45"/>
      <c r="AC48" s="45"/>
      <c r="AD48" s="45"/>
    </row>
    <row r="49" spans="2:30" ht="31.5" x14ac:dyDescent="0.35">
      <c r="C49" s="145">
        <v>2023</v>
      </c>
      <c r="D49" s="146"/>
      <c r="E49" s="146"/>
      <c r="F49" s="146"/>
      <c r="G49" s="146"/>
      <c r="H49" s="76" t="s">
        <v>36</v>
      </c>
      <c r="I49" s="76" t="s">
        <v>49</v>
      </c>
      <c r="J49" s="76" t="s">
        <v>38</v>
      </c>
      <c r="K49" s="76" t="s">
        <v>48</v>
      </c>
      <c r="L49" s="93" t="s">
        <v>1</v>
      </c>
      <c r="M49" s="19"/>
      <c r="N49" s="145">
        <v>2023</v>
      </c>
      <c r="O49" s="141" t="s">
        <v>36</v>
      </c>
      <c r="P49" s="76" t="s">
        <v>49</v>
      </c>
      <c r="Q49" s="76" t="s">
        <v>38</v>
      </c>
      <c r="R49" s="76" t="s">
        <v>48</v>
      </c>
      <c r="S49" s="93" t="s">
        <v>1</v>
      </c>
      <c r="T49" s="317" t="s">
        <v>543</v>
      </c>
      <c r="U49" s="145">
        <v>2023</v>
      </c>
      <c r="V49" s="146"/>
      <c r="W49" s="146"/>
      <c r="X49" s="146"/>
      <c r="Y49" s="146"/>
      <c r="Z49" s="76" t="s">
        <v>36</v>
      </c>
      <c r="AA49" s="76" t="s">
        <v>49</v>
      </c>
      <c r="AB49" s="76" t="s">
        <v>38</v>
      </c>
      <c r="AC49" s="76" t="s">
        <v>48</v>
      </c>
      <c r="AD49" s="93" t="s">
        <v>1</v>
      </c>
    </row>
    <row r="50" spans="2:30" x14ac:dyDescent="0.25">
      <c r="C50" s="147" t="s">
        <v>18</v>
      </c>
      <c r="H50" s="8">
        <f>SUM(H51:H52)</f>
        <v>0</v>
      </c>
      <c r="I50" s="8">
        <f>SUM(I51:I52)</f>
        <v>41.473366009999999</v>
      </c>
      <c r="J50" s="8">
        <f>SUM(J51:J52)</f>
        <v>2.0212714422999998</v>
      </c>
      <c r="K50" s="8">
        <f>SUM(K51:K52)</f>
        <v>0.43239412767289997</v>
      </c>
      <c r="L50" s="96">
        <f>SUM(H50:K50)</f>
        <v>43.927031579972898</v>
      </c>
      <c r="M50" s="75"/>
      <c r="N50" s="150" t="s">
        <v>18</v>
      </c>
      <c r="O50" s="29">
        <f>'[2]Bilan 2023 réel'!$X$46/11.63</f>
        <v>0</v>
      </c>
      <c r="P50" s="28">
        <f>SUM('[2]Bilan 2023 réel'!$X$41:$X$43)/11.63</f>
        <v>42.139633010859157</v>
      </c>
      <c r="Q50" s="28">
        <f>'[2]Bilan 2023 réel'!$X$13/11.63</f>
        <v>0.9065512467755803</v>
      </c>
      <c r="R50" s="28">
        <f>('[2]Bilan 2023 réel'!$X$22+'[2]Bilan 2023 réel'!$X$30+SUM('[2]Bilan 2023 réel'!$X$36:$X$40)+SUM('[2]Bilan 2023 réel'!$X$44:$X$45)+'[2]Bilan 2023 réel'!$X$47)/11.63</f>
        <v>0.31885683576956142</v>
      </c>
      <c r="S50" s="142">
        <f>SUM(O50:R50)</f>
        <v>43.365041093404294</v>
      </c>
      <c r="T50" s="318">
        <f>S50</f>
        <v>43.365041093404294</v>
      </c>
      <c r="U50" s="147" t="s">
        <v>18</v>
      </c>
      <c r="Z50" s="8">
        <v>0</v>
      </c>
      <c r="AA50" s="8">
        <v>41.79505709</v>
      </c>
      <c r="AB50" s="8">
        <v>1.8590193426999999</v>
      </c>
      <c r="AC50" s="8">
        <v>0.42742611304540001</v>
      </c>
      <c r="AD50" s="96">
        <v>44.081502545745401</v>
      </c>
    </row>
    <row r="51" spans="2:30" x14ac:dyDescent="0.25">
      <c r="C51" s="148" t="s">
        <v>19</v>
      </c>
      <c r="D51" t="s">
        <v>394</v>
      </c>
      <c r="E51" t="s">
        <v>395</v>
      </c>
      <c r="F51" t="s">
        <v>396</v>
      </c>
      <c r="G51" t="s">
        <v>397</v>
      </c>
      <c r="H51" s="16">
        <f>VLOOKUP(D51,Résultats!$B$2:$AX$476,'T energie vecteurs'!L5,FALSE)</f>
        <v>0</v>
      </c>
      <c r="I51" s="16">
        <f>VLOOKUP(E51,Résultats!$B$2:$AX$476,'T energie vecteurs'!L5,FALSE)</f>
        <v>22.507548719999999</v>
      </c>
      <c r="J51" s="16">
        <f>VLOOKUP(F51,Résultats!$B$2:$AX$476,'T energie vecteurs'!L5,FALSE)</f>
        <v>0.19629097130000001</v>
      </c>
      <c r="K51" s="16">
        <f>VLOOKUP(G51,Résultats!$B$2:$AX$476,'T energie vecteurs'!L5,FALSE)</f>
        <v>2.0997572900000002E-5</v>
      </c>
      <c r="L51" s="95">
        <f t="shared" ref="L51:L52" si="14">SUM(H51:K51)</f>
        <v>22.703860688872901</v>
      </c>
      <c r="M51" s="16"/>
      <c r="N51" s="148" t="s">
        <v>19</v>
      </c>
      <c r="O51" s="143"/>
      <c r="P51" s="16"/>
      <c r="Q51" s="34"/>
      <c r="R51" s="16"/>
      <c r="S51" s="95"/>
      <c r="T51" s="95"/>
      <c r="U51" s="148" t="s">
        <v>19</v>
      </c>
      <c r="V51" t="s">
        <v>394</v>
      </c>
      <c r="W51" t="s">
        <v>395</v>
      </c>
      <c r="X51" t="s">
        <v>396</v>
      </c>
      <c r="Y51" t="s">
        <v>397</v>
      </c>
      <c r="Z51" s="16">
        <v>0</v>
      </c>
      <c r="AA51" s="16">
        <v>22.627866640000001</v>
      </c>
      <c r="AB51" s="16">
        <v>0.1873554127</v>
      </c>
      <c r="AC51" s="16">
        <v>1.5800445400000002E-5</v>
      </c>
      <c r="AD51" s="95">
        <v>22.815237853145401</v>
      </c>
    </row>
    <row r="52" spans="2:30" x14ac:dyDescent="0.25">
      <c r="C52" s="149" t="s">
        <v>20</v>
      </c>
      <c r="D52" t="s">
        <v>398</v>
      </c>
      <c r="E52" t="s">
        <v>399</v>
      </c>
      <c r="F52" t="s">
        <v>400</v>
      </c>
      <c r="G52" t="s">
        <v>401</v>
      </c>
      <c r="H52" s="16">
        <f>VLOOKUP(D52,Résultats!$B$2:$AX$476,'T energie vecteurs'!L5,FALSE)</f>
        <v>0</v>
      </c>
      <c r="I52" s="16">
        <f>VLOOKUP(E52,Résultats!$B$2:$AX$476,'T energie vecteurs'!L5,FALSE)</f>
        <v>18.96581729</v>
      </c>
      <c r="J52" s="16">
        <f>VLOOKUP(F52,Résultats!$B$2:$AX$476,'T energie vecteurs'!L5,FALSE)</f>
        <v>1.8249804709999999</v>
      </c>
      <c r="K52" s="16">
        <f>VLOOKUP(G52,Résultats!$B$2:$AX$476,'T energie vecteurs'!L5,FALSE)</f>
        <v>0.4323731301</v>
      </c>
      <c r="L52" s="95">
        <f t="shared" si="14"/>
        <v>21.223170891100001</v>
      </c>
      <c r="M52" s="16"/>
      <c r="N52" s="149" t="s">
        <v>20</v>
      </c>
      <c r="O52" s="143"/>
      <c r="P52" s="16"/>
      <c r="Q52" s="34"/>
      <c r="R52" s="16"/>
      <c r="S52" s="95"/>
      <c r="T52" s="95"/>
      <c r="U52" s="149" t="s">
        <v>20</v>
      </c>
      <c r="V52" t="s">
        <v>398</v>
      </c>
      <c r="W52" t="s">
        <v>399</v>
      </c>
      <c r="X52" t="s">
        <v>400</v>
      </c>
      <c r="Y52" t="s">
        <v>401</v>
      </c>
      <c r="Z52" s="16">
        <v>0</v>
      </c>
      <c r="AA52" s="16">
        <v>19.16719045</v>
      </c>
      <c r="AB52" s="16">
        <v>1.67166393</v>
      </c>
      <c r="AC52" s="16">
        <v>0.42741031260000001</v>
      </c>
      <c r="AD52" s="95">
        <v>21.2662646926</v>
      </c>
    </row>
    <row r="53" spans="2:30" x14ac:dyDescent="0.25">
      <c r="C53" s="147" t="s">
        <v>21</v>
      </c>
      <c r="D53" t="s">
        <v>402</v>
      </c>
      <c r="E53" t="s">
        <v>403</v>
      </c>
      <c r="F53" t="s">
        <v>404</v>
      </c>
      <c r="G53" t="s">
        <v>405</v>
      </c>
      <c r="H53" s="8">
        <f>VLOOKUP(D53,Résultats!$B$2:$AX$476,'T energie vecteurs'!L5,FALSE)</f>
        <v>0.2983274782</v>
      </c>
      <c r="I53" s="293">
        <f>VLOOKUP(E53,Résultats!$B$2:$AX$476,'T energie vecteurs'!L5,FALSE)</f>
        <v>6.2308981709999998</v>
      </c>
      <c r="J53" s="8">
        <f>VLOOKUP(F53,Résultats!$B$2:$AX$476,'T energie vecteurs'!L5,FALSE)</f>
        <v>14.598317679999999</v>
      </c>
      <c r="K53" s="8">
        <f>VLOOKUP(G53,Résultats!$B$2:$AX$476,'T energie vecteurs'!L5,FALSE)+2</f>
        <v>18.48666682</v>
      </c>
      <c r="L53" s="96">
        <f>SUM(H53:K53)</f>
        <v>39.614210149199998</v>
      </c>
      <c r="M53" s="75"/>
      <c r="N53" s="150" t="s">
        <v>21</v>
      </c>
      <c r="O53" s="29">
        <f>'[2]Bilan 2023 réel'!$V$46/11.63</f>
        <v>1.9785054E-2</v>
      </c>
      <c r="P53" s="28">
        <f>SUM('[2]Bilan 2023 réel'!$V$41:$V$43)/11.63</f>
        <v>3.0423469738</v>
      </c>
      <c r="Q53" s="28">
        <f>'[2]Bilan 2023 réel'!$V$13/11.63</f>
        <v>13.020267239896821</v>
      </c>
      <c r="R53" s="28">
        <f>('[2]Bilan 2023 réel'!$V$22+'[2]Bilan 2023 réel'!$V$30+SUM('[2]Bilan 2023 réel'!$V$36:$V$40)+SUM('[2]Bilan 2023 réel'!$V$44:$V$45)+'[2]Bilan 2023 réel'!$V$47)/11.63</f>
        <v>20.330842243575045</v>
      </c>
      <c r="S53" s="142">
        <f t="shared" ref="S53:S59" si="15">SUM(O53:R53)</f>
        <v>36.413241511271863</v>
      </c>
      <c r="T53" s="318">
        <f>S53-'[2]Bilan 2023 réel'!$V$40/11.63</f>
        <v>32.592131092813851</v>
      </c>
      <c r="U53" s="147" t="s">
        <v>21</v>
      </c>
      <c r="V53" t="s">
        <v>402</v>
      </c>
      <c r="W53" t="s">
        <v>403</v>
      </c>
      <c r="X53" t="s">
        <v>404</v>
      </c>
      <c r="Y53" t="s">
        <v>405</v>
      </c>
      <c r="Z53" s="8">
        <v>0.30512125890000003</v>
      </c>
      <c r="AA53" s="293">
        <v>6.1019220350000003</v>
      </c>
      <c r="AB53" s="8">
        <v>14.689910149999999</v>
      </c>
      <c r="AC53" s="8">
        <v>19.327403960000002</v>
      </c>
      <c r="AD53" s="96">
        <v>40.424357403900004</v>
      </c>
    </row>
    <row r="54" spans="2:30" x14ac:dyDescent="0.25">
      <c r="C54" s="147" t="s">
        <v>22</v>
      </c>
      <c r="D54" t="s">
        <v>406</v>
      </c>
      <c r="E54" t="s">
        <v>407</v>
      </c>
      <c r="F54" t="s">
        <v>408</v>
      </c>
      <c r="G54" t="s">
        <v>409</v>
      </c>
      <c r="H54" s="8">
        <f>VLOOKUP(D54,Résultats!$B$2:$AX$476,'T energie vecteurs'!L5,FALSE)</f>
        <v>0</v>
      </c>
      <c r="I54" s="8">
        <f>VLOOKUP(E54,Résultats!$B$2:$AX$476,'T energie vecteurs'!L5,FALSE)</f>
        <v>2.7736716160000001</v>
      </c>
      <c r="J54" s="8">
        <f>VLOOKUP(F54,Résultats!$B$2:$AX$476,'T energie vecteurs'!L5,FALSE)</f>
        <v>11.00787156</v>
      </c>
      <c r="K54" s="8">
        <f>VLOOKUP(G54,Résultats!$B$2:$AX$476,'T energie vecteurs'!L5,FALSE)</f>
        <v>7.7152079020000004</v>
      </c>
      <c r="L54" s="96">
        <f t="shared" ref="L54:L56" si="16">SUM(H54:K54)</f>
        <v>21.496751077999999</v>
      </c>
      <c r="M54" s="75"/>
      <c r="N54" s="150" t="s">
        <v>22</v>
      </c>
      <c r="O54" s="29">
        <f>('[2]Bilan 2023 réel'!$W$46)/11.63</f>
        <v>2.9470376E-2</v>
      </c>
      <c r="P54" s="28">
        <f>SUM('[2]Bilan 2023 réel'!$W$41:$W$43)/11.63</f>
        <v>2.063881609425366</v>
      </c>
      <c r="Q54" s="28">
        <f>('[2]Bilan 2023 réel'!$W$13)/11.63</f>
        <v>11.200373602751505</v>
      </c>
      <c r="R54" s="28">
        <f>('[2]Bilan 2023 réel'!$W$22+'[2]Bilan 2023 réel'!$W$30+SUM('[2]Bilan 2023 réel'!$W$36:$W$40)+SUM('[2]Bilan 2023 réel'!$W$44:$W$45)+'[2]Bilan 2023 réel'!$W$47)/11.63</f>
        <v>7.0633917765357781</v>
      </c>
      <c r="S54" s="142">
        <f t="shared" si="15"/>
        <v>20.35711736471265</v>
      </c>
      <c r="T54" s="318">
        <f>S54-'[2]Bilan 2023 réel'!$W$40/11.63</f>
        <v>19.922166758044071</v>
      </c>
      <c r="U54" s="147" t="s">
        <v>22</v>
      </c>
      <c r="V54" t="s">
        <v>406</v>
      </c>
      <c r="W54" t="s">
        <v>407</v>
      </c>
      <c r="X54" t="s">
        <v>408</v>
      </c>
      <c r="Y54" t="s">
        <v>409</v>
      </c>
      <c r="Z54" s="8">
        <v>0</v>
      </c>
      <c r="AA54" s="8">
        <v>2.616496331</v>
      </c>
      <c r="AB54" s="8">
        <v>10.91774199</v>
      </c>
      <c r="AC54" s="8">
        <v>8.4215917149999999</v>
      </c>
      <c r="AD54" s="96">
        <v>21.955830036000002</v>
      </c>
    </row>
    <row r="55" spans="2:30" x14ac:dyDescent="0.25">
      <c r="C55" s="147" t="s">
        <v>23</v>
      </c>
      <c r="H55" s="8">
        <f>SUM(H56:H58)</f>
        <v>2.6376581314000003</v>
      </c>
      <c r="I55" s="8">
        <f>SUM(I56:I58)</f>
        <v>13.720445839</v>
      </c>
      <c r="J55" s="8">
        <f>SUM(J56:J58)</f>
        <v>9.8653564679999999</v>
      </c>
      <c r="K55" s="8">
        <f>SUM(K56:K58)</f>
        <v>15.707005239600001</v>
      </c>
      <c r="L55" s="96">
        <f t="shared" si="16"/>
        <v>41.930465678000004</v>
      </c>
      <c r="M55" s="75"/>
      <c r="N55" s="150" t="s">
        <v>490</v>
      </c>
      <c r="O55" s="29">
        <f>O56+O57</f>
        <v>3.8091541290558895</v>
      </c>
      <c r="P55" s="28">
        <f t="shared" ref="P55:R55" si="17">P56+P57</f>
        <v>12.120619615422576</v>
      </c>
      <c r="Q55" s="28">
        <f t="shared" si="17"/>
        <v>8.8688043852106624</v>
      </c>
      <c r="R55" s="28">
        <f t="shared" si="17"/>
        <v>13.009554326375659</v>
      </c>
      <c r="S55" s="142">
        <f t="shared" si="15"/>
        <v>37.808132456064783</v>
      </c>
      <c r="T55" s="318">
        <f t="shared" ref="T55" si="18">S55</f>
        <v>37.808132456064783</v>
      </c>
      <c r="U55" s="147" t="s">
        <v>23</v>
      </c>
      <c r="Z55" s="8">
        <v>2.5454173838999998</v>
      </c>
      <c r="AA55" s="8">
        <v>12.905544303000001</v>
      </c>
      <c r="AB55" s="8">
        <v>9.7506805192999995</v>
      </c>
      <c r="AC55" s="8">
        <v>16.621019773</v>
      </c>
      <c r="AD55" s="96">
        <v>41.822661979199999</v>
      </c>
    </row>
    <row r="56" spans="2:30" x14ac:dyDescent="0.25">
      <c r="C56" s="149" t="s">
        <v>24</v>
      </c>
      <c r="D56" t="s">
        <v>410</v>
      </c>
      <c r="E56" t="s">
        <v>411</v>
      </c>
      <c r="F56" t="s">
        <v>412</v>
      </c>
      <c r="G56" t="s">
        <v>413</v>
      </c>
      <c r="H56" s="16">
        <f>VLOOKUP(D56,Résultats!$B$2:$AX$476,'T energie vecteurs'!L5,FALSE)</f>
        <v>1.743188564</v>
      </c>
      <c r="I56" s="16">
        <f>VLOOKUP(E56,Résultats!$B$2:$AX$476,'T energie vecteurs'!L5,FALSE)</f>
        <v>9.1751252650000001</v>
      </c>
      <c r="J56" s="16">
        <f>VLOOKUP(F56,Résultats!$B$2:$AX$476,'T energie vecteurs'!L5,FALSE)</f>
        <v>9.5406243120000003</v>
      </c>
      <c r="K56" s="16">
        <f>VLOOKUP(G56,Résultats!$B$2:$AX$476,'T energie vecteurs'!L5,FALSE)</f>
        <v>13.14371289</v>
      </c>
      <c r="L56" s="95">
        <f t="shared" si="16"/>
        <v>33.602651031000001</v>
      </c>
      <c r="M56" s="16"/>
      <c r="N56" s="149" t="s">
        <v>491</v>
      </c>
      <c r="O56" s="143">
        <f>'[2]Bilan 2023 réel'!$U$46/11.63</f>
        <v>0.58092196100000004</v>
      </c>
      <c r="P56" s="30">
        <f>SUM('[2]Bilan 2023 réel'!$U$41:$U$43)/11.63</f>
        <v>2.395717067522579</v>
      </c>
      <c r="Q56" s="30">
        <f>'[2]Bilan 2023 réel'!$U$13/11.63</f>
        <v>8.8688043852106624</v>
      </c>
      <c r="R56" s="30">
        <f>('[2]Bilan 2023 réel'!$U$22+'[2]Bilan 2023 réel'!$U$30+SUM('[2]Bilan 2023 réel'!$U$36:$U$40)+SUM('[2]Bilan 2023 réel'!$U$44:$U$45)+'[2]Bilan 2023 réel'!$U$47)/11.63</f>
        <v>12.148361914509794</v>
      </c>
      <c r="S56" s="95">
        <f t="shared" si="15"/>
        <v>23.993805328243035</v>
      </c>
      <c r="T56" s="95"/>
      <c r="U56" s="149" t="s">
        <v>24</v>
      </c>
      <c r="V56" t="s">
        <v>410</v>
      </c>
      <c r="W56" t="s">
        <v>411</v>
      </c>
      <c r="X56" t="s">
        <v>412</v>
      </c>
      <c r="Y56" t="s">
        <v>413</v>
      </c>
      <c r="Z56" s="16">
        <v>1.653892642</v>
      </c>
      <c r="AA56" s="16">
        <v>8.4094103610000008</v>
      </c>
      <c r="AB56" s="16">
        <v>9.4270447920000002</v>
      </c>
      <c r="AC56" s="16">
        <v>13.98445794</v>
      </c>
      <c r="AD56" s="95">
        <v>33.474805735000004</v>
      </c>
    </row>
    <row r="57" spans="2:30" x14ac:dyDescent="0.25">
      <c r="C57" s="149" t="s">
        <v>47</v>
      </c>
      <c r="D57" t="s">
        <v>414</v>
      </c>
      <c r="E57" t="s">
        <v>415</v>
      </c>
      <c r="F57" t="s">
        <v>416</v>
      </c>
      <c r="G57" t="s">
        <v>417</v>
      </c>
      <c r="H57" s="16">
        <f>VLOOKUP(D57,Résultats!$B$2:$AX$476,'T energie vecteurs'!L5,FALSE)</f>
        <v>0.89446956740000005</v>
      </c>
      <c r="I57" s="16">
        <f>VLOOKUP(E57,Résultats!$B$2:$AX$476,'T energie vecteurs'!L5,FALSE)</f>
        <v>1.958048054</v>
      </c>
      <c r="J57" s="16">
        <f>VLOOKUP(F57,Résultats!$B$2:$AX$476,'T energie vecteurs'!L5,FALSE)</f>
        <v>0</v>
      </c>
      <c r="K57" s="16">
        <f>VLOOKUP(G57,Résultats!$B$2:$AX$476,'T energie vecteurs'!L5,FALSE)</f>
        <v>2.172098842</v>
      </c>
      <c r="L57" s="95">
        <f>SUM(H57:K57)</f>
        <v>5.0246164634000001</v>
      </c>
      <c r="M57" s="16"/>
      <c r="N57" s="149" t="s">
        <v>47</v>
      </c>
      <c r="O57" s="22">
        <f>'[2]Bilan 2023 réel'!$E$52/11.63</f>
        <v>3.2282321680558894</v>
      </c>
      <c r="P57" s="16">
        <f>('[2]Bilan 2023 réel'!$E$54+'[2]Bilan 2023 réel'!$E$56)/11.63</f>
        <v>9.7249025478999975</v>
      </c>
      <c r="Q57" s="16">
        <v>0</v>
      </c>
      <c r="R57" s="16">
        <f>('[2]Bilan 2023 réel'!$E$53+'[2]Bilan 2023 réel'!$E$55+'[2]Bilan 2023 réel'!$E$57)/11.63</f>
        <v>0.86119241186586415</v>
      </c>
      <c r="S57" s="95">
        <f t="shared" si="15"/>
        <v>13.814327127821752</v>
      </c>
      <c r="T57" s="95"/>
      <c r="U57" s="149" t="s">
        <v>47</v>
      </c>
      <c r="V57" t="s">
        <v>414</v>
      </c>
      <c r="W57" t="s">
        <v>415</v>
      </c>
      <c r="X57" t="s">
        <v>416</v>
      </c>
      <c r="Y57" t="s">
        <v>417</v>
      </c>
      <c r="Z57" s="16">
        <v>0.89152474189999997</v>
      </c>
      <c r="AA57" s="16">
        <v>1.9571456359999999</v>
      </c>
      <c r="AB57" s="16">
        <v>0</v>
      </c>
      <c r="AC57" s="16">
        <v>2.237317869</v>
      </c>
      <c r="AD57" s="95">
        <v>5.0859882468999995</v>
      </c>
    </row>
    <row r="58" spans="2:30" x14ac:dyDescent="0.25">
      <c r="C58" s="149" t="s">
        <v>25</v>
      </c>
      <c r="D58" t="s">
        <v>418</v>
      </c>
      <c r="E58" t="s">
        <v>419</v>
      </c>
      <c r="F58" t="s">
        <v>420</v>
      </c>
      <c r="G58" t="s">
        <v>421</v>
      </c>
      <c r="H58" s="16">
        <f>VLOOKUP(D58,Résultats!$B$2:$AX$476,'T energie vecteurs'!L5,FALSE)</f>
        <v>0</v>
      </c>
      <c r="I58" s="16">
        <f>VLOOKUP(E58,Résultats!$B$2:$AX$476,'T energie vecteurs'!L5,FALSE)</f>
        <v>2.58727252</v>
      </c>
      <c r="J58" s="16">
        <f>VLOOKUP(F58,Résultats!$B$2:$AX$476,'T energie vecteurs'!L5,FALSE)</f>
        <v>0.32473215599999999</v>
      </c>
      <c r="K58" s="16">
        <f>VLOOKUP(G58,Résultats!$B$2:$AX$476,'T energie vecteurs'!L5,FALSE)</f>
        <v>0.39119350759999999</v>
      </c>
      <c r="L58" s="95">
        <f t="shared" ref="L58" si="19">SUM(H58:K58)</f>
        <v>3.3031981836000002</v>
      </c>
      <c r="M58" s="16"/>
      <c r="N58" s="150" t="s">
        <v>25</v>
      </c>
      <c r="O58" s="29">
        <f>'[2]Bilan 2023 réel'!$T$46/11.63</f>
        <v>1.221354E-3</v>
      </c>
      <c r="P58" s="28">
        <f>SUM('[2]Bilan 2023 réel'!$T$41:$T$43)/11.63</f>
        <v>3.4194391444513199</v>
      </c>
      <c r="Q58" s="28">
        <f>'[2]Bilan 2023 réel'!$T$13/11.63</f>
        <v>0.65647798796216683</v>
      </c>
      <c r="R58" s="28">
        <f>('[2]Bilan 2023 réel'!$T$22+'[2]Bilan 2023 réel'!$T$30+SUM('[2]Bilan 2023 réel'!$T$36:$T$40)+SUM('[2]Bilan 2023 réel'!$T$44:$T$45)+'[2]Bilan 2023 réel'!$T$47)/11.63</f>
        <v>0.44186481322250887</v>
      </c>
      <c r="S58" s="142">
        <f t="shared" si="15"/>
        <v>4.5190032996359957</v>
      </c>
      <c r="T58" s="318">
        <f>S58</f>
        <v>4.5190032996359957</v>
      </c>
      <c r="U58" s="149" t="s">
        <v>25</v>
      </c>
      <c r="V58" t="s">
        <v>418</v>
      </c>
      <c r="W58" t="s">
        <v>419</v>
      </c>
      <c r="X58" t="s">
        <v>420</v>
      </c>
      <c r="Y58" t="s">
        <v>421</v>
      </c>
      <c r="Z58" s="16">
        <v>0</v>
      </c>
      <c r="AA58" s="16">
        <v>2.5389883059999998</v>
      </c>
      <c r="AB58" s="16">
        <v>0.32363572730000001</v>
      </c>
      <c r="AC58" s="16">
        <v>0.39924396400000001</v>
      </c>
      <c r="AD58" s="95">
        <v>3.2618679973</v>
      </c>
    </row>
    <row r="59" spans="2:30" x14ac:dyDescent="0.25">
      <c r="C59" s="23" t="s">
        <v>26</v>
      </c>
      <c r="D59" s="10"/>
      <c r="E59" s="10"/>
      <c r="F59" s="10"/>
      <c r="G59" s="10"/>
      <c r="H59" s="9">
        <f>SUM(H50,H53:H55)</f>
        <v>2.9359856096000003</v>
      </c>
      <c r="I59" s="9">
        <f>SUM(I50,I53:I55)</f>
        <v>64.198381635999993</v>
      </c>
      <c r="J59" s="9">
        <f>SUM(J50,J53:J55)</f>
        <v>37.492817150299999</v>
      </c>
      <c r="K59" s="9">
        <f>SUM(K50,K53:K55)</f>
        <v>42.3412740892729</v>
      </c>
      <c r="L59" s="98">
        <f>SUM(H59:K59)</f>
        <v>146.9684584851729</v>
      </c>
      <c r="M59" s="79"/>
      <c r="N59" s="151" t="s">
        <v>26</v>
      </c>
      <c r="O59" s="32">
        <f>O50+O53+O54+O55+O58</f>
        <v>3.8596309130558897</v>
      </c>
      <c r="P59" s="31">
        <f>P50+P53+P54+P55+P58</f>
        <v>62.785920353958417</v>
      </c>
      <c r="Q59" s="31">
        <f>Q50+Q53+Q54+Q55+Q58</f>
        <v>34.652474462596736</v>
      </c>
      <c r="R59" s="31">
        <f>R50+R53+R54+R55+R58</f>
        <v>41.164509995478554</v>
      </c>
      <c r="S59" s="144">
        <f t="shared" si="15"/>
        <v>142.46253572508959</v>
      </c>
      <c r="T59" s="319">
        <f>SUM(T50:T58)</f>
        <v>138.206474699963</v>
      </c>
      <c r="U59" s="23" t="s">
        <v>26</v>
      </c>
      <c r="V59" s="10"/>
      <c r="W59" s="10"/>
      <c r="X59" s="10"/>
      <c r="Y59" s="10"/>
      <c r="Z59" s="9">
        <v>2.8505386427999997</v>
      </c>
      <c r="AA59" s="9">
        <v>63.419019759000001</v>
      </c>
      <c r="AB59" s="9">
        <v>37.217352001999998</v>
      </c>
      <c r="AC59" s="9">
        <v>44.797441561045403</v>
      </c>
      <c r="AD59" s="98">
        <v>148.2843519648454</v>
      </c>
    </row>
    <row r="60" spans="2:30" s="3" customFormat="1" x14ac:dyDescent="0.25">
      <c r="O60" s="77"/>
      <c r="P60" s="77"/>
      <c r="Q60" s="77"/>
      <c r="R60" s="78"/>
      <c r="S60" s="45"/>
    </row>
    <row r="61" spans="2:30" s="3" customFormat="1" x14ac:dyDescent="0.25">
      <c r="B61" s="60"/>
      <c r="K61" s="47"/>
      <c r="O61" s="79"/>
      <c r="P61" s="79"/>
      <c r="Q61" s="79"/>
      <c r="R61" s="80"/>
      <c r="S61" s="81"/>
      <c r="AC61" s="47"/>
    </row>
    <row r="62" spans="2:30" ht="31.5" x14ac:dyDescent="0.35">
      <c r="C62" s="145">
        <v>2025</v>
      </c>
      <c r="D62" s="146"/>
      <c r="E62" s="146"/>
      <c r="F62" s="146"/>
      <c r="G62" s="146"/>
      <c r="H62" s="76" t="s">
        <v>36</v>
      </c>
      <c r="I62" s="76" t="s">
        <v>49</v>
      </c>
      <c r="J62" s="76" t="s">
        <v>38</v>
      </c>
      <c r="K62" s="76" t="s">
        <v>48</v>
      </c>
      <c r="L62" s="93" t="s">
        <v>1</v>
      </c>
      <c r="M62" s="19"/>
      <c r="N62" s="145">
        <v>2025</v>
      </c>
      <c r="O62" s="141" t="s">
        <v>36</v>
      </c>
      <c r="P62" s="76" t="s">
        <v>49</v>
      </c>
      <c r="Q62" s="76" t="s">
        <v>38</v>
      </c>
      <c r="R62" s="76" t="s">
        <v>48</v>
      </c>
      <c r="S62" s="93" t="s">
        <v>1</v>
      </c>
      <c r="T62" s="317" t="s">
        <v>543</v>
      </c>
      <c r="U62" s="145">
        <v>2025</v>
      </c>
      <c r="V62" s="146"/>
      <c r="W62" s="146"/>
      <c r="X62" s="146"/>
      <c r="Y62" s="146"/>
      <c r="Z62" s="76" t="s">
        <v>36</v>
      </c>
      <c r="AA62" s="76" t="s">
        <v>49</v>
      </c>
      <c r="AB62" s="76" t="s">
        <v>38</v>
      </c>
      <c r="AC62" s="76" t="s">
        <v>48</v>
      </c>
      <c r="AD62" s="93" t="s">
        <v>1</v>
      </c>
    </row>
    <row r="63" spans="2:30" x14ac:dyDescent="0.25">
      <c r="C63" s="147" t="s">
        <v>18</v>
      </c>
      <c r="H63" s="8">
        <f>SUM(H64:H65)</f>
        <v>0</v>
      </c>
      <c r="I63" s="8">
        <f>SUM(I64:I65)</f>
        <v>40.883418340000006</v>
      </c>
      <c r="J63" s="8">
        <f>SUM(J64:J65)</f>
        <v>2.3432990821999997</v>
      </c>
      <c r="K63" s="8">
        <f>SUM(K64:K65)</f>
        <v>0.43738746030999998</v>
      </c>
      <c r="L63" s="96">
        <f t="shared" ref="L63:L72" si="20">SUM(H63:K63)</f>
        <v>43.664104882510003</v>
      </c>
      <c r="M63" s="75"/>
      <c r="N63" s="150" t="s">
        <v>18</v>
      </c>
      <c r="O63" s="29">
        <f>'[2]Bilan 2025 AMS'!$X$46/11.63</f>
        <v>0</v>
      </c>
      <c r="P63" s="28">
        <f>SUM('[2]Bilan 2025 AMS'!$X$41:$X$43)/11.63</f>
        <v>39.248086514996544</v>
      </c>
      <c r="Q63" s="28">
        <f>'[2]Bilan 2025 AMS'!$X$13/11.63</f>
        <v>1.453494342958451</v>
      </c>
      <c r="R63" s="28">
        <f>('[2]Bilan 2025 AMS'!$X$22+'[2]Bilan 2025 AMS'!$X$30+SUM('[2]Bilan 2025 AMS'!$X$36:$X$40)+SUM('[2]Bilan 2025 AMS'!$X$44:$X$45)+'[2]Bilan 2025 AMS'!$X$47)/11.63</f>
        <v>0.36357192736941735</v>
      </c>
      <c r="S63" s="142">
        <f>SUM(O63:R63)</f>
        <v>41.065152785324415</v>
      </c>
      <c r="T63" s="318">
        <f>S63</f>
        <v>41.065152785324415</v>
      </c>
      <c r="U63" s="147" t="s">
        <v>18</v>
      </c>
      <c r="Z63" s="8">
        <v>0</v>
      </c>
      <c r="AA63" s="8">
        <v>41.153306659999998</v>
      </c>
      <c r="AB63" s="8">
        <v>2.0381382191999999</v>
      </c>
      <c r="AC63" s="8">
        <v>0.4314821291473</v>
      </c>
      <c r="AD63" s="96">
        <v>43.622927008347297</v>
      </c>
    </row>
    <row r="64" spans="2:30" x14ac:dyDescent="0.25">
      <c r="C64" s="148" t="s">
        <v>19</v>
      </c>
      <c r="D64" t="s">
        <v>394</v>
      </c>
      <c r="E64" t="s">
        <v>395</v>
      </c>
      <c r="F64" t="s">
        <v>396</v>
      </c>
      <c r="G64" t="s">
        <v>397</v>
      </c>
      <c r="H64" s="16">
        <f>VLOOKUP(D64,Résultats!$B$2:$AX$476,'T energie vecteurs'!N5,FALSE)</f>
        <v>0</v>
      </c>
      <c r="I64" s="16">
        <f>VLOOKUP(E64,Résultats!$B$2:$AX$476,'T energie vecteurs'!N5,FALSE)</f>
        <v>21.747059620000002</v>
      </c>
      <c r="J64" s="16">
        <f>VLOOKUP(F64,Résultats!$B$2:$AX$476,'T energie vecteurs'!N5,FALSE)</f>
        <v>0.29469163320000002</v>
      </c>
      <c r="K64" s="16">
        <f>VLOOKUP(G77,Résultats!$B$2:$AX$476,'T energie vecteurs'!N5,FALSE)</f>
        <v>2.541461E-5</v>
      </c>
      <c r="L64" s="95">
        <f t="shared" si="20"/>
        <v>22.041776667810002</v>
      </c>
      <c r="M64" s="16"/>
      <c r="N64" s="148" t="s">
        <v>19</v>
      </c>
      <c r="O64" s="143"/>
      <c r="P64" s="16"/>
      <c r="Q64" s="34"/>
      <c r="R64" s="16"/>
      <c r="S64" s="95"/>
      <c r="T64" s="95"/>
      <c r="U64" s="148" t="s">
        <v>19</v>
      </c>
      <c r="V64" t="s">
        <v>394</v>
      </c>
      <c r="W64" t="s">
        <v>395</v>
      </c>
      <c r="X64" t="s">
        <v>396</v>
      </c>
      <c r="Y64" t="s">
        <v>397</v>
      </c>
      <c r="Z64" s="16">
        <v>0</v>
      </c>
      <c r="AA64" s="16">
        <v>21.849143739999999</v>
      </c>
      <c r="AB64" s="16">
        <v>0.28180116220000001</v>
      </c>
      <c r="AC64" s="16">
        <v>1.9915447299999999E-5</v>
      </c>
      <c r="AD64" s="95">
        <v>22.1309648176473</v>
      </c>
    </row>
    <row r="65" spans="3:30" x14ac:dyDescent="0.25">
      <c r="C65" s="149" t="s">
        <v>20</v>
      </c>
      <c r="D65" t="s">
        <v>398</v>
      </c>
      <c r="E65" t="s">
        <v>399</v>
      </c>
      <c r="F65" t="s">
        <v>400</v>
      </c>
      <c r="G65" t="s">
        <v>401</v>
      </c>
      <c r="H65" s="16">
        <f>VLOOKUP(D65,Résultats!$B$2:$AX$476,'T energie vecteurs'!N5,FALSE)</f>
        <v>0</v>
      </c>
      <c r="I65" s="16">
        <f>VLOOKUP(E65,Résultats!$B$2:$AX$476,'T energie vecteurs'!N5,FALSE)</f>
        <v>19.13635872</v>
      </c>
      <c r="J65" s="16">
        <f>VLOOKUP(F65,Résultats!$B$2:$AX$476,'T energie vecteurs'!N5,FALSE)</f>
        <v>2.0486074489999999</v>
      </c>
      <c r="K65" s="16">
        <f>VLOOKUP(G65,Résultats!$B$2:$AX$476,'T energie vecteurs'!N5,FALSE)</f>
        <v>0.43736204569999998</v>
      </c>
      <c r="L65" s="95">
        <f t="shared" si="20"/>
        <v>21.622328214699998</v>
      </c>
      <c r="M65" s="16"/>
      <c r="N65" s="149" t="s">
        <v>20</v>
      </c>
      <c r="O65" s="143"/>
      <c r="P65" s="16"/>
      <c r="Q65" s="34"/>
      <c r="R65" s="16"/>
      <c r="S65" s="95"/>
      <c r="T65" s="95"/>
      <c r="U65" s="149" t="s">
        <v>20</v>
      </c>
      <c r="V65" t="s">
        <v>398</v>
      </c>
      <c r="W65" t="s">
        <v>399</v>
      </c>
      <c r="X65" t="s">
        <v>400</v>
      </c>
      <c r="Y65" t="s">
        <v>401</v>
      </c>
      <c r="Z65" s="16">
        <v>0</v>
      </c>
      <c r="AA65" s="16">
        <v>19.30416292</v>
      </c>
      <c r="AB65" s="16">
        <v>1.7563370570000001</v>
      </c>
      <c r="AC65" s="16">
        <v>0.43146221369999999</v>
      </c>
      <c r="AD65" s="95">
        <v>21.491962190700001</v>
      </c>
    </row>
    <row r="66" spans="3:30" x14ac:dyDescent="0.25">
      <c r="C66" s="147" t="s">
        <v>21</v>
      </c>
      <c r="D66" t="s">
        <v>402</v>
      </c>
      <c r="E66" t="s">
        <v>403</v>
      </c>
      <c r="F66" t="s">
        <v>404</v>
      </c>
      <c r="G66" t="s">
        <v>405</v>
      </c>
      <c r="H66" s="8">
        <f>VLOOKUP(D66,Résultats!$B$2:$AX$476,'T energie vecteurs'!N5,FALSE)</f>
        <v>0.28882872230000001</v>
      </c>
      <c r="I66" s="8">
        <f>VLOOKUP(E66,Résultats!$B$2:$AX$476,'T energie vecteurs'!N5,FALSE)</f>
        <v>6.1383636539999999</v>
      </c>
      <c r="J66" s="8">
        <f>VLOOKUP(F66,Résultats!$B$2:$AX$476,'T energie vecteurs'!N5,FALSE)</f>
        <v>14.792968139999999</v>
      </c>
      <c r="K66" s="8">
        <f>VLOOKUP(G66,Résultats!$B$2:$AX$476,'T energie vecteurs'!N5,FALSE)+2</f>
        <v>18.481047119999999</v>
      </c>
      <c r="L66" s="96">
        <f t="shared" si="20"/>
        <v>39.701207636299998</v>
      </c>
      <c r="M66" s="75"/>
      <c r="N66" s="150" t="s">
        <v>21</v>
      </c>
      <c r="O66" s="29">
        <f>'[2]Bilan 2025 AMS'!$V$46/11.63</f>
        <v>0</v>
      </c>
      <c r="P66" s="28">
        <f>SUM('[2]Bilan 2025 AMS'!$V$41:$V$43)/11.63</f>
        <v>2.6022446322442225</v>
      </c>
      <c r="Q66" s="28">
        <f>'[2]Bilan 2025 AMS'!$V$13/11.63</f>
        <v>13.409751504151663</v>
      </c>
      <c r="R66" s="28">
        <f>('[2]Bilan 2025 AMS'!$V$22+'[2]Bilan 2025 AMS'!$V$30+SUM('[2]Bilan 2025 AMS'!$V$36:$V$40)+SUM('[2]Bilan 2025 AMS'!$V$44:$V$45)+'[2]Bilan 2025 AMS'!$V$47)/11.63</f>
        <v>23.07775045887356</v>
      </c>
      <c r="S66" s="142">
        <f t="shared" ref="S66:S72" si="21">SUM(O66:R66)</f>
        <v>39.089746595269446</v>
      </c>
      <c r="T66" s="318">
        <f>S66-'[2]Bilan 2025 AMS'!$V$40/11.63</f>
        <v>34.032746162030314</v>
      </c>
      <c r="U66" s="147" t="s">
        <v>21</v>
      </c>
      <c r="V66" t="s">
        <v>402</v>
      </c>
      <c r="W66" t="s">
        <v>403</v>
      </c>
      <c r="X66" t="s">
        <v>404</v>
      </c>
      <c r="Y66" t="s">
        <v>405</v>
      </c>
      <c r="Z66" s="8">
        <v>0.29383006169999998</v>
      </c>
      <c r="AA66" s="8">
        <v>5.9482435139999996</v>
      </c>
      <c r="AB66" s="8">
        <v>14.827504319999999</v>
      </c>
      <c r="AC66" s="8">
        <v>19.311406309999999</v>
      </c>
      <c r="AD66" s="96">
        <v>40.380984205700003</v>
      </c>
    </row>
    <row r="67" spans="3:30" x14ac:dyDescent="0.25">
      <c r="C67" s="147" t="s">
        <v>22</v>
      </c>
      <c r="D67" t="s">
        <v>406</v>
      </c>
      <c r="E67" t="s">
        <v>407</v>
      </c>
      <c r="F67" t="s">
        <v>408</v>
      </c>
      <c r="G67" t="s">
        <v>409</v>
      </c>
      <c r="H67" s="8">
        <f>VLOOKUP(D67,Résultats!$B$2:$AX$476,'T energie vecteurs'!N5,FALSE)</f>
        <v>0</v>
      </c>
      <c r="I67" s="8">
        <f>VLOOKUP(E67,Résultats!$B$2:$AX$476,'T energie vecteurs'!N5,FALSE)</f>
        <v>2.021116428</v>
      </c>
      <c r="J67" s="8">
        <f>VLOOKUP(F67,Résultats!$B$2:$AX$476,'T energie vecteurs'!N5,FALSE)</f>
        <v>10.96836532</v>
      </c>
      <c r="K67" s="8">
        <f>VLOOKUP(G67,Résultats!$B$2:$AX$476,'T energie vecteurs'!N5,FALSE)</f>
        <v>10.490788849999999</v>
      </c>
      <c r="L67" s="96">
        <f t="shared" si="20"/>
        <v>23.480270597999997</v>
      </c>
      <c r="M67" s="75"/>
      <c r="N67" s="150" t="s">
        <v>22</v>
      </c>
      <c r="O67" s="29">
        <f>('[2]Bilan 2025 AMS'!$W$46)/11.63</f>
        <v>0</v>
      </c>
      <c r="P67" s="28">
        <f>SUM('[2]Bilan 2025 AMS'!$W$41:$W$43)/11.63</f>
        <v>1.5736897992660042</v>
      </c>
      <c r="Q67" s="28">
        <f>('[2]Bilan 2025 AMS'!$W$13)/11.63</f>
        <v>10.800977070035794</v>
      </c>
      <c r="R67" s="28">
        <f>('[2]Bilan 2025 AMS'!$W$22+'[2]Bilan 2025 AMS'!$W$30+SUM('[2]Bilan 2025 AMS'!$W$36:$W$40)+SUM('[2]Bilan 2025 AMS'!$W$44:$W$45)+'[2]Bilan 2025 AMS'!$W$47)/11.63</f>
        <v>9.0123576547920088</v>
      </c>
      <c r="S67" s="142">
        <f t="shared" si="21"/>
        <v>21.387024524093807</v>
      </c>
      <c r="T67" s="318">
        <f>S67-'[2]Bilan 2025 AMS'!$W$40/11.63</f>
        <v>19.5908147086874</v>
      </c>
      <c r="U67" s="147" t="s">
        <v>22</v>
      </c>
      <c r="V67" t="s">
        <v>406</v>
      </c>
      <c r="W67" t="s">
        <v>407</v>
      </c>
      <c r="X67" t="s">
        <v>408</v>
      </c>
      <c r="Y67" t="s">
        <v>409</v>
      </c>
      <c r="Z67" s="8">
        <v>0</v>
      </c>
      <c r="AA67" s="8">
        <v>1.8536865659999999</v>
      </c>
      <c r="AB67" s="8">
        <v>10.500986729999999</v>
      </c>
      <c r="AC67" s="8">
        <v>11.70224511</v>
      </c>
      <c r="AD67" s="96">
        <v>24.056918406000001</v>
      </c>
    </row>
    <row r="68" spans="3:30" x14ac:dyDescent="0.25">
      <c r="C68" s="147" t="s">
        <v>23</v>
      </c>
      <c r="H68" s="8">
        <f>SUM(H69:H71)</f>
        <v>2.4110794337999999</v>
      </c>
      <c r="I68" s="8">
        <f>SUM(I69:I71)</f>
        <v>12.912808502000001</v>
      </c>
      <c r="J68" s="8">
        <f>SUM(J69:J71)</f>
        <v>12.007703745099999</v>
      </c>
      <c r="K68" s="8">
        <f>SUM(K69:K71)</f>
        <v>13.192005388999998</v>
      </c>
      <c r="L68" s="96">
        <f t="shared" si="20"/>
        <v>40.523597069899992</v>
      </c>
      <c r="M68" s="75"/>
      <c r="N68" s="150" t="s">
        <v>490</v>
      </c>
      <c r="O68" s="29">
        <f>O69+O70</f>
        <v>3.9629891209426056</v>
      </c>
      <c r="P68" s="28">
        <f t="shared" ref="P68:R68" si="22">P69+P70</f>
        <v>12.014567437975661</v>
      </c>
      <c r="Q68" s="28">
        <f t="shared" si="22"/>
        <v>10.378487649048596</v>
      </c>
      <c r="R68" s="28">
        <f t="shared" si="22"/>
        <v>14.253418221083377</v>
      </c>
      <c r="S68" s="142">
        <f t="shared" si="21"/>
        <v>40.60946242905024</v>
      </c>
      <c r="T68" s="318">
        <f t="shared" ref="T68" si="23">S68</f>
        <v>40.60946242905024</v>
      </c>
      <c r="U68" s="147" t="s">
        <v>23</v>
      </c>
      <c r="Z68" s="8">
        <v>2.1716128731</v>
      </c>
      <c r="AA68" s="8">
        <v>11.226512818</v>
      </c>
      <c r="AB68" s="8">
        <v>12.399130235599999</v>
      </c>
      <c r="AC68" s="8">
        <v>12.148191722400002</v>
      </c>
      <c r="AD68" s="96">
        <v>37.945447649099997</v>
      </c>
    </row>
    <row r="69" spans="3:30" x14ac:dyDescent="0.25">
      <c r="C69" s="149" t="s">
        <v>24</v>
      </c>
      <c r="D69" t="s">
        <v>410</v>
      </c>
      <c r="E69" t="s">
        <v>411</v>
      </c>
      <c r="F69" t="s">
        <v>412</v>
      </c>
      <c r="G69" t="s">
        <v>413</v>
      </c>
      <c r="H69" s="16">
        <f>VLOOKUP(D69,Résultats!$B$2:$AX$476,'T energie vecteurs'!N5,FALSE)</f>
        <v>1.530266648</v>
      </c>
      <c r="I69" s="16">
        <f>VLOOKUP(E69,Résultats!$B$2:$AX$476,'T energie vecteurs'!N5,FALSE)</f>
        <v>8.1588749539999998</v>
      </c>
      <c r="J69" s="16">
        <f>VLOOKUP(F69,Résultats!$B$2:$AX$476,'T energie vecteurs'!N5,FALSE)</f>
        <v>11.678091739999999</v>
      </c>
      <c r="K69" s="16">
        <f>VLOOKUP(G69,Résultats!$B$2:$AX$476,'T energie vecteurs'!N5,FALSE)</f>
        <v>10.66982863</v>
      </c>
      <c r="L69" s="95">
        <f t="shared" si="20"/>
        <v>32.037061971999997</v>
      </c>
      <c r="M69" s="16"/>
      <c r="N69" s="149" t="s">
        <v>491</v>
      </c>
      <c r="O69" s="143">
        <f>'[2]Bilan 2025 AMS'!$U$46/11.63</f>
        <v>0.42067994948409282</v>
      </c>
      <c r="P69" s="30">
        <f>SUM('[2]Bilan 2025 AMS'!$U$41:$U$43)/11.63</f>
        <v>2.157951503024802</v>
      </c>
      <c r="Q69" s="30">
        <f>'[2]Bilan 2025 AMS'!$U$13/11.63</f>
        <v>10.378487649048596</v>
      </c>
      <c r="R69" s="30">
        <f>('[2]Bilan 2025 AMS'!$U$22+'[2]Bilan 2025 AMS'!$U$30+SUM('[2]Bilan 2025 AMS'!$U$36:$U$40)+SUM('[2]Bilan 2025 AMS'!$U$44:$U$45)+'[2]Bilan 2025 AMS'!$U$47)/11.63</f>
        <v>13.109738113571288</v>
      </c>
      <c r="S69" s="95">
        <f t="shared" si="21"/>
        <v>26.066857215128778</v>
      </c>
      <c r="T69" s="95"/>
      <c r="U69" s="149" t="s">
        <v>24</v>
      </c>
      <c r="V69" t="s">
        <v>410</v>
      </c>
      <c r="W69" t="s">
        <v>411</v>
      </c>
      <c r="X69" t="s">
        <v>412</v>
      </c>
      <c r="Y69" t="s">
        <v>413</v>
      </c>
      <c r="Z69" s="16">
        <v>1.305131077</v>
      </c>
      <c r="AA69" s="16">
        <v>6.5523544779999998</v>
      </c>
      <c r="AB69" s="16">
        <v>12.06981536</v>
      </c>
      <c r="AC69" s="16">
        <v>9.6258859950000009</v>
      </c>
      <c r="AD69" s="95">
        <v>29.553186910000001</v>
      </c>
    </row>
    <row r="70" spans="3:30" x14ac:dyDescent="0.25">
      <c r="C70" s="149" t="s">
        <v>47</v>
      </c>
      <c r="D70" t="s">
        <v>414</v>
      </c>
      <c r="E70" t="s">
        <v>415</v>
      </c>
      <c r="F70" t="s">
        <v>416</v>
      </c>
      <c r="G70" t="s">
        <v>417</v>
      </c>
      <c r="H70" s="16">
        <f>VLOOKUP(D70,Résultats!$B$2:$AX$476,'T energie vecteurs'!N5,FALSE)</f>
        <v>0.8808127858</v>
      </c>
      <c r="I70" s="16">
        <f>VLOOKUP(E70,Résultats!$B$2:$AX$476,'T energie vecteurs'!N5,FALSE)</f>
        <v>2.0425261890000002</v>
      </c>
      <c r="J70" s="16">
        <f>VLOOKUP(F70,Résultats!$B$2:$AX$476,'T energie vecteurs'!N5,FALSE)</f>
        <v>0</v>
      </c>
      <c r="K70" s="16">
        <f>VLOOKUP(G70,Résultats!$B$2:$AX$476,'T energie vecteurs'!N5,FALSE)</f>
        <v>2.115870132</v>
      </c>
      <c r="L70" s="95">
        <f t="shared" si="20"/>
        <v>5.0392091067999996</v>
      </c>
      <c r="M70" s="16"/>
      <c r="N70" s="149" t="s">
        <v>47</v>
      </c>
      <c r="O70" s="22">
        <f>'[2]Bilan 2025 AMS'!$E$52/11.63</f>
        <v>3.5423091714585127</v>
      </c>
      <c r="P70" s="16">
        <f>('[2]Bilan 2025 AMS'!$E$54+'[2]Bilan 2025 AMS'!$E$56)/11.63</f>
        <v>9.8566159349508595</v>
      </c>
      <c r="Q70" s="16">
        <v>0</v>
      </c>
      <c r="R70" s="16">
        <f>('[2]Bilan 2025 AMS'!$E$53+'[2]Bilan 2025 AMS'!$E$55+'[2]Bilan 2025 AMS'!$E$57)/11.63</f>
        <v>1.1436801075120895</v>
      </c>
      <c r="S70" s="95">
        <f t="shared" si="21"/>
        <v>14.542605213921462</v>
      </c>
      <c r="T70" s="95"/>
      <c r="U70" s="149" t="s">
        <v>47</v>
      </c>
      <c r="V70" t="s">
        <v>414</v>
      </c>
      <c r="W70" t="s">
        <v>415</v>
      </c>
      <c r="X70" t="s">
        <v>416</v>
      </c>
      <c r="Y70" t="s">
        <v>417</v>
      </c>
      <c r="Z70" s="16">
        <v>0.86648179609999998</v>
      </c>
      <c r="AA70" s="16">
        <v>2.018526526</v>
      </c>
      <c r="AB70" s="16">
        <v>0</v>
      </c>
      <c r="AC70" s="16">
        <v>2.101401831</v>
      </c>
      <c r="AD70" s="95">
        <v>4.9864101530999996</v>
      </c>
    </row>
    <row r="71" spans="3:30" x14ac:dyDescent="0.25">
      <c r="C71" s="149" t="s">
        <v>25</v>
      </c>
      <c r="D71" t="s">
        <v>418</v>
      </c>
      <c r="E71" t="s">
        <v>419</v>
      </c>
      <c r="F71" t="s">
        <v>420</v>
      </c>
      <c r="G71" t="s">
        <v>421</v>
      </c>
      <c r="H71" s="16">
        <f>VLOOKUP(D71,Résultats!$B$2:$AX$476,'T energie vecteurs'!N5,FALSE)</f>
        <v>0</v>
      </c>
      <c r="I71" s="16">
        <f>VLOOKUP(E71,Résultats!$B$2:$AX$476,'T energie vecteurs'!N5,FALSE)</f>
        <v>2.7114073589999999</v>
      </c>
      <c r="J71" s="16">
        <f>VLOOKUP(F71,Résultats!$B$2:$AX$476,'T energie vecteurs'!N5,FALSE)</f>
        <v>0.32961200509999999</v>
      </c>
      <c r="K71" s="16">
        <f>VLOOKUP(G71,Résultats!$B$2:$AX$476,'T energie vecteurs'!N5,FALSE)</f>
        <v>0.40630662699999998</v>
      </c>
      <c r="L71" s="95">
        <f t="shared" si="20"/>
        <v>3.4473259910999996</v>
      </c>
      <c r="M71" s="16"/>
      <c r="N71" s="150" t="s">
        <v>25</v>
      </c>
      <c r="O71" s="29">
        <f>'[2]Bilan 2025 AMS'!$T$46/11.63</f>
        <v>0</v>
      </c>
      <c r="P71" s="28">
        <f>SUM('[2]Bilan 2025 AMS'!$T$41:$T$43)/11.63</f>
        <v>3.2722122373281501</v>
      </c>
      <c r="Q71" s="28">
        <f>'[2]Bilan 2025 AMS'!$T$13/11.63</f>
        <v>0.70658601561081857</v>
      </c>
      <c r="R71" s="28">
        <f>('[2]Bilan 2025 AMS'!$T$22+'[2]Bilan 2025 AMS'!$T$30+SUM('[2]Bilan 2025 AMS'!$T$36:$T$40)+SUM('[2]Bilan 2025 AMS'!$T$44:$T$45)+'[2]Bilan 2025 AMS'!$T$47)/11.63</f>
        <v>0.68239287053934561</v>
      </c>
      <c r="S71" s="142">
        <f t="shared" si="21"/>
        <v>4.6611911234783143</v>
      </c>
      <c r="T71" s="318">
        <f>S71</f>
        <v>4.6611911234783143</v>
      </c>
      <c r="U71" s="149" t="s">
        <v>25</v>
      </c>
      <c r="V71" t="s">
        <v>418</v>
      </c>
      <c r="W71" t="s">
        <v>419</v>
      </c>
      <c r="X71" t="s">
        <v>420</v>
      </c>
      <c r="Y71" t="s">
        <v>421</v>
      </c>
      <c r="Z71" s="16">
        <v>0</v>
      </c>
      <c r="AA71" s="16">
        <v>2.6556318139999999</v>
      </c>
      <c r="AB71" s="16">
        <v>0.3293148756</v>
      </c>
      <c r="AC71" s="16">
        <v>0.42090389639999998</v>
      </c>
      <c r="AD71" s="95">
        <v>3.4058505860000001</v>
      </c>
    </row>
    <row r="72" spans="3:30" x14ac:dyDescent="0.25">
      <c r="C72" s="23" t="s">
        <v>26</v>
      </c>
      <c r="D72" s="10"/>
      <c r="E72" s="10"/>
      <c r="F72" s="10"/>
      <c r="G72" s="10"/>
      <c r="H72" s="9">
        <f>SUM(H63,H66:H68)</f>
        <v>2.6999081560999998</v>
      </c>
      <c r="I72" s="9">
        <f>SUM(I63,I66:I68)</f>
        <v>61.955706924000012</v>
      </c>
      <c r="J72" s="9">
        <f>SUM(J63,J66:J68)</f>
        <v>40.112336287299996</v>
      </c>
      <c r="K72" s="9">
        <f>SUM(K63,K66:K68)</f>
        <v>42.601228819309995</v>
      </c>
      <c r="L72" s="98">
        <f t="shared" si="20"/>
        <v>147.36918018671</v>
      </c>
      <c r="M72" s="79"/>
      <c r="N72" s="151" t="s">
        <v>26</v>
      </c>
      <c r="O72" s="32">
        <f>O63+O66+O67+O68+O71</f>
        <v>3.9629891209426056</v>
      </c>
      <c r="P72" s="31">
        <f>P63+P66+P67+P68+P71</f>
        <v>58.710800621810577</v>
      </c>
      <c r="Q72" s="31">
        <f>Q63+Q66+Q67+Q68+Q71</f>
        <v>36.749296581805318</v>
      </c>
      <c r="R72" s="31">
        <f>R63+R66+R67+R68+R71</f>
        <v>47.38949113265771</v>
      </c>
      <c r="S72" s="144">
        <f t="shared" si="21"/>
        <v>146.81257745721621</v>
      </c>
      <c r="T72" s="319">
        <f>SUM(T63:T71)</f>
        <v>139.95936720857071</v>
      </c>
      <c r="U72" s="23" t="s">
        <v>26</v>
      </c>
      <c r="V72" s="10"/>
      <c r="W72" s="10"/>
      <c r="X72" s="10"/>
      <c r="Y72" s="10"/>
      <c r="Z72" s="9">
        <v>2.4654429348</v>
      </c>
      <c r="AA72" s="9">
        <v>60.181749557999993</v>
      </c>
      <c r="AB72" s="9">
        <v>39.765759504799995</v>
      </c>
      <c r="AC72" s="9">
        <v>43.5933252715473</v>
      </c>
      <c r="AD72" s="98">
        <v>146.00627726914729</v>
      </c>
    </row>
    <row r="73" spans="3:30" s="3" customFormat="1" x14ac:dyDescent="0.25">
      <c r="H73" s="45"/>
      <c r="I73" s="45"/>
      <c r="J73" s="45"/>
      <c r="K73" s="45"/>
      <c r="L73" s="45"/>
      <c r="M73" s="45"/>
      <c r="N73" s="45"/>
      <c r="O73" s="77"/>
      <c r="P73" s="77"/>
      <c r="Q73" s="77"/>
      <c r="R73" s="78"/>
      <c r="S73" s="45"/>
      <c r="T73" s="45"/>
      <c r="Z73" s="45"/>
      <c r="AA73" s="45"/>
      <c r="AB73" s="45"/>
      <c r="AC73" s="45"/>
      <c r="AD73" s="45"/>
    </row>
    <row r="74" spans="3:30" s="3" customFormat="1" x14ac:dyDescent="0.25"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Z74" s="45"/>
      <c r="AA74" s="45"/>
      <c r="AB74" s="45"/>
      <c r="AC74" s="45"/>
      <c r="AD74" s="45"/>
    </row>
    <row r="75" spans="3:30" ht="31.5" x14ac:dyDescent="0.35">
      <c r="C75" s="145">
        <v>2030</v>
      </c>
      <c r="D75" s="146"/>
      <c r="E75" s="146"/>
      <c r="F75" s="146"/>
      <c r="G75" s="146"/>
      <c r="H75" s="76" t="s">
        <v>36</v>
      </c>
      <c r="I75" s="76" t="s">
        <v>49</v>
      </c>
      <c r="J75" s="76" t="s">
        <v>38</v>
      </c>
      <c r="K75" s="76" t="s">
        <v>48</v>
      </c>
      <c r="L75" s="93" t="s">
        <v>1</v>
      </c>
      <c r="M75" s="19"/>
      <c r="N75" s="145">
        <v>2030</v>
      </c>
      <c r="O75" s="141" t="s">
        <v>36</v>
      </c>
      <c r="P75" s="76" t="s">
        <v>49</v>
      </c>
      <c r="Q75" s="76" t="s">
        <v>38</v>
      </c>
      <c r="R75" s="76" t="s">
        <v>48</v>
      </c>
      <c r="S75" s="93" t="s">
        <v>1</v>
      </c>
      <c r="T75" s="317" t="s">
        <v>543</v>
      </c>
      <c r="U75" s="145">
        <v>2030</v>
      </c>
      <c r="V75" s="146"/>
      <c r="W75" s="146"/>
      <c r="X75" s="146"/>
      <c r="Y75" s="146"/>
      <c r="Z75" s="76" t="s">
        <v>36</v>
      </c>
      <c r="AA75" s="76" t="s">
        <v>49</v>
      </c>
      <c r="AB75" s="76" t="s">
        <v>38</v>
      </c>
      <c r="AC75" s="76" t="s">
        <v>48</v>
      </c>
      <c r="AD75" s="93" t="s">
        <v>1</v>
      </c>
    </row>
    <row r="76" spans="3:30" x14ac:dyDescent="0.25">
      <c r="C76" s="147" t="s">
        <v>18</v>
      </c>
      <c r="H76" s="8">
        <f>SUM(H77:H78)</f>
        <v>0</v>
      </c>
      <c r="I76" s="8">
        <f>SUM(I77:I78)</f>
        <v>36.708465060000002</v>
      </c>
      <c r="J76" s="8">
        <f>SUM(J77:J78)</f>
        <v>3.8605975775000001</v>
      </c>
      <c r="K76" s="8">
        <f>SUM(K77:K78)</f>
        <v>0.58272932512440001</v>
      </c>
      <c r="L76" s="96">
        <f>SUM(H76:K76)</f>
        <v>41.151791962624401</v>
      </c>
      <c r="M76" s="75"/>
      <c r="N76" s="150" t="s">
        <v>18</v>
      </c>
      <c r="O76" s="29">
        <f>'[2]Bilan 2030 AMS'!$X$46/11.63</f>
        <v>0</v>
      </c>
      <c r="P76" s="28">
        <f>SUM('[2]Bilan 2030 AMS'!$X$41:$X$43)/11.63</f>
        <v>31.325533398568297</v>
      </c>
      <c r="Q76" s="28">
        <f>'[2]Bilan 2030 AMS'!$X$13/11.63</f>
        <v>2.9560655972270444</v>
      </c>
      <c r="R76" s="28">
        <f>('[2]Bilan 2030 AMS'!$X$22+'[2]Bilan 2030 AMS'!$X$30+SUM('[2]Bilan 2030 AMS'!$X$36:$X$40)+SUM('[2]Bilan 2030 AMS'!$X$44:$X$45)+'[2]Bilan 2030 AMS'!$X$47)/11.63</f>
        <v>0.64520012161805473</v>
      </c>
      <c r="S76" s="142">
        <f>SUM(O76:R76)</f>
        <v>34.926799117413395</v>
      </c>
      <c r="T76" s="318">
        <f>S76</f>
        <v>34.926799117413395</v>
      </c>
      <c r="U76" s="147" t="s">
        <v>18</v>
      </c>
      <c r="Z76" s="8">
        <v>0</v>
      </c>
      <c r="AA76" s="8">
        <v>36.717653170000006</v>
      </c>
      <c r="AB76" s="8">
        <v>3.3402365208000004</v>
      </c>
      <c r="AC76" s="8">
        <v>0.55464807953760009</v>
      </c>
      <c r="AD76" s="96">
        <v>40.612537770337603</v>
      </c>
    </row>
    <row r="77" spans="3:30" x14ac:dyDescent="0.25">
      <c r="C77" s="148" t="s">
        <v>19</v>
      </c>
      <c r="D77" t="s">
        <v>394</v>
      </c>
      <c r="E77" t="s">
        <v>395</v>
      </c>
      <c r="F77" t="s">
        <v>396</v>
      </c>
      <c r="G77" t="s">
        <v>397</v>
      </c>
      <c r="H77" s="16">
        <f>VLOOKUP(D77,Résultats!$B$2:$AX$476,'T energie vecteurs'!S5,FALSE)</f>
        <v>0</v>
      </c>
      <c r="I77" s="16">
        <f>VLOOKUP(E77,Résultats!$B$2:$AX$476,'T energie vecteurs'!S5,FALSE)</f>
        <v>18.558109300000002</v>
      </c>
      <c r="J77" s="16">
        <f>VLOOKUP(F77,Résultats!$B$2:$AX$476,'T energie vecteurs'!S5,FALSE)</f>
        <v>0.83297175649999999</v>
      </c>
      <c r="K77" s="16">
        <f>VLOOKUP(G77,Résultats!$B$2:$AX$476,'T energie vecteurs'!S5,FALSE)</f>
        <v>3.0074924400000001E-5</v>
      </c>
      <c r="L77" s="95">
        <f t="shared" ref="L77:L84" si="24">SUM(H77:K77)</f>
        <v>19.391111131424402</v>
      </c>
      <c r="M77" s="16"/>
      <c r="N77" s="148" t="s">
        <v>19</v>
      </c>
      <c r="O77" s="143"/>
      <c r="P77" s="16"/>
      <c r="Q77" s="34"/>
      <c r="R77" s="16"/>
      <c r="S77" s="95"/>
      <c r="T77" s="95"/>
      <c r="U77" s="148" t="s">
        <v>19</v>
      </c>
      <c r="V77" t="s">
        <v>394</v>
      </c>
      <c r="W77" t="s">
        <v>395</v>
      </c>
      <c r="X77" t="s">
        <v>396</v>
      </c>
      <c r="Y77" t="s">
        <v>397</v>
      </c>
      <c r="Z77" s="16">
        <v>0</v>
      </c>
      <c r="AA77" s="16">
        <v>18.62106653</v>
      </c>
      <c r="AB77" s="16">
        <v>0.7933338768</v>
      </c>
      <c r="AC77" s="16">
        <v>2.4542037600000001E-5</v>
      </c>
      <c r="AD77" s="95">
        <v>19.414424948837599</v>
      </c>
    </row>
    <row r="78" spans="3:30" x14ac:dyDescent="0.25">
      <c r="C78" s="149" t="s">
        <v>20</v>
      </c>
      <c r="D78" t="s">
        <v>398</v>
      </c>
      <c r="E78" t="s">
        <v>399</v>
      </c>
      <c r="F78" t="s">
        <v>400</v>
      </c>
      <c r="G78" t="s">
        <v>401</v>
      </c>
      <c r="H78" s="16">
        <f>VLOOKUP(D78,Résultats!$B$2:$AX$476,'T energie vecteurs'!S5,FALSE)</f>
        <v>0</v>
      </c>
      <c r="I78" s="16">
        <f>VLOOKUP(E78,Résultats!$B$2:$AX$476,'T energie vecteurs'!S5,FALSE)</f>
        <v>18.15035576</v>
      </c>
      <c r="J78" s="16">
        <f>VLOOKUP(F78,Résultats!$B$2:$AX$476,'T energie vecteurs'!S5,FALSE)</f>
        <v>3.027625821</v>
      </c>
      <c r="K78" s="16">
        <f>VLOOKUP(G78,Résultats!$B$2:$AX$476,'T energie vecteurs'!S5,FALSE)</f>
        <v>0.58269925020000002</v>
      </c>
      <c r="L78" s="95">
        <f t="shared" si="24"/>
        <v>21.760680831200002</v>
      </c>
      <c r="M78" s="16"/>
      <c r="N78" s="149" t="s">
        <v>20</v>
      </c>
      <c r="O78" s="143"/>
      <c r="P78" s="16"/>
      <c r="Q78" s="34"/>
      <c r="R78" s="16"/>
      <c r="S78" s="95"/>
      <c r="T78" s="95"/>
      <c r="U78" s="149" t="s">
        <v>20</v>
      </c>
      <c r="V78" t="s">
        <v>398</v>
      </c>
      <c r="W78" t="s">
        <v>399</v>
      </c>
      <c r="X78" t="s">
        <v>400</v>
      </c>
      <c r="Y78" t="s">
        <v>401</v>
      </c>
      <c r="Z78" s="16">
        <v>0</v>
      </c>
      <c r="AA78" s="16">
        <v>18.096586640000002</v>
      </c>
      <c r="AB78" s="16">
        <v>2.5469026440000002</v>
      </c>
      <c r="AC78" s="16">
        <v>0.55462353750000004</v>
      </c>
      <c r="AD78" s="95">
        <v>21.198112821500001</v>
      </c>
    </row>
    <row r="79" spans="3:30" x14ac:dyDescent="0.25">
      <c r="C79" s="147" t="s">
        <v>21</v>
      </c>
      <c r="D79" t="s">
        <v>402</v>
      </c>
      <c r="E79" t="s">
        <v>403</v>
      </c>
      <c r="F79" t="s">
        <v>404</v>
      </c>
      <c r="G79" t="s">
        <v>405</v>
      </c>
      <c r="H79" s="8">
        <f>VLOOKUP(D79,Résultats!$B$2:$AX$476,'T energie vecteurs'!S5,FALSE)</f>
        <v>0.2590554592</v>
      </c>
      <c r="I79" s="293">
        <f>VLOOKUP(E79,Résultats!$B$2:$AX$476,'T energie vecteurs'!S5,FALSE)</f>
        <v>5.6909935149999997</v>
      </c>
      <c r="J79" s="8">
        <f>VLOOKUP(F79,Résultats!$B$2:$AX$476,'T energie vecteurs'!S5,FALSE)</f>
        <v>15.08991103</v>
      </c>
      <c r="K79" s="8">
        <f>VLOOKUP(G79,Résultats!$B$2:$AX$476,'T energie vecteurs'!S5,FALSE)+2</f>
        <v>17.798578920000001</v>
      </c>
      <c r="L79" s="96">
        <f>SUM(H79:K79)</f>
        <v>38.838538924199995</v>
      </c>
      <c r="M79" s="75"/>
      <c r="N79" s="150" t="s">
        <v>21</v>
      </c>
      <c r="O79" s="29">
        <f>'[2]Bilan 2030 AMS'!$V$46/11.63</f>
        <v>0</v>
      </c>
      <c r="P79" s="28">
        <f>SUM('[2]Bilan 2030 AMS'!$V$41:$V$43)/11.63</f>
        <v>0.95029335786167934</v>
      </c>
      <c r="Q79" s="28">
        <f>'[2]Bilan 2030 AMS'!$V$13/11.63</f>
        <v>14.305528689784131</v>
      </c>
      <c r="R79" s="28">
        <f>('[2]Bilan 2030 AMS'!$V$22+'[2]Bilan 2030 AMS'!$V$30+SUM('[2]Bilan 2030 AMS'!$V$36:$V$40)+SUM('[2]Bilan 2030 AMS'!$V$44:$V$45)+'[2]Bilan 2030 AMS'!$V$47)/11.63</f>
        <v>22.929923822645311</v>
      </c>
      <c r="S79" s="142">
        <f t="shared" ref="S79:S85" si="25">SUM(O79:R79)</f>
        <v>38.185745870291122</v>
      </c>
      <c r="T79" s="318">
        <f>S79-'[2]Bilan 2030 AMS'!$V$40/11.63</f>
        <v>30.776035448134593</v>
      </c>
      <c r="U79" s="147" t="s">
        <v>21</v>
      </c>
      <c r="V79" t="s">
        <v>402</v>
      </c>
      <c r="W79" t="s">
        <v>403</v>
      </c>
      <c r="X79" t="s">
        <v>404</v>
      </c>
      <c r="Y79" t="s">
        <v>405</v>
      </c>
      <c r="Z79" s="8">
        <v>0.2567868868</v>
      </c>
      <c r="AA79" s="293">
        <v>5.4017847679999997</v>
      </c>
      <c r="AB79" s="8">
        <v>14.93053495</v>
      </c>
      <c r="AC79" s="8">
        <v>17.817498669999999</v>
      </c>
      <c r="AD79" s="96">
        <v>38.4066052748</v>
      </c>
    </row>
    <row r="80" spans="3:30" x14ac:dyDescent="0.25">
      <c r="C80" s="147" t="s">
        <v>22</v>
      </c>
      <c r="D80" t="s">
        <v>406</v>
      </c>
      <c r="E80" t="s">
        <v>407</v>
      </c>
      <c r="F80" t="s">
        <v>408</v>
      </c>
      <c r="G80" t="s">
        <v>409</v>
      </c>
      <c r="H80" s="8">
        <f>VLOOKUP(D80,Résultats!$B$2:$AX$476,'T energie vecteurs'!S5,FALSE)</f>
        <v>0</v>
      </c>
      <c r="I80" s="8">
        <f>VLOOKUP(E80,Résultats!$B$2:$AX$476,'T energie vecteurs'!S5,FALSE)</f>
        <v>1.2679683129999999</v>
      </c>
      <c r="J80" s="8">
        <f>VLOOKUP(F80,Résultats!$B$2:$AX$476,'T energie vecteurs'!S5,FALSE)</f>
        <v>8.4633303299999998</v>
      </c>
      <c r="K80" s="8">
        <f>VLOOKUP(G80,Résultats!$B$2:$AX$476,'T energie vecteurs'!S5,FALSE)</f>
        <v>12.202718450000001</v>
      </c>
      <c r="L80" s="96">
        <f t="shared" si="24"/>
        <v>21.934017093000001</v>
      </c>
      <c r="M80" s="75"/>
      <c r="N80" s="150" t="s">
        <v>22</v>
      </c>
      <c r="O80" s="29">
        <f>('[2]Bilan 2030 AMS'!$W$46)/11.63</f>
        <v>0</v>
      </c>
      <c r="P80" s="28">
        <f>SUM('[2]Bilan 2030 AMS'!$W$41:$W$43)/11.63</f>
        <v>0.31365832894736362</v>
      </c>
      <c r="Q80" s="28">
        <f>('[2]Bilan 2030 AMS'!$W$13)/11.63</f>
        <v>10.489063020056145</v>
      </c>
      <c r="R80" s="28">
        <f>('[2]Bilan 2030 AMS'!$W$22+'[2]Bilan 2030 AMS'!$W$30+SUM('[2]Bilan 2030 AMS'!$W$36:$W$40)+SUM('[2]Bilan 2030 AMS'!$W$44:$W$45)+'[2]Bilan 2030 AMS'!$W$47)/11.63</f>
        <v>9.7519333585222086</v>
      </c>
      <c r="S80" s="142">
        <f t="shared" si="25"/>
        <v>20.554654707525717</v>
      </c>
      <c r="T80" s="318">
        <f>S80-'[2]Bilan 2030 AMS'!$W$40/11.63</f>
        <v>17.750636932802038</v>
      </c>
      <c r="U80" s="147" t="s">
        <v>22</v>
      </c>
      <c r="V80" t="s">
        <v>406</v>
      </c>
      <c r="W80" t="s">
        <v>407</v>
      </c>
      <c r="X80" t="s">
        <v>408</v>
      </c>
      <c r="Y80" t="s">
        <v>409</v>
      </c>
      <c r="Z80" s="8">
        <v>0</v>
      </c>
      <c r="AA80" s="8">
        <v>1.1766103830000001</v>
      </c>
      <c r="AB80" s="8">
        <v>8.0271760469999904</v>
      </c>
      <c r="AC80" s="8">
        <v>12.920686720000001</v>
      </c>
      <c r="AD80" s="96">
        <v>22.124473149999993</v>
      </c>
    </row>
    <row r="81" spans="2:30" x14ac:dyDescent="0.25">
      <c r="C81" s="147" t="s">
        <v>23</v>
      </c>
      <c r="H81" s="8">
        <f>SUM(H82:H84)</f>
        <v>2.1294953293000001</v>
      </c>
      <c r="I81" s="8">
        <f>SUM(I82:I84)</f>
        <v>11.993171336</v>
      </c>
      <c r="J81" s="8">
        <f>SUM(J82:J84)</f>
        <v>15.4146469112</v>
      </c>
      <c r="K81" s="8">
        <f>SUM(K82:K84)</f>
        <v>10.4315752908</v>
      </c>
      <c r="L81" s="96">
        <f t="shared" si="24"/>
        <v>39.968888867299995</v>
      </c>
      <c r="M81" s="75"/>
      <c r="N81" s="150" t="s">
        <v>490</v>
      </c>
      <c r="O81" s="29">
        <f>O82+O83</f>
        <v>1.9316373921834695</v>
      </c>
      <c r="P81" s="28">
        <f t="shared" ref="P81:R81" si="26">P82+P83</f>
        <v>10.989093223783227</v>
      </c>
      <c r="Q81" s="28">
        <f t="shared" si="26"/>
        <v>12.895607745280868</v>
      </c>
      <c r="R81" s="28">
        <f t="shared" si="26"/>
        <v>14.754489934131207</v>
      </c>
      <c r="S81" s="142">
        <f t="shared" si="25"/>
        <v>40.570828295378774</v>
      </c>
      <c r="T81" s="318">
        <f t="shared" ref="T81" si="27">S81</f>
        <v>40.570828295378774</v>
      </c>
      <c r="U81" s="147" t="s">
        <v>23</v>
      </c>
      <c r="Z81" s="8">
        <v>1.7186763991</v>
      </c>
      <c r="AA81" s="8">
        <v>9.1539630069999998</v>
      </c>
      <c r="AB81" s="8">
        <v>15.2446813008</v>
      </c>
      <c r="AC81" s="8">
        <v>7.8459154569000011</v>
      </c>
      <c r="AD81" s="96">
        <v>33.963236163799998</v>
      </c>
    </row>
    <row r="82" spans="2:30" x14ac:dyDescent="0.25">
      <c r="C82" s="149" t="s">
        <v>24</v>
      </c>
      <c r="D82" t="s">
        <v>410</v>
      </c>
      <c r="E82" t="s">
        <v>411</v>
      </c>
      <c r="F82" t="s">
        <v>412</v>
      </c>
      <c r="G82" t="s">
        <v>413</v>
      </c>
      <c r="H82" s="16">
        <f>VLOOKUP(D82,Résultats!$B$2:$AX$476,'T energie vecteurs'!S5,FALSE)</f>
        <v>1.2668304269999999</v>
      </c>
      <c r="I82" s="16">
        <f>VLOOKUP(E82,Résultats!$B$2:$AX$476,'T energie vecteurs'!S5,FALSE)</f>
        <v>6.8974269340000003</v>
      </c>
      <c r="J82" s="16">
        <f>VLOOKUP(F82,Résultats!$B$2:$AX$476,'T energie vecteurs'!S5,FALSE)</f>
        <v>15.07537628</v>
      </c>
      <c r="K82" s="16">
        <f>VLOOKUP(G82,Résultats!$B$2:$AX$476,'T energie vecteurs'!S5,FALSE)</f>
        <v>7.889965965</v>
      </c>
      <c r="L82" s="95">
        <f t="shared" si="24"/>
        <v>31.129599605999999</v>
      </c>
      <c r="M82" s="16"/>
      <c r="N82" s="149" t="s">
        <v>491</v>
      </c>
      <c r="O82" s="143">
        <f>'[2]Bilan 2030 AMS'!$U$46/11.63</f>
        <v>7.9598072737532236E-2</v>
      </c>
      <c r="P82" s="30">
        <f>SUM('[2]Bilan 2030 AMS'!$U$41:$U$43)/11.63</f>
        <v>1.062435627302436</v>
      </c>
      <c r="Q82" s="30">
        <f>'[2]Bilan 2030 AMS'!$U$13/11.63</f>
        <v>12.895607745280868</v>
      </c>
      <c r="R82" s="30">
        <f>('[2]Bilan 2030 AMS'!$U$22+'[2]Bilan 2030 AMS'!$U$30+SUM('[2]Bilan 2030 AMS'!$U$36:$U$40)+SUM('[2]Bilan 2030 AMS'!$U$44:$U$45)+'[2]Bilan 2030 AMS'!$U$47)/11.63</f>
        <v>13.492674028058465</v>
      </c>
      <c r="S82" s="95">
        <f t="shared" si="25"/>
        <v>27.530315473379304</v>
      </c>
      <c r="T82" s="95"/>
      <c r="U82" s="149" t="s">
        <v>24</v>
      </c>
      <c r="V82" t="s">
        <v>410</v>
      </c>
      <c r="W82" t="s">
        <v>411</v>
      </c>
      <c r="X82" t="s">
        <v>412</v>
      </c>
      <c r="Y82" t="s">
        <v>413</v>
      </c>
      <c r="Z82" s="16">
        <v>0.88409441190000004</v>
      </c>
      <c r="AA82" s="16">
        <v>4.283912731</v>
      </c>
      <c r="AB82" s="16">
        <v>14.91047069</v>
      </c>
      <c r="AC82" s="16">
        <v>5.4113244800000002</v>
      </c>
      <c r="AD82" s="95">
        <v>25.4898023129</v>
      </c>
    </row>
    <row r="83" spans="2:30" x14ac:dyDescent="0.25">
      <c r="C83" s="149" t="s">
        <v>47</v>
      </c>
      <c r="D83" t="s">
        <v>414</v>
      </c>
      <c r="E83" t="s">
        <v>415</v>
      </c>
      <c r="F83" t="s">
        <v>416</v>
      </c>
      <c r="G83" t="s">
        <v>417</v>
      </c>
      <c r="H83" s="16">
        <f>VLOOKUP(D83,Résultats!$B$2:$AX$476,'T energie vecteurs'!S5,FALSE)</f>
        <v>0.86266490230000004</v>
      </c>
      <c r="I83" s="16">
        <f>VLOOKUP(E83,Résultats!$B$2:$AX$476,'T energie vecteurs'!S5,FALSE)</f>
        <v>2.1768940360000002</v>
      </c>
      <c r="J83" s="16">
        <f>VLOOKUP(F83,Résultats!$B$2:$AX$476,'T energie vecteurs'!S5,FALSE)</f>
        <v>0</v>
      </c>
      <c r="K83" s="16">
        <f>VLOOKUP(G83,Résultats!$B$2:$AX$476,'T energie vecteurs'!S5,FALSE)</f>
        <v>2.106071596</v>
      </c>
      <c r="L83" s="95">
        <f>SUM(H83:K83)</f>
        <v>5.1456305343000004</v>
      </c>
      <c r="M83" s="16"/>
      <c r="N83" s="149" t="s">
        <v>47</v>
      </c>
      <c r="O83" s="22">
        <f>'[2]Bilan 2030 AMS'!$E$52/11.63</f>
        <v>1.8520393194459372</v>
      </c>
      <c r="P83" s="16">
        <f>('[2]Bilan 2030 AMS'!$E$54+'[2]Bilan 2030 AMS'!$E$56)/11.63</f>
        <v>9.9266575964807906</v>
      </c>
      <c r="Q83" s="16">
        <v>0</v>
      </c>
      <c r="R83" s="16">
        <f>('[2]Bilan 2030 AMS'!$E$53+'[2]Bilan 2030 AMS'!$E$55+'[2]Bilan 2030 AMS'!$E$57)/11.63</f>
        <v>1.2618159060727419</v>
      </c>
      <c r="S83" s="95">
        <f t="shared" si="25"/>
        <v>13.040512821999471</v>
      </c>
      <c r="T83" s="95"/>
      <c r="U83" s="149" t="s">
        <v>47</v>
      </c>
      <c r="V83" t="s">
        <v>414</v>
      </c>
      <c r="W83" t="s">
        <v>415</v>
      </c>
      <c r="X83" t="s">
        <v>416</v>
      </c>
      <c r="Y83" t="s">
        <v>417</v>
      </c>
      <c r="Z83" s="16">
        <v>0.83458198719999999</v>
      </c>
      <c r="AA83" s="16">
        <v>2.0854709329999999</v>
      </c>
      <c r="AB83" s="16">
        <v>0</v>
      </c>
      <c r="AC83" s="16">
        <v>2.0002905790000001</v>
      </c>
      <c r="AD83" s="95">
        <v>4.9203434991999995</v>
      </c>
    </row>
    <row r="84" spans="2:30" x14ac:dyDescent="0.25">
      <c r="C84" s="149" t="s">
        <v>25</v>
      </c>
      <c r="D84" t="s">
        <v>418</v>
      </c>
      <c r="E84" t="s">
        <v>419</v>
      </c>
      <c r="F84" t="s">
        <v>420</v>
      </c>
      <c r="G84" t="s">
        <v>421</v>
      </c>
      <c r="H84" s="16">
        <f>VLOOKUP(D84,Résultats!$B$2:$AX$476,'T energie vecteurs'!S5,FALSE)</f>
        <v>0</v>
      </c>
      <c r="I84" s="16">
        <f>VLOOKUP(E84,Résultats!$B$2:$AX$476,'T energie vecteurs'!S5,FALSE)</f>
        <v>2.918850366</v>
      </c>
      <c r="J84" s="16">
        <f>VLOOKUP(F84,Résultats!$B$2:$AX$476,'T energie vecteurs'!S5,FALSE)</f>
        <v>0.33927063120000001</v>
      </c>
      <c r="K84" s="16">
        <f>VLOOKUP(G84,Résultats!$B$2:$AX$476,'T energie vecteurs'!S5,FALSE)</f>
        <v>0.4355377298</v>
      </c>
      <c r="L84" s="95">
        <f t="shared" si="24"/>
        <v>3.6936587269999999</v>
      </c>
      <c r="M84" s="16"/>
      <c r="N84" s="150" t="s">
        <v>25</v>
      </c>
      <c r="O84" s="29">
        <f>'[2]Bilan 2030 AMS'!$T$46/11.63</f>
        <v>0</v>
      </c>
      <c r="P84" s="28">
        <f>SUM('[2]Bilan 2030 AMS'!$T$41:$T$43)/11.63</f>
        <v>2.9892692881103491</v>
      </c>
      <c r="Q84" s="28">
        <f>'[2]Bilan 2030 AMS'!$T$13/11.63</f>
        <v>0.66835109694132144</v>
      </c>
      <c r="R84" s="28">
        <f>('[2]Bilan 2030 AMS'!$T$22+'[2]Bilan 2030 AMS'!$T$30+SUM('[2]Bilan 2030 AMS'!$T$36:$T$40)+SUM('[2]Bilan 2030 AMS'!$T$44:$T$45)+'[2]Bilan 2030 AMS'!$T$47)/11.63</f>
        <v>1.2068345110920244</v>
      </c>
      <c r="S84" s="142">
        <f t="shared" si="25"/>
        <v>4.8644548961436946</v>
      </c>
      <c r="T84" s="318">
        <f>S84</f>
        <v>4.8644548961436946</v>
      </c>
      <c r="U84" s="149" t="s">
        <v>25</v>
      </c>
      <c r="V84" t="s">
        <v>418</v>
      </c>
      <c r="W84" t="s">
        <v>419</v>
      </c>
      <c r="X84" t="s">
        <v>420</v>
      </c>
      <c r="Y84" t="s">
        <v>421</v>
      </c>
      <c r="Z84" s="16">
        <v>0</v>
      </c>
      <c r="AA84" s="16">
        <v>2.7845793429999999</v>
      </c>
      <c r="AB84" s="16">
        <v>0.33421061079999997</v>
      </c>
      <c r="AC84" s="16">
        <v>0.43430039790000002</v>
      </c>
      <c r="AD84" s="95">
        <v>3.5530903516999999</v>
      </c>
    </row>
    <row r="85" spans="2:30" x14ac:dyDescent="0.25">
      <c r="C85" s="23" t="s">
        <v>26</v>
      </c>
      <c r="D85" s="10"/>
      <c r="E85" s="10"/>
      <c r="F85" s="10"/>
      <c r="G85" s="10"/>
      <c r="H85" s="9">
        <f>SUM(H76,H79:H81)</f>
        <v>2.3885507884999999</v>
      </c>
      <c r="I85" s="9">
        <f>SUM(I76,I79:I81)</f>
        <v>55.660598223999997</v>
      </c>
      <c r="J85" s="9">
        <f>SUM(J76,J79:J81)</f>
        <v>42.828485848699998</v>
      </c>
      <c r="K85" s="9">
        <f>SUM(K76,K79:K81)</f>
        <v>41.015601985924398</v>
      </c>
      <c r="L85" s="98">
        <f>SUM(H85:K85)</f>
        <v>141.8932368471244</v>
      </c>
      <c r="M85" s="79"/>
      <c r="N85" s="151" t="s">
        <v>26</v>
      </c>
      <c r="O85" s="32">
        <f>O76+O79+O80+O81+O84</f>
        <v>1.9316373921834695</v>
      </c>
      <c r="P85" s="31">
        <f>P76+P79+P80+P81+P84</f>
        <v>46.567847597270919</v>
      </c>
      <c r="Q85" s="31">
        <f>Q76+Q79+Q80+Q81+Q84</f>
        <v>41.314616149289513</v>
      </c>
      <c r="R85" s="31">
        <f>R76+R79+R80+R81+R84</f>
        <v>49.28838174800881</v>
      </c>
      <c r="S85" s="144">
        <f t="shared" si="25"/>
        <v>139.10248288675271</v>
      </c>
      <c r="T85" s="319">
        <f>SUM(T76:T84)</f>
        <v>128.88875468987248</v>
      </c>
      <c r="U85" s="23" t="s">
        <v>26</v>
      </c>
      <c r="V85" s="10"/>
      <c r="W85" s="10"/>
      <c r="X85" s="10"/>
      <c r="Y85" s="10"/>
      <c r="Z85" s="9">
        <v>1.9754632859000001</v>
      </c>
      <c r="AA85" s="9">
        <v>52.450011328000009</v>
      </c>
      <c r="AB85" s="9">
        <v>41.542628818599994</v>
      </c>
      <c r="AC85" s="9">
        <v>39.1387489264376</v>
      </c>
      <c r="AD85" s="98">
        <v>135.1068523589376</v>
      </c>
    </row>
    <row r="86" spans="2:30" s="3" customFormat="1" x14ac:dyDescent="0.25">
      <c r="O86" s="77"/>
      <c r="P86" s="77"/>
      <c r="Q86" s="77"/>
      <c r="R86" s="78"/>
      <c r="S86" s="45"/>
    </row>
    <row r="87" spans="2:30" s="3" customFormat="1" x14ac:dyDescent="0.25">
      <c r="B87" s="60"/>
      <c r="K87" s="47"/>
      <c r="O87" s="79"/>
      <c r="P87" s="79"/>
      <c r="Q87" s="79"/>
      <c r="R87" s="80"/>
      <c r="S87" s="81"/>
      <c r="AC87" s="47"/>
    </row>
    <row r="88" spans="2:30" s="3" customFormat="1" ht="31.5" x14ac:dyDescent="0.35">
      <c r="B88" s="60"/>
      <c r="C88" s="145">
        <v>2035</v>
      </c>
      <c r="D88" s="146"/>
      <c r="E88" s="146"/>
      <c r="F88" s="146"/>
      <c r="G88" s="146"/>
      <c r="H88" s="76" t="s">
        <v>36</v>
      </c>
      <c r="I88" s="76" t="s">
        <v>49</v>
      </c>
      <c r="J88" s="76" t="s">
        <v>38</v>
      </c>
      <c r="K88" s="76" t="s">
        <v>48</v>
      </c>
      <c r="L88" s="93" t="s">
        <v>1</v>
      </c>
      <c r="N88" s="145">
        <v>2035</v>
      </c>
      <c r="O88" s="141" t="s">
        <v>36</v>
      </c>
      <c r="P88" s="76" t="s">
        <v>49</v>
      </c>
      <c r="Q88" s="76" t="s">
        <v>38</v>
      </c>
      <c r="R88" s="76" t="s">
        <v>48</v>
      </c>
      <c r="S88" s="93" t="s">
        <v>1</v>
      </c>
      <c r="T88" s="317" t="s">
        <v>543</v>
      </c>
      <c r="U88" s="145">
        <v>2035</v>
      </c>
      <c r="V88" s="146"/>
      <c r="W88" s="146"/>
      <c r="X88" s="146"/>
      <c r="Y88" s="146"/>
      <c r="Z88" s="76" t="s">
        <v>36</v>
      </c>
      <c r="AA88" s="76" t="s">
        <v>49</v>
      </c>
      <c r="AB88" s="76" t="s">
        <v>38</v>
      </c>
      <c r="AC88" s="76" t="s">
        <v>48</v>
      </c>
      <c r="AD88" s="93" t="s">
        <v>1</v>
      </c>
    </row>
    <row r="89" spans="2:30" s="3" customFormat="1" x14ac:dyDescent="0.25">
      <c r="B89" s="60"/>
      <c r="C89" s="147" t="s">
        <v>18</v>
      </c>
      <c r="D89"/>
      <c r="E89"/>
      <c r="F89"/>
      <c r="G89"/>
      <c r="H89" s="8">
        <f>SUM(H90:H91)</f>
        <v>0</v>
      </c>
      <c r="I89" s="8">
        <f>SUM(I90:I91)</f>
        <v>29.686246529999998</v>
      </c>
      <c r="J89" s="8">
        <f>SUM(J90:J91)</f>
        <v>6.5753002170000006</v>
      </c>
      <c r="K89" s="8">
        <f>SUM(K90:K91)</f>
        <v>0.52425384552059995</v>
      </c>
      <c r="L89" s="96">
        <f t="shared" ref="L89:L98" si="28">SUM(H89:K89)</f>
        <v>36.785800592520594</v>
      </c>
      <c r="N89" s="150" t="s">
        <v>18</v>
      </c>
      <c r="O89" s="29">
        <f>'[2]Bilan 2035 AMS'!$X$46/11.63</f>
        <v>0</v>
      </c>
      <c r="P89" s="28">
        <f>SUM('[2]Bilan 2035 AMS'!$X$41:$X$43)/11.63</f>
        <v>21.730689498011905</v>
      </c>
      <c r="Q89" s="28">
        <f>'[2]Bilan 2035 AMS'!$X$13/11.63</f>
        <v>5.5762370969707487</v>
      </c>
      <c r="R89" s="28">
        <f>('[2]Bilan 2035 AMS'!$X$22+'[2]Bilan 2035 AMS'!$X$30+SUM('[2]Bilan 2035 AMS'!$X$36:$X$40)+SUM('[2]Bilan 2035 AMS'!$X$44:$X$45)+'[2]Bilan 2035 AMS'!$X$47)/11.63</f>
        <v>0.86916506855092779</v>
      </c>
      <c r="S89" s="142">
        <f>SUM(O89:R89)</f>
        <v>28.176091663533583</v>
      </c>
      <c r="T89" s="318">
        <f>S89</f>
        <v>28.176091663533583</v>
      </c>
      <c r="U89" s="147" t="s">
        <v>18</v>
      </c>
      <c r="V89"/>
      <c r="W89"/>
      <c r="X89"/>
      <c r="Y89"/>
      <c r="Z89" s="8">
        <v>0</v>
      </c>
      <c r="AA89" s="8">
        <v>29.58305245</v>
      </c>
      <c r="AB89" s="8">
        <v>5.9470695559999998</v>
      </c>
      <c r="AC89" s="8">
        <v>0.50050625496529999</v>
      </c>
      <c r="AD89" s="96">
        <v>36.030628260965301</v>
      </c>
    </row>
    <row r="90" spans="2:30" s="3" customFormat="1" x14ac:dyDescent="0.25">
      <c r="B90" s="60"/>
      <c r="C90" s="148" t="s">
        <v>19</v>
      </c>
      <c r="D90" t="s">
        <v>394</v>
      </c>
      <c r="E90" t="s">
        <v>395</v>
      </c>
      <c r="F90" t="s">
        <v>396</v>
      </c>
      <c r="G90" t="s">
        <v>397</v>
      </c>
      <c r="H90" s="16">
        <f>VLOOKUP(D90,Résultats!$B$2:$AX$476,'T energie vecteurs'!T5,FALSE)</f>
        <v>0</v>
      </c>
      <c r="I90" s="16">
        <f>VLOOKUP(E90,Résultats!$B$2:$AX$476,'T energie vecteurs'!T5,FALSE)</f>
        <v>14.46830941</v>
      </c>
      <c r="J90" s="16">
        <f>VLOOKUP(F90,Résultats!$B$2:$AX$476,'T energie vecteurs'!T5,FALSE)</f>
        <v>1.992685284</v>
      </c>
      <c r="K90" s="16">
        <f>VLOOKUP(G90,Résultats!$B$2:$AX$476,'T energie vecteurs'!T5,FALSE)</f>
        <v>2.5371120599999999E-5</v>
      </c>
      <c r="L90" s="95">
        <f t="shared" si="28"/>
        <v>16.4610200651206</v>
      </c>
      <c r="N90" s="148" t="s">
        <v>19</v>
      </c>
      <c r="O90" s="143"/>
      <c r="P90" s="16"/>
      <c r="Q90" s="34"/>
      <c r="R90" s="16"/>
      <c r="S90" s="95"/>
      <c r="T90" s="95"/>
      <c r="U90" s="148" t="s">
        <v>19</v>
      </c>
      <c r="V90" t="s">
        <v>394</v>
      </c>
      <c r="W90" t="s">
        <v>395</v>
      </c>
      <c r="X90" t="s">
        <v>396</v>
      </c>
      <c r="Y90" t="s">
        <v>397</v>
      </c>
      <c r="Z90" s="16">
        <v>0</v>
      </c>
      <c r="AA90" s="16">
        <v>14.50634552</v>
      </c>
      <c r="AB90" s="16">
        <v>1.8725219120000001</v>
      </c>
      <c r="AC90" s="16">
        <v>2.08634653E-5</v>
      </c>
      <c r="AD90" s="95">
        <v>16.378888295465298</v>
      </c>
    </row>
    <row r="91" spans="2:30" s="3" customFormat="1" x14ac:dyDescent="0.25">
      <c r="B91" s="60"/>
      <c r="C91" s="149" t="s">
        <v>20</v>
      </c>
      <c r="D91" t="s">
        <v>398</v>
      </c>
      <c r="E91" t="s">
        <v>399</v>
      </c>
      <c r="F91" t="s">
        <v>400</v>
      </c>
      <c r="G91" t="s">
        <v>401</v>
      </c>
      <c r="H91" s="16">
        <f>VLOOKUP(D91,Résultats!$B$2:$AX$476,'T energie vecteurs'!T5,FALSE)</f>
        <v>0</v>
      </c>
      <c r="I91" s="16">
        <f>VLOOKUP(E91,Résultats!$B$2:$AX$476,'T energie vecteurs'!T5,FALSE)</f>
        <v>15.21793712</v>
      </c>
      <c r="J91" s="16">
        <f>VLOOKUP(F91,Résultats!$B$2:$AX$476,'T energie vecteurs'!T5,FALSE)</f>
        <v>4.5826149330000003</v>
      </c>
      <c r="K91" s="16">
        <f>VLOOKUP(G91,Résultats!$B$2:$AX$476,'T energie vecteurs'!T5,FALSE)</f>
        <v>0.52422847439999998</v>
      </c>
      <c r="L91" s="95">
        <f t="shared" si="28"/>
        <v>20.324780527400002</v>
      </c>
      <c r="N91" s="149" t="s">
        <v>20</v>
      </c>
      <c r="O91" s="143"/>
      <c r="P91" s="16"/>
      <c r="Q91" s="34"/>
      <c r="R91" s="16"/>
      <c r="S91" s="95"/>
      <c r="T91" s="95"/>
      <c r="U91" s="149" t="s">
        <v>20</v>
      </c>
      <c r="V91" t="s">
        <v>398</v>
      </c>
      <c r="W91" t="s">
        <v>399</v>
      </c>
      <c r="X91" t="s">
        <v>400</v>
      </c>
      <c r="Y91" t="s">
        <v>401</v>
      </c>
      <c r="Z91" s="16">
        <v>0</v>
      </c>
      <c r="AA91" s="16">
        <v>15.07670693</v>
      </c>
      <c r="AB91" s="16">
        <v>4.0745476439999999</v>
      </c>
      <c r="AC91" s="16">
        <v>0.50048539150000004</v>
      </c>
      <c r="AD91" s="95">
        <v>19.651739965499999</v>
      </c>
    </row>
    <row r="92" spans="2:30" s="3" customFormat="1" x14ac:dyDescent="0.25">
      <c r="B92" s="60"/>
      <c r="C92" s="147" t="s">
        <v>21</v>
      </c>
      <c r="D92" t="s">
        <v>402</v>
      </c>
      <c r="E92" t="s">
        <v>403</v>
      </c>
      <c r="F92" t="s">
        <v>404</v>
      </c>
      <c r="G92" t="s">
        <v>405</v>
      </c>
      <c r="H92" s="8">
        <f>VLOOKUP(D92,Résultats!$B$2:$AX$476,'T energie vecteurs'!T5,FALSE)</f>
        <v>0.2294798686</v>
      </c>
      <c r="I92" s="293">
        <f>VLOOKUP(E92,Résultats!$B$2:$AX$476,'T energie vecteurs'!T5,FALSE)</f>
        <v>5.2040510749999997</v>
      </c>
      <c r="J92" s="8">
        <f>VLOOKUP(F92,Résultats!$B$2:$AX$476,'T energie vecteurs'!T5,FALSE)</f>
        <v>15.191548510000001</v>
      </c>
      <c r="K92" s="8">
        <f>VLOOKUP(G92,Résultats!$B$2:$AX$476,'T energie vecteurs'!T5,FALSE)+2</f>
        <v>16.853562400000001</v>
      </c>
      <c r="L92" s="96">
        <f t="shared" si="28"/>
        <v>37.478641853600003</v>
      </c>
      <c r="N92" s="150" t="s">
        <v>21</v>
      </c>
      <c r="O92" s="29">
        <f>'[2]Bilan 2035 AMS'!$V$46/11.63</f>
        <v>0</v>
      </c>
      <c r="P92" s="28">
        <f>SUM('[2]Bilan 2035 AMS'!$V$41:$V$43)/11.63</f>
        <v>0.10251745015919128</v>
      </c>
      <c r="Q92" s="28">
        <f>'[2]Bilan 2035 AMS'!$V$13/11.63</f>
        <v>13.303102379021182</v>
      </c>
      <c r="R92" s="28">
        <f>('[2]Bilan 2035 AMS'!$V$22+'[2]Bilan 2035 AMS'!$V$30+SUM('[2]Bilan 2035 AMS'!$V$36:$V$40)+SUM('[2]Bilan 2035 AMS'!$V$44:$V$45)+'[2]Bilan 2035 AMS'!$V$47)/11.63</f>
        <v>23.111817871405254</v>
      </c>
      <c r="S92" s="142">
        <f t="shared" ref="S92:S98" si="29">SUM(O92:R92)</f>
        <v>36.517437700585624</v>
      </c>
      <c r="T92" s="318">
        <f>S92-'[2]Bilan 2035 AMS'!$V$40/11.63</f>
        <v>27.392082341531609</v>
      </c>
      <c r="U92" s="147" t="s">
        <v>21</v>
      </c>
      <c r="V92" t="s">
        <v>402</v>
      </c>
      <c r="W92" t="s">
        <v>403</v>
      </c>
      <c r="X92" t="s">
        <v>404</v>
      </c>
      <c r="Y92" t="s">
        <v>405</v>
      </c>
      <c r="Z92" s="8">
        <v>0.21688790829999999</v>
      </c>
      <c r="AA92" s="293">
        <v>4.672400176</v>
      </c>
      <c r="AB92" s="8">
        <v>14.73807223</v>
      </c>
      <c r="AC92" s="8">
        <v>16.323631949999999</v>
      </c>
      <c r="AD92" s="96">
        <v>35.950992264299998</v>
      </c>
    </row>
    <row r="93" spans="2:30" s="3" customFormat="1" x14ac:dyDescent="0.25">
      <c r="B93" s="60"/>
      <c r="C93" s="147" t="s">
        <v>22</v>
      </c>
      <c r="D93" t="s">
        <v>406</v>
      </c>
      <c r="E93" t="s">
        <v>407</v>
      </c>
      <c r="F93" t="s">
        <v>408</v>
      </c>
      <c r="G93" t="s">
        <v>409</v>
      </c>
      <c r="H93" s="8">
        <f>VLOOKUP(D93,Résultats!$B$2:$AX$476,'T energie vecteurs'!T5,FALSE)</f>
        <v>0</v>
      </c>
      <c r="I93" s="8">
        <f>VLOOKUP(E93,Résultats!$B$2:$AX$476,'T energie vecteurs'!T5,FALSE)</f>
        <v>1.275375269</v>
      </c>
      <c r="J93" s="8">
        <f>VLOOKUP(F93,Résultats!$B$2:$AX$476,'T energie vecteurs'!T5,FALSE)</f>
        <v>8.3332547889999997</v>
      </c>
      <c r="K93" s="8">
        <f>VLOOKUP(G93,Résultats!$B$2:$AX$476,'T energie vecteurs'!T5,FALSE)</f>
        <v>10.921677130000001</v>
      </c>
      <c r="L93" s="96">
        <f t="shared" si="28"/>
        <v>20.530307188000002</v>
      </c>
      <c r="N93" s="150" t="s">
        <v>22</v>
      </c>
      <c r="O93" s="29">
        <f>('[2]Bilan 2035 AMS'!$W$46)/11.63</f>
        <v>0</v>
      </c>
      <c r="P93" s="28">
        <f>SUM('[2]Bilan 2035 AMS'!$W$41:$W$43)/11.63</f>
        <v>0.18654564932707193</v>
      </c>
      <c r="Q93" s="28">
        <f>('[2]Bilan 2035 AMS'!$W$13)/11.63</f>
        <v>10.475484550291474</v>
      </c>
      <c r="R93" s="28">
        <f>('[2]Bilan 2035 AMS'!$W$22+'[2]Bilan 2035 AMS'!$W$30+SUM('[2]Bilan 2035 AMS'!$W$36:$W$40)+SUM('[2]Bilan 2035 AMS'!$W$44:$W$45)+'[2]Bilan 2035 AMS'!$W$47)/11.63</f>
        <v>9.8192809947899988</v>
      </c>
      <c r="S93" s="142">
        <f t="shared" si="29"/>
        <v>20.481311194408548</v>
      </c>
      <c r="T93" s="318">
        <f>S93-'[2]Bilan 2035 AMS'!$W$40/11.63</f>
        <v>16.836591575400341</v>
      </c>
      <c r="U93" s="147" t="s">
        <v>22</v>
      </c>
      <c r="V93" t="s">
        <v>406</v>
      </c>
      <c r="W93" t="s">
        <v>407</v>
      </c>
      <c r="X93" t="s">
        <v>408</v>
      </c>
      <c r="Y93" t="s">
        <v>409</v>
      </c>
      <c r="Z93" s="8">
        <v>0</v>
      </c>
      <c r="AA93" s="8">
        <v>1.181429619</v>
      </c>
      <c r="AB93" s="8">
        <v>7.9627584560000004</v>
      </c>
      <c r="AC93" s="8">
        <v>11.61332219</v>
      </c>
      <c r="AD93" s="96">
        <v>20.757510265000001</v>
      </c>
    </row>
    <row r="94" spans="2:30" s="3" customFormat="1" x14ac:dyDescent="0.25">
      <c r="B94" s="60"/>
      <c r="C94" s="147" t="s">
        <v>23</v>
      </c>
      <c r="D94"/>
      <c r="E94"/>
      <c r="F94"/>
      <c r="G94"/>
      <c r="H94" s="8">
        <f>SUM(H95:H97)</f>
        <v>1.8674264208</v>
      </c>
      <c r="I94" s="8">
        <f>SUM(I95:I97)</f>
        <v>10.412615707</v>
      </c>
      <c r="J94" s="8">
        <f>SUM(J95:J97)</f>
        <v>19.090967429700001</v>
      </c>
      <c r="K94" s="8">
        <f>SUM(K95:K97)</f>
        <v>8.2098205294</v>
      </c>
      <c r="L94" s="96">
        <f t="shared" si="28"/>
        <v>39.580830086900001</v>
      </c>
      <c r="N94" s="150" t="s">
        <v>490</v>
      </c>
      <c r="O94" s="29">
        <f>O95+O96</f>
        <v>1.1271690519534607</v>
      </c>
      <c r="P94" s="28">
        <f t="shared" ref="P94:R94" si="30">P95+P96</f>
        <v>10.280328019614133</v>
      </c>
      <c r="Q94" s="28">
        <f t="shared" si="30"/>
        <v>13.210125889739416</v>
      </c>
      <c r="R94" s="28">
        <f t="shared" si="30"/>
        <v>14.36569372610775</v>
      </c>
      <c r="S94" s="142">
        <f t="shared" si="29"/>
        <v>38.983316687414757</v>
      </c>
      <c r="T94" s="318">
        <f t="shared" ref="T94" si="31">S94</f>
        <v>38.983316687414757</v>
      </c>
      <c r="U94" s="147" t="s">
        <v>23</v>
      </c>
      <c r="V94"/>
      <c r="W94"/>
      <c r="X94"/>
      <c r="Y94"/>
      <c r="Z94" s="8">
        <v>1.7989284320999999</v>
      </c>
      <c r="AA94" s="8">
        <v>9.5158161700000008</v>
      </c>
      <c r="AB94" s="8">
        <v>15.599899862900001</v>
      </c>
      <c r="AC94" s="8">
        <v>8.1978931283000005</v>
      </c>
      <c r="AD94" s="96">
        <v>35.112537593300004</v>
      </c>
    </row>
    <row r="95" spans="2:30" s="3" customFormat="1" x14ac:dyDescent="0.25">
      <c r="B95" s="60"/>
      <c r="C95" s="149" t="s">
        <v>24</v>
      </c>
      <c r="D95" t="s">
        <v>410</v>
      </c>
      <c r="E95" t="s">
        <v>411</v>
      </c>
      <c r="F95" t="s">
        <v>412</v>
      </c>
      <c r="G95" t="s">
        <v>413</v>
      </c>
      <c r="H95" s="16">
        <f>VLOOKUP(D95,Résultats!$B$2:$AX$476,'T energie vecteurs'!T5,FALSE)</f>
        <v>0.9794773376</v>
      </c>
      <c r="I95" s="16">
        <f>VLOOKUP(E95,Résultats!$B$2:$AX$476,'T energie vecteurs'!T5,FALSE)</f>
        <v>5.1226467600000003</v>
      </c>
      <c r="J95" s="16">
        <f>VLOOKUP(F95,Résultats!$B$2:$AX$476,'T energie vecteurs'!T5,FALSE)</f>
        <v>18.739171970000001</v>
      </c>
      <c r="K95" s="16">
        <f>VLOOKUP(G95,Résultats!$B$2:$AX$476,'T energie vecteurs'!T5,FALSE)</f>
        <v>5.6391411160000002</v>
      </c>
      <c r="L95" s="95">
        <f t="shared" si="28"/>
        <v>30.480437183600003</v>
      </c>
      <c r="N95" s="149" t="s">
        <v>491</v>
      </c>
      <c r="O95" s="143">
        <f>'[2]Bilan 2035 AMS'!$U$46/11.63</f>
        <v>5.1206344381448832E-2</v>
      </c>
      <c r="P95" s="30">
        <f>SUM('[2]Bilan 2035 AMS'!$U$41:$U$43)/11.63</f>
        <v>0.67012072888540719</v>
      </c>
      <c r="Q95" s="30">
        <f>'[2]Bilan 2035 AMS'!$U$13/11.63</f>
        <v>13.210125889739416</v>
      </c>
      <c r="R95" s="30">
        <f>('[2]Bilan 2035 AMS'!$U$22+'[2]Bilan 2035 AMS'!$U$30+SUM('[2]Bilan 2035 AMS'!$U$36:$U$40)+SUM('[2]Bilan 2035 AMS'!$U$44:$U$45)+'[2]Bilan 2035 AMS'!$U$47)/11.63</f>
        <v>13.122327447005626</v>
      </c>
      <c r="S95" s="95">
        <f t="shared" si="29"/>
        <v>27.053780410011896</v>
      </c>
      <c r="T95" s="95"/>
      <c r="U95" s="149" t="s">
        <v>24</v>
      </c>
      <c r="V95" t="s">
        <v>410</v>
      </c>
      <c r="W95" t="s">
        <v>411</v>
      </c>
      <c r="X95" t="s">
        <v>412</v>
      </c>
      <c r="Y95" t="s">
        <v>413</v>
      </c>
      <c r="Z95" s="16">
        <v>0.93717001690000001</v>
      </c>
      <c r="AA95" s="16">
        <v>4.4958119920000001</v>
      </c>
      <c r="AB95" s="16">
        <v>15.25100192</v>
      </c>
      <c r="AC95" s="16">
        <v>5.6714277830000004</v>
      </c>
      <c r="AD95" s="95">
        <v>26.355411711899997</v>
      </c>
    </row>
    <row r="96" spans="2:30" s="3" customFormat="1" x14ac:dyDescent="0.25">
      <c r="B96" s="60"/>
      <c r="C96" s="149" t="s">
        <v>47</v>
      </c>
      <c r="D96" t="s">
        <v>414</v>
      </c>
      <c r="E96" t="s">
        <v>415</v>
      </c>
      <c r="F96" t="s">
        <v>416</v>
      </c>
      <c r="G96" t="s">
        <v>417</v>
      </c>
      <c r="H96" s="16">
        <f>VLOOKUP(D96,Résultats!$B$2:$AX$476,'T energie vecteurs'!T5,FALSE)</f>
        <v>0.88794908319999999</v>
      </c>
      <c r="I96" s="16">
        <f>VLOOKUP(E96,Résultats!$B$2:$AX$476,'T energie vecteurs'!T5,FALSE)</f>
        <v>2.2751093170000001</v>
      </c>
      <c r="J96" s="16">
        <f>VLOOKUP(F96,Résultats!$B$2:$AX$476,'T energie vecteurs'!T5,FALSE)</f>
        <v>0</v>
      </c>
      <c r="K96" s="16">
        <f>VLOOKUP(G96,Résultats!$B$2:$AX$476,'T energie vecteurs'!T5,FALSE)</f>
        <v>2.1245856860000001</v>
      </c>
      <c r="L96" s="95">
        <f t="shared" si="28"/>
        <v>5.2876440862000003</v>
      </c>
      <c r="N96" s="149" t="s">
        <v>47</v>
      </c>
      <c r="O96" s="22">
        <f>'[2]Bilan 2035 AMS'!$E$52/11.63</f>
        <v>1.075962707572012</v>
      </c>
      <c r="P96" s="16">
        <f>('[2]Bilan 2035 AMS'!$E$54+'[2]Bilan 2035 AMS'!$E$56)/11.63</f>
        <v>9.6102072907287255</v>
      </c>
      <c r="Q96" s="16">
        <v>0</v>
      </c>
      <c r="R96" s="16">
        <f>('[2]Bilan 2035 AMS'!$E$53+'[2]Bilan 2035 AMS'!$E$55+'[2]Bilan 2035 AMS'!$E$57)/11.63</f>
        <v>1.2433662791021249</v>
      </c>
      <c r="S96" s="95">
        <f t="shared" si="29"/>
        <v>11.929536277402862</v>
      </c>
      <c r="T96" s="95"/>
      <c r="U96" s="149" t="s">
        <v>47</v>
      </c>
      <c r="V96" t="s">
        <v>414</v>
      </c>
      <c r="W96" t="s">
        <v>415</v>
      </c>
      <c r="X96" t="s">
        <v>416</v>
      </c>
      <c r="Y96" t="s">
        <v>417</v>
      </c>
      <c r="Z96" s="16">
        <v>0.86175841519999996</v>
      </c>
      <c r="AA96" s="16">
        <v>2.1658767189999999</v>
      </c>
      <c r="AB96" s="16">
        <v>0</v>
      </c>
      <c r="AC96" s="16">
        <v>2.073284068</v>
      </c>
      <c r="AD96" s="95">
        <v>5.1009192022000001</v>
      </c>
    </row>
    <row r="97" spans="2:30" s="3" customFormat="1" x14ac:dyDescent="0.25">
      <c r="B97" s="60"/>
      <c r="C97" s="149" t="s">
        <v>25</v>
      </c>
      <c r="D97" t="s">
        <v>418</v>
      </c>
      <c r="E97" t="s">
        <v>419</v>
      </c>
      <c r="F97" t="s">
        <v>420</v>
      </c>
      <c r="G97" t="s">
        <v>421</v>
      </c>
      <c r="H97" s="16">
        <f>VLOOKUP(D97,Résultats!$B$2:$AX$476,'T energie vecteurs'!T5,FALSE)</f>
        <v>0</v>
      </c>
      <c r="I97" s="16">
        <f>VLOOKUP(E97,Résultats!$B$2:$AX$476,'T energie vecteurs'!T5,FALSE)</f>
        <v>3.0148596300000001</v>
      </c>
      <c r="J97" s="16">
        <f>VLOOKUP(F97,Résultats!$B$2:$AX$476,'T energie vecteurs'!T5,FALSE)</f>
        <v>0.35179545969999998</v>
      </c>
      <c r="K97" s="16">
        <f>VLOOKUP(G97,Résultats!$B$2:$AX$476,'T energie vecteurs'!T5,FALSE)</f>
        <v>0.44609372739999997</v>
      </c>
      <c r="L97" s="95">
        <f t="shared" si="28"/>
        <v>3.8127488171000001</v>
      </c>
      <c r="N97" s="150" t="s">
        <v>25</v>
      </c>
      <c r="O97" s="29">
        <f>'[2]Bilan 2035 AMS'!$T$46/11.63</f>
        <v>0</v>
      </c>
      <c r="P97" s="28">
        <f>SUM('[2]Bilan 2035 AMS'!$T$41:$T$43)/11.63</f>
        <v>2.3885046272256516</v>
      </c>
      <c r="Q97" s="28">
        <f>'[2]Bilan 2035 AMS'!$T$13/11.63</f>
        <v>0.74285940769933312</v>
      </c>
      <c r="R97" s="28">
        <f>('[2]Bilan 2035 AMS'!$T$22+'[2]Bilan 2035 AMS'!$T$30+SUM('[2]Bilan 2035 AMS'!$T$36:$T$40)+SUM('[2]Bilan 2035 AMS'!$T$44:$T$45)+'[2]Bilan 2035 AMS'!$T$47)/11.63</f>
        <v>1.4427552690285042</v>
      </c>
      <c r="S97" s="142">
        <f t="shared" si="29"/>
        <v>4.5741193039534886</v>
      </c>
      <c r="T97" s="318">
        <f>S97</f>
        <v>4.5741193039534886</v>
      </c>
      <c r="U97" s="149" t="s">
        <v>25</v>
      </c>
      <c r="V97" t="s">
        <v>418</v>
      </c>
      <c r="W97" t="s">
        <v>419</v>
      </c>
      <c r="X97" t="s">
        <v>420</v>
      </c>
      <c r="Y97" t="s">
        <v>421</v>
      </c>
      <c r="Z97" s="16">
        <v>0</v>
      </c>
      <c r="AA97" s="16">
        <v>2.8541274589999999</v>
      </c>
      <c r="AB97" s="16">
        <v>0.34889794289999998</v>
      </c>
      <c r="AC97" s="16">
        <v>0.45318127730000002</v>
      </c>
      <c r="AD97" s="95">
        <v>3.6562066791999999</v>
      </c>
    </row>
    <row r="98" spans="2:30" s="3" customFormat="1" x14ac:dyDescent="0.25">
      <c r="B98" s="60"/>
      <c r="C98" s="23" t="s">
        <v>26</v>
      </c>
      <c r="D98" s="10"/>
      <c r="E98" s="10"/>
      <c r="F98" s="10"/>
      <c r="G98" s="10"/>
      <c r="H98" s="9">
        <f>SUM(H89,H92:H94)</f>
        <v>2.0969062894000001</v>
      </c>
      <c r="I98" s="9">
        <f>SUM(I89,I92:I94)</f>
        <v>46.578288581000002</v>
      </c>
      <c r="J98" s="9">
        <f>SUM(J89,J92:J94)</f>
        <v>49.191070945700005</v>
      </c>
      <c r="K98" s="9">
        <f>SUM(K89,K92:K94)</f>
        <v>36.509313904920603</v>
      </c>
      <c r="L98" s="98">
        <f t="shared" si="28"/>
        <v>134.37557972102061</v>
      </c>
      <c r="N98" s="151" t="s">
        <v>26</v>
      </c>
      <c r="O98" s="32">
        <f>O89+O92+O93+O94+O97</f>
        <v>1.1271690519534607</v>
      </c>
      <c r="P98" s="31">
        <f>P89+P92+P93+P94+P97</f>
        <v>34.688585244337951</v>
      </c>
      <c r="Q98" s="31">
        <f>Q89+Q92+Q93+Q94+Q97</f>
        <v>43.307809323722154</v>
      </c>
      <c r="R98" s="31">
        <f>R89+R92+R93+R94+R97</f>
        <v>49.608712929882437</v>
      </c>
      <c r="S98" s="144">
        <f t="shared" si="29"/>
        <v>128.732276549896</v>
      </c>
      <c r="T98" s="319">
        <f>SUM(T89:T97)</f>
        <v>115.96220157183377</v>
      </c>
      <c r="U98" s="23" t="s">
        <v>26</v>
      </c>
      <c r="V98" s="10"/>
      <c r="W98" s="10"/>
      <c r="X98" s="10"/>
      <c r="Y98" s="10"/>
      <c r="Z98" s="9">
        <v>2.0158163403999998</v>
      </c>
      <c r="AA98" s="9">
        <v>44.952698415</v>
      </c>
      <c r="AB98" s="9">
        <v>44.247800104900001</v>
      </c>
      <c r="AC98" s="9">
        <v>36.635353523265302</v>
      </c>
      <c r="AD98" s="98">
        <v>127.85166838356531</v>
      </c>
    </row>
    <row r="99" spans="2:30" s="3" customFormat="1" x14ac:dyDescent="0.25">
      <c r="B99" s="60"/>
      <c r="K99" s="47"/>
      <c r="AC99" s="47"/>
    </row>
    <row r="100" spans="2:30" s="3" customFormat="1" x14ac:dyDescent="0.25">
      <c r="B100" s="60"/>
      <c r="K100" s="47"/>
      <c r="AC100" s="47"/>
    </row>
    <row r="101" spans="2:30" ht="31.5" x14ac:dyDescent="0.35">
      <c r="C101" s="145">
        <v>2040</v>
      </c>
      <c r="D101" s="146"/>
      <c r="E101" s="146"/>
      <c r="F101" s="146"/>
      <c r="G101" s="146"/>
      <c r="H101" s="76" t="s">
        <v>36</v>
      </c>
      <c r="I101" s="76" t="s">
        <v>49</v>
      </c>
      <c r="J101" s="76" t="s">
        <v>38</v>
      </c>
      <c r="K101" s="76" t="s">
        <v>48</v>
      </c>
      <c r="L101" s="93" t="s">
        <v>1</v>
      </c>
      <c r="M101" s="19"/>
      <c r="N101" s="145">
        <v>2040</v>
      </c>
      <c r="O101" s="141" t="s">
        <v>36</v>
      </c>
      <c r="P101" s="76" t="s">
        <v>49</v>
      </c>
      <c r="Q101" s="76" t="s">
        <v>38</v>
      </c>
      <c r="R101" s="76" t="s">
        <v>48</v>
      </c>
      <c r="S101" s="93" t="s">
        <v>1</v>
      </c>
      <c r="T101" s="317" t="s">
        <v>543</v>
      </c>
      <c r="U101" s="145">
        <v>2040</v>
      </c>
      <c r="V101" s="146"/>
      <c r="W101" s="146"/>
      <c r="X101" s="146"/>
      <c r="Y101" s="146"/>
      <c r="Z101" s="76" t="s">
        <v>36</v>
      </c>
      <c r="AA101" s="76" t="s">
        <v>49</v>
      </c>
      <c r="AB101" s="76" t="s">
        <v>38</v>
      </c>
      <c r="AC101" s="76" t="s">
        <v>48</v>
      </c>
      <c r="AD101" s="93" t="s">
        <v>1</v>
      </c>
    </row>
    <row r="102" spans="2:30" x14ac:dyDescent="0.25">
      <c r="C102" s="147" t="s">
        <v>18</v>
      </c>
      <c r="H102" s="8">
        <f>SUM(H103:H104)</f>
        <v>0</v>
      </c>
      <c r="I102" s="8">
        <f>SUM(I103:I104)</f>
        <v>22.36237019</v>
      </c>
      <c r="J102" s="8">
        <f>SUM(J103:J104)</f>
        <v>9.4583008629999998</v>
      </c>
      <c r="K102" s="8">
        <f>SUM(K103:K104)</f>
        <v>0.4895588840615</v>
      </c>
      <c r="L102" s="96">
        <f t="shared" ref="L102:L111" si="32">SUM(H102:K102)</f>
        <v>32.3102299370615</v>
      </c>
      <c r="M102" s="75"/>
      <c r="N102" s="150" t="s">
        <v>18</v>
      </c>
      <c r="O102" s="29">
        <f>'[2]Bilan 2040 AMS'!$X$46/11.63</f>
        <v>0</v>
      </c>
      <c r="P102" s="28">
        <f>SUM('[2]Bilan 2040 AMS'!$X$41:$X$43)/11.63</f>
        <v>11.929027581040415</v>
      </c>
      <c r="Q102" s="28">
        <f>'[2]Bilan 2040 AMS'!$X$13/11.63</f>
        <v>8.4770890798493497</v>
      </c>
      <c r="R102" s="28">
        <f>('[2]Bilan 2040 AMS'!$X$22+'[2]Bilan 2040 AMS'!$X$30+SUM('[2]Bilan 2040 AMS'!$X$36:$X$40)+SUM('[2]Bilan 2040 AMS'!$X$44:$X$45)+'[2]Bilan 2040 AMS'!$X$47)/11.63</f>
        <v>1.0341627996732725</v>
      </c>
      <c r="S102" s="142">
        <f>SUM(O102:R102)</f>
        <v>21.440279460563037</v>
      </c>
      <c r="T102" s="318">
        <f>S102</f>
        <v>21.440279460563037</v>
      </c>
      <c r="U102" s="147" t="s">
        <v>18</v>
      </c>
      <c r="Z102" s="8">
        <v>0</v>
      </c>
      <c r="AA102" s="8">
        <v>22.555039800000003</v>
      </c>
      <c r="AB102" s="8">
        <v>8.8475624530000001</v>
      </c>
      <c r="AC102" s="8">
        <v>0.43287846899269999</v>
      </c>
      <c r="AD102" s="96">
        <v>31.835480721992706</v>
      </c>
    </row>
    <row r="103" spans="2:30" x14ac:dyDescent="0.25">
      <c r="C103" s="148" t="s">
        <v>19</v>
      </c>
      <c r="D103" t="s">
        <v>394</v>
      </c>
      <c r="E103" t="s">
        <v>395</v>
      </c>
      <c r="F103" t="s">
        <v>396</v>
      </c>
      <c r="G103" t="s">
        <v>397</v>
      </c>
      <c r="H103" s="16">
        <f>VLOOKUP(D103,Résultats!$B$2:$AX$476,'T energie vecteurs'!U5,FALSE)</f>
        <v>0</v>
      </c>
      <c r="I103" s="16">
        <f>VLOOKUP(E103,Résultats!$B$2:$AX$476,'T energie vecteurs'!U5,FALSE)</f>
        <v>10.814664479999999</v>
      </c>
      <c r="J103" s="16">
        <f>VLOOKUP(F103,Résultats!$B$2:$AX$476,'T energie vecteurs'!U5,FALSE)</f>
        <v>3.0803373889999999</v>
      </c>
      <c r="K103" s="16">
        <f>VLOOKUP(G103,Résultats!$B$2:$AX$476,'T energie vecteurs'!U5,FALSE)</f>
        <v>1.90871615E-5</v>
      </c>
      <c r="L103" s="95">
        <f t="shared" si="32"/>
        <v>13.895020956161499</v>
      </c>
      <c r="M103" s="16"/>
      <c r="N103" s="148" t="s">
        <v>19</v>
      </c>
      <c r="O103" s="143"/>
      <c r="P103" s="16"/>
      <c r="Q103" s="34"/>
      <c r="R103" s="16"/>
      <c r="S103" s="95"/>
      <c r="T103" s="95"/>
      <c r="U103" s="148" t="s">
        <v>19</v>
      </c>
      <c r="V103" t="s">
        <v>394</v>
      </c>
      <c r="W103" t="s">
        <v>395</v>
      </c>
      <c r="X103" t="s">
        <v>396</v>
      </c>
      <c r="Y103" t="s">
        <v>397</v>
      </c>
      <c r="Z103" s="16">
        <v>0</v>
      </c>
      <c r="AA103" s="16">
        <v>10.843387160000001</v>
      </c>
      <c r="AB103" s="16">
        <v>2.927012559</v>
      </c>
      <c r="AC103" s="16">
        <v>1.57068927E-5</v>
      </c>
      <c r="AD103" s="95">
        <v>13.770415425892701</v>
      </c>
    </row>
    <row r="104" spans="2:30" x14ac:dyDescent="0.25">
      <c r="C104" s="149" t="s">
        <v>20</v>
      </c>
      <c r="D104" t="s">
        <v>398</v>
      </c>
      <c r="E104" t="s">
        <v>399</v>
      </c>
      <c r="F104" t="s">
        <v>400</v>
      </c>
      <c r="G104" t="s">
        <v>401</v>
      </c>
      <c r="H104" s="16">
        <f>VLOOKUP(D104,Résultats!$B$2:$AX$476,'T energie vecteurs'!U5,FALSE)</f>
        <v>0</v>
      </c>
      <c r="I104" s="16">
        <f>VLOOKUP(E104,Résultats!$B$2:$AX$476,'T energie vecteurs'!U5,FALSE)</f>
        <v>11.547705710000001</v>
      </c>
      <c r="J104" s="16">
        <f>VLOOKUP(F104,Résultats!$B$2:$AX$476,'T energie vecteurs'!U5,FALSE)</f>
        <v>6.3779634740000004</v>
      </c>
      <c r="K104" s="16">
        <f>VLOOKUP(G104,Résultats!$B$2:$AX$476,'T energie vecteurs'!U5,FALSE)</f>
        <v>0.48953979689999999</v>
      </c>
      <c r="L104" s="95">
        <f t="shared" si="32"/>
        <v>18.415208980900001</v>
      </c>
      <c r="M104" s="16"/>
      <c r="N104" s="149" t="s">
        <v>20</v>
      </c>
      <c r="O104" s="143"/>
      <c r="P104" s="16"/>
      <c r="Q104" s="34"/>
      <c r="R104" s="16"/>
      <c r="S104" s="95"/>
      <c r="T104" s="95"/>
      <c r="U104" s="149" t="s">
        <v>20</v>
      </c>
      <c r="V104" t="s">
        <v>398</v>
      </c>
      <c r="W104" t="s">
        <v>399</v>
      </c>
      <c r="X104" t="s">
        <v>400</v>
      </c>
      <c r="Y104" t="s">
        <v>401</v>
      </c>
      <c r="Z104" s="16">
        <v>0</v>
      </c>
      <c r="AA104" s="16">
        <v>11.711652640000001</v>
      </c>
      <c r="AB104" s="16">
        <v>5.9205498939999996</v>
      </c>
      <c r="AC104" s="16">
        <v>0.43286276210000002</v>
      </c>
      <c r="AD104" s="95">
        <v>18.065065296100002</v>
      </c>
    </row>
    <row r="105" spans="2:30" x14ac:dyDescent="0.25">
      <c r="C105" s="147" t="s">
        <v>21</v>
      </c>
      <c r="D105" t="s">
        <v>402</v>
      </c>
      <c r="E105" t="s">
        <v>403</v>
      </c>
      <c r="F105" t="s">
        <v>404</v>
      </c>
      <c r="G105" t="s">
        <v>405</v>
      </c>
      <c r="H105" s="8">
        <f>VLOOKUP(D105,Résultats!$B$2:$AX$476,'T energie vecteurs'!U5,FALSE)</f>
        <v>0.20140415980000001</v>
      </c>
      <c r="I105" s="293">
        <f>VLOOKUP(E105,Résultats!$B$2:$AX$476,'T energie vecteurs'!U5,FALSE)</f>
        <v>4.7446290820000003</v>
      </c>
      <c r="J105" s="8">
        <f>VLOOKUP(F105,Résultats!$B$2:$AX$476,'T energie vecteurs'!U5,FALSE)</f>
        <v>14.93714436</v>
      </c>
      <c r="K105" s="8">
        <f>VLOOKUP(G105,Résultats!$B$2:$AX$476,'T energie vecteurs'!U5,FALSE)+2</f>
        <v>15.99969692</v>
      </c>
      <c r="L105" s="96">
        <f t="shared" si="32"/>
        <v>35.882874521799998</v>
      </c>
      <c r="M105" s="75"/>
      <c r="N105" s="150" t="s">
        <v>21</v>
      </c>
      <c r="O105" s="29">
        <f>'[2]Bilan 2040 AMS'!$V$46/11.63</f>
        <v>0</v>
      </c>
      <c r="P105" s="28">
        <f>SUM('[2]Bilan 2040 AMS'!$V$41:$V$43)/11.63</f>
        <v>3.940595509029942E-2</v>
      </c>
      <c r="Q105" s="28">
        <f>'[2]Bilan 2040 AMS'!$V$13/11.63</f>
        <v>13.005046344709536</v>
      </c>
      <c r="R105" s="28">
        <f>('[2]Bilan 2040 AMS'!$V$22+'[2]Bilan 2040 AMS'!$V$30+SUM('[2]Bilan 2040 AMS'!$V$36:$V$40)+SUM('[2]Bilan 2040 AMS'!$V$44:$V$45)+'[2]Bilan 2040 AMS'!$V$47)/11.63</f>
        <v>23.419883063855131</v>
      </c>
      <c r="S105" s="142">
        <f t="shared" ref="S105:S111" si="33">SUM(O105:R105)</f>
        <v>36.464335363654968</v>
      </c>
      <c r="T105" s="318">
        <f>S105-'[2]Bilan 2040 AMS'!$V$40/11.63</f>
        <v>24.69060797193552</v>
      </c>
      <c r="U105" s="147" t="s">
        <v>21</v>
      </c>
      <c r="V105" t="s">
        <v>402</v>
      </c>
      <c r="W105" t="s">
        <v>403</v>
      </c>
      <c r="X105" t="s">
        <v>404</v>
      </c>
      <c r="Y105" t="s">
        <v>405</v>
      </c>
      <c r="Z105" s="8">
        <v>0.18862888720000001</v>
      </c>
      <c r="AA105" s="293">
        <v>4.3172707460000002</v>
      </c>
      <c r="AB105" s="8">
        <v>14.50328202</v>
      </c>
      <c r="AC105" s="8">
        <v>15.08543849</v>
      </c>
      <c r="AD105" s="96">
        <v>34.094620143200004</v>
      </c>
    </row>
    <row r="106" spans="2:30" x14ac:dyDescent="0.25">
      <c r="C106" s="147" t="s">
        <v>22</v>
      </c>
      <c r="D106" t="s">
        <v>406</v>
      </c>
      <c r="E106" t="s">
        <v>407</v>
      </c>
      <c r="F106" t="s">
        <v>408</v>
      </c>
      <c r="G106" t="s">
        <v>409</v>
      </c>
      <c r="H106" s="8">
        <f>VLOOKUP(D106,Résultats!$B$2:$AX$476,'T energie vecteurs'!U5,FALSE)</f>
        <v>0</v>
      </c>
      <c r="I106" s="8">
        <f>VLOOKUP(E106,Résultats!$B$2:$AX$476,'T energie vecteurs'!U5,FALSE)</f>
        <v>1.2928837369999999</v>
      </c>
      <c r="J106" s="8">
        <f>VLOOKUP(F106,Résultats!$B$2:$AX$476,'T energie vecteurs'!U5,FALSE)</f>
        <v>8.1396446650000005</v>
      </c>
      <c r="K106" s="8">
        <f>VLOOKUP(G106,Résultats!$B$2:$AX$476,'T energie vecteurs'!U5,FALSE)</f>
        <v>9.6508204460000009</v>
      </c>
      <c r="L106" s="96">
        <f t="shared" si="32"/>
        <v>19.083348848</v>
      </c>
      <c r="M106" s="75"/>
      <c r="N106" s="150" t="s">
        <v>22</v>
      </c>
      <c r="O106" s="29">
        <f>('[2]Bilan 2040 AMS'!$W$46)/11.63</f>
        <v>0</v>
      </c>
      <c r="P106" s="28">
        <f>SUM('[2]Bilan 2040 AMS'!$W$41:$W$43)/11.63</f>
        <v>6.2288453661439952E-2</v>
      </c>
      <c r="Q106" s="28">
        <f>('[2]Bilan 2040 AMS'!$W$13)/11.63</f>
        <v>10.436146233936347</v>
      </c>
      <c r="R106" s="28">
        <f>('[2]Bilan 2040 AMS'!$W$22+'[2]Bilan 2040 AMS'!$W$30+SUM('[2]Bilan 2040 AMS'!$W$36:$W$40)+SUM('[2]Bilan 2040 AMS'!$W$44:$W$45)+'[2]Bilan 2040 AMS'!$W$47)/11.63</f>
        <v>9.7634935188507423</v>
      </c>
      <c r="S106" s="142">
        <f t="shared" si="33"/>
        <v>20.26192820644853</v>
      </c>
      <c r="T106" s="318">
        <f>S106-'[2]Bilan 2040 AMS'!$W$40/11.63</f>
        <v>15.781567878414009</v>
      </c>
      <c r="U106" s="147" t="s">
        <v>22</v>
      </c>
      <c r="V106" t="s">
        <v>406</v>
      </c>
      <c r="W106" t="s">
        <v>407</v>
      </c>
      <c r="X106" t="s">
        <v>408</v>
      </c>
      <c r="Y106" t="s">
        <v>409</v>
      </c>
      <c r="Z106" s="8">
        <v>0</v>
      </c>
      <c r="AA106" s="8">
        <v>1.1976823839999999</v>
      </c>
      <c r="AB106" s="8">
        <v>7.8715161980000001</v>
      </c>
      <c r="AC106" s="8">
        <v>10.25921666</v>
      </c>
      <c r="AD106" s="96">
        <v>19.328415241999998</v>
      </c>
    </row>
    <row r="107" spans="2:30" x14ac:dyDescent="0.25">
      <c r="C107" s="147" t="s">
        <v>23</v>
      </c>
      <c r="H107" s="8">
        <f>SUM(H108:H110)</f>
        <v>1.6924892727</v>
      </c>
      <c r="I107" s="8">
        <f>SUM(I108:I110)</f>
        <v>9.5505760740000003</v>
      </c>
      <c r="J107" s="8">
        <f>SUM(J108:J110)</f>
        <v>21.511321909599999</v>
      </c>
      <c r="K107" s="8">
        <f>SUM(K108:K110)</f>
        <v>7.3699049913000003</v>
      </c>
      <c r="L107" s="96">
        <f t="shared" si="32"/>
        <v>40.124292247599996</v>
      </c>
      <c r="M107" s="75"/>
      <c r="N107" s="150" t="s">
        <v>490</v>
      </c>
      <c r="O107" s="29">
        <f>O108+O109</f>
        <v>1.0449521879030526</v>
      </c>
      <c r="P107" s="28">
        <f t="shared" ref="P107:R107" si="34">P108+P109</f>
        <v>9.6454857925293265</v>
      </c>
      <c r="Q107" s="28">
        <f t="shared" si="34"/>
        <v>13.633134927355739</v>
      </c>
      <c r="R107" s="28">
        <f t="shared" si="34"/>
        <v>13.902936638787098</v>
      </c>
      <c r="S107" s="142">
        <f t="shared" si="33"/>
        <v>38.226509546575215</v>
      </c>
      <c r="T107" s="318">
        <f t="shared" ref="T107" si="35">S107</f>
        <v>38.226509546575215</v>
      </c>
      <c r="U107" s="147" t="s">
        <v>23</v>
      </c>
      <c r="Z107" s="8">
        <v>1.9224152311</v>
      </c>
      <c r="AA107" s="8">
        <v>10.171412429</v>
      </c>
      <c r="AB107" s="8">
        <v>15.981519544899999</v>
      </c>
      <c r="AC107" s="8">
        <v>8.7541867406999998</v>
      </c>
      <c r="AD107" s="96">
        <v>36.8295339457</v>
      </c>
    </row>
    <row r="108" spans="2:30" x14ac:dyDescent="0.25">
      <c r="C108" s="149" t="s">
        <v>24</v>
      </c>
      <c r="D108" t="s">
        <v>410</v>
      </c>
      <c r="E108" t="s">
        <v>411</v>
      </c>
      <c r="F108" t="s">
        <v>412</v>
      </c>
      <c r="G108" t="s">
        <v>413</v>
      </c>
      <c r="H108" s="16">
        <f>VLOOKUP(D108,Résultats!$B$2:$AX$476,'T energie vecteurs'!U5,FALSE)</f>
        <v>0.78031401180000004</v>
      </c>
      <c r="I108" s="16">
        <f>VLOOKUP(E108,Résultats!$B$2:$AX$476,'T energie vecteurs'!U5,FALSE)</f>
        <v>4.0256419589999997</v>
      </c>
      <c r="J108" s="16">
        <f>VLOOKUP(F108,Résultats!$B$2:$AX$476,'T energie vecteurs'!U5,FALSE)</f>
        <v>21.149903399999999</v>
      </c>
      <c r="K108" s="16">
        <f>VLOOKUP(G108,Résultats!$B$2:$AX$476,'T energie vecteurs'!U5,FALSE)</f>
        <v>4.7224735930000001</v>
      </c>
      <c r="L108" s="95">
        <f t="shared" si="32"/>
        <v>30.678332963799999</v>
      </c>
      <c r="M108" s="16"/>
      <c r="N108" s="149" t="s">
        <v>491</v>
      </c>
      <c r="O108" s="143">
        <f>'[2]Bilan 2040 AMS'!$U$46/11.63</f>
        <v>2.6869092762521495E-2</v>
      </c>
      <c r="P108" s="30">
        <f>SUM('[2]Bilan 2040 AMS'!$U$41:$U$43)/11.63</f>
        <v>0.32770211462176457</v>
      </c>
      <c r="Q108" s="30">
        <f>'[2]Bilan 2040 AMS'!$U$13/11.63</f>
        <v>13.633134927355739</v>
      </c>
      <c r="R108" s="30">
        <f>('[2]Bilan 2040 AMS'!$U$22+'[2]Bilan 2040 AMS'!$U$30+SUM('[2]Bilan 2040 AMS'!$U$36:$U$40)+SUM('[2]Bilan 2040 AMS'!$U$44:$U$45)+'[2]Bilan 2040 AMS'!$U$47)/11.63</f>
        <v>12.662819172663614</v>
      </c>
      <c r="S108" s="95">
        <f t="shared" si="33"/>
        <v>26.65052530740364</v>
      </c>
      <c r="T108" s="95"/>
      <c r="U108" s="149" t="s">
        <v>24</v>
      </c>
      <c r="V108" t="s">
        <v>410</v>
      </c>
      <c r="W108" t="s">
        <v>411</v>
      </c>
      <c r="X108" t="s">
        <v>412</v>
      </c>
      <c r="Y108" t="s">
        <v>413</v>
      </c>
      <c r="Z108" s="16">
        <v>1.0249357729999999</v>
      </c>
      <c r="AA108" s="16">
        <v>4.9038147350000001</v>
      </c>
      <c r="AB108" s="16">
        <v>15.61667978</v>
      </c>
      <c r="AC108" s="16">
        <v>6.1124663659999996</v>
      </c>
      <c r="AD108" s="95">
        <v>27.657896653999998</v>
      </c>
    </row>
    <row r="109" spans="2:30" x14ac:dyDescent="0.25">
      <c r="C109" s="149" t="s">
        <v>47</v>
      </c>
      <c r="D109" t="s">
        <v>414</v>
      </c>
      <c r="E109" t="s">
        <v>415</v>
      </c>
      <c r="F109" t="s">
        <v>416</v>
      </c>
      <c r="G109" t="s">
        <v>417</v>
      </c>
      <c r="H109" s="16">
        <f>VLOOKUP(D109,Résultats!$B$2:$AX$476,'T energie vecteurs'!U5,FALSE)</f>
        <v>0.91217526090000001</v>
      </c>
      <c r="I109" s="16">
        <f>VLOOKUP(E109,Résultats!$B$2:$AX$476,'T energie vecteurs'!U5,FALSE)</f>
        <v>2.3840319480000001</v>
      </c>
      <c r="J109" s="16">
        <f>VLOOKUP(F109,Résultats!$B$2:$AX$476,'T energie vecteurs'!U5,FALSE)</f>
        <v>0</v>
      </c>
      <c r="K109" s="16">
        <f>VLOOKUP(G109,Résultats!$B$2:$AX$476,'T energie vecteurs'!U5,FALSE)</f>
        <v>2.1917889179999999</v>
      </c>
      <c r="L109" s="95">
        <f t="shared" si="32"/>
        <v>5.4879961269000006</v>
      </c>
      <c r="M109" s="16"/>
      <c r="N109" s="149" t="s">
        <v>47</v>
      </c>
      <c r="O109" s="22">
        <f>'[2]Bilan 2040 AMS'!$E$52/11.63</f>
        <v>1.0180830951405311</v>
      </c>
      <c r="P109" s="16">
        <f>('[2]Bilan 2040 AMS'!$E$54+'[2]Bilan 2040 AMS'!$E$56)/11.63</f>
        <v>9.3177836779075616</v>
      </c>
      <c r="Q109" s="16">
        <v>0</v>
      </c>
      <c r="R109" s="16">
        <f>('[2]Bilan 2040 AMS'!$E$53+'[2]Bilan 2040 AMS'!$E$55+'[2]Bilan 2040 AMS'!$E$57)/11.63</f>
        <v>1.2401174661234846</v>
      </c>
      <c r="S109" s="95">
        <f t="shared" si="33"/>
        <v>11.575984239171577</v>
      </c>
      <c r="T109" s="95"/>
      <c r="U109" s="149" t="s">
        <v>47</v>
      </c>
      <c r="V109" t="s">
        <v>414</v>
      </c>
      <c r="W109" t="s">
        <v>415</v>
      </c>
      <c r="X109" t="s">
        <v>416</v>
      </c>
      <c r="Y109" t="s">
        <v>417</v>
      </c>
      <c r="Z109" s="16">
        <v>0.89747945809999996</v>
      </c>
      <c r="AA109" s="16">
        <v>2.2794647330000002</v>
      </c>
      <c r="AB109" s="16">
        <v>0</v>
      </c>
      <c r="AC109" s="16">
        <v>2.1763379550000002</v>
      </c>
      <c r="AD109" s="95">
        <v>5.3532821460999997</v>
      </c>
    </row>
    <row r="110" spans="2:30" x14ac:dyDescent="0.25">
      <c r="C110" s="149" t="s">
        <v>25</v>
      </c>
      <c r="D110" t="s">
        <v>418</v>
      </c>
      <c r="E110" t="s">
        <v>419</v>
      </c>
      <c r="F110" t="s">
        <v>420</v>
      </c>
      <c r="G110" t="s">
        <v>421</v>
      </c>
      <c r="H110" s="16">
        <f>VLOOKUP(D110,Résultats!$B$2:$AX$476,'T energie vecteurs'!U5,FALSE)</f>
        <v>0</v>
      </c>
      <c r="I110" s="16">
        <f>VLOOKUP(E110,Résultats!$B$2:$AX$476,'T energie vecteurs'!U5,FALSE)</f>
        <v>3.1409021670000001</v>
      </c>
      <c r="J110" s="16">
        <f>VLOOKUP(F110,Résultats!$B$2:$AX$476,'T energie vecteurs'!U5,FALSE)</f>
        <v>0.36141850959999999</v>
      </c>
      <c r="K110" s="16">
        <f>VLOOKUP(G110,Résultats!$B$2:$AX$476,'T energie vecteurs'!U5,FALSE)</f>
        <v>0.45564248029999999</v>
      </c>
      <c r="L110" s="95">
        <f t="shared" si="32"/>
        <v>3.9579631569</v>
      </c>
      <c r="M110" s="16"/>
      <c r="N110" s="150" t="s">
        <v>25</v>
      </c>
      <c r="O110" s="29">
        <f>'[2]Bilan 2040 AMS'!$T$46/11.63</f>
        <v>0</v>
      </c>
      <c r="P110" s="28">
        <f>SUM('[2]Bilan 2040 AMS'!$T$41:$T$43)/11.63</f>
        <v>1.7885166900417695</v>
      </c>
      <c r="Q110" s="28">
        <f>'[2]Bilan 2040 AMS'!$T$13/11.63</f>
        <v>0.81736771845734513</v>
      </c>
      <c r="R110" s="28">
        <f>('[2]Bilan 2040 AMS'!$T$22+'[2]Bilan 2040 AMS'!$T$30+SUM('[2]Bilan 2040 AMS'!$T$36:$T$40)+SUM('[2]Bilan 2040 AMS'!$T$44:$T$45)+'[2]Bilan 2040 AMS'!$T$47)/11.63</f>
        <v>1.6786760269649839</v>
      </c>
      <c r="S110" s="142">
        <f t="shared" si="33"/>
        <v>4.2845604354640985</v>
      </c>
      <c r="T110" s="318">
        <f>S110</f>
        <v>4.2845604354640985</v>
      </c>
      <c r="U110" s="149" t="s">
        <v>25</v>
      </c>
      <c r="V110" t="s">
        <v>418</v>
      </c>
      <c r="W110" t="s">
        <v>419</v>
      </c>
      <c r="X110" t="s">
        <v>420</v>
      </c>
      <c r="Y110" t="s">
        <v>421</v>
      </c>
      <c r="Z110" s="16">
        <v>0</v>
      </c>
      <c r="AA110" s="16">
        <v>2.9881329609999998</v>
      </c>
      <c r="AB110" s="16">
        <v>0.36483976489999997</v>
      </c>
      <c r="AC110" s="16">
        <v>0.46538241969999999</v>
      </c>
      <c r="AD110" s="95">
        <v>3.8183551456</v>
      </c>
    </row>
    <row r="111" spans="2:30" x14ac:dyDescent="0.25">
      <c r="C111" s="23" t="s">
        <v>26</v>
      </c>
      <c r="D111" s="10"/>
      <c r="E111" s="10"/>
      <c r="F111" s="10"/>
      <c r="G111" s="10"/>
      <c r="H111" s="9">
        <f>SUM(H102,H105:H107)</f>
        <v>1.8938934325000001</v>
      </c>
      <c r="I111" s="9">
        <f>SUM(I102,I105:I107)</f>
        <v>37.950459082999998</v>
      </c>
      <c r="J111" s="9">
        <f>SUM(J102,J105:J107)</f>
        <v>54.046411797600001</v>
      </c>
      <c r="K111" s="9">
        <f>SUM(K102,K105:K107)</f>
        <v>33.509981241361501</v>
      </c>
      <c r="L111" s="98">
        <f t="shared" si="32"/>
        <v>127.40074555446149</v>
      </c>
      <c r="M111" s="79"/>
      <c r="N111" s="151" t="s">
        <v>26</v>
      </c>
      <c r="O111" s="32">
        <f>O102+O105+O106+O107+O110</f>
        <v>1.0449521879030526</v>
      </c>
      <c r="P111" s="31">
        <f>P102+P105+P106+P107+P110</f>
        <v>23.464724472363251</v>
      </c>
      <c r="Q111" s="31">
        <f>Q102+Q105+Q106+Q107+Q110</f>
        <v>46.368784304308321</v>
      </c>
      <c r="R111" s="31">
        <f>R102+R105+R106+R107+R110</f>
        <v>49.799152048131226</v>
      </c>
      <c r="S111" s="144">
        <f t="shared" si="33"/>
        <v>120.67761301270585</v>
      </c>
      <c r="T111" s="319">
        <f>SUM(T102:T110)</f>
        <v>104.42352529295188</v>
      </c>
      <c r="U111" s="23" t="s">
        <v>26</v>
      </c>
      <c r="V111" s="10"/>
      <c r="W111" s="10"/>
      <c r="X111" s="10"/>
      <c r="Y111" s="10"/>
      <c r="Z111" s="9">
        <v>2.1110441183000002</v>
      </c>
      <c r="AA111" s="9">
        <v>38.241405358999998</v>
      </c>
      <c r="AB111" s="9">
        <v>47.2038802159</v>
      </c>
      <c r="AC111" s="9">
        <v>34.531720359692699</v>
      </c>
      <c r="AD111" s="98">
        <v>122.0880500528927</v>
      </c>
    </row>
    <row r="112" spans="2:30" s="3" customFormat="1" x14ac:dyDescent="0.25"/>
    <row r="113" spans="3:30" s="3" customFormat="1" x14ac:dyDescent="0.25"/>
    <row r="114" spans="3:30" ht="31.5" x14ac:dyDescent="0.35">
      <c r="C114" s="145">
        <v>2050</v>
      </c>
      <c r="D114" s="146"/>
      <c r="E114" s="146"/>
      <c r="F114" s="146"/>
      <c r="G114" s="146"/>
      <c r="H114" s="76" t="s">
        <v>36</v>
      </c>
      <c r="I114" s="76" t="s">
        <v>49</v>
      </c>
      <c r="J114" s="76" t="s">
        <v>38</v>
      </c>
      <c r="K114" s="76" t="s">
        <v>48</v>
      </c>
      <c r="L114" s="93" t="s">
        <v>1</v>
      </c>
      <c r="M114" s="19"/>
      <c r="N114" s="145">
        <v>2050</v>
      </c>
      <c r="O114" s="141" t="s">
        <v>36</v>
      </c>
      <c r="P114" s="76" t="s">
        <v>49</v>
      </c>
      <c r="Q114" s="76" t="s">
        <v>38</v>
      </c>
      <c r="R114" s="76" t="s">
        <v>48</v>
      </c>
      <c r="S114" s="93" t="s">
        <v>1</v>
      </c>
      <c r="T114" s="317" t="s">
        <v>543</v>
      </c>
      <c r="U114" s="145">
        <v>2050</v>
      </c>
      <c r="V114" s="146"/>
      <c r="W114" s="146"/>
      <c r="X114" s="146"/>
      <c r="Y114" s="146"/>
      <c r="Z114" s="76" t="s">
        <v>36</v>
      </c>
      <c r="AA114" s="76" t="s">
        <v>49</v>
      </c>
      <c r="AB114" s="76" t="s">
        <v>38</v>
      </c>
      <c r="AC114" s="76" t="s">
        <v>48</v>
      </c>
      <c r="AD114" s="93" t="s">
        <v>1</v>
      </c>
    </row>
    <row r="115" spans="3:30" x14ac:dyDescent="0.25">
      <c r="C115" s="147" t="s">
        <v>18</v>
      </c>
      <c r="H115" s="8">
        <f>SUM(H116:H117)</f>
        <v>0</v>
      </c>
      <c r="I115" s="8">
        <f>SUM(I116:I117)</f>
        <v>13.982579046</v>
      </c>
      <c r="J115" s="8">
        <f>SUM(J116:J117)</f>
        <v>12.98291326899999</v>
      </c>
      <c r="K115" s="8">
        <f>SUM(K116:K117)</f>
        <v>0.68679194920780007</v>
      </c>
      <c r="L115" s="96">
        <f t="shared" ref="L115:L124" si="36">SUM(H115:K115)</f>
        <v>27.652284264207793</v>
      </c>
      <c r="M115" s="75"/>
      <c r="N115" s="150" t="s">
        <v>18</v>
      </c>
      <c r="O115" s="29">
        <f>'[2]Bilan 2050 AMS'!$X$46/11.63</f>
        <v>0</v>
      </c>
      <c r="P115" s="28">
        <f>SUM('[2]Bilan 2050 AMS'!$X$41:$X$43)/11.63</f>
        <v>2.1033133279491807</v>
      </c>
      <c r="Q115" s="28">
        <f>'[2]Bilan 2050 AMS'!$X$13/11.63</f>
        <v>11.110771778329255</v>
      </c>
      <c r="R115" s="28">
        <f>('[2]Bilan 2050 AMS'!$X$22+'[2]Bilan 2050 AMS'!$X$30+SUM('[2]Bilan 2050 AMS'!$X$36:$X$40)+SUM('[2]Bilan 2050 AMS'!$X$44:$X$45)+'[2]Bilan 2050 AMS'!$X$47)/11.63</f>
        <v>1.2444308406947837</v>
      </c>
      <c r="S115" s="142">
        <f>SUM(O115:R115)</f>
        <v>14.45851594697322</v>
      </c>
      <c r="T115" s="318">
        <f>S115</f>
        <v>14.45851594697322</v>
      </c>
      <c r="U115" s="147" t="s">
        <v>18</v>
      </c>
      <c r="Z115" s="8">
        <v>0</v>
      </c>
      <c r="AA115" s="8">
        <v>14.354818098999999</v>
      </c>
      <c r="AB115" s="8">
        <v>12.446602226</v>
      </c>
      <c r="AC115" s="8">
        <v>0.60671792982671002</v>
      </c>
      <c r="AD115" s="96">
        <v>27.40813825482671</v>
      </c>
    </row>
    <row r="116" spans="3:30" x14ac:dyDescent="0.25">
      <c r="C116" s="148" t="s">
        <v>19</v>
      </c>
      <c r="D116" t="s">
        <v>394</v>
      </c>
      <c r="E116" t="s">
        <v>395</v>
      </c>
      <c r="F116" t="s">
        <v>396</v>
      </c>
      <c r="G116" t="s">
        <v>397</v>
      </c>
      <c r="H116" s="16">
        <f>VLOOKUP(D116,Résultats!$B$2:$AX$476,'T energie vecteurs'!W5,FALSE)</f>
        <v>0</v>
      </c>
      <c r="I116" s="16">
        <f>VLOOKUP(E116,Résultats!$B$2:$AX$476,'T energie vecteurs'!W5,FALSE)</f>
        <v>5.8384408729999997</v>
      </c>
      <c r="J116" s="16">
        <f>VLOOKUP(F116,Résultats!$B$2:$AX$476,'T energie vecteurs'!W5,FALSE)</f>
        <v>4.5686030029999998</v>
      </c>
      <c r="K116" s="16">
        <f>VLOOKUP(G116,Résultats!$B$2:$AX$476,'T energie vecteurs'!W5,FALSE)</f>
        <v>1.03085078E-5</v>
      </c>
      <c r="L116" s="95">
        <f>SUM(H116:K116)</f>
        <v>10.4070541845078</v>
      </c>
      <c r="M116" s="16"/>
      <c r="N116" s="148" t="s">
        <v>19</v>
      </c>
      <c r="O116" s="143"/>
      <c r="P116" s="16"/>
      <c r="Q116" s="34"/>
      <c r="R116" s="16"/>
      <c r="S116" s="95"/>
      <c r="T116" s="95"/>
      <c r="U116" s="148" t="s">
        <v>19</v>
      </c>
      <c r="V116" t="s">
        <v>394</v>
      </c>
      <c r="W116" t="s">
        <v>395</v>
      </c>
      <c r="X116" t="s">
        <v>396</v>
      </c>
      <c r="Y116" t="s">
        <v>397</v>
      </c>
      <c r="Z116" s="16">
        <v>0</v>
      </c>
      <c r="AA116" s="16">
        <v>5.8539627269999999</v>
      </c>
      <c r="AB116" s="16">
        <v>4.3779134639999997</v>
      </c>
      <c r="AC116" s="16">
        <v>8.4832267099999907E-6</v>
      </c>
      <c r="AD116" s="95">
        <v>10.231884674226709</v>
      </c>
    </row>
    <row r="117" spans="3:30" x14ac:dyDescent="0.25">
      <c r="C117" s="149" t="s">
        <v>20</v>
      </c>
      <c r="D117" t="s">
        <v>398</v>
      </c>
      <c r="E117" t="s">
        <v>399</v>
      </c>
      <c r="F117" t="s">
        <v>400</v>
      </c>
      <c r="G117" t="s">
        <v>401</v>
      </c>
      <c r="H117" s="16">
        <f>VLOOKUP(D117,Résultats!$B$2:$AX$476,'T energie vecteurs'!W5,FALSE)</f>
        <v>0</v>
      </c>
      <c r="I117" s="34">
        <f>VLOOKUP(E117,Résultats!$B$2:$AX$476,'T energie vecteurs'!W5,FALSE)</f>
        <v>8.144138173</v>
      </c>
      <c r="J117" s="16">
        <f>VLOOKUP(F117,Résultats!$B$2:$AX$476,'T energie vecteurs'!W5,FALSE)</f>
        <v>8.4143102659999904</v>
      </c>
      <c r="K117" s="16">
        <f>VLOOKUP(G117,Résultats!$B$2:$AX$476,'T energie vecteurs'!W5,FALSE)</f>
        <v>0.68678164070000003</v>
      </c>
      <c r="L117" s="95">
        <f>SUM(H117:K117)</f>
        <v>17.24523007969999</v>
      </c>
      <c r="M117" s="16"/>
      <c r="N117" s="149" t="s">
        <v>20</v>
      </c>
      <c r="O117" s="143"/>
      <c r="P117" s="16"/>
      <c r="Q117" s="34"/>
      <c r="R117" s="16"/>
      <c r="S117" s="95"/>
      <c r="T117" s="95"/>
      <c r="U117" s="149" t="s">
        <v>20</v>
      </c>
      <c r="V117" t="s">
        <v>398</v>
      </c>
      <c r="W117" t="s">
        <v>399</v>
      </c>
      <c r="X117" t="s">
        <v>400</v>
      </c>
      <c r="Y117" t="s">
        <v>401</v>
      </c>
      <c r="Z117" s="16">
        <v>0</v>
      </c>
      <c r="AA117" s="34">
        <v>8.5008553720000002</v>
      </c>
      <c r="AB117" s="16">
        <v>8.0686887620000007</v>
      </c>
      <c r="AC117" s="16">
        <v>0.60670944660000004</v>
      </c>
      <c r="AD117" s="95">
        <v>17.176253580600001</v>
      </c>
    </row>
    <row r="118" spans="3:30" x14ac:dyDescent="0.25">
      <c r="C118" s="147" t="s">
        <v>21</v>
      </c>
      <c r="D118" t="s">
        <v>402</v>
      </c>
      <c r="E118" t="s">
        <v>403</v>
      </c>
      <c r="F118" t="s">
        <v>404</v>
      </c>
      <c r="G118" t="s">
        <v>405</v>
      </c>
      <c r="H118" s="8">
        <f>VLOOKUP(D118,Résultats!$B$2:$AX$476,'T energie vecteurs'!W5,FALSE)</f>
        <v>0.15108389250000001</v>
      </c>
      <c r="I118" s="8">
        <f>VLOOKUP(E118,Résultats!$B$2:$AX$476,'T energie vecteurs'!W5,FALSE)</f>
        <v>3.872926659</v>
      </c>
      <c r="J118" s="8">
        <f>VLOOKUP(F118,Résultats!$B$2:$AX$476,'T energie vecteurs'!W5,FALSE)</f>
        <v>14.20244248</v>
      </c>
      <c r="K118" s="8">
        <f>VLOOKUP(G118,Résultats!$B$2:$AX$476,'T energie vecteurs'!W5,FALSE)+2</f>
        <v>13.54869001</v>
      </c>
      <c r="L118" s="316">
        <f t="shared" si="36"/>
        <v>31.775143041500002</v>
      </c>
      <c r="M118" s="75"/>
      <c r="N118" s="150" t="s">
        <v>21</v>
      </c>
      <c r="O118" s="29">
        <f>'[2]Bilan 2050 AMS'!$V$46/11.63</f>
        <v>0</v>
      </c>
      <c r="P118" s="28">
        <f>SUM('[2]Bilan 2050 AMS'!$V$41:$V$43)/11.63</f>
        <v>1.1494996834972571E-3</v>
      </c>
      <c r="Q118" s="28">
        <f>'[2]Bilan 2050 AMS'!$V$13/11.63</f>
        <v>11.674656052235431</v>
      </c>
      <c r="R118" s="28">
        <f>('[2]Bilan 2050 AMS'!$V$22+'[2]Bilan 2050 AMS'!$V$30+SUM('[2]Bilan 2050 AMS'!$V$36:$V$40)+SUM('[2]Bilan 2050 AMS'!$V$44:$V$45)+'[2]Bilan 2050 AMS'!$V$47)/11.63</f>
        <v>24.610837568478981</v>
      </c>
      <c r="S118" s="142">
        <f t="shared" ref="S118:S124" si="37">SUM(O118:R118)</f>
        <v>36.286643120397912</v>
      </c>
      <c r="T118" s="318">
        <f>S118-'[2]Bilan 2050 AMS'!$V$40/11.63</f>
        <v>21.646229384501765</v>
      </c>
      <c r="U118" s="147" t="s">
        <v>21</v>
      </c>
      <c r="V118" t="s">
        <v>402</v>
      </c>
      <c r="W118" t="s">
        <v>403</v>
      </c>
      <c r="X118" t="s">
        <v>404</v>
      </c>
      <c r="Y118" t="s">
        <v>405</v>
      </c>
      <c r="Z118" s="8">
        <v>0.14751532789999999</v>
      </c>
      <c r="AA118" s="8">
        <v>3.5597730520000002</v>
      </c>
      <c r="AB118" s="8">
        <v>13.891847569999999</v>
      </c>
      <c r="AC118" s="8">
        <v>13.587956009999999</v>
      </c>
      <c r="AD118" s="316">
        <v>31.187091959899998</v>
      </c>
    </row>
    <row r="119" spans="3:30" x14ac:dyDescent="0.25">
      <c r="C119" s="147" t="s">
        <v>22</v>
      </c>
      <c r="D119" t="s">
        <v>406</v>
      </c>
      <c r="E119" t="s">
        <v>407</v>
      </c>
      <c r="F119" t="s">
        <v>408</v>
      </c>
      <c r="G119" t="s">
        <v>409</v>
      </c>
      <c r="H119" s="8">
        <f>VLOOKUP(D119,Résultats!$B$2:$AX$476,'T energie vecteurs'!W5,FALSE)</f>
        <v>0</v>
      </c>
      <c r="I119" s="8">
        <f>VLOOKUP(E119,Résultats!$B$2:$AX$476,'T energie vecteurs'!W5,FALSE)</f>
        <v>1.301696312</v>
      </c>
      <c r="J119" s="8">
        <f>VLOOKUP(F119,Résultats!$B$2:$AX$476,'T energie vecteurs'!W5,FALSE)</f>
        <v>7.6809813849999999</v>
      </c>
      <c r="K119" s="8">
        <f>VLOOKUP(G119,Résultats!$B$2:$AX$476,'T energie vecteurs'!W5,FALSE)</f>
        <v>7.3675732140000001</v>
      </c>
      <c r="L119" s="96">
        <f t="shared" si="36"/>
        <v>16.350250911</v>
      </c>
      <c r="M119" s="75"/>
      <c r="N119" s="150" t="s">
        <v>22</v>
      </c>
      <c r="O119" s="29">
        <f>('[2]Bilan 2050 AMS'!$W$46)/11.63</f>
        <v>0</v>
      </c>
      <c r="P119" s="28">
        <f>SUM('[2]Bilan 2050 AMS'!$W$41:$W$43)/11.63</f>
        <v>5.1222285568290988E-3</v>
      </c>
      <c r="Q119" s="28">
        <f>('[2]Bilan 2050 AMS'!$W$13)/11.63</f>
        <v>10.59138596649569</v>
      </c>
      <c r="R119" s="28">
        <f>('[2]Bilan 2050 AMS'!$W$22+'[2]Bilan 2050 AMS'!$W$30+SUM('[2]Bilan 2050 AMS'!$W$36:$W$40)+SUM('[2]Bilan 2050 AMS'!$W$44:$W$45)+'[2]Bilan 2050 AMS'!$W$47)/11.63</f>
        <v>9.456444841724398</v>
      </c>
      <c r="S119" s="142">
        <f t="shared" si="37"/>
        <v>20.052953036776916</v>
      </c>
      <c r="T119" s="318">
        <f>S119-'[2]Bilan 2050 AMS'!$W$40/11.63</f>
        <v>14.485251158685617</v>
      </c>
      <c r="U119" s="147" t="s">
        <v>22</v>
      </c>
      <c r="V119" t="s">
        <v>406</v>
      </c>
      <c r="W119" t="s">
        <v>407</v>
      </c>
      <c r="X119" t="s">
        <v>408</v>
      </c>
      <c r="Y119" t="s">
        <v>409</v>
      </c>
      <c r="Z119" s="8">
        <v>0</v>
      </c>
      <c r="AA119" s="8">
        <v>1.1812117550000001</v>
      </c>
      <c r="AB119" s="8">
        <v>7.3825171709999999</v>
      </c>
      <c r="AC119" s="8">
        <v>8.2309287750000006</v>
      </c>
      <c r="AD119" s="96">
        <v>16.794657700999998</v>
      </c>
    </row>
    <row r="120" spans="3:30" x14ac:dyDescent="0.25">
      <c r="C120" s="147" t="s">
        <v>23</v>
      </c>
      <c r="H120" s="8">
        <f>SUM(H121:H123)</f>
        <v>1.5854790948000002</v>
      </c>
      <c r="I120" s="8">
        <f>SUM(I121:I123)</f>
        <v>9.2121597150000003</v>
      </c>
      <c r="J120" s="8">
        <f>SUM(J121:J123)</f>
        <v>25.705765294599999</v>
      </c>
      <c r="K120" s="8">
        <f>SUM(K121:K123)</f>
        <v>6.7732434903999996</v>
      </c>
      <c r="L120" s="96">
        <f>SUM(H120:K120)</f>
        <v>43.276647594799996</v>
      </c>
      <c r="M120" s="75"/>
      <c r="N120" s="150" t="s">
        <v>490</v>
      </c>
      <c r="O120" s="29">
        <f>O121+O122</f>
        <v>0</v>
      </c>
      <c r="P120" s="28">
        <f t="shared" ref="P120:R120" si="38">P121+P122</f>
        <v>8.7976190667572478</v>
      </c>
      <c r="Q120" s="28">
        <f t="shared" si="38"/>
        <v>15.093516254705882</v>
      </c>
      <c r="R120" s="28">
        <f t="shared" si="38"/>
        <v>12.373890980253208</v>
      </c>
      <c r="S120" s="142">
        <f t="shared" si="37"/>
        <v>36.26502630171634</v>
      </c>
      <c r="T120" s="318">
        <f t="shared" ref="T120" si="39">S120</f>
        <v>36.26502630171634</v>
      </c>
      <c r="U120" s="147" t="s">
        <v>23</v>
      </c>
      <c r="Z120" s="8">
        <v>2.1133413024999999</v>
      </c>
      <c r="AA120" s="8">
        <v>11.575499229</v>
      </c>
      <c r="AB120" s="8">
        <v>16.904922061800001</v>
      </c>
      <c r="AC120" s="8">
        <v>10.204618937199999</v>
      </c>
      <c r="AD120" s="96">
        <v>40.798381530499995</v>
      </c>
    </row>
    <row r="121" spans="3:30" x14ac:dyDescent="0.25">
      <c r="C121" s="149" t="s">
        <v>24</v>
      </c>
      <c r="D121" t="s">
        <v>410</v>
      </c>
      <c r="E121" t="s">
        <v>411</v>
      </c>
      <c r="F121" t="s">
        <v>412</v>
      </c>
      <c r="G121" t="s">
        <v>413</v>
      </c>
      <c r="H121" s="16">
        <f>VLOOKUP(D121,Résultats!$B$2:$AX$476,'T energie vecteurs'!W5,FALSE)</f>
        <v>0.60064036040000002</v>
      </c>
      <c r="I121" s="16">
        <f>VLOOKUP(E121,Résultats!$B$2:$AX$476,'T energie vecteurs'!W5,FALSE)</f>
        <v>3.1240802809999999</v>
      </c>
      <c r="J121" s="16">
        <f>VLOOKUP(F121,Résultats!$B$2:$AX$476,'T energie vecteurs'!W5,FALSE)</f>
        <v>25.305409109999999</v>
      </c>
      <c r="K121" s="16">
        <f>VLOOKUP(G121,Résultats!$B$2:$AX$476,'T energie vecteurs'!W5,FALSE)</f>
        <v>3.9272770129999999</v>
      </c>
      <c r="L121" s="95">
        <f t="shared" si="36"/>
        <v>32.957406764399998</v>
      </c>
      <c r="M121" s="16"/>
      <c r="N121" s="149" t="s">
        <v>491</v>
      </c>
      <c r="O121" s="143">
        <f>'[2]Bilan 2050 AMS'!$U$46/11.63</f>
        <v>0</v>
      </c>
      <c r="P121" s="30">
        <f>SUM('[2]Bilan 2050 AMS'!$U$41:$U$43)/11.63</f>
        <v>0</v>
      </c>
      <c r="Q121" s="30">
        <f>'[2]Bilan 2050 AMS'!$U$13/11.63</f>
        <v>15.093516254705882</v>
      </c>
      <c r="R121" s="30">
        <f>('[2]Bilan 2050 AMS'!$U$22+'[2]Bilan 2050 AMS'!$U$30+SUM('[2]Bilan 2050 AMS'!$U$36:$U$40)+SUM('[2]Bilan 2050 AMS'!$U$44:$U$45)+'[2]Bilan 2050 AMS'!$U$47)/11.63</f>
        <v>11.200328112947249</v>
      </c>
      <c r="S121" s="95">
        <f t="shared" si="37"/>
        <v>26.293844367653129</v>
      </c>
      <c r="T121" s="95"/>
      <c r="U121" s="149" t="s">
        <v>24</v>
      </c>
      <c r="V121" t="s">
        <v>410</v>
      </c>
      <c r="W121" t="s">
        <v>411</v>
      </c>
      <c r="X121" t="s">
        <v>412</v>
      </c>
      <c r="Y121" t="s">
        <v>413</v>
      </c>
      <c r="Z121" s="16">
        <v>1.147895479</v>
      </c>
      <c r="AA121" s="16">
        <v>5.7429935050000003</v>
      </c>
      <c r="AB121" s="16">
        <v>16.500176010000001</v>
      </c>
      <c r="AC121" s="16">
        <v>7.2516770179999996</v>
      </c>
      <c r="AD121" s="95">
        <v>30.642742011999999</v>
      </c>
    </row>
    <row r="122" spans="3:30" x14ac:dyDescent="0.25">
      <c r="C122" s="149" t="s">
        <v>47</v>
      </c>
      <c r="D122" t="s">
        <v>414</v>
      </c>
      <c r="E122" t="s">
        <v>415</v>
      </c>
      <c r="F122" t="s">
        <v>416</v>
      </c>
      <c r="G122" t="s">
        <v>417</v>
      </c>
      <c r="H122" s="16">
        <f>VLOOKUP(D122,Résultats!$B$2:$AX$476,'T energie vecteurs'!W5,FALSE)</f>
        <v>0.98483873440000003</v>
      </c>
      <c r="I122" s="16">
        <f>VLOOKUP(E122,Résultats!$B$2:$AX$476,'T energie vecteurs'!W5,FALSE)</f>
        <v>2.62807375</v>
      </c>
      <c r="J122" s="16">
        <f>VLOOKUP(F122,Résultats!$B$2:$AX$476,'T energie vecteurs'!W5,FALSE)</f>
        <v>0</v>
      </c>
      <c r="K122" s="16">
        <f>VLOOKUP(G122,Résultats!$B$2:$AX$476,'T energie vecteurs'!W5,FALSE)</f>
        <v>2.3678745299999999</v>
      </c>
      <c r="L122" s="95">
        <f t="shared" si="36"/>
        <v>5.9807870143999997</v>
      </c>
      <c r="M122" s="16"/>
      <c r="N122" s="149" t="s">
        <v>47</v>
      </c>
      <c r="O122" s="22">
        <f>'[2]Bilan 2050 AMS'!$E$52/11.63</f>
        <v>0</v>
      </c>
      <c r="P122" s="16">
        <f>('[2]Bilan 2050 AMS'!$E$54+'[2]Bilan 2050 AMS'!$E$56)/11.63</f>
        <v>8.7976190667572478</v>
      </c>
      <c r="Q122" s="16">
        <v>0</v>
      </c>
      <c r="R122" s="16">
        <f>('[2]Bilan 2050 AMS'!$E$53+'[2]Bilan 2050 AMS'!$E$55+'[2]Bilan 2050 AMS'!$E$57)/11.63</f>
        <v>1.173562867305959</v>
      </c>
      <c r="S122" s="95">
        <f t="shared" si="37"/>
        <v>9.9711819340632069</v>
      </c>
      <c r="T122" s="95"/>
      <c r="U122" s="149" t="s">
        <v>47</v>
      </c>
      <c r="V122" t="s">
        <v>414</v>
      </c>
      <c r="W122" t="s">
        <v>415</v>
      </c>
      <c r="X122" t="s">
        <v>416</v>
      </c>
      <c r="Y122" t="s">
        <v>417</v>
      </c>
      <c r="Z122" s="16">
        <v>0.96544582349999997</v>
      </c>
      <c r="AA122" s="16">
        <v>2.542188721</v>
      </c>
      <c r="AB122" s="16">
        <v>0</v>
      </c>
      <c r="AC122" s="16">
        <v>2.4286890190000001</v>
      </c>
      <c r="AD122" s="95">
        <v>5.9363235635000002</v>
      </c>
    </row>
    <row r="123" spans="3:30" x14ac:dyDescent="0.25">
      <c r="C123" s="149" t="s">
        <v>25</v>
      </c>
      <c r="D123" t="s">
        <v>418</v>
      </c>
      <c r="E123" t="s">
        <v>419</v>
      </c>
      <c r="F123" t="s">
        <v>420</v>
      </c>
      <c r="G123" t="s">
        <v>421</v>
      </c>
      <c r="H123" s="16">
        <f>VLOOKUP(D123,Résultats!$B$2:$AX$476,'T energie vecteurs'!W5,FALSE)</f>
        <v>0</v>
      </c>
      <c r="I123" s="16">
        <f>VLOOKUP(E123,Résultats!$B$2:$AX$476,'T energie vecteurs'!W5,FALSE)</f>
        <v>3.460005684</v>
      </c>
      <c r="J123" s="16">
        <f>VLOOKUP(F123,Résultats!$B$2:$AX$476,'T energie vecteurs'!W5,FALSE)</f>
        <v>0.4003561846</v>
      </c>
      <c r="K123" s="16">
        <f>VLOOKUP(G123,Résultats!$B$2:$AX$476,'T energie vecteurs'!W5,FALSE)</f>
        <v>0.47809194739999999</v>
      </c>
      <c r="L123" s="95">
        <f t="shared" si="36"/>
        <v>4.3384538160000004</v>
      </c>
      <c r="M123" s="16"/>
      <c r="N123" s="150" t="s">
        <v>25</v>
      </c>
      <c r="O123" s="29">
        <f>'[2]Bilan 2050 AMS'!$T$46/11.63</f>
        <v>0</v>
      </c>
      <c r="P123" s="28">
        <f>SUM('[2]Bilan 2050 AMS'!$T$41:$T$43)/11.63</f>
        <v>0.58982132154870426</v>
      </c>
      <c r="Q123" s="28">
        <f>'[2]Bilan 2050 AMS'!$T$13/11.63</f>
        <v>0.96535834832442247</v>
      </c>
      <c r="R123" s="28">
        <f>('[2]Bilan 2050 AMS'!$T$22+'[2]Bilan 2050 AMS'!$T$30+SUM('[2]Bilan 2050 AMS'!$T$36:$T$40)+SUM('[2]Bilan 2050 AMS'!$T$44:$T$45)+'[2]Bilan 2050 AMS'!$T$47)/11.63</f>
        <v>2.1658310693719187</v>
      </c>
      <c r="S123" s="142">
        <f t="shared" si="37"/>
        <v>3.7210107392450453</v>
      </c>
      <c r="T123" s="318">
        <f>S123</f>
        <v>3.7210107392450453</v>
      </c>
      <c r="U123" s="149" t="s">
        <v>25</v>
      </c>
      <c r="V123" t="s">
        <v>418</v>
      </c>
      <c r="W123" t="s">
        <v>419</v>
      </c>
      <c r="X123" t="s">
        <v>420</v>
      </c>
      <c r="Y123" t="s">
        <v>421</v>
      </c>
      <c r="Z123" s="16">
        <v>0</v>
      </c>
      <c r="AA123" s="16">
        <v>3.2903170030000002</v>
      </c>
      <c r="AB123" s="16">
        <v>0.40474605180000001</v>
      </c>
      <c r="AC123" s="16">
        <v>0.52425290020000004</v>
      </c>
      <c r="AD123" s="95">
        <v>4.2193159550000008</v>
      </c>
    </row>
    <row r="124" spans="3:30" x14ac:dyDescent="0.25">
      <c r="C124" s="23" t="s">
        <v>26</v>
      </c>
      <c r="D124" s="10"/>
      <c r="E124" s="10"/>
      <c r="F124" s="10"/>
      <c r="G124" s="10"/>
      <c r="H124" s="9">
        <f>SUM(H115,H118:H120)</f>
        <v>1.7365629873000001</v>
      </c>
      <c r="I124" s="9">
        <f>SUM(I115,I118:I120)</f>
        <v>28.369361732000002</v>
      </c>
      <c r="J124" s="9">
        <f>SUM(J115,J118:J120)</f>
        <v>60.57210242859999</v>
      </c>
      <c r="K124" s="9">
        <f>SUM(K115,K118:K120)</f>
        <v>28.376298663607798</v>
      </c>
      <c r="L124" s="98">
        <f t="shared" si="36"/>
        <v>119.05432581150779</v>
      </c>
      <c r="M124" s="79"/>
      <c r="N124" s="151" t="s">
        <v>26</v>
      </c>
      <c r="O124" s="32">
        <f>O115+O118+O119+O120+O123</f>
        <v>0</v>
      </c>
      <c r="P124" s="31">
        <f>P115+P118+P119+P120+P123</f>
        <v>11.49702544449546</v>
      </c>
      <c r="Q124" s="31">
        <f>Q115+Q118+Q119+Q120+Q123</f>
        <v>49.435688400090683</v>
      </c>
      <c r="R124" s="31">
        <f>R115+R118+R119+R120+R123</f>
        <v>49.851435300523292</v>
      </c>
      <c r="S124" s="144">
        <f t="shared" si="37"/>
        <v>110.78414914510944</v>
      </c>
      <c r="T124" s="319">
        <f>SUM(T115:T123)</f>
        <v>90.576033531121979</v>
      </c>
      <c r="U124" s="23" t="s">
        <v>26</v>
      </c>
      <c r="V124" s="10"/>
      <c r="W124" s="10"/>
      <c r="X124" s="10"/>
      <c r="Y124" s="10"/>
      <c r="Z124" s="9">
        <v>2.2608566303999997</v>
      </c>
      <c r="AA124" s="9">
        <v>30.671302134999998</v>
      </c>
      <c r="AB124" s="9">
        <v>50.625889028799996</v>
      </c>
      <c r="AC124" s="9">
        <v>32.630221652026705</v>
      </c>
      <c r="AD124" s="98">
        <v>116.1882694462267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O125" s="77"/>
      <c r="P125" s="77"/>
      <c r="Q125" s="77"/>
      <c r="R125" s="78"/>
      <c r="S125" s="45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5">
      <c r="C126" s="3"/>
      <c r="D126" s="3"/>
      <c r="E126" s="3"/>
      <c r="F126" s="3">
        <f>0.1/0.028*51.84</f>
        <v>185.14285714285717</v>
      </c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>
        <v>185.14285714285717</v>
      </c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s="3" customFormat="1" x14ac:dyDescent="0.25">
      <c r="C128" s="60" t="s">
        <v>488</v>
      </c>
      <c r="F128" s="3">
        <f>0.1/0.028*51.84</f>
        <v>185.14285714285717</v>
      </c>
      <c r="N128" s="60" t="s">
        <v>489</v>
      </c>
      <c r="U128" s="60" t="s">
        <v>488</v>
      </c>
      <c r="X128" s="3">
        <v>185.14285714285717</v>
      </c>
    </row>
    <row r="129" spans="3:30" s="3" customFormat="1" ht="31.5" x14ac:dyDescent="0.35">
      <c r="C129" s="145">
        <v>2050</v>
      </c>
      <c r="D129" s="146"/>
      <c r="E129" s="146"/>
      <c r="F129" s="146"/>
      <c r="G129" s="146"/>
      <c r="H129" s="76" t="s">
        <v>36</v>
      </c>
      <c r="I129" s="76" t="s">
        <v>49</v>
      </c>
      <c r="J129" s="76" t="s">
        <v>38</v>
      </c>
      <c r="K129" s="76" t="s">
        <v>48</v>
      </c>
      <c r="L129" s="93" t="s">
        <v>1</v>
      </c>
      <c r="N129" s="145">
        <v>2050</v>
      </c>
      <c r="O129" s="141" t="s">
        <v>36</v>
      </c>
      <c r="P129" s="76" t="s">
        <v>49</v>
      </c>
      <c r="Q129" s="76" t="s">
        <v>38</v>
      </c>
      <c r="R129" s="76" t="s">
        <v>48</v>
      </c>
      <c r="S129" s="93" t="s">
        <v>1</v>
      </c>
      <c r="U129" s="145">
        <v>2050</v>
      </c>
      <c r="V129" s="146"/>
      <c r="W129" s="146"/>
      <c r="X129" s="146"/>
      <c r="Y129" s="146"/>
      <c r="Z129" s="76" t="s">
        <v>36</v>
      </c>
      <c r="AA129" s="76" t="s">
        <v>49</v>
      </c>
      <c r="AB129" s="76" t="s">
        <v>38</v>
      </c>
      <c r="AC129" s="76" t="s">
        <v>48</v>
      </c>
      <c r="AD129" s="93" t="s">
        <v>1</v>
      </c>
    </row>
    <row r="130" spans="3:30" s="3" customFormat="1" x14ac:dyDescent="0.25">
      <c r="C130" s="275" t="s">
        <v>18</v>
      </c>
      <c r="D130" s="276"/>
      <c r="E130" s="276"/>
      <c r="F130" s="276"/>
      <c r="G130" s="276"/>
      <c r="H130" s="277" t="e">
        <f>H115-#REF!</f>
        <v>#REF!</v>
      </c>
      <c r="I130" s="277" t="e">
        <f>I115-#REF!</f>
        <v>#REF!</v>
      </c>
      <c r="J130" s="277" t="e">
        <f>J115-#REF!</f>
        <v>#REF!</v>
      </c>
      <c r="K130" s="277" t="e">
        <f>K115-#REF!</f>
        <v>#REF!</v>
      </c>
      <c r="L130" s="278" t="e">
        <f>L115-#REF!</f>
        <v>#REF!</v>
      </c>
      <c r="N130" s="275" t="s">
        <v>18</v>
      </c>
      <c r="O130" s="284">
        <f>H115-O115</f>
        <v>0</v>
      </c>
      <c r="P130" s="285">
        <f t="shared" ref="P130:S139" si="40">I115-P115</f>
        <v>11.879265718050819</v>
      </c>
      <c r="Q130" s="285">
        <f t="shared" si="40"/>
        <v>1.8721414906707352</v>
      </c>
      <c r="R130" s="285">
        <f t="shared" si="40"/>
        <v>-0.55763889148698365</v>
      </c>
      <c r="S130" s="286">
        <f t="shared" si="40"/>
        <v>13.193768317234573</v>
      </c>
      <c r="U130" s="275" t="s">
        <v>18</v>
      </c>
      <c r="V130" s="276"/>
      <c r="W130" s="276"/>
      <c r="X130" s="276"/>
      <c r="Y130" s="276"/>
      <c r="Z130" s="277" t="e">
        <v>#REF!</v>
      </c>
      <c r="AA130" s="277" t="e">
        <v>#REF!</v>
      </c>
      <c r="AB130" s="277" t="e">
        <v>#REF!</v>
      </c>
      <c r="AC130" s="277" t="e">
        <v>#REF!</v>
      </c>
      <c r="AD130" s="278" t="e">
        <v>#REF!</v>
      </c>
    </row>
    <row r="131" spans="3:30" s="3" customFormat="1" x14ac:dyDescent="0.25">
      <c r="C131" s="148" t="s">
        <v>19</v>
      </c>
      <c r="D131" t="s">
        <v>394</v>
      </c>
      <c r="E131" t="s">
        <v>395</v>
      </c>
      <c r="F131" t="s">
        <v>396</v>
      </c>
      <c r="G131" t="s">
        <v>397</v>
      </c>
      <c r="H131" s="34" t="e">
        <f>H116-#REF!</f>
        <v>#REF!</v>
      </c>
      <c r="I131" s="34" t="e">
        <f>I116-#REF!</f>
        <v>#REF!</v>
      </c>
      <c r="J131" s="34" t="e">
        <f>J116-#REF!</f>
        <v>#REF!</v>
      </c>
      <c r="K131" s="34" t="e">
        <f>K116-#REF!</f>
        <v>#REF!</v>
      </c>
      <c r="L131" s="279" t="e">
        <f>L116-#REF!</f>
        <v>#REF!</v>
      </c>
      <c r="N131" s="148" t="s">
        <v>19</v>
      </c>
      <c r="O131" s="287">
        <f t="shared" ref="O131:O139" si="41">H116-O116</f>
        <v>0</v>
      </c>
      <c r="P131" s="34">
        <f t="shared" si="40"/>
        <v>5.8384408729999997</v>
      </c>
      <c r="Q131" s="34">
        <f t="shared" si="40"/>
        <v>4.5686030029999998</v>
      </c>
      <c r="R131" s="34">
        <f t="shared" si="40"/>
        <v>1.03085078E-5</v>
      </c>
      <c r="S131" s="279">
        <f t="shared" si="40"/>
        <v>10.4070541845078</v>
      </c>
      <c r="U131" s="148" t="s">
        <v>19</v>
      </c>
      <c r="V131" t="s">
        <v>394</v>
      </c>
      <c r="W131" t="s">
        <v>395</v>
      </c>
      <c r="X131" t="s">
        <v>396</v>
      </c>
      <c r="Y131" t="s">
        <v>397</v>
      </c>
      <c r="Z131" s="34" t="e">
        <v>#REF!</v>
      </c>
      <c r="AA131" s="34" t="e">
        <v>#REF!</v>
      </c>
      <c r="AB131" s="34" t="e">
        <v>#REF!</v>
      </c>
      <c r="AC131" s="34" t="e">
        <v>#REF!</v>
      </c>
      <c r="AD131" s="279" t="e">
        <v>#REF!</v>
      </c>
    </row>
    <row r="132" spans="3:30" s="3" customFormat="1" x14ac:dyDescent="0.25">
      <c r="C132" s="149" t="s">
        <v>20</v>
      </c>
      <c r="D132" t="s">
        <v>398</v>
      </c>
      <c r="E132" t="s">
        <v>399</v>
      </c>
      <c r="F132" t="s">
        <v>400</v>
      </c>
      <c r="G132" t="s">
        <v>401</v>
      </c>
      <c r="H132" s="34" t="e">
        <f>H117-#REF!</f>
        <v>#REF!</v>
      </c>
      <c r="I132" s="34" t="e">
        <f>I117-#REF!</f>
        <v>#REF!</v>
      </c>
      <c r="J132" s="34" t="e">
        <f>J117-#REF!</f>
        <v>#REF!</v>
      </c>
      <c r="K132" s="34" t="e">
        <f>K117-#REF!</f>
        <v>#REF!</v>
      </c>
      <c r="L132" s="279" t="e">
        <f>L117-#REF!</f>
        <v>#REF!</v>
      </c>
      <c r="N132" s="149" t="s">
        <v>20</v>
      </c>
      <c r="O132" s="287">
        <f t="shared" si="41"/>
        <v>0</v>
      </c>
      <c r="P132" s="34">
        <f t="shared" si="40"/>
        <v>8.144138173</v>
      </c>
      <c r="Q132" s="34">
        <f t="shared" si="40"/>
        <v>8.4143102659999904</v>
      </c>
      <c r="R132" s="34">
        <f t="shared" si="40"/>
        <v>0.68678164070000003</v>
      </c>
      <c r="S132" s="279">
        <f t="shared" si="40"/>
        <v>17.24523007969999</v>
      </c>
      <c r="U132" s="149" t="s">
        <v>20</v>
      </c>
      <c r="V132" t="s">
        <v>398</v>
      </c>
      <c r="W132" t="s">
        <v>399</v>
      </c>
      <c r="X132" t="s">
        <v>400</v>
      </c>
      <c r="Y132" t="s">
        <v>401</v>
      </c>
      <c r="Z132" s="34" t="e">
        <v>#REF!</v>
      </c>
      <c r="AA132" s="34" t="e">
        <v>#REF!</v>
      </c>
      <c r="AB132" s="34" t="e">
        <v>#REF!</v>
      </c>
      <c r="AC132" s="34" t="e">
        <v>#REF!</v>
      </c>
      <c r="AD132" s="279" t="e">
        <v>#REF!</v>
      </c>
    </row>
    <row r="133" spans="3:30" s="3" customFormat="1" x14ac:dyDescent="0.25">
      <c r="C133" s="275" t="s">
        <v>21</v>
      </c>
      <c r="D133" s="276" t="s">
        <v>402</v>
      </c>
      <c r="E133" s="276" t="s">
        <v>403</v>
      </c>
      <c r="F133" s="276" t="s">
        <v>404</v>
      </c>
      <c r="G133" s="276" t="s">
        <v>405</v>
      </c>
      <c r="H133" s="277" t="e">
        <f>H118-#REF!</f>
        <v>#REF!</v>
      </c>
      <c r="I133" s="277" t="e">
        <f>I118-#REF!</f>
        <v>#REF!</v>
      </c>
      <c r="J133" s="277" t="e">
        <f>J118-#REF!</f>
        <v>#REF!</v>
      </c>
      <c r="K133" s="277" t="e">
        <f>K118-#REF!</f>
        <v>#REF!</v>
      </c>
      <c r="L133" s="278" t="e">
        <f>L118-#REF!</f>
        <v>#REF!</v>
      </c>
      <c r="N133" s="275" t="s">
        <v>21</v>
      </c>
      <c r="O133" s="288">
        <f t="shared" si="41"/>
        <v>0.15108389250000001</v>
      </c>
      <c r="P133" s="285">
        <f t="shared" si="40"/>
        <v>3.8717771593165029</v>
      </c>
      <c r="Q133" s="285">
        <f t="shared" si="40"/>
        <v>2.5277864277645694</v>
      </c>
      <c r="R133" s="285">
        <f t="shared" si="40"/>
        <v>-11.062147558478982</v>
      </c>
      <c r="S133" s="286">
        <f t="shared" si="40"/>
        <v>-4.5115000788979103</v>
      </c>
      <c r="U133" s="275" t="s">
        <v>21</v>
      </c>
      <c r="V133" s="276" t="s">
        <v>402</v>
      </c>
      <c r="W133" s="276" t="s">
        <v>403</v>
      </c>
      <c r="X133" s="276" t="s">
        <v>404</v>
      </c>
      <c r="Y133" s="276" t="s">
        <v>405</v>
      </c>
      <c r="Z133" s="277" t="e">
        <v>#REF!</v>
      </c>
      <c r="AA133" s="277" t="e">
        <v>#REF!</v>
      </c>
      <c r="AB133" s="277" t="e">
        <v>#REF!</v>
      </c>
      <c r="AC133" s="277" t="e">
        <v>#REF!</v>
      </c>
      <c r="AD133" s="278" t="e">
        <v>#REF!</v>
      </c>
    </row>
    <row r="134" spans="3:30" s="3" customFormat="1" x14ac:dyDescent="0.25">
      <c r="C134" s="275" t="s">
        <v>22</v>
      </c>
      <c r="D134" s="276" t="s">
        <v>406</v>
      </c>
      <c r="E134" s="276" t="s">
        <v>407</v>
      </c>
      <c r="F134" s="276" t="s">
        <v>408</v>
      </c>
      <c r="G134" s="276" t="s">
        <v>409</v>
      </c>
      <c r="H134" s="277" t="e">
        <f>H119-#REF!</f>
        <v>#REF!</v>
      </c>
      <c r="I134" s="277" t="e">
        <f>I119-#REF!</f>
        <v>#REF!</v>
      </c>
      <c r="J134" s="277" t="e">
        <f>J119-#REF!</f>
        <v>#REF!</v>
      </c>
      <c r="K134" s="277" t="e">
        <f>K119-#REF!</f>
        <v>#REF!</v>
      </c>
      <c r="L134" s="278" t="e">
        <f>L119-#REF!</f>
        <v>#REF!</v>
      </c>
      <c r="N134" s="275" t="s">
        <v>22</v>
      </c>
      <c r="O134" s="288">
        <f t="shared" si="41"/>
        <v>0</v>
      </c>
      <c r="P134" s="285">
        <f t="shared" si="40"/>
        <v>1.2965740834431709</v>
      </c>
      <c r="Q134" s="285">
        <f t="shared" si="40"/>
        <v>-2.9104045814956896</v>
      </c>
      <c r="R134" s="285">
        <f t="shared" si="40"/>
        <v>-2.0888716277243979</v>
      </c>
      <c r="S134" s="286">
        <f t="shared" si="40"/>
        <v>-3.7027021257769164</v>
      </c>
      <c r="U134" s="275" t="s">
        <v>22</v>
      </c>
      <c r="V134" s="276" t="s">
        <v>406</v>
      </c>
      <c r="W134" s="276" t="s">
        <v>407</v>
      </c>
      <c r="X134" s="276" t="s">
        <v>408</v>
      </c>
      <c r="Y134" s="276" t="s">
        <v>409</v>
      </c>
      <c r="Z134" s="277" t="e">
        <v>#REF!</v>
      </c>
      <c r="AA134" s="277" t="e">
        <v>#REF!</v>
      </c>
      <c r="AB134" s="277" t="e">
        <v>#REF!</v>
      </c>
      <c r="AC134" s="277" t="e">
        <v>#REF!</v>
      </c>
      <c r="AD134" s="278" t="e">
        <v>#REF!</v>
      </c>
    </row>
    <row r="135" spans="3:30" s="3" customFormat="1" x14ac:dyDescent="0.25">
      <c r="C135" s="275" t="s">
        <v>23</v>
      </c>
      <c r="D135" s="276"/>
      <c r="E135" s="276"/>
      <c r="F135" s="276"/>
      <c r="G135" s="276"/>
      <c r="H135" s="277" t="e">
        <f>H120-#REF!</f>
        <v>#REF!</v>
      </c>
      <c r="I135" s="277" t="e">
        <f>I120-#REF!</f>
        <v>#REF!</v>
      </c>
      <c r="J135" s="277" t="e">
        <f>J120-#REF!</f>
        <v>#REF!</v>
      </c>
      <c r="K135" s="277" t="e">
        <f>K120-#REF!</f>
        <v>#REF!</v>
      </c>
      <c r="L135" s="278" t="e">
        <f>L120-#REF!</f>
        <v>#REF!</v>
      </c>
      <c r="N135" s="275" t="s">
        <v>23</v>
      </c>
      <c r="O135" s="288">
        <f t="shared" si="41"/>
        <v>1.5854790948000002</v>
      </c>
      <c r="P135" s="285">
        <f t="shared" si="40"/>
        <v>0.4145406482427525</v>
      </c>
      <c r="Q135" s="285">
        <f t="shared" si="40"/>
        <v>10.612249039894117</v>
      </c>
      <c r="R135" s="285">
        <f t="shared" si="40"/>
        <v>-5.6006474898532081</v>
      </c>
      <c r="S135" s="286">
        <f t="shared" si="40"/>
        <v>7.0116212930836568</v>
      </c>
      <c r="U135" s="275" t="s">
        <v>23</v>
      </c>
      <c r="V135" s="276"/>
      <c r="W135" s="276"/>
      <c r="X135" s="276"/>
      <c r="Y135" s="276"/>
      <c r="Z135" s="277" t="e">
        <v>#REF!</v>
      </c>
      <c r="AA135" s="277" t="e">
        <v>#REF!</v>
      </c>
      <c r="AB135" s="277" t="e">
        <v>#REF!</v>
      </c>
      <c r="AC135" s="277" t="e">
        <v>#REF!</v>
      </c>
      <c r="AD135" s="278" t="e">
        <v>#REF!</v>
      </c>
    </row>
    <row r="136" spans="3:30" s="3" customFormat="1" x14ac:dyDescent="0.25">
      <c r="C136" s="149" t="s">
        <v>24</v>
      </c>
      <c r="D136" t="s">
        <v>410</v>
      </c>
      <c r="E136" t="s">
        <v>411</v>
      </c>
      <c r="F136" t="s">
        <v>412</v>
      </c>
      <c r="G136" t="s">
        <v>413</v>
      </c>
      <c r="H136" s="34" t="e">
        <f>H121-#REF!</f>
        <v>#REF!</v>
      </c>
      <c r="I136" s="34" t="e">
        <f>I121-#REF!</f>
        <v>#REF!</v>
      </c>
      <c r="J136" s="34" t="e">
        <f>J121-#REF!</f>
        <v>#REF!</v>
      </c>
      <c r="K136" s="34" t="e">
        <f>K121-#REF!</f>
        <v>#REF!</v>
      </c>
      <c r="L136" s="279" t="e">
        <f>L121-#REF!</f>
        <v>#REF!</v>
      </c>
      <c r="N136" s="149" t="s">
        <v>24</v>
      </c>
      <c r="O136" s="287">
        <f t="shared" si="41"/>
        <v>0.60064036040000002</v>
      </c>
      <c r="P136" s="270">
        <f t="shared" si="40"/>
        <v>3.1240802809999999</v>
      </c>
      <c r="Q136" s="270">
        <f t="shared" si="40"/>
        <v>10.211892855294117</v>
      </c>
      <c r="R136" s="270">
        <f t="shared" si="40"/>
        <v>-7.2730510999472493</v>
      </c>
      <c r="S136" s="279">
        <f t="shared" si="40"/>
        <v>6.6635623967468689</v>
      </c>
      <c r="U136" s="149" t="s">
        <v>24</v>
      </c>
      <c r="V136" t="s">
        <v>410</v>
      </c>
      <c r="W136" t="s">
        <v>411</v>
      </c>
      <c r="X136" t="s">
        <v>412</v>
      </c>
      <c r="Y136" t="s">
        <v>413</v>
      </c>
      <c r="Z136" s="34" t="e">
        <v>#REF!</v>
      </c>
      <c r="AA136" s="34" t="e">
        <v>#REF!</v>
      </c>
      <c r="AB136" s="34" t="e">
        <v>#REF!</v>
      </c>
      <c r="AC136" s="34" t="e">
        <v>#REF!</v>
      </c>
      <c r="AD136" s="279" t="e">
        <v>#REF!</v>
      </c>
    </row>
    <row r="137" spans="3:30" s="3" customFormat="1" x14ac:dyDescent="0.25">
      <c r="C137" s="149" t="s">
        <v>47</v>
      </c>
      <c r="D137" t="s">
        <v>414</v>
      </c>
      <c r="E137" t="s">
        <v>415</v>
      </c>
      <c r="F137" t="s">
        <v>416</v>
      </c>
      <c r="G137" t="s">
        <v>417</v>
      </c>
      <c r="H137" s="34" t="e">
        <f>H122-#REF!</f>
        <v>#REF!</v>
      </c>
      <c r="I137" s="34" t="e">
        <f>I122-#REF!</f>
        <v>#REF!</v>
      </c>
      <c r="J137" s="34" t="e">
        <f>J122-#REF!</f>
        <v>#REF!</v>
      </c>
      <c r="K137" s="34" t="e">
        <f>K122-#REF!</f>
        <v>#REF!</v>
      </c>
      <c r="L137" s="279" t="e">
        <f>L122-#REF!</f>
        <v>#REF!</v>
      </c>
      <c r="N137" s="149" t="s">
        <v>47</v>
      </c>
      <c r="O137" s="289">
        <f t="shared" si="41"/>
        <v>0.98483873440000003</v>
      </c>
      <c r="P137" s="34">
        <f t="shared" si="40"/>
        <v>-6.1695453167572474</v>
      </c>
      <c r="Q137" s="34">
        <f t="shared" si="40"/>
        <v>0</v>
      </c>
      <c r="R137" s="34">
        <f t="shared" si="40"/>
        <v>1.1943116626940409</v>
      </c>
      <c r="S137" s="279">
        <f t="shared" si="40"/>
        <v>-3.9903949196632071</v>
      </c>
      <c r="U137" s="149" t="s">
        <v>47</v>
      </c>
      <c r="V137" t="s">
        <v>414</v>
      </c>
      <c r="W137" t="s">
        <v>415</v>
      </c>
      <c r="X137" t="s">
        <v>416</v>
      </c>
      <c r="Y137" t="s">
        <v>417</v>
      </c>
      <c r="Z137" s="34" t="e">
        <v>#REF!</v>
      </c>
      <c r="AA137" s="34" t="e">
        <v>#REF!</v>
      </c>
      <c r="AB137" s="34" t="e">
        <v>#REF!</v>
      </c>
      <c r="AC137" s="34" t="e">
        <v>#REF!</v>
      </c>
      <c r="AD137" s="279" t="e">
        <v>#REF!</v>
      </c>
    </row>
    <row r="138" spans="3:30" s="3" customFormat="1" x14ac:dyDescent="0.25">
      <c r="C138" s="149" t="s">
        <v>25</v>
      </c>
      <c r="D138" t="s">
        <v>418</v>
      </c>
      <c r="E138" t="s">
        <v>419</v>
      </c>
      <c r="F138" t="s">
        <v>420</v>
      </c>
      <c r="G138" t="s">
        <v>421</v>
      </c>
      <c r="H138" s="34" t="e">
        <f>H123-#REF!</f>
        <v>#REF!</v>
      </c>
      <c r="I138" s="34" t="e">
        <f>I123-#REF!</f>
        <v>#REF!</v>
      </c>
      <c r="J138" s="34" t="e">
        <f>J123-#REF!</f>
        <v>#REF!</v>
      </c>
      <c r="K138" s="34" t="e">
        <f>K123-#REF!</f>
        <v>#REF!</v>
      </c>
      <c r="L138" s="279" t="e">
        <f>L123-#REF!</f>
        <v>#REF!</v>
      </c>
      <c r="N138" s="149" t="s">
        <v>25</v>
      </c>
      <c r="O138" s="287">
        <f t="shared" si="41"/>
        <v>0</v>
      </c>
      <c r="P138" s="270">
        <f t="shared" si="40"/>
        <v>2.8701843624512957</v>
      </c>
      <c r="Q138" s="270">
        <f t="shared" si="40"/>
        <v>-0.56500216372442247</v>
      </c>
      <c r="R138" s="270">
        <f t="shared" si="40"/>
        <v>-1.6877391219719187</v>
      </c>
      <c r="S138" s="279">
        <f t="shared" si="40"/>
        <v>0.61744307675495502</v>
      </c>
      <c r="U138" s="149" t="s">
        <v>25</v>
      </c>
      <c r="V138" t="s">
        <v>418</v>
      </c>
      <c r="W138" t="s">
        <v>419</v>
      </c>
      <c r="X138" t="s">
        <v>420</v>
      </c>
      <c r="Y138" t="s">
        <v>421</v>
      </c>
      <c r="Z138" s="34" t="e">
        <v>#REF!</v>
      </c>
      <c r="AA138" s="34" t="e">
        <v>#REF!</v>
      </c>
      <c r="AB138" s="34" t="e">
        <v>#REF!</v>
      </c>
      <c r="AC138" s="34" t="e">
        <v>#REF!</v>
      </c>
      <c r="AD138" s="279" t="e">
        <v>#REF!</v>
      </c>
    </row>
    <row r="139" spans="3:30" s="3" customFormat="1" x14ac:dyDescent="0.25">
      <c r="C139" s="280" t="s">
        <v>26</v>
      </c>
      <c r="D139" s="281"/>
      <c r="E139" s="281"/>
      <c r="F139" s="281"/>
      <c r="G139" s="281"/>
      <c r="H139" s="282" t="e">
        <f>H124-#REF!</f>
        <v>#REF!</v>
      </c>
      <c r="I139" s="282" t="e">
        <f>I124-#REF!</f>
        <v>#REF!</v>
      </c>
      <c r="J139" s="282" t="e">
        <f>J124-#REF!</f>
        <v>#REF!</v>
      </c>
      <c r="K139" s="282" t="e">
        <f>K124-#REF!</f>
        <v>#REF!</v>
      </c>
      <c r="L139" s="283" t="e">
        <f>L124-#REF!</f>
        <v>#REF!</v>
      </c>
      <c r="N139" s="280" t="s">
        <v>26</v>
      </c>
      <c r="O139" s="290">
        <f t="shared" si="41"/>
        <v>1.7365629873000001</v>
      </c>
      <c r="P139" s="291">
        <f t="shared" si="40"/>
        <v>16.872336287504542</v>
      </c>
      <c r="Q139" s="291">
        <f t="shared" si="40"/>
        <v>11.136414028509307</v>
      </c>
      <c r="R139" s="291">
        <f t="shared" si="40"/>
        <v>-21.475136636915494</v>
      </c>
      <c r="S139" s="292">
        <f t="shared" si="40"/>
        <v>8.2701766663983562</v>
      </c>
      <c r="U139" s="280" t="s">
        <v>26</v>
      </c>
      <c r="V139" s="281"/>
      <c r="W139" s="281"/>
      <c r="X139" s="281"/>
      <c r="Y139" s="281"/>
      <c r="Z139" s="282" t="e">
        <v>#REF!</v>
      </c>
      <c r="AA139" s="282" t="e">
        <v>#REF!</v>
      </c>
      <c r="AB139" s="282" t="e">
        <v>#REF!</v>
      </c>
      <c r="AC139" s="282" t="e">
        <v>#REF!</v>
      </c>
      <c r="AD139" s="283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pans="3:21" s="3" customFormat="1" x14ac:dyDescent="0.25"/>
    <row r="194" spans="3:21" s="3" customFormat="1" x14ac:dyDescent="0.25"/>
    <row r="195" spans="3:21" s="3" customFormat="1" x14ac:dyDescent="0.25"/>
    <row r="196" spans="3:21" s="3" customFormat="1" x14ac:dyDescent="0.25"/>
    <row r="197" spans="3:21" s="3" customFormat="1" x14ac:dyDescent="0.25"/>
    <row r="198" spans="3:21" s="3" customFormat="1" x14ac:dyDescent="0.25"/>
    <row r="199" spans="3:21" s="3" customFormat="1" x14ac:dyDescent="0.25"/>
    <row r="200" spans="3:21" s="3" customFormat="1" x14ac:dyDescent="0.25"/>
    <row r="201" spans="3:21" s="3" customFormat="1" x14ac:dyDescent="0.25"/>
    <row r="202" spans="3:21" s="3" customFormat="1" x14ac:dyDescent="0.25"/>
    <row r="203" spans="3:21" s="3" customFormat="1" x14ac:dyDescent="0.25"/>
    <row r="204" spans="3:21" s="3" customFormat="1" x14ac:dyDescent="0.25">
      <c r="C204" s="3">
        <f>0</f>
        <v>0</v>
      </c>
      <c r="U204" s="3">
        <v>0</v>
      </c>
    </row>
    <row r="205" spans="3:21" s="3" customFormat="1" x14ac:dyDescent="0.25"/>
    <row r="206" spans="3:21" s="3" customFormat="1" x14ac:dyDescent="0.25"/>
    <row r="207" spans="3:21" s="3" customFormat="1" x14ac:dyDescent="0.25"/>
    <row r="208" spans="3:21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>
    <tabColor rgb="FF0070C0"/>
    <pageSetUpPr fitToPage="1"/>
  </sheetPr>
  <dimension ref="A1:BD67"/>
  <sheetViews>
    <sheetView showGridLines="0" topLeftCell="A29" zoomScaleNormal="100" workbookViewId="0">
      <selection activeCell="A36" sqref="A36"/>
    </sheetView>
  </sheetViews>
  <sheetFormatPr baseColWidth="10" defaultRowHeight="15" x14ac:dyDescent="0.25"/>
  <cols>
    <col min="1" max="1" width="15.7109375" customWidth="1"/>
    <col min="2" max="2" width="33.85546875" bestFit="1" customWidth="1"/>
    <col min="3" max="16" width="8.85546875" hidden="1" customWidth="1"/>
    <col min="17" max="17" width="14" customWidth="1"/>
    <col min="18" max="26" width="8.85546875" hidden="1" customWidth="1"/>
    <col min="27" max="27" width="14" customWidth="1"/>
    <col min="28" max="46" width="14" hidden="1" customWidth="1"/>
    <col min="47" max="47" width="14" customWidth="1"/>
    <col min="49" max="49" width="13.42578125" customWidth="1"/>
  </cols>
  <sheetData>
    <row r="1" spans="1:56" s="244" customFormat="1" ht="45" customHeight="1" x14ac:dyDescent="0.25">
      <c r="A1" s="239" t="str">
        <f>Résultats!B1</f>
        <v>SNBC3</v>
      </c>
      <c r="B1" s="240" t="s">
        <v>465</v>
      </c>
      <c r="C1" s="241">
        <v>2006</v>
      </c>
      <c r="D1" s="242">
        <v>2007</v>
      </c>
      <c r="E1" s="242">
        <v>2008</v>
      </c>
      <c r="F1" s="242">
        <v>2009</v>
      </c>
      <c r="G1" s="242">
        <v>2010</v>
      </c>
      <c r="H1" s="242">
        <v>2011</v>
      </c>
      <c r="I1" s="242">
        <v>2012</v>
      </c>
      <c r="J1" s="242">
        <v>2013</v>
      </c>
      <c r="K1" s="242">
        <v>2014</v>
      </c>
      <c r="L1" s="242">
        <v>2015</v>
      </c>
      <c r="M1" s="242">
        <v>2016</v>
      </c>
      <c r="N1" s="242">
        <v>2017</v>
      </c>
      <c r="O1" s="242">
        <v>2018</v>
      </c>
      <c r="P1" s="242">
        <v>2019</v>
      </c>
      <c r="Q1" s="242">
        <v>2020</v>
      </c>
      <c r="R1" s="242">
        <v>2021</v>
      </c>
      <c r="S1" s="242">
        <v>2022</v>
      </c>
      <c r="T1" s="242">
        <v>2023</v>
      </c>
      <c r="U1" s="242">
        <v>2024</v>
      </c>
      <c r="V1" s="242">
        <v>2025</v>
      </c>
      <c r="W1" s="242">
        <v>2026</v>
      </c>
      <c r="X1" s="242">
        <v>2027</v>
      </c>
      <c r="Y1" s="242">
        <v>2028</v>
      </c>
      <c r="Z1" s="242">
        <v>2029</v>
      </c>
      <c r="AA1" s="242">
        <v>2030</v>
      </c>
      <c r="AB1" s="242">
        <v>2031</v>
      </c>
      <c r="AC1" s="242">
        <v>2032</v>
      </c>
      <c r="AD1" s="242">
        <v>2033</v>
      </c>
      <c r="AE1" s="242">
        <v>2034</v>
      </c>
      <c r="AF1" s="242">
        <v>2035</v>
      </c>
      <c r="AG1" s="242">
        <v>2036</v>
      </c>
      <c r="AH1" s="242">
        <v>2037</v>
      </c>
      <c r="AI1" s="242">
        <v>2038</v>
      </c>
      <c r="AJ1" s="242">
        <v>2039</v>
      </c>
      <c r="AK1" s="242">
        <v>2040</v>
      </c>
      <c r="AL1" s="242">
        <v>2041</v>
      </c>
      <c r="AM1" s="242">
        <v>2042</v>
      </c>
      <c r="AN1" s="242">
        <v>2043</v>
      </c>
      <c r="AO1" s="242">
        <v>2044</v>
      </c>
      <c r="AP1" s="242">
        <v>2045</v>
      </c>
      <c r="AQ1" s="242">
        <v>2046</v>
      </c>
      <c r="AR1" s="242">
        <v>2047</v>
      </c>
      <c r="AS1" s="242">
        <v>2048</v>
      </c>
      <c r="AT1" s="242">
        <v>2049</v>
      </c>
      <c r="AU1" s="243">
        <v>2050</v>
      </c>
      <c r="AW1" s="266" t="s">
        <v>493</v>
      </c>
      <c r="AX1" s="242">
        <v>2020</v>
      </c>
      <c r="AY1" s="242">
        <v>2030</v>
      </c>
      <c r="AZ1" s="243">
        <v>2050</v>
      </c>
    </row>
    <row r="2" spans="1:56" x14ac:dyDescent="0.25">
      <c r="B2" s="245" t="s">
        <v>1</v>
      </c>
      <c r="C2" s="246">
        <f t="shared" ref="C2:AU2" si="0">C3+C4+C7</f>
        <v>842942.38378000003</v>
      </c>
      <c r="D2" s="247">
        <f t="shared" si="0"/>
        <v>869909.28521</v>
      </c>
      <c r="E2" s="247">
        <f t="shared" si="0"/>
        <v>881973.56083000009</v>
      </c>
      <c r="F2" s="247">
        <f t="shared" si="0"/>
        <v>903309.38834000006</v>
      </c>
      <c r="G2" s="247">
        <f t="shared" si="0"/>
        <v>918239.44815999991</v>
      </c>
      <c r="H2" s="247">
        <f t="shared" si="0"/>
        <v>951078.85055000009</v>
      </c>
      <c r="I2" s="247">
        <f t="shared" si="0"/>
        <v>985373.03952000011</v>
      </c>
      <c r="J2" s="247">
        <f t="shared" si="0"/>
        <v>1025940.0481</v>
      </c>
      <c r="K2" s="247">
        <f t="shared" si="0"/>
        <v>1077762.1795399999</v>
      </c>
      <c r="L2" s="247">
        <f t="shared" si="0"/>
        <v>1131648.6585899999</v>
      </c>
      <c r="M2" s="247">
        <f t="shared" si="0"/>
        <v>1133542.5757800001</v>
      </c>
      <c r="N2" s="247">
        <f t="shared" si="0"/>
        <v>1129719.76465</v>
      </c>
      <c r="O2" s="247">
        <f t="shared" si="0"/>
        <v>1129682.3087899999</v>
      </c>
      <c r="P2" s="247">
        <f t="shared" si="0"/>
        <v>1151498.84577</v>
      </c>
      <c r="Q2" s="247">
        <f t="shared" si="0"/>
        <v>1166459.6359699999</v>
      </c>
      <c r="R2" s="247">
        <f t="shared" si="0"/>
        <v>1180807.06244</v>
      </c>
      <c r="S2" s="247">
        <f t="shared" si="0"/>
        <v>1189047.4061799999</v>
      </c>
      <c r="T2" s="247">
        <f t="shared" si="0"/>
        <v>1193953.59837</v>
      </c>
      <c r="U2" s="247">
        <f t="shared" si="0"/>
        <v>1202138.16307</v>
      </c>
      <c r="V2" s="247">
        <f t="shared" si="0"/>
        <v>1208701.3998</v>
      </c>
      <c r="W2" s="247">
        <f t="shared" si="0"/>
        <v>1214177.35066</v>
      </c>
      <c r="X2" s="247">
        <f t="shared" si="0"/>
        <v>1217559.6672499999</v>
      </c>
      <c r="Y2" s="247">
        <f t="shared" si="0"/>
        <v>1220368.1328</v>
      </c>
      <c r="Z2" s="247">
        <f t="shared" si="0"/>
        <v>1223092.1258</v>
      </c>
      <c r="AA2" s="247">
        <f t="shared" si="0"/>
        <v>1227406.6506699999</v>
      </c>
      <c r="AB2" s="247">
        <f t="shared" si="0"/>
        <v>1228404.3854</v>
      </c>
      <c r="AC2" s="247">
        <f t="shared" si="0"/>
        <v>1230178.3822999999</v>
      </c>
      <c r="AD2" s="247">
        <f t="shared" si="0"/>
        <v>1231945.2988400001</v>
      </c>
      <c r="AE2" s="247">
        <f t="shared" si="0"/>
        <v>1233818.0215</v>
      </c>
      <c r="AF2" s="247">
        <f t="shared" si="0"/>
        <v>1236056.5745399999</v>
      </c>
      <c r="AG2" s="247">
        <f t="shared" si="0"/>
        <v>1238401.54116</v>
      </c>
      <c r="AH2" s="247">
        <f t="shared" si="0"/>
        <v>1241182.7986999999</v>
      </c>
      <c r="AI2" s="247">
        <f t="shared" si="0"/>
        <v>1244063.63607</v>
      </c>
      <c r="AJ2" s="247">
        <f t="shared" si="0"/>
        <v>1247177.3264100002</v>
      </c>
      <c r="AK2" s="247">
        <f t="shared" si="0"/>
        <v>1250551.841455</v>
      </c>
      <c r="AL2" s="247">
        <f t="shared" si="0"/>
        <v>1254164.154359</v>
      </c>
      <c r="AM2" s="247">
        <f t="shared" si="0"/>
        <v>1258093.4166840001</v>
      </c>
      <c r="AN2" s="247">
        <f t="shared" si="0"/>
        <v>1262701.1592319999</v>
      </c>
      <c r="AO2" s="247">
        <f t="shared" si="0"/>
        <v>1267586.5211820002</v>
      </c>
      <c r="AP2" s="247">
        <f t="shared" si="0"/>
        <v>1270731.1922809999</v>
      </c>
      <c r="AQ2" s="247">
        <f t="shared" si="0"/>
        <v>1274376.322627</v>
      </c>
      <c r="AR2" s="247">
        <f t="shared" si="0"/>
        <v>1278480.2949660001</v>
      </c>
      <c r="AS2" s="247">
        <f t="shared" si="0"/>
        <v>1282816.1535439999</v>
      </c>
      <c r="AT2" s="247">
        <f t="shared" si="0"/>
        <v>1287114.0293430001</v>
      </c>
      <c r="AU2" s="248">
        <f t="shared" si="0"/>
        <v>1290402.204288</v>
      </c>
      <c r="AW2" t="s">
        <v>494</v>
      </c>
      <c r="AX2" s="298">
        <f>Q8/Q7</f>
        <v>0.91687461579285501</v>
      </c>
      <c r="AY2" s="298">
        <f>AA8/AA7</f>
        <v>0.91460380314650858</v>
      </c>
      <c r="AZ2" s="298">
        <f>AU8/AU7</f>
        <v>0.91311559271141429</v>
      </c>
    </row>
    <row r="3" spans="1:56" x14ac:dyDescent="0.25">
      <c r="B3" s="249" t="s">
        <v>466</v>
      </c>
      <c r="C3" s="250">
        <f>Résultats!E286</f>
        <v>13442.05508</v>
      </c>
      <c r="D3" s="251">
        <f>Résultats!F286</f>
        <v>13760.43381</v>
      </c>
      <c r="E3" s="251">
        <f>Résultats!G286</f>
        <v>14213.245430000001</v>
      </c>
      <c r="F3" s="251">
        <f>Résultats!H286</f>
        <v>13758.55294</v>
      </c>
      <c r="G3" s="251">
        <f>Résultats!I286</f>
        <v>13318.69766</v>
      </c>
      <c r="H3" s="251">
        <f>Résultats!J286</f>
        <v>13698.32935</v>
      </c>
      <c r="I3" s="251">
        <f>Résultats!K286</f>
        <v>14000.21652</v>
      </c>
      <c r="J3" s="251">
        <f>Résultats!L286</f>
        <v>13923.3501</v>
      </c>
      <c r="K3" s="251">
        <f>Résultats!M286</f>
        <v>14158.51404</v>
      </c>
      <c r="L3" s="251">
        <f>Résultats!N286</f>
        <v>14629.89589</v>
      </c>
      <c r="M3" s="251">
        <f>Résultats!O286</f>
        <v>14961.721680000001</v>
      </c>
      <c r="N3" s="251">
        <f>Résultats!P286</f>
        <v>15281.38175</v>
      </c>
      <c r="O3" s="251">
        <f>Résultats!Q286</f>
        <v>15679.15739</v>
      </c>
      <c r="P3" s="251">
        <f>Résultats!R286</f>
        <v>16070.061369999999</v>
      </c>
      <c r="Q3" s="251">
        <f>Résultats!S286</f>
        <v>15635.655280000001</v>
      </c>
      <c r="R3" s="251">
        <f>Résultats!T286</f>
        <v>15016.94161</v>
      </c>
      <c r="S3" s="251">
        <f>Résultats!U286</f>
        <v>14845.06914</v>
      </c>
      <c r="T3" s="251">
        <f>Résultats!V286</f>
        <v>14750.136060000001</v>
      </c>
      <c r="U3" s="251">
        <f>Résultats!W286</f>
        <v>14604.322480000001</v>
      </c>
      <c r="V3" s="251">
        <f>Résultats!X286</f>
        <v>14405.036990000001</v>
      </c>
      <c r="W3" s="251">
        <f>Résultats!Y286</f>
        <v>14203.669599999999</v>
      </c>
      <c r="X3" s="251">
        <f>Résultats!Z286</f>
        <v>13985.793830000001</v>
      </c>
      <c r="Y3" s="251">
        <f>Résultats!AA286</f>
        <v>13771.631509999999</v>
      </c>
      <c r="Z3" s="251">
        <f>Résultats!AB286</f>
        <v>13560.15301</v>
      </c>
      <c r="AA3" s="251">
        <f>Résultats!AC286</f>
        <v>13356.456749999999</v>
      </c>
      <c r="AB3" s="251">
        <f>Résultats!AD286</f>
        <v>12882.98396</v>
      </c>
      <c r="AC3" s="251">
        <f>Résultats!AE286</f>
        <v>12401.59015</v>
      </c>
      <c r="AD3" s="251">
        <f>Résultats!AF286</f>
        <v>11946.78681</v>
      </c>
      <c r="AE3" s="251">
        <f>Résultats!AG286</f>
        <v>11517.7359</v>
      </c>
      <c r="AF3" s="251">
        <f>Résultats!AH286</f>
        <v>11127.50166</v>
      </c>
      <c r="AG3" s="251">
        <f>Résultats!AI286</f>
        <v>10774.852709999999</v>
      </c>
      <c r="AH3" s="251">
        <f>Résultats!AJ286</f>
        <v>10432.59943</v>
      </c>
      <c r="AI3" s="251">
        <f>Résultats!AK286</f>
        <v>10093.84467</v>
      </c>
      <c r="AJ3" s="251">
        <f>Résultats!AL286</f>
        <v>9772.9655999999995</v>
      </c>
      <c r="AK3" s="251">
        <f>Résultats!AM286</f>
        <v>9473.2952449999902</v>
      </c>
      <c r="AL3" s="251">
        <f>Résultats!AN286</f>
        <v>9186.7314989999995</v>
      </c>
      <c r="AM3" s="251">
        <f>Résultats!AO286</f>
        <v>8917.8426440000003</v>
      </c>
      <c r="AN3" s="251">
        <f>Résultats!AP286</f>
        <v>8684.1382420000009</v>
      </c>
      <c r="AO3" s="251">
        <f>Résultats!AQ286</f>
        <v>8457.7237019999902</v>
      </c>
      <c r="AP3" s="251">
        <f>Résultats!AR286</f>
        <v>8234.8095410000005</v>
      </c>
      <c r="AQ3" s="251">
        <f>Résultats!AS286</f>
        <v>8004.2274770000004</v>
      </c>
      <c r="AR3" s="251">
        <f>Résultats!AT286</f>
        <v>7788.1684160000004</v>
      </c>
      <c r="AS3" s="251">
        <f>Résultats!AU286</f>
        <v>7570.2036939999998</v>
      </c>
      <c r="AT3" s="251">
        <f>Résultats!AV286</f>
        <v>7346.6703530000004</v>
      </c>
      <c r="AU3" s="252">
        <f>Résultats!AW286</f>
        <v>7134.6423080000004</v>
      </c>
      <c r="AV3" s="253"/>
      <c r="AW3" t="s">
        <v>495</v>
      </c>
      <c r="AX3" s="298">
        <f>Q5/Q4</f>
        <v>0.68172506516546805</v>
      </c>
      <c r="AY3" s="298">
        <f>AA5/AA4</f>
        <v>0.56414108875921476</v>
      </c>
      <c r="AZ3" s="298">
        <f>AU5/AU4</f>
        <v>0.49624720693197488</v>
      </c>
    </row>
    <row r="4" spans="1:56" x14ac:dyDescent="0.25">
      <c r="B4" s="254" t="s">
        <v>467</v>
      </c>
      <c r="C4" s="255">
        <f>Résultats!E292</f>
        <v>248850.0986</v>
      </c>
      <c r="D4" s="256">
        <f>Résultats!F292</f>
        <v>262548.52409999998</v>
      </c>
      <c r="E4" s="256">
        <f>Résultats!G292</f>
        <v>270496.90999999997</v>
      </c>
      <c r="F4" s="256">
        <f>Résultats!H292</f>
        <v>280221.97560000001</v>
      </c>
      <c r="G4" s="256">
        <f>Résultats!I292</f>
        <v>287495.68729999999</v>
      </c>
      <c r="H4" s="256">
        <f>Résultats!J292</f>
        <v>303320.21500000003</v>
      </c>
      <c r="I4" s="256">
        <f>Résultats!K292</f>
        <v>321708.94</v>
      </c>
      <c r="J4" s="256">
        <f>Résultats!L292</f>
        <v>343905.65840000001</v>
      </c>
      <c r="K4" s="256">
        <f>Résultats!M292</f>
        <v>370805.38679999998</v>
      </c>
      <c r="L4" s="256">
        <f>Résultats!N292</f>
        <v>399345.90029999998</v>
      </c>
      <c r="M4" s="256">
        <f>Résultats!O292</f>
        <v>398088.52630000003</v>
      </c>
      <c r="N4" s="256">
        <f>Résultats!P292</f>
        <v>394665.43459999998</v>
      </c>
      <c r="O4" s="256">
        <f>Résultats!Q292</f>
        <v>395888.85629999998</v>
      </c>
      <c r="P4" s="256">
        <f>Résultats!R292</f>
        <v>393244.36629999999</v>
      </c>
      <c r="Q4" s="256">
        <f>SUM(Q5:Q6)</f>
        <v>404977.41070000001</v>
      </c>
      <c r="R4" s="256">
        <f t="shared" ref="R4:AU4" si="1">SUM(R5:R6)</f>
        <v>344257.09802999999</v>
      </c>
      <c r="S4" s="256">
        <f t="shared" si="1"/>
        <v>346173.33094000001</v>
      </c>
      <c r="T4" s="256">
        <f t="shared" si="1"/>
        <v>346980.39980999997</v>
      </c>
      <c r="U4" s="256">
        <f t="shared" si="1"/>
        <v>336325.69899</v>
      </c>
      <c r="V4" s="256">
        <f t="shared" si="1"/>
        <v>323899.03030999994</v>
      </c>
      <c r="W4" s="256">
        <f t="shared" si="1"/>
        <v>325225.39646000002</v>
      </c>
      <c r="X4" s="256">
        <f t="shared" si="1"/>
        <v>325127.58331999998</v>
      </c>
      <c r="Y4" s="256">
        <f t="shared" si="1"/>
        <v>324691.94229000004</v>
      </c>
      <c r="Z4" s="256">
        <f t="shared" si="1"/>
        <v>324030.03499000001</v>
      </c>
      <c r="AA4" s="256">
        <f t="shared" si="1"/>
        <v>452526.57090000005</v>
      </c>
      <c r="AB4" s="256">
        <f t="shared" si="1"/>
        <v>318759.02594000002</v>
      </c>
      <c r="AC4" s="256">
        <f t="shared" si="1"/>
        <v>318275.84875</v>
      </c>
      <c r="AD4" s="256">
        <f t="shared" si="1"/>
        <v>317728.46573</v>
      </c>
      <c r="AE4" s="256">
        <f t="shared" si="1"/>
        <v>317405.3824</v>
      </c>
      <c r="AF4" s="256">
        <f t="shared" si="1"/>
        <v>317077.92807999998</v>
      </c>
      <c r="AG4" s="256">
        <f t="shared" si="1"/>
        <v>316346.17314999999</v>
      </c>
      <c r="AH4" s="256">
        <f t="shared" si="1"/>
        <v>316003.69627000001</v>
      </c>
      <c r="AI4" s="256">
        <f t="shared" si="1"/>
        <v>315848.69649999996</v>
      </c>
      <c r="AJ4" s="256">
        <f t="shared" si="1"/>
        <v>315741.06810999999</v>
      </c>
      <c r="AK4" s="256">
        <f t="shared" si="1"/>
        <v>315649.91451000003</v>
      </c>
      <c r="AL4" s="256">
        <f t="shared" si="1"/>
        <v>315936.64916000003</v>
      </c>
      <c r="AM4" s="256">
        <f t="shared" si="1"/>
        <v>316162.78284</v>
      </c>
      <c r="AN4" s="256">
        <f t="shared" si="1"/>
        <v>316411.98638999998</v>
      </c>
      <c r="AO4" s="256">
        <f t="shared" si="1"/>
        <v>316756.28778000001</v>
      </c>
      <c r="AP4" s="256">
        <f t="shared" si="1"/>
        <v>315531.79514</v>
      </c>
      <c r="AQ4" s="256">
        <f t="shared" si="1"/>
        <v>315412.02795000002</v>
      </c>
      <c r="AR4" s="256">
        <f t="shared" si="1"/>
        <v>315356.19955000002</v>
      </c>
      <c r="AS4" s="256">
        <f t="shared" si="1"/>
        <v>315416.25734999997</v>
      </c>
      <c r="AT4" s="256">
        <f t="shared" si="1"/>
        <v>315553.29999000003</v>
      </c>
      <c r="AU4" s="256">
        <f t="shared" si="1"/>
        <v>499922.16890000005</v>
      </c>
      <c r="AV4" s="253"/>
      <c r="AW4" t="s">
        <v>496</v>
      </c>
      <c r="AX4" s="298">
        <f>Q10/(Q7+Q4)</f>
        <v>0.83412498792773992</v>
      </c>
      <c r="AY4" s="298">
        <f>AA10/(AA7+AA4)</f>
        <v>0.78397189751012697</v>
      </c>
      <c r="AZ4" s="298">
        <f>AU10/(AU7+AU4)</f>
        <v>0.75071629755339697</v>
      </c>
    </row>
    <row r="5" spans="1:56" x14ac:dyDescent="0.25">
      <c r="B5" s="258" t="s">
        <v>468</v>
      </c>
      <c r="C5" s="259">
        <f>Résultats!E287</f>
        <v>163461.30420000001</v>
      </c>
      <c r="D5" s="212">
        <f>Résultats!F287</f>
        <v>171747.95360000001</v>
      </c>
      <c r="E5" s="212">
        <f>Résultats!G287</f>
        <v>178947.698</v>
      </c>
      <c r="F5" s="212">
        <f>Résultats!H287</f>
        <v>186017.7451</v>
      </c>
      <c r="G5" s="212">
        <f>Résultats!I287</f>
        <v>192510.78419999999</v>
      </c>
      <c r="H5" s="212">
        <f>Résultats!J287</f>
        <v>202009.10279999999</v>
      </c>
      <c r="I5" s="212">
        <f>Résultats!K287</f>
        <v>216491.6648</v>
      </c>
      <c r="J5" s="212">
        <f>Résultats!L287</f>
        <v>232312.73319999999</v>
      </c>
      <c r="K5" s="212">
        <f>Résultats!M287</f>
        <v>249795.6439</v>
      </c>
      <c r="L5" s="212">
        <f>Résultats!N287</f>
        <v>273238.36369999999</v>
      </c>
      <c r="M5" s="212">
        <f>Résultats!O287</f>
        <v>274843.20409999997</v>
      </c>
      <c r="N5" s="212">
        <f>Résultats!P287</f>
        <v>271539.94880000001</v>
      </c>
      <c r="O5" s="212">
        <f>Résultats!Q287</f>
        <v>268877.30249999999</v>
      </c>
      <c r="P5" s="212">
        <f>Résultats!R287</f>
        <v>270666.11369999999</v>
      </c>
      <c r="Q5" s="212">
        <f>Résultats!S287</f>
        <v>276083.25170000002</v>
      </c>
      <c r="R5" s="212">
        <f>Résultats!T287</f>
        <v>282680.33960000001</v>
      </c>
      <c r="S5" s="212">
        <f>Résultats!U287</f>
        <v>284416.49619999999</v>
      </c>
      <c r="T5" s="212">
        <f>Résultats!V287</f>
        <v>285029.40279999998</v>
      </c>
      <c r="U5" s="212">
        <f>Résultats!W287</f>
        <v>277163.93060000002</v>
      </c>
      <c r="V5" s="212">
        <f>Résultats!X287</f>
        <v>267348.49329999997</v>
      </c>
      <c r="W5" s="212">
        <f>Résultats!Y287</f>
        <v>267043.77370000002</v>
      </c>
      <c r="X5" s="212">
        <f>Résultats!Z287</f>
        <v>265251.74160000001</v>
      </c>
      <c r="Y5" s="212">
        <f>Résultats!AA287</f>
        <v>263125.35220000002</v>
      </c>
      <c r="Z5" s="212">
        <f>Résultats!AB287</f>
        <v>260680.19279999999</v>
      </c>
      <c r="AA5" s="212">
        <f>Résultats!AC287</f>
        <v>255288.83240000001</v>
      </c>
      <c r="AB5" s="212">
        <f>Résultats!AD287</f>
        <v>253492.2512</v>
      </c>
      <c r="AC5" s="212">
        <f>Résultats!AE287</f>
        <v>252950.83799999999</v>
      </c>
      <c r="AD5" s="212">
        <f>Résultats!AF287</f>
        <v>252282.66570000001</v>
      </c>
      <c r="AE5" s="212">
        <f>Résultats!AG287</f>
        <v>251920.43489999999</v>
      </c>
      <c r="AF5" s="212">
        <f>Résultats!AH287</f>
        <v>251538.1312</v>
      </c>
      <c r="AG5" s="212">
        <f>Résultats!AI287</f>
        <v>250605.2775</v>
      </c>
      <c r="AH5" s="212">
        <f>Résultats!AJ287</f>
        <v>250126.33780000001</v>
      </c>
      <c r="AI5" s="212">
        <f>Résultats!AK287</f>
        <v>249876.03479999999</v>
      </c>
      <c r="AJ5" s="212">
        <f>Résultats!AL287</f>
        <v>249642.7323</v>
      </c>
      <c r="AK5" s="212">
        <f>Résultats!AM287</f>
        <v>249390.0747</v>
      </c>
      <c r="AL5" s="212">
        <f>Résultats!AN287</f>
        <v>249577.10500000001</v>
      </c>
      <c r="AM5" s="212">
        <f>Résultats!AO287</f>
        <v>249637.74950000001</v>
      </c>
      <c r="AN5" s="212">
        <f>Résultats!AP287</f>
        <v>249655.65659999999</v>
      </c>
      <c r="AO5" s="212">
        <f>Résultats!AQ287</f>
        <v>249769.60380000001</v>
      </c>
      <c r="AP5" s="212">
        <f>Résultats!AR287</f>
        <v>248142.52549999999</v>
      </c>
      <c r="AQ5" s="212">
        <f>Résultats!AS287</f>
        <v>247858.7518</v>
      </c>
      <c r="AR5" s="212">
        <f>Résultats!AT287</f>
        <v>247582.16130000001</v>
      </c>
      <c r="AS5" s="212">
        <f>Résultats!AU287</f>
        <v>247402.79329999999</v>
      </c>
      <c r="AT5" s="212">
        <f>Résultats!AV287</f>
        <v>247318.12210000001</v>
      </c>
      <c r="AU5" s="260">
        <f>Résultats!AW287</f>
        <v>248084.98</v>
      </c>
    </row>
    <row r="6" spans="1:56" x14ac:dyDescent="0.25">
      <c r="B6" s="261" t="s">
        <v>469</v>
      </c>
      <c r="C6" s="262">
        <f>Résultats!E290</f>
        <v>47168.088989999997</v>
      </c>
      <c r="D6" s="263">
        <f>Résultats!F290</f>
        <v>48083.920080000004</v>
      </c>
      <c r="E6" s="263">
        <f>Résultats!G290</f>
        <v>47738.554920000002</v>
      </c>
      <c r="F6" s="263">
        <f>Résultats!H290</f>
        <v>48718.158889999999</v>
      </c>
      <c r="G6" s="263">
        <f>Résultats!I290</f>
        <v>49195.758399999999</v>
      </c>
      <c r="H6" s="263">
        <f>Résultats!J290</f>
        <v>50588.269590000004</v>
      </c>
      <c r="I6" s="263">
        <f>Résultats!K290</f>
        <v>51044.30459</v>
      </c>
      <c r="J6" s="263">
        <f>Résultats!L290</f>
        <v>51909.69472</v>
      </c>
      <c r="K6" s="263">
        <f>Résultats!M290</f>
        <v>53570.308140000001</v>
      </c>
      <c r="L6" s="263">
        <f>Résultats!N290</f>
        <v>54377.488920000003</v>
      </c>
      <c r="M6" s="263">
        <f>Résultats!O290</f>
        <v>54359.438620000001</v>
      </c>
      <c r="N6" s="263">
        <f>Résultats!P290</f>
        <v>54630.793299999998</v>
      </c>
      <c r="O6" s="263">
        <f>Résultats!Q290</f>
        <v>54917.501080000002</v>
      </c>
      <c r="P6" s="263">
        <f>Résultats!R290</f>
        <v>62084.765039999998</v>
      </c>
      <c r="Q6" s="263">
        <f>Résultats!S289</f>
        <v>128894.159</v>
      </c>
      <c r="R6" s="263">
        <f>Résultats!T290</f>
        <v>61576.758430000002</v>
      </c>
      <c r="S6" s="263">
        <f>Résultats!U290</f>
        <v>61756.834739999998</v>
      </c>
      <c r="T6" s="263">
        <f>Résultats!V290</f>
        <v>61950.997009999999</v>
      </c>
      <c r="U6" s="263">
        <f>Résultats!W290</f>
        <v>59161.768389999997</v>
      </c>
      <c r="V6" s="263">
        <f>Résultats!X290</f>
        <v>56550.53701</v>
      </c>
      <c r="W6" s="263">
        <f>Résultats!Y290</f>
        <v>58181.622759999998</v>
      </c>
      <c r="X6" s="263">
        <f>Résultats!Z290</f>
        <v>59875.841719999997</v>
      </c>
      <c r="Y6" s="263">
        <f>Résultats!AA290</f>
        <v>61566.590089999998</v>
      </c>
      <c r="Z6" s="263">
        <f>Résultats!AB290</f>
        <v>63349.842190000003</v>
      </c>
      <c r="AA6" s="263">
        <f>Résultats!AC289</f>
        <v>197237.73850000001</v>
      </c>
      <c r="AB6" s="263">
        <f>Résultats!AD290</f>
        <v>65266.774740000001</v>
      </c>
      <c r="AC6" s="263">
        <f>Résultats!AE290</f>
        <v>65325.010750000001</v>
      </c>
      <c r="AD6" s="263">
        <f>Résultats!AF290</f>
        <v>65445.800029999999</v>
      </c>
      <c r="AE6" s="263">
        <f>Résultats!AG290</f>
        <v>65484.947500000002</v>
      </c>
      <c r="AF6" s="263">
        <f>Résultats!AH290</f>
        <v>65539.796879999994</v>
      </c>
      <c r="AG6" s="263">
        <f>Résultats!AI290</f>
        <v>65740.895650000006</v>
      </c>
      <c r="AH6" s="263">
        <f>Résultats!AJ290</f>
        <v>65877.358470000006</v>
      </c>
      <c r="AI6" s="263">
        <f>Résultats!AK290</f>
        <v>65972.661699999997</v>
      </c>
      <c r="AJ6" s="263">
        <f>Résultats!AL290</f>
        <v>66098.335810000004</v>
      </c>
      <c r="AK6" s="263">
        <f>Résultats!AM290</f>
        <v>66259.839810000005</v>
      </c>
      <c r="AL6" s="263">
        <f>Résultats!AN290</f>
        <v>66359.544160000005</v>
      </c>
      <c r="AM6" s="263">
        <f>Résultats!AO290</f>
        <v>66525.033339999994</v>
      </c>
      <c r="AN6" s="263">
        <f>Résultats!AP290</f>
        <v>66756.329790000003</v>
      </c>
      <c r="AO6" s="263">
        <f>Résultats!AQ290</f>
        <v>66986.683980000002</v>
      </c>
      <c r="AP6" s="263">
        <f>Résultats!AR290</f>
        <v>67389.269639999999</v>
      </c>
      <c r="AQ6" s="263">
        <f>Résultats!AS290</f>
        <v>67553.276150000005</v>
      </c>
      <c r="AR6" s="263">
        <f>Résultats!AT290</f>
        <v>67774.038249999998</v>
      </c>
      <c r="AS6" s="263">
        <f>Résultats!AU290</f>
        <v>68013.464049999995</v>
      </c>
      <c r="AT6" s="263">
        <f>Résultats!AV290</f>
        <v>68235.177890000006</v>
      </c>
      <c r="AU6" s="264">
        <f>Résultats!AW289</f>
        <v>251837.18890000001</v>
      </c>
      <c r="AV6" s="253"/>
      <c r="BB6" t="s">
        <v>506</v>
      </c>
    </row>
    <row r="7" spans="1:56" x14ac:dyDescent="0.25">
      <c r="B7" s="258" t="s">
        <v>470</v>
      </c>
      <c r="C7" s="259">
        <f>Résultats!E291</f>
        <v>580650.23010000004</v>
      </c>
      <c r="D7" s="212">
        <f>Résultats!F291</f>
        <v>593600.3273</v>
      </c>
      <c r="E7" s="212">
        <f>Résultats!G291</f>
        <v>597263.40540000005</v>
      </c>
      <c r="F7" s="212">
        <f>Résultats!H291</f>
        <v>609328.85979999998</v>
      </c>
      <c r="G7" s="212">
        <f>Résultats!I291</f>
        <v>617425.06319999998</v>
      </c>
      <c r="H7" s="212">
        <f>Résultats!J291</f>
        <v>634060.30619999999</v>
      </c>
      <c r="I7" s="212">
        <f>Résultats!K291</f>
        <v>649663.88300000003</v>
      </c>
      <c r="J7" s="212">
        <f>Résultats!L291</f>
        <v>668111.03960000002</v>
      </c>
      <c r="K7" s="212">
        <f>Résultats!M291</f>
        <v>692798.27870000002</v>
      </c>
      <c r="L7" s="212">
        <f>Résultats!N291</f>
        <v>717672.86239999998</v>
      </c>
      <c r="M7" s="212">
        <f>Résultats!O291</f>
        <v>720492.32779999997</v>
      </c>
      <c r="N7" s="212">
        <f>Résultats!P291</f>
        <v>719772.94830000005</v>
      </c>
      <c r="O7" s="212">
        <f>Résultats!Q291</f>
        <v>718114.29509999999</v>
      </c>
      <c r="P7" s="212">
        <f>Résultats!R291</f>
        <v>742184.41810000001</v>
      </c>
      <c r="Q7" s="212">
        <f>SUM(Q8:Q9)</f>
        <v>745846.56998999999</v>
      </c>
      <c r="R7" s="212">
        <f t="shared" ref="R7:AU7" si="2">SUM(R8:R9)</f>
        <v>821533.02279999992</v>
      </c>
      <c r="S7" s="212">
        <f t="shared" si="2"/>
        <v>828029.0061</v>
      </c>
      <c r="T7" s="212">
        <f t="shared" si="2"/>
        <v>832223.0625</v>
      </c>
      <c r="U7" s="212">
        <f t="shared" si="2"/>
        <v>851208.14159999997</v>
      </c>
      <c r="V7" s="212">
        <f t="shared" si="2"/>
        <v>870397.33250000002</v>
      </c>
      <c r="W7" s="212">
        <f t="shared" si="2"/>
        <v>874748.28460000001</v>
      </c>
      <c r="X7" s="212">
        <f t="shared" si="2"/>
        <v>878446.29009999998</v>
      </c>
      <c r="Y7" s="212">
        <f t="shared" si="2"/>
        <v>881904.55900000001</v>
      </c>
      <c r="Z7" s="212">
        <f t="shared" si="2"/>
        <v>885501.93779999996</v>
      </c>
      <c r="AA7" s="212">
        <f t="shared" si="2"/>
        <v>761523.62301999994</v>
      </c>
      <c r="AB7" s="212">
        <f t="shared" si="2"/>
        <v>896762.37549999997</v>
      </c>
      <c r="AC7" s="212">
        <f t="shared" si="2"/>
        <v>899500.94339999999</v>
      </c>
      <c r="AD7" s="212">
        <f t="shared" si="2"/>
        <v>902270.04630000005</v>
      </c>
      <c r="AE7" s="212">
        <f t="shared" si="2"/>
        <v>904894.90320000006</v>
      </c>
      <c r="AF7" s="212">
        <f t="shared" si="2"/>
        <v>907851.14480000001</v>
      </c>
      <c r="AG7" s="212">
        <f t="shared" si="2"/>
        <v>911280.51529999997</v>
      </c>
      <c r="AH7" s="212">
        <f t="shared" si="2"/>
        <v>914746.50299999991</v>
      </c>
      <c r="AI7" s="212">
        <f t="shared" si="2"/>
        <v>918121.09489999991</v>
      </c>
      <c r="AJ7" s="212">
        <f t="shared" si="2"/>
        <v>921663.29270000011</v>
      </c>
      <c r="AK7" s="212">
        <f t="shared" si="2"/>
        <v>925428.63170000003</v>
      </c>
      <c r="AL7" s="212">
        <f t="shared" si="2"/>
        <v>929040.77370000002</v>
      </c>
      <c r="AM7" s="212">
        <f t="shared" si="2"/>
        <v>933012.79119999998</v>
      </c>
      <c r="AN7" s="212">
        <f t="shared" si="2"/>
        <v>937605.03460000001</v>
      </c>
      <c r="AO7" s="212">
        <f t="shared" si="2"/>
        <v>942372.50970000005</v>
      </c>
      <c r="AP7" s="212">
        <f t="shared" si="2"/>
        <v>946964.58759999997</v>
      </c>
      <c r="AQ7" s="212">
        <f t="shared" si="2"/>
        <v>950960.06720000005</v>
      </c>
      <c r="AR7" s="212">
        <f t="shared" si="2"/>
        <v>955335.92700000003</v>
      </c>
      <c r="AS7" s="212">
        <f t="shared" si="2"/>
        <v>959829.6925</v>
      </c>
      <c r="AT7" s="212">
        <f t="shared" si="2"/>
        <v>964214.05900000001</v>
      </c>
      <c r="AU7" s="212">
        <f t="shared" si="2"/>
        <v>783345.39307999995</v>
      </c>
      <c r="AW7" t="s">
        <v>502</v>
      </c>
      <c r="AX7" s="311">
        <f>Q3/Q2</f>
        <v>1.3404368910714826E-2</v>
      </c>
      <c r="AY7" s="311">
        <f>AA3/AA2</f>
        <v>1.0881851375588654E-2</v>
      </c>
      <c r="AZ7" s="311">
        <f>AU3/AU2</f>
        <v>5.529006602973569E-3</v>
      </c>
      <c r="BB7" s="311">
        <f>[3]Trafic!$H$27/([3]Trafic!$H$30-[3]Trafic!$H$29)</f>
        <v>9.6732536609177803E-3</v>
      </c>
      <c r="BC7" s="311">
        <f>[3]Trafic!$J$27/([3]Trafic!$J$30-[3]Trafic!$J$29)</f>
        <v>1.4577967949865439E-2</v>
      </c>
      <c r="BD7" s="311">
        <f>[3]Trafic!$N$27/([3]Trafic!$N$30-[3]Trafic!$N$29)</f>
        <v>6.5864876836073186E-3</v>
      </c>
    </row>
    <row r="8" spans="1:56" x14ac:dyDescent="0.25">
      <c r="B8" s="258" t="s">
        <v>471</v>
      </c>
      <c r="C8" s="259">
        <f>Résultats!E288</f>
        <v>533482.14110000001</v>
      </c>
      <c r="D8" s="212">
        <f>Résultats!F288</f>
        <v>545516.61679999996</v>
      </c>
      <c r="E8" s="212">
        <f>Résultats!G288</f>
        <v>549529.74089999998</v>
      </c>
      <c r="F8" s="212">
        <f>Résultats!H288</f>
        <v>560615.69279999996</v>
      </c>
      <c r="G8" s="212">
        <f>Résultats!I288</f>
        <v>568234.68090000004</v>
      </c>
      <c r="H8" s="212">
        <f>Résultats!J288</f>
        <v>583477.60580000002</v>
      </c>
      <c r="I8" s="212">
        <f>Résultats!K288</f>
        <v>598631.87840000005</v>
      </c>
      <c r="J8" s="212">
        <f>Résultats!L288</f>
        <v>616217.54729999998</v>
      </c>
      <c r="K8" s="212">
        <f>Résultats!M288</f>
        <v>639245.44169999997</v>
      </c>
      <c r="L8" s="212">
        <f>Résultats!N288</f>
        <v>663325.81169999996</v>
      </c>
      <c r="M8" s="212">
        <f>Résultats!O288</f>
        <v>666163.98049999995</v>
      </c>
      <c r="N8" s="212">
        <f>Résultats!P288</f>
        <v>665174.26679999998</v>
      </c>
      <c r="O8" s="212">
        <f>Résultats!Q288</f>
        <v>663230.51289999997</v>
      </c>
      <c r="P8" s="212">
        <f>Résultats!R288</f>
        <v>680388.68440000003</v>
      </c>
      <c r="Q8" s="212">
        <f>Résultats!S288</f>
        <v>683847.78729999997</v>
      </c>
      <c r="R8" s="212">
        <f>Résultats!T288</f>
        <v>684866.69169999997</v>
      </c>
      <c r="S8" s="212">
        <f>Résultats!U288</f>
        <v>687049.8371</v>
      </c>
      <c r="T8" s="212">
        <f>Résultats!V288</f>
        <v>689370.61990000005</v>
      </c>
      <c r="U8" s="212">
        <f>Résultats!W288</f>
        <v>695306.30920000002</v>
      </c>
      <c r="V8" s="212">
        <f>Résultats!X288</f>
        <v>700523.89769999997</v>
      </c>
      <c r="W8" s="212">
        <f>Résultats!Y288</f>
        <v>700951.54480000003</v>
      </c>
      <c r="X8" s="212">
        <f>Résultats!Z288</f>
        <v>700145.00150000001</v>
      </c>
      <c r="Y8" s="212">
        <f>Résultats!AA288</f>
        <v>698788.55379999999</v>
      </c>
      <c r="Z8" s="212">
        <f>Résultats!AB288</f>
        <v>697439.61549999996</v>
      </c>
      <c r="AA8" s="212">
        <f>Résultats!AC288</f>
        <v>696492.40179999999</v>
      </c>
      <c r="AB8" s="212">
        <f>Résultats!AD288</f>
        <v>696733.08169999998</v>
      </c>
      <c r="AC8" s="212">
        <f>Résultats!AE288</f>
        <v>697055.67630000005</v>
      </c>
      <c r="AD8" s="212">
        <f>Résultats!AF288</f>
        <v>697575.33310000005</v>
      </c>
      <c r="AE8" s="212">
        <f>Résultats!AG288</f>
        <v>697953.62950000004</v>
      </c>
      <c r="AF8" s="212">
        <f>Résultats!AH288</f>
        <v>698456.57330000005</v>
      </c>
      <c r="AG8" s="212">
        <f>Résultats!AI288</f>
        <v>699226.97759999998</v>
      </c>
      <c r="AH8" s="212">
        <f>Résultats!AJ288</f>
        <v>700037.95849999995</v>
      </c>
      <c r="AI8" s="212">
        <f>Résultats!AK288</f>
        <v>700799.30099999998</v>
      </c>
      <c r="AJ8" s="212">
        <f>Résultats!AL288</f>
        <v>701737.36140000005</v>
      </c>
      <c r="AK8" s="212">
        <f>Résultats!AM288</f>
        <v>702867.95669999998</v>
      </c>
      <c r="AL8" s="212">
        <f>Résultats!AN288</f>
        <v>703937.79599999997</v>
      </c>
      <c r="AM8" s="212">
        <f>Résultats!AO288</f>
        <v>705266.74289999995</v>
      </c>
      <c r="AN8" s="212">
        <f>Résultats!AP288</f>
        <v>706983.97030000004</v>
      </c>
      <c r="AO8" s="212">
        <f>Résultats!AQ288</f>
        <v>708780.5048</v>
      </c>
      <c r="AP8" s="212">
        <f>Résultats!AR288</f>
        <v>710092.99739999999</v>
      </c>
      <c r="AQ8" s="212">
        <f>Résultats!AS288</f>
        <v>711083.39190000005</v>
      </c>
      <c r="AR8" s="212">
        <f>Résultats!AT288</f>
        <v>712411.6629</v>
      </c>
      <c r="AS8" s="212">
        <f>Résultats!AU288</f>
        <v>713895.52870000002</v>
      </c>
      <c r="AT8" s="212">
        <f>Résultats!AV288</f>
        <v>715322.18980000005</v>
      </c>
      <c r="AU8" s="260">
        <f>Résultats!AW288</f>
        <v>715284.89289999998</v>
      </c>
      <c r="AW8" t="s">
        <v>503</v>
      </c>
      <c r="AX8" s="311">
        <f>+Q6/Q2</f>
        <v>0.11050031653501212</v>
      </c>
      <c r="AY8" s="311">
        <f>+AA6/AA2</f>
        <v>0.16069469592032484</v>
      </c>
      <c r="AZ8" s="311">
        <f>+AU6/AU2</f>
        <v>0.1951617782914089</v>
      </c>
      <c r="BB8" s="311">
        <f>[3]Trafic!$H$25/[3]Trafic!$H$31</f>
        <v>8.6581998710879085E-2</v>
      </c>
      <c r="BC8" s="311">
        <f>[3]Trafic!$J$25/[3]Trafic!$J$31</f>
        <v>0.14233557304995703</v>
      </c>
      <c r="BD8" s="311">
        <f>[3]Trafic!$N$25/[3]Trafic!$N$31</f>
        <v>0.18954036770730018</v>
      </c>
    </row>
    <row r="9" spans="1:56" x14ac:dyDescent="0.25">
      <c r="B9" s="261" t="s">
        <v>472</v>
      </c>
      <c r="C9" s="262">
        <f>Résultats!E289</f>
        <v>85388.794389999995</v>
      </c>
      <c r="D9" s="263">
        <f>Résultats!F289</f>
        <v>90804.869600000005</v>
      </c>
      <c r="E9" s="263">
        <f>Résultats!G289</f>
        <v>91585.857579999996</v>
      </c>
      <c r="F9" s="263">
        <f>Résultats!H289</f>
        <v>94245.40582</v>
      </c>
      <c r="G9" s="263">
        <f>Résultats!I289</f>
        <v>95048.488029999906</v>
      </c>
      <c r="H9" s="263">
        <f>Résultats!J289</f>
        <v>101387.2415</v>
      </c>
      <c r="I9" s="263">
        <f>Résultats!K289</f>
        <v>105332.4498</v>
      </c>
      <c r="J9" s="263">
        <f>Résultats!L289</f>
        <v>111721.1776</v>
      </c>
      <c r="K9" s="263">
        <f>Résultats!M289</f>
        <v>121150.9494</v>
      </c>
      <c r="L9" s="263">
        <f>Résultats!N289</f>
        <v>126358.667</v>
      </c>
      <c r="M9" s="263">
        <f>Résultats!O289</f>
        <v>123530.50199999999</v>
      </c>
      <c r="N9" s="263">
        <f>Résultats!P289</f>
        <v>123413.4669</v>
      </c>
      <c r="O9" s="263">
        <f>Résultats!Q289</f>
        <v>127373.8934</v>
      </c>
      <c r="P9" s="263">
        <f>Résultats!R289</f>
        <v>123011.6639</v>
      </c>
      <c r="Q9" s="263">
        <f>Résultats!S290</f>
        <v>61998.78269</v>
      </c>
      <c r="R9" s="263">
        <f>Résultats!T289</f>
        <v>136666.33110000001</v>
      </c>
      <c r="S9" s="263">
        <f>Résultats!U289</f>
        <v>140979.16899999999</v>
      </c>
      <c r="T9" s="263">
        <f>Résultats!V289</f>
        <v>142852.44260000001</v>
      </c>
      <c r="U9" s="263">
        <f>Résultats!W289</f>
        <v>155901.83240000001</v>
      </c>
      <c r="V9" s="263">
        <f>Résultats!X289</f>
        <v>169873.43479999999</v>
      </c>
      <c r="W9" s="263">
        <f>Résultats!Y289</f>
        <v>173796.73980000001</v>
      </c>
      <c r="X9" s="263">
        <f>Résultats!Z289</f>
        <v>178301.2886</v>
      </c>
      <c r="Y9" s="263">
        <f>Résultats!AA289</f>
        <v>183116.00520000001</v>
      </c>
      <c r="Z9" s="263">
        <f>Résultats!AB289</f>
        <v>188062.3223</v>
      </c>
      <c r="AA9" s="263">
        <f>Résultats!AC290</f>
        <v>65031.221219999999</v>
      </c>
      <c r="AB9" s="263">
        <f>Résultats!AD289</f>
        <v>200029.29380000001</v>
      </c>
      <c r="AC9" s="263">
        <f>Résultats!AE289</f>
        <v>202445.2671</v>
      </c>
      <c r="AD9" s="263">
        <f>Résultats!AF289</f>
        <v>204694.7132</v>
      </c>
      <c r="AE9" s="263">
        <f>Résultats!AG289</f>
        <v>206941.27369999999</v>
      </c>
      <c r="AF9" s="263">
        <f>Résultats!AH289</f>
        <v>209394.57149999999</v>
      </c>
      <c r="AG9" s="263">
        <f>Résultats!AI289</f>
        <v>212053.53769999999</v>
      </c>
      <c r="AH9" s="263">
        <f>Résultats!AJ289</f>
        <v>214708.54449999999</v>
      </c>
      <c r="AI9" s="263">
        <f>Résultats!AK289</f>
        <v>217321.79389999999</v>
      </c>
      <c r="AJ9" s="263">
        <f>Résultats!AL289</f>
        <v>219925.9313</v>
      </c>
      <c r="AK9" s="263">
        <f>Résultats!AM289</f>
        <v>222560.67499999999</v>
      </c>
      <c r="AL9" s="263">
        <f>Résultats!AN289</f>
        <v>225102.97769999999</v>
      </c>
      <c r="AM9" s="263">
        <f>Résultats!AO289</f>
        <v>227746.04829999999</v>
      </c>
      <c r="AN9" s="263">
        <f>Résultats!AP289</f>
        <v>230621.0643</v>
      </c>
      <c r="AO9" s="263">
        <f>Résultats!AQ289</f>
        <v>233592.0049</v>
      </c>
      <c r="AP9" s="263">
        <f>Résultats!AR289</f>
        <v>236871.59020000001</v>
      </c>
      <c r="AQ9" s="263">
        <f>Résultats!AS289</f>
        <v>239876.6753</v>
      </c>
      <c r="AR9" s="263">
        <f>Résultats!AT289</f>
        <v>242924.2641</v>
      </c>
      <c r="AS9" s="263">
        <f>Résultats!AU289</f>
        <v>245934.16380000001</v>
      </c>
      <c r="AT9" s="263">
        <f>Résultats!AV289</f>
        <v>248891.86919999999</v>
      </c>
      <c r="AU9" s="264">
        <f>Résultats!AW290</f>
        <v>68060.500180000003</v>
      </c>
      <c r="AW9" t="s">
        <v>504</v>
      </c>
      <c r="AX9" s="311">
        <f>Q9/Q2</f>
        <v>5.3151245682361993E-2</v>
      </c>
      <c r="AY9" s="311">
        <f>AA9/AA2</f>
        <v>5.2982620865302997E-2</v>
      </c>
      <c r="AZ9" s="311">
        <f>AU9/AU2</f>
        <v>5.2743632918353135E-2</v>
      </c>
      <c r="BB9" s="311">
        <f>[3]Trafic!$H$26/[3]Trafic!$H$31</f>
        <v>5.0587052351781035E-2</v>
      </c>
      <c r="BC9" s="311">
        <f>[3]Trafic!$J$26/[3]Trafic!$J$31</f>
        <v>7.6007847942966056E-2</v>
      </c>
      <c r="BD9" s="311">
        <f>[3]Trafic!$N$26/[3]Trafic!$N$31</f>
        <v>9.8293993125704568E-2</v>
      </c>
    </row>
    <row r="10" spans="1:56" x14ac:dyDescent="0.25">
      <c r="B10" s="249" t="s">
        <v>473</v>
      </c>
      <c r="C10" s="250">
        <f t="shared" ref="C10:AU10" si="3">C5+C8</f>
        <v>696943.44530000002</v>
      </c>
      <c r="D10" s="251">
        <f t="shared" si="3"/>
        <v>717264.57039999997</v>
      </c>
      <c r="E10" s="251">
        <f t="shared" si="3"/>
        <v>728477.43889999995</v>
      </c>
      <c r="F10" s="251">
        <f t="shared" si="3"/>
        <v>746633.43790000002</v>
      </c>
      <c r="G10" s="251">
        <f t="shared" si="3"/>
        <v>760745.46510000003</v>
      </c>
      <c r="H10" s="251">
        <f t="shared" si="3"/>
        <v>785486.70860000001</v>
      </c>
      <c r="I10" s="251">
        <f t="shared" si="3"/>
        <v>815123.54320000007</v>
      </c>
      <c r="J10" s="251">
        <f t="shared" si="3"/>
        <v>848530.28049999999</v>
      </c>
      <c r="K10" s="251">
        <f t="shared" si="3"/>
        <v>889041.08559999999</v>
      </c>
      <c r="L10" s="251">
        <f t="shared" si="3"/>
        <v>936564.17539999995</v>
      </c>
      <c r="M10" s="251">
        <f t="shared" si="3"/>
        <v>941007.18459999992</v>
      </c>
      <c r="N10" s="251">
        <f t="shared" si="3"/>
        <v>936714.2156</v>
      </c>
      <c r="O10" s="251">
        <f t="shared" si="3"/>
        <v>932107.81539999996</v>
      </c>
      <c r="P10" s="251">
        <f t="shared" si="3"/>
        <v>951054.79810000001</v>
      </c>
      <c r="Q10" s="251">
        <f>Q5+Q8</f>
        <v>959931.03899999999</v>
      </c>
      <c r="R10" s="251">
        <f t="shared" si="3"/>
        <v>967547.03129999992</v>
      </c>
      <c r="S10" s="251">
        <f t="shared" si="3"/>
        <v>971466.33330000006</v>
      </c>
      <c r="T10" s="251">
        <f t="shared" si="3"/>
        <v>974400.02270000009</v>
      </c>
      <c r="U10" s="251">
        <f t="shared" si="3"/>
        <v>972470.2398000001</v>
      </c>
      <c r="V10" s="251">
        <f t="shared" si="3"/>
        <v>967872.39099999995</v>
      </c>
      <c r="W10" s="251">
        <f t="shared" si="3"/>
        <v>967995.31850000005</v>
      </c>
      <c r="X10" s="251">
        <f t="shared" si="3"/>
        <v>965396.74310000008</v>
      </c>
      <c r="Y10" s="251">
        <f t="shared" si="3"/>
        <v>961913.90599999996</v>
      </c>
      <c r="Z10" s="251">
        <f t="shared" si="3"/>
        <v>958119.80829999992</v>
      </c>
      <c r="AA10" s="251">
        <f t="shared" si="3"/>
        <v>951781.23420000006</v>
      </c>
      <c r="AB10" s="251">
        <f t="shared" si="3"/>
        <v>950225.33290000004</v>
      </c>
      <c r="AC10" s="251">
        <f t="shared" si="3"/>
        <v>950006.51430000004</v>
      </c>
      <c r="AD10" s="251">
        <f t="shared" si="3"/>
        <v>949857.99880000006</v>
      </c>
      <c r="AE10" s="251">
        <f t="shared" si="3"/>
        <v>949874.06440000003</v>
      </c>
      <c r="AF10" s="251">
        <f t="shared" si="3"/>
        <v>949994.70449999999</v>
      </c>
      <c r="AG10" s="251">
        <f t="shared" si="3"/>
        <v>949832.25509999995</v>
      </c>
      <c r="AH10" s="251">
        <f t="shared" si="3"/>
        <v>950164.29629999993</v>
      </c>
      <c r="AI10" s="251">
        <f t="shared" si="3"/>
        <v>950675.3358</v>
      </c>
      <c r="AJ10" s="251">
        <f t="shared" si="3"/>
        <v>951380.09370000008</v>
      </c>
      <c r="AK10" s="251">
        <f t="shared" si="3"/>
        <v>952258.03139999998</v>
      </c>
      <c r="AL10" s="251">
        <f t="shared" si="3"/>
        <v>953514.90099999995</v>
      </c>
      <c r="AM10" s="251">
        <f t="shared" si="3"/>
        <v>954904.49239999999</v>
      </c>
      <c r="AN10" s="251">
        <f t="shared" si="3"/>
        <v>956639.62690000003</v>
      </c>
      <c r="AO10" s="251">
        <f t="shared" si="3"/>
        <v>958550.10860000004</v>
      </c>
      <c r="AP10" s="251">
        <f t="shared" si="3"/>
        <v>958235.52289999998</v>
      </c>
      <c r="AQ10" s="251">
        <f t="shared" si="3"/>
        <v>958942.14370000002</v>
      </c>
      <c r="AR10" s="251">
        <f t="shared" si="3"/>
        <v>959993.82420000003</v>
      </c>
      <c r="AS10" s="251">
        <f t="shared" si="3"/>
        <v>961298.32200000004</v>
      </c>
      <c r="AT10" s="251">
        <f t="shared" si="3"/>
        <v>962640.31190000009</v>
      </c>
      <c r="AU10" s="252">
        <f t="shared" si="3"/>
        <v>963369.87289999996</v>
      </c>
      <c r="AW10" t="s">
        <v>505</v>
      </c>
      <c r="AX10" s="311">
        <f>1-SUM(AX7:AX9)</f>
        <v>0.82294406887191107</v>
      </c>
      <c r="AY10" s="311">
        <f>1-SUM(AY7:AY9)</f>
        <v>0.77544083183878354</v>
      </c>
      <c r="AZ10" s="311">
        <f t="shared" ref="AZ10" si="4">1-SUM(AZ7:AZ9)</f>
        <v>0.74656558218726432</v>
      </c>
      <c r="BB10" s="311">
        <f>([3]Trafic!$H$23+[3]Trafic!$H$28)/[3]Trafic!$H$30</f>
        <v>0.84698145105670741</v>
      </c>
      <c r="BC10" s="311">
        <f>([3]Trafic!$J$23+[3]Trafic!$J$28)/[3]Trafic!$J$30</f>
        <v>0.75252158630631349</v>
      </c>
      <c r="BD10" s="311">
        <f>([3]Trafic!$N$23+[3]Trafic!$N$28)/[3]Trafic!$N$30</f>
        <v>0.6858880697768327</v>
      </c>
    </row>
    <row r="11" spans="1:56" x14ac:dyDescent="0.25"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</row>
    <row r="12" spans="1:56" s="244" customFormat="1" ht="45" customHeight="1" x14ac:dyDescent="0.25">
      <c r="A12" s="239" t="s">
        <v>474</v>
      </c>
      <c r="B12" s="240" t="s">
        <v>465</v>
      </c>
      <c r="C12" s="242">
        <v>2006</v>
      </c>
      <c r="D12" s="242">
        <v>2007</v>
      </c>
      <c r="E12" s="242">
        <v>2008</v>
      </c>
      <c r="F12" s="242">
        <v>2009</v>
      </c>
      <c r="G12" s="242">
        <v>2010</v>
      </c>
      <c r="H12" s="242">
        <v>2011</v>
      </c>
      <c r="I12" s="242">
        <v>2012</v>
      </c>
      <c r="J12" s="242">
        <v>2013</v>
      </c>
      <c r="K12" s="242">
        <v>2014</v>
      </c>
      <c r="L12" s="242">
        <v>2015</v>
      </c>
      <c r="M12" s="242">
        <v>2016</v>
      </c>
      <c r="N12" s="242">
        <v>2017</v>
      </c>
      <c r="O12" s="242">
        <v>2018</v>
      </c>
      <c r="P12" s="242">
        <v>2019</v>
      </c>
      <c r="Q12" s="242">
        <v>2020</v>
      </c>
      <c r="R12" s="242">
        <v>2021</v>
      </c>
      <c r="S12" s="242">
        <v>2022</v>
      </c>
      <c r="T12" s="242">
        <v>2023</v>
      </c>
      <c r="U12" s="242">
        <v>2024</v>
      </c>
      <c r="V12" s="242">
        <v>2025</v>
      </c>
      <c r="W12" s="242">
        <v>2026</v>
      </c>
      <c r="X12" s="242">
        <v>2027</v>
      </c>
      <c r="Y12" s="242">
        <v>2028</v>
      </c>
      <c r="Z12" s="242">
        <v>2029</v>
      </c>
      <c r="AA12" s="242">
        <v>2030</v>
      </c>
      <c r="AB12" s="242">
        <v>2031</v>
      </c>
      <c r="AC12" s="242">
        <v>2032</v>
      </c>
      <c r="AD12" s="242">
        <v>2033</v>
      </c>
      <c r="AE12" s="242">
        <v>2034</v>
      </c>
      <c r="AF12" s="242">
        <v>2035</v>
      </c>
      <c r="AG12" s="242">
        <v>2036</v>
      </c>
      <c r="AH12" s="242">
        <v>2037</v>
      </c>
      <c r="AI12" s="242">
        <v>2038</v>
      </c>
      <c r="AJ12" s="242">
        <v>2039</v>
      </c>
      <c r="AK12" s="242">
        <v>2040</v>
      </c>
      <c r="AL12" s="242">
        <v>2041</v>
      </c>
      <c r="AM12" s="242">
        <v>2042</v>
      </c>
      <c r="AN12" s="242">
        <v>2043</v>
      </c>
      <c r="AO12" s="242">
        <v>2044</v>
      </c>
      <c r="AP12" s="242">
        <v>2045</v>
      </c>
      <c r="AQ12" s="242">
        <v>2046</v>
      </c>
      <c r="AR12" s="242">
        <v>2047</v>
      </c>
      <c r="AS12" s="242">
        <v>2048</v>
      </c>
      <c r="AT12" s="242">
        <v>2049</v>
      </c>
      <c r="AU12" s="243">
        <v>2050</v>
      </c>
      <c r="AW12" s="266" t="s">
        <v>493</v>
      </c>
      <c r="AX12" s="242">
        <v>2020</v>
      </c>
      <c r="AY12" s="242">
        <v>2030</v>
      </c>
      <c r="AZ12" s="243">
        <v>2050</v>
      </c>
    </row>
    <row r="13" spans="1:56" x14ac:dyDescent="0.25">
      <c r="B13" s="245" t="s">
        <v>1</v>
      </c>
      <c r="C13" s="246">
        <f t="shared" ref="C13:AU13" si="5">C14+C15+C18</f>
        <v>842942.38378000003</v>
      </c>
      <c r="D13" s="247">
        <f t="shared" si="5"/>
        <v>869909.28521</v>
      </c>
      <c r="E13" s="247">
        <f t="shared" si="5"/>
        <v>881973.56083000009</v>
      </c>
      <c r="F13" s="247">
        <f t="shared" si="5"/>
        <v>903309.38834000006</v>
      </c>
      <c r="G13" s="247">
        <f t="shared" si="5"/>
        <v>918239.44815999991</v>
      </c>
      <c r="H13" s="247">
        <f t="shared" si="5"/>
        <v>951078.85055000009</v>
      </c>
      <c r="I13" s="247">
        <f t="shared" si="5"/>
        <v>985373.03952000011</v>
      </c>
      <c r="J13" s="247">
        <f t="shared" si="5"/>
        <v>1025940.0481</v>
      </c>
      <c r="K13" s="247">
        <f t="shared" si="5"/>
        <v>1077762.1795399999</v>
      </c>
      <c r="L13" s="247">
        <f t="shared" si="5"/>
        <v>1131648.6585899999</v>
      </c>
      <c r="M13" s="247">
        <f t="shared" si="5"/>
        <v>1133544.61313</v>
      </c>
      <c r="N13" s="247">
        <f t="shared" si="5"/>
        <v>1129725.3911299999</v>
      </c>
      <c r="O13" s="247">
        <f t="shared" si="5"/>
        <v>1129689.5289</v>
      </c>
      <c r="P13" s="247">
        <f t="shared" si="5"/>
        <v>1151503.0353000001</v>
      </c>
      <c r="Q13" s="247">
        <f t="shared" si="5"/>
        <v>1165687.8511000001</v>
      </c>
      <c r="R13" s="247">
        <f t="shared" si="5"/>
        <v>1181429.3624100001</v>
      </c>
      <c r="S13" s="247">
        <f t="shared" si="5"/>
        <v>1189618.4835300001</v>
      </c>
      <c r="T13" s="247">
        <f t="shared" si="5"/>
        <v>1196217.71477</v>
      </c>
      <c r="U13" s="247">
        <f t="shared" si="5"/>
        <v>1199348.3791799999</v>
      </c>
      <c r="V13" s="247">
        <f t="shared" si="5"/>
        <v>1214844.52467</v>
      </c>
      <c r="W13" s="247">
        <f t="shared" si="5"/>
        <v>1206244.5476599999</v>
      </c>
      <c r="X13" s="247">
        <f t="shared" si="5"/>
        <v>1203421.5444100001</v>
      </c>
      <c r="Y13" s="247">
        <f t="shared" si="5"/>
        <v>1202943.15631</v>
      </c>
      <c r="Z13" s="247">
        <f t="shared" si="5"/>
        <v>1203413.5211400001</v>
      </c>
      <c r="AA13" s="247">
        <f t="shared" si="5"/>
        <v>1215130.7673500001</v>
      </c>
      <c r="AB13" s="247">
        <f t="shared" si="5"/>
        <v>1208506.2982100002</v>
      </c>
      <c r="AC13" s="247">
        <f t="shared" si="5"/>
        <v>1208972.19175</v>
      </c>
      <c r="AD13" s="247">
        <f t="shared" si="5"/>
        <v>1210184.50266</v>
      </c>
      <c r="AE13" s="247">
        <f t="shared" si="5"/>
        <v>1211927.8818700002</v>
      </c>
      <c r="AF13" s="247">
        <f t="shared" si="5"/>
        <v>1223217.3788900001</v>
      </c>
      <c r="AG13" s="247">
        <f t="shared" si="5"/>
        <v>1221441.9617300001</v>
      </c>
      <c r="AH13" s="247">
        <f t="shared" si="5"/>
        <v>1222897.77339</v>
      </c>
      <c r="AI13" s="247">
        <f t="shared" si="5"/>
        <v>1225618.8352300001</v>
      </c>
      <c r="AJ13" s="247">
        <f t="shared" si="5"/>
        <v>1228967.6859200001</v>
      </c>
      <c r="AK13" s="247">
        <f t="shared" si="5"/>
        <v>1232728.6490199999</v>
      </c>
      <c r="AL13" s="247">
        <f t="shared" si="5"/>
        <v>1239138.5204</v>
      </c>
      <c r="AM13" s="247">
        <f t="shared" si="5"/>
        <v>1244805.7887800001</v>
      </c>
      <c r="AN13" s="247">
        <f t="shared" si="5"/>
        <v>1250413.01923</v>
      </c>
      <c r="AO13" s="247">
        <f t="shared" si="5"/>
        <v>1256041.9221399999</v>
      </c>
      <c r="AP13" s="247">
        <f t="shared" si="5"/>
        <v>1268102.1097800001</v>
      </c>
      <c r="AQ13" s="247">
        <f t="shared" si="5"/>
        <v>1271309.6248999999</v>
      </c>
      <c r="AR13" s="247">
        <f t="shared" si="5"/>
        <v>1275937.73587</v>
      </c>
      <c r="AS13" s="247">
        <f t="shared" si="5"/>
        <v>1281082.0137</v>
      </c>
      <c r="AT13" s="247">
        <f t="shared" si="5"/>
        <v>1286392.9654699999</v>
      </c>
      <c r="AU13" s="248">
        <f t="shared" si="5"/>
        <v>1291806.0277</v>
      </c>
      <c r="AW13" t="s">
        <v>494</v>
      </c>
      <c r="AX13" s="298">
        <f>Q19/Q18</f>
        <v>0.91723377623219748</v>
      </c>
      <c r="AY13" s="298">
        <f>AA19/AA18</f>
        <v>0.92270404917525795</v>
      </c>
      <c r="AZ13" s="298">
        <f>AU19/AU18</f>
        <v>0.9235518385765209</v>
      </c>
    </row>
    <row r="14" spans="1:56" x14ac:dyDescent="0.25">
      <c r="B14" s="249" t="s">
        <v>466</v>
      </c>
      <c r="C14" s="250">
        <f>Résultats!E294</f>
        <v>13442.05508</v>
      </c>
      <c r="D14" s="251">
        <f>Résultats!F294</f>
        <v>13760.43381</v>
      </c>
      <c r="E14" s="251">
        <f>Résultats!G294</f>
        <v>14213.245430000001</v>
      </c>
      <c r="F14" s="251">
        <f>Résultats!H294</f>
        <v>13758.55294</v>
      </c>
      <c r="G14" s="251">
        <f>Résultats!I294</f>
        <v>13318.69766</v>
      </c>
      <c r="H14" s="251">
        <f>Résultats!J294</f>
        <v>13698.32935</v>
      </c>
      <c r="I14" s="251">
        <f>Résultats!K294</f>
        <v>14000.21652</v>
      </c>
      <c r="J14" s="251">
        <f>Résultats!L294</f>
        <v>13923.3501</v>
      </c>
      <c r="K14" s="251">
        <f>Résultats!M294</f>
        <v>14158.51404</v>
      </c>
      <c r="L14" s="251">
        <f>Résultats!N294</f>
        <v>14629.89589</v>
      </c>
      <c r="M14" s="251">
        <f>Résultats!O294</f>
        <v>14961.729530000001</v>
      </c>
      <c r="N14" s="251">
        <f>Résultats!P294</f>
        <v>15281.49163</v>
      </c>
      <c r="O14" s="251">
        <f>Résultats!Q294</f>
        <v>15679.3986</v>
      </c>
      <c r="P14" s="251">
        <f>Résultats!R294</f>
        <v>16070.364</v>
      </c>
      <c r="Q14" s="251">
        <f>Résultats!S294</f>
        <v>15635.1268</v>
      </c>
      <c r="R14" s="251">
        <f>Résultats!T294</f>
        <v>15014.60441</v>
      </c>
      <c r="S14" s="251">
        <f>Résultats!U294</f>
        <v>14841.63033</v>
      </c>
      <c r="T14" s="251">
        <f>Résultats!V294</f>
        <v>14750.186369999999</v>
      </c>
      <c r="U14" s="251">
        <f>Résultats!W294</f>
        <v>15006.318579999999</v>
      </c>
      <c r="V14" s="251">
        <f>Résultats!X294</f>
        <v>15194.295469999999</v>
      </c>
      <c r="W14" s="251">
        <f>Résultats!Y294</f>
        <v>15370.59556</v>
      </c>
      <c r="X14" s="251">
        <f>Résultats!Z294</f>
        <v>15526.46751</v>
      </c>
      <c r="Y14" s="251">
        <f>Résultats!AA294</f>
        <v>15701.681909999999</v>
      </c>
      <c r="Z14" s="251">
        <f>Résultats!AB294</f>
        <v>15866.71704</v>
      </c>
      <c r="AA14" s="251">
        <f>Résultats!AC294</f>
        <v>16048.699049999999</v>
      </c>
      <c r="AB14" s="251">
        <f>Résultats!AD294</f>
        <v>16249.071309999999</v>
      </c>
      <c r="AC14" s="251">
        <f>Résultats!AE294</f>
        <v>16424.010750000001</v>
      </c>
      <c r="AD14" s="251">
        <f>Résultats!AF294</f>
        <v>16607.215059999999</v>
      </c>
      <c r="AE14" s="251">
        <f>Résultats!AG294</f>
        <v>16808.94067</v>
      </c>
      <c r="AF14" s="251">
        <f>Résultats!AH294</f>
        <v>17050.253690000001</v>
      </c>
      <c r="AG14" s="251">
        <f>Résultats!AI294</f>
        <v>17347.992630000001</v>
      </c>
      <c r="AH14" s="251">
        <f>Résultats!AJ294</f>
        <v>17665.23849</v>
      </c>
      <c r="AI14" s="251">
        <f>Résultats!AK294</f>
        <v>17974.092130000001</v>
      </c>
      <c r="AJ14" s="251">
        <f>Résultats!AL294</f>
        <v>18291.379519999999</v>
      </c>
      <c r="AK14" s="251">
        <f>Résultats!AM294</f>
        <v>18626.251420000001</v>
      </c>
      <c r="AL14" s="251">
        <f>Résultats!AN294</f>
        <v>18980.152399999999</v>
      </c>
      <c r="AM14" s="251">
        <f>Résultats!AO294</f>
        <v>19363.596979999998</v>
      </c>
      <c r="AN14" s="251">
        <f>Résultats!AP294</f>
        <v>19786.04423</v>
      </c>
      <c r="AO14" s="251">
        <f>Résultats!AQ294</f>
        <v>20228.914939999999</v>
      </c>
      <c r="AP14" s="251">
        <f>Résultats!AR294</f>
        <v>20689.673180000002</v>
      </c>
      <c r="AQ14" s="251">
        <f>Résultats!AS294</f>
        <v>21168.459500000001</v>
      </c>
      <c r="AR14" s="251">
        <f>Résultats!AT294</f>
        <v>21646.006870000001</v>
      </c>
      <c r="AS14" s="251">
        <f>Résultats!AU294</f>
        <v>22119.434799999999</v>
      </c>
      <c r="AT14" s="251">
        <f>Résultats!AV294</f>
        <v>22594.448069999999</v>
      </c>
      <c r="AU14" s="252">
        <f>Résultats!AW294</f>
        <v>23078.478599999999</v>
      </c>
      <c r="AW14" t="s">
        <v>495</v>
      </c>
      <c r="AX14" s="298">
        <f>Q16/Q15</f>
        <v>0.68253329195319323</v>
      </c>
      <c r="AY14" s="298">
        <f>AA16/AA15</f>
        <v>0.50908856729662177</v>
      </c>
      <c r="AZ14" s="298">
        <f>AU16/AU15</f>
        <v>0.55904027554085045</v>
      </c>
    </row>
    <row r="15" spans="1:56" x14ac:dyDescent="0.25">
      <c r="B15" s="254" t="s">
        <v>467</v>
      </c>
      <c r="C15" s="255">
        <f>Résultats!E300</f>
        <v>248850.0986</v>
      </c>
      <c r="D15" s="256">
        <f>Résultats!F300</f>
        <v>262548.52409999998</v>
      </c>
      <c r="E15" s="256">
        <f>Résultats!G300</f>
        <v>270496.90999999997</v>
      </c>
      <c r="F15" s="256">
        <f>Résultats!H300</f>
        <v>280221.97560000001</v>
      </c>
      <c r="G15" s="256">
        <f>Résultats!I300</f>
        <v>287495.68729999999</v>
      </c>
      <c r="H15" s="256">
        <f>Résultats!J300</f>
        <v>303320.21500000003</v>
      </c>
      <c r="I15" s="256">
        <f>Résultats!K300</f>
        <v>321708.94</v>
      </c>
      <c r="J15" s="256">
        <f>Résultats!L300</f>
        <v>343905.65840000001</v>
      </c>
      <c r="K15" s="256">
        <f>Résultats!M300</f>
        <v>370805.38679999998</v>
      </c>
      <c r="L15" s="256">
        <f>Résultats!N300</f>
        <v>399345.90029999998</v>
      </c>
      <c r="M15" s="256">
        <f>Résultats!O300</f>
        <v>398089.59789999999</v>
      </c>
      <c r="N15" s="256">
        <f>Résultats!P300</f>
        <v>394668.17239999998</v>
      </c>
      <c r="O15" s="256">
        <f>Résultats!Q300</f>
        <v>395892.33840000001</v>
      </c>
      <c r="P15" s="256">
        <f>Résultats!R300</f>
        <v>393246.76870000002</v>
      </c>
      <c r="Q15" s="256">
        <f>Résultats!S300</f>
        <v>404500.96669999999</v>
      </c>
      <c r="R15" s="256">
        <f>Résultats!T300</f>
        <v>418786.83</v>
      </c>
      <c r="S15" s="256">
        <f>Résultats!U300</f>
        <v>424788.98320000002</v>
      </c>
      <c r="T15" s="256">
        <f>Résultats!V300</f>
        <v>428502.1508</v>
      </c>
      <c r="U15" s="256">
        <f>Résultats!W300</f>
        <v>429759.89809999999</v>
      </c>
      <c r="V15" s="256">
        <f>Résultats!X300</f>
        <v>440358.41149999999</v>
      </c>
      <c r="W15" s="256">
        <f>Résultats!Y300</f>
        <v>432222.92489999998</v>
      </c>
      <c r="X15" s="256">
        <f>Résultats!Z300</f>
        <v>428970.89799999999</v>
      </c>
      <c r="Y15" s="256">
        <f>Résultats!AA300</f>
        <v>427930.0428</v>
      </c>
      <c r="Z15" s="256">
        <f>Résultats!AB300</f>
        <v>427740.97240000003</v>
      </c>
      <c r="AA15" s="256">
        <f>Résultats!AC300</f>
        <v>436485.82010000001</v>
      </c>
      <c r="AB15" s="256">
        <f>Résultats!AD300</f>
        <v>430115.73869999999</v>
      </c>
      <c r="AC15" s="256">
        <f>Résultats!AE300</f>
        <v>429954.3063</v>
      </c>
      <c r="AD15" s="256">
        <f>Résultats!AF300</f>
        <v>430030.15749999997</v>
      </c>
      <c r="AE15" s="256">
        <f>Résultats!AG300</f>
        <v>430665.12270000001</v>
      </c>
      <c r="AF15" s="256">
        <f>Résultats!AH300</f>
        <v>439005.147</v>
      </c>
      <c r="AG15" s="256">
        <f>Résultats!AI300</f>
        <v>436184.21870000003</v>
      </c>
      <c r="AH15" s="256">
        <f>Résultats!AJ300</f>
        <v>436062.09519999998</v>
      </c>
      <c r="AI15" s="256">
        <f>Résultats!AK300</f>
        <v>437061.89250000002</v>
      </c>
      <c r="AJ15" s="256">
        <f>Résultats!AL300</f>
        <v>438455.74589999998</v>
      </c>
      <c r="AK15" s="256">
        <f>Résultats!AM300</f>
        <v>440042.761</v>
      </c>
      <c r="AL15" s="256">
        <f>Résultats!AN300</f>
        <v>443623.08649999998</v>
      </c>
      <c r="AM15" s="256">
        <f>Résultats!AO300</f>
        <v>446417.20699999999</v>
      </c>
      <c r="AN15" s="256">
        <f>Résultats!AP300</f>
        <v>449030.94160000002</v>
      </c>
      <c r="AO15" s="256">
        <f>Résultats!AQ300</f>
        <v>451571.96490000002</v>
      </c>
      <c r="AP15" s="256">
        <f>Résultats!AR300</f>
        <v>459301.37390000001</v>
      </c>
      <c r="AQ15" s="256">
        <f>Résultats!AS300</f>
        <v>459708.65659999999</v>
      </c>
      <c r="AR15" s="256">
        <f>Résultats!AT300</f>
        <v>461395.6213</v>
      </c>
      <c r="AS15" s="256">
        <f>Résultats!AU300</f>
        <v>463571.67369999998</v>
      </c>
      <c r="AT15" s="256">
        <f>Résultats!AV300</f>
        <v>465881.05660000001</v>
      </c>
      <c r="AU15" s="257">
        <f>Résultats!AW300</f>
        <v>468289.99690000003</v>
      </c>
      <c r="AW15" t="s">
        <v>496</v>
      </c>
      <c r="AX15" s="298">
        <f>Q21/(Q18+Q15)</f>
        <v>0.83468401936465897</v>
      </c>
      <c r="AY15" s="298">
        <f>AA21/(AA18+AA15)</f>
        <v>0.77214113310245724</v>
      </c>
      <c r="AZ15" s="298">
        <f>AU21/(AU18+AU15)</f>
        <v>0.78900985685233116</v>
      </c>
    </row>
    <row r="16" spans="1:56" x14ac:dyDescent="0.25">
      <c r="B16" s="258" t="s">
        <v>468</v>
      </c>
      <c r="C16" s="259">
        <f>Résultats!E295</f>
        <v>163461.30420000001</v>
      </c>
      <c r="D16" s="212">
        <f>Résultats!F295</f>
        <v>171747.95360000001</v>
      </c>
      <c r="E16" s="212">
        <f>Résultats!G295</f>
        <v>178947.698</v>
      </c>
      <c r="F16" s="212">
        <f>Résultats!H295</f>
        <v>186017.7451</v>
      </c>
      <c r="G16" s="212">
        <f>Résultats!I295</f>
        <v>192510.78419999999</v>
      </c>
      <c r="H16" s="212">
        <f>Résultats!J295</f>
        <v>202009.10279999999</v>
      </c>
      <c r="I16" s="212">
        <f>Résultats!K295</f>
        <v>216491.6648</v>
      </c>
      <c r="J16" s="212">
        <f>Résultats!L295</f>
        <v>232312.73319999999</v>
      </c>
      <c r="K16" s="212">
        <f>Résultats!M295</f>
        <v>249795.6439</v>
      </c>
      <c r="L16" s="212">
        <f>Résultats!N295</f>
        <v>273238.36369999999</v>
      </c>
      <c r="M16" s="212">
        <f>Résultats!O295</f>
        <v>274843.8947</v>
      </c>
      <c r="N16" s="212">
        <f>Résultats!P295</f>
        <v>271541.39559999999</v>
      </c>
      <c r="O16" s="212">
        <f>Résultats!Q295</f>
        <v>268879.29229999997</v>
      </c>
      <c r="P16" s="212">
        <f>Résultats!R295</f>
        <v>270667.85930000001</v>
      </c>
      <c r="Q16" s="212">
        <f>Résultats!S295</f>
        <v>276085.37640000001</v>
      </c>
      <c r="R16" s="212">
        <f>Résultats!T295</f>
        <v>282680.65769999998</v>
      </c>
      <c r="S16" s="212">
        <f>Résultats!U295</f>
        <v>284411.24910000002</v>
      </c>
      <c r="T16" s="212">
        <f>Résultats!V295</f>
        <v>280328.00290000002</v>
      </c>
      <c r="U16" s="212">
        <f>Résultats!W295</f>
        <v>279902.9473</v>
      </c>
      <c r="V16" s="212">
        <f>Résultats!X295</f>
        <v>250147.19870000001</v>
      </c>
      <c r="W16" s="212">
        <f>Résultats!Y295</f>
        <v>242355.5129</v>
      </c>
      <c r="X16" s="212">
        <f>Résultats!Z295</f>
        <v>240557.11660000001</v>
      </c>
      <c r="Y16" s="212">
        <f>Résultats!AA295</f>
        <v>240829.56340000001</v>
      </c>
      <c r="Z16" s="212">
        <f>Résultats!AB295</f>
        <v>241824.959</v>
      </c>
      <c r="AA16" s="212">
        <f>Résultats!AC295</f>
        <v>222209.94080000001</v>
      </c>
      <c r="AB16" s="212">
        <f>Résultats!AD295</f>
        <v>218862.92660000001</v>
      </c>
      <c r="AC16" s="212">
        <f>Résultats!AE295</f>
        <v>221923.38039999999</v>
      </c>
      <c r="AD16" s="212">
        <f>Résultats!AF295</f>
        <v>225100.9504</v>
      </c>
      <c r="AE16" s="212">
        <f>Résultats!AG295</f>
        <v>228626.76149999999</v>
      </c>
      <c r="AF16" s="212">
        <f>Résultats!AH295</f>
        <v>223516.3461</v>
      </c>
      <c r="AG16" s="212">
        <f>Résultats!AI295</f>
        <v>223457.01430000001</v>
      </c>
      <c r="AH16" s="212">
        <f>Résultats!AJ295</f>
        <v>225703.4136</v>
      </c>
      <c r="AI16" s="212">
        <f>Résultats!AK295</f>
        <v>228859.0852</v>
      </c>
      <c r="AJ16" s="212">
        <f>Résultats!AL295</f>
        <v>232285.2047</v>
      </c>
      <c r="AK16" s="212">
        <f>Résultats!AM295</f>
        <v>235784.35159999999</v>
      </c>
      <c r="AL16" s="212">
        <f>Résultats!AN295</f>
        <v>241484.90220000001</v>
      </c>
      <c r="AM16" s="212">
        <f>Résultats!AO295</f>
        <v>246068.6606</v>
      </c>
      <c r="AN16" s="212">
        <f>Résultats!AP295</f>
        <v>250062.90700000001</v>
      </c>
      <c r="AO16" s="212">
        <f>Résultats!AQ295</f>
        <v>253692.7548</v>
      </c>
      <c r="AP16" s="212">
        <f>Résultats!AR295</f>
        <v>245546.36110000001</v>
      </c>
      <c r="AQ16" s="212">
        <f>Résultats!AS295</f>
        <v>247503.51800000001</v>
      </c>
      <c r="AR16" s="212">
        <f>Résultats!AT295</f>
        <v>250672.9811</v>
      </c>
      <c r="AS16" s="212">
        <f>Résultats!AU295</f>
        <v>254294.76809999999</v>
      </c>
      <c r="AT16" s="212">
        <f>Résultats!AV295</f>
        <v>258031.98009999999</v>
      </c>
      <c r="AU16" s="260">
        <f>Résultats!AW295</f>
        <v>261792.96890000001</v>
      </c>
    </row>
    <row r="17" spans="1:49" x14ac:dyDescent="0.25">
      <c r="B17" s="261" t="s">
        <v>469</v>
      </c>
      <c r="C17" s="262">
        <f>Résultats!E298</f>
        <v>47168.088989999997</v>
      </c>
      <c r="D17" s="263">
        <f>Résultats!F298</f>
        <v>48083.920080000004</v>
      </c>
      <c r="E17" s="263">
        <f>Résultats!G298</f>
        <v>47738.554920000002</v>
      </c>
      <c r="F17" s="263">
        <f>Résultats!H298</f>
        <v>48718.158889999999</v>
      </c>
      <c r="G17" s="263">
        <f>Résultats!I298</f>
        <v>49195.758399999999</v>
      </c>
      <c r="H17" s="263">
        <f>Résultats!J298</f>
        <v>50588.269590000004</v>
      </c>
      <c r="I17" s="263">
        <f>Résultats!K298</f>
        <v>51044.30459</v>
      </c>
      <c r="J17" s="263">
        <f>Résultats!L298</f>
        <v>51909.69472</v>
      </c>
      <c r="K17" s="263">
        <f>Résultats!M298</f>
        <v>53570.308140000001</v>
      </c>
      <c r="L17" s="263">
        <f>Résultats!N298</f>
        <v>54377.488920000003</v>
      </c>
      <c r="M17" s="263">
        <f>Résultats!O298</f>
        <v>54359.501029999999</v>
      </c>
      <c r="N17" s="263">
        <f>Résultats!P298</f>
        <v>54631.03688</v>
      </c>
      <c r="O17" s="263">
        <f>Résultats!Q298</f>
        <v>54917.761359999997</v>
      </c>
      <c r="P17" s="263">
        <f>Résultats!R298</f>
        <v>62084.629119999998</v>
      </c>
      <c r="Q17" s="263">
        <f>Résultats!S297</f>
        <v>128892.96219999999</v>
      </c>
      <c r="R17" s="263">
        <f>Résultats!T298</f>
        <v>61574.405780000001</v>
      </c>
      <c r="S17" s="263">
        <f>Résultats!U298</f>
        <v>61754.390579999999</v>
      </c>
      <c r="T17" s="263">
        <f>Résultats!V298</f>
        <v>61730.690880000002</v>
      </c>
      <c r="U17" s="263">
        <f>Résultats!W298</f>
        <v>60457.65279</v>
      </c>
      <c r="V17" s="263">
        <f>Résultats!X298</f>
        <v>57847.657449999999</v>
      </c>
      <c r="W17" s="263">
        <f>Résultats!Y298</f>
        <v>57861.58481</v>
      </c>
      <c r="X17" s="263">
        <f>Résultats!Z298</f>
        <v>58367.253810000002</v>
      </c>
      <c r="Y17" s="263">
        <f>Résultats!AA298</f>
        <v>58608.479670000001</v>
      </c>
      <c r="Z17" s="263">
        <f>Résultats!AB298</f>
        <v>58755.4882</v>
      </c>
      <c r="AA17" s="263">
        <f>Résultats!AC297</f>
        <v>226177.49429999999</v>
      </c>
      <c r="AB17" s="263">
        <f>Résultats!AD298</f>
        <v>58653.472880000001</v>
      </c>
      <c r="AC17" s="263">
        <f>Résultats!AE298</f>
        <v>58774.280189999998</v>
      </c>
      <c r="AD17" s="263">
        <f>Résultats!AF298</f>
        <v>58911.263910000001</v>
      </c>
      <c r="AE17" s="263">
        <f>Résultats!AG298</f>
        <v>58976.535490000002</v>
      </c>
      <c r="AF17" s="263">
        <f>Résultats!AH298</f>
        <v>58222.602229999997</v>
      </c>
      <c r="AG17" s="263">
        <f>Résultats!AI298</f>
        <v>58758.022420000001</v>
      </c>
      <c r="AH17" s="263">
        <f>Résultats!AJ298</f>
        <v>59026.739399999999</v>
      </c>
      <c r="AI17" s="263">
        <f>Résultats!AK298</f>
        <v>59171.575510000002</v>
      </c>
      <c r="AJ17" s="263">
        <f>Résultats!AL298</f>
        <v>59289.758739999997</v>
      </c>
      <c r="AK17" s="263">
        <f>Résultats!AM298</f>
        <v>59403.92095</v>
      </c>
      <c r="AL17" s="263">
        <f>Résultats!AN298</f>
        <v>59324.483690000001</v>
      </c>
      <c r="AM17" s="263">
        <f>Résultats!AO298</f>
        <v>59356.189680000003</v>
      </c>
      <c r="AN17" s="263">
        <f>Résultats!AP298</f>
        <v>59438.58599</v>
      </c>
      <c r="AO17" s="263">
        <f>Résultats!AQ298</f>
        <v>59550.228719999999</v>
      </c>
      <c r="AP17" s="263">
        <f>Résultats!AR298</f>
        <v>59078.273240000002</v>
      </c>
      <c r="AQ17" s="263">
        <f>Résultats!AS298</f>
        <v>59438.228170000002</v>
      </c>
      <c r="AR17" s="263">
        <f>Résultats!AT298</f>
        <v>59652.820720000003</v>
      </c>
      <c r="AS17" s="263">
        <f>Résultats!AU298</f>
        <v>59804.95523</v>
      </c>
      <c r="AT17" s="263">
        <f>Résultats!AV298</f>
        <v>59937.031170000002</v>
      </c>
      <c r="AU17" s="264">
        <f>Résultats!AW297</f>
        <v>220978.23370000001</v>
      </c>
      <c r="AW17" s="253"/>
    </row>
    <row r="18" spans="1:49" x14ac:dyDescent="0.25">
      <c r="B18" s="258" t="s">
        <v>470</v>
      </c>
      <c r="C18" s="259">
        <f>Résultats!E299</f>
        <v>580650.23010000004</v>
      </c>
      <c r="D18" s="212">
        <f>Résultats!F299</f>
        <v>593600.3273</v>
      </c>
      <c r="E18" s="212">
        <f>Résultats!G299</f>
        <v>597263.40540000005</v>
      </c>
      <c r="F18" s="212">
        <f>Résultats!H299</f>
        <v>609328.85979999998</v>
      </c>
      <c r="G18" s="212">
        <f>Résultats!I299</f>
        <v>617425.06319999998</v>
      </c>
      <c r="H18" s="212">
        <f>Résultats!J299</f>
        <v>634060.30619999999</v>
      </c>
      <c r="I18" s="212">
        <f>Résultats!K299</f>
        <v>649663.88300000003</v>
      </c>
      <c r="J18" s="212">
        <f>Résultats!L299</f>
        <v>668111.03960000002</v>
      </c>
      <c r="K18" s="212">
        <f>Résultats!M299</f>
        <v>692798.27870000002</v>
      </c>
      <c r="L18" s="212">
        <f>Résultats!N299</f>
        <v>717672.86239999998</v>
      </c>
      <c r="M18" s="212">
        <f>Résultats!O299</f>
        <v>720493.28570000001</v>
      </c>
      <c r="N18" s="212">
        <f>Résultats!P299</f>
        <v>719775.72710000002</v>
      </c>
      <c r="O18" s="212">
        <f>Résultats!Q299</f>
        <v>718117.79189999995</v>
      </c>
      <c r="P18" s="212">
        <f>Résultats!R299</f>
        <v>742185.90260000003</v>
      </c>
      <c r="Q18" s="212">
        <f>Résultats!S299</f>
        <v>745551.75760000001</v>
      </c>
      <c r="R18" s="212">
        <f>Résultats!T299</f>
        <v>747627.92799999996</v>
      </c>
      <c r="S18" s="212">
        <f>Résultats!U299</f>
        <v>749987.87</v>
      </c>
      <c r="T18" s="212">
        <f>Résultats!V299</f>
        <v>752965.37760000001</v>
      </c>
      <c r="U18" s="212">
        <f>Résultats!W299</f>
        <v>754582.16249999998</v>
      </c>
      <c r="V18" s="212">
        <f>Résultats!X299</f>
        <v>759291.81770000001</v>
      </c>
      <c r="W18" s="212">
        <f>Résultats!Y299</f>
        <v>758651.02720000001</v>
      </c>
      <c r="X18" s="212">
        <f>Résultats!Z299</f>
        <v>758924.17890000006</v>
      </c>
      <c r="Y18" s="212">
        <f>Résultats!AA299</f>
        <v>759311.43160000001</v>
      </c>
      <c r="Z18" s="212">
        <f>Résultats!AB299</f>
        <v>759805.83169999998</v>
      </c>
      <c r="AA18" s="212">
        <f>Résultats!AC299</f>
        <v>762596.24820000003</v>
      </c>
      <c r="AB18" s="212">
        <f>Résultats!AD299</f>
        <v>762141.48820000002</v>
      </c>
      <c r="AC18" s="212">
        <f>Résultats!AE299</f>
        <v>762593.87470000004</v>
      </c>
      <c r="AD18" s="212">
        <f>Résultats!AF299</f>
        <v>763547.13009999995</v>
      </c>
      <c r="AE18" s="212">
        <f>Résultats!AG299</f>
        <v>764453.81850000005</v>
      </c>
      <c r="AF18" s="212">
        <f>Résultats!AH299</f>
        <v>767161.97820000001</v>
      </c>
      <c r="AG18" s="212">
        <f>Résultats!AI299</f>
        <v>767909.75040000002</v>
      </c>
      <c r="AH18" s="212">
        <f>Résultats!AJ299</f>
        <v>769170.43969999999</v>
      </c>
      <c r="AI18" s="212">
        <f>Résultats!AK299</f>
        <v>770582.85060000001</v>
      </c>
      <c r="AJ18" s="212">
        <f>Résultats!AL299</f>
        <v>772220.56050000002</v>
      </c>
      <c r="AK18" s="212">
        <f>Résultats!AM299</f>
        <v>774059.63659999997</v>
      </c>
      <c r="AL18" s="212">
        <f>Résultats!AN299</f>
        <v>776535.28150000004</v>
      </c>
      <c r="AM18" s="212">
        <f>Résultats!AO299</f>
        <v>779024.98479999998</v>
      </c>
      <c r="AN18" s="212">
        <f>Résultats!AP299</f>
        <v>781596.03339999996</v>
      </c>
      <c r="AO18" s="212">
        <f>Résultats!AQ299</f>
        <v>784241.04229999997</v>
      </c>
      <c r="AP18" s="212">
        <f>Résultats!AR299</f>
        <v>788111.06270000001</v>
      </c>
      <c r="AQ18" s="212">
        <f>Résultats!AS299</f>
        <v>790432.50879999995</v>
      </c>
      <c r="AR18" s="212">
        <f>Résultats!AT299</f>
        <v>792896.10770000005</v>
      </c>
      <c r="AS18" s="212">
        <f>Résultats!AU299</f>
        <v>795390.90520000004</v>
      </c>
      <c r="AT18" s="212">
        <f>Résultats!AV299</f>
        <v>797917.4608</v>
      </c>
      <c r="AU18" s="260">
        <f>Résultats!AW299</f>
        <v>800437.55220000003</v>
      </c>
    </row>
    <row r="19" spans="1:49" x14ac:dyDescent="0.25">
      <c r="B19" s="258" t="s">
        <v>471</v>
      </c>
      <c r="C19" s="259">
        <f>Résultats!E296</f>
        <v>533482.14110000001</v>
      </c>
      <c r="D19" s="212">
        <f>Résultats!F296</f>
        <v>545516.61679999996</v>
      </c>
      <c r="E19" s="212">
        <f>Résultats!G296</f>
        <v>549529.74089999998</v>
      </c>
      <c r="F19" s="212">
        <f>Résultats!H296</f>
        <v>560615.69279999996</v>
      </c>
      <c r="G19" s="212">
        <f>Résultats!I296</f>
        <v>568234.68090000004</v>
      </c>
      <c r="H19" s="212">
        <f>Résultats!J296</f>
        <v>583477.60580000002</v>
      </c>
      <c r="I19" s="212">
        <f>Résultats!K296</f>
        <v>598631.87840000005</v>
      </c>
      <c r="J19" s="212">
        <f>Résultats!L296</f>
        <v>616217.54729999998</v>
      </c>
      <c r="K19" s="212">
        <f>Résultats!M296</f>
        <v>639245.44169999997</v>
      </c>
      <c r="L19" s="212">
        <f>Résultats!N296</f>
        <v>663325.81169999996</v>
      </c>
      <c r="M19" s="212">
        <f>Résultats!O296</f>
        <v>666164.87600000005</v>
      </c>
      <c r="N19" s="212">
        <f>Résultats!P296</f>
        <v>665176.80240000004</v>
      </c>
      <c r="O19" s="212">
        <f>Résultats!Q296</f>
        <v>663233.74970000004</v>
      </c>
      <c r="P19" s="212">
        <f>Résultats!R296</f>
        <v>680390.28209999995</v>
      </c>
      <c r="Q19" s="212">
        <f>Résultats!S296</f>
        <v>683845.25399999996</v>
      </c>
      <c r="R19" s="212">
        <f>Résultats!T296</f>
        <v>684853.46719999996</v>
      </c>
      <c r="S19" s="212">
        <f>Résultats!U296</f>
        <v>687029.63820000004</v>
      </c>
      <c r="T19" s="212">
        <f>Résultats!V296</f>
        <v>690026.70349999995</v>
      </c>
      <c r="U19" s="212">
        <f>Résultats!W296</f>
        <v>692931.60950000002</v>
      </c>
      <c r="V19" s="212">
        <f>Résultats!X296</f>
        <v>700326.39370000002</v>
      </c>
      <c r="W19" s="212">
        <f>Résultats!Y296</f>
        <v>699672.65599999996</v>
      </c>
      <c r="X19" s="212">
        <f>Résultats!Z296</f>
        <v>699441.92229999998</v>
      </c>
      <c r="Y19" s="212">
        <f>Résultats!AA296</f>
        <v>699587.79390000005</v>
      </c>
      <c r="Z19" s="212">
        <f>Résultats!AB296</f>
        <v>699934.56880000001</v>
      </c>
      <c r="AA19" s="212">
        <f>Résultats!AC296</f>
        <v>703650.64610000001</v>
      </c>
      <c r="AB19" s="212">
        <f>Résultats!AD296</f>
        <v>702387.47230000002</v>
      </c>
      <c r="AC19" s="212">
        <f>Résultats!AE296</f>
        <v>702718.46649999998</v>
      </c>
      <c r="AD19" s="212">
        <f>Résultats!AF296</f>
        <v>703533.39879999997</v>
      </c>
      <c r="AE19" s="212">
        <f>Résultats!AG296</f>
        <v>704373.50670000003</v>
      </c>
      <c r="AF19" s="212">
        <f>Résultats!AH296</f>
        <v>707840.2746</v>
      </c>
      <c r="AG19" s="212">
        <f>Résultats!AI296</f>
        <v>708053.67070000002</v>
      </c>
      <c r="AH19" s="212">
        <f>Résultats!AJ296</f>
        <v>709044.11270000006</v>
      </c>
      <c r="AI19" s="212">
        <f>Résultats!AK296</f>
        <v>710309.68059999996</v>
      </c>
      <c r="AJ19" s="212">
        <f>Résultats!AL296</f>
        <v>711826.8665</v>
      </c>
      <c r="AK19" s="212">
        <f>Résultats!AM296</f>
        <v>713549.15800000005</v>
      </c>
      <c r="AL19" s="212">
        <f>Résultats!AN296</f>
        <v>716101.36289999995</v>
      </c>
      <c r="AM19" s="212">
        <f>Résultats!AO296</f>
        <v>718556.03220000002</v>
      </c>
      <c r="AN19" s="212">
        <f>Résultats!AP296</f>
        <v>721041.12919999997</v>
      </c>
      <c r="AO19" s="212">
        <f>Résultats!AQ296</f>
        <v>723570.79040000006</v>
      </c>
      <c r="AP19" s="212">
        <f>Résultats!AR296</f>
        <v>727912.59019999998</v>
      </c>
      <c r="AQ19" s="212">
        <f>Résultats!AS296</f>
        <v>729871.09649999999</v>
      </c>
      <c r="AR19" s="212">
        <f>Résultats!AT296</f>
        <v>732116.61</v>
      </c>
      <c r="AS19" s="212">
        <f>Résultats!AU296</f>
        <v>734455.73930000002</v>
      </c>
      <c r="AT19" s="212">
        <f>Résultats!AV296</f>
        <v>736846.65899999999</v>
      </c>
      <c r="AU19" s="260">
        <f>Résultats!AW296</f>
        <v>739245.57299999997</v>
      </c>
    </row>
    <row r="20" spans="1:49" x14ac:dyDescent="0.25">
      <c r="B20" s="261" t="s">
        <v>472</v>
      </c>
      <c r="C20" s="262">
        <f>Résultats!E297</f>
        <v>85388.794389999995</v>
      </c>
      <c r="D20" s="263">
        <f>Résultats!F297</f>
        <v>90804.869600000005</v>
      </c>
      <c r="E20" s="263">
        <f>Résultats!G297</f>
        <v>91585.857579999996</v>
      </c>
      <c r="F20" s="263">
        <f>Résultats!H297</f>
        <v>94245.40582</v>
      </c>
      <c r="G20" s="263">
        <f>Résultats!I297</f>
        <v>95048.488029999906</v>
      </c>
      <c r="H20" s="263">
        <f>Résultats!J297</f>
        <v>101387.2415</v>
      </c>
      <c r="I20" s="263">
        <f>Résultats!K297</f>
        <v>105332.4498</v>
      </c>
      <c r="J20" s="263">
        <f>Résultats!L297</f>
        <v>111721.1776</v>
      </c>
      <c r="K20" s="263">
        <f>Résultats!M297</f>
        <v>121150.9494</v>
      </c>
      <c r="L20" s="263">
        <f>Résultats!N297</f>
        <v>126358.667</v>
      </c>
      <c r="M20" s="263">
        <f>Résultats!O297</f>
        <v>123530.8823</v>
      </c>
      <c r="N20" s="263">
        <f>Résultats!P297</f>
        <v>123414.7629</v>
      </c>
      <c r="O20" s="263">
        <f>Résultats!Q297</f>
        <v>127375.389</v>
      </c>
      <c r="P20" s="263">
        <f>Résultats!R297</f>
        <v>123012.3423</v>
      </c>
      <c r="Q20" s="263">
        <f>Résultats!S298</f>
        <v>61998.01367</v>
      </c>
      <c r="R20" s="263">
        <f>Résultats!T297</f>
        <v>136655.96969999999</v>
      </c>
      <c r="S20" s="263">
        <f>Résultats!U297</f>
        <v>140964.5527</v>
      </c>
      <c r="T20" s="263">
        <f>Résultats!V297</f>
        <v>149000.22210000001</v>
      </c>
      <c r="U20" s="263">
        <f>Résultats!W297</f>
        <v>150693.47529999999</v>
      </c>
      <c r="V20" s="263">
        <f>Résultats!X297</f>
        <v>199063.61790000001</v>
      </c>
      <c r="W20" s="263">
        <f>Résultats!Y297</f>
        <v>198603.11610000001</v>
      </c>
      <c r="X20" s="263">
        <f>Résultats!Z297</f>
        <v>197083.76130000001</v>
      </c>
      <c r="Y20" s="263">
        <f>Résultats!AA297</f>
        <v>195752.8008</v>
      </c>
      <c r="Z20" s="263">
        <f>Résultats!AB297</f>
        <v>194570.10800000001</v>
      </c>
      <c r="AA20" s="263">
        <f>Résultats!AC298</f>
        <v>57837.699280000001</v>
      </c>
      <c r="AB20" s="263">
        <f>Résultats!AD297</f>
        <v>222980.78390000001</v>
      </c>
      <c r="AC20" s="263">
        <f>Résultats!AE297</f>
        <v>219798.59030000001</v>
      </c>
      <c r="AD20" s="263">
        <f>Résultats!AF297</f>
        <v>216742.91380000001</v>
      </c>
      <c r="AE20" s="263">
        <f>Résultats!AG297</f>
        <v>213914.96900000001</v>
      </c>
      <c r="AF20" s="263">
        <f>Résultats!AH297</f>
        <v>228016.8064</v>
      </c>
      <c r="AG20" s="263">
        <f>Résultats!AI297</f>
        <v>225183.1096</v>
      </c>
      <c r="AH20" s="263">
        <f>Résultats!AJ297</f>
        <v>222834.63039999999</v>
      </c>
      <c r="AI20" s="263">
        <f>Résultats!AK297</f>
        <v>220737.96679999999</v>
      </c>
      <c r="AJ20" s="263">
        <f>Résultats!AL297</f>
        <v>218777.54519999999</v>
      </c>
      <c r="AK20" s="263">
        <f>Résultats!AM297</f>
        <v>216941.93539999999</v>
      </c>
      <c r="AL20" s="263">
        <f>Résultats!AN297</f>
        <v>214986.6876</v>
      </c>
      <c r="AM20" s="263">
        <f>Résultats!AO297</f>
        <v>213318.42559999999</v>
      </c>
      <c r="AN20" s="263">
        <f>Résultats!AP297</f>
        <v>212041.91390000001</v>
      </c>
      <c r="AO20" s="263">
        <f>Résultats!AQ297</f>
        <v>211048.13089999999</v>
      </c>
      <c r="AP20" s="263">
        <f>Résultats!AR297</f>
        <v>227851.07860000001</v>
      </c>
      <c r="AQ20" s="263">
        <f>Résultats!AS297</f>
        <v>226326.40090000001</v>
      </c>
      <c r="AR20" s="263">
        <f>Résultats!AT297</f>
        <v>224917.068</v>
      </c>
      <c r="AS20" s="263">
        <f>Résultats!AU297</f>
        <v>223563.01240000001</v>
      </c>
      <c r="AT20" s="263">
        <f>Résultats!AV297</f>
        <v>222231.61850000001</v>
      </c>
      <c r="AU20" s="264">
        <f>Résultats!AW298</f>
        <v>60054.674039999998</v>
      </c>
    </row>
    <row r="21" spans="1:49" x14ac:dyDescent="0.25">
      <c r="B21" s="249" t="s">
        <v>473</v>
      </c>
      <c r="C21" s="250">
        <f t="shared" ref="C21:AU21" si="6">C16+C19</f>
        <v>696943.44530000002</v>
      </c>
      <c r="D21" s="251">
        <f t="shared" si="6"/>
        <v>717264.57039999997</v>
      </c>
      <c r="E21" s="251">
        <f t="shared" si="6"/>
        <v>728477.43889999995</v>
      </c>
      <c r="F21" s="251">
        <f t="shared" si="6"/>
        <v>746633.43790000002</v>
      </c>
      <c r="G21" s="251">
        <f t="shared" si="6"/>
        <v>760745.46510000003</v>
      </c>
      <c r="H21" s="251">
        <f t="shared" si="6"/>
        <v>785486.70860000001</v>
      </c>
      <c r="I21" s="251">
        <f t="shared" si="6"/>
        <v>815123.54320000007</v>
      </c>
      <c r="J21" s="251">
        <f t="shared" si="6"/>
        <v>848530.28049999999</v>
      </c>
      <c r="K21" s="251">
        <f t="shared" si="6"/>
        <v>889041.08559999999</v>
      </c>
      <c r="L21" s="251">
        <f t="shared" si="6"/>
        <v>936564.17539999995</v>
      </c>
      <c r="M21" s="251">
        <f t="shared" si="6"/>
        <v>941008.77069999999</v>
      </c>
      <c r="N21" s="251">
        <f t="shared" si="6"/>
        <v>936718.19800000009</v>
      </c>
      <c r="O21" s="251">
        <f t="shared" si="6"/>
        <v>932113.04200000002</v>
      </c>
      <c r="P21" s="251">
        <f t="shared" si="6"/>
        <v>951058.14139999996</v>
      </c>
      <c r="Q21" s="251">
        <f t="shared" si="6"/>
        <v>959930.63039999991</v>
      </c>
      <c r="R21" s="251">
        <f t="shared" si="6"/>
        <v>967534.12489999994</v>
      </c>
      <c r="S21" s="251">
        <f t="shared" si="6"/>
        <v>971440.88730000006</v>
      </c>
      <c r="T21" s="251">
        <f t="shared" si="6"/>
        <v>970354.70640000002</v>
      </c>
      <c r="U21" s="251">
        <f t="shared" si="6"/>
        <v>972834.55680000002</v>
      </c>
      <c r="V21" s="251">
        <f t="shared" si="6"/>
        <v>950473.59239999996</v>
      </c>
      <c r="W21" s="251">
        <f t="shared" si="6"/>
        <v>942028.16889999993</v>
      </c>
      <c r="X21" s="251">
        <f t="shared" si="6"/>
        <v>939999.03890000004</v>
      </c>
      <c r="Y21" s="251">
        <f t="shared" si="6"/>
        <v>940417.35730000003</v>
      </c>
      <c r="Z21" s="251">
        <f t="shared" si="6"/>
        <v>941759.52780000004</v>
      </c>
      <c r="AA21" s="251">
        <f t="shared" si="6"/>
        <v>925860.58689999999</v>
      </c>
      <c r="AB21" s="251">
        <f t="shared" si="6"/>
        <v>921250.39890000003</v>
      </c>
      <c r="AC21" s="251">
        <f t="shared" si="6"/>
        <v>924641.8469</v>
      </c>
      <c r="AD21" s="251">
        <f t="shared" si="6"/>
        <v>928634.34919999994</v>
      </c>
      <c r="AE21" s="251">
        <f t="shared" si="6"/>
        <v>933000.26820000005</v>
      </c>
      <c r="AF21" s="251">
        <f t="shared" si="6"/>
        <v>931356.62069999997</v>
      </c>
      <c r="AG21" s="251">
        <f t="shared" si="6"/>
        <v>931510.68500000006</v>
      </c>
      <c r="AH21" s="251">
        <f t="shared" si="6"/>
        <v>934747.52630000003</v>
      </c>
      <c r="AI21" s="251">
        <f t="shared" si="6"/>
        <v>939168.76579999994</v>
      </c>
      <c r="AJ21" s="251">
        <f t="shared" si="6"/>
        <v>944112.07120000001</v>
      </c>
      <c r="AK21" s="251">
        <f t="shared" si="6"/>
        <v>949333.50959999999</v>
      </c>
      <c r="AL21" s="251">
        <f t="shared" si="6"/>
        <v>957586.26509999996</v>
      </c>
      <c r="AM21" s="251">
        <f t="shared" si="6"/>
        <v>964624.69280000008</v>
      </c>
      <c r="AN21" s="251">
        <f t="shared" si="6"/>
        <v>971104.03619999997</v>
      </c>
      <c r="AO21" s="251">
        <f t="shared" si="6"/>
        <v>977263.54520000005</v>
      </c>
      <c r="AP21" s="251">
        <f t="shared" si="6"/>
        <v>973458.95129999996</v>
      </c>
      <c r="AQ21" s="251">
        <f t="shared" si="6"/>
        <v>977374.61450000003</v>
      </c>
      <c r="AR21" s="251">
        <f t="shared" si="6"/>
        <v>982789.59109999996</v>
      </c>
      <c r="AS21" s="251">
        <f t="shared" si="6"/>
        <v>988750.5074</v>
      </c>
      <c r="AT21" s="251">
        <f t="shared" si="6"/>
        <v>994878.63910000003</v>
      </c>
      <c r="AU21" s="252">
        <f t="shared" si="6"/>
        <v>1001038.5419</v>
      </c>
      <c r="AW21" s="253"/>
    </row>
    <row r="22" spans="1:49" x14ac:dyDescent="0.25"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W22" s="253"/>
    </row>
    <row r="23" spans="1:49" s="244" customFormat="1" ht="45" customHeight="1" x14ac:dyDescent="0.25">
      <c r="A23" s="239" t="str">
        <f>"Ecarts "&amp;Résultats!B1&amp;"  - TEND"</f>
        <v>Ecarts SNBC3  - TEND</v>
      </c>
      <c r="B23" s="266" t="s">
        <v>475</v>
      </c>
      <c r="C23" s="242">
        <v>2006</v>
      </c>
      <c r="D23" s="242">
        <v>2007</v>
      </c>
      <c r="E23" s="242">
        <v>2008</v>
      </c>
      <c r="F23" s="242">
        <v>2009</v>
      </c>
      <c r="G23" s="242">
        <v>2010</v>
      </c>
      <c r="H23" s="242">
        <v>2011</v>
      </c>
      <c r="I23" s="242">
        <v>2012</v>
      </c>
      <c r="J23" s="242">
        <v>2013</v>
      </c>
      <c r="K23" s="242">
        <v>2014</v>
      </c>
      <c r="L23" s="242">
        <v>2015</v>
      </c>
      <c r="M23" s="242">
        <v>2016</v>
      </c>
      <c r="N23" s="242">
        <v>2017</v>
      </c>
      <c r="O23" s="242">
        <v>2018</v>
      </c>
      <c r="P23" s="242">
        <v>2019</v>
      </c>
      <c r="Q23" s="242">
        <v>2020</v>
      </c>
      <c r="R23" s="242">
        <v>2021</v>
      </c>
      <c r="S23" s="242">
        <v>2022</v>
      </c>
      <c r="T23" s="242">
        <v>2023</v>
      </c>
      <c r="U23" s="242">
        <v>2024</v>
      </c>
      <c r="V23" s="242">
        <v>2025</v>
      </c>
      <c r="W23" s="242">
        <v>2026</v>
      </c>
      <c r="X23" s="242">
        <v>2027</v>
      </c>
      <c r="Y23" s="242">
        <v>2028</v>
      </c>
      <c r="Z23" s="242">
        <v>2029</v>
      </c>
      <c r="AA23" s="242">
        <v>2030</v>
      </c>
      <c r="AB23" s="242">
        <v>2031</v>
      </c>
      <c r="AC23" s="242">
        <v>2032</v>
      </c>
      <c r="AD23" s="242">
        <v>2033</v>
      </c>
      <c r="AE23" s="242">
        <v>2034</v>
      </c>
      <c r="AF23" s="242">
        <v>2035</v>
      </c>
      <c r="AG23" s="242">
        <v>2036</v>
      </c>
      <c r="AH23" s="242">
        <v>2037</v>
      </c>
      <c r="AI23" s="242">
        <v>2038</v>
      </c>
      <c r="AJ23" s="242">
        <v>2039</v>
      </c>
      <c r="AK23" s="242">
        <v>2040</v>
      </c>
      <c r="AL23" s="242">
        <v>2041</v>
      </c>
      <c r="AM23" s="242">
        <v>2042</v>
      </c>
      <c r="AN23" s="242">
        <v>2043</v>
      </c>
      <c r="AO23" s="242">
        <v>2044</v>
      </c>
      <c r="AP23" s="242">
        <v>2045</v>
      </c>
      <c r="AQ23" s="242">
        <v>2046</v>
      </c>
      <c r="AR23" s="242">
        <v>2047</v>
      </c>
      <c r="AS23" s="242">
        <v>2048</v>
      </c>
      <c r="AT23" s="242">
        <v>2049</v>
      </c>
      <c r="AU23" s="243">
        <v>2050</v>
      </c>
      <c r="AV23" s="267"/>
    </row>
    <row r="24" spans="1:49" x14ac:dyDescent="0.25">
      <c r="B24" s="245" t="s">
        <v>1</v>
      </c>
      <c r="C24" s="247">
        <f t="shared" ref="C24:AU25" si="7">C2-C13</f>
        <v>0</v>
      </c>
      <c r="D24" s="247">
        <f t="shared" si="7"/>
        <v>0</v>
      </c>
      <c r="E24" s="247">
        <f t="shared" si="7"/>
        <v>0</v>
      </c>
      <c r="F24" s="247">
        <f t="shared" si="7"/>
        <v>0</v>
      </c>
      <c r="G24" s="247">
        <f t="shared" si="7"/>
        <v>0</v>
      </c>
      <c r="H24" s="247">
        <f t="shared" si="7"/>
        <v>0</v>
      </c>
      <c r="I24" s="247">
        <f t="shared" si="7"/>
        <v>0</v>
      </c>
      <c r="J24" s="247">
        <f t="shared" si="7"/>
        <v>0</v>
      </c>
      <c r="K24" s="247">
        <f t="shared" si="7"/>
        <v>0</v>
      </c>
      <c r="L24" s="247">
        <f t="shared" si="7"/>
        <v>0</v>
      </c>
      <c r="M24" s="247">
        <f t="shared" si="7"/>
        <v>-2.0373499998822808</v>
      </c>
      <c r="N24" s="247">
        <f t="shared" si="7"/>
        <v>-5.6264799998607486</v>
      </c>
      <c r="O24" s="247">
        <f t="shared" si="7"/>
        <v>-7.2201100001111627</v>
      </c>
      <c r="P24" s="247">
        <f t="shared" si="7"/>
        <v>-4.1895300000905991</v>
      </c>
      <c r="Q24" s="247">
        <f t="shared" si="7"/>
        <v>771.78486999985762</v>
      </c>
      <c r="R24" s="247">
        <f t="shared" si="7"/>
        <v>-622.29997000005096</v>
      </c>
      <c r="S24" s="247">
        <f t="shared" si="7"/>
        <v>-571.07735000015236</v>
      </c>
      <c r="T24" s="247">
        <f t="shared" si="7"/>
        <v>-2264.1163999999408</v>
      </c>
      <c r="U24" s="247">
        <f t="shared" si="7"/>
        <v>2789.7838900000788</v>
      </c>
      <c r="V24" s="247">
        <f t="shared" si="7"/>
        <v>-6143.1248699999414</v>
      </c>
      <c r="W24" s="247">
        <f t="shared" si="7"/>
        <v>7932.8030000000726</v>
      </c>
      <c r="X24" s="247">
        <f t="shared" si="7"/>
        <v>14138.122839999851</v>
      </c>
      <c r="Y24" s="247">
        <f t="shared" si="7"/>
        <v>17424.97649000003</v>
      </c>
      <c r="Z24" s="247">
        <f t="shared" si="7"/>
        <v>19678.604659999954</v>
      </c>
      <c r="AA24" s="247">
        <f t="shared" si="7"/>
        <v>12275.88331999979</v>
      </c>
      <c r="AB24" s="247">
        <f t="shared" si="7"/>
        <v>19898.087189999875</v>
      </c>
      <c r="AC24" s="247">
        <f t="shared" si="7"/>
        <v>21206.190549999941</v>
      </c>
      <c r="AD24" s="247">
        <f t="shared" si="7"/>
        <v>21760.796180000063</v>
      </c>
      <c r="AE24" s="247">
        <f t="shared" si="7"/>
        <v>21890.139629999874</v>
      </c>
      <c r="AF24" s="247">
        <f t="shared" si="7"/>
        <v>12839.195649999892</v>
      </c>
      <c r="AG24" s="247">
        <f t="shared" si="7"/>
        <v>16959.579429999925</v>
      </c>
      <c r="AH24" s="247">
        <f t="shared" si="7"/>
        <v>18285.025309999939</v>
      </c>
      <c r="AI24" s="247">
        <f t="shared" si="7"/>
        <v>18444.800839999923</v>
      </c>
      <c r="AJ24" s="247">
        <f t="shared" si="7"/>
        <v>18209.640490000136</v>
      </c>
      <c r="AK24" s="247">
        <f t="shared" si="7"/>
        <v>17823.192435000092</v>
      </c>
      <c r="AL24" s="247">
        <f t="shared" si="7"/>
        <v>15025.633958999999</v>
      </c>
      <c r="AM24" s="247">
        <f t="shared" si="7"/>
        <v>13287.627903999994</v>
      </c>
      <c r="AN24" s="247">
        <f t="shared" si="7"/>
        <v>12288.140001999913</v>
      </c>
      <c r="AO24" s="247">
        <f t="shared" si="7"/>
        <v>11544.599042000249</v>
      </c>
      <c r="AP24" s="247">
        <f t="shared" si="7"/>
        <v>2629.0825009997934</v>
      </c>
      <c r="AQ24" s="247">
        <f t="shared" si="7"/>
        <v>3066.697727000108</v>
      </c>
      <c r="AR24" s="247">
        <f t="shared" si="7"/>
        <v>2542.5590960001573</v>
      </c>
      <c r="AS24" s="247">
        <f t="shared" si="7"/>
        <v>1734.1398439998738</v>
      </c>
      <c r="AT24" s="247">
        <f t="shared" si="7"/>
        <v>721.06387300021015</v>
      </c>
      <c r="AU24" s="247">
        <f t="shared" si="7"/>
        <v>-1403.8234119999688</v>
      </c>
      <c r="AV24" s="268"/>
    </row>
    <row r="25" spans="1:49" x14ac:dyDescent="0.25">
      <c r="B25" s="249" t="s">
        <v>466</v>
      </c>
      <c r="C25" s="251">
        <f t="shared" si="7"/>
        <v>0</v>
      </c>
      <c r="D25" s="251">
        <f t="shared" si="7"/>
        <v>0</v>
      </c>
      <c r="E25" s="251">
        <f t="shared" si="7"/>
        <v>0</v>
      </c>
      <c r="F25" s="251">
        <f t="shared" si="7"/>
        <v>0</v>
      </c>
      <c r="G25" s="251">
        <f t="shared" si="7"/>
        <v>0</v>
      </c>
      <c r="H25" s="251">
        <f t="shared" si="7"/>
        <v>0</v>
      </c>
      <c r="I25" s="251">
        <f t="shared" si="7"/>
        <v>0</v>
      </c>
      <c r="J25" s="251">
        <f t="shared" si="7"/>
        <v>0</v>
      </c>
      <c r="K25" s="251">
        <f t="shared" si="7"/>
        <v>0</v>
      </c>
      <c r="L25" s="251">
        <f t="shared" si="7"/>
        <v>0</v>
      </c>
      <c r="M25" s="251">
        <f t="shared" si="7"/>
        <v>-7.849999999962165E-3</v>
      </c>
      <c r="N25" s="251">
        <f t="shared" si="7"/>
        <v>-0.10987999999997555</v>
      </c>
      <c r="O25" s="251">
        <f t="shared" si="7"/>
        <v>-0.24121000000013737</v>
      </c>
      <c r="P25" s="251">
        <f t="shared" si="7"/>
        <v>-0.30263000000013562</v>
      </c>
      <c r="Q25" s="251">
        <f t="shared" si="7"/>
        <v>0.52848000000085449</v>
      </c>
      <c r="R25" s="251">
        <f t="shared" si="7"/>
        <v>2.3371999999999389</v>
      </c>
      <c r="S25" s="251">
        <f t="shared" si="7"/>
        <v>3.4388099999996484</v>
      </c>
      <c r="T25" s="251">
        <f t="shared" si="7"/>
        <v>-5.0309999998717103E-2</v>
      </c>
      <c r="U25" s="251">
        <f t="shared" si="7"/>
        <v>-401.99609999999848</v>
      </c>
      <c r="V25" s="251">
        <f t="shared" si="7"/>
        <v>-789.2584799999986</v>
      </c>
      <c r="W25" s="251">
        <f t="shared" si="7"/>
        <v>-1166.9259600000005</v>
      </c>
      <c r="X25" s="251">
        <f t="shared" si="7"/>
        <v>-1540.6736799999999</v>
      </c>
      <c r="Y25" s="251">
        <f t="shared" si="7"/>
        <v>-1930.0504000000001</v>
      </c>
      <c r="Z25" s="251">
        <f t="shared" si="7"/>
        <v>-2306.5640299999995</v>
      </c>
      <c r="AA25" s="251">
        <f t="shared" si="7"/>
        <v>-2692.2422999999999</v>
      </c>
      <c r="AB25" s="251">
        <f t="shared" si="7"/>
        <v>-3366.0873499999998</v>
      </c>
      <c r="AC25" s="251">
        <f t="shared" si="7"/>
        <v>-4022.4206000000013</v>
      </c>
      <c r="AD25" s="251">
        <f t="shared" si="7"/>
        <v>-4660.428249999999</v>
      </c>
      <c r="AE25" s="251">
        <f t="shared" si="7"/>
        <v>-5291.2047700000003</v>
      </c>
      <c r="AF25" s="251">
        <f t="shared" si="7"/>
        <v>-5922.7520300000015</v>
      </c>
      <c r="AG25" s="251">
        <f t="shared" si="7"/>
        <v>-6573.1399200000014</v>
      </c>
      <c r="AH25" s="251">
        <f t="shared" si="7"/>
        <v>-7232.6390599999995</v>
      </c>
      <c r="AI25" s="251">
        <f t="shared" si="7"/>
        <v>-7880.2474600000005</v>
      </c>
      <c r="AJ25" s="251">
        <f t="shared" si="7"/>
        <v>-8518.4139199999991</v>
      </c>
      <c r="AK25" s="251">
        <f t="shared" si="7"/>
        <v>-9152.9561750000103</v>
      </c>
      <c r="AL25" s="251">
        <f t="shared" si="7"/>
        <v>-9793.4209009999995</v>
      </c>
      <c r="AM25" s="251">
        <f t="shared" si="7"/>
        <v>-10445.754335999998</v>
      </c>
      <c r="AN25" s="251">
        <f t="shared" si="7"/>
        <v>-11101.905987999999</v>
      </c>
      <c r="AO25" s="251">
        <f t="shared" si="7"/>
        <v>-11771.191238000009</v>
      </c>
      <c r="AP25" s="251">
        <f t="shared" si="7"/>
        <v>-12454.863639000001</v>
      </c>
      <c r="AQ25" s="251">
        <f t="shared" si="7"/>
        <v>-13164.232023</v>
      </c>
      <c r="AR25" s="251">
        <f t="shared" si="7"/>
        <v>-13857.838454000001</v>
      </c>
      <c r="AS25" s="251">
        <f t="shared" si="7"/>
        <v>-14549.231105999999</v>
      </c>
      <c r="AT25" s="251">
        <f t="shared" si="7"/>
        <v>-15247.777716999997</v>
      </c>
      <c r="AU25" s="251">
        <f t="shared" si="7"/>
        <v>-15943.836291999998</v>
      </c>
      <c r="AV25" s="268"/>
    </row>
    <row r="26" spans="1:49" x14ac:dyDescent="0.25">
      <c r="B26" s="254" t="s">
        <v>467</v>
      </c>
      <c r="C26" s="256">
        <f t="shared" ref="C26:E26" si="8">SUM(C27:C28)</f>
        <v>0</v>
      </c>
      <c r="D26" s="256">
        <f t="shared" si="8"/>
        <v>0</v>
      </c>
      <c r="E26" s="256">
        <f t="shared" si="8"/>
        <v>0</v>
      </c>
      <c r="F26" s="256">
        <f>SUM(F27:F28)</f>
        <v>0</v>
      </c>
      <c r="G26" s="256">
        <f t="shared" ref="G26:AU26" si="9">SUM(G27:G28)</f>
        <v>0</v>
      </c>
      <c r="H26" s="256">
        <f t="shared" si="9"/>
        <v>0</v>
      </c>
      <c r="I26" s="256">
        <f t="shared" si="9"/>
        <v>0</v>
      </c>
      <c r="J26" s="256">
        <f t="shared" si="9"/>
        <v>0</v>
      </c>
      <c r="K26" s="256">
        <f t="shared" si="9"/>
        <v>0</v>
      </c>
      <c r="L26" s="256">
        <f t="shared" si="9"/>
        <v>0</v>
      </c>
      <c r="M26" s="256">
        <f t="shared" si="9"/>
        <v>-0.75301000002946239</v>
      </c>
      <c r="N26" s="256">
        <f t="shared" si="9"/>
        <v>-1.6903799999781768</v>
      </c>
      <c r="O26" s="256">
        <f t="shared" si="9"/>
        <v>-2.2500799999761512</v>
      </c>
      <c r="P26" s="256">
        <f t="shared" si="9"/>
        <v>-1.6096800000232179</v>
      </c>
      <c r="Q26" s="256">
        <f t="shared" si="9"/>
        <v>-0.92789999998058192</v>
      </c>
      <c r="R26" s="256">
        <f t="shared" si="9"/>
        <v>2.0345500000257744</v>
      </c>
      <c r="S26" s="256">
        <f t="shared" si="9"/>
        <v>7.691259999977774</v>
      </c>
      <c r="T26" s="256">
        <f t="shared" si="9"/>
        <v>4921.7060299999575</v>
      </c>
      <c r="U26" s="256">
        <f t="shared" si="9"/>
        <v>-4034.9010999999809</v>
      </c>
      <c r="V26" s="256">
        <f t="shared" si="9"/>
        <v>15904.174159999966</v>
      </c>
      <c r="W26" s="256">
        <f t="shared" si="9"/>
        <v>25008.298750000016</v>
      </c>
      <c r="X26" s="256">
        <f t="shared" si="9"/>
        <v>26203.212909999995</v>
      </c>
      <c r="Y26" s="256">
        <f t="shared" si="9"/>
        <v>25253.899220000007</v>
      </c>
      <c r="Z26" s="256">
        <f t="shared" si="9"/>
        <v>23449.58778999999</v>
      </c>
      <c r="AA26" s="256">
        <f t="shared" si="9"/>
        <v>4139.1358000000182</v>
      </c>
      <c r="AB26" s="256">
        <f t="shared" si="9"/>
        <v>41242.626459999992</v>
      </c>
      <c r="AC26" s="256">
        <f t="shared" si="9"/>
        <v>37578.188159999998</v>
      </c>
      <c r="AD26" s="256">
        <f t="shared" si="9"/>
        <v>33716.251420000008</v>
      </c>
      <c r="AE26" s="256">
        <f t="shared" si="9"/>
        <v>29802.08541</v>
      </c>
      <c r="AF26" s="256">
        <f t="shared" si="9"/>
        <v>35338.979750000006</v>
      </c>
      <c r="AG26" s="256">
        <f t="shared" si="9"/>
        <v>34131.136429999991</v>
      </c>
      <c r="AH26" s="256">
        <f t="shared" si="9"/>
        <v>31273.543270000016</v>
      </c>
      <c r="AI26" s="256">
        <f t="shared" si="9"/>
        <v>27818.035789999987</v>
      </c>
      <c r="AJ26" s="256">
        <f t="shared" si="9"/>
        <v>24166.104670000008</v>
      </c>
      <c r="AK26" s="256">
        <f t="shared" si="9"/>
        <v>20461.641960000008</v>
      </c>
      <c r="AL26" s="256">
        <f t="shared" si="9"/>
        <v>15127.263270000003</v>
      </c>
      <c r="AM26" s="256">
        <f t="shared" si="9"/>
        <v>10737.932559999994</v>
      </c>
      <c r="AN26" s="256">
        <f t="shared" si="9"/>
        <v>6910.4933999999848</v>
      </c>
      <c r="AO26" s="256">
        <f t="shared" si="9"/>
        <v>3513.304260000019</v>
      </c>
      <c r="AP26" s="256">
        <f t="shared" si="9"/>
        <v>10907.160799999976</v>
      </c>
      <c r="AQ26" s="256">
        <f t="shared" si="9"/>
        <v>8470.2817799999902</v>
      </c>
      <c r="AR26" s="256">
        <f t="shared" si="9"/>
        <v>5030.397729999997</v>
      </c>
      <c r="AS26" s="256">
        <f t="shared" si="9"/>
        <v>1316.5340199999991</v>
      </c>
      <c r="AT26" s="256">
        <f t="shared" si="9"/>
        <v>-2415.7112799999741</v>
      </c>
      <c r="AU26" s="256">
        <f t="shared" si="9"/>
        <v>17150.9663</v>
      </c>
      <c r="AV26" s="268"/>
    </row>
    <row r="27" spans="1:49" x14ac:dyDescent="0.25">
      <c r="B27" s="258" t="s">
        <v>468</v>
      </c>
      <c r="C27" s="212">
        <f t="shared" ref="C27:AU28" si="10">C5-C16</f>
        <v>0</v>
      </c>
      <c r="D27" s="212">
        <f t="shared" si="10"/>
        <v>0</v>
      </c>
      <c r="E27" s="212">
        <f t="shared" si="10"/>
        <v>0</v>
      </c>
      <c r="F27" s="212">
        <f t="shared" si="10"/>
        <v>0</v>
      </c>
      <c r="G27" s="212">
        <f t="shared" si="10"/>
        <v>0</v>
      </c>
      <c r="H27" s="212">
        <f t="shared" si="10"/>
        <v>0</v>
      </c>
      <c r="I27" s="212">
        <f t="shared" si="10"/>
        <v>0</v>
      </c>
      <c r="J27" s="212">
        <f t="shared" si="10"/>
        <v>0</v>
      </c>
      <c r="K27" s="212">
        <f t="shared" si="10"/>
        <v>0</v>
      </c>
      <c r="L27" s="212">
        <f t="shared" si="10"/>
        <v>0</v>
      </c>
      <c r="M27" s="212">
        <f t="shared" si="10"/>
        <v>-0.69060000003082678</v>
      </c>
      <c r="N27" s="212">
        <f t="shared" si="10"/>
        <v>-1.446799999976065</v>
      </c>
      <c r="O27" s="212">
        <f t="shared" si="10"/>
        <v>-1.9897999999811873</v>
      </c>
      <c r="P27" s="212">
        <f t="shared" si="10"/>
        <v>-1.7456000000238419</v>
      </c>
      <c r="Q27" s="212">
        <f t="shared" si="10"/>
        <v>-2.1246999999857508</v>
      </c>
      <c r="R27" s="212">
        <f t="shared" si="10"/>
        <v>-0.31809999997494742</v>
      </c>
      <c r="S27" s="212">
        <f t="shared" si="10"/>
        <v>5.2470999999786727</v>
      </c>
      <c r="T27" s="212">
        <f t="shared" si="10"/>
        <v>4701.3998999999603</v>
      </c>
      <c r="U27" s="212">
        <f t="shared" si="10"/>
        <v>-2739.0166999999783</v>
      </c>
      <c r="V27" s="212">
        <f t="shared" si="10"/>
        <v>17201.294599999965</v>
      </c>
      <c r="W27" s="212">
        <f t="shared" si="10"/>
        <v>24688.260800000018</v>
      </c>
      <c r="X27" s="212">
        <f t="shared" si="10"/>
        <v>24694.625</v>
      </c>
      <c r="Y27" s="212">
        <f t="shared" si="10"/>
        <v>22295.788800000009</v>
      </c>
      <c r="Z27" s="212">
        <f t="shared" si="10"/>
        <v>18855.233799999987</v>
      </c>
      <c r="AA27" s="212">
        <f t="shared" si="10"/>
        <v>33078.891600000003</v>
      </c>
      <c r="AB27" s="212">
        <f t="shared" si="10"/>
        <v>34629.324599999993</v>
      </c>
      <c r="AC27" s="212">
        <f t="shared" si="10"/>
        <v>31027.457599999994</v>
      </c>
      <c r="AD27" s="212">
        <f t="shared" si="10"/>
        <v>27181.715300000011</v>
      </c>
      <c r="AE27" s="212">
        <f t="shared" si="10"/>
        <v>23293.6734</v>
      </c>
      <c r="AF27" s="212">
        <f t="shared" si="10"/>
        <v>28021.785100000008</v>
      </c>
      <c r="AG27" s="212">
        <f t="shared" si="10"/>
        <v>27148.263199999987</v>
      </c>
      <c r="AH27" s="212">
        <f t="shared" si="10"/>
        <v>24422.924200000009</v>
      </c>
      <c r="AI27" s="212">
        <f t="shared" si="10"/>
        <v>21016.949599999993</v>
      </c>
      <c r="AJ27" s="212">
        <f t="shared" si="10"/>
        <v>17357.527600000001</v>
      </c>
      <c r="AK27" s="212">
        <f t="shared" si="10"/>
        <v>13605.723100000003</v>
      </c>
      <c r="AL27" s="212">
        <f t="shared" si="10"/>
        <v>8092.2027999999991</v>
      </c>
      <c r="AM27" s="212">
        <f t="shared" si="10"/>
        <v>3569.0889000000025</v>
      </c>
      <c r="AN27" s="212">
        <f t="shared" si="10"/>
        <v>-407.250400000019</v>
      </c>
      <c r="AO27" s="212">
        <f t="shared" si="10"/>
        <v>-3923.1509999999835</v>
      </c>
      <c r="AP27" s="212">
        <f t="shared" si="10"/>
        <v>2596.1643999999797</v>
      </c>
      <c r="AQ27" s="212">
        <f t="shared" si="10"/>
        <v>355.23379999998724</v>
      </c>
      <c r="AR27" s="212">
        <f t="shared" si="10"/>
        <v>-3090.8197999999975</v>
      </c>
      <c r="AS27" s="212">
        <f t="shared" si="10"/>
        <v>-6891.9747999999963</v>
      </c>
      <c r="AT27" s="212">
        <f t="shared" si="10"/>
        <v>-10713.857999999978</v>
      </c>
      <c r="AU27" s="212">
        <f t="shared" si="10"/>
        <v>-13707.988899999997</v>
      </c>
      <c r="AV27" s="268"/>
    </row>
    <row r="28" spans="1:49" x14ac:dyDescent="0.25">
      <c r="B28" s="261" t="s">
        <v>469</v>
      </c>
      <c r="C28" s="263">
        <f t="shared" si="10"/>
        <v>0</v>
      </c>
      <c r="D28" s="263">
        <f t="shared" si="10"/>
        <v>0</v>
      </c>
      <c r="E28" s="263">
        <f t="shared" si="10"/>
        <v>0</v>
      </c>
      <c r="F28" s="263">
        <f t="shared" si="10"/>
        <v>0</v>
      </c>
      <c r="G28" s="263">
        <f t="shared" si="10"/>
        <v>0</v>
      </c>
      <c r="H28" s="263">
        <f t="shared" si="10"/>
        <v>0</v>
      </c>
      <c r="I28" s="263">
        <f t="shared" si="10"/>
        <v>0</v>
      </c>
      <c r="J28" s="263">
        <f t="shared" si="10"/>
        <v>0</v>
      </c>
      <c r="K28" s="263">
        <f t="shared" si="10"/>
        <v>0</v>
      </c>
      <c r="L28" s="263">
        <f t="shared" si="10"/>
        <v>0</v>
      </c>
      <c r="M28" s="263">
        <f t="shared" si="10"/>
        <v>-6.2409999998635612E-2</v>
      </c>
      <c r="N28" s="263">
        <f t="shared" si="10"/>
        <v>-0.24358000000211177</v>
      </c>
      <c r="O28" s="263">
        <f t="shared" si="10"/>
        <v>-0.26027999999496387</v>
      </c>
      <c r="P28" s="263">
        <f t="shared" si="10"/>
        <v>0.13592000000062399</v>
      </c>
      <c r="Q28" s="263">
        <f t="shared" si="10"/>
        <v>1.1968000000051688</v>
      </c>
      <c r="R28" s="263">
        <f t="shared" si="10"/>
        <v>2.3526500000007218</v>
      </c>
      <c r="S28" s="263">
        <f t="shared" si="10"/>
        <v>2.4441599999991013</v>
      </c>
      <c r="T28" s="263">
        <f t="shared" si="10"/>
        <v>220.30612999999721</v>
      </c>
      <c r="U28" s="263">
        <f t="shared" si="10"/>
        <v>-1295.8844000000026</v>
      </c>
      <c r="V28" s="263">
        <f t="shared" si="10"/>
        <v>-1297.1204399999988</v>
      </c>
      <c r="W28" s="263">
        <f t="shared" si="10"/>
        <v>320.03794999999809</v>
      </c>
      <c r="X28" s="263">
        <f t="shared" si="10"/>
        <v>1508.5879099999947</v>
      </c>
      <c r="Y28" s="263">
        <f t="shared" si="10"/>
        <v>2958.1104199999972</v>
      </c>
      <c r="Z28" s="263">
        <f t="shared" si="10"/>
        <v>4594.3539900000033</v>
      </c>
      <c r="AA28" s="263">
        <f t="shared" si="10"/>
        <v>-28939.755799999984</v>
      </c>
      <c r="AB28" s="263">
        <f t="shared" si="10"/>
        <v>6613.3018599999996</v>
      </c>
      <c r="AC28" s="263">
        <f t="shared" si="10"/>
        <v>6550.7305600000036</v>
      </c>
      <c r="AD28" s="263">
        <f t="shared" si="10"/>
        <v>6534.536119999997</v>
      </c>
      <c r="AE28" s="263">
        <f t="shared" si="10"/>
        <v>6508.41201</v>
      </c>
      <c r="AF28" s="263">
        <f t="shared" si="10"/>
        <v>7317.1946499999976</v>
      </c>
      <c r="AG28" s="263">
        <f t="shared" si="10"/>
        <v>6982.8732300000047</v>
      </c>
      <c r="AH28" s="263">
        <f t="shared" si="10"/>
        <v>6850.6190700000079</v>
      </c>
      <c r="AI28" s="263">
        <f t="shared" si="10"/>
        <v>6801.0861899999945</v>
      </c>
      <c r="AJ28" s="263">
        <f t="shared" si="10"/>
        <v>6808.5770700000066</v>
      </c>
      <c r="AK28" s="263">
        <f t="shared" si="10"/>
        <v>6855.9188600000052</v>
      </c>
      <c r="AL28" s="263">
        <f t="shared" si="10"/>
        <v>7035.060470000004</v>
      </c>
      <c r="AM28" s="263">
        <f t="shared" si="10"/>
        <v>7168.8436599999914</v>
      </c>
      <c r="AN28" s="263">
        <f t="shared" si="10"/>
        <v>7317.7438000000038</v>
      </c>
      <c r="AO28" s="263">
        <f t="shared" si="10"/>
        <v>7436.4552600000025</v>
      </c>
      <c r="AP28" s="263">
        <f t="shared" si="10"/>
        <v>8310.9963999999964</v>
      </c>
      <c r="AQ28" s="263">
        <f t="shared" si="10"/>
        <v>8115.047980000003</v>
      </c>
      <c r="AR28" s="263">
        <f t="shared" si="10"/>
        <v>8121.2175299999944</v>
      </c>
      <c r="AS28" s="263">
        <f t="shared" si="10"/>
        <v>8208.5088199999955</v>
      </c>
      <c r="AT28" s="263">
        <f t="shared" si="10"/>
        <v>8298.1467200000043</v>
      </c>
      <c r="AU28" s="263">
        <f t="shared" si="10"/>
        <v>30858.955199999997</v>
      </c>
      <c r="AV28" s="268"/>
    </row>
    <row r="29" spans="1:49" x14ac:dyDescent="0.25">
      <c r="B29" s="258" t="s">
        <v>470</v>
      </c>
      <c r="C29" s="212">
        <f t="shared" ref="C29:E29" si="11">SUM(C30:C31)</f>
        <v>0</v>
      </c>
      <c r="D29" s="212">
        <f t="shared" si="11"/>
        <v>0</v>
      </c>
      <c r="E29" s="212">
        <f t="shared" si="11"/>
        <v>0</v>
      </c>
      <c r="F29" s="212">
        <f>SUM(F30:F31)</f>
        <v>0</v>
      </c>
      <c r="G29" s="212">
        <f t="shared" ref="G29:AU29" si="12">SUM(G30:G31)</f>
        <v>0</v>
      </c>
      <c r="H29" s="212">
        <f t="shared" si="12"/>
        <v>0</v>
      </c>
      <c r="I29" s="212">
        <f t="shared" si="12"/>
        <v>0</v>
      </c>
      <c r="J29" s="212">
        <f t="shared" si="12"/>
        <v>0</v>
      </c>
      <c r="K29" s="212">
        <f t="shared" si="12"/>
        <v>0</v>
      </c>
      <c r="L29" s="212">
        <f t="shared" si="12"/>
        <v>0</v>
      </c>
      <c r="M29" s="212">
        <f t="shared" si="12"/>
        <v>-1.2758000001049368</v>
      </c>
      <c r="N29" s="212">
        <f t="shared" si="12"/>
        <v>-3.8316000000631902</v>
      </c>
      <c r="O29" s="212">
        <f t="shared" si="12"/>
        <v>-4.7324000000662636</v>
      </c>
      <c r="P29" s="212">
        <f t="shared" si="12"/>
        <v>-2.2760999999300111</v>
      </c>
      <c r="Q29" s="212">
        <f t="shared" si="12"/>
        <v>3.3023200000097859</v>
      </c>
      <c r="R29" s="212">
        <f t="shared" si="12"/>
        <v>23.585900000034599</v>
      </c>
      <c r="S29" s="212">
        <f t="shared" si="12"/>
        <v>34.81519999995362</v>
      </c>
      <c r="T29" s="212">
        <f t="shared" si="12"/>
        <v>-6803.8630999999004</v>
      </c>
      <c r="U29" s="212">
        <f t="shared" si="12"/>
        <v>7583.0568000000203</v>
      </c>
      <c r="V29" s="212">
        <f t="shared" si="12"/>
        <v>-28992.679100000067</v>
      </c>
      <c r="W29" s="212">
        <f t="shared" si="12"/>
        <v>-23527.48749999993</v>
      </c>
      <c r="X29" s="212">
        <f t="shared" si="12"/>
        <v>-18079.393499999976</v>
      </c>
      <c r="Y29" s="212">
        <f t="shared" si="12"/>
        <v>-13436.035700000037</v>
      </c>
      <c r="Z29" s="212">
        <f t="shared" si="12"/>
        <v>-9002.7390000000596</v>
      </c>
      <c r="AA29" s="212">
        <f t="shared" si="12"/>
        <v>35.277639999978419</v>
      </c>
      <c r="AB29" s="212">
        <f t="shared" si="12"/>
        <v>-28605.880700000038</v>
      </c>
      <c r="AC29" s="212">
        <f t="shared" si="12"/>
        <v>-23016.113399999944</v>
      </c>
      <c r="AD29" s="212">
        <f t="shared" si="12"/>
        <v>-18006.26629999993</v>
      </c>
      <c r="AE29" s="212">
        <f t="shared" si="12"/>
        <v>-13393.572500000009</v>
      </c>
      <c r="AF29" s="212">
        <f t="shared" si="12"/>
        <v>-28005.936199999967</v>
      </c>
      <c r="AG29" s="212">
        <f t="shared" si="12"/>
        <v>-21956.265000000043</v>
      </c>
      <c r="AH29" s="212">
        <f t="shared" si="12"/>
        <v>-17132.240100000112</v>
      </c>
      <c r="AI29" s="212">
        <f t="shared" si="12"/>
        <v>-12926.552499999991</v>
      </c>
      <c r="AJ29" s="212">
        <f t="shared" si="12"/>
        <v>-8941.1189999999478</v>
      </c>
      <c r="AK29" s="212">
        <f t="shared" si="12"/>
        <v>-5062.4617000000726</v>
      </c>
      <c r="AL29" s="212">
        <f t="shared" si="12"/>
        <v>-2047.2767999999924</v>
      </c>
      <c r="AM29" s="212">
        <f t="shared" si="12"/>
        <v>1138.333399999945</v>
      </c>
      <c r="AN29" s="212">
        <f t="shared" si="12"/>
        <v>4521.9915000000619</v>
      </c>
      <c r="AO29" s="212">
        <f t="shared" si="12"/>
        <v>7753.5883999999496</v>
      </c>
      <c r="AP29" s="212">
        <f t="shared" si="12"/>
        <v>-8799.081199999986</v>
      </c>
      <c r="AQ29" s="212">
        <f t="shared" si="12"/>
        <v>-5237.4301999999443</v>
      </c>
      <c r="AR29" s="212">
        <f t="shared" si="12"/>
        <v>-1697.7509999999893</v>
      </c>
      <c r="AS29" s="212">
        <f t="shared" si="12"/>
        <v>1810.9408000000112</v>
      </c>
      <c r="AT29" s="212">
        <f t="shared" si="12"/>
        <v>5135.781500000041</v>
      </c>
      <c r="AU29" s="212">
        <f t="shared" si="12"/>
        <v>-15954.853959999993</v>
      </c>
      <c r="AV29" s="268"/>
    </row>
    <row r="30" spans="1:49" x14ac:dyDescent="0.25">
      <c r="B30" s="258" t="s">
        <v>471</v>
      </c>
      <c r="C30" s="212">
        <f t="shared" ref="C30:AU31" si="13">C8-C19</f>
        <v>0</v>
      </c>
      <c r="D30" s="212">
        <f t="shared" si="13"/>
        <v>0</v>
      </c>
      <c r="E30" s="212">
        <f t="shared" si="13"/>
        <v>0</v>
      </c>
      <c r="F30" s="212">
        <f t="shared" si="13"/>
        <v>0</v>
      </c>
      <c r="G30" s="212">
        <f t="shared" si="13"/>
        <v>0</v>
      </c>
      <c r="H30" s="212">
        <f t="shared" si="13"/>
        <v>0</v>
      </c>
      <c r="I30" s="212">
        <f t="shared" si="13"/>
        <v>0</v>
      </c>
      <c r="J30" s="212">
        <f t="shared" si="13"/>
        <v>0</v>
      </c>
      <c r="K30" s="212">
        <f t="shared" si="13"/>
        <v>0</v>
      </c>
      <c r="L30" s="212">
        <f t="shared" si="13"/>
        <v>0</v>
      </c>
      <c r="M30" s="212">
        <f t="shared" si="13"/>
        <v>-0.89550000010058284</v>
      </c>
      <c r="N30" s="212">
        <f t="shared" si="13"/>
        <v>-2.5356000000610948</v>
      </c>
      <c r="O30" s="212">
        <f t="shared" si="13"/>
        <v>-3.2368000000715256</v>
      </c>
      <c r="P30" s="212">
        <f t="shared" si="13"/>
        <v>-1.5976999999256805</v>
      </c>
      <c r="Q30" s="212">
        <f t="shared" si="13"/>
        <v>2.5333000000100583</v>
      </c>
      <c r="R30" s="212">
        <f t="shared" si="13"/>
        <v>13.224500000011176</v>
      </c>
      <c r="S30" s="212">
        <f t="shared" si="13"/>
        <v>20.198899999959394</v>
      </c>
      <c r="T30" s="212">
        <f t="shared" si="13"/>
        <v>-656.08359999989625</v>
      </c>
      <c r="U30" s="212">
        <f t="shared" si="13"/>
        <v>2374.6996999999974</v>
      </c>
      <c r="V30" s="212">
        <f t="shared" si="13"/>
        <v>197.50399999995716</v>
      </c>
      <c r="W30" s="212">
        <f t="shared" si="13"/>
        <v>1278.8888000000734</v>
      </c>
      <c r="X30" s="212">
        <f t="shared" si="13"/>
        <v>703.07920000003651</v>
      </c>
      <c r="Y30" s="212">
        <f t="shared" si="13"/>
        <v>-799.24010000005364</v>
      </c>
      <c r="Z30" s="212">
        <f t="shared" si="13"/>
        <v>-2494.953300000052</v>
      </c>
      <c r="AA30" s="212">
        <f t="shared" si="13"/>
        <v>-7158.2443000000203</v>
      </c>
      <c r="AB30" s="212">
        <f t="shared" si="13"/>
        <v>-5654.3906000000425</v>
      </c>
      <c r="AC30" s="212">
        <f t="shared" si="13"/>
        <v>-5662.7901999999303</v>
      </c>
      <c r="AD30" s="212">
        <f t="shared" si="13"/>
        <v>-5958.0656999999192</v>
      </c>
      <c r="AE30" s="212">
        <f t="shared" si="13"/>
        <v>-6419.8771999999881</v>
      </c>
      <c r="AF30" s="212">
        <f t="shared" si="13"/>
        <v>-9383.701299999957</v>
      </c>
      <c r="AG30" s="212">
        <f t="shared" si="13"/>
        <v>-8826.6931000000332</v>
      </c>
      <c r="AH30" s="212">
        <f t="shared" si="13"/>
        <v>-9006.1542000001064</v>
      </c>
      <c r="AI30" s="212">
        <f t="shared" si="13"/>
        <v>-9510.3795999999857</v>
      </c>
      <c r="AJ30" s="212">
        <f t="shared" si="13"/>
        <v>-10089.505099999951</v>
      </c>
      <c r="AK30" s="212">
        <f t="shared" si="13"/>
        <v>-10681.201300000073</v>
      </c>
      <c r="AL30" s="212">
        <f t="shared" si="13"/>
        <v>-12163.566899999976</v>
      </c>
      <c r="AM30" s="212">
        <f t="shared" si="13"/>
        <v>-13289.289300000062</v>
      </c>
      <c r="AN30" s="212">
        <f t="shared" si="13"/>
        <v>-14057.158899999922</v>
      </c>
      <c r="AO30" s="212">
        <f t="shared" si="13"/>
        <v>-14790.285600000061</v>
      </c>
      <c r="AP30" s="212">
        <f t="shared" si="13"/>
        <v>-17819.592799999984</v>
      </c>
      <c r="AQ30" s="212">
        <f t="shared" si="13"/>
        <v>-18787.704599999939</v>
      </c>
      <c r="AR30" s="212">
        <f t="shared" si="13"/>
        <v>-19704.94709999999</v>
      </c>
      <c r="AS30" s="212">
        <f t="shared" si="13"/>
        <v>-20560.210599999991</v>
      </c>
      <c r="AT30" s="212">
        <f t="shared" si="13"/>
        <v>-21524.469199999934</v>
      </c>
      <c r="AU30" s="212">
        <f t="shared" si="13"/>
        <v>-23960.680099999998</v>
      </c>
      <c r="AV30" s="268"/>
    </row>
    <row r="31" spans="1:49" x14ac:dyDescent="0.25">
      <c r="B31" s="261" t="s">
        <v>472</v>
      </c>
      <c r="C31" s="263">
        <f t="shared" si="13"/>
        <v>0</v>
      </c>
      <c r="D31" s="263">
        <f t="shared" si="13"/>
        <v>0</v>
      </c>
      <c r="E31" s="263">
        <f t="shared" si="13"/>
        <v>0</v>
      </c>
      <c r="F31" s="263">
        <f t="shared" si="13"/>
        <v>0</v>
      </c>
      <c r="G31" s="263">
        <f t="shared" si="13"/>
        <v>0</v>
      </c>
      <c r="H31" s="263">
        <f t="shared" si="13"/>
        <v>0</v>
      </c>
      <c r="I31" s="263">
        <f t="shared" si="13"/>
        <v>0</v>
      </c>
      <c r="J31" s="263">
        <f t="shared" si="13"/>
        <v>0</v>
      </c>
      <c r="K31" s="263">
        <f t="shared" si="13"/>
        <v>0</v>
      </c>
      <c r="L31" s="263">
        <f t="shared" si="13"/>
        <v>0</v>
      </c>
      <c r="M31" s="263">
        <f t="shared" si="13"/>
        <v>-0.38030000000435393</v>
      </c>
      <c r="N31" s="263">
        <f t="shared" si="13"/>
        <v>-1.2960000000020955</v>
      </c>
      <c r="O31" s="263">
        <f t="shared" si="13"/>
        <v>-1.495599999994738</v>
      </c>
      <c r="P31" s="263">
        <f t="shared" si="13"/>
        <v>-0.67840000000433065</v>
      </c>
      <c r="Q31" s="263">
        <f t="shared" si="13"/>
        <v>0.76901999999972759</v>
      </c>
      <c r="R31" s="263">
        <f t="shared" si="13"/>
        <v>10.361400000023423</v>
      </c>
      <c r="S31" s="263">
        <f t="shared" si="13"/>
        <v>14.616299999994226</v>
      </c>
      <c r="T31" s="263">
        <f t="shared" si="13"/>
        <v>-6147.7795000000042</v>
      </c>
      <c r="U31" s="263">
        <f t="shared" si="13"/>
        <v>5208.3571000000229</v>
      </c>
      <c r="V31" s="263">
        <f t="shared" si="13"/>
        <v>-29190.183100000024</v>
      </c>
      <c r="W31" s="263">
        <f t="shared" si="13"/>
        <v>-24806.376300000004</v>
      </c>
      <c r="X31" s="263">
        <f t="shared" si="13"/>
        <v>-18782.472700000013</v>
      </c>
      <c r="Y31" s="263">
        <f t="shared" si="13"/>
        <v>-12636.795599999983</v>
      </c>
      <c r="Z31" s="263">
        <f t="shared" si="13"/>
        <v>-6507.7857000000076</v>
      </c>
      <c r="AA31" s="263">
        <f t="shared" si="13"/>
        <v>7193.5219399999987</v>
      </c>
      <c r="AB31" s="263">
        <f t="shared" si="13"/>
        <v>-22951.490099999995</v>
      </c>
      <c r="AC31" s="263">
        <f t="shared" si="13"/>
        <v>-17353.323200000013</v>
      </c>
      <c r="AD31" s="263">
        <f t="shared" si="13"/>
        <v>-12048.200600000011</v>
      </c>
      <c r="AE31" s="263">
        <f t="shared" si="13"/>
        <v>-6973.6953000000212</v>
      </c>
      <c r="AF31" s="263">
        <f t="shared" si="13"/>
        <v>-18622.23490000001</v>
      </c>
      <c r="AG31" s="263">
        <f t="shared" si="13"/>
        <v>-13129.57190000001</v>
      </c>
      <c r="AH31" s="263">
        <f t="shared" si="13"/>
        <v>-8126.0859000000055</v>
      </c>
      <c r="AI31" s="263">
        <f t="shared" si="13"/>
        <v>-3416.172900000005</v>
      </c>
      <c r="AJ31" s="263">
        <f t="shared" si="13"/>
        <v>1148.3861000000034</v>
      </c>
      <c r="AK31" s="263">
        <f t="shared" si="13"/>
        <v>5618.7396000000008</v>
      </c>
      <c r="AL31" s="263">
        <f t="shared" si="13"/>
        <v>10116.290099999984</v>
      </c>
      <c r="AM31" s="263">
        <f t="shared" si="13"/>
        <v>14427.622700000007</v>
      </c>
      <c r="AN31" s="263">
        <f t="shared" si="13"/>
        <v>18579.150399999984</v>
      </c>
      <c r="AO31" s="263">
        <f t="shared" si="13"/>
        <v>22543.874000000011</v>
      </c>
      <c r="AP31" s="263">
        <f t="shared" si="13"/>
        <v>9020.511599999998</v>
      </c>
      <c r="AQ31" s="263">
        <f t="shared" si="13"/>
        <v>13550.274399999995</v>
      </c>
      <c r="AR31" s="263">
        <f t="shared" si="13"/>
        <v>18007.196100000001</v>
      </c>
      <c r="AS31" s="263">
        <f t="shared" si="13"/>
        <v>22371.151400000002</v>
      </c>
      <c r="AT31" s="263">
        <f t="shared" si="13"/>
        <v>26660.250699999975</v>
      </c>
      <c r="AU31" s="263">
        <f t="shared" si="13"/>
        <v>8005.8261400000047</v>
      </c>
      <c r="AV31" s="268"/>
    </row>
    <row r="32" spans="1:49" x14ac:dyDescent="0.25">
      <c r="B32" s="249" t="s">
        <v>473</v>
      </c>
      <c r="C32" s="251">
        <f t="shared" ref="C32:E32" si="14">SUM(C27,C30)</f>
        <v>0</v>
      </c>
      <c r="D32" s="251">
        <f t="shared" si="14"/>
        <v>0</v>
      </c>
      <c r="E32" s="251">
        <f t="shared" si="14"/>
        <v>0</v>
      </c>
      <c r="F32" s="251">
        <f>SUM(F27,F30)</f>
        <v>0</v>
      </c>
      <c r="G32" s="251">
        <f t="shared" ref="G32:AU32" si="15">SUM(G27,G30)</f>
        <v>0</v>
      </c>
      <c r="H32" s="251">
        <f t="shared" si="15"/>
        <v>0</v>
      </c>
      <c r="I32" s="251">
        <f t="shared" si="15"/>
        <v>0</v>
      </c>
      <c r="J32" s="251">
        <f t="shared" si="15"/>
        <v>0</v>
      </c>
      <c r="K32" s="251">
        <f t="shared" si="15"/>
        <v>0</v>
      </c>
      <c r="L32" s="251">
        <f t="shared" si="15"/>
        <v>0</v>
      </c>
      <c r="M32" s="251">
        <f t="shared" si="15"/>
        <v>-1.5861000001314096</v>
      </c>
      <c r="N32" s="251">
        <f t="shared" si="15"/>
        <v>-3.9824000000371598</v>
      </c>
      <c r="O32" s="251">
        <f t="shared" si="15"/>
        <v>-5.2266000000527129</v>
      </c>
      <c r="P32" s="251">
        <f t="shared" si="15"/>
        <v>-3.3432999999495223</v>
      </c>
      <c r="Q32" s="251">
        <f t="shared" si="15"/>
        <v>0.40860000002430752</v>
      </c>
      <c r="R32" s="251">
        <f t="shared" si="15"/>
        <v>12.906400000036228</v>
      </c>
      <c r="S32" s="251">
        <f t="shared" si="15"/>
        <v>25.445999999938067</v>
      </c>
      <c r="T32" s="251">
        <f t="shared" si="15"/>
        <v>4045.3163000000641</v>
      </c>
      <c r="U32" s="251">
        <f t="shared" si="15"/>
        <v>-364.31699999998091</v>
      </c>
      <c r="V32" s="251">
        <f t="shared" si="15"/>
        <v>17398.798599999922</v>
      </c>
      <c r="W32" s="251">
        <f t="shared" si="15"/>
        <v>25967.149600000092</v>
      </c>
      <c r="X32" s="251">
        <f t="shared" si="15"/>
        <v>25397.704200000037</v>
      </c>
      <c r="Y32" s="251">
        <f t="shared" si="15"/>
        <v>21496.548699999956</v>
      </c>
      <c r="Z32" s="251">
        <f t="shared" si="15"/>
        <v>16360.280499999935</v>
      </c>
      <c r="AA32" s="251">
        <f t="shared" si="15"/>
        <v>25920.647299999982</v>
      </c>
      <c r="AB32" s="251">
        <f t="shared" si="15"/>
        <v>28974.93399999995</v>
      </c>
      <c r="AC32" s="251">
        <f t="shared" si="15"/>
        <v>25364.667400000064</v>
      </c>
      <c r="AD32" s="251">
        <f t="shared" si="15"/>
        <v>21223.649600000092</v>
      </c>
      <c r="AE32" s="251">
        <f t="shared" si="15"/>
        <v>16873.796200000012</v>
      </c>
      <c r="AF32" s="251">
        <f t="shared" si="15"/>
        <v>18638.083800000051</v>
      </c>
      <c r="AG32" s="251">
        <f t="shared" si="15"/>
        <v>18321.570099999954</v>
      </c>
      <c r="AH32" s="251">
        <f t="shared" si="15"/>
        <v>15416.769999999902</v>
      </c>
      <c r="AI32" s="251">
        <f t="shared" si="15"/>
        <v>11506.570000000007</v>
      </c>
      <c r="AJ32" s="251">
        <f t="shared" si="15"/>
        <v>7268.0225000000501</v>
      </c>
      <c r="AK32" s="251">
        <f t="shared" si="15"/>
        <v>2924.5217999999295</v>
      </c>
      <c r="AL32" s="251">
        <f t="shared" si="15"/>
        <v>-4071.364099999977</v>
      </c>
      <c r="AM32" s="251">
        <f t="shared" si="15"/>
        <v>-9720.2004000000597</v>
      </c>
      <c r="AN32" s="251">
        <f t="shared" si="15"/>
        <v>-14464.409299999941</v>
      </c>
      <c r="AO32" s="251">
        <f t="shared" si="15"/>
        <v>-18713.436600000045</v>
      </c>
      <c r="AP32" s="251">
        <f t="shared" si="15"/>
        <v>-15223.428400000004</v>
      </c>
      <c r="AQ32" s="251">
        <f t="shared" si="15"/>
        <v>-18432.470799999952</v>
      </c>
      <c r="AR32" s="251">
        <f t="shared" si="15"/>
        <v>-22795.766899999988</v>
      </c>
      <c r="AS32" s="251">
        <f t="shared" si="15"/>
        <v>-27452.185399999988</v>
      </c>
      <c r="AT32" s="251">
        <f t="shared" si="15"/>
        <v>-32238.327199999912</v>
      </c>
      <c r="AU32" s="251">
        <f t="shared" si="15"/>
        <v>-37668.668999999994</v>
      </c>
      <c r="AV32" s="268"/>
    </row>
    <row r="36" spans="1:50" s="244" customFormat="1" ht="45" customHeight="1" x14ac:dyDescent="0.25">
      <c r="A36" s="239" t="str">
        <f>[4]Résultats!B1</f>
        <v>SNBC3</v>
      </c>
      <c r="B36" s="240" t="s">
        <v>497</v>
      </c>
      <c r="C36" s="241">
        <v>2006</v>
      </c>
      <c r="D36" s="242">
        <v>2007</v>
      </c>
      <c r="E36" s="242">
        <v>2008</v>
      </c>
      <c r="F36" s="242">
        <v>2009</v>
      </c>
      <c r="G36" s="242">
        <v>2010</v>
      </c>
      <c r="H36" s="242">
        <v>2011</v>
      </c>
      <c r="I36" s="242">
        <v>2012</v>
      </c>
      <c r="J36" s="242">
        <v>2013</v>
      </c>
      <c r="K36" s="242">
        <v>2014</v>
      </c>
      <c r="L36" s="242">
        <v>2015</v>
      </c>
      <c r="M36" s="242">
        <v>2016</v>
      </c>
      <c r="N36" s="242">
        <v>2017</v>
      </c>
      <c r="O36" s="242">
        <v>2018</v>
      </c>
      <c r="P36" s="242">
        <v>2019</v>
      </c>
      <c r="Q36" s="242">
        <v>2020</v>
      </c>
      <c r="R36" s="242">
        <v>2021</v>
      </c>
      <c r="S36" s="242">
        <v>2022</v>
      </c>
      <c r="T36" s="242">
        <v>2023</v>
      </c>
      <c r="U36" s="242">
        <v>2024</v>
      </c>
      <c r="V36" s="242">
        <v>2025</v>
      </c>
      <c r="W36" s="242">
        <v>2026</v>
      </c>
      <c r="X36" s="242">
        <v>2027</v>
      </c>
      <c r="Y36" s="242">
        <v>2028</v>
      </c>
      <c r="Z36" s="242">
        <v>2029</v>
      </c>
      <c r="AA36" s="242">
        <v>2030</v>
      </c>
      <c r="AB36" s="242">
        <v>2031</v>
      </c>
      <c r="AC36" s="242">
        <v>2032</v>
      </c>
      <c r="AD36" s="242">
        <v>2033</v>
      </c>
      <c r="AE36" s="242">
        <v>2034</v>
      </c>
      <c r="AF36" s="242">
        <v>2035</v>
      </c>
      <c r="AG36" s="242">
        <v>2036</v>
      </c>
      <c r="AH36" s="242">
        <v>2037</v>
      </c>
      <c r="AI36" s="242">
        <v>2038</v>
      </c>
      <c r="AJ36" s="242">
        <v>2039</v>
      </c>
      <c r="AK36" s="242">
        <v>2040</v>
      </c>
      <c r="AL36" s="242">
        <v>2041</v>
      </c>
      <c r="AM36" s="242">
        <v>2042</v>
      </c>
      <c r="AN36" s="242">
        <v>2043</v>
      </c>
      <c r="AO36" s="242">
        <v>2044</v>
      </c>
      <c r="AP36" s="242">
        <v>2045</v>
      </c>
      <c r="AQ36" s="242">
        <v>2046</v>
      </c>
      <c r="AR36" s="242">
        <v>2047</v>
      </c>
      <c r="AS36" s="242">
        <v>2048</v>
      </c>
      <c r="AT36" s="242">
        <v>2049</v>
      </c>
      <c r="AU36" s="243">
        <v>2050</v>
      </c>
      <c r="AW36" s="242" t="s">
        <v>498</v>
      </c>
      <c r="AX36" s="242" t="s">
        <v>499</v>
      </c>
    </row>
    <row r="37" spans="1:50" x14ac:dyDescent="0.25">
      <c r="B37" s="245" t="s">
        <v>500</v>
      </c>
      <c r="C37" s="246">
        <f t="shared" ref="C37:AU37" si="16">C38+C39+C42</f>
        <v>1</v>
      </c>
      <c r="D37" s="247">
        <f t="shared" si="16"/>
        <v>1</v>
      </c>
      <c r="E37" s="247">
        <f t="shared" si="16"/>
        <v>1</v>
      </c>
      <c r="F37" s="247">
        <f t="shared" si="16"/>
        <v>0.99999999999999978</v>
      </c>
      <c r="G37" s="247">
        <f t="shared" si="16"/>
        <v>1</v>
      </c>
      <c r="H37" s="247">
        <f t="shared" si="16"/>
        <v>0.99999999999999989</v>
      </c>
      <c r="I37" s="247">
        <f t="shared" si="16"/>
        <v>1</v>
      </c>
      <c r="J37" s="247">
        <f t="shared" si="16"/>
        <v>1</v>
      </c>
      <c r="K37" s="247">
        <f t="shared" si="16"/>
        <v>1.0000000000000002</v>
      </c>
      <c r="L37" s="247">
        <f t="shared" si="16"/>
        <v>1</v>
      </c>
      <c r="M37" s="247">
        <f t="shared" si="16"/>
        <v>0.99999999999999978</v>
      </c>
      <c r="N37" s="247">
        <f t="shared" si="16"/>
        <v>1</v>
      </c>
      <c r="O37" s="247">
        <f t="shared" si="16"/>
        <v>1</v>
      </c>
      <c r="P37" s="247">
        <f t="shared" si="16"/>
        <v>1</v>
      </c>
      <c r="Q37" s="247">
        <f t="shared" si="16"/>
        <v>1</v>
      </c>
      <c r="R37" s="247">
        <f t="shared" si="16"/>
        <v>1</v>
      </c>
      <c r="S37" s="247">
        <f t="shared" si="16"/>
        <v>1.0000000000000002</v>
      </c>
      <c r="T37" s="247">
        <f t="shared" si="16"/>
        <v>1</v>
      </c>
      <c r="U37" s="247">
        <f t="shared" si="16"/>
        <v>1</v>
      </c>
      <c r="V37" s="247">
        <f t="shared" si="16"/>
        <v>0.99999999999999978</v>
      </c>
      <c r="W37" s="247">
        <f t="shared" si="16"/>
        <v>0.99999999999999989</v>
      </c>
      <c r="X37" s="247">
        <f t="shared" si="16"/>
        <v>1</v>
      </c>
      <c r="Y37" s="247">
        <f t="shared" si="16"/>
        <v>1</v>
      </c>
      <c r="Z37" s="247">
        <f t="shared" si="16"/>
        <v>1</v>
      </c>
      <c r="AA37" s="247">
        <f t="shared" si="16"/>
        <v>1</v>
      </c>
      <c r="AB37" s="247">
        <f t="shared" si="16"/>
        <v>1</v>
      </c>
      <c r="AC37" s="247">
        <f t="shared" si="16"/>
        <v>1</v>
      </c>
      <c r="AD37" s="247">
        <f t="shared" si="16"/>
        <v>0.99999999999999989</v>
      </c>
      <c r="AE37" s="247">
        <f t="shared" si="16"/>
        <v>1</v>
      </c>
      <c r="AF37" s="247">
        <f t="shared" si="16"/>
        <v>1</v>
      </c>
      <c r="AG37" s="247">
        <f t="shared" si="16"/>
        <v>1</v>
      </c>
      <c r="AH37" s="247">
        <f t="shared" si="16"/>
        <v>1</v>
      </c>
      <c r="AI37" s="247">
        <f t="shared" si="16"/>
        <v>0.99999999999999989</v>
      </c>
      <c r="AJ37" s="247">
        <f t="shared" si="16"/>
        <v>0.99999999999999989</v>
      </c>
      <c r="AK37" s="247">
        <f t="shared" si="16"/>
        <v>1</v>
      </c>
      <c r="AL37" s="247">
        <f t="shared" si="16"/>
        <v>1</v>
      </c>
      <c r="AM37" s="247">
        <f t="shared" si="16"/>
        <v>1</v>
      </c>
      <c r="AN37" s="247">
        <f t="shared" si="16"/>
        <v>1</v>
      </c>
      <c r="AO37" s="247">
        <f t="shared" si="16"/>
        <v>1</v>
      </c>
      <c r="AP37" s="247">
        <f t="shared" si="16"/>
        <v>1.0000000000000002</v>
      </c>
      <c r="AQ37" s="247">
        <f t="shared" si="16"/>
        <v>1</v>
      </c>
      <c r="AR37" s="247">
        <f t="shared" si="16"/>
        <v>0.99999999999999989</v>
      </c>
      <c r="AS37" s="247">
        <f t="shared" si="16"/>
        <v>1</v>
      </c>
      <c r="AT37" s="247">
        <f t="shared" si="16"/>
        <v>0.99999999999999989</v>
      </c>
      <c r="AU37" s="248">
        <f t="shared" si="16"/>
        <v>1</v>
      </c>
    </row>
    <row r="38" spans="1:50" x14ac:dyDescent="0.25">
      <c r="B38" s="249" t="s">
        <v>466</v>
      </c>
      <c r="C38" s="299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2"/>
      <c r="AV38" s="253"/>
      <c r="AW38" s="253"/>
    </row>
    <row r="39" spans="1:50" x14ac:dyDescent="0.25">
      <c r="B39" s="254" t="s">
        <v>467</v>
      </c>
      <c r="C39" s="300">
        <f>C4/(C$2-C$3)</f>
        <v>0.29999999998794452</v>
      </c>
      <c r="D39" s="300">
        <f t="shared" ref="D39:AU45" si="17">D4/(D$2-D$3)</f>
        <v>0.30666223948168925</v>
      </c>
      <c r="E39" s="300">
        <f t="shared" si="17"/>
        <v>0.31171846096155315</v>
      </c>
      <c r="F39" s="300">
        <f t="shared" si="17"/>
        <v>0.31501513398500031</v>
      </c>
      <c r="G39" s="300">
        <f t="shared" si="17"/>
        <v>0.31770261334061428</v>
      </c>
      <c r="H39" s="300">
        <f t="shared" si="17"/>
        <v>0.32358280137046225</v>
      </c>
      <c r="I39" s="300">
        <f t="shared" si="17"/>
        <v>0.33118997400650974</v>
      </c>
      <c r="J39" s="300">
        <f t="shared" si="17"/>
        <v>0.33982211862674228</v>
      </c>
      <c r="K39" s="300">
        <f t="shared" si="17"/>
        <v>0.34863116669091626</v>
      </c>
      <c r="L39" s="300">
        <f t="shared" si="17"/>
        <v>0.3575104677156199</v>
      </c>
      <c r="M39" s="300">
        <f t="shared" si="17"/>
        <v>0.35588712683652929</v>
      </c>
      <c r="N39" s="300">
        <f t="shared" si="17"/>
        <v>0.35413840787949047</v>
      </c>
      <c r="O39" s="300">
        <f t="shared" si="17"/>
        <v>0.35537498776594578</v>
      </c>
      <c r="P39" s="300">
        <f t="shared" si="17"/>
        <v>0.34633996574941861</v>
      </c>
      <c r="Q39" s="300">
        <f t="shared" si="17"/>
        <v>0.35190213055621899</v>
      </c>
      <c r="R39" s="300">
        <f t="shared" si="17"/>
        <v>0.2952993784034656</v>
      </c>
      <c r="S39" s="300">
        <f t="shared" si="17"/>
        <v>0.29481574003050842</v>
      </c>
      <c r="T39" s="300">
        <f t="shared" si="17"/>
        <v>0.29424981430285396</v>
      </c>
      <c r="U39" s="300">
        <f t="shared" si="17"/>
        <v>0.28321357042162609</v>
      </c>
      <c r="V39" s="300">
        <f t="shared" si="17"/>
        <v>0.27120490390501911</v>
      </c>
      <c r="W39" s="300">
        <f t="shared" si="17"/>
        <v>0.27102710800516161</v>
      </c>
      <c r="X39" s="300">
        <f t="shared" si="17"/>
        <v>0.27013512880280283</v>
      </c>
      <c r="Y39" s="300">
        <f t="shared" si="17"/>
        <v>0.26909736763107173</v>
      </c>
      <c r="Z39" s="300">
        <f t="shared" si="17"/>
        <v>0.26789703974717366</v>
      </c>
      <c r="AA39" s="300">
        <f t="shared" si="17"/>
        <v>0.37274123686670185</v>
      </c>
      <c r="AB39" s="300">
        <f t="shared" si="17"/>
        <v>0.26224057064102174</v>
      </c>
      <c r="AC39" s="300">
        <f t="shared" si="17"/>
        <v>0.26135811652977892</v>
      </c>
      <c r="AD39" s="300">
        <f t="shared" si="17"/>
        <v>0.26043348626820861</v>
      </c>
      <c r="AE39" s="300">
        <f t="shared" si="17"/>
        <v>0.25967872718297924</v>
      </c>
      <c r="AF39" s="300">
        <f t="shared" si="17"/>
        <v>0.25885411253608354</v>
      </c>
      <c r="AG39" s="300">
        <f t="shared" si="17"/>
        <v>0.25768922761806218</v>
      </c>
      <c r="AH39" s="300">
        <f t="shared" si="17"/>
        <v>0.25675697347636639</v>
      </c>
      <c r="AI39" s="300">
        <f t="shared" si="17"/>
        <v>0.25596144954379629</v>
      </c>
      <c r="AJ39" s="300">
        <f t="shared" si="17"/>
        <v>0.25516401760804941</v>
      </c>
      <c r="AK39" s="300">
        <f t="shared" si="17"/>
        <v>0.25433516313204374</v>
      </c>
      <c r="AL39" s="300">
        <f t="shared" si="17"/>
        <v>0.25376897874518939</v>
      </c>
      <c r="AM39" s="300">
        <f t="shared" si="17"/>
        <v>0.25309715416343553</v>
      </c>
      <c r="AN39" s="300">
        <f t="shared" si="17"/>
        <v>0.25231873339343069</v>
      </c>
      <c r="AO39" s="300">
        <f t="shared" si="17"/>
        <v>0.25156782087261514</v>
      </c>
      <c r="AP39" s="300">
        <f t="shared" si="17"/>
        <v>0.24992689044795549</v>
      </c>
      <c r="AQ39" s="300">
        <f t="shared" si="17"/>
        <v>0.24906741798715953</v>
      </c>
      <c r="AR39" s="300">
        <f t="shared" si="17"/>
        <v>0.24817671642163208</v>
      </c>
      <c r="AS39" s="300">
        <f t="shared" si="17"/>
        <v>0.24733758800574948</v>
      </c>
      <c r="AT39" s="300">
        <f t="shared" si="17"/>
        <v>0.24657083006011071</v>
      </c>
      <c r="AU39" s="301">
        <f t="shared" si="17"/>
        <v>0.38956970760536641</v>
      </c>
      <c r="AV39" s="253"/>
      <c r="AW39" s="302">
        <f t="shared" ref="AW39:AW44" si="18">AA39-P39</f>
        <v>2.6401271117283243E-2</v>
      </c>
      <c r="AX39" s="302">
        <f t="shared" ref="AX39:AX44" si="19">AU39-P39</f>
        <v>4.3229741855947801E-2</v>
      </c>
    </row>
    <row r="40" spans="1:50" x14ac:dyDescent="0.25">
      <c r="B40" s="258" t="s">
        <v>468</v>
      </c>
      <c r="C40" s="303">
        <f>C5/(C$2-C$3)</f>
        <v>0.1970599631421219</v>
      </c>
      <c r="D40" s="303">
        <f t="shared" si="17"/>
        <v>0.20060524909792574</v>
      </c>
      <c r="E40" s="303">
        <f t="shared" si="17"/>
        <v>0.20621788623453335</v>
      </c>
      <c r="F40" s="303">
        <f t="shared" si="17"/>
        <v>0.20911423799220455</v>
      </c>
      <c r="G40" s="303">
        <f t="shared" si="17"/>
        <v>0.21273772768900606</v>
      </c>
      <c r="H40" s="303">
        <f t="shared" si="17"/>
        <v>0.21550384100300629</v>
      </c>
      <c r="I40" s="303">
        <f t="shared" si="17"/>
        <v>0.22287185689567102</v>
      </c>
      <c r="J40" s="303">
        <f t="shared" si="17"/>
        <v>0.22955424911378289</v>
      </c>
      <c r="K40" s="303">
        <f t="shared" si="17"/>
        <v>0.2348578253371956</v>
      </c>
      <c r="L40" s="303">
        <f t="shared" si="17"/>
        <v>0.24461394277705989</v>
      </c>
      <c r="M40" s="303">
        <f t="shared" si="17"/>
        <v>0.24570705201380932</v>
      </c>
      <c r="N40" s="303">
        <f t="shared" si="17"/>
        <v>0.24365631421756731</v>
      </c>
      <c r="O40" s="303">
        <f t="shared" si="17"/>
        <v>0.24136134818119154</v>
      </c>
      <c r="P40" s="303">
        <f t="shared" si="17"/>
        <v>0.23838228994963287</v>
      </c>
      <c r="Q40" s="303">
        <f t="shared" si="17"/>
        <v>0.23990050288530546</v>
      </c>
      <c r="R40" s="303">
        <f t="shared" si="17"/>
        <v>0.24247961494024495</v>
      </c>
      <c r="S40" s="303">
        <f t="shared" si="17"/>
        <v>0.24222102718427069</v>
      </c>
      <c r="T40" s="303">
        <f t="shared" si="17"/>
        <v>0.24171350569276803</v>
      </c>
      <c r="U40" s="303">
        <f t="shared" si="17"/>
        <v>0.23339455359208733</v>
      </c>
      <c r="V40" s="303">
        <f t="shared" si="17"/>
        <v>0.22385439797452711</v>
      </c>
      <c r="W40" s="303">
        <f t="shared" si="17"/>
        <v>0.22254135896056168</v>
      </c>
      <c r="X40" s="303">
        <f t="shared" si="17"/>
        <v>0.22038675602543392</v>
      </c>
      <c r="Y40" s="303">
        <f t="shared" si="17"/>
        <v>0.21807236463779453</v>
      </c>
      <c r="Z40" s="303">
        <f t="shared" si="17"/>
        <v>0.21552153945851873</v>
      </c>
      <c r="AA40" s="303">
        <f t="shared" si="17"/>
        <v>0.21027864719143755</v>
      </c>
      <c r="AB40" s="303">
        <f t="shared" si="17"/>
        <v>0.20854610284910954</v>
      </c>
      <c r="AC40" s="303">
        <f t="shared" si="17"/>
        <v>0.20771527231473363</v>
      </c>
      <c r="AD40" s="303">
        <f t="shared" si="17"/>
        <v>0.20678932245599027</v>
      </c>
      <c r="AE40" s="303">
        <f t="shared" si="17"/>
        <v>0.2061035556220441</v>
      </c>
      <c r="AF40" s="303">
        <f t="shared" si="17"/>
        <v>0.205349139610667</v>
      </c>
      <c r="AG40" s="303">
        <f t="shared" si="17"/>
        <v>0.20413801675850982</v>
      </c>
      <c r="AH40" s="303">
        <f t="shared" si="17"/>
        <v>0.20323079203916317</v>
      </c>
      <c r="AI40" s="303">
        <f t="shared" si="17"/>
        <v>0.20249769203547782</v>
      </c>
      <c r="AJ40" s="303">
        <f t="shared" si="17"/>
        <v>0.20174709270992452</v>
      </c>
      <c r="AK40" s="303">
        <f t="shared" si="17"/>
        <v>0.20094624587749604</v>
      </c>
      <c r="AL40" s="303">
        <f t="shared" si="17"/>
        <v>0.20046717347424975</v>
      </c>
      <c r="AM40" s="303">
        <f t="shared" si="17"/>
        <v>0.19984200354849901</v>
      </c>
      <c r="AN40" s="303">
        <f t="shared" si="17"/>
        <v>0.19908474320620156</v>
      </c>
      <c r="AO40" s="303">
        <f t="shared" si="17"/>
        <v>0.19836700129477208</v>
      </c>
      <c r="AP40" s="303">
        <f t="shared" si="17"/>
        <v>0.19654909819341859</v>
      </c>
      <c r="AQ40" s="303">
        <f t="shared" si="17"/>
        <v>0.19572347870681839</v>
      </c>
      <c r="AR40" s="303">
        <f t="shared" si="17"/>
        <v>0.19484039928082292</v>
      </c>
      <c r="AS40" s="303">
        <f t="shared" si="17"/>
        <v>0.19400398278394893</v>
      </c>
      <c r="AT40" s="303">
        <f t="shared" si="17"/>
        <v>0.19325240666802512</v>
      </c>
      <c r="AU40" s="304">
        <f t="shared" si="17"/>
        <v>0.19332287930446923</v>
      </c>
      <c r="AW40" s="302">
        <f t="shared" si="18"/>
        <v>-2.8103642758195324E-2</v>
      </c>
      <c r="AX40" s="302">
        <f t="shared" si="19"/>
        <v>-4.5059410645163639E-2</v>
      </c>
    </row>
    <row r="41" spans="1:50" x14ac:dyDescent="0.25">
      <c r="B41" s="261" t="s">
        <v>469</v>
      </c>
      <c r="C41" s="305">
        <f t="shared" ref="C41:R45" si="20">C6/(C$2-C$3)</f>
        <v>5.6863255333391156E-2</v>
      </c>
      <c r="D41" s="305">
        <f t="shared" si="20"/>
        <v>5.616303753882488E-2</v>
      </c>
      <c r="E41" s="305">
        <f t="shared" si="20"/>
        <v>5.5013526284610731E-2</v>
      </c>
      <c r="F41" s="305">
        <f t="shared" si="20"/>
        <v>5.4767144216207875E-2</v>
      </c>
      <c r="G41" s="305">
        <f t="shared" si="20"/>
        <v>5.4364714670116297E-2</v>
      </c>
      <c r="H41" s="305">
        <f t="shared" si="20"/>
        <v>5.396769875827883E-2</v>
      </c>
      <c r="I41" s="305">
        <f t="shared" si="20"/>
        <v>5.2548623331208841E-2</v>
      </c>
      <c r="J41" s="305">
        <f t="shared" si="20"/>
        <v>5.1293318403329347E-2</v>
      </c>
      <c r="K41" s="305">
        <f t="shared" si="20"/>
        <v>5.0366795337073805E-2</v>
      </c>
      <c r="L41" s="305">
        <f t="shared" si="20"/>
        <v>4.8680909162672932E-2</v>
      </c>
      <c r="M41" s="305">
        <f t="shared" si="20"/>
        <v>4.8596789781224267E-2</v>
      </c>
      <c r="N41" s="305">
        <f t="shared" si="20"/>
        <v>4.9020918642302437E-2</v>
      </c>
      <c r="O41" s="305">
        <f t="shared" si="20"/>
        <v>4.9297437813334365E-2</v>
      </c>
      <c r="P41" s="305">
        <f t="shared" si="20"/>
        <v>5.4679576467499671E-2</v>
      </c>
      <c r="Q41" s="305">
        <f t="shared" si="20"/>
        <v>0.11200162767091358</v>
      </c>
      <c r="R41" s="305">
        <f t="shared" si="20"/>
        <v>5.2819763463220634E-2</v>
      </c>
      <c r="S41" s="305">
        <f t="shared" si="17"/>
        <v>5.2594712846237686E-2</v>
      </c>
      <c r="T41" s="305">
        <f t="shared" si="17"/>
        <v>5.253630861008593E-2</v>
      </c>
      <c r="U41" s="305">
        <f t="shared" si="17"/>
        <v>4.9819016829538751E-2</v>
      </c>
      <c r="V41" s="305">
        <f t="shared" si="17"/>
        <v>4.7350505930492053E-2</v>
      </c>
      <c r="W41" s="305">
        <f t="shared" si="17"/>
        <v>4.8485749044599964E-2</v>
      </c>
      <c r="X41" s="305">
        <f t="shared" si="17"/>
        <v>4.9748372777368925E-2</v>
      </c>
      <c r="Y41" s="305">
        <f t="shared" si="17"/>
        <v>5.1025002993277155E-2</v>
      </c>
      <c r="Z41" s="305">
        <f t="shared" si="17"/>
        <v>5.2375500288654925E-2</v>
      </c>
      <c r="AA41" s="305">
        <f t="shared" si="17"/>
        <v>0.16246258967526431</v>
      </c>
      <c r="AB41" s="305">
        <f t="shared" si="17"/>
        <v>5.3694467791912157E-2</v>
      </c>
      <c r="AC41" s="305">
        <f t="shared" si="17"/>
        <v>5.3642844215045268E-2</v>
      </c>
      <c r="AD41" s="305">
        <f t="shared" si="17"/>
        <v>5.3644163812218378E-2</v>
      </c>
      <c r="AE41" s="305">
        <f t="shared" si="17"/>
        <v>5.3575171560935123E-2</v>
      </c>
      <c r="AF41" s="305">
        <f t="shared" si="17"/>
        <v>5.3504972925416554E-2</v>
      </c>
      <c r="AG41" s="305">
        <f t="shared" si="17"/>
        <v>5.355121085955241E-2</v>
      </c>
      <c r="AH41" s="305">
        <f t="shared" si="17"/>
        <v>5.3526181437203196E-2</v>
      </c>
      <c r="AI41" s="305">
        <f t="shared" si="17"/>
        <v>5.3463757508318527E-2</v>
      </c>
      <c r="AJ41" s="305">
        <f t="shared" si="17"/>
        <v>5.3416924898124878E-2</v>
      </c>
      <c r="AK41" s="305">
        <f t="shared" si="17"/>
        <v>5.3388917254547669E-2</v>
      </c>
      <c r="AL41" s="305">
        <f t="shared" si="17"/>
        <v>5.3301805270939646E-2</v>
      </c>
      <c r="AM41" s="305">
        <f t="shared" si="17"/>
        <v>5.3255150614936519E-2</v>
      </c>
      <c r="AN41" s="305">
        <f t="shared" si="17"/>
        <v>5.3233990187229165E-2</v>
      </c>
      <c r="AO41" s="305">
        <f t="shared" si="17"/>
        <v>5.3200819577843075E-2</v>
      </c>
      <c r="AP41" s="305">
        <f t="shared" si="17"/>
        <v>5.3377792254536885E-2</v>
      </c>
      <c r="AQ41" s="305">
        <f t="shared" si="17"/>
        <v>5.3343939280341153E-2</v>
      </c>
      <c r="AR41" s="305">
        <f t="shared" si="17"/>
        <v>5.3336317140809143E-2</v>
      </c>
      <c r="AS41" s="305">
        <f t="shared" si="17"/>
        <v>5.3333605221800577E-2</v>
      </c>
      <c r="AT41" s="305">
        <f t="shared" si="17"/>
        <v>5.3318423392085583E-2</v>
      </c>
      <c r="AU41" s="306">
        <f t="shared" si="17"/>
        <v>0.19624682830089721</v>
      </c>
      <c r="AV41" s="253"/>
      <c r="AW41" s="302">
        <f t="shared" si="18"/>
        <v>0.10778301320776464</v>
      </c>
      <c r="AX41" s="302">
        <f t="shared" si="19"/>
        <v>0.14156725183339752</v>
      </c>
    </row>
    <row r="42" spans="1:50" x14ac:dyDescent="0.25">
      <c r="B42" s="258" t="s">
        <v>470</v>
      </c>
      <c r="C42" s="303">
        <f t="shared" si="20"/>
        <v>0.70000000001205542</v>
      </c>
      <c r="D42" s="303">
        <f t="shared" si="17"/>
        <v>0.69333776051831075</v>
      </c>
      <c r="E42" s="303">
        <f t="shared" si="17"/>
        <v>0.6882815390384468</v>
      </c>
      <c r="F42" s="303">
        <f t="shared" si="17"/>
        <v>0.68498486601499953</v>
      </c>
      <c r="G42" s="303">
        <f t="shared" si="17"/>
        <v>0.68229738665938566</v>
      </c>
      <c r="H42" s="303">
        <f t="shared" si="17"/>
        <v>0.67641719862953764</v>
      </c>
      <c r="I42" s="303">
        <f t="shared" si="17"/>
        <v>0.66881002599349026</v>
      </c>
      <c r="J42" s="303">
        <f t="shared" si="17"/>
        <v>0.66017788137325772</v>
      </c>
      <c r="K42" s="303">
        <f t="shared" si="17"/>
        <v>0.65136883330908391</v>
      </c>
      <c r="L42" s="303">
        <f t="shared" si="17"/>
        <v>0.64248953228438022</v>
      </c>
      <c r="M42" s="303">
        <f t="shared" si="17"/>
        <v>0.64411287316347055</v>
      </c>
      <c r="N42" s="303">
        <f t="shared" si="17"/>
        <v>0.64586159212050953</v>
      </c>
      <c r="O42" s="303">
        <f t="shared" si="17"/>
        <v>0.64462501223405433</v>
      </c>
      <c r="P42" s="303">
        <f t="shared" si="17"/>
        <v>0.65366003425058139</v>
      </c>
      <c r="Q42" s="303">
        <f t="shared" si="17"/>
        <v>0.64809786944378112</v>
      </c>
      <c r="R42" s="303">
        <f t="shared" si="17"/>
        <v>0.70470062159653446</v>
      </c>
      <c r="S42" s="303">
        <f t="shared" si="17"/>
        <v>0.70518425996949174</v>
      </c>
      <c r="T42" s="303">
        <f t="shared" si="17"/>
        <v>0.70575018569714598</v>
      </c>
      <c r="U42" s="303">
        <f t="shared" si="17"/>
        <v>0.71678642957837402</v>
      </c>
      <c r="V42" s="303">
        <f t="shared" si="17"/>
        <v>0.72879509609498072</v>
      </c>
      <c r="W42" s="303">
        <f t="shared" si="17"/>
        <v>0.72897289199483828</v>
      </c>
      <c r="X42" s="303">
        <f t="shared" si="17"/>
        <v>0.72986487119719723</v>
      </c>
      <c r="Y42" s="303">
        <f t="shared" si="17"/>
        <v>0.73090263236892827</v>
      </c>
      <c r="Z42" s="303">
        <f t="shared" si="17"/>
        <v>0.73210296025282628</v>
      </c>
      <c r="AA42" s="303">
        <f t="shared" si="17"/>
        <v>0.62725876313329809</v>
      </c>
      <c r="AB42" s="303">
        <f t="shared" si="17"/>
        <v>0.73775942935897831</v>
      </c>
      <c r="AC42" s="303">
        <f t="shared" si="17"/>
        <v>0.73864188347022119</v>
      </c>
      <c r="AD42" s="303">
        <f t="shared" si="17"/>
        <v>0.73956651373179128</v>
      </c>
      <c r="AE42" s="303">
        <f t="shared" si="17"/>
        <v>0.74032127281702076</v>
      </c>
      <c r="AF42" s="303">
        <f t="shared" si="17"/>
        <v>0.74114588746391652</v>
      </c>
      <c r="AG42" s="303">
        <f t="shared" si="17"/>
        <v>0.74231077238193777</v>
      </c>
      <c r="AH42" s="303">
        <f t="shared" si="17"/>
        <v>0.74324302652363361</v>
      </c>
      <c r="AI42" s="303">
        <f t="shared" si="17"/>
        <v>0.7440385504562036</v>
      </c>
      <c r="AJ42" s="303">
        <f t="shared" si="17"/>
        <v>0.74483598239195048</v>
      </c>
      <c r="AK42" s="303">
        <f t="shared" si="17"/>
        <v>0.74566483686795626</v>
      </c>
      <c r="AL42" s="303">
        <f t="shared" si="17"/>
        <v>0.74623102125481056</v>
      </c>
      <c r="AM42" s="303">
        <f t="shared" si="17"/>
        <v>0.74690284583656441</v>
      </c>
      <c r="AN42" s="303">
        <f t="shared" si="17"/>
        <v>0.74768126660656942</v>
      </c>
      <c r="AO42" s="303">
        <f t="shared" si="17"/>
        <v>0.7484321791273848</v>
      </c>
      <c r="AP42" s="303">
        <f t="shared" si="17"/>
        <v>0.75007310955204465</v>
      </c>
      <c r="AQ42" s="303">
        <f t="shared" si="17"/>
        <v>0.75093258201284052</v>
      </c>
      <c r="AR42" s="303">
        <f t="shared" si="17"/>
        <v>0.75182328357836781</v>
      </c>
      <c r="AS42" s="303">
        <f t="shared" si="17"/>
        <v>0.75266241199425055</v>
      </c>
      <c r="AT42" s="303">
        <f t="shared" si="17"/>
        <v>0.75342916993988918</v>
      </c>
      <c r="AU42" s="304">
        <f t="shared" si="17"/>
        <v>0.61043029239463353</v>
      </c>
      <c r="AW42" s="302">
        <f t="shared" si="18"/>
        <v>-2.6401271117283298E-2</v>
      </c>
      <c r="AX42" s="302">
        <f t="shared" si="19"/>
        <v>-4.3229741855947856E-2</v>
      </c>
    </row>
    <row r="43" spans="1:50" x14ac:dyDescent="0.25">
      <c r="B43" s="258" t="s">
        <v>471</v>
      </c>
      <c r="C43" s="303">
        <f t="shared" si="20"/>
        <v>0.64313674466660875</v>
      </c>
      <c r="D43" s="303">
        <f t="shared" si="17"/>
        <v>0.63717496777336669</v>
      </c>
      <c r="E43" s="303">
        <f t="shared" si="17"/>
        <v>0.63327364843446488</v>
      </c>
      <c r="F43" s="303">
        <f t="shared" si="17"/>
        <v>0.63022333349606774</v>
      </c>
      <c r="G43" s="303">
        <f t="shared" si="17"/>
        <v>0.62793861295149966</v>
      </c>
      <c r="H43" s="303">
        <f t="shared" si="17"/>
        <v>0.62245544109776618</v>
      </c>
      <c r="I43" s="303">
        <f t="shared" si="17"/>
        <v>0.61627406514336869</v>
      </c>
      <c r="J43" s="303">
        <f t="shared" si="17"/>
        <v>0.60890057300220557</v>
      </c>
      <c r="K43" s="303">
        <f t="shared" si="17"/>
        <v>0.60101846433510631</v>
      </c>
      <c r="L43" s="303">
        <f t="shared" si="17"/>
        <v>0.59383587263712845</v>
      </c>
      <c r="M43" s="303">
        <f t="shared" si="17"/>
        <v>0.59554387870869596</v>
      </c>
      <c r="N43" s="303">
        <f t="shared" si="17"/>
        <v>0.5968694878123979</v>
      </c>
      <c r="O43" s="303">
        <f t="shared" si="17"/>
        <v>0.59535784262952851</v>
      </c>
      <c r="P43" s="303">
        <f t="shared" si="17"/>
        <v>0.59923501477861607</v>
      </c>
      <c r="Q43" s="303">
        <f t="shared" si="17"/>
        <v>0.59422448504243464</v>
      </c>
      <c r="R43" s="303">
        <f t="shared" si="17"/>
        <v>0.58746997376543209</v>
      </c>
      <c r="S43" s="303">
        <f t="shared" si="17"/>
        <v>0.58512048173226827</v>
      </c>
      <c r="T43" s="303">
        <f t="shared" si="17"/>
        <v>0.58460701815576233</v>
      </c>
      <c r="U43" s="303">
        <f t="shared" si="17"/>
        <v>0.58550441716637935</v>
      </c>
      <c r="V43" s="303">
        <f t="shared" si="17"/>
        <v>0.58655784235310937</v>
      </c>
      <c r="W43" s="303">
        <f t="shared" si="17"/>
        <v>0.58413909893491378</v>
      </c>
      <c r="X43" s="303">
        <f t="shared" si="17"/>
        <v>0.58172166824335592</v>
      </c>
      <c r="Y43" s="303">
        <f t="shared" si="17"/>
        <v>0.57914021220259559</v>
      </c>
      <c r="Z43" s="303">
        <f t="shared" si="17"/>
        <v>0.57661941245854942</v>
      </c>
      <c r="AA43" s="303">
        <f t="shared" si="17"/>
        <v>0.57369325031868945</v>
      </c>
      <c r="AB43" s="303">
        <f t="shared" si="17"/>
        <v>0.57319688561188353</v>
      </c>
      <c r="AC43" s="303">
        <f t="shared" si="17"/>
        <v>0.5724001974691435</v>
      </c>
      <c r="AD43" s="303">
        <f t="shared" si="17"/>
        <v>0.57178375729268638</v>
      </c>
      <c r="AE43" s="303">
        <f t="shared" si="17"/>
        <v>0.57101649874636995</v>
      </c>
      <c r="AF43" s="303">
        <f t="shared" si="17"/>
        <v>0.57020164576371701</v>
      </c>
      <c r="AG43" s="303">
        <f t="shared" si="17"/>
        <v>0.56957622718584189</v>
      </c>
      <c r="AH43" s="303">
        <f t="shared" si="17"/>
        <v>0.56878963652836811</v>
      </c>
      <c r="AI43" s="303">
        <f t="shared" si="17"/>
        <v>0.56792257467251961</v>
      </c>
      <c r="AJ43" s="303">
        <f t="shared" si="17"/>
        <v>0.56710432226103147</v>
      </c>
      <c r="AK43" s="303">
        <f t="shared" si="17"/>
        <v>0.56633640058190915</v>
      </c>
      <c r="AL43" s="303">
        <f t="shared" si="17"/>
        <v>0.56542213784318485</v>
      </c>
      <c r="AM43" s="303">
        <f t="shared" si="17"/>
        <v>0.56458576164683838</v>
      </c>
      <c r="AN43" s="303">
        <f t="shared" si="17"/>
        <v>0.56377541808951082</v>
      </c>
      <c r="AO43" s="303">
        <f t="shared" si="17"/>
        <v>0.56291342571033376</v>
      </c>
      <c r="AP43" s="303">
        <f t="shared" si="17"/>
        <v>0.56245151044225805</v>
      </c>
      <c r="AQ43" s="303">
        <f t="shared" si="17"/>
        <v>0.56151220847595607</v>
      </c>
      <c r="AR43" s="303">
        <f t="shared" si="17"/>
        <v>0.56064852218313288</v>
      </c>
      <c r="AS43" s="303">
        <f t="shared" si="17"/>
        <v>0.55981007333053801</v>
      </c>
      <c r="AT43" s="303">
        <f t="shared" si="17"/>
        <v>0.55894704984860411</v>
      </c>
      <c r="AU43" s="304">
        <f t="shared" si="17"/>
        <v>0.55739341824892774</v>
      </c>
      <c r="AW43" s="302">
        <f t="shared" si="18"/>
        <v>-2.5541764459926619E-2</v>
      </c>
      <c r="AX43" s="302">
        <f t="shared" si="19"/>
        <v>-4.184159652968833E-2</v>
      </c>
    </row>
    <row r="44" spans="1:50" x14ac:dyDescent="0.25">
      <c r="B44" s="261" t="s">
        <v>472</v>
      </c>
      <c r="C44" s="305">
        <f t="shared" si="20"/>
        <v>0.10294003683376719</v>
      </c>
      <c r="D44" s="305">
        <f t="shared" si="17"/>
        <v>0.10606201182366032</v>
      </c>
      <c r="E44" s="305">
        <f t="shared" si="17"/>
        <v>0.10554280479833059</v>
      </c>
      <c r="F44" s="305">
        <f t="shared" si="17"/>
        <v>0.10594718375776817</v>
      </c>
      <c r="G44" s="305">
        <f t="shared" si="17"/>
        <v>0.10503515139583476</v>
      </c>
      <c r="H44" s="305">
        <f t="shared" si="17"/>
        <v>0.10816017530448338</v>
      </c>
      <c r="I44" s="305">
        <f t="shared" si="17"/>
        <v>0.10843668600351607</v>
      </c>
      <c r="J44" s="305">
        <f t="shared" si="17"/>
        <v>0.11039459904247548</v>
      </c>
      <c r="K44" s="305">
        <f t="shared" si="17"/>
        <v>0.11390610368294186</v>
      </c>
      <c r="L44" s="305">
        <f t="shared" si="17"/>
        <v>0.11312134694548226</v>
      </c>
      <c r="M44" s="305">
        <f t="shared" si="17"/>
        <v>0.11043502268719904</v>
      </c>
      <c r="N44" s="305">
        <f t="shared" si="17"/>
        <v>0.11074050283412935</v>
      </c>
      <c r="O44" s="305">
        <f t="shared" si="17"/>
        <v>0.11433889862872072</v>
      </c>
      <c r="P44" s="305">
        <f t="shared" si="17"/>
        <v>0.10833939176995908</v>
      </c>
      <c r="Q44" s="305">
        <f t="shared" si="17"/>
        <v>5.387338440134639E-2</v>
      </c>
      <c r="R44" s="305">
        <f t="shared" si="17"/>
        <v>0.11723064783110237</v>
      </c>
      <c r="S44" s="305">
        <f t="shared" si="17"/>
        <v>0.1200637782372234</v>
      </c>
      <c r="T44" s="305">
        <f t="shared" si="17"/>
        <v>0.12114316754138364</v>
      </c>
      <c r="U44" s="305">
        <f t="shared" si="17"/>
        <v>0.13128201241199464</v>
      </c>
      <c r="V44" s="305">
        <f t="shared" si="17"/>
        <v>0.14223725374187132</v>
      </c>
      <c r="W44" s="305">
        <f t="shared" si="17"/>
        <v>0.14483379305992458</v>
      </c>
      <c r="X44" s="305">
        <f t="shared" si="17"/>
        <v>0.14814320295384134</v>
      </c>
      <c r="Y44" s="305">
        <f t="shared" si="17"/>
        <v>0.15176242016633273</v>
      </c>
      <c r="Z44" s="305">
        <f t="shared" si="17"/>
        <v>0.15548354779427689</v>
      </c>
      <c r="AA44" s="305">
        <f t="shared" si="17"/>
        <v>5.3565512814608751E-2</v>
      </c>
      <c r="AB44" s="305">
        <f t="shared" si="17"/>
        <v>0.16456254374709484</v>
      </c>
      <c r="AC44" s="305">
        <f t="shared" si="17"/>
        <v>0.16624168600107775</v>
      </c>
      <c r="AD44" s="305">
        <f t="shared" si="17"/>
        <v>0.16778275643910498</v>
      </c>
      <c r="AE44" s="305">
        <f t="shared" si="17"/>
        <v>0.16930477407065084</v>
      </c>
      <c r="AF44" s="305">
        <f t="shared" si="17"/>
        <v>0.17094424170019951</v>
      </c>
      <c r="AG44" s="305">
        <f t="shared" si="17"/>
        <v>0.17273454519609582</v>
      </c>
      <c r="AH44" s="305">
        <f t="shared" si="17"/>
        <v>0.17445338999526547</v>
      </c>
      <c r="AI44" s="305">
        <f t="shared" si="17"/>
        <v>0.17611597578368399</v>
      </c>
      <c r="AJ44" s="305">
        <f t="shared" si="17"/>
        <v>0.17773166013091898</v>
      </c>
      <c r="AK44" s="305">
        <f t="shared" si="17"/>
        <v>0.17932843628604714</v>
      </c>
      <c r="AL44" s="305">
        <f t="shared" si="17"/>
        <v>0.18080888341162571</v>
      </c>
      <c r="AM44" s="305">
        <f t="shared" si="17"/>
        <v>0.182317084189726</v>
      </c>
      <c r="AN44" s="305">
        <f t="shared" si="17"/>
        <v>0.1839058485170586</v>
      </c>
      <c r="AO44" s="305">
        <f t="shared" si="17"/>
        <v>0.18551875341705093</v>
      </c>
      <c r="AP44" s="305">
        <f t="shared" si="17"/>
        <v>0.18762159910978665</v>
      </c>
      <c r="AQ44" s="305">
        <f t="shared" si="17"/>
        <v>0.18942037353688448</v>
      </c>
      <c r="AR44" s="305">
        <f t="shared" si="17"/>
        <v>0.19117476139523498</v>
      </c>
      <c r="AS44" s="305">
        <f t="shared" si="17"/>
        <v>0.19285233866371257</v>
      </c>
      <c r="AT44" s="305">
        <f t="shared" si="17"/>
        <v>0.19448212009128513</v>
      </c>
      <c r="AU44" s="306">
        <f t="shared" si="17"/>
        <v>5.303687414570582E-2</v>
      </c>
      <c r="AW44" s="302">
        <f t="shared" si="18"/>
        <v>-5.4773878955350325E-2</v>
      </c>
      <c r="AX44" s="302">
        <f t="shared" si="19"/>
        <v>-5.5302517624253256E-2</v>
      </c>
    </row>
    <row r="45" spans="1:50" x14ac:dyDescent="0.25">
      <c r="B45" s="249" t="s">
        <v>473</v>
      </c>
      <c r="C45" s="307">
        <f t="shared" si="20"/>
        <v>0.84019670780873068</v>
      </c>
      <c r="D45" s="307">
        <f t="shared" si="17"/>
        <v>0.83778021687129245</v>
      </c>
      <c r="E45" s="307">
        <f t="shared" si="17"/>
        <v>0.83949153466899817</v>
      </c>
      <c r="F45" s="307">
        <f t="shared" si="17"/>
        <v>0.83933757148827237</v>
      </c>
      <c r="G45" s="307">
        <f t="shared" si="17"/>
        <v>0.84067634064050567</v>
      </c>
      <c r="H45" s="307">
        <f t="shared" si="17"/>
        <v>0.83795928210077253</v>
      </c>
      <c r="I45" s="307">
        <f t="shared" si="17"/>
        <v>0.83914592203903982</v>
      </c>
      <c r="J45" s="307">
        <f t="shared" ref="J45:AU45" si="21">J10/(J$2-J$3)</f>
        <v>0.83845482211598843</v>
      </c>
      <c r="K45" s="307">
        <f t="shared" si="21"/>
        <v>0.83587628967230188</v>
      </c>
      <c r="L45" s="307">
        <f t="shared" si="21"/>
        <v>0.83844981541418839</v>
      </c>
      <c r="M45" s="307">
        <f t="shared" si="21"/>
        <v>0.84125093072250523</v>
      </c>
      <c r="N45" s="307">
        <f t="shared" si="21"/>
        <v>0.84052580202996519</v>
      </c>
      <c r="O45" s="307">
        <f t="shared" si="21"/>
        <v>0.8367191908107201</v>
      </c>
      <c r="P45" s="307">
        <f t="shared" si="21"/>
        <v>0.83761730472824891</v>
      </c>
      <c r="Q45" s="307">
        <f t="shared" si="21"/>
        <v>0.83412498792774015</v>
      </c>
      <c r="R45" s="307">
        <f t="shared" si="21"/>
        <v>0.82994958870567703</v>
      </c>
      <c r="S45" s="307">
        <f t="shared" si="21"/>
        <v>0.82734150891653901</v>
      </c>
      <c r="T45" s="307">
        <f t="shared" si="21"/>
        <v>0.82632052384853039</v>
      </c>
      <c r="U45" s="307">
        <f t="shared" si="21"/>
        <v>0.81889897075846674</v>
      </c>
      <c r="V45" s="307">
        <f t="shared" si="21"/>
        <v>0.81041224032763648</v>
      </c>
      <c r="W45" s="307">
        <f t="shared" si="21"/>
        <v>0.80668045789547538</v>
      </c>
      <c r="X45" s="307">
        <f t="shared" si="21"/>
        <v>0.80210842426878992</v>
      </c>
      <c r="Y45" s="307">
        <f t="shared" si="21"/>
        <v>0.79721257684039004</v>
      </c>
      <c r="Z45" s="307">
        <f t="shared" si="21"/>
        <v>0.79214095191706813</v>
      </c>
      <c r="AA45" s="307">
        <f t="shared" si="21"/>
        <v>0.78397189751012697</v>
      </c>
      <c r="AB45" s="307">
        <f t="shared" si="21"/>
        <v>0.7817429884609931</v>
      </c>
      <c r="AC45" s="307">
        <f t="shared" si="21"/>
        <v>0.78011546978387714</v>
      </c>
      <c r="AD45" s="307">
        <f t="shared" si="21"/>
        <v>0.77857307974867662</v>
      </c>
      <c r="AE45" s="307">
        <f t="shared" si="21"/>
        <v>0.77712005436841403</v>
      </c>
      <c r="AF45" s="307">
        <f t="shared" si="21"/>
        <v>0.77555078537438404</v>
      </c>
      <c r="AG45" s="307">
        <f t="shared" si="21"/>
        <v>0.77371424394435173</v>
      </c>
      <c r="AH45" s="307">
        <f t="shared" si="21"/>
        <v>0.77202042856753128</v>
      </c>
      <c r="AI45" s="307">
        <f t="shared" si="21"/>
        <v>0.77042026670799746</v>
      </c>
      <c r="AJ45" s="307">
        <f t="shared" si="21"/>
        <v>0.76885141497095599</v>
      </c>
      <c r="AK45" s="307">
        <f t="shared" si="21"/>
        <v>0.76728264645940514</v>
      </c>
      <c r="AL45" s="307">
        <f t="shared" si="21"/>
        <v>0.76588931131743454</v>
      </c>
      <c r="AM45" s="307">
        <f t="shared" si="21"/>
        <v>0.76442776519533739</v>
      </c>
      <c r="AN45" s="307">
        <f t="shared" si="21"/>
        <v>0.76286016129571232</v>
      </c>
      <c r="AO45" s="307">
        <f t="shared" si="21"/>
        <v>0.7612804270051059</v>
      </c>
      <c r="AP45" s="307">
        <f t="shared" si="21"/>
        <v>0.75900060863567664</v>
      </c>
      <c r="AQ45" s="307">
        <f t="shared" si="21"/>
        <v>0.75723568718277445</v>
      </c>
      <c r="AR45" s="307">
        <f t="shared" si="21"/>
        <v>0.75548892146395574</v>
      </c>
      <c r="AS45" s="307">
        <f t="shared" si="21"/>
        <v>0.75381405611448693</v>
      </c>
      <c r="AT45" s="307">
        <f t="shared" si="21"/>
        <v>0.75219945651662934</v>
      </c>
      <c r="AU45" s="308">
        <f t="shared" si="21"/>
        <v>0.75071629755339697</v>
      </c>
      <c r="AW45" s="309">
        <f>AA45-P45</f>
        <v>-5.3645407218121943E-2</v>
      </c>
      <c r="AX45" s="309">
        <f>AU45-P45</f>
        <v>-8.6901007174851941E-2</v>
      </c>
    </row>
    <row r="46" spans="1:50" x14ac:dyDescent="0.25">
      <c r="C46" s="265"/>
      <c r="D46" s="265"/>
      <c r="E46" s="265"/>
      <c r="F46" s="265"/>
      <c r="G46" s="265"/>
      <c r="H46" s="265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</row>
    <row r="47" spans="1:50" s="244" customFormat="1" ht="45" customHeight="1" x14ac:dyDescent="0.25">
      <c r="A47" s="239" t="s">
        <v>474</v>
      </c>
      <c r="B47" s="240" t="s">
        <v>497</v>
      </c>
      <c r="C47" s="242">
        <v>2006</v>
      </c>
      <c r="D47" s="242">
        <v>2007</v>
      </c>
      <c r="E47" s="242">
        <v>2008</v>
      </c>
      <c r="F47" s="242">
        <v>2009</v>
      </c>
      <c r="G47" s="242">
        <v>2010</v>
      </c>
      <c r="H47" s="242">
        <v>2011</v>
      </c>
      <c r="I47" s="242">
        <v>2012</v>
      </c>
      <c r="J47" s="242">
        <v>2013</v>
      </c>
      <c r="K47" s="242">
        <v>2014</v>
      </c>
      <c r="L47" s="242">
        <v>2015</v>
      </c>
      <c r="M47" s="242">
        <v>2016</v>
      </c>
      <c r="N47" s="242">
        <v>2017</v>
      </c>
      <c r="O47" s="242">
        <v>2018</v>
      </c>
      <c r="P47" s="242">
        <v>2019</v>
      </c>
      <c r="Q47" s="242">
        <v>2020</v>
      </c>
      <c r="R47" s="242">
        <v>2021</v>
      </c>
      <c r="S47" s="242">
        <v>2022</v>
      </c>
      <c r="T47" s="242">
        <v>2023</v>
      </c>
      <c r="U47" s="242">
        <v>2024</v>
      </c>
      <c r="V47" s="242">
        <v>2025</v>
      </c>
      <c r="W47" s="242">
        <v>2026</v>
      </c>
      <c r="X47" s="242">
        <v>2027</v>
      </c>
      <c r="Y47" s="242">
        <v>2028</v>
      </c>
      <c r="Z47" s="242">
        <v>2029</v>
      </c>
      <c r="AA47" s="242">
        <v>2030</v>
      </c>
      <c r="AB47" s="242">
        <v>2031</v>
      </c>
      <c r="AC47" s="242">
        <v>2032</v>
      </c>
      <c r="AD47" s="242">
        <v>2033</v>
      </c>
      <c r="AE47" s="242">
        <v>2034</v>
      </c>
      <c r="AF47" s="242">
        <v>2035</v>
      </c>
      <c r="AG47" s="242">
        <v>2036</v>
      </c>
      <c r="AH47" s="242">
        <v>2037</v>
      </c>
      <c r="AI47" s="242">
        <v>2038</v>
      </c>
      <c r="AJ47" s="242">
        <v>2039</v>
      </c>
      <c r="AK47" s="242">
        <v>2040</v>
      </c>
      <c r="AL47" s="242">
        <v>2041</v>
      </c>
      <c r="AM47" s="242">
        <v>2042</v>
      </c>
      <c r="AN47" s="242">
        <v>2043</v>
      </c>
      <c r="AO47" s="242">
        <v>2044</v>
      </c>
      <c r="AP47" s="242">
        <v>2045</v>
      </c>
      <c r="AQ47" s="242">
        <v>2046</v>
      </c>
      <c r="AR47" s="242">
        <v>2047</v>
      </c>
      <c r="AS47" s="242">
        <v>2048</v>
      </c>
      <c r="AT47" s="242">
        <v>2049</v>
      </c>
      <c r="AU47" s="243">
        <v>2050</v>
      </c>
      <c r="AW47" s="242" t="s">
        <v>498</v>
      </c>
      <c r="AX47" s="242" t="s">
        <v>499</v>
      </c>
    </row>
    <row r="48" spans="1:50" x14ac:dyDescent="0.25">
      <c r="B48" s="245" t="s">
        <v>1</v>
      </c>
      <c r="C48" s="246">
        <f t="shared" ref="C48:AU48" si="22">C49+C50+C53</f>
        <v>1</v>
      </c>
      <c r="D48" s="247">
        <f t="shared" si="22"/>
        <v>1</v>
      </c>
      <c r="E48" s="247">
        <f t="shared" si="22"/>
        <v>1</v>
      </c>
      <c r="F48" s="247">
        <f t="shared" si="22"/>
        <v>0.99999999999999978</v>
      </c>
      <c r="G48" s="247">
        <f t="shared" si="22"/>
        <v>1</v>
      </c>
      <c r="H48" s="247">
        <f t="shared" si="22"/>
        <v>0.99999999999999989</v>
      </c>
      <c r="I48" s="247">
        <f t="shared" si="22"/>
        <v>1</v>
      </c>
      <c r="J48" s="247">
        <f t="shared" si="22"/>
        <v>1</v>
      </c>
      <c r="K48" s="247">
        <f t="shared" si="22"/>
        <v>1.0000000000000002</v>
      </c>
      <c r="L48" s="247">
        <f t="shared" si="22"/>
        <v>1</v>
      </c>
      <c r="M48" s="247">
        <f t="shared" si="22"/>
        <v>1.0000018143525276</v>
      </c>
      <c r="N48" s="247">
        <f t="shared" si="22"/>
        <v>1.0000049501166548</v>
      </c>
      <c r="O48" s="247">
        <f t="shared" si="22"/>
        <v>1.0000062647040013</v>
      </c>
      <c r="P48" s="247">
        <f t="shared" si="22"/>
        <v>1.0000034232882355</v>
      </c>
      <c r="Q48" s="247">
        <f t="shared" si="22"/>
        <v>0.99932982245509216</v>
      </c>
      <c r="R48" s="247">
        <f t="shared" si="22"/>
        <v>1.0005358058529055</v>
      </c>
      <c r="S48" s="247">
        <f t="shared" si="22"/>
        <v>1.0004892820784606</v>
      </c>
      <c r="T48" s="247">
        <f t="shared" si="22"/>
        <v>1.0019199961349883</v>
      </c>
      <c r="U48" s="247">
        <f t="shared" si="22"/>
        <v>0.99731226186496358</v>
      </c>
      <c r="V48" s="247">
        <f t="shared" si="22"/>
        <v>1.0044828625094386</v>
      </c>
      <c r="W48" s="247">
        <f t="shared" si="22"/>
        <v>0.99241672621356014</v>
      </c>
      <c r="X48" s="247">
        <f t="shared" si="22"/>
        <v>0.98697313321080338</v>
      </c>
      <c r="Y48" s="247">
        <f t="shared" si="22"/>
        <v>0.98395898971254492</v>
      </c>
      <c r="Z48" s="247">
        <f t="shared" si="22"/>
        <v>0.98182340840541205</v>
      </c>
      <c r="AA48" s="247">
        <f t="shared" si="22"/>
        <v>0.98767091698929688</v>
      </c>
      <c r="AB48" s="247">
        <f t="shared" si="22"/>
        <v>0.98086074460520445</v>
      </c>
      <c r="AC48" s="247">
        <f t="shared" si="22"/>
        <v>0.97928305801799809</v>
      </c>
      <c r="AD48" s="247">
        <f t="shared" si="22"/>
        <v>0.97834323225031072</v>
      </c>
      <c r="AE48" s="247">
        <f t="shared" si="22"/>
        <v>0.9777621385512012</v>
      </c>
      <c r="AF48" s="247">
        <f t="shared" si="22"/>
        <v>0.98468323750706022</v>
      </c>
      <c r="AG48" s="247">
        <f t="shared" si="22"/>
        <v>0.98083072030658414</v>
      </c>
      <c r="AH48" s="247">
        <f t="shared" si="22"/>
        <v>0.97926657709652587</v>
      </c>
      <c r="AI48" s="247">
        <f t="shared" si="22"/>
        <v>0.9786663753979481</v>
      </c>
      <c r="AJ48" s="247">
        <f t="shared" si="22"/>
        <v>0.97839990284784184</v>
      </c>
      <c r="AK48" s="247">
        <f t="shared" si="22"/>
        <v>0.97826394736064071</v>
      </c>
      <c r="AL48" s="247">
        <f t="shared" si="22"/>
        <v>0.98006465466419068</v>
      </c>
      <c r="AM48" s="247">
        <f t="shared" si="22"/>
        <v>0.98100076343692577</v>
      </c>
      <c r="AN48" s="247">
        <f t="shared" si="22"/>
        <v>0.98134790389724191</v>
      </c>
      <c r="AO48" s="247">
        <f t="shared" si="22"/>
        <v>0.98148260104394081</v>
      </c>
      <c r="AP48" s="247">
        <f t="shared" si="22"/>
        <v>0.9880522856570384</v>
      </c>
      <c r="AQ48" s="247">
        <f t="shared" si="22"/>
        <v>0.987183127445589</v>
      </c>
      <c r="AR48" s="247">
        <f t="shared" si="22"/>
        <v>0.98709333503582175</v>
      </c>
      <c r="AS48" s="247">
        <f t="shared" si="22"/>
        <v>0.98723119179330443</v>
      </c>
      <c r="AT48" s="247">
        <f t="shared" si="22"/>
        <v>0.9875220746350315</v>
      </c>
      <c r="AU48" s="248">
        <f t="shared" si="22"/>
        <v>0.98866953914305622</v>
      </c>
    </row>
    <row r="49" spans="1:50" x14ac:dyDescent="0.25">
      <c r="B49" s="249" t="s">
        <v>466</v>
      </c>
      <c r="C49" s="299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2"/>
      <c r="AW49" s="253"/>
    </row>
    <row r="50" spans="1:50" x14ac:dyDescent="0.25">
      <c r="B50" s="254" t="s">
        <v>467</v>
      </c>
      <c r="C50" s="300">
        <f>C15/(C$2-C$3)</f>
        <v>0.29999999998794452</v>
      </c>
      <c r="D50" s="300">
        <f t="shared" ref="D50:AU51" si="23">D15/(D$2-D$3)</f>
        <v>0.30666223948168925</v>
      </c>
      <c r="E50" s="300">
        <f t="shared" si="23"/>
        <v>0.31171846096155315</v>
      </c>
      <c r="F50" s="300">
        <f t="shared" si="23"/>
        <v>0.31501513398500031</v>
      </c>
      <c r="G50" s="300">
        <f t="shared" si="23"/>
        <v>0.31770261334061428</v>
      </c>
      <c r="H50" s="300">
        <f t="shared" si="23"/>
        <v>0.32358280137046225</v>
      </c>
      <c r="I50" s="300">
        <f t="shared" si="23"/>
        <v>0.33118997400650974</v>
      </c>
      <c r="J50" s="300">
        <f t="shared" si="23"/>
        <v>0.33982211862674228</v>
      </c>
      <c r="K50" s="300">
        <f t="shared" si="23"/>
        <v>0.34863116669091626</v>
      </c>
      <c r="L50" s="300">
        <f t="shared" si="23"/>
        <v>0.3575104677156199</v>
      </c>
      <c r="M50" s="300">
        <f t="shared" si="23"/>
        <v>0.35588808483611961</v>
      </c>
      <c r="N50" s="300">
        <f t="shared" si="23"/>
        <v>0.35414086454290228</v>
      </c>
      <c r="O50" s="300">
        <f t="shared" si="23"/>
        <v>0.3553781135201195</v>
      </c>
      <c r="P50" s="300">
        <f t="shared" si="23"/>
        <v>0.34634208160206653</v>
      </c>
      <c r="Q50" s="300">
        <f t="shared" si="23"/>
        <v>0.35148812806062074</v>
      </c>
      <c r="R50" s="300">
        <f t="shared" si="23"/>
        <v>0.35923003850970969</v>
      </c>
      <c r="S50" s="300">
        <f t="shared" si="23"/>
        <v>0.36176812956345644</v>
      </c>
      <c r="T50" s="300">
        <f t="shared" si="23"/>
        <v>0.36338271086872992</v>
      </c>
      <c r="U50" s="300">
        <f t="shared" si="23"/>
        <v>0.36189275910359175</v>
      </c>
      <c r="V50" s="300">
        <f t="shared" si="23"/>
        <v>0.36871787038177251</v>
      </c>
      <c r="W50" s="300">
        <f t="shared" si="23"/>
        <v>0.36019367067967245</v>
      </c>
      <c r="X50" s="300">
        <f t="shared" si="23"/>
        <v>0.35641426544185711</v>
      </c>
      <c r="Y50" s="300">
        <f t="shared" si="23"/>
        <v>0.35465877975154919</v>
      </c>
      <c r="Z50" s="300">
        <f t="shared" si="23"/>
        <v>0.35364172425582069</v>
      </c>
      <c r="AA50" s="300">
        <f t="shared" si="23"/>
        <v>0.35952864410873142</v>
      </c>
      <c r="AB50" s="300">
        <f t="shared" si="23"/>
        <v>0.35385287185437614</v>
      </c>
      <c r="AC50" s="300">
        <f t="shared" si="23"/>
        <v>0.35306495334084204</v>
      </c>
      <c r="AD50" s="300">
        <f t="shared" si="23"/>
        <v>0.35248416556218343</v>
      </c>
      <c r="AE50" s="300">
        <f t="shared" si="23"/>
        <v>0.35233986915792631</v>
      </c>
      <c r="AF50" s="300">
        <f t="shared" si="23"/>
        <v>0.3583922993743876</v>
      </c>
      <c r="AG50" s="300">
        <f t="shared" si="23"/>
        <v>0.35530688832671575</v>
      </c>
      <c r="AH50" s="300">
        <f t="shared" si="23"/>
        <v>0.35430593101560603</v>
      </c>
      <c r="AI50" s="300">
        <f t="shared" si="23"/>
        <v>0.35419172782514524</v>
      </c>
      <c r="AJ50" s="300">
        <f t="shared" si="23"/>
        <v>0.35433505795388381</v>
      </c>
      <c r="AK50" s="300">
        <f t="shared" si="23"/>
        <v>0.35456479555125703</v>
      </c>
      <c r="AL50" s="300">
        <f t="shared" si="23"/>
        <v>0.35633022603807185</v>
      </c>
      <c r="AM50" s="300">
        <f t="shared" si="23"/>
        <v>0.35736946533162456</v>
      </c>
      <c r="AN50" s="300">
        <f t="shared" si="23"/>
        <v>0.35807404053057174</v>
      </c>
      <c r="AO50" s="300">
        <f t="shared" si="23"/>
        <v>0.35863842190232548</v>
      </c>
      <c r="AP50" s="300">
        <f t="shared" si="23"/>
        <v>0.36380411079133296</v>
      </c>
      <c r="AQ50" s="300">
        <f t="shared" si="23"/>
        <v>0.36301230764686754</v>
      </c>
      <c r="AR50" s="300">
        <f t="shared" si="23"/>
        <v>0.36310575288816399</v>
      </c>
      <c r="AS50" s="300">
        <f t="shared" si="23"/>
        <v>0.36351550362071516</v>
      </c>
      <c r="AT50" s="300">
        <f t="shared" si="23"/>
        <v>0.36403573925160593</v>
      </c>
      <c r="AU50" s="301">
        <f t="shared" si="23"/>
        <v>0.36491999858350538</v>
      </c>
      <c r="AW50" s="302">
        <f t="shared" ref="AW50:AW55" si="24">AA50-P50</f>
        <v>1.3186562506664889E-2</v>
      </c>
      <c r="AX50" s="302">
        <f t="shared" ref="AX50:AX55" si="25">AU50-P50</f>
        <v>1.8577916981438847E-2</v>
      </c>
    </row>
    <row r="51" spans="1:50" x14ac:dyDescent="0.25">
      <c r="B51" s="258" t="s">
        <v>468</v>
      </c>
      <c r="C51" s="303">
        <f>C16/(C$2-C$3)</f>
        <v>0.1970599631421219</v>
      </c>
      <c r="D51" s="303">
        <f t="shared" si="23"/>
        <v>0.20060524909792574</v>
      </c>
      <c r="E51" s="303">
        <f t="shared" si="23"/>
        <v>0.20621788623453335</v>
      </c>
      <c r="F51" s="303">
        <f t="shared" si="23"/>
        <v>0.20911423799220455</v>
      </c>
      <c r="G51" s="303">
        <f t="shared" si="23"/>
        <v>0.21273772768900606</v>
      </c>
      <c r="H51" s="303">
        <f t="shared" si="23"/>
        <v>0.21550384100300629</v>
      </c>
      <c r="I51" s="303">
        <f t="shared" si="23"/>
        <v>0.22287185689567102</v>
      </c>
      <c r="J51" s="303">
        <f t="shared" si="23"/>
        <v>0.22955424911378289</v>
      </c>
      <c r="K51" s="303">
        <f t="shared" si="23"/>
        <v>0.2348578253371956</v>
      </c>
      <c r="L51" s="303">
        <f t="shared" si="23"/>
        <v>0.24461394277705989</v>
      </c>
      <c r="M51" s="303">
        <f t="shared" si="23"/>
        <v>0.24570766940324298</v>
      </c>
      <c r="N51" s="303">
        <f t="shared" si="23"/>
        <v>0.24365761244995249</v>
      </c>
      <c r="O51" s="303">
        <f t="shared" si="23"/>
        <v>0.24136313435208115</v>
      </c>
      <c r="P51" s="303">
        <f t="shared" si="23"/>
        <v>0.23838382734239938</v>
      </c>
      <c r="Q51" s="303">
        <f t="shared" si="23"/>
        <v>0.23990234912768105</v>
      </c>
      <c r="R51" s="303">
        <f t="shared" si="23"/>
        <v>0.24247988780239593</v>
      </c>
      <c r="S51" s="303">
        <f t="shared" si="23"/>
        <v>0.24221655853365193</v>
      </c>
      <c r="T51" s="303">
        <f t="shared" si="23"/>
        <v>0.2377265771852905</v>
      </c>
      <c r="U51" s="303">
        <f t="shared" si="23"/>
        <v>0.23570102824264477</v>
      </c>
      <c r="V51" s="303">
        <f t="shared" si="23"/>
        <v>0.20945152852298837</v>
      </c>
      <c r="W51" s="303">
        <f t="shared" si="23"/>
        <v>0.20196735705562691</v>
      </c>
      <c r="X51" s="303">
        <f t="shared" si="23"/>
        <v>0.19986900838620569</v>
      </c>
      <c r="Y51" s="303">
        <f t="shared" si="23"/>
        <v>0.19959411712409542</v>
      </c>
      <c r="Z51" s="303">
        <f t="shared" si="23"/>
        <v>0.19993267184346342</v>
      </c>
      <c r="AA51" s="303">
        <f t="shared" si="23"/>
        <v>0.18303192233141108</v>
      </c>
      <c r="AB51" s="303">
        <f t="shared" si="23"/>
        <v>0.18005682692276598</v>
      </c>
      <c r="AC51" s="303">
        <f t="shared" si="23"/>
        <v>0.18223650001425265</v>
      </c>
      <c r="AD51" s="303">
        <f t="shared" si="23"/>
        <v>0.18450920077389793</v>
      </c>
      <c r="AE51" s="303">
        <f t="shared" si="23"/>
        <v>0.18704631275429359</v>
      </c>
      <c r="AF51" s="303">
        <f t="shared" si="23"/>
        <v>0.18247288847057741</v>
      </c>
      <c r="AG51" s="303">
        <f t="shared" si="23"/>
        <v>0.18202358779128253</v>
      </c>
      <c r="AH51" s="303">
        <f t="shared" si="23"/>
        <v>0.18338685927808293</v>
      </c>
      <c r="AI51" s="303">
        <f t="shared" si="23"/>
        <v>0.18546571139342724</v>
      </c>
      <c r="AJ51" s="303">
        <f t="shared" si="23"/>
        <v>0.18771972368672354</v>
      </c>
      <c r="AK51" s="303">
        <f t="shared" si="23"/>
        <v>0.1899834239501095</v>
      </c>
      <c r="AL51" s="303">
        <f t="shared" si="23"/>
        <v>0.19396729431868212</v>
      </c>
      <c r="AM51" s="303">
        <f t="shared" si="23"/>
        <v>0.19698484801794611</v>
      </c>
      <c r="AN51" s="303">
        <f t="shared" si="23"/>
        <v>0.19940949988269269</v>
      </c>
      <c r="AO51" s="303">
        <f t="shared" si="23"/>
        <v>0.20148276753556629</v>
      </c>
      <c r="AP51" s="303">
        <f t="shared" si="23"/>
        <v>0.19449272446000201</v>
      </c>
      <c r="AQ51" s="303">
        <f t="shared" si="23"/>
        <v>0.19544296573487241</v>
      </c>
      <c r="AR51" s="303">
        <f t="shared" si="23"/>
        <v>0.19727279005071913</v>
      </c>
      <c r="AS51" s="303">
        <f t="shared" si="23"/>
        <v>0.19940841069121706</v>
      </c>
      <c r="AT51" s="303">
        <f t="shared" si="23"/>
        <v>0.20162412979780978</v>
      </c>
      <c r="AU51" s="304">
        <f t="shared" si="23"/>
        <v>0.20400497655848959</v>
      </c>
      <c r="AW51" s="302">
        <f t="shared" si="24"/>
        <v>-5.53519050109883E-2</v>
      </c>
      <c r="AX51" s="302">
        <f t="shared" si="25"/>
        <v>-3.4378850783909787E-2</v>
      </c>
    </row>
    <row r="52" spans="1:50" x14ac:dyDescent="0.25">
      <c r="B52" s="261" t="s">
        <v>469</v>
      </c>
      <c r="C52" s="305">
        <f t="shared" ref="C52:AU56" si="26">C17/(C$2-C$3)</f>
        <v>5.6863255333391156E-2</v>
      </c>
      <c r="D52" s="305">
        <f t="shared" si="26"/>
        <v>5.616303753882488E-2</v>
      </c>
      <c r="E52" s="305">
        <f t="shared" si="26"/>
        <v>5.5013526284610731E-2</v>
      </c>
      <c r="F52" s="305">
        <f t="shared" si="26"/>
        <v>5.4767144216207875E-2</v>
      </c>
      <c r="G52" s="305">
        <f t="shared" si="26"/>
        <v>5.4364714670116297E-2</v>
      </c>
      <c r="H52" s="305">
        <f t="shared" si="26"/>
        <v>5.396769875827883E-2</v>
      </c>
      <c r="I52" s="305">
        <f t="shared" si="26"/>
        <v>5.2548623331208841E-2</v>
      </c>
      <c r="J52" s="305">
        <f t="shared" si="26"/>
        <v>5.1293318403329347E-2</v>
      </c>
      <c r="K52" s="305">
        <f t="shared" si="26"/>
        <v>5.0366795337073805E-2</v>
      </c>
      <c r="L52" s="305">
        <f t="shared" si="26"/>
        <v>4.8680909162672932E-2</v>
      </c>
      <c r="M52" s="305">
        <f t="shared" si="26"/>
        <v>4.8596845575134717E-2</v>
      </c>
      <c r="N52" s="305">
        <f t="shared" si="26"/>
        <v>4.9021137209792343E-2</v>
      </c>
      <c r="O52" s="305">
        <f t="shared" si="26"/>
        <v>4.9297671457197642E-2</v>
      </c>
      <c r="P52" s="305">
        <f t="shared" si="26"/>
        <v>5.4679456759419459E-2</v>
      </c>
      <c r="Q52" s="305">
        <f t="shared" si="26"/>
        <v>0.11200058772039109</v>
      </c>
      <c r="R52" s="305">
        <f t="shared" si="26"/>
        <v>5.2817745389848798E-2</v>
      </c>
      <c r="S52" s="305">
        <f t="shared" si="26"/>
        <v>5.2592631296982592E-2</v>
      </c>
      <c r="T52" s="305">
        <f t="shared" si="26"/>
        <v>5.2349482386247995E-2</v>
      </c>
      <c r="U52" s="305">
        <f t="shared" si="26"/>
        <v>5.0910256805787493E-2</v>
      </c>
      <c r="V52" s="305">
        <f t="shared" si="26"/>
        <v>4.843660187819139E-2</v>
      </c>
      <c r="W52" s="305">
        <f t="shared" si="26"/>
        <v>4.8219044903458054E-2</v>
      </c>
      <c r="X52" s="305">
        <f t="shared" si="26"/>
        <v>4.8494949166807091E-2</v>
      </c>
      <c r="Y52" s="305">
        <f t="shared" si="26"/>
        <v>4.8573387712744345E-2</v>
      </c>
      <c r="Z52" s="305">
        <f t="shared" si="26"/>
        <v>4.8577044279755621E-2</v>
      </c>
      <c r="AA52" s="305">
        <f t="shared" si="26"/>
        <v>0.18629995319197157</v>
      </c>
      <c r="AB52" s="305">
        <f t="shared" si="26"/>
        <v>4.82537558043113E-2</v>
      </c>
      <c r="AC52" s="305">
        <f t="shared" si="26"/>
        <v>4.8263590313815462E-2</v>
      </c>
      <c r="AD52" s="305">
        <f t="shared" si="26"/>
        <v>4.8287980132021145E-2</v>
      </c>
      <c r="AE52" s="305">
        <f t="shared" si="26"/>
        <v>4.8250447279450423E-2</v>
      </c>
      <c r="AF52" s="305">
        <f t="shared" si="26"/>
        <v>4.7531406935349775E-2</v>
      </c>
      <c r="AG52" s="305">
        <f t="shared" si="26"/>
        <v>4.7863102825002779E-2</v>
      </c>
      <c r="AH52" s="305">
        <f t="shared" si="26"/>
        <v>4.795996737194174E-2</v>
      </c>
      <c r="AI52" s="305">
        <f t="shared" si="26"/>
        <v>4.7952207519494389E-2</v>
      </c>
      <c r="AJ52" s="305">
        <f t="shared" si="26"/>
        <v>4.7914619196257842E-2</v>
      </c>
      <c r="AK52" s="305">
        <f t="shared" si="26"/>
        <v>4.7864755322221481E-2</v>
      </c>
      <c r="AL52" s="305">
        <f t="shared" si="26"/>
        <v>4.7651051818849849E-2</v>
      </c>
      <c r="AM52" s="305">
        <f t="shared" si="26"/>
        <v>4.7516290674844197E-2</v>
      </c>
      <c r="AN52" s="305">
        <f t="shared" si="26"/>
        <v>4.7398548022159571E-2</v>
      </c>
      <c r="AO52" s="305">
        <f t="shared" si="26"/>
        <v>4.7294787347555593E-2</v>
      </c>
      <c r="AP52" s="305">
        <f t="shared" si="26"/>
        <v>4.6794805947706755E-2</v>
      </c>
      <c r="AQ52" s="305">
        <f t="shared" si="26"/>
        <v>4.6935832207325785E-2</v>
      </c>
      <c r="AR52" s="305">
        <f t="shared" si="26"/>
        <v>4.6945140741495528E-2</v>
      </c>
      <c r="AS52" s="305">
        <f t="shared" si="26"/>
        <v>4.6896800759911858E-2</v>
      </c>
      <c r="AT52" s="305">
        <f t="shared" si="26"/>
        <v>4.6834317775773446E-2</v>
      </c>
      <c r="AU52" s="306">
        <f t="shared" si="26"/>
        <v>0.17219965675672866</v>
      </c>
      <c r="AW52" s="302">
        <f t="shared" si="24"/>
        <v>0.13162049643255211</v>
      </c>
      <c r="AX52" s="302">
        <f t="shared" si="25"/>
        <v>0.1175201999973092</v>
      </c>
    </row>
    <row r="53" spans="1:50" x14ac:dyDescent="0.25">
      <c r="B53" s="258" t="s">
        <v>470</v>
      </c>
      <c r="C53" s="303">
        <f t="shared" si="26"/>
        <v>0.70000000001205542</v>
      </c>
      <c r="D53" s="303">
        <f t="shared" si="26"/>
        <v>0.69333776051831075</v>
      </c>
      <c r="E53" s="303">
        <f t="shared" si="26"/>
        <v>0.6882815390384468</v>
      </c>
      <c r="F53" s="303">
        <f t="shared" si="26"/>
        <v>0.68498486601499953</v>
      </c>
      <c r="G53" s="303">
        <f t="shared" si="26"/>
        <v>0.68229738665938566</v>
      </c>
      <c r="H53" s="303">
        <f t="shared" si="26"/>
        <v>0.67641719862953764</v>
      </c>
      <c r="I53" s="303">
        <f t="shared" si="26"/>
        <v>0.66881002599349026</v>
      </c>
      <c r="J53" s="303">
        <f t="shared" si="26"/>
        <v>0.66017788137325772</v>
      </c>
      <c r="K53" s="303">
        <f t="shared" si="26"/>
        <v>0.65136883330908391</v>
      </c>
      <c r="L53" s="303">
        <f t="shared" si="26"/>
        <v>0.64248953228438022</v>
      </c>
      <c r="M53" s="303">
        <f t="shared" si="26"/>
        <v>0.64411372951640788</v>
      </c>
      <c r="N53" s="303">
        <f t="shared" si="26"/>
        <v>0.64586408557375252</v>
      </c>
      <c r="O53" s="303">
        <f t="shared" si="26"/>
        <v>0.64462815118388184</v>
      </c>
      <c r="P53" s="303">
        <f t="shared" si="26"/>
        <v>0.65366134168616907</v>
      </c>
      <c r="Q53" s="303">
        <f t="shared" si="26"/>
        <v>0.64784169439447148</v>
      </c>
      <c r="R53" s="303">
        <f t="shared" si="26"/>
        <v>0.64130576734319578</v>
      </c>
      <c r="S53" s="303">
        <f t="shared" si="26"/>
        <v>0.63872115251500405</v>
      </c>
      <c r="T53" s="303">
        <f t="shared" si="26"/>
        <v>0.6385372852662583</v>
      </c>
      <c r="U53" s="303">
        <f t="shared" si="26"/>
        <v>0.63541950276137182</v>
      </c>
      <c r="V53" s="303">
        <f t="shared" si="26"/>
        <v>0.63576499212766613</v>
      </c>
      <c r="W53" s="303">
        <f t="shared" si="26"/>
        <v>0.63222305553388769</v>
      </c>
      <c r="X53" s="303">
        <f t="shared" si="26"/>
        <v>0.63055886776894621</v>
      </c>
      <c r="Y53" s="303">
        <f t="shared" si="26"/>
        <v>0.62930020996099578</v>
      </c>
      <c r="Z53" s="303">
        <f t="shared" si="26"/>
        <v>0.62818168414959141</v>
      </c>
      <c r="AA53" s="303">
        <f t="shared" si="26"/>
        <v>0.62814227288056546</v>
      </c>
      <c r="AB53" s="303">
        <f t="shared" si="26"/>
        <v>0.62700787275082837</v>
      </c>
      <c r="AC53" s="303">
        <f t="shared" si="26"/>
        <v>0.62621810467715611</v>
      </c>
      <c r="AD53" s="303">
        <f t="shared" si="26"/>
        <v>0.6258590666881273</v>
      </c>
      <c r="AE53" s="303">
        <f t="shared" si="26"/>
        <v>0.62542226939327483</v>
      </c>
      <c r="AF53" s="303">
        <f t="shared" si="26"/>
        <v>0.62629093813267256</v>
      </c>
      <c r="AG53" s="303">
        <f t="shared" si="26"/>
        <v>0.62552383197986838</v>
      </c>
      <c r="AH53" s="303">
        <f t="shared" si="26"/>
        <v>0.62496064608091983</v>
      </c>
      <c r="AI53" s="303">
        <f t="shared" si="26"/>
        <v>0.6244746475728028</v>
      </c>
      <c r="AJ53" s="303">
        <f t="shared" si="26"/>
        <v>0.62406484489395797</v>
      </c>
      <c r="AK53" s="303">
        <f t="shared" si="26"/>
        <v>0.62369915180938362</v>
      </c>
      <c r="AL53" s="303">
        <f t="shared" si="26"/>
        <v>0.62373442862611883</v>
      </c>
      <c r="AM53" s="303">
        <f t="shared" si="26"/>
        <v>0.62363129810530116</v>
      </c>
      <c r="AN53" s="303">
        <f t="shared" si="26"/>
        <v>0.62327386336667023</v>
      </c>
      <c r="AO53" s="303">
        <f t="shared" si="26"/>
        <v>0.62284417914161538</v>
      </c>
      <c r="AP53" s="303">
        <f t="shared" si="26"/>
        <v>0.6242481748657055</v>
      </c>
      <c r="AQ53" s="303">
        <f t="shared" si="26"/>
        <v>0.62417081979872147</v>
      </c>
      <c r="AR53" s="303">
        <f t="shared" si="26"/>
        <v>0.6239875821476577</v>
      </c>
      <c r="AS53" s="303">
        <f t="shared" si="26"/>
        <v>0.62371568817258927</v>
      </c>
      <c r="AT53" s="303">
        <f t="shared" si="26"/>
        <v>0.62348633538342557</v>
      </c>
      <c r="AU53" s="304">
        <f t="shared" si="26"/>
        <v>0.6237495405595509</v>
      </c>
      <c r="AW53" s="302">
        <f t="shared" si="24"/>
        <v>-2.5519068805603617E-2</v>
      </c>
      <c r="AX53" s="302">
        <f t="shared" si="25"/>
        <v>-2.9911801126618176E-2</v>
      </c>
    </row>
    <row r="54" spans="1:50" x14ac:dyDescent="0.25">
      <c r="B54" s="258" t="s">
        <v>471</v>
      </c>
      <c r="C54" s="303">
        <f t="shared" si="26"/>
        <v>0.64313674466660875</v>
      </c>
      <c r="D54" s="303">
        <f t="shared" si="26"/>
        <v>0.63717496777336669</v>
      </c>
      <c r="E54" s="303">
        <f t="shared" si="26"/>
        <v>0.63327364843446488</v>
      </c>
      <c r="F54" s="303">
        <f t="shared" si="26"/>
        <v>0.63022333349606774</v>
      </c>
      <c r="G54" s="303">
        <f t="shared" si="26"/>
        <v>0.62793861295149966</v>
      </c>
      <c r="H54" s="303">
        <f t="shared" si="26"/>
        <v>0.62245544109776618</v>
      </c>
      <c r="I54" s="303">
        <f t="shared" si="26"/>
        <v>0.61627406514336869</v>
      </c>
      <c r="J54" s="303">
        <f t="shared" si="26"/>
        <v>0.60890057300220557</v>
      </c>
      <c r="K54" s="303">
        <f t="shared" si="26"/>
        <v>0.60101846433510631</v>
      </c>
      <c r="L54" s="303">
        <f t="shared" si="26"/>
        <v>0.59383587263712845</v>
      </c>
      <c r="M54" s="303">
        <f t="shared" si="26"/>
        <v>0.59554467927666277</v>
      </c>
      <c r="N54" s="303">
        <f t="shared" si="26"/>
        <v>0.59687176303912992</v>
      </c>
      <c r="O54" s="303">
        <f t="shared" si="26"/>
        <v>0.59536074818683871</v>
      </c>
      <c r="P54" s="303">
        <f t="shared" si="26"/>
        <v>0.59923642191222215</v>
      </c>
      <c r="Q54" s="303">
        <f t="shared" si="26"/>
        <v>0.59422228375010633</v>
      </c>
      <c r="R54" s="303">
        <f t="shared" si="26"/>
        <v>0.58745862995683074</v>
      </c>
      <c r="S54" s="303">
        <f t="shared" si="26"/>
        <v>0.58510327950113417</v>
      </c>
      <c r="T54" s="303">
        <f t="shared" si="26"/>
        <v>0.58516339677995211</v>
      </c>
      <c r="U54" s="303">
        <f t="shared" si="26"/>
        <v>0.58350472703643741</v>
      </c>
      <c r="V54" s="303">
        <f t="shared" si="26"/>
        <v>0.58639246966493064</v>
      </c>
      <c r="W54" s="303">
        <f t="shared" si="26"/>
        <v>0.58307333489343049</v>
      </c>
      <c r="X54" s="303">
        <f t="shared" si="26"/>
        <v>0.58113750867033176</v>
      </c>
      <c r="Y54" s="303">
        <f t="shared" si="26"/>
        <v>0.57980260439347753</v>
      </c>
      <c r="Z54" s="303">
        <f t="shared" si="26"/>
        <v>0.57868215520212896</v>
      </c>
      <c r="AA54" s="303">
        <f t="shared" si="26"/>
        <v>0.57958941864504754</v>
      </c>
      <c r="AB54" s="303">
        <f t="shared" si="26"/>
        <v>0.57784870876637628</v>
      </c>
      <c r="AC54" s="303">
        <f t="shared" si="26"/>
        <v>0.57705030267438573</v>
      </c>
      <c r="AD54" s="303">
        <f t="shared" si="26"/>
        <v>0.57666742365887402</v>
      </c>
      <c r="AE54" s="303">
        <f t="shared" si="26"/>
        <v>0.57626879008233134</v>
      </c>
      <c r="AF54" s="303">
        <f t="shared" si="26"/>
        <v>0.57786225363706711</v>
      </c>
      <c r="AG54" s="303">
        <f t="shared" si="26"/>
        <v>0.57676627378799306</v>
      </c>
      <c r="AH54" s="303">
        <f t="shared" si="26"/>
        <v>0.57610724996880636</v>
      </c>
      <c r="AI54" s="303">
        <f t="shared" si="26"/>
        <v>0.57562971601931878</v>
      </c>
      <c r="AJ54" s="303">
        <f t="shared" si="26"/>
        <v>0.57525808785257615</v>
      </c>
      <c r="AK54" s="303">
        <f t="shared" si="26"/>
        <v>0.57494278680348898</v>
      </c>
      <c r="AL54" s="303">
        <f t="shared" si="26"/>
        <v>0.57519224826981208</v>
      </c>
      <c r="AM54" s="303">
        <f t="shared" si="26"/>
        <v>0.57522420957695652</v>
      </c>
      <c r="AN54" s="303">
        <f t="shared" si="26"/>
        <v>0.57498512151833858</v>
      </c>
      <c r="AO54" s="303">
        <f t="shared" si="26"/>
        <v>0.57465986946541359</v>
      </c>
      <c r="AP54" s="303">
        <f t="shared" si="26"/>
        <v>0.57656607983320241</v>
      </c>
      <c r="AQ54" s="303">
        <f t="shared" si="26"/>
        <v>0.57634805701680258</v>
      </c>
      <c r="AR54" s="303">
        <f t="shared" si="26"/>
        <v>0.57615577739333079</v>
      </c>
      <c r="AS54" s="303">
        <f t="shared" si="26"/>
        <v>0.57593261863438183</v>
      </c>
      <c r="AT54" s="303">
        <f t="shared" si="26"/>
        <v>0.575766098286429</v>
      </c>
      <c r="AU54" s="304">
        <f t="shared" si="26"/>
        <v>0.57606503499503348</v>
      </c>
      <c r="AW54" s="302">
        <f t="shared" si="24"/>
        <v>-1.9647003267174612E-2</v>
      </c>
      <c r="AX54" s="302">
        <f t="shared" si="25"/>
        <v>-2.3171386917188674E-2</v>
      </c>
    </row>
    <row r="55" spans="1:50" x14ac:dyDescent="0.25">
      <c r="B55" s="261" t="s">
        <v>472</v>
      </c>
      <c r="C55" s="305">
        <f t="shared" si="26"/>
        <v>0.10294003683376719</v>
      </c>
      <c r="D55" s="305">
        <f t="shared" si="26"/>
        <v>0.10606201182366032</v>
      </c>
      <c r="E55" s="305">
        <f t="shared" si="26"/>
        <v>0.10554280479833059</v>
      </c>
      <c r="F55" s="305">
        <f t="shared" si="26"/>
        <v>0.10594718375776817</v>
      </c>
      <c r="G55" s="305">
        <f t="shared" si="26"/>
        <v>0.10503515139583476</v>
      </c>
      <c r="H55" s="305">
        <f t="shared" si="26"/>
        <v>0.10816017530448338</v>
      </c>
      <c r="I55" s="305">
        <f t="shared" si="26"/>
        <v>0.10843668600351607</v>
      </c>
      <c r="J55" s="305">
        <f t="shared" si="26"/>
        <v>0.11039459904247548</v>
      </c>
      <c r="K55" s="305">
        <f t="shared" si="26"/>
        <v>0.11390610368294186</v>
      </c>
      <c r="L55" s="305">
        <f t="shared" si="26"/>
        <v>0.11312134694548226</v>
      </c>
      <c r="M55" s="305">
        <f t="shared" si="26"/>
        <v>0.11043536267156281</v>
      </c>
      <c r="N55" s="305">
        <f t="shared" si="26"/>
        <v>0.11074166575172076</v>
      </c>
      <c r="O55" s="305">
        <f t="shared" si="26"/>
        <v>0.11434024117429441</v>
      </c>
      <c r="P55" s="305">
        <f t="shared" si="26"/>
        <v>0.1083399892534907</v>
      </c>
      <c r="Q55" s="305">
        <f t="shared" si="26"/>
        <v>5.387271616709606E-2</v>
      </c>
      <c r="R55" s="305">
        <f t="shared" si="26"/>
        <v>0.11722175995341763</v>
      </c>
      <c r="S55" s="305">
        <f t="shared" si="26"/>
        <v>0.12005133038259143</v>
      </c>
      <c r="T55" s="305">
        <f t="shared" si="26"/>
        <v>0.12635666944881258</v>
      </c>
      <c r="U55" s="305">
        <f t="shared" si="26"/>
        <v>0.12689615247101613</v>
      </c>
      <c r="V55" s="305">
        <f t="shared" si="26"/>
        <v>0.16667857669065758</v>
      </c>
      <c r="W55" s="305">
        <f t="shared" si="26"/>
        <v>0.16550622670704193</v>
      </c>
      <c r="X55" s="305">
        <f t="shared" si="26"/>
        <v>0.16374878655348274</v>
      </c>
      <c r="Y55" s="305">
        <f t="shared" si="26"/>
        <v>0.16223551169816602</v>
      </c>
      <c r="Z55" s="305">
        <f t="shared" si="26"/>
        <v>0.16086396422509572</v>
      </c>
      <c r="AA55" s="305">
        <f t="shared" si="26"/>
        <v>4.7640286678139784E-2</v>
      </c>
      <c r="AB55" s="305">
        <f t="shared" si="26"/>
        <v>0.1834445560858409</v>
      </c>
      <c r="AC55" s="305">
        <f t="shared" si="26"/>
        <v>0.18049168921337622</v>
      </c>
      <c r="AD55" s="305">
        <f t="shared" si="26"/>
        <v>0.17765834274613462</v>
      </c>
      <c r="AE55" s="305">
        <f t="shared" si="26"/>
        <v>0.17501016036742059</v>
      </c>
      <c r="AF55" s="305">
        <f t="shared" si="26"/>
        <v>0.18614694634024551</v>
      </c>
      <c r="AG55" s="305">
        <f t="shared" si="26"/>
        <v>0.18342963029283432</v>
      </c>
      <c r="AH55" s="305">
        <f t="shared" si="26"/>
        <v>0.18105593688481289</v>
      </c>
      <c r="AI55" s="305">
        <f t="shared" si="26"/>
        <v>0.17888441705656491</v>
      </c>
      <c r="AJ55" s="305">
        <f t="shared" si="26"/>
        <v>0.17680359963883516</v>
      </c>
      <c r="AK55" s="305">
        <f t="shared" si="26"/>
        <v>0.17480113250083668</v>
      </c>
      <c r="AL55" s="305">
        <f t="shared" si="26"/>
        <v>0.17268320184162539</v>
      </c>
      <c r="AM55" s="305">
        <f t="shared" si="26"/>
        <v>0.17076736852138391</v>
      </c>
      <c r="AN55" s="305">
        <f t="shared" si="26"/>
        <v>0.16909014020607216</v>
      </c>
      <c r="AO55" s="305">
        <f t="shared" si="26"/>
        <v>0.16761441031480517</v>
      </c>
      <c r="AP55" s="305">
        <f t="shared" si="26"/>
        <v>0.18047661895513245</v>
      </c>
      <c r="AQ55" s="305">
        <f t="shared" si="26"/>
        <v>0.1787203001130501</v>
      </c>
      <c r="AR55" s="305">
        <f t="shared" si="26"/>
        <v>0.17700358985513065</v>
      </c>
      <c r="AS55" s="305">
        <f t="shared" si="26"/>
        <v>0.17530972156884439</v>
      </c>
      <c r="AT55" s="305">
        <f t="shared" si="26"/>
        <v>0.17365001298000482</v>
      </c>
      <c r="AU55" s="306">
        <f t="shared" si="26"/>
        <v>4.6798248330488047E-2</v>
      </c>
      <c r="AW55" s="302">
        <f t="shared" si="24"/>
        <v>-6.0699702575350914E-2</v>
      </c>
      <c r="AX55" s="302">
        <f t="shared" si="25"/>
        <v>-6.1541740923002651E-2</v>
      </c>
    </row>
    <row r="56" spans="1:50" x14ac:dyDescent="0.25">
      <c r="B56" s="249" t="s">
        <v>473</v>
      </c>
      <c r="C56" s="307">
        <f t="shared" si="26"/>
        <v>0.84019670780873068</v>
      </c>
      <c r="D56" s="307">
        <f t="shared" si="26"/>
        <v>0.83778021687129245</v>
      </c>
      <c r="E56" s="307">
        <f t="shared" si="26"/>
        <v>0.83949153466899817</v>
      </c>
      <c r="F56" s="307">
        <f t="shared" si="26"/>
        <v>0.83933757148827237</v>
      </c>
      <c r="G56" s="307">
        <f t="shared" si="26"/>
        <v>0.84067634064050567</v>
      </c>
      <c r="H56" s="307">
        <f t="shared" si="26"/>
        <v>0.83795928210077253</v>
      </c>
      <c r="I56" s="307">
        <f t="shared" si="26"/>
        <v>0.83914592203903982</v>
      </c>
      <c r="J56" s="307">
        <f t="shared" si="26"/>
        <v>0.83845482211598843</v>
      </c>
      <c r="K56" s="307">
        <f t="shared" si="26"/>
        <v>0.83587628967230188</v>
      </c>
      <c r="L56" s="307">
        <f t="shared" si="26"/>
        <v>0.83844981541418839</v>
      </c>
      <c r="M56" s="307">
        <f t="shared" si="26"/>
        <v>0.84125234867990573</v>
      </c>
      <c r="N56" s="307">
        <f t="shared" si="26"/>
        <v>0.84052937548908258</v>
      </c>
      <c r="O56" s="307">
        <f t="shared" si="26"/>
        <v>0.83672388253891983</v>
      </c>
      <c r="P56" s="307">
        <f t="shared" si="26"/>
        <v>0.83762024925462153</v>
      </c>
      <c r="Q56" s="307">
        <f t="shared" si="26"/>
        <v>0.83412463287778726</v>
      </c>
      <c r="R56" s="307">
        <f t="shared" si="26"/>
        <v>0.82993851775922667</v>
      </c>
      <c r="S56" s="307">
        <f t="shared" si="26"/>
        <v>0.82731983803478615</v>
      </c>
      <c r="T56" s="307">
        <f t="shared" si="26"/>
        <v>0.82288997396524266</v>
      </c>
      <c r="U56" s="307">
        <f t="shared" si="26"/>
        <v>0.81920575527908213</v>
      </c>
      <c r="V56" s="307">
        <f t="shared" si="26"/>
        <v>0.79584399818791896</v>
      </c>
      <c r="W56" s="307">
        <f t="shared" si="26"/>
        <v>0.78504069194905735</v>
      </c>
      <c r="X56" s="307">
        <f t="shared" si="26"/>
        <v>0.78100651705653756</v>
      </c>
      <c r="Y56" s="307">
        <f t="shared" si="26"/>
        <v>0.779396721517573</v>
      </c>
      <c r="Z56" s="307">
        <f t="shared" si="26"/>
        <v>0.77861482704559237</v>
      </c>
      <c r="AA56" s="307">
        <f t="shared" si="26"/>
        <v>0.76262134097645862</v>
      </c>
      <c r="AB56" s="307">
        <f t="shared" si="26"/>
        <v>0.75790553568914221</v>
      </c>
      <c r="AC56" s="307">
        <f t="shared" si="26"/>
        <v>0.75928680268863846</v>
      </c>
      <c r="AD56" s="307">
        <f t="shared" si="26"/>
        <v>0.7611766244327719</v>
      </c>
      <c r="AE56" s="307">
        <f t="shared" si="26"/>
        <v>0.76331510283662496</v>
      </c>
      <c r="AF56" s="307">
        <f t="shared" si="26"/>
        <v>0.76033514210764452</v>
      </c>
      <c r="AG56" s="307">
        <f t="shared" si="26"/>
        <v>0.75878986157927564</v>
      </c>
      <c r="AH56" s="307">
        <f t="shared" si="26"/>
        <v>0.7594941092468892</v>
      </c>
      <c r="AI56" s="307">
        <f t="shared" si="26"/>
        <v>0.76109542741274594</v>
      </c>
      <c r="AJ56" s="307">
        <f t="shared" si="26"/>
        <v>0.76297781153929978</v>
      </c>
      <c r="AK56" s="307">
        <f t="shared" si="26"/>
        <v>0.76492621075359835</v>
      </c>
      <c r="AL56" s="307">
        <f t="shared" si="26"/>
        <v>0.76915954258849417</v>
      </c>
      <c r="AM56" s="307">
        <f t="shared" si="26"/>
        <v>0.77220905759490266</v>
      </c>
      <c r="AN56" s="307">
        <f t="shared" si="26"/>
        <v>0.77439462140103121</v>
      </c>
      <c r="AO56" s="307">
        <f t="shared" si="26"/>
        <v>0.77614263700097985</v>
      </c>
      <c r="AP56" s="307">
        <f t="shared" si="26"/>
        <v>0.77105880429320439</v>
      </c>
      <c r="AQ56" s="307">
        <f t="shared" si="26"/>
        <v>0.7717910227516751</v>
      </c>
      <c r="AR56" s="307">
        <f t="shared" si="26"/>
        <v>0.77342856744404986</v>
      </c>
      <c r="AS56" s="307">
        <f t="shared" si="26"/>
        <v>0.7753410293255989</v>
      </c>
      <c r="AT56" s="307">
        <f t="shared" si="26"/>
        <v>0.77739022808423874</v>
      </c>
      <c r="AU56" s="308">
        <f t="shared" si="26"/>
        <v>0.78007001155352307</v>
      </c>
      <c r="AW56" s="309">
        <f>AA56-P56</f>
        <v>-7.4998908278162912E-2</v>
      </c>
      <c r="AX56" s="309">
        <f>AU56-P56</f>
        <v>-5.7550237701098461E-2</v>
      </c>
    </row>
    <row r="57" spans="1:50" x14ac:dyDescent="0.25"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W57" s="253"/>
    </row>
    <row r="58" spans="1:50" s="244" customFormat="1" ht="45" customHeight="1" x14ac:dyDescent="0.25">
      <c r="A58" s="239" t="str">
        <f>"Ecarts "&amp;[4]Résultats!B1&amp;"  - TEND"</f>
        <v>Ecarts SNBC3  - TEND</v>
      </c>
      <c r="B58" s="266" t="s">
        <v>501</v>
      </c>
      <c r="C58" s="242">
        <v>2006</v>
      </c>
      <c r="D58" s="242">
        <v>2007</v>
      </c>
      <c r="E58" s="242">
        <v>2008</v>
      </c>
      <c r="F58" s="242">
        <v>2009</v>
      </c>
      <c r="G58" s="242">
        <v>2010</v>
      </c>
      <c r="H58" s="242">
        <v>2011</v>
      </c>
      <c r="I58" s="242">
        <v>2012</v>
      </c>
      <c r="J58" s="242">
        <v>2013</v>
      </c>
      <c r="K58" s="242">
        <v>2014</v>
      </c>
      <c r="L58" s="242">
        <v>2015</v>
      </c>
      <c r="M58" s="242">
        <v>2016</v>
      </c>
      <c r="N58" s="242">
        <v>2017</v>
      </c>
      <c r="O58" s="242">
        <v>2018</v>
      </c>
      <c r="P58" s="242">
        <v>2019</v>
      </c>
      <c r="Q58" s="242">
        <v>2020</v>
      </c>
      <c r="R58" s="242">
        <v>2021</v>
      </c>
      <c r="S58" s="242">
        <v>2022</v>
      </c>
      <c r="T58" s="242">
        <v>2023</v>
      </c>
      <c r="U58" s="242">
        <v>2024</v>
      </c>
      <c r="V58" s="242">
        <v>2025</v>
      </c>
      <c r="W58" s="242">
        <v>2026</v>
      </c>
      <c r="X58" s="242">
        <v>2027</v>
      </c>
      <c r="Y58" s="242">
        <v>2028</v>
      </c>
      <c r="Z58" s="242">
        <v>2029</v>
      </c>
      <c r="AA58" s="242">
        <v>2030</v>
      </c>
      <c r="AB58" s="242">
        <v>2031</v>
      </c>
      <c r="AC58" s="242">
        <v>2032</v>
      </c>
      <c r="AD58" s="242">
        <v>2033</v>
      </c>
      <c r="AE58" s="242">
        <v>2034</v>
      </c>
      <c r="AF58" s="242">
        <v>2035</v>
      </c>
      <c r="AG58" s="242">
        <v>2036</v>
      </c>
      <c r="AH58" s="242">
        <v>2037</v>
      </c>
      <c r="AI58" s="242">
        <v>2038</v>
      </c>
      <c r="AJ58" s="242">
        <v>2039</v>
      </c>
      <c r="AK58" s="242">
        <v>2040</v>
      </c>
      <c r="AL58" s="242">
        <v>2041</v>
      </c>
      <c r="AM58" s="242">
        <v>2042</v>
      </c>
      <c r="AN58" s="242">
        <v>2043</v>
      </c>
      <c r="AO58" s="242">
        <v>2044</v>
      </c>
      <c r="AP58" s="242">
        <v>2045</v>
      </c>
      <c r="AQ58" s="242">
        <v>2046</v>
      </c>
      <c r="AR58" s="242">
        <v>2047</v>
      </c>
      <c r="AS58" s="242">
        <v>2048</v>
      </c>
      <c r="AT58" s="242">
        <v>2049</v>
      </c>
      <c r="AU58" s="243">
        <v>2050</v>
      </c>
      <c r="AV58" s="267"/>
    </row>
    <row r="59" spans="1:50" x14ac:dyDescent="0.25">
      <c r="B59" s="245" t="s">
        <v>1</v>
      </c>
      <c r="C59" s="310"/>
      <c r="D59" s="310"/>
      <c r="E59" s="310"/>
      <c r="F59" s="310"/>
      <c r="G59" s="310"/>
      <c r="H59" s="310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310"/>
      <c r="AF59" s="310"/>
      <c r="AG59" s="310"/>
      <c r="AH59" s="310"/>
      <c r="AI59" s="310"/>
      <c r="AJ59" s="310"/>
      <c r="AK59" s="310"/>
      <c r="AL59" s="310"/>
      <c r="AM59" s="310"/>
      <c r="AN59" s="310"/>
      <c r="AO59" s="310"/>
      <c r="AP59" s="310"/>
      <c r="AQ59" s="310"/>
      <c r="AR59" s="310"/>
      <c r="AS59" s="310"/>
      <c r="AT59" s="310"/>
      <c r="AU59" s="310"/>
      <c r="AV59" s="268"/>
    </row>
    <row r="60" spans="1:50" x14ac:dyDescent="0.25">
      <c r="B60" s="249" t="s">
        <v>466</v>
      </c>
      <c r="C60" s="307"/>
      <c r="D60" s="307"/>
      <c r="E60" s="307"/>
      <c r="F60" s="307"/>
      <c r="G60" s="307"/>
      <c r="H60" s="307"/>
      <c r="I60" s="307"/>
      <c r="J60" s="307"/>
      <c r="K60" s="307"/>
      <c r="L60" s="307"/>
      <c r="M60" s="307"/>
      <c r="N60" s="307"/>
      <c r="O60" s="307"/>
      <c r="P60" s="307"/>
      <c r="Q60" s="307"/>
      <c r="R60" s="307"/>
      <c r="S60" s="307"/>
      <c r="T60" s="307"/>
      <c r="U60" s="307"/>
      <c r="V60" s="307"/>
      <c r="W60" s="307"/>
      <c r="X60" s="307"/>
      <c r="Y60" s="307"/>
      <c r="Z60" s="307"/>
      <c r="AA60" s="307"/>
      <c r="AB60" s="307"/>
      <c r="AC60" s="307"/>
      <c r="AD60" s="307"/>
      <c r="AE60" s="307"/>
      <c r="AF60" s="307"/>
      <c r="AG60" s="307"/>
      <c r="AH60" s="307"/>
      <c r="AI60" s="307"/>
      <c r="AJ60" s="307"/>
      <c r="AK60" s="307"/>
      <c r="AL60" s="307"/>
      <c r="AM60" s="307"/>
      <c r="AN60" s="307"/>
      <c r="AO60" s="307"/>
      <c r="AP60" s="307"/>
      <c r="AQ60" s="307"/>
      <c r="AR60" s="307"/>
      <c r="AS60" s="307"/>
      <c r="AT60" s="307"/>
      <c r="AU60" s="307"/>
      <c r="AV60" s="268"/>
    </row>
    <row r="61" spans="1:50" x14ac:dyDescent="0.25">
      <c r="B61" s="254" t="s">
        <v>467</v>
      </c>
      <c r="C61" s="300">
        <f t="shared" ref="C61:AU66" si="27">C39-C50</f>
        <v>0</v>
      </c>
      <c r="D61" s="300">
        <f t="shared" si="27"/>
        <v>0</v>
      </c>
      <c r="E61" s="300">
        <f t="shared" si="27"/>
        <v>0</v>
      </c>
      <c r="F61" s="300">
        <f t="shared" si="27"/>
        <v>0</v>
      </c>
      <c r="G61" s="300">
        <f t="shared" si="27"/>
        <v>0</v>
      </c>
      <c r="H61" s="300">
        <f t="shared" si="27"/>
        <v>0</v>
      </c>
      <c r="I61" s="300">
        <f t="shared" si="27"/>
        <v>0</v>
      </c>
      <c r="J61" s="300">
        <f t="shared" si="27"/>
        <v>0</v>
      </c>
      <c r="K61" s="300">
        <f t="shared" si="27"/>
        <v>0</v>
      </c>
      <c r="L61" s="300">
        <f t="shared" si="27"/>
        <v>0</v>
      </c>
      <c r="M61" s="300">
        <f t="shared" si="27"/>
        <v>-9.5799959032305537E-7</v>
      </c>
      <c r="N61" s="300">
        <f t="shared" si="27"/>
        <v>-2.456663411809501E-6</v>
      </c>
      <c r="O61" s="300">
        <f t="shared" si="27"/>
        <v>-3.1257541737161887E-6</v>
      </c>
      <c r="P61" s="300">
        <f t="shared" si="27"/>
        <v>-2.1158526479214679E-6</v>
      </c>
      <c r="Q61" s="300">
        <f t="shared" si="27"/>
        <v>4.1400249559825353E-4</v>
      </c>
      <c r="R61" s="300">
        <f t="shared" si="27"/>
        <v>-6.3930660106244097E-2</v>
      </c>
      <c r="S61" s="300">
        <f t="shared" si="27"/>
        <v>-6.695238953294802E-2</v>
      </c>
      <c r="T61" s="300">
        <f t="shared" si="27"/>
        <v>-6.9132896565875956E-2</v>
      </c>
      <c r="U61" s="300">
        <f t="shared" si="27"/>
        <v>-7.8679188681965662E-2</v>
      </c>
      <c r="V61" s="300">
        <f t="shared" si="27"/>
        <v>-9.7512966476753393E-2</v>
      </c>
      <c r="W61" s="300">
        <f t="shared" si="27"/>
        <v>-8.9166562674510841E-2</v>
      </c>
      <c r="X61" s="300">
        <f t="shared" si="27"/>
        <v>-8.6279136639054288E-2</v>
      </c>
      <c r="Y61" s="300">
        <f t="shared" si="27"/>
        <v>-8.5561412120477465E-2</v>
      </c>
      <c r="Z61" s="300">
        <f t="shared" si="27"/>
        <v>-8.5744684508647029E-2</v>
      </c>
      <c r="AA61" s="300">
        <f t="shared" si="27"/>
        <v>1.3212592757970432E-2</v>
      </c>
      <c r="AB61" s="300">
        <f t="shared" si="27"/>
        <v>-9.1612301213354397E-2</v>
      </c>
      <c r="AC61" s="300">
        <f t="shared" si="27"/>
        <v>-9.1706836811063119E-2</v>
      </c>
      <c r="AD61" s="300">
        <f t="shared" si="27"/>
        <v>-9.2050679293974813E-2</v>
      </c>
      <c r="AE61" s="300">
        <f t="shared" si="27"/>
        <v>-9.266114197494707E-2</v>
      </c>
      <c r="AF61" s="300">
        <f t="shared" si="27"/>
        <v>-9.9538186838304066E-2</v>
      </c>
      <c r="AG61" s="300">
        <f t="shared" si="27"/>
        <v>-9.7617660708653575E-2</v>
      </c>
      <c r="AH61" s="300">
        <f t="shared" si="27"/>
        <v>-9.7548957539239645E-2</v>
      </c>
      <c r="AI61" s="300">
        <f t="shared" si="27"/>
        <v>-9.8230278281348948E-2</v>
      </c>
      <c r="AJ61" s="300">
        <f t="shared" si="27"/>
        <v>-9.9171040345834405E-2</v>
      </c>
      <c r="AK61" s="300">
        <f t="shared" si="27"/>
        <v>-0.10022963241921329</v>
      </c>
      <c r="AL61" s="300">
        <f t="shared" si="27"/>
        <v>-0.10256124729288246</v>
      </c>
      <c r="AM61" s="300">
        <f t="shared" si="27"/>
        <v>-0.10427231116818902</v>
      </c>
      <c r="AN61" s="300">
        <f t="shared" si="27"/>
        <v>-0.10575530713714104</v>
      </c>
      <c r="AO61" s="300">
        <f t="shared" si="27"/>
        <v>-0.10707060102971033</v>
      </c>
      <c r="AP61" s="300">
        <f t="shared" si="27"/>
        <v>-0.11387722034337747</v>
      </c>
      <c r="AQ61" s="300">
        <f t="shared" si="27"/>
        <v>-0.113944889659708</v>
      </c>
      <c r="AR61" s="300">
        <f t="shared" si="27"/>
        <v>-0.11492903646653191</v>
      </c>
      <c r="AS61" s="300">
        <f t="shared" si="27"/>
        <v>-0.11617791561496568</v>
      </c>
      <c r="AT61" s="300">
        <f t="shared" si="27"/>
        <v>-0.11746490919149521</v>
      </c>
      <c r="AU61" s="301">
        <f t="shared" si="27"/>
        <v>2.4649709021861033E-2</v>
      </c>
      <c r="AV61" s="268"/>
    </row>
    <row r="62" spans="1:50" x14ac:dyDescent="0.25">
      <c r="B62" s="258" t="s">
        <v>468</v>
      </c>
      <c r="C62" s="303">
        <f t="shared" si="27"/>
        <v>0</v>
      </c>
      <c r="D62" s="303">
        <f t="shared" si="27"/>
        <v>0</v>
      </c>
      <c r="E62" s="303">
        <f t="shared" si="27"/>
        <v>0</v>
      </c>
      <c r="F62" s="303">
        <f t="shared" si="27"/>
        <v>0</v>
      </c>
      <c r="G62" s="303">
        <f t="shared" si="27"/>
        <v>0</v>
      </c>
      <c r="H62" s="303">
        <f t="shared" si="27"/>
        <v>0</v>
      </c>
      <c r="I62" s="303">
        <f t="shared" si="27"/>
        <v>0</v>
      </c>
      <c r="J62" s="303">
        <f t="shared" si="27"/>
        <v>0</v>
      </c>
      <c r="K62" s="303">
        <f t="shared" si="27"/>
        <v>0</v>
      </c>
      <c r="L62" s="303">
        <f t="shared" si="27"/>
        <v>0</v>
      </c>
      <c r="M62" s="303">
        <f t="shared" si="27"/>
        <v>-6.1738943366029808E-7</v>
      </c>
      <c r="N62" s="303">
        <f t="shared" si="27"/>
        <v>-1.2982323851773447E-6</v>
      </c>
      <c r="O62" s="303">
        <f t="shared" si="27"/>
        <v>-1.7861708896116379E-6</v>
      </c>
      <c r="P62" s="303">
        <f t="shared" si="27"/>
        <v>-1.5373927665096598E-6</v>
      </c>
      <c r="Q62" s="303">
        <f t="shared" si="27"/>
        <v>-1.8462423755916113E-6</v>
      </c>
      <c r="R62" s="303">
        <f t="shared" si="27"/>
        <v>-2.7286215098509814E-7</v>
      </c>
      <c r="S62" s="303">
        <f t="shared" si="27"/>
        <v>4.4686506187607833E-6</v>
      </c>
      <c r="T62" s="303">
        <f t="shared" si="27"/>
        <v>3.9869285074775329E-3</v>
      </c>
      <c r="U62" s="303">
        <f t="shared" si="27"/>
        <v>-2.3064746505574441E-3</v>
      </c>
      <c r="V62" s="303">
        <f t="shared" si="27"/>
        <v>1.4402869451538736E-2</v>
      </c>
      <c r="W62" s="303">
        <f t="shared" si="27"/>
        <v>2.0574001904934774E-2</v>
      </c>
      <c r="X62" s="303">
        <f t="shared" si="27"/>
        <v>2.0517747639228229E-2</v>
      </c>
      <c r="Y62" s="303">
        <f t="shared" si="27"/>
        <v>1.8478247513699114E-2</v>
      </c>
      <c r="Z62" s="303">
        <f t="shared" si="27"/>
        <v>1.5588867615055318E-2</v>
      </c>
      <c r="AA62" s="303">
        <f t="shared" si="27"/>
        <v>2.7246724860026467E-2</v>
      </c>
      <c r="AB62" s="303">
        <f t="shared" si="27"/>
        <v>2.8489275926343566E-2</v>
      </c>
      <c r="AC62" s="303">
        <f t="shared" si="27"/>
        <v>2.5478772300480984E-2</v>
      </c>
      <c r="AD62" s="303">
        <f t="shared" si="27"/>
        <v>2.2280121682092341E-2</v>
      </c>
      <c r="AE62" s="303">
        <f t="shared" si="27"/>
        <v>1.9057242867750512E-2</v>
      </c>
      <c r="AF62" s="303">
        <f t="shared" si="27"/>
        <v>2.2876251140089593E-2</v>
      </c>
      <c r="AG62" s="303">
        <f t="shared" si="27"/>
        <v>2.211442896722729E-2</v>
      </c>
      <c r="AH62" s="303">
        <f t="shared" si="27"/>
        <v>1.9843932761080235E-2</v>
      </c>
      <c r="AI62" s="303">
        <f t="shared" si="27"/>
        <v>1.7031980642050581E-2</v>
      </c>
      <c r="AJ62" s="303">
        <f t="shared" si="27"/>
        <v>1.4027369023200981E-2</v>
      </c>
      <c r="AK62" s="303">
        <f t="shared" si="27"/>
        <v>1.096282192738654E-2</v>
      </c>
      <c r="AL62" s="303">
        <f t="shared" si="27"/>
        <v>6.4998791555676283E-3</v>
      </c>
      <c r="AM62" s="303">
        <f t="shared" si="27"/>
        <v>2.8571555305529073E-3</v>
      </c>
      <c r="AN62" s="303">
        <f t="shared" si="27"/>
        <v>-3.247566764911225E-4</v>
      </c>
      <c r="AO62" s="303">
        <f t="shared" si="27"/>
        <v>-3.1157662407942099E-3</v>
      </c>
      <c r="AP62" s="303">
        <f t="shared" si="27"/>
        <v>2.0563737334165777E-3</v>
      </c>
      <c r="AQ62" s="303">
        <f t="shared" si="27"/>
        <v>2.8051297194597868E-4</v>
      </c>
      <c r="AR62" s="303">
        <f t="shared" si="27"/>
        <v>-2.4323907698962088E-3</v>
      </c>
      <c r="AS62" s="303">
        <f t="shared" si="27"/>
        <v>-5.4044279072681389E-3</v>
      </c>
      <c r="AT62" s="303">
        <f t="shared" si="27"/>
        <v>-8.3717231297846528E-3</v>
      </c>
      <c r="AU62" s="304">
        <f t="shared" si="27"/>
        <v>-1.0682097254020362E-2</v>
      </c>
      <c r="AV62" s="268"/>
    </row>
    <row r="63" spans="1:50" x14ac:dyDescent="0.25">
      <c r="B63" s="261" t="s">
        <v>469</v>
      </c>
      <c r="C63" s="305">
        <f t="shared" si="27"/>
        <v>0</v>
      </c>
      <c r="D63" s="305">
        <f t="shared" si="27"/>
        <v>0</v>
      </c>
      <c r="E63" s="305">
        <f t="shared" si="27"/>
        <v>0</v>
      </c>
      <c r="F63" s="305">
        <f t="shared" si="27"/>
        <v>0</v>
      </c>
      <c r="G63" s="305">
        <f t="shared" si="27"/>
        <v>0</v>
      </c>
      <c r="H63" s="305">
        <f t="shared" si="27"/>
        <v>0</v>
      </c>
      <c r="I63" s="305">
        <f t="shared" si="27"/>
        <v>0</v>
      </c>
      <c r="J63" s="305">
        <f t="shared" si="27"/>
        <v>0</v>
      </c>
      <c r="K63" s="305">
        <f t="shared" si="27"/>
        <v>0</v>
      </c>
      <c r="L63" s="305">
        <f t="shared" si="27"/>
        <v>0</v>
      </c>
      <c r="M63" s="305">
        <f t="shared" si="27"/>
        <v>-5.5793910450074868E-8</v>
      </c>
      <c r="N63" s="305">
        <f t="shared" si="27"/>
        <v>-2.1856748990550789E-7</v>
      </c>
      <c r="O63" s="305">
        <f t="shared" si="27"/>
        <v>-2.3364386327745512E-7</v>
      </c>
      <c r="P63" s="305">
        <f t="shared" si="27"/>
        <v>1.1970808021233292E-7</v>
      </c>
      <c r="Q63" s="305">
        <f t="shared" si="27"/>
        <v>1.0399505224883976E-6</v>
      </c>
      <c r="R63" s="305">
        <f t="shared" si="27"/>
        <v>2.018073371835849E-6</v>
      </c>
      <c r="S63" s="305">
        <f t="shared" si="27"/>
        <v>2.0815492550937953E-6</v>
      </c>
      <c r="T63" s="305">
        <f t="shared" si="27"/>
        <v>1.8682622383793535E-4</v>
      </c>
      <c r="U63" s="305">
        <f t="shared" si="27"/>
        <v>-1.0912399762487424E-3</v>
      </c>
      <c r="V63" s="305">
        <f t="shared" si="27"/>
        <v>-1.0860959476993379E-3</v>
      </c>
      <c r="W63" s="305">
        <f t="shared" si="27"/>
        <v>2.6670414114191021E-4</v>
      </c>
      <c r="X63" s="305">
        <f t="shared" si="27"/>
        <v>1.2534236105618338E-3</v>
      </c>
      <c r="Y63" s="305">
        <f t="shared" si="27"/>
        <v>2.4516152805328095E-3</v>
      </c>
      <c r="Z63" s="305">
        <f t="shared" si="27"/>
        <v>3.7984560088993036E-3</v>
      </c>
      <c r="AA63" s="305">
        <f t="shared" si="27"/>
        <v>-2.3837363516707261E-2</v>
      </c>
      <c r="AB63" s="305">
        <f t="shared" si="27"/>
        <v>5.4407119876008561E-3</v>
      </c>
      <c r="AC63" s="305">
        <f t="shared" si="27"/>
        <v>5.3792539012298066E-3</v>
      </c>
      <c r="AD63" s="305">
        <f t="shared" si="27"/>
        <v>5.3561836801972323E-3</v>
      </c>
      <c r="AE63" s="305">
        <f t="shared" si="27"/>
        <v>5.3247242814846996E-3</v>
      </c>
      <c r="AF63" s="305">
        <f t="shared" si="27"/>
        <v>5.9735659900667787E-3</v>
      </c>
      <c r="AG63" s="305">
        <f t="shared" si="27"/>
        <v>5.6881080345496313E-3</v>
      </c>
      <c r="AH63" s="305">
        <f t="shared" si="27"/>
        <v>5.5662140652614558E-3</v>
      </c>
      <c r="AI63" s="305">
        <f t="shared" si="27"/>
        <v>5.5115499888241382E-3</v>
      </c>
      <c r="AJ63" s="305">
        <f t="shared" si="27"/>
        <v>5.5023057018670357E-3</v>
      </c>
      <c r="AK63" s="305">
        <f t="shared" si="27"/>
        <v>5.5241619323261881E-3</v>
      </c>
      <c r="AL63" s="305">
        <f t="shared" si="27"/>
        <v>5.6507534520897976E-3</v>
      </c>
      <c r="AM63" s="305">
        <f t="shared" si="27"/>
        <v>5.7388599400923224E-3</v>
      </c>
      <c r="AN63" s="305">
        <f t="shared" si="27"/>
        <v>5.8354421650695931E-3</v>
      </c>
      <c r="AO63" s="305">
        <f t="shared" si="27"/>
        <v>5.9060322302874821E-3</v>
      </c>
      <c r="AP63" s="305">
        <f t="shared" si="27"/>
        <v>6.5829863068301298E-3</v>
      </c>
      <c r="AQ63" s="305">
        <f t="shared" si="27"/>
        <v>6.4081070730153677E-3</v>
      </c>
      <c r="AR63" s="305">
        <f t="shared" si="27"/>
        <v>6.3911763993136153E-3</v>
      </c>
      <c r="AS63" s="305">
        <f t="shared" si="27"/>
        <v>6.4368044618887191E-3</v>
      </c>
      <c r="AT63" s="305">
        <f t="shared" si="27"/>
        <v>6.4841056163121372E-3</v>
      </c>
      <c r="AU63" s="306">
        <f t="shared" si="27"/>
        <v>2.404717154416855E-2</v>
      </c>
      <c r="AV63" s="268"/>
    </row>
    <row r="64" spans="1:50" x14ac:dyDescent="0.25">
      <c r="B64" s="258" t="s">
        <v>470</v>
      </c>
      <c r="C64" s="303">
        <f t="shared" si="27"/>
        <v>0</v>
      </c>
      <c r="D64" s="303">
        <f t="shared" si="27"/>
        <v>0</v>
      </c>
      <c r="E64" s="303">
        <f t="shared" si="27"/>
        <v>0</v>
      </c>
      <c r="F64" s="303">
        <f t="shared" si="27"/>
        <v>0</v>
      </c>
      <c r="G64" s="303">
        <f t="shared" si="27"/>
        <v>0</v>
      </c>
      <c r="H64" s="303">
        <f t="shared" si="27"/>
        <v>0</v>
      </c>
      <c r="I64" s="303">
        <f t="shared" si="27"/>
        <v>0</v>
      </c>
      <c r="J64" s="303">
        <f t="shared" si="27"/>
        <v>0</v>
      </c>
      <c r="K64" s="303">
        <f t="shared" si="27"/>
        <v>0</v>
      </c>
      <c r="L64" s="303">
        <f t="shared" si="27"/>
        <v>0</v>
      </c>
      <c r="M64" s="303">
        <f t="shared" si="27"/>
        <v>-8.5635293733954398E-7</v>
      </c>
      <c r="N64" s="303">
        <f t="shared" si="27"/>
        <v>-2.493453242990995E-6</v>
      </c>
      <c r="O64" s="303">
        <f t="shared" si="27"/>
        <v>-3.1389498275080641E-6</v>
      </c>
      <c r="P64" s="303">
        <f t="shared" si="27"/>
        <v>-1.3074355876829813E-6</v>
      </c>
      <c r="Q64" s="303">
        <f t="shared" si="27"/>
        <v>2.5617504930963708E-4</v>
      </c>
      <c r="R64" s="303">
        <f t="shared" si="27"/>
        <v>6.3394854253338684E-2</v>
      </c>
      <c r="S64" s="303">
        <f t="shared" si="27"/>
        <v>6.6463107454487691E-2</v>
      </c>
      <c r="T64" s="303">
        <f t="shared" si="27"/>
        <v>6.7212900430887679E-2</v>
      </c>
      <c r="U64" s="303">
        <f t="shared" si="27"/>
        <v>8.1366926817002194E-2</v>
      </c>
      <c r="V64" s="303">
        <f t="shared" si="27"/>
        <v>9.3030103967314592E-2</v>
      </c>
      <c r="W64" s="303">
        <f t="shared" si="27"/>
        <v>9.6749836460950589E-2</v>
      </c>
      <c r="X64" s="303">
        <f t="shared" si="27"/>
        <v>9.9306003428251022E-2</v>
      </c>
      <c r="Y64" s="303">
        <f t="shared" si="27"/>
        <v>0.10160242240793249</v>
      </c>
      <c r="Z64" s="303">
        <f t="shared" si="27"/>
        <v>0.10392127610323487</v>
      </c>
      <c r="AA64" s="303">
        <f t="shared" si="27"/>
        <v>-8.8350974726736364E-4</v>
      </c>
      <c r="AB64" s="303">
        <f t="shared" si="27"/>
        <v>0.11075155660814995</v>
      </c>
      <c r="AC64" s="303">
        <f t="shared" si="27"/>
        <v>0.11242377879306509</v>
      </c>
      <c r="AD64" s="303">
        <f t="shared" si="27"/>
        <v>0.11370744704366398</v>
      </c>
      <c r="AE64" s="303">
        <f t="shared" si="27"/>
        <v>0.11489900342374593</v>
      </c>
      <c r="AF64" s="303">
        <f t="shared" si="27"/>
        <v>0.11485494933124396</v>
      </c>
      <c r="AG64" s="303">
        <f t="shared" si="27"/>
        <v>0.11678694040206938</v>
      </c>
      <c r="AH64" s="303">
        <f t="shared" si="27"/>
        <v>0.11828238044271377</v>
      </c>
      <c r="AI64" s="303">
        <f t="shared" si="27"/>
        <v>0.1195639028834008</v>
      </c>
      <c r="AJ64" s="303">
        <f t="shared" si="27"/>
        <v>0.12077113749799251</v>
      </c>
      <c r="AK64" s="303">
        <f t="shared" si="27"/>
        <v>0.12196568505857264</v>
      </c>
      <c r="AL64" s="303">
        <f t="shared" si="27"/>
        <v>0.12249659262869173</v>
      </c>
      <c r="AM64" s="303">
        <f t="shared" si="27"/>
        <v>0.12327154773126325</v>
      </c>
      <c r="AN64" s="303">
        <f t="shared" si="27"/>
        <v>0.12440740323989918</v>
      </c>
      <c r="AO64" s="303">
        <f t="shared" si="27"/>
        <v>0.12558799998576942</v>
      </c>
      <c r="AP64" s="303">
        <f t="shared" si="27"/>
        <v>0.12582493468633915</v>
      </c>
      <c r="AQ64" s="303">
        <f t="shared" si="27"/>
        <v>0.12676176221411906</v>
      </c>
      <c r="AR64" s="303">
        <f t="shared" si="27"/>
        <v>0.1278357014307101</v>
      </c>
      <c r="AS64" s="303">
        <f t="shared" si="27"/>
        <v>0.12894672382166128</v>
      </c>
      <c r="AT64" s="303">
        <f t="shared" si="27"/>
        <v>0.1299428345564636</v>
      </c>
      <c r="AU64" s="304">
        <f t="shared" si="27"/>
        <v>-1.3319248164917363E-2</v>
      </c>
      <c r="AV64" s="268"/>
    </row>
    <row r="65" spans="2:48" x14ac:dyDescent="0.25">
      <c r="B65" s="258" t="s">
        <v>471</v>
      </c>
      <c r="C65" s="303">
        <f t="shared" si="27"/>
        <v>0</v>
      </c>
      <c r="D65" s="303">
        <f t="shared" si="27"/>
        <v>0</v>
      </c>
      <c r="E65" s="303">
        <f t="shared" si="27"/>
        <v>0</v>
      </c>
      <c r="F65" s="303">
        <f t="shared" si="27"/>
        <v>0</v>
      </c>
      <c r="G65" s="303">
        <f t="shared" si="27"/>
        <v>0</v>
      </c>
      <c r="H65" s="303">
        <f t="shared" si="27"/>
        <v>0</v>
      </c>
      <c r="I65" s="303">
        <f t="shared" si="27"/>
        <v>0</v>
      </c>
      <c r="J65" s="303">
        <f t="shared" si="27"/>
        <v>0</v>
      </c>
      <c r="K65" s="303">
        <f t="shared" si="27"/>
        <v>0</v>
      </c>
      <c r="L65" s="303">
        <f t="shared" si="27"/>
        <v>0</v>
      </c>
      <c r="M65" s="303">
        <f t="shared" si="27"/>
        <v>-8.0056796680771924E-7</v>
      </c>
      <c r="N65" s="303">
        <f t="shared" si="27"/>
        <v>-2.2752267320180763E-6</v>
      </c>
      <c r="O65" s="303">
        <f t="shared" si="27"/>
        <v>-2.9055573101954835E-6</v>
      </c>
      <c r="P65" s="303">
        <f t="shared" si="27"/>
        <v>-1.4071336060794692E-6</v>
      </c>
      <c r="Q65" s="303">
        <f t="shared" si="27"/>
        <v>2.2012923283076802E-6</v>
      </c>
      <c r="R65" s="303">
        <f t="shared" si="27"/>
        <v>1.1343808601349537E-5</v>
      </c>
      <c r="S65" s="303">
        <f t="shared" si="27"/>
        <v>1.7202231134105794E-5</v>
      </c>
      <c r="T65" s="303">
        <f t="shared" si="27"/>
        <v>-5.5637862418977946E-4</v>
      </c>
      <c r="U65" s="303">
        <f t="shared" si="27"/>
        <v>1.9996901299419445E-3</v>
      </c>
      <c r="V65" s="303">
        <f t="shared" si="27"/>
        <v>1.6537268817873318E-4</v>
      </c>
      <c r="W65" s="303">
        <f t="shared" si="27"/>
        <v>1.0657640414832859E-3</v>
      </c>
      <c r="X65" s="303">
        <f t="shared" si="27"/>
        <v>5.8415957302415666E-4</v>
      </c>
      <c r="Y65" s="303">
        <f t="shared" si="27"/>
        <v>-6.6239219088193302E-4</v>
      </c>
      <c r="Z65" s="303">
        <f t="shared" si="27"/>
        <v>-2.0627427435795376E-3</v>
      </c>
      <c r="AA65" s="303">
        <f t="shared" si="27"/>
        <v>-5.8961683263580866E-3</v>
      </c>
      <c r="AB65" s="303">
        <f t="shared" si="27"/>
        <v>-4.6518231544927513E-3</v>
      </c>
      <c r="AC65" s="303">
        <f t="shared" si="27"/>
        <v>-4.6501052052422276E-3</v>
      </c>
      <c r="AD65" s="303">
        <f t="shared" si="27"/>
        <v>-4.8836663661876445E-3</v>
      </c>
      <c r="AE65" s="303">
        <f t="shared" si="27"/>
        <v>-5.2522913359613899E-3</v>
      </c>
      <c r="AF65" s="303">
        <f t="shared" si="27"/>
        <v>-7.6606078733501004E-3</v>
      </c>
      <c r="AG65" s="303">
        <f t="shared" si="27"/>
        <v>-7.1900466021511678E-3</v>
      </c>
      <c r="AH65" s="303">
        <f t="shared" si="27"/>
        <v>-7.317613440438242E-3</v>
      </c>
      <c r="AI65" s="303">
        <f t="shared" si="27"/>
        <v>-7.7071413467991734E-3</v>
      </c>
      <c r="AJ65" s="303">
        <f t="shared" si="27"/>
        <v>-8.1537655915446816E-3</v>
      </c>
      <c r="AK65" s="303">
        <f t="shared" si="27"/>
        <v>-8.6063862215798315E-3</v>
      </c>
      <c r="AL65" s="303">
        <f t="shared" si="27"/>
        <v>-9.7701104266272321E-3</v>
      </c>
      <c r="AM65" s="303">
        <f t="shared" si="27"/>
        <v>-1.0638447930118144E-2</v>
      </c>
      <c r="AN65" s="303">
        <f t="shared" si="27"/>
        <v>-1.1209703428827766E-2</v>
      </c>
      <c r="AO65" s="303">
        <f t="shared" si="27"/>
        <v>-1.1746443755079827E-2</v>
      </c>
      <c r="AP65" s="303">
        <f t="shared" si="27"/>
        <v>-1.4114569390944354E-2</v>
      </c>
      <c r="AQ65" s="303">
        <f t="shared" si="27"/>
        <v>-1.4835848540846519E-2</v>
      </c>
      <c r="AR65" s="303">
        <f t="shared" si="27"/>
        <v>-1.5507255210197912E-2</v>
      </c>
      <c r="AS65" s="303">
        <f t="shared" si="27"/>
        <v>-1.6122545303843827E-2</v>
      </c>
      <c r="AT65" s="303">
        <f t="shared" si="27"/>
        <v>-1.6819048437824891E-2</v>
      </c>
      <c r="AU65" s="304">
        <f t="shared" si="27"/>
        <v>-1.8671616746105735E-2</v>
      </c>
      <c r="AV65" s="268"/>
    </row>
    <row r="66" spans="2:48" x14ac:dyDescent="0.25">
      <c r="B66" s="261" t="s">
        <v>472</v>
      </c>
      <c r="C66" s="305">
        <f t="shared" si="27"/>
        <v>0</v>
      </c>
      <c r="D66" s="305">
        <f t="shared" si="27"/>
        <v>0</v>
      </c>
      <c r="E66" s="305">
        <f t="shared" si="27"/>
        <v>0</v>
      </c>
      <c r="F66" s="305">
        <f t="shared" si="27"/>
        <v>0</v>
      </c>
      <c r="G66" s="305">
        <f t="shared" si="27"/>
        <v>0</v>
      </c>
      <c r="H66" s="305">
        <f t="shared" si="27"/>
        <v>0</v>
      </c>
      <c r="I66" s="305">
        <f t="shared" si="27"/>
        <v>0</v>
      </c>
      <c r="J66" s="305">
        <f t="shared" si="27"/>
        <v>0</v>
      </c>
      <c r="K66" s="305">
        <f t="shared" si="27"/>
        <v>0</v>
      </c>
      <c r="L66" s="305">
        <f t="shared" si="27"/>
        <v>0</v>
      </c>
      <c r="M66" s="305">
        <f t="shared" si="27"/>
        <v>-3.399843637730271E-7</v>
      </c>
      <c r="N66" s="305">
        <f t="shared" si="27"/>
        <v>-1.162917591404633E-6</v>
      </c>
      <c r="O66" s="305">
        <f t="shared" si="27"/>
        <v>-1.3425455736848502E-6</v>
      </c>
      <c r="P66" s="305">
        <f t="shared" si="27"/>
        <v>-5.9748353162247803E-7</v>
      </c>
      <c r="Q66" s="305">
        <f t="shared" si="27"/>
        <v>6.682342503297467E-7</v>
      </c>
      <c r="R66" s="305">
        <f t="shared" si="27"/>
        <v>8.8878776847434171E-6</v>
      </c>
      <c r="S66" s="305">
        <f t="shared" si="27"/>
        <v>1.2447854631975064E-5</v>
      </c>
      <c r="T66" s="305">
        <f t="shared" si="27"/>
        <v>-5.2135019074289329E-3</v>
      </c>
      <c r="U66" s="305">
        <f t="shared" si="27"/>
        <v>4.3858599409785093E-3</v>
      </c>
      <c r="V66" s="305">
        <f t="shared" si="27"/>
        <v>-2.4441322948786259E-2</v>
      </c>
      <c r="W66" s="305">
        <f t="shared" si="27"/>
        <v>-2.067243364711735E-2</v>
      </c>
      <c r="X66" s="305">
        <f t="shared" si="27"/>
        <v>-1.5605583599641398E-2</v>
      </c>
      <c r="Y66" s="305">
        <f t="shared" si="27"/>
        <v>-1.047309153183329E-2</v>
      </c>
      <c r="Z66" s="305">
        <f t="shared" si="27"/>
        <v>-5.380416430818824E-3</v>
      </c>
      <c r="AA66" s="305">
        <f t="shared" si="27"/>
        <v>5.9252261364689668E-3</v>
      </c>
      <c r="AB66" s="305">
        <f t="shared" si="27"/>
        <v>-1.8882012338746063E-2</v>
      </c>
      <c r="AC66" s="305">
        <f t="shared" si="27"/>
        <v>-1.4250003212298468E-2</v>
      </c>
      <c r="AD66" s="305">
        <f t="shared" si="27"/>
        <v>-9.8755863070296435E-3</v>
      </c>
      <c r="AE66" s="305">
        <f t="shared" si="27"/>
        <v>-5.7053862967697544E-3</v>
      </c>
      <c r="AF66" s="305">
        <f t="shared" si="27"/>
        <v>-1.5202704640046E-2</v>
      </c>
      <c r="AG66" s="305">
        <f t="shared" ref="AG66:AU66" si="28">AG44-AG55</f>
        <v>-1.0695085096738499E-2</v>
      </c>
      <c r="AH66" s="305">
        <f t="shared" si="28"/>
        <v>-6.6025468895474226E-3</v>
      </c>
      <c r="AI66" s="305">
        <f t="shared" si="28"/>
        <v>-2.7684412728809227E-3</v>
      </c>
      <c r="AJ66" s="305">
        <f t="shared" si="28"/>
        <v>9.2806049208382646E-4</v>
      </c>
      <c r="AK66" s="305">
        <f t="shared" si="28"/>
        <v>4.5273037852104625E-3</v>
      </c>
      <c r="AL66" s="305">
        <f t="shared" si="28"/>
        <v>8.1256815700003204E-3</v>
      </c>
      <c r="AM66" s="305">
        <f t="shared" si="28"/>
        <v>1.1549715668342092E-2</v>
      </c>
      <c r="AN66" s="305">
        <f t="shared" si="28"/>
        <v>1.4815708310986442E-2</v>
      </c>
      <c r="AO66" s="305">
        <f t="shared" si="28"/>
        <v>1.7904343102245757E-2</v>
      </c>
      <c r="AP66" s="305">
        <f t="shared" si="28"/>
        <v>7.1449801546542013E-3</v>
      </c>
      <c r="AQ66" s="305">
        <f t="shared" si="28"/>
        <v>1.0700073423834389E-2</v>
      </c>
      <c r="AR66" s="305">
        <f t="shared" si="28"/>
        <v>1.4171171540104333E-2</v>
      </c>
      <c r="AS66" s="305">
        <f t="shared" si="28"/>
        <v>1.7542617094868179E-2</v>
      </c>
      <c r="AT66" s="305">
        <f t="shared" si="28"/>
        <v>2.0832107111280307E-2</v>
      </c>
      <c r="AU66" s="306">
        <f t="shared" si="28"/>
        <v>6.2386258152177729E-3</v>
      </c>
      <c r="AV66" s="268"/>
    </row>
    <row r="67" spans="2:48" x14ac:dyDescent="0.25">
      <c r="B67" s="249" t="s">
        <v>473</v>
      </c>
      <c r="C67" s="307">
        <f t="shared" ref="C67:AU67" si="29">C45-C56</f>
        <v>0</v>
      </c>
      <c r="D67" s="307">
        <f t="shared" si="29"/>
        <v>0</v>
      </c>
      <c r="E67" s="307">
        <f t="shared" si="29"/>
        <v>0</v>
      </c>
      <c r="F67" s="307">
        <f t="shared" si="29"/>
        <v>0</v>
      </c>
      <c r="G67" s="307">
        <f t="shared" si="29"/>
        <v>0</v>
      </c>
      <c r="H67" s="307">
        <f t="shared" si="29"/>
        <v>0</v>
      </c>
      <c r="I67" s="307">
        <f t="shared" si="29"/>
        <v>0</v>
      </c>
      <c r="J67" s="307">
        <f t="shared" si="29"/>
        <v>0</v>
      </c>
      <c r="K67" s="307">
        <f t="shared" si="29"/>
        <v>0</v>
      </c>
      <c r="L67" s="307">
        <f t="shared" si="29"/>
        <v>0</v>
      </c>
      <c r="M67" s="307">
        <f t="shared" si="29"/>
        <v>-1.4179574004957729E-6</v>
      </c>
      <c r="N67" s="307">
        <f t="shared" si="29"/>
        <v>-3.5734591173897101E-6</v>
      </c>
      <c r="O67" s="307">
        <f t="shared" si="29"/>
        <v>-4.6917281997238547E-6</v>
      </c>
      <c r="P67" s="307">
        <f t="shared" si="29"/>
        <v>-2.9445263726168847E-6</v>
      </c>
      <c r="Q67" s="307">
        <f t="shared" si="29"/>
        <v>3.5504995288260233E-7</v>
      </c>
      <c r="R67" s="307">
        <f t="shared" si="29"/>
        <v>1.1070946450364438E-5</v>
      </c>
      <c r="S67" s="307">
        <f t="shared" si="29"/>
        <v>2.1670881752866578E-5</v>
      </c>
      <c r="T67" s="307">
        <f t="shared" si="29"/>
        <v>3.4305498832877257E-3</v>
      </c>
      <c r="U67" s="307">
        <f t="shared" si="29"/>
        <v>-3.0678452061538852E-4</v>
      </c>
      <c r="V67" s="307">
        <f t="shared" si="29"/>
        <v>1.4568242139717524E-2</v>
      </c>
      <c r="W67" s="307">
        <f t="shared" si="29"/>
        <v>2.1639765946418033E-2</v>
      </c>
      <c r="X67" s="307">
        <f t="shared" si="29"/>
        <v>2.1101907212252358E-2</v>
      </c>
      <c r="Y67" s="307">
        <f t="shared" si="29"/>
        <v>1.7815855322817042E-2</v>
      </c>
      <c r="Z67" s="307">
        <f t="shared" si="29"/>
        <v>1.3526124871475753E-2</v>
      </c>
      <c r="AA67" s="307">
        <f t="shared" si="29"/>
        <v>2.1350556533668352E-2</v>
      </c>
      <c r="AB67" s="307">
        <f t="shared" si="29"/>
        <v>2.3837452771850898E-2</v>
      </c>
      <c r="AC67" s="307">
        <f t="shared" si="29"/>
        <v>2.0828667095238673E-2</v>
      </c>
      <c r="AD67" s="307">
        <f t="shared" si="29"/>
        <v>1.7396455315904724E-2</v>
      </c>
      <c r="AE67" s="307">
        <f t="shared" si="29"/>
        <v>1.3804951531789067E-2</v>
      </c>
      <c r="AF67" s="307">
        <f t="shared" si="29"/>
        <v>1.521564326673952E-2</v>
      </c>
      <c r="AG67" s="307">
        <f t="shared" si="29"/>
        <v>1.4924382365076094E-2</v>
      </c>
      <c r="AH67" s="307">
        <f t="shared" si="29"/>
        <v>1.2526319320642076E-2</v>
      </c>
      <c r="AI67" s="307">
        <f t="shared" si="29"/>
        <v>9.3248392952515191E-3</v>
      </c>
      <c r="AJ67" s="307">
        <f t="shared" si="29"/>
        <v>5.8736034316562158E-3</v>
      </c>
      <c r="AK67" s="307">
        <f t="shared" si="29"/>
        <v>2.356435705806792E-3</v>
      </c>
      <c r="AL67" s="307">
        <f t="shared" si="29"/>
        <v>-3.2702312710596315E-3</v>
      </c>
      <c r="AM67" s="307">
        <f t="shared" si="29"/>
        <v>-7.781292399565265E-3</v>
      </c>
      <c r="AN67" s="307">
        <f t="shared" si="29"/>
        <v>-1.1534460105318889E-2</v>
      </c>
      <c r="AO67" s="307">
        <f t="shared" si="29"/>
        <v>-1.4862209995873954E-2</v>
      </c>
      <c r="AP67" s="307">
        <f t="shared" si="29"/>
        <v>-1.2058195657527748E-2</v>
      </c>
      <c r="AQ67" s="307">
        <f t="shared" si="29"/>
        <v>-1.4555335568900651E-2</v>
      </c>
      <c r="AR67" s="307">
        <f t="shared" si="29"/>
        <v>-1.7939645980094121E-2</v>
      </c>
      <c r="AS67" s="307">
        <f t="shared" si="29"/>
        <v>-2.1526973211111966E-2</v>
      </c>
      <c r="AT67" s="307">
        <f t="shared" si="29"/>
        <v>-2.5190771567609405E-2</v>
      </c>
      <c r="AU67" s="308">
        <f t="shared" si="29"/>
        <v>-2.9353714000126097E-2</v>
      </c>
      <c r="AV67" s="268"/>
    </row>
  </sheetData>
  <pageMargins left="0.7" right="0.7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CU30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:AW300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7" max="49" width="11.7109375" customWidth="1"/>
    <col min="50" max="50" width="21.85546875" customWidth="1"/>
    <col min="51" max="52" width="11.7109375" customWidth="1"/>
  </cols>
  <sheetData>
    <row r="1" spans="1:49" ht="51.75" thickBot="1" x14ac:dyDescent="0.3">
      <c r="A1" s="234" t="s">
        <v>484</v>
      </c>
      <c r="B1" s="269" t="s">
        <v>492</v>
      </c>
      <c r="C1" s="235">
        <v>2</v>
      </c>
      <c r="D1" s="235">
        <f>C1+1</f>
        <v>3</v>
      </c>
      <c r="E1" s="235">
        <f t="shared" ref="E1:AW1" si="0">D1+1</f>
        <v>4</v>
      </c>
      <c r="F1" s="235">
        <f t="shared" si="0"/>
        <v>5</v>
      </c>
      <c r="G1" s="235">
        <f t="shared" si="0"/>
        <v>6</v>
      </c>
      <c r="H1" s="235">
        <f t="shared" si="0"/>
        <v>7</v>
      </c>
      <c r="I1" s="235">
        <f t="shared" si="0"/>
        <v>8</v>
      </c>
      <c r="J1" s="235">
        <f t="shared" si="0"/>
        <v>9</v>
      </c>
      <c r="K1" s="235">
        <f t="shared" si="0"/>
        <v>10</v>
      </c>
      <c r="L1" s="235">
        <f t="shared" si="0"/>
        <v>11</v>
      </c>
      <c r="M1" s="235">
        <f t="shared" si="0"/>
        <v>12</v>
      </c>
      <c r="N1" s="235">
        <f t="shared" si="0"/>
        <v>13</v>
      </c>
      <c r="O1" s="235">
        <f t="shared" si="0"/>
        <v>14</v>
      </c>
      <c r="P1" s="235">
        <f t="shared" si="0"/>
        <v>15</v>
      </c>
      <c r="Q1" s="235">
        <f t="shared" si="0"/>
        <v>16</v>
      </c>
      <c r="R1" s="235">
        <f t="shared" si="0"/>
        <v>17</v>
      </c>
      <c r="S1" s="235">
        <f t="shared" si="0"/>
        <v>18</v>
      </c>
      <c r="T1" s="235">
        <f t="shared" si="0"/>
        <v>19</v>
      </c>
      <c r="U1" s="235">
        <f t="shared" si="0"/>
        <v>20</v>
      </c>
      <c r="V1" s="235">
        <f t="shared" si="0"/>
        <v>21</v>
      </c>
      <c r="W1" s="235">
        <f t="shared" si="0"/>
        <v>22</v>
      </c>
      <c r="X1" s="235">
        <f t="shared" si="0"/>
        <v>23</v>
      </c>
      <c r="Y1" s="235">
        <f t="shared" si="0"/>
        <v>24</v>
      </c>
      <c r="Z1" s="235">
        <f t="shared" si="0"/>
        <v>25</v>
      </c>
      <c r="AA1" s="235">
        <f t="shared" si="0"/>
        <v>26</v>
      </c>
      <c r="AB1" s="235">
        <f t="shared" si="0"/>
        <v>27</v>
      </c>
      <c r="AC1" s="235">
        <f t="shared" si="0"/>
        <v>28</v>
      </c>
      <c r="AD1" s="235">
        <f t="shared" si="0"/>
        <v>29</v>
      </c>
      <c r="AE1" s="235">
        <f t="shared" si="0"/>
        <v>30</v>
      </c>
      <c r="AF1" s="235">
        <f t="shared" si="0"/>
        <v>31</v>
      </c>
      <c r="AG1" s="235">
        <f t="shared" si="0"/>
        <v>32</v>
      </c>
      <c r="AH1" s="235">
        <f t="shared" si="0"/>
        <v>33</v>
      </c>
      <c r="AI1" s="235">
        <f t="shared" si="0"/>
        <v>34</v>
      </c>
      <c r="AJ1" s="235">
        <f t="shared" si="0"/>
        <v>35</v>
      </c>
      <c r="AK1" s="235">
        <f t="shared" si="0"/>
        <v>36</v>
      </c>
      <c r="AL1" s="235">
        <f t="shared" si="0"/>
        <v>37</v>
      </c>
      <c r="AM1" s="235">
        <f t="shared" si="0"/>
        <v>38</v>
      </c>
      <c r="AN1" s="235">
        <f t="shared" si="0"/>
        <v>39</v>
      </c>
      <c r="AO1" s="235">
        <f t="shared" si="0"/>
        <v>40</v>
      </c>
      <c r="AP1" s="235">
        <f t="shared" si="0"/>
        <v>41</v>
      </c>
      <c r="AQ1" s="235">
        <f t="shared" si="0"/>
        <v>42</v>
      </c>
      <c r="AR1" s="235">
        <f t="shared" si="0"/>
        <v>43</v>
      </c>
      <c r="AS1" s="235">
        <f t="shared" si="0"/>
        <v>44</v>
      </c>
      <c r="AT1" s="235">
        <f t="shared" si="0"/>
        <v>45</v>
      </c>
      <c r="AU1" s="235">
        <f t="shared" si="0"/>
        <v>46</v>
      </c>
      <c r="AV1" s="235">
        <f t="shared" si="0"/>
        <v>47</v>
      </c>
      <c r="AW1" s="235">
        <f t="shared" si="0"/>
        <v>48</v>
      </c>
    </row>
    <row r="2" spans="1:49" x14ac:dyDescent="0.25">
      <c r="B2" s="193"/>
      <c r="C2" s="16">
        <v>2004</v>
      </c>
      <c r="D2" s="16">
        <v>2005</v>
      </c>
      <c r="E2" s="16">
        <v>2006</v>
      </c>
      <c r="F2" s="2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3" t="s">
        <v>103</v>
      </c>
      <c r="C3">
        <v>78.155731330970795</v>
      </c>
      <c r="D3" s="39">
        <v>79.410546877677106</v>
      </c>
      <c r="E3" s="39">
        <v>67.551490169999994</v>
      </c>
      <c r="F3" s="39">
        <v>68.689208710000003</v>
      </c>
      <c r="G3">
        <v>65.724789240000007</v>
      </c>
      <c r="H3">
        <v>64.003237729999995</v>
      </c>
      <c r="I3">
        <v>63.384569730000003</v>
      </c>
      <c r="J3">
        <v>61.92620574</v>
      </c>
      <c r="K3">
        <v>60.183522179999997</v>
      </c>
      <c r="L3">
        <v>59.068676000000004</v>
      </c>
      <c r="M3">
        <v>59.177911219999999</v>
      </c>
      <c r="N3">
        <v>59.892673690000002</v>
      </c>
      <c r="O3">
        <v>58.853681889999997</v>
      </c>
      <c r="P3">
        <v>57.289695420000001</v>
      </c>
      <c r="Q3">
        <v>54.998249850000001</v>
      </c>
      <c r="R3">
        <v>53.587925599999998</v>
      </c>
      <c r="S3">
        <v>52.293378850000003</v>
      </c>
      <c r="T3">
        <v>52.252739650000002</v>
      </c>
      <c r="U3">
        <v>52.118586190000002</v>
      </c>
      <c r="V3">
        <v>52.120581520000002</v>
      </c>
      <c r="W3">
        <v>51.318354319999997</v>
      </c>
      <c r="X3">
        <v>49.794752459999998</v>
      </c>
      <c r="Y3">
        <v>48.41893211</v>
      </c>
      <c r="Z3">
        <v>46.947437870000002</v>
      </c>
      <c r="AA3">
        <v>45.553619390000001</v>
      </c>
      <c r="AB3">
        <v>44.15264286</v>
      </c>
      <c r="AC3">
        <v>42.704749</v>
      </c>
      <c r="AD3">
        <v>40.844019750000001</v>
      </c>
      <c r="AE3">
        <v>38.990004140000003</v>
      </c>
      <c r="AF3">
        <v>37.194530210000003</v>
      </c>
      <c r="AG3">
        <v>35.447938059999998</v>
      </c>
      <c r="AH3">
        <v>33.791667390000001</v>
      </c>
      <c r="AI3">
        <v>32.033460169999998</v>
      </c>
      <c r="AJ3">
        <v>30.341248440000001</v>
      </c>
      <c r="AK3">
        <v>28.710185070000001</v>
      </c>
      <c r="AL3">
        <v>27.15496744</v>
      </c>
      <c r="AM3">
        <v>25.67766847</v>
      </c>
      <c r="AN3">
        <v>24.75274864</v>
      </c>
      <c r="AO3">
        <v>23.845382820000001</v>
      </c>
      <c r="AP3">
        <v>22.988118440000001</v>
      </c>
      <c r="AQ3">
        <v>22.163599439999999</v>
      </c>
      <c r="AR3">
        <v>21.33415244</v>
      </c>
      <c r="AS3">
        <v>20.71704605</v>
      </c>
      <c r="AT3">
        <v>20.150096850000001</v>
      </c>
      <c r="AU3">
        <v>19.610159039999999</v>
      </c>
      <c r="AV3">
        <v>19.08034219</v>
      </c>
      <c r="AW3">
        <v>18.58427489</v>
      </c>
    </row>
    <row r="4" spans="1:49" x14ac:dyDescent="0.25">
      <c r="B4" s="13" t="s">
        <v>104</v>
      </c>
      <c r="C4">
        <v>77.477678819662401</v>
      </c>
      <c r="D4" s="39">
        <v>78.721608013977402</v>
      </c>
      <c r="E4" s="39">
        <v>66.677101949999894</v>
      </c>
      <c r="F4" s="39">
        <v>67.521655030000005</v>
      </c>
      <c r="G4">
        <v>64.342295129999997</v>
      </c>
      <c r="H4">
        <v>62.399637730000002</v>
      </c>
      <c r="I4">
        <v>61.542685810000002</v>
      </c>
      <c r="J4">
        <v>59.87977257</v>
      </c>
      <c r="K4">
        <v>57.95568462</v>
      </c>
      <c r="L4">
        <v>56.64850354</v>
      </c>
      <c r="M4">
        <v>56.52018829</v>
      </c>
      <c r="N4">
        <v>56.967928620000002</v>
      </c>
      <c r="O4">
        <v>55.937887629999999</v>
      </c>
      <c r="P4">
        <v>54.408125089999999</v>
      </c>
      <c r="Q4">
        <v>52.187678910000002</v>
      </c>
      <c r="R4">
        <v>50.803378709999997</v>
      </c>
      <c r="S4">
        <v>49.52800783</v>
      </c>
      <c r="T4">
        <v>49.356770670000003</v>
      </c>
      <c r="U4">
        <v>49.101940620000001</v>
      </c>
      <c r="V4">
        <v>48.979792940000003</v>
      </c>
      <c r="W4">
        <v>48.142283300000003</v>
      </c>
      <c r="X4">
        <v>46.626098480000003</v>
      </c>
      <c r="Y4">
        <v>45.185370939999999</v>
      </c>
      <c r="Z4">
        <v>43.650638299999997</v>
      </c>
      <c r="AA4">
        <v>42.182770759999997</v>
      </c>
      <c r="AB4">
        <v>40.711409740000001</v>
      </c>
      <c r="AC4">
        <v>39.190811289999999</v>
      </c>
      <c r="AD4">
        <v>37.171688889999999</v>
      </c>
      <c r="AE4">
        <v>35.15289997</v>
      </c>
      <c r="AF4">
        <v>33.179441850000003</v>
      </c>
      <c r="AG4">
        <v>31.253638899999999</v>
      </c>
      <c r="AH4">
        <v>29.3953582</v>
      </c>
      <c r="AI4">
        <v>27.580222129999999</v>
      </c>
      <c r="AJ4">
        <v>25.8123817</v>
      </c>
      <c r="AK4">
        <v>24.083280200000001</v>
      </c>
      <c r="AL4">
        <v>22.41588617</v>
      </c>
      <c r="AM4">
        <v>20.787837060000001</v>
      </c>
      <c r="AN4">
        <v>19.753252379999999</v>
      </c>
      <c r="AO4">
        <v>18.709609090000001</v>
      </c>
      <c r="AP4">
        <v>17.675121959999998</v>
      </c>
      <c r="AQ4">
        <v>16.625523879999999</v>
      </c>
      <c r="AR4">
        <v>15.518586040000001</v>
      </c>
      <c r="AS4">
        <v>14.9791284</v>
      </c>
      <c r="AT4">
        <v>14.4712885</v>
      </c>
      <c r="AU4">
        <v>13.97697163</v>
      </c>
      <c r="AV4">
        <v>13.48266838</v>
      </c>
      <c r="AW4">
        <v>13.003266999999999</v>
      </c>
    </row>
    <row r="5" spans="1:49" x14ac:dyDescent="0.25">
      <c r="B5" s="13" t="s">
        <v>105</v>
      </c>
      <c r="C5">
        <v>0.67805251130835598</v>
      </c>
      <c r="D5" s="39">
        <v>0.68893886369971102</v>
      </c>
      <c r="E5">
        <v>0.87438821980000003</v>
      </c>
      <c r="F5">
        <v>1.1675536799999999</v>
      </c>
      <c r="G5">
        <v>1.3824941100000001</v>
      </c>
      <c r="H5">
        <v>1.6035999999999999</v>
      </c>
      <c r="I5">
        <v>1.8418839149999999</v>
      </c>
      <c r="J5">
        <v>2.0464331740000001</v>
      </c>
      <c r="K5">
        <v>2.2278375619999999</v>
      </c>
      <c r="L5">
        <v>2.4201724570000001</v>
      </c>
      <c r="M5">
        <v>2.657722927</v>
      </c>
      <c r="N5">
        <v>2.9247450650000002</v>
      </c>
      <c r="O5">
        <v>2.9157942640000001</v>
      </c>
      <c r="P5">
        <v>2.8815703340000001</v>
      </c>
      <c r="Q5">
        <v>2.8105709459999999</v>
      </c>
      <c r="R5">
        <v>2.784546889</v>
      </c>
      <c r="S5">
        <v>2.765371021</v>
      </c>
      <c r="T5">
        <v>2.8959689750000002</v>
      </c>
      <c r="U5">
        <v>3.0166455700000001</v>
      </c>
      <c r="V5">
        <v>3.1407885809999998</v>
      </c>
      <c r="W5">
        <v>3.1760710240000001</v>
      </c>
      <c r="X5">
        <v>3.1686539759999999</v>
      </c>
      <c r="Y5">
        <v>3.233561168</v>
      </c>
      <c r="Z5">
        <v>3.2967995650000002</v>
      </c>
      <c r="AA5">
        <v>3.3708486359999998</v>
      </c>
      <c r="AB5">
        <v>3.4412331190000001</v>
      </c>
      <c r="AC5">
        <v>3.5139377129999998</v>
      </c>
      <c r="AD5">
        <v>3.6723308600000002</v>
      </c>
      <c r="AE5">
        <v>3.8371041699999999</v>
      </c>
      <c r="AF5">
        <v>4.0150883620000002</v>
      </c>
      <c r="AG5">
        <v>4.1942991640000002</v>
      </c>
      <c r="AH5">
        <v>4.3963091829999996</v>
      </c>
      <c r="AI5">
        <v>4.4532380419999997</v>
      </c>
      <c r="AJ5">
        <v>4.5288667370000004</v>
      </c>
      <c r="AK5">
        <v>4.6269048689999996</v>
      </c>
      <c r="AL5">
        <v>4.7390812740000001</v>
      </c>
      <c r="AM5">
        <v>4.8898314059999999</v>
      </c>
      <c r="AN5">
        <v>4.9994962530000002</v>
      </c>
      <c r="AO5">
        <v>5.1357737319999996</v>
      </c>
      <c r="AP5">
        <v>5.3129964840000001</v>
      </c>
      <c r="AQ5">
        <v>5.5380755549999998</v>
      </c>
      <c r="AR5">
        <v>5.8155663960000004</v>
      </c>
      <c r="AS5">
        <v>5.7379176520000001</v>
      </c>
      <c r="AT5">
        <v>5.6788083540000001</v>
      </c>
      <c r="AU5">
        <v>5.6331874099999997</v>
      </c>
      <c r="AV5">
        <v>5.597673812</v>
      </c>
      <c r="AW5">
        <v>5.5810078929999998</v>
      </c>
    </row>
    <row r="6" spans="1:49" x14ac:dyDescent="0.25">
      <c r="B6" s="13" t="s">
        <v>106</v>
      </c>
      <c r="C6">
        <v>28.634797354551999</v>
      </c>
      <c r="D6" s="39">
        <v>29.094538288267</v>
      </c>
      <c r="E6" s="39">
        <v>26.011154829999999</v>
      </c>
      <c r="F6" s="39">
        <v>26.600879729999999</v>
      </c>
      <c r="G6" s="39">
        <v>26.96728517</v>
      </c>
      <c r="H6" s="39">
        <v>24.796436249999999</v>
      </c>
      <c r="I6" s="39">
        <v>25.621568029999999</v>
      </c>
      <c r="J6" s="39">
        <v>26.40812639</v>
      </c>
      <c r="K6" s="39">
        <v>26.660012460000001</v>
      </c>
      <c r="L6" s="39">
        <v>26.49431693</v>
      </c>
      <c r="M6">
        <v>26.2818307</v>
      </c>
      <c r="N6">
        <v>25.64926492</v>
      </c>
      <c r="O6">
        <v>24.18900146</v>
      </c>
      <c r="P6">
        <v>23.751555419999999</v>
      </c>
      <c r="Q6">
        <v>23.600184200000001</v>
      </c>
      <c r="R6">
        <v>22.753921680000001</v>
      </c>
      <c r="S6">
        <v>21.817852800000001</v>
      </c>
      <c r="T6">
        <v>21.69323559</v>
      </c>
      <c r="U6">
        <v>21.63162397</v>
      </c>
      <c r="V6">
        <v>21.613098310000002</v>
      </c>
      <c r="W6">
        <v>22.299800439999999</v>
      </c>
      <c r="X6">
        <v>22.30459905</v>
      </c>
      <c r="Y6">
        <v>21.993938180000001</v>
      </c>
      <c r="Z6">
        <v>21.728583929999999</v>
      </c>
      <c r="AA6">
        <v>21.432243400000001</v>
      </c>
      <c r="AB6">
        <v>21.218830669999999</v>
      </c>
      <c r="AC6">
        <v>21.02578784</v>
      </c>
      <c r="AD6">
        <v>20.948437089999999</v>
      </c>
      <c r="AE6">
        <v>20.840496630000001</v>
      </c>
      <c r="AF6">
        <v>20.687198339999998</v>
      </c>
      <c r="AG6">
        <v>20.524952689999999</v>
      </c>
      <c r="AH6">
        <v>20.32686099</v>
      </c>
      <c r="AI6">
        <v>20.302441640000001</v>
      </c>
      <c r="AJ6">
        <v>20.235468399999998</v>
      </c>
      <c r="AK6">
        <v>20.109812959999999</v>
      </c>
      <c r="AL6">
        <v>19.931046049999999</v>
      </c>
      <c r="AM6">
        <v>19.732086899999999</v>
      </c>
      <c r="AN6">
        <v>19.335805570000002</v>
      </c>
      <c r="AO6">
        <v>18.902289759999999</v>
      </c>
      <c r="AP6">
        <v>18.456144269999999</v>
      </c>
      <c r="AQ6">
        <v>17.98333113</v>
      </c>
      <c r="AR6">
        <v>17.502752149999999</v>
      </c>
      <c r="AS6">
        <v>16.82472692</v>
      </c>
      <c r="AT6">
        <v>16.13610581</v>
      </c>
      <c r="AU6">
        <v>15.43915427</v>
      </c>
      <c r="AV6">
        <v>14.724368159999999</v>
      </c>
      <c r="AW6">
        <v>14.00443482</v>
      </c>
    </row>
    <row r="7" spans="1:49" x14ac:dyDescent="0.25">
      <c r="B7" s="13" t="s">
        <v>107</v>
      </c>
      <c r="C7">
        <v>0.36749349586970598</v>
      </c>
      <c r="D7">
        <v>0.37339372281503302</v>
      </c>
      <c r="E7">
        <v>0.4232294553</v>
      </c>
      <c r="F7">
        <v>0.43422690269999997</v>
      </c>
      <c r="G7">
        <v>0.44163392870000001</v>
      </c>
      <c r="H7">
        <v>0.40739805140000002</v>
      </c>
      <c r="I7">
        <v>0.42231826030000003</v>
      </c>
      <c r="J7">
        <v>0.43669299039999998</v>
      </c>
      <c r="K7">
        <v>0.44228626729999998</v>
      </c>
      <c r="L7">
        <v>0.44096113129999998</v>
      </c>
      <c r="M7">
        <v>0.4388414813</v>
      </c>
      <c r="N7">
        <v>0.4296664643</v>
      </c>
      <c r="O7">
        <v>0.41331582160000002</v>
      </c>
      <c r="P7">
        <v>0.41443680290000001</v>
      </c>
      <c r="Q7">
        <v>0.42104112199999999</v>
      </c>
      <c r="R7">
        <v>0.41562455110000002</v>
      </c>
      <c r="S7">
        <v>0.40864412360000002</v>
      </c>
      <c r="T7">
        <v>0.44947102039999998</v>
      </c>
      <c r="U7">
        <v>0.49263150659999999</v>
      </c>
      <c r="V7">
        <v>0.53807531909999995</v>
      </c>
      <c r="W7">
        <v>0.50999785440000001</v>
      </c>
      <c r="X7">
        <v>0.46688727679999997</v>
      </c>
      <c r="Y7">
        <v>0.4460268047</v>
      </c>
      <c r="Z7">
        <v>0.44843820750000002</v>
      </c>
      <c r="AA7">
        <v>0.44992351450000001</v>
      </c>
      <c r="AB7">
        <v>0.45024154919999998</v>
      </c>
      <c r="AC7">
        <v>0.45078586799999998</v>
      </c>
      <c r="AD7">
        <v>0.46085644370000001</v>
      </c>
      <c r="AE7">
        <v>0.4705881992</v>
      </c>
      <c r="AF7">
        <v>0.47960359629999999</v>
      </c>
      <c r="AG7">
        <v>0.4877353539</v>
      </c>
      <c r="AH7">
        <v>0.49510346840000002</v>
      </c>
      <c r="AI7">
        <v>0.50232456290000005</v>
      </c>
      <c r="AJ7">
        <v>0.50847505019999995</v>
      </c>
      <c r="AK7">
        <v>0.5130940517</v>
      </c>
      <c r="AL7">
        <v>0.51688895229999998</v>
      </c>
      <c r="AM7">
        <v>0.5200302752</v>
      </c>
      <c r="AN7">
        <v>0.52810905070000003</v>
      </c>
      <c r="AO7">
        <v>0.53555876020000004</v>
      </c>
      <c r="AP7" s="39">
        <v>0.54315312339999999</v>
      </c>
      <c r="AQ7" s="39">
        <v>0.55019634959999997</v>
      </c>
      <c r="AR7" s="39">
        <v>0.55721671220000002</v>
      </c>
      <c r="AS7" s="39">
        <v>0.56247424109999999</v>
      </c>
      <c r="AT7" s="39">
        <v>0.56762142449999997</v>
      </c>
      <c r="AU7" s="39">
        <v>0.57272021910000004</v>
      </c>
      <c r="AV7" s="39">
        <v>0.57738566000000002</v>
      </c>
      <c r="AW7" s="39">
        <v>0.58206309469999995</v>
      </c>
    </row>
    <row r="8" spans="1:49" x14ac:dyDescent="0.25">
      <c r="B8" t="s">
        <v>108</v>
      </c>
      <c r="C8">
        <v>1.4676116307532601</v>
      </c>
      <c r="D8" s="39">
        <v>1.4911746101974399</v>
      </c>
      <c r="E8" s="39">
        <v>1.3331427810000001</v>
      </c>
      <c r="F8" s="39">
        <v>1.365350759</v>
      </c>
      <c r="G8" s="39">
        <v>1.3861705550000001</v>
      </c>
      <c r="H8" s="39">
        <v>1.2764385600000001</v>
      </c>
      <c r="I8" s="39">
        <v>1.320831925</v>
      </c>
      <c r="J8" s="39">
        <v>1.3633603139999999</v>
      </c>
      <c r="K8" s="39">
        <v>1.3783661890000001</v>
      </c>
      <c r="L8" s="39">
        <v>1.371791779</v>
      </c>
      <c r="M8">
        <v>1.3627691310000001</v>
      </c>
      <c r="N8">
        <v>1.3319036310000001</v>
      </c>
      <c r="O8">
        <v>1.4067460270000001</v>
      </c>
      <c r="P8">
        <v>1.5409754680000001</v>
      </c>
      <c r="Q8">
        <v>1.7028982429999999</v>
      </c>
      <c r="R8">
        <v>1.8216718569999999</v>
      </c>
      <c r="S8">
        <v>1.9346776130000001</v>
      </c>
      <c r="T8">
        <v>1.8595466970000001</v>
      </c>
      <c r="U8">
        <v>1.7882901419999999</v>
      </c>
      <c r="V8">
        <v>1.718662296</v>
      </c>
      <c r="W8">
        <v>2.017315505</v>
      </c>
      <c r="X8">
        <v>2.251244893</v>
      </c>
      <c r="Y8">
        <v>2.2075341000000002</v>
      </c>
      <c r="Z8">
        <v>2.168830292</v>
      </c>
      <c r="AA8">
        <v>2.1274775130000001</v>
      </c>
      <c r="AB8">
        <v>1.8482967749999999</v>
      </c>
      <c r="AC8">
        <v>1.5819639249999999</v>
      </c>
      <c r="AD8">
        <v>1.490456896</v>
      </c>
      <c r="AE8">
        <v>1.3943323459999999</v>
      </c>
      <c r="AF8">
        <v>1.292924153</v>
      </c>
      <c r="AG8">
        <v>1.19761147</v>
      </c>
      <c r="AH8">
        <v>1.099575797</v>
      </c>
      <c r="AI8">
        <v>0.87451853030000004</v>
      </c>
      <c r="AJ8">
        <v>0.64813596689999997</v>
      </c>
      <c r="AK8">
        <v>0.5130940517</v>
      </c>
      <c r="AL8">
        <v>0.51658650019999997</v>
      </c>
      <c r="AM8">
        <v>0.51943037979999995</v>
      </c>
      <c r="AN8">
        <v>0.52786152109999995</v>
      </c>
      <c r="AO8">
        <v>0.53555876020000004</v>
      </c>
      <c r="AP8">
        <v>0.54315312339999999</v>
      </c>
      <c r="AQ8">
        <v>0.55019634959999997</v>
      </c>
      <c r="AR8">
        <v>0.55721671220000002</v>
      </c>
      <c r="AS8">
        <v>0.56247424109999999</v>
      </c>
      <c r="AT8">
        <v>0.56762142449999997</v>
      </c>
      <c r="AU8">
        <v>0.57272021910000004</v>
      </c>
      <c r="AV8">
        <v>0.57738566000000002</v>
      </c>
      <c r="AW8">
        <v>0.58206309469999995</v>
      </c>
    </row>
    <row r="9" spans="1:49" x14ac:dyDescent="0.25">
      <c r="B9" t="s">
        <v>109</v>
      </c>
      <c r="C9">
        <v>1.4643633957556199</v>
      </c>
      <c r="D9">
        <v>1.4878742237362399</v>
      </c>
      <c r="E9">
        <v>1.330192163</v>
      </c>
      <c r="F9">
        <v>1.2526435140000001</v>
      </c>
      <c r="G9">
        <v>1.169352546</v>
      </c>
      <c r="H9">
        <v>0.99008903329999998</v>
      </c>
      <c r="I9">
        <v>0.94203584959999997</v>
      </c>
      <c r="J9">
        <v>0.89407933939999995</v>
      </c>
      <c r="K9">
        <v>0.8311426355</v>
      </c>
      <c r="L9">
        <v>0.76057961969999999</v>
      </c>
      <c r="M9">
        <v>0.69474321500000003</v>
      </c>
      <c r="N9">
        <v>0.6243388607</v>
      </c>
      <c r="O9">
        <v>0.52285427880000002</v>
      </c>
      <c r="P9">
        <v>0.44352045080000002</v>
      </c>
      <c r="Q9">
        <v>0.42104112199999999</v>
      </c>
      <c r="R9">
        <v>0.41562455110000002</v>
      </c>
      <c r="S9">
        <v>0.40864412360000002</v>
      </c>
      <c r="T9">
        <v>0.41151911940000002</v>
      </c>
      <c r="U9">
        <v>0.41571341309999998</v>
      </c>
      <c r="V9">
        <v>0.42089287580000001</v>
      </c>
      <c r="W9">
        <v>0.43931345570000002</v>
      </c>
      <c r="X9">
        <v>0.44423750420000002</v>
      </c>
      <c r="Y9">
        <v>0.4460268047</v>
      </c>
      <c r="Z9">
        <v>0.44843820750000002</v>
      </c>
      <c r="AA9">
        <v>0.44992351450000001</v>
      </c>
      <c r="AB9">
        <v>0.45024154919999998</v>
      </c>
      <c r="AC9">
        <v>0.45078586799999998</v>
      </c>
      <c r="AD9">
        <v>0.46085644370000001</v>
      </c>
      <c r="AE9">
        <v>0.4705881992</v>
      </c>
      <c r="AF9">
        <v>0.47960359629999999</v>
      </c>
      <c r="AG9">
        <v>0.4877353539</v>
      </c>
      <c r="AH9">
        <v>0.49510346840000002</v>
      </c>
      <c r="AI9">
        <v>0.50232456290000005</v>
      </c>
      <c r="AJ9">
        <v>0.50847505019999995</v>
      </c>
      <c r="AK9">
        <v>0.5130940517</v>
      </c>
      <c r="AL9">
        <v>0.51658650019999997</v>
      </c>
      <c r="AM9">
        <v>0.51943037979999995</v>
      </c>
      <c r="AN9">
        <v>0.52786152109999995</v>
      </c>
      <c r="AO9">
        <v>0.53555876020000004</v>
      </c>
      <c r="AP9">
        <v>0.54315312339999999</v>
      </c>
      <c r="AQ9">
        <v>0.55019634959999997</v>
      </c>
      <c r="AR9">
        <v>0.55721671220000002</v>
      </c>
      <c r="AS9">
        <v>0.56247424109999999</v>
      </c>
      <c r="AT9">
        <v>0.56762142449999997</v>
      </c>
      <c r="AU9">
        <v>0.57272021910000004</v>
      </c>
      <c r="AV9">
        <v>0.57738566000000002</v>
      </c>
      <c r="AW9">
        <v>0.58206309469999995</v>
      </c>
    </row>
    <row r="10" spans="1:49" x14ac:dyDescent="0.25">
      <c r="B10" t="s">
        <v>110</v>
      </c>
      <c r="C10">
        <v>0.29584764130791702</v>
      </c>
      <c r="D10" s="39">
        <v>0.300597570883747</v>
      </c>
      <c r="E10" s="39">
        <v>0.4232294553</v>
      </c>
      <c r="F10">
        <v>0.72906575090000003</v>
      </c>
      <c r="G10">
        <v>1.0164817900000001</v>
      </c>
      <c r="H10">
        <v>1.1669939519999999</v>
      </c>
      <c r="I10">
        <v>1.4199642100000001</v>
      </c>
      <c r="J10">
        <v>1.6539155679999999</v>
      </c>
      <c r="K10">
        <v>1.826155331</v>
      </c>
      <c r="L10">
        <v>1.9279329460000001</v>
      </c>
      <c r="M10">
        <v>1.973454043</v>
      </c>
      <c r="N10">
        <v>1.9234027520000001</v>
      </c>
      <c r="O10">
        <v>2.0304054310000001</v>
      </c>
      <c r="P10">
        <v>2.2231241110000002</v>
      </c>
      <c r="Q10">
        <v>2.4557429580000001</v>
      </c>
      <c r="R10">
        <v>2.6261005929999999</v>
      </c>
      <c r="S10">
        <v>2.7881367579999998</v>
      </c>
      <c r="T10">
        <v>2.9394781220000001</v>
      </c>
      <c r="U10">
        <v>3.1033413790000002</v>
      </c>
      <c r="V10">
        <v>3.2784320579999999</v>
      </c>
      <c r="W10">
        <v>3.6162657650000001</v>
      </c>
      <c r="X10">
        <v>3.8406106179999999</v>
      </c>
      <c r="Y10">
        <v>4.0172377939999997</v>
      </c>
      <c r="Z10">
        <v>4.1935809639999997</v>
      </c>
      <c r="AA10">
        <v>4.3556758330000003</v>
      </c>
      <c r="AB10">
        <v>4.5299874510000002</v>
      </c>
      <c r="AC10">
        <v>4.6993045560000004</v>
      </c>
      <c r="AD10">
        <v>5.3744365690000002</v>
      </c>
      <c r="AE10">
        <v>6.0614466250000003</v>
      </c>
      <c r="AF10">
        <v>6.7534379089999996</v>
      </c>
      <c r="AG10">
        <v>7.3832815619999996</v>
      </c>
      <c r="AH10">
        <v>8.0052924660000002</v>
      </c>
      <c r="AI10">
        <v>8.5003071880000007</v>
      </c>
      <c r="AJ10">
        <v>8.9763601860000009</v>
      </c>
      <c r="AK10">
        <v>9.4227066930000003</v>
      </c>
      <c r="AL10">
        <v>9.8155123379999996</v>
      </c>
      <c r="AM10">
        <v>10.190964429999999</v>
      </c>
      <c r="AN10">
        <v>10.815603579999999</v>
      </c>
      <c r="AO10">
        <v>11.4318393</v>
      </c>
      <c r="AP10">
        <v>12.051646099999999</v>
      </c>
      <c r="AQ10">
        <v>12.664312750000001</v>
      </c>
      <c r="AR10">
        <v>13.28095111</v>
      </c>
      <c r="AS10">
        <v>13.93539157</v>
      </c>
      <c r="AT10">
        <v>14.59167633</v>
      </c>
      <c r="AU10">
        <v>15.25108167</v>
      </c>
      <c r="AV10">
        <v>15.90280808</v>
      </c>
      <c r="AW10">
        <v>16.55828692</v>
      </c>
    </row>
    <row r="11" spans="1:49" x14ac:dyDescent="0.25">
      <c r="B11" t="s">
        <v>111</v>
      </c>
      <c r="C11">
        <v>6.65657192942814E-2</v>
      </c>
      <c r="D11" s="39">
        <v>6.7634453448843099E-2</v>
      </c>
      <c r="E11" s="39">
        <v>0.4232294553</v>
      </c>
      <c r="F11" s="39">
        <v>0.4544578655</v>
      </c>
      <c r="G11" s="39">
        <v>0.48949604159999999</v>
      </c>
      <c r="H11" s="39">
        <v>0.48492902589999998</v>
      </c>
      <c r="I11">
        <v>0.54857411290000002</v>
      </c>
      <c r="J11">
        <v>0.6301664508</v>
      </c>
      <c r="K11">
        <v>0.72274532020000004</v>
      </c>
      <c r="L11">
        <v>0.83231013539999998</v>
      </c>
      <c r="M11">
        <v>0.97576329809999995</v>
      </c>
      <c r="N11">
        <v>1.1468141409999999</v>
      </c>
      <c r="O11">
        <v>1.18258643</v>
      </c>
      <c r="P11">
        <v>1.268299037</v>
      </c>
      <c r="Q11">
        <v>1.3754136969999999</v>
      </c>
      <c r="R11">
        <v>1.4467198240000001</v>
      </c>
      <c r="S11">
        <v>1.5132697829999999</v>
      </c>
      <c r="T11">
        <v>1.565073852</v>
      </c>
      <c r="U11">
        <v>1.6228634420000001</v>
      </c>
      <c r="V11">
        <v>1.685709065</v>
      </c>
      <c r="W11">
        <v>2.0615272660000001</v>
      </c>
      <c r="X11">
        <v>2.3702965570000001</v>
      </c>
      <c r="Y11">
        <v>2.7648471589999999</v>
      </c>
      <c r="Z11">
        <v>3.1491898800000002</v>
      </c>
      <c r="AA11">
        <v>3.5136796430000001</v>
      </c>
      <c r="AB11">
        <v>3.8904329190000002</v>
      </c>
      <c r="AC11">
        <v>4.253248514</v>
      </c>
      <c r="AD11">
        <v>4.5448548049999999</v>
      </c>
      <c r="AE11">
        <v>4.83857771</v>
      </c>
      <c r="AF11">
        <v>5.1298340930000004</v>
      </c>
      <c r="AG11">
        <v>5.4019216779999999</v>
      </c>
      <c r="AH11">
        <v>5.6668903329999996</v>
      </c>
      <c r="AI11">
        <v>5.9691274959999996</v>
      </c>
      <c r="AJ11">
        <v>6.2581521020000004</v>
      </c>
      <c r="AK11">
        <v>6.5267774320000003</v>
      </c>
      <c r="AL11">
        <v>6.7609694830000002</v>
      </c>
      <c r="AM11">
        <v>6.9837688279999997</v>
      </c>
      <c r="AN11">
        <v>7.3719442869999998</v>
      </c>
      <c r="AO11">
        <v>7.7538402639999999</v>
      </c>
      <c r="AP11">
        <v>8.1376980220000004</v>
      </c>
      <c r="AQ11">
        <v>8.5163437159999997</v>
      </c>
      <c r="AR11">
        <v>8.8973272819999902</v>
      </c>
      <c r="AS11">
        <v>9.3013415740000003</v>
      </c>
      <c r="AT11">
        <v>9.7063003949999995</v>
      </c>
      <c r="AU11">
        <v>10.113071809999999</v>
      </c>
      <c r="AV11">
        <v>10.51452652</v>
      </c>
      <c r="AW11">
        <v>10.91826962</v>
      </c>
    </row>
    <row r="12" spans="1:49" x14ac:dyDescent="0.25">
      <c r="B12" t="s">
        <v>112</v>
      </c>
      <c r="C12">
        <v>3.32767453113023</v>
      </c>
      <c r="D12" s="39">
        <v>3.3811014220943498</v>
      </c>
      <c r="E12">
        <v>3.0227787679999998</v>
      </c>
      <c r="F12" s="39">
        <v>2.9824416870000001</v>
      </c>
      <c r="G12" s="39">
        <v>2.917040251</v>
      </c>
      <c r="H12" s="39">
        <v>2.5877582100000001</v>
      </c>
      <c r="I12">
        <v>2.5797009540000002</v>
      </c>
      <c r="J12">
        <v>2.5652546410000001</v>
      </c>
      <c r="K12">
        <v>2.498517943</v>
      </c>
      <c r="L12">
        <v>2.3955436269999999</v>
      </c>
      <c r="M12" s="39">
        <v>2.2926417849999998</v>
      </c>
      <c r="N12">
        <v>2.1586624940000001</v>
      </c>
      <c r="O12">
        <v>2.2967080420000001</v>
      </c>
      <c r="P12">
        <v>2.5317016159999999</v>
      </c>
      <c r="Q12">
        <v>2.8130056049999999</v>
      </c>
      <c r="R12">
        <v>3.023591009</v>
      </c>
      <c r="S12">
        <v>3.2247054980000001</v>
      </c>
      <c r="T12">
        <v>3.3923071440000001</v>
      </c>
      <c r="U12">
        <v>3.574192617</v>
      </c>
      <c r="V12">
        <v>3.7688091300000002</v>
      </c>
      <c r="W12">
        <v>3.5036345729999998</v>
      </c>
      <c r="X12">
        <v>3.1361119980000001</v>
      </c>
      <c r="Y12">
        <v>3.1230957199999998</v>
      </c>
      <c r="Z12">
        <v>3.1153723449999999</v>
      </c>
      <c r="AA12">
        <v>3.102104534</v>
      </c>
      <c r="AB12">
        <v>3.0959413580000001</v>
      </c>
      <c r="AC12">
        <v>3.0916889790000002</v>
      </c>
      <c r="AD12">
        <v>3.0431850850000002</v>
      </c>
      <c r="AE12">
        <v>2.989179638</v>
      </c>
      <c r="AF12">
        <v>2.9276939280000001</v>
      </c>
      <c r="AG12">
        <v>2.8840379280000001</v>
      </c>
      <c r="AH12">
        <v>2.8351916519999998</v>
      </c>
      <c r="AI12">
        <v>2.8145327259999999</v>
      </c>
      <c r="AJ12">
        <v>2.7880136929999999</v>
      </c>
      <c r="AK12">
        <v>2.7535351669999999</v>
      </c>
      <c r="AL12">
        <v>2.7123294790000001</v>
      </c>
      <c r="AM12">
        <v>2.6686359940000002</v>
      </c>
      <c r="AN12">
        <v>2.6936139469999998</v>
      </c>
      <c r="AO12">
        <v>2.7145819769999999</v>
      </c>
      <c r="AP12">
        <v>2.7347982690000001</v>
      </c>
      <c r="AQ12">
        <v>2.75203636</v>
      </c>
      <c r="AR12">
        <v>2.768980472</v>
      </c>
      <c r="AS12">
        <v>2.7915995910000002</v>
      </c>
      <c r="AT12">
        <v>2.8136407129999998</v>
      </c>
      <c r="AU12">
        <v>2.8354130469999999</v>
      </c>
      <c r="AV12">
        <v>2.8550143509999999</v>
      </c>
      <c r="AW12">
        <v>2.8746522790000002</v>
      </c>
    </row>
    <row r="13" spans="1:49" x14ac:dyDescent="0.25">
      <c r="B13" t="s">
        <v>113</v>
      </c>
      <c r="C13">
        <v>0.21556468620722</v>
      </c>
      <c r="D13" s="39">
        <v>0.21902564697065</v>
      </c>
      <c r="E13" s="39">
        <v>0.4232294553</v>
      </c>
      <c r="F13" s="39">
        <v>0.45779584600000001</v>
      </c>
      <c r="G13" s="39">
        <v>0.49238806410000002</v>
      </c>
      <c r="H13" s="39">
        <v>0.48182308429999998</v>
      </c>
      <c r="I13" s="39">
        <v>0.53144253060000002</v>
      </c>
      <c r="J13" s="39">
        <v>0.58647213440000001</v>
      </c>
      <c r="K13" s="39">
        <v>0.63578671499999995</v>
      </c>
      <c r="L13" s="39">
        <v>0.68044892180000005</v>
      </c>
      <c r="M13">
        <v>0.72895811929999998</v>
      </c>
      <c r="N13">
        <v>0.77036259060000001</v>
      </c>
      <c r="O13">
        <v>0.71665724149999999</v>
      </c>
      <c r="P13">
        <v>0.69326161220000004</v>
      </c>
      <c r="Q13">
        <v>0.67761905359999997</v>
      </c>
      <c r="R13">
        <v>0.64156753359999996</v>
      </c>
      <c r="S13">
        <v>0.60289090560000003</v>
      </c>
      <c r="T13">
        <v>0.62661012670000005</v>
      </c>
      <c r="U13">
        <v>0.65279631969999996</v>
      </c>
      <c r="V13">
        <v>0.68110221479999999</v>
      </c>
      <c r="W13">
        <v>0.79375483000000002</v>
      </c>
      <c r="X13">
        <v>0.88100288309999997</v>
      </c>
      <c r="Y13">
        <v>0.85778546560000002</v>
      </c>
      <c r="Z13">
        <v>0.83674221680000005</v>
      </c>
      <c r="AA13">
        <v>0.81489902879999998</v>
      </c>
      <c r="AB13">
        <v>0.79885078279999999</v>
      </c>
      <c r="AC13">
        <v>0.78390995789999995</v>
      </c>
      <c r="AD13">
        <v>0.82907038799999999</v>
      </c>
      <c r="AE13">
        <v>0.87438888790000002</v>
      </c>
      <c r="AF13">
        <v>0.9190653339</v>
      </c>
      <c r="AG13">
        <v>0.95814981170000002</v>
      </c>
      <c r="AH13">
        <v>0.99590409790000001</v>
      </c>
      <c r="AI13">
        <v>1.0404795339999999</v>
      </c>
      <c r="AJ13">
        <v>1.082770263</v>
      </c>
      <c r="AK13">
        <v>1.1215876279999999</v>
      </c>
      <c r="AL13">
        <v>1.151125661</v>
      </c>
      <c r="AM13">
        <v>1.1788832300000001</v>
      </c>
      <c r="AN13">
        <v>1.2000865300000001</v>
      </c>
      <c r="AO13">
        <v>1.21965119</v>
      </c>
      <c r="AP13">
        <v>1.23900754</v>
      </c>
      <c r="AQ13">
        <v>1.257129588</v>
      </c>
      <c r="AR13">
        <v>1.275219653</v>
      </c>
      <c r="AS13">
        <v>1.285325284</v>
      </c>
      <c r="AT13">
        <v>1.2951620930000001</v>
      </c>
      <c r="AU13">
        <v>1.304872601</v>
      </c>
      <c r="AV13">
        <v>1.3135817089999999</v>
      </c>
      <c r="AW13">
        <v>1.322305643</v>
      </c>
    </row>
    <row r="14" spans="1:49" x14ac:dyDescent="0.25">
      <c r="B14" t="s">
        <v>114</v>
      </c>
      <c r="C14">
        <v>35.839918454870201</v>
      </c>
      <c r="D14" s="39">
        <v>36.415339938413297</v>
      </c>
      <c r="E14">
        <v>33.390186370000002</v>
      </c>
      <c r="F14">
        <v>34.276862059999999</v>
      </c>
      <c r="G14">
        <v>34.879848350000003</v>
      </c>
      <c r="H14">
        <v>32.191866159999996</v>
      </c>
      <c r="I14">
        <v>33.38643587</v>
      </c>
      <c r="J14">
        <v>34.538067830000003</v>
      </c>
      <c r="K14">
        <v>34.995012860000003</v>
      </c>
      <c r="L14">
        <v>34.903885090000003</v>
      </c>
      <c r="M14">
        <v>34.74900178</v>
      </c>
      <c r="N14">
        <v>34.034415850000002</v>
      </c>
      <c r="O14">
        <v>32.758274729999997</v>
      </c>
      <c r="P14">
        <v>32.866874520000003</v>
      </c>
      <c r="Q14">
        <v>33.466946</v>
      </c>
      <c r="R14">
        <v>33.1448216</v>
      </c>
      <c r="S14">
        <v>32.698821600000002</v>
      </c>
      <c r="T14">
        <v>32.93724168</v>
      </c>
      <c r="U14">
        <v>33.281452780000002</v>
      </c>
      <c r="V14">
        <v>33.704781269999998</v>
      </c>
      <c r="W14">
        <v>35.241609689999997</v>
      </c>
      <c r="X14">
        <v>35.694990779999998</v>
      </c>
      <c r="Y14">
        <v>35.856492029999998</v>
      </c>
      <c r="Z14">
        <v>36.089176039999998</v>
      </c>
      <c r="AA14">
        <v>36.24592698</v>
      </c>
      <c r="AB14">
        <v>36.282823049999998</v>
      </c>
      <c r="AC14">
        <v>36.337475509999997</v>
      </c>
      <c r="AD14">
        <v>37.152153720000001</v>
      </c>
      <c r="AE14">
        <v>37.939598230000001</v>
      </c>
      <c r="AF14">
        <v>38.669360949999998</v>
      </c>
      <c r="AG14">
        <v>39.325425840000001</v>
      </c>
      <c r="AH14">
        <v>39.919922270000001</v>
      </c>
      <c r="AI14">
        <v>40.50605625</v>
      </c>
      <c r="AJ14">
        <v>41.005850709999997</v>
      </c>
      <c r="AK14">
        <v>41.473702039999999</v>
      </c>
      <c r="AL14">
        <v>41.921044960000003</v>
      </c>
      <c r="AM14">
        <v>42.313230410000003</v>
      </c>
      <c r="AN14">
        <v>43.000886000000001</v>
      </c>
      <c r="AO14">
        <v>43.62887877</v>
      </c>
      <c r="AP14">
        <v>44.248753559999997</v>
      </c>
      <c r="AQ14">
        <v>44.823742590000002</v>
      </c>
      <c r="AR14">
        <v>45.396880809999999</v>
      </c>
      <c r="AS14">
        <v>45.825807670000003</v>
      </c>
      <c r="AT14">
        <v>46.245749609999997</v>
      </c>
      <c r="AU14">
        <v>46.66175406</v>
      </c>
      <c r="AV14">
        <v>47.042455799999999</v>
      </c>
      <c r="AW14">
        <v>47.424138560000003</v>
      </c>
    </row>
    <row r="15" spans="1:49" x14ac:dyDescent="0.25">
      <c r="B15" t="s">
        <v>115</v>
      </c>
      <c r="C15">
        <v>36.006525643363197</v>
      </c>
      <c r="D15" s="39">
        <v>36.584622059208101</v>
      </c>
      <c r="E15" s="39">
        <v>32.766873199999999</v>
      </c>
      <c r="F15" s="39">
        <v>33.612290829999999</v>
      </c>
      <c r="G15" s="39">
        <v>33.294327539999998</v>
      </c>
      <c r="H15" s="39">
        <v>32.463674179999998</v>
      </c>
      <c r="I15" s="39">
        <v>33.735315819999997</v>
      </c>
      <c r="J15" s="39">
        <v>34.212578260000001</v>
      </c>
      <c r="K15" s="39">
        <v>33.492509259999999</v>
      </c>
      <c r="L15" s="39">
        <v>33.34313238</v>
      </c>
      <c r="M15">
        <v>33.983453730000001</v>
      </c>
      <c r="N15">
        <v>35.110269209999998</v>
      </c>
      <c r="O15">
        <v>35.926711820000001</v>
      </c>
      <c r="P15" s="39">
        <v>36.173998439999998</v>
      </c>
      <c r="Q15">
        <v>34.934175029999999</v>
      </c>
      <c r="R15">
        <v>34.17687488</v>
      </c>
      <c r="S15">
        <v>33.65073847</v>
      </c>
      <c r="T15">
        <v>33.39051474</v>
      </c>
      <c r="U15">
        <v>33.38049771</v>
      </c>
      <c r="V15">
        <v>33.479779280000002</v>
      </c>
      <c r="W15">
        <v>33.362131599999998</v>
      </c>
      <c r="X15">
        <v>33.75711699</v>
      </c>
      <c r="Y15">
        <v>33.877318240000001</v>
      </c>
      <c r="Z15">
        <v>33.535230519999999</v>
      </c>
      <c r="AA15">
        <v>33.201118270000002</v>
      </c>
      <c r="AB15">
        <v>32.846998980000002</v>
      </c>
      <c r="AC15">
        <v>32.37489214</v>
      </c>
      <c r="AD15">
        <v>31.489280180000002</v>
      </c>
      <c r="AE15">
        <v>30.65152668</v>
      </c>
      <c r="AF15">
        <v>29.845950420000001</v>
      </c>
      <c r="AG15">
        <v>29.084890959999999</v>
      </c>
      <c r="AH15">
        <v>28.405999000000001</v>
      </c>
      <c r="AI15">
        <v>27.750251729999999</v>
      </c>
      <c r="AJ15">
        <v>27.151127949999999</v>
      </c>
      <c r="AK15">
        <v>26.615935889999999</v>
      </c>
      <c r="AL15">
        <v>26.136599260000001</v>
      </c>
      <c r="AM15">
        <v>25.716212429999999</v>
      </c>
      <c r="AN15">
        <v>24.862189260000001</v>
      </c>
      <c r="AO15">
        <v>24.281054279999999</v>
      </c>
      <c r="AP15">
        <v>23.775479409999999</v>
      </c>
      <c r="AQ15">
        <v>23.297107109999999</v>
      </c>
      <c r="AR15">
        <v>22.844394000000001</v>
      </c>
      <c r="AS15">
        <v>22.489563780000001</v>
      </c>
      <c r="AT15">
        <v>22.16054583</v>
      </c>
      <c r="AU15">
        <v>21.822360759999999</v>
      </c>
      <c r="AV15">
        <v>21.499593900000001</v>
      </c>
      <c r="AW15">
        <v>21.196441190000002</v>
      </c>
    </row>
    <row r="16" spans="1:49" x14ac:dyDescent="0.25">
      <c r="B16" t="s">
        <v>116</v>
      </c>
      <c r="C16">
        <v>33.108335480742298</v>
      </c>
      <c r="D16">
        <v>33.639900516080203</v>
      </c>
      <c r="E16">
        <v>29.611875959999999</v>
      </c>
      <c r="F16">
        <v>29.454370300000001</v>
      </c>
      <c r="G16">
        <v>28.291208350000002</v>
      </c>
      <c r="H16">
        <v>26.749575419999999</v>
      </c>
      <c r="I16">
        <v>26.955649869999998</v>
      </c>
      <c r="J16">
        <v>26.509648909999999</v>
      </c>
      <c r="K16">
        <v>25.166677709999998</v>
      </c>
      <c r="L16">
        <v>24.29204451</v>
      </c>
      <c r="M16">
        <v>24.001040740000001</v>
      </c>
      <c r="N16">
        <v>24.0387883</v>
      </c>
      <c r="O16">
        <v>24.491084229999998</v>
      </c>
      <c r="P16">
        <v>24.552422969999999</v>
      </c>
      <c r="Q16">
        <v>23.607541879999999</v>
      </c>
      <c r="R16">
        <v>22.994827650000001</v>
      </c>
      <c r="S16">
        <v>22.54161375</v>
      </c>
      <c r="T16">
        <v>21.46252518</v>
      </c>
      <c r="U16">
        <v>20.529967299999999</v>
      </c>
      <c r="V16">
        <v>19.639685499999999</v>
      </c>
      <c r="W16">
        <v>17.825114209999999</v>
      </c>
      <c r="X16">
        <v>17.369117030000002</v>
      </c>
      <c r="Y16">
        <v>15.89421782</v>
      </c>
      <c r="Z16">
        <v>14.256762419999999</v>
      </c>
      <c r="AA16">
        <v>12.920543800000001</v>
      </c>
      <c r="AB16">
        <v>11.714748030000001</v>
      </c>
      <c r="AC16">
        <v>10.50124293</v>
      </c>
      <c r="AD16">
        <v>9.4078990830000002</v>
      </c>
      <c r="AE16">
        <v>8.3667945770000003</v>
      </c>
      <c r="AF16">
        <v>7.4782746619999996</v>
      </c>
      <c r="AG16">
        <v>6.6361484639999997</v>
      </c>
      <c r="AH16">
        <v>5.8370640199999997</v>
      </c>
      <c r="AI16">
        <v>4.8011458769999997</v>
      </c>
      <c r="AJ16">
        <v>3.809002247</v>
      </c>
      <c r="AK16">
        <v>2.860314953</v>
      </c>
      <c r="AL16">
        <v>2.0241022480000002</v>
      </c>
      <c r="AM16">
        <v>1.211390231</v>
      </c>
      <c r="AN16">
        <v>1.136323816</v>
      </c>
      <c r="AO16">
        <v>1.075704379</v>
      </c>
      <c r="AP16">
        <v>1.016017006</v>
      </c>
      <c r="AQ16">
        <v>0.95903979910000003</v>
      </c>
      <c r="AR16">
        <v>0.90458339070000005</v>
      </c>
      <c r="AS16">
        <v>0.51892910510000001</v>
      </c>
      <c r="AT16">
        <v>0.28044390930000002</v>
      </c>
      <c r="AU16">
        <v>0.2716958122</v>
      </c>
      <c r="AV16">
        <v>0.2634166369</v>
      </c>
      <c r="AW16">
        <v>0.25563481300000002</v>
      </c>
    </row>
    <row r="17" spans="2:49" x14ac:dyDescent="0.25">
      <c r="B17" t="s">
        <v>117</v>
      </c>
      <c r="C17">
        <v>1.54983431156195</v>
      </c>
      <c r="D17">
        <v>1.57471740274219</v>
      </c>
      <c r="E17">
        <v>1.3861615430000001</v>
      </c>
      <c r="F17" s="39">
        <v>2.2617004870000001</v>
      </c>
      <c r="G17" s="39">
        <v>3.0163195630000001</v>
      </c>
      <c r="H17" s="39">
        <v>3.6369205280000001</v>
      </c>
      <c r="I17">
        <v>4.4305511790000001</v>
      </c>
      <c r="J17">
        <v>5.0690048010000002</v>
      </c>
      <c r="K17">
        <v>5.4283099269999999</v>
      </c>
      <c r="L17">
        <v>5.7505028190000003</v>
      </c>
      <c r="M17">
        <v>6.0690241140000003</v>
      </c>
      <c r="N17">
        <v>6.3033491110000002</v>
      </c>
      <c r="O17">
        <v>6.5239872139999999</v>
      </c>
      <c r="P17">
        <v>6.643330271</v>
      </c>
      <c r="Q17">
        <v>6.4873951209999996</v>
      </c>
      <c r="R17">
        <v>6.4168380249999997</v>
      </c>
      <c r="S17">
        <v>6.3869276130000001</v>
      </c>
      <c r="T17">
        <v>6.5051517609999996</v>
      </c>
      <c r="U17">
        <v>6.674769586</v>
      </c>
      <c r="V17">
        <v>6.8708641200000002</v>
      </c>
      <c r="W17">
        <v>5.5194291040000003</v>
      </c>
      <c r="X17">
        <v>5.5825738139999999</v>
      </c>
      <c r="Y17">
        <v>6.3027982280000003</v>
      </c>
      <c r="Z17">
        <v>6.9169710719999999</v>
      </c>
      <c r="AA17">
        <v>7.0856878679999999</v>
      </c>
      <c r="AB17">
        <v>7.2153321330000004</v>
      </c>
      <c r="AC17">
        <v>7.3195020169999996</v>
      </c>
      <c r="AD17">
        <v>7.4593935040000003</v>
      </c>
      <c r="AE17">
        <v>7.6000697290000003</v>
      </c>
      <c r="AF17">
        <v>7.5023630749999999</v>
      </c>
      <c r="AG17">
        <v>7.3810169590000001</v>
      </c>
      <c r="AH17">
        <v>7.2872205389999998</v>
      </c>
      <c r="AI17">
        <v>7.2732071539999996</v>
      </c>
      <c r="AJ17">
        <v>7.2746689379999996</v>
      </c>
      <c r="AK17">
        <v>7.283860443</v>
      </c>
      <c r="AL17">
        <v>7.3204146720000001</v>
      </c>
      <c r="AM17">
        <v>7.3723958420000004</v>
      </c>
      <c r="AN17">
        <v>6.9871146580000003</v>
      </c>
      <c r="AO17">
        <v>6.6864852590000003</v>
      </c>
      <c r="AP17">
        <v>6.4251529380000001</v>
      </c>
      <c r="AQ17">
        <v>6.1762400140000002</v>
      </c>
      <c r="AR17">
        <v>5.9389252729999997</v>
      </c>
      <c r="AS17">
        <v>5.7312423079999997</v>
      </c>
      <c r="AT17">
        <v>5.4996654779999998</v>
      </c>
      <c r="AU17">
        <v>5.2209969730000001</v>
      </c>
      <c r="AV17">
        <v>4.9580878049999999</v>
      </c>
      <c r="AW17">
        <v>4.7109040950000001</v>
      </c>
    </row>
    <row r="18" spans="2:49" x14ac:dyDescent="0.25">
      <c r="B18" t="s">
        <v>118</v>
      </c>
      <c r="C18">
        <v>0.19372928894524399</v>
      </c>
      <c r="D18">
        <v>0.196839675342774</v>
      </c>
      <c r="E18">
        <v>0.41865197459999998</v>
      </c>
      <c r="F18">
        <v>0.42930666499999998</v>
      </c>
      <c r="G18">
        <v>0.42510875739999998</v>
      </c>
      <c r="H18">
        <v>0.41437745040000001</v>
      </c>
      <c r="I18">
        <v>0.43048665539999997</v>
      </c>
      <c r="J18">
        <v>0.436460081</v>
      </c>
      <c r="K18">
        <v>0.4271664215</v>
      </c>
      <c r="L18">
        <v>0.42507538150000002</v>
      </c>
      <c r="M18">
        <v>0.43297480510000003</v>
      </c>
      <c r="N18">
        <v>0.44707026979999998</v>
      </c>
      <c r="O18">
        <v>0.51219070310000003</v>
      </c>
      <c r="P18">
        <v>0.57071823720000003</v>
      </c>
      <c r="Q18">
        <v>0.60417910470000002</v>
      </c>
      <c r="R18">
        <v>0.64286092890000002</v>
      </c>
      <c r="S18">
        <v>0.68385509749999995</v>
      </c>
      <c r="T18">
        <v>0.87643524429999997</v>
      </c>
      <c r="U18">
        <v>1.0787091559999999</v>
      </c>
      <c r="V18">
        <v>1.28997059</v>
      </c>
      <c r="W18">
        <v>1.2116483659999999</v>
      </c>
      <c r="X18">
        <v>1.3053340659999999</v>
      </c>
      <c r="Y18">
        <v>1.632812457</v>
      </c>
      <c r="Z18">
        <v>1.924994044</v>
      </c>
      <c r="AA18">
        <v>2.2288610160000002</v>
      </c>
      <c r="AB18">
        <v>2.5027611090000002</v>
      </c>
      <c r="AC18">
        <v>2.7559653530000001</v>
      </c>
      <c r="AD18">
        <v>2.786714903</v>
      </c>
      <c r="AE18">
        <v>2.8163731059999999</v>
      </c>
      <c r="AF18">
        <v>2.8647769950000002</v>
      </c>
      <c r="AG18">
        <v>2.8984894450000001</v>
      </c>
      <c r="AH18">
        <v>2.9356524469999998</v>
      </c>
      <c r="AI18">
        <v>3.1551185039999998</v>
      </c>
      <c r="AJ18">
        <v>3.3678685320000001</v>
      </c>
      <c r="AK18">
        <v>3.5777903100000001</v>
      </c>
      <c r="AL18">
        <v>3.7065194039999998</v>
      </c>
      <c r="AM18">
        <v>3.838198657</v>
      </c>
      <c r="AN18">
        <v>3.739942079</v>
      </c>
      <c r="AO18">
        <v>3.6810796190000001</v>
      </c>
      <c r="AP18">
        <v>3.6307724609999998</v>
      </c>
      <c r="AQ18">
        <v>3.583526204</v>
      </c>
      <c r="AR18">
        <v>3.5391923350000001</v>
      </c>
      <c r="AS18" s="39">
        <v>3.7384637220000001</v>
      </c>
      <c r="AT18">
        <v>3.9101029999999999</v>
      </c>
      <c r="AU18">
        <v>4.0289025460000003</v>
      </c>
      <c r="AV18">
        <v>4.139486539</v>
      </c>
      <c r="AW18">
        <v>4.243580701</v>
      </c>
    </row>
    <row r="19" spans="2:49" x14ac:dyDescent="0.25">
      <c r="B19" t="s">
        <v>119</v>
      </c>
      <c r="C19">
        <v>0.57343869527792402</v>
      </c>
      <c r="D19" s="39">
        <v>0.58264543901461296</v>
      </c>
      <c r="E19" s="39">
        <v>0.51287977090000003</v>
      </c>
      <c r="F19">
        <v>0.50974471480000005</v>
      </c>
      <c r="G19">
        <v>0.489224082</v>
      </c>
      <c r="H19">
        <v>0.46219640579999999</v>
      </c>
      <c r="I19">
        <v>0.46538546809999998</v>
      </c>
      <c r="J19">
        <v>0.45732014050000003</v>
      </c>
      <c r="K19">
        <v>0.43380602610000002</v>
      </c>
      <c r="L19">
        <v>0.42507538150000002</v>
      </c>
      <c r="M19">
        <v>0.43297480510000003</v>
      </c>
      <c r="N19">
        <v>0.44707026979999998</v>
      </c>
      <c r="O19">
        <v>0.63699738319999999</v>
      </c>
      <c r="P19">
        <v>0.8218239249</v>
      </c>
      <c r="Q19">
        <v>0.96760160650000004</v>
      </c>
      <c r="R19">
        <v>1.116494836</v>
      </c>
      <c r="S19">
        <v>1.266261012</v>
      </c>
      <c r="T19">
        <v>1.307469226</v>
      </c>
      <c r="U19">
        <v>1.359280568</v>
      </c>
      <c r="V19">
        <v>1.416948777</v>
      </c>
      <c r="W19">
        <v>1.0626419680000001</v>
      </c>
      <c r="X19">
        <v>0.90124406069999996</v>
      </c>
      <c r="Y19">
        <v>0.97104428929999997</v>
      </c>
      <c r="Z19">
        <v>1.0251013929999999</v>
      </c>
      <c r="AA19">
        <v>1.092188707</v>
      </c>
      <c r="AB19">
        <v>1.1885279980000001</v>
      </c>
      <c r="AC19">
        <v>1.2762778560000001</v>
      </c>
      <c r="AD19">
        <v>1.2361142700000001</v>
      </c>
      <c r="AE19">
        <v>1.198777129</v>
      </c>
      <c r="AF19">
        <v>1.1733885319999999</v>
      </c>
      <c r="AG19">
        <v>1.1365720429999999</v>
      </c>
      <c r="AH19">
        <v>1.10388811</v>
      </c>
      <c r="AI19">
        <v>1.0477513540000001</v>
      </c>
      <c r="AJ19">
        <v>0.99568340379999998</v>
      </c>
      <c r="AK19">
        <v>0.94802595329999995</v>
      </c>
      <c r="AL19">
        <v>0.90546919879999999</v>
      </c>
      <c r="AM19">
        <v>0.86594584939999997</v>
      </c>
      <c r="AN19">
        <v>0.80680033399999995</v>
      </c>
      <c r="AO19">
        <v>0.75823276179999999</v>
      </c>
      <c r="AP19">
        <v>0.71302793369999995</v>
      </c>
      <c r="AQ19">
        <v>0.66985987130000002</v>
      </c>
      <c r="AR19">
        <v>0.62858492939999999</v>
      </c>
      <c r="AS19">
        <v>0.5940414812</v>
      </c>
      <c r="AT19">
        <v>0.55748988580000003</v>
      </c>
      <c r="AU19">
        <v>0.51655403860000004</v>
      </c>
      <c r="AV19">
        <v>0.47799314440000001</v>
      </c>
      <c r="AW19">
        <v>0.44173371690000002</v>
      </c>
    </row>
    <row r="20" spans="2:49" x14ac:dyDescent="0.25">
      <c r="B20" t="s">
        <v>120</v>
      </c>
      <c r="C20">
        <v>0.19372928894524399</v>
      </c>
      <c r="D20" s="39">
        <v>0.196839675342774</v>
      </c>
      <c r="E20">
        <v>0.41865197459999998</v>
      </c>
      <c r="F20" s="39">
        <v>0.42930666499999998</v>
      </c>
      <c r="G20">
        <v>0.42510875739999998</v>
      </c>
      <c r="H20" s="39">
        <v>0.41437745040000001</v>
      </c>
      <c r="I20" s="39">
        <v>0.43048665539999997</v>
      </c>
      <c r="J20" s="39">
        <v>0.436460081</v>
      </c>
      <c r="K20" s="39">
        <v>0.4271664215</v>
      </c>
      <c r="L20" s="39">
        <v>0.42507538150000002</v>
      </c>
      <c r="M20">
        <v>0.43297480510000003</v>
      </c>
      <c r="N20">
        <v>0.44707026979999998</v>
      </c>
      <c r="O20">
        <v>0.4867013429</v>
      </c>
      <c r="P20">
        <v>0.51943473770000004</v>
      </c>
      <c r="Q20">
        <v>0.52995705950000005</v>
      </c>
      <c r="R20">
        <v>0.5461303274</v>
      </c>
      <c r="S20">
        <v>0.56490990870000002</v>
      </c>
      <c r="T20">
        <v>0.61930171209999996</v>
      </c>
      <c r="U20">
        <v>0.67926257349999997</v>
      </c>
      <c r="V20">
        <v>0.74306765519999995</v>
      </c>
      <c r="W20">
        <v>0.79282362760000002</v>
      </c>
      <c r="X20">
        <v>0.95215375099999999</v>
      </c>
      <c r="Y20">
        <v>1.0524602510000001</v>
      </c>
      <c r="Z20">
        <v>1.1354738040000001</v>
      </c>
      <c r="AA20">
        <v>1.228076781</v>
      </c>
      <c r="AB20">
        <v>1.3268597360000001</v>
      </c>
      <c r="AC20">
        <v>1.4171309299999999</v>
      </c>
      <c r="AD20">
        <v>1.4751830340000001</v>
      </c>
      <c r="AE20">
        <v>1.5304682489999999</v>
      </c>
      <c r="AF20">
        <v>1.5924707840000001</v>
      </c>
      <c r="AG20">
        <v>1.655086233</v>
      </c>
      <c r="AH20">
        <v>1.717577546</v>
      </c>
      <c r="AI20">
        <v>1.762098078</v>
      </c>
      <c r="AJ20">
        <v>1.807040456</v>
      </c>
      <c r="AK20">
        <v>1.853849941</v>
      </c>
      <c r="AL20">
        <v>1.898185829</v>
      </c>
      <c r="AM20">
        <v>1.9448959100000001</v>
      </c>
      <c r="AN20">
        <v>1.871400714</v>
      </c>
      <c r="AO20">
        <v>1.8189508990000001</v>
      </c>
      <c r="AP20">
        <v>1.7719035329999999</v>
      </c>
      <c r="AQ20">
        <v>1.7272642279999999</v>
      </c>
      <c r="AR20">
        <v>1.684887603</v>
      </c>
      <c r="AS20">
        <v>1.687595218</v>
      </c>
      <c r="AT20">
        <v>1.680969012</v>
      </c>
      <c r="AU20">
        <v>1.6557998920000001</v>
      </c>
      <c r="AV20">
        <v>1.631770672</v>
      </c>
      <c r="AW20">
        <v>1.609202303</v>
      </c>
    </row>
    <row r="21" spans="2:49" x14ac:dyDescent="0.25">
      <c r="B21" t="s">
        <v>121</v>
      </c>
      <c r="C21">
        <v>0.38745857789048899</v>
      </c>
      <c r="D21" s="39">
        <v>0.39367935068554899</v>
      </c>
      <c r="E21" s="39">
        <v>0.41865197459999998</v>
      </c>
      <c r="F21" s="39">
        <v>0.52786199960000002</v>
      </c>
      <c r="G21" s="39">
        <v>0.6473580283</v>
      </c>
      <c r="H21">
        <v>0.78622691739999995</v>
      </c>
      <c r="I21">
        <v>1.0227560010000001</v>
      </c>
      <c r="J21">
        <v>1.3036842550000001</v>
      </c>
      <c r="K21" s="39">
        <v>1.6093827590000001</v>
      </c>
      <c r="L21" s="39">
        <v>2.0253589110000001</v>
      </c>
      <c r="M21">
        <v>2.6144644650000002</v>
      </c>
      <c r="N21">
        <v>3.4269209869999999</v>
      </c>
      <c r="O21">
        <v>3.2757509420000002</v>
      </c>
      <c r="P21">
        <v>3.0662682979999998</v>
      </c>
      <c r="Q21">
        <v>2.7375002620000002</v>
      </c>
      <c r="R21">
        <v>2.4597231129999999</v>
      </c>
      <c r="S21">
        <v>2.2071710850000001</v>
      </c>
      <c r="T21">
        <v>2.6196316159999999</v>
      </c>
      <c r="U21">
        <v>3.0585085310000002</v>
      </c>
      <c r="V21">
        <v>3.519242636</v>
      </c>
      <c r="W21">
        <v>6.9504743309999997</v>
      </c>
      <c r="X21">
        <v>7.6466942710000003</v>
      </c>
      <c r="Y21">
        <v>8.0239851959999999</v>
      </c>
      <c r="Z21">
        <v>8.2759277900000008</v>
      </c>
      <c r="AA21">
        <v>8.6457600960000001</v>
      </c>
      <c r="AB21">
        <v>8.8987699819999904</v>
      </c>
      <c r="AC21">
        <v>9.1047730589999905</v>
      </c>
      <c r="AD21">
        <v>9.1239753859999997</v>
      </c>
      <c r="AE21">
        <v>9.1390438889999999</v>
      </c>
      <c r="AF21">
        <v>9.2346763769999995</v>
      </c>
      <c r="AG21">
        <v>9.3775778190000008</v>
      </c>
      <c r="AH21">
        <v>9.524596335</v>
      </c>
      <c r="AI21">
        <v>9.7109307600000001</v>
      </c>
      <c r="AJ21">
        <v>9.8968643759999999</v>
      </c>
      <c r="AK21">
        <v>10.09209429</v>
      </c>
      <c r="AL21">
        <v>10.281907909999999</v>
      </c>
      <c r="AM21">
        <v>10.48338594</v>
      </c>
      <c r="AN21">
        <v>10.32060766</v>
      </c>
      <c r="AO21">
        <v>10.26060137</v>
      </c>
      <c r="AP21">
        <v>10.21860554</v>
      </c>
      <c r="AQ21">
        <v>10.181176990000001</v>
      </c>
      <c r="AR21">
        <v>10.14822047</v>
      </c>
      <c r="AS21">
        <v>10.21929194</v>
      </c>
      <c r="AT21">
        <v>10.231874550000001</v>
      </c>
      <c r="AU21">
        <v>10.1284115</v>
      </c>
      <c r="AV21">
        <v>10.028839100000001</v>
      </c>
      <c r="AW21">
        <v>9.935385557</v>
      </c>
    </row>
    <row r="22" spans="2:49" x14ac:dyDescent="0.25">
      <c r="B22" t="s">
        <v>122</v>
      </c>
      <c r="C22">
        <v>5.5705789795526002</v>
      </c>
      <c r="D22" s="39">
        <v>5.6600164269241402</v>
      </c>
      <c r="E22">
        <v>4.7606703819999998</v>
      </c>
      <c r="F22">
        <v>4.8013016679999998</v>
      </c>
      <c r="G22">
        <v>4.0003574009999996</v>
      </c>
      <c r="H22">
        <v>3.5072409260000001</v>
      </c>
      <c r="I22">
        <v>3.4836734740000002</v>
      </c>
      <c r="J22">
        <v>3.3330800730000001</v>
      </c>
      <c r="K22">
        <v>3.2186007559999998</v>
      </c>
      <c r="L22">
        <v>3.4372064340000001</v>
      </c>
      <c r="M22">
        <v>3.5269835949999999</v>
      </c>
      <c r="N22">
        <v>3.5884926780000002</v>
      </c>
      <c r="O22">
        <v>2.8320813130000002</v>
      </c>
      <c r="P22">
        <v>2.3861134819999998</v>
      </c>
      <c r="Q22">
        <v>2.0998347380000002</v>
      </c>
      <c r="R22">
        <v>1.9136969559999999</v>
      </c>
      <c r="S22">
        <v>1.74017497</v>
      </c>
      <c r="T22">
        <v>1.7058610919999999</v>
      </c>
      <c r="U22">
        <v>1.690692732</v>
      </c>
      <c r="V22">
        <v>1.6899967229999999</v>
      </c>
      <c r="W22">
        <v>1.6116966740000001</v>
      </c>
      <c r="X22">
        <v>1.297990625</v>
      </c>
      <c r="Y22">
        <v>1.07322947</v>
      </c>
      <c r="Z22">
        <v>0.89710689079999995</v>
      </c>
      <c r="AA22">
        <v>0.75564669220000003</v>
      </c>
      <c r="AB22">
        <v>0.64252412550000004</v>
      </c>
      <c r="AC22">
        <v>0.5517053972</v>
      </c>
      <c r="AD22">
        <v>0.46670004859999997</v>
      </c>
      <c r="AE22">
        <v>0.39693936990000001</v>
      </c>
      <c r="AF22">
        <v>0.34087526060000001</v>
      </c>
      <c r="AG22">
        <v>0.29570943999999999</v>
      </c>
      <c r="AH22">
        <v>0.25933823680000001</v>
      </c>
      <c r="AI22">
        <v>0.22758001450000001</v>
      </c>
      <c r="AJ22">
        <v>0.20076014149999999</v>
      </c>
      <c r="AK22">
        <v>0.17815653910000001</v>
      </c>
      <c r="AL22">
        <v>0.15914217859999999</v>
      </c>
      <c r="AM22">
        <v>0.14310809999999999</v>
      </c>
      <c r="AN22">
        <v>0.13803999889999999</v>
      </c>
      <c r="AO22">
        <v>0.13345511230000001</v>
      </c>
      <c r="AP22">
        <v>0.1292091575</v>
      </c>
      <c r="AQ22">
        <v>0.1252968052</v>
      </c>
      <c r="AR22">
        <v>0.1216680057</v>
      </c>
      <c r="AS22">
        <v>0.11859444769999999</v>
      </c>
      <c r="AT22">
        <v>0.11596467570000001</v>
      </c>
      <c r="AU22">
        <v>0.1135841267</v>
      </c>
      <c r="AV22">
        <v>0.1114475582</v>
      </c>
      <c r="AW22">
        <v>0.1095811738</v>
      </c>
    </row>
    <row r="23" spans="2:49" x14ac:dyDescent="0.25">
      <c r="B23" t="s">
        <v>123</v>
      </c>
      <c r="C23">
        <v>155.572754408756</v>
      </c>
      <c r="D23" s="39">
        <v>158.07052530222199</v>
      </c>
      <c r="E23" s="39">
        <v>138.4692201</v>
      </c>
      <c r="F23" s="39">
        <v>141.3796633</v>
      </c>
      <c r="G23">
        <v>137.89932250000001</v>
      </c>
      <c r="H23">
        <v>132.16601900000001</v>
      </c>
      <c r="I23">
        <v>133.9899949</v>
      </c>
      <c r="J23">
        <v>134.0099319</v>
      </c>
      <c r="K23">
        <v>131.8896451</v>
      </c>
      <c r="L23">
        <v>130.75289989999999</v>
      </c>
      <c r="M23">
        <v>131.43735029999999</v>
      </c>
      <c r="N23">
        <v>132.62585139999999</v>
      </c>
      <c r="O23">
        <v>130.3707498</v>
      </c>
      <c r="P23">
        <v>128.7166819</v>
      </c>
      <c r="Q23">
        <v>125.4992056</v>
      </c>
      <c r="R23">
        <v>122.823319</v>
      </c>
      <c r="S23">
        <v>120.3831139</v>
      </c>
      <c r="T23">
        <v>120.2863572</v>
      </c>
      <c r="U23">
        <v>120.4712294</v>
      </c>
      <c r="V23">
        <v>120.99513880000001</v>
      </c>
      <c r="W23">
        <v>121.5337923</v>
      </c>
      <c r="X23">
        <v>120.5448509</v>
      </c>
      <c r="Y23">
        <v>119.2259718</v>
      </c>
      <c r="Z23">
        <v>117.4689513</v>
      </c>
      <c r="AA23">
        <v>115.75631129999999</v>
      </c>
      <c r="AB23">
        <v>113.924989</v>
      </c>
      <c r="AC23">
        <v>111.968822</v>
      </c>
      <c r="AD23">
        <v>109.9521537</v>
      </c>
      <c r="AE23">
        <v>107.9780684</v>
      </c>
      <c r="AF23">
        <v>106.0507169</v>
      </c>
      <c r="AG23">
        <v>104.1539643</v>
      </c>
      <c r="AH23">
        <v>102.3769269</v>
      </c>
      <c r="AI23">
        <v>100.5173482</v>
      </c>
      <c r="AJ23">
        <v>98.698987250000002</v>
      </c>
      <c r="AK23">
        <v>96.977979529999999</v>
      </c>
      <c r="AL23">
        <v>95.371753839999997</v>
      </c>
      <c r="AM23">
        <v>93.850219409999994</v>
      </c>
      <c r="AN23">
        <v>92.753863890000005</v>
      </c>
      <c r="AO23">
        <v>91.888770980000004</v>
      </c>
      <c r="AP23">
        <v>91.141560580000004</v>
      </c>
      <c r="AQ23">
        <v>90.409745939999894</v>
      </c>
      <c r="AR23">
        <v>89.697095250000004</v>
      </c>
      <c r="AS23">
        <v>89.151011940000004</v>
      </c>
      <c r="AT23">
        <v>88.672356969999996</v>
      </c>
      <c r="AU23">
        <v>88.20785798</v>
      </c>
      <c r="AV23">
        <v>87.733839450000005</v>
      </c>
      <c r="AW23">
        <v>87.314435810000006</v>
      </c>
    </row>
    <row r="24" spans="2:49" x14ac:dyDescent="0.25">
      <c r="B24" t="s">
        <v>124</v>
      </c>
      <c r="C24">
        <v>2.7703288319169999</v>
      </c>
      <c r="D24">
        <v>2.8148073574016701</v>
      </c>
      <c r="E24">
        <v>2.86</v>
      </c>
      <c r="F24">
        <v>2.9751179780000001</v>
      </c>
      <c r="G24">
        <v>2.8544902510000001</v>
      </c>
      <c r="H24">
        <v>2.9884481969999999</v>
      </c>
      <c r="I24">
        <v>3.1267890149999999</v>
      </c>
      <c r="J24">
        <v>2.9779192700000001</v>
      </c>
      <c r="K24">
        <v>2.882863978</v>
      </c>
      <c r="L24">
        <v>2.8170193889999999</v>
      </c>
      <c r="M24">
        <v>3.0157802149999999</v>
      </c>
      <c r="N24">
        <v>3.1891044389999998</v>
      </c>
      <c r="O24">
        <v>3.27998228</v>
      </c>
      <c r="P24">
        <v>3.3032635510000001</v>
      </c>
      <c r="Q24">
        <v>3.0863810539999998</v>
      </c>
      <c r="R24">
        <v>3.0535042730000002</v>
      </c>
      <c r="S24">
        <v>3.071732983</v>
      </c>
      <c r="T24">
        <v>3.1410390659999998</v>
      </c>
      <c r="U24">
        <v>3.2110156509999999</v>
      </c>
      <c r="V24">
        <v>3.3031981840000002</v>
      </c>
      <c r="W24">
        <v>3.37900147</v>
      </c>
      <c r="X24">
        <v>3.447325991</v>
      </c>
      <c r="Y24">
        <v>3.4946356409999999</v>
      </c>
      <c r="Z24">
        <v>3.5314390800000002</v>
      </c>
      <c r="AA24">
        <v>3.5984861719999999</v>
      </c>
      <c r="AB24">
        <v>3.6555720429999998</v>
      </c>
      <c r="AC24">
        <v>3.6936587269999999</v>
      </c>
      <c r="AD24">
        <v>3.7152545899999998</v>
      </c>
      <c r="AE24">
        <v>3.7433042090000002</v>
      </c>
      <c r="AF24">
        <v>3.7689553650000001</v>
      </c>
      <c r="AG24">
        <v>3.7906431939999998</v>
      </c>
      <c r="AH24">
        <v>3.8127488170000001</v>
      </c>
      <c r="AI24">
        <v>3.8431950979999998</v>
      </c>
      <c r="AJ24">
        <v>3.8685692779999998</v>
      </c>
      <c r="AK24">
        <v>3.896191392</v>
      </c>
      <c r="AL24">
        <v>3.929855103</v>
      </c>
      <c r="AM24">
        <v>3.957963157</v>
      </c>
      <c r="AN24">
        <v>3.9861775640000001</v>
      </c>
      <c r="AO24">
        <v>4.0231620499999998</v>
      </c>
      <c r="AP24">
        <v>4.0672480459999996</v>
      </c>
      <c r="AQ24">
        <v>4.1020246970000001</v>
      </c>
      <c r="AR24">
        <v>4.1403773020000001</v>
      </c>
      <c r="AS24">
        <v>4.1775833799999997</v>
      </c>
      <c r="AT24">
        <v>4.2164089139999996</v>
      </c>
      <c r="AU24">
        <v>4.2572152929999998</v>
      </c>
      <c r="AV24">
        <v>4.2966090980000002</v>
      </c>
      <c r="AW24">
        <v>4.3384538160000004</v>
      </c>
    </row>
    <row r="25" spans="2:49" x14ac:dyDescent="0.25">
      <c r="B25" t="s">
        <v>125</v>
      </c>
      <c r="C25">
        <v>46.663857241186399</v>
      </c>
      <c r="D25">
        <v>47.413060563046002</v>
      </c>
      <c r="E25">
        <v>48.17429259</v>
      </c>
      <c r="F25">
        <v>49.202509480000003</v>
      </c>
      <c r="G25">
        <v>46.572144110000004</v>
      </c>
      <c r="H25">
        <v>42.508570290000002</v>
      </c>
      <c r="I25">
        <v>43.022453609999999</v>
      </c>
      <c r="J25">
        <v>43.451620800000001</v>
      </c>
      <c r="K25">
        <v>41.317265210000002</v>
      </c>
      <c r="L25">
        <v>40.935236269999997</v>
      </c>
      <c r="M25">
        <v>41.502401409999997</v>
      </c>
      <c r="N25">
        <v>42.410227050000003</v>
      </c>
      <c r="O25">
        <v>40.166134249999999</v>
      </c>
      <c r="P25">
        <v>38.380666730000002</v>
      </c>
      <c r="Q25">
        <v>36.097307299999997</v>
      </c>
      <c r="R25">
        <v>34.44204405</v>
      </c>
      <c r="S25">
        <v>32.821143839999998</v>
      </c>
      <c r="T25">
        <v>32.898676549999998</v>
      </c>
      <c r="U25">
        <v>33.104701550000001</v>
      </c>
      <c r="V25">
        <v>33.602651029999997</v>
      </c>
      <c r="W25">
        <v>32.947224749999997</v>
      </c>
      <c r="X25">
        <v>32.037061970000003</v>
      </c>
      <c r="Y25">
        <v>31.637940239999999</v>
      </c>
      <c r="Z25">
        <v>31.393490660000001</v>
      </c>
      <c r="AA25">
        <v>31.27688878</v>
      </c>
      <c r="AB25">
        <v>31.17766087</v>
      </c>
      <c r="AC25">
        <v>31.12959961</v>
      </c>
      <c r="AD25">
        <v>30.876039330000001</v>
      </c>
      <c r="AE25">
        <v>30.669854659999999</v>
      </c>
      <c r="AF25">
        <v>30.538522140000001</v>
      </c>
      <c r="AG25">
        <v>30.46569444</v>
      </c>
      <c r="AH25">
        <v>30.48043719</v>
      </c>
      <c r="AI25">
        <v>30.451517370000001</v>
      </c>
      <c r="AJ25">
        <v>30.44703161</v>
      </c>
      <c r="AK25">
        <v>30.478511109999999</v>
      </c>
      <c r="AL25">
        <v>30.552838520000002</v>
      </c>
      <c r="AM25">
        <v>30.67833297</v>
      </c>
      <c r="AN25">
        <v>30.78319896</v>
      </c>
      <c r="AO25">
        <v>30.95805056</v>
      </c>
      <c r="AP25">
        <v>31.165126619999999</v>
      </c>
      <c r="AQ25">
        <v>31.39391505</v>
      </c>
      <c r="AR25">
        <v>31.64004143</v>
      </c>
      <c r="AS25">
        <v>31.900970699999998</v>
      </c>
      <c r="AT25">
        <v>32.169731820000003</v>
      </c>
      <c r="AU25">
        <v>32.42712341</v>
      </c>
      <c r="AV25">
        <v>32.680064889999997</v>
      </c>
      <c r="AW25">
        <v>32.957406769999999</v>
      </c>
    </row>
    <row r="26" spans="2:49" x14ac:dyDescent="0.25">
      <c r="B26" t="s">
        <v>126</v>
      </c>
      <c r="C26">
        <v>39.525714811669303</v>
      </c>
      <c r="D26">
        <v>40.160312947925298</v>
      </c>
      <c r="E26">
        <v>40.805099759999997</v>
      </c>
      <c r="F26">
        <v>40.686510519999999</v>
      </c>
      <c r="G26">
        <v>40.319370960000001</v>
      </c>
      <c r="H26">
        <v>40.241744539999999</v>
      </c>
      <c r="I26">
        <v>40.262501819999997</v>
      </c>
      <c r="J26">
        <v>40.051726100000003</v>
      </c>
      <c r="K26">
        <v>39.592085160000003</v>
      </c>
      <c r="L26">
        <v>39.218456789999998</v>
      </c>
      <c r="M26">
        <v>39.010591210000001</v>
      </c>
      <c r="N26">
        <v>39.01899641</v>
      </c>
      <c r="O26">
        <v>39.288033769999998</v>
      </c>
      <c r="P26">
        <v>39.367684969999999</v>
      </c>
      <c r="Q26">
        <v>39.042774110000003</v>
      </c>
      <c r="R26">
        <v>38.711789609999997</v>
      </c>
      <c r="S26">
        <v>38.355212039999998</v>
      </c>
      <c r="T26">
        <v>37.86877123</v>
      </c>
      <c r="U26">
        <v>37.72124633</v>
      </c>
      <c r="V26">
        <v>37.614210159999999</v>
      </c>
      <c r="W26">
        <v>37.532488829999998</v>
      </c>
      <c r="X26">
        <v>37.70120764</v>
      </c>
      <c r="Y26">
        <v>37.72173969</v>
      </c>
      <c r="Z26">
        <v>37.525613110000002</v>
      </c>
      <c r="AA26">
        <v>37.302437380000001</v>
      </c>
      <c r="AB26">
        <v>37.090109849999997</v>
      </c>
      <c r="AC26">
        <v>36.838538929999999</v>
      </c>
      <c r="AD26">
        <v>36.571520219999996</v>
      </c>
      <c r="AE26">
        <v>36.317051990000003</v>
      </c>
      <c r="AF26">
        <v>36.045435130000001</v>
      </c>
      <c r="AG26">
        <v>35.762322300000001</v>
      </c>
      <c r="AH26">
        <v>35.478641860000003</v>
      </c>
      <c r="AI26">
        <v>35.17345152</v>
      </c>
      <c r="AJ26">
        <v>34.869942389999999</v>
      </c>
      <c r="AK26">
        <v>34.54808543</v>
      </c>
      <c r="AL26">
        <v>34.21492319</v>
      </c>
      <c r="AM26">
        <v>33.882874520000001</v>
      </c>
      <c r="AN26">
        <v>33.346637629999996</v>
      </c>
      <c r="AO26">
        <v>32.91514445</v>
      </c>
      <c r="AP26">
        <v>32.492944129999998</v>
      </c>
      <c r="AQ26">
        <v>32.077053599999999</v>
      </c>
      <c r="AR26">
        <v>31.652893209999998</v>
      </c>
      <c r="AS26">
        <v>31.263145219999998</v>
      </c>
      <c r="AT26">
        <v>30.882464720000002</v>
      </c>
      <c r="AU26">
        <v>30.496839869999999</v>
      </c>
      <c r="AV26">
        <v>30.12691186</v>
      </c>
      <c r="AW26">
        <v>29.77514304</v>
      </c>
    </row>
    <row r="27" spans="2:49" x14ac:dyDescent="0.25">
      <c r="B27" t="s">
        <v>127</v>
      </c>
      <c r="C27">
        <v>21.072806770403201</v>
      </c>
      <c r="D27">
        <v>21.411137499294501</v>
      </c>
      <c r="E27">
        <v>21.754900240000001</v>
      </c>
      <c r="F27">
        <v>22.635673870000002</v>
      </c>
      <c r="G27">
        <v>22.849985400000001</v>
      </c>
      <c r="H27">
        <v>21.820039779999998</v>
      </c>
      <c r="I27">
        <v>22.628215279999999</v>
      </c>
      <c r="J27">
        <v>23.15601869</v>
      </c>
      <c r="K27">
        <v>23.322406170000001</v>
      </c>
      <c r="L27">
        <v>23.50841278</v>
      </c>
      <c r="M27">
        <v>23.951651569999999</v>
      </c>
      <c r="N27">
        <v>24.488245089999999</v>
      </c>
      <c r="O27">
        <v>24.04063292</v>
      </c>
      <c r="P27">
        <v>23.697487750000001</v>
      </c>
      <c r="Q27">
        <v>23.165752940000001</v>
      </c>
      <c r="R27">
        <v>22.396217879999998</v>
      </c>
      <c r="S27">
        <v>21.718005059999999</v>
      </c>
      <c r="T27">
        <v>21.658290999999998</v>
      </c>
      <c r="U27">
        <v>21.583103040000001</v>
      </c>
      <c r="V27">
        <v>21.496751079999999</v>
      </c>
      <c r="W27">
        <v>22.700361019999999</v>
      </c>
      <c r="X27">
        <v>23.48027059</v>
      </c>
      <c r="Y27">
        <v>23.63167369</v>
      </c>
      <c r="Z27">
        <v>23.40371081</v>
      </c>
      <c r="AA27">
        <v>23.032186620000001</v>
      </c>
      <c r="AB27">
        <v>22.538110499999998</v>
      </c>
      <c r="AC27">
        <v>21.934017099999998</v>
      </c>
      <c r="AD27">
        <v>21.699801170000001</v>
      </c>
      <c r="AE27">
        <v>21.427308480000001</v>
      </c>
      <c r="AF27">
        <v>21.135161790000002</v>
      </c>
      <c r="AG27">
        <v>20.831692539999999</v>
      </c>
      <c r="AH27">
        <v>20.530307180000001</v>
      </c>
      <c r="AI27">
        <v>20.230632759999999</v>
      </c>
      <c r="AJ27">
        <v>19.92569795</v>
      </c>
      <c r="AK27">
        <v>19.63621715</v>
      </c>
      <c r="AL27">
        <v>19.360398440000001</v>
      </c>
      <c r="AM27">
        <v>19.08334885</v>
      </c>
      <c r="AN27">
        <v>18.733485869999999</v>
      </c>
      <c r="AO27">
        <v>18.431745530000001</v>
      </c>
      <c r="AP27">
        <v>18.154334540000001</v>
      </c>
      <c r="AQ27">
        <v>17.874476470000001</v>
      </c>
      <c r="AR27">
        <v>17.609559699999998</v>
      </c>
      <c r="AS27">
        <v>17.359380099999999</v>
      </c>
      <c r="AT27">
        <v>17.10665135</v>
      </c>
      <c r="AU27">
        <v>16.851794900000002</v>
      </c>
      <c r="AV27">
        <v>16.599846230000001</v>
      </c>
      <c r="AW27">
        <v>16.35025091</v>
      </c>
    </row>
    <row r="28" spans="2:49" x14ac:dyDescent="0.25">
      <c r="B28" t="s">
        <v>128</v>
      </c>
      <c r="C28">
        <v>23.690458989791001</v>
      </c>
      <c r="D28">
        <v>24.070816971768199</v>
      </c>
      <c r="E28">
        <v>24.457281720000001</v>
      </c>
      <c r="F28">
        <v>25.366471090000001</v>
      </c>
      <c r="G28">
        <v>24.937441740000001</v>
      </c>
      <c r="H28">
        <v>25.084842160000001</v>
      </c>
      <c r="I28">
        <v>25.179152680000001</v>
      </c>
      <c r="J28">
        <v>25.04231571</v>
      </c>
      <c r="K28">
        <v>24.803180210000001</v>
      </c>
      <c r="L28">
        <v>24.575546660000001</v>
      </c>
      <c r="M28">
        <v>24.419100660000002</v>
      </c>
      <c r="N28">
        <v>24.202085589999999</v>
      </c>
      <c r="O28">
        <v>24.078940889999998</v>
      </c>
      <c r="P28">
        <v>23.825766439999999</v>
      </c>
      <c r="Q28">
        <v>23.537239410000002</v>
      </c>
      <c r="R28">
        <v>23.275029589999999</v>
      </c>
      <c r="S28">
        <v>23.261249809999999</v>
      </c>
      <c r="T28">
        <v>23.164426550000002</v>
      </c>
      <c r="U28">
        <v>22.956310630000001</v>
      </c>
      <c r="V28">
        <v>22.703860689999999</v>
      </c>
      <c r="W28">
        <v>22.395929689999999</v>
      </c>
      <c r="X28">
        <v>22.041776670000001</v>
      </c>
      <c r="Y28">
        <v>21.630940949999999</v>
      </c>
      <c r="Z28">
        <v>21.152048180000001</v>
      </c>
      <c r="AA28">
        <v>20.619773370000001</v>
      </c>
      <c r="AB28">
        <v>20.03884059</v>
      </c>
      <c r="AC28">
        <v>19.391111129999999</v>
      </c>
      <c r="AD28">
        <v>18.818477300000001</v>
      </c>
      <c r="AE28">
        <v>18.228983320000001</v>
      </c>
      <c r="AF28">
        <v>17.630400139999999</v>
      </c>
      <c r="AG28">
        <v>17.03766418</v>
      </c>
      <c r="AH28">
        <v>16.46102007</v>
      </c>
      <c r="AI28">
        <v>15.89422207</v>
      </c>
      <c r="AJ28">
        <v>15.354967439999999</v>
      </c>
      <c r="AK28">
        <v>14.84201805</v>
      </c>
      <c r="AL28">
        <v>14.3556343</v>
      </c>
      <c r="AM28">
        <v>13.89502096</v>
      </c>
      <c r="AN28">
        <v>13.463399689999999</v>
      </c>
      <c r="AO28">
        <v>13.056940539999999</v>
      </c>
      <c r="AP28">
        <v>12.675739439999999</v>
      </c>
      <c r="AQ28">
        <v>12.3170533</v>
      </c>
      <c r="AR28">
        <v>11.94119836</v>
      </c>
      <c r="AS28">
        <v>11.593959509999999</v>
      </c>
      <c r="AT28">
        <v>11.269681970000001</v>
      </c>
      <c r="AU28">
        <v>10.966296740000001</v>
      </c>
      <c r="AV28">
        <v>10.68110106</v>
      </c>
      <c r="AW28">
        <v>10.407054179999999</v>
      </c>
    </row>
    <row r="29" spans="2:49" x14ac:dyDescent="0.25">
      <c r="B29" t="s">
        <v>129</v>
      </c>
      <c r="C29">
        <v>22.212930412666701</v>
      </c>
      <c r="D29">
        <v>22.569566195417998</v>
      </c>
      <c r="E29">
        <v>22.937925360000001</v>
      </c>
      <c r="F29">
        <v>23.479189659999999</v>
      </c>
      <c r="G29">
        <v>22.610016309999999</v>
      </c>
      <c r="H29">
        <v>20.9035078</v>
      </c>
      <c r="I29">
        <v>21.3384657</v>
      </c>
      <c r="J29">
        <v>20.778525670000001</v>
      </c>
      <c r="K29">
        <v>21.005976130000001</v>
      </c>
      <c r="L29">
        <v>20.526443189999998</v>
      </c>
      <c r="M29">
        <v>20.473740020000001</v>
      </c>
      <c r="N29">
        <v>20.477154980000002</v>
      </c>
      <c r="O29">
        <v>20.2851237</v>
      </c>
      <c r="P29">
        <v>20.558210330000001</v>
      </c>
      <c r="Q29">
        <v>20.367475939999999</v>
      </c>
      <c r="R29">
        <v>20.275091459999999</v>
      </c>
      <c r="S29">
        <v>20.062167769999999</v>
      </c>
      <c r="T29">
        <v>20.435948870000001</v>
      </c>
      <c r="U29">
        <v>20.78279186</v>
      </c>
      <c r="V29">
        <v>21.223170889999999</v>
      </c>
      <c r="W29">
        <v>21.504749060000002</v>
      </c>
      <c r="X29">
        <v>21.62232822</v>
      </c>
      <c r="Y29">
        <v>21.641305209999999</v>
      </c>
      <c r="Z29">
        <v>21.619337829999999</v>
      </c>
      <c r="AA29">
        <v>21.675465450000001</v>
      </c>
      <c r="AB29">
        <v>21.713308770000001</v>
      </c>
      <c r="AC29">
        <v>21.760680829999998</v>
      </c>
      <c r="AD29">
        <v>21.473931749999998</v>
      </c>
      <c r="AE29">
        <v>21.190831299999999</v>
      </c>
      <c r="AF29">
        <v>20.912233759999999</v>
      </c>
      <c r="AG29">
        <v>20.608747839999999</v>
      </c>
      <c r="AH29">
        <v>20.324780530000002</v>
      </c>
      <c r="AI29">
        <v>19.942014180000001</v>
      </c>
      <c r="AJ29">
        <v>19.540274929999999</v>
      </c>
      <c r="AK29">
        <v>19.147519890000002</v>
      </c>
      <c r="AL29">
        <v>18.776703850000001</v>
      </c>
      <c r="AM29">
        <v>18.415208979999999</v>
      </c>
      <c r="AN29">
        <v>18.18842575</v>
      </c>
      <c r="AO29">
        <v>17.9673573</v>
      </c>
      <c r="AP29">
        <v>17.79550549</v>
      </c>
      <c r="AQ29">
        <v>17.606195039999999</v>
      </c>
      <c r="AR29">
        <v>17.428473329999999</v>
      </c>
      <c r="AS29">
        <v>17.384825660000001</v>
      </c>
      <c r="AT29">
        <v>17.37362967</v>
      </c>
      <c r="AU29">
        <v>17.35185641</v>
      </c>
      <c r="AV29">
        <v>17.29033093</v>
      </c>
      <c r="AW29">
        <v>17.245230079999999</v>
      </c>
    </row>
    <row r="30" spans="2:49" x14ac:dyDescent="0.25">
      <c r="B30" t="s">
        <v>130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37468.13839</v>
      </c>
      <c r="T30">
        <v>37674.700530000002</v>
      </c>
      <c r="U30">
        <v>37776.063759999997</v>
      </c>
      <c r="V30">
        <v>37847.518880000003</v>
      </c>
      <c r="W30">
        <v>37774.379829999998</v>
      </c>
      <c r="X30">
        <v>37610.316129999999</v>
      </c>
      <c r="Y30">
        <v>37339.257259999998</v>
      </c>
      <c r="Z30">
        <v>36974.615030000001</v>
      </c>
      <c r="AA30">
        <v>36581.806049999999</v>
      </c>
      <c r="AB30">
        <v>36184.51427</v>
      </c>
      <c r="AC30">
        <v>35719.150029999997</v>
      </c>
      <c r="AD30">
        <v>35337.12167</v>
      </c>
      <c r="AE30">
        <v>35001.497860000003</v>
      </c>
      <c r="AF30">
        <v>34674.842279999997</v>
      </c>
      <c r="AG30">
        <v>34356.46097</v>
      </c>
      <c r="AH30">
        <v>34046.939939999997</v>
      </c>
      <c r="AI30">
        <v>33772.83668</v>
      </c>
      <c r="AJ30">
        <v>33516.610240000002</v>
      </c>
      <c r="AK30">
        <v>33268.125269999997</v>
      </c>
      <c r="AL30">
        <v>33029.700629999999</v>
      </c>
      <c r="AM30">
        <v>32800.690329999998</v>
      </c>
      <c r="AN30">
        <v>32577.11463</v>
      </c>
      <c r="AO30">
        <v>32362.155650000001</v>
      </c>
      <c r="AP30">
        <v>32162.529709999999</v>
      </c>
      <c r="AQ30">
        <v>31970.599149999998</v>
      </c>
      <c r="AR30">
        <v>31717.337459999999</v>
      </c>
      <c r="AS30">
        <v>31481.696929999998</v>
      </c>
      <c r="AT30">
        <v>31260.945489999998</v>
      </c>
      <c r="AU30">
        <v>31050.790140000001</v>
      </c>
      <c r="AV30">
        <v>30843.645939999999</v>
      </c>
      <c r="AW30">
        <v>30611.075769999999</v>
      </c>
    </row>
    <row r="31" spans="2:49" x14ac:dyDescent="0.25">
      <c r="B31" t="s">
        <v>131</v>
      </c>
      <c r="C31">
        <v>17.998489648965599</v>
      </c>
      <c r="D31">
        <v>18.287461222056098</v>
      </c>
      <c r="E31">
        <v>18.581072330000001</v>
      </c>
      <c r="F31">
        <v>19.839794149999999</v>
      </c>
      <c r="G31">
        <v>49.875231530000001</v>
      </c>
      <c r="H31">
        <v>82.705247740000004</v>
      </c>
      <c r="I31">
        <v>117.45531579999999</v>
      </c>
      <c r="J31">
        <v>164.61792510000001</v>
      </c>
      <c r="K31">
        <v>207.8858395</v>
      </c>
      <c r="L31">
        <v>245.9001241</v>
      </c>
      <c r="M31">
        <v>282.30942169999997</v>
      </c>
      <c r="N31">
        <v>303.43290530000002</v>
      </c>
      <c r="O31">
        <v>319.88405840000001</v>
      </c>
      <c r="P31">
        <v>330.51693649999999</v>
      </c>
      <c r="Q31">
        <v>359.3900094</v>
      </c>
      <c r="R31">
        <v>391.63065089999998</v>
      </c>
      <c r="S31">
        <v>445.47888590000002</v>
      </c>
      <c r="T31">
        <v>488.58087649999999</v>
      </c>
      <c r="U31">
        <v>559.7731837</v>
      </c>
      <c r="V31">
        <v>643.25881589999995</v>
      </c>
      <c r="W31">
        <v>718.37478529999998</v>
      </c>
      <c r="X31">
        <v>785.64201449999996</v>
      </c>
      <c r="Y31">
        <v>842.87402380000003</v>
      </c>
      <c r="Z31">
        <v>889.32543569999996</v>
      </c>
      <c r="AA31">
        <v>921.09940670000003</v>
      </c>
      <c r="AB31">
        <v>936.75411229999997</v>
      </c>
      <c r="AC31">
        <v>933.71160239999995</v>
      </c>
      <c r="AD31">
        <v>917.30761180000002</v>
      </c>
      <c r="AE31">
        <v>888.64926170000001</v>
      </c>
      <c r="AF31">
        <v>851.0526059</v>
      </c>
      <c r="AG31">
        <v>808.53757710000002</v>
      </c>
      <c r="AH31">
        <v>764.23088069999994</v>
      </c>
      <c r="AI31">
        <v>720.09498789999998</v>
      </c>
      <c r="AJ31">
        <v>677.16719609999996</v>
      </c>
      <c r="AK31">
        <v>635.99871150000001</v>
      </c>
      <c r="AL31">
        <v>596.83660710000004</v>
      </c>
      <c r="AM31">
        <v>559.75568250000003</v>
      </c>
      <c r="AN31">
        <v>524.88559559999999</v>
      </c>
      <c r="AO31">
        <v>492.13965530000002</v>
      </c>
      <c r="AP31">
        <v>461.41174819999998</v>
      </c>
      <c r="AQ31">
        <v>432.58943169999998</v>
      </c>
      <c r="AR31">
        <v>403.75911200000002</v>
      </c>
      <c r="AS31">
        <v>376.84648040000002</v>
      </c>
      <c r="AT31">
        <v>351.7257821</v>
      </c>
      <c r="AU31">
        <v>328.2786342</v>
      </c>
      <c r="AV31">
        <v>306.39402760000002</v>
      </c>
      <c r="AW31">
        <v>285.96808090000002</v>
      </c>
    </row>
    <row r="32" spans="2:49" x14ac:dyDescent="0.25">
      <c r="B32" t="s">
        <v>132</v>
      </c>
      <c r="C32">
        <v>1571.8931047778699</v>
      </c>
      <c r="D32">
        <v>1597.13035701831</v>
      </c>
      <c r="E32">
        <v>1622.772802</v>
      </c>
      <c r="F32">
        <v>1973.0344030000001</v>
      </c>
      <c r="G32">
        <v>2310.5450049999999</v>
      </c>
      <c r="H32">
        <v>2679.577859</v>
      </c>
      <c r="I32">
        <v>3015.3652200000001</v>
      </c>
      <c r="J32">
        <v>3325.0694739999999</v>
      </c>
      <c r="K32">
        <v>3551.4685869999998</v>
      </c>
      <c r="L32">
        <v>3742.454655</v>
      </c>
      <c r="M32">
        <v>3924.3694220000002</v>
      </c>
      <c r="N32">
        <v>4072.3056879999999</v>
      </c>
      <c r="O32">
        <v>4229.1052259999997</v>
      </c>
      <c r="P32">
        <v>4408.563913</v>
      </c>
      <c r="Q32">
        <v>4593.4028369999996</v>
      </c>
      <c r="R32">
        <v>4773.5992349999997</v>
      </c>
      <c r="S32">
        <v>4949.3027220000004</v>
      </c>
      <c r="T32">
        <v>5080.1855699999996</v>
      </c>
      <c r="U32">
        <v>5206.6718819999996</v>
      </c>
      <c r="V32">
        <v>5324.0046110000003</v>
      </c>
      <c r="W32">
        <v>5399.7836420000003</v>
      </c>
      <c r="X32">
        <v>5443.7025439999998</v>
      </c>
      <c r="Y32">
        <v>5449.0819320000001</v>
      </c>
      <c r="Z32">
        <v>5410.7068810000001</v>
      </c>
      <c r="AA32">
        <v>5328.6747599999999</v>
      </c>
      <c r="AB32">
        <v>5202.9528650000002</v>
      </c>
      <c r="AC32">
        <v>5029.037155</v>
      </c>
      <c r="AD32">
        <v>4824.8582390000001</v>
      </c>
      <c r="AE32">
        <v>4596.3985350000003</v>
      </c>
      <c r="AF32">
        <v>4354.1028720000004</v>
      </c>
      <c r="AG32">
        <v>4108.7620150000002</v>
      </c>
      <c r="AH32">
        <v>3867.8184070000002</v>
      </c>
      <c r="AI32">
        <v>3635.581385</v>
      </c>
      <c r="AJ32">
        <v>3413.991203</v>
      </c>
      <c r="AK32">
        <v>3203.8079769999999</v>
      </c>
      <c r="AL32">
        <v>3005.1199889999998</v>
      </c>
      <c r="AM32">
        <v>2817.6614169999998</v>
      </c>
      <c r="AN32">
        <v>2641.737713</v>
      </c>
      <c r="AO32">
        <v>2476.7190019999998</v>
      </c>
      <c r="AP32">
        <v>2321.9690839999998</v>
      </c>
      <c r="AQ32">
        <v>2176.8684699999999</v>
      </c>
      <c r="AR32">
        <v>2031.7555870000001</v>
      </c>
      <c r="AS32">
        <v>1896.311054</v>
      </c>
      <c r="AT32">
        <v>1769.8932319999999</v>
      </c>
      <c r="AU32">
        <v>1651.9018020000001</v>
      </c>
      <c r="AV32">
        <v>1541.7757360000001</v>
      </c>
      <c r="AW32">
        <v>1438.9910379999999</v>
      </c>
    </row>
    <row r="33" spans="2:49" x14ac:dyDescent="0.25">
      <c r="B33" t="s">
        <v>133</v>
      </c>
      <c r="C33">
        <v>3720.5673609549599</v>
      </c>
      <c r="D33">
        <v>3780.3022733867101</v>
      </c>
      <c r="E33">
        <v>3840.9962489999998</v>
      </c>
      <c r="F33">
        <v>4323.8328359999996</v>
      </c>
      <c r="G33">
        <v>4769.7173419999999</v>
      </c>
      <c r="H33">
        <v>5259.8452429999998</v>
      </c>
      <c r="I33">
        <v>5703.8667219999998</v>
      </c>
      <c r="J33">
        <v>6106.2950510000001</v>
      </c>
      <c r="K33">
        <v>6386.2346969999999</v>
      </c>
      <c r="L33">
        <v>6615.4669549999999</v>
      </c>
      <c r="M33">
        <v>6832.2391699999998</v>
      </c>
      <c r="N33">
        <v>7008.353736</v>
      </c>
      <c r="O33">
        <v>7201.2798039999998</v>
      </c>
      <c r="P33">
        <v>7442.7269230000002</v>
      </c>
      <c r="Q33">
        <v>7684.8372600000002</v>
      </c>
      <c r="R33">
        <v>7919.8100089999998</v>
      </c>
      <c r="S33">
        <v>8133.8796599999996</v>
      </c>
      <c r="T33">
        <v>8290.2723239999996</v>
      </c>
      <c r="U33">
        <v>8416.7468229999995</v>
      </c>
      <c r="V33">
        <v>8519.6550310000002</v>
      </c>
      <c r="W33">
        <v>8563.5427450000007</v>
      </c>
      <c r="X33">
        <v>8563.5520720000004</v>
      </c>
      <c r="Y33">
        <v>8510.5635110000003</v>
      </c>
      <c r="Z33">
        <v>8397.3704570000009</v>
      </c>
      <c r="AA33">
        <v>8225.5954829999901</v>
      </c>
      <c r="AB33">
        <v>7995.8272429999997</v>
      </c>
      <c r="AC33">
        <v>7702.5321329999997</v>
      </c>
      <c r="AD33">
        <v>7370.8636269999997</v>
      </c>
      <c r="AE33">
        <v>7009.3224369999998</v>
      </c>
      <c r="AF33">
        <v>6632.2773280000001</v>
      </c>
      <c r="AG33">
        <v>6254.2821670000003</v>
      </c>
      <c r="AH33">
        <v>5885.1569149999996</v>
      </c>
      <c r="AI33">
        <v>5530.5030589999997</v>
      </c>
      <c r="AJ33">
        <v>5192.7303140000004</v>
      </c>
      <c r="AK33">
        <v>4872.6769039999999</v>
      </c>
      <c r="AL33">
        <v>4570.302428</v>
      </c>
      <c r="AM33">
        <v>4285.1092950000002</v>
      </c>
      <c r="AN33">
        <v>4017.5130210000002</v>
      </c>
      <c r="AO33">
        <v>3766.5289659999999</v>
      </c>
      <c r="AP33">
        <v>3531.1758620000001</v>
      </c>
      <c r="AQ33">
        <v>3310.50459</v>
      </c>
      <c r="AR33">
        <v>3089.818092</v>
      </c>
      <c r="AS33">
        <v>2883.83707</v>
      </c>
      <c r="AT33">
        <v>2691.5846590000001</v>
      </c>
      <c r="AU33">
        <v>2512.1473599999999</v>
      </c>
      <c r="AV33">
        <v>2344.671695</v>
      </c>
      <c r="AW33">
        <v>2188.3606490000002</v>
      </c>
    </row>
    <row r="34" spans="2:49" x14ac:dyDescent="0.25">
      <c r="B34" t="s">
        <v>134</v>
      </c>
      <c r="C34">
        <v>5208.7853750706299</v>
      </c>
      <c r="D34">
        <v>5292.4141090967596</v>
      </c>
      <c r="E34">
        <v>5377.3855290000001</v>
      </c>
      <c r="F34">
        <v>5766.0425610000002</v>
      </c>
      <c r="G34">
        <v>6121.6284889999997</v>
      </c>
      <c r="H34">
        <v>6523.3806780000004</v>
      </c>
      <c r="I34">
        <v>6884.0002510000004</v>
      </c>
      <c r="J34">
        <v>7205.4677369999999</v>
      </c>
      <c r="K34">
        <v>7410.5493669999996</v>
      </c>
      <c r="L34">
        <v>7569.641842</v>
      </c>
      <c r="M34">
        <v>7719.6174650000003</v>
      </c>
      <c r="N34">
        <v>7824.5764230000004</v>
      </c>
      <c r="O34">
        <v>7950.1885499999999</v>
      </c>
      <c r="P34">
        <v>8133.6287780000002</v>
      </c>
      <c r="Q34">
        <v>8313.2284490000002</v>
      </c>
      <c r="R34">
        <v>8490.2227000000003</v>
      </c>
      <c r="S34">
        <v>8636.9327369999901</v>
      </c>
      <c r="T34">
        <v>8745.9449939999995</v>
      </c>
      <c r="U34">
        <v>8813.7941979999996</v>
      </c>
      <c r="V34">
        <v>8854.50939499999</v>
      </c>
      <c r="W34">
        <v>8841.33793899999</v>
      </c>
      <c r="X34">
        <v>8789.0498719999996</v>
      </c>
      <c r="Y34">
        <v>8689.0817630000001</v>
      </c>
      <c r="Z34">
        <v>8534.6479789999994</v>
      </c>
      <c r="AA34">
        <v>8328.0268599999999</v>
      </c>
      <c r="AB34">
        <v>8070.0424970000004</v>
      </c>
      <c r="AC34">
        <v>7755.863816</v>
      </c>
      <c r="AD34">
        <v>7408.8609710000001</v>
      </c>
      <c r="AE34">
        <v>7036.9775589999999</v>
      </c>
      <c r="AF34">
        <v>6653.4174270000003</v>
      </c>
      <c r="AG34">
        <v>6271.4067699999996</v>
      </c>
      <c r="AH34">
        <v>5899.7474119999997</v>
      </c>
      <c r="AI34">
        <v>5543.3970829999998</v>
      </c>
      <c r="AJ34">
        <v>5204.408144</v>
      </c>
      <c r="AK34">
        <v>4883.412566</v>
      </c>
      <c r="AL34">
        <v>4580.2570100000003</v>
      </c>
      <c r="AM34">
        <v>4294.3835909999998</v>
      </c>
      <c r="AN34">
        <v>4026.178093</v>
      </c>
      <c r="AO34">
        <v>3774.6374080000001</v>
      </c>
      <c r="AP34">
        <v>3538.7698439999999</v>
      </c>
      <c r="AQ34">
        <v>3317.62005</v>
      </c>
      <c r="AR34">
        <v>3096.4570560000002</v>
      </c>
      <c r="AS34">
        <v>2890.0323539999999</v>
      </c>
      <c r="AT34">
        <v>2697.3663769999998</v>
      </c>
      <c r="AU34">
        <v>2517.5433539999999</v>
      </c>
      <c r="AV34">
        <v>2349.7078179999999</v>
      </c>
      <c r="AW34">
        <v>2193.060962</v>
      </c>
    </row>
    <row r="35" spans="2:49" x14ac:dyDescent="0.25">
      <c r="B35" t="s">
        <v>135</v>
      </c>
      <c r="C35">
        <v>13521.9613593495</v>
      </c>
      <c r="D35">
        <v>13739.0608227762</v>
      </c>
      <c r="E35" s="39">
        <v>13959.64589</v>
      </c>
      <c r="F35" s="39">
        <v>13632.185880000001</v>
      </c>
      <c r="G35" s="39">
        <v>13306.886490000001</v>
      </c>
      <c r="H35" s="39">
        <v>13036.36246</v>
      </c>
      <c r="I35">
        <v>12768.829449999999</v>
      </c>
      <c r="J35">
        <v>12499.88581</v>
      </c>
      <c r="K35" s="39">
        <v>12183.94938</v>
      </c>
      <c r="L35" s="39">
        <v>11868.72711</v>
      </c>
      <c r="M35" s="39">
        <v>11569.52211</v>
      </c>
      <c r="N35" s="39">
        <v>11255.01633</v>
      </c>
      <c r="O35" s="39">
        <v>10975.19188</v>
      </c>
      <c r="P35">
        <v>10778.535819999999</v>
      </c>
      <c r="Q35">
        <v>10588.69376</v>
      </c>
      <c r="R35">
        <v>10405.55401</v>
      </c>
      <c r="S35">
        <v>10199.58181</v>
      </c>
      <c r="T35">
        <v>10001.44369</v>
      </c>
      <c r="U35">
        <v>9737.7668389999999</v>
      </c>
      <c r="V35">
        <v>9451.67430099999</v>
      </c>
      <c r="W35">
        <v>9152.9230490000009</v>
      </c>
      <c r="X35">
        <v>8849.3608289999902</v>
      </c>
      <c r="Y35">
        <v>8535.1698520000009</v>
      </c>
      <c r="Z35">
        <v>8206.3810410000006</v>
      </c>
      <c r="AA35">
        <v>7864.6447680000001</v>
      </c>
      <c r="AB35">
        <v>7510.2483789999997</v>
      </c>
      <c r="AC35">
        <v>7140.7195119999997</v>
      </c>
      <c r="AD35">
        <v>6767.3233030000001</v>
      </c>
      <c r="AE35">
        <v>6393.6165940000001</v>
      </c>
      <c r="AF35">
        <v>6025.5676409999996</v>
      </c>
      <c r="AG35">
        <v>5668.987349</v>
      </c>
      <c r="AH35">
        <v>5327.4681460000002</v>
      </c>
      <c r="AI35">
        <v>5002.7950000000001</v>
      </c>
      <c r="AJ35">
        <v>4695.3956790000002</v>
      </c>
      <c r="AK35">
        <v>4405.0564619999996</v>
      </c>
      <c r="AL35">
        <v>4131.22649</v>
      </c>
      <c r="AM35">
        <v>3873.1939379999999</v>
      </c>
      <c r="AN35">
        <v>3631.2020659999998</v>
      </c>
      <c r="AO35">
        <v>3404.292492</v>
      </c>
      <c r="AP35">
        <v>3191.544183</v>
      </c>
      <c r="AQ35">
        <v>2992.0824729999999</v>
      </c>
      <c r="AR35">
        <v>2792.6151380000001</v>
      </c>
      <c r="AS35">
        <v>2606.4431749999999</v>
      </c>
      <c r="AT35">
        <v>2432.6814669999999</v>
      </c>
      <c r="AU35">
        <v>2270.503279</v>
      </c>
      <c r="AV35">
        <v>2119.1366760000001</v>
      </c>
      <c r="AW35">
        <v>1977.861034</v>
      </c>
    </row>
    <row r="36" spans="2:49" x14ac:dyDescent="0.25">
      <c r="B36" t="s">
        <v>136</v>
      </c>
      <c r="C36">
        <v>4769.5635809194901</v>
      </c>
      <c r="D36" s="39">
        <v>4846.1404669702097</v>
      </c>
      <c r="E36">
        <v>4923.9468200000001</v>
      </c>
      <c r="F36">
        <v>4800.2599609999997</v>
      </c>
      <c r="G36">
        <v>4669.73974</v>
      </c>
      <c r="H36">
        <v>4553.4998159999996</v>
      </c>
      <c r="I36">
        <v>4440.0206150000004</v>
      </c>
      <c r="J36">
        <v>4323.909944</v>
      </c>
      <c r="K36">
        <v>4195.2323530000003</v>
      </c>
      <c r="L36">
        <v>4065.6514010000001</v>
      </c>
      <c r="M36">
        <v>3941.698993</v>
      </c>
      <c r="N36">
        <v>3811.822854</v>
      </c>
      <c r="O36">
        <v>3693.7381049999999</v>
      </c>
      <c r="P36">
        <v>3612.318765</v>
      </c>
      <c r="Q36">
        <v>3531.0782720000002</v>
      </c>
      <c r="R36">
        <v>3450.198097</v>
      </c>
      <c r="S36">
        <v>3355.0281100000002</v>
      </c>
      <c r="T36">
        <v>3239.638739</v>
      </c>
      <c r="U36">
        <v>3097.7715699999999</v>
      </c>
      <c r="V36">
        <v>2948.6820659999998</v>
      </c>
      <c r="W36">
        <v>2803.4181349999999</v>
      </c>
      <c r="X36">
        <v>2663.2020210000001</v>
      </c>
      <c r="Y36">
        <v>2526.9167480000001</v>
      </c>
      <c r="Z36">
        <v>2393.9835779999999</v>
      </c>
      <c r="AA36">
        <v>2264.8784150000001</v>
      </c>
      <c r="AB36">
        <v>2139.621975</v>
      </c>
      <c r="AC36">
        <v>2017.9624859999999</v>
      </c>
      <c r="AD36">
        <v>1900.8830270000001</v>
      </c>
      <c r="AE36">
        <v>1788.5792719999999</v>
      </c>
      <c r="AF36">
        <v>1681.398209</v>
      </c>
      <c r="AG36">
        <v>1579.606616</v>
      </c>
      <c r="AH36">
        <v>1483.2512139999999</v>
      </c>
      <c r="AI36">
        <v>1392.239605</v>
      </c>
      <c r="AJ36">
        <v>1306.380537</v>
      </c>
      <c r="AK36">
        <v>1225.4448480000001</v>
      </c>
      <c r="AL36">
        <v>1149.190394</v>
      </c>
      <c r="AM36">
        <v>1077.374521</v>
      </c>
      <c r="AN36">
        <v>1010.042648</v>
      </c>
      <c r="AO36">
        <v>946.91689819999999</v>
      </c>
      <c r="AP36">
        <v>887.73550999999998</v>
      </c>
      <c r="AQ36">
        <v>832.25248020000004</v>
      </c>
      <c r="AR36">
        <v>776.76918469999998</v>
      </c>
      <c r="AS36">
        <v>724.98467110000001</v>
      </c>
      <c r="AT36">
        <v>676.65240770000003</v>
      </c>
      <c r="AU36">
        <v>631.54227060000005</v>
      </c>
      <c r="AV36">
        <v>589.43946389999996</v>
      </c>
      <c r="AW36">
        <v>550.14350509999997</v>
      </c>
    </row>
    <row r="37" spans="2:49" x14ac:dyDescent="0.25">
      <c r="B37" t="s">
        <v>137</v>
      </c>
      <c r="C37">
        <v>2185.3248924602099</v>
      </c>
      <c r="D37">
        <v>2220.4109904720199</v>
      </c>
      <c r="E37">
        <v>2256.0604069999999</v>
      </c>
      <c r="F37">
        <v>2168.6223070000001</v>
      </c>
      <c r="G37">
        <v>2077.8560149999998</v>
      </c>
      <c r="H37">
        <v>1992.323185</v>
      </c>
      <c r="I37">
        <v>1909.9599350000001</v>
      </c>
      <c r="J37">
        <v>1826.9700270000001</v>
      </c>
      <c r="K37">
        <v>1744.1699630000001</v>
      </c>
      <c r="L37">
        <v>1661.321152</v>
      </c>
      <c r="M37">
        <v>1582.421317</v>
      </c>
      <c r="N37">
        <v>1509.65976</v>
      </c>
      <c r="O37">
        <v>1441.3075630000001</v>
      </c>
      <c r="P37">
        <v>1389.5979070000001</v>
      </c>
      <c r="Q37">
        <v>1337.008026</v>
      </c>
      <c r="R37">
        <v>1283.5017539999999</v>
      </c>
      <c r="S37">
        <v>1227.733804</v>
      </c>
      <c r="T37">
        <v>1168.563764</v>
      </c>
      <c r="U37">
        <v>1103.6435550000001</v>
      </c>
      <c r="V37">
        <v>1038.723346</v>
      </c>
      <c r="W37">
        <v>977.62197249999997</v>
      </c>
      <c r="X37">
        <v>920.11479759999997</v>
      </c>
      <c r="Y37">
        <v>865.77730959999997</v>
      </c>
      <c r="Z37">
        <v>814.446639</v>
      </c>
      <c r="AA37">
        <v>765.96767239999997</v>
      </c>
      <c r="AB37">
        <v>720.19271189999995</v>
      </c>
      <c r="AC37">
        <v>676.9811492</v>
      </c>
      <c r="AD37">
        <v>636.19915230000004</v>
      </c>
      <c r="AE37">
        <v>597.71936479999999</v>
      </c>
      <c r="AF37">
        <v>561.42061799999999</v>
      </c>
      <c r="AG37">
        <v>527.18765350000001</v>
      </c>
      <c r="AH37">
        <v>494.9108584</v>
      </c>
      <c r="AI37">
        <v>464.48601050000002</v>
      </c>
      <c r="AJ37">
        <v>435.81403460000001</v>
      </c>
      <c r="AK37">
        <v>408.80076789999998</v>
      </c>
      <c r="AL37">
        <v>383.3567367</v>
      </c>
      <c r="AM37">
        <v>359.39694070000002</v>
      </c>
      <c r="AN37">
        <v>336.9346319</v>
      </c>
      <c r="AO37">
        <v>315.87621739999997</v>
      </c>
      <c r="AP37">
        <v>296.13395379999997</v>
      </c>
      <c r="AQ37">
        <v>277.6255817</v>
      </c>
      <c r="AR37">
        <v>259.11720960000002</v>
      </c>
      <c r="AS37">
        <v>241.84272899999999</v>
      </c>
      <c r="AT37">
        <v>225.71988039999999</v>
      </c>
      <c r="AU37">
        <v>210.67188830000001</v>
      </c>
      <c r="AV37">
        <v>196.62709580000001</v>
      </c>
      <c r="AW37">
        <v>183.51862270000001</v>
      </c>
    </row>
    <row r="38" spans="2:49" x14ac:dyDescent="0.25">
      <c r="B38" t="s">
        <v>138</v>
      </c>
      <c r="C38">
        <v>6.9573204344700098E-3</v>
      </c>
      <c r="D38" s="39">
        <v>7.06902246445449E-3</v>
      </c>
      <c r="E38">
        <v>7.1825179100000001E-3</v>
      </c>
      <c r="F38">
        <v>1.22817724E-2</v>
      </c>
      <c r="G38">
        <v>2.50560963E-2</v>
      </c>
      <c r="H38">
        <v>6.8078187799999995E-2</v>
      </c>
      <c r="I38">
        <v>0.13688768949999999</v>
      </c>
      <c r="J38">
        <v>0.24052891849999999</v>
      </c>
      <c r="K38">
        <v>0.36562639250000001</v>
      </c>
      <c r="L38">
        <v>0.54086102999999996</v>
      </c>
      <c r="M38">
        <v>0.82305267729999998</v>
      </c>
      <c r="N38">
        <v>1.1971172640000001</v>
      </c>
      <c r="O38">
        <v>1.744187554</v>
      </c>
      <c r="P38">
        <v>2.035927821</v>
      </c>
      <c r="Q38">
        <v>2.5400318450000001</v>
      </c>
      <c r="R38">
        <v>3.4107222469999998</v>
      </c>
      <c r="S38">
        <v>4.7937091240000003</v>
      </c>
      <c r="T38">
        <v>6.817073369</v>
      </c>
      <c r="U38">
        <v>11.838362160000001</v>
      </c>
      <c r="V38">
        <v>20.096396859999999</v>
      </c>
      <c r="W38">
        <v>29.885154669999999</v>
      </c>
      <c r="X38">
        <v>41.413742120000002</v>
      </c>
      <c r="Y38">
        <v>55.783765109999997</v>
      </c>
      <c r="Z38">
        <v>74.839268070000003</v>
      </c>
      <c r="AA38">
        <v>101.8760023</v>
      </c>
      <c r="AB38">
        <v>138.90043460000001</v>
      </c>
      <c r="AC38">
        <v>185.1905332</v>
      </c>
      <c r="AD38">
        <v>244.75663510000001</v>
      </c>
      <c r="AE38">
        <v>315.85725480000002</v>
      </c>
      <c r="AF38">
        <v>394.68191890000003</v>
      </c>
      <c r="AG38">
        <v>478.92827360000001</v>
      </c>
      <c r="AH38">
        <v>566.79145070000004</v>
      </c>
      <c r="AI38">
        <v>658.70499870000003</v>
      </c>
      <c r="AJ38">
        <v>753.1120909</v>
      </c>
      <c r="AK38">
        <v>849.01332730000001</v>
      </c>
      <c r="AL38">
        <v>946.35850500000004</v>
      </c>
      <c r="AM38">
        <v>1045.025208</v>
      </c>
      <c r="AN38">
        <v>1143.2578550000001</v>
      </c>
      <c r="AO38">
        <v>1241.406894</v>
      </c>
      <c r="AP38">
        <v>1340.0499589999999</v>
      </c>
      <c r="AQ38">
        <v>1438.5771259999999</v>
      </c>
      <c r="AR38">
        <v>1554.273269</v>
      </c>
      <c r="AS38">
        <v>1669.7639839999999</v>
      </c>
      <c r="AT38">
        <v>1784.9136579999999</v>
      </c>
      <c r="AU38">
        <v>1899.388862</v>
      </c>
      <c r="AV38">
        <v>2012.5642130000001</v>
      </c>
      <c r="AW38">
        <v>2121.0526129999998</v>
      </c>
    </row>
    <row r="39" spans="2:49" x14ac:dyDescent="0.25">
      <c r="B39" t="s">
        <v>139</v>
      </c>
      <c r="C39">
        <v>1.59483191497851E-2</v>
      </c>
      <c r="D39">
        <v>1.6204374572364899E-2</v>
      </c>
      <c r="E39">
        <v>1.6464540999999999E-2</v>
      </c>
      <c r="F39">
        <v>3.0242067899999999E-2</v>
      </c>
      <c r="G39">
        <v>5.8072086299999999E-2</v>
      </c>
      <c r="H39">
        <v>0.1191418434</v>
      </c>
      <c r="I39">
        <v>0.21019064470000001</v>
      </c>
      <c r="J39">
        <v>0.34119987699999998</v>
      </c>
      <c r="K39">
        <v>0.49781941349999997</v>
      </c>
      <c r="L39">
        <v>0.70778804829999997</v>
      </c>
      <c r="M39">
        <v>1.019622907</v>
      </c>
      <c r="N39">
        <v>1.4178024549999999</v>
      </c>
      <c r="O39">
        <v>1.9872458740000001</v>
      </c>
      <c r="P39">
        <v>2.4629317660000001</v>
      </c>
      <c r="Q39">
        <v>3.1717463100000001</v>
      </c>
      <c r="R39">
        <v>4.2342011429999999</v>
      </c>
      <c r="S39">
        <v>5.7515295550000003</v>
      </c>
      <c r="T39">
        <v>7.7864437369999999</v>
      </c>
      <c r="U39">
        <v>11.958324729999999</v>
      </c>
      <c r="V39">
        <v>18.406473729999998</v>
      </c>
      <c r="W39">
        <v>25.923562279999999</v>
      </c>
      <c r="X39">
        <v>34.659754839999998</v>
      </c>
      <c r="Y39">
        <v>45.380519929999998</v>
      </c>
      <c r="Z39">
        <v>59.421511449999997</v>
      </c>
      <c r="AA39">
        <v>79.138052650000006</v>
      </c>
      <c r="AB39">
        <v>105.8395258</v>
      </c>
      <c r="AC39">
        <v>138.75067910000001</v>
      </c>
      <c r="AD39">
        <v>180.6333525</v>
      </c>
      <c r="AE39">
        <v>229.9350555</v>
      </c>
      <c r="AF39">
        <v>283.7692644</v>
      </c>
      <c r="AG39">
        <v>340.37671640000002</v>
      </c>
      <c r="AH39">
        <v>398.4202234</v>
      </c>
      <c r="AI39">
        <v>458.14102070000001</v>
      </c>
      <c r="AJ39">
        <v>518.39324739999995</v>
      </c>
      <c r="AK39">
        <v>578.45383560000005</v>
      </c>
      <c r="AL39">
        <v>638.25614299999995</v>
      </c>
      <c r="AM39">
        <v>697.68089999999995</v>
      </c>
      <c r="AN39">
        <v>755.77676039999994</v>
      </c>
      <c r="AO39">
        <v>812.74804900000004</v>
      </c>
      <c r="AP39">
        <v>868.96157430000005</v>
      </c>
      <c r="AQ39">
        <v>924.02698729999997</v>
      </c>
      <c r="AR39">
        <v>984.29775410000002</v>
      </c>
      <c r="AS39">
        <v>1043.2450080000001</v>
      </c>
      <c r="AT39">
        <v>1100.7754870000001</v>
      </c>
      <c r="AU39">
        <v>1156.6844960000001</v>
      </c>
      <c r="AV39">
        <v>1210.5736280000001</v>
      </c>
      <c r="AW39">
        <v>1260.5437280000001</v>
      </c>
    </row>
    <row r="40" spans="2:49" x14ac:dyDescent="0.25">
      <c r="B40" t="s">
        <v>140</v>
      </c>
      <c r="C40">
        <v>6.5291776385026298E-2</v>
      </c>
      <c r="D40" s="39">
        <v>6.63400569741113E-2</v>
      </c>
      <c r="E40">
        <v>6.7405168000000001E-2</v>
      </c>
      <c r="F40">
        <v>0.12710339570000001</v>
      </c>
      <c r="G40">
        <v>0.2387504459</v>
      </c>
      <c r="H40">
        <v>0.429971453</v>
      </c>
      <c r="I40">
        <v>0.69850148180000005</v>
      </c>
      <c r="J40">
        <v>1.068535303</v>
      </c>
      <c r="K40">
        <v>1.506703167</v>
      </c>
      <c r="L40">
        <v>2.067693851</v>
      </c>
      <c r="M40">
        <v>2.8243779770000002</v>
      </c>
      <c r="N40">
        <v>3.7432173309999999</v>
      </c>
      <c r="O40">
        <v>5.0158936089999999</v>
      </c>
      <c r="P40">
        <v>6.6591240899999997</v>
      </c>
      <c r="Q40">
        <v>8.8612112790000008</v>
      </c>
      <c r="R40">
        <v>11.75595463</v>
      </c>
      <c r="S40">
        <v>15.403754169999999</v>
      </c>
      <c r="T40">
        <v>19.71819082</v>
      </c>
      <c r="U40">
        <v>25.738796140000002</v>
      </c>
      <c r="V40">
        <v>33.626616869999999</v>
      </c>
      <c r="W40">
        <v>42.4016856</v>
      </c>
      <c r="X40">
        <v>52.221531380000002</v>
      </c>
      <c r="Y40">
        <v>63.739935099999997</v>
      </c>
      <c r="Z40">
        <v>78.300601119999996</v>
      </c>
      <c r="AA40">
        <v>98.161401530000006</v>
      </c>
      <c r="AB40">
        <v>124.2015883</v>
      </c>
      <c r="AC40">
        <v>154.93091250000001</v>
      </c>
      <c r="AD40">
        <v>192.74229579999999</v>
      </c>
      <c r="AE40">
        <v>235.3476598</v>
      </c>
      <c r="AF40">
        <v>279.64789730000001</v>
      </c>
      <c r="AG40">
        <v>323.79153350000001</v>
      </c>
      <c r="AH40">
        <v>366.52535289999997</v>
      </c>
      <c r="AI40">
        <v>408.04311389999998</v>
      </c>
      <c r="AJ40">
        <v>447.33324199999998</v>
      </c>
      <c r="AK40">
        <v>483.846879</v>
      </c>
      <c r="AL40">
        <v>517.59696350000002</v>
      </c>
      <c r="AM40">
        <v>548.54726860000005</v>
      </c>
      <c r="AN40">
        <v>576.53782760000001</v>
      </c>
      <c r="AO40">
        <v>601.76268110000001</v>
      </c>
      <c r="AP40">
        <v>624.55379849999997</v>
      </c>
      <c r="AQ40">
        <v>644.73956220000002</v>
      </c>
      <c r="AR40">
        <v>658.5732557</v>
      </c>
      <c r="AS40">
        <v>669.91108710000003</v>
      </c>
      <c r="AT40">
        <v>678.7695976</v>
      </c>
      <c r="AU40">
        <v>685.11580130000004</v>
      </c>
      <c r="AV40">
        <v>688.7872893</v>
      </c>
      <c r="AW40">
        <v>689.07545370000003</v>
      </c>
    </row>
    <row r="41" spans="2:49" x14ac:dyDescent="0.25">
      <c r="B41" t="s">
        <v>141</v>
      </c>
      <c r="C41">
        <v>1.5338215665531501</v>
      </c>
      <c r="D41">
        <v>1.55844756793281</v>
      </c>
      <c r="E41">
        <v>1.5834689479999999</v>
      </c>
      <c r="F41">
        <v>2.9948582749999999</v>
      </c>
      <c r="G41">
        <v>5.6114457939999998</v>
      </c>
      <c r="H41">
        <v>9.9474264689999998</v>
      </c>
      <c r="I41">
        <v>15.98073254</v>
      </c>
      <c r="J41">
        <v>24.237031890000001</v>
      </c>
      <c r="K41">
        <v>33.998296699999997</v>
      </c>
      <c r="L41">
        <v>46.398922370000001</v>
      </c>
      <c r="M41">
        <v>62.83759294</v>
      </c>
      <c r="N41">
        <v>82.607620920000002</v>
      </c>
      <c r="O41">
        <v>109.81893049999999</v>
      </c>
      <c r="P41">
        <v>147.5956679</v>
      </c>
      <c r="Q41">
        <v>197.46598850000001</v>
      </c>
      <c r="R41">
        <v>261.66790400000002</v>
      </c>
      <c r="S41">
        <v>340.77768930000002</v>
      </c>
      <c r="T41">
        <v>432.02413610000002</v>
      </c>
      <c r="U41">
        <v>548.04792110000005</v>
      </c>
      <c r="V41">
        <v>693.53399119999995</v>
      </c>
      <c r="W41">
        <v>853.5324415</v>
      </c>
      <c r="X41">
        <v>1031.028546</v>
      </c>
      <c r="Y41">
        <v>1237.192209</v>
      </c>
      <c r="Z41">
        <v>1496.1501559999999</v>
      </c>
      <c r="AA41">
        <v>1847.9138</v>
      </c>
      <c r="AB41">
        <v>2306.9369769999998</v>
      </c>
      <c r="AC41">
        <v>2845.0075419999998</v>
      </c>
      <c r="AD41">
        <v>3504.4755679999998</v>
      </c>
      <c r="AE41">
        <v>4243.9389650000003</v>
      </c>
      <c r="AF41">
        <v>5009.3692529999998</v>
      </c>
      <c r="AG41">
        <v>5769.4991380000001</v>
      </c>
      <c r="AH41">
        <v>6504.0976199999996</v>
      </c>
      <c r="AI41">
        <v>7218.2931490000001</v>
      </c>
      <c r="AJ41">
        <v>7896.3574900000003</v>
      </c>
      <c r="AK41">
        <v>8530.6723139999995</v>
      </c>
      <c r="AL41">
        <v>9123.2908979999902</v>
      </c>
      <c r="AM41">
        <v>9675.3708920000008</v>
      </c>
      <c r="AN41">
        <v>10184.280280000001</v>
      </c>
      <c r="AO41">
        <v>10654.596509999999</v>
      </c>
      <c r="AP41">
        <v>11093.07374</v>
      </c>
      <c r="AQ41">
        <v>11497.55773</v>
      </c>
      <c r="AR41">
        <v>11851.66201</v>
      </c>
      <c r="AS41">
        <v>12178.38377</v>
      </c>
      <c r="AT41">
        <v>12478.61261</v>
      </c>
      <c r="AU41">
        <v>12752.150589999999</v>
      </c>
      <c r="AV41">
        <v>12996.632250000001</v>
      </c>
      <c r="AW41">
        <v>13197.33504</v>
      </c>
    </row>
    <row r="42" spans="2:49" x14ac:dyDescent="0.25">
      <c r="B42" t="s">
        <v>142</v>
      </c>
      <c r="C42">
        <v>0.60453762790594801</v>
      </c>
      <c r="D42" s="39">
        <v>0.61424367506521405</v>
      </c>
      <c r="E42">
        <v>0.62410555599999995</v>
      </c>
      <c r="F42">
        <v>1.181091452</v>
      </c>
      <c r="G42">
        <v>2.2118992230000001</v>
      </c>
      <c r="H42">
        <v>3.9082387989999998</v>
      </c>
      <c r="I42">
        <v>6.2637630499999997</v>
      </c>
      <c r="J42">
        <v>9.4820473300000003</v>
      </c>
      <c r="K42">
        <v>13.285571559999999</v>
      </c>
      <c r="L42" s="39">
        <v>18.108683540000001</v>
      </c>
      <c r="M42" s="39">
        <v>24.47526581</v>
      </c>
      <c r="N42" s="39">
        <v>32.113217280000001</v>
      </c>
      <c r="O42" s="39">
        <v>42.608530109999997</v>
      </c>
      <c r="P42" s="39">
        <v>57.432727210000003</v>
      </c>
      <c r="Q42" s="39">
        <v>76.938167089999894</v>
      </c>
      <c r="R42">
        <v>101.9287614</v>
      </c>
      <c r="S42">
        <v>132.55386379999999</v>
      </c>
      <c r="T42">
        <v>167.64469209999999</v>
      </c>
      <c r="U42">
        <v>210.93688280000001</v>
      </c>
      <c r="V42">
        <v>264.17033709999998</v>
      </c>
      <c r="W42">
        <v>322.33917650000001</v>
      </c>
      <c r="X42">
        <v>386.51731899999999</v>
      </c>
      <c r="Y42">
        <v>460.5495684</v>
      </c>
      <c r="Z42">
        <v>553.02192590000004</v>
      </c>
      <c r="AA42">
        <v>678.04967439999996</v>
      </c>
      <c r="AB42">
        <v>840.31954299999995</v>
      </c>
      <c r="AC42">
        <v>1029.0793759999999</v>
      </c>
      <c r="AD42">
        <v>1259.0245600000001</v>
      </c>
      <c r="AE42">
        <v>1514.746159</v>
      </c>
      <c r="AF42">
        <v>1776.912462</v>
      </c>
      <c r="AG42">
        <v>2034.4158620000001</v>
      </c>
      <c r="AH42">
        <v>2280.2512000000002</v>
      </c>
      <c r="AI42">
        <v>2516.2866450000001</v>
      </c>
      <c r="AJ42">
        <v>2737.1794009999999</v>
      </c>
      <c r="AK42">
        <v>2940.5011570000001</v>
      </c>
      <c r="AL42">
        <v>3127.16032</v>
      </c>
      <c r="AM42">
        <v>3297.7523900000001</v>
      </c>
      <c r="AN42">
        <v>3452.076669</v>
      </c>
      <c r="AO42">
        <v>3591.823875</v>
      </c>
      <c r="AP42">
        <v>3719.4211770000002</v>
      </c>
      <c r="AQ42">
        <v>3834.3635490000001</v>
      </c>
      <c r="AR42">
        <v>3924.8060599999999</v>
      </c>
      <c r="AS42">
        <v>4005.5346770000001</v>
      </c>
      <c r="AT42">
        <v>4077.0144209999999</v>
      </c>
      <c r="AU42">
        <v>4139.3669360000004</v>
      </c>
      <c r="AV42">
        <v>4192.0110139999997</v>
      </c>
      <c r="AW42">
        <v>4230.6734049999995</v>
      </c>
    </row>
    <row r="43" spans="2:49" x14ac:dyDescent="0.25">
      <c r="B43" t="s">
        <v>143</v>
      </c>
      <c r="C43">
        <v>8.2417488223721705E-3</v>
      </c>
      <c r="D43">
        <v>8.3740727655845504E-3</v>
      </c>
      <c r="E43">
        <v>8.5085212099999998E-3</v>
      </c>
      <c r="F43">
        <v>1.7087907499999999E-2</v>
      </c>
      <c r="G43">
        <v>3.0457194199999999E-2</v>
      </c>
      <c r="H43">
        <v>3.6127238800000003E-2</v>
      </c>
      <c r="I43">
        <v>3.7364539199999998E-2</v>
      </c>
      <c r="J43">
        <v>4.9223902799999997E-2</v>
      </c>
      <c r="K43">
        <v>6.3415087300000006E-2</v>
      </c>
      <c r="L43">
        <v>8.1664419500000002E-2</v>
      </c>
      <c r="M43">
        <v>0.1061024614</v>
      </c>
      <c r="N43">
        <v>0.1356509833</v>
      </c>
      <c r="O43">
        <v>0.1765702166</v>
      </c>
      <c r="P43">
        <v>0.26210115989999999</v>
      </c>
      <c r="Q43">
        <v>0.29585650419999998</v>
      </c>
      <c r="R43">
        <v>0.39389582020000002</v>
      </c>
      <c r="S43">
        <v>0.51464701950000002</v>
      </c>
      <c r="T43">
        <v>0.65390669879999996</v>
      </c>
      <c r="U43">
        <v>0.83124556059999999</v>
      </c>
      <c r="V43">
        <v>1.0539600979999999</v>
      </c>
      <c r="W43">
        <v>1.2990343230000001</v>
      </c>
      <c r="X43">
        <v>1.571060506</v>
      </c>
      <c r="Y43">
        <v>1.8872702539999999</v>
      </c>
      <c r="Z43">
        <v>2.284731549</v>
      </c>
      <c r="AA43">
        <v>2.824983998</v>
      </c>
      <c r="AB43">
        <v>3.5305486519999998</v>
      </c>
      <c r="AC43">
        <v>4.3586390880000003</v>
      </c>
      <c r="AD43">
        <v>5.3746328109999997</v>
      </c>
      <c r="AE43">
        <v>6.5155665880000004</v>
      </c>
      <c r="AF43">
        <v>7.6987168280000002</v>
      </c>
      <c r="AG43">
        <v>8.8762457070000007</v>
      </c>
      <c r="AH43">
        <v>10.01712856</v>
      </c>
      <c r="AI43">
        <v>11.129387749999999</v>
      </c>
      <c r="AJ43">
        <v>12.1888764</v>
      </c>
      <c r="AK43">
        <v>13.18385761</v>
      </c>
      <c r="AL43">
        <v>14.1175143</v>
      </c>
      <c r="AM43">
        <v>14.991646279999999</v>
      </c>
      <c r="AN43">
        <v>15.80149271</v>
      </c>
      <c r="AO43">
        <v>16.554149630000001</v>
      </c>
      <c r="AP43">
        <v>17.26006164</v>
      </c>
      <c r="AQ43">
        <v>17.915759779999998</v>
      </c>
      <c r="AR43">
        <v>18.50794299</v>
      </c>
      <c r="AS43">
        <v>19.059991650000001</v>
      </c>
      <c r="AT43">
        <v>19.573184139999999</v>
      </c>
      <c r="AU43">
        <v>20.04705959</v>
      </c>
      <c r="AV43">
        <v>20.477772720000001</v>
      </c>
      <c r="AW43">
        <v>20.841486199999999</v>
      </c>
    </row>
    <row r="44" spans="2:49" x14ac:dyDescent="0.25">
      <c r="B44" t="s">
        <v>144</v>
      </c>
      <c r="C44">
        <v>0.101255771246286</v>
      </c>
      <c r="D44" s="39">
        <v>0.10288146540575301</v>
      </c>
      <c r="E44">
        <v>0.1045332606</v>
      </c>
      <c r="F44">
        <v>0.19859704850000001</v>
      </c>
      <c r="G44">
        <v>0.3707163892</v>
      </c>
      <c r="H44">
        <v>0.64147123120000005</v>
      </c>
      <c r="I44">
        <v>1.012495567</v>
      </c>
      <c r="J44">
        <v>1.5142563360000001</v>
      </c>
      <c r="K44">
        <v>2.105885534</v>
      </c>
      <c r="L44">
        <v>2.847362323</v>
      </c>
      <c r="M44">
        <v>3.7999496559999999</v>
      </c>
      <c r="N44">
        <v>4.9250273939999998</v>
      </c>
      <c r="O44">
        <v>6.4549067869999996</v>
      </c>
      <c r="P44">
        <v>8.8668520399999995</v>
      </c>
      <c r="Q44">
        <v>11.974537850000001</v>
      </c>
      <c r="R44">
        <v>15.835956550000001</v>
      </c>
      <c r="S44">
        <v>20.405472</v>
      </c>
      <c r="T44">
        <v>25.42613253</v>
      </c>
      <c r="U44">
        <v>30.544175599999999</v>
      </c>
      <c r="V44">
        <v>36.12353933</v>
      </c>
      <c r="W44">
        <v>41.996509879999998</v>
      </c>
      <c r="X44">
        <v>48.280027879999999</v>
      </c>
      <c r="Y44">
        <v>55.258857450000001</v>
      </c>
      <c r="Z44">
        <v>63.73483014</v>
      </c>
      <c r="AA44">
        <v>74.954772550000001</v>
      </c>
      <c r="AB44">
        <v>89.145870059999893</v>
      </c>
      <c r="AC44">
        <v>105.0244915</v>
      </c>
      <c r="AD44">
        <v>123.81869039999999</v>
      </c>
      <c r="AE44">
        <v>143.8941786</v>
      </c>
      <c r="AF44">
        <v>163.52606370000001</v>
      </c>
      <c r="AG44">
        <v>181.80304820000001</v>
      </c>
      <c r="AH44">
        <v>198.25313399999999</v>
      </c>
      <c r="AI44">
        <v>213.14122990000001</v>
      </c>
      <c r="AJ44">
        <v>226.1587849</v>
      </c>
      <c r="AK44">
        <v>237.25566019999999</v>
      </c>
      <c r="AL44">
        <v>246.63062790000001</v>
      </c>
      <c r="AM44">
        <v>254.44664119999999</v>
      </c>
      <c r="AN44">
        <v>260.88998609999999</v>
      </c>
      <c r="AO44">
        <v>266.15285230000001</v>
      </c>
      <c r="AP44">
        <v>270.4692192</v>
      </c>
      <c r="AQ44">
        <v>273.87535800000001</v>
      </c>
      <c r="AR44">
        <v>274.92579130000001</v>
      </c>
      <c r="AS44">
        <v>275.50088169999998</v>
      </c>
      <c r="AT44">
        <v>275.66272900000001</v>
      </c>
      <c r="AU44">
        <v>275.44780759999998</v>
      </c>
      <c r="AV44">
        <v>274.8472625</v>
      </c>
      <c r="AW44">
        <v>273.6501581</v>
      </c>
    </row>
    <row r="45" spans="2:49" x14ac:dyDescent="0.25">
      <c r="B45" t="s">
        <v>145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146</v>
      </c>
      <c r="C46">
        <v>30996.0941631817</v>
      </c>
      <c r="D46">
        <v>31493.7464809423</v>
      </c>
      <c r="E46">
        <v>31999.388770000001</v>
      </c>
      <c r="F46">
        <v>32683.817739999999</v>
      </c>
      <c r="G46">
        <v>33306.248310000003</v>
      </c>
      <c r="H46">
        <v>34127.694490000002</v>
      </c>
      <c r="I46">
        <v>34839.497510000001</v>
      </c>
      <c r="J46">
        <v>35452.215969999997</v>
      </c>
      <c r="K46">
        <v>35679.490189999997</v>
      </c>
      <c r="L46">
        <v>35769.163240000002</v>
      </c>
      <c r="M46">
        <v>35852.177900000002</v>
      </c>
      <c r="N46">
        <v>35785.167699999998</v>
      </c>
      <c r="O46">
        <v>35810.695180000002</v>
      </c>
      <c r="P46">
        <v>36095.889040000002</v>
      </c>
      <c r="Q46">
        <v>36407.638619999998</v>
      </c>
      <c r="R46">
        <v>36714.516450000003</v>
      </c>
      <c r="S46">
        <v>36947.937729999998</v>
      </c>
      <c r="T46">
        <v>37014.629959999998</v>
      </c>
      <c r="U46">
        <v>36936.16805</v>
      </c>
      <c r="V46">
        <v>36780.507570000002</v>
      </c>
      <c r="W46">
        <v>36457.002269999997</v>
      </c>
      <c r="X46">
        <v>36014.624150000003</v>
      </c>
      <c r="Y46">
        <v>35419.46514</v>
      </c>
      <c r="Z46">
        <v>34646.862009999997</v>
      </c>
      <c r="AA46">
        <v>33698.887360000001</v>
      </c>
      <c r="AB46">
        <v>32575.639780000001</v>
      </c>
      <c r="AC46">
        <v>31256.807850000001</v>
      </c>
      <c r="AD46">
        <v>29826.29593</v>
      </c>
      <c r="AE46">
        <v>28311.263019999999</v>
      </c>
      <c r="AF46">
        <v>26759.236700000001</v>
      </c>
      <c r="AG46">
        <v>25218.77015</v>
      </c>
      <c r="AH46">
        <v>23722.58383</v>
      </c>
      <c r="AI46">
        <v>22289.097129999998</v>
      </c>
      <c r="AJ46">
        <v>20925.88711</v>
      </c>
      <c r="AK46">
        <v>19635.198240000002</v>
      </c>
      <c r="AL46">
        <v>18416.289649999999</v>
      </c>
      <c r="AM46" s="39">
        <v>17266.875390000001</v>
      </c>
      <c r="AN46" s="39">
        <v>16188.493769999999</v>
      </c>
      <c r="AO46" s="39">
        <v>15177.110640000001</v>
      </c>
      <c r="AP46" s="39">
        <v>14228.74019</v>
      </c>
      <c r="AQ46" s="39">
        <v>13339.543079999999</v>
      </c>
      <c r="AR46" s="39">
        <v>12450.291380000001</v>
      </c>
      <c r="AS46" s="39">
        <v>11620.29753</v>
      </c>
      <c r="AT46" s="39">
        <v>10845.623809999999</v>
      </c>
      <c r="AU46" s="39">
        <v>10122.588589999999</v>
      </c>
      <c r="AV46" s="39">
        <v>9447.75251199999</v>
      </c>
      <c r="AW46" s="39">
        <v>8817.9038920000003</v>
      </c>
    </row>
    <row r="47" spans="2:49" x14ac:dyDescent="0.25">
      <c r="B47" t="s">
        <v>147</v>
      </c>
      <c r="C47">
        <v>2.3360541304970401</v>
      </c>
      <c r="D47">
        <v>2.3735602351802898</v>
      </c>
      <c r="E47">
        <v>2.411668513</v>
      </c>
      <c r="F47" s="39">
        <v>4.5612619189999997</v>
      </c>
      <c r="G47" s="39">
        <v>8.546397228</v>
      </c>
      <c r="H47">
        <v>15.15045522</v>
      </c>
      <c r="I47">
        <v>24.339935520000001</v>
      </c>
      <c r="J47">
        <v>36.932823550000002</v>
      </c>
      <c r="K47">
        <v>51.823317850000002</v>
      </c>
      <c r="L47">
        <v>70.752975570000004</v>
      </c>
      <c r="M47">
        <v>95.885964430000001</v>
      </c>
      <c r="N47">
        <v>126.1396536</v>
      </c>
      <c r="O47">
        <v>167.80626470000001</v>
      </c>
      <c r="P47" s="39">
        <v>225.31533200000001</v>
      </c>
      <c r="Q47" s="39">
        <v>301.24753939999999</v>
      </c>
      <c r="R47" s="39">
        <v>399.22739580000001</v>
      </c>
      <c r="S47" s="39">
        <v>520.20066499999996</v>
      </c>
      <c r="T47" s="39">
        <v>660.07057540000005</v>
      </c>
      <c r="U47" s="39">
        <v>839.89570800000001</v>
      </c>
      <c r="V47" s="39">
        <v>1067.011315</v>
      </c>
      <c r="W47" s="39">
        <v>1317.377565</v>
      </c>
      <c r="X47" s="39">
        <v>1595.6919809999999</v>
      </c>
      <c r="Y47" s="39">
        <v>1919.7921249999999</v>
      </c>
      <c r="Z47" s="39">
        <v>2327.7530240000001</v>
      </c>
      <c r="AA47" s="39">
        <v>2882.9186880000002</v>
      </c>
      <c r="AB47" s="39">
        <v>3608.874487</v>
      </c>
      <c r="AC47" s="39">
        <v>4462.342173</v>
      </c>
      <c r="AD47" s="39">
        <v>5510.8257350000003</v>
      </c>
      <c r="AE47" s="39">
        <v>6690.2348389999997</v>
      </c>
      <c r="AF47" s="39">
        <v>7915.6055759999999</v>
      </c>
      <c r="AG47" s="39">
        <v>9137.6908170000006</v>
      </c>
      <c r="AH47" s="39">
        <v>10324.356110000001</v>
      </c>
      <c r="AI47">
        <v>11483.73954</v>
      </c>
      <c r="AJ47">
        <v>12590.72313</v>
      </c>
      <c r="AK47">
        <v>13632.927030000001</v>
      </c>
      <c r="AL47">
        <v>14613.410970000001</v>
      </c>
      <c r="AM47">
        <v>15533.81495</v>
      </c>
      <c r="AN47">
        <v>16388.620869999999</v>
      </c>
      <c r="AO47">
        <v>17185.045010000002</v>
      </c>
      <c r="AP47">
        <v>17933.789529999998</v>
      </c>
      <c r="AQ47">
        <v>18631.056069999999</v>
      </c>
      <c r="AR47">
        <v>19267.04608</v>
      </c>
      <c r="AS47">
        <v>19861.399399999998</v>
      </c>
      <c r="AT47">
        <v>20415.321690000001</v>
      </c>
      <c r="AU47">
        <v>20928.201560000001</v>
      </c>
      <c r="AV47">
        <v>21395.89343</v>
      </c>
      <c r="AW47">
        <v>21793.171880000002</v>
      </c>
    </row>
    <row r="48" spans="2:49" x14ac:dyDescent="0.25">
      <c r="B48" t="s">
        <v>148</v>
      </c>
      <c r="C48">
        <v>2.1906436884240502E-2</v>
      </c>
      <c r="D48">
        <v>2.2258151814254699E-2</v>
      </c>
      <c r="E48">
        <v>2.2615513600000001E-2</v>
      </c>
      <c r="F48" s="39">
        <v>2.4387868699999999E-2</v>
      </c>
      <c r="G48" s="39">
        <v>5.8659166399999997E-2</v>
      </c>
      <c r="H48">
        <v>9.61192783E-2</v>
      </c>
      <c r="I48">
        <v>0.13571540330000001</v>
      </c>
      <c r="J48">
        <v>0.18930903090000001</v>
      </c>
      <c r="K48" s="39">
        <v>0.23841915950000001</v>
      </c>
      <c r="L48" s="39">
        <v>0.2815583679</v>
      </c>
      <c r="M48" s="39">
        <v>0.32287520400000003</v>
      </c>
      <c r="N48" s="39">
        <v>0.34688827630000002</v>
      </c>
      <c r="O48" s="39">
        <v>0.36563145159999999</v>
      </c>
      <c r="P48" s="39">
        <v>0.37782384749999998</v>
      </c>
      <c r="Q48" s="39">
        <v>0.41062924379999999</v>
      </c>
      <c r="R48" s="39">
        <v>0.44723464860000001</v>
      </c>
      <c r="S48" s="39">
        <v>0.50824763969999998</v>
      </c>
      <c r="T48" s="39">
        <v>0.55707479270000004</v>
      </c>
      <c r="U48" s="39">
        <v>0.63763375509999998</v>
      </c>
      <c r="V48" s="39">
        <v>0.73207246010000004</v>
      </c>
      <c r="W48" s="39">
        <v>0.8170136361</v>
      </c>
      <c r="X48" s="39">
        <v>0.89305551059999999</v>
      </c>
      <c r="Y48" s="39">
        <v>0.9577211377</v>
      </c>
      <c r="Z48" s="39">
        <v>1.010163181</v>
      </c>
      <c r="AA48" s="39">
        <v>1.0459791169999999</v>
      </c>
      <c r="AB48" s="39">
        <v>1.0635399510000001</v>
      </c>
      <c r="AC48" s="39">
        <v>1.059928633</v>
      </c>
      <c r="AD48" s="39">
        <v>1.041191362</v>
      </c>
      <c r="AE48" s="39">
        <v>1.008584937</v>
      </c>
      <c r="AF48" s="39">
        <v>0.96586625260000003</v>
      </c>
      <c r="AG48" s="39">
        <v>0.91758778610000002</v>
      </c>
      <c r="AH48" s="39">
        <v>0.86728950569999996</v>
      </c>
      <c r="AI48" s="39">
        <v>0.81719290430000002</v>
      </c>
      <c r="AJ48" s="39">
        <v>0.76847185240000004</v>
      </c>
      <c r="AK48" s="39">
        <v>0.72174985790000001</v>
      </c>
      <c r="AL48" s="39">
        <v>0.67730615039999997</v>
      </c>
      <c r="AM48" s="39">
        <v>0.63522497190000005</v>
      </c>
      <c r="AN48">
        <v>0.59565311430000001</v>
      </c>
      <c r="AO48">
        <v>0.55849200489999995</v>
      </c>
      <c r="AP48">
        <v>0.52362112130000005</v>
      </c>
      <c r="AQ48">
        <v>0.49091280739999998</v>
      </c>
      <c r="AR48">
        <v>0.45819543930000001</v>
      </c>
      <c r="AS48">
        <v>0.42765432759999999</v>
      </c>
      <c r="AT48">
        <v>0.39914675399999999</v>
      </c>
      <c r="AU48">
        <v>0.37253837000000001</v>
      </c>
      <c r="AV48">
        <v>0.34770319760000001</v>
      </c>
      <c r="AW48">
        <v>0.32452334830000001</v>
      </c>
    </row>
    <row r="49" spans="2:99" x14ac:dyDescent="0.25">
      <c r="B49" t="s">
        <v>149</v>
      </c>
      <c r="C49">
        <v>2298.5980133353301</v>
      </c>
      <c r="D49">
        <v>2335.5027479420201</v>
      </c>
      <c r="E49">
        <v>2373</v>
      </c>
      <c r="F49" s="39">
        <v>2446.6775899999998</v>
      </c>
      <c r="G49" s="39">
        <v>2424.2765530000001</v>
      </c>
      <c r="H49">
        <v>2660.3639440000002</v>
      </c>
      <c r="I49">
        <v>2598.8489709999999</v>
      </c>
      <c r="J49">
        <v>2542.822412</v>
      </c>
      <c r="K49" s="39">
        <v>2194.0678939999998</v>
      </c>
      <c r="L49" s="39">
        <v>2073.8249529999998</v>
      </c>
      <c r="M49" s="39">
        <v>2079.3430400000002</v>
      </c>
      <c r="N49" s="39">
        <v>1940.3869999999999</v>
      </c>
      <c r="O49" s="39">
        <v>2042.316</v>
      </c>
      <c r="P49" s="39">
        <v>2141.6280000000002</v>
      </c>
      <c r="Q49" s="39">
        <v>2203.7420000000002</v>
      </c>
      <c r="R49" s="39">
        <v>2240.3020000000001</v>
      </c>
      <c r="S49" s="39">
        <v>2210.081737</v>
      </c>
      <c r="T49" s="39">
        <v>2079.9690599999999</v>
      </c>
      <c r="U49" s="39">
        <v>2194.402145</v>
      </c>
      <c r="V49" s="39">
        <v>2293.5765190000002</v>
      </c>
      <c r="W49" s="39">
        <v>2153.1855919999998</v>
      </c>
      <c r="X49" s="39">
        <v>2057.9586420000001</v>
      </c>
      <c r="Y49" s="39">
        <v>1950.022794</v>
      </c>
      <c r="Z49" s="39">
        <v>1849.147727</v>
      </c>
      <c r="AA49" s="39">
        <v>1808.06096</v>
      </c>
      <c r="AB49" s="39">
        <v>1788.871926</v>
      </c>
      <c r="AC49" s="39">
        <v>1705.7066130000001</v>
      </c>
      <c r="AD49" s="39">
        <v>1769.7276649999999</v>
      </c>
      <c r="AE49" s="39">
        <v>1801.7021030000001</v>
      </c>
      <c r="AF49" s="39">
        <v>1798.9414509999999</v>
      </c>
      <c r="AG49" s="39">
        <v>1795.938339</v>
      </c>
      <c r="AH49" s="39">
        <v>1793.9357709999999</v>
      </c>
      <c r="AI49" s="39">
        <v>1818.94632</v>
      </c>
      <c r="AJ49" s="39">
        <v>1828.51657</v>
      </c>
      <c r="AK49" s="39">
        <v>1828.9908680000001</v>
      </c>
      <c r="AL49" s="39">
        <v>1832.2055620000001</v>
      </c>
      <c r="AM49" s="39">
        <v>1835.3459949999999</v>
      </c>
      <c r="AN49">
        <v>1826.467447</v>
      </c>
      <c r="AO49">
        <v>1821.110678</v>
      </c>
      <c r="AP49">
        <v>1823.008797</v>
      </c>
      <c r="AQ49">
        <v>1818.227541</v>
      </c>
      <c r="AR49">
        <v>1878.11159</v>
      </c>
      <c r="AS49">
        <v>1878.8486379999999</v>
      </c>
      <c r="AT49">
        <v>1878.0283529999999</v>
      </c>
      <c r="AU49">
        <v>1873.9076849999999</v>
      </c>
      <c r="AV49">
        <v>1862.9084720000001</v>
      </c>
      <c r="AW49">
        <v>1823.672894</v>
      </c>
    </row>
    <row r="50" spans="2:99" x14ac:dyDescent="0.25">
      <c r="B50" t="s">
        <v>150</v>
      </c>
      <c r="C50">
        <v>2297.4487143286601</v>
      </c>
      <c r="D50">
        <v>2334.33499656805</v>
      </c>
      <c r="E50">
        <v>2371.8135000000002</v>
      </c>
      <c r="F50" s="39">
        <v>2444.3953550000001</v>
      </c>
      <c r="G50" s="39">
        <v>2420.0405489999998</v>
      </c>
      <c r="H50">
        <v>2653.2898340000002</v>
      </c>
      <c r="I50">
        <v>2588.826215</v>
      </c>
      <c r="J50">
        <v>2528.8908270000002</v>
      </c>
      <c r="K50" s="39">
        <v>2177.1460950000001</v>
      </c>
      <c r="L50" s="39">
        <v>2052.0450129999999</v>
      </c>
      <c r="M50" s="39">
        <v>2050.3186380000002</v>
      </c>
      <c r="N50" s="39">
        <v>1904.8595829999999</v>
      </c>
      <c r="O50" s="39">
        <v>1993.711708</v>
      </c>
      <c r="P50" s="39">
        <v>2075.728619</v>
      </c>
      <c r="Q50" s="39">
        <v>2116.544026</v>
      </c>
      <c r="R50" s="39">
        <v>2127.259767</v>
      </c>
      <c r="S50" s="39">
        <v>2069.1470979999999</v>
      </c>
      <c r="T50" s="39">
        <v>1914.0891160000001</v>
      </c>
      <c r="U50" s="39">
        <v>1977.9064249999999</v>
      </c>
      <c r="V50" s="39">
        <v>2017.055282</v>
      </c>
      <c r="W50" s="39">
        <v>1840.053971</v>
      </c>
      <c r="X50" s="39">
        <v>1702.151427</v>
      </c>
      <c r="Y50" s="39">
        <v>1531.6888719999999</v>
      </c>
      <c r="Z50" s="39">
        <v>1327.3651609999999</v>
      </c>
      <c r="AA50" s="39">
        <v>1114.338569</v>
      </c>
      <c r="AB50" s="39">
        <v>890.63014959999998</v>
      </c>
      <c r="AC50" s="39">
        <v>635.70645809999996</v>
      </c>
      <c r="AD50" s="39">
        <v>452.42830950000001</v>
      </c>
      <c r="AE50" s="39">
        <v>288.97692590000003</v>
      </c>
      <c r="AF50" s="39">
        <v>167.28114869999999</v>
      </c>
      <c r="AG50" s="39">
        <v>91.19422179</v>
      </c>
      <c r="AH50" s="39">
        <v>47.820020649999996</v>
      </c>
      <c r="AI50" s="39">
        <v>24.868861450000001</v>
      </c>
      <c r="AJ50" s="39">
        <v>12.66017046</v>
      </c>
      <c r="AK50" s="39">
        <v>6.3702469859999997</v>
      </c>
      <c r="AL50" s="39">
        <v>3.1991914989999999</v>
      </c>
      <c r="AM50" s="39">
        <v>1.6038342910000001</v>
      </c>
      <c r="AN50" s="39">
        <v>0.79809307110000005</v>
      </c>
      <c r="AO50" s="39">
        <v>0.39773304570000001</v>
      </c>
      <c r="AP50" s="39">
        <v>0.19896061609999999</v>
      </c>
      <c r="AQ50" s="39">
        <v>9.9153400200000005E-2</v>
      </c>
      <c r="AR50" s="39">
        <v>5.1173941100000002E-2</v>
      </c>
      <c r="AS50" s="39">
        <v>2.5578985200000001E-2</v>
      </c>
      <c r="AT50" s="39">
        <v>1.27748262E-2</v>
      </c>
      <c r="AU50" s="39">
        <v>6.36887923E-3</v>
      </c>
      <c r="AV50">
        <v>3.1635172899999999E-3</v>
      </c>
      <c r="AW50" s="39">
        <v>1.54736233E-3</v>
      </c>
    </row>
    <row r="51" spans="2:99" x14ac:dyDescent="0.25">
      <c r="B51" t="s">
        <v>151</v>
      </c>
      <c r="C51">
        <v>1.1492990066676601</v>
      </c>
      <c r="D51">
        <v>1.1677513739710099</v>
      </c>
      <c r="E51">
        <v>1.1865000000000001</v>
      </c>
      <c r="F51" s="39">
        <v>2.2806808030000001</v>
      </c>
      <c r="G51" s="39">
        <v>31.12662606</v>
      </c>
      <c r="H51">
        <v>35.573153939999997</v>
      </c>
      <c r="I51">
        <v>39.298856700000002</v>
      </c>
      <c r="J51">
        <v>53.622651689999998</v>
      </c>
      <c r="K51" s="39">
        <v>52.32190026</v>
      </c>
      <c r="L51" s="39">
        <v>49.448005799999997</v>
      </c>
      <c r="M51" s="39">
        <v>49.933804369999997</v>
      </c>
      <c r="N51" s="39">
        <v>36.650501859999999</v>
      </c>
      <c r="O51" s="39">
        <v>33.139962879999999</v>
      </c>
      <c r="P51" s="39">
        <v>26.627081029999999</v>
      </c>
      <c r="Q51" s="39">
        <v>45.398919720000002</v>
      </c>
      <c r="R51" s="39">
        <v>50.210141980000003</v>
      </c>
      <c r="S51" s="39">
        <v>73.429767499999997</v>
      </c>
      <c r="T51" s="39">
        <v>65.375934909999998</v>
      </c>
      <c r="U51" s="39">
        <v>98.33568923</v>
      </c>
      <c r="V51" s="39">
        <v>116.4134665</v>
      </c>
      <c r="W51" s="39">
        <v>112.9547233</v>
      </c>
      <c r="X51" s="39">
        <v>109.5245695</v>
      </c>
      <c r="Y51" s="39">
        <v>103.6281913</v>
      </c>
      <c r="Z51" s="39">
        <v>96.424180120000003</v>
      </c>
      <c r="AA51" s="39">
        <v>84.710008790000003</v>
      </c>
      <c r="AB51" s="39">
        <v>70.700486920000003</v>
      </c>
      <c r="AC51" s="39">
        <v>53.162736819999999</v>
      </c>
      <c r="AD51" s="39">
        <v>39.84369633</v>
      </c>
      <c r="AE51" s="39">
        <v>26.82396512</v>
      </c>
      <c r="AF51" s="39">
        <v>16.36989853</v>
      </c>
      <c r="AG51" s="39">
        <v>9.3784227950000005</v>
      </c>
      <c r="AH51" s="39">
        <v>5.1956041900000001</v>
      </c>
      <c r="AI51" s="39">
        <v>2.8455137960000001</v>
      </c>
      <c r="AJ51" s="39">
        <v>1.5225161089999999</v>
      </c>
      <c r="AK51" s="39">
        <v>0.80468872390000001</v>
      </c>
      <c r="AL51" s="39">
        <v>0.42287763270000001</v>
      </c>
      <c r="AM51" s="39">
        <v>0.22136332359999999</v>
      </c>
      <c r="AN51" s="39">
        <v>0.11464330289999999</v>
      </c>
      <c r="AO51" s="39">
        <v>5.9409457399999997E-2</v>
      </c>
      <c r="AP51" s="39">
        <v>3.0821339699999999E-2</v>
      </c>
      <c r="AQ51" s="39">
        <v>1.5917788400000001E-2</v>
      </c>
      <c r="AR51" s="39">
        <v>8.9757057100000003E-3</v>
      </c>
      <c r="AS51" s="39">
        <v>4.6425045000000002E-3</v>
      </c>
      <c r="AT51" s="39">
        <v>2.4004587000000001E-3</v>
      </c>
      <c r="AU51" s="39">
        <v>1.23750063E-3</v>
      </c>
      <c r="AV51">
        <v>6.3570792200000001E-4</v>
      </c>
      <c r="AW51" s="39">
        <v>3.21777321E-4</v>
      </c>
    </row>
    <row r="52" spans="2:99" x14ac:dyDescent="0.25">
      <c r="B52" t="s">
        <v>152</v>
      </c>
      <c r="C52">
        <v>413.74764240035898</v>
      </c>
      <c r="D52">
        <v>420.39049462956399</v>
      </c>
      <c r="E52">
        <v>427.14</v>
      </c>
      <c r="F52" s="39">
        <v>439.51410540000001</v>
      </c>
      <c r="G52" s="39">
        <v>446.02749399999999</v>
      </c>
      <c r="H52">
        <v>496.11282990000001</v>
      </c>
      <c r="I52">
        <v>483.16414350000002</v>
      </c>
      <c r="J52">
        <v>475.5493409</v>
      </c>
      <c r="K52" s="39">
        <v>409.2779342</v>
      </c>
      <c r="L52" s="39">
        <v>386.31683980000003</v>
      </c>
      <c r="M52" s="39">
        <v>387.74977319999999</v>
      </c>
      <c r="N52" s="39">
        <v>363.77658400000001</v>
      </c>
      <c r="O52" s="39">
        <v>380.77635149999998</v>
      </c>
      <c r="P52" s="39">
        <v>390.91394739999998</v>
      </c>
      <c r="Q52" s="39">
        <v>405.26711999999998</v>
      </c>
      <c r="R52" s="39">
        <v>409.86653990000002</v>
      </c>
      <c r="S52" s="39">
        <v>414.3834483</v>
      </c>
      <c r="T52" s="39">
        <v>378.34798469999998</v>
      </c>
      <c r="U52" s="39">
        <v>408.7188438</v>
      </c>
      <c r="V52" s="39">
        <v>423.60754509999998</v>
      </c>
      <c r="W52" s="39">
        <v>388.9557729</v>
      </c>
      <c r="X52" s="39">
        <v>361.55323349999998</v>
      </c>
      <c r="Y52" s="39">
        <v>326.85788500000001</v>
      </c>
      <c r="Z52" s="39">
        <v>284.69304820000002</v>
      </c>
      <c r="AA52" s="39">
        <v>240.03376420000001</v>
      </c>
      <c r="AB52" s="39">
        <v>192.7248036</v>
      </c>
      <c r="AC52" s="39">
        <v>138.26146249999999</v>
      </c>
      <c r="AD52" s="39">
        <v>98.775129340000007</v>
      </c>
      <c r="AE52" s="39">
        <v>63.366399270000002</v>
      </c>
      <c r="AF52" s="39">
        <v>36.837850889999999</v>
      </c>
      <c r="AG52" s="39">
        <v>20.15322093</v>
      </c>
      <c r="AH52" s="39">
        <v>10.613249659999999</v>
      </c>
      <c r="AI52" s="39">
        <v>5.5386996899999996</v>
      </c>
      <c r="AJ52" s="39">
        <v>2.8284227309999999</v>
      </c>
      <c r="AK52" s="39">
        <v>1.4277988960000001</v>
      </c>
      <c r="AL52" s="39">
        <v>0.71914755080000003</v>
      </c>
      <c r="AM52" s="39">
        <v>0.36142719620000002</v>
      </c>
      <c r="AN52" s="39">
        <v>0.18013396409999999</v>
      </c>
      <c r="AO52" s="39">
        <v>8.9896367199999896E-2</v>
      </c>
      <c r="AP52" s="39">
        <v>4.5019500400000002E-2</v>
      </c>
      <c r="AQ52" s="39">
        <v>2.24542366E-2</v>
      </c>
      <c r="AR52" s="39">
        <v>1.1681361100000001E-2</v>
      </c>
      <c r="AS52" s="39">
        <v>5.8390279E-3</v>
      </c>
      <c r="AT52" s="39">
        <v>2.9152050200000001E-3</v>
      </c>
      <c r="AU52" s="39">
        <v>1.45219377E-3</v>
      </c>
      <c r="AV52">
        <v>7.2040175399999999E-4</v>
      </c>
      <c r="AW52" s="39">
        <v>3.5177317699999999E-4</v>
      </c>
    </row>
    <row r="53" spans="2:99" x14ac:dyDescent="0.25">
      <c r="B53" t="s">
        <v>153</v>
      </c>
      <c r="C53">
        <v>652.80183578723302</v>
      </c>
      <c r="D53">
        <v>663.28278041553403</v>
      </c>
      <c r="E53">
        <v>673.93200000000002</v>
      </c>
      <c r="F53" s="39">
        <v>694.09138099999996</v>
      </c>
      <c r="G53" s="39">
        <v>683.6953115</v>
      </c>
      <c r="H53">
        <v>752.46235539999998</v>
      </c>
      <c r="I53">
        <v>733.31296650000002</v>
      </c>
      <c r="J53">
        <v>716.14099940000006</v>
      </c>
      <c r="K53" s="39">
        <v>615.78587349999998</v>
      </c>
      <c r="L53" s="39">
        <v>580.4751665</v>
      </c>
      <c r="M53" s="39">
        <v>580.62289729999998</v>
      </c>
      <c r="N53" s="39">
        <v>551.88772059999997</v>
      </c>
      <c r="O53" s="39">
        <v>578.38552279999999</v>
      </c>
      <c r="P53" s="39">
        <v>601.51110989999995</v>
      </c>
      <c r="Q53" s="39">
        <v>614.24668329999997</v>
      </c>
      <c r="R53" s="39">
        <v>619.2146113</v>
      </c>
      <c r="S53" s="39">
        <v>610.06015230000003</v>
      </c>
      <c r="T53" s="39">
        <v>563.08664680000004</v>
      </c>
      <c r="U53" s="39">
        <v>587.04518389999998</v>
      </c>
      <c r="V53" s="39">
        <v>598.01096199999995</v>
      </c>
      <c r="W53" s="39">
        <v>545.0438924</v>
      </c>
      <c r="X53" s="39">
        <v>503.7471357</v>
      </c>
      <c r="Y53" s="39">
        <v>452.73301750000002</v>
      </c>
      <c r="Z53" s="39">
        <v>391.38581090000002</v>
      </c>
      <c r="AA53" s="39">
        <v>328.06850470000001</v>
      </c>
      <c r="AB53" s="39">
        <v>261.80121129999998</v>
      </c>
      <c r="AC53" s="39">
        <v>186.45452470000001</v>
      </c>
      <c r="AD53" s="39">
        <v>132.33945410000001</v>
      </c>
      <c r="AE53" s="39">
        <v>84.277174209999998</v>
      </c>
      <c r="AF53" s="39">
        <v>48.622245839999998</v>
      </c>
      <c r="AG53" s="39">
        <v>26.41199301</v>
      </c>
      <c r="AH53" s="39">
        <v>13.789982869999999</v>
      </c>
      <c r="AI53" s="39">
        <v>7.1385772579999998</v>
      </c>
      <c r="AJ53" s="39">
        <v>3.6163329000000002</v>
      </c>
      <c r="AK53" s="39">
        <v>1.810038778</v>
      </c>
      <c r="AL53" s="39">
        <v>0.90416942560000002</v>
      </c>
      <c r="AM53" s="39">
        <v>0.45076847050000002</v>
      </c>
      <c r="AN53" s="39">
        <v>0.2230570214</v>
      </c>
      <c r="AO53" s="39">
        <v>0.1105089419</v>
      </c>
      <c r="AP53" s="39">
        <v>5.4956346900000001E-2</v>
      </c>
      <c r="AQ53" s="39">
        <v>2.7219825900000001E-2</v>
      </c>
      <c r="AR53" s="39">
        <v>1.38079177E-2</v>
      </c>
      <c r="AS53" s="39">
        <v>6.8504004900000002E-3</v>
      </c>
      <c r="AT53" s="39">
        <v>3.3937871699999999E-3</v>
      </c>
      <c r="AU53" s="39">
        <v>1.6780562600000001E-3</v>
      </c>
      <c r="AV53">
        <v>8.2622586799999999E-4</v>
      </c>
      <c r="AW53" s="39">
        <v>4.00312231E-4</v>
      </c>
    </row>
    <row r="54" spans="2:99" x14ac:dyDescent="0.25">
      <c r="B54" t="s">
        <v>154</v>
      </c>
      <c r="C54">
        <v>643.60744373389196</v>
      </c>
      <c r="D54">
        <v>653.94076942376603</v>
      </c>
      <c r="E54">
        <v>664.44</v>
      </c>
      <c r="F54" s="39">
        <v>684.41323560000001</v>
      </c>
      <c r="G54" s="39">
        <v>672.71826940000005</v>
      </c>
      <c r="H54">
        <v>738.44175510000002</v>
      </c>
      <c r="I54">
        <v>719.40551089999997</v>
      </c>
      <c r="J54">
        <v>700.08749929999999</v>
      </c>
      <c r="K54" s="39">
        <v>601.38235569999995</v>
      </c>
      <c r="L54" s="39">
        <v>566.67268969999998</v>
      </c>
      <c r="M54" s="39">
        <v>566.30592490000004</v>
      </c>
      <c r="N54" s="39">
        <v>529.53791790000002</v>
      </c>
      <c r="O54" s="39">
        <v>555.96383040000001</v>
      </c>
      <c r="P54" s="39">
        <v>580.94965620000005</v>
      </c>
      <c r="Q54" s="39">
        <v>586.28110979999997</v>
      </c>
      <c r="R54" s="39">
        <v>592.65567350000003</v>
      </c>
      <c r="S54" s="39">
        <v>571.22117179999998</v>
      </c>
      <c r="T54" s="39">
        <v>540.85889369999995</v>
      </c>
      <c r="U54" s="39">
        <v>553.73503749999998</v>
      </c>
      <c r="V54" s="39">
        <v>559.17367920000004</v>
      </c>
      <c r="W54" s="39">
        <v>507.68203790000001</v>
      </c>
      <c r="X54" s="39">
        <v>467.7906347</v>
      </c>
      <c r="Y54" s="39">
        <v>419.07026990000003</v>
      </c>
      <c r="Z54" s="39">
        <v>360.72916550000002</v>
      </c>
      <c r="AA54" s="39">
        <v>301.39364219999999</v>
      </c>
      <c r="AB54" s="39">
        <v>239.7064848</v>
      </c>
      <c r="AC54" s="39">
        <v>170.0238694</v>
      </c>
      <c r="AD54" s="39">
        <v>120.217867</v>
      </c>
      <c r="AE54" s="39">
        <v>76.233178319999894</v>
      </c>
      <c r="AF54" s="39">
        <v>43.786683420000003</v>
      </c>
      <c r="AG54" s="39">
        <v>23.685528139999999</v>
      </c>
      <c r="AH54" s="39">
        <v>12.304321119999999</v>
      </c>
      <c r="AI54" s="39">
        <v>6.3390616770000001</v>
      </c>
      <c r="AJ54" s="39">
        <v>3.1960660249999999</v>
      </c>
      <c r="AK54" s="39">
        <v>1.591703858</v>
      </c>
      <c r="AL54" s="39">
        <v>0.79128334040000003</v>
      </c>
      <c r="AM54" s="39">
        <v>0.39264447070000003</v>
      </c>
      <c r="AN54" s="39">
        <v>0.1934760968</v>
      </c>
      <c r="AO54" s="39">
        <v>9.5446678199999996E-2</v>
      </c>
      <c r="AP54" s="39">
        <v>4.7273977100000003E-2</v>
      </c>
      <c r="AQ54" s="39">
        <v>2.3321020800000002E-2</v>
      </c>
      <c r="AR54" s="39">
        <v>1.16755921E-2</v>
      </c>
      <c r="AS54" s="39">
        <v>5.7690000299999997E-3</v>
      </c>
      <c r="AT54" s="39">
        <v>2.846286E-3</v>
      </c>
      <c r="AU54" s="39">
        <v>1.4018543300000001E-3</v>
      </c>
      <c r="AV54">
        <v>6.8757119899999996E-4</v>
      </c>
      <c r="AW54" s="39">
        <v>3.31833601E-4</v>
      </c>
    </row>
    <row r="55" spans="2:99" x14ac:dyDescent="0.25">
      <c r="B55" t="s">
        <v>155</v>
      </c>
      <c r="C55">
        <v>413.74764240035898</v>
      </c>
      <c r="D55">
        <v>420.39049462956399</v>
      </c>
      <c r="E55">
        <v>427.14</v>
      </c>
      <c r="F55" s="39">
        <v>440.32051389999998</v>
      </c>
      <c r="G55" s="39">
        <v>424.47083500000002</v>
      </c>
      <c r="H55">
        <v>461.35472770000001</v>
      </c>
      <c r="I55">
        <v>449.46692400000001</v>
      </c>
      <c r="J55">
        <v>433.34198479999998</v>
      </c>
      <c r="K55" s="39">
        <v>371.55728720000002</v>
      </c>
      <c r="L55" s="39">
        <v>354.89494710000002</v>
      </c>
      <c r="M55" s="39">
        <v>353.57499030000002</v>
      </c>
      <c r="N55" s="39">
        <v>321.81793770000002</v>
      </c>
      <c r="O55" s="39">
        <v>339.20144290000002</v>
      </c>
      <c r="P55" s="39">
        <v>352.10353709999998</v>
      </c>
      <c r="Q55" s="39">
        <v>349.0847339</v>
      </c>
      <c r="R55" s="39">
        <v>346.29493189999999</v>
      </c>
      <c r="S55" s="39">
        <v>314.30550260000001</v>
      </c>
      <c r="T55" s="39">
        <v>311.8409709</v>
      </c>
      <c r="U55" s="39">
        <v>291.95890910000003</v>
      </c>
      <c r="V55" s="39">
        <v>286.7172759</v>
      </c>
      <c r="W55" s="39">
        <v>257.22958949999997</v>
      </c>
      <c r="X55" s="39">
        <v>234.8450181</v>
      </c>
      <c r="Y55" s="39">
        <v>208.4090721</v>
      </c>
      <c r="Z55" s="39">
        <v>177.24892679999999</v>
      </c>
      <c r="AA55" s="39">
        <v>146.73878909999999</v>
      </c>
      <c r="AB55" s="39">
        <v>115.6023029</v>
      </c>
      <c r="AC55" s="39">
        <v>81.08603531</v>
      </c>
      <c r="AD55" s="39">
        <v>56.76761724</v>
      </c>
      <c r="AE55" s="39">
        <v>35.607199860000001</v>
      </c>
      <c r="AF55" s="39">
        <v>20.227358550000002</v>
      </c>
      <c r="AG55" s="39">
        <v>10.832368900000001</v>
      </c>
      <c r="AH55" s="39">
        <v>5.5616553270000004</v>
      </c>
      <c r="AI55" s="39">
        <v>2.8351419920000001</v>
      </c>
      <c r="AJ55" s="39">
        <v>1.4151850189999999</v>
      </c>
      <c r="AK55" s="39">
        <v>0.69770476459999997</v>
      </c>
      <c r="AL55" s="39">
        <v>0.34366729299999998</v>
      </c>
      <c r="AM55" s="39">
        <v>0.1691036524</v>
      </c>
      <c r="AN55" s="39">
        <v>8.2748588900000003E-2</v>
      </c>
      <c r="AO55" s="39">
        <v>4.0555656500000002E-2</v>
      </c>
      <c r="AP55" s="39">
        <v>1.99714777E-2</v>
      </c>
      <c r="AQ55" s="39">
        <v>9.8010208400000007E-3</v>
      </c>
      <c r="AR55" s="39">
        <v>4.8301283799999997E-3</v>
      </c>
      <c r="AS55" s="39">
        <v>2.37935578E-3</v>
      </c>
      <c r="AT55" s="39">
        <v>1.1710926899999999E-3</v>
      </c>
      <c r="AU55" s="39">
        <v>5.75887724E-4</v>
      </c>
      <c r="AV55">
        <v>2.8222981799999998E-4</v>
      </c>
      <c r="AW55" s="39">
        <v>1.36201989E-4</v>
      </c>
    </row>
    <row r="56" spans="2:99" x14ac:dyDescent="0.25">
      <c r="B56" t="s">
        <v>156</v>
      </c>
      <c r="C56">
        <v>137.915880800119</v>
      </c>
      <c r="D56">
        <v>140.13016487652101</v>
      </c>
      <c r="E56">
        <v>142.38</v>
      </c>
      <c r="F56" s="39">
        <v>147.13021660000001</v>
      </c>
      <c r="G56" s="39">
        <v>133.494077</v>
      </c>
      <c r="H56">
        <v>140.59576129999999</v>
      </c>
      <c r="I56">
        <v>136.96328840000001</v>
      </c>
      <c r="J56">
        <v>128.090463</v>
      </c>
      <c r="K56" s="39">
        <v>109.1374563</v>
      </c>
      <c r="L56" s="39">
        <v>101.1568274</v>
      </c>
      <c r="M56" s="39">
        <v>99.658418819999994</v>
      </c>
      <c r="N56" s="39">
        <v>86.91730561</v>
      </c>
      <c r="O56" s="39">
        <v>91.565508089999994</v>
      </c>
      <c r="P56" s="39">
        <v>103.2675654</v>
      </c>
      <c r="Q56" s="39">
        <v>99.375444659999999</v>
      </c>
      <c r="R56" s="39">
        <v>95.673739060000003</v>
      </c>
      <c r="S56" s="39">
        <v>77.339917529999994</v>
      </c>
      <c r="T56" s="39">
        <v>52.36203502</v>
      </c>
      <c r="U56" s="39">
        <v>38.11276076</v>
      </c>
      <c r="V56" s="39">
        <v>33.132353010000003</v>
      </c>
      <c r="W56" s="39">
        <v>28.18795501</v>
      </c>
      <c r="X56" s="39">
        <v>24.69083547</v>
      </c>
      <c r="Y56" s="39">
        <v>20.990436420000002</v>
      </c>
      <c r="Z56" s="39">
        <v>16.884029049999999</v>
      </c>
      <c r="AA56" s="39">
        <v>13.393859450000001</v>
      </c>
      <c r="AB56" s="39">
        <v>10.09486008</v>
      </c>
      <c r="AC56" s="39">
        <v>6.7178293379999996</v>
      </c>
      <c r="AD56" s="39">
        <v>4.4845455400000001</v>
      </c>
      <c r="AE56" s="39">
        <v>2.669009172</v>
      </c>
      <c r="AF56" s="39">
        <v>1.4371115189999999</v>
      </c>
      <c r="AG56" s="39">
        <v>0.73268801419999996</v>
      </c>
      <c r="AH56" s="39">
        <v>0.35520747740000003</v>
      </c>
      <c r="AI56" s="39">
        <v>0.171867036</v>
      </c>
      <c r="AJ56" s="39">
        <v>8.1647673200000007E-2</v>
      </c>
      <c r="AK56" s="39">
        <v>3.8311964300000001E-2</v>
      </c>
      <c r="AL56" s="39">
        <v>1.8046256900000002E-2</v>
      </c>
      <c r="AM56" s="39">
        <v>8.5271778499999996E-3</v>
      </c>
      <c r="AN56" s="39">
        <v>4.0340970400000002E-3</v>
      </c>
      <c r="AO56" s="39">
        <v>1.91594452E-3</v>
      </c>
      <c r="AP56" s="39">
        <v>9.1797430299999999E-4</v>
      </c>
      <c r="AQ56" s="39">
        <v>4.3950766799999999E-4</v>
      </c>
      <c r="AR56" s="39">
        <v>2.0323613899999999E-4</v>
      </c>
      <c r="AS56" s="39">
        <v>9.8696470199999994E-5</v>
      </c>
      <c r="AT56" s="39">
        <v>4.7996648600000001E-5</v>
      </c>
      <c r="AU56" s="39">
        <v>2.3386513599999999E-5</v>
      </c>
      <c r="AV56" s="39">
        <v>1.1380733199999999E-5</v>
      </c>
      <c r="AW56" s="39">
        <v>5.46400679E-6</v>
      </c>
    </row>
    <row r="57" spans="2:99" x14ac:dyDescent="0.25">
      <c r="B57" t="s">
        <v>157</v>
      </c>
      <c r="C57">
        <v>34.478970200029899</v>
      </c>
      <c r="D57">
        <v>35.032541219130302</v>
      </c>
      <c r="E57">
        <v>35.594999999999999</v>
      </c>
      <c r="F57" s="39">
        <v>36.645221829999997</v>
      </c>
      <c r="G57" s="39">
        <v>28.507935660000001</v>
      </c>
      <c r="H57">
        <v>28.749250459999999</v>
      </c>
      <c r="I57">
        <v>27.214525330000001</v>
      </c>
      <c r="J57">
        <v>22.057887820000001</v>
      </c>
      <c r="K57" s="39">
        <v>17.683287700000001</v>
      </c>
      <c r="L57" s="39">
        <v>13.08053675</v>
      </c>
      <c r="M57" s="39">
        <v>12.47282906</v>
      </c>
      <c r="N57" s="39">
        <v>14.271615069999999</v>
      </c>
      <c r="O57" s="39">
        <v>14.679089449999999</v>
      </c>
      <c r="P57" s="39">
        <v>20.355722539999999</v>
      </c>
      <c r="Q57" s="39">
        <v>16.890014699999998</v>
      </c>
      <c r="R57" s="39">
        <v>13.34412904</v>
      </c>
      <c r="S57" s="39">
        <v>8.4071377129999902</v>
      </c>
      <c r="T57" s="39">
        <v>2.2166501040000002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v>0</v>
      </c>
      <c r="AI57" s="39">
        <v>0</v>
      </c>
      <c r="AJ57" s="39">
        <v>0</v>
      </c>
      <c r="AK57" s="39">
        <v>0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>
        <v>0</v>
      </c>
      <c r="AS57">
        <v>0</v>
      </c>
      <c r="AT57">
        <v>0</v>
      </c>
      <c r="AU57">
        <v>0</v>
      </c>
      <c r="AV57" s="39">
        <v>0</v>
      </c>
      <c r="AW57" s="39">
        <v>0</v>
      </c>
      <c r="CT57" s="39"/>
      <c r="CU57" s="39"/>
    </row>
    <row r="58" spans="2:99" x14ac:dyDescent="0.25">
      <c r="B58" t="s">
        <v>158</v>
      </c>
      <c r="C58">
        <v>1.1492990066676601</v>
      </c>
      <c r="D58">
        <v>1.1677513739710099</v>
      </c>
      <c r="E58">
        <v>1.1865000000000001</v>
      </c>
      <c r="F58" s="39">
        <v>2.2822351749999998</v>
      </c>
      <c r="G58" s="39">
        <v>4.2360047160000001</v>
      </c>
      <c r="H58">
        <v>7.0741098420000004</v>
      </c>
      <c r="I58">
        <v>10.022755330000001</v>
      </c>
      <c r="J58">
        <v>13.931584490000001</v>
      </c>
      <c r="K58" s="39">
        <v>16.921799589999999</v>
      </c>
      <c r="L58" s="39">
        <v>21.779940199999999</v>
      </c>
      <c r="M58" s="39">
        <v>29.024402510000002</v>
      </c>
      <c r="N58" s="39">
        <v>35.527417239999998</v>
      </c>
      <c r="O58" s="39">
        <v>48.60429199</v>
      </c>
      <c r="P58" s="39">
        <v>65.899380539999996</v>
      </c>
      <c r="Q58" s="39">
        <v>87.19797398</v>
      </c>
      <c r="R58" s="39">
        <v>113.0422334</v>
      </c>
      <c r="S58" s="39">
        <v>140.934639</v>
      </c>
      <c r="T58" s="39">
        <v>165.87994370000001</v>
      </c>
      <c r="U58" s="39">
        <v>216.49572029999999</v>
      </c>
      <c r="V58" s="39">
        <v>276.52123699999999</v>
      </c>
      <c r="W58" s="39">
        <v>313.13162110000002</v>
      </c>
      <c r="X58" s="39">
        <v>355.80721449999999</v>
      </c>
      <c r="Y58" s="39">
        <v>418.33392190000001</v>
      </c>
      <c r="Z58" s="39">
        <v>521.78256639999995</v>
      </c>
      <c r="AA58" s="39">
        <v>693.7223917</v>
      </c>
      <c r="AB58" s="39">
        <v>898.24177659999998</v>
      </c>
      <c r="AC58" s="39">
        <v>1070.0001549999999</v>
      </c>
      <c r="AD58" s="39">
        <v>1317.299356</v>
      </c>
      <c r="AE58" s="39">
        <v>1512.725177</v>
      </c>
      <c r="AF58" s="39">
        <v>1631.660302</v>
      </c>
      <c r="AG58" s="39">
        <v>1704.7441180000001</v>
      </c>
      <c r="AH58" s="39">
        <v>1746.1157499999999</v>
      </c>
      <c r="AI58" s="39">
        <v>1794.0774590000001</v>
      </c>
      <c r="AJ58" s="39">
        <v>1815.8563999999999</v>
      </c>
      <c r="AK58" s="39">
        <v>1822.620621</v>
      </c>
      <c r="AL58" s="39">
        <v>1829.0063700000001</v>
      </c>
      <c r="AM58" s="39">
        <v>1833.74216</v>
      </c>
      <c r="AN58">
        <v>1825.6693540000001</v>
      </c>
      <c r="AO58">
        <v>1820.712945</v>
      </c>
      <c r="AP58">
        <v>1822.8098359999999</v>
      </c>
      <c r="AQ58">
        <v>1818.128387</v>
      </c>
      <c r="AR58">
        <v>1878.060416</v>
      </c>
      <c r="AS58">
        <v>1878.8230590000001</v>
      </c>
      <c r="AT58">
        <v>1878.015578</v>
      </c>
      <c r="AU58">
        <v>1873.901316</v>
      </c>
      <c r="AV58">
        <v>1862.905309</v>
      </c>
      <c r="AW58">
        <v>1823.671347</v>
      </c>
    </row>
    <row r="59" spans="2:99" x14ac:dyDescent="0.25">
      <c r="B59" t="s">
        <v>159</v>
      </c>
      <c r="C59">
        <v>3.4228836395600501E-3</v>
      </c>
      <c r="D59">
        <v>3.4778391435562701E-3</v>
      </c>
      <c r="E59">
        <v>3.5336769799999999E-3</v>
      </c>
      <c r="F59" s="39">
        <v>5.4942930099999999E-3</v>
      </c>
      <c r="G59" s="39">
        <v>1.3449821299999999E-2</v>
      </c>
      <c r="H59">
        <v>4.4400176899999998E-2</v>
      </c>
      <c r="I59">
        <v>7.2553801900000006E-2</v>
      </c>
      <c r="J59">
        <v>0.1111700519</v>
      </c>
      <c r="K59" s="39">
        <v>0.13832656460000001</v>
      </c>
      <c r="L59" s="39">
        <v>0.195344089</v>
      </c>
      <c r="M59" s="39">
        <v>0.31193900390000001</v>
      </c>
      <c r="N59" s="39">
        <v>0.41933248360000003</v>
      </c>
      <c r="O59" s="39">
        <v>0.61291173970000001</v>
      </c>
      <c r="P59" s="39">
        <v>0.37894964450000002</v>
      </c>
      <c r="Q59" s="39">
        <v>0.60590041520000004</v>
      </c>
      <c r="R59" s="39">
        <v>0.99769199419999999</v>
      </c>
      <c r="S59" s="39">
        <v>1.553522989</v>
      </c>
      <c r="T59" s="39">
        <v>2.2630497009999999</v>
      </c>
      <c r="U59" s="39">
        <v>5.4000150939999996</v>
      </c>
      <c r="V59" s="39">
        <v>8.9544089390000003</v>
      </c>
      <c r="W59" s="39">
        <v>10.970898800000001</v>
      </c>
      <c r="X59" s="39">
        <v>13.28653772</v>
      </c>
      <c r="Y59" s="39">
        <v>16.815716429999998</v>
      </c>
      <c r="Z59" s="39">
        <v>22.362840810000002</v>
      </c>
      <c r="AA59" s="39">
        <v>31.491452580000001</v>
      </c>
      <c r="AB59" s="39">
        <v>43.112639639999998</v>
      </c>
      <c r="AC59" s="39">
        <v>54.624124610000003</v>
      </c>
      <c r="AD59" s="39">
        <v>70.722158149999998</v>
      </c>
      <c r="AE59" s="39">
        <v>85.904448389999999</v>
      </c>
      <c r="AF59" s="39">
        <v>98.006278750000007</v>
      </c>
      <c r="AG59" s="39">
        <v>108.31232540000001</v>
      </c>
      <c r="AH59" s="39">
        <v>117.1853163</v>
      </c>
      <c r="AI59" s="39">
        <v>126.7572847</v>
      </c>
      <c r="AJ59" s="39">
        <v>135.06789459999999</v>
      </c>
      <c r="AK59" s="39">
        <v>142.58173780000001</v>
      </c>
      <c r="AL59" s="39">
        <v>150.18833090000001</v>
      </c>
      <c r="AM59" s="39">
        <v>157.81411</v>
      </c>
      <c r="AN59">
        <v>163.54672170000001</v>
      </c>
      <c r="AO59">
        <v>169.60265519999999</v>
      </c>
      <c r="AP59">
        <v>176.23099640000001</v>
      </c>
      <c r="AQ59">
        <v>182.28028950000001</v>
      </c>
      <c r="AR59">
        <v>211.60128470000001</v>
      </c>
      <c r="AS59">
        <v>219.10893300000001</v>
      </c>
      <c r="AT59">
        <v>226.4672727</v>
      </c>
      <c r="AU59">
        <v>233.4694475</v>
      </c>
      <c r="AV59">
        <v>239.801275</v>
      </c>
      <c r="AW59">
        <v>242.65934809999999</v>
      </c>
    </row>
    <row r="60" spans="2:99" x14ac:dyDescent="0.25">
      <c r="B60" t="s">
        <v>160</v>
      </c>
      <c r="C60">
        <v>7.8463024968376607E-3</v>
      </c>
      <c r="D60">
        <v>7.9722774213828399E-3</v>
      </c>
      <c r="E60">
        <v>8.10027491E-3</v>
      </c>
      <c r="F60" s="39">
        <v>1.4683076600000001E-2</v>
      </c>
      <c r="G60" s="39">
        <v>2.94933322E-2</v>
      </c>
      <c r="H60">
        <v>6.4263721800000007E-2</v>
      </c>
      <c r="I60">
        <v>9.7601602600000004E-2</v>
      </c>
      <c r="J60">
        <v>0.1425697178</v>
      </c>
      <c r="K60" s="39">
        <v>0.17538552969999999</v>
      </c>
      <c r="L60" s="39">
        <v>0.23734870250000001</v>
      </c>
      <c r="M60" s="39">
        <v>0.35076320090000002</v>
      </c>
      <c r="N60" s="39">
        <v>0.45425880790000001</v>
      </c>
      <c r="O60" s="39">
        <v>0.64742255479999999</v>
      </c>
      <c r="P60" s="39">
        <v>0.57504818550000003</v>
      </c>
      <c r="Q60" s="39">
        <v>0.83196113179999998</v>
      </c>
      <c r="R60" s="39">
        <v>1.2210421490000001</v>
      </c>
      <c r="S60" s="39">
        <v>1.729038469</v>
      </c>
      <c r="T60" s="39">
        <v>2.3224906590000001</v>
      </c>
      <c r="U60" s="39">
        <v>4.6044612010000003</v>
      </c>
      <c r="V60" s="39">
        <v>7.1515798689999999</v>
      </c>
      <c r="W60" s="39">
        <v>8.5998222940000009</v>
      </c>
      <c r="X60" s="39">
        <v>10.261107989999999</v>
      </c>
      <c r="Y60" s="39">
        <v>12.767601000000001</v>
      </c>
      <c r="Z60" s="39">
        <v>16.731536179999999</v>
      </c>
      <c r="AA60" s="39">
        <v>23.253535930000002</v>
      </c>
      <c r="AB60" s="39">
        <v>31.43083888</v>
      </c>
      <c r="AC60" s="39">
        <v>39.261524829999999</v>
      </c>
      <c r="AD60" s="39">
        <v>50.24114806</v>
      </c>
      <c r="AE60" s="39">
        <v>60.227107349999997</v>
      </c>
      <c r="AF60" s="39">
        <v>67.797876279999997</v>
      </c>
      <c r="AG60" s="39">
        <v>73.910455920000004</v>
      </c>
      <c r="AH60" s="39">
        <v>78.882897740000004</v>
      </c>
      <c r="AI60" s="39">
        <v>84.213843909999994</v>
      </c>
      <c r="AJ60" s="39">
        <v>88.5325366</v>
      </c>
      <c r="AK60" s="39">
        <v>92.192401050000001</v>
      </c>
      <c r="AL60" s="39">
        <v>95.805658140000006</v>
      </c>
      <c r="AM60" s="39">
        <v>99.315765929999998</v>
      </c>
      <c r="AN60">
        <v>101.70091669999999</v>
      </c>
      <c r="AO60">
        <v>104.20733610000001</v>
      </c>
      <c r="AP60">
        <v>107.0102783</v>
      </c>
      <c r="AQ60">
        <v>109.3755115</v>
      </c>
      <c r="AR60">
        <v>121.8725659</v>
      </c>
      <c r="AS60">
        <v>124.5671037</v>
      </c>
      <c r="AT60">
        <v>127.0801463</v>
      </c>
      <c r="AU60">
        <v>129.2940414</v>
      </c>
      <c r="AV60">
        <v>131.00143180000001</v>
      </c>
      <c r="AW60">
        <v>130.67500870000001</v>
      </c>
    </row>
    <row r="61" spans="2:99" x14ac:dyDescent="0.25">
      <c r="B61" t="s">
        <v>161</v>
      </c>
      <c r="C61">
        <v>3.2122446463563603E-2</v>
      </c>
      <c r="D61">
        <v>3.2638182731835802E-2</v>
      </c>
      <c r="E61">
        <v>3.31621993E-2</v>
      </c>
      <c r="F61" s="39">
        <v>6.3405511900000003E-2</v>
      </c>
      <c r="G61" s="39">
        <v>0.11863773699999999</v>
      </c>
      <c r="H61">
        <v>0.20435228159999999</v>
      </c>
      <c r="I61">
        <v>0.29217845869999998</v>
      </c>
      <c r="J61">
        <v>0.4084514031</v>
      </c>
      <c r="K61" s="39">
        <v>0.4969373057</v>
      </c>
      <c r="L61" s="39">
        <v>0.64385935729999999</v>
      </c>
      <c r="M61" s="39">
        <v>0.87040728840000003</v>
      </c>
      <c r="N61" s="39">
        <v>1.074180143</v>
      </c>
      <c r="O61" s="39">
        <v>1.478553231</v>
      </c>
      <c r="P61" s="39">
        <v>1.8940251619999999</v>
      </c>
      <c r="Q61" s="39">
        <v>2.535043393</v>
      </c>
      <c r="R61" s="39">
        <v>3.3378039140000002</v>
      </c>
      <c r="S61" s="39">
        <v>4.2355972700000004</v>
      </c>
      <c r="T61" s="39">
        <v>5.0846243619999996</v>
      </c>
      <c r="U61" s="39">
        <v>7.1160603629999999</v>
      </c>
      <c r="V61" s="39">
        <v>9.4018675680000001</v>
      </c>
      <c r="W61" s="39">
        <v>10.753105010000001</v>
      </c>
      <c r="X61" s="39">
        <v>12.314062590000001</v>
      </c>
      <c r="Y61" s="39">
        <v>14.602352420000001</v>
      </c>
      <c r="Z61" s="39">
        <v>18.339713549999999</v>
      </c>
      <c r="AA61" s="39">
        <v>24.521550479999998</v>
      </c>
      <c r="AB61" s="39">
        <v>31.906406019999999</v>
      </c>
      <c r="AC61" s="39">
        <v>38.181419439999999</v>
      </c>
      <c r="AD61" s="39">
        <v>47.144570860000002</v>
      </c>
      <c r="AE61" s="39">
        <v>54.263164150000001</v>
      </c>
      <c r="AF61" s="39">
        <v>58.592605429999999</v>
      </c>
      <c r="AG61" s="39">
        <v>61.195337340000002</v>
      </c>
      <c r="AH61" s="39">
        <v>62.557790789999999</v>
      </c>
      <c r="AI61" s="39">
        <v>64.050057280000004</v>
      </c>
      <c r="AJ61" s="39">
        <v>64.477974590000002</v>
      </c>
      <c r="AK61" s="39">
        <v>64.240904069999999</v>
      </c>
      <c r="AL61" s="39">
        <v>63.865035460000001</v>
      </c>
      <c r="AM61" s="39">
        <v>63.300115390000002</v>
      </c>
      <c r="AN61">
        <v>62.274763299999996</v>
      </c>
      <c r="AO61">
        <v>61.258467660000001</v>
      </c>
      <c r="AP61">
        <v>60.401285010000002</v>
      </c>
      <c r="AQ61">
        <v>59.22037607</v>
      </c>
      <c r="AR61">
        <v>56.816330970000003</v>
      </c>
      <c r="AS61">
        <v>55.242715109999999</v>
      </c>
      <c r="AT61">
        <v>53.519249629999997</v>
      </c>
      <c r="AU61" s="39">
        <v>51.597510280000002</v>
      </c>
      <c r="AV61">
        <v>49.345874709999997</v>
      </c>
      <c r="AW61">
        <v>46.207317070000002</v>
      </c>
    </row>
    <row r="62" spans="2:99" x14ac:dyDescent="0.25">
      <c r="B62" t="s">
        <v>162</v>
      </c>
      <c r="C62">
        <v>0.75461419315223899</v>
      </c>
      <c r="D62">
        <v>0.76672976811017601</v>
      </c>
      <c r="E62">
        <v>0.77903986250000001</v>
      </c>
      <c r="F62" s="39">
        <v>1.49848012</v>
      </c>
      <c r="G62" s="39">
        <v>2.781304724</v>
      </c>
      <c r="H62">
        <v>4.6446101940000002</v>
      </c>
      <c r="I62">
        <v>6.5804145299999997</v>
      </c>
      <c r="J62">
        <v>9.1352396339999995</v>
      </c>
      <c r="K62" s="39">
        <v>11.094301570000001</v>
      </c>
      <c r="L62" s="39">
        <v>14.27053199</v>
      </c>
      <c r="M62" s="39">
        <v>18.990611300000001</v>
      </c>
      <c r="N62" s="39">
        <v>23.226095600000001</v>
      </c>
      <c r="O62" s="39">
        <v>31.754728750000002</v>
      </c>
      <c r="P62" s="39">
        <v>43.267683890000001</v>
      </c>
      <c r="Q62" s="39">
        <v>57.250103979999999</v>
      </c>
      <c r="R62" s="39">
        <v>74.075214930000001</v>
      </c>
      <c r="S62" s="39">
        <v>92.193180490000003</v>
      </c>
      <c r="T62" s="39">
        <v>108.2853313</v>
      </c>
      <c r="U62" s="39">
        <v>140.02512580000001</v>
      </c>
      <c r="V62" s="39">
        <v>177.7241832</v>
      </c>
      <c r="W62" s="39">
        <v>200.79456740000001</v>
      </c>
      <c r="X62" s="39">
        <v>227.7038948</v>
      </c>
      <c r="Y62" s="39">
        <v>267.05117539999998</v>
      </c>
      <c r="Z62" s="39">
        <v>332.30926369999997</v>
      </c>
      <c r="AA62" s="39">
        <v>440.82020180000001</v>
      </c>
      <c r="AB62" s="39">
        <v>569.45627179999997</v>
      </c>
      <c r="AC62" s="39">
        <v>676.48678370000005</v>
      </c>
      <c r="AD62" s="39">
        <v>830.85402320000003</v>
      </c>
      <c r="AE62" s="39">
        <v>951.42764499999998</v>
      </c>
      <c r="AF62" s="39">
        <v>1023.159374</v>
      </c>
      <c r="AG62" s="39">
        <v>1065.5792300000001</v>
      </c>
      <c r="AH62" s="39">
        <v>1087.8331229999999</v>
      </c>
      <c r="AI62" s="39">
        <v>1114.0375959999999</v>
      </c>
      <c r="AJ62" s="39">
        <v>1123.6379919999999</v>
      </c>
      <c r="AK62" s="39">
        <v>1123.7584690000001</v>
      </c>
      <c r="AL62" s="39">
        <v>1123.5732929999999</v>
      </c>
      <c r="AM62" s="39">
        <v>1122.2856750000001</v>
      </c>
      <c r="AN62">
        <v>1113.620064</v>
      </c>
      <c r="AO62">
        <v>1106.8337469999999</v>
      </c>
      <c r="AP62">
        <v>1104.389516</v>
      </c>
      <c r="AQ62">
        <v>1097.801097</v>
      </c>
      <c r="AR62">
        <v>1120.608129</v>
      </c>
      <c r="AS62">
        <v>1116.832564</v>
      </c>
      <c r="AT62">
        <v>1112.121089</v>
      </c>
      <c r="AU62">
        <v>1105.4454920000001</v>
      </c>
      <c r="AV62">
        <v>1094.625027</v>
      </c>
      <c r="AW62">
        <v>1067.144937</v>
      </c>
    </row>
    <row r="63" spans="2:99" x14ac:dyDescent="0.25">
      <c r="B63" t="s">
        <v>163</v>
      </c>
      <c r="C63">
        <v>0.29742225840361802</v>
      </c>
      <c r="D63">
        <v>0.302197468966243</v>
      </c>
      <c r="E63">
        <v>0.30704934709999998</v>
      </c>
      <c r="F63" s="39">
        <v>0.59131170190000004</v>
      </c>
      <c r="G63" s="39">
        <v>1.0957678</v>
      </c>
      <c r="H63">
        <v>1.817994034</v>
      </c>
      <c r="I63">
        <v>2.5704773849999998</v>
      </c>
      <c r="J63">
        <v>3.5627912469999998</v>
      </c>
      <c r="K63" s="39">
        <v>4.3250368320000003</v>
      </c>
      <c r="L63" s="39">
        <v>5.5538184130000001</v>
      </c>
      <c r="M63" s="39">
        <v>7.3625598720000003</v>
      </c>
      <c r="N63" s="39">
        <v>8.9840910810000008</v>
      </c>
      <c r="O63" s="39">
        <v>12.26153978</v>
      </c>
      <c r="P63" s="39">
        <v>16.954623609999999</v>
      </c>
      <c r="Q63" s="39">
        <v>22.377076240000001</v>
      </c>
      <c r="R63" s="39">
        <v>28.837502669999999</v>
      </c>
      <c r="S63" s="39">
        <v>35.721540500000003</v>
      </c>
      <c r="T63" s="39">
        <v>41.718521459999998</v>
      </c>
      <c r="U63" s="39">
        <v>52.60578469</v>
      </c>
      <c r="V63" s="39">
        <v>65.641506219999997</v>
      </c>
      <c r="W63" s="39">
        <v>73.708271049999894</v>
      </c>
      <c r="X63" s="39">
        <v>83.139270479999894</v>
      </c>
      <c r="Y63" s="39">
        <v>96.858075389999996</v>
      </c>
      <c r="Z63" s="39">
        <v>119.7776678</v>
      </c>
      <c r="AA63" s="39">
        <v>157.9457203</v>
      </c>
      <c r="AB63" s="39">
        <v>202.79076549999999</v>
      </c>
      <c r="AC63" s="39">
        <v>239.17900560000001</v>
      </c>
      <c r="AD63" s="39">
        <v>291.93791759999999</v>
      </c>
      <c r="AE63" s="39">
        <v>331.87227760000002</v>
      </c>
      <c r="AF63" s="39">
        <v>354.1549369</v>
      </c>
      <c r="AG63" s="39">
        <v>365.85172</v>
      </c>
      <c r="AH63" s="39">
        <v>370.3914115</v>
      </c>
      <c r="AI63" s="39">
        <v>376.21482179999998</v>
      </c>
      <c r="AJ63" s="39">
        <v>376.21909260000001</v>
      </c>
      <c r="AK63" s="39">
        <v>372.9816361</v>
      </c>
      <c r="AL63" s="39">
        <v>369.677907</v>
      </c>
      <c r="AM63" s="39">
        <v>366.03958990000001</v>
      </c>
      <c r="AN63">
        <v>360.43380350000001</v>
      </c>
      <c r="AO63">
        <v>355.50199830000003</v>
      </c>
      <c r="AP63">
        <v>352.08629389999999</v>
      </c>
      <c r="AQ63">
        <v>347.40619579999998</v>
      </c>
      <c r="AR63">
        <v>346.06674709999999</v>
      </c>
      <c r="AS63">
        <v>342.38235500000002</v>
      </c>
      <c r="AT63">
        <v>338.51538870000002</v>
      </c>
      <c r="AU63">
        <v>334.15347639999999</v>
      </c>
      <c r="AV63">
        <v>328.60187409999997</v>
      </c>
      <c r="AW63">
        <v>318.12979130000002</v>
      </c>
    </row>
    <row r="64" spans="2:99" x14ac:dyDescent="0.25">
      <c r="B64" t="s">
        <v>164</v>
      </c>
      <c r="C64">
        <v>4.0548006191711396E-3</v>
      </c>
      <c r="D64">
        <v>4.1199017546743504E-3</v>
      </c>
      <c r="E64">
        <v>4.1860481099999999E-3</v>
      </c>
      <c r="F64" s="39">
        <v>9.0473549499999906E-3</v>
      </c>
      <c r="G64" s="39">
        <v>1.43091216E-2</v>
      </c>
      <c r="H64">
        <v>7.3451903100000002E-3</v>
      </c>
      <c r="I64" s="39">
        <v>3.2242984599999999E-3</v>
      </c>
      <c r="J64" s="39">
        <v>1.3914413299999999E-2</v>
      </c>
      <c r="K64" s="39">
        <v>1.68984992E-2</v>
      </c>
      <c r="L64" s="39">
        <v>2.1737162099999999E-2</v>
      </c>
      <c r="M64" s="39">
        <v>2.8929584899999999E-2</v>
      </c>
      <c r="N64" s="39">
        <v>3.5384157300000003E-2</v>
      </c>
      <c r="O64" s="39">
        <v>4.83800375E-2</v>
      </c>
      <c r="P64" s="39">
        <v>9.4359454100000004E-2</v>
      </c>
      <c r="Q64" s="39">
        <v>4.6860402299999999E-2</v>
      </c>
      <c r="R64" s="39">
        <v>0.1128321412</v>
      </c>
      <c r="S64" s="39">
        <v>0.14044599029999999</v>
      </c>
      <c r="T64" s="39">
        <v>0.16499203030000001</v>
      </c>
      <c r="U64" s="39">
        <v>0.21366701169999999</v>
      </c>
      <c r="V64" s="39">
        <v>0.27161133469999998</v>
      </c>
      <c r="W64" s="39">
        <v>0.30707187800000002</v>
      </c>
      <c r="X64" s="39">
        <v>0.34843996640000002</v>
      </c>
      <c r="Y64" s="39">
        <v>0.40898891199999998</v>
      </c>
      <c r="Z64" s="39">
        <v>0.509354788</v>
      </c>
      <c r="AA64" s="39">
        <v>0.67624837520000003</v>
      </c>
      <c r="AB64" s="39">
        <v>0.87438839869999996</v>
      </c>
      <c r="AC64" s="39">
        <v>1.039923355</v>
      </c>
      <c r="AD64" s="39">
        <v>1.2785623429999999</v>
      </c>
      <c r="AE64" s="39">
        <v>1.466012374</v>
      </c>
      <c r="AF64" s="39">
        <v>1.5788324220000001</v>
      </c>
      <c r="AG64" s="39">
        <v>1.646962832</v>
      </c>
      <c r="AH64" s="39">
        <v>1.6843264650000001</v>
      </c>
      <c r="AI64" s="39">
        <v>1.728066278</v>
      </c>
      <c r="AJ64" s="39">
        <v>1.7464878939999999</v>
      </c>
      <c r="AK64" s="39">
        <v>1.7504900779999999</v>
      </c>
      <c r="AL64" s="39">
        <v>1.754228734</v>
      </c>
      <c r="AM64" s="39">
        <v>1.7564766270000001</v>
      </c>
      <c r="AN64">
        <v>1.7468243269999999</v>
      </c>
      <c r="AO64">
        <v>1.740250206</v>
      </c>
      <c r="AP64">
        <v>1.740546366</v>
      </c>
      <c r="AQ64">
        <v>1.7344519899999999</v>
      </c>
      <c r="AR64">
        <v>1.7865672020000001</v>
      </c>
      <c r="AS64">
        <v>1.7859115189999999</v>
      </c>
      <c r="AT64">
        <v>1.783858599</v>
      </c>
      <c r="AU64">
        <v>1.778754395</v>
      </c>
      <c r="AV64">
        <v>1.7671837699999999</v>
      </c>
      <c r="AW64" s="39">
        <v>1.7288983330000001</v>
      </c>
      <c r="BV64" s="39"/>
    </row>
    <row r="65" spans="2:49" x14ac:dyDescent="0.25">
      <c r="B65" t="s">
        <v>165</v>
      </c>
      <c r="C65">
        <v>4.9816121892674002E-2</v>
      </c>
      <c r="D65">
        <v>5.0615935843142099E-2</v>
      </c>
      <c r="E65">
        <v>5.1428591099999997E-2</v>
      </c>
      <c r="F65" s="39">
        <v>9.9813117199999996E-2</v>
      </c>
      <c r="G65" s="39">
        <v>0.18304217840000001</v>
      </c>
      <c r="H65">
        <v>0.2911442434</v>
      </c>
      <c r="I65">
        <v>0.406305254</v>
      </c>
      <c r="J65">
        <v>0.55744802429999996</v>
      </c>
      <c r="K65" s="39">
        <v>0.67491329730000005</v>
      </c>
      <c r="L65" s="39">
        <v>0.85730049320000001</v>
      </c>
      <c r="M65" s="39">
        <v>1.109192261</v>
      </c>
      <c r="N65" s="39">
        <v>1.334074969</v>
      </c>
      <c r="O65" s="39">
        <v>1.8007558990000001</v>
      </c>
      <c r="P65" s="39">
        <v>2.7346905929999998</v>
      </c>
      <c r="Q65" s="39">
        <v>3.5510284150000002</v>
      </c>
      <c r="R65" s="39">
        <v>4.4601455870000004</v>
      </c>
      <c r="S65" s="39">
        <v>5.3613132749999997</v>
      </c>
      <c r="T65" s="39">
        <v>6.0409341310000002</v>
      </c>
      <c r="U65" s="39">
        <v>6.5306059899999997</v>
      </c>
      <c r="V65" s="39">
        <v>7.3760799410000004</v>
      </c>
      <c r="W65" s="39">
        <v>7.997884633</v>
      </c>
      <c r="X65" s="39">
        <v>8.7539009369999903</v>
      </c>
      <c r="Y65" s="39">
        <v>9.8300123189999997</v>
      </c>
      <c r="Z65" s="39">
        <v>11.752189530000001</v>
      </c>
      <c r="AA65" s="39">
        <v>15.013682299999999</v>
      </c>
      <c r="AB65" s="39">
        <v>18.670466380000001</v>
      </c>
      <c r="AC65" s="39">
        <v>21.2273736</v>
      </c>
      <c r="AD65" s="39">
        <v>25.120975560000002</v>
      </c>
      <c r="AE65" s="39">
        <v>27.564521859999999</v>
      </c>
      <c r="AF65" s="39">
        <v>28.37039798</v>
      </c>
      <c r="AG65" s="39">
        <v>28.24808595</v>
      </c>
      <c r="AH65" s="39">
        <v>27.580884699999999</v>
      </c>
      <c r="AI65" s="39">
        <v>27.075788490000001</v>
      </c>
      <c r="AJ65" s="39">
        <v>26.174421039999999</v>
      </c>
      <c r="AK65" s="39">
        <v>25.114981830000001</v>
      </c>
      <c r="AL65" s="39">
        <v>24.141917490000001</v>
      </c>
      <c r="AM65" s="39">
        <v>23.230427519999999</v>
      </c>
      <c r="AN65">
        <v>22.346259969999998</v>
      </c>
      <c r="AO65">
        <v>21.568490329999999</v>
      </c>
      <c r="AP65">
        <v>20.950920190000001</v>
      </c>
      <c r="AQ65">
        <v>20.310464979999999</v>
      </c>
      <c r="AR65">
        <v>19.308790550000001</v>
      </c>
      <c r="AS65">
        <v>18.903476430000001</v>
      </c>
      <c r="AT65">
        <v>18.52857281</v>
      </c>
      <c r="AU65">
        <v>18.162593860000001</v>
      </c>
      <c r="AV65">
        <v>17.76264209</v>
      </c>
      <c r="AW65">
        <v>17.1260464</v>
      </c>
    </row>
    <row r="66" spans="2:49" x14ac:dyDescent="0.25">
      <c r="B66" t="s">
        <v>166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167</v>
      </c>
      <c r="C67">
        <v>5.2121797950038999</v>
      </c>
      <c r="D67">
        <v>5.29586302754001</v>
      </c>
      <c r="E67">
        <v>5.3808898210000002</v>
      </c>
      <c r="F67">
        <v>5.4329972270000004</v>
      </c>
      <c r="G67">
        <v>4.4695090210000004</v>
      </c>
      <c r="H67">
        <v>3.8784064620000001</v>
      </c>
      <c r="I67">
        <v>3.8525074039999998</v>
      </c>
      <c r="J67">
        <v>3.6734284060000002</v>
      </c>
      <c r="K67">
        <v>3.5396796770000001</v>
      </c>
      <c r="L67">
        <v>3.810013541</v>
      </c>
      <c r="M67">
        <v>3.924643256</v>
      </c>
      <c r="N67">
        <v>4.0035977120000004</v>
      </c>
      <c r="O67">
        <v>3.0913710019999998</v>
      </c>
      <c r="P67">
        <v>2.5527190439999998</v>
      </c>
      <c r="Q67">
        <v>2.2078779420000001</v>
      </c>
      <c r="R67">
        <v>1.9876156270000001</v>
      </c>
      <c r="S67">
        <v>1.783851729</v>
      </c>
      <c r="T67">
        <v>1.7493797950000001</v>
      </c>
      <c r="U67">
        <v>1.7377502600000001</v>
      </c>
      <c r="V67">
        <v>1.743188564</v>
      </c>
      <c r="W67">
        <v>1.6536451670000001</v>
      </c>
      <c r="X67">
        <v>1.530266648</v>
      </c>
      <c r="Y67">
        <v>1.4590021609999999</v>
      </c>
      <c r="Z67">
        <v>1.4019272629999999</v>
      </c>
      <c r="AA67">
        <v>1.350292673</v>
      </c>
      <c r="AB67">
        <v>1.3053740389999999</v>
      </c>
      <c r="AC67">
        <v>1.2668304269999999</v>
      </c>
      <c r="AD67">
        <v>1.1976449339999999</v>
      </c>
      <c r="AE67">
        <v>1.130954046</v>
      </c>
      <c r="AF67">
        <v>1.0723224600000001</v>
      </c>
      <c r="AG67">
        <v>1.0216958599999999</v>
      </c>
      <c r="AH67">
        <v>0.9794773376</v>
      </c>
      <c r="AI67">
        <v>0.93312640039999994</v>
      </c>
      <c r="AJ67">
        <v>0.8892066877</v>
      </c>
      <c r="AK67">
        <v>0.84877716859999996</v>
      </c>
      <c r="AL67">
        <v>0.81246559569999999</v>
      </c>
      <c r="AM67">
        <v>0.78031401180000004</v>
      </c>
      <c r="AN67">
        <v>0.75097715919999997</v>
      </c>
      <c r="AO67">
        <v>0.72503036590000003</v>
      </c>
      <c r="AP67">
        <v>0.70137396829999998</v>
      </c>
      <c r="AQ67">
        <v>0.67996546040000005</v>
      </c>
      <c r="AR67">
        <v>0.66040453269999999</v>
      </c>
      <c r="AS67">
        <v>0.64443017540000003</v>
      </c>
      <c r="AT67">
        <v>0.63123981959999997</v>
      </c>
      <c r="AU67">
        <v>0.61951178230000004</v>
      </c>
      <c r="AV67">
        <v>0.60924632430000003</v>
      </c>
      <c r="AW67">
        <v>0.60064036040000002</v>
      </c>
    </row>
    <row r="68" spans="2:49" x14ac:dyDescent="0.25">
      <c r="B68" t="s">
        <v>168</v>
      </c>
      <c r="C68">
        <v>0.35839918454870201</v>
      </c>
      <c r="D68">
        <v>0.36415339938413299</v>
      </c>
      <c r="E68">
        <v>0.37</v>
      </c>
      <c r="F68">
        <v>0.36697518759999997</v>
      </c>
      <c r="G68">
        <v>0.36292271860000003</v>
      </c>
      <c r="H68">
        <v>0.35834057629999999</v>
      </c>
      <c r="I68">
        <v>0.35577015290000003</v>
      </c>
      <c r="J68">
        <v>0.35293232159999999</v>
      </c>
      <c r="K68">
        <v>0.34839003680000002</v>
      </c>
      <c r="L68">
        <v>0.34213183149999998</v>
      </c>
      <c r="M68">
        <v>0.3359529269</v>
      </c>
      <c r="N68">
        <v>0.33130144299999997</v>
      </c>
      <c r="O68">
        <v>0.32978322510000002</v>
      </c>
      <c r="P68">
        <v>0.32970604250000002</v>
      </c>
      <c r="Q68">
        <v>0.32872242070000002</v>
      </c>
      <c r="R68">
        <v>0.32413029609999999</v>
      </c>
      <c r="S68">
        <v>0.31827963390000003</v>
      </c>
      <c r="T68">
        <v>0.31130040450000002</v>
      </c>
      <c r="U68">
        <v>0.30460656120000001</v>
      </c>
      <c r="V68">
        <v>0.2983274782</v>
      </c>
      <c r="W68">
        <v>0.29328441459999999</v>
      </c>
      <c r="X68">
        <v>0.28882872230000001</v>
      </c>
      <c r="Y68">
        <v>0.2836262511</v>
      </c>
      <c r="Z68">
        <v>0.27784980580000002</v>
      </c>
      <c r="AA68">
        <v>0.27164066209999999</v>
      </c>
      <c r="AB68">
        <v>0.26534534180000002</v>
      </c>
      <c r="AC68">
        <v>0.2590554592</v>
      </c>
      <c r="AD68">
        <v>0.2529234393</v>
      </c>
      <c r="AE68">
        <v>0.24686925069999999</v>
      </c>
      <c r="AF68">
        <v>0.2409695469</v>
      </c>
      <c r="AG68">
        <v>0.2351883565</v>
      </c>
      <c r="AH68">
        <v>0.2294798686</v>
      </c>
      <c r="AI68">
        <v>0.2238404373</v>
      </c>
      <c r="AJ68">
        <v>0.2182047406</v>
      </c>
      <c r="AK68" s="39">
        <v>0.212538844</v>
      </c>
      <c r="AL68" s="39">
        <v>0.2069431739</v>
      </c>
      <c r="AM68" s="39">
        <v>0.20140415980000001</v>
      </c>
      <c r="AN68" s="39">
        <v>0.195973959</v>
      </c>
      <c r="AO68" s="39">
        <v>0.19046853890000001</v>
      </c>
      <c r="AP68" s="39">
        <v>0.18499778759999999</v>
      </c>
      <c r="AQ68" s="39">
        <v>0.17956765089999999</v>
      </c>
      <c r="AR68" s="39">
        <v>0.17423510019999999</v>
      </c>
      <c r="AS68" s="39">
        <v>0.1691249229</v>
      </c>
      <c r="AT68" s="39">
        <v>0.16427510479999999</v>
      </c>
      <c r="AU68" s="39">
        <v>0.15967263230000001</v>
      </c>
      <c r="AV68">
        <v>0.15528128159999999</v>
      </c>
      <c r="AW68">
        <v>0.15108389250000001</v>
      </c>
    </row>
    <row r="69" spans="2:49" x14ac:dyDescent="0.25">
      <c r="B69" t="s">
        <v>169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170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171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</row>
    <row r="72" spans="2:49" x14ac:dyDescent="0.25">
      <c r="B72" t="s">
        <v>172</v>
      </c>
      <c r="C72">
        <v>2.1503951072922098</v>
      </c>
      <c r="D72">
        <v>2.1849203963048001</v>
      </c>
      <c r="E72">
        <v>2.2200000000000002</v>
      </c>
      <c r="F72">
        <v>2.3061787059999999</v>
      </c>
      <c r="G72">
        <v>2.1940804580000002</v>
      </c>
      <c r="H72">
        <v>2.331647056</v>
      </c>
      <c r="I72">
        <v>2.4256660220000001</v>
      </c>
      <c r="J72">
        <v>2.2820200659999998</v>
      </c>
      <c r="K72">
        <v>2.186760789</v>
      </c>
      <c r="L72">
        <v>2.1383153020000001</v>
      </c>
      <c r="M72">
        <v>2.3030508730000001</v>
      </c>
      <c r="N72">
        <v>2.4754793400000001</v>
      </c>
      <c r="O72">
        <v>2.578627832</v>
      </c>
      <c r="P72">
        <v>2.5910507759999999</v>
      </c>
      <c r="Q72">
        <v>2.396201751</v>
      </c>
      <c r="R72">
        <v>2.37357672</v>
      </c>
      <c r="S72">
        <v>2.391087046</v>
      </c>
      <c r="T72">
        <v>2.451220588</v>
      </c>
      <c r="U72">
        <v>2.5106108499999999</v>
      </c>
      <c r="V72">
        <v>2.58727252</v>
      </c>
      <c r="W72">
        <v>2.6552117919999998</v>
      </c>
      <c r="X72">
        <v>2.7114073589999999</v>
      </c>
      <c r="Y72">
        <v>2.7535206379999999</v>
      </c>
      <c r="Z72">
        <v>2.783091325</v>
      </c>
      <c r="AA72">
        <v>2.8382682360000002</v>
      </c>
      <c r="AB72">
        <v>2.886953289</v>
      </c>
      <c r="AC72">
        <v>2.918850366</v>
      </c>
      <c r="AD72">
        <v>2.9363190480000001</v>
      </c>
      <c r="AE72">
        <v>2.9586057590000001</v>
      </c>
      <c r="AF72">
        <v>2.9792490680000001</v>
      </c>
      <c r="AG72">
        <v>2.9969248570000002</v>
      </c>
      <c r="AH72">
        <v>3.0148596300000001</v>
      </c>
      <c r="AI72">
        <v>3.0405837249999998</v>
      </c>
      <c r="AJ72">
        <v>3.0633202769999999</v>
      </c>
      <c r="AK72">
        <v>3.0875253429999998</v>
      </c>
      <c r="AL72">
        <v>3.1163679000000002</v>
      </c>
      <c r="AM72">
        <v>3.1409021670000001</v>
      </c>
      <c r="AN72">
        <v>3.1711682090000002</v>
      </c>
      <c r="AO72">
        <v>3.2037329090000002</v>
      </c>
      <c r="AP72">
        <v>3.2402230859999999</v>
      </c>
      <c r="AQ72">
        <v>3.268952401</v>
      </c>
      <c r="AR72">
        <v>3.2997169340000001</v>
      </c>
      <c r="AS72">
        <v>3.3300942949999999</v>
      </c>
      <c r="AT72">
        <v>3.3621900079999998</v>
      </c>
      <c r="AU72">
        <v>3.395265185</v>
      </c>
      <c r="AV72">
        <v>3.4267376569999999</v>
      </c>
      <c r="AW72">
        <v>3.460005684</v>
      </c>
    </row>
    <row r="73" spans="2:49" x14ac:dyDescent="0.25">
      <c r="B73" t="s">
        <v>173</v>
      </c>
      <c r="C73">
        <v>17.283948650263198</v>
      </c>
      <c r="D73">
        <v>17.561448036494799</v>
      </c>
      <c r="E73">
        <v>17.843402770000001</v>
      </c>
      <c r="F73">
        <v>18.153572799999999</v>
      </c>
      <c r="G73">
        <v>16.958109740000001</v>
      </c>
      <c r="H73">
        <v>16.05861603</v>
      </c>
      <c r="I73">
        <v>15.46026614</v>
      </c>
      <c r="J73">
        <v>15.376888279999999</v>
      </c>
      <c r="K73">
        <v>14.117067430000001</v>
      </c>
      <c r="L73">
        <v>13.83045443</v>
      </c>
      <c r="M73">
        <v>14.157767140000001</v>
      </c>
      <c r="N73">
        <v>14.885319259999999</v>
      </c>
      <c r="O73">
        <v>14.04730479</v>
      </c>
      <c r="P73">
        <v>12.7197917</v>
      </c>
      <c r="Q73">
        <v>11.25023803</v>
      </c>
      <c r="R73">
        <v>10.259563569999999</v>
      </c>
      <c r="S73">
        <v>9.3517986420000003</v>
      </c>
      <c r="T73">
        <v>9.2511305000000004</v>
      </c>
      <c r="U73">
        <v>9.1769543509999902</v>
      </c>
      <c r="V73">
        <v>9.1751252650000001</v>
      </c>
      <c r="W73">
        <v>8.7883879520000008</v>
      </c>
      <c r="X73">
        <v>8.1588749539999998</v>
      </c>
      <c r="Y73">
        <v>7.823224733</v>
      </c>
      <c r="Z73">
        <v>7.5379905889999996</v>
      </c>
      <c r="AA73">
        <v>7.2966076370000001</v>
      </c>
      <c r="AB73">
        <v>7.0829841719999997</v>
      </c>
      <c r="AC73">
        <v>6.8974269340000003</v>
      </c>
      <c r="AD73">
        <v>6.4611241760000002</v>
      </c>
      <c r="AE73">
        <v>6.0462829850000004</v>
      </c>
      <c r="AF73">
        <v>5.6870238139999998</v>
      </c>
      <c r="AG73">
        <v>5.3783658379999997</v>
      </c>
      <c r="AH73">
        <v>5.1226467600000003</v>
      </c>
      <c r="AI73">
        <v>4.8529062239999998</v>
      </c>
      <c r="AJ73">
        <v>4.6052646099999999</v>
      </c>
      <c r="AK73">
        <v>4.3847173259999996</v>
      </c>
      <c r="AL73">
        <v>4.1912727690000002</v>
      </c>
      <c r="AM73">
        <v>4.0256419589999997</v>
      </c>
      <c r="AN73">
        <v>3.8762678739999998</v>
      </c>
      <c r="AO73">
        <v>3.745753455</v>
      </c>
      <c r="AP73">
        <v>3.6290555549999999</v>
      </c>
      <c r="AQ73">
        <v>3.5269769050000002</v>
      </c>
      <c r="AR73">
        <v>3.435728729</v>
      </c>
      <c r="AS73">
        <v>3.355846503</v>
      </c>
      <c r="AT73">
        <v>3.287946206</v>
      </c>
      <c r="AU73">
        <v>3.2256965979999999</v>
      </c>
      <c r="AV73">
        <v>3.170100283</v>
      </c>
      <c r="AW73">
        <v>3.1240802809999999</v>
      </c>
    </row>
    <row r="74" spans="2:49" x14ac:dyDescent="0.25">
      <c r="B74" t="s">
        <v>174</v>
      </c>
      <c r="C74">
        <v>9.6518912203120095</v>
      </c>
      <c r="D74">
        <v>9.8068554558467902</v>
      </c>
      <c r="E74">
        <v>9.9643076920000002</v>
      </c>
      <c r="F74">
        <v>9.5495097819999994</v>
      </c>
      <c r="G74">
        <v>8.8735978000000006</v>
      </c>
      <c r="H74">
        <v>9.1082302249999998</v>
      </c>
      <c r="I74">
        <v>8.5076115170000008</v>
      </c>
      <c r="J74">
        <v>7.9253736469999998</v>
      </c>
      <c r="K74">
        <v>7.4808091790000004</v>
      </c>
      <c r="L74">
        <v>7.2895369609999996</v>
      </c>
      <c r="M74">
        <v>7.1530300609999999</v>
      </c>
      <c r="N74">
        <v>7.2432191079999999</v>
      </c>
      <c r="O74">
        <v>7.2577215439999998</v>
      </c>
      <c r="P74">
        <v>7.0154395950000001</v>
      </c>
      <c r="Q74">
        <v>6.7030867619999999</v>
      </c>
      <c r="R74">
        <v>6.6332327160000002</v>
      </c>
      <c r="S74">
        <v>6.4564723150000001</v>
      </c>
      <c r="T74">
        <v>6.3920880100000002</v>
      </c>
      <c r="U74">
        <v>6.3059604309999999</v>
      </c>
      <c r="V74">
        <v>6.2308981709999998</v>
      </c>
      <c r="W74">
        <v>6.2034741100000002</v>
      </c>
      <c r="X74">
        <v>6.1383636539999999</v>
      </c>
      <c r="Y74">
        <v>6.1117559760000004</v>
      </c>
      <c r="Z74">
        <v>5.9919243189999998</v>
      </c>
      <c r="AA74">
        <v>5.880123963</v>
      </c>
      <c r="AB74">
        <v>5.7897206990000001</v>
      </c>
      <c r="AC74">
        <v>5.6909935149999997</v>
      </c>
      <c r="AD74">
        <v>5.5903303590000002</v>
      </c>
      <c r="AE74">
        <v>5.4849434070000003</v>
      </c>
      <c r="AF74">
        <v>5.3877177219999997</v>
      </c>
      <c r="AG74">
        <v>5.2955052829999998</v>
      </c>
      <c r="AH74">
        <v>5.2040510749999997</v>
      </c>
      <c r="AI74">
        <v>5.1045528989999998</v>
      </c>
      <c r="AJ74">
        <v>5.0190040900000001</v>
      </c>
      <c r="AK74">
        <v>4.9239103379999998</v>
      </c>
      <c r="AL74">
        <v>4.828127963</v>
      </c>
      <c r="AM74">
        <v>4.7446290820000003</v>
      </c>
      <c r="AN74">
        <v>4.6811747669999999</v>
      </c>
      <c r="AO74">
        <v>4.5901024179999999</v>
      </c>
      <c r="AP74">
        <v>4.494196563</v>
      </c>
      <c r="AQ74">
        <v>4.4118576200000001</v>
      </c>
      <c r="AR74">
        <v>4.319516482</v>
      </c>
      <c r="AS74">
        <v>4.2201695880000001</v>
      </c>
      <c r="AT74">
        <v>4.1298175370000001</v>
      </c>
      <c r="AU74">
        <v>4.0425939529999999</v>
      </c>
      <c r="AV74">
        <v>3.9564833190000002</v>
      </c>
      <c r="AW74">
        <v>3.872926659</v>
      </c>
    </row>
    <row r="75" spans="2:49" x14ac:dyDescent="0.25">
      <c r="B75" t="s">
        <v>175</v>
      </c>
      <c r="C75">
        <v>4.6065844460580001</v>
      </c>
      <c r="D75">
        <v>4.68054464938142</v>
      </c>
      <c r="E75">
        <v>4.7556923080000004</v>
      </c>
      <c r="F75">
        <v>4.7683497319999999</v>
      </c>
      <c r="G75">
        <v>4.4869140229999998</v>
      </c>
      <c r="H75">
        <v>4.3324879579999998</v>
      </c>
      <c r="I75">
        <v>4.2417828169999998</v>
      </c>
      <c r="J75">
        <v>4.0289978069999997</v>
      </c>
      <c r="K75">
        <v>3.808307552</v>
      </c>
      <c r="L75">
        <v>3.7177758179999998</v>
      </c>
      <c r="M75">
        <v>3.7094801959999999</v>
      </c>
      <c r="N75">
        <v>3.779866948</v>
      </c>
      <c r="O75">
        <v>3.570187309</v>
      </c>
      <c r="P75">
        <v>3.3242121720000002</v>
      </c>
      <c r="Q75">
        <v>3.0946876840000002</v>
      </c>
      <c r="R75">
        <v>2.9162614179999999</v>
      </c>
      <c r="S75">
        <v>2.7309638669999998</v>
      </c>
      <c r="T75">
        <v>2.7410648430000002</v>
      </c>
      <c r="U75">
        <v>2.7561024930000002</v>
      </c>
      <c r="V75">
        <v>2.7736716160000001</v>
      </c>
      <c r="W75">
        <v>2.3549656969999999</v>
      </c>
      <c r="X75">
        <v>2.021116428</v>
      </c>
      <c r="Y75">
        <v>1.7939880619999999</v>
      </c>
      <c r="Z75">
        <v>1.628506271</v>
      </c>
      <c r="AA75">
        <v>1.4881055459999999</v>
      </c>
      <c r="AB75">
        <v>1.36891579</v>
      </c>
      <c r="AC75">
        <v>1.2679683129999999</v>
      </c>
      <c r="AD75">
        <v>1.261399449</v>
      </c>
      <c r="AE75">
        <v>1.261696852</v>
      </c>
      <c r="AF75">
        <v>1.2651480749999999</v>
      </c>
      <c r="AG75">
        <v>1.270387122</v>
      </c>
      <c r="AH75">
        <v>1.275375269</v>
      </c>
      <c r="AI75">
        <v>1.2802193209999999</v>
      </c>
      <c r="AJ75">
        <v>1.286089585</v>
      </c>
      <c r="AK75">
        <v>1.2896211470000001</v>
      </c>
      <c r="AL75">
        <v>1.2910728730000001</v>
      </c>
      <c r="AM75">
        <v>1.2928837369999999</v>
      </c>
      <c r="AN75">
        <v>1.3051103749999999</v>
      </c>
      <c r="AO75">
        <v>1.310227861</v>
      </c>
      <c r="AP75">
        <v>1.311815465</v>
      </c>
      <c r="AQ75">
        <v>1.313931894</v>
      </c>
      <c r="AR75">
        <v>1.313671611</v>
      </c>
      <c r="AS75">
        <v>1.311089884</v>
      </c>
      <c r="AT75">
        <v>1.3088856200000001</v>
      </c>
      <c r="AU75">
        <v>1.3068937329999999</v>
      </c>
      <c r="AV75">
        <v>1.3044722740000001</v>
      </c>
      <c r="AW75">
        <v>1.301696312</v>
      </c>
    </row>
    <row r="76" spans="2:49" x14ac:dyDescent="0.25">
      <c r="B76" t="s">
        <v>176</v>
      </c>
      <c r="C76">
        <v>23.690015269078899</v>
      </c>
      <c r="D76">
        <v>24.070366126976499</v>
      </c>
      <c r="E76">
        <v>24.45682364</v>
      </c>
      <c r="F76">
        <v>25.365577439999999</v>
      </c>
      <c r="G76">
        <v>24.93579965</v>
      </c>
      <c r="H76">
        <v>25.08193644</v>
      </c>
      <c r="I76">
        <v>25.174493139999999</v>
      </c>
      <c r="J76">
        <v>25.035306160000001</v>
      </c>
      <c r="K76">
        <v>24.79338722</v>
      </c>
      <c r="L76">
        <v>24.56219299</v>
      </c>
      <c r="M76">
        <v>24.400980149999999</v>
      </c>
      <c r="N76">
        <v>24.178210549999999</v>
      </c>
      <c r="O76">
        <v>24.0470972</v>
      </c>
      <c r="P76">
        <v>23.783473770000001</v>
      </c>
      <c r="Q76">
        <v>23.48141554</v>
      </c>
      <c r="R76">
        <v>23.20192334</v>
      </c>
      <c r="S76">
        <v>23.165879270000001</v>
      </c>
      <c r="T76">
        <v>23.04327099</v>
      </c>
      <c r="U76">
        <v>22.80196634</v>
      </c>
      <c r="V76">
        <v>22.507548719999999</v>
      </c>
      <c r="W76">
        <v>22.153085440000002</v>
      </c>
      <c r="X76">
        <v>21.747059620000002</v>
      </c>
      <c r="Y76">
        <v>21.27560437</v>
      </c>
      <c r="Z76">
        <v>20.720280720000002</v>
      </c>
      <c r="AA76">
        <v>20.083889930000002</v>
      </c>
      <c r="AB76">
        <v>19.366587339999999</v>
      </c>
      <c r="AC76">
        <v>18.558109300000002</v>
      </c>
      <c r="AD76">
        <v>17.782769510000001</v>
      </c>
      <c r="AE76">
        <v>16.963138919999999</v>
      </c>
      <c r="AF76">
        <v>16.122673469999999</v>
      </c>
      <c r="AG76">
        <v>15.285577229999999</v>
      </c>
      <c r="AH76">
        <v>14.46830941</v>
      </c>
      <c r="AI76">
        <v>13.66559097</v>
      </c>
      <c r="AJ76">
        <v>12.898186819999999</v>
      </c>
      <c r="AK76">
        <v>12.167453849999999</v>
      </c>
      <c r="AL76">
        <v>11.47325457</v>
      </c>
      <c r="AM76">
        <v>10.814664479999999</v>
      </c>
      <c r="AN76">
        <v>10.19547818</v>
      </c>
      <c r="AO76">
        <v>9.6112757650000002</v>
      </c>
      <c r="AP76">
        <v>9.0601885679999903</v>
      </c>
      <c r="AQ76">
        <v>8.5404010770000003</v>
      </c>
      <c r="AR76">
        <v>8.0143967899999904</v>
      </c>
      <c r="AS76">
        <v>7.5228815659999997</v>
      </c>
      <c r="AT76">
        <v>7.0612769020000004</v>
      </c>
      <c r="AU76">
        <v>6.6277818699999997</v>
      </c>
      <c r="AV76">
        <v>6.2207014100000002</v>
      </c>
      <c r="AW76">
        <v>5.8384408729999997</v>
      </c>
    </row>
    <row r="77" spans="2:49" x14ac:dyDescent="0.25">
      <c r="B77" t="s">
        <v>177</v>
      </c>
      <c r="C77">
        <v>20.7498358478441</v>
      </c>
      <c r="D77">
        <v>21.0829811741058</v>
      </c>
      <c r="E77">
        <v>21.427087060000002</v>
      </c>
      <c r="F77">
        <v>21.88274341</v>
      </c>
      <c r="G77">
        <v>21.037437829999998</v>
      </c>
      <c r="H77">
        <v>19.517213259999998</v>
      </c>
      <c r="I77">
        <v>19.881512130000001</v>
      </c>
      <c r="J77">
        <v>19.301235599999998</v>
      </c>
      <c r="K77">
        <v>19.482445779999999</v>
      </c>
      <c r="L77">
        <v>18.999197339999998</v>
      </c>
      <c r="M77">
        <v>18.943608789999999</v>
      </c>
      <c r="N77">
        <v>18.959363</v>
      </c>
      <c r="O77">
        <v>18.77979672</v>
      </c>
      <c r="P77">
        <v>18.979116690000001</v>
      </c>
      <c r="Q77">
        <v>18.751101420000001</v>
      </c>
      <c r="R77">
        <v>18.608020069999998</v>
      </c>
      <c r="S77">
        <v>18.35048024</v>
      </c>
      <c r="T77">
        <v>18.519376690000001</v>
      </c>
      <c r="U77">
        <v>18.686356570000001</v>
      </c>
      <c r="V77">
        <v>18.96581729</v>
      </c>
      <c r="W77">
        <v>19.12722041</v>
      </c>
      <c r="X77">
        <v>19.13635872</v>
      </c>
      <c r="Y77">
        <v>18.950061730000002</v>
      </c>
      <c r="Z77">
        <v>18.710476180000001</v>
      </c>
      <c r="AA77">
        <v>18.529729620000001</v>
      </c>
      <c r="AB77">
        <v>18.342173089999999</v>
      </c>
      <c r="AC77">
        <v>18.15035576</v>
      </c>
      <c r="AD77">
        <v>17.560158130000001</v>
      </c>
      <c r="AE77">
        <v>16.972306289999999</v>
      </c>
      <c r="AF77">
        <v>16.392308849999999</v>
      </c>
      <c r="AG77">
        <v>15.794594160000001</v>
      </c>
      <c r="AH77">
        <v>15.21793712</v>
      </c>
      <c r="AI77">
        <v>14.48243877</v>
      </c>
      <c r="AJ77">
        <v>13.73935655</v>
      </c>
      <c r="AK77">
        <v>12.998722770000001</v>
      </c>
      <c r="AL77">
        <v>12.268960570000001</v>
      </c>
      <c r="AM77">
        <v>11.547705710000001</v>
      </c>
      <c r="AN77">
        <v>11.056110889999999</v>
      </c>
      <c r="AO77">
        <v>10.567415280000001</v>
      </c>
      <c r="AP77">
        <v>10.10562193</v>
      </c>
      <c r="AQ77">
        <v>9.6369307269999904</v>
      </c>
      <c r="AR77">
        <v>9.1671437240000007</v>
      </c>
      <c r="AS77">
        <v>8.9553313689999996</v>
      </c>
      <c r="AT77">
        <v>8.7600092820000004</v>
      </c>
      <c r="AU77">
        <v>8.5640203009999905</v>
      </c>
      <c r="AV77">
        <v>8.3499014270000007</v>
      </c>
      <c r="AW77">
        <v>8.144138173</v>
      </c>
    </row>
    <row r="78" spans="2:49" x14ac:dyDescent="0.25">
      <c r="B78" t="s">
        <v>178</v>
      </c>
      <c r="C78">
        <v>0.28090746897060398</v>
      </c>
      <c r="D78">
        <v>0.28541752924702302</v>
      </c>
      <c r="E78">
        <v>0.28999999999999998</v>
      </c>
      <c r="F78">
        <v>0.30263555180000001</v>
      </c>
      <c r="G78">
        <v>0.30356363739999997</v>
      </c>
      <c r="H78">
        <v>0.2953276359</v>
      </c>
      <c r="I78">
        <v>0.31284449530000003</v>
      </c>
      <c r="J78">
        <v>0.3142509658</v>
      </c>
      <c r="K78">
        <v>0.3210421993</v>
      </c>
      <c r="L78">
        <v>0.3141574305</v>
      </c>
      <c r="M78">
        <v>0.32682523479999998</v>
      </c>
      <c r="N78">
        <v>0.31951541039999998</v>
      </c>
      <c r="O78">
        <v>0.30637294300000001</v>
      </c>
      <c r="P78">
        <v>0.31169848449999998</v>
      </c>
      <c r="Q78">
        <v>0.31182726080000001</v>
      </c>
      <c r="R78">
        <v>0.31003308750000003</v>
      </c>
      <c r="S78">
        <v>0.31096534619999999</v>
      </c>
      <c r="T78">
        <v>0.3150907349</v>
      </c>
      <c r="U78">
        <v>0.31898047060000001</v>
      </c>
      <c r="V78">
        <v>0.32473215599999999</v>
      </c>
      <c r="W78">
        <v>0.32839557559999999</v>
      </c>
      <c r="X78">
        <v>0.32961200509999999</v>
      </c>
      <c r="Y78">
        <v>0.32878176469999998</v>
      </c>
      <c r="Z78">
        <v>0.33006776319999998</v>
      </c>
      <c r="AA78">
        <v>0.33333262479999998</v>
      </c>
      <c r="AB78">
        <v>0.33596683259999999</v>
      </c>
      <c r="AC78">
        <v>0.33927063120000001</v>
      </c>
      <c r="AD78">
        <v>0.3417302196</v>
      </c>
      <c r="AE78">
        <v>0.34433528990000001</v>
      </c>
      <c r="AF78">
        <v>0.34693967180000002</v>
      </c>
      <c r="AG78">
        <v>0.34939772450000001</v>
      </c>
      <c r="AH78">
        <v>0.35179545969999998</v>
      </c>
      <c r="AI78">
        <v>0.35440322320000001</v>
      </c>
      <c r="AJ78">
        <v>0.35575083349999997</v>
      </c>
      <c r="AK78">
        <v>0.35752769280000002</v>
      </c>
      <c r="AL78">
        <v>0.35994869010000002</v>
      </c>
      <c r="AM78">
        <v>0.36141850959999999</v>
      </c>
      <c r="AN78">
        <v>0.3648287348</v>
      </c>
      <c r="AO78">
        <v>0.36868467669999999</v>
      </c>
      <c r="AP78">
        <v>0.37311418340000002</v>
      </c>
      <c r="AQ78">
        <v>0.3761569307</v>
      </c>
      <c r="AR78">
        <v>0.3799905241</v>
      </c>
      <c r="AS78">
        <v>0.38409362499999999</v>
      </c>
      <c r="AT78">
        <v>0.38796118540000002</v>
      </c>
      <c r="AU78">
        <v>0.39208089530000001</v>
      </c>
      <c r="AV78">
        <v>0.3961119595</v>
      </c>
      <c r="AW78">
        <v>0.4003561846</v>
      </c>
    </row>
    <row r="79" spans="2:49" x14ac:dyDescent="0.25">
      <c r="B79" t="s">
        <v>179</v>
      </c>
      <c r="C79">
        <v>11.323476938849501</v>
      </c>
      <c r="D79">
        <v>11.5052790237851</v>
      </c>
      <c r="E79">
        <v>11.69</v>
      </c>
      <c r="F79">
        <v>11.971041639999999</v>
      </c>
      <c r="G79">
        <v>11.941145499999999</v>
      </c>
      <c r="H79">
        <v>10.41819184</v>
      </c>
      <c r="I79">
        <v>11.041013599999999</v>
      </c>
      <c r="J79">
        <v>11.505149879999999</v>
      </c>
      <c r="K79">
        <v>11.366224839999999</v>
      </c>
      <c r="L79">
        <v>11.212504579999999</v>
      </c>
      <c r="M79">
        <v>11.161710429999999</v>
      </c>
      <c r="N79">
        <v>10.963094849999999</v>
      </c>
      <c r="O79">
        <v>10.19492082</v>
      </c>
      <c r="P79">
        <v>9.964939481</v>
      </c>
      <c r="Q79">
        <v>9.7873653540000003</v>
      </c>
      <c r="R79">
        <v>9.4091962769999995</v>
      </c>
      <c r="S79">
        <v>8.9811539239999902</v>
      </c>
      <c r="T79">
        <v>9.0824300999999998</v>
      </c>
      <c r="U79">
        <v>9.2611877570000001</v>
      </c>
      <c r="V79">
        <v>9.5406243120000003</v>
      </c>
      <c r="W79">
        <v>10.67525784</v>
      </c>
      <c r="X79">
        <v>11.678091739999999</v>
      </c>
      <c r="Y79">
        <v>12.495773509999999</v>
      </c>
      <c r="Z79">
        <v>13.23690584</v>
      </c>
      <c r="AA79">
        <v>13.92702873</v>
      </c>
      <c r="AB79">
        <v>14.52420137</v>
      </c>
      <c r="AC79">
        <v>15.07537628</v>
      </c>
      <c r="AD79">
        <v>15.94369672</v>
      </c>
      <c r="AE79">
        <v>16.75472126</v>
      </c>
      <c r="AF79">
        <v>17.483727930000001</v>
      </c>
      <c r="AG79">
        <v>18.134158459999998</v>
      </c>
      <c r="AH79">
        <v>18.739171970000001</v>
      </c>
      <c r="AI79">
        <v>19.281436370000002</v>
      </c>
      <c r="AJ79">
        <v>19.782868749999999</v>
      </c>
      <c r="AK79">
        <v>20.254106050000001</v>
      </c>
      <c r="AL79">
        <v>20.707554689999998</v>
      </c>
      <c r="AM79">
        <v>21.149903399999999</v>
      </c>
      <c r="AN79">
        <v>21.569857880000001</v>
      </c>
      <c r="AO79">
        <v>22.014988030000001</v>
      </c>
      <c r="AP79">
        <v>22.462329159999999</v>
      </c>
      <c r="AQ79">
        <v>22.902760399999998</v>
      </c>
      <c r="AR79">
        <v>23.339414519999998</v>
      </c>
      <c r="AS79">
        <v>23.760756359999998</v>
      </c>
      <c r="AT79">
        <v>24.165962700000001</v>
      </c>
      <c r="AU79">
        <v>24.55500382</v>
      </c>
      <c r="AV79">
        <v>24.927891249999998</v>
      </c>
      <c r="AW79">
        <v>25.305409109999999</v>
      </c>
    </row>
    <row r="80" spans="2:49" x14ac:dyDescent="0.25">
      <c r="B80" t="s">
        <v>180</v>
      </c>
      <c r="C80">
        <v>12.401465507675301</v>
      </c>
      <c r="D80">
        <v>12.6005750477687</v>
      </c>
      <c r="E80">
        <v>12.802881360000001</v>
      </c>
      <c r="F80">
        <v>12.960209499999999</v>
      </c>
      <c r="G80">
        <v>13.34775217</v>
      </c>
      <c r="H80">
        <v>13.031363730000001</v>
      </c>
      <c r="I80">
        <v>13.288344459999999</v>
      </c>
      <c r="J80">
        <v>13.650227299999999</v>
      </c>
      <c r="K80">
        <v>13.979369910000001</v>
      </c>
      <c r="L80">
        <v>14.02847098</v>
      </c>
      <c r="M80">
        <v>13.96952239</v>
      </c>
      <c r="N80">
        <v>13.749912500000001</v>
      </c>
      <c r="O80">
        <v>13.65240792</v>
      </c>
      <c r="P80">
        <v>13.880142879999999</v>
      </c>
      <c r="Q80">
        <v>14.30759462</v>
      </c>
      <c r="R80">
        <v>14.36848432</v>
      </c>
      <c r="S80">
        <v>14.43122953</v>
      </c>
      <c r="T80">
        <v>14.41198039</v>
      </c>
      <c r="U80">
        <v>14.500980800000001</v>
      </c>
      <c r="V80">
        <v>14.598317679999999</v>
      </c>
      <c r="W80">
        <v>14.73553744</v>
      </c>
      <c r="X80">
        <v>14.792968139999999</v>
      </c>
      <c r="Y80">
        <v>14.81870756</v>
      </c>
      <c r="Z80">
        <v>14.93624243</v>
      </c>
      <c r="AA80">
        <v>15.013122920000001</v>
      </c>
      <c r="AB80">
        <v>15.048694299999999</v>
      </c>
      <c r="AC80">
        <v>15.08991103</v>
      </c>
      <c r="AD80">
        <v>15.13282862</v>
      </c>
      <c r="AE80">
        <v>15.15838458</v>
      </c>
      <c r="AF80">
        <v>15.17984036</v>
      </c>
      <c r="AG80">
        <v>15.192827189999999</v>
      </c>
      <c r="AH80">
        <v>15.191548510000001</v>
      </c>
      <c r="AI80">
        <v>15.18883976</v>
      </c>
      <c r="AJ80">
        <v>15.152012490000001</v>
      </c>
      <c r="AK80">
        <v>15.10160454</v>
      </c>
      <c r="AL80">
        <v>15.03608579</v>
      </c>
      <c r="AM80">
        <v>14.93714436</v>
      </c>
      <c r="AN80">
        <v>14.929150760000001</v>
      </c>
      <c r="AO80">
        <v>14.868019759999999</v>
      </c>
      <c r="AP80">
        <v>14.79891348</v>
      </c>
      <c r="AQ80">
        <v>14.710424059999999</v>
      </c>
      <c r="AR80">
        <v>14.62571176</v>
      </c>
      <c r="AS80">
        <v>14.533635629999999</v>
      </c>
      <c r="AT80">
        <v>14.44217242</v>
      </c>
      <c r="AU80">
        <v>14.36128128</v>
      </c>
      <c r="AV80">
        <v>14.27956344</v>
      </c>
      <c r="AW80">
        <v>14.20244248</v>
      </c>
    </row>
    <row r="81" spans="2:99" x14ac:dyDescent="0.25">
      <c r="B81" t="s">
        <v>181</v>
      </c>
      <c r="C81">
        <v>10.826676236859401</v>
      </c>
      <c r="D81">
        <v>11.000502025829901</v>
      </c>
      <c r="E81">
        <v>11.17711864</v>
      </c>
      <c r="F81">
        <v>11.65397974</v>
      </c>
      <c r="G81">
        <v>11.979272590000001</v>
      </c>
      <c r="H81">
        <v>10.965741660000001</v>
      </c>
      <c r="I81">
        <v>11.324591699999999</v>
      </c>
      <c r="J81">
        <v>11.751705129999999</v>
      </c>
      <c r="K81">
        <v>12.031128989999999</v>
      </c>
      <c r="L81">
        <v>12.02952387</v>
      </c>
      <c r="M81">
        <v>11.94329317</v>
      </c>
      <c r="N81">
        <v>11.57655602</v>
      </c>
      <c r="O81">
        <v>11.027232570000001</v>
      </c>
      <c r="P81">
        <v>11.065837999999999</v>
      </c>
      <c r="Q81">
        <v>11.431598660000001</v>
      </c>
      <c r="R81">
        <v>11.32129359</v>
      </c>
      <c r="S81">
        <v>11.124724240000001</v>
      </c>
      <c r="T81">
        <v>11.13247082</v>
      </c>
      <c r="U81">
        <v>11.080014780000001</v>
      </c>
      <c r="V81">
        <v>11.00787156</v>
      </c>
      <c r="W81">
        <v>11.272428830000001</v>
      </c>
      <c r="X81">
        <v>10.96836532</v>
      </c>
      <c r="Y81">
        <v>10.459002249999999</v>
      </c>
      <c r="Z81">
        <v>9.9889180419999999</v>
      </c>
      <c r="AA81">
        <v>9.481844315</v>
      </c>
      <c r="AB81">
        <v>8.9577279809999997</v>
      </c>
      <c r="AC81">
        <v>8.4633303299999998</v>
      </c>
      <c r="AD81">
        <v>8.4160910869999999</v>
      </c>
      <c r="AE81">
        <v>8.3857443949999997</v>
      </c>
      <c r="AF81">
        <v>8.3667777680000004</v>
      </c>
      <c r="AG81">
        <v>8.3529100169999904</v>
      </c>
      <c r="AH81">
        <v>8.3332547889999997</v>
      </c>
      <c r="AI81">
        <v>8.313584809</v>
      </c>
      <c r="AJ81">
        <v>8.2863095639999997</v>
      </c>
      <c r="AK81">
        <v>8.247540377</v>
      </c>
      <c r="AL81">
        <v>8.198785225</v>
      </c>
      <c r="AM81">
        <v>8.1396446650000005</v>
      </c>
      <c r="AN81">
        <v>8.1616591130000007</v>
      </c>
      <c r="AO81">
        <v>8.1412042860000007</v>
      </c>
      <c r="AP81">
        <v>8.102607377</v>
      </c>
      <c r="AQ81">
        <v>8.0537747789999994</v>
      </c>
      <c r="AR81">
        <v>8.0004809970000004</v>
      </c>
      <c r="AS81">
        <v>7.9370550910000004</v>
      </c>
      <c r="AT81">
        <v>7.8714908860000001</v>
      </c>
      <c r="AU81">
        <v>7.8102601600000003</v>
      </c>
      <c r="AV81">
        <v>7.746847109</v>
      </c>
      <c r="AW81">
        <v>7.6809813849999999</v>
      </c>
    </row>
    <row r="82" spans="2:99" x14ac:dyDescent="0.25">
      <c r="B82" t="s">
        <v>182</v>
      </c>
      <c r="C82" s="39">
        <v>4.42659733299524E-4</v>
      </c>
      <c r="D82" s="39">
        <v>4.4976677849999601E-4</v>
      </c>
      <c r="E82" s="39">
        <v>4.5698792999999998E-4</v>
      </c>
      <c r="F82" s="39">
        <v>8.9237134200000003E-4</v>
      </c>
      <c r="G82" s="39">
        <v>1.63977989E-3</v>
      </c>
      <c r="H82">
        <v>2.9022617500000002E-3</v>
      </c>
      <c r="I82">
        <v>4.6548971200000002E-3</v>
      </c>
      <c r="J82" s="39">
        <v>7.0033834100000003E-3</v>
      </c>
      <c r="K82" s="39">
        <v>9.7854357499999999E-3</v>
      </c>
      <c r="L82" s="39">
        <v>1.33448903E-2</v>
      </c>
      <c r="M82" s="39">
        <v>1.8110543E-2</v>
      </c>
      <c r="N82" s="39">
        <v>2.3864354300000001E-2</v>
      </c>
      <c r="O82" s="39">
        <v>3.1832411599999999E-2</v>
      </c>
      <c r="P82" s="39">
        <v>4.2281134999999997E-2</v>
      </c>
      <c r="Q82" s="39">
        <v>5.5811547000000003E-2</v>
      </c>
      <c r="R82" s="39">
        <v>7.3093055300000001E-2</v>
      </c>
      <c r="S82" s="39">
        <v>9.5355663699999996E-2</v>
      </c>
      <c r="T82" s="39">
        <v>0.1211393259</v>
      </c>
      <c r="U82" s="39">
        <v>0.15432586170000001</v>
      </c>
      <c r="V82" s="39">
        <v>0.19629097130000001</v>
      </c>
      <c r="W82" s="39">
        <v>0.24282092189999999</v>
      </c>
      <c r="X82" s="39">
        <v>0.29469163320000002</v>
      </c>
      <c r="Y82" s="39">
        <v>0.35530937849999999</v>
      </c>
      <c r="Z82" s="39">
        <v>0.43173880329999997</v>
      </c>
      <c r="AA82" s="39">
        <v>0.53585378370000003</v>
      </c>
      <c r="AB82" s="39">
        <v>0.67222308789999996</v>
      </c>
      <c r="AC82" s="39">
        <v>0.83297175649999999</v>
      </c>
      <c r="AD82" s="39">
        <v>1.035678079</v>
      </c>
      <c r="AE82" s="39">
        <v>1.265815444</v>
      </c>
      <c r="AF82" s="39">
        <v>1.5076987690000001</v>
      </c>
      <c r="AG82" s="39">
        <v>1.7520602869999999</v>
      </c>
      <c r="AH82" s="39">
        <v>1.992685284</v>
      </c>
      <c r="AI82" s="39">
        <v>2.2286070580000001</v>
      </c>
      <c r="AJ82" s="39">
        <v>2.4567578939999999</v>
      </c>
      <c r="AK82" s="39">
        <v>2.6745427469999998</v>
      </c>
      <c r="AL82" s="39">
        <v>2.8823594830000001</v>
      </c>
      <c r="AM82" s="39">
        <v>3.0803373889999999</v>
      </c>
      <c r="AN82" s="39">
        <v>3.2679035129999998</v>
      </c>
      <c r="AO82" s="39">
        <v>3.4456478050000001</v>
      </c>
      <c r="AP82" s="39">
        <v>3.6155348730000001</v>
      </c>
      <c r="AQ82" s="39">
        <v>3.7766371439999999</v>
      </c>
      <c r="AR82" s="39">
        <v>3.9267874150000002</v>
      </c>
      <c r="AS82" s="39">
        <v>4.0710646590000001</v>
      </c>
      <c r="AT82" s="39">
        <v>4.208392602</v>
      </c>
      <c r="AU82" s="39">
        <v>4.3385031700000001</v>
      </c>
      <c r="AV82" s="39">
        <v>4.460388665</v>
      </c>
      <c r="AW82" s="39">
        <v>4.5686030029999998</v>
      </c>
    </row>
    <row r="83" spans="2:99" x14ac:dyDescent="0.25">
      <c r="B83" t="s">
        <v>183</v>
      </c>
      <c r="C83">
        <v>1.1996237928359601</v>
      </c>
      <c r="D83">
        <v>1.2188841408592499</v>
      </c>
      <c r="E83">
        <v>1.2387944769999999</v>
      </c>
      <c r="F83">
        <v>1.296145372</v>
      </c>
      <c r="G83">
        <v>1.2811800200000001</v>
      </c>
      <c r="H83">
        <v>1.1449214990000001</v>
      </c>
      <c r="I83">
        <v>1.2158510549999999</v>
      </c>
      <c r="J83">
        <v>1.2399680740000001</v>
      </c>
      <c r="K83">
        <v>1.2680378889999999</v>
      </c>
      <c r="L83">
        <v>1.274533524</v>
      </c>
      <c r="M83">
        <v>1.279113339</v>
      </c>
      <c r="N83">
        <v>1.2684708929999999</v>
      </c>
      <c r="O83">
        <v>1.265350456</v>
      </c>
      <c r="P83">
        <v>1.331905761</v>
      </c>
      <c r="Q83">
        <v>1.3621186489999999</v>
      </c>
      <c r="R83">
        <v>1.403342224</v>
      </c>
      <c r="S83">
        <v>1.4331900129999999</v>
      </c>
      <c r="T83">
        <v>1.5778023830000001</v>
      </c>
      <c r="U83">
        <v>1.7073838240000001</v>
      </c>
      <c r="V83">
        <v>1.8249804709999999</v>
      </c>
      <c r="W83">
        <v>1.9409902379999999</v>
      </c>
      <c r="X83">
        <v>2.0486074489999999</v>
      </c>
      <c r="Y83">
        <v>2.227480994</v>
      </c>
      <c r="Z83">
        <v>2.4173270179999999</v>
      </c>
      <c r="AA83">
        <v>2.6239140120000002</v>
      </c>
      <c r="AB83">
        <v>2.8189717070000002</v>
      </c>
      <c r="AC83">
        <v>3.027625821</v>
      </c>
      <c r="AD83">
        <v>3.3424568529999998</v>
      </c>
      <c r="AE83">
        <v>3.6587563259999998</v>
      </c>
      <c r="AF83">
        <v>3.971942243</v>
      </c>
      <c r="AG83">
        <v>4.2784618979999998</v>
      </c>
      <c r="AH83">
        <v>4.5826149330000003</v>
      </c>
      <c r="AI83">
        <v>4.9477703149999996</v>
      </c>
      <c r="AJ83">
        <v>5.3000589070000004</v>
      </c>
      <c r="AK83">
        <v>5.6560175990000001</v>
      </c>
      <c r="AL83">
        <v>6.0196924919999999</v>
      </c>
      <c r="AM83">
        <v>6.3779634740000004</v>
      </c>
      <c r="AN83">
        <v>6.6311146839999999</v>
      </c>
      <c r="AO83">
        <v>6.8878323960000003</v>
      </c>
      <c r="AP83">
        <v>7.1652983609999996</v>
      </c>
      <c r="AQ83">
        <v>7.432129454</v>
      </c>
      <c r="AR83">
        <v>7.7112156049999996</v>
      </c>
      <c r="AS83">
        <v>7.8446822960000002</v>
      </c>
      <c r="AT83">
        <v>7.991517247</v>
      </c>
      <c r="AU83">
        <v>8.1415465539999996</v>
      </c>
      <c r="AV83">
        <v>8.2739607639999999</v>
      </c>
      <c r="AW83">
        <v>8.4143102659999904</v>
      </c>
    </row>
    <row r="84" spans="2:99" x14ac:dyDescent="0.25">
      <c r="B84" t="s">
        <v>184</v>
      </c>
      <c r="C84">
        <v>0.33902625565417799</v>
      </c>
      <c r="D84">
        <v>0.34446943184985501</v>
      </c>
      <c r="E84">
        <v>0.35</v>
      </c>
      <c r="F84">
        <v>0.36630371969999997</v>
      </c>
      <c r="G84">
        <v>0.356846155</v>
      </c>
      <c r="H84">
        <v>0.36147350430000003</v>
      </c>
      <c r="I84">
        <v>0.38827849780000001</v>
      </c>
      <c r="J84">
        <v>0.3816482383</v>
      </c>
      <c r="K84">
        <v>0.37506099009999999</v>
      </c>
      <c r="L84">
        <v>0.36454665629999999</v>
      </c>
      <c r="M84">
        <v>0.3859041077</v>
      </c>
      <c r="N84">
        <v>0.39410968880000002</v>
      </c>
      <c r="O84">
        <v>0.39498150469999999</v>
      </c>
      <c r="P84">
        <v>0.4005142907</v>
      </c>
      <c r="Q84">
        <v>0.37835204220000002</v>
      </c>
      <c r="R84">
        <v>0.36989446500000001</v>
      </c>
      <c r="S84">
        <v>0.36968059110000001</v>
      </c>
      <c r="T84">
        <v>0.37472774279999999</v>
      </c>
      <c r="U84">
        <v>0.38142433060000003</v>
      </c>
      <c r="V84">
        <v>0.39119350759999999</v>
      </c>
      <c r="W84">
        <v>0.39539410260000002</v>
      </c>
      <c r="X84">
        <v>0.40630662699999998</v>
      </c>
      <c r="Y84">
        <v>0.41233323830000002</v>
      </c>
      <c r="Z84">
        <v>0.41827999189999998</v>
      </c>
      <c r="AA84">
        <v>0.42688531120000001</v>
      </c>
      <c r="AB84">
        <v>0.43265192149999998</v>
      </c>
      <c r="AC84">
        <v>0.4355377298</v>
      </c>
      <c r="AD84">
        <v>0.4372053219</v>
      </c>
      <c r="AE84">
        <v>0.44036316040000001</v>
      </c>
      <c r="AF84">
        <v>0.44276662560000002</v>
      </c>
      <c r="AG84">
        <v>0.44432061270000001</v>
      </c>
      <c r="AH84">
        <v>0.44609372739999997</v>
      </c>
      <c r="AI84">
        <v>0.4482081497</v>
      </c>
      <c r="AJ84">
        <v>0.44949816739999998</v>
      </c>
      <c r="AK84">
        <v>0.4511383571</v>
      </c>
      <c r="AL84">
        <v>0.45353851360000003</v>
      </c>
      <c r="AM84">
        <v>0.45564248029999999</v>
      </c>
      <c r="AN84">
        <v>0.45018062040000001</v>
      </c>
      <c r="AO84">
        <v>0.45074446499999998</v>
      </c>
      <c r="AP84">
        <v>0.45391077680000003</v>
      </c>
      <c r="AQ84">
        <v>0.45691536560000001</v>
      </c>
      <c r="AR84">
        <v>0.46066984379999998</v>
      </c>
      <c r="AS84">
        <v>0.46339546030000001</v>
      </c>
      <c r="AT84">
        <v>0.46625772049999997</v>
      </c>
      <c r="AU84">
        <v>0.46986921279999999</v>
      </c>
      <c r="AV84">
        <v>0.4737594812</v>
      </c>
      <c r="AW84">
        <v>0.47809194739999999</v>
      </c>
    </row>
    <row r="85" spans="2:99" x14ac:dyDescent="0.25">
      <c r="B85" t="s">
        <v>185</v>
      </c>
      <c r="C85">
        <v>12.8442518570697</v>
      </c>
      <c r="D85">
        <v>13.0504704752259</v>
      </c>
      <c r="E85">
        <v>13.26</v>
      </c>
      <c r="F85">
        <v>13.64489781</v>
      </c>
      <c r="G85">
        <v>13.20337984</v>
      </c>
      <c r="H85">
        <v>12.15335595</v>
      </c>
      <c r="I85">
        <v>12.668666460000001</v>
      </c>
      <c r="J85">
        <v>12.89615423</v>
      </c>
      <c r="K85">
        <v>12.29429326</v>
      </c>
      <c r="L85">
        <v>12.082263709999999</v>
      </c>
      <c r="M85">
        <v>12.258280579999999</v>
      </c>
      <c r="N85">
        <v>12.55821523</v>
      </c>
      <c r="O85">
        <v>12.83253764</v>
      </c>
      <c r="P85" s="39">
        <v>13.14321651</v>
      </c>
      <c r="Q85" s="39">
        <v>12.851825979999999</v>
      </c>
      <c r="R85" s="39">
        <v>12.785668579999999</v>
      </c>
      <c r="S85" s="39">
        <v>12.704339539999999</v>
      </c>
      <c r="T85" s="39">
        <v>12.815736149999999</v>
      </c>
      <c r="U85" s="39">
        <v>12.92880918</v>
      </c>
      <c r="V85" s="39">
        <v>13.14371289</v>
      </c>
      <c r="W85" s="39">
        <v>11.82993379</v>
      </c>
      <c r="X85" s="39">
        <v>10.66982863</v>
      </c>
      <c r="Y85" s="39">
        <v>9.8599398370000007</v>
      </c>
      <c r="Z85" s="39">
        <v>9.2166669710000004</v>
      </c>
      <c r="AA85" s="39">
        <v>8.7029597429999903</v>
      </c>
      <c r="AB85" s="39">
        <v>8.2651012969999904</v>
      </c>
      <c r="AC85" s="39">
        <v>7.889965965</v>
      </c>
      <c r="AD85" s="39">
        <v>7.2735735000000004</v>
      </c>
      <c r="AE85" s="39">
        <v>6.7378963760000001</v>
      </c>
      <c r="AF85">
        <v>6.2954479409999999</v>
      </c>
      <c r="AG85">
        <v>5.9314742789999997</v>
      </c>
      <c r="AH85">
        <v>5.6391411160000002</v>
      </c>
      <c r="AI85">
        <v>5.3840483749999999</v>
      </c>
      <c r="AJ85">
        <v>5.1696915600000004</v>
      </c>
      <c r="AK85">
        <v>4.9909105589999996</v>
      </c>
      <c r="AL85">
        <v>4.8415454640000002</v>
      </c>
      <c r="AM85">
        <v>4.7224735930000001</v>
      </c>
      <c r="AN85">
        <v>4.5860960420000003</v>
      </c>
      <c r="AO85">
        <v>4.4722787110000004</v>
      </c>
      <c r="AP85">
        <v>4.3723679339999997</v>
      </c>
      <c r="AQ85">
        <v>4.2842122849999997</v>
      </c>
      <c r="AR85">
        <v>4.2044936509999999</v>
      </c>
      <c r="AS85">
        <v>4.1399376630000004</v>
      </c>
      <c r="AT85">
        <v>4.0845830960000002</v>
      </c>
      <c r="AU85">
        <v>4.0269112099999997</v>
      </c>
      <c r="AV85">
        <v>3.9728270320000001</v>
      </c>
      <c r="AW85">
        <v>3.9272770129999999</v>
      </c>
    </row>
    <row r="86" spans="2:99" x14ac:dyDescent="0.25">
      <c r="B86" t="s">
        <v>186</v>
      </c>
      <c r="C86">
        <v>17.113958899133198</v>
      </c>
      <c r="D86">
        <v>17.388729044925601</v>
      </c>
      <c r="E86">
        <v>17.667910710000001</v>
      </c>
      <c r="F86">
        <v>17.809816049999998</v>
      </c>
      <c r="G86">
        <v>17.735098270000002</v>
      </c>
      <c r="H86">
        <v>17.743810010000001</v>
      </c>
      <c r="I86">
        <v>18.11077568</v>
      </c>
      <c r="J86">
        <v>18.123192840000002</v>
      </c>
      <c r="K86" s="39">
        <v>17.783516039999999</v>
      </c>
      <c r="L86" s="39">
        <v>17.55831702</v>
      </c>
      <c r="M86" s="39">
        <v>17.552085829999999</v>
      </c>
      <c r="N86" s="39">
        <v>17.69456336</v>
      </c>
      <c r="O86" s="39">
        <v>18.048121070000001</v>
      </c>
      <c r="P86" s="39">
        <v>18.14239645</v>
      </c>
      <c r="Q86" s="39">
        <v>17.7033703</v>
      </c>
      <c r="R86" s="39">
        <v>17.385942270000001</v>
      </c>
      <c r="S86" s="39">
        <v>17.14923057</v>
      </c>
      <c r="T86" s="39">
        <v>16.75340242</v>
      </c>
      <c r="U86" s="39">
        <v>16.609698529999999</v>
      </c>
      <c r="V86" s="39">
        <v>16.48666682</v>
      </c>
      <c r="W86" s="39">
        <v>16.30019287</v>
      </c>
      <c r="X86" s="39">
        <v>16.481047119999999</v>
      </c>
      <c r="Y86" s="39">
        <v>16.507649900000001</v>
      </c>
      <c r="Z86">
        <v>16.319596560000001</v>
      </c>
      <c r="AA86">
        <v>16.137549830000001</v>
      </c>
      <c r="AB86">
        <v>15.98634951</v>
      </c>
      <c r="AC86">
        <v>15.798578920000001</v>
      </c>
      <c r="AD86">
        <v>15.595437799999999</v>
      </c>
      <c r="AE86">
        <v>15.42685475</v>
      </c>
      <c r="AF86">
        <v>15.236907499999999</v>
      </c>
      <c r="AG86">
        <v>15.03880146</v>
      </c>
      <c r="AH86">
        <v>14.853562399999999</v>
      </c>
      <c r="AI86">
        <v>14.656218429999999</v>
      </c>
      <c r="AJ86">
        <v>14.48072106</v>
      </c>
      <c r="AK86">
        <v>14.3100317</v>
      </c>
      <c r="AL86">
        <v>14.14376626</v>
      </c>
      <c r="AM86">
        <v>13.99969692</v>
      </c>
      <c r="AN86">
        <v>13.540338139999999</v>
      </c>
      <c r="AO86">
        <v>13.26655373</v>
      </c>
      <c r="AP86">
        <v>13.014836300000001</v>
      </c>
      <c r="AQ86">
        <v>12.77520427</v>
      </c>
      <c r="AR86">
        <v>12.533429870000001</v>
      </c>
      <c r="AS86">
        <v>12.34021508</v>
      </c>
      <c r="AT86" s="39">
        <v>12.146199660000001</v>
      </c>
      <c r="AU86" s="39">
        <v>11.933292010000001</v>
      </c>
      <c r="AV86">
        <v>11.73558382</v>
      </c>
      <c r="AW86">
        <v>11.54869001</v>
      </c>
    </row>
    <row r="87" spans="2:99" x14ac:dyDescent="0.25">
      <c r="B87" t="s">
        <v>187</v>
      </c>
      <c r="C87">
        <v>5.6395460874857797</v>
      </c>
      <c r="D87">
        <v>5.7300908240832298</v>
      </c>
      <c r="E87">
        <v>5.8220892859999998</v>
      </c>
      <c r="F87">
        <v>6.2133444019999997</v>
      </c>
      <c r="G87">
        <v>6.3837987890000001</v>
      </c>
      <c r="H87">
        <v>6.5218101590000002</v>
      </c>
      <c r="I87">
        <v>7.061840761</v>
      </c>
      <c r="J87">
        <v>7.3753157509999996</v>
      </c>
      <c r="K87">
        <v>7.4829696270000001</v>
      </c>
      <c r="L87">
        <v>7.7611130900000003</v>
      </c>
      <c r="M87">
        <v>8.2988782069999996</v>
      </c>
      <c r="N87">
        <v>9.1318221269999995</v>
      </c>
      <c r="O87">
        <v>9.443213042</v>
      </c>
      <c r="P87">
        <v>9.307437577</v>
      </c>
      <c r="Q87">
        <v>8.6394665879999994</v>
      </c>
      <c r="R87">
        <v>8.1586628730000008</v>
      </c>
      <c r="S87">
        <v>7.8623169549999998</v>
      </c>
      <c r="T87">
        <v>7.7847553459999999</v>
      </c>
      <c r="U87">
        <v>7.7469857629999996</v>
      </c>
      <c r="V87">
        <v>7.7152079020000004</v>
      </c>
      <c r="W87">
        <v>9.0729665009999998</v>
      </c>
      <c r="X87">
        <v>10.490788849999999</v>
      </c>
      <c r="Y87">
        <v>11.37868338</v>
      </c>
      <c r="Z87">
        <v>11.78628649</v>
      </c>
      <c r="AA87">
        <v>12.062236759999999</v>
      </c>
      <c r="AB87">
        <v>12.21146673</v>
      </c>
      <c r="AC87">
        <v>12.202718450000001</v>
      </c>
      <c r="AD87">
        <v>12.02231063</v>
      </c>
      <c r="AE87">
        <v>11.779867230000001</v>
      </c>
      <c r="AF87">
        <v>11.503235950000001</v>
      </c>
      <c r="AG87">
        <v>11.208395400000001</v>
      </c>
      <c r="AH87">
        <v>10.921677130000001</v>
      </c>
      <c r="AI87">
        <v>10.63682863</v>
      </c>
      <c r="AJ87">
        <v>10.353298799999999</v>
      </c>
      <c r="AK87">
        <v>10.099055630000001</v>
      </c>
      <c r="AL87">
        <v>9.8705403460000003</v>
      </c>
      <c r="AM87">
        <v>9.6508204460000009</v>
      </c>
      <c r="AN87">
        <v>9.2667163860000006</v>
      </c>
      <c r="AO87">
        <v>8.9803133870000007</v>
      </c>
      <c r="AP87">
        <v>8.739911695</v>
      </c>
      <c r="AQ87">
        <v>8.5067697940000002</v>
      </c>
      <c r="AR87">
        <v>8.2954070909999995</v>
      </c>
      <c r="AS87">
        <v>8.1112351290000007</v>
      </c>
      <c r="AT87">
        <v>7.9262748439999999</v>
      </c>
      <c r="AU87">
        <v>7.7346410040000002</v>
      </c>
      <c r="AV87">
        <v>7.5485268479999998</v>
      </c>
      <c r="AW87">
        <v>7.3675732140000001</v>
      </c>
    </row>
    <row r="88" spans="2:99" x14ac:dyDescent="0.25">
      <c r="B88" t="s">
        <v>188</v>
      </c>
      <c r="C88" s="39">
        <v>1.0609788529198101E-6</v>
      </c>
      <c r="D88" s="39">
        <v>1.0780132115867701E-6</v>
      </c>
      <c r="E88" s="39">
        <v>1.0953210600000001E-6</v>
      </c>
      <c r="F88" s="39">
        <v>1.28696919E-6</v>
      </c>
      <c r="G88" s="39">
        <v>2.3135476800000001E-6</v>
      </c>
      <c r="H88" s="39">
        <v>3.45730207E-6</v>
      </c>
      <c r="I88" s="39">
        <v>4.6463777000000001E-6</v>
      </c>
      <c r="J88" s="39">
        <v>6.1680443299999997E-6</v>
      </c>
      <c r="K88" s="39">
        <v>7.5496002100000002E-6</v>
      </c>
      <c r="L88" s="39">
        <v>8.7739965099999996E-6</v>
      </c>
      <c r="M88" s="39">
        <v>9.9683443300000004E-6</v>
      </c>
      <c r="N88" s="39">
        <v>1.06854332E-5</v>
      </c>
      <c r="O88" s="39">
        <v>1.12744578E-5</v>
      </c>
      <c r="P88" s="39">
        <v>1.15360182E-5</v>
      </c>
      <c r="Q88" s="39">
        <v>1.23216128E-5</v>
      </c>
      <c r="R88" s="39">
        <v>1.31970883E-5</v>
      </c>
      <c r="S88" s="39">
        <v>1.48806887E-5</v>
      </c>
      <c r="T88" s="39">
        <v>1.62320199E-5</v>
      </c>
      <c r="U88" s="39">
        <v>1.8428800199999999E-5</v>
      </c>
      <c r="V88" s="39">
        <v>2.0997572900000002E-5</v>
      </c>
      <c r="W88" s="39">
        <v>2.3325081999999999E-5</v>
      </c>
      <c r="X88" s="39">
        <v>2.541461E-5</v>
      </c>
      <c r="Y88" s="39">
        <v>2.7202293700000001E-5</v>
      </c>
      <c r="Z88" s="39">
        <v>2.8656882400000001E-5</v>
      </c>
      <c r="AA88" s="39">
        <v>2.9657829400000002E-5</v>
      </c>
      <c r="AB88" s="39">
        <v>3.0158278599999998E-5</v>
      </c>
      <c r="AC88" s="39">
        <v>3.0074924400000001E-5</v>
      </c>
      <c r="AD88" s="39">
        <v>2.97104969E-5</v>
      </c>
      <c r="AE88" s="39">
        <v>2.89516604E-5</v>
      </c>
      <c r="AF88" s="39">
        <v>2.78972375E-5</v>
      </c>
      <c r="AG88" s="39">
        <v>2.6671061599999999E-5</v>
      </c>
      <c r="AH88" s="39">
        <v>2.5371120599999999E-5</v>
      </c>
      <c r="AI88" s="39">
        <v>2.4034038299999999E-5</v>
      </c>
      <c r="AJ88" s="39">
        <v>2.27229003E-5</v>
      </c>
      <c r="AK88" s="39">
        <v>2.1456317399999999E-5</v>
      </c>
      <c r="AL88" s="39">
        <v>2.02432585E-5</v>
      </c>
      <c r="AM88" s="39">
        <v>1.90871615E-5</v>
      </c>
      <c r="AN88" s="39">
        <v>1.7997447700000001E-5</v>
      </c>
      <c r="AO88" s="39">
        <v>1.69678261E-5</v>
      </c>
      <c r="AP88" s="39">
        <v>1.59957921E-5</v>
      </c>
      <c r="AQ88" s="39">
        <v>1.50785555E-5</v>
      </c>
      <c r="AR88" s="39">
        <v>1.41501252E-5</v>
      </c>
      <c r="AS88" s="39">
        <v>1.32824476E-5</v>
      </c>
      <c r="AT88" s="39">
        <v>1.24675066E-5</v>
      </c>
      <c r="AU88" s="39">
        <v>1.17021578E-5</v>
      </c>
      <c r="AV88" s="39">
        <v>1.09834268E-5</v>
      </c>
      <c r="AW88" s="39">
        <v>1.03085078E-5</v>
      </c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</row>
    <row r="89" spans="2:99" x14ac:dyDescent="0.25">
      <c r="B89" t="s">
        <v>189</v>
      </c>
      <c r="C89" s="39">
        <v>0.26347077198670499</v>
      </c>
      <c r="D89" s="39">
        <v>0.26770088045298701</v>
      </c>
      <c r="E89" s="39">
        <v>0.27204382449999998</v>
      </c>
      <c r="F89" s="39">
        <v>0.3003008808</v>
      </c>
      <c r="G89" s="39">
        <v>0.29139846289999999</v>
      </c>
      <c r="H89" s="39">
        <v>0.2413730486</v>
      </c>
      <c r="I89" s="39">
        <v>0.24110250859999999</v>
      </c>
      <c r="J89" s="39">
        <v>0.2373219905</v>
      </c>
      <c r="K89" s="39">
        <v>0.25549245549999999</v>
      </c>
      <c r="L89" s="39">
        <v>0.25271232850000003</v>
      </c>
      <c r="M89" s="39">
        <v>0.25101789390000001</v>
      </c>
      <c r="N89" s="39">
        <v>0.24932108920000001</v>
      </c>
      <c r="O89" s="39">
        <v>0.2399765213</v>
      </c>
      <c r="P89" s="39">
        <v>0.24718788119999999</v>
      </c>
      <c r="Q89" s="39">
        <v>0.25425587199999999</v>
      </c>
      <c r="R89" s="39">
        <v>0.26372916829999998</v>
      </c>
      <c r="S89" s="39">
        <v>0.27849751449999999</v>
      </c>
      <c r="T89" s="39">
        <v>0.33876979779999999</v>
      </c>
      <c r="U89" s="39">
        <v>0.38905146889999997</v>
      </c>
      <c r="V89" s="39">
        <v>0.4323731301</v>
      </c>
      <c r="W89" s="39">
        <v>0.43653841040000002</v>
      </c>
      <c r="X89" s="39">
        <v>0.43736204569999998</v>
      </c>
      <c r="Y89" s="39">
        <v>0.46376248850000001</v>
      </c>
      <c r="Z89" s="39">
        <v>0.49153462959999999</v>
      </c>
      <c r="AA89" s="39">
        <v>0.52182181780000003</v>
      </c>
      <c r="AB89" s="39">
        <v>0.5521639746</v>
      </c>
      <c r="AC89" s="39">
        <v>0.58269925020000002</v>
      </c>
      <c r="AD89" s="39">
        <v>0.57131676789999997</v>
      </c>
      <c r="AE89" s="39">
        <v>0.55976868040000005</v>
      </c>
      <c r="AF89" s="39">
        <v>0.54798266259999995</v>
      </c>
      <c r="AG89" s="39">
        <v>0.53569178419999997</v>
      </c>
      <c r="AH89" s="39">
        <v>0.52422847439999998</v>
      </c>
      <c r="AI89" s="39">
        <v>0.51180509200000002</v>
      </c>
      <c r="AJ89" s="39">
        <v>0.50085947679999998</v>
      </c>
      <c r="AK89" s="39">
        <v>0.49277951879999998</v>
      </c>
      <c r="AL89" s="39">
        <v>0.48805078149999997</v>
      </c>
      <c r="AM89" s="39">
        <v>0.48953979689999999</v>
      </c>
      <c r="AN89" s="39">
        <v>0.50120017800000005</v>
      </c>
      <c r="AO89" s="39">
        <v>0.51210962589999998</v>
      </c>
      <c r="AP89" s="39">
        <v>0.52458520600000003</v>
      </c>
      <c r="AQ89" s="39">
        <v>0.53713486089999996</v>
      </c>
      <c r="AR89" s="39">
        <v>0.55011399709999997</v>
      </c>
      <c r="AS89" s="39">
        <v>0.58481199129999994</v>
      </c>
      <c r="AT89" s="39">
        <v>0.62210313760000002</v>
      </c>
      <c r="AU89" s="39">
        <v>0.6462895582</v>
      </c>
      <c r="AV89">
        <v>0.66646873559999997</v>
      </c>
      <c r="AW89">
        <v>0.68678164070000003</v>
      </c>
    </row>
    <row r="90" spans="2:99" x14ac:dyDescent="0.25">
      <c r="B90" t="s">
        <v>190</v>
      </c>
      <c r="C90">
        <v>2318131524.4374599</v>
      </c>
      <c r="D90">
        <v>2355349875.8831902</v>
      </c>
      <c r="E90">
        <v>2393165780</v>
      </c>
      <c r="F90">
        <v>2417743066</v>
      </c>
      <c r="G90">
        <v>2442572755</v>
      </c>
      <c r="H90">
        <v>2467657440</v>
      </c>
      <c r="I90">
        <v>2492999739</v>
      </c>
      <c r="J90">
        <v>2518602297</v>
      </c>
      <c r="K90">
        <v>2544467789</v>
      </c>
      <c r="L90">
        <v>2570598913</v>
      </c>
      <c r="M9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2894237491</v>
      </c>
      <c r="X90">
        <v>2923541461</v>
      </c>
      <c r="Y90">
        <v>2951786561</v>
      </c>
      <c r="Z90">
        <v>2978894631</v>
      </c>
      <c r="AA90">
        <v>3005007253</v>
      </c>
      <c r="AB90">
        <v>3029962061</v>
      </c>
      <c r="AC90">
        <v>3053683419</v>
      </c>
      <c r="AD90">
        <v>3075966783</v>
      </c>
      <c r="AE90">
        <v>3096643061</v>
      </c>
      <c r="AF90">
        <v>3115633112</v>
      </c>
      <c r="AG90">
        <v>3132904968</v>
      </c>
      <c r="AH90">
        <v>3148703240</v>
      </c>
      <c r="AI90">
        <v>3162683712</v>
      </c>
      <c r="AJ90">
        <v>3174684187</v>
      </c>
      <c r="AK90">
        <v>3184958638</v>
      </c>
      <c r="AL90">
        <v>3193443763</v>
      </c>
      <c r="AM90">
        <v>3200032522</v>
      </c>
      <c r="AN90">
        <v>3206562752</v>
      </c>
      <c r="AO90">
        <v>3212848776</v>
      </c>
      <c r="AP90">
        <v>3218889426</v>
      </c>
      <c r="AQ90">
        <v>3224962705</v>
      </c>
      <c r="AR90">
        <v>3230882253</v>
      </c>
      <c r="AS90">
        <v>3236693882</v>
      </c>
      <c r="AT90">
        <v>3242537314</v>
      </c>
      <c r="AU90">
        <v>3248318802</v>
      </c>
      <c r="AV90">
        <v>3254037817</v>
      </c>
      <c r="AW90">
        <v>3259693780</v>
      </c>
    </row>
    <row r="91" spans="2:99" x14ac:dyDescent="0.25">
      <c r="B91" t="s">
        <v>191</v>
      </c>
      <c r="C91">
        <v>640398.31806251395</v>
      </c>
      <c r="D91">
        <v>650680.12020171306</v>
      </c>
      <c r="E91">
        <v>661127</v>
      </c>
      <c r="F91">
        <v>1873263.764</v>
      </c>
      <c r="G91">
        <v>3556578.47</v>
      </c>
      <c r="H91">
        <v>5352115.1430000002</v>
      </c>
      <c r="I91">
        <v>6916454.8820000002</v>
      </c>
      <c r="J91">
        <v>8504169.2860000003</v>
      </c>
      <c r="K91">
        <v>10262624.550000001</v>
      </c>
      <c r="L91">
        <v>12199400.810000001</v>
      </c>
      <c r="M91">
        <v>14305240.619999999</v>
      </c>
      <c r="N91">
        <v>16527656.119999999</v>
      </c>
      <c r="O91">
        <v>18587604.120000001</v>
      </c>
      <c r="P91">
        <v>20875595.969999999</v>
      </c>
      <c r="Q91">
        <v>23647735.109999999</v>
      </c>
      <c r="R91">
        <v>27619044.239999998</v>
      </c>
      <c r="S91">
        <v>32440810.960000001</v>
      </c>
      <c r="T91">
        <v>38212347.280000001</v>
      </c>
      <c r="U91">
        <v>44646683.950000003</v>
      </c>
      <c r="V91">
        <v>51507404.229999997</v>
      </c>
      <c r="W91">
        <v>58104966.469999999</v>
      </c>
      <c r="X91">
        <v>64650861.200000003</v>
      </c>
      <c r="Y91">
        <v>73047073.280000001</v>
      </c>
      <c r="Z91">
        <v>83684491.319999903</v>
      </c>
      <c r="AA91">
        <v>95710751.989999995</v>
      </c>
      <c r="AB91">
        <v>108716995.3</v>
      </c>
      <c r="AC91">
        <v>122817178.5</v>
      </c>
      <c r="AD91">
        <v>137755592.40000001</v>
      </c>
      <c r="AE91">
        <v>153435731.30000001</v>
      </c>
      <c r="AF91">
        <v>169747705.5</v>
      </c>
      <c r="AG91">
        <v>186700352.5</v>
      </c>
      <c r="AH91">
        <v>204404401.09999999</v>
      </c>
      <c r="AI91">
        <v>222853251.30000001</v>
      </c>
      <c r="AJ91">
        <v>242125022.19999999</v>
      </c>
      <c r="AK91">
        <v>262522888</v>
      </c>
      <c r="AL91">
        <v>283932819.80000001</v>
      </c>
      <c r="AM91">
        <v>306485475.60000002</v>
      </c>
      <c r="AN91">
        <v>330308459.39999998</v>
      </c>
      <c r="AO91">
        <v>355158011.60000002</v>
      </c>
      <c r="AP91">
        <v>380876263.30000001</v>
      </c>
      <c r="AQ91">
        <v>407753481.19999999</v>
      </c>
      <c r="AR91">
        <v>435880567.80000001</v>
      </c>
      <c r="AS91">
        <v>464801695.19999999</v>
      </c>
      <c r="AT91">
        <v>494414224.80000001</v>
      </c>
      <c r="AU91">
        <v>524672791.30000001</v>
      </c>
      <c r="AV91">
        <v>555485209</v>
      </c>
      <c r="AW91">
        <v>586921799.20000005</v>
      </c>
    </row>
    <row r="92" spans="2:99" x14ac:dyDescent="0.25">
      <c r="B92" t="s">
        <v>192</v>
      </c>
      <c r="C92">
        <v>41062689.603059798</v>
      </c>
      <c r="D92">
        <v>41721964.366740197</v>
      </c>
      <c r="E92">
        <v>42391824</v>
      </c>
      <c r="F92">
        <v>48313275.68</v>
      </c>
      <c r="G92">
        <v>55391001.670000002</v>
      </c>
      <c r="H92">
        <v>62855582.280000001</v>
      </c>
      <c r="I92">
        <v>69239204.200000003</v>
      </c>
      <c r="J92">
        <v>75841180.810000002</v>
      </c>
      <c r="K92">
        <v>83235640.489999995</v>
      </c>
      <c r="L92" s="272">
        <v>91784060.439999998</v>
      </c>
      <c r="M92">
        <v>100827653.40000001</v>
      </c>
      <c r="N92">
        <v>109847461.59999999</v>
      </c>
      <c r="O92">
        <v>117288276.40000001</v>
      </c>
      <c r="P92">
        <v>125219569</v>
      </c>
      <c r="Q92">
        <v>134462033.30000001</v>
      </c>
      <c r="R92">
        <v>148312363.09999999</v>
      </c>
      <c r="S92">
        <v>164023301.30000001</v>
      </c>
      <c r="T92">
        <v>182590662.09999999</v>
      </c>
      <c r="U92">
        <v>201358431.90000001</v>
      </c>
      <c r="V92">
        <v>220564042.30000001</v>
      </c>
      <c r="W92">
        <v>237886920.19999999</v>
      </c>
      <c r="X92">
        <v>254835164.80000001</v>
      </c>
      <c r="Y92">
        <v>275494579.89999998</v>
      </c>
      <c r="Z92">
        <v>299136955.60000002</v>
      </c>
      <c r="AA92">
        <v>324185505</v>
      </c>
      <c r="AB92">
        <v>349528830.80000001</v>
      </c>
      <c r="AC92">
        <v>375090084.39999998</v>
      </c>
      <c r="AD92">
        <v>400255803.39999998</v>
      </c>
      <c r="AE92">
        <v>425072164.89999998</v>
      </c>
      <c r="AF92">
        <v>449282894.80000001</v>
      </c>
      <c r="AG92">
        <v>472933914.10000002</v>
      </c>
      <c r="AH92">
        <v>496145448.10000002</v>
      </c>
      <c r="AI92">
        <v>518845843.5</v>
      </c>
      <c r="AJ92">
        <v>541099880.89999998</v>
      </c>
      <c r="AK92">
        <v>563103315.39999998</v>
      </c>
      <c r="AL92">
        <v>584550789.39999998</v>
      </c>
      <c r="AM92">
        <v>605445390.20000005</v>
      </c>
      <c r="AN92">
        <v>625806519.29999995</v>
      </c>
      <c r="AO92">
        <v>645552452.20000005</v>
      </c>
      <c r="AP92">
        <v>664505843.89999998</v>
      </c>
      <c r="AQ92">
        <v>682853040.29999995</v>
      </c>
      <c r="AR92">
        <v>700507181.5</v>
      </c>
      <c r="AS92">
        <v>717223180.20000005</v>
      </c>
      <c r="AT92">
        <v>733006009.29999995</v>
      </c>
      <c r="AU92">
        <v>747842053.20000005</v>
      </c>
      <c r="AV92">
        <v>761772606.5</v>
      </c>
      <c r="AW92">
        <v>774855389.79999995</v>
      </c>
    </row>
    <row r="93" spans="2:99" x14ac:dyDescent="0.25">
      <c r="B93" t="s">
        <v>193</v>
      </c>
      <c r="C93">
        <v>291506404.18067801</v>
      </c>
      <c r="D93">
        <v>296186633.79021603</v>
      </c>
      <c r="E93">
        <v>300942006</v>
      </c>
      <c r="F93">
        <v>329947512.80000001</v>
      </c>
      <c r="G93">
        <v>360030544.89999998</v>
      </c>
      <c r="H93">
        <v>390075618.89999998</v>
      </c>
      <c r="I93">
        <v>415183227.19999999</v>
      </c>
      <c r="J93">
        <v>440205726.39999998</v>
      </c>
      <c r="K93">
        <v>467801831.30000001</v>
      </c>
      <c r="L93">
        <v>497857154.60000002</v>
      </c>
      <c r="M93">
        <v>526970152</v>
      </c>
      <c r="N93">
        <v>552505194.10000002</v>
      </c>
      <c r="O93">
        <v>573103730.29999995</v>
      </c>
      <c r="P93">
        <v>590452198.89999998</v>
      </c>
      <c r="Q93">
        <v>609000896.10000002</v>
      </c>
      <c r="R93">
        <v>632640303.60000002</v>
      </c>
      <c r="S93">
        <v>657379989.60000002</v>
      </c>
      <c r="T93">
        <v>682787111.29999995</v>
      </c>
      <c r="U93">
        <v>706447431.39999998</v>
      </c>
      <c r="V93">
        <v>729295734.29999995</v>
      </c>
      <c r="W93">
        <v>749198967.10000002</v>
      </c>
      <c r="X93">
        <v>766959791.39999998</v>
      </c>
      <c r="Y93">
        <v>784284287.20000005</v>
      </c>
      <c r="Z93">
        <v>800562110.89999998</v>
      </c>
      <c r="AA93">
        <v>816005841.10000002</v>
      </c>
      <c r="AB93">
        <v>830114701.39999998</v>
      </c>
      <c r="AC93">
        <v>842657434.20000005</v>
      </c>
      <c r="AD93">
        <v>853433600.20000005</v>
      </c>
      <c r="AE93">
        <v>862625401.60000002</v>
      </c>
      <c r="AF93">
        <v>870177169.5</v>
      </c>
      <c r="AG93">
        <v>876177372.5</v>
      </c>
      <c r="AH93">
        <v>880794665.79999995</v>
      </c>
      <c r="AI93">
        <v>883934516.79999995</v>
      </c>
      <c r="AJ93">
        <v>885643886.79999995</v>
      </c>
      <c r="AK93">
        <v>885963710.39999998</v>
      </c>
      <c r="AL93">
        <v>884779047.79999995</v>
      </c>
      <c r="AM93">
        <v>882039115.20000005</v>
      </c>
      <c r="AN93">
        <v>878345160.89999998</v>
      </c>
      <c r="AO93">
        <v>874034571.39999998</v>
      </c>
      <c r="AP93">
        <v>869062907.79999995</v>
      </c>
      <c r="AQ93">
        <v>863460545.79999995</v>
      </c>
      <c r="AR93">
        <v>857033899.70000005</v>
      </c>
      <c r="AS93">
        <v>849842673.89999998</v>
      </c>
      <c r="AT93">
        <v>841982236.20000005</v>
      </c>
      <c r="AU93">
        <v>833479633.5</v>
      </c>
      <c r="AV93">
        <v>824457177.60000002</v>
      </c>
      <c r="AW93">
        <v>814956515.10000002</v>
      </c>
    </row>
    <row r="94" spans="2:99" x14ac:dyDescent="0.25">
      <c r="B94" t="s">
        <v>194</v>
      </c>
      <c r="C94">
        <v>640671991.67983496</v>
      </c>
      <c r="D94">
        <v>650958187.73748195</v>
      </c>
      <c r="E94">
        <v>661409532</v>
      </c>
      <c r="F94">
        <v>679066305.89999998</v>
      </c>
      <c r="G94">
        <v>696820560.20000005</v>
      </c>
      <c r="H94">
        <v>714812255.60000002</v>
      </c>
      <c r="I94">
        <v>730318855.79999995</v>
      </c>
      <c r="J94">
        <v>745963066.89999998</v>
      </c>
      <c r="K94">
        <v>763535289</v>
      </c>
      <c r="L94">
        <v>782503515.29999995</v>
      </c>
      <c r="M94">
        <v>800538212.89999998</v>
      </c>
      <c r="N94">
        <v>815873435.20000005</v>
      </c>
      <c r="O94">
        <v>829726834.79999995</v>
      </c>
      <c r="P94">
        <v>840710573</v>
      </c>
      <c r="Q94">
        <v>851791978.79999995</v>
      </c>
      <c r="R94">
        <v>862424220</v>
      </c>
      <c r="S94">
        <v>872668893.29999995</v>
      </c>
      <c r="T94">
        <v>880811394.79999995</v>
      </c>
      <c r="U94">
        <v>887910944.20000005</v>
      </c>
      <c r="V94">
        <v>894884144.5</v>
      </c>
      <c r="W94">
        <v>901942481</v>
      </c>
      <c r="X94">
        <v>907840611.79999995</v>
      </c>
      <c r="Y94">
        <v>909535062.39999998</v>
      </c>
      <c r="Z94">
        <v>907387104.20000005</v>
      </c>
      <c r="AA94">
        <v>903285338.20000005</v>
      </c>
      <c r="AB94">
        <v>897949508.10000002</v>
      </c>
      <c r="AC94">
        <v>891213328.79999995</v>
      </c>
      <c r="AD94">
        <v>883477169</v>
      </c>
      <c r="AE94">
        <v>874716489.60000002</v>
      </c>
      <c r="AF94">
        <v>865069877.70000005</v>
      </c>
      <c r="AG94">
        <v>854503530.10000002</v>
      </c>
      <c r="AH94">
        <v>843049129.79999995</v>
      </c>
      <c r="AI94">
        <v>830560047.70000005</v>
      </c>
      <c r="AJ94">
        <v>816908272.70000005</v>
      </c>
      <c r="AK94">
        <v>801952436.20000005</v>
      </c>
      <c r="AL94">
        <v>785872849.29999995</v>
      </c>
      <c r="AM94">
        <v>768545105.20000005</v>
      </c>
      <c r="AN94">
        <v>750979674</v>
      </c>
      <c r="AO94">
        <v>733518743.10000002</v>
      </c>
      <c r="AP94">
        <v>716231915</v>
      </c>
      <c r="AQ94">
        <v>698904945.10000002</v>
      </c>
      <c r="AR94">
        <v>681370531.70000005</v>
      </c>
      <c r="AS94">
        <v>663932621.20000005</v>
      </c>
      <c r="AT94">
        <v>646639652.39999998</v>
      </c>
      <c r="AU94">
        <v>629477406.89999998</v>
      </c>
      <c r="AV94">
        <v>612484987.20000005</v>
      </c>
      <c r="AW94">
        <v>596329032</v>
      </c>
    </row>
    <row r="95" spans="2:99" x14ac:dyDescent="0.25">
      <c r="B95" t="s">
        <v>195</v>
      </c>
      <c r="C95">
        <v>762047427.55376601</v>
      </c>
      <c r="D95">
        <v>774282345.494367</v>
      </c>
      <c r="E95">
        <v>786713699</v>
      </c>
      <c r="F95">
        <v>767713813.79999995</v>
      </c>
      <c r="G95">
        <v>747563093.29999995</v>
      </c>
      <c r="H95">
        <v>727533772</v>
      </c>
      <c r="I95">
        <v>712574824.20000005</v>
      </c>
      <c r="J95">
        <v>697836970.60000002</v>
      </c>
      <c r="K95">
        <v>680687063.79999995</v>
      </c>
      <c r="L95">
        <v>661283644.60000002</v>
      </c>
      <c r="M95">
        <v>642840274.20000005</v>
      </c>
      <c r="N95">
        <v>627845205.79999995</v>
      </c>
      <c r="O95">
        <v>619144820.70000005</v>
      </c>
      <c r="P95">
        <v>613456091.10000002</v>
      </c>
      <c r="Q95">
        <v>606396155.29999995</v>
      </c>
      <c r="R95">
        <v>593293641.29999995</v>
      </c>
      <c r="S95">
        <v>578497259.20000005</v>
      </c>
      <c r="T95">
        <v>562207162.70000005</v>
      </c>
      <c r="U95">
        <v>546936726</v>
      </c>
      <c r="V95">
        <v>532821523.89999998</v>
      </c>
      <c r="W95">
        <v>521387508.19999999</v>
      </c>
      <c r="X95">
        <v>511428773.39999998</v>
      </c>
      <c r="Y95">
        <v>500326698.19999999</v>
      </c>
      <c r="Z95">
        <v>488376232.30000001</v>
      </c>
      <c r="AA95">
        <v>475961918.69999999</v>
      </c>
      <c r="AB95">
        <v>463727608.69999999</v>
      </c>
      <c r="AC95">
        <v>451803299.69999999</v>
      </c>
      <c r="AD95">
        <v>440446950.89999998</v>
      </c>
      <c r="AE95">
        <v>429509817.19999999</v>
      </c>
      <c r="AF95">
        <v>419090943.19999999</v>
      </c>
      <c r="AG95">
        <v>409103035.5</v>
      </c>
      <c r="AH95">
        <v>399432832</v>
      </c>
      <c r="AI95">
        <v>390056995.80000001</v>
      </c>
      <c r="AJ95">
        <v>380847952.60000002</v>
      </c>
      <c r="AK95">
        <v>371704731.10000002</v>
      </c>
      <c r="AL95">
        <v>362775452.30000001</v>
      </c>
      <c r="AM95">
        <v>354009590.19999999</v>
      </c>
      <c r="AN95">
        <v>345452573.89999998</v>
      </c>
      <c r="AO95">
        <v>336859544.80000001</v>
      </c>
      <c r="AP95">
        <v>328382754</v>
      </c>
      <c r="AQ95">
        <v>319990435.10000002</v>
      </c>
      <c r="AR95">
        <v>311756448.39999998</v>
      </c>
      <c r="AS95">
        <v>303890641.60000002</v>
      </c>
      <c r="AT95">
        <v>296435267.30000001</v>
      </c>
      <c r="AU95">
        <v>289361812.60000002</v>
      </c>
      <c r="AV95">
        <v>282615669.30000001</v>
      </c>
      <c r="AW95">
        <v>276131191.10000002</v>
      </c>
    </row>
    <row r="96" spans="2:99" x14ac:dyDescent="0.25">
      <c r="B96" t="s">
        <v>196</v>
      </c>
      <c r="C96">
        <v>399231640.45290101</v>
      </c>
      <c r="D96">
        <v>405641433.57550502</v>
      </c>
      <c r="E96">
        <v>412154138</v>
      </c>
      <c r="F96">
        <v>399772763.5</v>
      </c>
      <c r="G96">
        <v>386967517</v>
      </c>
      <c r="H96">
        <v>374327063</v>
      </c>
      <c r="I96">
        <v>364699601.80000001</v>
      </c>
      <c r="J96">
        <v>355232997.60000002</v>
      </c>
      <c r="K96">
        <v>344366769.10000002</v>
      </c>
      <c r="L96">
        <v>332304261.10000002</v>
      </c>
      <c r="M96">
        <v>321006188.5</v>
      </c>
      <c r="N96">
        <v>311915137.80000001</v>
      </c>
      <c r="O96">
        <v>306453595.69999999</v>
      </c>
      <c r="P96">
        <v>302864602.80000001</v>
      </c>
      <c r="Q96">
        <v>298634172.69999999</v>
      </c>
      <c r="R96">
        <v>291390891.10000002</v>
      </c>
      <c r="S96">
        <v>283370906.89999998</v>
      </c>
      <c r="T96">
        <v>274795014.5</v>
      </c>
      <c r="U96">
        <v>266814674.5</v>
      </c>
      <c r="V96">
        <v>259511116.5</v>
      </c>
      <c r="W96">
        <v>253531349.30000001</v>
      </c>
      <c r="X96">
        <v>248342237.80000001</v>
      </c>
      <c r="Y96">
        <v>242813766.69999999</v>
      </c>
      <c r="Z96">
        <v>237023726.5</v>
      </c>
      <c r="AA96">
        <v>231021424</v>
      </c>
      <c r="AB96">
        <v>225075825.5</v>
      </c>
      <c r="AC96">
        <v>219265624.80000001</v>
      </c>
      <c r="AD96">
        <v>213692293.80000001</v>
      </c>
      <c r="AE96">
        <v>208281894.69999999</v>
      </c>
      <c r="AF96">
        <v>203077666.19999999</v>
      </c>
      <c r="AG96">
        <v>198045882.69999999</v>
      </c>
      <c r="AH96">
        <v>193140741.90000001</v>
      </c>
      <c r="AI96">
        <v>188353692.09999999</v>
      </c>
      <c r="AJ96">
        <v>183628326</v>
      </c>
      <c r="AK96">
        <v>178934041.30000001</v>
      </c>
      <c r="AL96">
        <v>174338273.09999999</v>
      </c>
      <c r="AM96">
        <v>169826256.40000001</v>
      </c>
      <c r="AN96">
        <v>165419002</v>
      </c>
      <c r="AO96">
        <v>160985315.19999999</v>
      </c>
      <c r="AP96">
        <v>156591394.59999999</v>
      </c>
      <c r="AQ96">
        <v>152233775.30000001</v>
      </c>
      <c r="AR96">
        <v>147956867.59999999</v>
      </c>
      <c r="AS96">
        <v>143849036.40000001</v>
      </c>
      <c r="AT96">
        <v>139928689</v>
      </c>
      <c r="AU96">
        <v>136184843.40000001</v>
      </c>
      <c r="AV96">
        <v>132591469.59999999</v>
      </c>
      <c r="AW96">
        <v>129120026.40000001</v>
      </c>
    </row>
    <row r="97" spans="2:49" x14ac:dyDescent="0.25">
      <c r="B97" t="s">
        <v>197</v>
      </c>
      <c r="C97">
        <v>182970972.649156</v>
      </c>
      <c r="D97">
        <v>185908630.79867601</v>
      </c>
      <c r="E97">
        <v>188893454</v>
      </c>
      <c r="F97">
        <v>191056130.5</v>
      </c>
      <c r="G97">
        <v>192243459.5</v>
      </c>
      <c r="H97">
        <v>192701032.90000001</v>
      </c>
      <c r="I97">
        <v>194067570.5</v>
      </c>
      <c r="J97">
        <v>195018185.80000001</v>
      </c>
      <c r="K97">
        <v>194578570.30000001</v>
      </c>
      <c r="L97">
        <v>192666876.09999999</v>
      </c>
      <c r="M97">
        <v>190510676.30000001</v>
      </c>
      <c r="N97">
        <v>189154909.40000001</v>
      </c>
      <c r="O97">
        <v>189683583.90000001</v>
      </c>
      <c r="P97">
        <v>191079636.5</v>
      </c>
      <c r="Q97">
        <v>191749541.40000001</v>
      </c>
      <c r="R97">
        <v>189786662</v>
      </c>
      <c r="S97">
        <v>186770578.19999999</v>
      </c>
      <c r="T97">
        <v>182825878.59999999</v>
      </c>
      <c r="U97">
        <v>178942685</v>
      </c>
      <c r="V97">
        <v>175199223.69999999</v>
      </c>
      <c r="W97">
        <v>172185298.69999999</v>
      </c>
      <c r="X97">
        <v>169484020.40000001</v>
      </c>
      <c r="Y97">
        <v>166285093.19999999</v>
      </c>
      <c r="Z97">
        <v>162724010</v>
      </c>
      <c r="AA97">
        <v>158836473.90000001</v>
      </c>
      <c r="AB97">
        <v>154848590.80000001</v>
      </c>
      <c r="AC97">
        <v>150836468.40000001</v>
      </c>
      <c r="AD97">
        <v>146905373.09999999</v>
      </c>
      <c r="AE97">
        <v>143001561.90000001</v>
      </c>
      <c r="AF97">
        <v>139186855.40000001</v>
      </c>
      <c r="AG97">
        <v>135440880.59999999</v>
      </c>
      <c r="AH97">
        <v>131736021.2</v>
      </c>
      <c r="AI97">
        <v>128079365.2</v>
      </c>
      <c r="AJ97">
        <v>124430845.40000001</v>
      </c>
      <c r="AK97">
        <v>120777515.2</v>
      </c>
      <c r="AL97">
        <v>117194531</v>
      </c>
      <c r="AM97">
        <v>113681589.40000001</v>
      </c>
      <c r="AN97">
        <v>110251362.3</v>
      </c>
      <c r="AO97">
        <v>106740137.90000001</v>
      </c>
      <c r="AP97">
        <v>103238347.40000001</v>
      </c>
      <c r="AQ97">
        <v>99766482.209999904</v>
      </c>
      <c r="AR97">
        <v>96376756.719999999</v>
      </c>
      <c r="AS97">
        <v>93154033.900000006</v>
      </c>
      <c r="AT97">
        <v>90131235.079999998</v>
      </c>
      <c r="AU97">
        <v>87300261.040000007</v>
      </c>
      <c r="AV97">
        <v>84630697.780000001</v>
      </c>
      <c r="AW97">
        <v>82095374.420000002</v>
      </c>
    </row>
    <row r="98" spans="2:49" x14ac:dyDescent="0.25">
      <c r="B98" t="s">
        <v>198</v>
      </c>
      <c r="C98">
        <v>61.608374519870097</v>
      </c>
      <c r="D98">
        <v>61.608374519870097</v>
      </c>
      <c r="E98">
        <v>66.778423849999996</v>
      </c>
      <c r="F98">
        <v>66.585336870000006</v>
      </c>
      <c r="G98">
        <v>67.170608279999996</v>
      </c>
      <c r="H98">
        <v>67.045682529999894</v>
      </c>
      <c r="I98">
        <v>68.757911149999998</v>
      </c>
      <c r="J98">
        <v>68.941646939999998</v>
      </c>
      <c r="K98">
        <v>69.370554369999894</v>
      </c>
      <c r="L98">
        <v>69.094803959999894</v>
      </c>
      <c r="M98">
        <v>73.278659259999998</v>
      </c>
      <c r="N98">
        <v>77.588218699999999</v>
      </c>
      <c r="O98">
        <v>83.675599129999995</v>
      </c>
      <c r="P98">
        <v>90.037917809999996</v>
      </c>
      <c r="Q98">
        <v>99.953609150000005</v>
      </c>
      <c r="R98">
        <v>99.574016319999998</v>
      </c>
      <c r="S98">
        <v>98.76474451</v>
      </c>
      <c r="T98">
        <v>98.699171059999998</v>
      </c>
      <c r="U98">
        <v>99.054355240000007</v>
      </c>
      <c r="V98">
        <v>99.629514670000006</v>
      </c>
      <c r="W98">
        <v>100.03686190000001</v>
      </c>
      <c r="X98">
        <v>101.0907167</v>
      </c>
      <c r="Y98">
        <v>99.785077990000005</v>
      </c>
      <c r="Z98">
        <v>113.3127487</v>
      </c>
      <c r="AA98">
        <v>111.48920630000001</v>
      </c>
      <c r="AB98">
        <v>106.0341571</v>
      </c>
      <c r="AC98">
        <v>104.5601712</v>
      </c>
      <c r="AD98">
        <v>108.6724086</v>
      </c>
      <c r="AE98">
        <v>111.0799987</v>
      </c>
      <c r="AF98">
        <v>114.80616240000001</v>
      </c>
      <c r="AG98">
        <v>119.6641217</v>
      </c>
      <c r="AH98">
        <v>124.52307380000001</v>
      </c>
      <c r="AI98">
        <v>138.68834100000001</v>
      </c>
      <c r="AJ98">
        <v>152.82840780000001</v>
      </c>
      <c r="AK98">
        <v>166.97914</v>
      </c>
      <c r="AL98">
        <v>180.1660502</v>
      </c>
      <c r="AM98">
        <v>193.1348065</v>
      </c>
      <c r="AN98">
        <v>203.03132210000001</v>
      </c>
      <c r="AO98">
        <v>212.53164150000001</v>
      </c>
      <c r="AP98">
        <v>221.5662159</v>
      </c>
      <c r="AQ98">
        <v>230.13864709999999</v>
      </c>
      <c r="AR98">
        <v>238.2036999</v>
      </c>
      <c r="AS98">
        <v>238.62606579999999</v>
      </c>
      <c r="AT98">
        <v>238.3276176</v>
      </c>
      <c r="AU98">
        <v>237.1230496</v>
      </c>
      <c r="AV98">
        <v>235.5220569</v>
      </c>
      <c r="AW98">
        <v>233.47391959999999</v>
      </c>
    </row>
    <row r="99" spans="2:49" x14ac:dyDescent="0.25">
      <c r="B99" t="s">
        <v>507</v>
      </c>
      <c r="C99">
        <v>61.608374519870097</v>
      </c>
      <c r="D99">
        <v>61.608374519870097</v>
      </c>
      <c r="E99">
        <v>66.778423849999996</v>
      </c>
      <c r="F99">
        <v>66.585336870000006</v>
      </c>
      <c r="G99">
        <v>67.170608279999996</v>
      </c>
      <c r="H99">
        <v>67.045682529999894</v>
      </c>
      <c r="I99">
        <v>68.757911149999998</v>
      </c>
      <c r="J99">
        <v>68.941646939999998</v>
      </c>
      <c r="K99">
        <v>69.370554369999894</v>
      </c>
      <c r="L99">
        <v>69.094803959999894</v>
      </c>
      <c r="M99">
        <v>73.278659259999998</v>
      </c>
      <c r="N99">
        <v>77.588218699999999</v>
      </c>
      <c r="O99">
        <v>83.674973539999996</v>
      </c>
      <c r="P99">
        <v>90.036465039999996</v>
      </c>
      <c r="Q99">
        <v>99.951652269999997</v>
      </c>
      <c r="R99">
        <v>99.572624880000006</v>
      </c>
      <c r="S99">
        <v>98.764877290000001</v>
      </c>
      <c r="T99">
        <v>98.700884930000001</v>
      </c>
      <c r="U99">
        <v>99.058367259999997</v>
      </c>
      <c r="V99">
        <v>99.633878710000005</v>
      </c>
      <c r="W99">
        <v>99.90097858</v>
      </c>
      <c r="X99">
        <v>101.1435664</v>
      </c>
      <c r="Y99">
        <v>99.468908279999894</v>
      </c>
      <c r="Z99">
        <v>97.609098399999894</v>
      </c>
      <c r="AA99">
        <v>95.71709851</v>
      </c>
      <c r="AB99">
        <v>93.839516130000007</v>
      </c>
      <c r="AC99">
        <v>92.015804939999995</v>
      </c>
      <c r="AD99">
        <v>90.3192205</v>
      </c>
      <c r="AE99">
        <v>88.631290539999995</v>
      </c>
      <c r="AF99">
        <v>87.118596400000001</v>
      </c>
      <c r="AG99">
        <v>85.557247140000001</v>
      </c>
      <c r="AH99">
        <v>84.009059820000004</v>
      </c>
      <c r="AI99">
        <v>82.547206930000002</v>
      </c>
      <c r="AJ99">
        <v>81.113798930000002</v>
      </c>
      <c r="AK99">
        <v>79.72611972</v>
      </c>
      <c r="AL99">
        <v>78.404851309999998</v>
      </c>
      <c r="AM99">
        <v>77.158357260000002</v>
      </c>
      <c r="AN99">
        <v>77.571031959999999</v>
      </c>
      <c r="AO99">
        <v>78.21540899</v>
      </c>
      <c r="AP99">
        <v>79.079251279999994</v>
      </c>
      <c r="AQ99">
        <v>80.188102180000001</v>
      </c>
      <c r="AR99">
        <v>81.550380480000001</v>
      </c>
      <c r="AS99">
        <v>81.789872059999894</v>
      </c>
      <c r="AT99">
        <v>82.156207570000007</v>
      </c>
      <c r="AU99">
        <v>82.650678339999999</v>
      </c>
      <c r="AV99">
        <v>83.28682834</v>
      </c>
      <c r="AW99">
        <v>84.064178479999995</v>
      </c>
    </row>
    <row r="100" spans="2:49" x14ac:dyDescent="0.25">
      <c r="B100" t="s">
        <v>199</v>
      </c>
      <c r="C100">
        <v>0.96116878123798499</v>
      </c>
      <c r="D100">
        <v>0.98039215686274495</v>
      </c>
      <c r="E100">
        <v>0.99116511210000002</v>
      </c>
      <c r="F100">
        <v>0.99854442249999997</v>
      </c>
      <c r="G100">
        <v>1.0087508549999999</v>
      </c>
      <c r="H100">
        <v>1.03136852</v>
      </c>
      <c r="I100">
        <v>1.040172238</v>
      </c>
      <c r="J100">
        <v>1.0441750569999999</v>
      </c>
      <c r="K100">
        <v>1.0483990750000001</v>
      </c>
      <c r="L100">
        <v>1.0616316619999999</v>
      </c>
      <c r="M100">
        <v>1.0779821249999999</v>
      </c>
      <c r="N100">
        <v>1.094833478</v>
      </c>
      <c r="O100">
        <v>1.1067040640000001</v>
      </c>
      <c r="P100">
        <v>1.115687911</v>
      </c>
      <c r="Q100">
        <v>1.128147837</v>
      </c>
      <c r="R100">
        <v>1.150417019</v>
      </c>
      <c r="S100">
        <v>1.172263995</v>
      </c>
      <c r="T100">
        <v>1.1949411809999999</v>
      </c>
      <c r="U100">
        <v>1.217523248</v>
      </c>
      <c r="V100">
        <v>1.2440999530000001</v>
      </c>
      <c r="W100">
        <v>1.2721138970000001</v>
      </c>
      <c r="X100">
        <v>1.298561144</v>
      </c>
      <c r="Y100">
        <v>1.3295377230000001</v>
      </c>
      <c r="Z100">
        <v>1.361030062</v>
      </c>
      <c r="AA100">
        <v>1.3942328980000001</v>
      </c>
      <c r="AB100">
        <v>1.4290425920000001</v>
      </c>
      <c r="AC100">
        <v>1.4661483019999999</v>
      </c>
      <c r="AD100">
        <v>1.505403708</v>
      </c>
      <c r="AE100">
        <v>1.5465496489999999</v>
      </c>
      <c r="AF100">
        <v>1.5864694029999999</v>
      </c>
      <c r="AG100">
        <v>1.6301839330000001</v>
      </c>
      <c r="AH100">
        <v>1.676153233</v>
      </c>
      <c r="AI100">
        <v>1.7236505929999999</v>
      </c>
      <c r="AJ100">
        <v>1.7734667120000001</v>
      </c>
      <c r="AK100">
        <v>1.824898302</v>
      </c>
      <c r="AL100">
        <v>1.877054137</v>
      </c>
      <c r="AM100">
        <v>1.930205814</v>
      </c>
      <c r="AN100">
        <v>1.984670371</v>
      </c>
      <c r="AO100">
        <v>2.0401693989999998</v>
      </c>
      <c r="AP100">
        <v>2.0966601210000002</v>
      </c>
      <c r="AQ100">
        <v>2.1545435980000001</v>
      </c>
      <c r="AR100">
        <v>2.2138690400000001</v>
      </c>
      <c r="AS100">
        <v>2.2754360239999998</v>
      </c>
      <c r="AT100">
        <v>2.3386188570000002</v>
      </c>
      <c r="AU100">
        <v>2.4035128719999999</v>
      </c>
      <c r="AV100">
        <v>2.470353673</v>
      </c>
      <c r="AW100">
        <v>2.5394671519999998</v>
      </c>
    </row>
    <row r="101" spans="2:49" x14ac:dyDescent="0.25">
      <c r="B101" t="s">
        <v>508</v>
      </c>
      <c r="C101">
        <v>0.96116878123798499</v>
      </c>
      <c r="D101">
        <v>0.98039215686274495</v>
      </c>
      <c r="E101">
        <v>0.99116511210000002</v>
      </c>
      <c r="F101">
        <v>0.99854442249999997</v>
      </c>
      <c r="G101">
        <v>1.0087508549999999</v>
      </c>
      <c r="H101">
        <v>1.03136852</v>
      </c>
      <c r="I101">
        <v>1.040172238</v>
      </c>
      <c r="J101">
        <v>1.0441750569999999</v>
      </c>
      <c r="K101">
        <v>1.0483990750000001</v>
      </c>
      <c r="L101">
        <v>1.0616316619999999</v>
      </c>
      <c r="M101">
        <v>1.0779821249999999</v>
      </c>
      <c r="N101">
        <v>1.094833478</v>
      </c>
      <c r="O101">
        <v>1.1067127640000001</v>
      </c>
      <c r="P101">
        <v>1.1157068029999999</v>
      </c>
      <c r="Q101">
        <v>1.1281710060000001</v>
      </c>
      <c r="R101">
        <v>1.1504341330000001</v>
      </c>
      <c r="S101">
        <v>1.172264811</v>
      </c>
      <c r="T101">
        <v>1.1949227259999999</v>
      </c>
      <c r="U101">
        <v>1.2174729559999999</v>
      </c>
      <c r="V101">
        <v>1.2441119039999999</v>
      </c>
      <c r="W101">
        <v>1.271084409</v>
      </c>
      <c r="X101">
        <v>1.297680977</v>
      </c>
      <c r="Y101">
        <v>1.325633391</v>
      </c>
      <c r="Z101">
        <v>1.354065906</v>
      </c>
      <c r="AA101">
        <v>1.385606366</v>
      </c>
      <c r="AB101">
        <v>1.4187086330000001</v>
      </c>
      <c r="AC101">
        <v>1.4534235419999999</v>
      </c>
      <c r="AD101">
        <v>1.4889796980000001</v>
      </c>
      <c r="AE101">
        <v>1.526401627</v>
      </c>
      <c r="AF101">
        <v>1.562212653</v>
      </c>
      <c r="AG101">
        <v>1.601354232</v>
      </c>
      <c r="AH101">
        <v>1.642729157</v>
      </c>
      <c r="AI101">
        <v>1.6844541630000001</v>
      </c>
      <c r="AJ101">
        <v>1.7279830709999999</v>
      </c>
      <c r="AK101">
        <v>1.773053161</v>
      </c>
      <c r="AL101">
        <v>1.8188885889999999</v>
      </c>
      <c r="AM101">
        <v>1.8651971810000001</v>
      </c>
      <c r="AN101">
        <v>1.9122434589999999</v>
      </c>
      <c r="AO101">
        <v>1.9597070480000001</v>
      </c>
      <c r="AP101">
        <v>2.0082198070000001</v>
      </c>
      <c r="AQ101">
        <v>2.0573713260000002</v>
      </c>
      <c r="AR101">
        <v>2.1078556769999999</v>
      </c>
      <c r="AS101">
        <v>2.1590143579999999</v>
      </c>
      <c r="AT101">
        <v>2.2114403039999999</v>
      </c>
      <c r="AU101">
        <v>2.2651689749999999</v>
      </c>
      <c r="AV101">
        <v>2.3197324909999999</v>
      </c>
      <c r="AW101">
        <v>2.3759438359999998</v>
      </c>
    </row>
    <row r="102" spans="2:49" x14ac:dyDescent="0.25">
      <c r="B102" t="s">
        <v>509</v>
      </c>
      <c r="C102">
        <v>0</v>
      </c>
      <c r="D102" s="39">
        <v>0</v>
      </c>
      <c r="E102" s="39">
        <v>0</v>
      </c>
      <c r="F102" s="39">
        <v>0</v>
      </c>
      <c r="G102" s="39">
        <v>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>
        <v>2.0576089720947202E-5</v>
      </c>
      <c r="P102" s="39">
        <v>4.4276368993401102E-5</v>
      </c>
      <c r="Q102" s="39">
        <v>5.8533854829789701E-5</v>
      </c>
      <c r="R102" s="39">
        <v>5.1269376277751599E-5</v>
      </c>
      <c r="S102" s="39">
        <v>9.8890791639272193E-3</v>
      </c>
      <c r="T102" s="39">
        <v>1.5927988350306E-2</v>
      </c>
      <c r="U102" s="39">
        <v>2.0737158782657601E-2</v>
      </c>
      <c r="V102" s="39">
        <v>5.12120848792374E-3</v>
      </c>
      <c r="W102">
        <v>0.50258920680783503</v>
      </c>
      <c r="X102">
        <v>0.50790527060131596</v>
      </c>
      <c r="Y102">
        <v>0.93153842698454603</v>
      </c>
      <c r="Z102">
        <v>1.19354658141208</v>
      </c>
      <c r="AA102">
        <v>1.59612436691478</v>
      </c>
      <c r="AB102">
        <v>1.9269576027441899</v>
      </c>
      <c r="AC102">
        <v>2.2108103584343501</v>
      </c>
      <c r="AD102">
        <v>2.2920739792356701</v>
      </c>
      <c r="AE102">
        <v>2.4346732431723899</v>
      </c>
      <c r="AF102">
        <v>2.54982553571958</v>
      </c>
      <c r="AG102" s="39">
        <v>2.6375312415849201</v>
      </c>
      <c r="AH102" s="39">
        <v>2.76150414981712</v>
      </c>
      <c r="AI102">
        <v>2.7386784233895498</v>
      </c>
      <c r="AJ102">
        <v>2.7287049424817602</v>
      </c>
      <c r="AK102">
        <v>2.7551270197570799</v>
      </c>
      <c r="AL102" s="39">
        <v>2.7927264950666699</v>
      </c>
      <c r="AM102">
        <v>2.8805025096877799</v>
      </c>
      <c r="AN102">
        <v>2.9756765463172701</v>
      </c>
      <c r="AO102">
        <v>3.0600478392359398</v>
      </c>
      <c r="AP102">
        <v>3.1648344926251601</v>
      </c>
      <c r="AQ102">
        <v>3.25708566104734</v>
      </c>
      <c r="AR102">
        <v>3.3236031180578798</v>
      </c>
      <c r="AS102">
        <v>3.2509727125333798</v>
      </c>
      <c r="AT102">
        <v>3.2151839528242698</v>
      </c>
      <c r="AU102">
        <v>3.1611700264469098</v>
      </c>
      <c r="AV102">
        <v>3.06402574977646</v>
      </c>
      <c r="AW102">
        <v>2.93992953126507</v>
      </c>
    </row>
    <row r="103" spans="2:49" x14ac:dyDescent="0.25">
      <c r="B103" t="s">
        <v>510</v>
      </c>
      <c r="C103" s="39">
        <v>0</v>
      </c>
      <c r="D103" s="39">
        <v>0</v>
      </c>
      <c r="E103" s="39">
        <v>0</v>
      </c>
      <c r="F103" s="39">
        <v>0</v>
      </c>
      <c r="G103" s="39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1.70795999565598E-7</v>
      </c>
      <c r="P103" s="39">
        <v>5.0299351350702097E-7</v>
      </c>
      <c r="Q103" s="39">
        <v>1.0774669156887699E-6</v>
      </c>
      <c r="R103" s="39">
        <v>1.7108340299998299E-6</v>
      </c>
      <c r="S103" s="39">
        <v>2.97540659350836E-3</v>
      </c>
      <c r="T103" s="39">
        <v>1.0156188458787499E-2</v>
      </c>
      <c r="U103" s="39">
        <v>1.48360914702161E-2</v>
      </c>
      <c r="V103" s="39">
        <v>0.104686443366031</v>
      </c>
      <c r="W103" s="39">
        <v>7.4871005914567398E-2</v>
      </c>
      <c r="X103">
        <v>0.89775955751283298</v>
      </c>
      <c r="Y103">
        <v>0.76613468936281803</v>
      </c>
      <c r="Z103">
        <v>0.912355054697089</v>
      </c>
      <c r="AA103">
        <v>1.3677458617487701</v>
      </c>
      <c r="AB103">
        <v>1.8597800754846801</v>
      </c>
      <c r="AC103">
        <v>2.6415594586327802</v>
      </c>
      <c r="AD103">
        <v>2.4093433114692</v>
      </c>
      <c r="AE103">
        <v>2.46686129725575</v>
      </c>
      <c r="AF103">
        <v>2.47721882206783</v>
      </c>
      <c r="AG103">
        <v>2.4318560976516101</v>
      </c>
      <c r="AH103">
        <v>2.78467854192776</v>
      </c>
      <c r="AI103">
        <v>2.4375051007851298</v>
      </c>
      <c r="AJ103">
        <v>2.1838361902218399</v>
      </c>
      <c r="AK103">
        <v>2.0607284142581701</v>
      </c>
      <c r="AL103">
        <v>1.9977414664511299</v>
      </c>
      <c r="AM103">
        <v>1.97388073361857</v>
      </c>
      <c r="AN103">
        <v>2.2075102618406501</v>
      </c>
      <c r="AO103">
        <v>2.37761858577396</v>
      </c>
      <c r="AP103">
        <v>2.58735921628405</v>
      </c>
      <c r="AQ103">
        <v>2.7702473690263298</v>
      </c>
      <c r="AR103">
        <v>3.2778174356310701</v>
      </c>
      <c r="AS103">
        <v>3.1022601899267199</v>
      </c>
      <c r="AT103">
        <v>3.05919894441457</v>
      </c>
      <c r="AU103">
        <v>3.0544045438356702</v>
      </c>
      <c r="AV103">
        <v>2.98845580744393</v>
      </c>
      <c r="AW103">
        <v>2.8259550062349899</v>
      </c>
    </row>
    <row r="104" spans="2:49" x14ac:dyDescent="0.25">
      <c r="B104" t="s">
        <v>511</v>
      </c>
      <c r="C104">
        <v>0</v>
      </c>
      <c r="D104" s="39">
        <v>0</v>
      </c>
      <c r="E104" s="39">
        <v>0</v>
      </c>
      <c r="F104" s="39">
        <v>0</v>
      </c>
      <c r="G104" s="39">
        <v>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>
        <v>4.8882412784223502E-6</v>
      </c>
      <c r="P104" s="39">
        <v>-2.6758439020113601E-6</v>
      </c>
      <c r="Q104" s="39">
        <v>-5.9300901522618603E-6</v>
      </c>
      <c r="R104" s="39">
        <v>-1.3566757717242599E-6</v>
      </c>
      <c r="S104" s="39">
        <v>8.2177993640164496E-2</v>
      </c>
      <c r="T104">
        <v>0.109783126813778</v>
      </c>
      <c r="U104">
        <v>0.139508958057277</v>
      </c>
      <c r="V104">
        <v>1.7394151608796E-2</v>
      </c>
      <c r="W104">
        <v>3.4553755093975802</v>
      </c>
      <c r="X104">
        <v>0.62337180472418197</v>
      </c>
      <c r="Y104">
        <v>2.8285743785055</v>
      </c>
      <c r="Z104">
        <v>2.87422675168074</v>
      </c>
      <c r="AA104">
        <v>3.9270877776142301</v>
      </c>
      <c r="AB104">
        <v>4.42268495498472</v>
      </c>
      <c r="AC104">
        <v>5.3118413460801301</v>
      </c>
      <c r="AD104">
        <v>5.3536207117531101</v>
      </c>
      <c r="AE104">
        <v>5.8799719880544101</v>
      </c>
      <c r="AF104">
        <v>6.3236563092616098</v>
      </c>
      <c r="AG104">
        <v>6.7740705767653298</v>
      </c>
      <c r="AH104">
        <v>7.6037832842452602</v>
      </c>
      <c r="AI104">
        <v>7.7061642949469</v>
      </c>
      <c r="AJ104">
        <v>7.9869933815137601</v>
      </c>
      <c r="AK104">
        <v>8.2780489139722508</v>
      </c>
      <c r="AL104">
        <v>8.5085741446170005</v>
      </c>
      <c r="AM104" s="39">
        <v>9.2209324096908105</v>
      </c>
      <c r="AN104">
        <v>9.4716410375127396</v>
      </c>
      <c r="AO104">
        <v>9.8478810865075292</v>
      </c>
      <c r="AP104">
        <v>10.1959808079519</v>
      </c>
      <c r="AQ104">
        <v>10.476223108657299</v>
      </c>
      <c r="AR104">
        <v>10.534325167886101</v>
      </c>
      <c r="AS104">
        <v>10.5197295630485</v>
      </c>
      <c r="AT104">
        <v>10.526979154131901</v>
      </c>
      <c r="AU104">
        <v>10.278303051717</v>
      </c>
      <c r="AV104">
        <v>10.006529083277201</v>
      </c>
      <c r="AW104" s="39">
        <v>9.8038791882861496</v>
      </c>
    </row>
    <row r="105" spans="2:49" x14ac:dyDescent="0.25">
      <c r="B105" t="s">
        <v>512</v>
      </c>
      <c r="C105" s="39">
        <v>0</v>
      </c>
      <c r="D105" s="39">
        <v>0</v>
      </c>
      <c r="E105" s="39">
        <v>0</v>
      </c>
      <c r="F105" s="39">
        <v>0</v>
      </c>
      <c r="G105" s="39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-3.5523435040207802E-4</v>
      </c>
      <c r="T105" s="39">
        <v>-9.3104761103024404E-4</v>
      </c>
      <c r="U105" s="39">
        <v>-1.97168118291068E-3</v>
      </c>
      <c r="V105" s="39">
        <v>-2.79732775202434E-3</v>
      </c>
      <c r="W105" s="39">
        <v>5.5168155112617003E-2</v>
      </c>
      <c r="X105" s="39">
        <v>0.117803305779262</v>
      </c>
      <c r="Y105">
        <v>4.3423320040481002E-2</v>
      </c>
      <c r="Z105">
        <v>-5.3762728302719699E-2</v>
      </c>
      <c r="AA105">
        <v>-0.15673234532630401</v>
      </c>
      <c r="AB105">
        <v>-0.29425687324220401</v>
      </c>
      <c r="AC105">
        <v>-0.45444233363401898</v>
      </c>
      <c r="AD105" s="39">
        <v>-0.476480968504156</v>
      </c>
      <c r="AE105" s="39">
        <v>-0.51745397025258999</v>
      </c>
      <c r="AF105" s="39">
        <v>-0.57108422505823797</v>
      </c>
      <c r="AG105" s="39">
        <v>-0.65557364690220699</v>
      </c>
      <c r="AH105">
        <v>-0.74938333183519601</v>
      </c>
      <c r="AI105" s="39">
        <v>-0.86018262884250896</v>
      </c>
      <c r="AJ105" s="39">
        <v>-0.98489363171709798</v>
      </c>
      <c r="AK105" s="39">
        <v>-1.1169501684719501</v>
      </c>
      <c r="AL105" s="39">
        <v>-1.2473785578207499</v>
      </c>
      <c r="AM105" s="39">
        <v>-1.38467056062584</v>
      </c>
      <c r="AN105" s="39">
        <v>-1.6500667556634201</v>
      </c>
      <c r="AO105">
        <v>-1.92851659770447</v>
      </c>
      <c r="AP105">
        <v>-2.1954916083977198</v>
      </c>
      <c r="AQ105">
        <v>-2.4642503181882498</v>
      </c>
      <c r="AR105">
        <v>-2.7379042904510702</v>
      </c>
      <c r="AS105">
        <v>-3.00966494298881</v>
      </c>
      <c r="AT105">
        <v>-3.2762328681454602</v>
      </c>
      <c r="AU105">
        <v>-3.5419108446965901</v>
      </c>
      <c r="AV105">
        <v>-3.8251280345067298</v>
      </c>
      <c r="AW105">
        <v>-4.1054510238239104</v>
      </c>
    </row>
    <row r="106" spans="2:49" x14ac:dyDescent="0.25">
      <c r="B106" t="s">
        <v>513</v>
      </c>
      <c r="C106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-6.6447062774255204E-5</v>
      </c>
      <c r="P106" s="39">
        <v>-1.4182753976799099E-4</v>
      </c>
      <c r="Q106" s="39">
        <v>-1.8649263056058599E-4</v>
      </c>
      <c r="R106" s="39">
        <v>-1.64079840947462E-4</v>
      </c>
      <c r="S106" s="39">
        <v>1.2089303550033501E-2</v>
      </c>
      <c r="T106" s="39">
        <v>2.1069132643525199E-2</v>
      </c>
      <c r="U106">
        <v>2.7814203583198499E-2</v>
      </c>
      <c r="V106" s="39">
        <v>0.180266834983489</v>
      </c>
      <c r="W106" s="39">
        <v>0.29676025502547398</v>
      </c>
      <c r="X106">
        <v>0.45001517090115201</v>
      </c>
      <c r="Y106">
        <v>-0.12720807965829101</v>
      </c>
      <c r="Z106">
        <v>-0.761969027402986</v>
      </c>
      <c r="AA106">
        <v>-0.80399209332628896</v>
      </c>
      <c r="AB106">
        <v>-0.85957085153790502</v>
      </c>
      <c r="AC106">
        <v>-7.8804213293281994E-2</v>
      </c>
      <c r="AD106">
        <v>-0.74839648889515298</v>
      </c>
      <c r="AE106">
        <v>-0.88663446110321897</v>
      </c>
      <c r="AF106">
        <v>-1.08067410307162</v>
      </c>
      <c r="AG106">
        <v>-1.3174054301283999</v>
      </c>
      <c r="AH106">
        <v>-0.77655273451825402</v>
      </c>
      <c r="AI106">
        <v>-1.3808815554429099</v>
      </c>
      <c r="AJ106">
        <v>-1.7971232157792201</v>
      </c>
      <c r="AK106">
        <v>-2.1004158881750401</v>
      </c>
      <c r="AL106">
        <v>-2.3583706118502099</v>
      </c>
      <c r="AM106">
        <v>-2.47566351212682</v>
      </c>
      <c r="AN106">
        <v>-2.53221835759601</v>
      </c>
      <c r="AO106">
        <v>-2.59665957653585</v>
      </c>
      <c r="AP106">
        <v>-2.6545925077607202</v>
      </c>
      <c r="AQ106">
        <v>-2.75594270447885</v>
      </c>
      <c r="AR106">
        <v>-2.3032086557389002</v>
      </c>
      <c r="AS106">
        <v>-2.6615385488460199</v>
      </c>
      <c r="AT106">
        <v>-2.8988138351253601</v>
      </c>
      <c r="AU106">
        <v>-3.13839066544331</v>
      </c>
      <c r="AV106">
        <v>-3.3813862400318899</v>
      </c>
      <c r="AW106">
        <v>-3.6714511172174902</v>
      </c>
    </row>
    <row r="107" spans="2:49" x14ac:dyDescent="0.25">
      <c r="B107" t="s">
        <v>514</v>
      </c>
      <c r="C107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-2.2849254682766299E-4</v>
      </c>
      <c r="P107" s="39">
        <v>-5.1511618635729996E-4</v>
      </c>
      <c r="Q107" s="39">
        <v>-6.6608543226251405E-4</v>
      </c>
      <c r="R107" s="39">
        <v>-5.4036923112614401E-4</v>
      </c>
      <c r="S107" s="39">
        <v>-4.4995024283560302E-3</v>
      </c>
      <c r="T107" s="39">
        <v>-7.4613003852148901E-3</v>
      </c>
      <c r="U107">
        <v>-9.6981776133889201E-3</v>
      </c>
      <c r="V107" s="39">
        <v>-6.5480318459966394E-2</v>
      </c>
      <c r="W107" s="39">
        <v>-6.3176674992883999E-2</v>
      </c>
      <c r="X107">
        <v>-0.105704032736179</v>
      </c>
      <c r="Y107">
        <v>8.8977830591133095E-2</v>
      </c>
      <c r="Z107" s="39">
        <v>0.32334360341334101</v>
      </c>
      <c r="AA107">
        <v>0.31456024312622299</v>
      </c>
      <c r="AB107">
        <v>0.29263078584745</v>
      </c>
      <c r="AC107">
        <v>-2.14070133676698E-2</v>
      </c>
      <c r="AD107">
        <v>0.22422384013555899</v>
      </c>
      <c r="AE107">
        <v>0.27627031926663698</v>
      </c>
      <c r="AF107">
        <v>0.34304709683728601</v>
      </c>
      <c r="AG107">
        <v>0.41301304100928898</v>
      </c>
      <c r="AH107" s="39">
        <v>0.206796906141336</v>
      </c>
      <c r="AI107" s="39">
        <v>0.40294280395755699</v>
      </c>
      <c r="AJ107">
        <v>0.52649348505155202</v>
      </c>
      <c r="AK107" s="39">
        <v>0.60421102255610004</v>
      </c>
      <c r="AL107">
        <v>0.66225034625338097</v>
      </c>
      <c r="AM107">
        <v>0.67195100384023398</v>
      </c>
      <c r="AN107">
        <v>0.62233613083942896</v>
      </c>
      <c r="AO107">
        <v>0.57342938803546495</v>
      </c>
      <c r="AP107">
        <v>0.52016388121776602</v>
      </c>
      <c r="AQ107">
        <v>0.48261900684822601</v>
      </c>
      <c r="AR107">
        <v>0.25566766584759598</v>
      </c>
      <c r="AS107">
        <v>0.31176616725987899</v>
      </c>
      <c r="AT107">
        <v>0.32369586830285602</v>
      </c>
      <c r="AU107">
        <v>0.33600352901889102</v>
      </c>
      <c r="AV107">
        <v>0.34753172706185098</v>
      </c>
      <c r="AW107">
        <v>0.37067230663774903</v>
      </c>
    </row>
    <row r="108" spans="2:49" x14ac:dyDescent="0.25">
      <c r="B108" t="s">
        <v>515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7.3119999999260403E-5</v>
      </c>
      <c r="P108" s="39">
        <v>1.2836999999932199E-4</v>
      </c>
      <c r="Q108" s="39">
        <v>7.3819999998891994E-5</v>
      </c>
      <c r="R108" s="39">
        <v>-1.11090000000368E-4</v>
      </c>
      <c r="S108" s="39">
        <v>-1.8744800000011701E-3</v>
      </c>
      <c r="T108" s="39">
        <v>-5.4923300000009299E-3</v>
      </c>
      <c r="U108" s="39">
        <v>-8.2616699999996102E-3</v>
      </c>
      <c r="V108" s="39">
        <v>-3.9686499999996797E-3</v>
      </c>
      <c r="W108" s="39">
        <v>-6.8269490000000196E-2</v>
      </c>
      <c r="X108">
        <v>-0.13521023999999901</v>
      </c>
      <c r="Y108">
        <v>-0.13191527</v>
      </c>
      <c r="Z108">
        <v>-0.24142206999999899</v>
      </c>
      <c r="AA108">
        <v>-0.40686238999999902</v>
      </c>
      <c r="AB108">
        <v>-0.56290664000000001</v>
      </c>
      <c r="AC108">
        <v>-0.65631694999999901</v>
      </c>
      <c r="AD108" s="39">
        <v>-0.67490267999999998</v>
      </c>
      <c r="AE108">
        <v>-0.67782009999999904</v>
      </c>
      <c r="AF108">
        <v>-0.70303508000000003</v>
      </c>
      <c r="AG108">
        <v>-0.71972411000000003</v>
      </c>
      <c r="AH108">
        <v>-0.73111825999999902</v>
      </c>
      <c r="AI108">
        <v>-0.72203004000000004</v>
      </c>
      <c r="AJ108">
        <v>-0.69577808999999802</v>
      </c>
      <c r="AK108" s="39">
        <v>-0.68790445</v>
      </c>
      <c r="AL108">
        <v>-0.69283008999999995</v>
      </c>
      <c r="AM108" s="39">
        <v>-0.70335694999999998</v>
      </c>
      <c r="AN108" s="39">
        <v>-0.73234399999999999</v>
      </c>
      <c r="AO108">
        <v>-0.77010942999999998</v>
      </c>
      <c r="AP108">
        <v>-0.79584116999999999</v>
      </c>
      <c r="AQ108">
        <v>-0.83344669999999899</v>
      </c>
      <c r="AR108">
        <v>-0.86639622000000005</v>
      </c>
      <c r="AS108" s="39">
        <v>-0.86818673000000002</v>
      </c>
      <c r="AT108" s="39">
        <v>-0.82925107999999903</v>
      </c>
      <c r="AU108">
        <v>-0.80577156999999899</v>
      </c>
      <c r="AV108">
        <v>-0.78553842999999901</v>
      </c>
      <c r="AW108">
        <v>-0.73250825999999902</v>
      </c>
    </row>
    <row r="109" spans="2:49" x14ac:dyDescent="0.25">
      <c r="B109" t="s">
        <v>516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-1.2141075745875E-4</v>
      </c>
      <c r="P109" s="39">
        <v>-2.1199484918632501E-4</v>
      </c>
      <c r="Q109" s="39">
        <v>-1.2131814087767899E-4</v>
      </c>
      <c r="R109" s="39">
        <v>1.8165832880168099E-4</v>
      </c>
      <c r="S109" s="39">
        <v>3.0663378277617699E-3</v>
      </c>
      <c r="T109" s="39">
        <v>8.9818645292449803E-3</v>
      </c>
      <c r="U109" s="39">
        <v>1.3503201877118599E-2</v>
      </c>
      <c r="V109" s="39">
        <v>6.4849971808333901E-3</v>
      </c>
      <c r="W109" s="39">
        <v>0.111267587164198</v>
      </c>
      <c r="X109">
        <v>0.219950053626116</v>
      </c>
      <c r="Y109">
        <v>0.21462436476371499</v>
      </c>
      <c r="Z109">
        <v>0.39285499960985898</v>
      </c>
      <c r="AA109">
        <v>0.66365956929665904</v>
      </c>
      <c r="AB109">
        <v>0.91829596430661398</v>
      </c>
      <c r="AC109">
        <v>1.0695000062685001</v>
      </c>
      <c r="AD109">
        <v>1.0980369222634201</v>
      </c>
      <c r="AE109">
        <v>1.10142391944163</v>
      </c>
      <c r="AF109">
        <v>1.14149786754704</v>
      </c>
      <c r="AG109">
        <v>1.1706749022501299</v>
      </c>
      <c r="AH109">
        <v>1.18881323823985</v>
      </c>
      <c r="AI109">
        <v>1.1723376006799799</v>
      </c>
      <c r="AJ109">
        <v>1.12839308384697</v>
      </c>
      <c r="AK109">
        <v>1.1147252111770101</v>
      </c>
      <c r="AL109">
        <v>1.1222606736502601</v>
      </c>
      <c r="AM109">
        <v>1.13952077865686</v>
      </c>
      <c r="AN109">
        <v>1.1873711356518999</v>
      </c>
      <c r="AO109">
        <v>1.2494606474160399</v>
      </c>
      <c r="AP109">
        <v>1.29196204656409</v>
      </c>
      <c r="AQ109">
        <v>1.35331439131403</v>
      </c>
      <c r="AR109">
        <v>1.4070540995427501</v>
      </c>
      <c r="AS109">
        <v>1.4097759398023999</v>
      </c>
      <c r="AT109">
        <v>1.34612331536898</v>
      </c>
      <c r="AU109">
        <v>1.30779145173449</v>
      </c>
      <c r="AV109">
        <v>1.2747721773884499</v>
      </c>
      <c r="AW109">
        <v>1.1884716281211201</v>
      </c>
    </row>
    <row r="110" spans="2:49" x14ac:dyDescent="0.25">
      <c r="B110" t="s">
        <v>517</v>
      </c>
      <c r="C110" s="39">
        <v>0</v>
      </c>
      <c r="D110" s="39">
        <v>0</v>
      </c>
      <c r="E110" s="39">
        <v>0</v>
      </c>
      <c r="F110" s="39">
        <v>0</v>
      </c>
      <c r="G110" s="39">
        <v>0</v>
      </c>
      <c r="H110" s="39">
        <v>0</v>
      </c>
      <c r="I110" s="39">
        <v>0</v>
      </c>
      <c r="J110" s="39">
        <v>0</v>
      </c>
      <c r="K110" s="39">
        <v>0</v>
      </c>
      <c r="L110" s="39">
        <v>0</v>
      </c>
      <c r="M110" s="39">
        <v>0</v>
      </c>
      <c r="N110" s="39">
        <v>0</v>
      </c>
      <c r="O110" s="39">
        <v>9.5818561813842897E-4</v>
      </c>
      <c r="P110" s="39">
        <v>1.67955994687663E-3</v>
      </c>
      <c r="Q110" s="39">
        <v>1.3720101701641899E-3</v>
      </c>
      <c r="R110" s="39">
        <v>5.8396605950861097E-5</v>
      </c>
      <c r="S110" s="39">
        <v>3.5292879926984702E-3</v>
      </c>
      <c r="T110" s="39">
        <v>6.2544696925126396E-3</v>
      </c>
      <c r="U110" s="39">
        <v>1.0858907786426199E-2</v>
      </c>
      <c r="V110" s="39">
        <v>5.18052222802101E-3</v>
      </c>
      <c r="W110">
        <v>0.13339342919178601</v>
      </c>
      <c r="X110">
        <v>0.106112909556777</v>
      </c>
      <c r="Y110">
        <v>0.21530449123425799</v>
      </c>
      <c r="Z110">
        <v>0.36614827849354997</v>
      </c>
      <c r="AA110">
        <v>0.62453362826106995</v>
      </c>
      <c r="AB110">
        <v>0.91136227555668103</v>
      </c>
      <c r="AC110">
        <v>1.23002644286542</v>
      </c>
      <c r="AD110">
        <v>1.4820694486533601</v>
      </c>
      <c r="AE110">
        <v>1.76586889150471</v>
      </c>
      <c r="AF110">
        <v>1.95223814002303</v>
      </c>
      <c r="AG110">
        <v>2.1093938156027501</v>
      </c>
      <c r="AH110">
        <v>2.24766837378511</v>
      </c>
      <c r="AI110">
        <v>2.2899623552825301</v>
      </c>
      <c r="AJ110">
        <v>2.3339563107428201</v>
      </c>
      <c r="AK110">
        <v>2.3529750761081401</v>
      </c>
      <c r="AL110">
        <v>2.3551450034746901</v>
      </c>
      <c r="AM110">
        <v>2.3633023815674998</v>
      </c>
      <c r="AN110" s="39">
        <v>2.3821541855502102</v>
      </c>
      <c r="AO110">
        <v>2.41783719358639</v>
      </c>
      <c r="AP110">
        <v>2.5156714443530701</v>
      </c>
      <c r="AQ110">
        <v>2.5953474220617099</v>
      </c>
      <c r="AR110">
        <v>2.6817673892642202</v>
      </c>
      <c r="AS110">
        <v>2.7081331622440499</v>
      </c>
      <c r="AT110">
        <v>2.7924123855888201</v>
      </c>
      <c r="AU110">
        <v>2.81961929224425</v>
      </c>
      <c r="AV110">
        <v>2.7924100478939402</v>
      </c>
      <c r="AW110">
        <v>2.76989932221798</v>
      </c>
    </row>
    <row r="111" spans="2:49" x14ac:dyDescent="0.25">
      <c r="B111" t="s">
        <v>518</v>
      </c>
      <c r="C111" s="39">
        <v>0</v>
      </c>
      <c r="D111" s="39">
        <v>0</v>
      </c>
      <c r="E111" s="39">
        <v>0</v>
      </c>
      <c r="F111" s="39">
        <v>0</v>
      </c>
      <c r="G111" s="39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-9.6288499999985704E-6</v>
      </c>
      <c r="P111" s="39">
        <v>-1.0715099999999201E-5</v>
      </c>
      <c r="Q111" s="39">
        <v>-3.9985999999991802E-6</v>
      </c>
      <c r="R111" s="39">
        <v>5.9854000000018799E-6</v>
      </c>
      <c r="S111" s="39">
        <v>1.40277000000022E-5</v>
      </c>
      <c r="T111" s="39">
        <v>1.54812000000004E-5</v>
      </c>
      <c r="U111" s="39">
        <v>2.5421300000001701E-5</v>
      </c>
      <c r="V111" s="39">
        <v>-6.0901500000001802E-5</v>
      </c>
      <c r="W111" s="39">
        <v>8.1166349999999996E-4</v>
      </c>
      <c r="X111" s="39">
        <v>-4.3324729999999798E-4</v>
      </c>
      <c r="Y111" s="39">
        <v>3.2587536999999999E-3</v>
      </c>
      <c r="Z111" s="39">
        <v>2.1727704999999998E-3</v>
      </c>
      <c r="AA111" s="39">
        <v>7.8562279999999998E-4</v>
      </c>
      <c r="AB111" s="39">
        <v>7.4923330000000203E-4</v>
      </c>
      <c r="AC111" s="39">
        <v>1.17908529999999E-3</v>
      </c>
      <c r="AD111" s="39">
        <v>2.3180029999999999E-3</v>
      </c>
      <c r="AE111" s="39">
        <v>2.0134637999999899E-3</v>
      </c>
      <c r="AF111" s="39">
        <v>2.2206627999999898E-3</v>
      </c>
      <c r="AG111" s="39">
        <v>2.3827847E-3</v>
      </c>
      <c r="AH111" s="39">
        <v>2.2036359000000001E-3</v>
      </c>
      <c r="AI111" s="39">
        <v>2.9645893999999898E-3</v>
      </c>
      <c r="AJ111" s="39">
        <v>3.0632753E-3</v>
      </c>
      <c r="AK111" s="39">
        <v>2.8332256000000002E-3</v>
      </c>
      <c r="AL111" s="39">
        <v>2.6067483E-3</v>
      </c>
      <c r="AM111" s="39">
        <v>2.8010578999999999E-3</v>
      </c>
      <c r="AN111" s="39">
        <v>2.840408E-3</v>
      </c>
      <c r="AO111" s="39">
        <v>3.0327845999999999E-3</v>
      </c>
      <c r="AP111" s="39">
        <v>2.8234180999999899E-3</v>
      </c>
      <c r="AQ111" s="39">
        <v>3.0706091999999998E-3</v>
      </c>
      <c r="AR111" s="39">
        <v>2.7989026E-3</v>
      </c>
      <c r="AS111" s="39">
        <v>3.4937471999999998E-3</v>
      </c>
      <c r="AT111" s="39">
        <v>3.39819829999999E-3</v>
      </c>
      <c r="AU111" s="39">
        <v>3.2926447999999998E-3</v>
      </c>
      <c r="AV111" s="39">
        <v>3.5663614999999998E-3</v>
      </c>
      <c r="AW111" s="39">
        <v>3.6766580999999998E-3</v>
      </c>
    </row>
    <row r="112" spans="2:49" x14ac:dyDescent="0.25">
      <c r="B112" t="s">
        <v>519</v>
      </c>
      <c r="C112" s="39">
        <v>0</v>
      </c>
      <c r="D112" s="39">
        <v>0</v>
      </c>
      <c r="E112" s="39">
        <v>0</v>
      </c>
      <c r="F112" s="39">
        <v>0</v>
      </c>
      <c r="G112" s="39">
        <v>0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-9.6288999999992396E-6</v>
      </c>
      <c r="P112" s="39">
        <v>-1.07151000000027E-5</v>
      </c>
      <c r="Q112" s="39">
        <v>-3.9987000000005196E-6</v>
      </c>
      <c r="R112" s="39">
        <v>5.9854000000018799E-6</v>
      </c>
      <c r="S112" s="39">
        <v>1.40277999999965E-5</v>
      </c>
      <c r="T112" s="39">
        <v>1.5481099999999E-5</v>
      </c>
      <c r="U112" s="39">
        <v>2.5421400000002999E-5</v>
      </c>
      <c r="V112" s="39">
        <v>-6.0901599999996198E-5</v>
      </c>
      <c r="W112" s="39">
        <v>8.1166339999999505E-4</v>
      </c>
      <c r="X112" s="39">
        <v>-4.3324730000000102E-4</v>
      </c>
      <c r="Y112" s="39">
        <v>3.2587537999999999E-3</v>
      </c>
      <c r="Z112" s="39">
        <v>2.1727704999999898E-3</v>
      </c>
      <c r="AA112" s="39">
        <v>7.8562279999999597E-4</v>
      </c>
      <c r="AB112" s="39">
        <v>7.4923329999999899E-4</v>
      </c>
      <c r="AC112" s="39">
        <v>1.1790853E-3</v>
      </c>
      <c r="AD112" s="39">
        <v>2.3180028999999899E-3</v>
      </c>
      <c r="AE112" s="39">
        <v>2.0134636999999899E-3</v>
      </c>
      <c r="AF112" s="39">
        <v>2.2206626999999998E-3</v>
      </c>
      <c r="AG112" s="39">
        <v>2.3827847E-3</v>
      </c>
      <c r="AH112" s="39">
        <v>2.2036357999999901E-3</v>
      </c>
      <c r="AI112" s="39">
        <v>2.9645894999999899E-3</v>
      </c>
      <c r="AJ112" s="39">
        <v>3.0632753E-3</v>
      </c>
      <c r="AK112" s="39">
        <v>2.8332255999999902E-3</v>
      </c>
      <c r="AL112" s="39">
        <v>2.6067483E-3</v>
      </c>
      <c r="AM112" s="39">
        <v>2.8010578999999999E-3</v>
      </c>
      <c r="AN112" s="39">
        <v>2.8404081E-3</v>
      </c>
      <c r="AO112" s="39">
        <v>3.0327847E-3</v>
      </c>
      <c r="AP112" s="39">
        <v>2.8234180999999999E-3</v>
      </c>
      <c r="AQ112" s="39">
        <v>3.0706091999999998E-3</v>
      </c>
      <c r="AR112" s="39">
        <v>2.79890249999999E-3</v>
      </c>
      <c r="AS112" s="39">
        <v>3.4937472999999998E-3</v>
      </c>
      <c r="AT112" s="39">
        <v>3.3981981999999999E-3</v>
      </c>
      <c r="AU112" s="39">
        <v>3.2926447999999898E-3</v>
      </c>
      <c r="AV112" s="39">
        <v>3.5663614999999998E-3</v>
      </c>
      <c r="AW112" s="39">
        <v>3.6766581999999998E-3</v>
      </c>
    </row>
    <row r="113" spans="2:50" x14ac:dyDescent="0.25">
      <c r="B113" t="s">
        <v>520</v>
      </c>
      <c r="C113">
        <v>0</v>
      </c>
      <c r="D113" s="39">
        <v>0</v>
      </c>
      <c r="E113" s="39">
        <v>0</v>
      </c>
      <c r="F113" s="39">
        <v>0</v>
      </c>
      <c r="G113" s="39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3.46912491999695E-4</v>
      </c>
      <c r="P113" s="39">
        <v>5.4580551960281499E-4</v>
      </c>
      <c r="Q113" s="39">
        <v>2.4568237930733201E-4</v>
      </c>
      <c r="R113" s="39">
        <v>-6.5783235597693902E-4</v>
      </c>
      <c r="S113" s="39">
        <v>-1.12949700752373E-2</v>
      </c>
      <c r="T113">
        <v>-2.28284197457795E-2</v>
      </c>
      <c r="U113" s="39">
        <v>-3.6613778401894899E-2</v>
      </c>
      <c r="V113">
        <v>-3.7725603750771101E-2</v>
      </c>
      <c r="W113">
        <v>-0.55358588391127805</v>
      </c>
      <c r="X113">
        <v>-0.680500122094152</v>
      </c>
      <c r="Y113">
        <v>-1.32962153497331</v>
      </c>
      <c r="Z113">
        <v>-1.9323612988719101</v>
      </c>
      <c r="AA113">
        <v>-2.6028107395112898</v>
      </c>
      <c r="AB113">
        <v>-3.27779608002019</v>
      </c>
      <c r="AC113">
        <v>-4.0797540471162002</v>
      </c>
      <c r="AD113">
        <v>-4.7278941713015197</v>
      </c>
      <c r="AE113">
        <v>-5.3944225175753298</v>
      </c>
      <c r="AF113">
        <v>-6.0507344079066803</v>
      </c>
      <c r="AG113">
        <v>-6.6785444184532796</v>
      </c>
      <c r="AH113">
        <v>-7.3539073810399804</v>
      </c>
      <c r="AI113">
        <v>-7.9018440414365001</v>
      </c>
      <c r="AJ113">
        <v>-8.4437009017905602</v>
      </c>
      <c r="AK113">
        <v>-8.9839510183183897</v>
      </c>
      <c r="AL113">
        <v>-9.5075590062845698</v>
      </c>
      <c r="AM113">
        <v>-10.125597584256001</v>
      </c>
      <c r="AN113">
        <v>-10.8658944272031</v>
      </c>
      <c r="AO113">
        <v>-11.7011805289295</v>
      </c>
      <c r="AP113">
        <v>-12.5067027853735</v>
      </c>
      <c r="AQ113">
        <v>-13.348858799189699</v>
      </c>
      <c r="AR113">
        <v>-14.1796894395407</v>
      </c>
      <c r="AS113">
        <v>-14.9172205636422</v>
      </c>
      <c r="AT113">
        <v>-15.5855759111887</v>
      </c>
      <c r="AU113">
        <v>-16.1819087397608</v>
      </c>
      <c r="AV113">
        <v>-16.768439677609202</v>
      </c>
      <c r="AW113">
        <v>-17.211646787285201</v>
      </c>
    </row>
    <row r="114" spans="2:50" x14ac:dyDescent="0.25">
      <c r="B114" t="s">
        <v>521</v>
      </c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-2.86809999999748E-4</v>
      </c>
      <c r="P114" s="39">
        <v>-5.3580000000039098E-4</v>
      </c>
      <c r="Q114" s="39">
        <v>-5.7949999999959401E-4</v>
      </c>
      <c r="R114" s="39">
        <v>-4.12550000000039E-4</v>
      </c>
      <c r="S114" s="39">
        <v>-7.32870000000329E-4</v>
      </c>
      <c r="T114" s="39">
        <v>-5.1121299999998199E-3</v>
      </c>
      <c r="U114" s="39">
        <v>-7.7671799999998103E-3</v>
      </c>
      <c r="V114" s="39">
        <v>-2.1474059999999899E-2</v>
      </c>
      <c r="W114">
        <v>2.08329100000001E-2</v>
      </c>
      <c r="X114" s="39">
        <v>-0.15020830999999901</v>
      </c>
      <c r="Y114">
        <v>-4.75083299999998E-2</v>
      </c>
      <c r="Z114">
        <v>-0.17689605</v>
      </c>
      <c r="AA114">
        <v>-0.22973492000000001</v>
      </c>
      <c r="AB114">
        <v>-0.31994434999999999</v>
      </c>
      <c r="AC114">
        <v>-0.47141365000000002</v>
      </c>
      <c r="AD114">
        <v>-0.45990699000000002</v>
      </c>
      <c r="AE114">
        <v>-0.44006806999999998</v>
      </c>
      <c r="AF114">
        <v>-0.45596223999999902</v>
      </c>
      <c r="AG114">
        <v>-0.46204173999999998</v>
      </c>
      <c r="AH114">
        <v>-0.511032189999999</v>
      </c>
      <c r="AI114">
        <v>-0.50614263999999998</v>
      </c>
      <c r="AJ114">
        <v>-0.490179799999999</v>
      </c>
      <c r="AK114">
        <v>-0.47815410000000003</v>
      </c>
      <c r="AL114">
        <v>-0.48563112000000003</v>
      </c>
      <c r="AM114">
        <v>-0.52167359999999996</v>
      </c>
      <c r="AN114">
        <v>-0.63125914000000105</v>
      </c>
      <c r="AO114">
        <v>-0.75076807999999995</v>
      </c>
      <c r="AP114">
        <v>-0.74710525999999999</v>
      </c>
      <c r="AQ114">
        <v>-0.79739786000000001</v>
      </c>
      <c r="AR114">
        <v>-0.86072393999999897</v>
      </c>
      <c r="AS114">
        <v>-0.89963393000000003</v>
      </c>
      <c r="AT114">
        <v>-0.80363307000000095</v>
      </c>
      <c r="AU114">
        <v>-0.77154389000000101</v>
      </c>
      <c r="AV114">
        <v>-0.79336198999999896</v>
      </c>
      <c r="AW114">
        <v>-0.70842400000000005</v>
      </c>
    </row>
    <row r="115" spans="2:50" x14ac:dyDescent="0.25">
      <c r="B115" s="40" t="s">
        <v>486</v>
      </c>
      <c r="C115">
        <v>96.864644472622402</v>
      </c>
      <c r="D115">
        <v>98.419837671387299</v>
      </c>
      <c r="E115">
        <v>92.912420792164099</v>
      </c>
      <c r="F115">
        <v>93.305162982678397</v>
      </c>
      <c r="G115">
        <v>88.587020170945195</v>
      </c>
      <c r="H115">
        <v>84.292336230231896</v>
      </c>
      <c r="I115">
        <v>83.495592453721102</v>
      </c>
      <c r="J115">
        <v>81.259575423386707</v>
      </c>
      <c r="K115">
        <v>78.077379883093101</v>
      </c>
      <c r="L115">
        <v>76.100567574687105</v>
      </c>
      <c r="M115">
        <v>75.318211537945601</v>
      </c>
      <c r="N115">
        <v>75.193405255870005</v>
      </c>
      <c r="O115">
        <v>73.402211932258297</v>
      </c>
      <c r="P115">
        <v>71.601352655973599</v>
      </c>
      <c r="Q115">
        <v>68.980409985554999</v>
      </c>
      <c r="R115">
        <v>67.375888997808204</v>
      </c>
      <c r="S115">
        <v>65.806564500663598</v>
      </c>
      <c r="T115">
        <v>65.087952763057899</v>
      </c>
      <c r="U115">
        <v>64.381251077903698</v>
      </c>
      <c r="V115">
        <v>63.888827537097598</v>
      </c>
      <c r="W115">
        <v>62.396901613522999</v>
      </c>
      <c r="X115">
        <v>61.1608174169235</v>
      </c>
      <c r="Y115">
        <v>58.757681571872297</v>
      </c>
      <c r="Z115">
        <v>56.215989673753398</v>
      </c>
      <c r="AA115">
        <v>53.936455795642203</v>
      </c>
      <c r="AB115">
        <v>51.5848836313981</v>
      </c>
      <c r="AC115">
        <v>49.216273836569002</v>
      </c>
      <c r="AD115">
        <v>46.765578371377103</v>
      </c>
      <c r="AE115">
        <v>44.358523700728902</v>
      </c>
      <c r="AF115">
        <v>42.094048742333896</v>
      </c>
      <c r="AG115">
        <v>39.898291553984301</v>
      </c>
      <c r="AH115">
        <v>37.791507112789397</v>
      </c>
      <c r="AI115">
        <v>35.518737728279497</v>
      </c>
      <c r="AJ115">
        <v>33.319706755216998</v>
      </c>
      <c r="AK115">
        <v>31.2085585003496</v>
      </c>
      <c r="AL115">
        <v>29.2629525812022</v>
      </c>
      <c r="AM115">
        <v>27.357808128427902</v>
      </c>
      <c r="AN115">
        <v>26.432993599047499</v>
      </c>
      <c r="AO115">
        <v>25.505429268004299</v>
      </c>
      <c r="AP115">
        <v>24.577799462191301</v>
      </c>
      <c r="AQ115">
        <v>23.638512697539198</v>
      </c>
      <c r="AR115">
        <v>22.6375830225677</v>
      </c>
      <c r="AS115">
        <v>21.8353330790763</v>
      </c>
      <c r="AT115">
        <v>21.166982820858799</v>
      </c>
      <c r="AU115">
        <v>20.672779161348501</v>
      </c>
      <c r="AV115">
        <v>20.182915210256599</v>
      </c>
      <c r="AW115">
        <v>19.717766406250998</v>
      </c>
      <c r="AX115">
        <v>9.0244863402317499</v>
      </c>
    </row>
    <row r="116" spans="2:50" x14ac:dyDescent="0.25">
      <c r="B116" t="s">
        <v>522</v>
      </c>
      <c r="C116">
        <v>0</v>
      </c>
      <c r="D116" s="39">
        <v>0</v>
      </c>
      <c r="E116" s="39">
        <v>0</v>
      </c>
      <c r="F116" s="39">
        <v>0</v>
      </c>
      <c r="G116" s="39">
        <v>0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>
        <v>2.0576089720947202E-5</v>
      </c>
      <c r="P116" s="39">
        <v>4.4276368993401102E-5</v>
      </c>
      <c r="Q116" s="39">
        <v>5.8533854829789701E-5</v>
      </c>
      <c r="R116" s="39">
        <v>5.1269376277751599E-5</v>
      </c>
      <c r="S116" s="39">
        <v>9.8890791639272193E-3</v>
      </c>
      <c r="T116" s="39">
        <v>1.5927988350306E-2</v>
      </c>
      <c r="U116" s="39">
        <v>2.0737158782657601E-2</v>
      </c>
      <c r="V116" s="39">
        <v>5.12120848792374E-3</v>
      </c>
      <c r="W116">
        <v>0.50258920680783503</v>
      </c>
      <c r="X116">
        <v>0.50790527060131596</v>
      </c>
      <c r="Y116">
        <v>0.93153842698454603</v>
      </c>
      <c r="Z116">
        <v>1.19354658141208</v>
      </c>
      <c r="AA116">
        <v>1.59612436691478</v>
      </c>
      <c r="AB116">
        <v>1.9269576027441899</v>
      </c>
      <c r="AC116">
        <v>2.2108103584343501</v>
      </c>
      <c r="AD116">
        <v>2.2920739792356701</v>
      </c>
      <c r="AE116">
        <v>2.4346732431723899</v>
      </c>
      <c r="AF116">
        <v>2.54982553571958</v>
      </c>
      <c r="AG116" s="39">
        <v>2.6375312415849201</v>
      </c>
      <c r="AH116" s="39">
        <v>2.76150414981712</v>
      </c>
      <c r="AI116">
        <v>2.7386784233895498</v>
      </c>
      <c r="AJ116">
        <v>2.7287049424817602</v>
      </c>
      <c r="AK116">
        <v>2.7551270197570799</v>
      </c>
      <c r="AL116" s="39">
        <v>2.7927264950666699</v>
      </c>
      <c r="AM116">
        <v>2.8805025096877799</v>
      </c>
      <c r="AN116">
        <v>2.9756765463172701</v>
      </c>
      <c r="AO116">
        <v>3.0600478392359398</v>
      </c>
      <c r="AP116">
        <v>3.1648344926251601</v>
      </c>
      <c r="AQ116">
        <v>3.25708566104734</v>
      </c>
      <c r="AR116">
        <v>3.3236031180578798</v>
      </c>
      <c r="AS116">
        <v>3.2509727125333798</v>
      </c>
      <c r="AT116">
        <v>3.2151839528242698</v>
      </c>
      <c r="AU116">
        <v>3.1611700264469098</v>
      </c>
      <c r="AV116">
        <v>3.06402574977646</v>
      </c>
      <c r="AW116">
        <v>2.93992953126507</v>
      </c>
    </row>
    <row r="117" spans="2:50" x14ac:dyDescent="0.25">
      <c r="B117" t="s">
        <v>523</v>
      </c>
      <c r="C117" s="39">
        <v>0</v>
      </c>
      <c r="D117" s="39">
        <v>0</v>
      </c>
      <c r="E117" s="39">
        <v>0</v>
      </c>
      <c r="F117" s="39">
        <v>0</v>
      </c>
      <c r="G117" s="39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1.70795999565598E-7</v>
      </c>
      <c r="P117" s="39">
        <v>5.0299351350702097E-7</v>
      </c>
      <c r="Q117" s="39">
        <v>1.0774669156887699E-6</v>
      </c>
      <c r="R117" s="39">
        <v>1.7108340299998299E-6</v>
      </c>
      <c r="S117" s="39">
        <v>2.97540659350836E-3</v>
      </c>
      <c r="T117" s="39">
        <v>1.0156188458787499E-2</v>
      </c>
      <c r="U117" s="39">
        <v>1.48360914702161E-2</v>
      </c>
      <c r="V117" s="39">
        <v>0.104686443366031</v>
      </c>
      <c r="W117" s="39">
        <v>7.4871005914567398E-2</v>
      </c>
      <c r="X117">
        <v>0.89775955751283298</v>
      </c>
      <c r="Y117">
        <v>0.76613468936281803</v>
      </c>
      <c r="Z117">
        <v>0.912355054697089</v>
      </c>
      <c r="AA117">
        <v>1.3677458617487701</v>
      </c>
      <c r="AB117">
        <v>1.8597800754846801</v>
      </c>
      <c r="AC117">
        <v>2.6415594586327802</v>
      </c>
      <c r="AD117">
        <v>2.4093433114692</v>
      </c>
      <c r="AE117">
        <v>2.46686129725575</v>
      </c>
      <c r="AF117">
        <v>2.47721882206783</v>
      </c>
      <c r="AG117">
        <v>2.4318560976516101</v>
      </c>
      <c r="AH117">
        <v>2.78467854192776</v>
      </c>
      <c r="AI117">
        <v>2.4375051007851298</v>
      </c>
      <c r="AJ117">
        <v>2.1838361902218399</v>
      </c>
      <c r="AK117">
        <v>2.0607284142581701</v>
      </c>
      <c r="AL117">
        <v>1.9977414664511299</v>
      </c>
      <c r="AM117">
        <v>1.97388073361857</v>
      </c>
      <c r="AN117">
        <v>2.2075102618406501</v>
      </c>
      <c r="AO117">
        <v>2.37761858577396</v>
      </c>
      <c r="AP117">
        <v>2.58735921628405</v>
      </c>
      <c r="AQ117">
        <v>2.7702473690263298</v>
      </c>
      <c r="AR117">
        <v>3.2778174356310701</v>
      </c>
      <c r="AS117">
        <v>3.1022601899267199</v>
      </c>
      <c r="AT117">
        <v>3.05919894441457</v>
      </c>
      <c r="AU117">
        <v>3.0544045438356702</v>
      </c>
      <c r="AV117">
        <v>2.98845580744393</v>
      </c>
      <c r="AW117">
        <v>2.8259550062349899</v>
      </c>
    </row>
    <row r="118" spans="2:50" x14ac:dyDescent="0.25">
      <c r="B118" t="s">
        <v>524</v>
      </c>
      <c r="C118">
        <v>0</v>
      </c>
      <c r="D118" s="39">
        <v>0</v>
      </c>
      <c r="E118" s="39">
        <v>0</v>
      </c>
      <c r="F118" s="39">
        <v>0</v>
      </c>
      <c r="G118" s="39">
        <v>0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>
        <v>4.8882412784223502E-6</v>
      </c>
      <c r="P118" s="39">
        <v>-2.6758439020113601E-6</v>
      </c>
      <c r="Q118" s="39">
        <v>-5.9300901522618603E-6</v>
      </c>
      <c r="R118" s="39">
        <v>-1.3566757717242599E-6</v>
      </c>
      <c r="S118" s="39">
        <v>8.2177993640164496E-2</v>
      </c>
      <c r="T118">
        <v>0.109783126813778</v>
      </c>
      <c r="U118">
        <v>0.139508958057277</v>
      </c>
      <c r="V118">
        <v>1.7394151608796E-2</v>
      </c>
      <c r="W118">
        <v>3.4553755093975802</v>
      </c>
      <c r="X118">
        <v>0.62337180472418197</v>
      </c>
      <c r="Y118">
        <v>2.8285743785055</v>
      </c>
      <c r="Z118">
        <v>2.87422675168074</v>
      </c>
      <c r="AA118">
        <v>3.9270877776142301</v>
      </c>
      <c r="AB118">
        <v>4.42268495498472</v>
      </c>
      <c r="AC118">
        <v>5.3118413460801301</v>
      </c>
      <c r="AD118">
        <v>5.3536207117531101</v>
      </c>
      <c r="AE118">
        <v>5.8799719880544101</v>
      </c>
      <c r="AF118">
        <v>6.3236563092616098</v>
      </c>
      <c r="AG118">
        <v>6.7740705767653298</v>
      </c>
      <c r="AH118">
        <v>7.6037832842452602</v>
      </c>
      <c r="AI118">
        <v>7.7061642949469</v>
      </c>
      <c r="AJ118">
        <v>7.9869933815137601</v>
      </c>
      <c r="AK118">
        <v>8.2780489139722508</v>
      </c>
      <c r="AL118">
        <v>8.5085741446170005</v>
      </c>
      <c r="AM118" s="39">
        <v>9.2209324096908105</v>
      </c>
      <c r="AN118">
        <v>9.4716410375127396</v>
      </c>
      <c r="AO118">
        <v>9.8478810865075292</v>
      </c>
      <c r="AP118">
        <v>10.1959808079519</v>
      </c>
      <c r="AQ118">
        <v>10.476223108657299</v>
      </c>
      <c r="AR118">
        <v>10.534325167886101</v>
      </c>
      <c r="AS118">
        <v>10.5197295630485</v>
      </c>
      <c r="AT118">
        <v>10.526979154131901</v>
      </c>
      <c r="AU118">
        <v>10.278303051717</v>
      </c>
      <c r="AV118">
        <v>10.006529083277201</v>
      </c>
      <c r="AW118" s="39">
        <v>9.8038791882861496</v>
      </c>
    </row>
    <row r="119" spans="2:50" x14ac:dyDescent="0.25">
      <c r="B119" t="s">
        <v>525</v>
      </c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-3.5523435040207802E-4</v>
      </c>
      <c r="T119" s="39">
        <v>-9.3104761103024404E-4</v>
      </c>
      <c r="U119" s="39">
        <v>-1.97168118291068E-3</v>
      </c>
      <c r="V119" s="39">
        <v>-2.79732775202434E-3</v>
      </c>
      <c r="W119" s="39">
        <v>5.5168155112617003E-2</v>
      </c>
      <c r="X119" s="39">
        <v>0.117803305779262</v>
      </c>
      <c r="Y119">
        <v>4.3423320040481002E-2</v>
      </c>
      <c r="Z119">
        <v>-5.3762728302719699E-2</v>
      </c>
      <c r="AA119">
        <v>-0.15673234532630401</v>
      </c>
      <c r="AB119">
        <v>-0.29425687324220401</v>
      </c>
      <c r="AC119">
        <v>-0.45444233363401898</v>
      </c>
      <c r="AD119" s="39">
        <v>-0.476480968504156</v>
      </c>
      <c r="AE119" s="39">
        <v>-0.51745397025258999</v>
      </c>
      <c r="AF119" s="39">
        <v>-0.57108422505823797</v>
      </c>
      <c r="AG119" s="39">
        <v>-0.65557364690220699</v>
      </c>
      <c r="AH119">
        <v>-0.74938333183519601</v>
      </c>
      <c r="AI119" s="39">
        <v>-0.86018262884250896</v>
      </c>
      <c r="AJ119" s="39">
        <v>-0.98489363171709798</v>
      </c>
      <c r="AK119" s="39">
        <v>-1.1169501684719501</v>
      </c>
      <c r="AL119" s="39">
        <v>-1.2473785578207499</v>
      </c>
      <c r="AM119" s="39">
        <v>-1.38467056062584</v>
      </c>
      <c r="AN119" s="39">
        <v>-1.6500667556634201</v>
      </c>
      <c r="AO119">
        <v>-1.92851659770447</v>
      </c>
      <c r="AP119">
        <v>-2.1954916083977198</v>
      </c>
      <c r="AQ119">
        <v>-2.4642503181882498</v>
      </c>
      <c r="AR119">
        <v>-2.7379042904510702</v>
      </c>
      <c r="AS119">
        <v>-3.00966494298881</v>
      </c>
      <c r="AT119">
        <v>-3.2762328681454602</v>
      </c>
      <c r="AU119">
        <v>-3.5419108446965901</v>
      </c>
      <c r="AV119">
        <v>-3.8251280345067298</v>
      </c>
      <c r="AW119">
        <v>-4.1054510238239104</v>
      </c>
    </row>
    <row r="120" spans="2:50" x14ac:dyDescent="0.25">
      <c r="B120" t="s">
        <v>526</v>
      </c>
      <c r="C120">
        <v>0</v>
      </c>
      <c r="D120" s="39">
        <v>0</v>
      </c>
      <c r="E120" s="39">
        <v>0</v>
      </c>
      <c r="F120" s="39">
        <v>0</v>
      </c>
      <c r="G120" s="39">
        <v>0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>
        <v>-6.6447062774255204E-5</v>
      </c>
      <c r="P120" s="39">
        <v>-1.4182753976799099E-4</v>
      </c>
      <c r="Q120" s="39">
        <v>-1.8649263056058599E-4</v>
      </c>
      <c r="R120" s="39">
        <v>-1.64079840947462E-4</v>
      </c>
      <c r="S120" s="39">
        <v>1.2089303550033501E-2</v>
      </c>
      <c r="T120" s="39">
        <v>2.1069132643525199E-2</v>
      </c>
      <c r="U120">
        <v>2.7814203583198499E-2</v>
      </c>
      <c r="V120" s="39">
        <v>0.180266834983489</v>
      </c>
      <c r="W120" s="39">
        <v>0.29676025502547398</v>
      </c>
      <c r="X120">
        <v>0.45001517090115201</v>
      </c>
      <c r="Y120">
        <v>-0.12720807965829101</v>
      </c>
      <c r="Z120">
        <v>-0.761969027402986</v>
      </c>
      <c r="AA120">
        <v>-0.80399209332628896</v>
      </c>
      <c r="AB120">
        <v>-0.85957085153790502</v>
      </c>
      <c r="AC120">
        <v>-7.8804213293281994E-2</v>
      </c>
      <c r="AD120">
        <v>-0.74839648889515298</v>
      </c>
      <c r="AE120">
        <v>-0.88663446110321897</v>
      </c>
      <c r="AF120">
        <v>-1.08067410307162</v>
      </c>
      <c r="AG120">
        <v>-1.3174054301283999</v>
      </c>
      <c r="AH120">
        <v>-0.77655273451825402</v>
      </c>
      <c r="AI120">
        <v>-1.3808815554429099</v>
      </c>
      <c r="AJ120">
        <v>-1.7971232157792201</v>
      </c>
      <c r="AK120">
        <v>-2.1004158881750401</v>
      </c>
      <c r="AL120">
        <v>-2.3583706118502099</v>
      </c>
      <c r="AM120">
        <v>-2.47566351212682</v>
      </c>
      <c r="AN120">
        <v>-2.53221835759601</v>
      </c>
      <c r="AO120">
        <v>-2.59665957653585</v>
      </c>
      <c r="AP120">
        <v>-2.6545925077607202</v>
      </c>
      <c r="AQ120">
        <v>-2.75594270447885</v>
      </c>
      <c r="AR120">
        <v>-2.3032086557389002</v>
      </c>
      <c r="AS120">
        <v>-2.6615385488460199</v>
      </c>
      <c r="AT120">
        <v>-2.8988138351253601</v>
      </c>
      <c r="AU120">
        <v>-3.13839066544331</v>
      </c>
      <c r="AV120">
        <v>-3.3813862400318899</v>
      </c>
      <c r="AW120">
        <v>-3.6714511172174902</v>
      </c>
    </row>
    <row r="121" spans="2:50" x14ac:dyDescent="0.25">
      <c r="B121" t="s">
        <v>527</v>
      </c>
      <c r="C121" s="39">
        <v>0</v>
      </c>
      <c r="D121" s="39">
        <v>0</v>
      </c>
      <c r="E121" s="39">
        <v>0</v>
      </c>
      <c r="F121" s="39">
        <v>0</v>
      </c>
      <c r="G121" s="39">
        <v>0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7.3119999999260403E-5</v>
      </c>
      <c r="P121" s="39">
        <v>1.2836999999932199E-4</v>
      </c>
      <c r="Q121" s="39">
        <v>7.3819999998891994E-5</v>
      </c>
      <c r="R121" s="39">
        <v>-1.11090000000368E-4</v>
      </c>
      <c r="S121" s="39">
        <v>-1.8744800000011701E-3</v>
      </c>
      <c r="T121" s="39">
        <v>-5.4923300000009299E-3</v>
      </c>
      <c r="U121" s="39">
        <v>-8.2616699999996102E-3</v>
      </c>
      <c r="V121" s="39">
        <v>-3.9686499999996797E-3</v>
      </c>
      <c r="W121" s="39">
        <v>-6.8269490000000196E-2</v>
      </c>
      <c r="X121">
        <v>-0.13521023999999901</v>
      </c>
      <c r="Y121">
        <v>-0.13191527</v>
      </c>
      <c r="Z121">
        <v>-0.24142206999999899</v>
      </c>
      <c r="AA121">
        <v>-0.40686238999999902</v>
      </c>
      <c r="AB121">
        <v>-0.56290664000000001</v>
      </c>
      <c r="AC121">
        <v>-0.65631694999999901</v>
      </c>
      <c r="AD121" s="39">
        <v>-0.67490267999999998</v>
      </c>
      <c r="AE121">
        <v>-0.67782009999999904</v>
      </c>
      <c r="AF121">
        <v>-0.70303508000000003</v>
      </c>
      <c r="AG121">
        <v>-0.71972411000000003</v>
      </c>
      <c r="AH121">
        <v>-0.73111825999999902</v>
      </c>
      <c r="AI121">
        <v>-0.72203004000000004</v>
      </c>
      <c r="AJ121">
        <v>-0.69577808999999802</v>
      </c>
      <c r="AK121" s="39">
        <v>-0.68790445</v>
      </c>
      <c r="AL121">
        <v>-0.69283008999999995</v>
      </c>
      <c r="AM121" s="39">
        <v>-0.70335694999999998</v>
      </c>
      <c r="AN121" s="39">
        <v>-0.73234399999999999</v>
      </c>
      <c r="AO121">
        <v>-0.77010942999999998</v>
      </c>
      <c r="AP121">
        <v>-0.79584116999999999</v>
      </c>
      <c r="AQ121">
        <v>-0.83344669999999899</v>
      </c>
      <c r="AR121">
        <v>-0.86639622000000005</v>
      </c>
      <c r="AS121" s="39">
        <v>-0.86818673000000002</v>
      </c>
      <c r="AT121" s="39">
        <v>-0.82925107999999903</v>
      </c>
      <c r="AU121">
        <v>-0.80577156999999899</v>
      </c>
      <c r="AV121">
        <v>-0.78553842999999901</v>
      </c>
      <c r="AW121">
        <v>-0.73250825999999902</v>
      </c>
    </row>
    <row r="122" spans="2:50" x14ac:dyDescent="0.25">
      <c r="B122" t="s">
        <v>528</v>
      </c>
      <c r="C122" s="39">
        <v>0</v>
      </c>
      <c r="D122" s="39">
        <v>0</v>
      </c>
      <c r="E122" s="39">
        <v>0</v>
      </c>
      <c r="F122" s="39">
        <v>0</v>
      </c>
      <c r="G122" s="39">
        <v>0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>
        <v>-1.2141075745875E-4</v>
      </c>
      <c r="P122" s="39">
        <v>-2.1199484918632501E-4</v>
      </c>
      <c r="Q122" s="39">
        <v>-1.2131814087767899E-4</v>
      </c>
      <c r="R122" s="39">
        <v>1.8165832880168099E-4</v>
      </c>
      <c r="S122" s="39">
        <v>3.0663378277617699E-3</v>
      </c>
      <c r="T122" s="39">
        <v>8.9818645292449803E-3</v>
      </c>
      <c r="U122" s="39">
        <v>1.3503201877118599E-2</v>
      </c>
      <c r="V122" s="39">
        <v>6.4849971808333901E-3</v>
      </c>
      <c r="W122" s="39">
        <v>0.111267587164198</v>
      </c>
      <c r="X122">
        <v>0.219950053626116</v>
      </c>
      <c r="Y122">
        <v>0.21462436476371499</v>
      </c>
      <c r="Z122">
        <v>0.39285499960985898</v>
      </c>
      <c r="AA122">
        <v>0.66365956929665904</v>
      </c>
      <c r="AB122">
        <v>0.91829596430661398</v>
      </c>
      <c r="AC122">
        <v>1.0695000062685001</v>
      </c>
      <c r="AD122">
        <v>1.0980369222634201</v>
      </c>
      <c r="AE122">
        <v>1.10142391944163</v>
      </c>
      <c r="AF122">
        <v>1.14149786754704</v>
      </c>
      <c r="AG122">
        <v>1.1706749022501299</v>
      </c>
      <c r="AH122">
        <v>1.18881323823985</v>
      </c>
      <c r="AI122">
        <v>1.1723376006799799</v>
      </c>
      <c r="AJ122">
        <v>1.12839308384697</v>
      </c>
      <c r="AK122">
        <v>1.1147252111770101</v>
      </c>
      <c r="AL122">
        <v>1.1222606736502601</v>
      </c>
      <c r="AM122">
        <v>1.13952077865686</v>
      </c>
      <c r="AN122">
        <v>1.1873711356518999</v>
      </c>
      <c r="AO122">
        <v>1.2494606474160399</v>
      </c>
      <c r="AP122">
        <v>1.29196204656409</v>
      </c>
      <c r="AQ122">
        <v>1.35331439131403</v>
      </c>
      <c r="AR122">
        <v>1.4070540995427501</v>
      </c>
      <c r="AS122">
        <v>1.4097759398023999</v>
      </c>
      <c r="AT122">
        <v>1.34612331536898</v>
      </c>
      <c r="AU122">
        <v>1.30779145173449</v>
      </c>
      <c r="AV122">
        <v>1.2747721773884499</v>
      </c>
      <c r="AW122">
        <v>1.1884716281211201</v>
      </c>
    </row>
    <row r="123" spans="2:50" x14ac:dyDescent="0.25">
      <c r="B123" t="s">
        <v>529</v>
      </c>
      <c r="C123" s="39">
        <v>0</v>
      </c>
      <c r="D123" s="39">
        <v>0</v>
      </c>
      <c r="E123" s="39">
        <v>0</v>
      </c>
      <c r="F123" s="39">
        <v>0</v>
      </c>
      <c r="G123" s="39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9.4239860932709898E-4</v>
      </c>
      <c r="P123" s="39">
        <v>1.64167033838147E-3</v>
      </c>
      <c r="Q123" s="39">
        <v>1.31759598736014E-3</v>
      </c>
      <c r="R123" s="39">
        <v>-1.1029459123790201E-6</v>
      </c>
      <c r="S123" s="39">
        <v>3.5386088249600399E-3</v>
      </c>
      <c r="T123" s="39">
        <v>6.3671745461402196E-3</v>
      </c>
      <c r="U123" s="39">
        <v>1.10787500794185E-2</v>
      </c>
      <c r="V123">
        <v>5.1084297907122399E-3</v>
      </c>
      <c r="W123" s="39">
        <v>0.137363158140546</v>
      </c>
      <c r="X123">
        <v>0.113947945128667</v>
      </c>
      <c r="Y123">
        <v>0.22795661239083301</v>
      </c>
      <c r="Z123">
        <v>0.38453714208859202</v>
      </c>
      <c r="AA123">
        <v>0.65092180890171603</v>
      </c>
      <c r="AB123" s="39">
        <v>0.94757052330531799</v>
      </c>
      <c r="AC123">
        <v>1.2757997485528301</v>
      </c>
      <c r="AD123">
        <v>1.5369986689888999</v>
      </c>
      <c r="AE123">
        <v>1.8296985779951001</v>
      </c>
      <c r="AF123">
        <v>2.0242931452394601</v>
      </c>
      <c r="AG123">
        <v>2.1893393049367398</v>
      </c>
      <c r="AH123">
        <v>2.33426453998324</v>
      </c>
      <c r="AI123">
        <v>2.38201358086063</v>
      </c>
      <c r="AJ123">
        <v>2.4312252802649499</v>
      </c>
      <c r="AK123">
        <v>2.4555287301511299</v>
      </c>
      <c r="AL123">
        <v>2.4629172969057298</v>
      </c>
      <c r="AM123">
        <v>2.47646017938734</v>
      </c>
      <c r="AN123">
        <v>2.4993174168409</v>
      </c>
      <c r="AO123">
        <v>2.5373237328411</v>
      </c>
      <c r="AP123">
        <v>2.6379393025435398</v>
      </c>
      <c r="AQ123">
        <v>2.72011746807578</v>
      </c>
      <c r="AR123">
        <v>2.8077254277247601</v>
      </c>
      <c r="AS123">
        <v>2.8335453990573298</v>
      </c>
      <c r="AT123">
        <v>2.9180490816401701</v>
      </c>
      <c r="AU123">
        <v>2.94528583131796</v>
      </c>
      <c r="AV123">
        <v>2.9167722111725198</v>
      </c>
      <c r="AW123">
        <v>2.8932697051771599</v>
      </c>
    </row>
    <row r="124" spans="2:50" x14ac:dyDescent="0.25">
      <c r="B124" t="s">
        <v>530</v>
      </c>
      <c r="C124" s="39">
        <v>0</v>
      </c>
      <c r="D124" s="39">
        <v>0</v>
      </c>
      <c r="E124" s="39">
        <v>0</v>
      </c>
      <c r="F124" s="39">
        <v>0</v>
      </c>
      <c r="G124" s="39">
        <v>0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-9.54429008703794E-4</v>
      </c>
      <c r="P124" s="39">
        <v>-2.0096676585867799E-3</v>
      </c>
      <c r="Q124" s="39">
        <v>-2.4018750732657198E-3</v>
      </c>
      <c r="R124" s="39">
        <v>-1.8136824927905599E-3</v>
      </c>
      <c r="S124" s="39">
        <v>-4.3786148854474399E-4</v>
      </c>
      <c r="T124" s="39">
        <v>1.0804929322372201E-3</v>
      </c>
      <c r="U124" s="39">
        <v>3.5753476524291701E-3</v>
      </c>
      <c r="V124">
        <v>-2.3846059916565699E-3</v>
      </c>
      <c r="W124" s="39">
        <v>7.7047791612727595E-2</v>
      </c>
      <c r="X124">
        <v>3.45879045838604E-2</v>
      </c>
      <c r="Y124">
        <v>0.35413114814482</v>
      </c>
      <c r="Z124">
        <v>0.56765532545268704</v>
      </c>
      <c r="AA124">
        <v>0.644892649888406</v>
      </c>
      <c r="AB124">
        <v>0.71855784501879605</v>
      </c>
      <c r="AC124">
        <v>0.83450135158902305</v>
      </c>
      <c r="AD124">
        <v>1.06279556379049</v>
      </c>
      <c r="AE124">
        <v>1.2613773119382901</v>
      </c>
      <c r="AF124">
        <v>1.4811623572691801</v>
      </c>
      <c r="AG124">
        <v>1.7171795263573699</v>
      </c>
      <c r="AH124">
        <v>1.9357621947794601</v>
      </c>
      <c r="AI124">
        <v>2.2307051023153299</v>
      </c>
      <c r="AJ124">
        <v>2.5361935159136899</v>
      </c>
      <c r="AK124">
        <v>2.8195055615392399</v>
      </c>
      <c r="AL124">
        <v>3.0809479665304602</v>
      </c>
      <c r="AM124">
        <v>3.3627038102278899</v>
      </c>
      <c r="AN124">
        <v>3.64921265265827</v>
      </c>
      <c r="AO124">
        <v>3.9561130261500601</v>
      </c>
      <c r="AP124">
        <v>4.2427032398224096</v>
      </c>
      <c r="AQ124">
        <v>4.5553273130576297</v>
      </c>
      <c r="AR124">
        <v>4.8411130139912597</v>
      </c>
      <c r="AS124">
        <v>5.1989092646707702</v>
      </c>
      <c r="AT124">
        <v>5.5480639453665699</v>
      </c>
      <c r="AU124">
        <v>5.88747651592029</v>
      </c>
      <c r="AV124">
        <v>6.2563527536903596</v>
      </c>
      <c r="AW124">
        <v>6.63790891787818</v>
      </c>
    </row>
    <row r="125" spans="2:50" x14ac:dyDescent="0.25">
      <c r="B125" t="s">
        <v>531</v>
      </c>
      <c r="C125" s="39">
        <v>0</v>
      </c>
      <c r="D125" s="39">
        <v>0</v>
      </c>
      <c r="E125" s="39">
        <v>0</v>
      </c>
      <c r="F125" s="39">
        <v>0</v>
      </c>
      <c r="G125" s="39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-9.6288999999992399E-4</v>
      </c>
      <c r="P125" s="39">
        <v>-1.0715100000002701E-3</v>
      </c>
      <c r="Q125" s="39">
        <v>-3.9987000000005202E-4</v>
      </c>
      <c r="R125" s="39">
        <v>5.9854000000018805E-4</v>
      </c>
      <c r="S125" s="39">
        <v>1.40277999999965E-3</v>
      </c>
      <c r="T125" s="39">
        <v>1.5481099999998999E-3</v>
      </c>
      <c r="U125" s="39">
        <v>2.5421400000003001E-3</v>
      </c>
      <c r="V125" s="39">
        <v>-6.0901599999996199E-3</v>
      </c>
      <c r="W125">
        <v>8.1166339999999504E-2</v>
      </c>
      <c r="X125">
        <v>-4.3324730000000103E-2</v>
      </c>
      <c r="Y125">
        <v>0.32587537999999999</v>
      </c>
      <c r="Z125">
        <v>0.217277049999999</v>
      </c>
      <c r="AA125">
        <v>7.8562279999999596E-2</v>
      </c>
      <c r="AB125">
        <v>7.4923329999999899E-2</v>
      </c>
      <c r="AC125">
        <v>0.11790853</v>
      </c>
      <c r="AD125">
        <v>0.23180028999999899</v>
      </c>
      <c r="AE125">
        <v>0.201346369999999</v>
      </c>
      <c r="AF125">
        <v>0.22206627000000001</v>
      </c>
      <c r="AG125">
        <v>0.23827846999999999</v>
      </c>
      <c r="AH125">
        <v>0.220363579999999</v>
      </c>
      <c r="AI125">
        <v>0.296458949999999</v>
      </c>
      <c r="AJ125">
        <v>0.30632753000000001</v>
      </c>
      <c r="AK125">
        <v>0.283322559999999</v>
      </c>
      <c r="AL125">
        <v>0.26067483000000002</v>
      </c>
      <c r="AM125">
        <v>0.28010579000000002</v>
      </c>
      <c r="AN125">
        <v>0.28404080999999998</v>
      </c>
      <c r="AO125" s="39">
        <v>0.30327847000000002</v>
      </c>
      <c r="AP125" s="39">
        <v>0.28234181000000003</v>
      </c>
      <c r="AQ125" s="39">
        <v>0.30706092000000001</v>
      </c>
      <c r="AR125">
        <v>0.27989024999999901</v>
      </c>
      <c r="AS125">
        <v>0.34937473000000002</v>
      </c>
      <c r="AT125" s="39">
        <v>0.33981981999999999</v>
      </c>
      <c r="AU125">
        <v>0.32926447999999903</v>
      </c>
      <c r="AV125">
        <v>0.35663614999999999</v>
      </c>
      <c r="AW125">
        <v>0.36766581999999998</v>
      </c>
    </row>
    <row r="126" spans="2:50" x14ac:dyDescent="0.25">
      <c r="B126" t="s">
        <v>532</v>
      </c>
      <c r="C126">
        <v>0</v>
      </c>
      <c r="D126" s="39">
        <v>0</v>
      </c>
      <c r="E126" s="39">
        <v>0</v>
      </c>
      <c r="F126" s="39">
        <v>0</v>
      </c>
      <c r="G126" s="39">
        <v>0</v>
      </c>
      <c r="H126" s="39">
        <v>0</v>
      </c>
      <c r="I126" s="39">
        <v>0</v>
      </c>
      <c r="J126" s="39">
        <v>0</v>
      </c>
      <c r="K126" s="39">
        <v>0</v>
      </c>
      <c r="L126" s="39">
        <v>0</v>
      </c>
      <c r="M126" s="39">
        <v>0</v>
      </c>
      <c r="N126" s="39">
        <v>0</v>
      </c>
      <c r="O126" s="39">
        <v>3.46912491999695E-4</v>
      </c>
      <c r="P126" s="39">
        <v>5.4580551960281499E-4</v>
      </c>
      <c r="Q126" s="39">
        <v>2.4568237930733201E-4</v>
      </c>
      <c r="R126" s="39">
        <v>-6.5783235597693902E-4</v>
      </c>
      <c r="S126" s="39">
        <v>-1.12949700752373E-2</v>
      </c>
      <c r="T126">
        <v>-2.28284197457795E-2</v>
      </c>
      <c r="U126" s="39">
        <v>-3.6613778401894899E-2</v>
      </c>
      <c r="V126">
        <v>-3.7725603750771101E-2</v>
      </c>
      <c r="W126">
        <v>-0.55358588391127805</v>
      </c>
      <c r="X126">
        <v>-0.680500122094152</v>
      </c>
      <c r="Y126">
        <v>-1.32962153497331</v>
      </c>
      <c r="Z126">
        <v>-1.9323612988719101</v>
      </c>
      <c r="AA126">
        <v>-2.6028107395112898</v>
      </c>
      <c r="AB126">
        <v>-3.27779608002019</v>
      </c>
      <c r="AC126">
        <v>-4.0797540471162002</v>
      </c>
      <c r="AD126">
        <v>-4.7278941713015197</v>
      </c>
      <c r="AE126">
        <v>-5.3944225175753298</v>
      </c>
      <c r="AF126">
        <v>-6.0507344079066803</v>
      </c>
      <c r="AG126">
        <v>-6.6785444184532796</v>
      </c>
      <c r="AH126">
        <v>-7.3539073810399804</v>
      </c>
      <c r="AI126">
        <v>-7.9018440414365001</v>
      </c>
      <c r="AJ126">
        <v>-8.4437009017905602</v>
      </c>
      <c r="AK126">
        <v>-8.9839510183183897</v>
      </c>
      <c r="AL126">
        <v>-9.5075590062845698</v>
      </c>
      <c r="AM126">
        <v>-10.125597584256001</v>
      </c>
      <c r="AN126">
        <v>-10.8658944272031</v>
      </c>
      <c r="AO126">
        <v>-11.7011805289295</v>
      </c>
      <c r="AP126">
        <v>-12.5067027853735</v>
      </c>
      <c r="AQ126">
        <v>-13.348858799189699</v>
      </c>
      <c r="AR126">
        <v>-14.1796894395407</v>
      </c>
      <c r="AS126">
        <v>-14.9172205636422</v>
      </c>
      <c r="AT126">
        <v>-15.5855759111887</v>
      </c>
      <c r="AU126">
        <v>-16.1819087397608</v>
      </c>
      <c r="AV126">
        <v>-16.768439677609202</v>
      </c>
      <c r="AW126">
        <v>-17.211646787285201</v>
      </c>
    </row>
    <row r="127" spans="2:50" x14ac:dyDescent="0.25">
      <c r="B127" t="s">
        <v>533</v>
      </c>
      <c r="C127" s="39">
        <v>0</v>
      </c>
      <c r="D127" s="39">
        <v>0</v>
      </c>
      <c r="E127" s="39">
        <v>0</v>
      </c>
      <c r="F127" s="39">
        <v>0</v>
      </c>
      <c r="G127" s="39">
        <v>0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-2.86809999999748E-4</v>
      </c>
      <c r="P127" s="39">
        <v>-5.3580000000039098E-4</v>
      </c>
      <c r="Q127" s="39">
        <v>-5.7949999999959401E-4</v>
      </c>
      <c r="R127" s="39">
        <v>-4.12550000000039E-4</v>
      </c>
      <c r="S127" s="39">
        <v>-7.32870000000329E-4</v>
      </c>
      <c r="T127" s="39">
        <v>-5.1121299999998199E-3</v>
      </c>
      <c r="U127" s="39">
        <v>-7.7671799999998103E-3</v>
      </c>
      <c r="V127" s="39">
        <v>-2.1474059999999899E-2</v>
      </c>
      <c r="W127">
        <v>2.08329100000001E-2</v>
      </c>
      <c r="X127" s="39">
        <v>-0.15020830999999901</v>
      </c>
      <c r="Y127">
        <v>-4.75083299999998E-2</v>
      </c>
      <c r="Z127">
        <v>-0.17689605</v>
      </c>
      <c r="AA127">
        <v>-0.22973492000000001</v>
      </c>
      <c r="AB127">
        <v>-0.31994434999999999</v>
      </c>
      <c r="AC127">
        <v>-0.47141365000000002</v>
      </c>
      <c r="AD127">
        <v>-0.45990699000000002</v>
      </c>
      <c r="AE127">
        <v>-0.44006806999999998</v>
      </c>
      <c r="AF127">
        <v>-0.45596223999999902</v>
      </c>
      <c r="AG127">
        <v>-0.46204173999999998</v>
      </c>
      <c r="AH127">
        <v>-0.511032189999999</v>
      </c>
      <c r="AI127">
        <v>-0.50614263999999998</v>
      </c>
      <c r="AJ127">
        <v>-0.490179799999999</v>
      </c>
      <c r="AK127">
        <v>-0.47815410000000003</v>
      </c>
      <c r="AL127">
        <v>-0.48563112000000003</v>
      </c>
      <c r="AM127">
        <v>-0.52167359999999996</v>
      </c>
      <c r="AN127">
        <v>-0.63125914000000105</v>
      </c>
      <c r="AO127">
        <v>-0.75076807999999995</v>
      </c>
      <c r="AP127">
        <v>-0.74710525999999999</v>
      </c>
      <c r="AQ127">
        <v>-0.79739786000000001</v>
      </c>
      <c r="AR127">
        <v>-0.86072393999999897</v>
      </c>
      <c r="AS127">
        <v>-0.89963393000000003</v>
      </c>
      <c r="AT127">
        <v>-0.80363307000000095</v>
      </c>
      <c r="AU127">
        <v>-0.77154389000000101</v>
      </c>
      <c r="AV127">
        <v>-0.79336198999999896</v>
      </c>
      <c r="AW127">
        <v>-0.70842400000000005</v>
      </c>
    </row>
    <row r="128" spans="2:50" x14ac:dyDescent="0.25">
      <c r="B128" t="s">
        <v>200</v>
      </c>
      <c r="C128">
        <v>97.671935255055303</v>
      </c>
      <c r="D128">
        <v>99.240089768457807</v>
      </c>
      <c r="E128">
        <v>100</v>
      </c>
      <c r="F128">
        <v>103.943873392333</v>
      </c>
      <c r="G128">
        <v>104.29335046702499</v>
      </c>
      <c r="H128">
        <v>100.650767145362</v>
      </c>
      <c r="I128">
        <v>103.13196530567799</v>
      </c>
      <c r="J128">
        <v>105.46692398148799</v>
      </c>
      <c r="K128">
        <v>106.12316497654599</v>
      </c>
      <c r="L128">
        <v>106.414057689522</v>
      </c>
      <c r="M128">
        <v>107.54760270180699</v>
      </c>
      <c r="N128">
        <v>108.585176044043</v>
      </c>
      <c r="O128">
        <v>110.07751243411001</v>
      </c>
      <c r="P128">
        <v>113.14617048119599</v>
      </c>
      <c r="Q128">
        <v>115.703672332233</v>
      </c>
      <c r="R128">
        <v>118.170029118682</v>
      </c>
      <c r="S128">
        <v>118.425493829023</v>
      </c>
      <c r="T128">
        <v>120.339159325472</v>
      </c>
      <c r="U128">
        <v>121.798384949908</v>
      </c>
      <c r="V128">
        <v>123.86086769454801</v>
      </c>
      <c r="W128">
        <v>125.656201637119</v>
      </c>
      <c r="X128">
        <v>126.719777383241</v>
      </c>
      <c r="Y128">
        <v>127.97269070055199</v>
      </c>
      <c r="Z128">
        <v>129.298322147357</v>
      </c>
      <c r="AA128">
        <v>130.59027809371199</v>
      </c>
      <c r="AB128">
        <v>131.722491128466</v>
      </c>
      <c r="AC128">
        <v>132.95085959663101</v>
      </c>
      <c r="AD128">
        <v>133.990097018184</v>
      </c>
      <c r="AE128">
        <v>134.966775065664</v>
      </c>
      <c r="AF128">
        <v>136.12123490339201</v>
      </c>
      <c r="AG128">
        <v>137.198090090606</v>
      </c>
      <c r="AH128">
        <v>138.47299219463699</v>
      </c>
      <c r="AI128">
        <v>139.81285570643701</v>
      </c>
      <c r="AJ128">
        <v>141.191239678171</v>
      </c>
      <c r="AK128">
        <v>142.617137914898</v>
      </c>
      <c r="AL128">
        <v>144.14683238075301</v>
      </c>
      <c r="AM128">
        <v>145.854457644729</v>
      </c>
      <c r="AN128">
        <v>147.595262794798</v>
      </c>
      <c r="AO128">
        <v>149.560988663167</v>
      </c>
      <c r="AP128">
        <v>151.635003311785</v>
      </c>
      <c r="AQ128">
        <v>153.78461655546201</v>
      </c>
      <c r="AR128">
        <v>155.95277968943799</v>
      </c>
      <c r="AS128">
        <v>157.99987970026999</v>
      </c>
      <c r="AT128">
        <v>160.05578049211101</v>
      </c>
      <c r="AU128">
        <v>162.05311566676701</v>
      </c>
      <c r="AV128">
        <v>163.997440077091</v>
      </c>
      <c r="AW128">
        <v>166.00548881184901</v>
      </c>
      <c r="AX128">
        <v>178.52723229718001</v>
      </c>
    </row>
    <row r="129" spans="2:50" x14ac:dyDescent="0.25">
      <c r="B129" t="s">
        <v>534</v>
      </c>
      <c r="C129" s="39">
        <v>0</v>
      </c>
      <c r="D129" s="39">
        <v>0</v>
      </c>
      <c r="E129" s="39">
        <v>0</v>
      </c>
      <c r="F129" s="39">
        <v>0</v>
      </c>
      <c r="G129" s="39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3.9766904058602399E-5</v>
      </c>
      <c r="P129" s="39">
        <v>9.9706740774862997E-5</v>
      </c>
      <c r="Q129" s="39">
        <v>1.14685637120359E-4</v>
      </c>
      <c r="R129" s="39">
        <v>6.3699361252389495E-5</v>
      </c>
      <c r="S129" s="39">
        <v>4.69478569709025E-3</v>
      </c>
      <c r="T129" s="39">
        <v>7.2578035285042397E-3</v>
      </c>
      <c r="U129" s="39">
        <v>9.5389229053832701E-3</v>
      </c>
      <c r="V129" s="39">
        <v>6.4279093050445504E-2</v>
      </c>
      <c r="W129">
        <v>-2.6288040642791701</v>
      </c>
      <c r="X129">
        <v>-4.2611902562119601</v>
      </c>
      <c r="Y129">
        <v>-7.3248742467747601</v>
      </c>
      <c r="Z129">
        <v>-11.0805974213895</v>
      </c>
      <c r="AA129">
        <v>-14.3549494937776</v>
      </c>
      <c r="AB129">
        <v>-17.758648001421999</v>
      </c>
      <c r="AC129">
        <v>-21.081320720237699</v>
      </c>
      <c r="AD129">
        <v>-24.6823886076698</v>
      </c>
      <c r="AE129">
        <v>-28.2946191628821</v>
      </c>
      <c r="AF129">
        <v>-31.722164893467099</v>
      </c>
      <c r="AG129">
        <v>-35.045418638687899</v>
      </c>
      <c r="AH129">
        <v>-38.257389483404403</v>
      </c>
      <c r="AI129">
        <v>-41.8408195690062</v>
      </c>
      <c r="AJ129">
        <v>-45.331640826042197</v>
      </c>
      <c r="AK129">
        <v>-48.691656989671898</v>
      </c>
      <c r="AL129">
        <v>-51.803151982516603</v>
      </c>
      <c r="AM129">
        <v>-54.864459458211002</v>
      </c>
      <c r="AN129">
        <v>-56.212870692831402</v>
      </c>
      <c r="AO129">
        <v>-57.576418639455603</v>
      </c>
      <c r="AP129">
        <v>-58.936488365563399</v>
      </c>
      <c r="AQ129">
        <v>-60.324333655436902</v>
      </c>
      <c r="AR129">
        <v>-61.792361545730202</v>
      </c>
      <c r="AS129">
        <v>-63.128182856152598</v>
      </c>
      <c r="AT129">
        <v>-64.2523588461803</v>
      </c>
      <c r="AU129">
        <v>-65.076831217724703</v>
      </c>
      <c r="AV129">
        <v>-65.889161948105894</v>
      </c>
      <c r="AW129">
        <v>-66.672817982695506</v>
      </c>
    </row>
    <row r="130" spans="2:50" x14ac:dyDescent="0.25">
      <c r="B130" t="s">
        <v>201</v>
      </c>
      <c r="C130">
        <v>104.25370865031999</v>
      </c>
      <c r="D130">
        <v>105.927535664518</v>
      </c>
      <c r="E130">
        <v>100</v>
      </c>
      <c r="F130">
        <v>100.422701493692</v>
      </c>
      <c r="G130">
        <v>95.344647589266401</v>
      </c>
      <c r="H130">
        <v>90.722355000076305</v>
      </c>
      <c r="I130">
        <v>89.864833723891905</v>
      </c>
      <c r="J130">
        <v>87.458248026016093</v>
      </c>
      <c r="K130">
        <v>84.033307083607795</v>
      </c>
      <c r="L130">
        <v>81.905698856901594</v>
      </c>
      <c r="M130">
        <v>81.063662851304898</v>
      </c>
      <c r="N130">
        <v>80.929336050849599</v>
      </c>
      <c r="O130">
        <v>79.001506264110503</v>
      </c>
      <c r="P130">
        <v>77.063273182967293</v>
      </c>
      <c r="Q130">
        <v>74.2423988067832</v>
      </c>
      <c r="R130">
        <v>72.515481163192803</v>
      </c>
      <c r="S130">
        <v>70.826444881751996</v>
      </c>
      <c r="T130">
        <v>70.053015741192695</v>
      </c>
      <c r="U130">
        <v>69.292405180054601</v>
      </c>
      <c r="V130">
        <v>68.762418406910996</v>
      </c>
      <c r="W130">
        <v>67.156684845289604</v>
      </c>
      <c r="X130">
        <v>65.826309222675604</v>
      </c>
      <c r="Y130">
        <v>63.239856491639003</v>
      </c>
      <c r="Z130">
        <v>60.504278324103701</v>
      </c>
      <c r="AA130">
        <v>58.050856210379798</v>
      </c>
      <c r="AB130">
        <v>55.519900559676898</v>
      </c>
      <c r="AC130">
        <v>52.970607607631898</v>
      </c>
      <c r="AD130">
        <v>50.332967296145597</v>
      </c>
      <c r="AE130">
        <v>47.742296802226797</v>
      </c>
      <c r="AF130">
        <v>45.305082338231301</v>
      </c>
      <c r="AG130">
        <v>42.941827598306602</v>
      </c>
      <c r="AH130">
        <v>40.674332657121603</v>
      </c>
      <c r="AI130">
        <v>38.228191048569698</v>
      </c>
      <c r="AJ130">
        <v>35.861412791891297</v>
      </c>
      <c r="AK130">
        <v>33.589221155005802</v>
      </c>
      <c r="AL130">
        <v>31.495199814738001</v>
      </c>
      <c r="AM130">
        <v>29.4447264371946</v>
      </c>
      <c r="AN130">
        <v>28.449364868207901</v>
      </c>
      <c r="AO130">
        <v>27.451043736184001</v>
      </c>
      <c r="AP130">
        <v>26.4526521348199</v>
      </c>
      <c r="AQ130">
        <v>25.441714354226299</v>
      </c>
      <c r="AR130">
        <v>24.3644313963207</v>
      </c>
      <c r="AS130">
        <v>23.500983929715701</v>
      </c>
      <c r="AT130">
        <v>22.781650333067098</v>
      </c>
      <c r="AU130">
        <v>22.249747649554301</v>
      </c>
      <c r="AV130">
        <v>21.722515717681901</v>
      </c>
      <c r="AW130">
        <v>21.2218842627701</v>
      </c>
      <c r="AX130">
        <v>9.0244863084901095</v>
      </c>
    </row>
    <row r="131" spans="2:50" x14ac:dyDescent="0.25">
      <c r="B131" t="s">
        <v>202</v>
      </c>
      <c r="C131">
        <v>651205.12405279896</v>
      </c>
      <c r="D131">
        <v>661660.432957732</v>
      </c>
      <c r="E131">
        <v>672283.60519999999</v>
      </c>
      <c r="F131">
        <v>690924.66559999995</v>
      </c>
      <c r="G131">
        <v>678581.71100000001</v>
      </c>
      <c r="H131">
        <v>619435.65870000003</v>
      </c>
      <c r="I131">
        <v>636180.69220000005</v>
      </c>
      <c r="J131">
        <v>653802.57869999995</v>
      </c>
      <c r="K131">
        <v>644454.95090000005</v>
      </c>
      <c r="L131">
        <v>636957.33299999998</v>
      </c>
      <c r="M131">
        <v>640329.71609999996</v>
      </c>
      <c r="N131">
        <v>649163.82010000001</v>
      </c>
      <c r="O131">
        <v>659683.12349999999</v>
      </c>
      <c r="P131">
        <v>687399.4203</v>
      </c>
      <c r="Q131">
        <v>700150.70160000003</v>
      </c>
      <c r="R131">
        <v>714944.25320000004</v>
      </c>
      <c r="S131">
        <v>711543.01710000006</v>
      </c>
      <c r="T131">
        <v>720892.29790000001</v>
      </c>
      <c r="U131">
        <v>730071.34279999998</v>
      </c>
      <c r="V131">
        <v>745575.23600000003</v>
      </c>
      <c r="W131">
        <v>739305.08620000002</v>
      </c>
      <c r="X131">
        <v>731239.13159999996</v>
      </c>
      <c r="Y131">
        <v>726048.76450000005</v>
      </c>
      <c r="Z131">
        <v>724031.10880000005</v>
      </c>
      <c r="AA131">
        <v>723968.08089999994</v>
      </c>
      <c r="AB131">
        <v>725142.098</v>
      </c>
      <c r="AC131">
        <v>728306.95739999996</v>
      </c>
      <c r="AD131">
        <v>731858.54920000001</v>
      </c>
      <c r="AE131">
        <v>734984.61860000005</v>
      </c>
      <c r="AF131">
        <v>738583.47180000006</v>
      </c>
      <c r="AG131">
        <v>741858.55209999997</v>
      </c>
      <c r="AH131">
        <v>746040.40819999995</v>
      </c>
      <c r="AI131">
        <v>750653.00260000001</v>
      </c>
      <c r="AJ131">
        <v>755386.07510000002</v>
      </c>
      <c r="AK131">
        <v>760209.30379999999</v>
      </c>
      <c r="AL131">
        <v>765358.69369999995</v>
      </c>
      <c r="AM131">
        <v>771026.87529999996</v>
      </c>
      <c r="AN131">
        <v>777003.35149999999</v>
      </c>
      <c r="AO131">
        <v>783986.09329999995</v>
      </c>
      <c r="AP131">
        <v>791432.53509999998</v>
      </c>
      <c r="AQ131">
        <v>799217.7831</v>
      </c>
      <c r="AR131">
        <v>807077.70660000003</v>
      </c>
      <c r="AS131">
        <v>814361.00890000002</v>
      </c>
      <c r="AT131">
        <v>821707.50630000001</v>
      </c>
      <c r="AU131">
        <v>828886.23069999996</v>
      </c>
      <c r="AV131">
        <v>835832.05779999995</v>
      </c>
      <c r="AW131">
        <v>843045.5723</v>
      </c>
    </row>
    <row r="132" spans="2:50" x14ac:dyDescent="0.25">
      <c r="B132" t="s">
        <v>203</v>
      </c>
      <c r="C132">
        <v>11699515.674308199</v>
      </c>
      <c r="D132">
        <v>11887355.182774801</v>
      </c>
      <c r="E132">
        <v>12078210.52</v>
      </c>
      <c r="F132">
        <v>12394208.23</v>
      </c>
      <c r="G132">
        <v>12130936.02</v>
      </c>
      <c r="H132">
        <v>11018218.310000001</v>
      </c>
      <c r="I132">
        <v>11233802.220000001</v>
      </c>
      <c r="J132">
        <v>11656711.98</v>
      </c>
      <c r="K132">
        <v>11446952.24</v>
      </c>
      <c r="L132">
        <v>11263843.59</v>
      </c>
      <c r="M132">
        <v>11300821.92</v>
      </c>
      <c r="N132">
        <v>11409654.07</v>
      </c>
      <c r="O132">
        <v>11619492.98</v>
      </c>
      <c r="P132">
        <v>12136393.41</v>
      </c>
      <c r="Q132">
        <v>12362443.25</v>
      </c>
      <c r="R132">
        <v>12640256.91</v>
      </c>
      <c r="S132">
        <v>12357583.890000001</v>
      </c>
      <c r="T132">
        <v>12677199.48</v>
      </c>
      <c r="U132">
        <v>12766803.630000001</v>
      </c>
      <c r="V132">
        <v>13080955.060000001</v>
      </c>
      <c r="W132">
        <v>13109895.35</v>
      </c>
      <c r="X132">
        <v>12959720.17</v>
      </c>
      <c r="Y132">
        <v>12926570.550000001</v>
      </c>
      <c r="Z132">
        <v>12918768.810000001</v>
      </c>
      <c r="AA132">
        <v>12899060.17</v>
      </c>
      <c r="AB132">
        <v>12831625.869999999</v>
      </c>
      <c r="AC132">
        <v>12794047.35</v>
      </c>
      <c r="AD132">
        <v>12765296.67</v>
      </c>
      <c r="AE132">
        <v>12734749.02</v>
      </c>
      <c r="AF132">
        <v>12716604.460000001</v>
      </c>
      <c r="AG132">
        <v>12693483.220000001</v>
      </c>
      <c r="AH132">
        <v>12715735.85</v>
      </c>
      <c r="AI132">
        <v>12712095.99</v>
      </c>
      <c r="AJ132">
        <v>12703806.529999999</v>
      </c>
      <c r="AK132">
        <v>12716873.529999999</v>
      </c>
      <c r="AL132">
        <v>12727826.800000001</v>
      </c>
      <c r="AM132">
        <v>12757872.32</v>
      </c>
      <c r="AN132">
        <v>12835889.720000001</v>
      </c>
      <c r="AO132">
        <v>12943582.130000001</v>
      </c>
      <c r="AP132">
        <v>13047575.859999999</v>
      </c>
      <c r="AQ132">
        <v>13177291.710000001</v>
      </c>
      <c r="AR132">
        <v>13299727.5</v>
      </c>
      <c r="AS132">
        <v>13404716.49</v>
      </c>
      <c r="AT132">
        <v>13501070.970000001</v>
      </c>
      <c r="AU132">
        <v>13582674.689999999</v>
      </c>
      <c r="AV132">
        <v>13661881.960000001</v>
      </c>
      <c r="AW132">
        <v>13768997.02</v>
      </c>
    </row>
    <row r="133" spans="2:50" x14ac:dyDescent="0.25">
      <c r="B133" t="s">
        <v>204</v>
      </c>
      <c r="C133">
        <v>12350720.798361</v>
      </c>
      <c r="D133">
        <v>12549015.615732601</v>
      </c>
      <c r="E133">
        <v>12750494.119999999</v>
      </c>
      <c r="F133">
        <v>13085132.9</v>
      </c>
      <c r="G133">
        <v>12809517.73</v>
      </c>
      <c r="H133">
        <v>11637653.970000001</v>
      </c>
      <c r="I133">
        <v>11869982.91</v>
      </c>
      <c r="J133">
        <v>12310514.560000001</v>
      </c>
      <c r="K133">
        <v>12091407.189999999</v>
      </c>
      <c r="L133">
        <v>11900800.92</v>
      </c>
      <c r="M133">
        <v>11941151.640000001</v>
      </c>
      <c r="N133">
        <v>12058817.890000001</v>
      </c>
      <c r="O133">
        <v>12279176.1</v>
      </c>
      <c r="P133">
        <v>12823792.83</v>
      </c>
      <c r="Q133">
        <v>13062593.949999999</v>
      </c>
      <c r="R133">
        <v>13355201.16</v>
      </c>
      <c r="S133">
        <v>13069126.91</v>
      </c>
      <c r="T133">
        <v>13398091.779999999</v>
      </c>
      <c r="U133">
        <v>13496874.970000001</v>
      </c>
      <c r="V133">
        <v>13826530.289999999</v>
      </c>
      <c r="W133">
        <v>13849200.439999999</v>
      </c>
      <c r="X133">
        <v>13690959.300000001</v>
      </c>
      <c r="Y133">
        <v>13652619.32</v>
      </c>
      <c r="Z133">
        <v>13642799.92</v>
      </c>
      <c r="AA133">
        <v>13623028.25</v>
      </c>
      <c r="AB133">
        <v>13556767.970000001</v>
      </c>
      <c r="AC133">
        <v>13522354.310000001</v>
      </c>
      <c r="AD133">
        <v>13497155.220000001</v>
      </c>
      <c r="AE133">
        <v>13469733.630000001</v>
      </c>
      <c r="AF133">
        <v>13455187.93</v>
      </c>
      <c r="AG133">
        <v>13435341.779999999</v>
      </c>
      <c r="AH133">
        <v>13461776.26</v>
      </c>
      <c r="AI133">
        <v>13462749</v>
      </c>
      <c r="AJ133">
        <v>13459192.6</v>
      </c>
      <c r="AK133">
        <v>13477082.83</v>
      </c>
      <c r="AL133">
        <v>13493185.49</v>
      </c>
      <c r="AM133">
        <v>13528899.199999999</v>
      </c>
      <c r="AN133">
        <v>13612893.08</v>
      </c>
      <c r="AO133">
        <v>13727568.23</v>
      </c>
      <c r="AP133">
        <v>13839008.390000001</v>
      </c>
      <c r="AQ133">
        <v>13976509.5</v>
      </c>
      <c r="AR133">
        <v>14106805.199999999</v>
      </c>
      <c r="AS133">
        <v>14219077.49</v>
      </c>
      <c r="AT133">
        <v>14322778.470000001</v>
      </c>
      <c r="AU133">
        <v>14411560.92</v>
      </c>
      <c r="AV133">
        <v>14497714.01</v>
      </c>
      <c r="AW133">
        <v>14612042.59</v>
      </c>
    </row>
    <row r="134" spans="2:50" x14ac:dyDescent="0.25">
      <c r="B134" t="s">
        <v>205</v>
      </c>
      <c r="C134">
        <v>144913116.15770999</v>
      </c>
      <c r="D134">
        <v>147239743.11109701</v>
      </c>
      <c r="E134">
        <v>149603724.80000001</v>
      </c>
      <c r="F134">
        <v>149826091.80000001</v>
      </c>
      <c r="G134">
        <v>144562945.19999999</v>
      </c>
      <c r="H134">
        <v>144204673.80000001</v>
      </c>
      <c r="I134">
        <v>141803854.30000001</v>
      </c>
      <c r="J134">
        <v>138069123.19999999</v>
      </c>
      <c r="K134">
        <v>133839973</v>
      </c>
      <c r="L134">
        <v>130708207</v>
      </c>
      <c r="M134">
        <v>128402047.40000001</v>
      </c>
      <c r="N134">
        <v>126895479.90000001</v>
      </c>
      <c r="O134">
        <v>126925011.40000001</v>
      </c>
      <c r="P134">
        <v>125328780.3</v>
      </c>
      <c r="Q134">
        <v>122510610.90000001</v>
      </c>
      <c r="R134">
        <v>120695166.5</v>
      </c>
      <c r="S134">
        <v>119425621.40000001</v>
      </c>
      <c r="T134">
        <v>116829136.90000001</v>
      </c>
      <c r="U134">
        <v>114225864.90000001</v>
      </c>
      <c r="V134">
        <v>111531396.7</v>
      </c>
      <c r="W134">
        <v>107851353.2</v>
      </c>
      <c r="X134">
        <v>105065947.3</v>
      </c>
      <c r="Y134">
        <v>100855500.59999999</v>
      </c>
      <c r="Z134">
        <v>95955043.599999994</v>
      </c>
      <c r="AA134">
        <v>91223611.689999998</v>
      </c>
      <c r="AB134">
        <v>86553654.900000006</v>
      </c>
      <c r="AC134">
        <v>81632805.989999995</v>
      </c>
      <c r="AD134">
        <v>76904837.489999995</v>
      </c>
      <c r="AE134">
        <v>72104030.5</v>
      </c>
      <c r="AF134">
        <v>67427737.349999994</v>
      </c>
      <c r="AG134">
        <v>62836863.170000002</v>
      </c>
      <c r="AH134">
        <v>58338661.469999999</v>
      </c>
      <c r="AI134">
        <v>53785615.060000002</v>
      </c>
      <c r="AJ134">
        <v>49404303.509999998</v>
      </c>
      <c r="AK134">
        <v>45126568.799999997</v>
      </c>
      <c r="AL134">
        <v>41090506.009999998</v>
      </c>
      <c r="AM134">
        <v>37172754.990000002</v>
      </c>
      <c r="AN134">
        <v>35047229.539999999</v>
      </c>
      <c r="AO134">
        <v>32931500.850000001</v>
      </c>
      <c r="AP134">
        <v>30837500.84</v>
      </c>
      <c r="AQ134">
        <v>28788795.02</v>
      </c>
      <c r="AR134">
        <v>26636015.629999999</v>
      </c>
      <c r="AS134">
        <v>24766717.41</v>
      </c>
      <c r="AT134">
        <v>23172857.52</v>
      </c>
      <c r="AU134">
        <v>21948826.73</v>
      </c>
      <c r="AV134">
        <v>20776684.510000002</v>
      </c>
      <c r="AW134">
        <v>19653624.16</v>
      </c>
    </row>
    <row r="135" spans="2:50" x14ac:dyDescent="0.25">
      <c r="B135" t="s">
        <v>206</v>
      </c>
      <c r="C135">
        <v>1098851.8998263199</v>
      </c>
      <c r="D135">
        <v>1116494.32251175</v>
      </c>
      <c r="E135">
        <v>1134420</v>
      </c>
      <c r="F135">
        <v>1125145.925</v>
      </c>
      <c r="G135">
        <v>1112721.0549999999</v>
      </c>
      <c r="H135">
        <v>1098672.2069999999</v>
      </c>
      <c r="I135">
        <v>1090791.2890000001</v>
      </c>
      <c r="J135">
        <v>1082090.4979999999</v>
      </c>
      <c r="K135">
        <v>1068163.8529999999</v>
      </c>
      <c r="L135">
        <v>1048976.1950000001</v>
      </c>
      <c r="M135">
        <v>1030031.674</v>
      </c>
      <c r="N135">
        <v>1015770.224</v>
      </c>
      <c r="O135">
        <v>1011115.368</v>
      </c>
      <c r="P135">
        <v>1010878.726</v>
      </c>
      <c r="Q135">
        <v>1007862.942</v>
      </c>
      <c r="R135">
        <v>993783.48789999995</v>
      </c>
      <c r="S135">
        <v>975845.35739999998</v>
      </c>
      <c r="T135">
        <v>954447.04029999999</v>
      </c>
      <c r="U135">
        <v>933923.71669999999</v>
      </c>
      <c r="V135">
        <v>914672.04830000002</v>
      </c>
      <c r="W135">
        <v>899210.01520000002</v>
      </c>
      <c r="X135">
        <v>885548.86239999998</v>
      </c>
      <c r="Y135">
        <v>869598.08600000001</v>
      </c>
      <c r="Z135">
        <v>851887.50459999999</v>
      </c>
      <c r="AA135">
        <v>832850.26989999996</v>
      </c>
      <c r="AB135">
        <v>813548.81799999997</v>
      </c>
      <c r="AC135">
        <v>794264.03799999994</v>
      </c>
      <c r="AD135">
        <v>775463.26489999995</v>
      </c>
      <c r="AE135">
        <v>756901.12280000001</v>
      </c>
      <c r="AF135">
        <v>738812.63069999998</v>
      </c>
      <c r="AG135">
        <v>721087.50100000005</v>
      </c>
      <c r="AH135">
        <v>703585.27720000001</v>
      </c>
      <c r="AI135">
        <v>686294.78060000006</v>
      </c>
      <c r="AJ135">
        <v>669015.73450000002</v>
      </c>
      <c r="AK135">
        <v>651644.09580000001</v>
      </c>
      <c r="AL135">
        <v>634487.77110000001</v>
      </c>
      <c r="AM135">
        <v>617505.15410000004</v>
      </c>
      <c r="AN135">
        <v>600856.15819999995</v>
      </c>
      <c r="AO135">
        <v>583976.54029999999</v>
      </c>
      <c r="AP135">
        <v>567203.21669999999</v>
      </c>
      <c r="AQ135">
        <v>550554.41780000005</v>
      </c>
      <c r="AR135">
        <v>534204.8173</v>
      </c>
      <c r="AS135">
        <v>518537.01370000001</v>
      </c>
      <c r="AT135">
        <v>503667.47120000003</v>
      </c>
      <c r="AU135">
        <v>489556.29070000001</v>
      </c>
      <c r="AV135">
        <v>476092.4093</v>
      </c>
      <c r="AW135">
        <v>463223.2145</v>
      </c>
    </row>
    <row r="136" spans="2:50" x14ac:dyDescent="0.25">
      <c r="B136" t="s">
        <v>207</v>
      </c>
      <c r="C136">
        <v>1098851.8998263199</v>
      </c>
      <c r="D136">
        <v>1116494.32251175</v>
      </c>
      <c r="E136">
        <v>1134420</v>
      </c>
      <c r="F136">
        <v>1125145.925</v>
      </c>
      <c r="G136">
        <v>1112721.0549999999</v>
      </c>
      <c r="H136">
        <v>1098672.2069999999</v>
      </c>
      <c r="I136">
        <v>1090791.2890000001</v>
      </c>
      <c r="J136">
        <v>1082090.4979999999</v>
      </c>
      <c r="K136">
        <v>1068163.8529999999</v>
      </c>
      <c r="L136">
        <v>1048976.1950000001</v>
      </c>
      <c r="M136">
        <v>1030031.674</v>
      </c>
      <c r="N136">
        <v>1015770.224</v>
      </c>
      <c r="O136">
        <v>1011115.368</v>
      </c>
      <c r="P136">
        <v>1010878.726</v>
      </c>
      <c r="Q136">
        <v>1007862.942</v>
      </c>
      <c r="R136">
        <v>993783.48789999995</v>
      </c>
      <c r="S136">
        <v>975845.35739999998</v>
      </c>
      <c r="T136">
        <v>954447.04029999999</v>
      </c>
      <c r="U136">
        <v>933923.71669999999</v>
      </c>
      <c r="V136">
        <v>914672.04830000002</v>
      </c>
      <c r="W136">
        <v>899210.01520000002</v>
      </c>
      <c r="X136">
        <v>885548.86239999998</v>
      </c>
      <c r="Y136">
        <v>869598.08600000001</v>
      </c>
      <c r="Z136">
        <v>851887.50459999999</v>
      </c>
      <c r="AA136">
        <v>832850.26989999996</v>
      </c>
      <c r="AB136">
        <v>813548.81799999997</v>
      </c>
      <c r="AC136">
        <v>794264.03799999994</v>
      </c>
      <c r="AD136">
        <v>775463.26489999995</v>
      </c>
      <c r="AE136">
        <v>756901.12280000001</v>
      </c>
      <c r="AF136">
        <v>738812.63069999998</v>
      </c>
      <c r="AG136">
        <v>721087.50100000005</v>
      </c>
      <c r="AH136">
        <v>703585.27720000001</v>
      </c>
      <c r="AI136">
        <v>686294.78060000006</v>
      </c>
      <c r="AJ136">
        <v>669015.73450000002</v>
      </c>
      <c r="AK136">
        <v>651644.09580000001</v>
      </c>
      <c r="AL136">
        <v>634487.77110000001</v>
      </c>
      <c r="AM136">
        <v>617505.15410000004</v>
      </c>
      <c r="AN136">
        <v>600856.15819999995</v>
      </c>
      <c r="AO136">
        <v>583976.54029999999</v>
      </c>
      <c r="AP136">
        <v>567203.21669999999</v>
      </c>
      <c r="AQ136">
        <v>550554.41780000005</v>
      </c>
      <c r="AR136">
        <v>534204.8173</v>
      </c>
      <c r="AS136">
        <v>518537.01370000001</v>
      </c>
      <c r="AT136">
        <v>503667.47120000003</v>
      </c>
      <c r="AU136">
        <v>489556.29070000001</v>
      </c>
      <c r="AV136">
        <v>476092.4093</v>
      </c>
      <c r="AW136">
        <v>463223.2145</v>
      </c>
    </row>
    <row r="137" spans="2:50" x14ac:dyDescent="0.25">
      <c r="B137" t="s">
        <v>208</v>
      </c>
      <c r="C137">
        <v>105875266.531468</v>
      </c>
      <c r="D137">
        <v>107575128.18195701</v>
      </c>
      <c r="E137">
        <v>109302281.7</v>
      </c>
      <c r="F137">
        <v>110415489.59999999</v>
      </c>
      <c r="G137">
        <v>106479764.8</v>
      </c>
      <c r="H137">
        <v>107236751.09999999</v>
      </c>
      <c r="I137">
        <v>105209371.40000001</v>
      </c>
      <c r="J137">
        <v>102533111.59999999</v>
      </c>
      <c r="K137">
        <v>99985306.700000003</v>
      </c>
      <c r="L137">
        <v>98271262.680000007</v>
      </c>
      <c r="M137">
        <v>96952907.099999994</v>
      </c>
      <c r="N137">
        <v>96149044.980000004</v>
      </c>
      <c r="O137">
        <v>95720712.829999998</v>
      </c>
      <c r="P137">
        <v>94098986.760000005</v>
      </c>
      <c r="Q137">
        <v>92143655.489999995</v>
      </c>
      <c r="R137">
        <v>90994736.209999904</v>
      </c>
      <c r="S137">
        <v>90258059.849999994</v>
      </c>
      <c r="T137">
        <v>89447728.030000001</v>
      </c>
      <c r="U137">
        <v>88222550.75</v>
      </c>
      <c r="V137">
        <v>86882696.680000007</v>
      </c>
      <c r="W137">
        <v>85579512.230000004</v>
      </c>
      <c r="X137">
        <v>83369829.379999995</v>
      </c>
      <c r="Y137">
        <v>80979400.540000007</v>
      </c>
      <c r="Z137">
        <v>78077028.239999995</v>
      </c>
      <c r="AA137">
        <v>74978989.659999996</v>
      </c>
      <c r="AB137">
        <v>71748309.870000005</v>
      </c>
      <c r="AC137">
        <v>68262692.810000002</v>
      </c>
      <c r="AD137">
        <v>64694947.159999996</v>
      </c>
      <c r="AE137">
        <v>61013061.869999997</v>
      </c>
      <c r="AF137">
        <v>57319784.950000003</v>
      </c>
      <c r="AG137">
        <v>53695065.049999997</v>
      </c>
      <c r="AH137">
        <v>50144730.710000001</v>
      </c>
      <c r="AI137">
        <v>46876507.869999997</v>
      </c>
      <c r="AJ137">
        <v>43749884.270000003</v>
      </c>
      <c r="AK137">
        <v>40700945.909999996</v>
      </c>
      <c r="AL137">
        <v>37767981.789999999</v>
      </c>
      <c r="AM137">
        <v>34936862.829999998</v>
      </c>
      <c r="AN137">
        <v>32927649.149999999</v>
      </c>
      <c r="AO137">
        <v>30905175.949999999</v>
      </c>
      <c r="AP137">
        <v>28905409.57</v>
      </c>
      <c r="AQ137">
        <v>26947648.239999998</v>
      </c>
      <c r="AR137">
        <v>24883871.960000001</v>
      </c>
      <c r="AS137">
        <v>23549407.120000001</v>
      </c>
      <c r="AT137">
        <v>22291687.050000001</v>
      </c>
      <c r="AU137">
        <v>21093662.690000001</v>
      </c>
      <c r="AV137">
        <v>19946084.940000001</v>
      </c>
      <c r="AW137">
        <v>18846363.48</v>
      </c>
    </row>
    <row r="138" spans="2:50" x14ac:dyDescent="0.25">
      <c r="B138" t="s">
        <v>209</v>
      </c>
      <c r="C138">
        <v>105875266.531468</v>
      </c>
      <c r="D138">
        <v>107575128.18195701</v>
      </c>
      <c r="E138">
        <v>109302281.7</v>
      </c>
      <c r="F138">
        <v>110415489.59999999</v>
      </c>
      <c r="G138">
        <v>106479764.8</v>
      </c>
      <c r="H138">
        <v>107236751.09999999</v>
      </c>
      <c r="I138">
        <v>105209371.40000001</v>
      </c>
      <c r="J138">
        <v>102533111.59999999</v>
      </c>
      <c r="K138">
        <v>99985306.700000003</v>
      </c>
      <c r="L138">
        <v>98271262.680000007</v>
      </c>
      <c r="M138">
        <v>96952907.099999994</v>
      </c>
      <c r="N138">
        <v>96149044.980000004</v>
      </c>
      <c r="O138">
        <v>95720712.829999998</v>
      </c>
      <c r="P138">
        <v>94098986.760000005</v>
      </c>
      <c r="Q138">
        <v>92143655.489999995</v>
      </c>
      <c r="R138">
        <v>90994736.209999904</v>
      </c>
      <c r="S138">
        <v>90258059.849999994</v>
      </c>
      <c r="T138">
        <v>89447728.030000001</v>
      </c>
      <c r="U138">
        <v>88222550.75</v>
      </c>
      <c r="V138">
        <v>86882696.680000007</v>
      </c>
      <c r="W138">
        <v>85579512.230000004</v>
      </c>
      <c r="X138">
        <v>83369829.379999995</v>
      </c>
      <c r="Y138">
        <v>80979400.540000007</v>
      </c>
      <c r="Z138">
        <v>78077028.239999995</v>
      </c>
      <c r="AA138">
        <v>74978989.659999996</v>
      </c>
      <c r="AB138">
        <v>71748309.870000005</v>
      </c>
      <c r="AC138">
        <v>68262692.810000002</v>
      </c>
      <c r="AD138">
        <v>64694947.159999996</v>
      </c>
      <c r="AE138">
        <v>61013061.869999997</v>
      </c>
      <c r="AF138">
        <v>57319784.950000003</v>
      </c>
      <c r="AG138">
        <v>53695065.049999997</v>
      </c>
      <c r="AH138">
        <v>50144730.710000001</v>
      </c>
      <c r="AI138">
        <v>46876507.869999997</v>
      </c>
      <c r="AJ138">
        <v>43749884.270000003</v>
      </c>
      <c r="AK138">
        <v>40700945.909999996</v>
      </c>
      <c r="AL138">
        <v>37767981.789999999</v>
      </c>
      <c r="AM138">
        <v>34936862.829999998</v>
      </c>
      <c r="AN138">
        <v>32927649.149999999</v>
      </c>
      <c r="AO138">
        <v>30905175.949999999</v>
      </c>
      <c r="AP138">
        <v>28905409.57</v>
      </c>
      <c r="AQ138">
        <v>26947648.239999998</v>
      </c>
      <c r="AR138">
        <v>24883871.960000001</v>
      </c>
      <c r="AS138">
        <v>23549407.120000001</v>
      </c>
      <c r="AT138">
        <v>22291687.050000001</v>
      </c>
      <c r="AU138">
        <v>21093662.690000001</v>
      </c>
      <c r="AV138">
        <v>19946084.940000001</v>
      </c>
      <c r="AW138">
        <v>18846363.48</v>
      </c>
    </row>
    <row r="139" spans="2:50" x14ac:dyDescent="0.25">
      <c r="B139" t="s">
        <v>210</v>
      </c>
      <c r="C139">
        <v>37938997.726415001</v>
      </c>
      <c r="D139">
        <v>38548120.6066292</v>
      </c>
      <c r="E139">
        <v>39167023.149999999</v>
      </c>
      <c r="F139">
        <v>38285456.299999997</v>
      </c>
      <c r="G139">
        <v>36970459.340000004</v>
      </c>
      <c r="H139">
        <v>35869250.509999998</v>
      </c>
      <c r="I139">
        <v>35503691.640000001</v>
      </c>
      <c r="J139">
        <v>34453921.119999997</v>
      </c>
      <c r="K139">
        <v>32786502.440000001</v>
      </c>
      <c r="L139">
        <v>31387968.149999999</v>
      </c>
      <c r="M139">
        <v>30419108.640000001</v>
      </c>
      <c r="N139">
        <v>29730664.710000001</v>
      </c>
      <c r="O139">
        <v>30193183.18</v>
      </c>
      <c r="P139">
        <v>30218914.800000001</v>
      </c>
      <c r="Q139">
        <v>29359092.420000002</v>
      </c>
      <c r="R139">
        <v>28706646.850000001</v>
      </c>
      <c r="S139">
        <v>28191716.16</v>
      </c>
      <c r="T139">
        <v>26426961.870000001</v>
      </c>
      <c r="U139">
        <v>25069390.48</v>
      </c>
      <c r="V139">
        <v>23734028.010000002</v>
      </c>
      <c r="W139">
        <v>21372631</v>
      </c>
      <c r="X139">
        <v>20810569.09</v>
      </c>
      <c r="Y139">
        <v>19006501.98</v>
      </c>
      <c r="Z139">
        <v>17026127.859999999</v>
      </c>
      <c r="AA139">
        <v>15411771.76</v>
      </c>
      <c r="AB139">
        <v>13991796.210000001</v>
      </c>
      <c r="AC139">
        <v>12575849.140000001</v>
      </c>
      <c r="AD139">
        <v>11434427.060000001</v>
      </c>
      <c r="AE139">
        <v>10334067.51</v>
      </c>
      <c r="AF139">
        <v>9369139.7740000002</v>
      </c>
      <c r="AG139">
        <v>8420710.6199999899</v>
      </c>
      <c r="AH139">
        <v>7490345.4819999998</v>
      </c>
      <c r="AI139">
        <v>6222812.409</v>
      </c>
      <c r="AJ139">
        <v>4985403.51</v>
      </c>
      <c r="AK139">
        <v>3773978.7910000002</v>
      </c>
      <c r="AL139">
        <v>2688036.45</v>
      </c>
      <c r="AM139">
        <v>1618387.0009999999</v>
      </c>
      <c r="AN139">
        <v>1518724.2290000001</v>
      </c>
      <c r="AO139">
        <v>1442348.3629999999</v>
      </c>
      <c r="AP139">
        <v>1364888.0490000001</v>
      </c>
      <c r="AQ139">
        <v>1290592.3689999999</v>
      </c>
      <c r="AR139">
        <v>1217938.8570000001</v>
      </c>
      <c r="AS139">
        <v>698773.27690000006</v>
      </c>
      <c r="AT139">
        <v>377502.9975</v>
      </c>
      <c r="AU139">
        <v>365607.75140000001</v>
      </c>
      <c r="AV139">
        <v>354507.16269999999</v>
      </c>
      <c r="AW139">
        <v>344037.46299999999</v>
      </c>
    </row>
    <row r="140" spans="2:50" x14ac:dyDescent="0.25">
      <c r="B140" t="s">
        <v>211</v>
      </c>
      <c r="C140">
        <v>37938997.726415001</v>
      </c>
      <c r="D140">
        <v>38548120.6066292</v>
      </c>
      <c r="E140">
        <v>39167023.149999999</v>
      </c>
      <c r="F140">
        <v>38285456.299999997</v>
      </c>
      <c r="G140">
        <v>36970459.340000004</v>
      </c>
      <c r="H140">
        <v>35869250.509999998</v>
      </c>
      <c r="I140">
        <v>35503691.640000001</v>
      </c>
      <c r="J140">
        <v>34453921.119999997</v>
      </c>
      <c r="K140">
        <v>32786502.440000001</v>
      </c>
      <c r="L140">
        <v>31387968.149999999</v>
      </c>
      <c r="M140">
        <v>30419108.640000001</v>
      </c>
      <c r="N140">
        <v>29730664.710000001</v>
      </c>
      <c r="O140">
        <v>30193183.18</v>
      </c>
      <c r="P140">
        <v>30218914.800000001</v>
      </c>
      <c r="Q140">
        <v>29359092.420000002</v>
      </c>
      <c r="R140">
        <v>28706646.850000001</v>
      </c>
      <c r="S140">
        <v>28191716.16</v>
      </c>
      <c r="T140">
        <v>26426961.870000001</v>
      </c>
      <c r="U140">
        <v>25069390.48</v>
      </c>
      <c r="V140">
        <v>23734028.010000002</v>
      </c>
      <c r="W140">
        <v>21372631</v>
      </c>
      <c r="X140">
        <v>20810569.09</v>
      </c>
      <c r="Y140">
        <v>19006501.98</v>
      </c>
      <c r="Z140">
        <v>17026127.859999999</v>
      </c>
      <c r="AA140">
        <v>15411771.76</v>
      </c>
      <c r="AB140">
        <v>13991796.210000001</v>
      </c>
      <c r="AC140">
        <v>12575849.140000001</v>
      </c>
      <c r="AD140">
        <v>11434427.060000001</v>
      </c>
      <c r="AE140">
        <v>10334067.51</v>
      </c>
      <c r="AF140">
        <v>9369139.7740000002</v>
      </c>
      <c r="AG140">
        <v>8420710.6199999899</v>
      </c>
      <c r="AH140">
        <v>7490345.4819999998</v>
      </c>
      <c r="AI140">
        <v>6222812.409</v>
      </c>
      <c r="AJ140">
        <v>4985403.51</v>
      </c>
      <c r="AK140">
        <v>3773978.7910000002</v>
      </c>
      <c r="AL140">
        <v>2688036.45</v>
      </c>
      <c r="AM140">
        <v>1618387.0009999999</v>
      </c>
      <c r="AN140">
        <v>1518724.2290000001</v>
      </c>
      <c r="AO140">
        <v>1442348.3629999999</v>
      </c>
      <c r="AP140">
        <v>1364888.0490000001</v>
      </c>
      <c r="AQ140">
        <v>1290592.3689999999</v>
      </c>
      <c r="AR140">
        <v>1217938.8570000001</v>
      </c>
      <c r="AS140">
        <v>698773.27690000006</v>
      </c>
      <c r="AT140">
        <v>377502.9975</v>
      </c>
      <c r="AU140">
        <v>365607.75140000001</v>
      </c>
      <c r="AV140">
        <v>354507.16269999999</v>
      </c>
      <c r="AW140">
        <v>344037.46299999999</v>
      </c>
    </row>
    <row r="141" spans="2:50" x14ac:dyDescent="0.25">
      <c r="B141" t="s">
        <v>212</v>
      </c>
      <c r="C141">
        <v>7249974.6999914004</v>
      </c>
      <c r="D141">
        <v>7366375.3888705196</v>
      </c>
      <c r="E141">
        <v>6262275.8710000003</v>
      </c>
      <c r="F141">
        <v>6465558.9800000004</v>
      </c>
      <c r="G141">
        <v>6124128.4510000004</v>
      </c>
      <c r="H141">
        <v>6432866.8890000004</v>
      </c>
      <c r="I141">
        <v>6668294.5860000001</v>
      </c>
      <c r="J141">
        <v>6258276.5769999996</v>
      </c>
      <c r="K141">
        <v>5971610.1529999999</v>
      </c>
      <c r="L141">
        <v>5796715.1519999998</v>
      </c>
      <c r="M141">
        <v>6191747.352</v>
      </c>
      <c r="N141">
        <v>6581895.5489999996</v>
      </c>
      <c r="O141">
        <v>6826592.6320000002</v>
      </c>
      <c r="P141">
        <v>6857193.2709999997</v>
      </c>
      <c r="Q141">
        <v>6345614.1430000002</v>
      </c>
      <c r="R141">
        <v>6271239.6109999996</v>
      </c>
      <c r="S141">
        <v>6305424.8380000005</v>
      </c>
      <c r="T141">
        <v>6420726.6409999998</v>
      </c>
      <c r="U141">
        <v>6535030.0690000001</v>
      </c>
      <c r="V141">
        <v>6693021.108</v>
      </c>
      <c r="W141">
        <v>6806674.0559999999</v>
      </c>
      <c r="X141">
        <v>6875877.7949999999</v>
      </c>
      <c r="Y141">
        <v>6871043.7889999999</v>
      </c>
      <c r="Z141">
        <v>6832606.392</v>
      </c>
      <c r="AA141">
        <v>6856948.4689999996</v>
      </c>
      <c r="AB141">
        <v>6861844.4079999998</v>
      </c>
      <c r="AC141">
        <v>6820805.3700000001</v>
      </c>
      <c r="AD141">
        <v>6727538.6950000003</v>
      </c>
      <c r="AE141">
        <v>6637231.9460000005</v>
      </c>
      <c r="AF141">
        <v>6536409.6320000002</v>
      </c>
      <c r="AG141">
        <v>6420917.8669999996</v>
      </c>
      <c r="AH141">
        <v>6294108.0990000004</v>
      </c>
      <c r="AI141">
        <v>6191886.5099999998</v>
      </c>
      <c r="AJ141">
        <v>6071215.2230000002</v>
      </c>
      <c r="AK141">
        <v>5939377.3899999997</v>
      </c>
      <c r="AL141">
        <v>5806160.9780000001</v>
      </c>
      <c r="AM141">
        <v>5644349.3619999997</v>
      </c>
      <c r="AN141">
        <v>5615808.7079999996</v>
      </c>
      <c r="AO141">
        <v>5577219.4759999998</v>
      </c>
      <c r="AP141">
        <v>5526749.3449999997</v>
      </c>
      <c r="AQ141">
        <v>5439161.7170000002</v>
      </c>
      <c r="AR141">
        <v>5323688.3890000004</v>
      </c>
      <c r="AS141">
        <v>5324395.7340000002</v>
      </c>
      <c r="AT141">
        <v>5329441.1679999996</v>
      </c>
      <c r="AU141">
        <v>5341043.7529999996</v>
      </c>
      <c r="AV141">
        <v>5344222.3899999997</v>
      </c>
      <c r="AW141">
        <v>5343096.8150000004</v>
      </c>
    </row>
    <row r="142" spans="2:50" x14ac:dyDescent="0.25">
      <c r="B142" t="s">
        <v>213</v>
      </c>
      <c r="C142">
        <v>11428306.3019633</v>
      </c>
      <c r="D142">
        <v>11611791.4562317</v>
      </c>
      <c r="E142">
        <v>9982935.9829999898</v>
      </c>
      <c r="F142">
        <v>10143100.960000001</v>
      </c>
      <c r="G142">
        <v>9532226.1940000001</v>
      </c>
      <c r="H142">
        <v>9670170.3589999899</v>
      </c>
      <c r="I142">
        <v>9464607.5120000001</v>
      </c>
      <c r="J142">
        <v>9137564.52999999</v>
      </c>
      <c r="K142">
        <v>8526581.56399999</v>
      </c>
      <c r="L142">
        <v>8286318.2220000001</v>
      </c>
      <c r="M142">
        <v>8389582.8670000006</v>
      </c>
      <c r="N142">
        <v>8540367.2070000004</v>
      </c>
      <c r="O142">
        <v>7981552.4239999996</v>
      </c>
      <c r="P142">
        <v>7367643.4069999997</v>
      </c>
      <c r="Q142">
        <v>6612781.0710000005</v>
      </c>
      <c r="R142">
        <v>6121320.0199999996</v>
      </c>
      <c r="S142">
        <v>5863774.4460000005</v>
      </c>
      <c r="T142">
        <v>5736970.6349999998</v>
      </c>
      <c r="U142">
        <v>5678702.2850000001</v>
      </c>
      <c r="V142">
        <v>5648065.1509999996</v>
      </c>
      <c r="W142">
        <v>5144985.6789999995</v>
      </c>
      <c r="X142">
        <v>4732140.9349999996</v>
      </c>
      <c r="Y142">
        <v>4314769.1349999998</v>
      </c>
      <c r="Z142">
        <v>3938917.4890000001</v>
      </c>
      <c r="AA142">
        <v>3657970.1830000002</v>
      </c>
      <c r="AB142">
        <v>3417192.5460000001</v>
      </c>
      <c r="AC142">
        <v>3189205.81</v>
      </c>
      <c r="AD142">
        <v>2873666.8420000002</v>
      </c>
      <c r="AE142">
        <v>2587760.267</v>
      </c>
      <c r="AF142">
        <v>2346140.0639999998</v>
      </c>
      <c r="AG142">
        <v>2135836.6159999999</v>
      </c>
      <c r="AH142">
        <v>1950488.7439999999</v>
      </c>
      <c r="AI142">
        <v>1765633.0120000001</v>
      </c>
      <c r="AJ142">
        <v>1596071.969</v>
      </c>
      <c r="AK142">
        <v>1438680.625</v>
      </c>
      <c r="AL142">
        <v>1298622.5719999999</v>
      </c>
      <c r="AM142">
        <v>1167163.8389999999</v>
      </c>
      <c r="AN142">
        <v>1109344.6040000001</v>
      </c>
      <c r="AO142">
        <v>1054260.922</v>
      </c>
      <c r="AP142">
        <v>1001115.3320000001</v>
      </c>
      <c r="AQ142">
        <v>948437.78610000003</v>
      </c>
      <c r="AR142">
        <v>894554.78709999996</v>
      </c>
      <c r="AS142">
        <v>844246.5662</v>
      </c>
      <c r="AT142">
        <v>806337.20490000001</v>
      </c>
      <c r="AU142">
        <v>784096.58310000005</v>
      </c>
      <c r="AV142">
        <v>762781.92249999999</v>
      </c>
      <c r="AW142">
        <v>742814.34719999996</v>
      </c>
    </row>
    <row r="143" spans="2:50" x14ac:dyDescent="0.25">
      <c r="B143" t="s">
        <v>214</v>
      </c>
      <c r="C143">
        <v>1153294.1412084801</v>
      </c>
      <c r="D143">
        <v>1171810.6516891399</v>
      </c>
      <c r="E143">
        <v>1014014.031</v>
      </c>
      <c r="F143">
        <v>1087012.875</v>
      </c>
      <c r="G143">
        <v>1011831.882</v>
      </c>
      <c r="H143">
        <v>886894.31499999994</v>
      </c>
      <c r="I143">
        <v>964144.93059999996</v>
      </c>
      <c r="J143">
        <v>930298.8382</v>
      </c>
      <c r="K143">
        <v>878109.33279999997</v>
      </c>
      <c r="L143">
        <v>869485.3112</v>
      </c>
      <c r="M143">
        <v>908085.56649999996</v>
      </c>
      <c r="N143">
        <v>996115.05260000005</v>
      </c>
      <c r="O143">
        <v>934410.36159999995</v>
      </c>
      <c r="P143">
        <v>856103.3493</v>
      </c>
      <c r="Q143">
        <v>738093.67090000003</v>
      </c>
      <c r="R143">
        <v>669940.4227</v>
      </c>
      <c r="S143">
        <v>584489.17680000002</v>
      </c>
      <c r="T143">
        <v>544726.69539999997</v>
      </c>
      <c r="U143">
        <v>541998.16469999996</v>
      </c>
      <c r="V143">
        <v>549896.6997</v>
      </c>
      <c r="W143">
        <v>475692.59789999999</v>
      </c>
      <c r="X143">
        <v>428876.49099999998</v>
      </c>
      <c r="Y143">
        <v>384444.82120000001</v>
      </c>
      <c r="Z143">
        <v>347427.72899999999</v>
      </c>
      <c r="AA143">
        <v>322017.02189999999</v>
      </c>
      <c r="AB143">
        <v>300758.38410000002</v>
      </c>
      <c r="AC143">
        <v>279259.08899999998</v>
      </c>
      <c r="AD143">
        <v>255276.24590000001</v>
      </c>
      <c r="AE143">
        <v>232164.59099999999</v>
      </c>
      <c r="AF143">
        <v>211771.15179999999</v>
      </c>
      <c r="AG143">
        <v>193608.67499999999</v>
      </c>
      <c r="AH143">
        <v>177205.7874</v>
      </c>
      <c r="AI143">
        <v>160165.96359999999</v>
      </c>
      <c r="AJ143">
        <v>144122.2274</v>
      </c>
      <c r="AK143">
        <v>128861.68180000001</v>
      </c>
      <c r="AL143">
        <v>115307.8955</v>
      </c>
      <c r="AM143">
        <v>102281.9994</v>
      </c>
      <c r="AN143">
        <v>98410.141430000003</v>
      </c>
      <c r="AO143">
        <v>94802.806849999906</v>
      </c>
      <c r="AP143">
        <v>91253.834210000001</v>
      </c>
      <c r="AQ143">
        <v>87508.694380000001</v>
      </c>
      <c r="AR143">
        <v>83997.050570000007</v>
      </c>
      <c r="AS143">
        <v>78641.703179999997</v>
      </c>
      <c r="AT143">
        <v>74945.943650000001</v>
      </c>
      <c r="AU143">
        <v>73542.143410000004</v>
      </c>
      <c r="AV143">
        <v>72082.885930000004</v>
      </c>
      <c r="AW143">
        <v>70538.531099999906</v>
      </c>
    </row>
    <row r="144" spans="2:50" x14ac:dyDescent="0.25">
      <c r="B144" t="s">
        <v>215</v>
      </c>
      <c r="C144">
        <v>6211298.5004764497</v>
      </c>
      <c r="D144">
        <v>6311022.9070030199</v>
      </c>
      <c r="E144">
        <v>5388522.5060000001</v>
      </c>
      <c r="F144">
        <v>5419610.1409999998</v>
      </c>
      <c r="G144">
        <v>4895411.102</v>
      </c>
      <c r="H144">
        <v>4387687.4309999999</v>
      </c>
      <c r="I144">
        <v>4071264.6159999999</v>
      </c>
      <c r="J144">
        <v>4289356.2929999996</v>
      </c>
      <c r="K144">
        <v>3828170.9070000001</v>
      </c>
      <c r="L144">
        <v>3653268.9160000002</v>
      </c>
      <c r="M144">
        <v>3725887.2659999998</v>
      </c>
      <c r="N144">
        <v>3816055.95</v>
      </c>
      <c r="O144">
        <v>3662199.378</v>
      </c>
      <c r="P144">
        <v>3398406.7549999999</v>
      </c>
      <c r="Q144">
        <v>3060003.952</v>
      </c>
      <c r="R144">
        <v>2800471.0520000001</v>
      </c>
      <c r="S144">
        <v>2573127.6669999999</v>
      </c>
      <c r="T144">
        <v>2461638.7999999998</v>
      </c>
      <c r="U144">
        <v>2371507.46</v>
      </c>
      <c r="V144">
        <v>2289323.523</v>
      </c>
      <c r="W144">
        <v>2021122.0560000001</v>
      </c>
      <c r="X144">
        <v>1769060.077</v>
      </c>
      <c r="Y144">
        <v>1598783.1370000001</v>
      </c>
      <c r="Z144">
        <v>1462838.1440000001</v>
      </c>
      <c r="AA144">
        <v>1351745.794</v>
      </c>
      <c r="AB144">
        <v>1260013.7250000001</v>
      </c>
      <c r="AC144">
        <v>1180893.0430000001</v>
      </c>
      <c r="AD144">
        <v>1059442.6529999999</v>
      </c>
      <c r="AE144">
        <v>947259.35250000004</v>
      </c>
      <c r="AF144">
        <v>852837.74990000005</v>
      </c>
      <c r="AG144">
        <v>771594.27930000005</v>
      </c>
      <c r="AH144">
        <v>701430.25109999999</v>
      </c>
      <c r="AI144">
        <v>627178.71100000001</v>
      </c>
      <c r="AJ144">
        <v>558741.20940000005</v>
      </c>
      <c r="AK144">
        <v>496501.43199999997</v>
      </c>
      <c r="AL144">
        <v>442080.52049999998</v>
      </c>
      <c r="AM144">
        <v>392589.1275</v>
      </c>
      <c r="AN144">
        <v>367267.94650000002</v>
      </c>
      <c r="AO144">
        <v>344125.2843</v>
      </c>
      <c r="AP144">
        <v>322615.56160000002</v>
      </c>
      <c r="AQ144">
        <v>302400.39419999998</v>
      </c>
      <c r="AR144">
        <v>282905.95049999998</v>
      </c>
      <c r="AS144">
        <v>265712.40500000003</v>
      </c>
      <c r="AT144">
        <v>252695.9662</v>
      </c>
      <c r="AU144">
        <v>244774.57740000001</v>
      </c>
      <c r="AV144">
        <v>237492.2034</v>
      </c>
      <c r="AW144">
        <v>230868.98560000001</v>
      </c>
    </row>
    <row r="145" spans="2:49" x14ac:dyDescent="0.25">
      <c r="B145" t="s">
        <v>216</v>
      </c>
      <c r="C145">
        <v>19068539.7330263</v>
      </c>
      <c r="D145">
        <v>19374691.306334</v>
      </c>
      <c r="E145">
        <v>16594488.720000001</v>
      </c>
      <c r="F145">
        <v>16767731.630000001</v>
      </c>
      <c r="G145">
        <v>15202293.09</v>
      </c>
      <c r="H145">
        <v>13559443.619999999</v>
      </c>
      <c r="I145">
        <v>12960097.130000001</v>
      </c>
      <c r="J145">
        <v>13889886.720000001</v>
      </c>
      <c r="K145">
        <v>12406497.43</v>
      </c>
      <c r="L145">
        <v>11882823.300000001</v>
      </c>
      <c r="M145">
        <v>12155756.67</v>
      </c>
      <c r="N145">
        <v>12397891.869999999</v>
      </c>
      <c r="O145">
        <v>11962837.470000001</v>
      </c>
      <c r="P145">
        <v>11168044.58</v>
      </c>
      <c r="Q145">
        <v>10082934.390000001</v>
      </c>
      <c r="R145">
        <v>9288395.5160000008</v>
      </c>
      <c r="S145">
        <v>8394450.0089999996</v>
      </c>
      <c r="T145">
        <v>8264972.5959999999</v>
      </c>
      <c r="U145">
        <v>8067685.8169999998</v>
      </c>
      <c r="V145">
        <v>7977300.165</v>
      </c>
      <c r="W145">
        <v>7477292.2690000003</v>
      </c>
      <c r="X145">
        <v>6771090.3830000004</v>
      </c>
      <c r="Y145">
        <v>6374104.602</v>
      </c>
      <c r="Z145">
        <v>6043577.9970000004</v>
      </c>
      <c r="AA145">
        <v>5746252.0449999999</v>
      </c>
      <c r="AB145">
        <v>5470012.6689999998</v>
      </c>
      <c r="AC145">
        <v>5231540.534</v>
      </c>
      <c r="AD145">
        <v>4795755.307</v>
      </c>
      <c r="AE145">
        <v>4379595.818</v>
      </c>
      <c r="AF145">
        <v>4014638.4339999999</v>
      </c>
      <c r="AG145">
        <v>3692538.9759999998</v>
      </c>
      <c r="AH145">
        <v>3416997.87</v>
      </c>
      <c r="AI145">
        <v>3120180.99</v>
      </c>
      <c r="AJ145">
        <v>2841449.2609999999</v>
      </c>
      <c r="AK145">
        <v>2590151.523</v>
      </c>
      <c r="AL145">
        <v>2364824.56</v>
      </c>
      <c r="AM145">
        <v>2161476.3670000001</v>
      </c>
      <c r="AN145">
        <v>2038344.943</v>
      </c>
      <c r="AO145">
        <v>1926199.547</v>
      </c>
      <c r="AP145">
        <v>1818908.18</v>
      </c>
      <c r="AQ145">
        <v>1719087.66</v>
      </c>
      <c r="AR145">
        <v>1619791.6340000001</v>
      </c>
      <c r="AS145">
        <v>1557858.2649999999</v>
      </c>
      <c r="AT145">
        <v>1505782.5020000001</v>
      </c>
      <c r="AU145">
        <v>1462509.452</v>
      </c>
      <c r="AV145">
        <v>1422318.595</v>
      </c>
      <c r="AW145">
        <v>1387712.155</v>
      </c>
    </row>
    <row r="146" spans="2:49" x14ac:dyDescent="0.25">
      <c r="B146" t="s">
        <v>217</v>
      </c>
      <c r="C146">
        <v>14426006.8404216</v>
      </c>
      <c r="D146">
        <v>14657621.046468699</v>
      </c>
      <c r="E146">
        <v>12566850.289999999</v>
      </c>
      <c r="F146">
        <v>12554223.300000001</v>
      </c>
      <c r="G146">
        <v>11550398.49</v>
      </c>
      <c r="H146">
        <v>10778139.880000001</v>
      </c>
      <c r="I146">
        <v>10030692.880000001</v>
      </c>
      <c r="J146">
        <v>9105213.3080000002</v>
      </c>
      <c r="K146">
        <v>8256910.8420000002</v>
      </c>
      <c r="L146">
        <v>8150282.7929999996</v>
      </c>
      <c r="M146">
        <v>8107602.7759999996</v>
      </c>
      <c r="N146">
        <v>8448174.2109999899</v>
      </c>
      <c r="O146">
        <v>7833436.3930000002</v>
      </c>
      <c r="P146">
        <v>7019049.3789999997</v>
      </c>
      <c r="Q146">
        <v>6266923.4840000002</v>
      </c>
      <c r="R146">
        <v>5639208.9100000001</v>
      </c>
      <c r="S146">
        <v>5211867.7230000002</v>
      </c>
      <c r="T146">
        <v>5006227.8389999997</v>
      </c>
      <c r="U146">
        <v>4799912.5949999997</v>
      </c>
      <c r="V146">
        <v>4601796.8669999996</v>
      </c>
      <c r="W146">
        <v>4059087.5860000001</v>
      </c>
      <c r="X146">
        <v>3524316.4730000002</v>
      </c>
      <c r="Y146">
        <v>3188706.7910000002</v>
      </c>
      <c r="Z146">
        <v>2929096.78</v>
      </c>
      <c r="AA146">
        <v>2716112.45</v>
      </c>
      <c r="AB146">
        <v>2541966.4049999998</v>
      </c>
      <c r="AC146">
        <v>2393531.0099999998</v>
      </c>
      <c r="AD146">
        <v>2136478.6439999999</v>
      </c>
      <c r="AE146">
        <v>1904364.3670000001</v>
      </c>
      <c r="AF146">
        <v>1711697.5560000001</v>
      </c>
      <c r="AG146">
        <v>1549048.517</v>
      </c>
      <c r="AH146">
        <v>1410822.956</v>
      </c>
      <c r="AI146">
        <v>1268980.348</v>
      </c>
      <c r="AJ146">
        <v>1138936.8559999999</v>
      </c>
      <c r="AK146">
        <v>1021361.665</v>
      </c>
      <c r="AL146">
        <v>918722.45330000005</v>
      </c>
      <c r="AM146">
        <v>826348.26879999996</v>
      </c>
      <c r="AN146">
        <v>773140.47880000004</v>
      </c>
      <c r="AO146">
        <v>724812.2513</v>
      </c>
      <c r="AP146">
        <v>680139.86170000001</v>
      </c>
      <c r="AQ146">
        <v>638327.46490000002</v>
      </c>
      <c r="AR146">
        <v>598185.72230000002</v>
      </c>
      <c r="AS146">
        <v>566698.94129999995</v>
      </c>
      <c r="AT146">
        <v>542049.55370000005</v>
      </c>
      <c r="AU146">
        <v>524972.60160000005</v>
      </c>
      <c r="AV146">
        <v>509430.772</v>
      </c>
      <c r="AW146">
        <v>495411.46759999997</v>
      </c>
    </row>
    <row r="147" spans="2:49" x14ac:dyDescent="0.25">
      <c r="B147" t="s">
        <v>218</v>
      </c>
      <c r="C147">
        <v>9279692.21316991</v>
      </c>
      <c r="D147">
        <v>9428680.6732538398</v>
      </c>
      <c r="E147">
        <v>8373820.3509999998</v>
      </c>
      <c r="F147">
        <v>8335671.5209999997</v>
      </c>
      <c r="G147">
        <v>7954959.7470000004</v>
      </c>
      <c r="H147">
        <v>7478340.585</v>
      </c>
      <c r="I147">
        <v>7266896.3449999997</v>
      </c>
      <c r="J147">
        <v>7041656.9939999999</v>
      </c>
      <c r="K147">
        <v>6681648.0219999999</v>
      </c>
      <c r="L147">
        <v>6629113.5609999998</v>
      </c>
      <c r="M147">
        <v>6591962.2479999997</v>
      </c>
      <c r="N147">
        <v>6808867.1160000004</v>
      </c>
      <c r="O147">
        <v>6623903.8830000004</v>
      </c>
      <c r="P147">
        <v>6364292.5300000003</v>
      </c>
      <c r="Q147">
        <v>6034030.0120000001</v>
      </c>
      <c r="R147">
        <v>5911439.4139999999</v>
      </c>
      <c r="S147">
        <v>5681080.7510000002</v>
      </c>
      <c r="T147">
        <v>5531923.1770000001</v>
      </c>
      <c r="U147">
        <v>5401301.8279999997</v>
      </c>
      <c r="V147">
        <v>5295118.4790000003</v>
      </c>
      <c r="W147">
        <v>4658401.6579999998</v>
      </c>
      <c r="X147">
        <v>4157334.0290000001</v>
      </c>
      <c r="Y147">
        <v>3674782.628</v>
      </c>
      <c r="Z147">
        <v>3277730.0460000001</v>
      </c>
      <c r="AA147">
        <v>2949207.4369999999</v>
      </c>
      <c r="AB147">
        <v>2671314.764</v>
      </c>
      <c r="AC147">
        <v>2425722.128</v>
      </c>
      <c r="AD147">
        <v>2181492.0180000002</v>
      </c>
      <c r="AE147">
        <v>1957651.9040000001</v>
      </c>
      <c r="AF147">
        <v>1771909.689</v>
      </c>
      <c r="AG147">
        <v>1608877.17</v>
      </c>
      <c r="AH147">
        <v>1465704.129</v>
      </c>
      <c r="AI147">
        <v>1311529.93</v>
      </c>
      <c r="AJ147">
        <v>1168679.8330000001</v>
      </c>
      <c r="AK147">
        <v>1036930.098</v>
      </c>
      <c r="AL147">
        <v>921221.81110000005</v>
      </c>
      <c r="AM147">
        <v>813415.68449999997</v>
      </c>
      <c r="AN147">
        <v>771442.05220000003</v>
      </c>
      <c r="AO147">
        <v>732652.64809999999</v>
      </c>
      <c r="AP147">
        <v>696082.57539999997</v>
      </c>
      <c r="AQ147">
        <v>661297.45429999998</v>
      </c>
      <c r="AR147">
        <v>627175.81850000005</v>
      </c>
      <c r="AS147">
        <v>583766.71640000003</v>
      </c>
      <c r="AT147">
        <v>552865.89489999996</v>
      </c>
      <c r="AU147">
        <v>538815.68079999997</v>
      </c>
      <c r="AV147">
        <v>525714.43350000004</v>
      </c>
      <c r="AW147">
        <v>513864.62849999999</v>
      </c>
    </row>
    <row r="148" spans="2:49" x14ac:dyDescent="0.25">
      <c r="B148" t="s">
        <v>219</v>
      </c>
      <c r="C148">
        <v>10783636.5742715</v>
      </c>
      <c r="D148">
        <v>10956771.347537501</v>
      </c>
      <c r="E148">
        <v>9457747.3770000003</v>
      </c>
      <c r="F148">
        <v>9452423.9810000006</v>
      </c>
      <c r="G148">
        <v>9394096.5539999995</v>
      </c>
      <c r="H148">
        <v>8712896.534</v>
      </c>
      <c r="I148">
        <v>8998196.6960000005</v>
      </c>
      <c r="J148">
        <v>9049332.2310000006</v>
      </c>
      <c r="K148">
        <v>8835679.4879999999</v>
      </c>
      <c r="L148">
        <v>8787988.0960000008</v>
      </c>
      <c r="M148">
        <v>8775292.9629999995</v>
      </c>
      <c r="N148">
        <v>9012695.9030000009</v>
      </c>
      <c r="O148">
        <v>9065789.2430000007</v>
      </c>
      <c r="P148">
        <v>9178016.0850000009</v>
      </c>
      <c r="Q148">
        <v>9124796.58699999</v>
      </c>
      <c r="R148">
        <v>9297255.477</v>
      </c>
      <c r="S148">
        <v>9287406.8540000003</v>
      </c>
      <c r="T148">
        <v>9176396.8929999899</v>
      </c>
      <c r="U148">
        <v>9163990.50699999</v>
      </c>
      <c r="V148">
        <v>9184619.3719999995</v>
      </c>
      <c r="W148">
        <v>8959839.5209999997</v>
      </c>
      <c r="X148">
        <v>8849039.4120000005</v>
      </c>
      <c r="Y148">
        <v>8597026.38199999</v>
      </c>
      <c r="Z148">
        <v>8361120.7740000002</v>
      </c>
      <c r="AA148">
        <v>8152180.8420000002</v>
      </c>
      <c r="AB148">
        <v>7955757.0369999995</v>
      </c>
      <c r="AC148">
        <v>7752392.5719999997</v>
      </c>
      <c r="AD148">
        <v>7530922.4630000005</v>
      </c>
      <c r="AE148">
        <v>7300549.7130000005</v>
      </c>
      <c r="AF148">
        <v>7090949.091</v>
      </c>
      <c r="AG148">
        <v>6873645.057</v>
      </c>
      <c r="AH148">
        <v>6650498.341</v>
      </c>
      <c r="AI148">
        <v>6401941.4919999996</v>
      </c>
      <c r="AJ148">
        <v>6147307.318</v>
      </c>
      <c r="AK148">
        <v>5881120.8200000003</v>
      </c>
      <c r="AL148">
        <v>5620571.4929999998</v>
      </c>
      <c r="AM148">
        <v>5341550.3320000004</v>
      </c>
      <c r="AN148">
        <v>5296038.0880000005</v>
      </c>
      <c r="AO148">
        <v>5241330.93</v>
      </c>
      <c r="AP148">
        <v>5170531.8969999999</v>
      </c>
      <c r="AQ148">
        <v>5080282.9610000001</v>
      </c>
      <c r="AR148">
        <v>4962539.4009999996</v>
      </c>
      <c r="AS148">
        <v>4881205.165</v>
      </c>
      <c r="AT148">
        <v>4829161.18</v>
      </c>
      <c r="AU148">
        <v>4828326.7620000001</v>
      </c>
      <c r="AV148">
        <v>4822695.1569999997</v>
      </c>
      <c r="AW148">
        <v>4811427.7520000003</v>
      </c>
    </row>
    <row r="149" spans="2:49" x14ac:dyDescent="0.25">
      <c r="B149" t="s">
        <v>220</v>
      </c>
      <c r="C149">
        <v>584010.86634464201</v>
      </c>
      <c r="D149">
        <v>593387.34970747295</v>
      </c>
      <c r="E149">
        <v>510539.89689999999</v>
      </c>
      <c r="F149">
        <v>524878.21770000004</v>
      </c>
      <c r="G149">
        <v>495741.9155</v>
      </c>
      <c r="H149">
        <v>429696.14569999999</v>
      </c>
      <c r="I149">
        <v>448596.56640000001</v>
      </c>
      <c r="J149">
        <v>447936.09989999997</v>
      </c>
      <c r="K149">
        <v>411588.17800000001</v>
      </c>
      <c r="L149">
        <v>385006.72369999997</v>
      </c>
      <c r="M149">
        <v>377036.25880000001</v>
      </c>
      <c r="N149">
        <v>396017.50829999999</v>
      </c>
      <c r="O149">
        <v>377879.30349999998</v>
      </c>
      <c r="P149">
        <v>362344.7929</v>
      </c>
      <c r="Q149">
        <v>335414.2856</v>
      </c>
      <c r="R149">
        <v>310981.94099999999</v>
      </c>
      <c r="S149">
        <v>294018.40149999998</v>
      </c>
      <c r="T149">
        <v>288337.5809</v>
      </c>
      <c r="U149">
        <v>285890.63</v>
      </c>
      <c r="V149">
        <v>286590.78830000001</v>
      </c>
      <c r="W149">
        <v>260062.1966</v>
      </c>
      <c r="X149">
        <v>242090.5387</v>
      </c>
      <c r="Y149">
        <v>225151.95509999999</v>
      </c>
      <c r="Z149">
        <v>212185.8175</v>
      </c>
      <c r="AA149">
        <v>202876.48610000001</v>
      </c>
      <c r="AB149">
        <v>195788.8033</v>
      </c>
      <c r="AC149">
        <v>190193.43710000001</v>
      </c>
      <c r="AD149">
        <v>178189.7898</v>
      </c>
      <c r="AE149">
        <v>167373.08230000001</v>
      </c>
      <c r="AF149">
        <v>158118.09770000001</v>
      </c>
      <c r="AG149">
        <v>149879.98420000001</v>
      </c>
      <c r="AH149">
        <v>142426.91010000001</v>
      </c>
      <c r="AI149">
        <v>135165.73300000001</v>
      </c>
      <c r="AJ149">
        <v>128230.442</v>
      </c>
      <c r="AK149">
        <v>121511.7773</v>
      </c>
      <c r="AL149">
        <v>115201.74189999999</v>
      </c>
      <c r="AM149">
        <v>108927.83070000001</v>
      </c>
      <c r="AN149">
        <v>106490.8317</v>
      </c>
      <c r="AO149">
        <v>104066.0894</v>
      </c>
      <c r="AP149">
        <v>101454.3906</v>
      </c>
      <c r="AQ149">
        <v>98550.826310000004</v>
      </c>
      <c r="AR149">
        <v>95257.702600000004</v>
      </c>
      <c r="AS149">
        <v>93473.625709999906</v>
      </c>
      <c r="AT149">
        <v>92036.099549999999</v>
      </c>
      <c r="AU149">
        <v>91063.236120000001</v>
      </c>
      <c r="AV149">
        <v>90004.24252</v>
      </c>
      <c r="AW149">
        <v>88910.748089999906</v>
      </c>
    </row>
    <row r="150" spans="2:49" x14ac:dyDescent="0.25">
      <c r="B150" t="s">
        <v>221</v>
      </c>
      <c r="C150">
        <v>22712835.5539211</v>
      </c>
      <c r="D150">
        <v>23077497.475414101</v>
      </c>
      <c r="E150">
        <v>23175578.760000002</v>
      </c>
      <c r="F150">
        <v>23253460.780000001</v>
      </c>
      <c r="G150">
        <v>19702875.350000001</v>
      </c>
      <c r="H150">
        <v>16418771.800000001</v>
      </c>
      <c r="I150">
        <v>17174243.66</v>
      </c>
      <c r="J150">
        <v>16761263.24</v>
      </c>
      <c r="K150">
        <v>15882450.310000001</v>
      </c>
      <c r="L150">
        <v>16595374.76</v>
      </c>
      <c r="M150">
        <v>16981864.050000001</v>
      </c>
      <c r="N150">
        <v>17333746.399999999</v>
      </c>
      <c r="O150">
        <v>14524970</v>
      </c>
      <c r="P150">
        <v>13150158.09</v>
      </c>
      <c r="Q150">
        <v>11999047.619999999</v>
      </c>
      <c r="R150">
        <v>11044392.550000001</v>
      </c>
      <c r="S150">
        <v>10272678.960000001</v>
      </c>
      <c r="T150">
        <v>10131901.960000001</v>
      </c>
      <c r="U150">
        <v>10102384.710000001</v>
      </c>
      <c r="V150">
        <v>10176798.35</v>
      </c>
      <c r="W150">
        <v>9622941.08699999</v>
      </c>
      <c r="X150">
        <v>9015857.65499999</v>
      </c>
      <c r="Y150">
        <v>8604182.8210000005</v>
      </c>
      <c r="Z150">
        <v>8284850.767</v>
      </c>
      <c r="AA150">
        <v>8012955.5829999996</v>
      </c>
      <c r="AB150">
        <v>7776949.21</v>
      </c>
      <c r="AC150">
        <v>7573998.3559999997</v>
      </c>
      <c r="AD150">
        <v>7305327.0609999998</v>
      </c>
      <c r="AE150">
        <v>7056446.1239999998</v>
      </c>
      <c r="AF150">
        <v>6846080.9340000004</v>
      </c>
      <c r="AG150">
        <v>6670909.6710000001</v>
      </c>
      <c r="AH150">
        <v>6533961.4979999997</v>
      </c>
      <c r="AI150">
        <v>6377283.1869999999</v>
      </c>
      <c r="AJ150">
        <v>6232028.6869999999</v>
      </c>
      <c r="AK150">
        <v>6102070.0240000002</v>
      </c>
      <c r="AL150">
        <v>5990143.142</v>
      </c>
      <c r="AM150">
        <v>5894575.9369999999</v>
      </c>
      <c r="AN150">
        <v>5821075.1799999997</v>
      </c>
      <c r="AO150">
        <v>5764444.0980000002</v>
      </c>
      <c r="AP150">
        <v>5716464.8530000001</v>
      </c>
      <c r="AQ150">
        <v>5676788.4469999997</v>
      </c>
      <c r="AR150">
        <v>5643830.9560000002</v>
      </c>
      <c r="AS150">
        <v>5618991.7680000002</v>
      </c>
      <c r="AT150">
        <v>5604797.3059999999</v>
      </c>
      <c r="AU150">
        <v>5597748.2319999998</v>
      </c>
      <c r="AV150">
        <v>5594473.7560000001</v>
      </c>
      <c r="AW150">
        <v>5597583.6399999997</v>
      </c>
    </row>
    <row r="151" spans="2:49" x14ac:dyDescent="0.25">
      <c r="B151" t="s">
        <v>222</v>
      </c>
      <c r="C151">
        <v>611949.61832884501</v>
      </c>
      <c r="D151">
        <v>621774.66739182698</v>
      </c>
      <c r="E151">
        <v>544393.97349999996</v>
      </c>
      <c r="F151">
        <v>535182.73840000003</v>
      </c>
      <c r="G151">
        <v>479561.57270000002</v>
      </c>
      <c r="H151">
        <v>403580.21220000001</v>
      </c>
      <c r="I151">
        <v>428889.66269999999</v>
      </c>
      <c r="J151">
        <v>411731.53350000002</v>
      </c>
      <c r="K151">
        <v>370194.88410000002</v>
      </c>
      <c r="L151">
        <v>351423.16460000002</v>
      </c>
      <c r="M151">
        <v>350767.27490000002</v>
      </c>
      <c r="N151">
        <v>350715.09350000002</v>
      </c>
      <c r="O151">
        <v>325109.80410000001</v>
      </c>
      <c r="P151">
        <v>314367.09840000002</v>
      </c>
      <c r="Q151">
        <v>279806.8688</v>
      </c>
      <c r="R151">
        <v>256951.0808</v>
      </c>
      <c r="S151">
        <v>243046.78580000001</v>
      </c>
      <c r="T151">
        <v>236729.94829999999</v>
      </c>
      <c r="U151">
        <v>229059.49350000001</v>
      </c>
      <c r="V151">
        <v>223712.85339999999</v>
      </c>
      <c r="W151">
        <v>176352.07889999999</v>
      </c>
      <c r="X151">
        <v>147506.15419999999</v>
      </c>
      <c r="Y151">
        <v>120416.948</v>
      </c>
      <c r="Z151">
        <v>99971.176869999996</v>
      </c>
      <c r="AA151">
        <v>85312.411999999997</v>
      </c>
      <c r="AB151">
        <v>73498.827990000005</v>
      </c>
      <c r="AC151">
        <v>63232.149799999999</v>
      </c>
      <c r="AD151">
        <v>52269.342360000002</v>
      </c>
      <c r="AE151">
        <v>43214.974119999999</v>
      </c>
      <c r="AF151">
        <v>36344.49394</v>
      </c>
      <c r="AG151">
        <v>30695.770639999999</v>
      </c>
      <c r="AH151">
        <v>25932.145229999998</v>
      </c>
      <c r="AI151">
        <v>20638.593809999998</v>
      </c>
      <c r="AJ151">
        <v>15929.82921</v>
      </c>
      <c r="AK151">
        <v>11691.17375</v>
      </c>
      <c r="AL151">
        <v>8116.0379560000001</v>
      </c>
      <c r="AM151">
        <v>4781.4941239999998</v>
      </c>
      <c r="AN151">
        <v>4479.977852</v>
      </c>
      <c r="AO151">
        <v>4212.3634970000003</v>
      </c>
      <c r="AP151">
        <v>3950.8065390000002</v>
      </c>
      <c r="AQ151">
        <v>3709.4373300000002</v>
      </c>
      <c r="AR151">
        <v>3483.2684610000001</v>
      </c>
      <c r="AS151">
        <v>1987.4323099999999</v>
      </c>
      <c r="AT151">
        <v>1070.440229</v>
      </c>
      <c r="AU151">
        <v>1036.052021</v>
      </c>
      <c r="AV151">
        <v>1004.329322</v>
      </c>
      <c r="AW151">
        <v>975.51067669999998</v>
      </c>
    </row>
    <row r="152" spans="2:49" x14ac:dyDescent="0.25">
      <c r="B152" t="s">
        <v>223</v>
      </c>
      <c r="C152">
        <v>18604230.451297902</v>
      </c>
      <c r="D152">
        <v>18902927.3889024</v>
      </c>
      <c r="E152">
        <v>16611231.98</v>
      </c>
      <c r="F152">
        <v>16884499.719999999</v>
      </c>
      <c r="G152">
        <v>15763272.119999999</v>
      </c>
      <c r="H152">
        <v>14527554.82</v>
      </c>
      <c r="I152">
        <v>14533379.560000001</v>
      </c>
      <c r="J152">
        <v>14072903.5</v>
      </c>
      <c r="K152">
        <v>13296613.869999999</v>
      </c>
      <c r="L152">
        <v>13048761.01</v>
      </c>
      <c r="M152">
        <v>13112549.210000001</v>
      </c>
      <c r="N152">
        <v>13431450.369999999</v>
      </c>
      <c r="O152">
        <v>12712507.710000001</v>
      </c>
      <c r="P152">
        <v>11991284.23</v>
      </c>
      <c r="Q152">
        <v>11101725.539999999</v>
      </c>
      <c r="R152">
        <v>10790668.68</v>
      </c>
      <c r="S152">
        <v>10389335.210000001</v>
      </c>
      <c r="T152">
        <v>10305559.34</v>
      </c>
      <c r="U152">
        <v>10180844.289999999</v>
      </c>
      <c r="V152">
        <v>10127920.58</v>
      </c>
      <c r="W152">
        <v>9073815.216</v>
      </c>
      <c r="X152">
        <v>8256408.307</v>
      </c>
      <c r="Y152">
        <v>7486553.1809999999</v>
      </c>
      <c r="Z152">
        <v>6844345.3650000002</v>
      </c>
      <c r="AA152">
        <v>6357766.4299999997</v>
      </c>
      <c r="AB152">
        <v>5938370.4400000004</v>
      </c>
      <c r="AC152">
        <v>5562036.1619999995</v>
      </c>
      <c r="AD152">
        <v>5038553</v>
      </c>
      <c r="AE152">
        <v>4571143.5930000003</v>
      </c>
      <c r="AF152">
        <v>4180626.395</v>
      </c>
      <c r="AG152">
        <v>3843180.0070000002</v>
      </c>
      <c r="AH152">
        <v>3551418.0440000002</v>
      </c>
      <c r="AI152">
        <v>3257743.1290000002</v>
      </c>
      <c r="AJ152">
        <v>2988887.0419999999</v>
      </c>
      <c r="AK152">
        <v>2739557.1239999998</v>
      </c>
      <c r="AL152">
        <v>2516863.9849999999</v>
      </c>
      <c r="AM152">
        <v>2307472.3229999999</v>
      </c>
      <c r="AN152">
        <v>2221689.3220000002</v>
      </c>
      <c r="AO152">
        <v>2141871.7710000002</v>
      </c>
      <c r="AP152">
        <v>2062868.845</v>
      </c>
      <c r="AQ152">
        <v>1983229.2220000001</v>
      </c>
      <c r="AR152">
        <v>1901258.2379999999</v>
      </c>
      <c r="AS152">
        <v>1817658.561</v>
      </c>
      <c r="AT152">
        <v>1755438.6969999999</v>
      </c>
      <c r="AU152">
        <v>1721584.166</v>
      </c>
      <c r="AV152">
        <v>1689044.1680000001</v>
      </c>
      <c r="AW152">
        <v>1658838.1980000001</v>
      </c>
    </row>
    <row r="153" spans="2:49" x14ac:dyDescent="0.25">
      <c r="B153" t="s">
        <v>224</v>
      </c>
      <c r="C153">
        <v>583438.22926562198</v>
      </c>
      <c r="D153">
        <v>592805.51875492395</v>
      </c>
      <c r="E153">
        <v>519029.97649999999</v>
      </c>
      <c r="F153">
        <v>540349.22679999995</v>
      </c>
      <c r="G153">
        <v>527123.06129999994</v>
      </c>
      <c r="H153">
        <v>458029.92729999998</v>
      </c>
      <c r="I153">
        <v>456493.41</v>
      </c>
      <c r="J153">
        <v>463406.97629999998</v>
      </c>
      <c r="K153">
        <v>442851.59049999999</v>
      </c>
      <c r="L153">
        <v>428803.2928</v>
      </c>
      <c r="M153">
        <v>400942.06959999999</v>
      </c>
      <c r="N153">
        <v>368851.43790000002</v>
      </c>
      <c r="O153">
        <v>359286.68969999999</v>
      </c>
      <c r="P153">
        <v>362394.28389999998</v>
      </c>
      <c r="Q153">
        <v>353559.83419999998</v>
      </c>
      <c r="R153">
        <v>358351.65159999998</v>
      </c>
      <c r="S153">
        <v>346139.0857</v>
      </c>
      <c r="T153">
        <v>343050.69439999998</v>
      </c>
      <c r="U153">
        <v>331955.13219999999</v>
      </c>
      <c r="V153">
        <v>326516.70850000001</v>
      </c>
      <c r="W153">
        <v>300466.65749999997</v>
      </c>
      <c r="X153">
        <v>290907.82290000003</v>
      </c>
      <c r="Y153">
        <v>271223.29590000003</v>
      </c>
      <c r="Z153">
        <v>236232.71040000001</v>
      </c>
      <c r="AA153">
        <v>216941.96400000001</v>
      </c>
      <c r="AB153">
        <v>202624.04699999999</v>
      </c>
      <c r="AC153">
        <v>187914.9565</v>
      </c>
      <c r="AD153">
        <v>172784.26029999999</v>
      </c>
      <c r="AE153">
        <v>158211.04879999999</v>
      </c>
      <c r="AF153">
        <v>145002.67019999999</v>
      </c>
      <c r="AG153">
        <v>131490.5607</v>
      </c>
      <c r="AH153">
        <v>118658.05650000001</v>
      </c>
      <c r="AI153">
        <v>99066.525810000006</v>
      </c>
      <c r="AJ153">
        <v>79978.201950000002</v>
      </c>
      <c r="AK153">
        <v>61569.493629999997</v>
      </c>
      <c r="AL153">
        <v>44792.027629999997</v>
      </c>
      <c r="AM153">
        <v>27775.968250000002</v>
      </c>
      <c r="AN153">
        <v>26651.848549999999</v>
      </c>
      <c r="AO153">
        <v>25839.20549</v>
      </c>
      <c r="AP153">
        <v>25000.185119999998</v>
      </c>
      <c r="AQ153">
        <v>24260.694670000001</v>
      </c>
      <c r="AR153">
        <v>23526.86536</v>
      </c>
      <c r="AS153">
        <v>14051.63235</v>
      </c>
      <c r="AT153">
        <v>7875.6984389999998</v>
      </c>
      <c r="AU153">
        <v>7817.8428050000002</v>
      </c>
      <c r="AV153">
        <v>7747.9267049999999</v>
      </c>
      <c r="AW153">
        <v>7712.3064640000002</v>
      </c>
    </row>
    <row r="154" spans="2:49" x14ac:dyDescent="0.25">
      <c r="B154" t="s">
        <v>225</v>
      </c>
      <c r="C154">
        <v>640997.091904014</v>
      </c>
      <c r="D154">
        <v>651288.50755091803</v>
      </c>
      <c r="E154">
        <v>552934.97519999999</v>
      </c>
      <c r="F154">
        <v>572009.77</v>
      </c>
      <c r="G154">
        <v>543685.07579999999</v>
      </c>
      <c r="H154">
        <v>545488.65760000004</v>
      </c>
      <c r="I154">
        <v>566713.14320000005</v>
      </c>
      <c r="J154">
        <v>549553.29599999997</v>
      </c>
      <c r="K154">
        <v>522141.08429999999</v>
      </c>
      <c r="L154">
        <v>529031.36730000004</v>
      </c>
      <c r="M154">
        <v>542378.71440000006</v>
      </c>
      <c r="N154">
        <v>576108.7794</v>
      </c>
      <c r="O154">
        <v>617621.05700000003</v>
      </c>
      <c r="P154">
        <v>633511.68570000003</v>
      </c>
      <c r="Q154">
        <v>588158.20649999997</v>
      </c>
      <c r="R154">
        <v>600373.2108</v>
      </c>
      <c r="S154">
        <v>621492.00719999999</v>
      </c>
      <c r="T154">
        <v>724242.22569999995</v>
      </c>
      <c r="U154">
        <v>817186.21860000002</v>
      </c>
      <c r="V154">
        <v>902517.09039999999</v>
      </c>
      <c r="W154">
        <v>1001666.317</v>
      </c>
      <c r="X154">
        <v>1097828.1780000001</v>
      </c>
      <c r="Y154">
        <v>1145589.334</v>
      </c>
      <c r="Z154">
        <v>1187985.1640000001</v>
      </c>
      <c r="AA154">
        <v>1273597.591</v>
      </c>
      <c r="AB154">
        <v>1347770.338</v>
      </c>
      <c r="AC154">
        <v>1403917.362</v>
      </c>
      <c r="AD154">
        <v>1410880.237</v>
      </c>
      <c r="AE154">
        <v>1423263.121</v>
      </c>
      <c r="AF154">
        <v>1424881.4129999999</v>
      </c>
      <c r="AG154">
        <v>1414216.7520000001</v>
      </c>
      <c r="AH154">
        <v>1395397.2169999999</v>
      </c>
      <c r="AI154">
        <v>1380260.2420000001</v>
      </c>
      <c r="AJ154">
        <v>1355321.669</v>
      </c>
      <c r="AK154">
        <v>1328003.193</v>
      </c>
      <c r="AL154">
        <v>1300557.605</v>
      </c>
      <c r="AM154">
        <v>1262195.193</v>
      </c>
      <c r="AN154">
        <v>1254308.808</v>
      </c>
      <c r="AO154">
        <v>1244320.3940000001</v>
      </c>
      <c r="AP154">
        <v>1231344.3729999999</v>
      </c>
      <c r="AQ154">
        <v>1206063.4469999999</v>
      </c>
      <c r="AR154">
        <v>1178495.361</v>
      </c>
      <c r="AS154">
        <v>1178987.7579999999</v>
      </c>
      <c r="AT154">
        <v>1179876.92</v>
      </c>
      <c r="AU154">
        <v>1182181.888</v>
      </c>
      <c r="AV154">
        <v>1182930.737</v>
      </c>
      <c r="AW154">
        <v>1181917.1629999999</v>
      </c>
    </row>
    <row r="155" spans="2:49" x14ac:dyDescent="0.25">
      <c r="B155" t="s">
        <v>226</v>
      </c>
      <c r="C155">
        <v>2194958.1052306499</v>
      </c>
      <c r="D155">
        <v>2230198.86758945</v>
      </c>
      <c r="E155">
        <v>1880654.692</v>
      </c>
      <c r="F155">
        <v>1871234.8840000001</v>
      </c>
      <c r="G155">
        <v>1864159.8859999999</v>
      </c>
      <c r="H155">
        <v>1861162.2960000001</v>
      </c>
      <c r="I155">
        <v>1867067.99</v>
      </c>
      <c r="J155">
        <v>1879099.5719999999</v>
      </c>
      <c r="K155">
        <v>1880914.933</v>
      </c>
      <c r="L155">
        <v>1879627.767</v>
      </c>
      <c r="M155">
        <v>1891982.0419999999</v>
      </c>
      <c r="N155">
        <v>1874456.736</v>
      </c>
      <c r="O155">
        <v>1897715.9609999999</v>
      </c>
      <c r="P155">
        <v>1916481.591</v>
      </c>
      <c r="Q155">
        <v>1940744.524</v>
      </c>
      <c r="R155">
        <v>1965462.6159999999</v>
      </c>
      <c r="S155">
        <v>1957501.128</v>
      </c>
      <c r="T155">
        <v>1935244.1669999999</v>
      </c>
      <c r="U155">
        <v>1926296.956</v>
      </c>
      <c r="V155">
        <v>1922669.115</v>
      </c>
      <c r="W155">
        <v>1828805.034</v>
      </c>
      <c r="X155">
        <v>1729267.4339999999</v>
      </c>
      <c r="Y155">
        <v>1701178.334</v>
      </c>
      <c r="Z155">
        <v>1670752.236</v>
      </c>
      <c r="AA155">
        <v>1639760.155</v>
      </c>
      <c r="AB155">
        <v>1606662.973</v>
      </c>
      <c r="AC155">
        <v>1567893.0589999999</v>
      </c>
      <c r="AD155">
        <v>1489690.1440000001</v>
      </c>
      <c r="AE155">
        <v>1408735.088</v>
      </c>
      <c r="AF155">
        <v>1329734.6229999999</v>
      </c>
      <c r="AG155">
        <v>1251338.6669999999</v>
      </c>
      <c r="AH155">
        <v>1173311.8</v>
      </c>
      <c r="AI155">
        <v>1092168.855</v>
      </c>
      <c r="AJ155">
        <v>1011263.7610000001</v>
      </c>
      <c r="AK155">
        <v>930870.76659999997</v>
      </c>
      <c r="AL155">
        <v>852750.85789999994</v>
      </c>
      <c r="AM155">
        <v>775845.90079999994</v>
      </c>
      <c r="AN155">
        <v>719713.15090000001</v>
      </c>
      <c r="AO155">
        <v>662898.64240000001</v>
      </c>
      <c r="AP155">
        <v>605151.89659999998</v>
      </c>
      <c r="AQ155" s="39">
        <v>545879.91009999998</v>
      </c>
      <c r="AR155" s="39">
        <v>485812.48599999998</v>
      </c>
      <c r="AS155" s="39">
        <v>455963.84989999997</v>
      </c>
      <c r="AT155" s="39">
        <v>426165.40759999998</v>
      </c>
      <c r="AU155" s="39">
        <v>396748.66899999999</v>
      </c>
      <c r="AV155">
        <v>366551.10220000002</v>
      </c>
      <c r="AW155">
        <v>334895.56109999999</v>
      </c>
    </row>
    <row r="156" spans="2:49" x14ac:dyDescent="0.25">
      <c r="B156" t="s">
        <v>227</v>
      </c>
      <c r="C156">
        <v>48301536.741083004</v>
      </c>
      <c r="D156">
        <v>49077033.537035801</v>
      </c>
      <c r="E156">
        <v>41603683.399999999</v>
      </c>
      <c r="F156">
        <v>41334315.219999999</v>
      </c>
      <c r="G156">
        <v>40505798.969999999</v>
      </c>
      <c r="H156">
        <v>39040604.390000001</v>
      </c>
      <c r="I156">
        <v>38695490.689999998</v>
      </c>
      <c r="J156">
        <v>38423767.100000001</v>
      </c>
      <c r="K156">
        <v>37920809.130000003</v>
      </c>
      <c r="L156">
        <v>37193857.880000003</v>
      </c>
      <c r="M156">
        <v>36789772.710000001</v>
      </c>
      <c r="N156">
        <v>36337035.560000002</v>
      </c>
      <c r="O156">
        <v>36297546.530000001</v>
      </c>
      <c r="P156">
        <v>36440373.969999999</v>
      </c>
      <c r="Q156">
        <v>35930987.299999997</v>
      </c>
      <c r="R156">
        <v>35442610.759999998</v>
      </c>
      <c r="S156">
        <v>34840679.729999997</v>
      </c>
      <c r="T156">
        <v>35268688.350000001</v>
      </c>
      <c r="U156">
        <v>35545940.850000001</v>
      </c>
      <c r="V156">
        <v>36062663.479999997</v>
      </c>
      <c r="W156">
        <v>36371279.68</v>
      </c>
      <c r="X156">
        <v>36109654.560000002</v>
      </c>
      <c r="Y156">
        <v>35218663.450000003</v>
      </c>
      <c r="Z156">
        <v>34183028.789999999</v>
      </c>
      <c r="AA156">
        <v>33173080.620000001</v>
      </c>
      <c r="AB156">
        <v>32171530.550000001</v>
      </c>
      <c r="AC156">
        <v>31204778.039999999</v>
      </c>
      <c r="AD156">
        <v>29399085.32</v>
      </c>
      <c r="AE156">
        <v>27608634.149999999</v>
      </c>
      <c r="AF156">
        <v>25857806.829999998</v>
      </c>
      <c r="AG156">
        <v>24113458.34</v>
      </c>
      <c r="AH156">
        <v>22423933.329999998</v>
      </c>
      <c r="AI156">
        <v>20601476.780000001</v>
      </c>
      <c r="AJ156">
        <v>18800733.600000001</v>
      </c>
      <c r="AK156">
        <v>17024504.140000001</v>
      </c>
      <c r="AL156">
        <v>15295715.869999999</v>
      </c>
      <c r="AM156">
        <v>13605487.43</v>
      </c>
      <c r="AN156">
        <v>12622103.439999999</v>
      </c>
      <c r="AO156">
        <v>11628390.210000001</v>
      </c>
      <c r="AP156">
        <v>10668091.93</v>
      </c>
      <c r="AQ156">
        <v>9691448.5460000001</v>
      </c>
      <c r="AR156">
        <v>8690401.034</v>
      </c>
      <c r="AS156">
        <v>8311225.5760000004</v>
      </c>
      <c r="AT156">
        <v>7956750.841</v>
      </c>
      <c r="AU156">
        <v>7603646.3650000002</v>
      </c>
      <c r="AV156">
        <v>7219299.2019999996</v>
      </c>
      <c r="AW156">
        <v>6844906.7350000003</v>
      </c>
    </row>
    <row r="157" spans="2:49" x14ac:dyDescent="0.25">
      <c r="B157" t="s">
        <v>228</v>
      </c>
      <c r="C157">
        <v>9397840.0105028208</v>
      </c>
      <c r="D157">
        <v>9548725.3716889191</v>
      </c>
      <c r="E157">
        <v>8095813.2759999996</v>
      </c>
      <c r="F157">
        <v>9224671.4120000005</v>
      </c>
      <c r="G157">
        <v>7735850.7359999996</v>
      </c>
      <c r="H157">
        <v>5539799.9670000002</v>
      </c>
      <c r="I157">
        <v>6509632.9950000001</v>
      </c>
      <c r="J157">
        <v>5040881.4649999999</v>
      </c>
      <c r="K157">
        <v>5890781.324</v>
      </c>
      <c r="L157">
        <v>5275044.9079999998</v>
      </c>
      <c r="M157">
        <v>5316550.8140000002</v>
      </c>
      <c r="N157">
        <v>5481125.0920000002</v>
      </c>
      <c r="O157">
        <v>4976305.284</v>
      </c>
      <c r="P157">
        <v>5261472.2429999998</v>
      </c>
      <c r="Q157">
        <v>5145003.159</v>
      </c>
      <c r="R157">
        <v>5197407.1109999996</v>
      </c>
      <c r="S157">
        <v>5176529.733</v>
      </c>
      <c r="T157">
        <v>5063960.0599999996</v>
      </c>
      <c r="U157">
        <v>5053511.6330000004</v>
      </c>
      <c r="V157">
        <v>5049478.9510000004</v>
      </c>
      <c r="W157">
        <v>5003063.9280000003</v>
      </c>
      <c r="X157">
        <v>4871141.3219999997</v>
      </c>
      <c r="Y157">
        <v>4815278.682</v>
      </c>
      <c r="Z157">
        <v>4780693.3940000003</v>
      </c>
      <c r="AA157">
        <v>4814153.1519999998</v>
      </c>
      <c r="AB157">
        <v>4841082.3459999999</v>
      </c>
      <c r="AC157">
        <v>4835959.8090000004</v>
      </c>
      <c r="AD157">
        <v>4750125.0520000001</v>
      </c>
      <c r="AE157">
        <v>4659127.1689999998</v>
      </c>
      <c r="AF157">
        <v>4562320.2850000001</v>
      </c>
      <c r="AG157">
        <v>4451865.2719999999</v>
      </c>
      <c r="AH157">
        <v>4340059.926</v>
      </c>
      <c r="AI157">
        <v>4182796.1660000002</v>
      </c>
      <c r="AJ157">
        <v>4018225.2519999999</v>
      </c>
      <c r="AK157">
        <v>3855719.855</v>
      </c>
      <c r="AL157">
        <v>3699532.844</v>
      </c>
      <c r="AM157">
        <v>3544817.59</v>
      </c>
      <c r="AN157">
        <v>3459280.4550000001</v>
      </c>
      <c r="AO157">
        <v>3375081.375</v>
      </c>
      <c r="AP157">
        <v>3286194.642</v>
      </c>
      <c r="AQ157">
        <v>3189670.0469999998</v>
      </c>
      <c r="AR157">
        <v>3083551.861</v>
      </c>
      <c r="AS157">
        <v>3059738.449</v>
      </c>
      <c r="AT157">
        <v>3037210.87</v>
      </c>
      <c r="AU157">
        <v>3016187.0610000002</v>
      </c>
      <c r="AV157">
        <v>2994160.5720000002</v>
      </c>
      <c r="AW157">
        <v>2970346.1120000002</v>
      </c>
    </row>
    <row r="158" spans="2:49" x14ac:dyDescent="0.25">
      <c r="B158" t="s">
        <v>229</v>
      </c>
      <c r="C158">
        <v>2784044.1169573502</v>
      </c>
      <c r="D158">
        <v>2828742.8457796802</v>
      </c>
      <c r="E158">
        <v>2402692.5989999999</v>
      </c>
      <c r="F158">
        <v>2492148.8220000002</v>
      </c>
      <c r="G158">
        <v>2472992.412</v>
      </c>
      <c r="H158">
        <v>2031376.422</v>
      </c>
      <c r="I158">
        <v>2070238.834</v>
      </c>
      <c r="J158">
        <v>2161834.7960000001</v>
      </c>
      <c r="K158">
        <v>2107463.182</v>
      </c>
      <c r="L158">
        <v>2047527.821</v>
      </c>
      <c r="M158">
        <v>2043334.794</v>
      </c>
      <c r="N158">
        <v>2149958.0070000002</v>
      </c>
      <c r="O158">
        <v>2144237.7519999999</v>
      </c>
      <c r="P158">
        <v>2137649.7999999998</v>
      </c>
      <c r="Q158">
        <v>2201492.5780000002</v>
      </c>
      <c r="R158">
        <v>2224761.355</v>
      </c>
      <c r="S158">
        <v>2186896.7409999999</v>
      </c>
      <c r="T158">
        <v>2145034.7650000001</v>
      </c>
      <c r="U158">
        <v>2125078.3489999999</v>
      </c>
      <c r="V158">
        <v>2118096.7949999999</v>
      </c>
      <c r="W158">
        <v>2115462.6209999998</v>
      </c>
      <c r="X158">
        <v>2087800.2150000001</v>
      </c>
      <c r="Y158">
        <v>2061953.713</v>
      </c>
      <c r="Z158">
        <v>2035784.6839999999</v>
      </c>
      <c r="AA158">
        <v>2009564.328</v>
      </c>
      <c r="AB158">
        <v>1980238.37</v>
      </c>
      <c r="AC158">
        <v>1949989.2549999999</v>
      </c>
      <c r="AD158">
        <v>1897995.5190000001</v>
      </c>
      <c r="AE158">
        <v>1845354.7879999999</v>
      </c>
      <c r="AF158">
        <v>1793674.4879999999</v>
      </c>
      <c r="AG158">
        <v>1741618.1850000001</v>
      </c>
      <c r="AH158">
        <v>1690435.0959999999</v>
      </c>
      <c r="AI158">
        <v>1644401.6470000001</v>
      </c>
      <c r="AJ158">
        <v>1597100.8030000001</v>
      </c>
      <c r="AK158">
        <v>1547939.04</v>
      </c>
      <c r="AL158">
        <v>1498432.9269999999</v>
      </c>
      <c r="AM158">
        <v>1445850.3219999999</v>
      </c>
      <c r="AN158">
        <v>1421025.6510000001</v>
      </c>
      <c r="AO158">
        <v>1394698.85</v>
      </c>
      <c r="AP158">
        <v>1365905.58</v>
      </c>
      <c r="AQ158">
        <v>1331503.0689999999</v>
      </c>
      <c r="AR158">
        <v>1290974.0379999999</v>
      </c>
      <c r="AS158">
        <v>1280391.1329999999</v>
      </c>
      <c r="AT158">
        <v>1269772.6129999999</v>
      </c>
      <c r="AU158">
        <v>1259012.912</v>
      </c>
      <c r="AV158">
        <v>1246634.1270000001</v>
      </c>
      <c r="AW158">
        <v>1233272.9990000001</v>
      </c>
    </row>
    <row r="159" spans="2:49" x14ac:dyDescent="0.25">
      <c r="B159" t="s">
        <v>230</v>
      </c>
      <c r="C159">
        <v>20640520.667746101</v>
      </c>
      <c r="D159">
        <v>20971910.903432399</v>
      </c>
      <c r="E159">
        <v>17996165.57</v>
      </c>
      <c r="F159">
        <v>18361007.27</v>
      </c>
      <c r="G159">
        <v>17728944.98</v>
      </c>
      <c r="H159">
        <v>17074566.550000001</v>
      </c>
      <c r="I159">
        <v>17333733.359999999</v>
      </c>
      <c r="J159">
        <v>17021444.149999999</v>
      </c>
      <c r="K159">
        <v>16395696.380000001</v>
      </c>
      <c r="L159">
        <v>16219673.18</v>
      </c>
      <c r="M159">
        <v>16521902.470000001</v>
      </c>
      <c r="N159">
        <v>17260394.859999999</v>
      </c>
      <c r="O159">
        <v>17113266.149999999</v>
      </c>
      <c r="P159">
        <v>16462841.91</v>
      </c>
      <c r="Q159">
        <v>15312903.83</v>
      </c>
      <c r="R159">
        <v>14441461.6</v>
      </c>
      <c r="S159">
        <v>13738093.34</v>
      </c>
      <c r="T159">
        <v>13355307.359999999</v>
      </c>
      <c r="U159">
        <v>13016638.439999999</v>
      </c>
      <c r="V159">
        <v>12684168.66</v>
      </c>
      <c r="W159">
        <v>12435728.23</v>
      </c>
      <c r="X159">
        <v>12653727.529999999</v>
      </c>
      <c r="Y159">
        <v>12133809.109999999</v>
      </c>
      <c r="Z159">
        <v>11298096</v>
      </c>
      <c r="AA159">
        <v>10518969.74</v>
      </c>
      <c r="AB159">
        <v>9739417.24599999</v>
      </c>
      <c r="AC159">
        <v>8897292.5659999996</v>
      </c>
      <c r="AD159">
        <v>8261522.9040000001</v>
      </c>
      <c r="AE159">
        <v>7618451.1660000002</v>
      </c>
      <c r="AF159">
        <v>7045805.8229999999</v>
      </c>
      <c r="AG159">
        <v>6487393.1619999995</v>
      </c>
      <c r="AH159">
        <v>5944025.4460000005</v>
      </c>
      <c r="AI159">
        <v>5267480.8499999996</v>
      </c>
      <c r="AJ159">
        <v>4615297.6469999999</v>
      </c>
      <c r="AK159">
        <v>3988389.7370000002</v>
      </c>
      <c r="AL159">
        <v>3427347.1690000002</v>
      </c>
      <c r="AM159">
        <v>2878567.3689999999</v>
      </c>
      <c r="AN159">
        <v>2816735.5559999999</v>
      </c>
      <c r="AO159">
        <v>2747009.8160000001</v>
      </c>
      <c r="AP159">
        <v>2667522.1129999999</v>
      </c>
      <c r="AQ159">
        <v>2582280.5269999998</v>
      </c>
      <c r="AR159">
        <v>2485247.3339999998</v>
      </c>
      <c r="AS159">
        <v>2251350.3909999998</v>
      </c>
      <c r="AT159">
        <v>2100885.5079999999</v>
      </c>
      <c r="AU159">
        <v>2076602.1810000001</v>
      </c>
      <c r="AV159">
        <v>2050192.621</v>
      </c>
      <c r="AW159">
        <v>2021406.09</v>
      </c>
    </row>
    <row r="160" spans="2:49" x14ac:dyDescent="0.25">
      <c r="B160" t="s">
        <v>231</v>
      </c>
      <c r="C160">
        <v>261855678.291933</v>
      </c>
      <c r="D160">
        <v>266059855.90652901</v>
      </c>
      <c r="E160">
        <v>239664587.59999999</v>
      </c>
      <c r="F160">
        <v>240806921.19999999</v>
      </c>
      <c r="G160">
        <v>225930951.40000001</v>
      </c>
      <c r="H160">
        <v>208878601</v>
      </c>
      <c r="I160">
        <v>207599694.69999999</v>
      </c>
      <c r="J160">
        <v>201218967.09999999</v>
      </c>
      <c r="K160">
        <v>191898318.09999999</v>
      </c>
      <c r="L160">
        <v>186667305</v>
      </c>
      <c r="M160">
        <v>185547970.80000001</v>
      </c>
      <c r="N160">
        <v>186396853.09999999</v>
      </c>
      <c r="O160">
        <v>178396725.09999999</v>
      </c>
      <c r="P160">
        <v>171656278</v>
      </c>
      <c r="Q160">
        <v>162895200.80000001</v>
      </c>
      <c r="R160">
        <v>157475504.19999999</v>
      </c>
      <c r="S160">
        <v>152240880.09999999</v>
      </c>
      <c r="T160">
        <v>151399069.09999999</v>
      </c>
      <c r="U160">
        <v>150845760.40000001</v>
      </c>
      <c r="V160">
        <v>151079926.80000001</v>
      </c>
      <c r="W160">
        <v>148281949.19999999</v>
      </c>
      <c r="X160">
        <v>145877236.09999999</v>
      </c>
      <c r="Y160">
        <v>139727996.40000001</v>
      </c>
      <c r="Z160">
        <v>133640734</v>
      </c>
      <c r="AA160">
        <v>128528719.40000001</v>
      </c>
      <c r="AB160">
        <v>123090018.7</v>
      </c>
      <c r="AC160">
        <v>117796644.2</v>
      </c>
      <c r="AD160">
        <v>111946001.7</v>
      </c>
      <c r="AE160">
        <v>106359247.59999999</v>
      </c>
      <c r="AF160">
        <v>101252026</v>
      </c>
      <c r="AG160">
        <v>96362017.870000005</v>
      </c>
      <c r="AH160">
        <v>91718028.969999999</v>
      </c>
      <c r="AI160">
        <v>86436153.349999994</v>
      </c>
      <c r="AJ160">
        <v>81306127.599999994</v>
      </c>
      <c r="AK160">
        <v>76431334.370000005</v>
      </c>
      <c r="AL160">
        <v>72032934.920000002</v>
      </c>
      <c r="AM160">
        <v>67671683.599999994</v>
      </c>
      <c r="AN160">
        <v>65711674.479999997</v>
      </c>
      <c r="AO160">
        <v>63699289.32</v>
      </c>
      <c r="AP160">
        <v>61668127.170000002</v>
      </c>
      <c r="AQ160">
        <v>59515171.920000002</v>
      </c>
      <c r="AR160">
        <v>57206775.479999997</v>
      </c>
      <c r="AS160">
        <v>55492580.210000001</v>
      </c>
      <c r="AT160">
        <v>54090882.780000001</v>
      </c>
      <c r="AU160">
        <v>53087782.299999997</v>
      </c>
      <c r="AV160">
        <v>52054199.899999999</v>
      </c>
      <c r="AW160">
        <v>51050299.079999998</v>
      </c>
    </row>
    <row r="161" spans="2:49" x14ac:dyDescent="0.25">
      <c r="B161" t="s">
        <v>232</v>
      </c>
      <c r="C161">
        <v>5733144.4507061103</v>
      </c>
      <c r="D161">
        <v>5825191.9393003099</v>
      </c>
      <c r="E161">
        <v>5064672.3430000003</v>
      </c>
      <c r="F161">
        <v>5068432.3830000004</v>
      </c>
      <c r="G161">
        <v>4905517.1550000003</v>
      </c>
      <c r="H161">
        <v>5023145.5219999999</v>
      </c>
      <c r="I161">
        <v>5060791.6540000001</v>
      </c>
      <c r="J161">
        <v>4956551.7570000002</v>
      </c>
      <c r="K161">
        <v>4805424.9170000004</v>
      </c>
      <c r="L161">
        <v>4788256.6579999998</v>
      </c>
      <c r="M161">
        <v>4864597.6890000002</v>
      </c>
      <c r="N161">
        <v>5084154.8130000001</v>
      </c>
      <c r="O161">
        <v>5105195.6030000001</v>
      </c>
      <c r="P161">
        <v>4899159.4879999999</v>
      </c>
      <c r="Q161">
        <v>4477764.3219999997</v>
      </c>
      <c r="R161">
        <v>4175655.8760000002</v>
      </c>
      <c r="S161">
        <v>3955394.5520000001</v>
      </c>
      <c r="T161">
        <v>3791393.6129999999</v>
      </c>
      <c r="U161">
        <v>3645463.1129999999</v>
      </c>
      <c r="V161">
        <v>3500695.3849999998</v>
      </c>
      <c r="W161">
        <v>3411729.034</v>
      </c>
      <c r="X161">
        <v>3506808.1039999998</v>
      </c>
      <c r="Y161">
        <v>3315883.1189999999</v>
      </c>
      <c r="Z161">
        <v>3029095.4440000001</v>
      </c>
      <c r="AA161">
        <v>2774594.6430000002</v>
      </c>
      <c r="AB161">
        <v>2528502.7680000002</v>
      </c>
      <c r="AC161">
        <v>2268917.5499999998</v>
      </c>
      <c r="AD161">
        <v>2071745.199</v>
      </c>
      <c r="AE161">
        <v>1873145.051</v>
      </c>
      <c r="AF161">
        <v>1698328.3060000001</v>
      </c>
      <c r="AG161">
        <v>1527552.253</v>
      </c>
      <c r="AH161">
        <v>1361425.325</v>
      </c>
      <c r="AI161">
        <v>1144945.477</v>
      </c>
      <c r="AJ161">
        <v>935496.66619999998</v>
      </c>
      <c r="AK161">
        <v>734509.80260000005</v>
      </c>
      <c r="AL161">
        <v>556624.1827</v>
      </c>
      <c r="AM161">
        <v>383229.73550000001</v>
      </c>
      <c r="AN161">
        <v>368252.02429999999</v>
      </c>
      <c r="AO161">
        <v>354234.05570000003</v>
      </c>
      <c r="AP161">
        <v>339717.97110000002</v>
      </c>
      <c r="AQ161">
        <v>325227.63309999998</v>
      </c>
      <c r="AR161">
        <v>310405.54220000003</v>
      </c>
      <c r="AS161">
        <v>230051.8376</v>
      </c>
      <c r="AT161">
        <v>180324.4431</v>
      </c>
      <c r="AU161">
        <v>177778.3701</v>
      </c>
      <c r="AV161">
        <v>175147.91579999999</v>
      </c>
      <c r="AW161">
        <v>172410.45619999999</v>
      </c>
    </row>
    <row r="162" spans="2:49" x14ac:dyDescent="0.25">
      <c r="B162" t="s">
        <v>233</v>
      </c>
      <c r="C162">
        <v>746221.21464997705</v>
      </c>
      <c r="D162">
        <v>758202.03762327298</v>
      </c>
      <c r="E162">
        <v>770375.21660000004</v>
      </c>
      <c r="F162">
        <v>786060.63820000004</v>
      </c>
      <c r="G162">
        <v>645152.17079999996</v>
      </c>
      <c r="H162">
        <v>572918.47490000003</v>
      </c>
      <c r="I162">
        <v>402503.91340000002</v>
      </c>
      <c r="J162">
        <v>409671.6201</v>
      </c>
      <c r="K162">
        <v>379132.32250000001</v>
      </c>
      <c r="L162">
        <v>377206.30609999999</v>
      </c>
      <c r="M162">
        <v>381948.62479999999</v>
      </c>
      <c r="N162">
        <v>370136.8101</v>
      </c>
      <c r="O162">
        <v>310321.9278</v>
      </c>
      <c r="P162">
        <v>262913.01569999999</v>
      </c>
      <c r="Q162">
        <v>228920.70430000001</v>
      </c>
      <c r="R162">
        <v>203330.20360000001</v>
      </c>
      <c r="S162">
        <v>174928.9748</v>
      </c>
      <c r="T162">
        <v>165695.99220000001</v>
      </c>
      <c r="U162">
        <v>155386.63010000001</v>
      </c>
      <c r="V162">
        <v>147545.3094</v>
      </c>
      <c r="W162">
        <v>136788.32060000001</v>
      </c>
      <c r="X162">
        <v>122909.34450000001</v>
      </c>
      <c r="Y162">
        <v>119013.9857</v>
      </c>
      <c r="Z162">
        <v>116795.288</v>
      </c>
      <c r="AA162">
        <v>114976.7807</v>
      </c>
      <c r="AB162">
        <v>113252.5043</v>
      </c>
      <c r="AC162">
        <v>112086.52280000001</v>
      </c>
      <c r="AD162">
        <v>107209.9232</v>
      </c>
      <c r="AE162">
        <v>102149.16620000001</v>
      </c>
      <c r="AF162">
        <v>97583.645569999906</v>
      </c>
      <c r="AG162">
        <v>93467.326610000004</v>
      </c>
      <c r="AH162">
        <v>90092.054340000002</v>
      </c>
      <c r="AI162">
        <v>85332.067349999998</v>
      </c>
      <c r="AJ162">
        <v>80621.436889999997</v>
      </c>
      <c r="AK162">
        <v>76380.881869999997</v>
      </c>
      <c r="AL162">
        <v>72585.120139999999</v>
      </c>
      <c r="AM162">
        <v>69315.829419999995</v>
      </c>
      <c r="AN162">
        <v>66650.871100000004</v>
      </c>
      <c r="AO162">
        <v>64402.244330000001</v>
      </c>
      <c r="AP162">
        <v>62379.042930000003</v>
      </c>
      <c r="AQ162">
        <v>60696.714659999998</v>
      </c>
      <c r="AR162">
        <v>59178.317569999999</v>
      </c>
      <c r="AS162">
        <v>57981.336580000003</v>
      </c>
      <c r="AT162">
        <v>56996.970309999997</v>
      </c>
      <c r="AU162">
        <v>56107.897969999998</v>
      </c>
      <c r="AV162">
        <v>55349.998149999999</v>
      </c>
      <c r="AW162">
        <v>54831.373670000001</v>
      </c>
    </row>
    <row r="163" spans="2:49" x14ac:dyDescent="0.25">
      <c r="B163" t="s">
        <v>234</v>
      </c>
      <c r="C163">
        <v>480333.66960581898</v>
      </c>
      <c r="D163">
        <v>488045.58203966799</v>
      </c>
      <c r="E163">
        <v>495881.31170000002</v>
      </c>
      <c r="F163">
        <v>501263.8052</v>
      </c>
      <c r="G163">
        <v>416901.7672</v>
      </c>
      <c r="H163">
        <v>385318.39199999999</v>
      </c>
      <c r="I163">
        <v>361168.04719999997</v>
      </c>
      <c r="J163">
        <v>324287.32510000002</v>
      </c>
      <c r="K163">
        <v>313019.65169999999</v>
      </c>
      <c r="L163">
        <v>337429.67959999997</v>
      </c>
      <c r="M163">
        <v>339079.77710000001</v>
      </c>
      <c r="N163">
        <v>339791.06089999998</v>
      </c>
      <c r="O163">
        <v>252505.13039999999</v>
      </c>
      <c r="P163">
        <v>192576.70490000001</v>
      </c>
      <c r="Q163">
        <v>162116.5912</v>
      </c>
      <c r="R163">
        <v>142694.32670000001</v>
      </c>
      <c r="S163">
        <v>125862.7953</v>
      </c>
      <c r="T163">
        <v>123074.1749</v>
      </c>
      <c r="U163">
        <v>121511.26790000001</v>
      </c>
      <c r="V163">
        <v>120560.31939999999</v>
      </c>
      <c r="W163">
        <v>121734.128</v>
      </c>
      <c r="X163">
        <v>117668.0024</v>
      </c>
      <c r="Y163">
        <v>116933.2836</v>
      </c>
      <c r="Z163">
        <v>116527.06849999999</v>
      </c>
      <c r="AA163">
        <v>116081.4044</v>
      </c>
      <c r="AB163">
        <v>115752.3296</v>
      </c>
      <c r="AC163">
        <v>115623.47960000001</v>
      </c>
      <c r="AD163">
        <v>111983.3817</v>
      </c>
      <c r="AE163">
        <v>108014.62760000001</v>
      </c>
      <c r="AF163">
        <v>104345.7234</v>
      </c>
      <c r="AG163">
        <v>101046.6964</v>
      </c>
      <c r="AH163">
        <v>98199.333700000003</v>
      </c>
      <c r="AI163">
        <v>94597.825299999997</v>
      </c>
      <c r="AJ163">
        <v>90981.905140000003</v>
      </c>
      <c r="AK163">
        <v>87527.914099999995</v>
      </c>
      <c r="AL163">
        <v>84388.921910000005</v>
      </c>
      <c r="AM163">
        <v>81585.502099999998</v>
      </c>
      <c r="AN163">
        <v>79048.591459999996</v>
      </c>
      <c r="AO163">
        <v>76816.871769999998</v>
      </c>
      <c r="AP163">
        <v>74817.140230000005</v>
      </c>
      <c r="AQ163">
        <v>73015.278569999995</v>
      </c>
      <c r="AR163">
        <v>71369.567869999999</v>
      </c>
      <c r="AS163">
        <v>70071.443520000001</v>
      </c>
      <c r="AT163">
        <v>69027.703750000001</v>
      </c>
      <c r="AU163">
        <v>68132.251369999998</v>
      </c>
      <c r="AV163">
        <v>67368.900139999998</v>
      </c>
      <c r="AW163">
        <v>66761.518800000005</v>
      </c>
    </row>
    <row r="164" spans="2:49" x14ac:dyDescent="0.25">
      <c r="B164" t="s">
        <v>235</v>
      </c>
      <c r="C164">
        <v>1469582.3108926199</v>
      </c>
      <c r="D164">
        <v>1493176.93024387</v>
      </c>
      <c r="E164">
        <v>1517150.3689999999</v>
      </c>
      <c r="F164">
        <v>1535019.9240000001</v>
      </c>
      <c r="G164">
        <v>1321628.727</v>
      </c>
      <c r="H164">
        <v>1268548.5149999999</v>
      </c>
      <c r="I164">
        <v>1036821.546</v>
      </c>
      <c r="J164">
        <v>961450.47510000004</v>
      </c>
      <c r="K164">
        <v>960554.94700000004</v>
      </c>
      <c r="L164">
        <v>1029388.474</v>
      </c>
      <c r="M164">
        <v>1034215.405</v>
      </c>
      <c r="N164">
        <v>1040760.486</v>
      </c>
      <c r="O164">
        <v>788025.10719999997</v>
      </c>
      <c r="P164">
        <v>608762.65989999997</v>
      </c>
      <c r="Q164">
        <v>512984.1151</v>
      </c>
      <c r="R164">
        <v>460849.45740000001</v>
      </c>
      <c r="S164">
        <v>399695.15029999998</v>
      </c>
      <c r="T164">
        <v>383587.38099999999</v>
      </c>
      <c r="U164">
        <v>371378.32520000002</v>
      </c>
      <c r="V164">
        <v>360637.92940000002</v>
      </c>
      <c r="W164">
        <v>348684.61359999998</v>
      </c>
      <c r="X164">
        <v>324109.75780000002</v>
      </c>
      <c r="Y164">
        <v>313043.36070000002</v>
      </c>
      <c r="Z164">
        <v>304679.17619999999</v>
      </c>
      <c r="AA164">
        <v>296566.20880000002</v>
      </c>
      <c r="AB164">
        <v>289100.19689999998</v>
      </c>
      <c r="AC164">
        <v>282118.16749999998</v>
      </c>
      <c r="AD164">
        <v>273109.04989999998</v>
      </c>
      <c r="AE164">
        <v>262977.42910000001</v>
      </c>
      <c r="AF164">
        <v>253606.52439999999</v>
      </c>
      <c r="AG164">
        <v>244758.71419999999</v>
      </c>
      <c r="AH164">
        <v>236889.2879</v>
      </c>
      <c r="AI164">
        <v>226590.24540000001</v>
      </c>
      <c r="AJ164">
        <v>216164.52720000001</v>
      </c>
      <c r="AK164">
        <v>206274.87849999999</v>
      </c>
      <c r="AL164">
        <v>197361.1004</v>
      </c>
      <c r="AM164">
        <v>189379.5367</v>
      </c>
      <c r="AN164">
        <v>182323.05300000001</v>
      </c>
      <c r="AO164">
        <v>176118.35699999999</v>
      </c>
      <c r="AP164">
        <v>170626.579</v>
      </c>
      <c r="AQ164">
        <v>165736.99559999999</v>
      </c>
      <c r="AR164">
        <v>161287.6355</v>
      </c>
      <c r="AS164">
        <v>157765.49170000001</v>
      </c>
      <c r="AT164">
        <v>154944.8248</v>
      </c>
      <c r="AU164">
        <v>152535.10740000001</v>
      </c>
      <c r="AV164">
        <v>150435.65700000001</v>
      </c>
      <c r="AW164">
        <v>148745.5527</v>
      </c>
    </row>
    <row r="165" spans="2:49" x14ac:dyDescent="0.25">
      <c r="B165" t="s">
        <v>236</v>
      </c>
      <c r="C165">
        <v>225722.47732836599</v>
      </c>
      <c r="D165">
        <v>229346.52471387701</v>
      </c>
      <c r="E165">
        <v>233028.7574</v>
      </c>
      <c r="F165">
        <v>236352.48310000001</v>
      </c>
      <c r="G165">
        <v>213683.23989999999</v>
      </c>
      <c r="H165">
        <v>203612.3333</v>
      </c>
      <c r="I165">
        <v>192547.3322</v>
      </c>
      <c r="J165">
        <v>186522.70129999999</v>
      </c>
      <c r="K165">
        <v>188863.66279999999</v>
      </c>
      <c r="L165">
        <v>202198.0417</v>
      </c>
      <c r="M165">
        <v>206178.64129999999</v>
      </c>
      <c r="N165">
        <v>210796.29680000001</v>
      </c>
      <c r="O165">
        <v>175805.4669</v>
      </c>
      <c r="P165">
        <v>152340.7758</v>
      </c>
      <c r="Q165">
        <v>139678.02540000001</v>
      </c>
      <c r="R165">
        <v>135732.02799999999</v>
      </c>
      <c r="S165">
        <v>127910.2978</v>
      </c>
      <c r="T165">
        <v>124814.1352</v>
      </c>
      <c r="U165">
        <v>123330.5539</v>
      </c>
      <c r="V165">
        <v>121927.2473</v>
      </c>
      <c r="W165">
        <v>118161.6292</v>
      </c>
      <c r="X165">
        <v>112724.68489999999</v>
      </c>
      <c r="Y165">
        <v>110869.2147</v>
      </c>
      <c r="Z165">
        <v>109691.4572</v>
      </c>
      <c r="AA165">
        <v>108430.8723</v>
      </c>
      <c r="AB165">
        <v>107396.4169</v>
      </c>
      <c r="AC165">
        <v>106455.6912</v>
      </c>
      <c r="AD165">
        <v>102705.2481</v>
      </c>
      <c r="AE165">
        <v>98671.184139999998</v>
      </c>
      <c r="AF165">
        <v>94979.960229999997</v>
      </c>
      <c r="AG165">
        <v>91511.363159999906</v>
      </c>
      <c r="AH165">
        <v>88393.423620000001</v>
      </c>
      <c r="AI165">
        <v>84745.504969999995</v>
      </c>
      <c r="AJ165">
        <v>81174.509149999998</v>
      </c>
      <c r="AK165">
        <v>77781.45594</v>
      </c>
      <c r="AL165">
        <v>74694.126059999995</v>
      </c>
      <c r="AM165">
        <v>71892.136119999996</v>
      </c>
      <c r="AN165">
        <v>69354.531959999906</v>
      </c>
      <c r="AO165">
        <v>67039.967170000004</v>
      </c>
      <c r="AP165">
        <v>64910.519569999997</v>
      </c>
      <c r="AQ165">
        <v>62969.915690000002</v>
      </c>
      <c r="AR165">
        <v>61179.030480000001</v>
      </c>
      <c r="AS165">
        <v>59678.53297</v>
      </c>
      <c r="AT165">
        <v>58432.483659999998</v>
      </c>
      <c r="AU165">
        <v>57351.722419999998</v>
      </c>
      <c r="AV165">
        <v>56408.895239999998</v>
      </c>
      <c r="AW165">
        <v>55585.494619999998</v>
      </c>
    </row>
    <row r="166" spans="2:49" x14ac:dyDescent="0.25">
      <c r="B166" t="s">
        <v>237</v>
      </c>
      <c r="C166">
        <v>20679763.666016001</v>
      </c>
      <c r="D166">
        <v>21011783.9607329</v>
      </c>
      <c r="E166">
        <v>21366946.07</v>
      </c>
      <c r="F166">
        <v>21487968.23</v>
      </c>
      <c r="G166">
        <v>18146676.890000001</v>
      </c>
      <c r="H166">
        <v>15167521.6</v>
      </c>
      <c r="I166">
        <v>15850942.99</v>
      </c>
      <c r="J166">
        <v>15470008.07</v>
      </c>
      <c r="K166">
        <v>14716549.949999999</v>
      </c>
      <c r="L166">
        <v>15461821.66</v>
      </c>
      <c r="M166">
        <v>15858326.26</v>
      </c>
      <c r="N166">
        <v>16203600.960000001</v>
      </c>
      <c r="O166">
        <v>13416142.789999999</v>
      </c>
      <c r="P166">
        <v>12003540.27</v>
      </c>
      <c r="Q166">
        <v>10883578.359999999</v>
      </c>
      <c r="R166">
        <v>9976995.6940000001</v>
      </c>
      <c r="S166">
        <v>9229218.6370000001</v>
      </c>
      <c r="T166">
        <v>9134551.5179999899</v>
      </c>
      <c r="U166">
        <v>9147192.3880000003</v>
      </c>
      <c r="V166">
        <v>9256626.9110000003</v>
      </c>
      <c r="W166">
        <v>8888522.9590000007</v>
      </c>
      <c r="X166">
        <v>8396132.9370000008</v>
      </c>
      <c r="Y166">
        <v>8093324.6090000002</v>
      </c>
      <c r="Z166">
        <v>7859531.2149999999</v>
      </c>
      <c r="AA166">
        <v>7652948.2259999998</v>
      </c>
      <c r="AB166">
        <v>7469523.7709999997</v>
      </c>
      <c r="AC166">
        <v>7311564.6639999999</v>
      </c>
      <c r="AD166">
        <v>7085983.0099999998</v>
      </c>
      <c r="AE166">
        <v>6873708.4840000002</v>
      </c>
      <c r="AF166">
        <v>6691603.0580000002</v>
      </c>
      <c r="AG166">
        <v>6540043.1749999998</v>
      </c>
      <c r="AH166">
        <v>6423183.682</v>
      </c>
      <c r="AI166">
        <v>6289336.0669999998</v>
      </c>
      <c r="AJ166">
        <v>6164424.2010000004</v>
      </c>
      <c r="AK166">
        <v>6052723.7800000003</v>
      </c>
      <c r="AL166">
        <v>5956097.9440000001</v>
      </c>
      <c r="AM166">
        <v>5874652.2300000004</v>
      </c>
      <c r="AN166">
        <v>5802491.2549999999</v>
      </c>
      <c r="AO166">
        <v>5747062.8320000004</v>
      </c>
      <c r="AP166">
        <v>5700249.2300000004</v>
      </c>
      <c r="AQ166">
        <v>5661644.9129999997</v>
      </c>
      <c r="AR166">
        <v>5629682.0999999996</v>
      </c>
      <c r="AS166">
        <v>5610954.608</v>
      </c>
      <c r="AT166">
        <v>5600483.8530000001</v>
      </c>
      <c r="AU166">
        <v>5593586.182</v>
      </c>
      <c r="AV166">
        <v>5590450.8849999998</v>
      </c>
      <c r="AW166">
        <v>5593686.9939999999</v>
      </c>
    </row>
    <row r="167" spans="2:49" x14ac:dyDescent="0.25">
      <c r="B167" t="s">
        <v>238</v>
      </c>
      <c r="C167">
        <v>2009388.6600685499</v>
      </c>
      <c r="D167">
        <v>2041650.04496113</v>
      </c>
      <c r="E167">
        <v>2074429.3970000001</v>
      </c>
      <c r="F167">
        <v>2145815.27</v>
      </c>
      <c r="G167">
        <v>1714145.0449999999</v>
      </c>
      <c r="H167">
        <v>1629941.3829999999</v>
      </c>
      <c r="I167">
        <v>1632549.8940000001</v>
      </c>
      <c r="J167">
        <v>1504039.645</v>
      </c>
      <c r="K167">
        <v>1536970.6140000001</v>
      </c>
      <c r="L167">
        <v>1760659.7749999999</v>
      </c>
      <c r="M167">
        <v>1834828.612</v>
      </c>
      <c r="N167">
        <v>1844393.56</v>
      </c>
      <c r="O167">
        <v>1202970.358</v>
      </c>
      <c r="P167">
        <v>837984.33719999995</v>
      </c>
      <c r="Q167">
        <v>676371.09039999999</v>
      </c>
      <c r="R167">
        <v>611874.85389999999</v>
      </c>
      <c r="S167">
        <v>530242.73699999996</v>
      </c>
      <c r="T167">
        <v>528248.50100000005</v>
      </c>
      <c r="U167">
        <v>532522.72829999996</v>
      </c>
      <c r="V167">
        <v>543334.80689999997</v>
      </c>
      <c r="W167">
        <v>565709.30000000005</v>
      </c>
      <c r="X167">
        <v>570773.00809999998</v>
      </c>
      <c r="Y167">
        <v>577916.58019999997</v>
      </c>
      <c r="Z167">
        <v>581883.95909999998</v>
      </c>
      <c r="AA167">
        <v>585396.33990000002</v>
      </c>
      <c r="AB167">
        <v>587701.59669999999</v>
      </c>
      <c r="AC167">
        <v>590132.79339999997</v>
      </c>
      <c r="AD167">
        <v>579147.76329999999</v>
      </c>
      <c r="AE167">
        <v>566664.01280000003</v>
      </c>
      <c r="AF167">
        <v>554178.81019999995</v>
      </c>
      <c r="AG167">
        <v>542571.402</v>
      </c>
      <c r="AH167">
        <v>532947.90130000003</v>
      </c>
      <c r="AI167">
        <v>522120.03850000002</v>
      </c>
      <c r="AJ167">
        <v>511502.66039999999</v>
      </c>
      <c r="AK167">
        <v>501209.72859999997</v>
      </c>
      <c r="AL167">
        <v>491576.03320000001</v>
      </c>
      <c r="AM167">
        <v>483131.8566</v>
      </c>
      <c r="AN167">
        <v>474137.1018</v>
      </c>
      <c r="AO167">
        <v>466253.86589999998</v>
      </c>
      <c r="AP167">
        <v>458702.02419999999</v>
      </c>
      <c r="AQ167">
        <v>451450.89309999999</v>
      </c>
      <c r="AR167">
        <v>444579.1</v>
      </c>
      <c r="AS167">
        <v>438760.28240000003</v>
      </c>
      <c r="AT167">
        <v>433962.70779999997</v>
      </c>
      <c r="AU167">
        <v>429456.17180000001</v>
      </c>
      <c r="AV167">
        <v>425461.69890000002</v>
      </c>
      <c r="AW167">
        <v>422305.44579999999</v>
      </c>
    </row>
    <row r="168" spans="2:49" x14ac:dyDescent="0.25">
      <c r="B168" t="s">
        <v>239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</row>
    <row r="169" spans="2:49" x14ac:dyDescent="0.25">
      <c r="B169" t="s">
        <v>240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</row>
    <row r="170" spans="2:49" x14ac:dyDescent="0.25">
      <c r="B170" t="s">
        <v>241</v>
      </c>
      <c r="C170">
        <v>20174774.421468802</v>
      </c>
      <c r="D170">
        <v>20498686.950521201</v>
      </c>
      <c r="E170">
        <v>20827800</v>
      </c>
      <c r="F170">
        <v>19626753.850000001</v>
      </c>
      <c r="G170">
        <v>18314435.039999999</v>
      </c>
      <c r="H170">
        <v>15978312.67</v>
      </c>
      <c r="I170">
        <v>14865643.439999999</v>
      </c>
      <c r="J170">
        <v>13982229.18</v>
      </c>
      <c r="K170">
        <v>13018398.59</v>
      </c>
      <c r="L170">
        <v>11933480.15</v>
      </c>
      <c r="M170">
        <v>10890368.02</v>
      </c>
      <c r="N170">
        <v>9799355.352</v>
      </c>
      <c r="O170">
        <v>8289089.5029999996</v>
      </c>
      <c r="P170">
        <v>6999374.3399999999</v>
      </c>
      <c r="Q170">
        <v>6547722.0719999997</v>
      </c>
      <c r="R170">
        <v>6442135.5499999998</v>
      </c>
      <c r="S170">
        <v>6335772.9390000002</v>
      </c>
      <c r="T170">
        <v>6304623.6140000001</v>
      </c>
      <c r="U170">
        <v>6294980.4179999996</v>
      </c>
      <c r="V170">
        <v>6299151.0700000003</v>
      </c>
      <c r="W170">
        <v>6679519.0539999995</v>
      </c>
      <c r="X170">
        <v>7025728.6500000004</v>
      </c>
      <c r="Y170">
        <v>7095659.9879999999</v>
      </c>
      <c r="Z170">
        <v>7141136.1679999996</v>
      </c>
      <c r="AA170">
        <v>7176063.7960000001</v>
      </c>
      <c r="AB170">
        <v>7155133.5</v>
      </c>
      <c r="AC170">
        <v>7134218.8439999996</v>
      </c>
      <c r="AD170">
        <v>7356804.9100000001</v>
      </c>
      <c r="AE170">
        <v>7610913.9160000002</v>
      </c>
      <c r="AF170">
        <v>7864151.5779999997</v>
      </c>
      <c r="AG170">
        <v>8089651.8660000004</v>
      </c>
      <c r="AH170">
        <v>8303022.4220000003</v>
      </c>
      <c r="AI170">
        <v>8503913.7719999999</v>
      </c>
      <c r="AJ170">
        <v>8690696.5920000002</v>
      </c>
      <c r="AK170">
        <v>8852762.0240000002</v>
      </c>
      <c r="AL170">
        <v>9003754.7589999996</v>
      </c>
      <c r="AM170">
        <v>9146630</v>
      </c>
      <c r="AN170">
        <v>9192333.4680000003</v>
      </c>
      <c r="AO170">
        <v>9211708.5999999996</v>
      </c>
      <c r="AP170">
        <v>9225337.4169999994</v>
      </c>
      <c r="AQ170">
        <v>9233374.1449999996</v>
      </c>
      <c r="AR170">
        <v>9237729.4370000008</v>
      </c>
      <c r="AS170">
        <v>9253099.1809999999</v>
      </c>
      <c r="AT170">
        <v>9269211.7589999996</v>
      </c>
      <c r="AU170">
        <v>9284676.1280000005</v>
      </c>
      <c r="AV170">
        <v>9294034.49599999</v>
      </c>
      <c r="AW170">
        <v>9303093.1129999999</v>
      </c>
    </row>
    <row r="171" spans="2:49" x14ac:dyDescent="0.25">
      <c r="B171" t="s">
        <v>242</v>
      </c>
      <c r="C171">
        <v>16278956.881142</v>
      </c>
      <c r="D171">
        <v>16540320.799446501</v>
      </c>
      <c r="E171">
        <v>16805881</v>
      </c>
      <c r="F171">
        <v>16816498.829999998</v>
      </c>
      <c r="G171">
        <v>15834231.33</v>
      </c>
      <c r="H171">
        <v>15173663.18</v>
      </c>
      <c r="I171">
        <v>14787431.67</v>
      </c>
      <c r="J171">
        <v>12913587.539999999</v>
      </c>
      <c r="K171">
        <v>11217944.130000001</v>
      </c>
      <c r="L171">
        <v>9841383.0920000002</v>
      </c>
      <c r="M171">
        <v>8812959.2019999996</v>
      </c>
      <c r="N171">
        <v>7972583.0520000001</v>
      </c>
      <c r="O171">
        <v>7253730.6399999997</v>
      </c>
      <c r="P171">
        <v>6496376.1050000004</v>
      </c>
      <c r="Q171">
        <v>5695082.5880000005</v>
      </c>
      <c r="R171">
        <v>5022069.8959999997</v>
      </c>
      <c r="S171">
        <v>4387150.352</v>
      </c>
      <c r="T171">
        <v>5183617.1780000003</v>
      </c>
      <c r="U171">
        <v>5964298.4380000001</v>
      </c>
      <c r="V171">
        <v>6754897.2029999997</v>
      </c>
      <c r="W171">
        <v>7691351.5760000004</v>
      </c>
      <c r="X171">
        <v>8467948.2829999998</v>
      </c>
      <c r="Y171">
        <v>8298613.7149999999</v>
      </c>
      <c r="Z171">
        <v>8105935.0599999996</v>
      </c>
      <c r="AA171">
        <v>7919538.4419999998</v>
      </c>
      <c r="AB171">
        <v>7731364.8569999998</v>
      </c>
      <c r="AC171">
        <v>7527368.7070000004</v>
      </c>
      <c r="AD171">
        <v>7288536.8260000004</v>
      </c>
      <c r="AE171">
        <v>7033586.7860000003</v>
      </c>
      <c r="AF171">
        <v>6771706.2570000002</v>
      </c>
      <c r="AG171">
        <v>6543633.7139999997</v>
      </c>
      <c r="AH171">
        <v>6309724.2850000001</v>
      </c>
      <c r="AI171">
        <v>6077728.9639999997</v>
      </c>
      <c r="AJ171">
        <v>5835678.8289999999</v>
      </c>
      <c r="AK171">
        <v>5582401.3650000002</v>
      </c>
      <c r="AL171">
        <v>5393164.4330000002</v>
      </c>
      <c r="AM171">
        <v>5184394.0990000004</v>
      </c>
      <c r="AN171">
        <v>5005296.1160000004</v>
      </c>
      <c r="AO171">
        <v>4815599.3360000001</v>
      </c>
      <c r="AP171">
        <v>4619956.1940000001</v>
      </c>
      <c r="AQ171">
        <v>4412036.4989999998</v>
      </c>
      <c r="AR171">
        <v>4180283.8339999998</v>
      </c>
      <c r="AS171">
        <v>3706435.9950000001</v>
      </c>
      <c r="AT171">
        <v>3263381.7119999998</v>
      </c>
      <c r="AU171">
        <v>2845356.9750000001</v>
      </c>
      <c r="AV171">
        <v>2449018.1140000001</v>
      </c>
      <c r="AW171">
        <v>2076742.0249999999</v>
      </c>
    </row>
    <row r="172" spans="2:49" x14ac:dyDescent="0.25">
      <c r="B172" t="s">
        <v>243</v>
      </c>
      <c r="C172">
        <v>6501803.9853722304</v>
      </c>
      <c r="D172">
        <v>6606192.55142547</v>
      </c>
      <c r="E172">
        <v>5596698.8099999996</v>
      </c>
      <c r="F172">
        <v>5790081.8490000004</v>
      </c>
      <c r="G172">
        <v>5486016.0690000001</v>
      </c>
      <c r="H172">
        <v>5806041.2280000001</v>
      </c>
      <c r="I172">
        <v>6015352.5190000003</v>
      </c>
      <c r="J172">
        <v>5635887.4220000003</v>
      </c>
      <c r="K172">
        <v>5378447.0480000004</v>
      </c>
      <c r="L172">
        <v>5237694.0810000002</v>
      </c>
      <c r="M172">
        <v>5618038.0870000003</v>
      </c>
      <c r="N172">
        <v>6013858.6109999996</v>
      </c>
      <c r="O172">
        <v>6259768.4699999997</v>
      </c>
      <c r="P172">
        <v>6284928.6320000002</v>
      </c>
      <c r="Q172">
        <v>5807372.3559999997</v>
      </c>
      <c r="R172">
        <v>5747329.602</v>
      </c>
      <c r="S172">
        <v>5784112.375</v>
      </c>
      <c r="T172">
        <v>5913672.1859999998</v>
      </c>
      <c r="U172">
        <v>6041191.6260000002</v>
      </c>
      <c r="V172">
        <v>6209934.9050000003</v>
      </c>
      <c r="W172">
        <v>6361950.8729999997</v>
      </c>
      <c r="X172">
        <v>6435781.8669999996</v>
      </c>
      <c r="Y172">
        <v>6463795.2510000002</v>
      </c>
      <c r="Z172">
        <v>6458265.0779999997</v>
      </c>
      <c r="AA172">
        <v>6507228.5700000003</v>
      </c>
      <c r="AB172">
        <v>6537013.801</v>
      </c>
      <c r="AC172">
        <v>6523406.5710000005</v>
      </c>
      <c r="AD172">
        <v>6452561.6699999999</v>
      </c>
      <c r="AE172">
        <v>6384186.2079999996</v>
      </c>
      <c r="AF172">
        <v>6302863.9040000001</v>
      </c>
      <c r="AG172">
        <v>6207502.2640000004</v>
      </c>
      <c r="AH172">
        <v>6101137.3159999996</v>
      </c>
      <c r="AI172">
        <v>6028641.9280000003</v>
      </c>
      <c r="AJ172">
        <v>5938465.8959999997</v>
      </c>
      <c r="AK172">
        <v>5837315.6610000003</v>
      </c>
      <c r="AL172">
        <v>5732221.1229999997</v>
      </c>
      <c r="AM172">
        <v>5599165.6069999998</v>
      </c>
      <c r="AN172">
        <v>5572494.4790000003</v>
      </c>
      <c r="AO172">
        <v>5535181.9790000003</v>
      </c>
      <c r="AP172">
        <v>5485915.2220000001</v>
      </c>
      <c r="AQ172">
        <v>5399565.7050000001</v>
      </c>
      <c r="AR172">
        <v>5285287.63</v>
      </c>
      <c r="AS172">
        <v>5301886.5460000001</v>
      </c>
      <c r="AT172">
        <v>5317010.3260000004</v>
      </c>
      <c r="AU172">
        <v>5328694.8990000002</v>
      </c>
      <c r="AV172">
        <v>5331945.9409999996</v>
      </c>
      <c r="AW172">
        <v>5330879.409</v>
      </c>
    </row>
    <row r="173" spans="2:49" x14ac:dyDescent="0.25">
      <c r="B173" t="s">
        <v>244</v>
      </c>
      <c r="C173">
        <v>6377150.6112568304</v>
      </c>
      <c r="D173">
        <v>6479537.8270683698</v>
      </c>
      <c r="E173">
        <v>5489398.2220000001</v>
      </c>
      <c r="F173">
        <v>5625669.2010000004</v>
      </c>
      <c r="G173">
        <v>5294847.1040000003</v>
      </c>
      <c r="H173">
        <v>5546579.3119999999</v>
      </c>
      <c r="I173">
        <v>5406039.6730000004</v>
      </c>
      <c r="J173">
        <v>5179233.0310000004</v>
      </c>
      <c r="K173">
        <v>4836315.2910000002</v>
      </c>
      <c r="L173">
        <v>4764953.3969999999</v>
      </c>
      <c r="M173">
        <v>4885844.3600000003</v>
      </c>
      <c r="N173">
        <v>5091210.0990000004</v>
      </c>
      <c r="O173">
        <v>4568616.6619999995</v>
      </c>
      <c r="P173">
        <v>3965655.5660000001</v>
      </c>
      <c r="Q173">
        <v>3369068.5019999999</v>
      </c>
      <c r="R173">
        <v>2993163.78</v>
      </c>
      <c r="S173">
        <v>2752504.0150000001</v>
      </c>
      <c r="T173">
        <v>2739807.9750000001</v>
      </c>
      <c r="U173">
        <v>2775659.9739999999</v>
      </c>
      <c r="V173">
        <v>2830742.5290000001</v>
      </c>
      <c r="W173">
        <v>2817483.5109999999</v>
      </c>
      <c r="X173">
        <v>2691984.5</v>
      </c>
      <c r="Y173">
        <v>2587147.4109999998</v>
      </c>
      <c r="Z173">
        <v>2472604.5890000002</v>
      </c>
      <c r="AA173">
        <v>2389171.949</v>
      </c>
      <c r="AB173">
        <v>2312452.36</v>
      </c>
      <c r="AC173">
        <v>2231046.1490000002</v>
      </c>
      <c r="AD173">
        <v>2064820.7520000001</v>
      </c>
      <c r="AE173">
        <v>1907345.6610000001</v>
      </c>
      <c r="AF173">
        <v>1765871.2180000001</v>
      </c>
      <c r="AG173">
        <v>1640405.5730000001</v>
      </c>
      <c r="AH173">
        <v>1528639.007</v>
      </c>
      <c r="AI173">
        <v>1427839.4080000001</v>
      </c>
      <c r="AJ173">
        <v>1334052.0519999999</v>
      </c>
      <c r="AK173">
        <v>1245795.6499999999</v>
      </c>
      <c r="AL173">
        <v>1164415.8600000001</v>
      </c>
      <c r="AM173">
        <v>1087975.523</v>
      </c>
      <c r="AN173">
        <v>1035022.956</v>
      </c>
      <c r="AO173">
        <v>984351.98309999995</v>
      </c>
      <c r="AP173">
        <v>935484.24919999996</v>
      </c>
      <c r="AQ173">
        <v>886795.70510000002</v>
      </c>
      <c r="AR173">
        <v>836681.86950000003</v>
      </c>
      <c r="AS173">
        <v>811252.48540000001</v>
      </c>
      <c r="AT173">
        <v>788572.27430000005</v>
      </c>
      <c r="AU173">
        <v>766908.26399999997</v>
      </c>
      <c r="AV173">
        <v>746132.78110000002</v>
      </c>
      <c r="AW173">
        <v>726655.10320000001</v>
      </c>
    </row>
    <row r="174" spans="2:49" x14ac:dyDescent="0.25">
      <c r="B174" t="s">
        <v>245</v>
      </c>
      <c r="C174">
        <v>415184.68418409303</v>
      </c>
      <c r="D174">
        <v>421850.60858395998</v>
      </c>
      <c r="E174">
        <v>357387.52399999998</v>
      </c>
      <c r="F174">
        <v>387897.55690000003</v>
      </c>
      <c r="G174">
        <v>361875.07079999999</v>
      </c>
      <c r="H174">
        <v>332322.56699999998</v>
      </c>
      <c r="I174">
        <v>361839.22369999997</v>
      </c>
      <c r="J174">
        <v>345562.60759999999</v>
      </c>
      <c r="K174">
        <v>326426.00089999998</v>
      </c>
      <c r="L174">
        <v>329805.3248</v>
      </c>
      <c r="M174">
        <v>354049.47480000003</v>
      </c>
      <c r="N174">
        <v>407261.96600000001</v>
      </c>
      <c r="O174">
        <v>364238.6986</v>
      </c>
      <c r="P174">
        <v>307458.60720000003</v>
      </c>
      <c r="Q174">
        <v>246915.62830000001</v>
      </c>
      <c r="R174">
        <v>211458.69560000001</v>
      </c>
      <c r="S174">
        <v>173789.098</v>
      </c>
      <c r="T174">
        <v>166022.0442</v>
      </c>
      <c r="U174">
        <v>171217.05739999999</v>
      </c>
      <c r="V174">
        <v>180951.7469</v>
      </c>
      <c r="W174">
        <v>179757.40460000001</v>
      </c>
      <c r="X174">
        <v>173484.04860000001</v>
      </c>
      <c r="Y174">
        <v>168551.66390000001</v>
      </c>
      <c r="Z174">
        <v>163208.13389999999</v>
      </c>
      <c r="AA174">
        <v>159730.12270000001</v>
      </c>
      <c r="AB174">
        <v>156632.2268</v>
      </c>
      <c r="AC174">
        <v>152569.36369999999</v>
      </c>
      <c r="AD174">
        <v>145307.35509999999</v>
      </c>
      <c r="AE174">
        <v>137452.0422</v>
      </c>
      <c r="AF174">
        <v>129581.3392</v>
      </c>
      <c r="AG174">
        <v>122387.3437</v>
      </c>
      <c r="AH174">
        <v>115772.4108</v>
      </c>
      <c r="AI174">
        <v>110312.5229</v>
      </c>
      <c r="AJ174">
        <v>105037.827</v>
      </c>
      <c r="AK174">
        <v>99841.848939999996</v>
      </c>
      <c r="AL174">
        <v>94951.266789999994</v>
      </c>
      <c r="AM174">
        <v>90182.526310000001</v>
      </c>
      <c r="AN174">
        <v>86995.859119999906</v>
      </c>
      <c r="AO174">
        <v>83994.349140000006</v>
      </c>
      <c r="AP174">
        <v>81034.380950000006</v>
      </c>
      <c r="AQ174">
        <v>77852.298360000001</v>
      </c>
      <c r="AR174">
        <v>74823.078930000003</v>
      </c>
      <c r="AS174">
        <v>73381.649900000004</v>
      </c>
      <c r="AT174">
        <v>72097.492509999996</v>
      </c>
      <c r="AU174">
        <v>70771.987729999906</v>
      </c>
      <c r="AV174">
        <v>69388.308369999999</v>
      </c>
      <c r="AW174">
        <v>67917.685580000005</v>
      </c>
    </row>
    <row r="175" spans="2:49" x14ac:dyDescent="0.25">
      <c r="B175" t="s">
        <v>246</v>
      </c>
      <c r="C175">
        <v>4757556.1935294</v>
      </c>
      <c r="D175">
        <v>4833940.2970916703</v>
      </c>
      <c r="E175">
        <v>4095264.8139999998</v>
      </c>
      <c r="F175">
        <v>4137798.0389999999</v>
      </c>
      <c r="G175">
        <v>3740691.446</v>
      </c>
      <c r="H175">
        <v>3409649.0109999999</v>
      </c>
      <c r="I175">
        <v>3079472.09</v>
      </c>
      <c r="J175">
        <v>3220006.716</v>
      </c>
      <c r="K175">
        <v>2877202.8029999998</v>
      </c>
      <c r="L175">
        <v>2765876.0639999998</v>
      </c>
      <c r="M175">
        <v>2840492.557</v>
      </c>
      <c r="N175">
        <v>2944031.8330000001</v>
      </c>
      <c r="O175">
        <v>2749857.1359999999</v>
      </c>
      <c r="P175">
        <v>2451198.02</v>
      </c>
      <c r="Q175">
        <v>2125756.5559999999</v>
      </c>
      <c r="R175">
        <v>1879629.976</v>
      </c>
      <c r="S175">
        <v>1666640.0859999999</v>
      </c>
      <c r="T175">
        <v>1591431.689</v>
      </c>
      <c r="U175">
        <v>1531549.273</v>
      </c>
      <c r="V175">
        <v>1474743.439</v>
      </c>
      <c r="W175">
        <v>1349057.9380000001</v>
      </c>
      <c r="X175">
        <v>1182324.3259999999</v>
      </c>
      <c r="Y175">
        <v>1103223.929</v>
      </c>
      <c r="Z175">
        <v>1042017.868</v>
      </c>
      <c r="AA175">
        <v>989004.33700000006</v>
      </c>
      <c r="AB175">
        <v>944895.38219999999</v>
      </c>
      <c r="AC175">
        <v>907298.96530000004</v>
      </c>
      <c r="AD175">
        <v>827755.94850000006</v>
      </c>
      <c r="AE175">
        <v>751977.49490000005</v>
      </c>
      <c r="AF175">
        <v>686033.70660000003</v>
      </c>
      <c r="AG175">
        <v>628986.39789999998</v>
      </c>
      <c r="AH175">
        <v>579771.65769999998</v>
      </c>
      <c r="AI175">
        <v>529661.43169999996</v>
      </c>
      <c r="AJ175">
        <v>482986.5049</v>
      </c>
      <c r="AK175">
        <v>440592.25390000001</v>
      </c>
      <c r="AL175">
        <v>403064.37910000002</v>
      </c>
      <c r="AM175">
        <v>369484.3407</v>
      </c>
      <c r="AN175">
        <v>345499.2598</v>
      </c>
      <c r="AO175">
        <v>323567.08510000003</v>
      </c>
      <c r="AP175">
        <v>303244.38650000002</v>
      </c>
      <c r="AQ175">
        <v>284130.72139999998</v>
      </c>
      <c r="AR175">
        <v>265670.14390000002</v>
      </c>
      <c r="AS175">
        <v>255837.14050000001</v>
      </c>
      <c r="AT175">
        <v>247353.37940000001</v>
      </c>
      <c r="AU175">
        <v>239582.46299999999</v>
      </c>
      <c r="AV175">
        <v>232441.11739999999</v>
      </c>
      <c r="AW175">
        <v>225946.58600000001</v>
      </c>
    </row>
    <row r="176" spans="2:49" x14ac:dyDescent="0.25">
      <c r="B176" t="s">
        <v>247</v>
      </c>
      <c r="C176">
        <v>16503281.675133999</v>
      </c>
      <c r="D176">
        <v>16768247.200565999</v>
      </c>
      <c r="E176">
        <v>14205887.65</v>
      </c>
      <c r="F176">
        <v>14375324.779999999</v>
      </c>
      <c r="G176">
        <v>13098315.15</v>
      </c>
      <c r="H176">
        <v>11768708.76</v>
      </c>
      <c r="I176">
        <v>11303303.07</v>
      </c>
      <c r="J176">
        <v>12103162.43</v>
      </c>
      <c r="K176">
        <v>10802686.85</v>
      </c>
      <c r="L176">
        <v>10366096.970000001</v>
      </c>
      <c r="M176">
        <v>10640905.859999999</v>
      </c>
      <c r="N176">
        <v>10929732.6</v>
      </c>
      <c r="O176">
        <v>10481160.27</v>
      </c>
      <c r="P176">
        <v>9650877.1559999995</v>
      </c>
      <c r="Q176">
        <v>8584663.0840000007</v>
      </c>
      <c r="R176">
        <v>7805719.8669999996</v>
      </c>
      <c r="S176">
        <v>6959770.5939999996</v>
      </c>
      <c r="T176">
        <v>6868506.8619999997</v>
      </c>
      <c r="U176">
        <v>6725865.3059999999</v>
      </c>
      <c r="V176">
        <v>6669284.1919999998</v>
      </c>
      <c r="W176">
        <v>6372897.5609999998</v>
      </c>
      <c r="X176">
        <v>5794585.6979999999</v>
      </c>
      <c r="Y176">
        <v>5526313.9869999997</v>
      </c>
      <c r="Z176">
        <v>5302006.7510000002</v>
      </c>
      <c r="AA176">
        <v>5088879.5240000002</v>
      </c>
      <c r="AB176">
        <v>4884579.6040000003</v>
      </c>
      <c r="AC176">
        <v>4708571.8430000003</v>
      </c>
      <c r="AD176">
        <v>4338776.4469999997</v>
      </c>
      <c r="AE176">
        <v>3981045.8250000002</v>
      </c>
      <c r="AF176">
        <v>3662736.7390000001</v>
      </c>
      <c r="AG176">
        <v>3380953.8169999998</v>
      </c>
      <c r="AH176">
        <v>3140024.9730000002</v>
      </c>
      <c r="AI176">
        <v>2885065.7749999999</v>
      </c>
      <c r="AJ176">
        <v>2644614.2790000001</v>
      </c>
      <c r="AK176">
        <v>2428010.5989999999</v>
      </c>
      <c r="AL176">
        <v>2232457.8489999999</v>
      </c>
      <c r="AM176">
        <v>2056785.923</v>
      </c>
      <c r="AN176">
        <v>1938278.9839999999</v>
      </c>
      <c r="AO176">
        <v>1830128.88</v>
      </c>
      <c r="AP176">
        <v>1726614.33</v>
      </c>
      <c r="AQ176">
        <v>1630066.63</v>
      </c>
      <c r="AR176">
        <v>1533807.355</v>
      </c>
      <c r="AS176">
        <v>1484485.233</v>
      </c>
      <c r="AT176">
        <v>1440449.3770000001</v>
      </c>
      <c r="AU176">
        <v>1398298.8370000001</v>
      </c>
      <c r="AV176">
        <v>1359085.1950000001</v>
      </c>
      <c r="AW176">
        <v>1325185.598</v>
      </c>
    </row>
    <row r="177" spans="2:49" x14ac:dyDescent="0.25">
      <c r="B177" t="s">
        <v>248</v>
      </c>
      <c r="C177">
        <v>11632594.838881901</v>
      </c>
      <c r="D177">
        <v>11819359.911689499</v>
      </c>
      <c r="E177">
        <v>10013240.92</v>
      </c>
      <c r="F177">
        <v>10030881.01</v>
      </c>
      <c r="G177">
        <v>9270360.1469999999</v>
      </c>
      <c r="H177">
        <v>8757394.5610000007</v>
      </c>
      <c r="I177">
        <v>7968328.216</v>
      </c>
      <c r="J177">
        <v>7193249.2999999998</v>
      </c>
      <c r="K177">
        <v>6513974.3729999997</v>
      </c>
      <c r="L177">
        <v>6440820.4840000002</v>
      </c>
      <c r="M177">
        <v>6435509.5360000003</v>
      </c>
      <c r="N177">
        <v>6772455.841</v>
      </c>
      <c r="O177">
        <v>6203502.5959999999</v>
      </c>
      <c r="P177">
        <v>5419610.8080000002</v>
      </c>
      <c r="Q177">
        <v>4710449.2630000003</v>
      </c>
      <c r="R177">
        <v>4127417.8489999999</v>
      </c>
      <c r="S177">
        <v>3711356.9330000002</v>
      </c>
      <c r="T177">
        <v>3550592.2990000001</v>
      </c>
      <c r="U177">
        <v>3390175.1740000001</v>
      </c>
      <c r="V177">
        <v>3231407.3689999999</v>
      </c>
      <c r="W177">
        <v>2912042.0759999999</v>
      </c>
      <c r="X177">
        <v>2515365.415</v>
      </c>
      <c r="Y177">
        <v>2325852.5430000001</v>
      </c>
      <c r="Z177">
        <v>2184038.21</v>
      </c>
      <c r="AA177">
        <v>2062197.959</v>
      </c>
      <c r="AB177">
        <v>1961989.1980000001</v>
      </c>
      <c r="AC177">
        <v>1877194.115</v>
      </c>
      <c r="AD177">
        <v>1690019.379</v>
      </c>
      <c r="AE177">
        <v>1517848.3259999999</v>
      </c>
      <c r="AF177">
        <v>1371822.361</v>
      </c>
      <c r="AG177">
        <v>1248252.666</v>
      </c>
      <c r="AH177">
        <v>1143366.24</v>
      </c>
      <c r="AI177">
        <v>1039340.577</v>
      </c>
      <c r="AJ177">
        <v>943483.37609999999</v>
      </c>
      <c r="AK177">
        <v>857044.89939999999</v>
      </c>
      <c r="AL177">
        <v>780966.98899999994</v>
      </c>
      <c r="AM177">
        <v>713293.26710000006</v>
      </c>
      <c r="AN177">
        <v>664557.20169999998</v>
      </c>
      <c r="AO177">
        <v>620202.3946</v>
      </c>
      <c r="AP177">
        <v>579226.21259999997</v>
      </c>
      <c r="AQ177">
        <v>540787.22270000004</v>
      </c>
      <c r="AR177">
        <v>503765.44319999998</v>
      </c>
      <c r="AS177">
        <v>483472.6286</v>
      </c>
      <c r="AT177">
        <v>465932.63760000002</v>
      </c>
      <c r="AU177">
        <v>449974.46370000002</v>
      </c>
      <c r="AV177">
        <v>435403.32669999998</v>
      </c>
      <c r="AW177">
        <v>422180.18569999997</v>
      </c>
    </row>
    <row r="178" spans="2:49" x14ac:dyDescent="0.25">
      <c r="B178" t="s">
        <v>249</v>
      </c>
      <c r="C178">
        <v>3166830.51938263</v>
      </c>
      <c r="D178">
        <v>3217675.0077116699</v>
      </c>
      <c r="E178">
        <v>2725981.38</v>
      </c>
      <c r="F178">
        <v>2740721.3810000001</v>
      </c>
      <c r="G178">
        <v>2687359.3509999998</v>
      </c>
      <c r="H178">
        <v>2607796.037</v>
      </c>
      <c r="I178">
        <v>2582961.1919999998</v>
      </c>
      <c r="J178">
        <v>2510425.7760000001</v>
      </c>
      <c r="K178">
        <v>2380084.2459999998</v>
      </c>
      <c r="L178">
        <v>2372823.8199999998</v>
      </c>
      <c r="M178">
        <v>2397189.5559999999</v>
      </c>
      <c r="N178">
        <v>2561107.0720000002</v>
      </c>
      <c r="O178">
        <v>2521219.6549999998</v>
      </c>
      <c r="P178">
        <v>2376719.6800000002</v>
      </c>
      <c r="Q178">
        <v>2192687.9890000001</v>
      </c>
      <c r="R178">
        <v>2107299.3190000001</v>
      </c>
      <c r="S178">
        <v>1989326.794</v>
      </c>
      <c r="T178">
        <v>1975331.827</v>
      </c>
      <c r="U178">
        <v>1972067.355</v>
      </c>
      <c r="V178">
        <v>1978500.8119999999</v>
      </c>
      <c r="W178">
        <v>1852206.3940000001</v>
      </c>
      <c r="X178">
        <v>1682125.8740000001</v>
      </c>
      <c r="Y178">
        <v>1555917.2039999999</v>
      </c>
      <c r="Z178">
        <v>1450075.9909999999</v>
      </c>
      <c r="AA178">
        <v>1352544.5830000001</v>
      </c>
      <c r="AB178">
        <v>1266151.173</v>
      </c>
      <c r="AC178">
        <v>1188525.2069999999</v>
      </c>
      <c r="AD178">
        <v>1092579.08</v>
      </c>
      <c r="AE178">
        <v>1001932.0209999999</v>
      </c>
      <c r="AF178">
        <v>922716.08589999995</v>
      </c>
      <c r="AG178">
        <v>852741.10210000002</v>
      </c>
      <c r="AH178">
        <v>791311.83799999999</v>
      </c>
      <c r="AI178">
        <v>733388.34510000004</v>
      </c>
      <c r="AJ178">
        <v>679100.32700000005</v>
      </c>
      <c r="AK178">
        <v>628804.55319999997</v>
      </c>
      <c r="AL178">
        <v>583039.99309999996</v>
      </c>
      <c r="AM178">
        <v>540731.51320000004</v>
      </c>
      <c r="AN178">
        <v>510698.83189999999</v>
      </c>
      <c r="AO178">
        <v>482560.90730000002</v>
      </c>
      <c r="AP178">
        <v>455840.05459999997</v>
      </c>
      <c r="AQ178">
        <v>429992.62040000001</v>
      </c>
      <c r="AR178">
        <v>404141.91869999998</v>
      </c>
      <c r="AS178">
        <v>390683.55290000001</v>
      </c>
      <c r="AT178">
        <v>378843.16509999998</v>
      </c>
      <c r="AU178">
        <v>367764.59820000001</v>
      </c>
      <c r="AV178">
        <v>357292.02710000001</v>
      </c>
      <c r="AW178">
        <v>347613.49780000001</v>
      </c>
    </row>
    <row r="179" spans="2:49" x14ac:dyDescent="0.25">
      <c r="B179" t="s">
        <v>250</v>
      </c>
      <c r="C179">
        <v>6723975.7599636996</v>
      </c>
      <c r="D179">
        <v>6831931.3657214995</v>
      </c>
      <c r="E179">
        <v>5798504.7070000004</v>
      </c>
      <c r="F179">
        <v>5844719.8609999996</v>
      </c>
      <c r="G179">
        <v>5863795.5310000004</v>
      </c>
      <c r="H179">
        <v>5514642.1169999996</v>
      </c>
      <c r="I179">
        <v>5736324.8660000004</v>
      </c>
      <c r="J179">
        <v>5791742.983</v>
      </c>
      <c r="K179">
        <v>5685187.1370000001</v>
      </c>
      <c r="L179">
        <v>5696429.0839999998</v>
      </c>
      <c r="M179">
        <v>5739107.3039999995</v>
      </c>
      <c r="N179">
        <v>5980748.4570000004</v>
      </c>
      <c r="O179">
        <v>5990856.7640000004</v>
      </c>
      <c r="P179">
        <v>5995978.6560000004</v>
      </c>
      <c r="Q179">
        <v>5889228.1449999996</v>
      </c>
      <c r="R179">
        <v>5938134.4210000001</v>
      </c>
      <c r="S179">
        <v>5881404.8830000004</v>
      </c>
      <c r="T179">
        <v>5892096.9359999998</v>
      </c>
      <c r="U179">
        <v>5978352.7750000004</v>
      </c>
      <c r="V179">
        <v>6093879.1500000004</v>
      </c>
      <c r="W179">
        <v>6186646.6940000001</v>
      </c>
      <c r="X179">
        <v>6203331.9730000002</v>
      </c>
      <c r="Y179">
        <v>6191782.0269999998</v>
      </c>
      <c r="Z179">
        <v>6175394.4519999996</v>
      </c>
      <c r="AA179">
        <v>6144511.3250000002</v>
      </c>
      <c r="AB179">
        <v>6107245.0290000001</v>
      </c>
      <c r="AC179">
        <v>6061002.2309999997</v>
      </c>
      <c r="AD179">
        <v>5971097.5489999996</v>
      </c>
      <c r="AE179">
        <v>5871333.7889999999</v>
      </c>
      <c r="AF179">
        <v>5772179.1370000001</v>
      </c>
      <c r="AG179">
        <v>5665131.3820000002</v>
      </c>
      <c r="AH179">
        <v>5552583.1100000003</v>
      </c>
      <c r="AI179">
        <v>5463393.0959999999</v>
      </c>
      <c r="AJ179">
        <v>5370021.4890000001</v>
      </c>
      <c r="AK179">
        <v>5266949.5439999998</v>
      </c>
      <c r="AL179">
        <v>5156799.5580000002</v>
      </c>
      <c r="AM179">
        <v>5031357.8310000002</v>
      </c>
      <c r="AN179">
        <v>4994061.7359999996</v>
      </c>
      <c r="AO179">
        <v>4947186.9270000001</v>
      </c>
      <c r="AP179">
        <v>4884905.4790000003</v>
      </c>
      <c r="AQ179">
        <v>4803030.1619999995</v>
      </c>
      <c r="AR179">
        <v>4693613.4539999999</v>
      </c>
      <c r="AS179">
        <v>4699569.6770000001</v>
      </c>
      <c r="AT179">
        <v>4703281.267</v>
      </c>
      <c r="AU179">
        <v>4703962.2</v>
      </c>
      <c r="AV179">
        <v>4699689.9330000002</v>
      </c>
      <c r="AW179">
        <v>4689642.7659999998</v>
      </c>
    </row>
    <row r="180" spans="2:49" x14ac:dyDescent="0.25">
      <c r="B180" t="s">
        <v>251</v>
      </c>
      <c r="C180">
        <v>312332.22295347298</v>
      </c>
      <c r="D180">
        <v>317346.817819711</v>
      </c>
      <c r="E180">
        <v>268852.98060000001</v>
      </c>
      <c r="F180">
        <v>279471.52409999998</v>
      </c>
      <c r="G180">
        <v>268192.18520000001</v>
      </c>
      <c r="H180">
        <v>234603.25289999999</v>
      </c>
      <c r="I180">
        <v>246881.0036</v>
      </c>
      <c r="J180">
        <v>249452.24179999999</v>
      </c>
      <c r="K180">
        <v>233040.5386</v>
      </c>
      <c r="L180">
        <v>220927.0736</v>
      </c>
      <c r="M180">
        <v>217871.26459999999</v>
      </c>
      <c r="N180">
        <v>229925.22020000001</v>
      </c>
      <c r="O180">
        <v>212154.1269</v>
      </c>
      <c r="P180">
        <v>196781.2402</v>
      </c>
      <c r="Q180">
        <v>178599.61489999999</v>
      </c>
      <c r="R180">
        <v>162353.1433</v>
      </c>
      <c r="S180">
        <v>150174.0049</v>
      </c>
      <c r="T180">
        <v>150192.68979999999</v>
      </c>
      <c r="U180">
        <v>152453.08259999999</v>
      </c>
      <c r="V180">
        <v>156733.2531</v>
      </c>
      <c r="W180">
        <v>157061.72529999999</v>
      </c>
      <c r="X180">
        <v>154430.98139999999</v>
      </c>
      <c r="Y180">
        <v>152503.5998</v>
      </c>
      <c r="Z180">
        <v>151185.6048</v>
      </c>
      <c r="AA180">
        <v>150523.7041</v>
      </c>
      <c r="AB180">
        <v>150252.9822</v>
      </c>
      <c r="AC180">
        <v>150446.4719</v>
      </c>
      <c r="AD180">
        <v>145227.14989999999</v>
      </c>
      <c r="AE180">
        <v>140047.25090000001</v>
      </c>
      <c r="AF180">
        <v>135088.06299999999</v>
      </c>
      <c r="AG180">
        <v>130407.679</v>
      </c>
      <c r="AH180">
        <v>125973.7686</v>
      </c>
      <c r="AI180">
        <v>122082.09359999999</v>
      </c>
      <c r="AJ180">
        <v>118150.4981</v>
      </c>
      <c r="AK180">
        <v>114138.14449999999</v>
      </c>
      <c r="AL180">
        <v>110104.32919999999</v>
      </c>
      <c r="AM180">
        <v>105939.3992</v>
      </c>
      <c r="AN180">
        <v>103699.8227</v>
      </c>
      <c r="AO180">
        <v>101451.349</v>
      </c>
      <c r="AP180">
        <v>99010.107189999995</v>
      </c>
      <c r="AQ180">
        <v>96263.675820000004</v>
      </c>
      <c r="AR180">
        <v>93115.764360000001</v>
      </c>
      <c r="AS180">
        <v>92257.452380000002</v>
      </c>
      <c r="AT180">
        <v>91384.157990000007</v>
      </c>
      <c r="AU180">
        <v>90435.106499999994</v>
      </c>
      <c r="AV180">
        <v>89398.302179999999</v>
      </c>
      <c r="AW180">
        <v>88325.110549999998</v>
      </c>
    </row>
    <row r="181" spans="2:49" x14ac:dyDescent="0.25">
      <c r="B181" t="s">
        <v>252</v>
      </c>
      <c r="C181">
        <v>7845653.0561234802</v>
      </c>
      <c r="D181">
        <v>7971617.5536879301</v>
      </c>
      <c r="E181">
        <v>6753472.9170000004</v>
      </c>
      <c r="F181">
        <v>6917732.2699999996</v>
      </c>
      <c r="G181">
        <v>6604945.1239999998</v>
      </c>
      <c r="H181">
        <v>6302566.8370000003</v>
      </c>
      <c r="I181">
        <v>6324261.8569999998</v>
      </c>
      <c r="J181">
        <v>6110713.3890000004</v>
      </c>
      <c r="K181">
        <v>5720050.3859999999</v>
      </c>
      <c r="L181">
        <v>5581621.8940000003</v>
      </c>
      <c r="M181">
        <v>5713796.8739999998</v>
      </c>
      <c r="N181">
        <v>6110531.3320000004</v>
      </c>
      <c r="O181">
        <v>5871186.8219999997</v>
      </c>
      <c r="P181">
        <v>5362223.7429999998</v>
      </c>
      <c r="Q181">
        <v>4771048.9210000001</v>
      </c>
      <c r="R181">
        <v>4464027.2860000003</v>
      </c>
      <c r="S181">
        <v>4140165.0120000001</v>
      </c>
      <c r="T181">
        <v>4196268.9160000002</v>
      </c>
      <c r="U181">
        <v>4265790.4539999999</v>
      </c>
      <c r="V181">
        <v>4379723.5530000003</v>
      </c>
      <c r="W181">
        <v>4313319.7640000004</v>
      </c>
      <c r="X181">
        <v>4099302.656</v>
      </c>
      <c r="Y181">
        <v>3905935.5490000001</v>
      </c>
      <c r="Z181">
        <v>3719910.818</v>
      </c>
      <c r="AA181">
        <v>3563007.9670000002</v>
      </c>
      <c r="AB181">
        <v>3418979.2779999999</v>
      </c>
      <c r="AC181">
        <v>3287697.324</v>
      </c>
      <c r="AD181">
        <v>3034376.2680000002</v>
      </c>
      <c r="AE181">
        <v>2801069.8130000001</v>
      </c>
      <c r="AF181">
        <v>2595861.7459999998</v>
      </c>
      <c r="AG181">
        <v>2417061.642</v>
      </c>
      <c r="AH181">
        <v>2262016.165</v>
      </c>
      <c r="AI181">
        <v>2127143.1469999999</v>
      </c>
      <c r="AJ181">
        <v>2003218.909</v>
      </c>
      <c r="AK181">
        <v>1887438.476</v>
      </c>
      <c r="AL181">
        <v>1779797.963</v>
      </c>
      <c r="AM181">
        <v>1678561.932</v>
      </c>
      <c r="AN181">
        <v>1610070.3189999999</v>
      </c>
      <c r="AO181">
        <v>1545552.5430000001</v>
      </c>
      <c r="AP181">
        <v>1481438.3940000001</v>
      </c>
      <c r="AQ181">
        <v>1415937.3389999999</v>
      </c>
      <c r="AR181">
        <v>1347317.621</v>
      </c>
      <c r="AS181">
        <v>1316197.139</v>
      </c>
      <c r="AT181">
        <v>1287547.298</v>
      </c>
      <c r="AU181">
        <v>1259157.4550000001</v>
      </c>
      <c r="AV181">
        <v>1231508.5360000001</v>
      </c>
      <c r="AW181">
        <v>1205271.216</v>
      </c>
    </row>
    <row r="182" spans="2:49" x14ac:dyDescent="0.25">
      <c r="B182" t="s">
        <v>253</v>
      </c>
      <c r="C182">
        <v>3.3990718667427999</v>
      </c>
      <c r="D182">
        <v>3.4536450650243098</v>
      </c>
      <c r="E182">
        <v>2.9258928009999998</v>
      </c>
      <c r="F182">
        <v>3.1051402399999999</v>
      </c>
      <c r="G182">
        <v>3.03818549</v>
      </c>
      <c r="H182">
        <v>2.8441313429999999</v>
      </c>
      <c r="I182">
        <v>2.8194125940000001</v>
      </c>
      <c r="J182">
        <v>2.8103266320000002</v>
      </c>
      <c r="K182">
        <v>2.6889552459999999</v>
      </c>
      <c r="L182">
        <v>2.6904121440000002</v>
      </c>
      <c r="M182">
        <v>2.700289691</v>
      </c>
      <c r="N182">
        <v>2.7777845860000001</v>
      </c>
      <c r="O182">
        <v>2.9382725000000001</v>
      </c>
      <c r="P182">
        <v>3.0480118890000001</v>
      </c>
      <c r="Q182">
        <v>3.0341565959999999</v>
      </c>
      <c r="R182">
        <v>3.1235683949999999</v>
      </c>
      <c r="S182">
        <v>3.0438221539999999</v>
      </c>
      <c r="T182">
        <v>3.1468701120000002</v>
      </c>
      <c r="U182">
        <v>3.1717956840000001</v>
      </c>
      <c r="V182">
        <v>3.2569450940000002</v>
      </c>
      <c r="W182">
        <v>3.3045843239999999</v>
      </c>
      <c r="X182">
        <v>3.2548244589999999</v>
      </c>
      <c r="Y182">
        <v>3.2606448449999998</v>
      </c>
      <c r="Z182">
        <v>3.252615467</v>
      </c>
      <c r="AA182">
        <v>3.2334702819999999</v>
      </c>
      <c r="AB182">
        <v>3.1907061080000001</v>
      </c>
      <c r="AC182">
        <v>3.157501194</v>
      </c>
      <c r="AD182">
        <v>3.085910267</v>
      </c>
      <c r="AE182">
        <v>3.0129803609999999</v>
      </c>
      <c r="AF182">
        <v>2.9380534059999999</v>
      </c>
      <c r="AG182">
        <v>2.8625359829999999</v>
      </c>
      <c r="AH182">
        <v>2.7974470939999998</v>
      </c>
      <c r="AI182">
        <v>2.7314589090000001</v>
      </c>
      <c r="AJ182">
        <v>2.6619547290000001</v>
      </c>
      <c r="AK182">
        <v>2.5939431179999999</v>
      </c>
      <c r="AL182">
        <v>2.5195924019999998</v>
      </c>
      <c r="AM182">
        <v>2.4439868979999999</v>
      </c>
      <c r="AN182">
        <v>2.4281938300000001</v>
      </c>
      <c r="AO182">
        <v>2.4137977209999999</v>
      </c>
      <c r="AP182">
        <v>2.388195574</v>
      </c>
      <c r="AQ182">
        <v>2.3593915160000001</v>
      </c>
      <c r="AR182">
        <v>2.3147741650000002</v>
      </c>
      <c r="AS182">
        <v>2.320570343</v>
      </c>
      <c r="AT182">
        <v>2.3217903149999999</v>
      </c>
      <c r="AU182">
        <v>2.3170788170000001</v>
      </c>
      <c r="AV182">
        <v>2.3095182109999999</v>
      </c>
      <c r="AW182">
        <v>2.3092038750000001</v>
      </c>
    </row>
    <row r="183" spans="2:49" x14ac:dyDescent="0.25">
      <c r="B183" t="s">
        <v>254</v>
      </c>
      <c r="C183">
        <v>600391.80946004798</v>
      </c>
      <c r="D183">
        <v>610031.29416316305</v>
      </c>
      <c r="E183">
        <v>516812.27750000003</v>
      </c>
      <c r="F183">
        <v>535306.72389999998</v>
      </c>
      <c r="G183">
        <v>508914.2107</v>
      </c>
      <c r="H183">
        <v>512924.34379999997</v>
      </c>
      <c r="I183">
        <v>532737.35730000003</v>
      </c>
      <c r="J183">
        <v>516094.19530000002</v>
      </c>
      <c r="K183">
        <v>490398.34879999998</v>
      </c>
      <c r="L183">
        <v>497836.30959999998</v>
      </c>
      <c r="M183">
        <v>511124.54249999998</v>
      </c>
      <c r="N183">
        <v>544469.70860000001</v>
      </c>
      <c r="O183">
        <v>583985.25760000001</v>
      </c>
      <c r="P183">
        <v>597926.07629999996</v>
      </c>
      <c r="Q183">
        <v>553578.49549999996</v>
      </c>
      <c r="R183">
        <v>565530.22860000003</v>
      </c>
      <c r="S183">
        <v>585852.83909999998</v>
      </c>
      <c r="T183">
        <v>684907.61910000001</v>
      </c>
      <c r="U183">
        <v>775085.0196</v>
      </c>
      <c r="V183">
        <v>858457.16469999996</v>
      </c>
      <c r="W183">
        <v>957893.92119999998</v>
      </c>
      <c r="X183">
        <v>1051127.2679999999</v>
      </c>
      <c r="Y183">
        <v>1100814.202</v>
      </c>
      <c r="Z183">
        <v>1145413.6440000001</v>
      </c>
      <c r="AA183">
        <v>1232775.5319999999</v>
      </c>
      <c r="AB183">
        <v>1309019.74</v>
      </c>
      <c r="AC183">
        <v>1367319.257</v>
      </c>
      <c r="AD183">
        <v>1376590.1540000001</v>
      </c>
      <c r="AE183">
        <v>1391292.149</v>
      </c>
      <c r="AF183">
        <v>1395042.223</v>
      </c>
      <c r="AG183">
        <v>1386695.3430000001</v>
      </c>
      <c r="AH183">
        <v>1370355.1040000001</v>
      </c>
      <c r="AI183">
        <v>1358964.18</v>
      </c>
      <c r="AJ183">
        <v>1337971.4029999999</v>
      </c>
      <c r="AK183">
        <v>1314640.4269999999</v>
      </c>
      <c r="AL183">
        <v>1290859.3570000001</v>
      </c>
      <c r="AM183">
        <v>1256275.835</v>
      </c>
      <c r="AN183">
        <v>1248637.1089999999</v>
      </c>
      <c r="AO183">
        <v>1238818.882</v>
      </c>
      <c r="AP183">
        <v>1226005.7139999999</v>
      </c>
      <c r="AQ183">
        <v>1200906.1399999999</v>
      </c>
      <c r="AR183">
        <v>1173499.0090000001</v>
      </c>
      <c r="AS183">
        <v>1176063.1740000001</v>
      </c>
      <c r="AT183">
        <v>1178264.419</v>
      </c>
      <c r="AU183">
        <v>1180581.6980000001</v>
      </c>
      <c r="AV183">
        <v>1181341.1969999999</v>
      </c>
      <c r="AW183">
        <v>1180337.5530000001</v>
      </c>
    </row>
    <row r="184" spans="2:49" x14ac:dyDescent="0.25">
      <c r="B184" t="s">
        <v>255</v>
      </c>
      <c r="C184">
        <v>2139866.37253871</v>
      </c>
      <c r="D184">
        <v>2174222.6193092102</v>
      </c>
      <c r="E184">
        <v>1831643.385</v>
      </c>
      <c r="F184">
        <v>1819646.571</v>
      </c>
      <c r="G184">
        <v>1811495.382</v>
      </c>
      <c r="H184">
        <v>1808224.2279999999</v>
      </c>
      <c r="I184">
        <v>1811615.8589999999</v>
      </c>
      <c r="J184">
        <v>1821813.2039999999</v>
      </c>
      <c r="K184">
        <v>1822407.808</v>
      </c>
      <c r="L184">
        <v>1819603.267</v>
      </c>
      <c r="M184">
        <v>1830363.8430000001</v>
      </c>
      <c r="N184">
        <v>1812038.916</v>
      </c>
      <c r="O184">
        <v>1835770.084</v>
      </c>
      <c r="P184">
        <v>1852140.7050000001</v>
      </c>
      <c r="Q184">
        <v>1874649.7560000001</v>
      </c>
      <c r="R184">
        <v>1893330.703</v>
      </c>
      <c r="S184">
        <v>1872107.9850000001</v>
      </c>
      <c r="T184">
        <v>1840848.7520000001</v>
      </c>
      <c r="U184">
        <v>1825853.7390000001</v>
      </c>
      <c r="V184">
        <v>1818735.2590000001</v>
      </c>
      <c r="W184">
        <v>1717313.9210000001</v>
      </c>
      <c r="X184">
        <v>1606566.6569999999</v>
      </c>
      <c r="Y184">
        <v>1579474.503</v>
      </c>
      <c r="Z184">
        <v>1551108.453</v>
      </c>
      <c r="AA184">
        <v>1521221.26</v>
      </c>
      <c r="AB184">
        <v>1489384.1569999999</v>
      </c>
      <c r="AC184">
        <v>1453171.882</v>
      </c>
      <c r="AD184">
        <v>1390018.4950000001</v>
      </c>
      <c r="AE184">
        <v>1323427.993</v>
      </c>
      <c r="AF184">
        <v>1256765.4010000001</v>
      </c>
      <c r="AG184">
        <v>1189837.906</v>
      </c>
      <c r="AH184">
        <v>1122441.963</v>
      </c>
      <c r="AI184">
        <v>1053458.6000000001</v>
      </c>
      <c r="AJ184">
        <v>983301.80220000003</v>
      </c>
      <c r="AK184">
        <v>912137.22990000003</v>
      </c>
      <c r="AL184">
        <v>841221.68180000002</v>
      </c>
      <c r="AM184">
        <v>770053.17469999997</v>
      </c>
      <c r="AN184">
        <v>714269.80929999996</v>
      </c>
      <c r="AO184">
        <v>657793.60250000004</v>
      </c>
      <c r="AP184">
        <v>600393.30839999998</v>
      </c>
      <c r="AQ184">
        <v>541460.13589999999</v>
      </c>
      <c r="AR184">
        <v>481716.99609999999</v>
      </c>
      <c r="AS184">
        <v>453488.5649</v>
      </c>
      <c r="AT184">
        <v>424756.56109999999</v>
      </c>
      <c r="AU184">
        <v>395309.43819999998</v>
      </c>
      <c r="AV184">
        <v>365081.77720000001</v>
      </c>
      <c r="AW184">
        <v>333399.68479999999</v>
      </c>
    </row>
    <row r="185" spans="2:49" x14ac:dyDescent="0.25">
      <c r="B185" t="s">
        <v>256</v>
      </c>
      <c r="C185">
        <v>48247577.676067904</v>
      </c>
      <c r="D185">
        <v>49022208.141778298</v>
      </c>
      <c r="E185">
        <v>41555597.060000002</v>
      </c>
      <c r="F185">
        <v>41279352.049999997</v>
      </c>
      <c r="G185">
        <v>40445281.420000002</v>
      </c>
      <c r="H185">
        <v>38975646.520000003</v>
      </c>
      <c r="I185">
        <v>38624428.640000001</v>
      </c>
      <c r="J185">
        <v>38347533.270000003</v>
      </c>
      <c r="K185">
        <v>37840384.399999999</v>
      </c>
      <c r="L185">
        <v>37109864.289999999</v>
      </c>
      <c r="M185">
        <v>36703638.200000003</v>
      </c>
      <c r="N185">
        <v>36250819.380000003</v>
      </c>
      <c r="O185">
        <v>36202853.240000002</v>
      </c>
      <c r="P185">
        <v>36335586.649999999</v>
      </c>
      <c r="Q185">
        <v>35815510.600000001</v>
      </c>
      <c r="R185">
        <v>35314664.140000001</v>
      </c>
      <c r="S185">
        <v>34698276.670000002</v>
      </c>
      <c r="T185">
        <v>35059063.789999999</v>
      </c>
      <c r="U185">
        <v>35288025.640000001</v>
      </c>
      <c r="V185">
        <v>35769321.109999999</v>
      </c>
      <c r="W185">
        <v>36115711.140000001</v>
      </c>
      <c r="X185">
        <v>35876971.299999997</v>
      </c>
      <c r="Y185">
        <v>34994242.609999999</v>
      </c>
      <c r="Z185">
        <v>33969381.799999997</v>
      </c>
      <c r="AA185">
        <v>32967980.600000001</v>
      </c>
      <c r="AB185">
        <v>31974844.280000001</v>
      </c>
      <c r="AC185">
        <v>31017758.09</v>
      </c>
      <c r="AD185">
        <v>29229274</v>
      </c>
      <c r="AE185">
        <v>27455721.550000001</v>
      </c>
      <c r="AF185">
        <v>25719371.399999999</v>
      </c>
      <c r="AG185">
        <v>23989237.559999999</v>
      </c>
      <c r="AH185">
        <v>22313517.940000001</v>
      </c>
      <c r="AI185">
        <v>20509394.300000001</v>
      </c>
      <c r="AJ185">
        <v>18726783.329999998</v>
      </c>
      <c r="AK185">
        <v>16968398.449999999</v>
      </c>
      <c r="AL185">
        <v>15255647.43</v>
      </c>
      <c r="AM185">
        <v>13581307.75</v>
      </c>
      <c r="AN185">
        <v>12597371.630000001</v>
      </c>
      <c r="AO185">
        <v>11603186</v>
      </c>
      <c r="AP185">
        <v>10642487.609999999</v>
      </c>
      <c r="AQ185">
        <v>9665522.0020000003</v>
      </c>
      <c r="AR185">
        <v>8664247.8460000008</v>
      </c>
      <c r="AS185">
        <v>8295179.3190000001</v>
      </c>
      <c r="AT185">
        <v>7947472.3389999997</v>
      </c>
      <c r="AU185">
        <v>7594032.8619999997</v>
      </c>
      <c r="AV185">
        <v>7209392.4249999998</v>
      </c>
      <c r="AW185">
        <v>6834695.4050000003</v>
      </c>
    </row>
    <row r="186" spans="2:49" x14ac:dyDescent="0.25">
      <c r="B186" t="s">
        <v>257</v>
      </c>
      <c r="C186">
        <v>9181601.5739378203</v>
      </c>
      <c r="D186">
        <v>9329015.1570805702</v>
      </c>
      <c r="E186">
        <v>7903446.2929999996</v>
      </c>
      <c r="F186">
        <v>9009556.2060000002</v>
      </c>
      <c r="G186">
        <v>7556051.841</v>
      </c>
      <c r="H186">
        <v>5419987.6830000002</v>
      </c>
      <c r="I186">
        <v>6387289.8480000002</v>
      </c>
      <c r="J186">
        <v>4946737.7860000003</v>
      </c>
      <c r="K186">
        <v>5780556.2110000001</v>
      </c>
      <c r="L186">
        <v>5179144.2230000002</v>
      </c>
      <c r="M186">
        <v>5233984.8609999996</v>
      </c>
      <c r="N186">
        <v>5410666.4289999995</v>
      </c>
      <c r="O186">
        <v>4921885.108</v>
      </c>
      <c r="P186">
        <v>5208822.7470000004</v>
      </c>
      <c r="Q186">
        <v>5096983.04</v>
      </c>
      <c r="R186">
        <v>5150331.07</v>
      </c>
      <c r="S186">
        <v>5130619.9800000004</v>
      </c>
      <c r="T186">
        <v>5021073.2180000003</v>
      </c>
      <c r="U186">
        <v>5012746.2929999996</v>
      </c>
      <c r="V186">
        <v>5010846.2620000001</v>
      </c>
      <c r="W186">
        <v>4967878.9419999998</v>
      </c>
      <c r="X186">
        <v>4838264.7070000004</v>
      </c>
      <c r="Y186">
        <v>4784103.148</v>
      </c>
      <c r="Z186">
        <v>4750773.193</v>
      </c>
      <c r="AA186">
        <v>4783769.3310000002</v>
      </c>
      <c r="AB186">
        <v>4810421.5959999999</v>
      </c>
      <c r="AC186">
        <v>4806060.5329999998</v>
      </c>
      <c r="AD186">
        <v>4721854.7060000002</v>
      </c>
      <c r="AE186">
        <v>4632525.37</v>
      </c>
      <c r="AF186">
        <v>4537326.7970000003</v>
      </c>
      <c r="AG186">
        <v>4428663.1710000001</v>
      </c>
      <c r="AH186">
        <v>4318649.22</v>
      </c>
      <c r="AI186">
        <v>4164403.0619999999</v>
      </c>
      <c r="AJ186">
        <v>4002711.892</v>
      </c>
      <c r="AK186">
        <v>3843030.477</v>
      </c>
      <c r="AL186">
        <v>3689540.8160000001</v>
      </c>
      <c r="AM186">
        <v>3537918.18</v>
      </c>
      <c r="AN186">
        <v>3452487.5920000002</v>
      </c>
      <c r="AO186">
        <v>3368468.551</v>
      </c>
      <c r="AP186">
        <v>3279788.6839999999</v>
      </c>
      <c r="AQ186">
        <v>3183475.8160000001</v>
      </c>
      <c r="AR186">
        <v>3077568.4070000001</v>
      </c>
      <c r="AS186">
        <v>3055841.7570000002</v>
      </c>
      <c r="AT186">
        <v>3034832.4849999999</v>
      </c>
      <c r="AU186">
        <v>3013779.2609999999</v>
      </c>
      <c r="AV186">
        <v>2991759.71</v>
      </c>
      <c r="AW186">
        <v>2967958.9559999998</v>
      </c>
    </row>
    <row r="187" spans="2:49" x14ac:dyDescent="0.25">
      <c r="B187" t="s">
        <v>258</v>
      </c>
      <c r="C187">
        <v>2568505.4482754301</v>
      </c>
      <c r="D187">
        <v>2609743.6340541099</v>
      </c>
      <c r="E187">
        <v>2210948.1340000001</v>
      </c>
      <c r="F187">
        <v>2296753.0150000001</v>
      </c>
      <c r="G187">
        <v>2279665.423</v>
      </c>
      <c r="H187">
        <v>1883087.66</v>
      </c>
      <c r="I187">
        <v>1947625.936</v>
      </c>
      <c r="J187">
        <v>2035934.8130000001</v>
      </c>
      <c r="K187">
        <v>1984298.743</v>
      </c>
      <c r="L187">
        <v>1931115.084</v>
      </c>
      <c r="M187">
        <v>1931728.6710000001</v>
      </c>
      <c r="N187">
        <v>2041339.0560000001</v>
      </c>
      <c r="O187">
        <v>2044550.9680000001</v>
      </c>
      <c r="P187">
        <v>2041825.0049999999</v>
      </c>
      <c r="Q187">
        <v>2103960.7009999999</v>
      </c>
      <c r="R187">
        <v>2133218.9849999999</v>
      </c>
      <c r="S187">
        <v>2103513.0380000002</v>
      </c>
      <c r="T187">
        <v>2072877.42</v>
      </c>
      <c r="U187">
        <v>2062589.852</v>
      </c>
      <c r="V187">
        <v>2064126.5819999999</v>
      </c>
      <c r="W187">
        <v>2070479.0290000001</v>
      </c>
      <c r="X187">
        <v>2049027.801</v>
      </c>
      <c r="Y187">
        <v>2025985.456</v>
      </c>
      <c r="Z187">
        <v>2001666.33</v>
      </c>
      <c r="AA187">
        <v>1976913.8060000001</v>
      </c>
      <c r="AB187">
        <v>1949055.774</v>
      </c>
      <c r="AC187">
        <v>1920342.4739999999</v>
      </c>
      <c r="AD187">
        <v>1870713.4990000001</v>
      </c>
      <c r="AE187">
        <v>1820487.558</v>
      </c>
      <c r="AF187">
        <v>1770867.8859999999</v>
      </c>
      <c r="AG187">
        <v>1720760.33</v>
      </c>
      <c r="AH187">
        <v>1671402.905</v>
      </c>
      <c r="AI187">
        <v>1628475.9469999999</v>
      </c>
      <c r="AJ187">
        <v>1583958.9010000001</v>
      </c>
      <c r="AK187">
        <v>1537348.138</v>
      </c>
      <c r="AL187">
        <v>1490154.47</v>
      </c>
      <c r="AM187">
        <v>1440096.314</v>
      </c>
      <c r="AN187">
        <v>1415442.273</v>
      </c>
      <c r="AO187">
        <v>1389361.8870000001</v>
      </c>
      <c r="AP187">
        <v>1360821.0619999999</v>
      </c>
      <c r="AQ187">
        <v>1326653.139</v>
      </c>
      <c r="AR187">
        <v>1286345.831</v>
      </c>
      <c r="AS187">
        <v>1277327.02</v>
      </c>
      <c r="AT187">
        <v>1267865.0290000001</v>
      </c>
      <c r="AU187">
        <v>1257088.196</v>
      </c>
      <c r="AV187">
        <v>1244730.5379999999</v>
      </c>
      <c r="AW187">
        <v>1231396.6029999999</v>
      </c>
    </row>
    <row r="188" spans="2:49" x14ac:dyDescent="0.25">
      <c r="B188" t="s">
        <v>259</v>
      </c>
      <c r="C188">
        <v>12693844.6626458</v>
      </c>
      <c r="D188">
        <v>12897648.444645001</v>
      </c>
      <c r="E188">
        <v>10926755.939999999</v>
      </c>
      <c r="F188">
        <v>10946620.33</v>
      </c>
      <c r="G188">
        <v>10277115.630000001</v>
      </c>
      <c r="H188">
        <v>9838629.9900000002</v>
      </c>
      <c r="I188">
        <v>9624412.68899999</v>
      </c>
      <c r="J188">
        <v>9126073.3859999999</v>
      </c>
      <c r="K188">
        <v>8598260.3129999898</v>
      </c>
      <c r="L188">
        <v>8364424.9979999997</v>
      </c>
      <c r="M188">
        <v>8325302.1869999999</v>
      </c>
      <c r="N188">
        <v>8462563.6239999998</v>
      </c>
      <c r="O188">
        <v>7999402.7039999999</v>
      </c>
      <c r="P188">
        <v>7453841.5120000001</v>
      </c>
      <c r="Q188">
        <v>6941392.5870000003</v>
      </c>
      <c r="R188">
        <v>6541924.4100000001</v>
      </c>
      <c r="S188">
        <v>6126500.7910000002</v>
      </c>
      <c r="T188">
        <v>6131032.2060000002</v>
      </c>
      <c r="U188">
        <v>6146507.5219999999</v>
      </c>
      <c r="V188">
        <v>6167668.483</v>
      </c>
      <c r="W188">
        <v>5261926.5029999996</v>
      </c>
      <c r="X188">
        <v>4495583.898</v>
      </c>
      <c r="Y188">
        <v>3958450.24</v>
      </c>
      <c r="Z188">
        <v>3559136.6919999998</v>
      </c>
      <c r="AA188">
        <v>3218409.3319999999</v>
      </c>
      <c r="AB188">
        <v>2927834.6549999998</v>
      </c>
      <c r="AC188">
        <v>2679447.341</v>
      </c>
      <c r="AD188">
        <v>2620791.298</v>
      </c>
      <c r="AE188">
        <v>2573566.7519999999</v>
      </c>
      <c r="AF188">
        <v>2529394.3450000002</v>
      </c>
      <c r="AG188">
        <v>2485909.7459999998</v>
      </c>
      <c r="AH188">
        <v>2437547.625</v>
      </c>
      <c r="AI188">
        <v>2396490.4509999999</v>
      </c>
      <c r="AJ188">
        <v>2353040.5699999998</v>
      </c>
      <c r="AK188">
        <v>2300407.6519999998</v>
      </c>
      <c r="AL188">
        <v>2239978.0329999998</v>
      </c>
      <c r="AM188">
        <v>2173324.159</v>
      </c>
      <c r="AN188">
        <v>2161376.0019999999</v>
      </c>
      <c r="AO188">
        <v>2132538.4989999998</v>
      </c>
      <c r="AP188">
        <v>2091563.7450000001</v>
      </c>
      <c r="AQ188">
        <v>2043119.1769999999</v>
      </c>
      <c r="AR188">
        <v>1980218.8330000001</v>
      </c>
      <c r="AS188">
        <v>1963929.0079999999</v>
      </c>
      <c r="AT188">
        <v>1946913.2879999999</v>
      </c>
      <c r="AU188">
        <v>1928680.5549999999</v>
      </c>
      <c r="AV188">
        <v>1908035.9509999999</v>
      </c>
      <c r="AW188">
        <v>1884748.013</v>
      </c>
    </row>
    <row r="189" spans="2:49" x14ac:dyDescent="0.25">
      <c r="B189" t="s">
        <v>260</v>
      </c>
      <c r="C189">
        <v>1234344.16589374</v>
      </c>
      <c r="D189">
        <v>1254161.9607370901</v>
      </c>
      <c r="E189">
        <v>1062513.1950000001</v>
      </c>
      <c r="F189">
        <v>1025190.5110000001</v>
      </c>
      <c r="G189">
        <v>941835.95059999998</v>
      </c>
      <c r="H189">
        <v>949711.08360000001</v>
      </c>
      <c r="I189">
        <v>894685.45719999995</v>
      </c>
      <c r="J189">
        <v>824311.54079999996</v>
      </c>
      <c r="K189">
        <v>768461.74349999998</v>
      </c>
      <c r="L189">
        <v>742076.91830000002</v>
      </c>
      <c r="M189">
        <v>723564.80390000006</v>
      </c>
      <c r="N189">
        <v>720136.8861</v>
      </c>
      <c r="O189">
        <v>667433.84640000004</v>
      </c>
      <c r="P189">
        <v>609464.87230000005</v>
      </c>
      <c r="Q189">
        <v>558812.14370000002</v>
      </c>
      <c r="R189">
        <v>519450.70169999998</v>
      </c>
      <c r="S189">
        <v>479783.96460000001</v>
      </c>
      <c r="T189">
        <v>481901.36570000002</v>
      </c>
      <c r="U189">
        <v>485401.72080000001</v>
      </c>
      <c r="V189">
        <v>489658.89520000003</v>
      </c>
      <c r="W189">
        <v>380627.55369999999</v>
      </c>
      <c r="X189">
        <v>301727.14289999998</v>
      </c>
      <c r="Y189">
        <v>252875.20199999999</v>
      </c>
      <c r="Z189">
        <v>219871.59479999999</v>
      </c>
      <c r="AA189">
        <v>193334.0687</v>
      </c>
      <c r="AB189">
        <v>171841.89629999999</v>
      </c>
      <c r="AC189">
        <v>154364.53349999999</v>
      </c>
      <c r="AD189">
        <v>151134.23379999999</v>
      </c>
      <c r="AE189">
        <v>148968.2182</v>
      </c>
      <c r="AF189">
        <v>147137.8798</v>
      </c>
      <c r="AG189">
        <v>145431.15040000001</v>
      </c>
      <c r="AH189">
        <v>143414.8751</v>
      </c>
      <c r="AI189">
        <v>141832.63949999999</v>
      </c>
      <c r="AJ189">
        <v>140136.261</v>
      </c>
      <c r="AK189">
        <v>137766.89920000001</v>
      </c>
      <c r="AL189">
        <v>134810.64189999999</v>
      </c>
      <c r="AM189">
        <v>131450.00020000001</v>
      </c>
      <c r="AN189">
        <v>132012.3897</v>
      </c>
      <c r="AO189">
        <v>131180.05929999999</v>
      </c>
      <c r="AP189">
        <v>129427.9081</v>
      </c>
      <c r="AQ189">
        <v>127197.40210000001</v>
      </c>
      <c r="AR189">
        <v>123941.1464</v>
      </c>
      <c r="AS189">
        <v>123474.2914</v>
      </c>
      <c r="AT189">
        <v>122975.19</v>
      </c>
      <c r="AU189">
        <v>122422.257</v>
      </c>
      <c r="AV189">
        <v>121700.8839</v>
      </c>
      <c r="AW189">
        <v>120793.798</v>
      </c>
    </row>
    <row r="190" spans="2:49" x14ac:dyDescent="0.25">
      <c r="B190" t="s">
        <v>261</v>
      </c>
      <c r="C190">
        <v>16278955.912495499</v>
      </c>
      <c r="D190">
        <v>16540319.8152481</v>
      </c>
      <c r="E190">
        <v>16805880</v>
      </c>
      <c r="F190">
        <v>16816497.850000001</v>
      </c>
      <c r="G190">
        <v>15834230.41</v>
      </c>
      <c r="H190">
        <v>15173662.310000001</v>
      </c>
      <c r="I190">
        <v>14787430.83</v>
      </c>
      <c r="J190">
        <v>12913586.74</v>
      </c>
      <c r="K190">
        <v>11217943.380000001</v>
      </c>
      <c r="L190">
        <v>9841382.375</v>
      </c>
      <c r="M190">
        <v>8812958.5099999998</v>
      </c>
      <c r="N190">
        <v>7972582.3770000003</v>
      </c>
      <c r="O190">
        <v>7253729.9759999998</v>
      </c>
      <c r="P190">
        <v>6496375.4579999996</v>
      </c>
      <c r="Q190">
        <v>5695081.9620000003</v>
      </c>
      <c r="R190">
        <v>5022069.284</v>
      </c>
      <c r="S190">
        <v>4387149.7640000004</v>
      </c>
      <c r="T190">
        <v>5183616.6179999998</v>
      </c>
      <c r="U190">
        <v>5964297.9060000004</v>
      </c>
      <c r="V190">
        <v>6754896.6979999999</v>
      </c>
      <c r="W190">
        <v>7691351.1270000003</v>
      </c>
      <c r="X190">
        <v>8467947.8629999999</v>
      </c>
      <c r="Y190">
        <v>8298613.3420000002</v>
      </c>
      <c r="Z190">
        <v>8105934.733</v>
      </c>
      <c r="AA190">
        <v>7919538.1509999996</v>
      </c>
      <c r="AB190">
        <v>7731364.5959999999</v>
      </c>
      <c r="AC190">
        <v>7527368.4749999996</v>
      </c>
      <c r="AD190">
        <v>7288536.6189999999</v>
      </c>
      <c r="AE190">
        <v>7033586.602</v>
      </c>
      <c r="AF190">
        <v>6771706.0930000003</v>
      </c>
      <c r="AG190">
        <v>6543633.5700000003</v>
      </c>
      <c r="AH190">
        <v>6309724.1600000001</v>
      </c>
      <c r="AI190">
        <v>6077728.8609999996</v>
      </c>
      <c r="AJ190">
        <v>5835678.7479999997</v>
      </c>
      <c r="AK190">
        <v>5582401.3059999999</v>
      </c>
      <c r="AL190">
        <v>5393164.392</v>
      </c>
      <c r="AM190">
        <v>5184394.0750000002</v>
      </c>
      <c r="AN190">
        <v>5005296.0930000003</v>
      </c>
      <c r="AO190">
        <v>4815599.3150000004</v>
      </c>
      <c r="AP190">
        <v>4619956.1749999998</v>
      </c>
      <c r="AQ190">
        <v>4412036.4800000004</v>
      </c>
      <c r="AR190">
        <v>4180283.8169999998</v>
      </c>
      <c r="AS190">
        <v>3706435.986</v>
      </c>
      <c r="AT190">
        <v>3263381.7059999998</v>
      </c>
      <c r="AU190">
        <v>2845356.97</v>
      </c>
      <c r="AV190">
        <v>2449018.11</v>
      </c>
      <c r="AW190">
        <v>2076742.02</v>
      </c>
    </row>
    <row r="191" spans="2:49" x14ac:dyDescent="0.25">
      <c r="B191" t="s">
        <v>262</v>
      </c>
      <c r="C191">
        <v>4315668.6239754204</v>
      </c>
      <c r="D191">
        <v>4384958.0796759203</v>
      </c>
      <c r="E191">
        <v>4455360</v>
      </c>
      <c r="F191">
        <v>4620974.5410000002</v>
      </c>
      <c r="G191">
        <v>4688472.0769999996</v>
      </c>
      <c r="H191">
        <v>4441569.8609999996</v>
      </c>
      <c r="I191">
        <v>4486131.9460000005</v>
      </c>
      <c r="J191">
        <v>4580549.8490000004</v>
      </c>
      <c r="K191">
        <v>4629452.949</v>
      </c>
      <c r="L191">
        <v>4606286.1409999998</v>
      </c>
      <c r="M191">
        <v>4562688.3629999999</v>
      </c>
      <c r="N191">
        <v>4456097.79</v>
      </c>
      <c r="O191">
        <v>4305991.0599999996</v>
      </c>
      <c r="P191">
        <v>4283923.45</v>
      </c>
      <c r="Q191">
        <v>4328663.8689999999</v>
      </c>
      <c r="R191">
        <v>4286611.4819999998</v>
      </c>
      <c r="S191">
        <v>4211888.466</v>
      </c>
      <c r="T191">
        <v>4524298.3439999996</v>
      </c>
      <c r="U191">
        <v>4888037.3310000002</v>
      </c>
      <c r="V191">
        <v>5267002.5180000002</v>
      </c>
      <c r="W191">
        <v>5147183.7280000001</v>
      </c>
      <c r="X191">
        <v>4857733.2640000004</v>
      </c>
      <c r="Y191">
        <v>4588518.46</v>
      </c>
      <c r="Z191">
        <v>4536759.324</v>
      </c>
      <c r="AA191">
        <v>4500070.5429999996</v>
      </c>
      <c r="AB191">
        <v>4429980.0650000004</v>
      </c>
      <c r="AC191">
        <v>4358576.182</v>
      </c>
      <c r="AD191">
        <v>4418331.5429999996</v>
      </c>
      <c r="AE191">
        <v>4487555.12</v>
      </c>
      <c r="AF191">
        <v>4545279.2549999999</v>
      </c>
      <c r="AG191">
        <v>4576982.2580000004</v>
      </c>
      <c r="AH191">
        <v>4589084.2309999997</v>
      </c>
      <c r="AI191">
        <v>4604383.6370000001</v>
      </c>
      <c r="AJ191">
        <v>4600194.8729999997</v>
      </c>
      <c r="AK191">
        <v>4569576.3090000004</v>
      </c>
      <c r="AL191">
        <v>4523573.8830000004</v>
      </c>
      <c r="AM191">
        <v>4455791.3229999999</v>
      </c>
      <c r="AN191">
        <v>4411378.0369999995</v>
      </c>
      <c r="AO191">
        <v>4344043.38</v>
      </c>
      <c r="AP191">
        <v>4262712.5599999996</v>
      </c>
      <c r="AQ191">
        <v>4162114.85</v>
      </c>
      <c r="AR191">
        <v>4037744.7009999999</v>
      </c>
      <c r="AS191">
        <v>4019975.9810000001</v>
      </c>
      <c r="AT191">
        <v>3999751.6710000001</v>
      </c>
      <c r="AU191">
        <v>3975971.5649999999</v>
      </c>
      <c r="AV191">
        <v>3945703.7119999998</v>
      </c>
      <c r="AW191">
        <v>3910678.2969999998</v>
      </c>
    </row>
    <row r="192" spans="2:49" x14ac:dyDescent="0.25">
      <c r="B192" t="s">
        <v>263</v>
      </c>
      <c r="C192">
        <v>4315668.6239754204</v>
      </c>
      <c r="D192">
        <v>4384958.0796759203</v>
      </c>
      <c r="E192">
        <v>4455360</v>
      </c>
      <c r="F192">
        <v>4620974.5410000002</v>
      </c>
      <c r="G192">
        <v>4688472.0769999996</v>
      </c>
      <c r="H192">
        <v>4441569.8609999996</v>
      </c>
      <c r="I192">
        <v>4486131.9460000005</v>
      </c>
      <c r="J192">
        <v>4580549.8490000004</v>
      </c>
      <c r="K192">
        <v>4629452.949</v>
      </c>
      <c r="L192">
        <v>4606286.1409999998</v>
      </c>
      <c r="M192">
        <v>4562688.3629999999</v>
      </c>
      <c r="N192">
        <v>4456097.79</v>
      </c>
      <c r="O192">
        <v>4305991.0599999996</v>
      </c>
      <c r="P192">
        <v>4283923.45</v>
      </c>
      <c r="Q192">
        <v>4328663.8689999999</v>
      </c>
      <c r="R192">
        <v>4286611.4819999998</v>
      </c>
      <c r="S192">
        <v>4211888.466</v>
      </c>
      <c r="T192">
        <v>4524298.3439999996</v>
      </c>
      <c r="U192">
        <v>4888037.3310000002</v>
      </c>
      <c r="V192">
        <v>5267002.5180000002</v>
      </c>
      <c r="W192">
        <v>5147183.7280000001</v>
      </c>
      <c r="X192">
        <v>4857733.2640000004</v>
      </c>
      <c r="Y192">
        <v>4588518.46</v>
      </c>
      <c r="Z192">
        <v>4536759.324</v>
      </c>
      <c r="AA192">
        <v>4500070.5429999996</v>
      </c>
      <c r="AB192">
        <v>4429980.0650000004</v>
      </c>
      <c r="AC192">
        <v>4358576.182</v>
      </c>
      <c r="AD192">
        <v>4418331.5429999996</v>
      </c>
      <c r="AE192">
        <v>4487555.12</v>
      </c>
      <c r="AF192">
        <v>4545279.2549999999</v>
      </c>
      <c r="AG192">
        <v>4576982.2580000004</v>
      </c>
      <c r="AH192">
        <v>4589084.2309999997</v>
      </c>
      <c r="AI192">
        <v>4604383.6370000001</v>
      </c>
      <c r="AJ192">
        <v>4600194.8729999997</v>
      </c>
      <c r="AK192">
        <v>4569576.3090000004</v>
      </c>
      <c r="AL192">
        <v>4523573.8830000004</v>
      </c>
      <c r="AM192">
        <v>4455791.3229999999</v>
      </c>
      <c r="AN192">
        <v>4411378.0369999995</v>
      </c>
      <c r="AO192">
        <v>4344043.38</v>
      </c>
      <c r="AP192">
        <v>4262712.5599999996</v>
      </c>
      <c r="AQ192">
        <v>4162114.85</v>
      </c>
      <c r="AR192">
        <v>4037744.7009999999</v>
      </c>
      <c r="AS192">
        <v>4019975.9810000001</v>
      </c>
      <c r="AT192">
        <v>3999751.6710000001</v>
      </c>
      <c r="AU192">
        <v>3975971.5649999999</v>
      </c>
      <c r="AV192">
        <v>3945703.7119999998</v>
      </c>
      <c r="AW192">
        <v>3910678.2969999998</v>
      </c>
    </row>
    <row r="193" spans="2:49" x14ac:dyDescent="0.25">
      <c r="B193" t="s">
        <v>264</v>
      </c>
      <c r="C193">
        <v>8232235.5397947598</v>
      </c>
      <c r="D193">
        <v>8364406.7441781899</v>
      </c>
      <c r="E193">
        <v>8498700</v>
      </c>
      <c r="F193">
        <v>8378916.9179999996</v>
      </c>
      <c r="G193">
        <v>8245498.3300000001</v>
      </c>
      <c r="H193">
        <v>7592320.0410000002</v>
      </c>
      <c r="I193">
        <v>7455170.4649999999</v>
      </c>
      <c r="J193">
        <v>7400464.2290000003</v>
      </c>
      <c r="K193">
        <v>7271539.2750000004</v>
      </c>
      <c r="L193">
        <v>7032755.8710000003</v>
      </c>
      <c r="M193">
        <v>6770205.057</v>
      </c>
      <c r="N193">
        <v>6426080.8269999996</v>
      </c>
      <c r="O193">
        <v>6732992.3219999997</v>
      </c>
      <c r="P193">
        <v>7295603.2589999996</v>
      </c>
      <c r="Q193">
        <v>8000914.6950000003</v>
      </c>
      <c r="R193">
        <v>8566857.1989999898</v>
      </c>
      <c r="S193">
        <v>9070831.2479999997</v>
      </c>
      <c r="T193">
        <v>8364017.2609999999</v>
      </c>
      <c r="U193">
        <v>7608246.6289999997</v>
      </c>
      <c r="V193">
        <v>6886562.6670000004</v>
      </c>
      <c r="W193">
        <v>7351088.4369999999</v>
      </c>
      <c r="X193">
        <v>8222194.949</v>
      </c>
      <c r="Y193">
        <v>7484708.9869999997</v>
      </c>
      <c r="Z193">
        <v>6672412.7779999999</v>
      </c>
      <c r="AA193">
        <v>5996340.1050000004</v>
      </c>
      <c r="AB193">
        <v>4807356.67</v>
      </c>
      <c r="AC193">
        <v>3729914.1609999998</v>
      </c>
      <c r="AD193">
        <v>3236418.4010000001</v>
      </c>
      <c r="AE193">
        <v>2799285.6189999999</v>
      </c>
      <c r="AF193">
        <v>2415040.3659999999</v>
      </c>
      <c r="AG193">
        <v>2058644.2760000001</v>
      </c>
      <c r="AH193">
        <v>1720953.4850000001</v>
      </c>
      <c r="AI193">
        <v>1178423.8670000001</v>
      </c>
      <c r="AJ193">
        <v>719191.01690000005</v>
      </c>
      <c r="AK193">
        <v>436600.60749999998</v>
      </c>
      <c r="AL193">
        <v>311945.03259999998</v>
      </c>
      <c r="AM193">
        <v>192419.75289999999</v>
      </c>
      <c r="AN193">
        <v>187753.28700000001</v>
      </c>
      <c r="AO193">
        <v>182526.4388</v>
      </c>
      <c r="AP193">
        <v>176461.42800000001</v>
      </c>
      <c r="AQ193">
        <v>170252.6635</v>
      </c>
      <c r="AR193">
        <v>163947.8376</v>
      </c>
      <c r="AS193">
        <v>95748.266600000003</v>
      </c>
      <c r="AT193">
        <v>52671.234980000001</v>
      </c>
      <c r="AU193">
        <v>52032.053330000002</v>
      </c>
      <c r="AV193">
        <v>51375.029320000001</v>
      </c>
      <c r="AW193">
        <v>50732.740850000002</v>
      </c>
    </row>
    <row r="194" spans="2:49" x14ac:dyDescent="0.25">
      <c r="B194" t="s">
        <v>265</v>
      </c>
      <c r="C194">
        <v>20174774.421468802</v>
      </c>
      <c r="D194">
        <v>20498686.950521201</v>
      </c>
      <c r="E194">
        <v>20827800</v>
      </c>
      <c r="F194">
        <v>19626753.850000001</v>
      </c>
      <c r="G194">
        <v>18314435.039999999</v>
      </c>
      <c r="H194">
        <v>15978312.67</v>
      </c>
      <c r="I194">
        <v>14865643.439999999</v>
      </c>
      <c r="J194">
        <v>13982229.18</v>
      </c>
      <c r="K194">
        <v>13018398.59</v>
      </c>
      <c r="L194">
        <v>11933480.15</v>
      </c>
      <c r="M194">
        <v>10890368.02</v>
      </c>
      <c r="N194">
        <v>9799355.352</v>
      </c>
      <c r="O194">
        <v>8289089.5029999996</v>
      </c>
      <c r="P194">
        <v>6999374.3399999999</v>
      </c>
      <c r="Q194">
        <v>6547722.0719999997</v>
      </c>
      <c r="R194">
        <v>6442135.5499999998</v>
      </c>
      <c r="S194">
        <v>6335772.9390000002</v>
      </c>
      <c r="T194">
        <v>6304623.6140000001</v>
      </c>
      <c r="U194">
        <v>6294980.4179999996</v>
      </c>
      <c r="V194">
        <v>6299151.0700000003</v>
      </c>
      <c r="W194">
        <v>6679519.0539999995</v>
      </c>
      <c r="X194">
        <v>7025728.6500000004</v>
      </c>
      <c r="Y194">
        <v>7095659.9879999999</v>
      </c>
      <c r="Z194">
        <v>7141136.1679999996</v>
      </c>
      <c r="AA194">
        <v>7176063.7960000001</v>
      </c>
      <c r="AB194">
        <v>7155133.5</v>
      </c>
      <c r="AC194">
        <v>7134218.8439999996</v>
      </c>
      <c r="AD194">
        <v>7356804.9100000001</v>
      </c>
      <c r="AE194">
        <v>7610913.9160000002</v>
      </c>
      <c r="AF194">
        <v>7864151.5779999997</v>
      </c>
      <c r="AG194">
        <v>8089651.8660000004</v>
      </c>
      <c r="AH194">
        <v>8303022.4220000003</v>
      </c>
      <c r="AI194">
        <v>8503913.7719999999</v>
      </c>
      <c r="AJ194">
        <v>8690696.5920000002</v>
      </c>
      <c r="AK194">
        <v>8852762.0240000002</v>
      </c>
      <c r="AL194">
        <v>9003754.7589999996</v>
      </c>
      <c r="AM194">
        <v>9146630</v>
      </c>
      <c r="AN194">
        <v>9192333.4680000003</v>
      </c>
      <c r="AO194">
        <v>9211708.5999999996</v>
      </c>
      <c r="AP194">
        <v>9225337.4169999994</v>
      </c>
      <c r="AQ194">
        <v>9233374.1449999996</v>
      </c>
      <c r="AR194">
        <v>9237729.4370000008</v>
      </c>
      <c r="AS194">
        <v>9253099.1809999999</v>
      </c>
      <c r="AT194">
        <v>9269211.7589999996</v>
      </c>
      <c r="AU194">
        <v>9284676.1280000005</v>
      </c>
      <c r="AV194">
        <v>9294034.49599999</v>
      </c>
      <c r="AW194">
        <v>9303093.1129999999</v>
      </c>
    </row>
    <row r="195" spans="2:49" x14ac:dyDescent="0.25">
      <c r="B195" t="s">
        <v>266</v>
      </c>
      <c r="C195">
        <v>463787.91773491597</v>
      </c>
      <c r="D195">
        <v>471234.182770602</v>
      </c>
      <c r="E195">
        <v>478800</v>
      </c>
      <c r="F195">
        <v>476253.26130000001</v>
      </c>
      <c r="G195">
        <v>457445.87660000002</v>
      </c>
      <c r="H195">
        <v>432518.92349999998</v>
      </c>
      <c r="I195">
        <v>435850.97989999998</v>
      </c>
      <c r="J195">
        <v>450177.33409999998</v>
      </c>
      <c r="K195">
        <v>448845.59289999999</v>
      </c>
      <c r="L195">
        <v>455015.90210000001</v>
      </c>
      <c r="M195">
        <v>472154.36570000002</v>
      </c>
      <c r="N195">
        <v>496658.57390000002</v>
      </c>
      <c r="O195">
        <v>472557.9167</v>
      </c>
      <c r="P195">
        <v>440212.27350000001</v>
      </c>
      <c r="Q195">
        <v>391032.20760000002</v>
      </c>
      <c r="R195">
        <v>349481.18680000002</v>
      </c>
      <c r="S195">
        <v>311809.94069999998</v>
      </c>
      <c r="T195">
        <v>289479.33679999999</v>
      </c>
      <c r="U195">
        <v>269819.05060000002</v>
      </c>
      <c r="V195">
        <v>251343.21419999999</v>
      </c>
      <c r="W195">
        <v>208338.94399999999</v>
      </c>
      <c r="X195">
        <v>186897.54550000001</v>
      </c>
      <c r="Y195">
        <v>156950.00640000001</v>
      </c>
      <c r="Z195">
        <v>128153.8178</v>
      </c>
      <c r="AA195">
        <v>104699.1538</v>
      </c>
      <c r="AB195">
        <v>84887.782519999906</v>
      </c>
      <c r="AC195">
        <v>67094.073770000003</v>
      </c>
      <c r="AD195">
        <v>57169.335059999998</v>
      </c>
      <c r="AE195">
        <v>48228.880700000002</v>
      </c>
      <c r="AF195">
        <v>40770.821709999997</v>
      </c>
      <c r="AG195">
        <v>33439.977619999998</v>
      </c>
      <c r="AH195">
        <v>27003.577860000001</v>
      </c>
      <c r="AI195">
        <v>20778.965090000002</v>
      </c>
      <c r="AJ195">
        <v>15348.792289999999</v>
      </c>
      <c r="AK195">
        <v>10672.69737</v>
      </c>
      <c r="AL195">
        <v>6906.1408099999999</v>
      </c>
      <c r="AM195">
        <v>3746.3498140000002</v>
      </c>
      <c r="AN195">
        <v>3310.372574</v>
      </c>
      <c r="AO195">
        <v>2940.8211729999998</v>
      </c>
      <c r="AP195">
        <v>2595.3977719999998</v>
      </c>
      <c r="AQ195">
        <v>2277.8239979999998</v>
      </c>
      <c r="AR195">
        <v>1986.2256520000001</v>
      </c>
      <c r="AS195">
        <v>923.27209540000001</v>
      </c>
      <c r="AT195">
        <v>382.14392550000002</v>
      </c>
      <c r="AU195">
        <v>257.0490969</v>
      </c>
      <c r="AV195">
        <v>139.49058640000001</v>
      </c>
      <c r="AW195">
        <v>142.7069357</v>
      </c>
    </row>
    <row r="196" spans="2:49" x14ac:dyDescent="0.25">
      <c r="B196" s="273" t="s">
        <v>267</v>
      </c>
      <c r="C196">
        <v>748170.71461916296</v>
      </c>
      <c r="D196">
        <v>760182.83744504896</v>
      </c>
      <c r="E196">
        <v>665577.06059999997</v>
      </c>
      <c r="F196">
        <v>675477.13119999995</v>
      </c>
      <c r="G196">
        <v>638112.38130000001</v>
      </c>
      <c r="H196">
        <v>626825.66110000003</v>
      </c>
      <c r="I196">
        <v>652942.0673</v>
      </c>
      <c r="J196">
        <v>622389.15549999999</v>
      </c>
      <c r="K196">
        <v>593163.10450000002</v>
      </c>
      <c r="L196">
        <v>559021.07149999996</v>
      </c>
      <c r="M196">
        <v>573709.26529999997</v>
      </c>
      <c r="N196">
        <v>568036.93779999996</v>
      </c>
      <c r="O196">
        <v>566824.16119999997</v>
      </c>
      <c r="P196">
        <v>572264.63859999995</v>
      </c>
      <c r="Q196">
        <v>538241.78709999996</v>
      </c>
      <c r="R196">
        <v>523910.00900000002</v>
      </c>
      <c r="S196">
        <v>521312.4621</v>
      </c>
      <c r="T196">
        <v>507054.45549999998</v>
      </c>
      <c r="U196">
        <v>493838.44319999998</v>
      </c>
      <c r="V196">
        <v>483086.20240000001</v>
      </c>
      <c r="W196">
        <v>444723.18339999998</v>
      </c>
      <c r="X196">
        <v>440095.92849999998</v>
      </c>
      <c r="Y196">
        <v>407248.5379</v>
      </c>
      <c r="Z196">
        <v>374341.31329999998</v>
      </c>
      <c r="AA196">
        <v>349719.89929999999</v>
      </c>
      <c r="AB196">
        <v>324830.60720000003</v>
      </c>
      <c r="AC196">
        <v>297398.7991</v>
      </c>
      <c r="AD196">
        <v>274977.02510000003</v>
      </c>
      <c r="AE196">
        <v>253045.73860000001</v>
      </c>
      <c r="AF196">
        <v>233545.7286</v>
      </c>
      <c r="AG196">
        <v>213415.60269999999</v>
      </c>
      <c r="AH196">
        <v>192970.78270000001</v>
      </c>
      <c r="AI196">
        <v>163244.58199999999</v>
      </c>
      <c r="AJ196">
        <v>132749.32769999999</v>
      </c>
      <c r="AK196">
        <v>102061.7289</v>
      </c>
      <c r="AL196">
        <v>73939.854730000006</v>
      </c>
      <c r="AM196">
        <v>45183.7552</v>
      </c>
      <c r="AN196">
        <v>43314.229039999998</v>
      </c>
      <c r="AO196">
        <v>42037.497230000001</v>
      </c>
      <c r="AP196">
        <v>40834.123760000002</v>
      </c>
      <c r="AQ196">
        <v>39596.012210000001</v>
      </c>
      <c r="AR196">
        <v>38400.758549999999</v>
      </c>
      <c r="AS196">
        <v>22509.187839999999</v>
      </c>
      <c r="AT196">
        <v>12430.841759999999</v>
      </c>
      <c r="AU196">
        <v>12348.85383</v>
      </c>
      <c r="AV196">
        <v>12276.449500000001</v>
      </c>
      <c r="AW196">
        <v>12217.40618</v>
      </c>
    </row>
    <row r="197" spans="2:49" x14ac:dyDescent="0.25">
      <c r="B197" s="273" t="s">
        <v>268</v>
      </c>
      <c r="C197">
        <v>5051155.6907064496</v>
      </c>
      <c r="D197">
        <v>5132253.62916335</v>
      </c>
      <c r="E197">
        <v>4493537.76</v>
      </c>
      <c r="F197">
        <v>4517431.7589999996</v>
      </c>
      <c r="G197">
        <v>4237379.091</v>
      </c>
      <c r="H197">
        <v>4123591.0469999998</v>
      </c>
      <c r="I197">
        <v>4058567.8390000002</v>
      </c>
      <c r="J197">
        <v>3958331.4989999998</v>
      </c>
      <c r="K197">
        <v>3690266.2719999999</v>
      </c>
      <c r="L197">
        <v>3521364.8259999999</v>
      </c>
      <c r="M197">
        <v>3503738.5070000002</v>
      </c>
      <c r="N197">
        <v>3449157.108</v>
      </c>
      <c r="O197">
        <v>3412935.7609999999</v>
      </c>
      <c r="P197">
        <v>3401987.841</v>
      </c>
      <c r="Q197">
        <v>3243712.5690000001</v>
      </c>
      <c r="R197">
        <v>3128156.2390000001</v>
      </c>
      <c r="S197">
        <v>3111270.4309999999</v>
      </c>
      <c r="T197">
        <v>2997162.66</v>
      </c>
      <c r="U197">
        <v>2903042.3110000002</v>
      </c>
      <c r="V197">
        <v>2817322.622</v>
      </c>
      <c r="W197">
        <v>2327502.1680000001</v>
      </c>
      <c r="X197">
        <v>2040156.436</v>
      </c>
      <c r="Y197">
        <v>1727621.723</v>
      </c>
      <c r="Z197">
        <v>1466312.899</v>
      </c>
      <c r="AA197">
        <v>1268798.2339999999</v>
      </c>
      <c r="AB197">
        <v>1104740.1869999999</v>
      </c>
      <c r="AC197">
        <v>958159.66079999995</v>
      </c>
      <c r="AD197">
        <v>808846.08959999995</v>
      </c>
      <c r="AE197">
        <v>680414.60629999998</v>
      </c>
      <c r="AF197">
        <v>580268.84620000003</v>
      </c>
      <c r="AG197">
        <v>495431.04259999999</v>
      </c>
      <c r="AH197">
        <v>421849.73670000001</v>
      </c>
      <c r="AI197">
        <v>337793.60479999997</v>
      </c>
      <c r="AJ197">
        <v>262019.9173</v>
      </c>
      <c r="AK197">
        <v>192884.97469999999</v>
      </c>
      <c r="AL197">
        <v>134206.7121</v>
      </c>
      <c r="AM197">
        <v>79188.316300000006</v>
      </c>
      <c r="AN197">
        <v>74321.647979999994</v>
      </c>
      <c r="AO197">
        <v>69908.939329999994</v>
      </c>
      <c r="AP197">
        <v>65631.082899999994</v>
      </c>
      <c r="AQ197">
        <v>61642.081019999998</v>
      </c>
      <c r="AR197">
        <v>57872.917589999997</v>
      </c>
      <c r="AS197">
        <v>32994.080730000001</v>
      </c>
      <c r="AT197">
        <v>17764.930619999999</v>
      </c>
      <c r="AU197">
        <v>17188.31912</v>
      </c>
      <c r="AV197">
        <v>16649.14141</v>
      </c>
      <c r="AW197">
        <v>16159.24395</v>
      </c>
    </row>
    <row r="198" spans="2:49" x14ac:dyDescent="0.25">
      <c r="B198" s="273" t="s">
        <v>269</v>
      </c>
      <c r="C198">
        <v>738109.45702439197</v>
      </c>
      <c r="D198">
        <v>749960.04310518701</v>
      </c>
      <c r="E198">
        <v>656626.50679999997</v>
      </c>
      <c r="F198">
        <v>699115.31799999997</v>
      </c>
      <c r="G198">
        <v>649956.81129999994</v>
      </c>
      <c r="H198">
        <v>554571.74800000002</v>
      </c>
      <c r="I198">
        <v>602305.70689999999</v>
      </c>
      <c r="J198">
        <v>584736.23060000001</v>
      </c>
      <c r="K198">
        <v>551683.33189999999</v>
      </c>
      <c r="L198">
        <v>539679.9865</v>
      </c>
      <c r="M198">
        <v>554036.09169999999</v>
      </c>
      <c r="N198">
        <v>588853.08660000004</v>
      </c>
      <c r="O198">
        <v>570171.66310000001</v>
      </c>
      <c r="P198">
        <v>548644.74210000003</v>
      </c>
      <c r="Q198">
        <v>491178.04259999999</v>
      </c>
      <c r="R198">
        <v>458481.72710000002</v>
      </c>
      <c r="S198">
        <v>410700.07880000002</v>
      </c>
      <c r="T198">
        <v>378704.65120000002</v>
      </c>
      <c r="U198">
        <v>370781.10729999997</v>
      </c>
      <c r="V198">
        <v>368944.95280000003</v>
      </c>
      <c r="W198">
        <v>295935.19329999998</v>
      </c>
      <c r="X198">
        <v>255392.4424</v>
      </c>
      <c r="Y198">
        <v>215893.15729999999</v>
      </c>
      <c r="Z198">
        <v>184219.59510000001</v>
      </c>
      <c r="AA198">
        <v>162286.89920000001</v>
      </c>
      <c r="AB198">
        <v>144126.15719999999</v>
      </c>
      <c r="AC198">
        <v>126689.72530000001</v>
      </c>
      <c r="AD198">
        <v>109968.8909</v>
      </c>
      <c r="AE198">
        <v>94712.548840000003</v>
      </c>
      <c r="AF198">
        <v>82189.812690000006</v>
      </c>
      <c r="AG198">
        <v>71221.331309999994</v>
      </c>
      <c r="AH198">
        <v>61433.376629999999</v>
      </c>
      <c r="AI198">
        <v>49853.440730000002</v>
      </c>
      <c r="AJ198">
        <v>39084.400370000003</v>
      </c>
      <c r="AK198">
        <v>29019.832869999998</v>
      </c>
      <c r="AL198">
        <v>20356.628659999998</v>
      </c>
      <c r="AM198">
        <v>12099.473099999999</v>
      </c>
      <c r="AN198">
        <v>11414.282310000001</v>
      </c>
      <c r="AO198">
        <v>10808.457710000001</v>
      </c>
      <c r="AP198">
        <v>10219.45326</v>
      </c>
      <c r="AQ198">
        <v>9656.3960210000005</v>
      </c>
      <c r="AR198">
        <v>9173.9716380000009</v>
      </c>
      <c r="AS198">
        <v>5260.053277</v>
      </c>
      <c r="AT198">
        <v>2848.451149</v>
      </c>
      <c r="AU198">
        <v>2770.1556850000002</v>
      </c>
      <c r="AV198">
        <v>2694.5775669999998</v>
      </c>
      <c r="AW198">
        <v>2620.8455140000001</v>
      </c>
    </row>
    <row r="199" spans="2:49" x14ac:dyDescent="0.25">
      <c r="B199" s="273" t="s">
        <v>270</v>
      </c>
      <c r="C199">
        <v>1453742.3069470399</v>
      </c>
      <c r="D199">
        <v>1477082.6099113501</v>
      </c>
      <c r="E199">
        <v>1293257.692</v>
      </c>
      <c r="F199">
        <v>1281812.102</v>
      </c>
      <c r="G199">
        <v>1154719.656</v>
      </c>
      <c r="H199">
        <v>978038.42020000005</v>
      </c>
      <c r="I199">
        <v>991792.52630000003</v>
      </c>
      <c r="J199">
        <v>1069349.577</v>
      </c>
      <c r="K199">
        <v>950968.10369999998</v>
      </c>
      <c r="L199">
        <v>887392.85190000001</v>
      </c>
      <c r="M199">
        <v>885394.70929999999</v>
      </c>
      <c r="N199">
        <v>872024.11739999999</v>
      </c>
      <c r="O199">
        <v>912342.24210000003</v>
      </c>
      <c r="P199">
        <v>947208.73549999995</v>
      </c>
      <c r="Q199">
        <v>934247.39610000001</v>
      </c>
      <c r="R199">
        <v>920841.076</v>
      </c>
      <c r="S199">
        <v>906487.58160000003</v>
      </c>
      <c r="T199">
        <v>870207.11100000003</v>
      </c>
      <c r="U199">
        <v>839958.18740000005</v>
      </c>
      <c r="V199">
        <v>814580.08409999998</v>
      </c>
      <c r="W199">
        <v>672064.11849999998</v>
      </c>
      <c r="X199">
        <v>586735.75109999999</v>
      </c>
      <c r="Y199">
        <v>495559.20730000001</v>
      </c>
      <c r="Z199">
        <v>420820.27590000001</v>
      </c>
      <c r="AA199">
        <v>362741.45669999998</v>
      </c>
      <c r="AB199">
        <v>315118.34299999999</v>
      </c>
      <c r="AC199">
        <v>273594.07740000001</v>
      </c>
      <c r="AD199">
        <v>231686.70499999999</v>
      </c>
      <c r="AE199">
        <v>195281.85759999999</v>
      </c>
      <c r="AF199">
        <v>166804.04329999999</v>
      </c>
      <c r="AG199">
        <v>142607.88140000001</v>
      </c>
      <c r="AH199">
        <v>121658.5935</v>
      </c>
      <c r="AI199">
        <v>97517.279280000002</v>
      </c>
      <c r="AJ199">
        <v>75754.704500000007</v>
      </c>
      <c r="AK199">
        <v>55909.178110000001</v>
      </c>
      <c r="AL199">
        <v>39016.141430000003</v>
      </c>
      <c r="AM199">
        <v>23104.786789999998</v>
      </c>
      <c r="AN199">
        <v>21768.686699999998</v>
      </c>
      <c r="AO199">
        <v>20558.199219999999</v>
      </c>
      <c r="AP199">
        <v>19371.175060000001</v>
      </c>
      <c r="AQ199">
        <v>18269.672869999999</v>
      </c>
      <c r="AR199">
        <v>17235.80659</v>
      </c>
      <c r="AS199">
        <v>9875.2644380000002</v>
      </c>
      <c r="AT199">
        <v>5342.5868570000002</v>
      </c>
      <c r="AU199">
        <v>5192.1144009999998</v>
      </c>
      <c r="AV199">
        <v>5051.0860329999996</v>
      </c>
      <c r="AW199">
        <v>4922.3996809999999</v>
      </c>
    </row>
    <row r="200" spans="2:49" x14ac:dyDescent="0.25">
      <c r="B200" s="273" t="s">
        <v>271</v>
      </c>
      <c r="C200">
        <v>1819036.8432423901</v>
      </c>
      <c r="D200">
        <v>1848242.0681447799</v>
      </c>
      <c r="E200">
        <v>1618225.8559999999</v>
      </c>
      <c r="F200">
        <v>1606346.209</v>
      </c>
      <c r="G200">
        <v>1458825.7709999999</v>
      </c>
      <c r="H200">
        <v>1217816.3810000001</v>
      </c>
      <c r="I200">
        <v>1254290.1459999999</v>
      </c>
      <c r="J200">
        <v>1377052.67</v>
      </c>
      <c r="K200">
        <v>1224678.2560000001</v>
      </c>
      <c r="L200">
        <v>1139520.0220000001</v>
      </c>
      <c r="M200">
        <v>1132902.179</v>
      </c>
      <c r="N200">
        <v>1098022.46</v>
      </c>
      <c r="O200">
        <v>1171355.2709999999</v>
      </c>
      <c r="P200">
        <v>1254254.4129999999</v>
      </c>
      <c r="Q200">
        <v>1269350.6029999999</v>
      </c>
      <c r="R200">
        <v>1279345.4450000001</v>
      </c>
      <c r="S200">
        <v>1259750.44</v>
      </c>
      <c r="T200">
        <v>1230769.7420000001</v>
      </c>
      <c r="U200">
        <v>1186433.8799999999</v>
      </c>
      <c r="V200">
        <v>1160470.6640000001</v>
      </c>
      <c r="W200">
        <v>967606.3872</v>
      </c>
      <c r="X200">
        <v>853595.34080000001</v>
      </c>
      <c r="Y200">
        <v>728776.63</v>
      </c>
      <c r="Z200">
        <v>624775.95819999999</v>
      </c>
      <c r="AA200">
        <v>542395.74049999996</v>
      </c>
      <c r="AB200">
        <v>472180.56020000001</v>
      </c>
      <c r="AC200">
        <v>410882.16810000001</v>
      </c>
      <c r="AD200">
        <v>349768.93689999997</v>
      </c>
      <c r="AE200">
        <v>296400.82659999997</v>
      </c>
      <c r="AF200">
        <v>254318.04990000001</v>
      </c>
      <c r="AG200">
        <v>218117.83319999999</v>
      </c>
      <c r="AH200">
        <v>186880.84299999999</v>
      </c>
      <c r="AI200">
        <v>149783.1477</v>
      </c>
      <c r="AJ200">
        <v>116213.54519999999</v>
      </c>
      <c r="AK200">
        <v>85760.042050000004</v>
      </c>
      <c r="AL200">
        <v>59781.590060000002</v>
      </c>
      <c r="AM200">
        <v>35374.614629999996</v>
      </c>
      <c r="AN200">
        <v>33415.087740000003</v>
      </c>
      <c r="AO200">
        <v>31668.422770000001</v>
      </c>
      <c r="AP200">
        <v>29914.80631</v>
      </c>
      <c r="AQ200">
        <v>28324.31451</v>
      </c>
      <c r="AR200">
        <v>26805.962090000001</v>
      </c>
      <c r="AS200">
        <v>15391.69462</v>
      </c>
      <c r="AT200">
        <v>8336.1546159999998</v>
      </c>
      <c r="AU200">
        <v>8102.7172929999997</v>
      </c>
      <c r="AV200">
        <v>7883.4018669999996</v>
      </c>
      <c r="AW200">
        <v>7695.183274</v>
      </c>
    </row>
    <row r="201" spans="2:49" x14ac:dyDescent="0.25">
      <c r="B201" s="273" t="s">
        <v>272</v>
      </c>
      <c r="C201">
        <v>2313078.33193391</v>
      </c>
      <c r="D201">
        <v>2350215.5527395001</v>
      </c>
      <c r="E201">
        <v>2057728.0649999999</v>
      </c>
      <c r="F201">
        <v>2022078.4839999999</v>
      </c>
      <c r="G201">
        <v>1863136.58</v>
      </c>
      <c r="H201">
        <v>1635426.929</v>
      </c>
      <c r="I201">
        <v>1701196.6170000001</v>
      </c>
      <c r="J201">
        <v>1587676.682</v>
      </c>
      <c r="K201">
        <v>1429916.818</v>
      </c>
      <c r="L201">
        <v>1372032.629</v>
      </c>
      <c r="M201">
        <v>1333013.463</v>
      </c>
      <c r="N201">
        <v>1335927.3089999999</v>
      </c>
      <c r="O201">
        <v>1377428.6669999999</v>
      </c>
      <c r="P201">
        <v>1406861.865</v>
      </c>
      <c r="Q201">
        <v>1394357.63</v>
      </c>
      <c r="R201">
        <v>1369096.7339999999</v>
      </c>
      <c r="S201">
        <v>1374647.9950000001</v>
      </c>
      <c r="T201">
        <v>1332561.365</v>
      </c>
      <c r="U201">
        <v>1288226.1529999999</v>
      </c>
      <c r="V201">
        <v>1249829.179</v>
      </c>
      <c r="W201">
        <v>1025311.382</v>
      </c>
      <c r="X201">
        <v>891283.05559999996</v>
      </c>
      <c r="Y201">
        <v>745920.96470000001</v>
      </c>
      <c r="Z201">
        <v>628531.50159999996</v>
      </c>
      <c r="AA201">
        <v>537833.08629999997</v>
      </c>
      <c r="AB201">
        <v>464224.87709999998</v>
      </c>
      <c r="AC201">
        <v>400713.41560000001</v>
      </c>
      <c r="AD201">
        <v>334475.88319999998</v>
      </c>
      <c r="AE201">
        <v>278501.41249999998</v>
      </c>
      <c r="AF201">
        <v>235529.47159999999</v>
      </c>
      <c r="AG201">
        <v>199749.15460000001</v>
      </c>
      <c r="AH201">
        <v>169257.38219999999</v>
      </c>
      <c r="AI201">
        <v>135041.9449</v>
      </c>
      <c r="AJ201">
        <v>104471.5744</v>
      </c>
      <c r="AK201">
        <v>76788.851039999994</v>
      </c>
      <c r="AL201">
        <v>53366.542359999999</v>
      </c>
      <c r="AM201">
        <v>31469.49958</v>
      </c>
      <c r="AN201">
        <v>29534.685649999999</v>
      </c>
      <c r="AO201">
        <v>27792.984960000002</v>
      </c>
      <c r="AP201">
        <v>26096.508829999999</v>
      </c>
      <c r="AQ201">
        <v>24524.96358</v>
      </c>
      <c r="AR201">
        <v>23050.71125</v>
      </c>
      <c r="AS201">
        <v>13154.86911</v>
      </c>
      <c r="AT201">
        <v>7089.2124260000001</v>
      </c>
      <c r="AU201">
        <v>6865.8864409999996</v>
      </c>
      <c r="AV201">
        <v>6658.5452009999999</v>
      </c>
      <c r="AW201">
        <v>6469.7630669999999</v>
      </c>
    </row>
    <row r="202" spans="2:49" x14ac:dyDescent="0.25">
      <c r="B202" s="273" t="s">
        <v>273</v>
      </c>
      <c r="C202">
        <v>4643279.3828946501</v>
      </c>
      <c r="D202">
        <v>4717828.7352982899</v>
      </c>
      <c r="E202">
        <v>4130688.602</v>
      </c>
      <c r="F202">
        <v>4059930.2170000002</v>
      </c>
      <c r="G202">
        <v>3945971.6690000002</v>
      </c>
      <c r="H202">
        <v>3601996.034</v>
      </c>
      <c r="I202">
        <v>3647113.6060000001</v>
      </c>
      <c r="J202">
        <v>3569780.7429999998</v>
      </c>
      <c r="K202">
        <v>3341008.8289999999</v>
      </c>
      <c r="L202">
        <v>3226901.267</v>
      </c>
      <c r="M202">
        <v>3160557.287</v>
      </c>
      <c r="N202">
        <v>3206999.5580000002</v>
      </c>
      <c r="O202">
        <v>3314659.1209999998</v>
      </c>
      <c r="P202">
        <v>3378810.19</v>
      </c>
      <c r="Q202">
        <v>3328357.909</v>
      </c>
      <c r="R202">
        <v>3343290.6370000001</v>
      </c>
      <c r="S202">
        <v>3292058.807</v>
      </c>
      <c r="T202">
        <v>3173003.97</v>
      </c>
      <c r="U202">
        <v>3057856.148</v>
      </c>
      <c r="V202">
        <v>2955979.7379999999</v>
      </c>
      <c r="W202">
        <v>2457510.6510000001</v>
      </c>
      <c r="X202">
        <v>2151098.3969999999</v>
      </c>
      <c r="Y202">
        <v>1805822.0630000001</v>
      </c>
      <c r="Z202">
        <v>1522974.879</v>
      </c>
      <c r="AA202">
        <v>1300096.6459999999</v>
      </c>
      <c r="AB202">
        <v>1116063.3940000001</v>
      </c>
      <c r="AC202">
        <v>955078.75410000002</v>
      </c>
      <c r="AD202">
        <v>815803.88809999998</v>
      </c>
      <c r="AE202">
        <v>692742.45409999997</v>
      </c>
      <c r="AF202">
        <v>595587.07849999995</v>
      </c>
      <c r="AG202">
        <v>511377.35359999997</v>
      </c>
      <c r="AH202">
        <v>437503.00300000003</v>
      </c>
      <c r="AI202">
        <v>351551.3394</v>
      </c>
      <c r="AJ202">
        <v>273414.97879999998</v>
      </c>
      <c r="AK202">
        <v>201850.66589999999</v>
      </c>
      <c r="AL202">
        <v>140820.7175</v>
      </c>
      <c r="AM202">
        <v>83304.634609999906</v>
      </c>
      <c r="AN202">
        <v>78420.167270000005</v>
      </c>
      <c r="AO202">
        <v>73973.383780000004</v>
      </c>
      <c r="AP202">
        <v>69615.941819999905</v>
      </c>
      <c r="AQ202">
        <v>65567.838250000001</v>
      </c>
      <c r="AR202">
        <v>61746.264309999999</v>
      </c>
      <c r="AS202">
        <v>35317.671770000001</v>
      </c>
      <c r="AT202">
        <v>19077.905019999998</v>
      </c>
      <c r="AU202">
        <v>18515.975190000001</v>
      </c>
      <c r="AV202">
        <v>17986.749329999999</v>
      </c>
      <c r="AW202">
        <v>17505.57806</v>
      </c>
    </row>
    <row r="203" spans="2:49" x14ac:dyDescent="0.25">
      <c r="B203" s="273" t="s">
        <v>274</v>
      </c>
      <c r="C203">
        <v>3833938.33697946</v>
      </c>
      <c r="D203">
        <v>3895493.45710216</v>
      </c>
      <c r="E203">
        <v>3426213.9130000002</v>
      </c>
      <c r="F203">
        <v>3371351.6370000001</v>
      </c>
      <c r="G203">
        <v>3316617.7829999998</v>
      </c>
      <c r="H203">
        <v>2994642.0839999998</v>
      </c>
      <c r="I203">
        <v>3069324.4980000001</v>
      </c>
      <c r="J203">
        <v>3071066.5469999998</v>
      </c>
      <c r="K203">
        <v>2961628.6889999998</v>
      </c>
      <c r="L203">
        <v>2889360.97</v>
      </c>
      <c r="M203">
        <v>2830007.0180000002</v>
      </c>
      <c r="N203">
        <v>2821151.1490000002</v>
      </c>
      <c r="O203">
        <v>2899127.0120000001</v>
      </c>
      <c r="P203">
        <v>3029696.6529999999</v>
      </c>
      <c r="Q203">
        <v>3095890.4169999999</v>
      </c>
      <c r="R203">
        <v>3223389.0279999999</v>
      </c>
      <c r="S203">
        <v>3278091.673</v>
      </c>
      <c r="T203">
        <v>3159485.8220000002</v>
      </c>
      <c r="U203">
        <v>3062307.1779999998</v>
      </c>
      <c r="V203">
        <v>2968812.9739999999</v>
      </c>
      <c r="W203">
        <v>2655031.1970000002</v>
      </c>
      <c r="X203">
        <v>2532982.7549999999</v>
      </c>
      <c r="Y203">
        <v>2294375.14</v>
      </c>
      <c r="Z203">
        <v>2076034.8640000001</v>
      </c>
      <c r="AA203">
        <v>1899238.645</v>
      </c>
      <c r="AB203">
        <v>1741115.591</v>
      </c>
      <c r="AC203">
        <v>1584934.649</v>
      </c>
      <c r="AD203">
        <v>1457119.666</v>
      </c>
      <c r="AE203">
        <v>1330544.74</v>
      </c>
      <c r="AF203">
        <v>1223789.9939999999</v>
      </c>
      <c r="AG203">
        <v>1117002.3119999999</v>
      </c>
      <c r="AH203">
        <v>1009521.808</v>
      </c>
      <c r="AI203">
        <v>853802.89130000002</v>
      </c>
      <c r="AJ203">
        <v>696111.31909999996</v>
      </c>
      <c r="AK203">
        <v>536389.82010000001</v>
      </c>
      <c r="AL203">
        <v>389077.80930000002</v>
      </c>
      <c r="AM203">
        <v>238300.3639</v>
      </c>
      <c r="AN203">
        <v>232621.81959999999</v>
      </c>
      <c r="AO203">
        <v>227104.03589999999</v>
      </c>
      <c r="AP203">
        <v>220715.89809999999</v>
      </c>
      <c r="AQ203">
        <v>214282.88380000001</v>
      </c>
      <c r="AR203">
        <v>207746.9167</v>
      </c>
      <c r="AS203">
        <v>121956.955</v>
      </c>
      <c r="AT203">
        <v>67447.428570000004</v>
      </c>
      <c r="AU203">
        <v>67012.839370000002</v>
      </c>
      <c r="AV203">
        <v>66596.328479999996</v>
      </c>
      <c r="AW203">
        <v>66199.491999999998</v>
      </c>
    </row>
    <row r="204" spans="2:49" x14ac:dyDescent="0.25">
      <c r="B204" s="273" t="s">
        <v>275</v>
      </c>
      <c r="C204">
        <v>271678.64339116903</v>
      </c>
      <c r="D204">
        <v>276040.53188776103</v>
      </c>
      <c r="E204">
        <v>241686.91630000001</v>
      </c>
      <c r="F204">
        <v>245406.69349999999</v>
      </c>
      <c r="G204">
        <v>227549.73019999999</v>
      </c>
      <c r="H204">
        <v>195092.8927</v>
      </c>
      <c r="I204">
        <v>201715.56280000001</v>
      </c>
      <c r="J204">
        <v>198483.85810000001</v>
      </c>
      <c r="K204">
        <v>178547.63939999999</v>
      </c>
      <c r="L204">
        <v>164079.6502</v>
      </c>
      <c r="M204">
        <v>159164.99419999999</v>
      </c>
      <c r="N204">
        <v>166092.28810000001</v>
      </c>
      <c r="O204">
        <v>165725.17660000001</v>
      </c>
      <c r="P204">
        <v>165563.5527</v>
      </c>
      <c r="Q204">
        <v>156814.67060000001</v>
      </c>
      <c r="R204">
        <v>148628.7978</v>
      </c>
      <c r="S204">
        <v>143844.39660000001</v>
      </c>
      <c r="T204">
        <v>138144.89110000001</v>
      </c>
      <c r="U204">
        <v>133437.54740000001</v>
      </c>
      <c r="V204">
        <v>129857.5353</v>
      </c>
      <c r="W204">
        <v>103000.4712</v>
      </c>
      <c r="X204">
        <v>87659.557289999997</v>
      </c>
      <c r="Y204">
        <v>72648.355320000002</v>
      </c>
      <c r="Z204">
        <v>61000.212639999998</v>
      </c>
      <c r="AA204">
        <v>52352.781920000001</v>
      </c>
      <c r="AB204">
        <v>45535.821129999997</v>
      </c>
      <c r="AC204">
        <v>39746.965170000003</v>
      </c>
      <c r="AD204">
        <v>32962.639990000003</v>
      </c>
      <c r="AE204">
        <v>27325.831429999998</v>
      </c>
      <c r="AF204">
        <v>23030.034739999999</v>
      </c>
      <c r="AG204">
        <v>19472.305199999999</v>
      </c>
      <c r="AH204">
        <v>16453.141500000002</v>
      </c>
      <c r="AI204">
        <v>13083.63934</v>
      </c>
      <c r="AJ204">
        <v>10079.94385</v>
      </c>
      <c r="AK204">
        <v>7373.6328119999998</v>
      </c>
      <c r="AL204">
        <v>5097.4127200000003</v>
      </c>
      <c r="AM204">
        <v>2988.4314939999999</v>
      </c>
      <c r="AN204">
        <v>2791.0089979999998</v>
      </c>
      <c r="AO204">
        <v>2614.7403340000001</v>
      </c>
      <c r="AP204">
        <v>2444.2833869999999</v>
      </c>
      <c r="AQ204">
        <v>2287.1504909999999</v>
      </c>
      <c r="AR204">
        <v>2141.9382439999999</v>
      </c>
      <c r="AS204">
        <v>1216.1733300000001</v>
      </c>
      <c r="AT204">
        <v>651.94155499999999</v>
      </c>
      <c r="AU204">
        <v>628.12962019999998</v>
      </c>
      <c r="AV204">
        <v>605.94034360000001</v>
      </c>
      <c r="AW204">
        <v>585.63753729999996</v>
      </c>
    </row>
    <row r="205" spans="2:49" x14ac:dyDescent="0.25">
      <c r="B205" s="273" t="s">
        <v>276</v>
      </c>
      <c r="C205">
        <v>2033071.8879050901</v>
      </c>
      <c r="D205">
        <v>2065713.51468114</v>
      </c>
      <c r="E205">
        <v>1808632.689</v>
      </c>
      <c r="F205">
        <v>1765492.5549999999</v>
      </c>
      <c r="G205">
        <v>1556198.4539999999</v>
      </c>
      <c r="H205">
        <v>1251250.203</v>
      </c>
      <c r="I205">
        <v>1323300.673</v>
      </c>
      <c r="J205">
        <v>1291255.166</v>
      </c>
      <c r="K205">
        <v>1165900.3600000001</v>
      </c>
      <c r="L205">
        <v>1133553.098</v>
      </c>
      <c r="M205">
        <v>1123537.7949999999</v>
      </c>
      <c r="N205">
        <v>1130145.4410000001</v>
      </c>
      <c r="O205">
        <v>1108827.2120000001</v>
      </c>
      <c r="P205">
        <v>1146617.8230000001</v>
      </c>
      <c r="Q205">
        <v>1115469.2609999999</v>
      </c>
      <c r="R205">
        <v>1067396.855</v>
      </c>
      <c r="S205">
        <v>1043460.318</v>
      </c>
      <c r="T205">
        <v>997350.44030000002</v>
      </c>
      <c r="U205">
        <v>955192.32460000005</v>
      </c>
      <c r="V205">
        <v>920171.43530000001</v>
      </c>
      <c r="W205">
        <v>734418.12769999995</v>
      </c>
      <c r="X205">
        <v>619724.71810000006</v>
      </c>
      <c r="Y205">
        <v>510858.21220000001</v>
      </c>
      <c r="Z205">
        <v>425319.55200000003</v>
      </c>
      <c r="AA205">
        <v>360007.35720000003</v>
      </c>
      <c r="AB205">
        <v>307425.43930000003</v>
      </c>
      <c r="AC205">
        <v>262433.69150000002</v>
      </c>
      <c r="AD205">
        <v>219344.05069999999</v>
      </c>
      <c r="AE205">
        <v>182737.64</v>
      </c>
      <c r="AF205">
        <v>154477.87580000001</v>
      </c>
      <c r="AG205">
        <v>130866.4955</v>
      </c>
      <c r="AH205">
        <v>110777.81540000001</v>
      </c>
      <c r="AI205">
        <v>87947.120389999996</v>
      </c>
      <c r="AJ205">
        <v>67604.486000000004</v>
      </c>
      <c r="AK205">
        <v>49346.243779999997</v>
      </c>
      <c r="AL205">
        <v>34045.198100000001</v>
      </c>
      <c r="AM205">
        <v>19923.707340000001</v>
      </c>
      <c r="AN205">
        <v>18583.924599999998</v>
      </c>
      <c r="AO205">
        <v>17381.26599</v>
      </c>
      <c r="AP205">
        <v>16215.62293</v>
      </c>
      <c r="AQ205">
        <v>15143.53464</v>
      </c>
      <c r="AR205">
        <v>14148.856110000001</v>
      </c>
      <c r="AS205">
        <v>8037.1604360000001</v>
      </c>
      <c r="AT205">
        <v>4313.4530089999998</v>
      </c>
      <c r="AU205">
        <v>4162.0492219999996</v>
      </c>
      <c r="AV205">
        <v>4022.8709039999999</v>
      </c>
      <c r="AW205">
        <v>3896.6458429999998</v>
      </c>
    </row>
    <row r="206" spans="2:49" x14ac:dyDescent="0.25">
      <c r="B206" s="273" t="s">
        <v>277</v>
      </c>
      <c r="C206">
        <v>611949.61832884501</v>
      </c>
      <c r="D206">
        <v>621774.66739182698</v>
      </c>
      <c r="E206">
        <v>544393.97349999996</v>
      </c>
      <c r="F206">
        <v>535182.73840000003</v>
      </c>
      <c r="G206">
        <v>479561.57270000002</v>
      </c>
      <c r="H206">
        <v>403580.21220000001</v>
      </c>
      <c r="I206">
        <v>428889.66269999999</v>
      </c>
      <c r="J206">
        <v>411731.53350000002</v>
      </c>
      <c r="K206">
        <v>370194.88410000002</v>
      </c>
      <c r="L206">
        <v>351423.16460000002</v>
      </c>
      <c r="M206">
        <v>350767.27490000002</v>
      </c>
      <c r="N206">
        <v>350715.09350000002</v>
      </c>
      <c r="O206">
        <v>325109.80410000001</v>
      </c>
      <c r="P206">
        <v>314367.09840000002</v>
      </c>
      <c r="Q206">
        <v>279806.8688</v>
      </c>
      <c r="R206">
        <v>256951.0808</v>
      </c>
      <c r="S206">
        <v>243046.78580000001</v>
      </c>
      <c r="T206">
        <v>236729.94829999999</v>
      </c>
      <c r="U206">
        <v>229059.49350000001</v>
      </c>
      <c r="V206">
        <v>223712.85339999999</v>
      </c>
      <c r="W206">
        <v>176352.07889999999</v>
      </c>
      <c r="X206">
        <v>147506.15419999999</v>
      </c>
      <c r="Y206">
        <v>120416.948</v>
      </c>
      <c r="Z206">
        <v>99971.176869999996</v>
      </c>
      <c r="AA206">
        <v>85312.411999999997</v>
      </c>
      <c r="AB206">
        <v>73498.827990000005</v>
      </c>
      <c r="AC206">
        <v>63232.149799999999</v>
      </c>
      <c r="AD206">
        <v>52269.342360000002</v>
      </c>
      <c r="AE206">
        <v>43214.974119999999</v>
      </c>
      <c r="AF206">
        <v>36344.49394</v>
      </c>
      <c r="AG206">
        <v>30695.770639999999</v>
      </c>
      <c r="AH206">
        <v>25932.145229999998</v>
      </c>
      <c r="AI206">
        <v>20638.593809999998</v>
      </c>
      <c r="AJ206">
        <v>15929.82921</v>
      </c>
      <c r="AK206">
        <v>11691.17375</v>
      </c>
      <c r="AL206">
        <v>8116.0379560000001</v>
      </c>
      <c r="AM206">
        <v>4781.4941239999998</v>
      </c>
      <c r="AN206">
        <v>4479.977852</v>
      </c>
      <c r="AO206">
        <v>4212.3634970000003</v>
      </c>
      <c r="AP206">
        <v>3950.8065390000002</v>
      </c>
      <c r="AQ206">
        <v>3709.4373300000002</v>
      </c>
      <c r="AR206">
        <v>3483.2684610000001</v>
      </c>
      <c r="AS206">
        <v>1987.4323099999999</v>
      </c>
      <c r="AT206">
        <v>1070.440229</v>
      </c>
      <c r="AU206">
        <v>1036.052021</v>
      </c>
      <c r="AV206">
        <v>1004.329322</v>
      </c>
      <c r="AW206">
        <v>975.51067669999998</v>
      </c>
    </row>
    <row r="207" spans="2:49" x14ac:dyDescent="0.25">
      <c r="B207" s="273" t="s">
        <v>278</v>
      </c>
      <c r="C207">
        <v>8749188.7351059392</v>
      </c>
      <c r="D207">
        <v>8889659.7902533505</v>
      </c>
      <c r="E207">
        <v>7783329.6699999999</v>
      </c>
      <c r="F207">
        <v>7820952.1830000002</v>
      </c>
      <c r="G207">
        <v>7444181.9469999997</v>
      </c>
      <c r="H207">
        <v>6595046.6009999998</v>
      </c>
      <c r="I207">
        <v>6576567.8059999999</v>
      </c>
      <c r="J207">
        <v>6458150.4709999999</v>
      </c>
      <c r="K207">
        <v>6039592.8689999999</v>
      </c>
      <c r="L207">
        <v>5706479.3360000001</v>
      </c>
      <c r="M207">
        <v>5563923.7249999996</v>
      </c>
      <c r="N207">
        <v>5476525.4819999998</v>
      </c>
      <c r="O207">
        <v>5638350.5290000001</v>
      </c>
      <c r="P207">
        <v>5791076.1490000002</v>
      </c>
      <c r="Q207">
        <v>5654305.5250000004</v>
      </c>
      <c r="R207">
        <v>5714766.5410000002</v>
      </c>
      <c r="S207">
        <v>5718927.4620000003</v>
      </c>
      <c r="T207">
        <v>5581041.9270000001</v>
      </c>
      <c r="U207">
        <v>5382531.1119999997</v>
      </c>
      <c r="V207">
        <v>5204862.2189999996</v>
      </c>
      <c r="W207">
        <v>4194786.1519999998</v>
      </c>
      <c r="X207">
        <v>3586332.6430000002</v>
      </c>
      <c r="Y207">
        <v>3002701.0520000001</v>
      </c>
      <c r="Z207">
        <v>2542550.588</v>
      </c>
      <c r="AA207">
        <v>2209362.1230000001</v>
      </c>
      <c r="AB207">
        <v>1931689.5649999999</v>
      </c>
      <c r="AC207">
        <v>1684206.044</v>
      </c>
      <c r="AD207">
        <v>1425028.9680000001</v>
      </c>
      <c r="AE207">
        <v>1203409.767</v>
      </c>
      <c r="AF207">
        <v>1030585.838</v>
      </c>
      <c r="AG207">
        <v>883546.96349999995</v>
      </c>
      <c r="AH207">
        <v>756453.97829999996</v>
      </c>
      <c r="AI207">
        <v>608479.94389999995</v>
      </c>
      <c r="AJ207">
        <v>474165.47249999997</v>
      </c>
      <c r="AK207">
        <v>350908.91930000001</v>
      </c>
      <c r="AL207">
        <v>245489.98819999999</v>
      </c>
      <c r="AM207">
        <v>145778.5343</v>
      </c>
      <c r="AN207">
        <v>137481.90119999999</v>
      </c>
      <c r="AO207">
        <v>130065.3621</v>
      </c>
      <c r="AP207">
        <v>122728.42690000001</v>
      </c>
      <c r="AQ207">
        <v>115840.9902</v>
      </c>
      <c r="AR207">
        <v>109361.5166</v>
      </c>
      <c r="AS207">
        <v>62701.13942</v>
      </c>
      <c r="AT207">
        <v>33928.691659999997</v>
      </c>
      <c r="AU207">
        <v>32970.538910000003</v>
      </c>
      <c r="AV207">
        <v>32073.93319</v>
      </c>
      <c r="AW207">
        <v>31261.536189999999</v>
      </c>
    </row>
    <row r="208" spans="2:49" x14ac:dyDescent="0.25">
      <c r="B208" s="273" t="s">
        <v>279</v>
      </c>
      <c r="C208">
        <v>583434.83019375498</v>
      </c>
      <c r="D208">
        <v>592802.06510985899</v>
      </c>
      <c r="E208">
        <v>519027.05060000002</v>
      </c>
      <c r="F208">
        <v>540346.12159999995</v>
      </c>
      <c r="G208">
        <v>527120.02320000005</v>
      </c>
      <c r="H208">
        <v>458027.08319999999</v>
      </c>
      <c r="I208">
        <v>456490.5906</v>
      </c>
      <c r="J208">
        <v>463404.16590000002</v>
      </c>
      <c r="K208">
        <v>442848.90159999998</v>
      </c>
      <c r="L208">
        <v>428800.60230000003</v>
      </c>
      <c r="M208">
        <v>400939.36930000002</v>
      </c>
      <c r="N208">
        <v>368848.66009999998</v>
      </c>
      <c r="O208">
        <v>359283.75140000001</v>
      </c>
      <c r="P208">
        <v>362391.23580000002</v>
      </c>
      <c r="Q208">
        <v>353556.8</v>
      </c>
      <c r="R208">
        <v>358348.52799999999</v>
      </c>
      <c r="S208">
        <v>346136.04190000001</v>
      </c>
      <c r="T208">
        <v>343047.54759999999</v>
      </c>
      <c r="U208">
        <v>331951.96039999998</v>
      </c>
      <c r="V208">
        <v>326513.45159999997</v>
      </c>
      <c r="W208">
        <v>300463.353</v>
      </c>
      <c r="X208">
        <v>290904.56809999997</v>
      </c>
      <c r="Y208">
        <v>271220.03519999998</v>
      </c>
      <c r="Z208">
        <v>236229.4578</v>
      </c>
      <c r="AA208">
        <v>216938.73060000001</v>
      </c>
      <c r="AB208">
        <v>202620.85630000001</v>
      </c>
      <c r="AC208">
        <v>187911.799</v>
      </c>
      <c r="AD208">
        <v>172781.17439999999</v>
      </c>
      <c r="AE208">
        <v>158208.03580000001</v>
      </c>
      <c r="AF208">
        <v>144999.7322</v>
      </c>
      <c r="AG208">
        <v>131487.69810000001</v>
      </c>
      <c r="AH208">
        <v>118655.2591</v>
      </c>
      <c r="AI208">
        <v>99063.794349999996</v>
      </c>
      <c r="AJ208">
        <v>79975.539990000005</v>
      </c>
      <c r="AK208">
        <v>61566.899680000002</v>
      </c>
      <c r="AL208">
        <v>44789.508040000001</v>
      </c>
      <c r="AM208">
        <v>27773.524259999998</v>
      </c>
      <c r="AN208">
        <v>26649.42036</v>
      </c>
      <c r="AO208">
        <v>25836.791700000002</v>
      </c>
      <c r="AP208">
        <v>24997.79693</v>
      </c>
      <c r="AQ208">
        <v>24258.335279999999</v>
      </c>
      <c r="AR208">
        <v>23524.550579999999</v>
      </c>
      <c r="AS208">
        <v>14049.31178</v>
      </c>
      <c r="AT208">
        <v>7873.3766489999998</v>
      </c>
      <c r="AU208">
        <v>7815.5257270000002</v>
      </c>
      <c r="AV208">
        <v>7745.6171869999998</v>
      </c>
      <c r="AW208">
        <v>7709.9972600000001</v>
      </c>
    </row>
    <row r="209" spans="2:49" x14ac:dyDescent="0.25">
      <c r="B209" s="273" t="s">
        <v>280</v>
      </c>
      <c r="C209">
        <v>40605.282443966003</v>
      </c>
      <c r="D209">
        <v>41257.2133877546</v>
      </c>
      <c r="E209">
        <v>36122.697679999997</v>
      </c>
      <c r="F209">
        <v>36703.046130000002</v>
      </c>
      <c r="G209">
        <v>34770.865080000003</v>
      </c>
      <c r="H209">
        <v>32564.313839999999</v>
      </c>
      <c r="I209">
        <v>33975.785929999998</v>
      </c>
      <c r="J209">
        <v>33459.100740000002</v>
      </c>
      <c r="K209">
        <v>31742.735509999999</v>
      </c>
      <c r="L209">
        <v>31195.05773</v>
      </c>
      <c r="M209">
        <v>31254.17195</v>
      </c>
      <c r="N209">
        <v>31639.070749999999</v>
      </c>
      <c r="O209">
        <v>33635.79939</v>
      </c>
      <c r="P209">
        <v>35585.609409999997</v>
      </c>
      <c r="Q209">
        <v>34579.71099</v>
      </c>
      <c r="R209">
        <v>34842.982190000002</v>
      </c>
      <c r="S209">
        <v>35639.168039999997</v>
      </c>
      <c r="T209">
        <v>39334.606599999999</v>
      </c>
      <c r="U209">
        <v>42101.199090000002</v>
      </c>
      <c r="V209">
        <v>44059.925649999997</v>
      </c>
      <c r="W209">
        <v>43772.395400000001</v>
      </c>
      <c r="X209">
        <v>46700.909619999999</v>
      </c>
      <c r="Y209">
        <v>44775.132429999998</v>
      </c>
      <c r="Z209">
        <v>42571.519359999998</v>
      </c>
      <c r="AA209">
        <v>40822.059459999997</v>
      </c>
      <c r="AB209">
        <v>38750.598360000004</v>
      </c>
      <c r="AC209">
        <v>36598.104350000001</v>
      </c>
      <c r="AD209">
        <v>34290.08294</v>
      </c>
      <c r="AE209">
        <v>31970.971819999999</v>
      </c>
      <c r="AF209">
        <v>29839.190460000002</v>
      </c>
      <c r="AG209">
        <v>27521.408609999999</v>
      </c>
      <c r="AH209">
        <v>25042.113300000001</v>
      </c>
      <c r="AI209">
        <v>21296.062160000001</v>
      </c>
      <c r="AJ209">
        <v>17350.26657</v>
      </c>
      <c r="AK209">
        <v>13362.765670000001</v>
      </c>
      <c r="AL209">
        <v>9698.2479789999998</v>
      </c>
      <c r="AM209">
        <v>5919.3574429999999</v>
      </c>
      <c r="AN209">
        <v>5671.6991410000001</v>
      </c>
      <c r="AO209">
        <v>5501.5123729999996</v>
      </c>
      <c r="AP209">
        <v>5338.6592529999998</v>
      </c>
      <c r="AQ209">
        <v>5157.3066829999998</v>
      </c>
      <c r="AR209">
        <v>4996.3525250000002</v>
      </c>
      <c r="AS209">
        <v>2924.5842910000001</v>
      </c>
      <c r="AT209">
        <v>1612.501004</v>
      </c>
      <c r="AU209">
        <v>1600.1904939999999</v>
      </c>
      <c r="AV209">
        <v>1589.5393999999999</v>
      </c>
      <c r="AW209">
        <v>1579.6103250000001</v>
      </c>
    </row>
    <row r="210" spans="2:49" x14ac:dyDescent="0.25">
      <c r="B210" s="273" t="s">
        <v>281</v>
      </c>
      <c r="C210">
        <v>55091.732691944802</v>
      </c>
      <c r="D210">
        <v>55976.248280239903</v>
      </c>
      <c r="E210">
        <v>49011.306579999997</v>
      </c>
      <c r="F210">
        <v>51588.313370000003</v>
      </c>
      <c r="G210">
        <v>52664.504110000002</v>
      </c>
      <c r="H210">
        <v>52938.06798</v>
      </c>
      <c r="I210">
        <v>55452.130850000001</v>
      </c>
      <c r="J210">
        <v>57286.368060000001</v>
      </c>
      <c r="K210">
        <v>58507.124830000001</v>
      </c>
      <c r="L210">
        <v>60024.499790000002</v>
      </c>
      <c r="M210">
        <v>61618.199780000003</v>
      </c>
      <c r="N210">
        <v>62417.819530000001</v>
      </c>
      <c r="O210">
        <v>61945.87717</v>
      </c>
      <c r="P210">
        <v>64340.88566</v>
      </c>
      <c r="Q210">
        <v>66094.767640000005</v>
      </c>
      <c r="R210">
        <v>72131.912949999998</v>
      </c>
      <c r="S210">
        <v>85393.142900000006</v>
      </c>
      <c r="T210">
        <v>94395.415349999996</v>
      </c>
      <c r="U210">
        <v>100443.2162</v>
      </c>
      <c r="V210">
        <v>103933.8566</v>
      </c>
      <c r="W210">
        <v>111491.1128</v>
      </c>
      <c r="X210">
        <v>122700.7775</v>
      </c>
      <c r="Y210">
        <v>121703.8306</v>
      </c>
      <c r="Z210">
        <v>119643.7836</v>
      </c>
      <c r="AA210">
        <v>118538.8949</v>
      </c>
      <c r="AB210">
        <v>117278.8161</v>
      </c>
      <c r="AC210">
        <v>114721.1768</v>
      </c>
      <c r="AD210">
        <v>99671.649260000006</v>
      </c>
      <c r="AE210">
        <v>85307.095220000003</v>
      </c>
      <c r="AF210">
        <v>72969.222659999999</v>
      </c>
      <c r="AG210">
        <v>61500.760860000002</v>
      </c>
      <c r="AH210">
        <v>50869.83743</v>
      </c>
      <c r="AI210">
        <v>38710.255140000001</v>
      </c>
      <c r="AJ210">
        <v>27961.958419999999</v>
      </c>
      <c r="AK210">
        <v>18733.53671</v>
      </c>
      <c r="AL210">
        <v>11529.17605</v>
      </c>
      <c r="AM210">
        <v>5792.7261360000002</v>
      </c>
      <c r="AN210">
        <v>5443.341582</v>
      </c>
      <c r="AO210">
        <v>5105.0398320000004</v>
      </c>
      <c r="AP210">
        <v>4758.5881339999996</v>
      </c>
      <c r="AQ210">
        <v>4419.7742580000004</v>
      </c>
      <c r="AR210">
        <v>4095.489947</v>
      </c>
      <c r="AS210">
        <v>2475.2850170000002</v>
      </c>
      <c r="AT210">
        <v>1408.846456</v>
      </c>
      <c r="AU210">
        <v>1439.2307639999999</v>
      </c>
      <c r="AV210">
        <v>1469.324957</v>
      </c>
      <c r="AW210">
        <v>1495.8763280000001</v>
      </c>
    </row>
    <row r="211" spans="2:49" x14ac:dyDescent="0.25">
      <c r="B211" s="273" t="s">
        <v>282</v>
      </c>
      <c r="C211">
        <v>53959.065015136701</v>
      </c>
      <c r="D211">
        <v>54825.395257508797</v>
      </c>
      <c r="E211">
        <v>48086.345000000001</v>
      </c>
      <c r="F211">
        <v>54963.169629999997</v>
      </c>
      <c r="G211">
        <v>60517.548999999999</v>
      </c>
      <c r="H211">
        <v>64957.874040000002</v>
      </c>
      <c r="I211">
        <v>71062.055120000005</v>
      </c>
      <c r="J211">
        <v>76233.835560000007</v>
      </c>
      <c r="K211">
        <v>80424.731969999906</v>
      </c>
      <c r="L211">
        <v>83993.593640000006</v>
      </c>
      <c r="M211">
        <v>86134.506980000006</v>
      </c>
      <c r="N211">
        <v>86216.18432</v>
      </c>
      <c r="O211">
        <v>94693.287330000006</v>
      </c>
      <c r="P211">
        <v>104787.32</v>
      </c>
      <c r="Q211">
        <v>115476.70110000001</v>
      </c>
      <c r="R211">
        <v>127946.6192</v>
      </c>
      <c r="S211">
        <v>142403.06140000001</v>
      </c>
      <c r="T211">
        <v>209624.55910000001</v>
      </c>
      <c r="U211">
        <v>257915.21410000001</v>
      </c>
      <c r="V211">
        <v>293342.37530000001</v>
      </c>
      <c r="W211">
        <v>255568.5385</v>
      </c>
      <c r="X211">
        <v>232683.2635</v>
      </c>
      <c r="Y211">
        <v>224420.83230000001</v>
      </c>
      <c r="Z211">
        <v>213646.9809</v>
      </c>
      <c r="AA211">
        <v>205100.02429999999</v>
      </c>
      <c r="AB211">
        <v>196686.26569999999</v>
      </c>
      <c r="AC211">
        <v>187019.9547</v>
      </c>
      <c r="AD211">
        <v>169811.3199</v>
      </c>
      <c r="AE211">
        <v>152912.59710000001</v>
      </c>
      <c r="AF211">
        <v>138435.43719999999</v>
      </c>
      <c r="AG211">
        <v>124220.7807</v>
      </c>
      <c r="AH211">
        <v>110415.38679999999</v>
      </c>
      <c r="AI211">
        <v>92082.48431</v>
      </c>
      <c r="AJ211">
        <v>73950.266210000002</v>
      </c>
      <c r="AK211">
        <v>56105.691299999999</v>
      </c>
      <c r="AL211">
        <v>40068.440730000002</v>
      </c>
      <c r="AM211">
        <v>24179.67712</v>
      </c>
      <c r="AN211">
        <v>24731.806560000001</v>
      </c>
      <c r="AO211">
        <v>25204.21845</v>
      </c>
      <c r="AP211">
        <v>25604.319780000002</v>
      </c>
      <c r="AQ211">
        <v>25926.543320000001</v>
      </c>
      <c r="AR211">
        <v>26153.187180000001</v>
      </c>
      <c r="AS211">
        <v>16046.25685</v>
      </c>
      <c r="AT211">
        <v>9278.5016689999902</v>
      </c>
      <c r="AU211">
        <v>9613.5030200000001</v>
      </c>
      <c r="AV211">
        <v>9906.7767710000007</v>
      </c>
      <c r="AW211">
        <v>10211.330120000001</v>
      </c>
    </row>
    <row r="212" spans="2:49" x14ac:dyDescent="0.25">
      <c r="B212" s="273" t="s">
        <v>283</v>
      </c>
      <c r="C212">
        <v>216238.436565001</v>
      </c>
      <c r="D212">
        <v>219710.21460835601</v>
      </c>
      <c r="E212">
        <v>192366.9828</v>
      </c>
      <c r="F212">
        <v>215115.20559999999</v>
      </c>
      <c r="G212">
        <v>179798.8953</v>
      </c>
      <c r="H212">
        <v>119812.2844</v>
      </c>
      <c r="I212">
        <v>122343.147</v>
      </c>
      <c r="J212">
        <v>94143.679910000006</v>
      </c>
      <c r="K212">
        <v>110225.1134</v>
      </c>
      <c r="L212">
        <v>95900.684999999998</v>
      </c>
      <c r="M212">
        <v>82565.953739999997</v>
      </c>
      <c r="N212">
        <v>70458.662270000001</v>
      </c>
      <c r="O212">
        <v>54420.176440000003</v>
      </c>
      <c r="P212">
        <v>52649.495320000002</v>
      </c>
      <c r="Q212">
        <v>48020.118560000003</v>
      </c>
      <c r="R212">
        <v>47076.041429999997</v>
      </c>
      <c r="S212">
        <v>45909.752209999999</v>
      </c>
      <c r="T212">
        <v>42886.842040000003</v>
      </c>
      <c r="U212">
        <v>40765.33973</v>
      </c>
      <c r="V212">
        <v>38632.689469999998</v>
      </c>
      <c r="W212">
        <v>35184.986239999998</v>
      </c>
      <c r="X212">
        <v>32876.615669999999</v>
      </c>
      <c r="Y212">
        <v>31175.534459999999</v>
      </c>
      <c r="Z212">
        <v>29920.200349999999</v>
      </c>
      <c r="AA212">
        <v>30383.8213</v>
      </c>
      <c r="AB212">
        <v>30660.750100000001</v>
      </c>
      <c r="AC212">
        <v>29899.276279999998</v>
      </c>
      <c r="AD212">
        <v>28270.34621</v>
      </c>
      <c r="AE212">
        <v>26601.799340000001</v>
      </c>
      <c r="AF212">
        <v>24993.487570000001</v>
      </c>
      <c r="AG212">
        <v>23202.10111</v>
      </c>
      <c r="AH212">
        <v>21410.70622</v>
      </c>
      <c r="AI212">
        <v>18393.104490000002</v>
      </c>
      <c r="AJ212">
        <v>15513.360259999999</v>
      </c>
      <c r="AK212">
        <v>12689.377920000001</v>
      </c>
      <c r="AL212">
        <v>9992.0276880000001</v>
      </c>
      <c r="AM212">
        <v>6899.4108180000003</v>
      </c>
      <c r="AN212">
        <v>6792.8626480000003</v>
      </c>
      <c r="AO212">
        <v>6612.8245360000001</v>
      </c>
      <c r="AP212">
        <v>6405.9579249999997</v>
      </c>
      <c r="AQ212">
        <v>6194.2309580000001</v>
      </c>
      <c r="AR212">
        <v>5983.4545449999996</v>
      </c>
      <c r="AS212">
        <v>3896.6918369999999</v>
      </c>
      <c r="AT212">
        <v>2378.3846579999999</v>
      </c>
      <c r="AU212">
        <v>2407.8000240000001</v>
      </c>
      <c r="AV212">
        <v>2400.8617800000002</v>
      </c>
      <c r="AW212">
        <v>2387.1560720000002</v>
      </c>
    </row>
    <row r="213" spans="2:49" x14ac:dyDescent="0.25">
      <c r="B213" s="273" t="s">
        <v>284</v>
      </c>
      <c r="C213">
        <v>215538.66868192199</v>
      </c>
      <c r="D213">
        <v>218999.21172556799</v>
      </c>
      <c r="E213">
        <v>191744.46520000001</v>
      </c>
      <c r="F213">
        <v>195395.80609999999</v>
      </c>
      <c r="G213">
        <v>193326.989</v>
      </c>
      <c r="H213">
        <v>148288.7623</v>
      </c>
      <c r="I213">
        <v>122612.898</v>
      </c>
      <c r="J213">
        <v>125899.982</v>
      </c>
      <c r="K213">
        <v>123164.4388</v>
      </c>
      <c r="L213">
        <v>116412.7375</v>
      </c>
      <c r="M213">
        <v>111606.1222</v>
      </c>
      <c r="N213">
        <v>108618.95170000001</v>
      </c>
      <c r="O213">
        <v>99686.783379999906</v>
      </c>
      <c r="P213">
        <v>95824.794909999997</v>
      </c>
      <c r="Q213">
        <v>97531.876680000001</v>
      </c>
      <c r="R213">
        <v>91542.369779999906</v>
      </c>
      <c r="S213">
        <v>83383.702730000005</v>
      </c>
      <c r="T213">
        <v>72157.344119999994</v>
      </c>
      <c r="U213">
        <v>62488.497309999999</v>
      </c>
      <c r="V213">
        <v>53970.212299999999</v>
      </c>
      <c r="W213">
        <v>44983.592149999997</v>
      </c>
      <c r="X213">
        <v>38772.413990000001</v>
      </c>
      <c r="Y213">
        <v>35968.256930000003</v>
      </c>
      <c r="Z213">
        <v>34118.353369999997</v>
      </c>
      <c r="AA213">
        <v>32650.522079999999</v>
      </c>
      <c r="AB213">
        <v>31182.59563</v>
      </c>
      <c r="AC213">
        <v>29646.780839999999</v>
      </c>
      <c r="AD213">
        <v>27282.02016</v>
      </c>
      <c r="AE213">
        <v>24867.22997</v>
      </c>
      <c r="AF213">
        <v>22806.602620000001</v>
      </c>
      <c r="AG213">
        <v>20857.854930000001</v>
      </c>
      <c r="AH213">
        <v>19032.19039</v>
      </c>
      <c r="AI213">
        <v>15925.70016</v>
      </c>
      <c r="AJ213">
        <v>13141.90135</v>
      </c>
      <c r="AK213">
        <v>10590.90177</v>
      </c>
      <c r="AL213">
        <v>8278.4570559999902</v>
      </c>
      <c r="AM213">
        <v>5754.0087480000002</v>
      </c>
      <c r="AN213">
        <v>5583.3772499999995</v>
      </c>
      <c r="AO213">
        <v>5336.9624000000003</v>
      </c>
      <c r="AP213">
        <v>5084.518626</v>
      </c>
      <c r="AQ213">
        <v>4849.9304629999997</v>
      </c>
      <c r="AR213">
        <v>4628.2070169999997</v>
      </c>
      <c r="AS213">
        <v>3064.1132050000001</v>
      </c>
      <c r="AT213">
        <v>1907.584143</v>
      </c>
      <c r="AU213">
        <v>1924.7156179999999</v>
      </c>
      <c r="AV213">
        <v>1903.588984</v>
      </c>
      <c r="AW213">
        <v>1876.396508</v>
      </c>
    </row>
    <row r="214" spans="2:49" x14ac:dyDescent="0.25">
      <c r="B214" s="273" t="s">
        <v>285</v>
      </c>
      <c r="C214">
        <v>7946676.0051002903</v>
      </c>
      <c r="D214">
        <v>8074262.4587873695</v>
      </c>
      <c r="E214">
        <v>7069409.6330000004</v>
      </c>
      <c r="F214">
        <v>7414386.9380000001</v>
      </c>
      <c r="G214">
        <v>7451829.3459999999</v>
      </c>
      <c r="H214">
        <v>7235936.5559999999</v>
      </c>
      <c r="I214">
        <v>7709320.6720000003</v>
      </c>
      <c r="J214">
        <v>7895370.7649999997</v>
      </c>
      <c r="K214">
        <v>7797436.0640000002</v>
      </c>
      <c r="L214">
        <v>7855248.1859999998</v>
      </c>
      <c r="M214">
        <v>8196600.2829999998</v>
      </c>
      <c r="N214">
        <v>8797831.2349999994</v>
      </c>
      <c r="O214">
        <v>9113863.4409999996</v>
      </c>
      <c r="P214">
        <v>9009000.4000000004</v>
      </c>
      <c r="Q214">
        <v>8371511.2460000003</v>
      </c>
      <c r="R214">
        <v>7899537.1880000001</v>
      </c>
      <c r="S214">
        <v>7611592.551</v>
      </c>
      <c r="T214">
        <v>7224275.1569999997</v>
      </c>
      <c r="U214">
        <v>6870130.9220000003</v>
      </c>
      <c r="V214">
        <v>6516500.1730000004</v>
      </c>
      <c r="W214">
        <v>7173801.7249999996</v>
      </c>
      <c r="X214">
        <v>8158143.6359999999</v>
      </c>
      <c r="Y214">
        <v>8175358.8700000001</v>
      </c>
      <c r="Z214">
        <v>7738959.3059999999</v>
      </c>
      <c r="AA214">
        <v>7300560.4050000003</v>
      </c>
      <c r="AB214">
        <v>6811582.5920000002</v>
      </c>
      <c r="AC214">
        <v>6217845.2249999996</v>
      </c>
      <c r="AD214">
        <v>5640731.6069999998</v>
      </c>
      <c r="AE214">
        <v>5044884.4139999999</v>
      </c>
      <c r="AF214">
        <v>4516411.4790000003</v>
      </c>
      <c r="AG214">
        <v>4001483.4169999999</v>
      </c>
      <c r="AH214">
        <v>3506477.821</v>
      </c>
      <c r="AI214">
        <v>2870990.4</v>
      </c>
      <c r="AJ214">
        <v>2262257.077</v>
      </c>
      <c r="AK214">
        <v>1687982.085</v>
      </c>
      <c r="AL214">
        <v>1187369.1359999999</v>
      </c>
      <c r="AM214">
        <v>705243.20990000002</v>
      </c>
      <c r="AN214">
        <v>655359.55429999996</v>
      </c>
      <c r="AO214">
        <v>614471.31660000002</v>
      </c>
      <c r="AP214">
        <v>575958.36739999999</v>
      </c>
      <c r="AQ214">
        <v>539161.34990000003</v>
      </c>
      <c r="AR214">
        <v>505028.5012</v>
      </c>
      <c r="AS214">
        <v>287421.38280000002</v>
      </c>
      <c r="AT214">
        <v>153972.2199</v>
      </c>
      <c r="AU214">
        <v>147921.6257</v>
      </c>
      <c r="AV214">
        <v>142156.67069999999</v>
      </c>
      <c r="AW214">
        <v>136658.0765</v>
      </c>
    </row>
    <row r="215" spans="2:49" x14ac:dyDescent="0.25">
      <c r="B215" s="273" t="s">
        <v>286</v>
      </c>
      <c r="C215">
        <v>4498800.2848123703</v>
      </c>
      <c r="D215">
        <v>4571029.97856321</v>
      </c>
      <c r="E215">
        <v>4002159.148</v>
      </c>
      <c r="F215">
        <v>4043241.872</v>
      </c>
      <c r="G215">
        <v>3963681.2039999999</v>
      </c>
      <c r="H215">
        <v>4073434.4389999998</v>
      </c>
      <c r="I215">
        <v>4166106.196</v>
      </c>
      <c r="J215">
        <v>4132240.216</v>
      </c>
      <c r="K215">
        <v>4036963.173</v>
      </c>
      <c r="L215">
        <v>4046179.7390000001</v>
      </c>
      <c r="M215">
        <v>4141032.8849999998</v>
      </c>
      <c r="N215">
        <v>4364017.9270000001</v>
      </c>
      <c r="O215">
        <v>4437761.7570000002</v>
      </c>
      <c r="P215">
        <v>4289694.6160000004</v>
      </c>
      <c r="Q215">
        <v>3918952.179</v>
      </c>
      <c r="R215">
        <v>3656205.1740000001</v>
      </c>
      <c r="S215">
        <v>3475610.5869999998</v>
      </c>
      <c r="T215">
        <v>3309492.247</v>
      </c>
      <c r="U215">
        <v>3160061.392</v>
      </c>
      <c r="V215">
        <v>3011036.49</v>
      </c>
      <c r="W215">
        <v>3031101.48</v>
      </c>
      <c r="X215">
        <v>3205080.9610000001</v>
      </c>
      <c r="Y215">
        <v>3063007.9169999999</v>
      </c>
      <c r="Z215">
        <v>2809223.8489999999</v>
      </c>
      <c r="AA215">
        <v>2581260.5750000002</v>
      </c>
      <c r="AB215">
        <v>2356660.872</v>
      </c>
      <c r="AC215">
        <v>2114553.0159999998</v>
      </c>
      <c r="AD215">
        <v>1920610.9650000001</v>
      </c>
      <c r="AE215">
        <v>1724176.8330000001</v>
      </c>
      <c r="AF215">
        <v>1551190.426</v>
      </c>
      <c r="AG215">
        <v>1382121.102</v>
      </c>
      <c r="AH215">
        <v>1218010.45</v>
      </c>
      <c r="AI215">
        <v>1003112.838</v>
      </c>
      <c r="AJ215">
        <v>795360.40520000004</v>
      </c>
      <c r="AK215">
        <v>596742.90339999995</v>
      </c>
      <c r="AL215">
        <v>421813.54080000002</v>
      </c>
      <c r="AM215">
        <v>251779.7353</v>
      </c>
      <c r="AN215">
        <v>236239.63459999999</v>
      </c>
      <c r="AO215">
        <v>223053.9964</v>
      </c>
      <c r="AP215">
        <v>210290.06299999999</v>
      </c>
      <c r="AQ215">
        <v>198030.231</v>
      </c>
      <c r="AR215">
        <v>186464.3958</v>
      </c>
      <c r="AS215">
        <v>106577.5462</v>
      </c>
      <c r="AT215">
        <v>57349.253120000001</v>
      </c>
      <c r="AU215">
        <v>55356.113160000001</v>
      </c>
      <c r="AV215">
        <v>53447.031880000002</v>
      </c>
      <c r="AW215">
        <v>51616.658109999997</v>
      </c>
    </row>
    <row r="216" spans="2:49" x14ac:dyDescent="0.25">
      <c r="B216" s="273" t="s">
        <v>287</v>
      </c>
      <c r="C216">
        <v>0.96864644472622397</v>
      </c>
      <c r="D216">
        <v>0.984198376713873</v>
      </c>
      <c r="E216">
        <v>1</v>
      </c>
      <c r="F216">
        <v>0.97936994690000001</v>
      </c>
      <c r="G216">
        <v>0.92194365160000002</v>
      </c>
      <c r="H216">
        <v>0.87183722770000005</v>
      </c>
      <c r="I216">
        <v>0.84038148690000003</v>
      </c>
      <c r="J216">
        <v>0.79765940570000005</v>
      </c>
      <c r="K216">
        <v>0.75234818810000004</v>
      </c>
      <c r="L216">
        <v>0.71722682400000004</v>
      </c>
      <c r="M216">
        <v>0.69176189850000003</v>
      </c>
      <c r="N216">
        <v>0.6749215274</v>
      </c>
      <c r="O216">
        <v>0.66411206249999999</v>
      </c>
      <c r="P216">
        <v>0.64793341959999995</v>
      </c>
      <c r="Q216">
        <v>0.62577045659999997</v>
      </c>
      <c r="R216">
        <v>0.61196646180000003</v>
      </c>
      <c r="S216">
        <v>0.58802508909999995</v>
      </c>
      <c r="T216">
        <v>0.55937430190000004</v>
      </c>
      <c r="U216">
        <v>0.53190261640000003</v>
      </c>
      <c r="V216">
        <v>0.50503063199999998</v>
      </c>
      <c r="W216">
        <v>0.44853222030000001</v>
      </c>
      <c r="X216">
        <v>0.42040560669999999</v>
      </c>
      <c r="Y216">
        <v>0.37342166290000001</v>
      </c>
      <c r="Z216">
        <v>0.32697075479999999</v>
      </c>
      <c r="AA216">
        <v>0.29154356710000001</v>
      </c>
      <c r="AB216">
        <v>0.2611265136</v>
      </c>
      <c r="AC216">
        <v>0.2318350267</v>
      </c>
      <c r="AD216">
        <v>0.2074876018</v>
      </c>
      <c r="AE216">
        <v>0.18414084059999999</v>
      </c>
      <c r="AF216">
        <v>0.16391708860000001</v>
      </c>
      <c r="AG216">
        <v>0.1445296979</v>
      </c>
      <c r="AH216">
        <v>0.12594321410000001</v>
      </c>
      <c r="AI216">
        <v>0.1025675613</v>
      </c>
      <c r="AJ216">
        <v>8.0324141599999996E-2</v>
      </c>
      <c r="AK216">
        <v>5.9380059200000002E-2</v>
      </c>
      <c r="AL216">
        <v>4.1261143399999999E-2</v>
      </c>
      <c r="AM216">
        <v>2.4149060600000001E-2</v>
      </c>
      <c r="AN216">
        <v>2.2702003599999999E-2</v>
      </c>
      <c r="AO216">
        <v>2.1290683899999999E-2</v>
      </c>
      <c r="AP216">
        <v>1.9837817300000001E-2</v>
      </c>
      <c r="AQ216">
        <v>1.84052405E-2</v>
      </c>
      <c r="AR216">
        <v>1.6986540299999998E-2</v>
      </c>
      <c r="AS216">
        <v>9.6978807999999906E-3</v>
      </c>
      <c r="AT216">
        <v>5.2282037700000002E-3</v>
      </c>
      <c r="AU216" s="39">
        <v>5.06365809E-3</v>
      </c>
      <c r="AV216">
        <v>4.9038138899999998E-3</v>
      </c>
      <c r="AW216">
        <v>4.7501846100000003E-3</v>
      </c>
    </row>
    <row r="217" spans="2:49" x14ac:dyDescent="0.25">
      <c r="B217" s="274" t="s">
        <v>288</v>
      </c>
      <c r="C217">
        <v>8232235.5397947598</v>
      </c>
      <c r="D217">
        <v>8364406.7441781899</v>
      </c>
      <c r="E217">
        <v>8498700</v>
      </c>
      <c r="F217">
        <v>8378916.9179999996</v>
      </c>
      <c r="G217">
        <v>8245498.3300000001</v>
      </c>
      <c r="H217">
        <v>7592320.0410000002</v>
      </c>
      <c r="I217">
        <v>7455170.4649999999</v>
      </c>
      <c r="J217">
        <v>7400464.2290000003</v>
      </c>
      <c r="K217">
        <v>7271539.2750000004</v>
      </c>
      <c r="L217">
        <v>7032755.8710000003</v>
      </c>
      <c r="M217">
        <v>6770205.057</v>
      </c>
      <c r="N217">
        <v>6426080.8269999996</v>
      </c>
      <c r="O217">
        <v>6732992.3219999997</v>
      </c>
      <c r="P217">
        <v>7295603.2589999996</v>
      </c>
      <c r="Q217">
        <v>8000914.6950000003</v>
      </c>
      <c r="R217">
        <v>8566857.1989999898</v>
      </c>
      <c r="S217">
        <v>9070831.2479999997</v>
      </c>
      <c r="T217">
        <v>8364017.2609999999</v>
      </c>
      <c r="U217">
        <v>7608246.6289999997</v>
      </c>
      <c r="V217">
        <v>6886562.6670000004</v>
      </c>
      <c r="W217">
        <v>7351088.4369999999</v>
      </c>
      <c r="X217">
        <v>8222194.949</v>
      </c>
      <c r="Y217">
        <v>7484708.9869999997</v>
      </c>
      <c r="Z217">
        <v>6672412.7779999999</v>
      </c>
      <c r="AA217">
        <v>5996340.1050000004</v>
      </c>
      <c r="AB217">
        <v>4807356.67</v>
      </c>
      <c r="AC217">
        <v>3729914.1609999998</v>
      </c>
      <c r="AD217">
        <v>3236418.4010000001</v>
      </c>
      <c r="AE217">
        <v>2799285.6189999999</v>
      </c>
      <c r="AF217">
        <v>2415040.3659999999</v>
      </c>
      <c r="AG217">
        <v>2058644.2760000001</v>
      </c>
      <c r="AH217">
        <v>1720953.4850000001</v>
      </c>
      <c r="AI217">
        <v>1178423.8670000001</v>
      </c>
      <c r="AJ217">
        <v>719191.01690000005</v>
      </c>
      <c r="AK217">
        <v>436600.60749999998</v>
      </c>
      <c r="AL217">
        <v>311945.03259999998</v>
      </c>
      <c r="AM217">
        <v>192419.75289999999</v>
      </c>
      <c r="AN217">
        <v>187753.28700000001</v>
      </c>
      <c r="AO217">
        <v>182526.4388</v>
      </c>
      <c r="AP217">
        <v>176461.42800000001</v>
      </c>
      <c r="AQ217">
        <v>170252.6635</v>
      </c>
      <c r="AR217">
        <v>163947.8376</v>
      </c>
      <c r="AS217">
        <v>95748.266600000003</v>
      </c>
      <c r="AT217">
        <v>52671.234980000001</v>
      </c>
      <c r="AU217">
        <v>52032.053330000002</v>
      </c>
      <c r="AV217">
        <v>51375.029320000001</v>
      </c>
      <c r="AW217">
        <v>50732.740850000002</v>
      </c>
    </row>
    <row r="218" spans="2:49" x14ac:dyDescent="0.25">
      <c r="B218" s="273" t="s">
        <v>289</v>
      </c>
      <c r="C218">
        <v>463787.91773491597</v>
      </c>
      <c r="D218">
        <v>471234.182770602</v>
      </c>
      <c r="E218">
        <v>478800</v>
      </c>
      <c r="F218">
        <v>476253.26130000001</v>
      </c>
      <c r="G218">
        <v>457445.87660000002</v>
      </c>
      <c r="H218">
        <v>432518.92349999998</v>
      </c>
      <c r="I218">
        <v>435850.97989999998</v>
      </c>
      <c r="J218">
        <v>450177.33409999998</v>
      </c>
      <c r="K218">
        <v>448845.59289999999</v>
      </c>
      <c r="L218">
        <v>455015.90210000001</v>
      </c>
      <c r="M218">
        <v>472154.36570000002</v>
      </c>
      <c r="N218">
        <v>496658.57390000002</v>
      </c>
      <c r="O218">
        <v>472557.9167</v>
      </c>
      <c r="P218">
        <v>440212.27350000001</v>
      </c>
      <c r="Q218">
        <v>391032.20760000002</v>
      </c>
      <c r="R218">
        <v>349481.18680000002</v>
      </c>
      <c r="S218">
        <v>311809.94069999998</v>
      </c>
      <c r="T218">
        <v>289479.33679999999</v>
      </c>
      <c r="U218">
        <v>269819.05060000002</v>
      </c>
      <c r="V218">
        <v>251343.21419999999</v>
      </c>
      <c r="W218">
        <v>208338.94399999999</v>
      </c>
      <c r="X218">
        <v>186897.54550000001</v>
      </c>
      <c r="Y218">
        <v>156950.00640000001</v>
      </c>
      <c r="Z218">
        <v>128153.8178</v>
      </c>
      <c r="AA218">
        <v>104699.1538</v>
      </c>
      <c r="AB218">
        <v>84887.782519999906</v>
      </c>
      <c r="AC218">
        <v>67094.073770000003</v>
      </c>
      <c r="AD218">
        <v>57169.335059999998</v>
      </c>
      <c r="AE218">
        <v>48228.880700000002</v>
      </c>
      <c r="AF218">
        <v>40770.821709999997</v>
      </c>
      <c r="AG218">
        <v>33439.977619999998</v>
      </c>
      <c r="AH218">
        <v>27003.577860000001</v>
      </c>
      <c r="AI218">
        <v>20778.965090000002</v>
      </c>
      <c r="AJ218">
        <v>15348.792289999999</v>
      </c>
      <c r="AK218">
        <v>10672.69737</v>
      </c>
      <c r="AL218">
        <v>6906.1408099999999</v>
      </c>
      <c r="AM218">
        <v>3746.3498140000002</v>
      </c>
      <c r="AN218">
        <v>3310.372574</v>
      </c>
      <c r="AO218">
        <v>2940.8211729999998</v>
      </c>
      <c r="AP218">
        <v>2595.3977719999998</v>
      </c>
      <c r="AQ218">
        <v>2277.8239979999998</v>
      </c>
      <c r="AR218">
        <v>1986.2256520000001</v>
      </c>
      <c r="AS218">
        <v>923.27209540000001</v>
      </c>
      <c r="AT218">
        <v>382.14392550000002</v>
      </c>
      <c r="AU218">
        <v>257.0490969</v>
      </c>
      <c r="AV218">
        <v>139.49058640000001</v>
      </c>
      <c r="AW218">
        <v>142.7069357</v>
      </c>
    </row>
    <row r="219" spans="2:49" x14ac:dyDescent="0.25">
      <c r="B219" t="s">
        <v>290</v>
      </c>
      <c r="C219">
        <v>247860837.32111701</v>
      </c>
      <c r="D219">
        <v>251840323.237167</v>
      </c>
      <c r="E219">
        <v>226648707.19999999</v>
      </c>
      <c r="F219">
        <v>227780295.80000001</v>
      </c>
      <c r="G219">
        <v>213311056.40000001</v>
      </c>
      <c r="H219">
        <v>197743576.69999999</v>
      </c>
      <c r="I219">
        <v>195855826.19999999</v>
      </c>
      <c r="J219">
        <v>189319267.30000001</v>
      </c>
      <c r="K219">
        <v>180404931.40000001</v>
      </c>
      <c r="L219">
        <v>175243480.90000001</v>
      </c>
      <c r="M219">
        <v>174129452.19999999</v>
      </c>
      <c r="N219">
        <v>174772631.5</v>
      </c>
      <c r="O219">
        <v>166914499.19999999</v>
      </c>
      <c r="P219">
        <v>159967898.80000001</v>
      </c>
      <c r="Q219">
        <v>151286325.59999999</v>
      </c>
      <c r="R219">
        <v>145888211.90000001</v>
      </c>
      <c r="S219">
        <v>140772435.5</v>
      </c>
      <c r="T219">
        <v>140028217.80000001</v>
      </c>
      <c r="U219">
        <v>139462912.90000001</v>
      </c>
      <c r="V219">
        <v>139618243.5</v>
      </c>
      <c r="W219">
        <v>137029486.5</v>
      </c>
      <c r="X219">
        <v>134736689.69999999</v>
      </c>
      <c r="Y219">
        <v>128826962.7</v>
      </c>
      <c r="Z219">
        <v>122950822.90000001</v>
      </c>
      <c r="AA219">
        <v>118017086</v>
      </c>
      <c r="AB219">
        <v>112750831.7</v>
      </c>
      <c r="AC219">
        <v>107636782.40000001</v>
      </c>
      <c r="AD219">
        <v>101929405.2</v>
      </c>
      <c r="AE219">
        <v>96496011.650000006</v>
      </c>
      <c r="AF219">
        <v>91527253.959999904</v>
      </c>
      <c r="AG219">
        <v>86786653.989999995</v>
      </c>
      <c r="AH219">
        <v>82296409.950000003</v>
      </c>
      <c r="AI219">
        <v>77206087.319999903</v>
      </c>
      <c r="AJ219">
        <v>72276980.859999999</v>
      </c>
      <c r="AK219">
        <v>67615340.760000005</v>
      </c>
      <c r="AL219">
        <v>63425032.75</v>
      </c>
      <c r="AM219">
        <v>59289241.479999997</v>
      </c>
      <c r="AN219">
        <v>57333981.75</v>
      </c>
      <c r="AO219">
        <v>55329534.719999999</v>
      </c>
      <c r="AP219">
        <v>53320812.619999997</v>
      </c>
      <c r="AQ219">
        <v>51208183.479999997</v>
      </c>
      <c r="AR219">
        <v>48965509.719999999</v>
      </c>
      <c r="AS219">
        <v>47289990.369999997</v>
      </c>
      <c r="AT219">
        <v>45899284.380000003</v>
      </c>
      <c r="AU219">
        <v>44857940.93</v>
      </c>
      <c r="AV219">
        <v>43791964.520000003</v>
      </c>
      <c r="AW219">
        <v>42759876.32</v>
      </c>
    </row>
    <row r="220" spans="2:49" x14ac:dyDescent="0.25">
      <c r="B220" t="s">
        <v>291</v>
      </c>
      <c r="C220">
        <v>41023493.601484403</v>
      </c>
      <c r="D220">
        <v>41682139.060681202</v>
      </c>
      <c r="E220">
        <v>42351359.289999999</v>
      </c>
      <c r="F220">
        <v>41358742.759999998</v>
      </c>
      <c r="G220">
        <v>36192471.130000003</v>
      </c>
      <c r="H220">
        <v>31491938.52</v>
      </c>
      <c r="I220">
        <v>30275673.050000001</v>
      </c>
      <c r="J220">
        <v>28675942.800000001</v>
      </c>
      <c r="K220">
        <v>27177117.300000001</v>
      </c>
      <c r="L220">
        <v>27173534.309999999</v>
      </c>
      <c r="M220">
        <v>26588941.039999999</v>
      </c>
      <c r="N220">
        <v>25813746.199999999</v>
      </c>
      <c r="O220">
        <v>20654573.510000002</v>
      </c>
      <c r="P220">
        <v>17210250.52</v>
      </c>
      <c r="Q220">
        <v>15379233.84</v>
      </c>
      <c r="R220">
        <v>14392598.060000001</v>
      </c>
      <c r="S220">
        <v>13471179.859999999</v>
      </c>
      <c r="T220">
        <v>13302142.789999999</v>
      </c>
      <c r="U220">
        <v>13245981.460000001</v>
      </c>
      <c r="V220">
        <v>13271905.32</v>
      </c>
      <c r="W220">
        <v>13294099.720000001</v>
      </c>
      <c r="X220">
        <v>13146795.24</v>
      </c>
      <c r="Y220">
        <v>12931668.630000001</v>
      </c>
      <c r="Z220">
        <v>12748845.220000001</v>
      </c>
      <c r="AA220">
        <v>12577234.49</v>
      </c>
      <c r="AB220">
        <v>12376629.66</v>
      </c>
      <c r="AC220">
        <v>12201540.550000001</v>
      </c>
      <c r="AD220">
        <v>12147384.640000001</v>
      </c>
      <c r="AE220">
        <v>12134730.1</v>
      </c>
      <c r="AF220">
        <v>12153441.42</v>
      </c>
      <c r="AG220">
        <v>12176435.300000001</v>
      </c>
      <c r="AH220">
        <v>12220931.77</v>
      </c>
      <c r="AI220">
        <v>12236419.369999999</v>
      </c>
      <c r="AJ220">
        <v>12247523.34</v>
      </c>
      <c r="AK220">
        <v>12247870.699999999</v>
      </c>
      <c r="AL220">
        <v>12253617.140000001</v>
      </c>
      <c r="AM220">
        <v>12267886.050000001</v>
      </c>
      <c r="AN220">
        <v>12196242.109999999</v>
      </c>
      <c r="AO220">
        <v>12111830.060000001</v>
      </c>
      <c r="AP220">
        <v>12030833.289999999</v>
      </c>
      <c r="AQ220">
        <v>11953235.99</v>
      </c>
      <c r="AR220">
        <v>11879347.57</v>
      </c>
      <c r="AS220">
        <v>11830819.880000001</v>
      </c>
      <c r="AT220">
        <v>11794171.039999999</v>
      </c>
      <c r="AU220">
        <v>11762723.26</v>
      </c>
      <c r="AV220">
        <v>11731019.789999999</v>
      </c>
      <c r="AW220">
        <v>11705654.550000001</v>
      </c>
    </row>
    <row r="221" spans="2:49" x14ac:dyDescent="0.25">
      <c r="B221" t="s">
        <v>292</v>
      </c>
      <c r="C221">
        <v>156021257.172526</v>
      </c>
      <c r="D221">
        <v>158526228.92293701</v>
      </c>
      <c r="E221">
        <v>137849506.90000001</v>
      </c>
      <c r="F221">
        <v>139717831.90000001</v>
      </c>
      <c r="G221">
        <v>132230651.3</v>
      </c>
      <c r="H221">
        <v>124797092.2</v>
      </c>
      <c r="I221">
        <v>123451264</v>
      </c>
      <c r="J221">
        <v>118724705</v>
      </c>
      <c r="K221">
        <v>113232241.2</v>
      </c>
      <c r="L221">
        <v>109206419.2</v>
      </c>
      <c r="M221">
        <v>108789700.40000001</v>
      </c>
      <c r="N221">
        <v>109846541.09999999</v>
      </c>
      <c r="O221">
        <v>106176017</v>
      </c>
      <c r="P221">
        <v>102018334.3</v>
      </c>
      <c r="Q221">
        <v>96041790.319999903</v>
      </c>
      <c r="R221">
        <v>92016755.730000004</v>
      </c>
      <c r="S221">
        <v>88002091.560000002</v>
      </c>
      <c r="T221">
        <v>89232030.760000005</v>
      </c>
      <c r="U221">
        <v>90571908.310000002</v>
      </c>
      <c r="V221">
        <v>92432653.75</v>
      </c>
      <c r="W221">
        <v>91729504.180000007</v>
      </c>
      <c r="X221">
        <v>89346593.299999997</v>
      </c>
      <c r="Y221">
        <v>86411624.140000001</v>
      </c>
      <c r="Z221">
        <v>83790493.349999994</v>
      </c>
      <c r="AA221">
        <v>81549996.099999994</v>
      </c>
      <c r="AB221">
        <v>79368971.319999903</v>
      </c>
      <c r="AC221">
        <v>77223035.209999904</v>
      </c>
      <c r="AD221">
        <v>73718127.829999998</v>
      </c>
      <c r="AE221">
        <v>70298205</v>
      </c>
      <c r="AF221">
        <v>67007155.140000001</v>
      </c>
      <c r="AG221">
        <v>63814811.859999999</v>
      </c>
      <c r="AH221">
        <v>60743917.619999997</v>
      </c>
      <c r="AI221">
        <v>57585752.990000002</v>
      </c>
      <c r="AJ221">
        <v>54429879.170000002</v>
      </c>
      <c r="AK221">
        <v>51292826.289999999</v>
      </c>
      <c r="AL221">
        <v>48300564</v>
      </c>
      <c r="AM221">
        <v>45306133.659999996</v>
      </c>
      <c r="AN221">
        <v>43522287.200000003</v>
      </c>
      <c r="AO221">
        <v>41687818.700000003</v>
      </c>
      <c r="AP221">
        <v>39843306.68</v>
      </c>
      <c r="AQ221">
        <v>37887814.340000004</v>
      </c>
      <c r="AR221">
        <v>35793997.340000004</v>
      </c>
      <c r="AS221">
        <v>34716488.619999997</v>
      </c>
      <c r="AT221">
        <v>33702823.240000002</v>
      </c>
      <c r="AU221">
        <v>32704483.379999999</v>
      </c>
      <c r="AV221">
        <v>31681332.760000002</v>
      </c>
      <c r="AW221">
        <v>30684944.16</v>
      </c>
    </row>
    <row r="222" spans="2:49" x14ac:dyDescent="0.25">
      <c r="B222" t="s">
        <v>293</v>
      </c>
      <c r="C222">
        <v>50816086.547106199</v>
      </c>
      <c r="D222">
        <v>51631955.253548898</v>
      </c>
      <c r="E222">
        <v>46447840.990000002</v>
      </c>
      <c r="F222">
        <v>46703721.140000001</v>
      </c>
      <c r="G222">
        <v>44887933.920000002</v>
      </c>
      <c r="H222">
        <v>41454546</v>
      </c>
      <c r="I222">
        <v>42128889.140000001</v>
      </c>
      <c r="J222">
        <v>41918619.460000001</v>
      </c>
      <c r="K222">
        <v>39995572.890000001</v>
      </c>
      <c r="L222">
        <v>38863527.390000001</v>
      </c>
      <c r="M222">
        <v>38750810.729999997</v>
      </c>
      <c r="N222">
        <v>39112344.159999996</v>
      </c>
      <c r="O222">
        <v>40083908.729999997</v>
      </c>
      <c r="P222">
        <v>40739313.939999998</v>
      </c>
      <c r="Q222">
        <v>39865301.460000001</v>
      </c>
      <c r="R222">
        <v>39478858.07</v>
      </c>
      <c r="S222">
        <v>39299164.109999999</v>
      </c>
      <c r="T222">
        <v>37494044.229999997</v>
      </c>
      <c r="U222">
        <v>35645023.130000003</v>
      </c>
      <c r="V222">
        <v>33913684.380000003</v>
      </c>
      <c r="W222">
        <v>32005882.57</v>
      </c>
      <c r="X222">
        <v>32243301.120000001</v>
      </c>
      <c r="Y222">
        <v>29483669.949999999</v>
      </c>
      <c r="Z222">
        <v>26411484.350000001</v>
      </c>
      <c r="AA222">
        <v>23889855.399999999</v>
      </c>
      <c r="AB222">
        <v>21005230.75</v>
      </c>
      <c r="AC222">
        <v>18212206.600000001</v>
      </c>
      <c r="AD222">
        <v>16063892.74</v>
      </c>
      <c r="AE222">
        <v>14063076.550000001</v>
      </c>
      <c r="AF222">
        <v>12366657.4</v>
      </c>
      <c r="AG222">
        <v>10795406.82</v>
      </c>
      <c r="AH222">
        <v>9331560.5549999997</v>
      </c>
      <c r="AI222">
        <v>7383914.9539999999</v>
      </c>
      <c r="AJ222">
        <v>5599578.3499999996</v>
      </c>
      <c r="AK222">
        <v>4074643.7769999998</v>
      </c>
      <c r="AL222">
        <v>2870851.6039999998</v>
      </c>
      <c r="AM222">
        <v>1715221.7760000001</v>
      </c>
      <c r="AN222">
        <v>1615452.443</v>
      </c>
      <c r="AO222">
        <v>1529885.963</v>
      </c>
      <c r="AP222">
        <v>1446672.652</v>
      </c>
      <c r="AQ222">
        <v>1367133.1580000001</v>
      </c>
      <c r="AR222">
        <v>1292164.8149999999</v>
      </c>
      <c r="AS222">
        <v>742681.86490000004</v>
      </c>
      <c r="AT222">
        <v>402290.10210000002</v>
      </c>
      <c r="AU222">
        <v>390734.28810000001</v>
      </c>
      <c r="AV222">
        <v>379611.96529999998</v>
      </c>
      <c r="AW222">
        <v>369277.60840000003</v>
      </c>
    </row>
    <row r="223" spans="2:49" x14ac:dyDescent="0.25">
      <c r="B223" t="s">
        <v>294</v>
      </c>
      <c r="C223">
        <v>392773953.478827</v>
      </c>
      <c r="D223">
        <v>399080066.34826499</v>
      </c>
      <c r="E223">
        <v>376252432</v>
      </c>
      <c r="F223">
        <v>377606387.60000002</v>
      </c>
      <c r="G223">
        <v>357874001.5</v>
      </c>
      <c r="H223">
        <v>341948250.5</v>
      </c>
      <c r="I223">
        <v>337659680.60000002</v>
      </c>
      <c r="J223">
        <v>327388390.5</v>
      </c>
      <c r="K223">
        <v>314244904.39999998</v>
      </c>
      <c r="L223">
        <v>305951687.89999998</v>
      </c>
      <c r="M223">
        <v>302531499.60000002</v>
      </c>
      <c r="N223">
        <v>301668111.39999998</v>
      </c>
      <c r="O223">
        <v>293839510.60000002</v>
      </c>
      <c r="P223">
        <v>285296679.10000002</v>
      </c>
      <c r="Q223">
        <v>273796936.5</v>
      </c>
      <c r="R223">
        <v>266583378.40000001</v>
      </c>
      <c r="S223">
        <v>260198056.90000001</v>
      </c>
      <c r="T223">
        <v>256857354.69999999</v>
      </c>
      <c r="U223">
        <v>253688777.80000001</v>
      </c>
      <c r="V223">
        <v>251149640.19999999</v>
      </c>
      <c r="W223">
        <v>244880839.69999999</v>
      </c>
      <c r="X223">
        <v>239802637</v>
      </c>
      <c r="Y223">
        <v>229682463.30000001</v>
      </c>
      <c r="Z223">
        <v>218905866.5</v>
      </c>
      <c r="AA223">
        <v>209240697.69999999</v>
      </c>
      <c r="AB223">
        <v>199304486.59999999</v>
      </c>
      <c r="AC223">
        <v>189269588.40000001</v>
      </c>
      <c r="AD223">
        <v>178834242.69999999</v>
      </c>
      <c r="AE223">
        <v>168600042.19999999</v>
      </c>
      <c r="AF223">
        <v>158954991.30000001</v>
      </c>
      <c r="AG223">
        <v>149623517.19999999</v>
      </c>
      <c r="AH223">
        <v>140635071.40000001</v>
      </c>
      <c r="AI223">
        <v>130991702.40000001</v>
      </c>
      <c r="AJ223">
        <v>121681284.40000001</v>
      </c>
      <c r="AK223">
        <v>112741909.59999999</v>
      </c>
      <c r="AL223">
        <v>104515538.8</v>
      </c>
      <c r="AM223">
        <v>96461996.469999999</v>
      </c>
      <c r="AN223">
        <v>92381211.280000001</v>
      </c>
      <c r="AO223">
        <v>88261035.569999903</v>
      </c>
      <c r="AP223">
        <v>84158313.459999904</v>
      </c>
      <c r="AQ223">
        <v>79996978.510000005</v>
      </c>
      <c r="AR223">
        <v>75601525.349999994</v>
      </c>
      <c r="AS223">
        <v>72056707.780000001</v>
      </c>
      <c r="AT223">
        <v>69072141.900000006</v>
      </c>
      <c r="AU223">
        <v>66806767.659999996</v>
      </c>
      <c r="AV223">
        <v>64568649.039999999</v>
      </c>
      <c r="AW223">
        <v>62413500.479999997</v>
      </c>
    </row>
    <row r="224" spans="2:49" x14ac:dyDescent="0.25">
      <c r="B224" t="s">
        <v>295</v>
      </c>
      <c r="C224">
        <v>42122345.501310699</v>
      </c>
      <c r="D224">
        <v>42798633.383193001</v>
      </c>
      <c r="E224">
        <v>43485779.289999999</v>
      </c>
      <c r="F224">
        <v>42483888.689999998</v>
      </c>
      <c r="G224">
        <v>37305192.18</v>
      </c>
      <c r="H224">
        <v>32590610.73</v>
      </c>
      <c r="I224">
        <v>31366464.34</v>
      </c>
      <c r="J224">
        <v>29758033.300000001</v>
      </c>
      <c r="K224">
        <v>28245281.149999999</v>
      </c>
      <c r="L224">
        <v>28222510.510000002</v>
      </c>
      <c r="M224">
        <v>27618972.719999999</v>
      </c>
      <c r="N224">
        <v>26829516.420000002</v>
      </c>
      <c r="O224">
        <v>21665688.879999999</v>
      </c>
      <c r="P224">
        <v>18221129.239999998</v>
      </c>
      <c r="Q224">
        <v>16387096.779999999</v>
      </c>
      <c r="R224">
        <v>15386381.550000001</v>
      </c>
      <c r="S224">
        <v>14447025.210000001</v>
      </c>
      <c r="T224">
        <v>14256589.83</v>
      </c>
      <c r="U224">
        <v>14179905.17</v>
      </c>
      <c r="V224">
        <v>14186577.369999999</v>
      </c>
      <c r="W224">
        <v>14193309.74</v>
      </c>
      <c r="X224">
        <v>14032344.1</v>
      </c>
      <c r="Y224">
        <v>13801266.720000001</v>
      </c>
      <c r="Z224">
        <v>13600732.73</v>
      </c>
      <c r="AA224">
        <v>13410084.76</v>
      </c>
      <c r="AB224">
        <v>13190178.470000001</v>
      </c>
      <c r="AC224">
        <v>12995804.59</v>
      </c>
      <c r="AD224">
        <v>12922847.91</v>
      </c>
      <c r="AE224">
        <v>12891631.220000001</v>
      </c>
      <c r="AF224">
        <v>12892254.050000001</v>
      </c>
      <c r="AG224">
        <v>12897522.810000001</v>
      </c>
      <c r="AH224">
        <v>12924517.050000001</v>
      </c>
      <c r="AI224">
        <v>12922714.15</v>
      </c>
      <c r="AJ224">
        <v>12916539.08</v>
      </c>
      <c r="AK224">
        <v>12899514.789999999</v>
      </c>
      <c r="AL224">
        <v>12888104.91</v>
      </c>
      <c r="AM224">
        <v>12885391.199999999</v>
      </c>
      <c r="AN224">
        <v>12797098.26</v>
      </c>
      <c r="AO224">
        <v>12695806.6</v>
      </c>
      <c r="AP224">
        <v>12598036.51</v>
      </c>
      <c r="AQ224">
        <v>12503790.4</v>
      </c>
      <c r="AR224">
        <v>12413552.390000001</v>
      </c>
      <c r="AS224">
        <v>12349356.9</v>
      </c>
      <c r="AT224">
        <v>12297838.51</v>
      </c>
      <c r="AU224">
        <v>12252279.550000001</v>
      </c>
      <c r="AV224">
        <v>12207112.199999999</v>
      </c>
      <c r="AW224">
        <v>12168877.77</v>
      </c>
    </row>
    <row r="225" spans="2:49" x14ac:dyDescent="0.25">
      <c r="B225" t="s">
        <v>296</v>
      </c>
      <c r="C225">
        <v>261896523.70399499</v>
      </c>
      <c r="D225">
        <v>266101357.10489401</v>
      </c>
      <c r="E225">
        <v>247151788.59999999</v>
      </c>
      <c r="F225">
        <v>250133321.5</v>
      </c>
      <c r="G225">
        <v>238710416.09999999</v>
      </c>
      <c r="H225">
        <v>232033843.30000001</v>
      </c>
      <c r="I225">
        <v>228660635.5</v>
      </c>
      <c r="J225">
        <v>221257816.59999999</v>
      </c>
      <c r="K225">
        <v>213217547.90000001</v>
      </c>
      <c r="L225">
        <v>207477681.90000001</v>
      </c>
      <c r="M225">
        <v>205742607.5</v>
      </c>
      <c r="N225">
        <v>205995586.09999999</v>
      </c>
      <c r="O225">
        <v>201896729.80000001</v>
      </c>
      <c r="P225">
        <v>196117321.09999999</v>
      </c>
      <c r="Q225">
        <v>188185445.80000001</v>
      </c>
      <c r="R225">
        <v>183011491.90000001</v>
      </c>
      <c r="S225">
        <v>178260151.40000001</v>
      </c>
      <c r="T225">
        <v>178679758.80000001</v>
      </c>
      <c r="U225">
        <v>178794459.09999999</v>
      </c>
      <c r="V225">
        <v>179315350.40000001</v>
      </c>
      <c r="W225">
        <v>177309016.40000001</v>
      </c>
      <c r="X225">
        <v>172716422.69999999</v>
      </c>
      <c r="Y225">
        <v>167391024.69999999</v>
      </c>
      <c r="Z225">
        <v>161867521.59999999</v>
      </c>
      <c r="AA225">
        <v>156528985.80000001</v>
      </c>
      <c r="AB225">
        <v>151117281.19999999</v>
      </c>
      <c r="AC225">
        <v>145485728</v>
      </c>
      <c r="AD225">
        <v>138413075</v>
      </c>
      <c r="AE225">
        <v>131311266.90000001</v>
      </c>
      <c r="AF225">
        <v>124326940.09999999</v>
      </c>
      <c r="AG225">
        <v>117509876.90000001</v>
      </c>
      <c r="AH225">
        <v>110888648.3</v>
      </c>
      <c r="AI225">
        <v>104462260.90000001</v>
      </c>
      <c r="AJ225">
        <v>98179763.430000007</v>
      </c>
      <c r="AK225">
        <v>91993772.200000003</v>
      </c>
      <c r="AL225">
        <v>86068545.790000007</v>
      </c>
      <c r="AM225">
        <v>80242996.489999995</v>
      </c>
      <c r="AN225">
        <v>76449936.349999994</v>
      </c>
      <c r="AO225">
        <v>72592994.640000001</v>
      </c>
      <c r="AP225">
        <v>68748716.25</v>
      </c>
      <c r="AQ225">
        <v>64835462.57</v>
      </c>
      <c r="AR225">
        <v>60677869.299999997</v>
      </c>
      <c r="AS225">
        <v>58265895.740000002</v>
      </c>
      <c r="AT225">
        <v>55994510.289999999</v>
      </c>
      <c r="AU225">
        <v>53798146.07</v>
      </c>
      <c r="AV225">
        <v>51627417.710000001</v>
      </c>
      <c r="AW225">
        <v>49531307.640000001</v>
      </c>
    </row>
    <row r="226" spans="2:49" x14ac:dyDescent="0.25">
      <c r="B226" t="s">
        <v>297</v>
      </c>
      <c r="C226">
        <v>88755084.273521304</v>
      </c>
      <c r="D226">
        <v>90180075.860178098</v>
      </c>
      <c r="E226">
        <v>85614864.150000006</v>
      </c>
      <c r="F226">
        <v>84989177.439999998</v>
      </c>
      <c r="G226">
        <v>81858393.25</v>
      </c>
      <c r="H226">
        <v>77323796.510000005</v>
      </c>
      <c r="I226">
        <v>77632580.769999996</v>
      </c>
      <c r="J226">
        <v>76372540.579999998</v>
      </c>
      <c r="K226">
        <v>72782075.329999998</v>
      </c>
      <c r="L226">
        <v>70251495.540000007</v>
      </c>
      <c r="M226">
        <v>69169919.359999999</v>
      </c>
      <c r="N226">
        <v>68843008.870000005</v>
      </c>
      <c r="O226">
        <v>70277091.909999996</v>
      </c>
      <c r="P226">
        <v>70958228.739999995</v>
      </c>
      <c r="Q226">
        <v>69224393.879999995</v>
      </c>
      <c r="R226">
        <v>68185504.920000002</v>
      </c>
      <c r="S226">
        <v>67490880.269999996</v>
      </c>
      <c r="T226">
        <v>63921006.100000001</v>
      </c>
      <c r="U226">
        <v>60714413.609999999</v>
      </c>
      <c r="V226">
        <v>57647712.390000001</v>
      </c>
      <c r="W226">
        <v>53378513.579999998</v>
      </c>
      <c r="X226">
        <v>53053870.200000003</v>
      </c>
      <c r="Y226">
        <v>48490171.93</v>
      </c>
      <c r="Z226">
        <v>43437612.210000001</v>
      </c>
      <c r="AA226">
        <v>39301627.159999996</v>
      </c>
      <c r="AB226">
        <v>34997026.960000001</v>
      </c>
      <c r="AC226">
        <v>30788055.739999998</v>
      </c>
      <c r="AD226">
        <v>27498319.809999999</v>
      </c>
      <c r="AE226">
        <v>24397144.059999999</v>
      </c>
      <c r="AF226">
        <v>21735797.170000002</v>
      </c>
      <c r="AG226">
        <v>19216117.440000001</v>
      </c>
      <c r="AH226">
        <v>16821906.039999999</v>
      </c>
      <c r="AI226">
        <v>13606727.359999999</v>
      </c>
      <c r="AJ226">
        <v>10584981.859999999</v>
      </c>
      <c r="AK226">
        <v>7848622.568</v>
      </c>
      <c r="AL226">
        <v>5558888.0539999995</v>
      </c>
      <c r="AM226">
        <v>3333608.7769999998</v>
      </c>
      <c r="AN226">
        <v>3134176.673</v>
      </c>
      <c r="AO226">
        <v>2972234.3259999999</v>
      </c>
      <c r="AP226">
        <v>2811560.7009999999</v>
      </c>
      <c r="AQ226">
        <v>2657725.5269999998</v>
      </c>
      <c r="AR226">
        <v>2510103.6719999998</v>
      </c>
      <c r="AS226">
        <v>1441455.142</v>
      </c>
      <c r="AT226">
        <v>779793.09959999996</v>
      </c>
      <c r="AU226">
        <v>756342.03949999996</v>
      </c>
      <c r="AV226">
        <v>734119.12800000003</v>
      </c>
      <c r="AW226">
        <v>713315.07140000002</v>
      </c>
    </row>
    <row r="227" spans="2:49" x14ac:dyDescent="0.25">
      <c r="B227" t="s">
        <v>298</v>
      </c>
      <c r="C227">
        <v>419119515.24800497</v>
      </c>
      <c r="D227">
        <v>425848614.63336003</v>
      </c>
      <c r="E227">
        <v>402018806.5</v>
      </c>
      <c r="F227">
        <v>403718146</v>
      </c>
      <c r="G227">
        <v>383303414.30000001</v>
      </c>
      <c r="H227">
        <v>364720928.80000001</v>
      </c>
      <c r="I227">
        <v>361273532</v>
      </c>
      <c r="J227">
        <v>351598604.89999998</v>
      </c>
      <c r="K227">
        <v>337829698.19999999</v>
      </c>
      <c r="L227">
        <v>329276313</v>
      </c>
      <c r="M227">
        <v>325891169.89999998</v>
      </c>
      <c r="N227">
        <v>325351150.89999998</v>
      </c>
      <c r="O227">
        <v>317600912.60000002</v>
      </c>
      <c r="P227">
        <v>309808851.10000002</v>
      </c>
      <c r="Q227">
        <v>298468405.60000002</v>
      </c>
      <c r="R227">
        <v>291525871.89999998</v>
      </c>
      <c r="S227">
        <v>284735628.39999998</v>
      </c>
      <c r="T227">
        <v>281626297.80000001</v>
      </c>
      <c r="U227">
        <v>278568500.30000001</v>
      </c>
      <c r="V227">
        <v>276437853.80000001</v>
      </c>
      <c r="W227">
        <v>269982502.89999998</v>
      </c>
      <c r="X227">
        <v>264634142.69999999</v>
      </c>
      <c r="Y227">
        <v>254236116.30000001</v>
      </c>
      <c r="Z227">
        <v>243238577.59999999</v>
      </c>
      <c r="AA227">
        <v>233375359.30000001</v>
      </c>
      <c r="AB227">
        <v>223200441.59999999</v>
      </c>
      <c r="AC227">
        <v>212951804.5</v>
      </c>
      <c r="AD227">
        <v>202347994.40000001</v>
      </c>
      <c r="AE227">
        <v>191933011.80000001</v>
      </c>
      <c r="AF227">
        <v>182134951.30000001</v>
      </c>
      <c r="AG227">
        <v>172634222.80000001</v>
      </c>
      <c r="AH227">
        <v>163518466.69999999</v>
      </c>
      <c r="AI227">
        <v>153684517.40000001</v>
      </c>
      <c r="AJ227">
        <v>144169623.69999999</v>
      </c>
      <c r="AK227">
        <v>135034986</v>
      </c>
      <c r="AL227">
        <v>126616626.40000001</v>
      </c>
      <c r="AM227">
        <v>118373337.8</v>
      </c>
      <c r="AN227">
        <v>114371797.09999999</v>
      </c>
      <c r="AO227">
        <v>110358358.40000001</v>
      </c>
      <c r="AP227">
        <v>106344636.40000001</v>
      </c>
      <c r="AQ227">
        <v>102280476.40000001</v>
      </c>
      <c r="AR227">
        <v>97949596.310000002</v>
      </c>
      <c r="AS227">
        <v>94478375.109999999</v>
      </c>
      <c r="AT227">
        <v>91586518.769999996</v>
      </c>
      <c r="AU227">
        <v>89448169.950000003</v>
      </c>
      <c r="AV227">
        <v>87328598.430000007</v>
      </c>
      <c r="AW227">
        <v>85315965.829999998</v>
      </c>
    </row>
    <row r="228" spans="2:49" x14ac:dyDescent="0.25">
      <c r="B228" t="s">
        <v>299</v>
      </c>
      <c r="C228">
        <v>255.88316116441601</v>
      </c>
      <c r="D228">
        <v>259.991448084664</v>
      </c>
      <c r="E228">
        <v>230.85787869999999</v>
      </c>
      <c r="F228">
        <v>238.1787617</v>
      </c>
      <c r="G228">
        <v>238.4192769</v>
      </c>
      <c r="H228">
        <v>228.92635139999999</v>
      </c>
      <c r="I228">
        <v>236.2786691</v>
      </c>
      <c r="J228">
        <v>237.15409099999999</v>
      </c>
      <c r="K228">
        <v>234.36133359999999</v>
      </c>
      <c r="L228">
        <v>231.5028058</v>
      </c>
      <c r="M228">
        <v>230.57345979999999</v>
      </c>
      <c r="N228">
        <v>229.0676182</v>
      </c>
      <c r="O228">
        <v>221.1142907</v>
      </c>
      <c r="P228">
        <v>216.83381059999999</v>
      </c>
      <c r="Q228">
        <v>211.98769659999999</v>
      </c>
      <c r="R228">
        <v>205.7324069</v>
      </c>
      <c r="S228">
        <v>199.46769750000001</v>
      </c>
      <c r="T228">
        <v>197.7811562</v>
      </c>
      <c r="U228">
        <v>196.5970749</v>
      </c>
      <c r="V228">
        <v>195.9170666</v>
      </c>
      <c r="W228">
        <v>208.1106341</v>
      </c>
      <c r="X228">
        <v>216.32490730000001</v>
      </c>
      <c r="Y228">
        <v>212.07106529999999</v>
      </c>
      <c r="Z228">
        <v>207.6295537</v>
      </c>
      <c r="AA228">
        <v>203.22183759999999</v>
      </c>
      <c r="AB228">
        <v>197.1759423</v>
      </c>
      <c r="AC228">
        <v>191.22028990000001</v>
      </c>
      <c r="AD228">
        <v>191.6081126</v>
      </c>
      <c r="AE228">
        <v>191.8777236</v>
      </c>
      <c r="AF228">
        <v>191.9841586</v>
      </c>
      <c r="AG228">
        <v>191.11086750000001</v>
      </c>
      <c r="AH228">
        <v>190.1948581</v>
      </c>
      <c r="AI228">
        <v>189.52645989999999</v>
      </c>
      <c r="AJ228">
        <v>188.72005150000001</v>
      </c>
      <c r="AK228">
        <v>187.87916809999999</v>
      </c>
      <c r="AL228">
        <v>186.432649</v>
      </c>
      <c r="AM228">
        <v>184.94215929999999</v>
      </c>
      <c r="AN228">
        <v>179.75360929999999</v>
      </c>
      <c r="AO228">
        <v>174.79196160000001</v>
      </c>
      <c r="AP228">
        <v>170.0259781</v>
      </c>
      <c r="AQ228">
        <v>165.30035559999999</v>
      </c>
      <c r="AR228">
        <v>160.6778865</v>
      </c>
      <c r="AS228">
        <v>156.75163499999999</v>
      </c>
      <c r="AT228">
        <v>152.92100640000001</v>
      </c>
      <c r="AU228">
        <v>149.1378315</v>
      </c>
      <c r="AV228">
        <v>145.34290179999999</v>
      </c>
      <c r="AW228">
        <v>141.64441099999999</v>
      </c>
    </row>
    <row r="229" spans="2:49" x14ac:dyDescent="0.25">
      <c r="B229" t="s">
        <v>300</v>
      </c>
      <c r="C229">
        <v>5.5705789795526002</v>
      </c>
      <c r="D229">
        <v>5.6600164269241402</v>
      </c>
      <c r="E229">
        <v>4.7606703819999998</v>
      </c>
      <c r="F229">
        <v>4.8013016679999998</v>
      </c>
      <c r="G229">
        <v>4.0003574009999996</v>
      </c>
      <c r="H229">
        <v>3.5072409260000001</v>
      </c>
      <c r="I229">
        <v>3.4836734740000002</v>
      </c>
      <c r="J229">
        <v>3.3330800730000001</v>
      </c>
      <c r="K229">
        <v>3.2186007559999998</v>
      </c>
      <c r="L229">
        <v>3.4372064340000001</v>
      </c>
      <c r="M229">
        <v>3.5269835949999999</v>
      </c>
      <c r="N229">
        <v>3.5884926780000002</v>
      </c>
      <c r="O229">
        <v>2.8320813130000002</v>
      </c>
      <c r="P229">
        <v>2.3861134819999998</v>
      </c>
      <c r="Q229">
        <v>2.0998347380000002</v>
      </c>
      <c r="R229">
        <v>1.9136969559999999</v>
      </c>
      <c r="S229">
        <v>1.74017497</v>
      </c>
      <c r="T229">
        <v>1.7058610919999999</v>
      </c>
      <c r="U229">
        <v>1.690692732</v>
      </c>
      <c r="V229">
        <v>1.6899967229999999</v>
      </c>
      <c r="W229">
        <v>1.6116966740000001</v>
      </c>
      <c r="X229">
        <v>1.297990625</v>
      </c>
      <c r="Y229">
        <v>1.07322947</v>
      </c>
      <c r="Z229">
        <v>0.89710689079999995</v>
      </c>
      <c r="AA229">
        <v>0.75564669220000003</v>
      </c>
      <c r="AB229">
        <v>0.64252412550000004</v>
      </c>
      <c r="AC229">
        <v>0.5517053972</v>
      </c>
      <c r="AD229">
        <v>0.46670004859999997</v>
      </c>
      <c r="AE229">
        <v>0.39693936990000001</v>
      </c>
      <c r="AF229">
        <v>0.34087526060000001</v>
      </c>
      <c r="AG229">
        <v>0.29570943999999999</v>
      </c>
      <c r="AH229">
        <v>0.25933823680000001</v>
      </c>
      <c r="AI229">
        <v>0.22758001450000001</v>
      </c>
      <c r="AJ229">
        <v>0.20076014149999999</v>
      </c>
      <c r="AK229">
        <v>0.17815653910000001</v>
      </c>
      <c r="AL229">
        <v>0.15914217859999999</v>
      </c>
      <c r="AM229">
        <v>0.14310809999999999</v>
      </c>
      <c r="AN229">
        <v>0.13803999889999999</v>
      </c>
      <c r="AO229">
        <v>0.13345511230000001</v>
      </c>
      <c r="AP229">
        <v>0.1292091575</v>
      </c>
      <c r="AQ229">
        <v>0.1252968052</v>
      </c>
      <c r="AR229">
        <v>0.1216680057</v>
      </c>
      <c r="AS229">
        <v>0.11859444769999999</v>
      </c>
      <c r="AT229">
        <v>0.11596467570000001</v>
      </c>
      <c r="AU229">
        <v>0.1135841267</v>
      </c>
      <c r="AV229">
        <v>0.1114475582</v>
      </c>
      <c r="AW229">
        <v>0.1095811738</v>
      </c>
    </row>
    <row r="230" spans="2:49" x14ac:dyDescent="0.25">
      <c r="B230" t="s">
        <v>301</v>
      </c>
      <c r="C230">
        <v>5.5705789795526002</v>
      </c>
      <c r="D230">
        <v>5.6600164269241402</v>
      </c>
      <c r="E230">
        <v>4.7606703819999998</v>
      </c>
      <c r="F230">
        <v>4.8013016679999998</v>
      </c>
      <c r="G230">
        <v>4.0003574009999996</v>
      </c>
      <c r="H230">
        <v>3.5072409260000001</v>
      </c>
      <c r="I230">
        <v>3.4836734740000002</v>
      </c>
      <c r="J230">
        <v>3.3330800730000001</v>
      </c>
      <c r="K230">
        <v>3.2186007559999998</v>
      </c>
      <c r="L230">
        <v>3.4372064340000001</v>
      </c>
      <c r="M230">
        <v>3.5269835949999999</v>
      </c>
      <c r="N230">
        <v>3.5884926780000002</v>
      </c>
      <c r="O230">
        <v>2.8320813130000002</v>
      </c>
      <c r="P230">
        <v>2.3861134819999998</v>
      </c>
      <c r="Q230">
        <v>2.0998347380000002</v>
      </c>
      <c r="R230">
        <v>1.9136969559999999</v>
      </c>
      <c r="S230">
        <v>1.74017497</v>
      </c>
      <c r="T230">
        <v>1.7058610919999999</v>
      </c>
      <c r="U230">
        <v>1.690692732</v>
      </c>
      <c r="V230">
        <v>1.6899967229999999</v>
      </c>
      <c r="W230">
        <v>1.6116966740000001</v>
      </c>
      <c r="X230">
        <v>1.297990625</v>
      </c>
      <c r="Y230">
        <v>1.07322947</v>
      </c>
      <c r="Z230">
        <v>0.89710689079999995</v>
      </c>
      <c r="AA230">
        <v>0.75564669220000003</v>
      </c>
      <c r="AB230">
        <v>0.64252412550000004</v>
      </c>
      <c r="AC230">
        <v>0.5517053972</v>
      </c>
      <c r="AD230">
        <v>0.46670004859999997</v>
      </c>
      <c r="AE230">
        <v>0.39693936990000001</v>
      </c>
      <c r="AF230">
        <v>0.34087526060000001</v>
      </c>
      <c r="AG230">
        <v>0.29570943999999999</v>
      </c>
      <c r="AH230">
        <v>0.25933823680000001</v>
      </c>
      <c r="AI230">
        <v>0.22758001450000001</v>
      </c>
      <c r="AJ230">
        <v>0.20076014149999999</v>
      </c>
      <c r="AK230">
        <v>0.17815653910000001</v>
      </c>
      <c r="AL230">
        <v>0.15914217859999999</v>
      </c>
      <c r="AM230">
        <v>0.14310809999999999</v>
      </c>
      <c r="AN230">
        <v>0.13803999889999999</v>
      </c>
      <c r="AO230">
        <v>0.13345511230000001</v>
      </c>
      <c r="AP230">
        <v>0.1292091575</v>
      </c>
      <c r="AQ230">
        <v>0.1252968052</v>
      </c>
      <c r="AR230">
        <v>0.1216680057</v>
      </c>
      <c r="AS230">
        <v>0.11859444769999999</v>
      </c>
      <c r="AT230">
        <v>0.11596467570000001</v>
      </c>
      <c r="AU230">
        <v>0.1135841267</v>
      </c>
      <c r="AV230">
        <v>0.1114475582</v>
      </c>
      <c r="AW230">
        <v>0.1095811738</v>
      </c>
    </row>
    <row r="231" spans="2:49" x14ac:dyDescent="0.25">
      <c r="B231" t="s">
        <v>302</v>
      </c>
      <c r="C231">
        <v>82.165927612137295</v>
      </c>
      <c r="D231">
        <v>83.485128157272499</v>
      </c>
      <c r="E231">
        <v>70.71179746</v>
      </c>
      <c r="F231">
        <v>71.558899629999999</v>
      </c>
      <c r="G231">
        <v>68.143720479999999</v>
      </c>
      <c r="H231">
        <v>66.042476250000007</v>
      </c>
      <c r="I231">
        <v>65.09279927</v>
      </c>
      <c r="J231">
        <v>62.980020250000003</v>
      </c>
      <c r="K231">
        <v>60.648848309999998</v>
      </c>
      <c r="L231">
        <v>59.011187390000003</v>
      </c>
      <c r="M231">
        <v>58.635971820000002</v>
      </c>
      <c r="N231">
        <v>58.881957659999998</v>
      </c>
      <c r="O231">
        <v>57.679337150000002</v>
      </c>
      <c r="P231">
        <v>55.967751649999997</v>
      </c>
      <c r="Q231">
        <v>53.554933800000001</v>
      </c>
      <c r="R231">
        <v>52.009059129999997</v>
      </c>
      <c r="S231">
        <v>50.581259039999999</v>
      </c>
      <c r="T231">
        <v>50.601234789999999</v>
      </c>
      <c r="U231">
        <v>50.533827909999999</v>
      </c>
      <c r="V231">
        <v>50.601484360000001</v>
      </c>
      <c r="W231">
        <v>49.988795340000003</v>
      </c>
      <c r="X231">
        <v>48.65905309</v>
      </c>
      <c r="Y231">
        <v>47.177672319999999</v>
      </c>
      <c r="Z231">
        <v>45.596682090000002</v>
      </c>
      <c r="AA231">
        <v>44.084065129999999</v>
      </c>
      <c r="AB231">
        <v>42.567528080000002</v>
      </c>
      <c r="AC231">
        <v>40.997954960000001</v>
      </c>
      <c r="AD231">
        <v>38.921494670000001</v>
      </c>
      <c r="AE231">
        <v>36.841498260000002</v>
      </c>
      <c r="AF231">
        <v>34.805168809999998</v>
      </c>
      <c r="AG231">
        <v>32.824611019999999</v>
      </c>
      <c r="AH231">
        <v>30.910174189999999</v>
      </c>
      <c r="AI231">
        <v>29.03934151</v>
      </c>
      <c r="AJ231">
        <v>27.213390570000001</v>
      </c>
      <c r="AK231">
        <v>25.42348312</v>
      </c>
      <c r="AL231">
        <v>23.710657770000001</v>
      </c>
      <c r="AM231">
        <v>22.032487830000001</v>
      </c>
      <c r="AN231">
        <v>20.954905950000001</v>
      </c>
      <c r="AO231">
        <v>19.865720929999998</v>
      </c>
      <c r="AP231">
        <v>18.784264499999999</v>
      </c>
      <c r="AQ231">
        <v>17.684749799999999</v>
      </c>
      <c r="AR231">
        <v>16.52217362</v>
      </c>
      <c r="AS231">
        <v>15.868956280000001</v>
      </c>
      <c r="AT231">
        <v>15.25474949</v>
      </c>
      <c r="AU231">
        <v>14.660074740000001</v>
      </c>
      <c r="AV231">
        <v>14.070619880000001</v>
      </c>
      <c r="AW231">
        <v>13.501843790000001</v>
      </c>
    </row>
    <row r="232" spans="2:49" x14ac:dyDescent="0.25">
      <c r="B232" t="s">
        <v>303</v>
      </c>
      <c r="C232">
        <v>0.67805251130835598</v>
      </c>
      <c r="D232">
        <v>0.68893886369971102</v>
      </c>
      <c r="E232">
        <v>0.87438821980000003</v>
      </c>
      <c r="F232">
        <v>1.1675536799999999</v>
      </c>
      <c r="G232">
        <v>1.3824941100000001</v>
      </c>
      <c r="H232">
        <v>1.6035999999999999</v>
      </c>
      <c r="I232">
        <v>1.8418839149999999</v>
      </c>
      <c r="J232">
        <v>2.0464331740000001</v>
      </c>
      <c r="K232">
        <v>2.2278375619999999</v>
      </c>
      <c r="L232">
        <v>2.4201724570000001</v>
      </c>
      <c r="M232">
        <v>2.657722927</v>
      </c>
      <c r="N232">
        <v>2.9247450650000002</v>
      </c>
      <c r="O232">
        <v>2.9157942640000001</v>
      </c>
      <c r="P232">
        <v>2.8815703340000001</v>
      </c>
      <c r="Q232">
        <v>2.8105709459999999</v>
      </c>
      <c r="R232">
        <v>2.784546889</v>
      </c>
      <c r="S232">
        <v>2.765371021</v>
      </c>
      <c r="T232">
        <v>2.8959689750000002</v>
      </c>
      <c r="U232">
        <v>3.0166455700000001</v>
      </c>
      <c r="V232">
        <v>3.1407885809999998</v>
      </c>
      <c r="W232">
        <v>3.1760710240000001</v>
      </c>
      <c r="X232">
        <v>3.1686539759999999</v>
      </c>
      <c r="Y232">
        <v>3.233561168</v>
      </c>
      <c r="Z232">
        <v>3.2967995650000002</v>
      </c>
      <c r="AA232">
        <v>3.3708486359999998</v>
      </c>
      <c r="AB232">
        <v>3.4412331190000001</v>
      </c>
      <c r="AC232">
        <v>3.5139377129999998</v>
      </c>
      <c r="AD232">
        <v>3.6723308600000002</v>
      </c>
      <c r="AE232">
        <v>3.8371041699999999</v>
      </c>
      <c r="AF232">
        <v>4.0150883620000002</v>
      </c>
      <c r="AG232">
        <v>4.1942991640000002</v>
      </c>
      <c r="AH232">
        <v>4.3963091829999996</v>
      </c>
      <c r="AI232">
        <v>4.4532380419999997</v>
      </c>
      <c r="AJ232">
        <v>4.5288667370000004</v>
      </c>
      <c r="AK232">
        <v>4.6269048689999996</v>
      </c>
      <c r="AL232">
        <v>4.7390812740000001</v>
      </c>
      <c r="AM232">
        <v>4.8898314059999999</v>
      </c>
      <c r="AN232">
        <v>4.9994962530000002</v>
      </c>
      <c r="AO232">
        <v>5.1357737319999996</v>
      </c>
      <c r="AP232">
        <v>5.3129964840000001</v>
      </c>
      <c r="AQ232">
        <v>5.5380755549999998</v>
      </c>
      <c r="AR232">
        <v>5.8155663960000004</v>
      </c>
      <c r="AS232">
        <v>5.7379176520000001</v>
      </c>
      <c r="AT232">
        <v>5.6788083540000001</v>
      </c>
      <c r="AU232">
        <v>5.6331874099999997</v>
      </c>
      <c r="AV232">
        <v>5.597673812</v>
      </c>
      <c r="AW232">
        <v>5.5810078929999998</v>
      </c>
    </row>
    <row r="233" spans="2:49" x14ac:dyDescent="0.25">
      <c r="B233" t="s">
        <v>304</v>
      </c>
      <c r="C233">
        <v>82.165927612137295</v>
      </c>
      <c r="D233">
        <v>83.485128157272499</v>
      </c>
      <c r="E233">
        <v>70.71179746</v>
      </c>
      <c r="F233">
        <v>71.558899629999999</v>
      </c>
      <c r="G233">
        <v>68.143720479999999</v>
      </c>
      <c r="H233">
        <v>66.042476250000007</v>
      </c>
      <c r="I233">
        <v>65.09279927</v>
      </c>
      <c r="J233">
        <v>62.980020250000003</v>
      </c>
      <c r="K233">
        <v>60.648848309999998</v>
      </c>
      <c r="L233">
        <v>59.011187390000003</v>
      </c>
      <c r="M233">
        <v>58.635971820000002</v>
      </c>
      <c r="N233">
        <v>58.881957659999998</v>
      </c>
      <c r="O233">
        <v>57.679337150000002</v>
      </c>
      <c r="P233">
        <v>55.967751649999997</v>
      </c>
      <c r="Q233">
        <v>53.554933800000001</v>
      </c>
      <c r="R233">
        <v>52.009059129999997</v>
      </c>
      <c r="S233">
        <v>50.581259039999999</v>
      </c>
      <c r="T233">
        <v>50.601234789999999</v>
      </c>
      <c r="U233">
        <v>50.533827909999999</v>
      </c>
      <c r="V233">
        <v>50.601484360000001</v>
      </c>
      <c r="W233">
        <v>49.988795340000003</v>
      </c>
      <c r="X233">
        <v>48.65905309</v>
      </c>
      <c r="Y233">
        <v>47.177672319999999</v>
      </c>
      <c r="Z233">
        <v>45.596682090000002</v>
      </c>
      <c r="AA233">
        <v>44.084065129999999</v>
      </c>
      <c r="AB233">
        <v>42.567528080000002</v>
      </c>
      <c r="AC233">
        <v>40.997954960000001</v>
      </c>
      <c r="AD233">
        <v>38.921494670000001</v>
      </c>
      <c r="AE233">
        <v>36.841498260000002</v>
      </c>
      <c r="AF233">
        <v>34.805168809999998</v>
      </c>
      <c r="AG233">
        <v>32.824611019999999</v>
      </c>
      <c r="AH233">
        <v>30.910174189999999</v>
      </c>
      <c r="AI233">
        <v>29.03934151</v>
      </c>
      <c r="AJ233">
        <v>27.213390570000001</v>
      </c>
      <c r="AK233">
        <v>25.42348312</v>
      </c>
      <c r="AL233">
        <v>23.710657770000001</v>
      </c>
      <c r="AM233">
        <v>22.032487830000001</v>
      </c>
      <c r="AN233">
        <v>20.954905950000001</v>
      </c>
      <c r="AO233">
        <v>19.865720929999998</v>
      </c>
      <c r="AP233">
        <v>18.784264499999999</v>
      </c>
      <c r="AQ233">
        <v>17.684749799999999</v>
      </c>
      <c r="AR233">
        <v>16.52217362</v>
      </c>
      <c r="AS233">
        <v>15.868956280000001</v>
      </c>
      <c r="AT233">
        <v>15.25474949</v>
      </c>
      <c r="AU233">
        <v>14.660074740000001</v>
      </c>
      <c r="AV233">
        <v>14.070619880000001</v>
      </c>
      <c r="AW233">
        <v>13.501843790000001</v>
      </c>
    </row>
    <row r="234" spans="2:49" x14ac:dyDescent="0.25">
      <c r="B234" t="s">
        <v>305</v>
      </c>
      <c r="C234">
        <v>0.67805251130835598</v>
      </c>
      <c r="D234">
        <v>0.68893886369971102</v>
      </c>
      <c r="E234">
        <v>0.87438821980000003</v>
      </c>
      <c r="F234">
        <v>1.1675536799999999</v>
      </c>
      <c r="G234">
        <v>1.3824941100000001</v>
      </c>
      <c r="H234">
        <v>1.6035999999999999</v>
      </c>
      <c r="I234">
        <v>1.8418839149999999</v>
      </c>
      <c r="J234">
        <v>2.0464331740000001</v>
      </c>
      <c r="K234">
        <v>2.2278375619999999</v>
      </c>
      <c r="L234">
        <v>2.4201724570000001</v>
      </c>
      <c r="M234">
        <v>2.657722927</v>
      </c>
      <c r="N234">
        <v>2.9247450650000002</v>
      </c>
      <c r="O234">
        <v>2.9157942640000001</v>
      </c>
      <c r="P234">
        <v>2.8815703340000001</v>
      </c>
      <c r="Q234">
        <v>2.8105709459999999</v>
      </c>
      <c r="R234">
        <v>2.784546889</v>
      </c>
      <c r="S234">
        <v>2.765371021</v>
      </c>
      <c r="T234">
        <v>2.8959689750000002</v>
      </c>
      <c r="U234">
        <v>3.0166455700000001</v>
      </c>
      <c r="V234">
        <v>3.1407885809999998</v>
      </c>
      <c r="W234">
        <v>3.1760710240000001</v>
      </c>
      <c r="X234">
        <v>3.1686539759999999</v>
      </c>
      <c r="Y234">
        <v>3.233561168</v>
      </c>
      <c r="Z234">
        <v>3.2967995650000002</v>
      </c>
      <c r="AA234">
        <v>3.3708486359999998</v>
      </c>
      <c r="AB234">
        <v>3.4412331190000001</v>
      </c>
      <c r="AC234">
        <v>3.5139377129999998</v>
      </c>
      <c r="AD234">
        <v>3.6723308600000002</v>
      </c>
      <c r="AE234">
        <v>3.8371041699999999</v>
      </c>
      <c r="AF234">
        <v>4.0150883620000002</v>
      </c>
      <c r="AG234">
        <v>4.1942991640000002</v>
      </c>
      <c r="AH234">
        <v>4.3963091829999996</v>
      </c>
      <c r="AI234">
        <v>4.4532380419999997</v>
      </c>
      <c r="AJ234">
        <v>4.5288667370000004</v>
      </c>
      <c r="AK234">
        <v>4.6269048689999996</v>
      </c>
      <c r="AL234">
        <v>4.7390812740000001</v>
      </c>
      <c r="AM234">
        <v>4.8898314059999999</v>
      </c>
      <c r="AN234">
        <v>4.9994962530000002</v>
      </c>
      <c r="AO234">
        <v>5.1357737319999996</v>
      </c>
      <c r="AP234">
        <v>5.3129964840000001</v>
      </c>
      <c r="AQ234">
        <v>5.5380755549999998</v>
      </c>
      <c r="AR234">
        <v>5.8155663960000004</v>
      </c>
      <c r="AS234">
        <v>5.7379176520000001</v>
      </c>
      <c r="AT234">
        <v>5.6788083540000001</v>
      </c>
      <c r="AU234">
        <v>5.6331874099999997</v>
      </c>
      <c r="AV234">
        <v>5.597673812</v>
      </c>
      <c r="AW234">
        <v>5.5810078929999998</v>
      </c>
    </row>
    <row r="235" spans="2:49" x14ac:dyDescent="0.25">
      <c r="B235" t="s">
        <v>306</v>
      </c>
      <c r="C235">
        <v>114.221490567207</v>
      </c>
      <c r="D235">
        <v>116.055353544252</v>
      </c>
      <c r="E235">
        <v>103.6846785</v>
      </c>
      <c r="F235">
        <v>108.3169116</v>
      </c>
      <c r="G235">
        <v>112.3272913</v>
      </c>
      <c r="H235">
        <v>106.9950863</v>
      </c>
      <c r="I235">
        <v>112.8531752</v>
      </c>
      <c r="J235">
        <v>114.69853809999999</v>
      </c>
      <c r="K235">
        <v>114.59165539999999</v>
      </c>
      <c r="L235">
        <v>113.0096394</v>
      </c>
      <c r="M235">
        <v>111.3508752</v>
      </c>
      <c r="N235">
        <v>108.22778510000001</v>
      </c>
      <c r="O235">
        <v>101.8092207</v>
      </c>
      <c r="P235">
        <v>99.186224379999999</v>
      </c>
      <c r="Q235">
        <v>97.627541699999995</v>
      </c>
      <c r="R235">
        <v>93.522572539999999</v>
      </c>
      <c r="S235">
        <v>89.115229279999994</v>
      </c>
      <c r="T235">
        <v>87.336926129999995</v>
      </c>
      <c r="U235">
        <v>85.821677379999997</v>
      </c>
      <c r="V235">
        <v>84.496707310000005</v>
      </c>
      <c r="W235">
        <v>96.451103869999997</v>
      </c>
      <c r="X235">
        <v>106.02771970000001</v>
      </c>
      <c r="Y235">
        <v>102.9782589</v>
      </c>
      <c r="Z235">
        <v>100.19079259999999</v>
      </c>
      <c r="AA235">
        <v>97.364969299999998</v>
      </c>
      <c r="AB235">
        <v>93.749959349999997</v>
      </c>
      <c r="AC235">
        <v>90.336772909999894</v>
      </c>
      <c r="AD235">
        <v>92.238502580000002</v>
      </c>
      <c r="AE235">
        <v>93.953346719999999</v>
      </c>
      <c r="AF235">
        <v>95.418997540000007</v>
      </c>
      <c r="AG235">
        <v>96.018158580000005</v>
      </c>
      <c r="AH235">
        <v>96.426973219999894</v>
      </c>
      <c r="AI235">
        <v>97.523919300000003</v>
      </c>
      <c r="AJ235">
        <v>98.426795260000006</v>
      </c>
      <c r="AK235">
        <v>99.038386720000005</v>
      </c>
      <c r="AL235">
        <v>99.530915059999998</v>
      </c>
      <c r="AM235">
        <v>99.907123380000002</v>
      </c>
      <c r="AN235">
        <v>95.719768099999996</v>
      </c>
      <c r="AO235">
        <v>91.527322319999996</v>
      </c>
      <c r="AP235">
        <v>87.430111929999995</v>
      </c>
      <c r="AQ235">
        <v>83.366267429999894</v>
      </c>
      <c r="AR235">
        <v>79.411406990000003</v>
      </c>
      <c r="AS235">
        <v>75.581143179999998</v>
      </c>
      <c r="AT235">
        <v>71.778802690000006</v>
      </c>
      <c r="AU235">
        <v>68.012728260000003</v>
      </c>
      <c r="AV235">
        <v>64.242435830000005</v>
      </c>
      <c r="AW235">
        <v>60.519561430000003</v>
      </c>
    </row>
    <row r="236" spans="2:49" x14ac:dyDescent="0.25">
      <c r="B236" t="s">
        <v>307</v>
      </c>
      <c r="C236">
        <v>1.2736350545564401</v>
      </c>
      <c r="D236">
        <v>1.2940836773262701</v>
      </c>
      <c r="E236">
        <v>1.4657924280000001</v>
      </c>
      <c r="F236">
        <v>1.533963967</v>
      </c>
      <c r="G236">
        <v>1.593579989</v>
      </c>
      <c r="H236">
        <v>1.520656032</v>
      </c>
      <c r="I236">
        <v>1.6068249649999999</v>
      </c>
      <c r="J236">
        <v>1.6001156160000001</v>
      </c>
      <c r="K236">
        <v>1.5666201719999999</v>
      </c>
      <c r="L236">
        <v>1.514404042</v>
      </c>
      <c r="M236">
        <v>1.4630196470000001</v>
      </c>
      <c r="N236">
        <v>1.3946131049999999</v>
      </c>
      <c r="O236">
        <v>1.3338034459999999</v>
      </c>
      <c r="P236">
        <v>1.3226248540000001</v>
      </c>
      <c r="Q236">
        <v>1.3267074759999999</v>
      </c>
      <c r="R236">
        <v>1.2969579849999999</v>
      </c>
      <c r="S236">
        <v>1.2630388210000001</v>
      </c>
      <c r="T236">
        <v>1.3874022690000001</v>
      </c>
      <c r="U236">
        <v>1.517989689</v>
      </c>
      <c r="V236">
        <v>1.654758186</v>
      </c>
      <c r="W236">
        <v>1.454297376</v>
      </c>
      <c r="X236">
        <v>1.2026551839999999</v>
      </c>
      <c r="Y236">
        <v>1.2642704499999999</v>
      </c>
      <c r="Z236">
        <v>1.3847415439999999</v>
      </c>
      <c r="AA236">
        <v>1.5018486230000001</v>
      </c>
      <c r="AB236">
        <v>1.4662649990000001</v>
      </c>
      <c r="AC236">
        <v>1.432157195</v>
      </c>
      <c r="AD236">
        <v>1.49735095</v>
      </c>
      <c r="AE236">
        <v>1.562256791</v>
      </c>
      <c r="AF236">
        <v>1.625745789</v>
      </c>
      <c r="AG236">
        <v>1.6744813590000001</v>
      </c>
      <c r="AH236">
        <v>1.721257555</v>
      </c>
      <c r="AI236">
        <v>1.7658410019999999</v>
      </c>
      <c r="AJ236">
        <v>1.807444268</v>
      </c>
      <c r="AK236">
        <v>1.844109255</v>
      </c>
      <c r="AL236">
        <v>1.346439215</v>
      </c>
      <c r="AM236">
        <v>0.83379656619999998</v>
      </c>
      <c r="AN236">
        <v>0.78912688200000003</v>
      </c>
      <c r="AO236">
        <v>0.74400398769999998</v>
      </c>
      <c r="AP236">
        <v>0.69944104579999999</v>
      </c>
      <c r="AQ236" s="39">
        <v>0.65461089589999999</v>
      </c>
      <c r="AR236" s="39">
        <v>0.61015367060000003</v>
      </c>
      <c r="AS236" s="39">
        <v>0.60951980049999999</v>
      </c>
      <c r="AT236" s="39">
        <v>0.60877570830000005</v>
      </c>
      <c r="AU236" s="39">
        <v>0.60798334860000003</v>
      </c>
      <c r="AV236" s="39">
        <v>0.60675775480000005</v>
      </c>
      <c r="AW236" s="39">
        <v>0.60554427280000001</v>
      </c>
    </row>
    <row r="237" spans="2:49" x14ac:dyDescent="0.25">
      <c r="B237" t="s">
        <v>308</v>
      </c>
      <c r="C237">
        <v>3.4574974609126801</v>
      </c>
      <c r="D237">
        <v>3.51300870100687</v>
      </c>
      <c r="E237">
        <v>3.1385469659999998</v>
      </c>
      <c r="F237">
        <v>3.261210368</v>
      </c>
      <c r="G237">
        <v>3.364036896</v>
      </c>
      <c r="H237">
        <v>3.1875571479999998</v>
      </c>
      <c r="I237">
        <v>3.3446730320000002</v>
      </c>
      <c r="J237">
        <v>3.4641296669999999</v>
      </c>
      <c r="K237">
        <v>3.5322368759999998</v>
      </c>
      <c r="L237">
        <v>3.5601235240000002</v>
      </c>
      <c r="M237">
        <v>3.589421502</v>
      </c>
      <c r="N237">
        <v>3.5737452599999999</v>
      </c>
      <c r="O237">
        <v>3.7558172519999999</v>
      </c>
      <c r="P237">
        <v>4.071976673</v>
      </c>
      <c r="Q237">
        <v>4.4465645699999996</v>
      </c>
      <c r="R237">
        <v>4.7145037179999996</v>
      </c>
      <c r="S237">
        <v>4.9633954999999998</v>
      </c>
      <c r="T237">
        <v>4.7118839760000002</v>
      </c>
      <c r="U237">
        <v>4.4744529809999998</v>
      </c>
      <c r="V237">
        <v>4.2460408899999997</v>
      </c>
      <c r="W237">
        <v>5.0157721400000002</v>
      </c>
      <c r="X237">
        <v>5.5886103580000004</v>
      </c>
      <c r="Y237">
        <v>5.4114763249999998</v>
      </c>
      <c r="Z237">
        <v>5.2493827069999996</v>
      </c>
      <c r="AA237">
        <v>5.0864850109999997</v>
      </c>
      <c r="AB237">
        <v>4.3183980200000001</v>
      </c>
      <c r="AC237">
        <v>3.6118517369999998</v>
      </c>
      <c r="AD237">
        <v>3.4708625529999999</v>
      </c>
      <c r="AE237">
        <v>3.3090680510000001</v>
      </c>
      <c r="AF237">
        <v>3.1250681020000002</v>
      </c>
      <c r="AG237">
        <v>2.9090632240000001</v>
      </c>
      <c r="AH237">
        <v>2.6838606299999999</v>
      </c>
      <c r="AI237">
        <v>2.164215827</v>
      </c>
      <c r="AJ237">
        <v>1.6262525459999999</v>
      </c>
      <c r="AK237">
        <v>1.3051445429999999</v>
      </c>
      <c r="AL237">
        <v>0.98122496800000003</v>
      </c>
      <c r="AM237">
        <v>0.64781579349999996</v>
      </c>
      <c r="AN237">
        <v>0.64625657849999996</v>
      </c>
      <c r="AO237">
        <v>0.64393313149999998</v>
      </c>
      <c r="AP237">
        <v>0.64150233040000004</v>
      </c>
      <c r="AQ237">
        <v>0.63849774770000001</v>
      </c>
      <c r="AR237">
        <v>0.6354694689</v>
      </c>
      <c r="AS237">
        <v>0.63477141869999998</v>
      </c>
      <c r="AT237">
        <v>0.63395866550000002</v>
      </c>
      <c r="AU237">
        <v>0.6330957438</v>
      </c>
      <c r="AV237">
        <v>0.63178181879999995</v>
      </c>
      <c r="AW237">
        <v>0.63048065669999998</v>
      </c>
    </row>
    <row r="238" spans="2:49" x14ac:dyDescent="0.25">
      <c r="B238" t="s">
        <v>309</v>
      </c>
      <c r="C238">
        <v>5.0750954082325404</v>
      </c>
      <c r="D238">
        <v>5.1565777065978304</v>
      </c>
      <c r="E238">
        <v>4.6069232089999996</v>
      </c>
      <c r="F238">
        <v>4.425128892</v>
      </c>
      <c r="G238">
        <v>4.2194602730000002</v>
      </c>
      <c r="H238">
        <v>3.695611344</v>
      </c>
      <c r="I238">
        <v>3.5842322329999998</v>
      </c>
      <c r="J238">
        <v>3.4989745729999999</v>
      </c>
      <c r="K238">
        <v>3.3628832260000001</v>
      </c>
      <c r="L238">
        <v>3.194861591</v>
      </c>
      <c r="M238">
        <v>3.0363138329999999</v>
      </c>
      <c r="N238">
        <v>2.8496589800000001</v>
      </c>
      <c r="O238">
        <v>2.3700497249999999</v>
      </c>
      <c r="P238">
        <v>1.985968406</v>
      </c>
      <c r="Q238">
        <v>1.8593681209999999</v>
      </c>
      <c r="R238">
        <v>1.815609756</v>
      </c>
      <c r="S238">
        <v>1.7661035789999999</v>
      </c>
      <c r="T238">
        <v>1.757932273</v>
      </c>
      <c r="U238">
        <v>1.75485997</v>
      </c>
      <c r="V238">
        <v>1.755623473</v>
      </c>
      <c r="W238">
        <v>1.218594119</v>
      </c>
      <c r="X238">
        <v>0.52556893930000004</v>
      </c>
      <c r="Y238">
        <v>0.52292615090000005</v>
      </c>
      <c r="Z238">
        <v>0.52095412070000002</v>
      </c>
      <c r="AA238">
        <v>0.5181486045</v>
      </c>
      <c r="AB238">
        <v>0.50983499229999996</v>
      </c>
      <c r="AC238">
        <v>0.5019073033</v>
      </c>
      <c r="AD238">
        <v>0.51927943659999998</v>
      </c>
      <c r="AE238">
        <v>0.53619396909999995</v>
      </c>
      <c r="AF238">
        <v>0.55228142449999995</v>
      </c>
      <c r="AG238">
        <v>0.56503931559999998</v>
      </c>
      <c r="AH238">
        <v>0.57697118309999995</v>
      </c>
      <c r="AI238">
        <v>0.58835467929999996</v>
      </c>
      <c r="AJ238">
        <v>0.59861500749999996</v>
      </c>
      <c r="AK238">
        <v>0.6071275424</v>
      </c>
      <c r="AL238">
        <v>0.61501344099999999</v>
      </c>
      <c r="AM238">
        <v>0.62218087879999995</v>
      </c>
      <c r="AN238">
        <v>0.62064889219999997</v>
      </c>
      <c r="AO238">
        <v>0.61838316709999996</v>
      </c>
      <c r="AP238">
        <v>0.61601460480000003</v>
      </c>
      <c r="AQ238">
        <v>0.61309535169999996</v>
      </c>
      <c r="AR238">
        <v>0.61015367060000003</v>
      </c>
      <c r="AS238">
        <v>0.60951980049999999</v>
      </c>
      <c r="AT238">
        <v>0.60877570830000005</v>
      </c>
      <c r="AU238">
        <v>0.60798334860000003</v>
      </c>
      <c r="AV238">
        <v>0.60675775480000005</v>
      </c>
      <c r="AW238">
        <v>0.60554427280000001</v>
      </c>
    </row>
    <row r="239" spans="2:49" x14ac:dyDescent="0.25">
      <c r="B239" t="s">
        <v>310</v>
      </c>
      <c r="C239">
        <v>0.35516190417563898</v>
      </c>
      <c r="D239">
        <v>0.36086414342755202</v>
      </c>
      <c r="E239">
        <v>0.50773300079999995</v>
      </c>
      <c r="F239">
        <v>0.87309864930000003</v>
      </c>
      <c r="G239">
        <v>1.2166194020000001</v>
      </c>
      <c r="H239">
        <v>1.4134556490000001</v>
      </c>
      <c r="I239">
        <v>1.7146676949999999</v>
      </c>
      <c r="J239">
        <v>1.997193564</v>
      </c>
      <c r="K239">
        <v>2.2118103640000002</v>
      </c>
      <c r="L239">
        <v>2.347515043</v>
      </c>
      <c r="M239">
        <v>2.4172415909999998</v>
      </c>
      <c r="N239">
        <v>2.3758011630000002</v>
      </c>
      <c r="O239">
        <v>2.504187618</v>
      </c>
      <c r="P239">
        <v>2.723178688</v>
      </c>
      <c r="Q239">
        <v>2.9828436360000001</v>
      </c>
      <c r="R239">
        <v>3.1724803829999999</v>
      </c>
      <c r="S239">
        <v>3.3505605549999999</v>
      </c>
      <c r="T239">
        <v>3.4804011030000002</v>
      </c>
      <c r="U239">
        <v>3.6194717679999999</v>
      </c>
      <c r="V239">
        <v>3.7663375270000001</v>
      </c>
      <c r="W239">
        <v>4.4257505139999997</v>
      </c>
      <c r="X239">
        <v>4.982466359</v>
      </c>
      <c r="Y239">
        <v>5.1663472309999996</v>
      </c>
      <c r="Z239">
        <v>5.3457116129999998</v>
      </c>
      <c r="AA239">
        <v>5.5060701459999999</v>
      </c>
      <c r="AB239">
        <v>5.632968999</v>
      </c>
      <c r="AC239">
        <v>5.7481589900000003</v>
      </c>
      <c r="AD239">
        <v>6.6558531109999999</v>
      </c>
      <c r="AE239">
        <v>7.5942656980000001</v>
      </c>
      <c r="AF239">
        <v>8.5550927760000004</v>
      </c>
      <c r="AG239">
        <v>9.4131259430000007</v>
      </c>
      <c r="AH239">
        <v>10.270545289999999</v>
      </c>
      <c r="AI239">
        <v>10.965256930000001</v>
      </c>
      <c r="AJ239">
        <v>11.64337272</v>
      </c>
      <c r="AK239">
        <v>12.28938979</v>
      </c>
      <c r="AL239">
        <v>12.88507018</v>
      </c>
      <c r="AM239">
        <v>13.464721340000001</v>
      </c>
      <c r="AN239">
        <v>14.04260202</v>
      </c>
      <c r="AO239">
        <v>14.5920074</v>
      </c>
      <c r="AP239">
        <v>15.12657214</v>
      </c>
      <c r="AQ239">
        <v>15.6348556</v>
      </c>
      <c r="AR239">
        <v>16.12954745</v>
      </c>
      <c r="AS239">
        <v>16.76505036</v>
      </c>
      <c r="AT239">
        <v>17.391074440000001</v>
      </c>
      <c r="AU239">
        <v>18.00919425</v>
      </c>
      <c r="AV239">
        <v>18.607541319999999</v>
      </c>
      <c r="AW239">
        <v>19.198974440000001</v>
      </c>
    </row>
    <row r="240" spans="2:49" x14ac:dyDescent="0.25">
      <c r="B240" t="s">
        <v>311</v>
      </c>
      <c r="C240">
        <v>7.99114284395189E-2</v>
      </c>
      <c r="D240">
        <v>8.1194432271199296E-2</v>
      </c>
      <c r="E240">
        <v>0.50773300079999995</v>
      </c>
      <c r="F240">
        <v>0.54423973160000005</v>
      </c>
      <c r="G240">
        <v>0.58587412750000001</v>
      </c>
      <c r="H240">
        <v>0.58734295079999999</v>
      </c>
      <c r="I240">
        <v>0.66242677299999997</v>
      </c>
      <c r="J240">
        <v>0.76096047720000004</v>
      </c>
      <c r="K240">
        <v>0.87537766500000003</v>
      </c>
      <c r="L240">
        <v>1.0134484020000001</v>
      </c>
      <c r="M240">
        <v>1.1951915660000001</v>
      </c>
      <c r="N240">
        <v>1.4165532240000001</v>
      </c>
      <c r="O240">
        <v>1.4585354479999999</v>
      </c>
      <c r="P240">
        <v>1.553581688</v>
      </c>
      <c r="Q240">
        <v>1.670632498</v>
      </c>
      <c r="R240">
        <v>1.7477206599999999</v>
      </c>
      <c r="S240">
        <v>1.8185270250000001</v>
      </c>
      <c r="T240">
        <v>1.8530788579999999</v>
      </c>
      <c r="U240">
        <v>1.892769017</v>
      </c>
      <c r="V240">
        <v>1.9365810240000001</v>
      </c>
      <c r="W240">
        <v>2.5229908280000002</v>
      </c>
      <c r="X240">
        <v>3.0750117709999998</v>
      </c>
      <c r="Y240">
        <v>3.5557169370000001</v>
      </c>
      <c r="Z240">
        <v>4.0143879550000001</v>
      </c>
      <c r="AA240">
        <v>4.4416911020000001</v>
      </c>
      <c r="AB240">
        <v>4.8376928770000003</v>
      </c>
      <c r="AC240">
        <v>5.202546119</v>
      </c>
      <c r="AD240">
        <v>5.6284757680000004</v>
      </c>
      <c r="AE240">
        <v>6.062157601</v>
      </c>
      <c r="AF240">
        <v>6.4983504969999997</v>
      </c>
      <c r="AG240">
        <v>6.8870418469999999</v>
      </c>
      <c r="AH240">
        <v>7.270446905</v>
      </c>
      <c r="AI240">
        <v>7.7000766169999997</v>
      </c>
      <c r="AJ240">
        <v>8.1175438539999902</v>
      </c>
      <c r="AK240">
        <v>8.512427959</v>
      </c>
      <c r="AL240">
        <v>8.8752948669999903</v>
      </c>
      <c r="AM240">
        <v>9.2272426000000003</v>
      </c>
      <c r="AN240">
        <v>9.5714750459999998</v>
      </c>
      <c r="AO240">
        <v>9.8972782539999997</v>
      </c>
      <c r="AP240">
        <v>10.21399692</v>
      </c>
      <c r="AQ240">
        <v>10.51393841</v>
      </c>
      <c r="AR240">
        <v>10.805691660000001</v>
      </c>
      <c r="AS240">
        <v>11.19003073</v>
      </c>
      <c r="AT240">
        <v>11.568444149999999</v>
      </c>
      <c r="AU240">
        <v>11.941990649999999</v>
      </c>
      <c r="AV240">
        <v>12.30282637</v>
      </c>
      <c r="AW240">
        <v>12.65949674</v>
      </c>
    </row>
    <row r="241" spans="2:49" x14ac:dyDescent="0.25">
      <c r="B241" t="s">
        <v>312</v>
      </c>
      <c r="C241">
        <v>4.4799793836545803</v>
      </c>
      <c r="D241">
        <v>4.5519069017495504</v>
      </c>
      <c r="E241">
        <v>4.0667060099999999</v>
      </c>
      <c r="F241">
        <v>4.0198613200000004</v>
      </c>
      <c r="G241">
        <v>3.944113121</v>
      </c>
      <c r="H241">
        <v>3.5542093769999998</v>
      </c>
      <c r="I241">
        <v>3.5463131379999999</v>
      </c>
      <c r="J241">
        <v>3.4695549749999999</v>
      </c>
      <c r="K241">
        <v>3.341107107</v>
      </c>
      <c r="L241">
        <v>3.1799702700000001</v>
      </c>
      <c r="M241">
        <v>3.0276118489999999</v>
      </c>
      <c r="N241">
        <v>2.846784258</v>
      </c>
      <c r="O241">
        <v>3.0283037240000001</v>
      </c>
      <c r="P241">
        <v>3.319798976</v>
      </c>
      <c r="Q241">
        <v>3.6625202030000001</v>
      </c>
      <c r="R241">
        <v>3.9205340639999999</v>
      </c>
      <c r="S241">
        <v>4.1648421960000004</v>
      </c>
      <c r="T241">
        <v>4.3195003310000004</v>
      </c>
      <c r="U241">
        <v>4.485869214</v>
      </c>
      <c r="V241">
        <v>4.6621204409999999</v>
      </c>
      <c r="W241">
        <v>4.6088504439999998</v>
      </c>
      <c r="X241">
        <v>4.3652387539999999</v>
      </c>
      <c r="Y241">
        <v>4.3016028420000003</v>
      </c>
      <c r="Z241">
        <v>4.2455616850000002</v>
      </c>
      <c r="AA241">
        <v>4.1846791980000004</v>
      </c>
      <c r="AB241">
        <v>4.0996520009999999</v>
      </c>
      <c r="AC241">
        <v>4.0188159749999999</v>
      </c>
      <c r="AD241">
        <v>4.0059040780000004</v>
      </c>
      <c r="AE241">
        <v>3.9815947459999999</v>
      </c>
      <c r="AF241">
        <v>3.9438016349999998</v>
      </c>
      <c r="AG241">
        <v>3.909678108</v>
      </c>
      <c r="AH241">
        <v>3.867411267</v>
      </c>
      <c r="AI241">
        <v>3.8616433529999998</v>
      </c>
      <c r="AJ241">
        <v>3.8478217360000002</v>
      </c>
      <c r="AK241">
        <v>3.8224907730000002</v>
      </c>
      <c r="AL241">
        <v>3.7913008499999998</v>
      </c>
      <c r="AM241">
        <v>3.7559001350000001</v>
      </c>
      <c r="AN241">
        <v>3.722976133</v>
      </c>
      <c r="AO241">
        <v>3.686174276</v>
      </c>
      <c r="AP241">
        <v>3.6493016150000002</v>
      </c>
      <c r="AQ241">
        <v>3.6097198709999998</v>
      </c>
      <c r="AR241">
        <v>3.5705670610000002</v>
      </c>
      <c r="AS241">
        <v>3.5638611060000001</v>
      </c>
      <c r="AT241">
        <v>3.556557395</v>
      </c>
      <c r="AU241">
        <v>3.5490184560000002</v>
      </c>
      <c r="AV241">
        <v>3.538998887</v>
      </c>
      <c r="AW241">
        <v>3.5290995039999999</v>
      </c>
    </row>
    <row r="242" spans="2:49" x14ac:dyDescent="0.25">
      <c r="B242" t="s">
        <v>313</v>
      </c>
      <c r="C242">
        <v>1.4169855567767899</v>
      </c>
      <c r="D242">
        <v>1.4397357182278101</v>
      </c>
      <c r="E242">
        <v>2.7801289140000001</v>
      </c>
      <c r="F242">
        <v>3.0837397769999999</v>
      </c>
      <c r="G242">
        <v>3.4056610520000001</v>
      </c>
      <c r="H242">
        <v>3.4651092370000001</v>
      </c>
      <c r="I242">
        <v>3.9155855079999999</v>
      </c>
      <c r="J242">
        <v>4.164296974</v>
      </c>
      <c r="K242">
        <v>4.36473054</v>
      </c>
      <c r="L242">
        <v>4.5275721659999997</v>
      </c>
      <c r="M242">
        <v>4.7044397570000003</v>
      </c>
      <c r="N242">
        <v>4.8341585440000001</v>
      </c>
      <c r="O242">
        <v>4.4628964489999996</v>
      </c>
      <c r="P242">
        <v>4.2614441630000002</v>
      </c>
      <c r="Q242">
        <v>4.104846631</v>
      </c>
      <c r="R242">
        <v>3.8414984670000001</v>
      </c>
      <c r="S242">
        <v>3.568700523</v>
      </c>
      <c r="T242">
        <v>3.667225679</v>
      </c>
      <c r="U242">
        <v>3.7764253480000001</v>
      </c>
      <c r="V242">
        <v>3.8945078030000002</v>
      </c>
      <c r="W242">
        <v>3.796811655</v>
      </c>
      <c r="X242">
        <v>3.2543352749999999</v>
      </c>
      <c r="Y242">
        <v>3.1384927980000001</v>
      </c>
      <c r="Z242">
        <v>3.0321037739999999</v>
      </c>
      <c r="AA242">
        <v>2.9259527639999998</v>
      </c>
      <c r="AB242">
        <v>2.8103415279999999</v>
      </c>
      <c r="AC242">
        <v>2.7019965949999998</v>
      </c>
      <c r="AD242">
        <v>2.837485536</v>
      </c>
      <c r="AE242">
        <v>2.9680664280000002</v>
      </c>
      <c r="AF242">
        <v>3.0912018269999999</v>
      </c>
      <c r="AG242">
        <v>3.186578285</v>
      </c>
      <c r="AH242">
        <v>3.2736645000000002</v>
      </c>
      <c r="AI242">
        <v>3.3723142199999998</v>
      </c>
      <c r="AJ242">
        <v>3.459176367</v>
      </c>
      <c r="AK242">
        <v>3.5304039610000002</v>
      </c>
      <c r="AL242">
        <v>3.588538513</v>
      </c>
      <c r="AM242">
        <v>3.6387194680000001</v>
      </c>
      <c r="AN242">
        <v>3.627234778</v>
      </c>
      <c r="AO242">
        <v>3.6113485380000001</v>
      </c>
      <c r="AP242">
        <v>3.594756238</v>
      </c>
      <c r="AQ242">
        <v>3.5748522729999999</v>
      </c>
      <c r="AR242">
        <v>3.5547265650000002</v>
      </c>
      <c r="AS242">
        <v>3.5404463320000001</v>
      </c>
      <c r="AT242">
        <v>3.5256172220000002</v>
      </c>
      <c r="AU242">
        <v>3.5106014490000002</v>
      </c>
      <c r="AV242">
        <v>3.493183975</v>
      </c>
      <c r="AW242">
        <v>3.4759419880000002</v>
      </c>
    </row>
    <row r="243" spans="2:49" x14ac:dyDescent="0.25">
      <c r="B243" t="s">
        <v>314</v>
      </c>
      <c r="C243">
        <v>114.221490567207</v>
      </c>
      <c r="D243">
        <v>116.055353544252</v>
      </c>
      <c r="E243">
        <v>103.6846785</v>
      </c>
      <c r="F243">
        <v>108.3169116</v>
      </c>
      <c r="G243">
        <v>112.3272913</v>
      </c>
      <c r="H243">
        <v>106.9950863</v>
      </c>
      <c r="I243">
        <v>112.8531752</v>
      </c>
      <c r="J243">
        <v>114.69853809999999</v>
      </c>
      <c r="K243">
        <v>114.59165539999999</v>
      </c>
      <c r="L243">
        <v>113.0096394</v>
      </c>
      <c r="M243">
        <v>111.3508752</v>
      </c>
      <c r="N243">
        <v>108.22778510000001</v>
      </c>
      <c r="O243">
        <v>101.8092207</v>
      </c>
      <c r="P243">
        <v>99.186224379999999</v>
      </c>
      <c r="Q243">
        <v>97.627541699999995</v>
      </c>
      <c r="R243">
        <v>93.522572539999999</v>
      </c>
      <c r="S243">
        <v>89.115229279999994</v>
      </c>
      <c r="T243">
        <v>87.336926129999995</v>
      </c>
      <c r="U243">
        <v>85.821677379999997</v>
      </c>
      <c r="V243">
        <v>84.496707310000005</v>
      </c>
      <c r="W243">
        <v>96.451103869999997</v>
      </c>
      <c r="X243">
        <v>106.02771970000001</v>
      </c>
      <c r="Y243">
        <v>102.9782589</v>
      </c>
      <c r="Z243">
        <v>100.19079259999999</v>
      </c>
      <c r="AA243">
        <v>97.364969299999998</v>
      </c>
      <c r="AB243">
        <v>93.749959349999997</v>
      </c>
      <c r="AC243">
        <v>90.336772909999894</v>
      </c>
      <c r="AD243">
        <v>92.238502580000002</v>
      </c>
      <c r="AE243">
        <v>93.953346719999999</v>
      </c>
      <c r="AF243">
        <v>95.418997540000007</v>
      </c>
      <c r="AG243">
        <v>96.018158580000005</v>
      </c>
      <c r="AH243">
        <v>96.426973219999894</v>
      </c>
      <c r="AI243">
        <v>97.523919300000003</v>
      </c>
      <c r="AJ243">
        <v>98.426795260000006</v>
      </c>
      <c r="AK243">
        <v>99.038386720000005</v>
      </c>
      <c r="AL243">
        <v>99.530915059999998</v>
      </c>
      <c r="AM243">
        <v>99.907123380000002</v>
      </c>
      <c r="AN243">
        <v>95.719768099999996</v>
      </c>
      <c r="AO243">
        <v>91.527322319999996</v>
      </c>
      <c r="AP243">
        <v>87.430111929999995</v>
      </c>
      <c r="AQ243">
        <v>83.366267429999894</v>
      </c>
      <c r="AR243">
        <v>79.411406990000003</v>
      </c>
      <c r="AS243">
        <v>75.581143179999998</v>
      </c>
      <c r="AT243">
        <v>71.778802690000006</v>
      </c>
      <c r="AU243">
        <v>68.012728260000003</v>
      </c>
      <c r="AV243">
        <v>64.242435830000005</v>
      </c>
      <c r="AW243">
        <v>60.519561430000003</v>
      </c>
    </row>
    <row r="244" spans="2:49" x14ac:dyDescent="0.25">
      <c r="B244" t="s">
        <v>315</v>
      </c>
      <c r="C244">
        <v>1.2736350545564401</v>
      </c>
      <c r="D244">
        <v>1.2940836773262701</v>
      </c>
      <c r="E244">
        <v>1.4657924280000001</v>
      </c>
      <c r="F244">
        <v>1.533963967</v>
      </c>
      <c r="G244">
        <v>1.593579989</v>
      </c>
      <c r="H244">
        <v>1.520656032</v>
      </c>
      <c r="I244">
        <v>1.6068249649999999</v>
      </c>
      <c r="J244">
        <v>1.6001156160000001</v>
      </c>
      <c r="K244">
        <v>1.5666201719999999</v>
      </c>
      <c r="L244">
        <v>1.514404042</v>
      </c>
      <c r="M244">
        <v>1.4630196470000001</v>
      </c>
      <c r="N244">
        <v>1.3946131049999999</v>
      </c>
      <c r="O244">
        <v>1.3338034459999999</v>
      </c>
      <c r="P244">
        <v>1.3226248540000001</v>
      </c>
      <c r="Q244">
        <v>1.3267074759999999</v>
      </c>
      <c r="R244">
        <v>1.2969579849999999</v>
      </c>
      <c r="S244">
        <v>1.2630388210000001</v>
      </c>
      <c r="T244">
        <v>1.3874022690000001</v>
      </c>
      <c r="U244">
        <v>1.517989689</v>
      </c>
      <c r="V244">
        <v>1.654758186</v>
      </c>
      <c r="W244">
        <v>1.454297376</v>
      </c>
      <c r="X244">
        <v>1.2026551839999999</v>
      </c>
      <c r="Y244">
        <v>1.2642704499999999</v>
      </c>
      <c r="Z244">
        <v>1.3847415439999999</v>
      </c>
      <c r="AA244">
        <v>1.5018486230000001</v>
      </c>
      <c r="AB244">
        <v>1.4662649990000001</v>
      </c>
      <c r="AC244">
        <v>1.432157195</v>
      </c>
      <c r="AD244">
        <v>1.49735095</v>
      </c>
      <c r="AE244">
        <v>1.562256791</v>
      </c>
      <c r="AF244">
        <v>1.625745789</v>
      </c>
      <c r="AG244">
        <v>1.6744813590000001</v>
      </c>
      <c r="AH244">
        <v>1.721257555</v>
      </c>
      <c r="AI244">
        <v>1.7658410019999999</v>
      </c>
      <c r="AJ244">
        <v>1.807444268</v>
      </c>
      <c r="AK244">
        <v>1.844109255</v>
      </c>
      <c r="AL244">
        <v>1.346439215</v>
      </c>
      <c r="AM244">
        <v>0.83379656619999998</v>
      </c>
      <c r="AN244">
        <v>0.78912688200000003</v>
      </c>
      <c r="AO244">
        <v>0.74400398769999998</v>
      </c>
      <c r="AP244">
        <v>0.69944104579999999</v>
      </c>
      <c r="AQ244" s="39">
        <v>0.65461089589999999</v>
      </c>
      <c r="AR244" s="39">
        <v>0.61015367060000003</v>
      </c>
      <c r="AS244" s="39">
        <v>0.60951980049999999</v>
      </c>
      <c r="AT244" s="39">
        <v>0.60877570830000005</v>
      </c>
      <c r="AU244" s="39">
        <v>0.60798334860000003</v>
      </c>
      <c r="AV244" s="39">
        <v>0.60675775480000005</v>
      </c>
      <c r="AW244" s="39">
        <v>0.60554427280000001</v>
      </c>
    </row>
    <row r="245" spans="2:49" x14ac:dyDescent="0.25">
      <c r="B245" t="s">
        <v>316</v>
      </c>
      <c r="C245">
        <v>3.4574974609126801</v>
      </c>
      <c r="D245">
        <v>3.51300870100687</v>
      </c>
      <c r="E245">
        <v>3.1385469659999998</v>
      </c>
      <c r="F245">
        <v>3.261210368</v>
      </c>
      <c r="G245">
        <v>3.364036896</v>
      </c>
      <c r="H245">
        <v>3.1875571479999998</v>
      </c>
      <c r="I245">
        <v>3.3446730320000002</v>
      </c>
      <c r="J245">
        <v>3.4641296669999999</v>
      </c>
      <c r="K245">
        <v>3.5322368759999998</v>
      </c>
      <c r="L245">
        <v>3.5601235240000002</v>
      </c>
      <c r="M245">
        <v>3.589421502</v>
      </c>
      <c r="N245">
        <v>3.5737452599999999</v>
      </c>
      <c r="O245">
        <v>3.7558172519999999</v>
      </c>
      <c r="P245">
        <v>4.071976673</v>
      </c>
      <c r="Q245">
        <v>4.4465645699999996</v>
      </c>
      <c r="R245">
        <v>4.7145037179999996</v>
      </c>
      <c r="S245">
        <v>4.9633954999999998</v>
      </c>
      <c r="T245">
        <v>4.7118839760000002</v>
      </c>
      <c r="U245">
        <v>4.4744529809999998</v>
      </c>
      <c r="V245">
        <v>4.2460408899999997</v>
      </c>
      <c r="W245">
        <v>5.0157721400000002</v>
      </c>
      <c r="X245">
        <v>5.5886103580000004</v>
      </c>
      <c r="Y245">
        <v>5.4114763249999998</v>
      </c>
      <c r="Z245">
        <v>5.2493827069999996</v>
      </c>
      <c r="AA245">
        <v>5.0864850109999997</v>
      </c>
      <c r="AB245">
        <v>4.3183980200000001</v>
      </c>
      <c r="AC245">
        <v>3.6118517369999998</v>
      </c>
      <c r="AD245">
        <v>3.4708625529999999</v>
      </c>
      <c r="AE245">
        <v>3.3090680510000001</v>
      </c>
      <c r="AF245">
        <v>3.1250681020000002</v>
      </c>
      <c r="AG245">
        <v>2.9090632240000001</v>
      </c>
      <c r="AH245">
        <v>2.6838606299999999</v>
      </c>
      <c r="AI245">
        <v>2.164215827</v>
      </c>
      <c r="AJ245">
        <v>1.6262525459999999</v>
      </c>
      <c r="AK245">
        <v>1.3051445429999999</v>
      </c>
      <c r="AL245">
        <v>0.98122496800000003</v>
      </c>
      <c r="AM245">
        <v>0.64781579349999996</v>
      </c>
      <c r="AN245">
        <v>0.64625657849999996</v>
      </c>
      <c r="AO245">
        <v>0.64393313149999998</v>
      </c>
      <c r="AP245">
        <v>0.64150233040000004</v>
      </c>
      <c r="AQ245">
        <v>0.63849774770000001</v>
      </c>
      <c r="AR245">
        <v>0.6354694689</v>
      </c>
      <c r="AS245">
        <v>0.63477141869999998</v>
      </c>
      <c r="AT245">
        <v>0.63395866550000002</v>
      </c>
      <c r="AU245">
        <v>0.6330957438</v>
      </c>
      <c r="AV245">
        <v>0.63178181879999995</v>
      </c>
      <c r="AW245">
        <v>0.63048065669999998</v>
      </c>
    </row>
    <row r="246" spans="2:49" x14ac:dyDescent="0.25">
      <c r="B246" t="s">
        <v>317</v>
      </c>
      <c r="C246">
        <v>5.0750954082325404</v>
      </c>
      <c r="D246">
        <v>5.1565777065978304</v>
      </c>
      <c r="E246">
        <v>4.6069232089999996</v>
      </c>
      <c r="F246">
        <v>4.425128892</v>
      </c>
      <c r="G246">
        <v>4.2194602730000002</v>
      </c>
      <c r="H246">
        <v>3.695611344</v>
      </c>
      <c r="I246">
        <v>3.5842322329999998</v>
      </c>
      <c r="J246">
        <v>3.4989745729999999</v>
      </c>
      <c r="K246">
        <v>3.3628832260000001</v>
      </c>
      <c r="L246">
        <v>3.194861591</v>
      </c>
      <c r="M246">
        <v>3.0363138329999999</v>
      </c>
      <c r="N246">
        <v>2.8496589800000001</v>
      </c>
      <c r="O246">
        <v>2.3700497249999999</v>
      </c>
      <c r="P246">
        <v>1.985968406</v>
      </c>
      <c r="Q246">
        <v>1.8593681209999999</v>
      </c>
      <c r="R246">
        <v>1.815609756</v>
      </c>
      <c r="S246">
        <v>1.7661035789999999</v>
      </c>
      <c r="T246">
        <v>1.757932273</v>
      </c>
      <c r="U246">
        <v>1.75485997</v>
      </c>
      <c r="V246">
        <v>1.755623473</v>
      </c>
      <c r="W246">
        <v>1.218594119</v>
      </c>
      <c r="X246">
        <v>0.52556893930000004</v>
      </c>
      <c r="Y246">
        <v>0.52292615090000005</v>
      </c>
      <c r="Z246">
        <v>0.52095412070000002</v>
      </c>
      <c r="AA246">
        <v>0.5181486045</v>
      </c>
      <c r="AB246">
        <v>0.50983499229999996</v>
      </c>
      <c r="AC246">
        <v>0.5019073033</v>
      </c>
      <c r="AD246">
        <v>0.51927943659999998</v>
      </c>
      <c r="AE246">
        <v>0.53619396909999995</v>
      </c>
      <c r="AF246">
        <v>0.55228142449999995</v>
      </c>
      <c r="AG246">
        <v>0.56503931559999998</v>
      </c>
      <c r="AH246">
        <v>0.57697118309999995</v>
      </c>
      <c r="AI246">
        <v>0.58835467929999996</v>
      </c>
      <c r="AJ246">
        <v>0.59861500749999996</v>
      </c>
      <c r="AK246">
        <v>0.6071275424</v>
      </c>
      <c r="AL246">
        <v>0.61501344099999999</v>
      </c>
      <c r="AM246">
        <v>0.62218087879999995</v>
      </c>
      <c r="AN246">
        <v>0.62064889219999997</v>
      </c>
      <c r="AO246">
        <v>0.61838316709999996</v>
      </c>
      <c r="AP246">
        <v>0.61601460480000003</v>
      </c>
      <c r="AQ246">
        <v>0.61309535169999996</v>
      </c>
      <c r="AR246">
        <v>0.61015367060000003</v>
      </c>
      <c r="AS246">
        <v>0.60951980049999999</v>
      </c>
      <c r="AT246">
        <v>0.60877570830000005</v>
      </c>
      <c r="AU246">
        <v>0.60798334860000003</v>
      </c>
      <c r="AV246">
        <v>0.60675775480000005</v>
      </c>
      <c r="AW246">
        <v>0.60554427280000001</v>
      </c>
    </row>
    <row r="247" spans="2:49" x14ac:dyDescent="0.25">
      <c r="B247" t="s">
        <v>318</v>
      </c>
      <c r="C247">
        <v>0.35516190417563898</v>
      </c>
      <c r="D247">
        <v>0.36086414342755202</v>
      </c>
      <c r="E247">
        <v>0.50773300079999995</v>
      </c>
      <c r="F247">
        <v>0.87309864930000003</v>
      </c>
      <c r="G247">
        <v>1.2166194020000001</v>
      </c>
      <c r="H247">
        <v>1.4134556490000001</v>
      </c>
      <c r="I247">
        <v>1.7146676949999999</v>
      </c>
      <c r="J247">
        <v>1.997193564</v>
      </c>
      <c r="K247">
        <v>2.2118103640000002</v>
      </c>
      <c r="L247">
        <v>2.347515043</v>
      </c>
      <c r="M247">
        <v>2.4172415909999998</v>
      </c>
      <c r="N247">
        <v>2.3758011630000002</v>
      </c>
      <c r="O247">
        <v>2.504187618</v>
      </c>
      <c r="P247">
        <v>2.723178688</v>
      </c>
      <c r="Q247">
        <v>2.9828436360000001</v>
      </c>
      <c r="R247">
        <v>3.1724803829999999</v>
      </c>
      <c r="S247">
        <v>3.3505605549999999</v>
      </c>
      <c r="T247">
        <v>3.4804011030000002</v>
      </c>
      <c r="U247">
        <v>3.6194717679999999</v>
      </c>
      <c r="V247">
        <v>3.7663375270000001</v>
      </c>
      <c r="W247">
        <v>4.4257505139999997</v>
      </c>
      <c r="X247">
        <v>4.982466359</v>
      </c>
      <c r="Y247">
        <v>5.1663472309999996</v>
      </c>
      <c r="Z247">
        <v>5.3457116129999998</v>
      </c>
      <c r="AA247">
        <v>5.5060701459999999</v>
      </c>
      <c r="AB247">
        <v>5.632968999</v>
      </c>
      <c r="AC247">
        <v>5.7481589900000003</v>
      </c>
      <c r="AD247">
        <v>6.6558531109999999</v>
      </c>
      <c r="AE247">
        <v>7.5942656980000001</v>
      </c>
      <c r="AF247">
        <v>8.5550927760000004</v>
      </c>
      <c r="AG247">
        <v>9.4131259430000007</v>
      </c>
      <c r="AH247">
        <v>10.270545289999999</v>
      </c>
      <c r="AI247">
        <v>10.965256930000001</v>
      </c>
      <c r="AJ247">
        <v>11.64337272</v>
      </c>
      <c r="AK247">
        <v>12.28938979</v>
      </c>
      <c r="AL247">
        <v>12.88507018</v>
      </c>
      <c r="AM247">
        <v>13.464721340000001</v>
      </c>
      <c r="AN247">
        <v>14.04260202</v>
      </c>
      <c r="AO247">
        <v>14.5920074</v>
      </c>
      <c r="AP247">
        <v>15.12657214</v>
      </c>
      <c r="AQ247">
        <v>15.6348556</v>
      </c>
      <c r="AR247">
        <v>16.12954745</v>
      </c>
      <c r="AS247">
        <v>16.76505036</v>
      </c>
      <c r="AT247">
        <v>17.391074440000001</v>
      </c>
      <c r="AU247">
        <v>18.00919425</v>
      </c>
      <c r="AV247">
        <v>18.607541319999999</v>
      </c>
      <c r="AW247">
        <v>19.198974440000001</v>
      </c>
    </row>
    <row r="248" spans="2:49" x14ac:dyDescent="0.25">
      <c r="B248" t="s">
        <v>319</v>
      </c>
      <c r="C248">
        <v>7.99114284395189E-2</v>
      </c>
      <c r="D248">
        <v>8.1194432271199296E-2</v>
      </c>
      <c r="E248">
        <v>0.50773300079999995</v>
      </c>
      <c r="F248">
        <v>0.54423973160000005</v>
      </c>
      <c r="G248">
        <v>0.58587412750000001</v>
      </c>
      <c r="H248">
        <v>0.58734295079999999</v>
      </c>
      <c r="I248">
        <v>0.66242677299999997</v>
      </c>
      <c r="J248">
        <v>0.76096047720000004</v>
      </c>
      <c r="K248">
        <v>0.87537766500000003</v>
      </c>
      <c r="L248">
        <v>1.0134484020000001</v>
      </c>
      <c r="M248">
        <v>1.1951915660000001</v>
      </c>
      <c r="N248">
        <v>1.4165532240000001</v>
      </c>
      <c r="O248">
        <v>1.4585354479999999</v>
      </c>
      <c r="P248">
        <v>1.553581688</v>
      </c>
      <c r="Q248">
        <v>1.670632498</v>
      </c>
      <c r="R248">
        <v>1.7477206599999999</v>
      </c>
      <c r="S248">
        <v>1.8185270250000001</v>
      </c>
      <c r="T248">
        <v>1.8530788579999999</v>
      </c>
      <c r="U248">
        <v>1.892769017</v>
      </c>
      <c r="V248">
        <v>1.9365810240000001</v>
      </c>
      <c r="W248">
        <v>2.5229908280000002</v>
      </c>
      <c r="X248">
        <v>3.0750117709999998</v>
      </c>
      <c r="Y248">
        <v>3.5557169370000001</v>
      </c>
      <c r="Z248">
        <v>4.0143879550000001</v>
      </c>
      <c r="AA248">
        <v>4.4416911020000001</v>
      </c>
      <c r="AB248">
        <v>4.8376928770000003</v>
      </c>
      <c r="AC248">
        <v>5.202546119</v>
      </c>
      <c r="AD248">
        <v>5.6284757680000004</v>
      </c>
      <c r="AE248">
        <v>6.062157601</v>
      </c>
      <c r="AF248">
        <v>6.4983504969999997</v>
      </c>
      <c r="AG248">
        <v>6.8870418469999999</v>
      </c>
      <c r="AH248">
        <v>7.270446905</v>
      </c>
      <c r="AI248">
        <v>7.7000766169999997</v>
      </c>
      <c r="AJ248">
        <v>8.1175438539999902</v>
      </c>
      <c r="AK248">
        <v>8.512427959</v>
      </c>
      <c r="AL248">
        <v>8.8752948669999903</v>
      </c>
      <c r="AM248">
        <v>9.2272426000000003</v>
      </c>
      <c r="AN248">
        <v>9.5714750459999998</v>
      </c>
      <c r="AO248">
        <v>9.8972782539999997</v>
      </c>
      <c r="AP248">
        <v>10.21399692</v>
      </c>
      <c r="AQ248">
        <v>10.51393841</v>
      </c>
      <c r="AR248">
        <v>10.805691660000001</v>
      </c>
      <c r="AS248">
        <v>11.19003073</v>
      </c>
      <c r="AT248">
        <v>11.568444149999999</v>
      </c>
      <c r="AU248">
        <v>11.941990649999999</v>
      </c>
      <c r="AV248">
        <v>12.30282637</v>
      </c>
      <c r="AW248">
        <v>12.65949674</v>
      </c>
    </row>
    <row r="249" spans="2:49" x14ac:dyDescent="0.25">
      <c r="B249" t="s">
        <v>320</v>
      </c>
      <c r="C249">
        <v>4.4799793836545803</v>
      </c>
      <c r="D249">
        <v>4.5519069017495504</v>
      </c>
      <c r="E249">
        <v>4.0667060099999999</v>
      </c>
      <c r="F249">
        <v>4.0198613200000004</v>
      </c>
      <c r="G249">
        <v>3.944113121</v>
      </c>
      <c r="H249">
        <v>3.5542093769999998</v>
      </c>
      <c r="I249">
        <v>3.5463131379999999</v>
      </c>
      <c r="J249">
        <v>3.4695549749999999</v>
      </c>
      <c r="K249">
        <v>3.341107107</v>
      </c>
      <c r="L249">
        <v>3.1799702700000001</v>
      </c>
      <c r="M249">
        <v>3.0276118489999999</v>
      </c>
      <c r="N249">
        <v>2.846784258</v>
      </c>
      <c r="O249">
        <v>3.0283037240000001</v>
      </c>
      <c r="P249">
        <v>3.319798976</v>
      </c>
      <c r="Q249">
        <v>3.6625202030000001</v>
      </c>
      <c r="R249">
        <v>3.9205340639999999</v>
      </c>
      <c r="S249">
        <v>4.1648421960000004</v>
      </c>
      <c r="T249">
        <v>4.3195003310000004</v>
      </c>
      <c r="U249">
        <v>4.485869214</v>
      </c>
      <c r="V249">
        <v>4.6621204409999999</v>
      </c>
      <c r="W249">
        <v>4.6088504439999998</v>
      </c>
      <c r="X249">
        <v>4.3652387539999999</v>
      </c>
      <c r="Y249">
        <v>4.3016028420000003</v>
      </c>
      <c r="Z249">
        <v>4.2455616850000002</v>
      </c>
      <c r="AA249">
        <v>4.1846791980000004</v>
      </c>
      <c r="AB249">
        <v>4.0996520009999999</v>
      </c>
      <c r="AC249">
        <v>4.0188159749999999</v>
      </c>
      <c r="AD249">
        <v>4.0059040780000004</v>
      </c>
      <c r="AE249">
        <v>3.9815947459999999</v>
      </c>
      <c r="AF249">
        <v>3.9438016349999998</v>
      </c>
      <c r="AG249">
        <v>3.909678108</v>
      </c>
      <c r="AH249">
        <v>3.867411267</v>
      </c>
      <c r="AI249">
        <v>3.8616433529999998</v>
      </c>
      <c r="AJ249">
        <v>3.8478217360000002</v>
      </c>
      <c r="AK249">
        <v>3.8224907730000002</v>
      </c>
      <c r="AL249">
        <v>3.7913008499999998</v>
      </c>
      <c r="AM249">
        <v>3.7559001350000001</v>
      </c>
      <c r="AN249">
        <v>3.722976133</v>
      </c>
      <c r="AO249">
        <v>3.686174276</v>
      </c>
      <c r="AP249">
        <v>3.6493016150000002</v>
      </c>
      <c r="AQ249">
        <v>3.6097198709999998</v>
      </c>
      <c r="AR249">
        <v>3.5705670610000002</v>
      </c>
      <c r="AS249">
        <v>3.5638611060000001</v>
      </c>
      <c r="AT249">
        <v>3.556557395</v>
      </c>
      <c r="AU249">
        <v>3.5490184560000002</v>
      </c>
      <c r="AV249">
        <v>3.538998887</v>
      </c>
      <c r="AW249">
        <v>3.5290995039999999</v>
      </c>
    </row>
    <row r="250" spans="2:49" x14ac:dyDescent="0.25">
      <c r="B250" t="s">
        <v>321</v>
      </c>
      <c r="C250">
        <v>1.4169855567767899</v>
      </c>
      <c r="D250">
        <v>1.4397357182278101</v>
      </c>
      <c r="E250">
        <v>2.7801289140000001</v>
      </c>
      <c r="F250">
        <v>3.0837397769999999</v>
      </c>
      <c r="G250">
        <v>3.4056610520000001</v>
      </c>
      <c r="H250">
        <v>3.4651092370000001</v>
      </c>
      <c r="I250">
        <v>3.9155855079999999</v>
      </c>
      <c r="J250">
        <v>4.164296974</v>
      </c>
      <c r="K250">
        <v>4.36473054</v>
      </c>
      <c r="L250">
        <v>4.5275721659999997</v>
      </c>
      <c r="M250">
        <v>4.7044397570000003</v>
      </c>
      <c r="N250">
        <v>4.8341585440000001</v>
      </c>
      <c r="O250">
        <v>4.4628964489999996</v>
      </c>
      <c r="P250">
        <v>4.2614441630000002</v>
      </c>
      <c r="Q250">
        <v>4.104846631</v>
      </c>
      <c r="R250">
        <v>3.8414984670000001</v>
      </c>
      <c r="S250">
        <v>3.568700523</v>
      </c>
      <c r="T250">
        <v>3.667225679</v>
      </c>
      <c r="U250">
        <v>3.7764253480000001</v>
      </c>
      <c r="V250">
        <v>3.8945078030000002</v>
      </c>
      <c r="W250">
        <v>3.796811655</v>
      </c>
      <c r="X250">
        <v>3.2543352749999999</v>
      </c>
      <c r="Y250">
        <v>3.1384927980000001</v>
      </c>
      <c r="Z250">
        <v>3.0321037739999999</v>
      </c>
      <c r="AA250">
        <v>2.9259527639999998</v>
      </c>
      <c r="AB250">
        <v>2.8103415279999999</v>
      </c>
      <c r="AC250">
        <v>2.7019965949999998</v>
      </c>
      <c r="AD250">
        <v>2.837485536</v>
      </c>
      <c r="AE250">
        <v>2.9680664280000002</v>
      </c>
      <c r="AF250">
        <v>3.0912018269999999</v>
      </c>
      <c r="AG250">
        <v>3.186578285</v>
      </c>
      <c r="AH250">
        <v>3.2736645000000002</v>
      </c>
      <c r="AI250">
        <v>3.3723142199999998</v>
      </c>
      <c r="AJ250">
        <v>3.459176367</v>
      </c>
      <c r="AK250">
        <v>3.5304039610000002</v>
      </c>
      <c r="AL250">
        <v>3.588538513</v>
      </c>
      <c r="AM250">
        <v>3.6387194680000001</v>
      </c>
      <c r="AN250">
        <v>3.627234778</v>
      </c>
      <c r="AO250">
        <v>3.6113485380000001</v>
      </c>
      <c r="AP250">
        <v>3.594756238</v>
      </c>
      <c r="AQ250">
        <v>3.5748522729999999</v>
      </c>
      <c r="AR250">
        <v>3.5547265650000002</v>
      </c>
      <c r="AS250">
        <v>3.5404463320000001</v>
      </c>
      <c r="AT250">
        <v>3.5256172220000002</v>
      </c>
      <c r="AU250">
        <v>3.5106014490000002</v>
      </c>
      <c r="AV250">
        <v>3.493183975</v>
      </c>
      <c r="AW250">
        <v>3.4759419880000002</v>
      </c>
    </row>
    <row r="251" spans="2:49" x14ac:dyDescent="0.25">
      <c r="B251" t="s">
        <v>322</v>
      </c>
      <c r="C251">
        <v>34.067295461021303</v>
      </c>
      <c r="D251">
        <v>34.614256909026899</v>
      </c>
      <c r="E251">
        <v>30.46956342</v>
      </c>
      <c r="F251">
        <v>30.307495710000001</v>
      </c>
      <c r="G251">
        <v>29.110643580000001</v>
      </c>
      <c r="H251">
        <v>27.524358329999998</v>
      </c>
      <c r="I251">
        <v>27.736401570000002</v>
      </c>
      <c r="J251">
        <v>27.316063799999998</v>
      </c>
      <c r="K251">
        <v>25.970707019999999</v>
      </c>
      <c r="L251">
        <v>25.107126860000001</v>
      </c>
      <c r="M251">
        <v>24.846823690000001</v>
      </c>
      <c r="N251">
        <v>24.9284663</v>
      </c>
      <c r="O251">
        <v>25.337590079999998</v>
      </c>
      <c r="P251">
        <v>25.340987179999999</v>
      </c>
      <c r="Q251">
        <v>24.3080085</v>
      </c>
      <c r="R251">
        <v>23.620862800000001</v>
      </c>
      <c r="S251">
        <v>23.100167370000001</v>
      </c>
      <c r="T251">
        <v>21.981077389999999</v>
      </c>
      <c r="U251">
        <v>21.013301500000001</v>
      </c>
      <c r="V251">
        <v>20.089923429999999</v>
      </c>
      <c r="W251">
        <v>18.198317419999999</v>
      </c>
      <c r="X251">
        <v>17.703911680000001</v>
      </c>
      <c r="Y251">
        <v>16.175366629999999</v>
      </c>
      <c r="Z251">
        <v>14.48632783</v>
      </c>
      <c r="AA251">
        <v>13.10809424</v>
      </c>
      <c r="AB251">
        <v>11.86680982</v>
      </c>
      <c r="AC251">
        <v>10.62143036</v>
      </c>
      <c r="AD251">
        <v>9.5103080670000004</v>
      </c>
      <c r="AE251">
        <v>8.4531882809999903</v>
      </c>
      <c r="AF251">
        <v>7.5513085430000002</v>
      </c>
      <c r="AG251">
        <v>6.6960504050000003</v>
      </c>
      <c r="AH251">
        <v>5.8854362629999999</v>
      </c>
      <c r="AI251">
        <v>4.8383678019999996</v>
      </c>
      <c r="AJ251">
        <v>3.8364969549999999</v>
      </c>
      <c r="AK251">
        <v>2.8794332460000001</v>
      </c>
      <c r="AL251">
        <v>2.0364734050000002</v>
      </c>
      <c r="AM251">
        <v>1.2181011690000001</v>
      </c>
      <c r="AN251">
        <v>1.142253776</v>
      </c>
      <c r="AO251">
        <v>1.0809723520000001</v>
      </c>
      <c r="AP251">
        <v>1.0206662129999999</v>
      </c>
      <c r="AQ251">
        <v>0.96312012709999995</v>
      </c>
      <c r="AR251">
        <v>0.90814137070000001</v>
      </c>
      <c r="AS251">
        <v>0.52058298749999998</v>
      </c>
      <c r="AT251">
        <v>0.28112845409999998</v>
      </c>
      <c r="AU251">
        <v>0.27215627120000002</v>
      </c>
      <c r="AV251">
        <v>0.26366651019999998</v>
      </c>
      <c r="AW251">
        <v>0.25589044779999998</v>
      </c>
    </row>
    <row r="252" spans="2:49" x14ac:dyDescent="0.25">
      <c r="B252" t="s">
        <v>323</v>
      </c>
      <c r="C252">
        <v>1.54983431156195</v>
      </c>
      <c r="D252">
        <v>1.57471740274219</v>
      </c>
      <c r="E252">
        <v>1.3861615430000001</v>
      </c>
      <c r="F252">
        <v>2.2617004870000001</v>
      </c>
      <c r="G252">
        <v>3.0163195630000001</v>
      </c>
      <c r="H252">
        <v>3.6369205280000001</v>
      </c>
      <c r="I252">
        <v>4.4305511790000001</v>
      </c>
      <c r="J252">
        <v>5.0690048010000002</v>
      </c>
      <c r="K252">
        <v>5.4283099269999999</v>
      </c>
      <c r="L252">
        <v>5.7505028190000003</v>
      </c>
      <c r="M252">
        <v>6.0690241140000003</v>
      </c>
      <c r="N252">
        <v>6.3033491110000002</v>
      </c>
      <c r="O252">
        <v>6.5239872139999999</v>
      </c>
      <c r="P252">
        <v>6.643330271</v>
      </c>
      <c r="Q252">
        <v>6.4873951209999996</v>
      </c>
      <c r="R252">
        <v>6.4168380249999997</v>
      </c>
      <c r="S252">
        <v>6.3869276130000001</v>
      </c>
      <c r="T252">
        <v>6.5051517609999996</v>
      </c>
      <c r="U252">
        <v>6.674769586</v>
      </c>
      <c r="V252">
        <v>6.8708641200000002</v>
      </c>
      <c r="W252">
        <v>5.5194291040000003</v>
      </c>
      <c r="X252">
        <v>5.5825738139999999</v>
      </c>
      <c r="Y252">
        <v>6.3027982280000003</v>
      </c>
      <c r="Z252">
        <v>6.9169710719999999</v>
      </c>
      <c r="AA252">
        <v>7.0856878679999999</v>
      </c>
      <c r="AB252">
        <v>7.2153321330000004</v>
      </c>
      <c r="AC252">
        <v>7.3195020169999996</v>
      </c>
      <c r="AD252">
        <v>7.4593935040000003</v>
      </c>
      <c r="AE252">
        <v>7.6000697290000003</v>
      </c>
      <c r="AF252">
        <v>7.5023630749999999</v>
      </c>
      <c r="AG252">
        <v>7.3810169590000001</v>
      </c>
      <c r="AH252">
        <v>7.2872205389999998</v>
      </c>
      <c r="AI252">
        <v>7.2732071539999996</v>
      </c>
      <c r="AJ252">
        <v>7.2746689379999996</v>
      </c>
      <c r="AK252">
        <v>7.283860443</v>
      </c>
      <c r="AL252">
        <v>7.3204146720000001</v>
      </c>
      <c r="AM252">
        <v>7.3723958420000004</v>
      </c>
      <c r="AN252">
        <v>6.9871146580000003</v>
      </c>
      <c r="AO252">
        <v>6.6864852590000003</v>
      </c>
      <c r="AP252">
        <v>6.4251529380000001</v>
      </c>
      <c r="AQ252">
        <v>6.1762400140000002</v>
      </c>
      <c r="AR252">
        <v>5.9389252729999997</v>
      </c>
      <c r="AS252">
        <v>5.7312423079999997</v>
      </c>
      <c r="AT252">
        <v>5.4996654779999998</v>
      </c>
      <c r="AU252">
        <v>5.2209969730000001</v>
      </c>
      <c r="AV252">
        <v>4.9580878049999999</v>
      </c>
      <c r="AW252">
        <v>4.7109040950000001</v>
      </c>
    </row>
    <row r="253" spans="2:49" x14ac:dyDescent="0.25">
      <c r="B253" t="s">
        <v>324</v>
      </c>
      <c r="C253">
        <v>0.19372928894524399</v>
      </c>
      <c r="D253">
        <v>0.196839675342774</v>
      </c>
      <c r="E253">
        <v>0.41865197459999998</v>
      </c>
      <c r="F253">
        <v>0.42930666499999998</v>
      </c>
      <c r="G253">
        <v>0.42510875739999998</v>
      </c>
      <c r="H253">
        <v>0.41437745040000001</v>
      </c>
      <c r="I253">
        <v>0.43048665539999997</v>
      </c>
      <c r="J253">
        <v>0.436460081</v>
      </c>
      <c r="K253">
        <v>0.4271664215</v>
      </c>
      <c r="L253">
        <v>0.42507538150000002</v>
      </c>
      <c r="M253">
        <v>0.43297480510000003</v>
      </c>
      <c r="N253">
        <v>0.44707026979999998</v>
      </c>
      <c r="O253">
        <v>0.51219070310000003</v>
      </c>
      <c r="P253">
        <v>0.57071823720000003</v>
      </c>
      <c r="Q253">
        <v>0.60417910470000002</v>
      </c>
      <c r="R253">
        <v>0.64286092890000002</v>
      </c>
      <c r="S253">
        <v>0.68385509749999995</v>
      </c>
      <c r="T253">
        <v>0.87643524429999997</v>
      </c>
      <c r="U253">
        <v>1.0787091559999999</v>
      </c>
      <c r="V253">
        <v>1.28997059</v>
      </c>
      <c r="W253">
        <v>1.2116483659999999</v>
      </c>
      <c r="X253">
        <v>1.3053340659999999</v>
      </c>
      <c r="Y253">
        <v>1.632812457</v>
      </c>
      <c r="Z253">
        <v>1.924994044</v>
      </c>
      <c r="AA253">
        <v>2.2288610160000002</v>
      </c>
      <c r="AB253">
        <v>2.5027611090000002</v>
      </c>
      <c r="AC253">
        <v>2.7559653530000001</v>
      </c>
      <c r="AD253">
        <v>2.786714903</v>
      </c>
      <c r="AE253">
        <v>2.8163731059999999</v>
      </c>
      <c r="AF253">
        <v>2.8647769950000002</v>
      </c>
      <c r="AG253">
        <v>2.8984894450000001</v>
      </c>
      <c r="AH253">
        <v>2.9356524469999998</v>
      </c>
      <c r="AI253">
        <v>3.1551185039999998</v>
      </c>
      <c r="AJ253">
        <v>3.3678685320000001</v>
      </c>
      <c r="AK253">
        <v>3.5777903100000001</v>
      </c>
      <c r="AL253">
        <v>3.7065194039999998</v>
      </c>
      <c r="AM253">
        <v>3.838198657</v>
      </c>
      <c r="AN253">
        <v>3.739942079</v>
      </c>
      <c r="AO253">
        <v>3.6810796190000001</v>
      </c>
      <c r="AP253">
        <v>3.6307724609999998</v>
      </c>
      <c r="AQ253">
        <v>3.583526204</v>
      </c>
      <c r="AR253">
        <v>3.5391923350000001</v>
      </c>
      <c r="AS253">
        <v>3.7384637220000001</v>
      </c>
      <c r="AT253">
        <v>3.9101029999999999</v>
      </c>
      <c r="AU253">
        <v>4.0289025460000003</v>
      </c>
      <c r="AV253">
        <v>4.139486539</v>
      </c>
      <c r="AW253">
        <v>4.243580701</v>
      </c>
    </row>
    <row r="254" spans="2:49" x14ac:dyDescent="0.25">
      <c r="B254" t="s">
        <v>325</v>
      </c>
      <c r="C254">
        <v>0.71679836909740502</v>
      </c>
      <c r="D254">
        <v>0.72830679876826598</v>
      </c>
      <c r="E254">
        <v>0.64109971359999995</v>
      </c>
      <c r="F254">
        <v>0.63718089349999996</v>
      </c>
      <c r="G254">
        <v>0.61153010249999995</v>
      </c>
      <c r="H254">
        <v>0.57774550719999995</v>
      </c>
      <c r="I254">
        <v>0.58173183510000004</v>
      </c>
      <c r="J254">
        <v>0.57912050770000001</v>
      </c>
      <c r="K254">
        <v>0.5568930044</v>
      </c>
      <c r="L254">
        <v>0.5535658</v>
      </c>
      <c r="M254">
        <v>0.57240462820000004</v>
      </c>
      <c r="N254">
        <v>0.60044616179999999</v>
      </c>
      <c r="O254">
        <v>0.82804330299999995</v>
      </c>
      <c r="P254">
        <v>1.032838557</v>
      </c>
      <c r="Q254">
        <v>1.1742922069999999</v>
      </c>
      <c r="R254">
        <v>1.3068111229999999</v>
      </c>
      <c r="S254">
        <v>1.427463878</v>
      </c>
      <c r="T254">
        <v>1.4621430369999999</v>
      </c>
      <c r="U254">
        <v>1.5078419380000001</v>
      </c>
      <c r="V254">
        <v>1.559051851</v>
      </c>
      <c r="W254">
        <v>1.1672072120000001</v>
      </c>
      <c r="X254">
        <v>0.98693562830000003</v>
      </c>
      <c r="Y254">
        <v>1.060087936</v>
      </c>
      <c r="Z254">
        <v>1.115634536</v>
      </c>
      <c r="AA254">
        <v>1.1849523470000001</v>
      </c>
      <c r="AB254">
        <v>1.2890114509999999</v>
      </c>
      <c r="AC254">
        <v>1.383683276</v>
      </c>
      <c r="AD254">
        <v>1.338298113</v>
      </c>
      <c r="AE254">
        <v>1.2960885069999999</v>
      </c>
      <c r="AF254">
        <v>1.266890826</v>
      </c>
      <c r="AG254">
        <v>1.224860302</v>
      </c>
      <c r="AH254">
        <v>1.187422786</v>
      </c>
      <c r="AI254">
        <v>1.1249560759999999</v>
      </c>
      <c r="AJ254">
        <v>1.0670729919999999</v>
      </c>
      <c r="AK254">
        <v>1.0141147939999999</v>
      </c>
      <c r="AL254">
        <v>0.96646946830000002</v>
      </c>
      <c r="AM254">
        <v>0.92225424889999996</v>
      </c>
      <c r="AN254">
        <v>0.85975976840000001</v>
      </c>
      <c r="AO254">
        <v>0.80847122959999995</v>
      </c>
      <c r="AP254">
        <v>0.76071047739999997</v>
      </c>
      <c r="AQ254">
        <v>0.71506825829999998</v>
      </c>
      <c r="AR254">
        <v>0.67139490810000002</v>
      </c>
      <c r="AS254">
        <v>0.63464775679999996</v>
      </c>
      <c r="AT254">
        <v>0.59573737029999996</v>
      </c>
      <c r="AU254">
        <v>0.55212252210000001</v>
      </c>
      <c r="AV254">
        <v>0.51102623469999997</v>
      </c>
      <c r="AW254">
        <v>0.47237171049999999</v>
      </c>
    </row>
    <row r="255" spans="2:49" x14ac:dyDescent="0.25">
      <c r="B255" t="s">
        <v>326</v>
      </c>
      <c r="C255">
        <v>0.19372928894524399</v>
      </c>
      <c r="D255">
        <v>0.196839675342774</v>
      </c>
      <c r="E255">
        <v>0.41865197459999998</v>
      </c>
      <c r="F255">
        <v>0.42930666499999998</v>
      </c>
      <c r="G255">
        <v>0.42510875739999998</v>
      </c>
      <c r="H255">
        <v>0.41437745040000001</v>
      </c>
      <c r="I255">
        <v>0.43048665539999997</v>
      </c>
      <c r="J255">
        <v>0.436460081</v>
      </c>
      <c r="K255">
        <v>0.4271664215</v>
      </c>
      <c r="L255">
        <v>0.42507538150000002</v>
      </c>
      <c r="M255">
        <v>0.43297480510000003</v>
      </c>
      <c r="N255">
        <v>0.44707026979999998</v>
      </c>
      <c r="O255">
        <v>0.4867013429</v>
      </c>
      <c r="P255">
        <v>0.51943473770000004</v>
      </c>
      <c r="Q255">
        <v>0.52995705950000005</v>
      </c>
      <c r="R255">
        <v>0.5461303274</v>
      </c>
      <c r="S255">
        <v>0.56490990870000002</v>
      </c>
      <c r="T255">
        <v>0.61930171209999996</v>
      </c>
      <c r="U255">
        <v>0.67926257349999997</v>
      </c>
      <c r="V255">
        <v>0.74306765519999995</v>
      </c>
      <c r="W255">
        <v>0.79282362760000002</v>
      </c>
      <c r="X255">
        <v>0.95215375099999999</v>
      </c>
      <c r="Y255">
        <v>1.0524602510000001</v>
      </c>
      <c r="Z255">
        <v>1.1354738040000001</v>
      </c>
      <c r="AA255">
        <v>1.228076781</v>
      </c>
      <c r="AB255">
        <v>1.3268597360000001</v>
      </c>
      <c r="AC255">
        <v>1.4171309299999999</v>
      </c>
      <c r="AD255">
        <v>1.4751830340000001</v>
      </c>
      <c r="AE255">
        <v>1.5304682489999999</v>
      </c>
      <c r="AF255">
        <v>1.5924707840000001</v>
      </c>
      <c r="AG255">
        <v>1.655086233</v>
      </c>
      <c r="AH255">
        <v>1.717577546</v>
      </c>
      <c r="AI255">
        <v>1.762098078</v>
      </c>
      <c r="AJ255">
        <v>1.807040456</v>
      </c>
      <c r="AK255">
        <v>1.853849941</v>
      </c>
      <c r="AL255">
        <v>1.898185829</v>
      </c>
      <c r="AM255">
        <v>1.9448959100000001</v>
      </c>
      <c r="AN255">
        <v>1.871400714</v>
      </c>
      <c r="AO255">
        <v>1.8189508990000001</v>
      </c>
      <c r="AP255">
        <v>1.7719035329999999</v>
      </c>
      <c r="AQ255">
        <v>1.7272642279999999</v>
      </c>
      <c r="AR255">
        <v>1.684887603</v>
      </c>
      <c r="AS255">
        <v>1.687595218</v>
      </c>
      <c r="AT255">
        <v>1.680969012</v>
      </c>
      <c r="AU255">
        <v>1.6557998920000001</v>
      </c>
      <c r="AV255">
        <v>1.631770672</v>
      </c>
      <c r="AW255">
        <v>1.609202303</v>
      </c>
    </row>
    <row r="256" spans="2:49" x14ac:dyDescent="0.25">
      <c r="B256" t="s">
        <v>327</v>
      </c>
      <c r="C256">
        <v>0.38745857789048899</v>
      </c>
      <c r="D256">
        <v>0.39367935068554899</v>
      </c>
      <c r="E256">
        <v>0.41865197459999998</v>
      </c>
      <c r="F256">
        <v>0.52786199960000002</v>
      </c>
      <c r="G256">
        <v>0.6473580283</v>
      </c>
      <c r="H256">
        <v>0.78622691739999995</v>
      </c>
      <c r="I256">
        <v>1.0227560010000001</v>
      </c>
      <c r="J256">
        <v>1.3036842550000001</v>
      </c>
      <c r="K256">
        <v>1.6093827590000001</v>
      </c>
      <c r="L256">
        <v>2.0253589110000001</v>
      </c>
      <c r="M256">
        <v>2.6144644650000002</v>
      </c>
      <c r="N256">
        <v>3.4269209869999999</v>
      </c>
      <c r="O256">
        <v>3.2757509420000002</v>
      </c>
      <c r="P256">
        <v>3.0662682979999998</v>
      </c>
      <c r="Q256">
        <v>2.7375002620000002</v>
      </c>
      <c r="R256">
        <v>2.4597231129999999</v>
      </c>
      <c r="S256">
        <v>2.2071710850000001</v>
      </c>
      <c r="T256">
        <v>2.6196316159999999</v>
      </c>
      <c r="U256">
        <v>3.0585085310000002</v>
      </c>
      <c r="V256">
        <v>3.519242636</v>
      </c>
      <c r="W256">
        <v>6.9504743309999997</v>
      </c>
      <c r="X256">
        <v>7.6466942710000003</v>
      </c>
      <c r="Y256">
        <v>8.0239851959999999</v>
      </c>
      <c r="Z256">
        <v>8.2759277900000008</v>
      </c>
      <c r="AA256">
        <v>8.6457600960000001</v>
      </c>
      <c r="AB256">
        <v>8.8987699819999904</v>
      </c>
      <c r="AC256">
        <v>9.1047730589999905</v>
      </c>
      <c r="AD256">
        <v>9.1239753859999997</v>
      </c>
      <c r="AE256">
        <v>9.1390438889999999</v>
      </c>
      <c r="AF256">
        <v>9.2346763769999995</v>
      </c>
      <c r="AG256">
        <v>9.3775778190000008</v>
      </c>
      <c r="AH256">
        <v>9.524596335</v>
      </c>
      <c r="AI256">
        <v>9.7109307600000001</v>
      </c>
      <c r="AJ256">
        <v>9.8968643759999999</v>
      </c>
      <c r="AK256">
        <v>10.09209429</v>
      </c>
      <c r="AL256">
        <v>10.281907909999999</v>
      </c>
      <c r="AM256">
        <v>10.48338594</v>
      </c>
      <c r="AN256">
        <v>10.32060766</v>
      </c>
      <c r="AO256">
        <v>10.26060137</v>
      </c>
      <c r="AP256">
        <v>10.21860554</v>
      </c>
      <c r="AQ256">
        <v>10.181176990000001</v>
      </c>
      <c r="AR256">
        <v>10.14822047</v>
      </c>
      <c r="AS256">
        <v>10.21929194</v>
      </c>
      <c r="AT256">
        <v>10.231874550000001</v>
      </c>
      <c r="AU256">
        <v>10.1284115</v>
      </c>
      <c r="AV256">
        <v>10.028839100000001</v>
      </c>
      <c r="AW256">
        <v>9.935385557</v>
      </c>
    </row>
    <row r="257" spans="2:49" x14ac:dyDescent="0.25">
      <c r="B257" t="s">
        <v>328</v>
      </c>
      <c r="C257">
        <v>34.067295461021303</v>
      </c>
      <c r="D257">
        <v>34.614256909026899</v>
      </c>
      <c r="E257">
        <v>30.46956342</v>
      </c>
      <c r="F257">
        <v>30.307495710000001</v>
      </c>
      <c r="G257">
        <v>29.110643580000001</v>
      </c>
      <c r="H257">
        <v>27.524358329999998</v>
      </c>
      <c r="I257">
        <v>27.736401570000002</v>
      </c>
      <c r="J257">
        <v>27.316063799999998</v>
      </c>
      <c r="K257">
        <v>25.970707019999999</v>
      </c>
      <c r="L257">
        <v>25.107126860000001</v>
      </c>
      <c r="M257">
        <v>24.846823690000001</v>
      </c>
      <c r="N257">
        <v>24.9284663</v>
      </c>
      <c r="O257">
        <v>25.337590079999998</v>
      </c>
      <c r="P257">
        <v>25.340987179999999</v>
      </c>
      <c r="Q257">
        <v>24.3080085</v>
      </c>
      <c r="R257">
        <v>23.620862800000001</v>
      </c>
      <c r="S257">
        <v>23.100167370000001</v>
      </c>
      <c r="T257">
        <v>21.981077389999999</v>
      </c>
      <c r="U257">
        <v>21.013301500000001</v>
      </c>
      <c r="V257">
        <v>20.089923429999999</v>
      </c>
      <c r="W257">
        <v>18.198317419999999</v>
      </c>
      <c r="X257">
        <v>17.703911680000001</v>
      </c>
      <c r="Y257">
        <v>16.175366629999999</v>
      </c>
      <c r="Z257">
        <v>14.48632783</v>
      </c>
      <c r="AA257">
        <v>13.10809424</v>
      </c>
      <c r="AB257">
        <v>11.86680982</v>
      </c>
      <c r="AC257">
        <v>10.62143036</v>
      </c>
      <c r="AD257">
        <v>9.5103080670000004</v>
      </c>
      <c r="AE257">
        <v>8.4531882809999903</v>
      </c>
      <c r="AF257">
        <v>7.5513085430000002</v>
      </c>
      <c r="AG257">
        <v>6.6960504050000003</v>
      </c>
      <c r="AH257">
        <v>5.8854362629999999</v>
      </c>
      <c r="AI257">
        <v>4.8383678019999996</v>
      </c>
      <c r="AJ257">
        <v>3.8364969549999999</v>
      </c>
      <c r="AK257">
        <v>2.8794332460000001</v>
      </c>
      <c r="AL257">
        <v>2.0364734050000002</v>
      </c>
      <c r="AM257">
        <v>1.2181011690000001</v>
      </c>
      <c r="AN257">
        <v>1.142253776</v>
      </c>
      <c r="AO257">
        <v>1.0809723520000001</v>
      </c>
      <c r="AP257">
        <v>1.0206662129999999</v>
      </c>
      <c r="AQ257">
        <v>0.96312012709999995</v>
      </c>
      <c r="AR257">
        <v>0.90814137070000001</v>
      </c>
      <c r="AS257">
        <v>0.52058298749999998</v>
      </c>
      <c r="AT257">
        <v>0.28112845409999998</v>
      </c>
      <c r="AU257">
        <v>0.27215627120000002</v>
      </c>
      <c r="AV257">
        <v>0.26366651019999998</v>
      </c>
      <c r="AW257">
        <v>0.25589044779999998</v>
      </c>
    </row>
    <row r="258" spans="2:49" x14ac:dyDescent="0.25">
      <c r="B258" t="s">
        <v>329</v>
      </c>
      <c r="C258">
        <v>1.54983431156195</v>
      </c>
      <c r="D258">
        <v>1.57471740274219</v>
      </c>
      <c r="E258">
        <v>1.3861615430000001</v>
      </c>
      <c r="F258">
        <v>2.2617004870000001</v>
      </c>
      <c r="G258">
        <v>3.0163195630000001</v>
      </c>
      <c r="H258">
        <v>3.6369205280000001</v>
      </c>
      <c r="I258">
        <v>4.4305511790000001</v>
      </c>
      <c r="J258">
        <v>5.0690048010000002</v>
      </c>
      <c r="K258">
        <v>5.4283099269999999</v>
      </c>
      <c r="L258">
        <v>5.7505028190000003</v>
      </c>
      <c r="M258">
        <v>6.0690241140000003</v>
      </c>
      <c r="N258">
        <v>6.3033491110000002</v>
      </c>
      <c r="O258">
        <v>6.5239872139999999</v>
      </c>
      <c r="P258">
        <v>6.643330271</v>
      </c>
      <c r="Q258">
        <v>6.4873951209999996</v>
      </c>
      <c r="R258">
        <v>6.4168380249999997</v>
      </c>
      <c r="S258">
        <v>6.3869276130000001</v>
      </c>
      <c r="T258">
        <v>6.5051517609999996</v>
      </c>
      <c r="U258">
        <v>6.674769586</v>
      </c>
      <c r="V258">
        <v>6.8708641200000002</v>
      </c>
      <c r="W258">
        <v>5.5194291040000003</v>
      </c>
      <c r="X258">
        <v>5.5825738139999999</v>
      </c>
      <c r="Y258">
        <v>6.3027982280000003</v>
      </c>
      <c r="Z258">
        <v>6.9169710719999999</v>
      </c>
      <c r="AA258">
        <v>7.0856878679999999</v>
      </c>
      <c r="AB258">
        <v>7.2153321330000004</v>
      </c>
      <c r="AC258">
        <v>7.3195020169999996</v>
      </c>
      <c r="AD258">
        <v>7.4593935040000003</v>
      </c>
      <c r="AE258">
        <v>7.6000697290000003</v>
      </c>
      <c r="AF258">
        <v>7.5023630749999999</v>
      </c>
      <c r="AG258">
        <v>7.3810169590000001</v>
      </c>
      <c r="AH258">
        <v>7.2872205389999998</v>
      </c>
      <c r="AI258">
        <v>7.2732071539999996</v>
      </c>
      <c r="AJ258">
        <v>7.2746689379999996</v>
      </c>
      <c r="AK258">
        <v>7.283860443</v>
      </c>
      <c r="AL258">
        <v>7.3204146720000001</v>
      </c>
      <c r="AM258">
        <v>7.3723958420000004</v>
      </c>
      <c r="AN258">
        <v>6.9871146580000003</v>
      </c>
      <c r="AO258">
        <v>6.6864852590000003</v>
      </c>
      <c r="AP258">
        <v>6.4251529380000001</v>
      </c>
      <c r="AQ258">
        <v>6.1762400140000002</v>
      </c>
      <c r="AR258">
        <v>5.9389252729999997</v>
      </c>
      <c r="AS258">
        <v>5.7312423079999997</v>
      </c>
      <c r="AT258">
        <v>5.4996654779999998</v>
      </c>
      <c r="AU258">
        <v>5.2209969730000001</v>
      </c>
      <c r="AV258">
        <v>4.9580878049999999</v>
      </c>
      <c r="AW258">
        <v>4.7109040950000001</v>
      </c>
    </row>
    <row r="259" spans="2:49" x14ac:dyDescent="0.25">
      <c r="B259" t="s">
        <v>330</v>
      </c>
      <c r="C259">
        <v>0.19372928894524399</v>
      </c>
      <c r="D259">
        <v>0.196839675342774</v>
      </c>
      <c r="E259">
        <v>0.41865197459999998</v>
      </c>
      <c r="F259">
        <v>0.42930666499999998</v>
      </c>
      <c r="G259">
        <v>0.42510875739999998</v>
      </c>
      <c r="H259">
        <v>0.41437745040000001</v>
      </c>
      <c r="I259">
        <v>0.43048665539999997</v>
      </c>
      <c r="J259">
        <v>0.436460081</v>
      </c>
      <c r="K259">
        <v>0.4271664215</v>
      </c>
      <c r="L259">
        <v>0.42507538150000002</v>
      </c>
      <c r="M259">
        <v>0.43297480510000003</v>
      </c>
      <c r="N259">
        <v>0.44707026979999998</v>
      </c>
      <c r="O259">
        <v>0.51219070310000003</v>
      </c>
      <c r="P259">
        <v>0.57071823720000003</v>
      </c>
      <c r="Q259">
        <v>0.60417910470000002</v>
      </c>
      <c r="R259">
        <v>0.64286092890000002</v>
      </c>
      <c r="S259">
        <v>0.68385509749999995</v>
      </c>
      <c r="T259">
        <v>0.87643524429999997</v>
      </c>
      <c r="U259">
        <v>1.0787091559999999</v>
      </c>
      <c r="V259">
        <v>1.28997059</v>
      </c>
      <c r="W259">
        <v>1.2116483659999999</v>
      </c>
      <c r="X259">
        <v>1.3053340659999999</v>
      </c>
      <c r="Y259">
        <v>1.632812457</v>
      </c>
      <c r="Z259">
        <v>1.924994044</v>
      </c>
      <c r="AA259">
        <v>2.2288610160000002</v>
      </c>
      <c r="AB259">
        <v>2.5027611090000002</v>
      </c>
      <c r="AC259">
        <v>2.7559653530000001</v>
      </c>
      <c r="AD259">
        <v>2.786714903</v>
      </c>
      <c r="AE259">
        <v>2.8163731059999999</v>
      </c>
      <c r="AF259">
        <v>2.8647769950000002</v>
      </c>
      <c r="AG259">
        <v>2.8984894450000001</v>
      </c>
      <c r="AH259">
        <v>2.9356524469999998</v>
      </c>
      <c r="AI259">
        <v>3.1551185039999998</v>
      </c>
      <c r="AJ259">
        <v>3.3678685320000001</v>
      </c>
      <c r="AK259">
        <v>3.5777903100000001</v>
      </c>
      <c r="AL259">
        <v>3.7065194039999998</v>
      </c>
      <c r="AM259">
        <v>3.838198657</v>
      </c>
      <c r="AN259">
        <v>3.739942079</v>
      </c>
      <c r="AO259">
        <v>3.6810796190000001</v>
      </c>
      <c r="AP259">
        <v>3.6307724609999998</v>
      </c>
      <c r="AQ259">
        <v>3.583526204</v>
      </c>
      <c r="AR259">
        <v>3.5391923350000001</v>
      </c>
      <c r="AS259">
        <v>3.7384637220000001</v>
      </c>
      <c r="AT259">
        <v>3.9101029999999999</v>
      </c>
      <c r="AU259">
        <v>4.0289025460000003</v>
      </c>
      <c r="AV259">
        <v>4.139486539</v>
      </c>
      <c r="AW259">
        <v>4.243580701</v>
      </c>
    </row>
    <row r="260" spans="2:49" x14ac:dyDescent="0.25">
      <c r="B260" t="s">
        <v>331</v>
      </c>
      <c r="C260">
        <v>0.71679836909740502</v>
      </c>
      <c r="D260">
        <v>0.72830679876826598</v>
      </c>
      <c r="E260">
        <v>0.64109971359999995</v>
      </c>
      <c r="F260">
        <v>0.63718089349999996</v>
      </c>
      <c r="G260">
        <v>0.61153010249999995</v>
      </c>
      <c r="H260">
        <v>0.57774550719999995</v>
      </c>
      <c r="I260">
        <v>0.58173183510000004</v>
      </c>
      <c r="J260">
        <v>0.57912050770000001</v>
      </c>
      <c r="K260">
        <v>0.5568930044</v>
      </c>
      <c r="L260">
        <v>0.5535658</v>
      </c>
      <c r="M260">
        <v>0.57240462820000004</v>
      </c>
      <c r="N260">
        <v>0.60044616179999999</v>
      </c>
      <c r="O260">
        <v>0.82804330299999995</v>
      </c>
      <c r="P260">
        <v>1.032838557</v>
      </c>
      <c r="Q260">
        <v>1.1742922069999999</v>
      </c>
      <c r="R260">
        <v>1.3068111229999999</v>
      </c>
      <c r="S260">
        <v>1.427463878</v>
      </c>
      <c r="T260">
        <v>1.4621430369999999</v>
      </c>
      <c r="U260">
        <v>1.5078419380000001</v>
      </c>
      <c r="V260">
        <v>1.559051851</v>
      </c>
      <c r="W260">
        <v>1.1672072120000001</v>
      </c>
      <c r="X260">
        <v>0.98693562830000003</v>
      </c>
      <c r="Y260">
        <v>1.060087936</v>
      </c>
      <c r="Z260">
        <v>1.115634536</v>
      </c>
      <c r="AA260">
        <v>1.1849523470000001</v>
      </c>
      <c r="AB260">
        <v>1.2890114509999999</v>
      </c>
      <c r="AC260">
        <v>1.383683276</v>
      </c>
      <c r="AD260">
        <v>1.338298113</v>
      </c>
      <c r="AE260">
        <v>1.2960885069999999</v>
      </c>
      <c r="AF260">
        <v>1.266890826</v>
      </c>
      <c r="AG260">
        <v>1.224860302</v>
      </c>
      <c r="AH260">
        <v>1.187422786</v>
      </c>
      <c r="AI260">
        <v>1.1249560759999999</v>
      </c>
      <c r="AJ260">
        <v>1.0670729919999999</v>
      </c>
      <c r="AK260">
        <v>1.0141147939999999</v>
      </c>
      <c r="AL260">
        <v>0.96646946830000002</v>
      </c>
      <c r="AM260">
        <v>0.92225424889999996</v>
      </c>
      <c r="AN260">
        <v>0.85975976840000001</v>
      </c>
      <c r="AO260">
        <v>0.80847122959999995</v>
      </c>
      <c r="AP260">
        <v>0.76071047739999997</v>
      </c>
      <c r="AQ260">
        <v>0.71506825829999998</v>
      </c>
      <c r="AR260">
        <v>0.67139490810000002</v>
      </c>
      <c r="AS260">
        <v>0.63464775679999996</v>
      </c>
      <c r="AT260">
        <v>0.59573737029999996</v>
      </c>
      <c r="AU260">
        <v>0.55212252210000001</v>
      </c>
      <c r="AV260">
        <v>0.51102623469999997</v>
      </c>
      <c r="AW260">
        <v>0.47237171049999999</v>
      </c>
    </row>
    <row r="261" spans="2:49" x14ac:dyDescent="0.25">
      <c r="B261" t="s">
        <v>332</v>
      </c>
      <c r="C261">
        <v>0.19372928894524399</v>
      </c>
      <c r="D261">
        <v>0.196839675342774</v>
      </c>
      <c r="E261">
        <v>0.41865197459999998</v>
      </c>
      <c r="F261">
        <v>0.42930666499999998</v>
      </c>
      <c r="G261">
        <v>0.42510875739999998</v>
      </c>
      <c r="H261">
        <v>0.41437745040000001</v>
      </c>
      <c r="I261">
        <v>0.43048665539999997</v>
      </c>
      <c r="J261">
        <v>0.436460081</v>
      </c>
      <c r="K261">
        <v>0.4271664215</v>
      </c>
      <c r="L261">
        <v>0.42507538150000002</v>
      </c>
      <c r="M261">
        <v>0.43297480510000003</v>
      </c>
      <c r="N261">
        <v>0.44707026979999998</v>
      </c>
      <c r="O261">
        <v>0.4867013429</v>
      </c>
      <c r="P261">
        <v>0.51943473770000004</v>
      </c>
      <c r="Q261">
        <v>0.52995705950000005</v>
      </c>
      <c r="R261">
        <v>0.5461303274</v>
      </c>
      <c r="S261">
        <v>0.56490990870000002</v>
      </c>
      <c r="T261">
        <v>0.61930171209999996</v>
      </c>
      <c r="U261">
        <v>0.67926257349999997</v>
      </c>
      <c r="V261">
        <v>0.74306765519999995</v>
      </c>
      <c r="W261">
        <v>0.79282362760000002</v>
      </c>
      <c r="X261">
        <v>0.95215375099999999</v>
      </c>
      <c r="Y261">
        <v>1.0524602510000001</v>
      </c>
      <c r="Z261">
        <v>1.1354738040000001</v>
      </c>
      <c r="AA261">
        <v>1.228076781</v>
      </c>
      <c r="AB261">
        <v>1.3268597360000001</v>
      </c>
      <c r="AC261">
        <v>1.4171309299999999</v>
      </c>
      <c r="AD261">
        <v>1.4751830340000001</v>
      </c>
      <c r="AE261">
        <v>1.5304682489999999</v>
      </c>
      <c r="AF261">
        <v>1.5924707840000001</v>
      </c>
      <c r="AG261">
        <v>1.655086233</v>
      </c>
      <c r="AH261">
        <v>1.717577546</v>
      </c>
      <c r="AI261">
        <v>1.762098078</v>
      </c>
      <c r="AJ261">
        <v>1.807040456</v>
      </c>
      <c r="AK261">
        <v>1.853849941</v>
      </c>
      <c r="AL261">
        <v>1.898185829</v>
      </c>
      <c r="AM261">
        <v>1.9448959100000001</v>
      </c>
      <c r="AN261">
        <v>1.871400714</v>
      </c>
      <c r="AO261">
        <v>1.8189508990000001</v>
      </c>
      <c r="AP261">
        <v>1.7719035329999999</v>
      </c>
      <c r="AQ261">
        <v>1.7272642279999999</v>
      </c>
      <c r="AR261">
        <v>1.684887603</v>
      </c>
      <c r="AS261">
        <v>1.687595218</v>
      </c>
      <c r="AT261">
        <v>1.680969012</v>
      </c>
      <c r="AU261">
        <v>1.6557998920000001</v>
      </c>
      <c r="AV261">
        <v>1.631770672</v>
      </c>
      <c r="AW261">
        <v>1.609202303</v>
      </c>
    </row>
    <row r="262" spans="2:49" x14ac:dyDescent="0.25">
      <c r="B262" t="s">
        <v>333</v>
      </c>
      <c r="C262">
        <v>0.38745857789048899</v>
      </c>
      <c r="D262">
        <v>0.39367935068554899</v>
      </c>
      <c r="E262">
        <v>0.41865197459999998</v>
      </c>
      <c r="F262">
        <v>0.52786199960000002</v>
      </c>
      <c r="G262">
        <v>0.6473580283</v>
      </c>
      <c r="H262">
        <v>0.78622691739999995</v>
      </c>
      <c r="I262">
        <v>1.0227560010000001</v>
      </c>
      <c r="J262">
        <v>1.3036842550000001</v>
      </c>
      <c r="K262">
        <v>1.6093827590000001</v>
      </c>
      <c r="L262">
        <v>2.0253589110000001</v>
      </c>
      <c r="M262">
        <v>2.6144644650000002</v>
      </c>
      <c r="N262">
        <v>3.4269209869999999</v>
      </c>
      <c r="O262">
        <v>3.2757509420000002</v>
      </c>
      <c r="P262">
        <v>3.0662682979999998</v>
      </c>
      <c r="Q262">
        <v>2.7375002620000002</v>
      </c>
      <c r="R262">
        <v>2.4597231129999999</v>
      </c>
      <c r="S262">
        <v>2.2071710850000001</v>
      </c>
      <c r="T262">
        <v>2.6196316159999999</v>
      </c>
      <c r="U262">
        <v>3.0585085310000002</v>
      </c>
      <c r="V262">
        <v>3.519242636</v>
      </c>
      <c r="W262">
        <v>6.9504743309999997</v>
      </c>
      <c r="X262">
        <v>7.6466942710000003</v>
      </c>
      <c r="Y262">
        <v>8.0239851959999999</v>
      </c>
      <c r="Z262">
        <v>8.2759277900000008</v>
      </c>
      <c r="AA262">
        <v>8.6457600960000001</v>
      </c>
      <c r="AB262">
        <v>8.8987699819999904</v>
      </c>
      <c r="AC262">
        <v>9.1047730589999905</v>
      </c>
      <c r="AD262">
        <v>9.1239753859999997</v>
      </c>
      <c r="AE262">
        <v>9.1390438889999999</v>
      </c>
      <c r="AF262">
        <v>9.2346763769999995</v>
      </c>
      <c r="AG262">
        <v>9.3775778190000008</v>
      </c>
      <c r="AH262">
        <v>9.524596335</v>
      </c>
      <c r="AI262">
        <v>9.7109307600000001</v>
      </c>
      <c r="AJ262">
        <v>9.8968643759999999</v>
      </c>
      <c r="AK262">
        <v>10.09209429</v>
      </c>
      <c r="AL262">
        <v>10.281907909999999</v>
      </c>
      <c r="AM262">
        <v>10.48338594</v>
      </c>
      <c r="AN262">
        <v>10.32060766</v>
      </c>
      <c r="AO262">
        <v>10.26060137</v>
      </c>
      <c r="AP262">
        <v>10.21860554</v>
      </c>
      <c r="AQ262">
        <v>10.181176990000001</v>
      </c>
      <c r="AR262">
        <v>10.14822047</v>
      </c>
      <c r="AS262">
        <v>10.21929194</v>
      </c>
      <c r="AT262">
        <v>10.231874550000001</v>
      </c>
      <c r="AU262">
        <v>10.1284115</v>
      </c>
      <c r="AV262">
        <v>10.028839100000001</v>
      </c>
      <c r="AW262">
        <v>9.935385557</v>
      </c>
    </row>
    <row r="263" spans="2:49" x14ac:dyDescent="0.25">
      <c r="B263" t="s">
        <v>334</v>
      </c>
      <c r="C263">
        <v>1.1905732046364299</v>
      </c>
      <c r="D263">
        <v>1.2096882425386799</v>
      </c>
      <c r="E263">
        <v>1.2335629589999999</v>
      </c>
      <c r="F263">
        <v>1.240122859</v>
      </c>
      <c r="G263">
        <v>1.1450379390000001</v>
      </c>
      <c r="H263">
        <v>0.92855871180000005</v>
      </c>
      <c r="I263">
        <v>1.016626027</v>
      </c>
      <c r="J263">
        <v>1.0405665529999999</v>
      </c>
      <c r="K263">
        <v>0.98409310959999996</v>
      </c>
      <c r="L263">
        <v>0.98216244419999998</v>
      </c>
      <c r="M263">
        <v>0.98900107349999999</v>
      </c>
      <c r="N263">
        <v>0.99877208179999999</v>
      </c>
      <c r="O263">
        <v>0.94507169369999999</v>
      </c>
      <c r="P263">
        <v>0.96181039589999995</v>
      </c>
      <c r="Q263">
        <v>0.94303428020000002</v>
      </c>
      <c r="R263">
        <v>0.89525351409999998</v>
      </c>
      <c r="S263">
        <v>0.86311291879999996</v>
      </c>
      <c r="T263">
        <v>0.86561313039999999</v>
      </c>
      <c r="U263">
        <v>0.8750802137</v>
      </c>
      <c r="V263">
        <v>0.89446956740000005</v>
      </c>
      <c r="W263">
        <v>0.89125507020000005</v>
      </c>
      <c r="X263">
        <v>0.8808127858</v>
      </c>
      <c r="Y263">
        <v>0.87377309759999999</v>
      </c>
      <c r="Z263">
        <v>0.87034977769999999</v>
      </c>
      <c r="AA263">
        <v>0.86830728530000001</v>
      </c>
      <c r="AB263">
        <v>0.865307665</v>
      </c>
      <c r="AC263">
        <v>0.86266490230000004</v>
      </c>
      <c r="AD263">
        <v>0.8673896606</v>
      </c>
      <c r="AE263">
        <v>0.87209218040000003</v>
      </c>
      <c r="AF263">
        <v>0.87675197000000005</v>
      </c>
      <c r="AG263">
        <v>0.88165380979999997</v>
      </c>
      <c r="AH263">
        <v>0.88794908319999999</v>
      </c>
      <c r="AI263">
        <v>0.8925540367</v>
      </c>
      <c r="AJ263">
        <v>0.89701062239999996</v>
      </c>
      <c r="AK263">
        <v>0.90169749119999998</v>
      </c>
      <c r="AL263">
        <v>0.9067102158</v>
      </c>
      <c r="AM263" s="39">
        <v>0.91217526090000001</v>
      </c>
      <c r="AN263" s="39">
        <v>0.91752419190000001</v>
      </c>
      <c r="AO263" s="39">
        <v>0.92439316869999999</v>
      </c>
      <c r="AP263" s="39">
        <v>0.93154716569999996</v>
      </c>
      <c r="AQ263" s="39">
        <v>0.93891321709999997</v>
      </c>
      <c r="AR263" s="39">
        <v>0.94641440499999996</v>
      </c>
      <c r="AS263" s="39">
        <v>0.95437274839999997</v>
      </c>
      <c r="AT263" s="39">
        <v>0.96222231629999999</v>
      </c>
      <c r="AU263" s="39">
        <v>0.96978055100000005</v>
      </c>
      <c r="AV263">
        <v>0.97712268430000004</v>
      </c>
      <c r="AW263">
        <v>0.98483873440000003</v>
      </c>
    </row>
    <row r="264" spans="2:49" x14ac:dyDescent="0.25">
      <c r="B264" t="s">
        <v>335</v>
      </c>
      <c r="C264">
        <v>1.7112081308179601</v>
      </c>
      <c r="D264">
        <v>1.7386821308642</v>
      </c>
      <c r="E264">
        <v>1.77055586</v>
      </c>
      <c r="F264">
        <v>1.792242195</v>
      </c>
      <c r="G264">
        <v>1.8096259830000001</v>
      </c>
      <c r="H264">
        <v>1.7024379709999999</v>
      </c>
      <c r="I264">
        <v>1.7792603929999999</v>
      </c>
      <c r="J264">
        <v>1.8085987729999999</v>
      </c>
      <c r="K264">
        <v>1.787618328</v>
      </c>
      <c r="L264">
        <v>1.7984714340000001</v>
      </c>
      <c r="M264">
        <v>1.815995662</v>
      </c>
      <c r="N264">
        <v>1.8921607920000001</v>
      </c>
      <c r="O264">
        <v>1.892449609</v>
      </c>
      <c r="P264">
        <v>1.898183825</v>
      </c>
      <c r="Q264">
        <v>1.8723584900000001</v>
      </c>
      <c r="R264">
        <v>1.8913328469999999</v>
      </c>
      <c r="S264">
        <v>1.875958418</v>
      </c>
      <c r="T264">
        <v>1.884398011</v>
      </c>
      <c r="U264">
        <v>1.9165839339999999</v>
      </c>
      <c r="V264">
        <v>1.958048054</v>
      </c>
      <c r="W264">
        <v>2.0045610310000002</v>
      </c>
      <c r="X264">
        <v>2.0425261890000002</v>
      </c>
      <c r="Y264">
        <v>2.0738753239999999</v>
      </c>
      <c r="Z264">
        <v>2.1043687379999998</v>
      </c>
      <c r="AA264">
        <v>2.1309948919999999</v>
      </c>
      <c r="AB264">
        <v>2.1552306849999998</v>
      </c>
      <c r="AC264">
        <v>2.1768940360000002</v>
      </c>
      <c r="AD264">
        <v>2.1978451379999999</v>
      </c>
      <c r="AE264">
        <v>2.217019434</v>
      </c>
      <c r="AF264">
        <v>2.2377677220000001</v>
      </c>
      <c r="AG264">
        <v>2.2562842070000002</v>
      </c>
      <c r="AH264">
        <v>2.2751093170000001</v>
      </c>
      <c r="AI264">
        <v>2.2951554519999999</v>
      </c>
      <c r="AJ264">
        <v>2.3166186459999998</v>
      </c>
      <c r="AK264">
        <v>2.33829252</v>
      </c>
      <c r="AL264">
        <v>2.3609736629999998</v>
      </c>
      <c r="AM264">
        <v>2.3840319480000001</v>
      </c>
      <c r="AN264">
        <v>2.4074530300000001</v>
      </c>
      <c r="AO264">
        <v>2.432156752</v>
      </c>
      <c r="AP264">
        <v>2.456955303</v>
      </c>
      <c r="AQ264">
        <v>2.4820731739999999</v>
      </c>
      <c r="AR264">
        <v>2.5069273970000001</v>
      </c>
      <c r="AS264">
        <v>2.5306648040000002</v>
      </c>
      <c r="AT264">
        <v>2.5547251110000002</v>
      </c>
      <c r="AU264">
        <v>2.5792743549999999</v>
      </c>
      <c r="AV264">
        <v>2.6036769500000001</v>
      </c>
      <c r="AW264">
        <v>2.62807375</v>
      </c>
    </row>
    <row r="265" spans="2:49" x14ac:dyDescent="0.25">
      <c r="B265" t="s">
        <v>336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337</v>
      </c>
      <c r="C266">
        <v>1.5692072404564801</v>
      </c>
      <c r="D266">
        <v>1.5944013702764701</v>
      </c>
      <c r="E266">
        <v>1.627523166</v>
      </c>
      <c r="F266">
        <v>1.6515182749999999</v>
      </c>
      <c r="G266">
        <v>1.6758493130000001</v>
      </c>
      <c r="H266">
        <v>1.5597410089999999</v>
      </c>
      <c r="I266">
        <v>1.6486103969999999</v>
      </c>
      <c r="J266">
        <v>1.701454603</v>
      </c>
      <c r="K266">
        <v>1.6924617900000001</v>
      </c>
      <c r="L266">
        <v>1.7028855899999999</v>
      </c>
      <c r="M266">
        <v>1.7200677259999999</v>
      </c>
      <c r="N266">
        <v>1.767814287</v>
      </c>
      <c r="O266">
        <v>1.824138485</v>
      </c>
      <c r="P266">
        <v>1.914905267</v>
      </c>
      <c r="Q266">
        <v>1.9660388470000001</v>
      </c>
      <c r="R266">
        <v>2.0561949639999999</v>
      </c>
      <c r="S266">
        <v>2.1003998159999999</v>
      </c>
      <c r="T266">
        <v>2.1097420339999999</v>
      </c>
      <c r="U266">
        <v>2.1370487680000001</v>
      </c>
      <c r="V266">
        <v>2.172098842</v>
      </c>
      <c r="W266">
        <v>2.1342742819999998</v>
      </c>
      <c r="X266">
        <v>2.115870132</v>
      </c>
      <c r="Y266">
        <v>2.1032080689999999</v>
      </c>
      <c r="Z266">
        <v>2.101482104</v>
      </c>
      <c r="AA266">
        <v>2.101427175</v>
      </c>
      <c r="AB266">
        <v>2.1031919189999999</v>
      </c>
      <c r="AC266">
        <v>2.106071596</v>
      </c>
      <c r="AD266">
        <v>2.1037984199999999</v>
      </c>
      <c r="AE266">
        <v>2.104212193</v>
      </c>
      <c r="AF266">
        <v>2.109846552</v>
      </c>
      <c r="AG266">
        <v>2.1160325680000001</v>
      </c>
      <c r="AH266">
        <v>2.1245856860000001</v>
      </c>
      <c r="AI266">
        <v>2.1351129019999999</v>
      </c>
      <c r="AJ266">
        <v>2.147694913</v>
      </c>
      <c r="AK266">
        <v>2.1611475210000002</v>
      </c>
      <c r="AL266">
        <v>2.1760728519999999</v>
      </c>
      <c r="AM266">
        <v>2.1917889179999999</v>
      </c>
      <c r="AN266">
        <v>2.2057790819999998</v>
      </c>
      <c r="AO266">
        <v>2.2222367699999999</v>
      </c>
      <c r="AP266">
        <v>2.2395581469999999</v>
      </c>
      <c r="AQ266">
        <v>2.2576438950000002</v>
      </c>
      <c r="AR266">
        <v>2.275959426</v>
      </c>
      <c r="AS266">
        <v>2.293344973</v>
      </c>
      <c r="AT266">
        <v>2.3112347820000001</v>
      </c>
      <c r="AU266" s="39">
        <v>2.3299103909999999</v>
      </c>
      <c r="AV266">
        <v>2.348761401</v>
      </c>
      <c r="AW266">
        <v>2.3678745299999999</v>
      </c>
    </row>
    <row r="267" spans="2:49" x14ac:dyDescent="0.25">
      <c r="B267" t="s">
        <v>338</v>
      </c>
      <c r="C267">
        <v>0.99151022292981705</v>
      </c>
      <c r="D267">
        <v>0.99151022292981705</v>
      </c>
      <c r="E267">
        <v>0.98738657799999996</v>
      </c>
      <c r="F267">
        <v>0.98343459639999997</v>
      </c>
      <c r="G267">
        <v>0.97952904299999999</v>
      </c>
      <c r="H267">
        <v>0.97559419359999999</v>
      </c>
      <c r="I267">
        <v>0.9717345664</v>
      </c>
      <c r="J267">
        <v>0.9678914341</v>
      </c>
      <c r="K267">
        <v>0.96405040239999995</v>
      </c>
      <c r="L267">
        <v>0.96023844459999996</v>
      </c>
      <c r="M267">
        <v>0.95642641930000005</v>
      </c>
      <c r="N267">
        <v>0.95266241159999998</v>
      </c>
      <c r="O267">
        <v>0.95200032999999995</v>
      </c>
      <c r="P267">
        <v>0.9513148575</v>
      </c>
      <c r="Q267">
        <v>0.95057955189999999</v>
      </c>
      <c r="R267">
        <v>0.9498092266</v>
      </c>
      <c r="S267">
        <v>0.94894951350000001</v>
      </c>
      <c r="T267">
        <v>0.94650679550000005</v>
      </c>
      <c r="U267">
        <v>0.94417255349999996</v>
      </c>
      <c r="V267">
        <v>0.94192181630000005</v>
      </c>
      <c r="W267">
        <v>0.94043703339999996</v>
      </c>
      <c r="X267">
        <v>0.93887306469999998</v>
      </c>
      <c r="Y267">
        <v>0.93595996469999998</v>
      </c>
      <c r="Z267">
        <v>0.9327894364</v>
      </c>
      <c r="AA267">
        <v>0.92930951240000004</v>
      </c>
      <c r="AB267">
        <v>0.92568794779999997</v>
      </c>
      <c r="AC267">
        <v>0.92170657140000001</v>
      </c>
      <c r="AD267">
        <v>0.91468002449999997</v>
      </c>
      <c r="AE267">
        <v>0.90688227789999998</v>
      </c>
      <c r="AF267">
        <v>0.89817767230000001</v>
      </c>
      <c r="AG267">
        <v>0.88875783900000005</v>
      </c>
      <c r="AH267">
        <v>0.8781064019</v>
      </c>
      <c r="AI267">
        <v>0.87027621239999997</v>
      </c>
      <c r="AJ267">
        <v>0.86132386650000003</v>
      </c>
      <c r="AK267">
        <v>0.85097804369999996</v>
      </c>
      <c r="AL267">
        <v>0.83943994</v>
      </c>
      <c r="AM267">
        <v>0.82574714530000004</v>
      </c>
      <c r="AN267">
        <v>0.81592565790000005</v>
      </c>
      <c r="AO267">
        <v>0.80455652180000004</v>
      </c>
      <c r="AP267">
        <v>0.79119744209999998</v>
      </c>
      <c r="AQ267">
        <v>0.77529217230000003</v>
      </c>
      <c r="AR267">
        <v>0.75606950539999995</v>
      </c>
      <c r="AS267">
        <v>0.75318354190000003</v>
      </c>
      <c r="AT267">
        <v>0.74988536080000001</v>
      </c>
      <c r="AU267">
        <v>0.746131985</v>
      </c>
      <c r="AV267">
        <v>0.74185257010000005</v>
      </c>
      <c r="AW267">
        <v>0.7368981631</v>
      </c>
    </row>
    <row r="268" spans="2:49" x14ac:dyDescent="0.25">
      <c r="B268" t="s">
        <v>339</v>
      </c>
      <c r="C268">
        <v>8.4897770701825997E-3</v>
      </c>
      <c r="D268">
        <v>8.4897770701825997E-3</v>
      </c>
      <c r="E268">
        <v>1.2613421999999999E-2</v>
      </c>
      <c r="F268">
        <v>1.65654036E-2</v>
      </c>
      <c r="G268">
        <v>2.0470957000000001E-2</v>
      </c>
      <c r="H268">
        <v>2.4405806400000001E-2</v>
      </c>
      <c r="I268">
        <v>2.8265433600000001E-2</v>
      </c>
      <c r="J268">
        <v>3.2108565899999997E-2</v>
      </c>
      <c r="K268">
        <v>3.5949597600000001E-2</v>
      </c>
      <c r="L268">
        <v>3.9761555400000002E-2</v>
      </c>
      <c r="M268">
        <v>4.3573580700000003E-2</v>
      </c>
      <c r="N268">
        <v>4.7337588399999998E-2</v>
      </c>
      <c r="O268">
        <v>4.7999670000000001E-2</v>
      </c>
      <c r="P268">
        <v>4.86851425E-2</v>
      </c>
      <c r="Q268">
        <v>4.94204481E-2</v>
      </c>
      <c r="R268">
        <v>5.0190773399999999E-2</v>
      </c>
      <c r="S268">
        <v>5.1050486499999999E-2</v>
      </c>
      <c r="T268">
        <v>5.3493204500000002E-2</v>
      </c>
      <c r="U268">
        <v>5.5827446500000003E-2</v>
      </c>
      <c r="V268">
        <v>5.8078183700000001E-2</v>
      </c>
      <c r="W268">
        <v>5.9562966600000003E-2</v>
      </c>
      <c r="X268">
        <v>6.1126935299999997E-2</v>
      </c>
      <c r="Y268">
        <v>6.4040035300000006E-2</v>
      </c>
      <c r="Z268">
        <v>6.7210563599999995E-2</v>
      </c>
      <c r="AA268">
        <v>7.0690487600000004E-2</v>
      </c>
      <c r="AB268">
        <v>7.4312052200000006E-2</v>
      </c>
      <c r="AC268">
        <v>7.8293428600000006E-2</v>
      </c>
      <c r="AD268">
        <v>8.5319975500000006E-2</v>
      </c>
      <c r="AE268">
        <v>9.3117722099999994E-2</v>
      </c>
      <c r="AF268">
        <v>0.10182232770000001</v>
      </c>
      <c r="AG268">
        <v>0.11124216100000001</v>
      </c>
      <c r="AH268">
        <v>0.1218935981</v>
      </c>
      <c r="AI268">
        <v>0.1297237876</v>
      </c>
      <c r="AJ268">
        <v>0.13867613349999999</v>
      </c>
      <c r="AK268">
        <v>0.14902195630000001</v>
      </c>
      <c r="AL268">
        <v>0.16056006</v>
      </c>
      <c r="AM268">
        <v>0.17425285469999999</v>
      </c>
      <c r="AN268">
        <v>0.18407434210000001</v>
      </c>
      <c r="AO268">
        <v>0.19544347819999999</v>
      </c>
      <c r="AP268">
        <v>0.20880255789999999</v>
      </c>
      <c r="AQ268">
        <v>0.2247078277</v>
      </c>
      <c r="AR268">
        <v>0.24393049459999999</v>
      </c>
      <c r="AS268">
        <v>0.2468164581</v>
      </c>
      <c r="AT268">
        <v>0.25011463919999999</v>
      </c>
      <c r="AU268">
        <v>0.253868015</v>
      </c>
      <c r="AV268">
        <v>0.2581474299</v>
      </c>
      <c r="AW268">
        <v>0.2631018369</v>
      </c>
    </row>
    <row r="269" spans="2:49" x14ac:dyDescent="0.25">
      <c r="B269" t="s">
        <v>340</v>
      </c>
      <c r="C269">
        <v>0.79896379760487002</v>
      </c>
      <c r="D269">
        <v>0.79896379760486902</v>
      </c>
      <c r="E269">
        <v>0.77900597940000005</v>
      </c>
      <c r="F269">
        <v>0.776059363</v>
      </c>
      <c r="G269">
        <v>0.77314800520000004</v>
      </c>
      <c r="H269">
        <v>0.77027023289999996</v>
      </c>
      <c r="I269">
        <v>0.76742447530000002</v>
      </c>
      <c r="J269">
        <v>0.76460925729999996</v>
      </c>
      <c r="K269">
        <v>0.76182319359999995</v>
      </c>
      <c r="L269">
        <v>0.7590649827</v>
      </c>
      <c r="M269">
        <v>0.75633340130000004</v>
      </c>
      <c r="N269">
        <v>0.75362729979999998</v>
      </c>
      <c r="O269">
        <v>0.73840889539999999</v>
      </c>
      <c r="P269">
        <v>0.72265938789999995</v>
      </c>
      <c r="Q269">
        <v>0.70517890100000002</v>
      </c>
      <c r="R269">
        <v>0.68650004990000002</v>
      </c>
      <c r="S269">
        <v>0.66723666879999999</v>
      </c>
      <c r="T269">
        <v>0.6586233239</v>
      </c>
      <c r="U269">
        <v>0.64996032790000002</v>
      </c>
      <c r="V269">
        <v>0.64124725019999995</v>
      </c>
      <c r="W269">
        <v>0.63276906580000003</v>
      </c>
      <c r="X269">
        <v>0.62486636259999995</v>
      </c>
      <c r="Y269">
        <v>0.61338789540000005</v>
      </c>
      <c r="Z269">
        <v>0.60208035520000003</v>
      </c>
      <c r="AA269">
        <v>0.59130073869999999</v>
      </c>
      <c r="AB269">
        <v>0.58481752200000003</v>
      </c>
      <c r="AC269">
        <v>0.57862544240000002</v>
      </c>
      <c r="AD269">
        <v>0.56385525439999995</v>
      </c>
      <c r="AE269">
        <v>0.54930725680000003</v>
      </c>
      <c r="AF269">
        <v>0.53497647319999997</v>
      </c>
      <c r="AG269">
        <v>0.52192575779999995</v>
      </c>
      <c r="AH269">
        <v>0.509190896</v>
      </c>
      <c r="AI269">
        <v>0.50121990449999998</v>
      </c>
      <c r="AJ269">
        <v>0.4934775904</v>
      </c>
      <c r="AK269">
        <v>0.48488106860000002</v>
      </c>
      <c r="AL269">
        <v>0.47544249109999998</v>
      </c>
      <c r="AM269">
        <v>0.46633373769999997</v>
      </c>
      <c r="AN269">
        <v>0.44966063179999999</v>
      </c>
      <c r="AO269">
        <v>0.43325178850000001</v>
      </c>
      <c r="AP269">
        <v>0.41709975490000001</v>
      </c>
      <c r="AQ269">
        <v>0.40120101740000003</v>
      </c>
      <c r="AR269">
        <v>0.38554966419999998</v>
      </c>
      <c r="AS269">
        <v>0.36714523500000001</v>
      </c>
      <c r="AT269">
        <v>0.34892084020000003</v>
      </c>
      <c r="AU269">
        <v>0.33087385120000001</v>
      </c>
      <c r="AV269">
        <v>0.31300168989999999</v>
      </c>
      <c r="AW269">
        <v>0.2953018282</v>
      </c>
    </row>
    <row r="270" spans="2:49" x14ac:dyDescent="0.25">
      <c r="B270" t="s">
        <v>341</v>
      </c>
      <c r="C270">
        <v>1.02537481030392E-2</v>
      </c>
      <c r="D270">
        <v>1.02537481030392E-2</v>
      </c>
      <c r="E270">
        <v>1.2675264800000001E-2</v>
      </c>
      <c r="F270">
        <v>1.2668222099999999E-2</v>
      </c>
      <c r="G270">
        <v>1.2661578200000001E-2</v>
      </c>
      <c r="H270">
        <v>1.26553102E-2</v>
      </c>
      <c r="I270">
        <v>1.26493964E-2</v>
      </c>
      <c r="J270">
        <v>1.26438165E-2</v>
      </c>
      <c r="K270">
        <v>1.26385514E-2</v>
      </c>
      <c r="L270">
        <v>1.26335831E-2</v>
      </c>
      <c r="M270">
        <v>1.2628894599999999E-2</v>
      </c>
      <c r="N270">
        <v>1.26244701E-2</v>
      </c>
      <c r="O270">
        <v>1.2617142499999999E-2</v>
      </c>
      <c r="P270">
        <v>1.26095593E-2</v>
      </c>
      <c r="Q270">
        <v>1.2580805E-2</v>
      </c>
      <c r="R270">
        <v>1.2539652700000001E-2</v>
      </c>
      <c r="S270">
        <v>1.24972125E-2</v>
      </c>
      <c r="T270">
        <v>1.3646286000000001E-2</v>
      </c>
      <c r="U270">
        <v>1.48019832E-2</v>
      </c>
      <c r="V270">
        <v>1.5964361699999999E-2</v>
      </c>
      <c r="W270">
        <v>1.44714688E-2</v>
      </c>
      <c r="X270">
        <v>1.3079910300000001E-2</v>
      </c>
      <c r="Y270">
        <v>1.24392203E-2</v>
      </c>
      <c r="Z270">
        <v>1.24258367E-2</v>
      </c>
      <c r="AA270">
        <v>1.24130779E-2</v>
      </c>
      <c r="AB270">
        <v>1.24092204E-2</v>
      </c>
      <c r="AC270">
        <v>1.2405536199999999E-2</v>
      </c>
      <c r="AD270">
        <v>1.24045687E-2</v>
      </c>
      <c r="AE270">
        <v>1.24036158E-2</v>
      </c>
      <c r="AF270">
        <v>1.24026771E-2</v>
      </c>
      <c r="AG270">
        <v>1.24025448E-2</v>
      </c>
      <c r="AH270">
        <v>1.2402415599999999E-2</v>
      </c>
      <c r="AI270" s="39">
        <v>1.24012212E-2</v>
      </c>
      <c r="AJ270" s="39">
        <v>1.2400061E-2</v>
      </c>
      <c r="AK270" s="39">
        <v>1.23715518E-2</v>
      </c>
      <c r="AL270" s="39">
        <v>1.23300589E-2</v>
      </c>
      <c r="AM270" s="39">
        <v>1.2290015899999999E-2</v>
      </c>
      <c r="AN270" s="39">
        <v>1.2281352800000001E-2</v>
      </c>
      <c r="AO270" s="39">
        <v>1.22753272E-2</v>
      </c>
      <c r="AP270" s="39">
        <v>1.22749926E-2</v>
      </c>
      <c r="AQ270" s="39">
        <v>1.22746633E-2</v>
      </c>
      <c r="AR270" s="39">
        <v>1.22743392E-2</v>
      </c>
      <c r="AS270" s="39">
        <v>1.22741806E-2</v>
      </c>
      <c r="AT270" s="39">
        <v>1.2274023699999999E-2</v>
      </c>
      <c r="AU270" s="39">
        <v>1.2273868199999999E-2</v>
      </c>
      <c r="AV270" s="39">
        <v>1.2273714200000001E-2</v>
      </c>
      <c r="AW270" s="39">
        <v>1.2273561800000001E-2</v>
      </c>
    </row>
    <row r="271" spans="2:49" x14ac:dyDescent="0.25">
      <c r="B271" t="s">
        <v>342</v>
      </c>
      <c r="C271">
        <v>4.0949078402655603E-2</v>
      </c>
      <c r="D271">
        <v>4.0949078402655603E-2</v>
      </c>
      <c r="E271">
        <v>3.9926185699999998E-2</v>
      </c>
      <c r="F271">
        <v>3.9833014899999998E-2</v>
      </c>
      <c r="G271">
        <v>3.9741301100000001E-2</v>
      </c>
      <c r="H271">
        <v>3.9650965099999998E-2</v>
      </c>
      <c r="I271">
        <v>3.9561932600000002E-2</v>
      </c>
      <c r="J271">
        <v>3.94741339E-2</v>
      </c>
      <c r="K271">
        <v>3.9387503400000003E-2</v>
      </c>
      <c r="L271">
        <v>3.9301979600000002E-2</v>
      </c>
      <c r="M271">
        <v>3.9217504399999999E-2</v>
      </c>
      <c r="N271">
        <v>3.9134023499999997E-2</v>
      </c>
      <c r="O271">
        <v>4.2943227E-2</v>
      </c>
      <c r="P271">
        <v>4.6885366800000002E-2</v>
      </c>
      <c r="Q271">
        <v>5.0882988900000002E-2</v>
      </c>
      <c r="R271">
        <v>5.4960979399999998E-2</v>
      </c>
      <c r="S271">
        <v>5.9166585200000003E-2</v>
      </c>
      <c r="T271">
        <v>5.6457268499999998E-2</v>
      </c>
      <c r="U271">
        <v>5.3732334100000001E-2</v>
      </c>
      <c r="V271">
        <v>5.0991646600000003E-2</v>
      </c>
      <c r="W271">
        <v>5.7242433699999998E-2</v>
      </c>
      <c r="X271">
        <v>6.3068930499999995E-2</v>
      </c>
      <c r="Y271">
        <v>6.1565813499999997E-2</v>
      </c>
      <c r="Z271">
        <v>6.0096420300000002E-2</v>
      </c>
      <c r="AA271">
        <v>5.8695629800000003E-2</v>
      </c>
      <c r="AB271">
        <v>5.0941371700000002E-2</v>
      </c>
      <c r="AC271">
        <v>4.3535328300000002E-2</v>
      </c>
      <c r="AD271">
        <v>4.0117644500000001E-2</v>
      </c>
      <c r="AE271">
        <v>3.6751373499999997E-2</v>
      </c>
      <c r="AF271">
        <v>3.3435363799999999E-2</v>
      </c>
      <c r="AG271">
        <v>3.0453871600000001E-2</v>
      </c>
      <c r="AH271">
        <v>2.7544537500000001E-2</v>
      </c>
      <c r="AI271">
        <v>2.1589821700000001E-2</v>
      </c>
      <c r="AJ271">
        <v>1.5805938799999999E-2</v>
      </c>
      <c r="AK271">
        <v>1.23715518E-2</v>
      </c>
      <c r="AL271">
        <v>1.2322844100000001E-2</v>
      </c>
      <c r="AM271">
        <v>1.2275838400000001E-2</v>
      </c>
      <c r="AN271">
        <v>1.22755964E-2</v>
      </c>
      <c r="AO271">
        <v>1.22753272E-2</v>
      </c>
      <c r="AP271">
        <v>1.22749926E-2</v>
      </c>
      <c r="AQ271">
        <v>1.22746633E-2</v>
      </c>
      <c r="AR271">
        <v>1.22743392E-2</v>
      </c>
      <c r="AS271">
        <v>1.22741806E-2</v>
      </c>
      <c r="AT271">
        <v>1.2274023699999999E-2</v>
      </c>
      <c r="AU271">
        <v>1.2273868199999999E-2</v>
      </c>
      <c r="AV271">
        <v>1.2273714200000001E-2</v>
      </c>
      <c r="AW271">
        <v>1.2273561800000001E-2</v>
      </c>
    </row>
    <row r="272" spans="2:49" x14ac:dyDescent="0.25">
      <c r="B272" t="s">
        <v>343</v>
      </c>
      <c r="C272">
        <v>4.0858446639591303E-2</v>
      </c>
      <c r="D272">
        <v>4.0858446639591303E-2</v>
      </c>
      <c r="E272">
        <v>3.9837817900000003E-2</v>
      </c>
      <c r="F272">
        <v>3.6544871299999997E-2</v>
      </c>
      <c r="G272">
        <v>3.3525161400000003E-2</v>
      </c>
      <c r="H272">
        <v>3.0755875700000001E-2</v>
      </c>
      <c r="I272">
        <v>2.8216125099999999E-2</v>
      </c>
      <c r="J272">
        <v>2.5886779299999999E-2</v>
      </c>
      <c r="K272">
        <v>2.3750316600000002E-2</v>
      </c>
      <c r="L272">
        <v>2.1790686600000001E-2</v>
      </c>
      <c r="M272">
        <v>1.9993184800000001E-2</v>
      </c>
      <c r="N272">
        <v>1.8344339000000001E-2</v>
      </c>
      <c r="O272">
        <v>1.59609834E-2</v>
      </c>
      <c r="P272">
        <v>1.34944517E-2</v>
      </c>
      <c r="Q272">
        <v>1.2580805E-2</v>
      </c>
      <c r="R272">
        <v>1.2539652700000001E-2</v>
      </c>
      <c r="S272">
        <v>1.24972125E-2</v>
      </c>
      <c r="T272">
        <v>1.2494037100000001E-2</v>
      </c>
      <c r="U272">
        <v>1.24908433E-2</v>
      </c>
      <c r="V272">
        <v>1.24876311E-2</v>
      </c>
      <c r="W272">
        <v>1.24657602E-2</v>
      </c>
      <c r="X272">
        <v>1.2445373799999999E-2</v>
      </c>
      <c r="Y272">
        <v>1.24392203E-2</v>
      </c>
      <c r="Z272">
        <v>1.24258367E-2</v>
      </c>
      <c r="AA272">
        <v>1.24130779E-2</v>
      </c>
      <c r="AB272">
        <v>1.24092204E-2</v>
      </c>
      <c r="AC272">
        <v>1.2405536199999999E-2</v>
      </c>
      <c r="AD272">
        <v>1.24045687E-2</v>
      </c>
      <c r="AE272">
        <v>1.24036158E-2</v>
      </c>
      <c r="AF272">
        <v>1.24026771E-2</v>
      </c>
      <c r="AG272">
        <v>1.24025448E-2</v>
      </c>
      <c r="AH272">
        <v>1.2402415599999999E-2</v>
      </c>
      <c r="AI272">
        <v>1.24012212E-2</v>
      </c>
      <c r="AJ272">
        <v>1.2400061E-2</v>
      </c>
      <c r="AK272">
        <v>1.23715518E-2</v>
      </c>
      <c r="AL272">
        <v>1.2322844100000001E-2</v>
      </c>
      <c r="AM272">
        <v>1.2275838400000001E-2</v>
      </c>
      <c r="AN272">
        <v>1.22755964E-2</v>
      </c>
      <c r="AO272">
        <v>1.22753272E-2</v>
      </c>
      <c r="AP272">
        <v>1.22749926E-2</v>
      </c>
      <c r="AQ272">
        <v>1.22746633E-2</v>
      </c>
      <c r="AR272">
        <v>1.22743392E-2</v>
      </c>
      <c r="AS272">
        <v>1.22741806E-2</v>
      </c>
      <c r="AT272" s="39">
        <v>1.2274023699999999E-2</v>
      </c>
      <c r="AU272" s="39">
        <v>1.2273868199999999E-2</v>
      </c>
      <c r="AV272" s="39">
        <v>1.2273714200000001E-2</v>
      </c>
      <c r="AW272" s="39">
        <v>1.2273561800000001E-2</v>
      </c>
    </row>
    <row r="273" spans="2:49" x14ac:dyDescent="0.25">
      <c r="B273" t="s">
        <v>344</v>
      </c>
      <c r="C273">
        <v>8.2546962733871607E-3</v>
      </c>
      <c r="D273">
        <v>8.2546962733871607E-3</v>
      </c>
      <c r="E273">
        <v>1.2675264800000001E-2</v>
      </c>
      <c r="F273">
        <v>2.1269909399999998E-2</v>
      </c>
      <c r="G273">
        <v>2.91423798E-2</v>
      </c>
      <c r="H273">
        <v>3.62512054E-2</v>
      </c>
      <c r="I273">
        <v>4.2531170899999998E-2</v>
      </c>
      <c r="J273">
        <v>4.7886742699999998E-2</v>
      </c>
      <c r="K273">
        <v>5.2183302199999997E-2</v>
      </c>
      <c r="L273">
        <v>5.5235482799999999E-2</v>
      </c>
      <c r="M273">
        <v>5.6791675799999997E-2</v>
      </c>
      <c r="N273">
        <v>5.6513464499999999E-2</v>
      </c>
      <c r="O273">
        <v>6.1981451899999998E-2</v>
      </c>
      <c r="P273">
        <v>6.7640265300000002E-2</v>
      </c>
      <c r="Q273">
        <v>7.33781612E-2</v>
      </c>
      <c r="R273">
        <v>7.92310975E-2</v>
      </c>
      <c r="S273">
        <v>8.5267193800000002E-2</v>
      </c>
      <c r="T273">
        <v>8.9244817500000004E-2</v>
      </c>
      <c r="U273">
        <v>9.3245369999999994E-2</v>
      </c>
      <c r="V273">
        <v>9.7269050100000004E-2</v>
      </c>
      <c r="W273">
        <v>0.10261352410000001</v>
      </c>
      <c r="X273">
        <v>0.1075952265</v>
      </c>
      <c r="Y273">
        <v>0.1120365537</v>
      </c>
      <c r="Z273">
        <v>0.11620051839999999</v>
      </c>
      <c r="AA273">
        <v>0.12017007690000001</v>
      </c>
      <c r="AB273">
        <v>0.124852122</v>
      </c>
      <c r="AC273">
        <v>0.12932391400000001</v>
      </c>
      <c r="AD273">
        <v>0.14466016179999999</v>
      </c>
      <c r="AE273">
        <v>0.15976570409999999</v>
      </c>
      <c r="AF273">
        <v>0.17464570770000001</v>
      </c>
      <c r="AG273">
        <v>0.18774829270000001</v>
      </c>
      <c r="AH273">
        <v>0.20053376889999999</v>
      </c>
      <c r="AI273">
        <v>0.20985274740000001</v>
      </c>
      <c r="AJ273">
        <v>0.21890437660000001</v>
      </c>
      <c r="AK273">
        <v>0.22719714499999999</v>
      </c>
      <c r="AL273">
        <v>0.23414283559999999</v>
      </c>
      <c r="AM273">
        <v>0.24084581429999999</v>
      </c>
      <c r="AN273">
        <v>0.2515204821</v>
      </c>
      <c r="AO273">
        <v>0.26202459519999999</v>
      </c>
      <c r="AP273">
        <v>0.272361256</v>
      </c>
      <c r="AQ273">
        <v>0.28253581729999999</v>
      </c>
      <c r="AR273">
        <v>0.29255206249999999</v>
      </c>
      <c r="AS273">
        <v>0.3040948383</v>
      </c>
      <c r="AT273">
        <v>0.31552470119999998</v>
      </c>
      <c r="AU273">
        <v>0.32684329979999999</v>
      </c>
      <c r="AV273">
        <v>0.33805225109999998</v>
      </c>
      <c r="AW273">
        <v>0.34915314060000002</v>
      </c>
    </row>
    <row r="274" spans="2:49" x14ac:dyDescent="0.25">
      <c r="B274" t="s">
        <v>345</v>
      </c>
      <c r="C274">
        <v>1.85730666151211E-3</v>
      </c>
      <c r="D274">
        <v>1.85730666151211E-3</v>
      </c>
      <c r="E274">
        <v>1.2675264800000001E-2</v>
      </c>
      <c r="F274">
        <v>1.32584443E-2</v>
      </c>
      <c r="G274">
        <v>1.4033777799999999E-2</v>
      </c>
      <c r="H274">
        <v>1.50637128E-2</v>
      </c>
      <c r="I274">
        <v>1.64310475E-2</v>
      </c>
      <c r="J274">
        <v>1.8245561800000001E-2</v>
      </c>
      <c r="K274">
        <v>2.0652809099999999E-2</v>
      </c>
      <c r="L274">
        <v>2.3845773399999999E-2</v>
      </c>
      <c r="M274">
        <v>2.8080325999999999E-2</v>
      </c>
      <c r="N274">
        <v>3.3695719800000003E-2</v>
      </c>
      <c r="O274">
        <v>3.6100387999999997E-2</v>
      </c>
      <c r="P274">
        <v>3.85889762E-2</v>
      </c>
      <c r="Q274">
        <v>4.1097675799999997E-2</v>
      </c>
      <c r="R274">
        <v>4.3648442000000003E-2</v>
      </c>
      <c r="S274">
        <v>4.62790311E-2</v>
      </c>
      <c r="T274">
        <v>4.75168464E-2</v>
      </c>
      <c r="U274">
        <v>4.8761796900000001E-2</v>
      </c>
      <c r="V274">
        <v>5.00139447E-2</v>
      </c>
      <c r="W274">
        <v>5.8496966599999999E-2</v>
      </c>
      <c r="X274">
        <v>6.6404178999999897E-2</v>
      </c>
      <c r="Y274">
        <v>7.7108690800000004E-2</v>
      </c>
      <c r="Z274">
        <v>8.7261340500000006E-2</v>
      </c>
      <c r="AA274">
        <v>9.6939985699999995E-2</v>
      </c>
      <c r="AB274">
        <v>0.1072251989</v>
      </c>
      <c r="AC274">
        <v>0.1170485416</v>
      </c>
      <c r="AD274">
        <v>0.122330857</v>
      </c>
      <c r="AE274">
        <v>0.12753370980000001</v>
      </c>
      <c r="AF274">
        <v>0.13265887949999999</v>
      </c>
      <c r="AG274">
        <v>0.1373646073</v>
      </c>
      <c r="AH274">
        <v>0.14195644709999999</v>
      </c>
      <c r="AI274">
        <v>0.14736382780000001</v>
      </c>
      <c r="AJ274">
        <v>0.1526160778</v>
      </c>
      <c r="AK274">
        <v>0.15737146939999999</v>
      </c>
      <c r="AL274">
        <v>0.1612786487</v>
      </c>
      <c r="AM274">
        <v>0.1650492945</v>
      </c>
      <c r="AN274">
        <v>0.17143703239999999</v>
      </c>
      <c r="AO274">
        <v>0.17772265719999999</v>
      </c>
      <c r="AP274">
        <v>0.1839079605</v>
      </c>
      <c r="AQ274">
        <v>0.18999626589999999</v>
      </c>
      <c r="AR274">
        <v>0.1959898373</v>
      </c>
      <c r="AS274">
        <v>0.20297168879999999</v>
      </c>
      <c r="AT274">
        <v>0.209885243</v>
      </c>
      <c r="AU274">
        <v>0.2167314971</v>
      </c>
      <c r="AV274">
        <v>0.22351142900000001</v>
      </c>
      <c r="AW274">
        <v>0.2302259978</v>
      </c>
    </row>
    <row r="275" spans="2:49" x14ac:dyDescent="0.25">
      <c r="B275" t="s">
        <v>346</v>
      </c>
      <c r="C275">
        <v>9.2848272947954696E-2</v>
      </c>
      <c r="D275">
        <v>9.2848272947954599E-2</v>
      </c>
      <c r="E275">
        <v>9.0528957699999996E-2</v>
      </c>
      <c r="F275">
        <v>8.7010347700000004E-2</v>
      </c>
      <c r="G275">
        <v>8.3631104799999995E-2</v>
      </c>
      <c r="H275">
        <v>8.0385467500000002E-2</v>
      </c>
      <c r="I275">
        <v>7.7267934900000002E-2</v>
      </c>
      <c r="J275">
        <v>7.42732527E-2</v>
      </c>
      <c r="K275">
        <v>7.1396400200000001E-2</v>
      </c>
      <c r="L275">
        <v>6.8632578299999997E-2</v>
      </c>
      <c r="M275">
        <v>6.5977198400000006E-2</v>
      </c>
      <c r="N275">
        <v>6.3425871699999997E-2</v>
      </c>
      <c r="O275">
        <v>7.0110775400000006E-2</v>
      </c>
      <c r="P275">
        <v>7.7028973799999997E-2</v>
      </c>
      <c r="Q275">
        <v>8.4053250800000007E-2</v>
      </c>
      <c r="R275">
        <v>9.1223631999999999E-2</v>
      </c>
      <c r="S275">
        <v>9.86184009E-2</v>
      </c>
      <c r="T275">
        <v>0.102993055</v>
      </c>
      <c r="U275">
        <v>0.10739292659999999</v>
      </c>
      <c r="V275">
        <v>0.1118182343</v>
      </c>
      <c r="W275">
        <v>9.9417552199999995E-2</v>
      </c>
      <c r="X275">
        <v>8.7858602300000005E-2</v>
      </c>
      <c r="Y275">
        <v>8.7099867900000003E-2</v>
      </c>
      <c r="Z275">
        <v>8.6324285700000003E-2</v>
      </c>
      <c r="AA275">
        <v>8.5584913700000001E-2</v>
      </c>
      <c r="AB275">
        <v>8.5328017399999997E-2</v>
      </c>
      <c r="AC275">
        <v>8.5082657399999997E-2</v>
      </c>
      <c r="AD275">
        <v>8.1911404300000004E-2</v>
      </c>
      <c r="AE275">
        <v>7.8787856899999995E-2</v>
      </c>
      <c r="AF275">
        <v>7.5710946799999998E-2</v>
      </c>
      <c r="AG275">
        <v>7.3337741799999995E-2</v>
      </c>
      <c r="AH275">
        <v>7.1021973200000005E-2</v>
      </c>
      <c r="AI275">
        <v>6.9484244799999997E-2</v>
      </c>
      <c r="AJ275">
        <v>6.7990631699999998E-2</v>
      </c>
      <c r="AK275">
        <v>6.6392316899999998E-2</v>
      </c>
      <c r="AL275">
        <v>6.4700903399999996E-2</v>
      </c>
      <c r="AM275">
        <v>6.3068595000000005E-2</v>
      </c>
      <c r="AN275">
        <v>6.2640894099999997E-2</v>
      </c>
      <c r="AO275">
        <v>6.2219842800000001E-2</v>
      </c>
      <c r="AP275">
        <v>6.1805091600000001E-2</v>
      </c>
      <c r="AQ275">
        <v>6.13968446E-2</v>
      </c>
      <c r="AR275">
        <v>6.0994949899999998E-2</v>
      </c>
      <c r="AS275">
        <v>6.0917629899999999E-2</v>
      </c>
      <c r="AT275">
        <v>6.0841066200000002E-2</v>
      </c>
      <c r="AU275">
        <v>6.0765247799999998E-2</v>
      </c>
      <c r="AV275">
        <v>6.0690163900000003E-2</v>
      </c>
      <c r="AW275">
        <v>6.06158038E-2</v>
      </c>
    </row>
    <row r="276" spans="2:49" x14ac:dyDescent="0.25">
      <c r="B276" t="s">
        <v>347</v>
      </c>
      <c r="C276">
        <v>6.0146533669896496E-3</v>
      </c>
      <c r="D276">
        <v>6.0146533669896496E-3</v>
      </c>
      <c r="E276">
        <v>1.2675264800000001E-2</v>
      </c>
      <c r="F276">
        <v>1.33558272E-2</v>
      </c>
      <c r="G276">
        <v>1.41166917E-2</v>
      </c>
      <c r="H276">
        <v>1.4967230600000001E-2</v>
      </c>
      <c r="I276">
        <v>1.59179175E-2</v>
      </c>
      <c r="J276">
        <v>1.6980455799999999E-2</v>
      </c>
      <c r="K276">
        <v>1.8167923499999999E-2</v>
      </c>
      <c r="L276">
        <v>1.94949336E-2</v>
      </c>
      <c r="M276">
        <v>2.09778147E-2</v>
      </c>
      <c r="N276">
        <v>2.2634811599999999E-2</v>
      </c>
      <c r="O276">
        <v>2.1877136299999999E-2</v>
      </c>
      <c r="P276">
        <v>2.1093019099999999E-2</v>
      </c>
      <c r="Q276">
        <v>2.02474123E-2</v>
      </c>
      <c r="R276">
        <v>1.9356493799999999E-2</v>
      </c>
      <c r="S276">
        <v>1.84376952E-2</v>
      </c>
      <c r="T276">
        <v>1.9024365599999999E-2</v>
      </c>
      <c r="U276">
        <v>1.9614417799999999E-2</v>
      </c>
      <c r="V276">
        <v>2.02078812E-2</v>
      </c>
      <c r="W276">
        <v>2.25232286E-2</v>
      </c>
      <c r="X276">
        <v>2.46814151E-2</v>
      </c>
      <c r="Y276">
        <v>2.3922737999999999E-2</v>
      </c>
      <c r="Z276">
        <v>2.3185406499999998E-2</v>
      </c>
      <c r="AA276">
        <v>2.24824993E-2</v>
      </c>
      <c r="AB276">
        <v>2.2017327100000001E-2</v>
      </c>
      <c r="AC276">
        <v>2.1573044E-2</v>
      </c>
      <c r="AD276">
        <v>2.23155404E-2</v>
      </c>
      <c r="AE276">
        <v>2.3046867400000001E-2</v>
      </c>
      <c r="AF276">
        <v>2.37672749E-2</v>
      </c>
      <c r="AG276">
        <v>2.43646392E-2</v>
      </c>
      <c r="AH276">
        <v>2.4947546000000001E-2</v>
      </c>
      <c r="AI276">
        <v>2.5687011499999999E-2</v>
      </c>
      <c r="AJ276">
        <v>2.6405262799999999E-2</v>
      </c>
      <c r="AK276">
        <v>2.7043344899999999E-2</v>
      </c>
      <c r="AL276">
        <v>2.7459374200000001E-2</v>
      </c>
      <c r="AM276">
        <v>2.7860865700000001E-2</v>
      </c>
      <c r="AN276">
        <v>2.7908413999999999E-2</v>
      </c>
      <c r="AO276">
        <v>2.7955134900000001E-2</v>
      </c>
      <c r="AP276">
        <v>2.80009591E-2</v>
      </c>
      <c r="AQ276">
        <v>2.8046064799999999E-2</v>
      </c>
      <c r="AR276">
        <v>2.8090468600000001E-2</v>
      </c>
      <c r="AS276">
        <v>2.8048066100000001E-2</v>
      </c>
      <c r="AT276">
        <v>2.80060785E-2</v>
      </c>
      <c r="AU276">
        <v>2.7964499600000001E-2</v>
      </c>
      <c r="AV276">
        <v>2.7923323399999998E-2</v>
      </c>
      <c r="AW276">
        <v>2.7882544299999999E-2</v>
      </c>
    </row>
    <row r="277" spans="2:49" x14ac:dyDescent="0.25">
      <c r="B277" t="s">
        <v>348</v>
      </c>
      <c r="C277">
        <v>0.92287069498865704</v>
      </c>
      <c r="D277">
        <v>0.92287069498865704</v>
      </c>
      <c r="E277">
        <v>0.90827002150000002</v>
      </c>
      <c r="F277">
        <v>0.88209099820000003</v>
      </c>
      <c r="G277">
        <v>0.85693183049999999</v>
      </c>
      <c r="H277">
        <v>0.8320539334</v>
      </c>
      <c r="I277">
        <v>0.80839701289999999</v>
      </c>
      <c r="J277">
        <v>0.78551756110000004</v>
      </c>
      <c r="K277">
        <v>0.76336966309999998</v>
      </c>
      <c r="L277">
        <v>0.74173705320000005</v>
      </c>
      <c r="M277">
        <v>0.72040816740000002</v>
      </c>
      <c r="N277">
        <v>0.6997815543</v>
      </c>
      <c r="O277">
        <v>0.69707629120000003</v>
      </c>
      <c r="P277">
        <v>0.6948829098</v>
      </c>
      <c r="Q277">
        <v>0.69304695110000003</v>
      </c>
      <c r="R277">
        <v>0.69138559669999999</v>
      </c>
      <c r="S277">
        <v>0.68926514650000004</v>
      </c>
      <c r="T277">
        <v>0.66400272439999997</v>
      </c>
      <c r="U277">
        <v>0.63819205749999997</v>
      </c>
      <c r="V277">
        <v>0.61179902689999999</v>
      </c>
      <c r="W277">
        <v>0.56229322349999999</v>
      </c>
      <c r="X277">
        <v>0.54316600660000003</v>
      </c>
      <c r="Y277">
        <v>0.50019907249999995</v>
      </c>
      <c r="Z277">
        <v>0.45902787649999999</v>
      </c>
      <c r="AA277">
        <v>0.42552090190000003</v>
      </c>
      <c r="AB277">
        <v>0.39536092900000003</v>
      </c>
      <c r="AC277">
        <v>0.36563115280000003</v>
      </c>
      <c r="AD277">
        <v>0.3426806349</v>
      </c>
      <c r="AE277">
        <v>0.31966938099999997</v>
      </c>
      <c r="AF277">
        <v>0.30004325100000001</v>
      </c>
      <c r="AG277">
        <v>0.2805103196</v>
      </c>
      <c r="AH277">
        <v>0.26077619499999999</v>
      </c>
      <c r="AI277">
        <v>0.23209550449999999</v>
      </c>
      <c r="AJ277">
        <v>0.20330841229999999</v>
      </c>
      <c r="AK277">
        <v>0.17449518429999999</v>
      </c>
      <c r="AL277">
        <v>0.14834965359999999</v>
      </c>
      <c r="AM277">
        <v>0.12194277570000001</v>
      </c>
      <c r="AN277">
        <v>0.1234707702</v>
      </c>
      <c r="AO277">
        <v>0.12443515569999999</v>
      </c>
      <c r="AP277">
        <v>0.1251420509</v>
      </c>
      <c r="AQ277">
        <v>0.12587419429999999</v>
      </c>
      <c r="AR277">
        <v>0.12661218430000001</v>
      </c>
      <c r="AS277">
        <v>0.113476352</v>
      </c>
      <c r="AT277">
        <v>0.1059047861</v>
      </c>
      <c r="AU277">
        <v>0.1077168349</v>
      </c>
      <c r="AV277">
        <v>0.10953283799999999</v>
      </c>
      <c r="AW277">
        <v>0.1113339922</v>
      </c>
    </row>
    <row r="278" spans="2:49" x14ac:dyDescent="0.25">
      <c r="B278" t="s">
        <v>349</v>
      </c>
      <c r="C278">
        <v>4.1245617653124303E-2</v>
      </c>
      <c r="D278">
        <v>4.1245617653124303E-2</v>
      </c>
      <c r="E278">
        <v>4.0301958700000001E-2</v>
      </c>
      <c r="F278">
        <v>6.4136590600000001E-2</v>
      </c>
      <c r="G278">
        <v>8.6254055199999999E-2</v>
      </c>
      <c r="H278">
        <v>0.10689463439999999</v>
      </c>
      <c r="I278">
        <v>0.1252136677</v>
      </c>
      <c r="J278">
        <v>0.1411427344</v>
      </c>
      <c r="K278">
        <v>0.1542792211</v>
      </c>
      <c r="L278">
        <v>0.16408434259999999</v>
      </c>
      <c r="M278">
        <v>0.16998390820000001</v>
      </c>
      <c r="N278">
        <v>0.1709239883</v>
      </c>
      <c r="O278">
        <v>0.17281696069999999</v>
      </c>
      <c r="P278">
        <v>0.1744164212</v>
      </c>
      <c r="Q278">
        <v>0.17580914689999999</v>
      </c>
      <c r="R278">
        <v>0.1770989335</v>
      </c>
      <c r="S278">
        <v>0.1786496296</v>
      </c>
      <c r="T278">
        <v>0.18324238609999999</v>
      </c>
      <c r="U278">
        <v>0.1879287915</v>
      </c>
      <c r="V278">
        <v>0.1927209584</v>
      </c>
      <c r="W278">
        <v>0.15549261859999999</v>
      </c>
      <c r="X278">
        <v>0.15562054519999999</v>
      </c>
      <c r="Y278">
        <v>0.17517248560000001</v>
      </c>
      <c r="Z278">
        <v>0.1940967773</v>
      </c>
      <c r="AA278">
        <v>0.2007132284</v>
      </c>
      <c r="AB278">
        <v>0.2064461437</v>
      </c>
      <c r="AC278">
        <v>0.21227660779999999</v>
      </c>
      <c r="AD278">
        <v>0.22205150030000001</v>
      </c>
      <c r="AE278">
        <v>0.23202253989999999</v>
      </c>
      <c r="AF278">
        <v>0.23477314869999999</v>
      </c>
      <c r="AG278">
        <v>0.236564054</v>
      </c>
      <c r="AH278">
        <v>0.23868591489999999</v>
      </c>
      <c r="AI278">
        <v>0.2433701996</v>
      </c>
      <c r="AJ278">
        <v>0.24829219150000001</v>
      </c>
      <c r="AK278">
        <v>0.25311322689999999</v>
      </c>
      <c r="AL278">
        <v>0.25855612090000002</v>
      </c>
      <c r="AM278">
        <v>0.26416781880000001</v>
      </c>
      <c r="AN278">
        <v>0.25813221629999999</v>
      </c>
      <c r="AO278">
        <v>0.25228886649999999</v>
      </c>
      <c r="AP278">
        <v>0.24697842249999999</v>
      </c>
      <c r="AQ278">
        <v>0.24168656599999999</v>
      </c>
      <c r="AR278">
        <v>0.23641885809999999</v>
      </c>
      <c r="AS278">
        <v>0.23125785460000001</v>
      </c>
      <c r="AT278">
        <v>0.22473499429999999</v>
      </c>
      <c r="AU278">
        <v>0.2161700215</v>
      </c>
      <c r="AV278">
        <v>0.20790061800000001</v>
      </c>
      <c r="AW278">
        <v>0.19991686380000001</v>
      </c>
    </row>
    <row r="279" spans="2:49" x14ac:dyDescent="0.25">
      <c r="B279" t="s">
        <v>350</v>
      </c>
      <c r="C279">
        <v>5.1557022066405396E-3</v>
      </c>
      <c r="D279">
        <v>5.1557022066405396E-3</v>
      </c>
      <c r="E279">
        <v>1.21720983E-2</v>
      </c>
      <c r="F279">
        <v>1.2174143300000001E-2</v>
      </c>
      <c r="G279">
        <v>1.2156322799999999E-2</v>
      </c>
      <c r="H279">
        <v>1.2179184500000001E-2</v>
      </c>
      <c r="I279">
        <v>1.2166164199999999E-2</v>
      </c>
      <c r="J279">
        <v>1.2152912E-2</v>
      </c>
      <c r="K279">
        <v>1.2140593200000001E-2</v>
      </c>
      <c r="L279">
        <v>1.21290636E-2</v>
      </c>
      <c r="M279">
        <v>1.2126949600000001E-2</v>
      </c>
      <c r="N279">
        <v>1.21229258E-2</v>
      </c>
      <c r="O279">
        <v>1.356766E-2</v>
      </c>
      <c r="P279">
        <v>1.49838452E-2</v>
      </c>
      <c r="Q279">
        <v>1.63733226E-2</v>
      </c>
      <c r="R279">
        <v>1.7742381000000002E-2</v>
      </c>
      <c r="S279">
        <v>1.9128204900000001E-2</v>
      </c>
      <c r="T279">
        <v>2.4688138200000001E-2</v>
      </c>
      <c r="U279">
        <v>3.0371161899999999E-2</v>
      </c>
      <c r="V279">
        <v>3.6182402099999997E-2</v>
      </c>
      <c r="W279">
        <v>3.41343957E-2</v>
      </c>
      <c r="X279">
        <v>3.6387660199999998E-2</v>
      </c>
      <c r="Y279">
        <v>4.5380449500000003E-2</v>
      </c>
      <c r="Z279">
        <v>5.4017161000000001E-2</v>
      </c>
      <c r="AA279">
        <v>6.3135986000000005E-2</v>
      </c>
      <c r="AB279">
        <v>7.1609368800000003E-2</v>
      </c>
      <c r="AC279">
        <v>7.9927155599999994E-2</v>
      </c>
      <c r="AD279">
        <v>8.2955031799999995E-2</v>
      </c>
      <c r="AE279">
        <v>8.5981058700000002E-2</v>
      </c>
      <c r="AF279">
        <v>8.9648116E-2</v>
      </c>
      <c r="AG279">
        <v>9.2897552899999999E-2</v>
      </c>
      <c r="AH279">
        <v>9.6154478500000001E-2</v>
      </c>
      <c r="AI279">
        <v>0.10557403410000001</v>
      </c>
      <c r="AJ279">
        <v>0.1149489366</v>
      </c>
      <c r="AK279">
        <v>0.1243277597</v>
      </c>
      <c r="AL279">
        <v>0.13091379680000001</v>
      </c>
      <c r="AM279">
        <v>0.13753040250000001</v>
      </c>
      <c r="AN279">
        <v>0.13816855519999999</v>
      </c>
      <c r="AO279">
        <v>0.1388914158</v>
      </c>
      <c r="AP279">
        <v>0.1395643751</v>
      </c>
      <c r="AQ279">
        <v>0.14022935319999999</v>
      </c>
      <c r="AR279">
        <v>0.14088943239999999</v>
      </c>
      <c r="AS279">
        <v>0.1508484642</v>
      </c>
      <c r="AT279">
        <v>0.1597800774</v>
      </c>
      <c r="AU279">
        <v>0.1668125751</v>
      </c>
      <c r="AV279">
        <v>0.17357534669999999</v>
      </c>
      <c r="AW279">
        <v>0.18008503840000001</v>
      </c>
    </row>
    <row r="280" spans="2:49" x14ac:dyDescent="0.25">
      <c r="B280" t="s">
        <v>351</v>
      </c>
      <c r="C280">
        <v>1.5260878531656001E-2</v>
      </c>
      <c r="D280">
        <v>1.5260878531656001E-2</v>
      </c>
      <c r="E280">
        <v>1.49117247E-2</v>
      </c>
      <c r="F280">
        <v>1.4455180200000001E-2</v>
      </c>
      <c r="G280">
        <v>1.39897514E-2</v>
      </c>
      <c r="H280">
        <v>1.3584656400000001E-2</v>
      </c>
      <c r="I280">
        <v>1.31524542E-2</v>
      </c>
      <c r="J280">
        <v>1.2733745100000001E-2</v>
      </c>
      <c r="K280">
        <v>1.2329298900000001E-2</v>
      </c>
      <c r="L280">
        <v>1.21290636E-2</v>
      </c>
      <c r="M280">
        <v>1.2126949600000001E-2</v>
      </c>
      <c r="N280">
        <v>1.21229258E-2</v>
      </c>
      <c r="O280">
        <v>1.6873722800000001E-2</v>
      </c>
      <c r="P280">
        <v>2.1576465699999998E-2</v>
      </c>
      <c r="Q280">
        <v>2.6222113799999999E-2</v>
      </c>
      <c r="R280">
        <v>3.0814248999999998E-2</v>
      </c>
      <c r="S280">
        <v>3.5418760700000003E-2</v>
      </c>
      <c r="T280">
        <v>3.6829852699999999E-2</v>
      </c>
      <c r="U280">
        <v>3.8270677500000003E-2</v>
      </c>
      <c r="V280">
        <v>3.9744015000000001E-2</v>
      </c>
      <c r="W280">
        <v>2.9936607399999999E-2</v>
      </c>
      <c r="X280">
        <v>2.5123195300000001E-2</v>
      </c>
      <c r="Y280">
        <v>2.69880513E-2</v>
      </c>
      <c r="Z280">
        <v>2.8765318599999999E-2</v>
      </c>
      <c r="AA280">
        <v>3.0937959099999999E-2</v>
      </c>
      <c r="AB280">
        <v>3.4006337800000001E-2</v>
      </c>
      <c r="AC280">
        <v>3.70139845E-2</v>
      </c>
      <c r="AD280">
        <v>3.6796695099999999E-2</v>
      </c>
      <c r="AE280">
        <v>3.6597468700000003E-2</v>
      </c>
      <c r="AF280">
        <v>3.6719113400000003E-2</v>
      </c>
      <c r="AG280">
        <v>3.64275129E-2</v>
      </c>
      <c r="AH280">
        <v>3.61567956E-2</v>
      </c>
      <c r="AI280">
        <v>3.5059011899999999E-2</v>
      </c>
      <c r="AJ280">
        <v>3.3983734000000002E-2</v>
      </c>
      <c r="AK280">
        <v>3.2943781700000001E-2</v>
      </c>
      <c r="AL280">
        <v>3.1981057600000001E-2</v>
      </c>
      <c r="AM280">
        <v>3.1028587100000001E-2</v>
      </c>
      <c r="AN280">
        <v>2.9806460699999999E-2</v>
      </c>
      <c r="AO280">
        <v>2.8609004100000002E-2</v>
      </c>
      <c r="AP280">
        <v>2.74082992E-2</v>
      </c>
      <c r="AQ280">
        <v>2.6212733299999999E-2</v>
      </c>
      <c r="AR280">
        <v>2.5022933300000001E-2</v>
      </c>
      <c r="AS280">
        <v>2.3969804599999998E-2</v>
      </c>
      <c r="AT280">
        <v>2.27809286E-2</v>
      </c>
      <c r="AU280">
        <v>2.13873898E-2</v>
      </c>
      <c r="AV280">
        <v>2.0043023399999998E-2</v>
      </c>
      <c r="AW280">
        <v>1.8745874999999999E-2</v>
      </c>
    </row>
    <row r="281" spans="2:49" x14ac:dyDescent="0.25">
      <c r="B281" t="s">
        <v>352</v>
      </c>
      <c r="C281">
        <v>5.1557022066405396E-3</v>
      </c>
      <c r="D281">
        <v>5.1557022066405396E-3</v>
      </c>
      <c r="E281">
        <v>1.21720983E-2</v>
      </c>
      <c r="F281">
        <v>1.2174143300000001E-2</v>
      </c>
      <c r="G281">
        <v>1.2156322799999999E-2</v>
      </c>
      <c r="H281">
        <v>1.2179184500000001E-2</v>
      </c>
      <c r="I281">
        <v>1.2166164199999999E-2</v>
      </c>
      <c r="J281">
        <v>1.2152912E-2</v>
      </c>
      <c r="K281">
        <v>1.2140593200000001E-2</v>
      </c>
      <c r="L281">
        <v>1.21290636E-2</v>
      </c>
      <c r="M281">
        <v>1.2126949600000001E-2</v>
      </c>
      <c r="N281">
        <v>1.21229258E-2</v>
      </c>
      <c r="O281">
        <v>1.28924604E-2</v>
      </c>
      <c r="P281">
        <v>1.3637429499999999E-2</v>
      </c>
      <c r="Q281">
        <v>1.43618967E-2</v>
      </c>
      <c r="R281">
        <v>1.50727037E-2</v>
      </c>
      <c r="S281">
        <v>1.5801172700000001E-2</v>
      </c>
      <c r="T281">
        <v>1.7444992499999999E-2</v>
      </c>
      <c r="U281">
        <v>1.91247043E-2</v>
      </c>
      <c r="V281">
        <v>2.08423145E-2</v>
      </c>
      <c r="W281">
        <v>2.2335321200000001E-2</v>
      </c>
      <c r="X281">
        <v>2.6542360399999999E-2</v>
      </c>
      <c r="Y281">
        <v>2.9250829799999999E-2</v>
      </c>
      <c r="Z281">
        <v>3.1862473299999999E-2</v>
      </c>
      <c r="AA281">
        <v>3.4787202000000003E-2</v>
      </c>
      <c r="AB281">
        <v>3.7964305800000001E-2</v>
      </c>
      <c r="AC281">
        <v>4.1098936199999998E-2</v>
      </c>
      <c r="AD281">
        <v>4.3913302899999999E-2</v>
      </c>
      <c r="AE281">
        <v>4.6723667400000002E-2</v>
      </c>
      <c r="AF281">
        <v>4.9833549300000002E-2</v>
      </c>
      <c r="AG281">
        <v>5.3046065500000003E-2</v>
      </c>
      <c r="AH281">
        <v>5.6257604099999997E-2</v>
      </c>
      <c r="AI281">
        <v>5.8961906600000002E-2</v>
      </c>
      <c r="AJ281">
        <v>6.1676213600000002E-2</v>
      </c>
      <c r="AK281">
        <v>6.4421050399999999E-2</v>
      </c>
      <c r="AL281">
        <v>6.7043683600000001E-2</v>
      </c>
      <c r="AM281">
        <v>6.9689544800000003E-2</v>
      </c>
      <c r="AN281">
        <v>6.9137095600000004E-2</v>
      </c>
      <c r="AO281">
        <v>6.86311332E-2</v>
      </c>
      <c r="AP281">
        <v>6.8110742799999999E-2</v>
      </c>
      <c r="AQ281">
        <v>6.7590728200000005E-2</v>
      </c>
      <c r="AR281">
        <v>6.7072607399999998E-2</v>
      </c>
      <c r="AS281">
        <v>6.8095122899999999E-2</v>
      </c>
      <c r="AT281">
        <v>6.8690098099999999E-2</v>
      </c>
      <c r="AU281">
        <v>6.8556695200000003E-2</v>
      </c>
      <c r="AV281">
        <v>6.8422776000000005E-2</v>
      </c>
      <c r="AW281">
        <v>6.8289795599999994E-2</v>
      </c>
    </row>
    <row r="282" spans="2:49" x14ac:dyDescent="0.25">
      <c r="B282" t="s">
        <v>353</v>
      </c>
      <c r="C282">
        <v>1.0311404413280999E-2</v>
      </c>
      <c r="D282">
        <v>1.0311404413280999E-2</v>
      </c>
      <c r="E282">
        <v>1.21720983E-2</v>
      </c>
      <c r="F282">
        <v>1.4968944499999999E-2</v>
      </c>
      <c r="G282">
        <v>1.8511717300000001E-2</v>
      </c>
      <c r="H282">
        <v>2.3108406799999998E-2</v>
      </c>
      <c r="I282">
        <v>2.89045369E-2</v>
      </c>
      <c r="J282">
        <v>3.6300135400000003E-2</v>
      </c>
      <c r="K282">
        <v>4.5740630499999997E-2</v>
      </c>
      <c r="L282">
        <v>5.7791413399999998E-2</v>
      </c>
      <c r="M282">
        <v>7.3227075599999997E-2</v>
      </c>
      <c r="N282">
        <v>9.2925679999999997E-2</v>
      </c>
      <c r="O282">
        <v>8.6772904900000003E-2</v>
      </c>
      <c r="P282">
        <v>8.0502928700000004E-2</v>
      </c>
      <c r="Q282">
        <v>7.4186568999999994E-2</v>
      </c>
      <c r="R282">
        <v>6.7886136200000002E-2</v>
      </c>
      <c r="S282">
        <v>6.1737085599999998E-2</v>
      </c>
      <c r="T282">
        <v>7.3791906099999999E-2</v>
      </c>
      <c r="U282">
        <v>8.6112607300000005E-2</v>
      </c>
      <c r="V282">
        <v>9.87112832E-2</v>
      </c>
      <c r="W282">
        <v>0.19580783339999999</v>
      </c>
      <c r="X282">
        <v>0.21316023240000001</v>
      </c>
      <c r="Y282">
        <v>0.22300911130000001</v>
      </c>
      <c r="Z282">
        <v>0.2322303933</v>
      </c>
      <c r="AA282">
        <v>0.2449047225</v>
      </c>
      <c r="AB282">
        <v>0.25461291489999999</v>
      </c>
      <c r="AC282">
        <v>0.26405216310000001</v>
      </c>
      <c r="AD282">
        <v>0.27160283499999999</v>
      </c>
      <c r="AE282">
        <v>0.27900588430000001</v>
      </c>
      <c r="AF282">
        <v>0.28898282159999999</v>
      </c>
      <c r="AG282">
        <v>0.30055449509999999</v>
      </c>
      <c r="AH282">
        <v>0.31196901189999998</v>
      </c>
      <c r="AI282">
        <v>0.32493934340000002</v>
      </c>
      <c r="AJ282">
        <v>0.33779051199999999</v>
      </c>
      <c r="AK282">
        <v>0.35069899700000001</v>
      </c>
      <c r="AL282">
        <v>0.36315568749999999</v>
      </c>
      <c r="AM282">
        <v>0.3756408712</v>
      </c>
      <c r="AN282">
        <v>0.38128490199999998</v>
      </c>
      <c r="AO282">
        <v>0.38714442459999998</v>
      </c>
      <c r="AP282">
        <v>0.39279610949999999</v>
      </c>
      <c r="AQ282">
        <v>0.39840642510000002</v>
      </c>
      <c r="AR282">
        <v>0.4039839845</v>
      </c>
      <c r="AS282">
        <v>0.41235240159999997</v>
      </c>
      <c r="AT282">
        <v>0.41810911550000002</v>
      </c>
      <c r="AU282">
        <v>0.41935648349999999</v>
      </c>
      <c r="AV282">
        <v>0.42052539789999999</v>
      </c>
      <c r="AW282">
        <v>0.42162843500000002</v>
      </c>
    </row>
    <row r="283" spans="2:49" x14ac:dyDescent="0.25">
      <c r="B283" t="s">
        <v>354</v>
      </c>
      <c r="C283">
        <v>0.99132434052165697</v>
      </c>
      <c r="D283">
        <v>0.99132434052165697</v>
      </c>
      <c r="E283">
        <v>0.82656901640000002</v>
      </c>
      <c r="F283">
        <v>0.82317449480000005</v>
      </c>
      <c r="G283">
        <v>0.81979390799999996</v>
      </c>
      <c r="H283">
        <v>0.81642719880000003</v>
      </c>
      <c r="I283">
        <v>0.81307431029999999</v>
      </c>
      <c r="J283">
        <v>0.80973518570000003</v>
      </c>
      <c r="K283">
        <v>0.80640976860000002</v>
      </c>
      <c r="L283">
        <v>0.80309800259999997</v>
      </c>
      <c r="M283">
        <v>0.79979983170000002</v>
      </c>
      <c r="N283">
        <v>0.7965152002</v>
      </c>
      <c r="O283">
        <v>0.79592063619999998</v>
      </c>
      <c r="P283">
        <v>0.79528828910000005</v>
      </c>
      <c r="Q283">
        <v>0.79461443899999995</v>
      </c>
      <c r="R283">
        <v>0.79389486139999998</v>
      </c>
      <c r="S283">
        <v>0.79312473819999996</v>
      </c>
      <c r="T283">
        <v>0.79099731900000003</v>
      </c>
      <c r="U283">
        <v>0.7889389014</v>
      </c>
      <c r="V283">
        <v>0.78694618199999999</v>
      </c>
      <c r="W283">
        <v>0.7855816015</v>
      </c>
      <c r="X283">
        <v>0.77822773779999999</v>
      </c>
      <c r="Y283">
        <v>0.76966088519999998</v>
      </c>
      <c r="Z283">
        <v>0.76083164839999995</v>
      </c>
      <c r="AA283">
        <v>0.75169694570000001</v>
      </c>
      <c r="AB283">
        <v>0.74240314929999995</v>
      </c>
      <c r="AC283">
        <v>0.73276172409999996</v>
      </c>
      <c r="AD283">
        <v>0.72049186600000004</v>
      </c>
      <c r="AE283">
        <v>0.70748723430000005</v>
      </c>
      <c r="AF283">
        <v>0.69363544580000003</v>
      </c>
      <c r="AG283">
        <v>0.67911166990000005</v>
      </c>
      <c r="AH283">
        <v>0.66350448640000004</v>
      </c>
      <c r="AI283">
        <v>0.65007383110000005</v>
      </c>
      <c r="AJ283">
        <v>0.63559726780000003</v>
      </c>
      <c r="AK283">
        <v>0.61987312650000004</v>
      </c>
      <c r="AL283">
        <v>0.60307923269999997</v>
      </c>
      <c r="AM283">
        <v>0.58447920529999997</v>
      </c>
      <c r="AN283">
        <v>0.57614331689999998</v>
      </c>
      <c r="AO283">
        <v>0.56646849639999997</v>
      </c>
      <c r="AP283">
        <v>0.55510397909999998</v>
      </c>
      <c r="AQ283">
        <v>0.54156475660000003</v>
      </c>
      <c r="AR283">
        <v>0.52516055920000004</v>
      </c>
      <c r="AS283">
        <v>0.5220042748</v>
      </c>
      <c r="AT283">
        <v>0.51849600100000004</v>
      </c>
      <c r="AU283">
        <v>0.51457337979999995</v>
      </c>
      <c r="AV283">
        <v>0.51015839890000003</v>
      </c>
      <c r="AW283">
        <v>0.50515215130000002</v>
      </c>
    </row>
    <row r="284" spans="2:49" x14ac:dyDescent="0.25">
      <c r="B284" t="s">
        <v>355</v>
      </c>
      <c r="C284">
        <v>0.91950930808135101</v>
      </c>
      <c r="D284">
        <v>0.91950930808135101</v>
      </c>
      <c r="E284">
        <v>0.79235364360000005</v>
      </c>
      <c r="F284">
        <v>0.76834820280000005</v>
      </c>
      <c r="G284">
        <v>0.74508343489999995</v>
      </c>
      <c r="H284">
        <v>0.72253527770000003</v>
      </c>
      <c r="I284">
        <v>0.70068055849999999</v>
      </c>
      <c r="J284">
        <v>0.67949695229999996</v>
      </c>
      <c r="K284">
        <v>0.65896294219999996</v>
      </c>
      <c r="L284">
        <v>0.63894550240000003</v>
      </c>
      <c r="M284">
        <v>0.61944281609999996</v>
      </c>
      <c r="N284">
        <v>0.60054869020000001</v>
      </c>
      <c r="O284">
        <v>0.59794377970000001</v>
      </c>
      <c r="P284">
        <v>0.59534354940000001</v>
      </c>
      <c r="Q284">
        <v>0.59274798679999996</v>
      </c>
      <c r="R284">
        <v>0.59015707920000005</v>
      </c>
      <c r="S284">
        <v>0.58757081410000001</v>
      </c>
      <c r="T284">
        <v>0.56380317130000002</v>
      </c>
      <c r="U284">
        <v>0.53946746840000004</v>
      </c>
      <c r="V284">
        <v>0.51454309379999996</v>
      </c>
      <c r="W284">
        <v>0.46864969709999998</v>
      </c>
      <c r="X284">
        <v>0.45131753060000002</v>
      </c>
      <c r="Y284">
        <v>0.41152852849999999</v>
      </c>
      <c r="Z284">
        <v>0.37289746159999998</v>
      </c>
      <c r="AA284">
        <v>0.34134841580000003</v>
      </c>
      <c r="AB284">
        <v>0.31282904249999999</v>
      </c>
      <c r="AC284">
        <v>0.28451304630000002</v>
      </c>
      <c r="AD284">
        <v>0.26205939119999999</v>
      </c>
      <c r="AE284">
        <v>0.2394290302</v>
      </c>
      <c r="AF284">
        <v>0.2197788058</v>
      </c>
      <c r="AG284">
        <v>0.20013288879999999</v>
      </c>
      <c r="AH284">
        <v>0.18024125390000001</v>
      </c>
      <c r="AI284">
        <v>0.15175666900000001</v>
      </c>
      <c r="AJ284">
        <v>0.1230532711</v>
      </c>
      <c r="AK284">
        <v>9.4263145000000007E-2</v>
      </c>
      <c r="AL284">
        <v>6.7928680500000005E-2</v>
      </c>
      <c r="AM284">
        <v>4.13187213E-2</v>
      </c>
      <c r="AN284">
        <v>4.0089676499999997E-2</v>
      </c>
      <c r="AO284">
        <v>3.8859321000000002E-2</v>
      </c>
      <c r="AP284">
        <v>3.7483618199999999E-2</v>
      </c>
      <c r="AQ284">
        <v>3.6108083999999999E-2</v>
      </c>
      <c r="AR284">
        <v>3.4732718599999997E-2</v>
      </c>
      <c r="AS284">
        <v>2.0239361599999998E-2</v>
      </c>
      <c r="AT284">
        <v>1.11087006E-2</v>
      </c>
      <c r="AU284">
        <v>1.0950612700000001E-2</v>
      </c>
      <c r="AV284">
        <v>1.0797012999999999E-2</v>
      </c>
      <c r="AW284">
        <v>1.0647713099999999E-2</v>
      </c>
    </row>
    <row r="285" spans="2:49" x14ac:dyDescent="0.25">
      <c r="B285" t="s">
        <v>476</v>
      </c>
      <c r="C285">
        <v>383714635.27038902</v>
      </c>
      <c r="D285">
        <v>389875297.85567099</v>
      </c>
      <c r="E285">
        <v>396134871.89999998</v>
      </c>
      <c r="F285">
        <v>411154037.60000002</v>
      </c>
      <c r="G285">
        <v>421031943.39999998</v>
      </c>
      <c r="H285">
        <v>435441578</v>
      </c>
      <c r="I285">
        <v>447693452.80000001</v>
      </c>
      <c r="J285">
        <v>466465153.30000001</v>
      </c>
      <c r="K285">
        <v>487972906.39999998</v>
      </c>
      <c r="L285">
        <v>512155365.39999998</v>
      </c>
      <c r="M285">
        <v>541225688.60000002</v>
      </c>
      <c r="N285">
        <v>568293540.70000005</v>
      </c>
      <c r="O285">
        <v>572191579.10000002</v>
      </c>
      <c r="P285">
        <v>571164561.5</v>
      </c>
      <c r="Q285">
        <v>569822803</v>
      </c>
      <c r="R285">
        <v>583286679.89999998</v>
      </c>
      <c r="S285">
        <v>589561641</v>
      </c>
      <c r="T285">
        <v>593521015.60000002</v>
      </c>
      <c r="U285">
        <v>595828899.70000005</v>
      </c>
      <c r="V285">
        <v>597668306.29999995</v>
      </c>
      <c r="W285">
        <v>597674458.10000002</v>
      </c>
      <c r="X285">
        <v>596234689.10000002</v>
      </c>
      <c r="Y285">
        <v>593211624.60000002</v>
      </c>
      <c r="Z285">
        <v>588680103.89999998</v>
      </c>
      <c r="AA285">
        <v>583674290.5</v>
      </c>
      <c r="AB285">
        <v>578569994.20000005</v>
      </c>
      <c r="AC285">
        <v>572347823.70000005</v>
      </c>
      <c r="AD285">
        <v>570073418.39999998</v>
      </c>
      <c r="AE285">
        <v>568469502.39999998</v>
      </c>
      <c r="AF285">
        <v>566939141.39999998</v>
      </c>
      <c r="AG285">
        <v>565473842.89999998</v>
      </c>
      <c r="AH285">
        <v>564086018.20000005</v>
      </c>
      <c r="AI285">
        <v>562612296.89999998</v>
      </c>
      <c r="AJ285">
        <v>561388210.79999995</v>
      </c>
      <c r="AK285">
        <v>560247947.70000005</v>
      </c>
      <c r="AL285">
        <v>559232878.39999998</v>
      </c>
      <c r="AM285">
        <v>558334748.20000005</v>
      </c>
      <c r="AN285">
        <v>557610503.5</v>
      </c>
      <c r="AO285">
        <v>556992266.79999995</v>
      </c>
      <c r="AP285">
        <v>556598715.20000005</v>
      </c>
      <c r="AQ285">
        <v>556301300.79999995</v>
      </c>
      <c r="AR285">
        <v>554894589.5</v>
      </c>
      <c r="AS285">
        <v>553920963.79999995</v>
      </c>
      <c r="AT285">
        <v>553163662</v>
      </c>
      <c r="AU285">
        <v>552550757.70000005</v>
      </c>
      <c r="AV285">
        <v>551949697.29999995</v>
      </c>
      <c r="AW285">
        <v>550849655.29999995</v>
      </c>
    </row>
    <row r="286" spans="2:49" x14ac:dyDescent="0.25">
      <c r="B286" t="s">
        <v>477</v>
      </c>
      <c r="C286">
        <v>13020.598862561899</v>
      </c>
      <c r="D286">
        <v>13229.6487889324</v>
      </c>
      <c r="E286">
        <v>13442.05508</v>
      </c>
      <c r="F286">
        <v>13760.43381</v>
      </c>
      <c r="G286">
        <v>14213.245430000001</v>
      </c>
      <c r="H286">
        <v>13758.55294</v>
      </c>
      <c r="I286">
        <v>13318.69766</v>
      </c>
      <c r="J286">
        <v>13698.32935</v>
      </c>
      <c r="K286">
        <v>14000.21652</v>
      </c>
      <c r="L286">
        <v>13923.3501</v>
      </c>
      <c r="M286">
        <v>14158.51404</v>
      </c>
      <c r="N286">
        <v>14629.89589</v>
      </c>
      <c r="O286">
        <v>14961.721680000001</v>
      </c>
      <c r="P286">
        <v>15281.38175</v>
      </c>
      <c r="Q286">
        <v>15679.15739</v>
      </c>
      <c r="R286">
        <v>16070.061369999999</v>
      </c>
      <c r="S286">
        <v>15635.655280000001</v>
      </c>
      <c r="T286">
        <v>15016.94161</v>
      </c>
      <c r="U286">
        <v>14845.06914</v>
      </c>
      <c r="V286">
        <v>14750.136060000001</v>
      </c>
      <c r="W286">
        <v>14604.322480000001</v>
      </c>
      <c r="X286">
        <v>14405.036990000001</v>
      </c>
      <c r="Y286">
        <v>14203.669599999999</v>
      </c>
      <c r="Z286">
        <v>13985.793830000001</v>
      </c>
      <c r="AA286">
        <v>13771.631509999999</v>
      </c>
      <c r="AB286">
        <v>13560.15301</v>
      </c>
      <c r="AC286">
        <v>13356.456749999999</v>
      </c>
      <c r="AD286">
        <v>12882.98396</v>
      </c>
      <c r="AE286">
        <v>12401.59015</v>
      </c>
      <c r="AF286">
        <v>11946.78681</v>
      </c>
      <c r="AG286">
        <v>11517.7359</v>
      </c>
      <c r="AH286">
        <v>11127.50166</v>
      </c>
      <c r="AI286">
        <v>10774.852709999999</v>
      </c>
      <c r="AJ286">
        <v>10432.59943</v>
      </c>
      <c r="AK286">
        <v>10093.84467</v>
      </c>
      <c r="AL286">
        <v>9772.9655999999995</v>
      </c>
      <c r="AM286">
        <v>9473.2952449999902</v>
      </c>
      <c r="AN286">
        <v>9186.7314989999995</v>
      </c>
      <c r="AO286">
        <v>8917.8426440000003</v>
      </c>
      <c r="AP286">
        <v>8684.1382420000009</v>
      </c>
      <c r="AQ286">
        <v>8457.7237019999902</v>
      </c>
      <c r="AR286">
        <v>8234.8095410000005</v>
      </c>
      <c r="AS286">
        <v>8004.2274770000004</v>
      </c>
      <c r="AT286">
        <v>7788.1684160000004</v>
      </c>
      <c r="AU286">
        <v>7570.2036939999998</v>
      </c>
      <c r="AV286">
        <v>7346.6703530000004</v>
      </c>
      <c r="AW286">
        <v>7134.6423080000004</v>
      </c>
    </row>
    <row r="287" spans="2:49" x14ac:dyDescent="0.25">
      <c r="B287" t="s">
        <v>478</v>
      </c>
      <c r="C287">
        <v>158336.21117690401</v>
      </c>
      <c r="D287">
        <v>160878.35026264799</v>
      </c>
      <c r="E287">
        <v>163461.30420000001</v>
      </c>
      <c r="F287">
        <v>171747.95360000001</v>
      </c>
      <c r="G287">
        <v>178947.698</v>
      </c>
      <c r="H287">
        <v>186017.7451</v>
      </c>
      <c r="I287">
        <v>192510.78419999999</v>
      </c>
      <c r="J287">
        <v>202009.10279999999</v>
      </c>
      <c r="K287">
        <v>216491.6648</v>
      </c>
      <c r="L287">
        <v>232312.73319999999</v>
      </c>
      <c r="M287">
        <v>249795.6439</v>
      </c>
      <c r="N287">
        <v>273238.36369999999</v>
      </c>
      <c r="O287">
        <v>274843.20409999997</v>
      </c>
      <c r="P287">
        <v>271539.94880000001</v>
      </c>
      <c r="Q287">
        <v>268877.30249999999</v>
      </c>
      <c r="R287">
        <v>270666.11369999999</v>
      </c>
      <c r="S287">
        <v>276083.25170000002</v>
      </c>
      <c r="T287">
        <v>282680.33960000001</v>
      </c>
      <c r="U287">
        <v>284416.49619999999</v>
      </c>
      <c r="V287">
        <v>285029.40279999998</v>
      </c>
      <c r="W287">
        <v>277163.93060000002</v>
      </c>
      <c r="X287">
        <v>267348.49329999997</v>
      </c>
      <c r="Y287">
        <v>267043.77370000002</v>
      </c>
      <c r="Z287">
        <v>265251.74160000001</v>
      </c>
      <c r="AA287">
        <v>263125.35220000002</v>
      </c>
      <c r="AB287">
        <v>260680.19279999999</v>
      </c>
      <c r="AC287">
        <v>255288.83240000001</v>
      </c>
      <c r="AD287">
        <v>253492.2512</v>
      </c>
      <c r="AE287">
        <v>252950.83799999999</v>
      </c>
      <c r="AF287">
        <v>252282.66570000001</v>
      </c>
      <c r="AG287">
        <v>251920.43489999999</v>
      </c>
      <c r="AH287">
        <v>251538.1312</v>
      </c>
      <c r="AI287">
        <v>250605.2775</v>
      </c>
      <c r="AJ287">
        <v>250126.33780000001</v>
      </c>
      <c r="AK287">
        <v>249876.03479999999</v>
      </c>
      <c r="AL287">
        <v>249642.7323</v>
      </c>
      <c r="AM287">
        <v>249390.0747</v>
      </c>
      <c r="AN287">
        <v>249577.10500000001</v>
      </c>
      <c r="AO287">
        <v>249637.74950000001</v>
      </c>
      <c r="AP287">
        <v>249655.65659999999</v>
      </c>
      <c r="AQ287">
        <v>249769.60380000001</v>
      </c>
      <c r="AR287">
        <v>248142.52549999999</v>
      </c>
      <c r="AS287">
        <v>247858.7518</v>
      </c>
      <c r="AT287">
        <v>247582.16130000001</v>
      </c>
      <c r="AU287">
        <v>247402.79329999999</v>
      </c>
      <c r="AV287">
        <v>247318.12210000001</v>
      </c>
      <c r="AW287">
        <v>248084.98</v>
      </c>
    </row>
    <row r="288" spans="2:49" x14ac:dyDescent="0.25">
      <c r="B288" t="s">
        <v>479</v>
      </c>
      <c r="C288">
        <v>516755.579312385</v>
      </c>
      <c r="D288">
        <v>525052.257287574</v>
      </c>
      <c r="E288">
        <v>533482.14110000001</v>
      </c>
      <c r="F288">
        <v>545516.61679999996</v>
      </c>
      <c r="G288">
        <v>549529.74089999998</v>
      </c>
      <c r="H288">
        <v>560615.69279999996</v>
      </c>
      <c r="I288">
        <v>568234.68090000004</v>
      </c>
      <c r="J288">
        <v>583477.60580000002</v>
      </c>
      <c r="K288">
        <v>598631.87840000005</v>
      </c>
      <c r="L288">
        <v>616217.54729999998</v>
      </c>
      <c r="M288">
        <v>639245.44169999997</v>
      </c>
      <c r="N288">
        <v>663325.81169999996</v>
      </c>
      <c r="O288">
        <v>666163.98049999995</v>
      </c>
      <c r="P288">
        <v>665174.26679999998</v>
      </c>
      <c r="Q288">
        <v>663230.51289999997</v>
      </c>
      <c r="R288">
        <v>680388.68440000003</v>
      </c>
      <c r="S288">
        <v>683847.78729999997</v>
      </c>
      <c r="T288">
        <v>684866.69169999997</v>
      </c>
      <c r="U288">
        <v>687049.8371</v>
      </c>
      <c r="V288">
        <v>689370.61990000005</v>
      </c>
      <c r="W288">
        <v>695306.30920000002</v>
      </c>
      <c r="X288">
        <v>700523.89769999997</v>
      </c>
      <c r="Y288">
        <v>700951.54480000003</v>
      </c>
      <c r="Z288">
        <v>700145.00150000001</v>
      </c>
      <c r="AA288">
        <v>698788.55379999999</v>
      </c>
      <c r="AB288">
        <v>697439.61549999996</v>
      </c>
      <c r="AC288">
        <v>696492.40179999999</v>
      </c>
      <c r="AD288">
        <v>696733.08169999998</v>
      </c>
      <c r="AE288">
        <v>697055.67630000005</v>
      </c>
      <c r="AF288">
        <v>697575.33310000005</v>
      </c>
      <c r="AG288">
        <v>697953.62950000004</v>
      </c>
      <c r="AH288">
        <v>698456.57330000005</v>
      </c>
      <c r="AI288">
        <v>699226.97759999998</v>
      </c>
      <c r="AJ288">
        <v>700037.95849999995</v>
      </c>
      <c r="AK288">
        <v>700799.30099999998</v>
      </c>
      <c r="AL288">
        <v>701737.36140000005</v>
      </c>
      <c r="AM288">
        <v>702867.95669999998</v>
      </c>
      <c r="AN288">
        <v>703937.79599999997</v>
      </c>
      <c r="AO288">
        <v>705266.74289999995</v>
      </c>
      <c r="AP288">
        <v>706983.97030000004</v>
      </c>
      <c r="AQ288">
        <v>708780.5048</v>
      </c>
      <c r="AR288">
        <v>710092.99739999999</v>
      </c>
      <c r="AS288">
        <v>711083.39190000005</v>
      </c>
      <c r="AT288">
        <v>712411.6629</v>
      </c>
      <c r="AU288">
        <v>713895.52870000002</v>
      </c>
      <c r="AV288">
        <v>715322.18980000005</v>
      </c>
      <c r="AW288">
        <v>715284.89289999998</v>
      </c>
    </row>
    <row r="289" spans="2:49" x14ac:dyDescent="0.25">
      <c r="B289" t="s">
        <v>480</v>
      </c>
      <c r="C289">
        <v>82711.5521017555</v>
      </c>
      <c r="D289">
        <v>84039.512824558697</v>
      </c>
      <c r="E289">
        <v>85388.794389999995</v>
      </c>
      <c r="F289">
        <v>90804.869600000005</v>
      </c>
      <c r="G289">
        <v>91585.857579999996</v>
      </c>
      <c r="H289">
        <v>94245.40582</v>
      </c>
      <c r="I289">
        <v>95048.488029999906</v>
      </c>
      <c r="J289">
        <v>101387.2415</v>
      </c>
      <c r="K289">
        <v>105332.4498</v>
      </c>
      <c r="L289">
        <v>111721.1776</v>
      </c>
      <c r="M289">
        <v>121150.9494</v>
      </c>
      <c r="N289">
        <v>126358.667</v>
      </c>
      <c r="O289">
        <v>123530.50199999999</v>
      </c>
      <c r="P289">
        <v>123413.4669</v>
      </c>
      <c r="Q289">
        <v>127373.8934</v>
      </c>
      <c r="R289">
        <v>123011.6639</v>
      </c>
      <c r="S289">
        <v>128894.159</v>
      </c>
      <c r="T289">
        <v>136666.33110000001</v>
      </c>
      <c r="U289">
        <v>140979.16899999999</v>
      </c>
      <c r="V289">
        <v>142852.44260000001</v>
      </c>
      <c r="W289">
        <v>155901.83240000001</v>
      </c>
      <c r="X289">
        <v>169873.43479999999</v>
      </c>
      <c r="Y289">
        <v>173796.73980000001</v>
      </c>
      <c r="Z289">
        <v>178301.2886</v>
      </c>
      <c r="AA289">
        <v>183116.00520000001</v>
      </c>
      <c r="AB289">
        <v>188062.3223</v>
      </c>
      <c r="AC289">
        <v>197237.73850000001</v>
      </c>
      <c r="AD289">
        <v>200029.29380000001</v>
      </c>
      <c r="AE289">
        <v>202445.2671</v>
      </c>
      <c r="AF289">
        <v>204694.7132</v>
      </c>
      <c r="AG289">
        <v>206941.27369999999</v>
      </c>
      <c r="AH289">
        <v>209394.57149999999</v>
      </c>
      <c r="AI289">
        <v>212053.53769999999</v>
      </c>
      <c r="AJ289">
        <v>214708.54449999999</v>
      </c>
      <c r="AK289">
        <v>217321.79389999999</v>
      </c>
      <c r="AL289">
        <v>219925.9313</v>
      </c>
      <c r="AM289">
        <v>222560.67499999999</v>
      </c>
      <c r="AN289">
        <v>225102.97769999999</v>
      </c>
      <c r="AO289">
        <v>227746.04829999999</v>
      </c>
      <c r="AP289">
        <v>230621.0643</v>
      </c>
      <c r="AQ289">
        <v>233592.0049</v>
      </c>
      <c r="AR289">
        <v>236871.59020000001</v>
      </c>
      <c r="AS289">
        <v>239876.6753</v>
      </c>
      <c r="AT289">
        <v>242924.2641</v>
      </c>
      <c r="AU289">
        <v>245934.16380000001</v>
      </c>
      <c r="AV289">
        <v>248891.86919999999</v>
      </c>
      <c r="AW289">
        <v>251837.18890000001</v>
      </c>
    </row>
    <row r="290" spans="2:49" x14ac:dyDescent="0.25">
      <c r="B290" t="s">
        <v>481</v>
      </c>
      <c r="C290">
        <v>45689.201708803201</v>
      </c>
      <c r="D290">
        <v>46422.756620829103</v>
      </c>
      <c r="E290">
        <v>47168.088989999997</v>
      </c>
      <c r="F290">
        <v>48083.920080000004</v>
      </c>
      <c r="G290">
        <v>47738.554920000002</v>
      </c>
      <c r="H290">
        <v>48718.158889999999</v>
      </c>
      <c r="I290">
        <v>49195.758399999999</v>
      </c>
      <c r="J290">
        <v>50588.269590000004</v>
      </c>
      <c r="K290">
        <v>51044.30459</v>
      </c>
      <c r="L290">
        <v>51909.69472</v>
      </c>
      <c r="M290">
        <v>53570.308140000001</v>
      </c>
      <c r="N290">
        <v>54377.488920000003</v>
      </c>
      <c r="O290">
        <v>54359.438620000001</v>
      </c>
      <c r="P290">
        <v>54630.793299999998</v>
      </c>
      <c r="Q290">
        <v>54917.501080000002</v>
      </c>
      <c r="R290">
        <v>62084.765039999998</v>
      </c>
      <c r="S290">
        <v>61998.78269</v>
      </c>
      <c r="T290">
        <v>61576.758430000002</v>
      </c>
      <c r="U290">
        <v>61756.834739999998</v>
      </c>
      <c r="V290">
        <v>61950.997009999999</v>
      </c>
      <c r="W290">
        <v>59161.768389999997</v>
      </c>
      <c r="X290">
        <v>56550.53701</v>
      </c>
      <c r="Y290">
        <v>58181.622759999998</v>
      </c>
      <c r="Z290">
        <v>59875.841719999997</v>
      </c>
      <c r="AA290">
        <v>61566.590089999998</v>
      </c>
      <c r="AB290">
        <v>63349.842190000003</v>
      </c>
      <c r="AC290">
        <v>65031.221219999999</v>
      </c>
      <c r="AD290">
        <v>65266.774740000001</v>
      </c>
      <c r="AE290">
        <v>65325.010750000001</v>
      </c>
      <c r="AF290">
        <v>65445.800029999999</v>
      </c>
      <c r="AG290">
        <v>65484.947500000002</v>
      </c>
      <c r="AH290">
        <v>65539.796879999994</v>
      </c>
      <c r="AI290">
        <v>65740.895650000006</v>
      </c>
      <c r="AJ290">
        <v>65877.358470000006</v>
      </c>
      <c r="AK290">
        <v>65972.661699999997</v>
      </c>
      <c r="AL290">
        <v>66098.335810000004</v>
      </c>
      <c r="AM290">
        <v>66259.839810000005</v>
      </c>
      <c r="AN290">
        <v>66359.544160000005</v>
      </c>
      <c r="AO290">
        <v>66525.033339999994</v>
      </c>
      <c r="AP290">
        <v>66756.329790000003</v>
      </c>
      <c r="AQ290">
        <v>66986.683980000002</v>
      </c>
      <c r="AR290">
        <v>67389.269639999999</v>
      </c>
      <c r="AS290">
        <v>67553.276150000005</v>
      </c>
      <c r="AT290">
        <v>67774.038249999998</v>
      </c>
      <c r="AU290">
        <v>68013.464049999995</v>
      </c>
      <c r="AV290">
        <v>68235.177890000006</v>
      </c>
      <c r="AW290">
        <v>68060.500180000003</v>
      </c>
    </row>
    <row r="291" spans="2:49" x14ac:dyDescent="0.25">
      <c r="B291" t="s">
        <v>482</v>
      </c>
      <c r="C291">
        <v>562444.78102118801</v>
      </c>
      <c r="D291">
        <v>571475.01390840299</v>
      </c>
      <c r="E291">
        <v>580650.23010000004</v>
      </c>
      <c r="F291">
        <v>593600.3273</v>
      </c>
      <c r="G291">
        <v>597263.40540000005</v>
      </c>
      <c r="H291">
        <v>609328.85979999998</v>
      </c>
      <c r="I291">
        <v>617425.06319999998</v>
      </c>
      <c r="J291">
        <v>634060.30619999999</v>
      </c>
      <c r="K291">
        <v>649663.88300000003</v>
      </c>
      <c r="L291">
        <v>668111.03960000002</v>
      </c>
      <c r="M291">
        <v>692798.27870000002</v>
      </c>
      <c r="N291">
        <v>717672.86239999998</v>
      </c>
      <c r="O291">
        <v>720492.32779999997</v>
      </c>
      <c r="P291">
        <v>719772.94830000005</v>
      </c>
      <c r="Q291">
        <v>718114.29509999999</v>
      </c>
      <c r="R291">
        <v>742184.41810000001</v>
      </c>
      <c r="S291">
        <v>745555.03670000006</v>
      </c>
      <c r="T291">
        <v>747643.51300000004</v>
      </c>
      <c r="U291">
        <v>750010.53209999995</v>
      </c>
      <c r="V291">
        <v>752529.51899999997</v>
      </c>
      <c r="W291">
        <v>756352.95400000003</v>
      </c>
      <c r="X291">
        <v>759650.28599999996</v>
      </c>
      <c r="Y291">
        <v>762457.55870000005</v>
      </c>
      <c r="Z291">
        <v>764088.55</v>
      </c>
      <c r="AA291">
        <v>765164.60609999998</v>
      </c>
      <c r="AB291">
        <v>766340.92520000006</v>
      </c>
      <c r="AC291">
        <v>767825.49049999996</v>
      </c>
      <c r="AD291">
        <v>769074.03339999996</v>
      </c>
      <c r="AE291">
        <v>770228.23730000004</v>
      </c>
      <c r="AF291">
        <v>771646.49990000005</v>
      </c>
      <c r="AG291">
        <v>772841.11739999999</v>
      </c>
      <c r="AH291">
        <v>774179.57250000001</v>
      </c>
      <c r="AI291">
        <v>775939.45929999999</v>
      </c>
      <c r="AJ291">
        <v>777677.75529999996</v>
      </c>
      <c r="AK291">
        <v>779326.48979999998</v>
      </c>
      <c r="AL291">
        <v>781188.42920000001</v>
      </c>
      <c r="AM291">
        <v>783285.87139999995</v>
      </c>
      <c r="AN291">
        <v>785261.81330000004</v>
      </c>
      <c r="AO291">
        <v>787572.44909999997</v>
      </c>
      <c r="AP291">
        <v>790350.73609999998</v>
      </c>
      <c r="AQ291">
        <v>793213.92929999996</v>
      </c>
      <c r="AR291">
        <v>795762.40509999997</v>
      </c>
      <c r="AS291">
        <v>797741.25690000004</v>
      </c>
      <c r="AT291">
        <v>800127.9632</v>
      </c>
      <c r="AU291">
        <v>802697.53359999997</v>
      </c>
      <c r="AV291">
        <v>805194.47519999999</v>
      </c>
      <c r="AW291">
        <v>805781.82460000005</v>
      </c>
    </row>
    <row r="292" spans="2:49" x14ac:dyDescent="0.25">
      <c r="B292" t="s">
        <v>483</v>
      </c>
      <c r="C292">
        <v>241047.76327865999</v>
      </c>
      <c r="D292">
        <v>244917.86308720699</v>
      </c>
      <c r="E292">
        <v>248850.0986</v>
      </c>
      <c r="F292">
        <v>262548.52409999998</v>
      </c>
      <c r="G292">
        <v>270496.90999999997</v>
      </c>
      <c r="H292">
        <v>280221.97560000001</v>
      </c>
      <c r="I292">
        <v>287495.68729999999</v>
      </c>
      <c r="J292">
        <v>303320.21500000003</v>
      </c>
      <c r="K292">
        <v>321708.94</v>
      </c>
      <c r="L292">
        <v>343905.65840000001</v>
      </c>
      <c r="M292">
        <v>370805.38679999998</v>
      </c>
      <c r="N292">
        <v>399345.90029999998</v>
      </c>
      <c r="O292">
        <v>398088.52630000003</v>
      </c>
      <c r="P292">
        <v>394665.43459999998</v>
      </c>
      <c r="Q292">
        <v>395888.85629999998</v>
      </c>
      <c r="R292">
        <v>393244.36629999999</v>
      </c>
      <c r="S292">
        <v>404500.02169999998</v>
      </c>
      <c r="T292">
        <v>418796.6495</v>
      </c>
      <c r="U292">
        <v>424808.58539999998</v>
      </c>
      <c r="V292">
        <v>427285.54979999998</v>
      </c>
      <c r="W292">
        <v>431814.40659999999</v>
      </c>
      <c r="X292">
        <v>435205.01409999997</v>
      </c>
      <c r="Y292">
        <v>438776.89850000001</v>
      </c>
      <c r="Z292">
        <v>441421.52659999998</v>
      </c>
      <c r="AA292">
        <v>444032.5465</v>
      </c>
      <c r="AB292">
        <v>446451.21110000001</v>
      </c>
      <c r="AC292">
        <v>449957.69990000001</v>
      </c>
      <c r="AD292">
        <v>450922.28360000002</v>
      </c>
      <c r="AE292">
        <v>452774.92910000001</v>
      </c>
      <c r="AF292">
        <v>454336.57530000003</v>
      </c>
      <c r="AG292">
        <v>456201.4057</v>
      </c>
      <c r="AH292">
        <v>458250.34720000002</v>
      </c>
      <c r="AI292">
        <v>459951.19630000001</v>
      </c>
      <c r="AJ292">
        <v>462102.70199999999</v>
      </c>
      <c r="AK292">
        <v>464441.85310000001</v>
      </c>
      <c r="AL292">
        <v>466789.11800000002</v>
      </c>
      <c r="AM292">
        <v>469147.34869999997</v>
      </c>
      <c r="AN292">
        <v>471853.8517</v>
      </c>
      <c r="AO292">
        <v>474533.73830000003</v>
      </c>
      <c r="AP292">
        <v>477400.12390000001</v>
      </c>
      <c r="AQ292">
        <v>480457.39689999999</v>
      </c>
      <c r="AR292">
        <v>482074.72820000001</v>
      </c>
      <c r="AS292">
        <v>484768.09409999999</v>
      </c>
      <c r="AT292">
        <v>487510.72940000001</v>
      </c>
      <c r="AU292">
        <v>490313.55450000003</v>
      </c>
      <c r="AV292">
        <v>493159.65970000002</v>
      </c>
      <c r="AW292">
        <v>496844.35110000003</v>
      </c>
    </row>
    <row r="293" spans="2:49" x14ac:dyDescent="0.25">
      <c r="B293" t="s">
        <v>535</v>
      </c>
      <c r="C293">
        <v>383714635.27038902</v>
      </c>
      <c r="D293">
        <v>389875297.85567099</v>
      </c>
      <c r="E293">
        <v>396134871.89999998</v>
      </c>
      <c r="F293">
        <v>411154037.60000002</v>
      </c>
      <c r="G293">
        <v>421031943.39999998</v>
      </c>
      <c r="H293">
        <v>435441578</v>
      </c>
      <c r="I293">
        <v>447693452.80000001</v>
      </c>
      <c r="J293">
        <v>466465153.30000001</v>
      </c>
      <c r="K293">
        <v>487972906.39999998</v>
      </c>
      <c r="L293">
        <v>512155365.39999998</v>
      </c>
      <c r="M293">
        <v>541225688.60000002</v>
      </c>
      <c r="N293">
        <v>568293540.70000005</v>
      </c>
      <c r="O293">
        <v>572192506.79999995</v>
      </c>
      <c r="P293">
        <v>571166942.39999998</v>
      </c>
      <c r="Q293">
        <v>569825919.89999998</v>
      </c>
      <c r="R293">
        <v>583288601.20000005</v>
      </c>
      <c r="S293">
        <v>589561024.60000002</v>
      </c>
      <c r="T293">
        <v>593512432.10000002</v>
      </c>
      <c r="U293">
        <v>595812933.89999998</v>
      </c>
      <c r="V293">
        <v>595760360.70000005</v>
      </c>
      <c r="W293">
        <v>597468915.29999995</v>
      </c>
      <c r="X293">
        <v>587536617.20000005</v>
      </c>
      <c r="Y293">
        <v>585565898.5</v>
      </c>
      <c r="Z293">
        <v>586870339</v>
      </c>
      <c r="AA293">
        <v>589481277.39999998</v>
      </c>
      <c r="AB293">
        <v>592614344.60000002</v>
      </c>
      <c r="AC293">
        <v>587570684.29999995</v>
      </c>
      <c r="AD293">
        <v>588548844.29999995</v>
      </c>
      <c r="AE293">
        <v>593923338.10000002</v>
      </c>
      <c r="AF293">
        <v>599756537.39999998</v>
      </c>
      <c r="AG293">
        <v>605860197.39999998</v>
      </c>
      <c r="AH293">
        <v>609340916.70000005</v>
      </c>
      <c r="AI293">
        <v>613137046</v>
      </c>
      <c r="AJ293">
        <v>618748976.10000002</v>
      </c>
      <c r="AK293">
        <v>625109464.10000002</v>
      </c>
      <c r="AL293">
        <v>631872618.89999998</v>
      </c>
      <c r="AM293">
        <v>638905928.60000002</v>
      </c>
      <c r="AN293">
        <v>645105038.60000002</v>
      </c>
      <c r="AO293">
        <v>650653168.89999998</v>
      </c>
      <c r="AP293">
        <v>655925216.89999998</v>
      </c>
      <c r="AQ293">
        <v>661052307.10000002</v>
      </c>
      <c r="AR293">
        <v>661087026.5</v>
      </c>
      <c r="AS293">
        <v>663573124.79999995</v>
      </c>
      <c r="AT293">
        <v>666928513.60000002</v>
      </c>
      <c r="AU293">
        <v>670598489.89999998</v>
      </c>
      <c r="AV293">
        <v>674368947.70000005</v>
      </c>
      <c r="AW293">
        <v>678158167.5</v>
      </c>
    </row>
    <row r="294" spans="2:49" x14ac:dyDescent="0.25">
      <c r="B294" t="s">
        <v>536</v>
      </c>
      <c r="C294">
        <v>13020.598862561899</v>
      </c>
      <c r="D294">
        <v>13229.6487889324</v>
      </c>
      <c r="E294">
        <v>13442.05508</v>
      </c>
      <c r="F294">
        <v>13760.43381</v>
      </c>
      <c r="G294">
        <v>14213.245430000001</v>
      </c>
      <c r="H294">
        <v>13758.55294</v>
      </c>
      <c r="I294">
        <v>13318.69766</v>
      </c>
      <c r="J294">
        <v>13698.32935</v>
      </c>
      <c r="K294">
        <v>14000.21652</v>
      </c>
      <c r="L294">
        <v>13923.3501</v>
      </c>
      <c r="M294">
        <v>14158.51404</v>
      </c>
      <c r="N294">
        <v>14629.89589</v>
      </c>
      <c r="O294">
        <v>14961.729530000001</v>
      </c>
      <c r="P294">
        <v>15281.49163</v>
      </c>
      <c r="Q294">
        <v>15679.3986</v>
      </c>
      <c r="R294">
        <v>16070.364</v>
      </c>
      <c r="S294">
        <v>15635.1268</v>
      </c>
      <c r="T294">
        <v>15014.60441</v>
      </c>
      <c r="U294">
        <v>14841.63033</v>
      </c>
      <c r="V294">
        <v>14750.186369999999</v>
      </c>
      <c r="W294">
        <v>15006.318579999999</v>
      </c>
      <c r="X294">
        <v>15194.295469999999</v>
      </c>
      <c r="Y294">
        <v>15370.59556</v>
      </c>
      <c r="Z294">
        <v>15526.46751</v>
      </c>
      <c r="AA294">
        <v>15701.681909999999</v>
      </c>
      <c r="AB294">
        <v>15866.71704</v>
      </c>
      <c r="AC294">
        <v>16048.699049999999</v>
      </c>
      <c r="AD294">
        <v>16249.071309999999</v>
      </c>
      <c r="AE294">
        <v>16424.010750000001</v>
      </c>
      <c r="AF294">
        <v>16607.215059999999</v>
      </c>
      <c r="AG294">
        <v>16808.94067</v>
      </c>
      <c r="AH294">
        <v>17050.253690000001</v>
      </c>
      <c r="AI294">
        <v>17347.992630000001</v>
      </c>
      <c r="AJ294">
        <v>17665.23849</v>
      </c>
      <c r="AK294">
        <v>17974.092130000001</v>
      </c>
      <c r="AL294">
        <v>18291.379519999999</v>
      </c>
      <c r="AM294">
        <v>18626.251420000001</v>
      </c>
      <c r="AN294">
        <v>18980.152399999999</v>
      </c>
      <c r="AO294">
        <v>19363.596979999998</v>
      </c>
      <c r="AP294">
        <v>19786.04423</v>
      </c>
      <c r="AQ294">
        <v>20228.914939999999</v>
      </c>
      <c r="AR294">
        <v>20689.673180000002</v>
      </c>
      <c r="AS294">
        <v>21168.459500000001</v>
      </c>
      <c r="AT294">
        <v>21646.006870000001</v>
      </c>
      <c r="AU294">
        <v>22119.434799999999</v>
      </c>
      <c r="AV294">
        <v>22594.448069999999</v>
      </c>
      <c r="AW294">
        <v>23078.478599999999</v>
      </c>
    </row>
    <row r="295" spans="2:49" x14ac:dyDescent="0.25">
      <c r="B295" t="s">
        <v>537</v>
      </c>
      <c r="C295">
        <v>158336.21117690401</v>
      </c>
      <c r="D295">
        <v>160878.35026264799</v>
      </c>
      <c r="E295">
        <v>163461.30420000001</v>
      </c>
      <c r="F295">
        <v>171747.95360000001</v>
      </c>
      <c r="G295">
        <v>178947.698</v>
      </c>
      <c r="H295">
        <v>186017.7451</v>
      </c>
      <c r="I295">
        <v>192510.78419999999</v>
      </c>
      <c r="J295">
        <v>202009.10279999999</v>
      </c>
      <c r="K295">
        <v>216491.6648</v>
      </c>
      <c r="L295">
        <v>232312.73319999999</v>
      </c>
      <c r="M295">
        <v>249795.6439</v>
      </c>
      <c r="N295">
        <v>273238.36369999999</v>
      </c>
      <c r="O295">
        <v>274843.8947</v>
      </c>
      <c r="P295">
        <v>271541.39559999999</v>
      </c>
      <c r="Q295">
        <v>268879.29229999997</v>
      </c>
      <c r="R295">
        <v>270667.85930000001</v>
      </c>
      <c r="S295">
        <v>276085.37640000001</v>
      </c>
      <c r="T295">
        <v>282680.65769999998</v>
      </c>
      <c r="U295">
        <v>284411.24910000002</v>
      </c>
      <c r="V295">
        <v>280328.00290000002</v>
      </c>
      <c r="W295">
        <v>279902.9473</v>
      </c>
      <c r="X295">
        <v>250147.19870000001</v>
      </c>
      <c r="Y295">
        <v>242355.5129</v>
      </c>
      <c r="Z295">
        <v>240557.11660000001</v>
      </c>
      <c r="AA295">
        <v>240829.56340000001</v>
      </c>
      <c r="AB295">
        <v>241824.959</v>
      </c>
      <c r="AC295">
        <v>222209.94080000001</v>
      </c>
      <c r="AD295">
        <v>218862.92660000001</v>
      </c>
      <c r="AE295">
        <v>221923.38039999999</v>
      </c>
      <c r="AF295">
        <v>225100.9504</v>
      </c>
      <c r="AG295">
        <v>228626.76149999999</v>
      </c>
      <c r="AH295">
        <v>223516.3461</v>
      </c>
      <c r="AI295">
        <v>223457.01430000001</v>
      </c>
      <c r="AJ295">
        <v>225703.4136</v>
      </c>
      <c r="AK295">
        <v>228859.0852</v>
      </c>
      <c r="AL295">
        <v>232285.2047</v>
      </c>
      <c r="AM295">
        <v>235784.35159999999</v>
      </c>
      <c r="AN295">
        <v>241484.90220000001</v>
      </c>
      <c r="AO295">
        <v>246068.6606</v>
      </c>
      <c r="AP295">
        <v>250062.90700000001</v>
      </c>
      <c r="AQ295">
        <v>253692.7548</v>
      </c>
      <c r="AR295">
        <v>245546.36110000001</v>
      </c>
      <c r="AS295">
        <v>247503.51800000001</v>
      </c>
      <c r="AT295">
        <v>250672.9811</v>
      </c>
      <c r="AU295">
        <v>254294.76809999999</v>
      </c>
      <c r="AV295">
        <v>258031.98009999999</v>
      </c>
      <c r="AW295">
        <v>261792.96890000001</v>
      </c>
    </row>
    <row r="296" spans="2:49" x14ac:dyDescent="0.25">
      <c r="B296" t="s">
        <v>538</v>
      </c>
      <c r="C296">
        <v>516755.579312385</v>
      </c>
      <c r="D296">
        <v>525052.257287574</v>
      </c>
      <c r="E296">
        <v>533482.14110000001</v>
      </c>
      <c r="F296">
        <v>545516.61679999996</v>
      </c>
      <c r="G296">
        <v>549529.74089999998</v>
      </c>
      <c r="H296">
        <v>560615.69279999996</v>
      </c>
      <c r="I296">
        <v>568234.68090000004</v>
      </c>
      <c r="J296">
        <v>583477.60580000002</v>
      </c>
      <c r="K296">
        <v>598631.87840000005</v>
      </c>
      <c r="L296">
        <v>616217.54729999998</v>
      </c>
      <c r="M296">
        <v>639245.44169999997</v>
      </c>
      <c r="N296">
        <v>663325.81169999996</v>
      </c>
      <c r="O296">
        <v>666164.87600000005</v>
      </c>
      <c r="P296">
        <v>665176.80240000004</v>
      </c>
      <c r="Q296">
        <v>663233.74970000004</v>
      </c>
      <c r="R296">
        <v>680390.28209999995</v>
      </c>
      <c r="S296">
        <v>683845.25399999996</v>
      </c>
      <c r="T296">
        <v>684853.46719999996</v>
      </c>
      <c r="U296">
        <v>687029.63820000004</v>
      </c>
      <c r="V296">
        <v>690026.70349999995</v>
      </c>
      <c r="W296">
        <v>692931.60950000002</v>
      </c>
      <c r="X296">
        <v>700326.39370000002</v>
      </c>
      <c r="Y296">
        <v>699672.65599999996</v>
      </c>
      <c r="Z296">
        <v>699441.92229999998</v>
      </c>
      <c r="AA296">
        <v>699587.79390000005</v>
      </c>
      <c r="AB296">
        <v>699934.56880000001</v>
      </c>
      <c r="AC296">
        <v>703650.64610000001</v>
      </c>
      <c r="AD296">
        <v>702387.47230000002</v>
      </c>
      <c r="AE296">
        <v>702718.46649999998</v>
      </c>
      <c r="AF296">
        <v>703533.39879999997</v>
      </c>
      <c r="AG296">
        <v>704373.50670000003</v>
      </c>
      <c r="AH296">
        <v>707840.2746</v>
      </c>
      <c r="AI296">
        <v>708053.67070000002</v>
      </c>
      <c r="AJ296">
        <v>709044.11270000006</v>
      </c>
      <c r="AK296">
        <v>710309.68059999996</v>
      </c>
      <c r="AL296">
        <v>711826.8665</v>
      </c>
      <c r="AM296">
        <v>713549.15800000005</v>
      </c>
      <c r="AN296">
        <v>716101.36289999995</v>
      </c>
      <c r="AO296">
        <v>718556.03220000002</v>
      </c>
      <c r="AP296">
        <v>721041.12919999997</v>
      </c>
      <c r="AQ296">
        <v>723570.79040000006</v>
      </c>
      <c r="AR296">
        <v>727912.59019999998</v>
      </c>
      <c r="AS296">
        <v>729871.09649999999</v>
      </c>
      <c r="AT296">
        <v>732116.61</v>
      </c>
      <c r="AU296">
        <v>734455.73930000002</v>
      </c>
      <c r="AV296">
        <v>736846.65899999999</v>
      </c>
      <c r="AW296">
        <v>739245.57299999997</v>
      </c>
    </row>
    <row r="297" spans="2:49" x14ac:dyDescent="0.25">
      <c r="B297" t="s">
        <v>539</v>
      </c>
      <c r="C297">
        <v>82711.5521017555</v>
      </c>
      <c r="D297">
        <v>84039.512824558697</v>
      </c>
      <c r="E297">
        <v>85388.794389999995</v>
      </c>
      <c r="F297">
        <v>90804.869600000005</v>
      </c>
      <c r="G297">
        <v>91585.857579999996</v>
      </c>
      <c r="H297">
        <v>94245.40582</v>
      </c>
      <c r="I297">
        <v>95048.488029999906</v>
      </c>
      <c r="J297">
        <v>101387.2415</v>
      </c>
      <c r="K297">
        <v>105332.4498</v>
      </c>
      <c r="L297">
        <v>111721.1776</v>
      </c>
      <c r="M297">
        <v>121150.9494</v>
      </c>
      <c r="N297">
        <v>126358.667</v>
      </c>
      <c r="O297">
        <v>123530.8823</v>
      </c>
      <c r="P297">
        <v>123414.7629</v>
      </c>
      <c r="Q297">
        <v>127375.389</v>
      </c>
      <c r="R297">
        <v>123012.3423</v>
      </c>
      <c r="S297">
        <v>128892.96219999999</v>
      </c>
      <c r="T297">
        <v>136655.96969999999</v>
      </c>
      <c r="U297">
        <v>140964.5527</v>
      </c>
      <c r="V297">
        <v>149000.22210000001</v>
      </c>
      <c r="W297">
        <v>150693.47529999999</v>
      </c>
      <c r="X297">
        <v>199063.61790000001</v>
      </c>
      <c r="Y297">
        <v>198603.11610000001</v>
      </c>
      <c r="Z297">
        <v>197083.76130000001</v>
      </c>
      <c r="AA297">
        <v>195752.8008</v>
      </c>
      <c r="AB297">
        <v>194570.10800000001</v>
      </c>
      <c r="AC297">
        <v>226177.49429999999</v>
      </c>
      <c r="AD297">
        <v>222980.78390000001</v>
      </c>
      <c r="AE297">
        <v>219798.59030000001</v>
      </c>
      <c r="AF297">
        <v>216742.91380000001</v>
      </c>
      <c r="AG297">
        <v>213914.96900000001</v>
      </c>
      <c r="AH297">
        <v>228016.8064</v>
      </c>
      <c r="AI297">
        <v>225183.1096</v>
      </c>
      <c r="AJ297">
        <v>222834.63039999999</v>
      </c>
      <c r="AK297">
        <v>220737.96679999999</v>
      </c>
      <c r="AL297">
        <v>218777.54519999999</v>
      </c>
      <c r="AM297">
        <v>216941.93539999999</v>
      </c>
      <c r="AN297">
        <v>214986.6876</v>
      </c>
      <c r="AO297">
        <v>213318.42559999999</v>
      </c>
      <c r="AP297">
        <v>212041.91390000001</v>
      </c>
      <c r="AQ297">
        <v>211048.13089999999</v>
      </c>
      <c r="AR297">
        <v>227851.07860000001</v>
      </c>
      <c r="AS297">
        <v>226326.40090000001</v>
      </c>
      <c r="AT297">
        <v>224917.068</v>
      </c>
      <c r="AU297">
        <v>223563.01240000001</v>
      </c>
      <c r="AV297">
        <v>222231.61850000001</v>
      </c>
      <c r="AW297">
        <v>220978.23370000001</v>
      </c>
    </row>
    <row r="298" spans="2:49" x14ac:dyDescent="0.25">
      <c r="B298" t="s">
        <v>540</v>
      </c>
      <c r="C298">
        <v>45689.201708803201</v>
      </c>
      <c r="D298">
        <v>46422.756620829103</v>
      </c>
      <c r="E298">
        <v>47168.088989999997</v>
      </c>
      <c r="F298">
        <v>48083.920080000004</v>
      </c>
      <c r="G298">
        <v>47738.554920000002</v>
      </c>
      <c r="H298">
        <v>48718.158889999999</v>
      </c>
      <c r="I298">
        <v>49195.758399999999</v>
      </c>
      <c r="J298">
        <v>50588.269590000004</v>
      </c>
      <c r="K298">
        <v>51044.30459</v>
      </c>
      <c r="L298">
        <v>51909.69472</v>
      </c>
      <c r="M298">
        <v>53570.308140000001</v>
      </c>
      <c r="N298">
        <v>54377.488920000003</v>
      </c>
      <c r="O298">
        <v>54359.501029999999</v>
      </c>
      <c r="P298">
        <v>54631.03688</v>
      </c>
      <c r="Q298">
        <v>54917.761359999997</v>
      </c>
      <c r="R298">
        <v>62084.629119999998</v>
      </c>
      <c r="S298">
        <v>61998.01367</v>
      </c>
      <c r="T298">
        <v>61574.405780000001</v>
      </c>
      <c r="U298">
        <v>61754.390579999999</v>
      </c>
      <c r="V298">
        <v>61730.690880000002</v>
      </c>
      <c r="W298">
        <v>60457.65279</v>
      </c>
      <c r="X298">
        <v>57847.657449999999</v>
      </c>
      <c r="Y298">
        <v>57861.58481</v>
      </c>
      <c r="Z298">
        <v>58367.253810000002</v>
      </c>
      <c r="AA298">
        <v>58608.479670000001</v>
      </c>
      <c r="AB298">
        <v>58755.4882</v>
      </c>
      <c r="AC298">
        <v>57837.699280000001</v>
      </c>
      <c r="AD298">
        <v>58653.472880000001</v>
      </c>
      <c r="AE298">
        <v>58774.280189999998</v>
      </c>
      <c r="AF298">
        <v>58911.263910000001</v>
      </c>
      <c r="AG298">
        <v>58976.535490000002</v>
      </c>
      <c r="AH298">
        <v>58222.602229999997</v>
      </c>
      <c r="AI298">
        <v>58758.022420000001</v>
      </c>
      <c r="AJ298">
        <v>59026.739399999999</v>
      </c>
      <c r="AK298">
        <v>59171.575510000002</v>
      </c>
      <c r="AL298">
        <v>59289.758739999997</v>
      </c>
      <c r="AM298">
        <v>59403.92095</v>
      </c>
      <c r="AN298">
        <v>59324.483690000001</v>
      </c>
      <c r="AO298">
        <v>59356.189680000003</v>
      </c>
      <c r="AP298">
        <v>59438.58599</v>
      </c>
      <c r="AQ298">
        <v>59550.228719999999</v>
      </c>
      <c r="AR298">
        <v>59078.273240000002</v>
      </c>
      <c r="AS298">
        <v>59438.228170000002</v>
      </c>
      <c r="AT298">
        <v>59652.820720000003</v>
      </c>
      <c r="AU298">
        <v>59804.95523</v>
      </c>
      <c r="AV298">
        <v>59937.031170000002</v>
      </c>
      <c r="AW298">
        <v>60054.674039999998</v>
      </c>
    </row>
    <row r="299" spans="2:49" x14ac:dyDescent="0.25">
      <c r="B299" t="s">
        <v>541</v>
      </c>
      <c r="C299">
        <v>562444.78102118801</v>
      </c>
      <c r="D299">
        <v>571475.01390840299</v>
      </c>
      <c r="E299">
        <v>580650.23010000004</v>
      </c>
      <c r="F299">
        <v>593600.3273</v>
      </c>
      <c r="G299">
        <v>597263.40540000005</v>
      </c>
      <c r="H299">
        <v>609328.85979999998</v>
      </c>
      <c r="I299">
        <v>617425.06319999998</v>
      </c>
      <c r="J299">
        <v>634060.30619999999</v>
      </c>
      <c r="K299">
        <v>649663.88300000003</v>
      </c>
      <c r="L299">
        <v>668111.03960000002</v>
      </c>
      <c r="M299">
        <v>692798.27870000002</v>
      </c>
      <c r="N299">
        <v>717672.86239999998</v>
      </c>
      <c r="O299">
        <v>720493.28570000001</v>
      </c>
      <c r="P299">
        <v>719775.72710000002</v>
      </c>
      <c r="Q299">
        <v>718117.79189999995</v>
      </c>
      <c r="R299">
        <v>742185.90260000003</v>
      </c>
      <c r="S299">
        <v>745551.75760000001</v>
      </c>
      <c r="T299">
        <v>747627.92799999996</v>
      </c>
      <c r="U299">
        <v>749987.87</v>
      </c>
      <c r="V299">
        <v>752965.37760000001</v>
      </c>
      <c r="W299">
        <v>754582.16249999998</v>
      </c>
      <c r="X299">
        <v>759291.81770000001</v>
      </c>
      <c r="Y299">
        <v>758651.02720000001</v>
      </c>
      <c r="Z299">
        <v>758924.17890000006</v>
      </c>
      <c r="AA299">
        <v>759311.43160000001</v>
      </c>
      <c r="AB299">
        <v>759805.83169999998</v>
      </c>
      <c r="AC299">
        <v>762596.24820000003</v>
      </c>
      <c r="AD299">
        <v>762141.48820000002</v>
      </c>
      <c r="AE299">
        <v>762593.87470000004</v>
      </c>
      <c r="AF299">
        <v>763547.13009999995</v>
      </c>
      <c r="AG299">
        <v>764453.81850000005</v>
      </c>
      <c r="AH299">
        <v>767161.97820000001</v>
      </c>
      <c r="AI299">
        <v>767909.75040000002</v>
      </c>
      <c r="AJ299">
        <v>769170.43969999999</v>
      </c>
      <c r="AK299">
        <v>770582.85060000001</v>
      </c>
      <c r="AL299">
        <v>772220.56050000002</v>
      </c>
      <c r="AM299">
        <v>774059.63659999997</v>
      </c>
      <c r="AN299">
        <v>776535.28150000004</v>
      </c>
      <c r="AO299">
        <v>779024.98479999998</v>
      </c>
      <c r="AP299">
        <v>781596.03339999996</v>
      </c>
      <c r="AQ299">
        <v>784241.04229999997</v>
      </c>
      <c r="AR299">
        <v>788111.06270000001</v>
      </c>
      <c r="AS299">
        <v>790432.50879999995</v>
      </c>
      <c r="AT299">
        <v>792896.10770000005</v>
      </c>
      <c r="AU299">
        <v>795390.90520000004</v>
      </c>
      <c r="AV299">
        <v>797917.4608</v>
      </c>
      <c r="AW299">
        <v>800437.55220000003</v>
      </c>
    </row>
    <row r="300" spans="2:49" x14ac:dyDescent="0.25">
      <c r="B300" t="s">
        <v>542</v>
      </c>
      <c r="C300">
        <v>241047.76327865999</v>
      </c>
      <c r="D300">
        <v>244917.86308720699</v>
      </c>
      <c r="E300">
        <v>248850.0986</v>
      </c>
      <c r="F300">
        <v>262548.52409999998</v>
      </c>
      <c r="G300">
        <v>270496.90999999997</v>
      </c>
      <c r="H300">
        <v>280221.97560000001</v>
      </c>
      <c r="I300">
        <v>287495.68729999999</v>
      </c>
      <c r="J300">
        <v>303320.21500000003</v>
      </c>
      <c r="K300">
        <v>321708.94</v>
      </c>
      <c r="L300">
        <v>343905.65840000001</v>
      </c>
      <c r="M300">
        <v>370805.38679999998</v>
      </c>
      <c r="N300">
        <v>399345.90029999998</v>
      </c>
      <c r="O300">
        <v>398089.59789999999</v>
      </c>
      <c r="P300">
        <v>394668.17239999998</v>
      </c>
      <c r="Q300">
        <v>395892.33840000001</v>
      </c>
      <c r="R300">
        <v>393246.76870000002</v>
      </c>
      <c r="S300">
        <v>404500.96669999999</v>
      </c>
      <c r="T300">
        <v>418786.83</v>
      </c>
      <c r="U300">
        <v>424788.98320000002</v>
      </c>
      <c r="V300">
        <v>428502.1508</v>
      </c>
      <c r="W300">
        <v>429759.89809999999</v>
      </c>
      <c r="X300">
        <v>440358.41149999999</v>
      </c>
      <c r="Y300">
        <v>432222.92489999998</v>
      </c>
      <c r="Z300">
        <v>428970.89799999999</v>
      </c>
      <c r="AA300">
        <v>427930.0428</v>
      </c>
      <c r="AB300">
        <v>427740.97240000003</v>
      </c>
      <c r="AC300">
        <v>436485.82010000001</v>
      </c>
      <c r="AD300">
        <v>430115.73869999999</v>
      </c>
      <c r="AE300">
        <v>429954.3063</v>
      </c>
      <c r="AF300">
        <v>430030.15749999997</v>
      </c>
      <c r="AG300">
        <v>430665.12270000001</v>
      </c>
      <c r="AH300">
        <v>439005.147</v>
      </c>
      <c r="AI300">
        <v>436184.21870000003</v>
      </c>
      <c r="AJ300">
        <v>436062.09519999998</v>
      </c>
      <c r="AK300">
        <v>437061.89250000002</v>
      </c>
      <c r="AL300">
        <v>438455.74589999998</v>
      </c>
      <c r="AM300">
        <v>440042.761</v>
      </c>
      <c r="AN300">
        <v>443623.08649999998</v>
      </c>
      <c r="AO300">
        <v>446417.20699999999</v>
      </c>
      <c r="AP300">
        <v>449030.94160000002</v>
      </c>
      <c r="AQ300">
        <v>451571.96490000002</v>
      </c>
      <c r="AR300">
        <v>459301.37390000001</v>
      </c>
      <c r="AS300">
        <v>459708.65659999999</v>
      </c>
      <c r="AT300">
        <v>461395.6213</v>
      </c>
      <c r="AU300">
        <v>463571.67369999998</v>
      </c>
      <c r="AV300">
        <v>465881.05660000001</v>
      </c>
      <c r="AW300">
        <v>468289.99690000003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0070C0"/>
  </sheetPr>
  <dimension ref="A1:BV376"/>
  <sheetViews>
    <sheetView topLeftCell="A34" zoomScale="80" zoomScaleNormal="80" workbookViewId="0">
      <selection activeCell="E34" sqref="E34"/>
    </sheetView>
  </sheetViews>
  <sheetFormatPr baseColWidth="10" defaultRowHeight="15" x14ac:dyDescent="0.25"/>
  <cols>
    <col min="1" max="2" width="29.85546875" customWidth="1"/>
    <col min="6" max="7" width="11.42578125" customWidth="1"/>
    <col min="9" max="9" width="13.140625" customWidth="1"/>
    <col min="10" max="12" width="11.42578125" style="3"/>
    <col min="13" max="13" width="11.42578125" style="3" customWidth="1"/>
    <col min="14" max="15" width="11.42578125" style="3"/>
    <col min="16" max="16" width="13.42578125" style="3" customWidth="1"/>
    <col min="17" max="19" width="11.42578125" style="3"/>
    <col min="20" max="20" width="11.42578125" style="3" customWidth="1"/>
    <col min="21" max="74" width="11.42578125" style="3"/>
  </cols>
  <sheetData>
    <row r="1" spans="1:28" ht="23.25" x14ac:dyDescent="0.35">
      <c r="A1" s="1" t="s">
        <v>86</v>
      </c>
      <c r="B1" s="46"/>
      <c r="C1" s="3"/>
      <c r="D1" s="3"/>
      <c r="E1" s="3"/>
      <c r="F1" s="3"/>
      <c r="G1" s="3"/>
      <c r="H1" s="3"/>
      <c r="I1" s="3"/>
    </row>
    <row r="2" spans="1:28" ht="18.75" x14ac:dyDescent="0.3">
      <c r="A2" s="41"/>
      <c r="B2" s="41"/>
      <c r="C2" s="3"/>
      <c r="D2" s="3"/>
      <c r="E2" s="3"/>
      <c r="F2" s="3"/>
      <c r="G2" s="3"/>
      <c r="H2" s="3"/>
      <c r="I2" s="3"/>
      <c r="R2" s="41"/>
      <c r="V2" s="45"/>
      <c r="W2" s="45"/>
    </row>
    <row r="3" spans="1:28" ht="23.25" x14ac:dyDescent="0.35">
      <c r="A3" s="161" t="str">
        <f>Résultats!B1</f>
        <v>SNBC3</v>
      </c>
      <c r="B3" s="161"/>
      <c r="C3" s="3"/>
      <c r="D3" s="3"/>
      <c r="E3" s="3"/>
      <c r="F3" s="3"/>
      <c r="G3" s="3"/>
      <c r="H3" s="3"/>
      <c r="I3" s="3"/>
      <c r="R3" s="41"/>
      <c r="V3" s="45"/>
      <c r="W3" s="45"/>
    </row>
    <row r="4" spans="1:28" x14ac:dyDescent="0.25">
      <c r="A4" s="3"/>
      <c r="B4" s="3"/>
      <c r="C4" s="43"/>
      <c r="D4" s="43"/>
      <c r="E4" s="43"/>
      <c r="F4" s="43"/>
      <c r="G4" s="44"/>
      <c r="H4" s="3"/>
      <c r="I4" s="3"/>
      <c r="J4" s="44"/>
      <c r="K4" s="44"/>
      <c r="L4" s="44"/>
      <c r="M4" s="44"/>
      <c r="O4" s="42"/>
      <c r="Q4" s="44"/>
      <c r="R4" s="44"/>
      <c r="S4" s="44"/>
      <c r="T4" s="44"/>
      <c r="X4" s="44"/>
      <c r="Y4" s="44"/>
      <c r="Z4" s="44"/>
      <c r="AA4" s="44"/>
    </row>
    <row r="5" spans="1:28" ht="21" x14ac:dyDescent="0.35">
      <c r="A5" s="145">
        <v>2015</v>
      </c>
      <c r="B5" s="186"/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93" t="s">
        <v>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1:28" x14ac:dyDescent="0.25">
      <c r="A6" s="162" t="s">
        <v>18</v>
      </c>
      <c r="B6" s="187"/>
      <c r="C6" s="36">
        <f>C7+C8</f>
        <v>0</v>
      </c>
      <c r="D6" s="36">
        <f>D7+D8</f>
        <v>108.19524580687118</v>
      </c>
      <c r="E6" s="36">
        <f>E7+E8</f>
        <v>0.70518412048788881</v>
      </c>
      <c r="F6" s="36">
        <f>F7+F8</f>
        <v>0.3593670333883055</v>
      </c>
      <c r="G6" s="36">
        <f>G7+G8</f>
        <v>0</v>
      </c>
      <c r="H6" s="163">
        <f t="shared" ref="H6:H15" si="0">SUM(C6:G6)</f>
        <v>109.25979696074738</v>
      </c>
      <c r="I6" s="166"/>
      <c r="J6" s="166"/>
      <c r="K6" s="166" t="s">
        <v>89</v>
      </c>
      <c r="L6" s="166"/>
      <c r="M6" s="166"/>
      <c r="N6" s="38"/>
      <c r="O6" s="206"/>
      <c r="P6" s="206"/>
      <c r="Q6" s="206"/>
      <c r="R6" s="206"/>
      <c r="S6" s="206"/>
      <c r="T6" s="207"/>
      <c r="U6" s="38"/>
      <c r="V6" s="45"/>
      <c r="W6" s="82"/>
      <c r="X6" s="208"/>
      <c r="Y6" s="208"/>
      <c r="Z6" s="208"/>
      <c r="AA6" s="208"/>
      <c r="AB6" s="208"/>
    </row>
    <row r="7" spans="1:28" x14ac:dyDescent="0.25">
      <c r="A7" s="148" t="s">
        <v>19</v>
      </c>
      <c r="B7" s="35"/>
      <c r="C7" s="16">
        <v>0</v>
      </c>
      <c r="D7" s="16">
        <f>'T energie usages'!I12*3.2*Résultats!L283</f>
        <v>62.135912317271192</v>
      </c>
      <c r="E7" s="16">
        <f>'T energie usages'!J12/'T energie usages'!J$20*(Résultats!N$192+Résultats!N$193+Résultats!N$194)/1000000</f>
        <v>1.3021979964731456E-2</v>
      </c>
      <c r="F7" s="16">
        <f>'T energie usages'!K12*2.394*Résultats!L284</f>
        <v>1.6344818305499521E-5</v>
      </c>
      <c r="G7" s="16">
        <v>0</v>
      </c>
      <c r="H7" s="95">
        <f t="shared" si="0"/>
        <v>62.148950642054231</v>
      </c>
      <c r="I7" s="166"/>
      <c r="J7" s="166"/>
      <c r="K7" s="194"/>
      <c r="L7" s="195">
        <v>2020</v>
      </c>
      <c r="M7" s="195">
        <v>2030</v>
      </c>
      <c r="N7" s="196">
        <v>2050</v>
      </c>
      <c r="O7" s="206"/>
      <c r="P7" s="206"/>
      <c r="Q7" s="206"/>
      <c r="R7" s="206"/>
      <c r="S7" s="206"/>
      <c r="T7" s="207"/>
      <c r="U7" s="38"/>
      <c r="V7" s="45"/>
      <c r="W7" s="30"/>
      <c r="X7" s="208"/>
      <c r="Y7" s="208"/>
      <c r="Z7" s="208"/>
      <c r="AA7" s="208"/>
      <c r="AB7" s="208"/>
    </row>
    <row r="8" spans="1:28" x14ac:dyDescent="0.25">
      <c r="A8" s="149" t="s">
        <v>20</v>
      </c>
      <c r="B8" s="35"/>
      <c r="C8" s="16">
        <v>0</v>
      </c>
      <c r="D8" s="16">
        <f>(Résultats!N$183+Résultats!N$184+Résultats!N$185+Résultats!N$186+Résultats!N$187)/1000000</f>
        <v>46.0593334896</v>
      </c>
      <c r="E8" s="16">
        <f>'T energie usages'!J13/'T energie usages'!J$20*(Résultats!N$192+Résultats!N$193+Résultats!N$194)/1000000</f>
        <v>0.69216214052315739</v>
      </c>
      <c r="F8" s="16">
        <f>(Résultats!N$209+Résultats!N$210+Résultats!N$211+Résultats!N$212+Résultats!N$213)/1000000</f>
        <v>0.35935068857000002</v>
      </c>
      <c r="G8" s="16">
        <v>0</v>
      </c>
      <c r="H8" s="95">
        <f t="shared" si="0"/>
        <v>47.110846318693156</v>
      </c>
      <c r="I8" s="166"/>
      <c r="J8" s="166"/>
      <c r="K8" s="197" t="s">
        <v>18</v>
      </c>
      <c r="L8" s="45">
        <f>H19</f>
        <v>104.40247159763975</v>
      </c>
      <c r="M8" s="45">
        <f>H45</f>
        <v>85.850497411140097</v>
      </c>
      <c r="N8" s="86">
        <f>H71</f>
        <v>24.84619772860939</v>
      </c>
      <c r="O8" s="206"/>
      <c r="P8" s="206"/>
      <c r="Q8" s="206"/>
      <c r="R8" s="206"/>
      <c r="S8" s="206"/>
      <c r="T8" s="207"/>
      <c r="U8" s="38"/>
      <c r="V8" s="45"/>
      <c r="W8" s="30"/>
      <c r="X8" s="208"/>
      <c r="Y8" s="208"/>
      <c r="Z8" s="208"/>
      <c r="AA8" s="208"/>
      <c r="AB8" s="208"/>
    </row>
    <row r="9" spans="1:28" x14ac:dyDescent="0.25">
      <c r="A9" s="162" t="s">
        <v>21</v>
      </c>
      <c r="B9" s="187"/>
      <c r="C9" s="36">
        <f>Résultats!N$135/1000000</f>
        <v>1.0157702239999999</v>
      </c>
      <c r="D9" s="36">
        <f>'T energie usages'!I14*3.2*Résultats!L283</f>
        <v>18.614447353692654</v>
      </c>
      <c r="E9" s="36">
        <f>'T energie usages'!J14/'T energie usages'!J$20*(Résultats!N$192+Résultats!N$193+Résultats!N$194)/1000000</f>
        <v>7.5028673661541569</v>
      </c>
      <c r="F9" s="36">
        <f>('T energie usages'!K14-8)*2.394*Résultats!L284</f>
        <v>17.888419655400774</v>
      </c>
      <c r="G9" s="36">
        <v>0</v>
      </c>
      <c r="H9" s="163">
        <f t="shared" si="0"/>
        <v>45.021504599247585</v>
      </c>
      <c r="I9" s="166"/>
      <c r="J9" s="166"/>
      <c r="K9" s="197" t="s">
        <v>87</v>
      </c>
      <c r="L9" s="45">
        <f>H22</f>
        <v>40.828363913178052</v>
      </c>
      <c r="M9" s="45">
        <f>H48</f>
        <v>26.176239351619671</v>
      </c>
      <c r="N9" s="86">
        <f>H74</f>
        <v>9.9753484817604452</v>
      </c>
      <c r="O9" s="206"/>
      <c r="P9" s="206"/>
      <c r="Q9" s="206"/>
      <c r="R9" s="206"/>
      <c r="S9" s="206"/>
      <c r="T9" s="207"/>
      <c r="U9" s="38"/>
      <c r="V9" s="45"/>
      <c r="W9" s="82"/>
      <c r="X9" s="208"/>
      <c r="Y9" s="208"/>
      <c r="Z9" s="208"/>
      <c r="AA9" s="208"/>
      <c r="AB9" s="208"/>
    </row>
    <row r="10" spans="1:28" x14ac:dyDescent="0.25">
      <c r="A10" s="162" t="s">
        <v>22</v>
      </c>
      <c r="B10" s="187"/>
      <c r="C10" s="36">
        <f>(Résultats!N$168+Résultats!N$169)/1000000</f>
        <v>0</v>
      </c>
      <c r="D10" s="36">
        <f>(Résultats!N$188+Résultats!N$189)/1000000</f>
        <v>9.1827005101000001</v>
      </c>
      <c r="E10" s="36">
        <f>'T energie usages'!J15/'T energie usages'!J$20*(Résultats!N$192+Résultats!N$193+Résultats!N$194)/1000000</f>
        <v>6.316939425971869</v>
      </c>
      <c r="F10" s="36">
        <f>(Résultats!N$214+Résultats!N$215)/1000000</f>
        <v>13.161849162000001</v>
      </c>
      <c r="G10" s="36">
        <v>0</v>
      </c>
      <c r="H10" s="163">
        <f t="shared" si="0"/>
        <v>28.661489098071868</v>
      </c>
      <c r="I10" s="166"/>
      <c r="J10" s="166"/>
      <c r="K10" s="157" t="s">
        <v>22</v>
      </c>
      <c r="L10" s="45">
        <f>H23</f>
        <v>23.693229718633766</v>
      </c>
      <c r="M10" s="45">
        <f>H49</f>
        <v>14.174367275719041</v>
      </c>
      <c r="N10" s="86">
        <f>H75</f>
        <v>3.8758517627965166</v>
      </c>
      <c r="O10" s="206"/>
      <c r="P10" s="206"/>
      <c r="Q10" s="206"/>
      <c r="R10" s="206"/>
      <c r="S10" s="206"/>
      <c r="T10" s="207"/>
      <c r="U10" s="38"/>
      <c r="V10" s="45"/>
      <c r="W10" s="82"/>
      <c r="X10" s="208"/>
      <c r="Y10" s="208"/>
      <c r="Z10" s="208"/>
      <c r="AA10" s="208"/>
      <c r="AB10" s="208"/>
    </row>
    <row r="11" spans="1:28" x14ac:dyDescent="0.25">
      <c r="A11" s="162" t="s">
        <v>23</v>
      </c>
      <c r="B11" s="187"/>
      <c r="C11" s="36">
        <f>C12+C13</f>
        <v>20.009479173799999</v>
      </c>
      <c r="D11" s="36">
        <f>D12+D13</f>
        <v>55.013448860984596</v>
      </c>
      <c r="E11" s="36">
        <f>E12+E13</f>
        <v>6.1565430563860817</v>
      </c>
      <c r="F11" s="36">
        <f>F12+F13</f>
        <v>21.929157939321527</v>
      </c>
      <c r="G11" s="36">
        <f>G12+G13</f>
        <v>12.05881789</v>
      </c>
      <c r="H11" s="163">
        <f t="shared" si="0"/>
        <v>115.16744692049221</v>
      </c>
      <c r="I11" s="166"/>
      <c r="J11" s="166"/>
      <c r="K11" s="198" t="s">
        <v>88</v>
      </c>
      <c r="L11" s="199">
        <f>H24</f>
        <v>88.226316329876568</v>
      </c>
      <c r="M11" s="199">
        <f>H50</f>
        <v>69.446434841068182</v>
      </c>
      <c r="N11" s="89">
        <f>H76</f>
        <v>43.267911327833005</v>
      </c>
      <c r="O11" s="206"/>
      <c r="P11" s="206"/>
      <c r="Q11" s="206"/>
      <c r="R11" s="206"/>
      <c r="S11" s="206"/>
      <c r="T11" s="207"/>
      <c r="U11" s="38"/>
      <c r="V11" s="45"/>
      <c r="W11" s="82"/>
      <c r="X11" s="208"/>
      <c r="Y11" s="208"/>
      <c r="Z11" s="208"/>
      <c r="AA11" s="208"/>
      <c r="AB11" s="208"/>
    </row>
    <row r="12" spans="1:28" x14ac:dyDescent="0.25">
      <c r="A12" s="149" t="s">
        <v>24</v>
      </c>
      <c r="B12" s="35"/>
      <c r="C12" s="16">
        <f>(Résultats!N$162+Résultats!N$163+Résultats!N$164+Résultats!N$165+Résultats!N$166+Résultats!N$167)/1000000</f>
        <v>20.009479173799999</v>
      </c>
      <c r="D12" s="16">
        <f>(Résultats!N$171+Résultats!N$173+Résultats!N$174+Résultats!N$175+Résultats!N$176+Résultats!N$177+Résultats!N$178+Résultats!N$179+Résultats!N$180+Résultats!N$181+Résultats!N$182)/1000000</f>
        <v>48.999590249984593</v>
      </c>
      <c r="E12" s="16">
        <f>'T energie usages'!J17/'T energie usages'!J$20*(Résultats!N$192+Résultats!N$193+Résultats!N$194)/1000000</f>
        <v>5.9821941835715444</v>
      </c>
      <c r="F12" s="16">
        <f>(Résultats!N$197+Résultats!N$198+Résultats!N$199+Résultats!N$200+Résultats!N$201+Résultats!N$202+Résultats!N$203+Résultats!N$204+Résultats!N$205+Résultats!N$206+Résultats!N$207+Résultats!N$208+Résultats!N$216+Résultats!N$218)/1000000</f>
        <v>21.361121001521528</v>
      </c>
      <c r="G12" s="16">
        <f>Résultats!N$133/1000000</f>
        <v>12.05881789</v>
      </c>
      <c r="H12" s="95">
        <f t="shared" si="0"/>
        <v>108.41120249887767</v>
      </c>
      <c r="I12" s="166"/>
      <c r="J12" s="166"/>
      <c r="K12" s="200" t="s">
        <v>1</v>
      </c>
      <c r="L12" s="188">
        <f>SUM(L8:L11)</f>
        <v>257.15038155932814</v>
      </c>
      <c r="M12" s="188">
        <f t="shared" ref="M12:N12" si="1">SUM(M8:M11)</f>
        <v>195.64753887954697</v>
      </c>
      <c r="N12" s="188">
        <f t="shared" si="1"/>
        <v>81.965309300999351</v>
      </c>
      <c r="O12" s="206"/>
      <c r="P12" s="206"/>
      <c r="Q12" s="206"/>
      <c r="R12" s="206"/>
      <c r="S12" s="206"/>
      <c r="T12" s="207"/>
      <c r="U12" s="38"/>
      <c r="V12" s="45"/>
      <c r="W12" s="30"/>
      <c r="X12" s="208"/>
      <c r="Y12" s="208"/>
      <c r="Z12" s="208"/>
      <c r="AA12" s="208"/>
      <c r="AB12" s="208"/>
    </row>
    <row r="13" spans="1:28" x14ac:dyDescent="0.25">
      <c r="A13" s="149" t="s">
        <v>25</v>
      </c>
      <c r="B13" s="35"/>
      <c r="C13" s="16">
        <v>0</v>
      </c>
      <c r="D13" s="16">
        <f>(Résultats!N$172)/1000000</f>
        <v>6.0138586109999999</v>
      </c>
      <c r="E13" s="16">
        <f>'T energie usages'!J19/'T energie usages'!J$20*(Résultats!N$192+Résultats!N$193+Résultats!N$194)/1000000</f>
        <v>0.17434887281453698</v>
      </c>
      <c r="F13" s="16">
        <f>(Résultats!N$196)/1000000</f>
        <v>0.56803693779999997</v>
      </c>
      <c r="G13" s="16">
        <v>0</v>
      </c>
      <c r="H13" s="95">
        <f t="shared" si="0"/>
        <v>6.7562444216145368</v>
      </c>
      <c r="I13" s="166"/>
      <c r="J13" s="166"/>
      <c r="K13" s="166"/>
      <c r="L13" s="166"/>
      <c r="M13" s="166"/>
      <c r="N13" s="38"/>
      <c r="O13" s="206"/>
      <c r="P13" s="206"/>
      <c r="Q13" s="206"/>
      <c r="R13" s="206"/>
      <c r="S13" s="206"/>
      <c r="T13" s="207"/>
      <c r="U13" s="38"/>
      <c r="V13" s="45"/>
      <c r="W13" s="30"/>
      <c r="X13" s="208"/>
      <c r="Y13" s="208"/>
      <c r="Z13" s="208"/>
      <c r="AA13" s="208"/>
      <c r="AB13" s="208"/>
    </row>
    <row r="14" spans="1:28" x14ac:dyDescent="0.25">
      <c r="A14" s="48" t="s">
        <v>41</v>
      </c>
      <c r="B14" s="37"/>
      <c r="C14" s="37">
        <f>SUM(C9:C11)+C6</f>
        <v>21.0252493978</v>
      </c>
      <c r="D14" s="37">
        <f>SUM(D9:D11)+D6</f>
        <v>191.00584253164843</v>
      </c>
      <c r="E14" s="37">
        <f>SUM(E9:E11)+E6</f>
        <v>20.681533968999997</v>
      </c>
      <c r="F14" s="37">
        <f>SUM(F9:F11)+F6</f>
        <v>53.338793790110607</v>
      </c>
      <c r="G14" s="37">
        <f>SUM(G9:G11)+G6</f>
        <v>12.05881789</v>
      </c>
      <c r="H14" s="167">
        <f t="shared" si="0"/>
        <v>298.11023757855901</v>
      </c>
      <c r="I14" s="166"/>
      <c r="J14" s="166"/>
      <c r="K14" s="166"/>
      <c r="L14" s="166"/>
      <c r="M14" s="166"/>
      <c r="N14" s="38"/>
      <c r="O14" s="206"/>
      <c r="P14" s="206"/>
      <c r="Q14" s="206"/>
      <c r="R14" s="206"/>
      <c r="S14" s="206"/>
      <c r="T14" s="207"/>
      <c r="U14" s="38"/>
      <c r="V14" s="45"/>
      <c r="W14" s="80"/>
      <c r="X14" s="208"/>
      <c r="Y14" s="208"/>
      <c r="Z14" s="208"/>
      <c r="AA14" s="208"/>
      <c r="AB14" s="208"/>
    </row>
    <row r="15" spans="1:28" x14ac:dyDescent="0.25">
      <c r="A15" s="164" t="s">
        <v>43</v>
      </c>
      <c r="B15" s="164"/>
      <c r="C15" s="165">
        <f>(Résultats!N$135+Résultats!N$162+Résultats!N$163+Résultats!N$164+Résultats!N$165+Résultats!N$166+Résultats!N$167+Résultats!N$168+Résultats!N$169)/1000000</f>
        <v>21.0252493978</v>
      </c>
      <c r="D15" s="165">
        <f>(Résultats!N$137+Résultats!N$171+Résultats!N$172+Résultats!N$173+Résultats!N$174+Résultats!N$175+Résultats!N$176+Résultats!N$177+Résultats!N$178+Résultats!N$179+Résultats!N$180+Résultats!N$181+Résultats!N$182+Résultats!N$183+Résultats!N$184+Résultats!N$185+Résultats!N$186+Résultats!N$187+Résultats!N$188+Résultats!N$189)/1000000</f>
        <v>206.40452784068458</v>
      </c>
      <c r="E15" s="165">
        <f>(Résultats!N$192+Résultats!N$193+Résultats!N$194)/1000000</f>
        <v>20.681533968999997</v>
      </c>
      <c r="F15" s="165">
        <f>(Résultats!N$139+Résultats!N$196+Résultats!N$197+Résultats!N$198+Résultats!N$199+Résultats!N$200+Résultats!N$201+Résultats!N$202+Résultats!N$203+Résultats!N$204+Résultats!N$205+Résultats!N$206+Résultats!N$207+Résultats!N$208+Résultats!N$209+Résultats!N$210+Résultats!N$211+Résultats!N$212+Résultats!N$213+Résultats!N$214+Résultats!N$215+Résultats!N$216+Résultats!N$218)/1000000</f>
        <v>65.18102249989154</v>
      </c>
      <c r="G15" s="165">
        <f>Résultats!N$133/1000000</f>
        <v>12.05881789</v>
      </c>
      <c r="H15" s="188">
        <f t="shared" si="0"/>
        <v>325.35115159737609</v>
      </c>
      <c r="I15" s="166"/>
      <c r="J15" s="166"/>
      <c r="K15" s="166"/>
      <c r="L15" s="166"/>
      <c r="M15" s="207"/>
      <c r="N15" s="45"/>
      <c r="O15" s="166"/>
      <c r="P15" s="166"/>
      <c r="Q15" s="166"/>
      <c r="R15" s="166"/>
      <c r="S15" s="207"/>
      <c r="T15" s="207"/>
      <c r="U15" s="45"/>
      <c r="V15" s="45"/>
      <c r="W15" s="79"/>
      <c r="X15" s="208"/>
      <c r="Y15" s="208"/>
      <c r="Z15" s="208"/>
      <c r="AA15" s="208"/>
      <c r="AB15" s="208"/>
    </row>
    <row r="16" spans="1:28" x14ac:dyDescent="0.25">
      <c r="A16" s="164"/>
      <c r="B16" s="164"/>
      <c r="C16" s="189"/>
      <c r="D16" s="189"/>
      <c r="E16" s="189"/>
      <c r="F16" s="189"/>
      <c r="G16" s="189"/>
      <c r="H16" s="165">
        <f>Résultats!N227/1000000</f>
        <v>325.35115089999999</v>
      </c>
      <c r="I16" s="166"/>
      <c r="J16" s="166"/>
      <c r="K16" s="166"/>
      <c r="L16" s="166"/>
      <c r="M16" s="207"/>
      <c r="N16" s="209"/>
      <c r="O16" s="166"/>
      <c r="P16" s="166"/>
      <c r="Q16" s="166"/>
      <c r="R16" s="166"/>
      <c r="S16" s="207"/>
      <c r="T16" s="207"/>
      <c r="U16" s="209"/>
      <c r="V16" s="209"/>
      <c r="W16" s="210"/>
      <c r="X16" s="208"/>
      <c r="Y16" s="208"/>
      <c r="Z16" s="208"/>
      <c r="AA16" s="208"/>
      <c r="AB16" s="208"/>
    </row>
    <row r="17" spans="1:28" x14ac:dyDescent="0.25">
      <c r="A17" s="3"/>
      <c r="B17" s="3"/>
      <c r="C17" s="75"/>
      <c r="D17" s="75"/>
      <c r="E17" s="75"/>
      <c r="F17" s="75"/>
      <c r="G17" s="75"/>
      <c r="H17" s="45"/>
      <c r="I17" s="166"/>
      <c r="J17" s="166"/>
      <c r="K17" s="166"/>
      <c r="L17" s="166"/>
      <c r="M17" s="207"/>
      <c r="O17" s="166"/>
      <c r="P17" s="166"/>
      <c r="Q17" s="166"/>
      <c r="R17" s="166"/>
      <c r="S17" s="207"/>
      <c r="T17" s="207"/>
      <c r="X17" s="208"/>
      <c r="Y17" s="208"/>
      <c r="Z17" s="208"/>
      <c r="AA17" s="208"/>
      <c r="AB17" s="208"/>
    </row>
    <row r="18" spans="1:28" ht="21" x14ac:dyDescent="0.35">
      <c r="A18" s="145">
        <v>2020</v>
      </c>
      <c r="B18" s="186"/>
      <c r="C18" s="27" t="s">
        <v>36</v>
      </c>
      <c r="D18" s="27" t="s">
        <v>37</v>
      </c>
      <c r="E18" s="27" t="s">
        <v>38</v>
      </c>
      <c r="F18" s="27" t="s">
        <v>39</v>
      </c>
      <c r="G18" s="27" t="s">
        <v>40</v>
      </c>
      <c r="H18" s="190" t="s">
        <v>1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W18" s="19"/>
      <c r="X18" s="19"/>
      <c r="Y18" s="19"/>
      <c r="Z18" s="19"/>
      <c r="AA18" s="19"/>
      <c r="AB18" s="208"/>
    </row>
    <row r="19" spans="1:28" x14ac:dyDescent="0.25">
      <c r="A19" s="162" t="s">
        <v>18</v>
      </c>
      <c r="B19" s="187"/>
      <c r="C19" s="36">
        <f>C20+C21</f>
        <v>0</v>
      </c>
      <c r="D19" s="36">
        <f>D20+D21</f>
        <v>103.185352691913</v>
      </c>
      <c r="E19" s="36">
        <f>E20+E21</f>
        <v>0.82436914660740668</v>
      </c>
      <c r="F19" s="36">
        <f>F20+F21</f>
        <v>0.39274975911934695</v>
      </c>
      <c r="G19" s="36">
        <f>G20+G21</f>
        <v>0</v>
      </c>
      <c r="H19" s="163">
        <f>SUM(C19:G19)</f>
        <v>104.40247159763975</v>
      </c>
      <c r="I19" s="166"/>
      <c r="J19" s="166"/>
      <c r="K19" s="166"/>
      <c r="L19" s="166"/>
      <c r="M19" s="166"/>
      <c r="N19" s="38"/>
      <c r="O19" s="206"/>
      <c r="P19" s="206"/>
      <c r="Q19" s="206"/>
      <c r="R19" s="206"/>
      <c r="S19" s="206"/>
      <c r="T19" s="207"/>
      <c r="U19" s="75"/>
      <c r="W19" s="82"/>
      <c r="X19" s="208"/>
      <c r="Y19" s="208"/>
      <c r="Z19" s="208"/>
      <c r="AA19" s="208"/>
      <c r="AB19" s="208"/>
    </row>
    <row r="20" spans="1:28" x14ac:dyDescent="0.25">
      <c r="A20" s="148" t="s">
        <v>19</v>
      </c>
      <c r="B20" s="35"/>
      <c r="C20" s="16">
        <v>0</v>
      </c>
      <c r="D20" s="16">
        <f>'T energie usages'!I25*3.2*Résultats!S283</f>
        <v>58.794982179812983</v>
      </c>
      <c r="E20" s="16">
        <f>'T energie usages'!J25/'T energie usages'!J$33*(Résultats!S$192+Résultats!S$193+Résultats!S$194)/1000000</f>
        <v>5.1426835525295145E-2</v>
      </c>
      <c r="F20" s="16">
        <f>'T energie usages'!K25*2.394*Résultats!S284</f>
        <v>2.0931839346943443E-5</v>
      </c>
      <c r="G20" s="16">
        <v>0</v>
      </c>
      <c r="H20" s="95">
        <f>SUM(C20:G20)</f>
        <v>58.846429947177626</v>
      </c>
      <c r="I20" s="166"/>
      <c r="J20" s="166"/>
      <c r="K20" s="166"/>
      <c r="L20" s="166"/>
      <c r="M20" s="166"/>
      <c r="N20" s="38"/>
      <c r="O20" s="206"/>
      <c r="P20" s="206"/>
      <c r="Q20" s="206"/>
      <c r="R20" s="206"/>
      <c r="S20" s="206"/>
      <c r="T20" s="207"/>
      <c r="U20" s="16"/>
      <c r="W20" s="30"/>
      <c r="X20" s="208"/>
      <c r="Y20" s="208"/>
      <c r="Z20" s="208"/>
      <c r="AA20" s="208"/>
      <c r="AB20" s="208"/>
    </row>
    <row r="21" spans="1:28" x14ac:dyDescent="0.25">
      <c r="A21" s="149" t="s">
        <v>20</v>
      </c>
      <c r="B21" s="35"/>
      <c r="C21" s="16">
        <v>0</v>
      </c>
      <c r="D21" s="16">
        <f>(Résultats!S$183+Résultats!S$184+Résultats!S$185+Résultats!S$186+Résultats!S$187)/1000000</f>
        <v>44.390370512100013</v>
      </c>
      <c r="E21" s="16">
        <f>'T energie usages'!J26/'T energie usages'!J$33*(Résultats!S$192+Résultats!S$193+Résultats!S$194)/1000000</f>
        <v>0.77294231108211153</v>
      </c>
      <c r="F21" s="16">
        <f>(Résultats!S$209+Résultats!S$210+Résultats!S$211+Résultats!S$212+Résultats!S$213)/1000000</f>
        <v>0.39272882728000003</v>
      </c>
      <c r="G21" s="16">
        <v>0</v>
      </c>
      <c r="H21" s="95">
        <f>SUM(C21:G21)</f>
        <v>45.556041650462127</v>
      </c>
      <c r="I21" s="166"/>
      <c r="J21" s="166"/>
      <c r="K21" s="166"/>
      <c r="L21" s="166"/>
      <c r="M21" s="166"/>
      <c r="N21" s="38"/>
      <c r="O21" s="206"/>
      <c r="P21" s="206"/>
      <c r="Q21" s="206"/>
      <c r="R21" s="206"/>
      <c r="S21" s="206"/>
      <c r="T21" s="207"/>
      <c r="U21" s="16"/>
      <c r="W21" s="30"/>
      <c r="X21" s="208"/>
      <c r="Y21" s="208"/>
      <c r="Z21" s="208"/>
      <c r="AA21" s="208"/>
      <c r="AB21" s="208"/>
    </row>
    <row r="22" spans="1:28" x14ac:dyDescent="0.25">
      <c r="A22" s="162" t="s">
        <v>21</v>
      </c>
      <c r="B22" s="187"/>
      <c r="C22" s="36">
        <f>Résultats!S$135/1000000</f>
        <v>0.9758453574</v>
      </c>
      <c r="D22" s="36">
        <f>'T energie usages'!I27*3.2*Résultats!S283</f>
        <v>16.386521326495753</v>
      </c>
      <c r="E22" s="36">
        <f>'T energie usages'!J27/'T energie usages'!J$33*(Résultats!S$192+Résultats!S$193+Résultats!S$194)/1000000</f>
        <v>7.7829930459295031</v>
      </c>
      <c r="F22" s="36">
        <f>('T energie usages'!K27-8)*2.394*Résultats!S284</f>
        <v>15.683004183352796</v>
      </c>
      <c r="G22" s="36">
        <v>0</v>
      </c>
      <c r="H22" s="163">
        <f>SUM(C22:G22)</f>
        <v>40.828363913178052</v>
      </c>
      <c r="I22" s="166"/>
      <c r="J22" s="166"/>
      <c r="K22" s="166"/>
      <c r="L22" s="166"/>
      <c r="M22" s="166"/>
      <c r="N22" s="38"/>
      <c r="O22" s="206"/>
      <c r="P22" s="206"/>
      <c r="Q22" s="206"/>
      <c r="R22" s="206"/>
      <c r="S22" s="206"/>
      <c r="T22" s="207"/>
      <c r="U22" s="75"/>
      <c r="W22" s="82"/>
      <c r="X22" s="208"/>
      <c r="Y22" s="208"/>
      <c r="Z22" s="208"/>
      <c r="AA22" s="208"/>
      <c r="AB22" s="208"/>
    </row>
    <row r="23" spans="1:28" x14ac:dyDescent="0.25">
      <c r="A23" s="162" t="s">
        <v>22</v>
      </c>
      <c r="B23" s="187"/>
      <c r="C23" s="36">
        <f>(Résultats!S$168+Résultats!S$169)/1000000</f>
        <v>0</v>
      </c>
      <c r="D23" s="36">
        <f>(Résultats!S$188+Résultats!S$189)/1000000</f>
        <v>6.6062847555999999</v>
      </c>
      <c r="E23" s="36">
        <f>'T energie usages'!J28/'T energie usages'!J$33*(Résultats!S$192+Résultats!S$193+Résultats!S$194)/1000000</f>
        <v>5.9997418250337669</v>
      </c>
      <c r="F23" s="36">
        <f>(Résultats!S$214+Résultats!S$215)/1000000</f>
        <v>11.087203138</v>
      </c>
      <c r="G23" s="36">
        <v>0</v>
      </c>
      <c r="H23" s="163">
        <f t="shared" ref="H23:H28" si="2">SUM(C23:G23)</f>
        <v>23.693229718633766</v>
      </c>
      <c r="I23" s="166"/>
      <c r="J23" s="166"/>
      <c r="K23" s="166"/>
      <c r="L23" s="166"/>
      <c r="M23" s="166"/>
      <c r="N23" s="38"/>
      <c r="O23" s="206"/>
      <c r="P23" s="206"/>
      <c r="Q23" s="206"/>
      <c r="R23" s="206"/>
      <c r="S23" s="206"/>
      <c r="T23" s="207"/>
      <c r="U23" s="75"/>
      <c r="W23" s="82"/>
      <c r="X23" s="208"/>
      <c r="Y23" s="208"/>
      <c r="Z23" s="208"/>
      <c r="AA23" s="208"/>
      <c r="AB23" s="208"/>
    </row>
    <row r="24" spans="1:28" x14ac:dyDescent="0.25">
      <c r="A24" s="162" t="s">
        <v>23</v>
      </c>
      <c r="B24" s="187"/>
      <c r="C24" s="36">
        <f>C25+C26</f>
        <v>10.5878585922</v>
      </c>
      <c r="D24" s="36">
        <f>D25+D26</f>
        <v>37.596397190722158</v>
      </c>
      <c r="E24" s="36">
        <f>E25+E26</f>
        <v>5.0113886354293236</v>
      </c>
      <c r="F24" s="36">
        <f>F25+F26</f>
        <v>21.961545001525089</v>
      </c>
      <c r="G24" s="36">
        <f>G25+G26</f>
        <v>13.06912691</v>
      </c>
      <c r="H24" s="163">
        <f t="shared" si="2"/>
        <v>88.226316329876568</v>
      </c>
      <c r="I24" s="166"/>
      <c r="J24" s="166"/>
      <c r="K24" s="166"/>
      <c r="L24" s="166"/>
      <c r="M24" s="166"/>
      <c r="N24" s="38"/>
      <c r="O24" s="206"/>
      <c r="P24" s="206"/>
      <c r="Q24" s="206"/>
      <c r="R24" s="206"/>
      <c r="S24" s="206"/>
      <c r="T24" s="207"/>
      <c r="U24" s="75"/>
      <c r="W24" s="82"/>
      <c r="X24" s="208"/>
      <c r="Y24" s="208"/>
      <c r="Z24" s="208"/>
      <c r="AA24" s="208"/>
      <c r="AB24" s="208"/>
    </row>
    <row r="25" spans="1:28" x14ac:dyDescent="0.25">
      <c r="A25" s="149" t="s">
        <v>24</v>
      </c>
      <c r="B25" s="35"/>
      <c r="C25" s="16">
        <f>(Résultats!S$162+Résultats!S$163+Résultats!S$164+Résultats!S$165+Résultats!S$166+Résultats!S$167)/1000000</f>
        <v>10.5878585922</v>
      </c>
      <c r="D25" s="16">
        <f>(Résultats!S$171+Résultats!S$173+Résultats!S$174+Résultats!S$175+Résultats!S$176+Résultats!S$177+Résultats!S$178+Résultats!S$179+Résultats!S$180+Résultats!S$181+Résultats!S$182)/1000000</f>
        <v>31.812284815722158</v>
      </c>
      <c r="E25" s="16">
        <f>'T energie usages'!J30/'T energie usages'!J$33*(Résultats!S$192+Résultats!S$193+Résultats!S$194)/1000000</f>
        <v>4.8436800474695518</v>
      </c>
      <c r="F25" s="16">
        <f>(Résultats!S$197+Résultats!S$198+Résultats!S$199+Résultats!S$200+Résultats!S$201+Résultats!S$202+Résultats!S$203+Résultats!S$204+Résultats!S$205+Résultats!S$206+Résultats!S$207+Résultats!S$208+Résultats!S$216+Résultats!S$218)/1000000</f>
        <v>21.440232539425089</v>
      </c>
      <c r="G25" s="16">
        <f>Résultats!S$133/1000000</f>
        <v>13.06912691</v>
      </c>
      <c r="H25" s="95">
        <f t="shared" si="2"/>
        <v>81.753182904816796</v>
      </c>
      <c r="I25" s="166"/>
      <c r="J25" s="166"/>
      <c r="K25" s="166"/>
      <c r="L25" s="166"/>
      <c r="M25" s="166"/>
      <c r="N25" s="38"/>
      <c r="O25" s="206"/>
      <c r="P25" s="206"/>
      <c r="Q25" s="206"/>
      <c r="R25" s="206"/>
      <c r="S25" s="206"/>
      <c r="T25" s="207"/>
      <c r="U25" s="16"/>
      <c r="W25" s="30"/>
      <c r="X25" s="208"/>
      <c r="Y25" s="208"/>
      <c r="Z25" s="208"/>
      <c r="AA25" s="208"/>
      <c r="AB25" s="208"/>
    </row>
    <row r="26" spans="1:28" x14ac:dyDescent="0.25">
      <c r="A26" s="149" t="s">
        <v>25</v>
      </c>
      <c r="B26" s="35"/>
      <c r="C26" s="16">
        <v>0</v>
      </c>
      <c r="D26" s="16">
        <f>(Résultats!S$172)/1000000</f>
        <v>5.7841123750000003</v>
      </c>
      <c r="E26" s="16">
        <f>'T energie usages'!J32/'T energie usages'!J$33*(Résultats!S$192+Résultats!S$193+Résultats!S$194)/1000000</f>
        <v>0.16770858795977175</v>
      </c>
      <c r="F26" s="16">
        <f>(Résultats!S$196)/1000000</f>
        <v>0.52131246210000004</v>
      </c>
      <c r="G26" s="16">
        <v>0</v>
      </c>
      <c r="H26" s="95">
        <f t="shared" si="2"/>
        <v>6.4731334250597721</v>
      </c>
      <c r="I26" s="166"/>
      <c r="J26" s="166"/>
      <c r="K26" s="166"/>
      <c r="L26" s="166"/>
      <c r="M26" s="166"/>
      <c r="N26" s="38"/>
      <c r="O26" s="206"/>
      <c r="P26" s="206"/>
      <c r="Q26" s="206"/>
      <c r="R26" s="206"/>
      <c r="S26" s="206"/>
      <c r="T26" s="207"/>
      <c r="U26" s="16"/>
      <c r="W26" s="30"/>
      <c r="X26" s="208"/>
      <c r="Y26" s="208"/>
      <c r="Z26" s="208"/>
      <c r="AA26" s="208"/>
      <c r="AB26" s="208"/>
    </row>
    <row r="27" spans="1:28" x14ac:dyDescent="0.25">
      <c r="A27" s="48" t="s">
        <v>41</v>
      </c>
      <c r="B27" s="37"/>
      <c r="C27" s="37">
        <f>SUM(C22:C24)+C19</f>
        <v>11.563703949600001</v>
      </c>
      <c r="D27" s="37">
        <f>SUM(D22:D24)+D19</f>
        <v>163.77455596473089</v>
      </c>
      <c r="E27" s="37">
        <f>SUM(E22:E24)+E19</f>
        <v>19.618492653000001</v>
      </c>
      <c r="F27" s="37">
        <f>SUM(F22:F24)+F19</f>
        <v>49.124502081997228</v>
      </c>
      <c r="G27" s="37">
        <f>SUM(G22:G24)+G19</f>
        <v>13.06912691</v>
      </c>
      <c r="H27" s="167">
        <f t="shared" si="2"/>
        <v>257.15038155932814</v>
      </c>
      <c r="I27" s="166"/>
      <c r="J27" s="166"/>
      <c r="K27" s="166"/>
      <c r="L27" s="166"/>
      <c r="M27" s="166"/>
      <c r="N27" s="38"/>
      <c r="O27" s="206"/>
      <c r="P27" s="206"/>
      <c r="Q27" s="206"/>
      <c r="R27" s="206"/>
      <c r="S27" s="206"/>
      <c r="T27" s="207"/>
      <c r="U27" s="79"/>
      <c r="W27" s="80"/>
      <c r="X27" s="208"/>
      <c r="Y27" s="208"/>
      <c r="Z27" s="208"/>
      <c r="AA27" s="208"/>
      <c r="AB27" s="208"/>
    </row>
    <row r="28" spans="1:28" x14ac:dyDescent="0.25">
      <c r="A28" s="164" t="s">
        <v>43</v>
      </c>
      <c r="B28" s="164"/>
      <c r="C28" s="165">
        <f>(Résultats!S$135+Résultats!S$162+Résultats!S$163+Résultats!S$164+Résultats!S$165+Résultats!S$166+Résultats!S$167+Résultats!S$168+Résultats!S$169)/1000000</f>
        <v>11.563703949600001</v>
      </c>
      <c r="D28" s="165">
        <f>(Résultats!S$137+Résultats!S$171+Résultats!S$172+Résultats!S$173+Résultats!S$174+Résultats!S$175+Résultats!S$176+Résultats!S$177+Résultats!S$178+Résultats!S$179+Résultats!S$180+Résultats!S$181+Résultats!S$182+Résultats!S$183+Résultats!S$184+Résultats!S$185+Résultats!S$186+Résultats!S$187+Résultats!S$188+Résultats!S$189)/1000000</f>
        <v>178.85111230842213</v>
      </c>
      <c r="E28" s="165">
        <f>(Résultats!S$192+Résultats!S$193+Résultats!S$194)/1000000</f>
        <v>19.618492653000001</v>
      </c>
      <c r="F28" s="165">
        <f>(Résultats!S$139+Résultats!S$196+Résultats!S$197+Résultats!S$198+Résultats!S$199+Résultats!S$200+Résultats!S$201+Résultats!S$202+Résultats!S$203+Résultats!S$204+Résultats!S$205+Résultats!S$206+Résultats!S$207+Résultats!S$208+Résultats!S$209+Résultats!S$210+Résultats!S$211+Résultats!S$212+Résultats!S$213+Résultats!S$214+Résultats!S$215+Résultats!S$216+Résultats!S$218)/1000000</f>
        <v>61.633193126805075</v>
      </c>
      <c r="G28" s="165">
        <f>Résultats!S$133/1000000</f>
        <v>13.06912691</v>
      </c>
      <c r="H28" s="188">
        <f t="shared" si="2"/>
        <v>284.73562894782725</v>
      </c>
      <c r="I28" s="166"/>
      <c r="J28" s="166"/>
      <c r="K28" s="166"/>
      <c r="L28" s="166"/>
      <c r="M28" s="166"/>
      <c r="N28" s="45"/>
      <c r="O28" s="166"/>
      <c r="P28" s="166"/>
      <c r="Q28" s="166"/>
      <c r="R28" s="166"/>
      <c r="S28" s="166"/>
      <c r="T28" s="207"/>
      <c r="U28" s="45"/>
      <c r="V28" s="45"/>
      <c r="W28" s="45"/>
      <c r="X28" s="208"/>
      <c r="Y28" s="208"/>
      <c r="Z28" s="208"/>
      <c r="AA28" s="208"/>
      <c r="AB28" s="208"/>
    </row>
    <row r="29" spans="1:28" x14ac:dyDescent="0.25">
      <c r="A29" s="164"/>
      <c r="B29" s="164"/>
      <c r="C29" s="189"/>
      <c r="D29" s="189"/>
      <c r="E29" s="189"/>
      <c r="F29" s="189"/>
      <c r="G29" s="189"/>
      <c r="H29" s="165">
        <f>Résultats!S227/1000000</f>
        <v>284.7356284</v>
      </c>
      <c r="I29" s="166"/>
      <c r="J29" s="166"/>
      <c r="K29" s="166"/>
      <c r="L29" s="166"/>
      <c r="M29" s="166"/>
      <c r="N29" s="45"/>
      <c r="O29" s="166"/>
      <c r="P29" s="166"/>
      <c r="Q29" s="166"/>
      <c r="R29" s="166"/>
      <c r="S29" s="166"/>
      <c r="T29" s="207"/>
      <c r="U29" s="45"/>
      <c r="V29" s="45"/>
      <c r="W29" s="45"/>
      <c r="X29" s="208"/>
      <c r="Y29" s="208"/>
      <c r="Z29" s="208"/>
      <c r="AA29" s="208"/>
      <c r="AB29" s="208"/>
    </row>
    <row r="30" spans="1:28" x14ac:dyDescent="0.25">
      <c r="A30" s="3"/>
      <c r="B30" s="3"/>
      <c r="C30" s="191"/>
      <c r="D30" s="191"/>
      <c r="E30" s="191"/>
      <c r="F30" s="191"/>
      <c r="G30" s="75"/>
      <c r="H30" s="45"/>
      <c r="I30" s="166"/>
      <c r="J30" s="166"/>
      <c r="K30" s="166"/>
      <c r="L30" s="166"/>
      <c r="N30" s="45"/>
      <c r="O30" s="166"/>
      <c r="P30" s="166"/>
      <c r="Q30" s="166"/>
      <c r="R30" s="166"/>
      <c r="S30" s="166"/>
      <c r="T30" s="207"/>
      <c r="U30" s="45"/>
      <c r="V30" s="45"/>
      <c r="W30" s="45"/>
      <c r="X30" s="208"/>
      <c r="Y30" s="208"/>
      <c r="Z30" s="208"/>
      <c r="AA30" s="208"/>
      <c r="AB30" s="208"/>
    </row>
    <row r="31" spans="1:28" ht="21" x14ac:dyDescent="0.35">
      <c r="A31" s="145">
        <v>2025</v>
      </c>
      <c r="B31" s="186"/>
      <c r="C31" s="27" t="s">
        <v>36</v>
      </c>
      <c r="D31" s="27" t="s">
        <v>37</v>
      </c>
      <c r="E31" s="27" t="s">
        <v>38</v>
      </c>
      <c r="F31" s="27" t="s">
        <v>39</v>
      </c>
      <c r="G31" s="27" t="s">
        <v>40</v>
      </c>
      <c r="H31" s="190" t="s">
        <v>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45"/>
      <c r="W31" s="19"/>
      <c r="X31" s="19"/>
      <c r="Y31" s="19"/>
      <c r="Z31" s="19"/>
      <c r="AA31" s="19"/>
      <c r="AB31" s="208"/>
    </row>
    <row r="32" spans="1:28" x14ac:dyDescent="0.25">
      <c r="A32" s="162" t="s">
        <v>18</v>
      </c>
      <c r="B32" s="187"/>
      <c r="C32" s="36">
        <f>C33+C34</f>
        <v>0</v>
      </c>
      <c r="D32" s="36">
        <f>D33+D34</f>
        <v>99.579285770997842</v>
      </c>
      <c r="E32" s="36">
        <f>E33+E34</f>
        <v>1.1745405936131597</v>
      </c>
      <c r="F32" s="36">
        <f>F33+F34</f>
        <v>0.47376143960130912</v>
      </c>
      <c r="G32" s="36">
        <f>G33+G34</f>
        <v>0</v>
      </c>
      <c r="H32" s="163">
        <f>SUM(C32:G32)</f>
        <v>101.22758780421231</v>
      </c>
      <c r="I32" s="166"/>
      <c r="J32" s="166"/>
      <c r="K32" s="166"/>
      <c r="L32" s="166"/>
      <c r="M32" s="166"/>
      <c r="N32" s="38"/>
      <c r="O32" s="206"/>
      <c r="P32" s="206"/>
      <c r="Q32" s="206"/>
      <c r="R32" s="206"/>
      <c r="S32" s="206"/>
      <c r="T32" s="207"/>
      <c r="U32" s="75"/>
      <c r="V32" s="45"/>
      <c r="W32" s="82"/>
      <c r="X32" s="208"/>
      <c r="Y32" s="208"/>
      <c r="Z32" s="208"/>
      <c r="AA32" s="208"/>
      <c r="AB32" s="208"/>
    </row>
    <row r="33" spans="1:28" x14ac:dyDescent="0.25">
      <c r="A33" s="148" t="s">
        <v>19</v>
      </c>
      <c r="B33" s="35"/>
      <c r="C33" s="16">
        <v>0</v>
      </c>
      <c r="D33" s="16">
        <f>'T energie usages'!I64*3.2*Résultats!X283</f>
        <v>54.157328037997857</v>
      </c>
      <c r="E33" s="16">
        <f>'T energie usages'!J64/'T energie usages'!J$72*(Résultats!X$192+Résultats!X$193+Résultats!X$194)/1000000</f>
        <v>0.14770939331679286</v>
      </c>
      <c r="F33" s="16">
        <f>'T energie usages'!K64*2.394*Résultats!X284</f>
        <v>2.7459321309110787E-5</v>
      </c>
      <c r="G33" s="16">
        <v>0</v>
      </c>
      <c r="H33" s="95">
        <f>SUM(C33:G33)</f>
        <v>54.305064890635961</v>
      </c>
      <c r="I33" s="166"/>
      <c r="J33" s="166"/>
      <c r="K33" s="166"/>
      <c r="L33" s="166"/>
      <c r="M33" s="166"/>
      <c r="N33" s="38"/>
      <c r="O33" s="206"/>
      <c r="P33" s="206"/>
      <c r="Q33" s="206"/>
      <c r="R33" s="206"/>
      <c r="S33" s="206"/>
      <c r="T33" s="207"/>
      <c r="U33" s="16"/>
      <c r="V33" s="45"/>
      <c r="W33" s="30"/>
      <c r="X33" s="208"/>
      <c r="Y33" s="208"/>
      <c r="Z33" s="208"/>
      <c r="AA33" s="208"/>
      <c r="AB33" s="208"/>
    </row>
    <row r="34" spans="1:28" x14ac:dyDescent="0.25">
      <c r="A34" s="149" t="s">
        <v>20</v>
      </c>
      <c r="B34" s="35"/>
      <c r="C34" s="16">
        <v>0</v>
      </c>
      <c r="D34" s="16">
        <f>(Résultats!X$183+Résultats!X$184+Résultats!X$185+Résultats!X$186+Résultats!X$187)/1000000</f>
        <v>45.421957732999992</v>
      </c>
      <c r="E34" s="16">
        <f>'T energie usages'!J65/'T energie usages'!J$72*(Résultats!X$192+Résultats!X$193+Résultats!X$194)/1000000</f>
        <v>1.0268312002963669</v>
      </c>
      <c r="F34" s="16">
        <f>(Résultats!X$209+Résultats!X$210+Résultats!X$211+Résultats!X$212+Résultats!X$213)/1000000</f>
        <v>0.47373398028000002</v>
      </c>
      <c r="G34" s="16">
        <v>0</v>
      </c>
      <c r="H34" s="95">
        <f>SUM(C34:G34)</f>
        <v>46.922522913576358</v>
      </c>
      <c r="I34" s="166"/>
      <c r="J34" s="166"/>
      <c r="K34" s="166"/>
      <c r="L34" s="166"/>
      <c r="M34" s="166"/>
      <c r="N34" s="38"/>
      <c r="O34" s="206"/>
      <c r="P34" s="206"/>
      <c r="Q34" s="206"/>
      <c r="R34" s="206"/>
      <c r="S34" s="206"/>
      <c r="T34" s="207"/>
      <c r="U34" s="16"/>
      <c r="V34" s="45"/>
      <c r="W34" s="30"/>
      <c r="X34" s="208"/>
      <c r="Y34" s="208"/>
      <c r="Z34" s="208"/>
      <c r="AA34" s="208"/>
      <c r="AB34" s="208"/>
    </row>
    <row r="35" spans="1:28" x14ac:dyDescent="0.25">
      <c r="A35" s="162" t="s">
        <v>21</v>
      </c>
      <c r="B35" s="187"/>
      <c r="C35" s="36">
        <f>Résultats!X$135/1000000</f>
        <v>0.88554886239999997</v>
      </c>
      <c r="D35" s="36">
        <f>'T energie usages'!I66*3.2*Résultats!X283</f>
        <v>15.28654355278772</v>
      </c>
      <c r="E35" s="36">
        <f>'T energie usages'!J66/'T energie usages'!J$72*(Résultats!X$192+Résultats!X$193+Résultats!X$194)/1000000</f>
        <v>7.4147349403404972</v>
      </c>
      <c r="F35" s="36">
        <f>('T energie usages'!K66-8)*2.394*Résultats!X284</f>
        <v>11.324291048495738</v>
      </c>
      <c r="G35" s="36">
        <v>0</v>
      </c>
      <c r="H35" s="163">
        <f>SUM(C35:G35)</f>
        <v>34.911118404023952</v>
      </c>
      <c r="I35" s="166"/>
      <c r="J35" s="166"/>
      <c r="K35" s="166"/>
      <c r="L35" s="166"/>
      <c r="M35" s="166"/>
      <c r="N35" s="38"/>
      <c r="O35" s="206"/>
      <c r="P35" s="206"/>
      <c r="Q35" s="206"/>
      <c r="R35" s="206"/>
      <c r="S35" s="206"/>
      <c r="T35" s="207"/>
      <c r="U35" s="75"/>
      <c r="V35" s="45"/>
      <c r="W35" s="82"/>
      <c r="X35" s="208"/>
      <c r="Y35" s="208"/>
      <c r="Z35" s="208"/>
      <c r="AA35" s="208"/>
      <c r="AB35" s="208"/>
    </row>
    <row r="36" spans="1:28" x14ac:dyDescent="0.25">
      <c r="A36" s="162" t="s">
        <v>22</v>
      </c>
      <c r="B36" s="187"/>
      <c r="C36" s="36">
        <f>(Résultats!X$168+Résultats!X$169)/1000000</f>
        <v>0</v>
      </c>
      <c r="D36" s="36">
        <f>(Résultats!X$188+Résultats!X$189)/1000000</f>
        <v>4.7973110409000004</v>
      </c>
      <c r="E36" s="36">
        <f>'T energie usages'!J67/'T energie usages'!J$72*(Résultats!X$192+Résultats!X$193+Résultats!X$194)/1000000</f>
        <v>5.4977149147448232</v>
      </c>
      <c r="F36" s="36">
        <f>(Résultats!X$214+Résultats!X$215)/1000000</f>
        <v>11.363224596999999</v>
      </c>
      <c r="G36" s="36">
        <v>0</v>
      </c>
      <c r="H36" s="163">
        <f t="shared" ref="H36:H41" si="3">SUM(C36:G36)</f>
        <v>21.658250552644823</v>
      </c>
      <c r="I36" s="166"/>
      <c r="J36" s="166"/>
      <c r="K36" s="166"/>
      <c r="L36" s="166"/>
      <c r="M36" s="166"/>
      <c r="N36" s="38"/>
      <c r="O36" s="206"/>
      <c r="P36" s="206"/>
      <c r="Q36" s="206"/>
      <c r="R36" s="206"/>
      <c r="S36" s="206"/>
      <c r="T36" s="207"/>
      <c r="U36" s="75"/>
      <c r="V36" s="45"/>
      <c r="W36" s="82"/>
      <c r="X36" s="208"/>
      <c r="Y36" s="208"/>
      <c r="Z36" s="208"/>
      <c r="AA36" s="208"/>
      <c r="AB36" s="208"/>
    </row>
    <row r="37" spans="1:28" x14ac:dyDescent="0.25">
      <c r="A37" s="162" t="s">
        <v>23</v>
      </c>
      <c r="B37" s="187"/>
      <c r="C37" s="36">
        <f>C38+C39</f>
        <v>9.6443177346999995</v>
      </c>
      <c r="D37" s="36">
        <f>D38+D39</f>
        <v>39.400668876824469</v>
      </c>
      <c r="E37" s="36">
        <f>E38+E39</f>
        <v>6.0186664143015189</v>
      </c>
      <c r="F37" s="36">
        <f>F38+F39</f>
        <v>14.670365712995608</v>
      </c>
      <c r="G37" s="36">
        <f>G38+G39</f>
        <v>13.690959300000001</v>
      </c>
      <c r="H37" s="163">
        <f t="shared" si="3"/>
        <v>83.424978038821592</v>
      </c>
      <c r="I37" s="166"/>
      <c r="J37" s="166"/>
      <c r="K37" s="166"/>
      <c r="L37" s="166"/>
      <c r="M37" s="166"/>
      <c r="N37" s="38"/>
      <c r="O37" s="206"/>
      <c r="P37" s="206"/>
      <c r="Q37" s="206"/>
      <c r="R37" s="206"/>
      <c r="S37" s="206"/>
      <c r="T37" s="207"/>
      <c r="U37" s="75"/>
      <c r="V37" s="45"/>
      <c r="W37" s="82"/>
      <c r="X37" s="208"/>
      <c r="Y37" s="208"/>
      <c r="Z37" s="208"/>
      <c r="AA37" s="208"/>
      <c r="AB37" s="208"/>
    </row>
    <row r="38" spans="1:28" x14ac:dyDescent="0.25">
      <c r="A38" s="149" t="s">
        <v>24</v>
      </c>
      <c r="B38" s="35"/>
      <c r="C38" s="16">
        <f>(Résultats!X$162+Résultats!X$163+Résultats!X$164+Résultats!X$165+Résultats!X$166+Résultats!X$167)/1000000</f>
        <v>9.6443177346999995</v>
      </c>
      <c r="D38" s="16">
        <f>(Résultats!X$171+Résultats!X$173+Résultats!X$174+Résultats!X$175+Résultats!X$176+Résultats!X$177+Résultats!X$178+Résultats!X$179+Résultats!X$180+Résultats!X$181+Résultats!X$182)/1000000</f>
        <v>32.964887009824466</v>
      </c>
      <c r="E38" s="16">
        <f>'T energie usages'!J69/'T energie usages'!J$72*(Résultats!X$192+Résultats!X$193+Résultats!X$194)/1000000</f>
        <v>5.8534537519175478</v>
      </c>
      <c r="F38" s="16">
        <f>(Résultats!X$197+Résultats!X$198+Résultats!X$199+Résultats!X$200+Résultats!X$201+Résultats!X$202+Résultats!X$203+Résultats!X$204+Résultats!X$205+Résultats!X$206+Résultats!X$207+Résultats!X$208+Résultats!X$216+Résultats!X$218)/1000000</f>
        <v>14.230269784495608</v>
      </c>
      <c r="G38" s="16">
        <f>Résultats!X$133/1000000</f>
        <v>13.690959300000001</v>
      </c>
      <c r="H38" s="95">
        <f t="shared" si="3"/>
        <v>76.383887580937625</v>
      </c>
      <c r="I38" s="166"/>
      <c r="J38" s="166"/>
      <c r="K38" s="166"/>
      <c r="L38" s="166"/>
      <c r="M38" s="166"/>
      <c r="N38" s="38"/>
      <c r="O38" s="206"/>
      <c r="P38" s="206"/>
      <c r="Q38" s="206"/>
      <c r="R38" s="206"/>
      <c r="S38" s="206"/>
      <c r="T38" s="207"/>
      <c r="U38" s="16"/>
      <c r="V38" s="45"/>
      <c r="W38" s="30"/>
      <c r="X38" s="208"/>
      <c r="Y38" s="208"/>
      <c r="Z38" s="208"/>
      <c r="AA38" s="208"/>
      <c r="AB38" s="208"/>
    </row>
    <row r="39" spans="1:28" x14ac:dyDescent="0.25">
      <c r="A39" s="149" t="s">
        <v>25</v>
      </c>
      <c r="B39" s="35"/>
      <c r="C39" s="16">
        <v>0</v>
      </c>
      <c r="D39" s="16">
        <f>(Résultats!X$172)/1000000</f>
        <v>6.4357818669999993</v>
      </c>
      <c r="E39" s="16">
        <f>'T energie usages'!J71/'T energie usages'!J$72*(Résultats!X$192+Résultats!X$193+Résultats!X$194)/1000000</f>
        <v>0.16521266238397106</v>
      </c>
      <c r="F39" s="16">
        <f>(Résultats!X$196)/1000000</f>
        <v>0.44009592849999996</v>
      </c>
      <c r="G39" s="16">
        <v>0</v>
      </c>
      <c r="H39" s="95">
        <f t="shared" si="3"/>
        <v>7.0410904578839704</v>
      </c>
      <c r="I39" s="166"/>
      <c r="J39" s="166"/>
      <c r="K39" s="166"/>
      <c r="L39" s="166"/>
      <c r="M39" s="166"/>
      <c r="N39" s="38"/>
      <c r="O39" s="206"/>
      <c r="P39" s="206"/>
      <c r="Q39" s="206"/>
      <c r="R39" s="206"/>
      <c r="S39" s="206"/>
      <c r="T39" s="207"/>
      <c r="U39" s="16"/>
      <c r="V39" s="45"/>
      <c r="W39" s="30"/>
      <c r="X39" s="208"/>
      <c r="Y39" s="208"/>
      <c r="Z39" s="208"/>
      <c r="AA39" s="208"/>
      <c r="AB39" s="208"/>
    </row>
    <row r="40" spans="1:28" x14ac:dyDescent="0.25">
      <c r="A40" s="48" t="s">
        <v>41</v>
      </c>
      <c r="B40" s="37"/>
      <c r="C40" s="37">
        <f>SUM(C35:C37)+C32</f>
        <v>10.5298665971</v>
      </c>
      <c r="D40" s="37">
        <f>SUM(D35:D37)+D32</f>
        <v>159.06380924151003</v>
      </c>
      <c r="E40" s="37">
        <f>SUM(E35:E37)+E32</f>
        <v>20.105656863</v>
      </c>
      <c r="F40" s="37">
        <f>SUM(F35:F37)+F32</f>
        <v>37.831642798092652</v>
      </c>
      <c r="G40" s="37">
        <f>SUM(G35:G37)+G32</f>
        <v>13.690959300000001</v>
      </c>
      <c r="H40" s="167">
        <f t="shared" si="3"/>
        <v>241.22193479970269</v>
      </c>
      <c r="I40" s="166"/>
      <c r="J40" s="166"/>
      <c r="K40" s="166"/>
      <c r="L40" s="166"/>
      <c r="M40" s="166"/>
      <c r="N40" s="38"/>
      <c r="O40" s="206"/>
      <c r="P40" s="206"/>
      <c r="Q40" s="206"/>
      <c r="R40" s="206"/>
      <c r="S40" s="206"/>
      <c r="T40" s="207"/>
      <c r="U40" s="79"/>
      <c r="V40" s="45"/>
      <c r="W40" s="80"/>
      <c r="X40" s="208"/>
      <c r="Y40" s="208"/>
      <c r="Z40" s="208"/>
      <c r="AA40" s="208"/>
      <c r="AB40" s="208"/>
    </row>
    <row r="41" spans="1:28" x14ac:dyDescent="0.25">
      <c r="A41" s="164" t="s">
        <v>43</v>
      </c>
      <c r="B41" s="164"/>
      <c r="C41" s="165">
        <f>(Résultats!X$135+Résultats!X$162+Résultats!X$163+Résultats!X$164+Résultats!X$165+Résultats!X$166+Résultats!X$167+Résultats!X$168+Résultats!X$169)/1000000</f>
        <v>10.529866597100002</v>
      </c>
      <c r="D41" s="165">
        <f>+(Résultats!X$137+Résultats!X$171+Résultats!X$172+Résultats!X$173+Résultats!X$174+Résultats!X$175+Résultats!X$176+Résultats!X$177+Résultats!X$178+Résultats!X$179+Résultats!X$180+Résultats!X$181+Résultats!X$182+Résultats!X$183+Résultats!X$184+Résultats!X$185+Résultats!X$186+Résultats!X$187+Résultats!X$188+Résultats!X$189)/1000000</f>
        <v>172.98976703072444</v>
      </c>
      <c r="E41" s="165">
        <f>(Résultats!X$192+Résultats!X$193+Résultats!X$194)/1000000</f>
        <v>20.105656862999997</v>
      </c>
      <c r="F41" s="165">
        <f>(Résultats!X$139+Résultats!X$196+Résultats!X$197+Résultats!X$198+Résultats!X$199+Résultats!X$200+Résultats!X$201+Résultats!X$202+Résultats!X$203+Résultats!X$204+Résultats!X$205+Résultats!X$206+Résultats!X$207+Résultats!X$208+Résultats!X$209+Résultats!X$210+Résultats!X$211+Résultats!X$212+Résultats!X$213+Résultats!X$214+Résultats!X$215+Résultats!X$216+Résultats!X$218)/1000000</f>
        <v>47.317893380275606</v>
      </c>
      <c r="G41" s="165">
        <f>Résultats!X$133/1000000</f>
        <v>13.690959300000001</v>
      </c>
      <c r="H41" s="188">
        <f t="shared" si="3"/>
        <v>264.63414317110005</v>
      </c>
      <c r="I41" s="166"/>
      <c r="J41" s="166"/>
      <c r="K41" s="166"/>
      <c r="L41" s="166"/>
      <c r="M41" s="207"/>
      <c r="N41" s="45"/>
      <c r="O41" s="166"/>
      <c r="P41" s="166"/>
      <c r="Q41" s="166"/>
      <c r="R41" s="166"/>
      <c r="S41" s="207"/>
      <c r="T41" s="207"/>
      <c r="U41" s="45"/>
      <c r="V41" s="45"/>
      <c r="W41" s="45"/>
      <c r="X41" s="208"/>
      <c r="Y41" s="208"/>
      <c r="Z41" s="208"/>
      <c r="AA41" s="208"/>
      <c r="AB41" s="208"/>
    </row>
    <row r="42" spans="1:28" x14ac:dyDescent="0.25">
      <c r="A42" s="164"/>
      <c r="B42" s="164"/>
      <c r="C42" s="189"/>
      <c r="D42" s="189"/>
      <c r="E42" s="189"/>
      <c r="F42" s="189"/>
      <c r="G42" s="189"/>
      <c r="H42" s="165">
        <f>Résultats!X227/1000000</f>
        <v>264.63414269999998</v>
      </c>
      <c r="I42" s="166"/>
      <c r="J42" s="166"/>
      <c r="K42" s="166"/>
      <c r="L42" s="166"/>
      <c r="M42" s="207"/>
      <c r="N42" s="45"/>
      <c r="O42" s="166"/>
      <c r="P42" s="166"/>
      <c r="Q42" s="166"/>
      <c r="R42" s="166"/>
      <c r="S42" s="207"/>
      <c r="T42" s="207"/>
      <c r="U42" s="45"/>
      <c r="V42" s="45"/>
      <c r="W42" s="45"/>
      <c r="X42" s="208"/>
      <c r="Y42" s="208"/>
      <c r="Z42" s="208"/>
      <c r="AA42" s="208"/>
      <c r="AB42" s="208"/>
    </row>
    <row r="43" spans="1:28" x14ac:dyDescent="0.25">
      <c r="A43" s="3"/>
      <c r="B43" s="3"/>
      <c r="C43" s="75"/>
      <c r="D43" s="75"/>
      <c r="E43" s="75"/>
      <c r="F43" s="75"/>
      <c r="G43" s="75"/>
      <c r="H43" s="45"/>
      <c r="I43" s="166"/>
      <c r="J43" s="166"/>
      <c r="K43" s="166"/>
      <c r="L43" s="166"/>
      <c r="M43" s="207"/>
      <c r="N43" s="45"/>
      <c r="O43" s="166"/>
      <c r="P43" s="166"/>
      <c r="Q43" s="166"/>
      <c r="R43" s="166"/>
      <c r="S43" s="207"/>
      <c r="T43" s="207"/>
      <c r="U43" s="45"/>
      <c r="V43" s="45"/>
      <c r="W43" s="79"/>
      <c r="X43" s="208"/>
      <c r="Y43" s="208"/>
      <c r="Z43" s="208"/>
      <c r="AA43" s="208"/>
      <c r="AB43" s="208"/>
    </row>
    <row r="44" spans="1:28" ht="21" x14ac:dyDescent="0.35">
      <c r="A44" s="145">
        <v>2030</v>
      </c>
      <c r="B44" s="186"/>
      <c r="C44" s="27" t="s">
        <v>36</v>
      </c>
      <c r="D44" s="27" t="s">
        <v>37</v>
      </c>
      <c r="E44" s="27" t="s">
        <v>38</v>
      </c>
      <c r="F44" s="27" t="s">
        <v>39</v>
      </c>
      <c r="G44" s="27" t="s">
        <v>40</v>
      </c>
      <c r="H44" s="190" t="s">
        <v>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W44" s="19"/>
      <c r="X44" s="19"/>
      <c r="Y44" s="19"/>
      <c r="Z44" s="19"/>
      <c r="AA44" s="19"/>
      <c r="AB44" s="208"/>
    </row>
    <row r="45" spans="1:28" x14ac:dyDescent="0.25">
      <c r="A45" s="162" t="s">
        <v>18</v>
      </c>
      <c r="B45" s="187"/>
      <c r="C45" s="36">
        <f>C46+C47</f>
        <v>0</v>
      </c>
      <c r="D45" s="36">
        <f>D46+D47</f>
        <v>84.080403169453589</v>
      </c>
      <c r="E45" s="36">
        <f>E46+E47</f>
        <v>1.3721884639567066</v>
      </c>
      <c r="F45" s="36">
        <f>F46+F47</f>
        <v>0.39790577772980978</v>
      </c>
      <c r="G45" s="36">
        <f>G46+G47</f>
        <v>0</v>
      </c>
      <c r="H45" s="163">
        <f>SUM(C45:G45)</f>
        <v>85.850497411140097</v>
      </c>
      <c r="I45" s="166"/>
      <c r="J45" s="166"/>
      <c r="K45" s="166"/>
      <c r="L45" s="166"/>
      <c r="M45" s="166"/>
      <c r="N45" s="38"/>
      <c r="O45" s="206"/>
      <c r="P45" s="206"/>
      <c r="Q45" s="206"/>
      <c r="R45" s="206"/>
      <c r="S45" s="206"/>
      <c r="T45" s="207"/>
      <c r="U45" s="75"/>
      <c r="W45" s="82"/>
      <c r="X45" s="208"/>
      <c r="Y45" s="208"/>
      <c r="Z45" s="208"/>
      <c r="AA45" s="208"/>
      <c r="AB45" s="208"/>
    </row>
    <row r="46" spans="1:28" x14ac:dyDescent="0.25">
      <c r="A46" s="148" t="s">
        <v>19</v>
      </c>
      <c r="B46" s="35"/>
      <c r="C46" s="16">
        <v>0</v>
      </c>
      <c r="D46" s="16">
        <f>'T energie usages'!I77*3.2*Résultats!AC283</f>
        <v>43.515750933453589</v>
      </c>
      <c r="E46" s="16">
        <f>'T energie usages'!J77/'T energie usages'!J$85*(Résultats!AC$192+Résultats!AC$193+Résultats!AC$194)/1000000</f>
        <v>0.29606666121653147</v>
      </c>
      <c r="F46" s="16">
        <f>'T energie usages'!K77*2.394*Résultats!AC284</f>
        <v>2.0484759809737164E-5</v>
      </c>
      <c r="G46" s="16">
        <v>0</v>
      </c>
      <c r="H46" s="95">
        <f>SUM(C46:G46)</f>
        <v>43.811838079429926</v>
      </c>
      <c r="I46" s="166"/>
      <c r="J46" s="166"/>
      <c r="K46" s="166"/>
      <c r="L46" s="166"/>
      <c r="M46" s="166"/>
      <c r="N46" s="38"/>
      <c r="O46" s="206"/>
      <c r="P46" s="206"/>
      <c r="Q46" s="206"/>
      <c r="R46" s="206"/>
      <c r="S46" s="206"/>
      <c r="T46" s="207"/>
      <c r="U46" s="16"/>
      <c r="W46" s="30"/>
      <c r="X46" s="208"/>
      <c r="Y46" s="208"/>
      <c r="Z46" s="208"/>
      <c r="AA46" s="208"/>
      <c r="AB46" s="208"/>
    </row>
    <row r="47" spans="1:28" x14ac:dyDescent="0.25">
      <c r="A47" s="149" t="s">
        <v>20</v>
      </c>
      <c r="B47" s="35"/>
      <c r="C47" s="16">
        <v>0</v>
      </c>
      <c r="D47" s="16">
        <f>(Résultats!AC$183+Résultats!AC$184+Résultats!AC$185+Résultats!AC$186+Résultats!AC$187)/1000000</f>
        <v>40.564652236000001</v>
      </c>
      <c r="E47" s="16">
        <f>'T energie usages'!J78/'T energie usages'!J$85*(Résultats!AC$192+Résultats!AC$193+Résultats!AC$194)/1000000</f>
        <v>1.0761218027401751</v>
      </c>
      <c r="F47" s="16">
        <f>(Résultats!AC$209+Résultats!AC$210+Résultats!AC$211+Résultats!AC$212+Résultats!AC$213)/1000000</f>
        <v>0.39788529297000003</v>
      </c>
      <c r="G47" s="16">
        <v>0</v>
      </c>
      <c r="H47" s="95">
        <f>SUM(C47:G47)</f>
        <v>42.038659331710178</v>
      </c>
      <c r="I47" s="166"/>
      <c r="J47" s="166"/>
      <c r="K47" s="166"/>
      <c r="L47" s="166"/>
      <c r="M47" s="166"/>
      <c r="N47" s="38"/>
      <c r="O47" s="206"/>
      <c r="P47" s="206"/>
      <c r="Q47" s="206"/>
      <c r="R47" s="206"/>
      <c r="S47" s="206"/>
      <c r="T47" s="207"/>
      <c r="U47" s="16"/>
      <c r="W47" s="30"/>
      <c r="X47" s="208"/>
      <c r="Y47" s="208"/>
      <c r="Z47" s="208"/>
      <c r="AA47" s="208"/>
      <c r="AB47" s="208"/>
    </row>
    <row r="48" spans="1:28" x14ac:dyDescent="0.25">
      <c r="A48" s="162" t="s">
        <v>21</v>
      </c>
      <c r="B48" s="187"/>
      <c r="C48" s="36">
        <f>Résultats!AC$135/1000000</f>
        <v>0.79426403799999989</v>
      </c>
      <c r="D48" s="36">
        <f>'T energie usages'!I79*3.2*Résultats!AC283</f>
        <v>13.344455103658621</v>
      </c>
      <c r="E48" s="36">
        <f>'T energie usages'!J79/'T energie usages'!J$85*(Résultats!AC$192+Résultats!AC$193+Résultats!AC$194)/1000000</f>
        <v>5.3634706601322941</v>
      </c>
      <c r="F48" s="36">
        <f>('T energie usages'!K79-8)*2.394*Résultats!AC284</f>
        <v>6.6740495498287533</v>
      </c>
      <c r="G48" s="36">
        <v>0</v>
      </c>
      <c r="H48" s="163">
        <f>SUM(C48:G48)</f>
        <v>26.176239351619671</v>
      </c>
      <c r="I48" s="166"/>
      <c r="J48" s="166"/>
      <c r="K48" s="166"/>
      <c r="L48" s="166"/>
      <c r="M48" s="166"/>
      <c r="N48" s="38"/>
      <c r="O48" s="206"/>
      <c r="P48" s="206"/>
      <c r="Q48" s="206"/>
      <c r="R48" s="206"/>
      <c r="S48" s="206"/>
      <c r="T48" s="207"/>
      <c r="U48" s="75"/>
      <c r="W48" s="82"/>
      <c r="X48" s="208"/>
      <c r="Y48" s="208"/>
      <c r="Z48" s="208"/>
      <c r="AA48" s="208"/>
      <c r="AB48" s="208"/>
    </row>
    <row r="49" spans="1:28" x14ac:dyDescent="0.25">
      <c r="A49" s="162" t="s">
        <v>22</v>
      </c>
      <c r="B49" s="187"/>
      <c r="C49" s="36">
        <f>(Résultats!AC$168+Résultats!AC$169)/1000000</f>
        <v>0</v>
      </c>
      <c r="D49" s="36">
        <f>(Résultats!AC$188+Résultats!AC$189)/1000000</f>
        <v>2.8338118744999998</v>
      </c>
      <c r="E49" s="36">
        <f>'T energie usages'!J80/'T energie usages'!J$85*(Résultats!AC$192+Résultats!AC$193+Résultats!AC$194)/1000000</f>
        <v>3.0081571602190404</v>
      </c>
      <c r="F49" s="36">
        <f>(Résultats!AC$214+Résultats!AC$215)/1000000</f>
        <v>8.3323982409999999</v>
      </c>
      <c r="G49" s="36">
        <v>0</v>
      </c>
      <c r="H49" s="163">
        <f t="shared" ref="H49:H54" si="4">SUM(C49:G49)</f>
        <v>14.174367275719041</v>
      </c>
      <c r="I49" s="166"/>
      <c r="J49" s="166"/>
      <c r="K49" s="166"/>
      <c r="L49" s="166"/>
      <c r="M49" s="166"/>
      <c r="N49" s="38"/>
      <c r="O49" s="206"/>
      <c r="P49" s="206"/>
      <c r="Q49" s="206"/>
      <c r="R49" s="206"/>
      <c r="S49" s="206"/>
      <c r="T49" s="207"/>
      <c r="U49" s="75"/>
      <c r="W49" s="82"/>
      <c r="X49" s="208"/>
      <c r="Y49" s="208"/>
      <c r="Z49" s="208"/>
      <c r="AA49" s="208"/>
      <c r="AB49" s="208"/>
    </row>
    <row r="50" spans="1:28" x14ac:dyDescent="0.25">
      <c r="A50" s="162" t="s">
        <v>23</v>
      </c>
      <c r="B50" s="187"/>
      <c r="C50" s="36">
        <f>C51+C52</f>
        <v>8.5179813185000004</v>
      </c>
      <c r="D50" s="36">
        <f>D51+D52</f>
        <v>34.615130105401192</v>
      </c>
      <c r="E50" s="36">
        <f>E51+E52</f>
        <v>5.4788929026919577</v>
      </c>
      <c r="F50" s="36">
        <f>F51+F52</f>
        <v>7.3120762044750238</v>
      </c>
      <c r="G50" s="36">
        <f>G51+G52</f>
        <v>13.522354310000001</v>
      </c>
      <c r="H50" s="163">
        <f t="shared" si="4"/>
        <v>69.446434841068182</v>
      </c>
      <c r="I50" s="166"/>
      <c r="J50" s="166"/>
      <c r="K50" s="166"/>
      <c r="L50" s="166"/>
      <c r="M50" s="166"/>
      <c r="N50" s="38"/>
      <c r="O50" s="206"/>
      <c r="P50" s="206"/>
      <c r="Q50" s="206"/>
      <c r="R50" s="206"/>
      <c r="S50" s="206"/>
      <c r="T50" s="207"/>
      <c r="U50" s="75"/>
      <c r="W50" s="82"/>
      <c r="X50" s="208"/>
      <c r="Y50" s="208"/>
      <c r="Z50" s="208"/>
      <c r="AA50" s="208"/>
      <c r="AB50" s="208"/>
    </row>
    <row r="51" spans="1:28" x14ac:dyDescent="0.25">
      <c r="A51" s="149" t="s">
        <v>24</v>
      </c>
      <c r="B51" s="35"/>
      <c r="C51" s="16">
        <f>(Résultats!AC$162+Résultats!AC$163+Résultats!AC$164+Résultats!AC$165+Résultats!AC$166+Résultats!AC$167)/1000000</f>
        <v>8.5179813185000004</v>
      </c>
      <c r="D51" s="16">
        <f>(Résultats!AC$171+Résultats!AC$173+Résultats!AC$174+Résultats!AC$175+Résultats!AC$176+Résultats!AC$177+Résultats!AC$178+Résultats!AC$179+Résultats!AC$180+Résultats!AC$181+Résultats!AC$182)/1000000</f>
        <v>28.091723534401194</v>
      </c>
      <c r="E51" s="16">
        <f>'T energie usages'!J82/'T energie usages'!J$85*(Résultats!AC$192+Résultats!AC$193+Résultats!AC$194)/1000000</f>
        <v>5.3583045126962769</v>
      </c>
      <c r="F51" s="16">
        <f>(Résultats!AC$197+Résultats!AC$198+Résultats!AC$199+Résultats!AC$200+Résultats!AC$201+Résultats!AC$202+Résultats!AC$203+Résultats!AC$204+Résultats!AC$205+Résultats!AC$206+Résultats!AC$207+Résultats!AC$208+Résultats!AC$216+Résultats!AC$218)/1000000</f>
        <v>7.014677405375024</v>
      </c>
      <c r="G51" s="16">
        <f>Résultats!AC$133/1000000</f>
        <v>13.522354310000001</v>
      </c>
      <c r="H51" s="95">
        <f t="shared" si="4"/>
        <v>62.505041080972504</v>
      </c>
      <c r="I51" s="166"/>
      <c r="J51" s="166"/>
      <c r="K51" s="166"/>
      <c r="L51" s="166"/>
      <c r="M51" s="166"/>
      <c r="N51" s="38"/>
      <c r="O51" s="206"/>
      <c r="P51" s="206"/>
      <c r="Q51" s="206"/>
      <c r="R51" s="206"/>
      <c r="S51" s="206"/>
      <c r="T51" s="207"/>
      <c r="U51" s="16"/>
      <c r="W51" s="30"/>
      <c r="X51" s="208"/>
      <c r="Y51" s="208"/>
      <c r="Z51" s="208"/>
      <c r="AA51" s="208"/>
      <c r="AB51" s="208"/>
    </row>
    <row r="52" spans="1:28" x14ac:dyDescent="0.25">
      <c r="A52" s="149" t="s">
        <v>25</v>
      </c>
      <c r="B52" s="35"/>
      <c r="C52" s="16">
        <v>0</v>
      </c>
      <c r="D52" s="16">
        <f>(Résultats!AC$172)/1000000</f>
        <v>6.5234065710000007</v>
      </c>
      <c r="E52" s="16">
        <f>'T energie usages'!J84/'T energie usages'!J$85*(Résultats!AC$192+Résultats!AC$193+Résultats!AC$194)/1000000</f>
        <v>0.12058838999568072</v>
      </c>
      <c r="F52" s="16">
        <f>(Résultats!AC$196)/1000000</f>
        <v>0.2973987991</v>
      </c>
      <c r="G52" s="16">
        <v>0</v>
      </c>
      <c r="H52" s="95">
        <f t="shared" si="4"/>
        <v>6.9413937600956812</v>
      </c>
      <c r="I52" s="166"/>
      <c r="J52" s="166"/>
      <c r="K52" s="166"/>
      <c r="L52" s="166"/>
      <c r="M52" s="166"/>
      <c r="N52" s="38"/>
      <c r="O52" s="206"/>
      <c r="P52" s="206"/>
      <c r="Q52" s="206"/>
      <c r="R52" s="206"/>
      <c r="S52" s="206"/>
      <c r="T52" s="207"/>
      <c r="U52" s="16"/>
      <c r="W52" s="30"/>
      <c r="X52" s="208"/>
      <c r="Y52" s="208"/>
      <c r="Z52" s="208"/>
      <c r="AA52" s="208"/>
      <c r="AB52" s="208"/>
    </row>
    <row r="53" spans="1:28" x14ac:dyDescent="0.25">
      <c r="A53" s="48" t="s">
        <v>41</v>
      </c>
      <c r="B53" s="37"/>
      <c r="C53" s="37">
        <f>SUM(C48:C50)+C45</f>
        <v>9.3122453565000001</v>
      </c>
      <c r="D53" s="37">
        <f>SUM(D48:D50)+D45</f>
        <v>134.8738002530134</v>
      </c>
      <c r="E53" s="37">
        <f>SUM(E48:E50)+E45</f>
        <v>15.222709187</v>
      </c>
      <c r="F53" s="37">
        <f>SUM(F48:F50)+F45</f>
        <v>22.716429773033589</v>
      </c>
      <c r="G53" s="37">
        <f>SUM(G48:G50)+G45</f>
        <v>13.522354310000001</v>
      </c>
      <c r="H53" s="167">
        <f t="shared" si="4"/>
        <v>195.64753887954697</v>
      </c>
      <c r="I53" s="166"/>
      <c r="J53" s="166"/>
      <c r="K53" s="166"/>
      <c r="L53" s="166"/>
      <c r="M53" s="166"/>
      <c r="N53" s="38"/>
      <c r="O53" s="206"/>
      <c r="P53" s="206"/>
      <c r="Q53" s="206"/>
      <c r="R53" s="206"/>
      <c r="S53" s="206"/>
      <c r="T53" s="207"/>
      <c r="U53" s="79"/>
      <c r="W53" s="80"/>
      <c r="X53" s="208"/>
      <c r="Y53" s="208"/>
      <c r="Z53" s="208"/>
      <c r="AA53" s="208"/>
      <c r="AB53" s="208"/>
    </row>
    <row r="54" spans="1:28" x14ac:dyDescent="0.25">
      <c r="A54" s="164" t="s">
        <v>43</v>
      </c>
      <c r="B54" s="164"/>
      <c r="C54" s="165">
        <f>(Résultats!AC$135+Résultats!AC$162+Résultats!AC$163+Résultats!AC$164+Résultats!AC$165+Résultats!AC$166+Résultats!AC$167+Résultats!AC$168+Résultats!AC$169)/1000000</f>
        <v>9.3122453565000001</v>
      </c>
      <c r="D54" s="165">
        <f>(Résultats!AC$137+Résultats!AC$171+Résultats!AC$172+Résultats!AC$173+Résultats!AC$174+Résultats!AC$175+Résultats!AC$176+Résultats!AC$177+Résultats!AC$178+Résultats!AC$179+Résultats!AC$180+Résultats!AC$181+Résultats!AC$182+Résultats!AC$183+Résultats!AC$184+Résultats!AC$185+Résultats!AC$186+Résultats!AC$187+Résultats!AC$188+Résultats!AC$189)/1000000</f>
        <v>146.27628702590115</v>
      </c>
      <c r="E54" s="165">
        <f>(Résultats!AC$192+Résultats!AC$193+Résultats!AC$194)/1000000</f>
        <v>15.222709187</v>
      </c>
      <c r="F54" s="165">
        <f>(Résultats!AC$139+Résultats!AC$196+Résultats!AC$197+Résultats!AC$198+Résultats!AC$199+Résultats!AC$200+Résultats!AC$201+Résultats!AC$202+Résultats!AC$203+Résultats!AC$204+Résultats!AC$205+Résultats!AC$206+Résultats!AC$207+Résultats!AC$208+Résultats!AC$209+Résultats!AC$210+Résultats!AC$211+Résultats!AC$212+Résultats!AC$213+Résultats!AC$214+Résultats!AC$215+Résultats!AC$216+Résultats!AC$218)/1000000</f>
        <v>28.618208878445028</v>
      </c>
      <c r="G54" s="165">
        <f>Résultats!AC$133/1000000</f>
        <v>13.522354310000001</v>
      </c>
      <c r="H54" s="188">
        <f t="shared" si="4"/>
        <v>212.95180475784616</v>
      </c>
      <c r="I54" s="166"/>
      <c r="J54" s="166"/>
      <c r="K54" s="166"/>
      <c r="L54" s="166"/>
      <c r="M54" s="207"/>
      <c r="O54" s="166"/>
      <c r="P54" s="166"/>
      <c r="Q54" s="166"/>
      <c r="R54" s="166"/>
      <c r="S54" s="207"/>
      <c r="T54" s="207"/>
      <c r="X54" s="208"/>
      <c r="Y54" s="208"/>
      <c r="Z54" s="208"/>
      <c r="AA54" s="208"/>
      <c r="AB54" s="208"/>
    </row>
    <row r="55" spans="1:28" x14ac:dyDescent="0.25">
      <c r="A55" s="164"/>
      <c r="B55" s="164"/>
      <c r="C55" s="189"/>
      <c r="D55" s="189"/>
      <c r="E55" s="189"/>
      <c r="F55" s="189"/>
      <c r="G55" s="189"/>
      <c r="H55" s="165">
        <f>Résultats!AC227/1000000</f>
        <v>212.95180450000001</v>
      </c>
      <c r="I55" s="166"/>
      <c r="J55" s="166"/>
      <c r="K55" s="166"/>
      <c r="L55" s="166"/>
      <c r="M55" s="207"/>
      <c r="O55" s="166"/>
      <c r="P55" s="166"/>
      <c r="Q55" s="166"/>
      <c r="R55" s="166"/>
      <c r="S55" s="207"/>
      <c r="T55" s="207"/>
      <c r="W55" s="79"/>
      <c r="X55" s="208"/>
      <c r="Y55" s="208"/>
      <c r="Z55" s="208"/>
      <c r="AA55" s="208"/>
      <c r="AB55" s="208"/>
    </row>
    <row r="56" spans="1:28" x14ac:dyDescent="0.25">
      <c r="A56" s="3"/>
      <c r="B56" s="3"/>
      <c r="C56" s="75"/>
      <c r="D56" s="75"/>
      <c r="E56" s="75"/>
      <c r="F56" s="75"/>
      <c r="G56" s="75"/>
      <c r="H56" s="45"/>
      <c r="I56" s="166"/>
      <c r="J56" s="166"/>
      <c r="K56" s="166"/>
      <c r="L56" s="166"/>
      <c r="M56" s="207"/>
      <c r="O56" s="166"/>
      <c r="P56" s="166"/>
      <c r="Q56" s="166"/>
      <c r="R56" s="166"/>
      <c r="S56" s="207"/>
      <c r="T56" s="207"/>
      <c r="W56" s="210"/>
      <c r="X56" s="208"/>
      <c r="Y56" s="208"/>
      <c r="Z56" s="208"/>
      <c r="AA56" s="208"/>
      <c r="AB56" s="208"/>
    </row>
    <row r="57" spans="1:28" ht="21" x14ac:dyDescent="0.35">
      <c r="A57" s="145">
        <v>2035</v>
      </c>
      <c r="B57" s="186"/>
      <c r="C57" s="27" t="s">
        <v>36</v>
      </c>
      <c r="D57" s="27" t="s">
        <v>37</v>
      </c>
      <c r="E57" s="27" t="s">
        <v>38</v>
      </c>
      <c r="F57" s="27" t="s">
        <v>39</v>
      </c>
      <c r="G57" s="27" t="s">
        <v>40</v>
      </c>
      <c r="H57" s="190" t="s">
        <v>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W57" s="19"/>
      <c r="X57" s="19"/>
      <c r="Y57" s="19"/>
      <c r="Z57" s="19"/>
      <c r="AA57" s="19"/>
      <c r="AB57" s="208"/>
    </row>
    <row r="58" spans="1:28" x14ac:dyDescent="0.25">
      <c r="A58" s="162" t="s">
        <v>18</v>
      </c>
      <c r="B58" s="187"/>
      <c r="C58" s="36">
        <f>C59+C60</f>
        <v>0</v>
      </c>
      <c r="D58" s="36">
        <f>D59+D60</f>
        <v>61.515689385306679</v>
      </c>
      <c r="E58" s="36">
        <f>E59+E60</f>
        <v>1.9533068837328225</v>
      </c>
      <c r="F58" s="36">
        <f>F59+F60</f>
        <v>0.22678118171667996</v>
      </c>
      <c r="G58" s="36">
        <f>G59+G60</f>
        <v>0</v>
      </c>
      <c r="H58" s="163">
        <f t="shared" ref="H58:H67" si="5">SUM(C58:G58)</f>
        <v>63.695777450756182</v>
      </c>
      <c r="I58" s="166"/>
      <c r="J58" s="166"/>
      <c r="K58" s="166"/>
      <c r="L58" s="166"/>
      <c r="M58" s="166"/>
      <c r="N58" s="38"/>
      <c r="O58" s="166"/>
      <c r="P58" s="166"/>
      <c r="Q58" s="166"/>
      <c r="R58" s="166"/>
      <c r="S58" s="166"/>
      <c r="T58" s="207"/>
      <c r="U58" s="75"/>
      <c r="W58" s="82"/>
      <c r="X58" s="208"/>
      <c r="Y58" s="208"/>
      <c r="Z58" s="208"/>
      <c r="AA58" s="208"/>
      <c r="AB58" s="208"/>
    </row>
    <row r="59" spans="1:28" x14ac:dyDescent="0.25">
      <c r="A59" s="148" t="s">
        <v>19</v>
      </c>
      <c r="B59" s="35"/>
      <c r="C59" s="16">
        <v>0</v>
      </c>
      <c r="D59" s="16">
        <f>'T energie usages'!I90*3.2*Résultats!AH283</f>
        <v>30.719322253306679</v>
      </c>
      <c r="E59" s="16">
        <f>'T energie usages'!J90/'T energie usages'!J$98*(Résultats!AH$192+Résultats!AH$193+Résultats!AH$194)/1000000</f>
        <v>0.59196169815743838</v>
      </c>
      <c r="F59" s="16">
        <f>'T energie usages'!K90*2.394*Résultats!AH284</f>
        <v>1.0947576679962337E-5</v>
      </c>
      <c r="G59" s="16">
        <v>0</v>
      </c>
      <c r="H59" s="95">
        <f t="shared" si="5"/>
        <v>31.311294899040796</v>
      </c>
      <c r="I59" s="166"/>
      <c r="J59" s="166"/>
      <c r="K59" s="166"/>
      <c r="L59" s="166"/>
      <c r="M59" s="166"/>
      <c r="N59" s="38"/>
      <c r="O59" s="166"/>
      <c r="P59" s="166"/>
      <c r="Q59" s="166"/>
      <c r="R59" s="166"/>
      <c r="S59" s="166"/>
      <c r="T59" s="207"/>
      <c r="U59" s="16"/>
      <c r="W59" s="30"/>
      <c r="X59" s="208"/>
      <c r="Y59" s="208"/>
      <c r="Z59" s="208"/>
      <c r="AA59" s="208"/>
      <c r="AB59" s="208"/>
    </row>
    <row r="60" spans="1:28" x14ac:dyDescent="0.25">
      <c r="A60" s="149" t="s">
        <v>20</v>
      </c>
      <c r="B60" s="35"/>
      <c r="C60" s="16">
        <v>0</v>
      </c>
      <c r="D60" s="16">
        <f>(Résultats!AH$183+Résultats!AH$184+Résultats!AH$185+Résultats!AH$186+Résultats!AH$187)/1000000</f>
        <v>30.796367132</v>
      </c>
      <c r="E60" s="16">
        <f>'T energie usages'!J91/'T energie usages'!J$98*(Résultats!AH$192+Résultats!AH$193+Résultats!AH$194)/1000000</f>
        <v>1.361345185575384</v>
      </c>
      <c r="F60" s="16">
        <f>(Résultats!AH$209+Résultats!AH$210+Résultats!AH$211+Résultats!AH$212+Résultats!AH$213)/1000000</f>
        <v>0.22677023414</v>
      </c>
      <c r="G60" s="16">
        <v>0</v>
      </c>
      <c r="H60" s="95">
        <f t="shared" si="5"/>
        <v>32.384482551715379</v>
      </c>
      <c r="I60" s="166"/>
      <c r="J60" s="166"/>
      <c r="K60" s="166"/>
      <c r="L60" s="166"/>
      <c r="M60" s="166"/>
      <c r="N60" s="38"/>
      <c r="O60" s="166"/>
      <c r="P60" s="166"/>
      <c r="Q60" s="166"/>
      <c r="R60" s="166"/>
      <c r="S60" s="166"/>
      <c r="T60" s="207"/>
      <c r="U60" s="16"/>
      <c r="W60" s="30"/>
      <c r="X60" s="208"/>
      <c r="Y60" s="208"/>
      <c r="Z60" s="208"/>
      <c r="AA60" s="208"/>
      <c r="AB60" s="208"/>
    </row>
    <row r="61" spans="1:28" x14ac:dyDescent="0.25">
      <c r="A61" s="162" t="s">
        <v>21</v>
      </c>
      <c r="B61" s="187"/>
      <c r="C61" s="36">
        <f>Résultats!AH$135/1000000</f>
        <v>0.70358527719999997</v>
      </c>
      <c r="D61" s="36">
        <f>'T energie usages'!I92*3.2*Résultats!AH283</f>
        <v>11.049315954295178</v>
      </c>
      <c r="E61" s="36">
        <f>'T energie usages'!J92/'T energie usages'!J$98*(Résultats!AH$192+Résultats!AH$193+Résultats!AH$194)/1000000</f>
        <v>4.5129127644125795</v>
      </c>
      <c r="F61" s="36">
        <f>('T energie usages'!K92-8)*2.394*Résultats!AH284</f>
        <v>3.8202905891681973</v>
      </c>
      <c r="G61" s="36">
        <v>0</v>
      </c>
      <c r="H61" s="163">
        <f t="shared" si="5"/>
        <v>20.086104585075955</v>
      </c>
      <c r="I61" s="166"/>
      <c r="J61" s="166"/>
      <c r="K61" s="166"/>
      <c r="L61" s="166"/>
      <c r="M61" s="166"/>
      <c r="N61" s="38"/>
      <c r="O61" s="166"/>
      <c r="P61" s="166"/>
      <c r="Q61" s="166"/>
      <c r="R61" s="166"/>
      <c r="S61" s="166"/>
      <c r="T61" s="207"/>
      <c r="U61" s="75"/>
      <c r="W61" s="82"/>
      <c r="X61" s="208"/>
      <c r="Y61" s="208"/>
      <c r="Z61" s="208"/>
      <c r="AA61" s="208"/>
      <c r="AB61" s="208"/>
    </row>
    <row r="62" spans="1:28" x14ac:dyDescent="0.25">
      <c r="A62" s="162" t="s">
        <v>22</v>
      </c>
      <c r="B62" s="187"/>
      <c r="C62" s="36">
        <f>(Résultats!AH$168+Résultats!AH$169)/1000000</f>
        <v>0</v>
      </c>
      <c r="D62" s="36">
        <f>(Résultats!AH$188+Résultats!AH$189)/1000000</f>
        <v>2.5809625000999996</v>
      </c>
      <c r="E62" s="36">
        <f>'T energie usages'!J93/'T energie usages'!J$98*(Résultats!AH$192+Résultats!AH$193+Résultats!AH$194)/1000000</f>
        <v>2.4755377558531952</v>
      </c>
      <c r="F62" s="36">
        <f>(Résultats!AH$214+Résultats!AH$215)/1000000</f>
        <v>4.7244882709999994</v>
      </c>
      <c r="G62" s="36">
        <v>0</v>
      </c>
      <c r="H62" s="163">
        <f t="shared" si="5"/>
        <v>9.7809885269531947</v>
      </c>
      <c r="I62" s="166"/>
      <c r="J62" s="166"/>
      <c r="K62" s="166"/>
      <c r="L62" s="166"/>
      <c r="M62" s="166"/>
      <c r="N62" s="38"/>
      <c r="O62" s="166"/>
      <c r="P62" s="166"/>
      <c r="Q62" s="166"/>
      <c r="R62" s="166"/>
      <c r="S62" s="166"/>
      <c r="T62" s="207"/>
      <c r="U62" s="75"/>
      <c r="W62" s="82"/>
      <c r="X62" s="208"/>
      <c r="Y62" s="208"/>
      <c r="Z62" s="208"/>
      <c r="AA62" s="208"/>
      <c r="AB62" s="208"/>
    </row>
    <row r="63" spans="1:28" x14ac:dyDescent="0.25">
      <c r="A63" s="162" t="s">
        <v>23</v>
      </c>
      <c r="B63" s="187"/>
      <c r="C63" s="36">
        <f>C64+C65</f>
        <v>7.4697056828599999</v>
      </c>
      <c r="D63" s="36">
        <f>D64+D65</f>
        <v>27.650323568547091</v>
      </c>
      <c r="E63" s="36">
        <f>E64+E65</f>
        <v>5.6713027340014026</v>
      </c>
      <c r="F63" s="36">
        <f>F64+F65</f>
        <v>3.6563515690632142</v>
      </c>
      <c r="G63" s="36">
        <f>G64+G65</f>
        <v>13.461776260000001</v>
      </c>
      <c r="H63" s="163">
        <f t="shared" si="5"/>
        <v>57.909459814471703</v>
      </c>
      <c r="I63" s="166"/>
      <c r="J63" s="166"/>
      <c r="K63" s="166"/>
      <c r="L63" s="166"/>
      <c r="M63" s="166"/>
      <c r="N63" s="38"/>
      <c r="O63" s="166"/>
      <c r="P63" s="166"/>
      <c r="Q63" s="166"/>
      <c r="R63" s="166"/>
      <c r="S63" s="166"/>
      <c r="T63" s="207"/>
      <c r="U63" s="75"/>
      <c r="W63" s="82"/>
      <c r="X63" s="208"/>
      <c r="Y63" s="208"/>
      <c r="Z63" s="208"/>
      <c r="AA63" s="208"/>
      <c r="AB63" s="208"/>
    </row>
    <row r="64" spans="1:28" x14ac:dyDescent="0.25">
      <c r="A64" s="149" t="s">
        <v>24</v>
      </c>
      <c r="B64" s="35"/>
      <c r="C64" s="75">
        <f>(Résultats!AH$162+Résultats!AH$163+Résultats!AH$164+Résultats!AH$165+Résultats!AH$166+Résultats!AH$167)/1000000</f>
        <v>7.4697056828599999</v>
      </c>
      <c r="D64" s="16">
        <f>(Résultats!AH$171+Résultats!AH$173+Résultats!AH$174+Résultats!AH$175+Résultats!AH$176+Résultats!AH$177+Résultats!AH$178+Résultats!AH$179+Résultats!AH$180+Résultats!AH$181+Résultats!AH$182)/1000000</f>
        <v>21.549186252547091</v>
      </c>
      <c r="E64" s="16">
        <f>'T energie usages'!J95/'T energie usages'!J$98*(Résultats!AH$192+Résultats!AH$193+Résultats!AH$194)/1000000</f>
        <v>5.5667957958510588</v>
      </c>
      <c r="F64" s="16">
        <f>(Résultats!AH$197+Résultats!AH$198+Résultats!AH$199+Résultats!AH$200+Résultats!AH$201+Résultats!AH$202+Résultats!AH$203+Résultats!AH$204+Résultats!AH$205+Résultats!AH$206+Résultats!AH$207+Résultats!AH$208+Résultats!AH$216+Résultats!AH$218)/1000000</f>
        <v>3.4633807863632144</v>
      </c>
      <c r="G64" s="16">
        <f>Résultats!AH$133/1000000</f>
        <v>13.461776260000001</v>
      </c>
      <c r="H64" s="95">
        <f t="shared" si="5"/>
        <v>51.510844777621365</v>
      </c>
      <c r="I64" s="166"/>
      <c r="K64" s="166"/>
      <c r="L64" s="166"/>
      <c r="M64" s="166"/>
      <c r="N64" s="38"/>
      <c r="O64" s="166"/>
      <c r="P64" s="166"/>
      <c r="Q64" s="166"/>
      <c r="R64" s="166"/>
      <c r="S64" s="166"/>
      <c r="T64" s="207"/>
      <c r="U64" s="16"/>
      <c r="W64" s="30"/>
      <c r="X64" s="208"/>
      <c r="Y64" s="208"/>
      <c r="Z64" s="208"/>
      <c r="AA64" s="208"/>
      <c r="AB64" s="208"/>
    </row>
    <row r="65" spans="1:28" x14ac:dyDescent="0.25">
      <c r="A65" s="149" t="s">
        <v>25</v>
      </c>
      <c r="B65" s="35"/>
      <c r="C65" s="16">
        <v>0</v>
      </c>
      <c r="D65" s="16">
        <f>(Résultats!AH$172)/1000000</f>
        <v>6.101137316</v>
      </c>
      <c r="E65" s="16">
        <f>'T energie usages'!J97/'T energie usages'!J$98*(Résultats!AH$192+Résultats!AH$193+Résultats!AH$194)/1000000</f>
        <v>0.10450693815034402</v>
      </c>
      <c r="F65" s="16">
        <f>(Résultats!AH$196)/1000000</f>
        <v>0.19297078270000001</v>
      </c>
      <c r="G65" s="16">
        <v>0</v>
      </c>
      <c r="H65" s="95">
        <f t="shared" si="5"/>
        <v>6.3986150368503436</v>
      </c>
      <c r="I65" s="166"/>
      <c r="K65" s="166"/>
      <c r="L65" s="166"/>
      <c r="M65" s="166"/>
      <c r="N65" s="38"/>
      <c r="O65" s="166"/>
      <c r="P65" s="166"/>
      <c r="Q65" s="166"/>
      <c r="R65" s="166"/>
      <c r="S65" s="166"/>
      <c r="T65" s="207"/>
      <c r="U65" s="16"/>
      <c r="W65" s="30"/>
      <c r="X65" s="208"/>
      <c r="Y65" s="208"/>
      <c r="Z65" s="208"/>
      <c r="AA65" s="208"/>
      <c r="AB65" s="208"/>
    </row>
    <row r="66" spans="1:28" x14ac:dyDescent="0.25">
      <c r="A66" s="48" t="s">
        <v>41</v>
      </c>
      <c r="B66" s="37"/>
      <c r="C66" s="37">
        <f>SUM(C61:C63)+C58</f>
        <v>8.1732909600599992</v>
      </c>
      <c r="D66" s="37">
        <f>SUM(D61:D63)+D58</f>
        <v>102.79629140824895</v>
      </c>
      <c r="E66" s="37">
        <f>SUM(E61:E63)+E58</f>
        <v>14.613060137999998</v>
      </c>
      <c r="F66" s="37">
        <f>SUM(F61:F63)+F58</f>
        <v>12.427911610948092</v>
      </c>
      <c r="G66" s="37">
        <f>SUM(G61:G63)+G58</f>
        <v>13.461776260000001</v>
      </c>
      <c r="H66" s="167">
        <f t="shared" si="5"/>
        <v>151.47233037725704</v>
      </c>
      <c r="I66" s="79"/>
      <c r="J66" s="211"/>
      <c r="K66" s="166"/>
      <c r="L66" s="166"/>
      <c r="M66" s="166"/>
      <c r="N66" s="38"/>
      <c r="O66" s="166"/>
      <c r="P66" s="166"/>
      <c r="Q66" s="166"/>
      <c r="R66" s="166"/>
      <c r="S66" s="166"/>
      <c r="T66" s="207"/>
      <c r="U66" s="79"/>
      <c r="W66" s="80"/>
      <c r="X66" s="208"/>
      <c r="Y66" s="208"/>
      <c r="Z66" s="208"/>
      <c r="AA66" s="208"/>
      <c r="AB66" s="208"/>
    </row>
    <row r="67" spans="1:28" x14ac:dyDescent="0.25">
      <c r="A67" s="164" t="s">
        <v>43</v>
      </c>
      <c r="B67" s="164"/>
      <c r="C67" s="165">
        <f>(Résultats!AH$135+Résultats!AH$162+Résultats!AH$163+Résultats!AH$164+Résultats!AH$165+Résultats!AH$166+Résultats!AH$167+Résultats!AH$168+Résultats!AH$169)/1000000</f>
        <v>8.173290960060001</v>
      </c>
      <c r="D67" s="165">
        <f>(Résultats!AH$137+Résultats!AH$171+Résultats!AH$172+Résultats!AH$173+Résultats!AH$174+Résultats!AH$175+Résultats!AH$176+Résultats!AH$177+Résultats!AH$178+Résultats!AH$179+Résultats!AH$180+Résultats!AH$181+Résultats!AH$182+Résultats!AH$183+Résultats!AH$184+Résultats!AH$185+Résultats!AH$186+Résultats!AH$187+Résultats!AH$188+Résultats!AH$189)/1000000</f>
        <v>111.17238391064711</v>
      </c>
      <c r="E67" s="165">
        <f>(Résultats!AH$192+Résultats!AH$193+Résultats!AH$194)/1000000</f>
        <v>14.613060138</v>
      </c>
      <c r="F67" s="165">
        <f>(Résultats!AH$139+Résultats!AH$196+Résultats!AH$197+Résultats!AH$198+Résultats!AH$199+Résultats!AH$200+Résultats!AH$201+Résultats!AH$202+Résultats!AH$203+Résultats!AH$204+Résultats!AH$205+Résultats!AH$206+Résultats!AH$207+Résultats!AH$208+Résultats!AH$209+Résultats!AH$210+Résultats!AH$211+Résultats!AH$212+Résultats!AH$213+Résultats!AH$214+Résultats!AH$215+Résultats!AH$216+Résultats!AH$218)/1000000</f>
        <v>16.097955556203214</v>
      </c>
      <c r="G67" s="165">
        <f>Résultats!AH$133/1000000</f>
        <v>13.461776260000001</v>
      </c>
      <c r="H67" s="188">
        <f t="shared" si="5"/>
        <v>163.51846682491032</v>
      </c>
      <c r="I67" s="45"/>
      <c r="K67" s="45"/>
      <c r="L67" s="166"/>
    </row>
    <row r="68" spans="1:28" x14ac:dyDescent="0.25">
      <c r="A68" s="164"/>
      <c r="B68" s="164"/>
      <c r="C68" s="165"/>
      <c r="D68" s="165"/>
      <c r="E68" s="165"/>
      <c r="F68" s="165"/>
      <c r="G68" s="165"/>
      <c r="H68" s="165">
        <f>Résultats!AH227/1000000</f>
        <v>163.51846669999998</v>
      </c>
      <c r="I68" s="45"/>
      <c r="K68" s="45"/>
      <c r="L68" s="166"/>
    </row>
    <row r="69" spans="1:28" x14ac:dyDescent="0.25">
      <c r="A69" s="3"/>
      <c r="B69" s="3"/>
      <c r="C69" s="45"/>
      <c r="D69" s="45"/>
      <c r="E69" s="45"/>
      <c r="F69" s="45"/>
      <c r="G69" s="45"/>
      <c r="H69" s="45"/>
      <c r="I69" s="45"/>
      <c r="K69" s="45"/>
      <c r="L69" s="166"/>
    </row>
    <row r="70" spans="1:28" ht="21" x14ac:dyDescent="0.35">
      <c r="A70" s="145">
        <v>2050</v>
      </c>
      <c r="B70" s="186"/>
      <c r="C70" s="27" t="s">
        <v>36</v>
      </c>
      <c r="D70" s="27" t="s">
        <v>37</v>
      </c>
      <c r="E70" s="27" t="s">
        <v>38</v>
      </c>
      <c r="F70" s="27" t="s">
        <v>39</v>
      </c>
      <c r="G70" s="27" t="s">
        <v>40</v>
      </c>
      <c r="H70" s="190" t="s">
        <v>1</v>
      </c>
      <c r="I70" s="3"/>
    </row>
    <row r="71" spans="1:28" x14ac:dyDescent="0.25">
      <c r="A71" s="162" t="s">
        <v>18</v>
      </c>
      <c r="B71" s="187"/>
      <c r="C71" s="36">
        <f>C72+C73</f>
        <v>6.3236563092616094E-6</v>
      </c>
      <c r="D71" s="36">
        <f>D72+D73</f>
        <v>21.985551296948159</v>
      </c>
      <c r="E71" s="36">
        <f>E72+E73</f>
        <v>2.8430894758816159</v>
      </c>
      <c r="F71" s="36">
        <f>F72+F73</f>
        <v>1.7550632123308305E-2</v>
      </c>
      <c r="G71" s="36">
        <f>G72+G73</f>
        <v>0</v>
      </c>
      <c r="H71" s="163">
        <f t="shared" ref="H71:H80" si="6">SUM(C71:G71)</f>
        <v>24.84619772860939</v>
      </c>
      <c r="I71" s="3"/>
    </row>
    <row r="72" spans="1:28" x14ac:dyDescent="0.25">
      <c r="A72" s="148" t="s">
        <v>19</v>
      </c>
      <c r="B72" s="35"/>
      <c r="C72" s="16">
        <f>Résultats!AF$118/1000000</f>
        <v>6.3236563092616094E-6</v>
      </c>
      <c r="D72" s="16">
        <f>'T energie usages'!I116*3.2*Résultats!AW283</f>
        <v>9.4377630951481617</v>
      </c>
      <c r="E72" s="16">
        <f>'T energie usages'!J116/'T energie usages'!J$124*(Résultats!AW$192+Résultats!AW$193+Résultats!AW$194)/1000000</f>
        <v>1.0004647530323463</v>
      </c>
      <c r="F72" s="16">
        <f>'T energie usages'!K116*2.394*Résultats!AW284</f>
        <v>2.6277030830316815E-7</v>
      </c>
      <c r="G72" s="16">
        <v>0</v>
      </c>
      <c r="H72" s="95">
        <f t="shared" si="6"/>
        <v>10.438234434607127</v>
      </c>
      <c r="I72" s="3"/>
    </row>
    <row r="73" spans="1:28" x14ac:dyDescent="0.25">
      <c r="A73" s="149" t="s">
        <v>20</v>
      </c>
      <c r="B73" s="35"/>
      <c r="C73" s="16">
        <v>0</v>
      </c>
      <c r="D73" s="16">
        <f>(Résultats!AW$183+Résultats!AW$184+Résultats!AW$185+Résultats!AW$186+Résultats!AW$187)/1000000</f>
        <v>12.5477882018</v>
      </c>
      <c r="E73" s="16">
        <f>'T energie usages'!J117/'T energie usages'!J$124*(Résultats!AW$192+Résultats!AW$193+Résultats!AW$194)/1000000</f>
        <v>1.8426247228492698</v>
      </c>
      <c r="F73" s="192">
        <f>(Résultats!AW$209+Résultats!AW$210+Résultats!AW$211+Résultats!AW$212+Résultats!AW$213)/1000000</f>
        <v>1.7550369353E-2</v>
      </c>
      <c r="G73" s="16">
        <v>0</v>
      </c>
      <c r="H73" s="95">
        <f t="shared" si="6"/>
        <v>14.407963294002268</v>
      </c>
      <c r="I73" s="3"/>
    </row>
    <row r="74" spans="1:28" x14ac:dyDescent="0.25">
      <c r="A74" s="162" t="s">
        <v>21</v>
      </c>
      <c r="B74" s="187"/>
      <c r="C74" s="36">
        <f>Résultats!AW$135/1000000</f>
        <v>0.46322321449999998</v>
      </c>
      <c r="D74" s="36">
        <f>'T energie usages'!I118*3.2*Résultats!AW283</f>
        <v>6.2605351475871087</v>
      </c>
      <c r="E74" s="36">
        <f>'T energie usages'!J118/'T energie usages'!J$124*(Résultats!AW$192+Résultats!AW$193+Résultats!AW$194)/1000000</f>
        <v>3.1101505424916223</v>
      </c>
      <c r="F74" s="36">
        <f>('T energie usages'!K118-8)*2.394*Résultats!AW284</f>
        <v>0.14143957718171479</v>
      </c>
      <c r="G74" s="36">
        <v>0</v>
      </c>
      <c r="H74" s="163">
        <f t="shared" si="6"/>
        <v>9.9753484817604452</v>
      </c>
      <c r="I74" s="3"/>
    </row>
    <row r="75" spans="1:28" x14ac:dyDescent="0.25">
      <c r="A75" s="162" t="s">
        <v>22</v>
      </c>
      <c r="B75" s="187"/>
      <c r="C75" s="36">
        <f>(Résultats!AW$168+Résultats!AW$169)/1000000</f>
        <v>0</v>
      </c>
      <c r="D75" s="36">
        <f>(Résultats!AW$188+Résultats!AW$189)/1000000</f>
        <v>2.0055418110000001</v>
      </c>
      <c r="E75" s="36">
        <f>'T energie usages'!J119/'T energie usages'!J$124*(Résultats!AW$192+Résultats!AW$193+Résultats!AW$194)/1000000</f>
        <v>1.6820352171865161</v>
      </c>
      <c r="F75" s="36">
        <f>(Résultats!AW$214+Résultats!AW$215)/1000000</f>
        <v>0.18827473460999999</v>
      </c>
      <c r="G75" s="36">
        <v>0</v>
      </c>
      <c r="H75" s="163">
        <f t="shared" si="6"/>
        <v>3.8758517627965166</v>
      </c>
      <c r="I75" s="3"/>
    </row>
    <row r="76" spans="1:28" x14ac:dyDescent="0.25">
      <c r="A76" s="162" t="s">
        <v>23</v>
      </c>
      <c r="B76" s="187"/>
      <c r="C76" s="36">
        <f>C77+C78</f>
        <v>6.3419163795899998</v>
      </c>
      <c r="D76" s="36">
        <f>D77+D78</f>
        <v>16.506361492033875</v>
      </c>
      <c r="E76" s="36">
        <f>E77+E78</f>
        <v>5.6292289152902466</v>
      </c>
      <c r="F76" s="36">
        <f>F77+F78</f>
        <v>0.1783619509188846</v>
      </c>
      <c r="G76" s="36">
        <f>G77+G78</f>
        <v>14.61204259</v>
      </c>
      <c r="H76" s="163">
        <f t="shared" si="6"/>
        <v>43.267911327833005</v>
      </c>
      <c r="I76" s="3"/>
    </row>
    <row r="77" spans="1:28" x14ac:dyDescent="0.25">
      <c r="A77" s="149" t="s">
        <v>24</v>
      </c>
      <c r="B77" s="35"/>
      <c r="C77" s="16">
        <f>(Résultats!AW$162+Résultats!AW$163+Résultats!AW$164+Résultats!AW$165+Résultats!AW$166+Résultats!AW$167)/1000000</f>
        <v>6.3419163795899998</v>
      </c>
      <c r="D77" s="16">
        <f>(Résultats!AW$171+Résultats!AW$173+Résultats!AW$174+Résultats!AW$175+Résultats!AW$176+Résultats!AW$177+Résultats!AW$178+Résultats!AW$179+Résultats!AW$180+Résultats!AW$181+Résultats!AW$182)/1000000</f>
        <v>11.175482083033875</v>
      </c>
      <c r="E77" s="16">
        <f>'T energie usages'!J121/'T energie usages'!J$124*(Résultats!AW$192+Résultats!AW$193+Résultats!AW$194)/1000000</f>
        <v>5.541556107850468</v>
      </c>
      <c r="F77" s="16">
        <f>(Résultats!AW$197+Résultats!AW$198+Résultats!AW$199+Résultats!AW$200+Résultats!AW$201+Résultats!AW$202+Résultats!AW$203+Résultats!AW$204+Résultats!AW$205+Résultats!AW$206+Résultats!AW$207+Résultats!AW$208+Résultats!AW$216+Résultats!AW$218)/1000000</f>
        <v>0.1661445447388846</v>
      </c>
      <c r="G77" s="16">
        <f>Résultats!AW$133/1000000</f>
        <v>14.61204259</v>
      </c>
      <c r="H77" s="95">
        <f t="shared" si="6"/>
        <v>37.837141705213227</v>
      </c>
      <c r="I77" s="3"/>
    </row>
    <row r="78" spans="1:28" x14ac:dyDescent="0.25">
      <c r="A78" s="149" t="s">
        <v>25</v>
      </c>
      <c r="B78" s="35"/>
      <c r="C78" s="16">
        <v>0</v>
      </c>
      <c r="D78" s="16">
        <f>(Résultats!AW$172)/1000000</f>
        <v>5.3308794089999996</v>
      </c>
      <c r="E78" s="16">
        <f>'T energie usages'!J123/'T energie usages'!J$124*(Résultats!AW$192+Résultats!AW$193+Résultats!AW$194)/1000000</f>
        <v>8.7672807439778205E-2</v>
      </c>
      <c r="F78" s="16">
        <f>(Résultats!AW$196)/1000000</f>
        <v>1.2217406179999999E-2</v>
      </c>
      <c r="G78" s="16">
        <v>0</v>
      </c>
      <c r="H78" s="95">
        <f t="shared" si="6"/>
        <v>5.4307696226197777</v>
      </c>
      <c r="I78" s="3"/>
    </row>
    <row r="79" spans="1:28" x14ac:dyDescent="0.25">
      <c r="A79" s="48" t="s">
        <v>41</v>
      </c>
      <c r="B79" s="37"/>
      <c r="C79" s="37">
        <f>SUM(C74:C76)+C71</f>
        <v>6.8051459177463096</v>
      </c>
      <c r="D79" s="37">
        <f>SUM(D74:D76)+D71</f>
        <v>46.757989747569141</v>
      </c>
      <c r="E79" s="37">
        <f>SUM(E74:E76)+E71</f>
        <v>13.264504150850001</v>
      </c>
      <c r="F79" s="37">
        <f>SUM(F74:F76)+F71</f>
        <v>0.52562689483390768</v>
      </c>
      <c r="G79" s="37">
        <f>SUM(G74:G76)+G71</f>
        <v>14.61204259</v>
      </c>
      <c r="H79" s="167">
        <f t="shared" si="6"/>
        <v>81.965309300999365</v>
      </c>
      <c r="I79" s="3"/>
    </row>
    <row r="80" spans="1:28" x14ac:dyDescent="0.25">
      <c r="A80" s="164" t="s">
        <v>43</v>
      </c>
      <c r="B80" s="164"/>
      <c r="C80" s="165">
        <f>(Résultats!AW$135+Résultats!AW$162+Résultats!AW$163+Résultats!AW$164+Résultats!AW$165+Résultats!AW$166+Résultats!AW$167+Résultats!AW$168+Résultats!AW$169)/1000000</f>
        <v>6.8051395940899999</v>
      </c>
      <c r="D80" s="165">
        <f>(Résultats!AW$137+Résultats!AW$171+Résultats!AW$172+Résultats!AW$173+Résultats!AW$174+Résultats!AW$175+Résultats!AW$176+Résultats!AW$177+Résultats!AW$178+Résultats!AW$179+Résultats!AW$180+Résultats!AW$181+Résultats!AW$182+Résultats!AW$183+Résultats!AW$184+Résultats!AW$185+Résultats!AW$186+Résultats!AW$187+Résultats!AW$188+Résultats!AW$189)/1000000</f>
        <v>49.906054984833872</v>
      </c>
      <c r="E80" s="165">
        <f>(Résultats!AW$192+Résultats!AW$193+Résultats!AW$194)/1000000</f>
        <v>13.26450415085</v>
      </c>
      <c r="F80" s="165">
        <f>(Résultats!AW$139+Résultats!AW$196+Résultats!AW$197+Résultats!AW$198+Résultats!AW$199+Résultats!AW$200+Résultats!AW$201+Résultats!AW$202+Résultats!AW$203+Résultats!AW$204+Résultats!AW$205+Résultats!AW$206+Résultats!AW$207+Résultats!AW$208+Résultats!AW$209+Résultats!AW$210+Résultats!AW$211+Résultats!AW$212+Résultats!AW$213+Résultats!AW$214+Résultats!AW$215+Résultats!AW$216+Résultats!AW$218)/1000000</f>
        <v>0.72822451788188447</v>
      </c>
      <c r="G80" s="165">
        <f>Résultats!AW133/1000000</f>
        <v>14.61204259</v>
      </c>
      <c r="H80" s="188">
        <f t="shared" si="6"/>
        <v>85.315965837655753</v>
      </c>
      <c r="I80" s="47"/>
    </row>
    <row r="81" spans="1:9" x14ac:dyDescent="0.25">
      <c r="A81" s="164"/>
      <c r="B81" s="164"/>
      <c r="C81" s="165"/>
      <c r="D81" s="165"/>
      <c r="E81" s="165"/>
      <c r="F81" s="165"/>
      <c r="G81" s="165"/>
      <c r="H81" s="165">
        <f>Résultats!AW227/1000000</f>
        <v>85.315965829999996</v>
      </c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s="3" customFormat="1" x14ac:dyDescent="0.25"/>
    <row r="85" spans="1:9" s="3" customFormat="1" x14ac:dyDescent="0.25">
      <c r="G85" s="45"/>
    </row>
    <row r="86" spans="1:9" s="3" customFormat="1" x14ac:dyDescent="0.25">
      <c r="H86" s="47"/>
    </row>
    <row r="87" spans="1:9" s="3" customFormat="1" x14ac:dyDescent="0.25">
      <c r="C87" s="45"/>
      <c r="H87" s="47"/>
    </row>
    <row r="88" spans="1:9" s="3" customFormat="1" x14ac:dyDescent="0.25">
      <c r="C88" s="45"/>
      <c r="H88" s="47"/>
    </row>
    <row r="89" spans="1:9" s="3" customFormat="1" x14ac:dyDescent="0.25">
      <c r="C89" s="45"/>
      <c r="H89" s="47"/>
    </row>
    <row r="90" spans="1:9" s="3" customFormat="1" x14ac:dyDescent="0.25">
      <c r="C90" s="45"/>
      <c r="H90" s="47"/>
    </row>
    <row r="91" spans="1:9" s="3" customFormat="1" x14ac:dyDescent="0.25">
      <c r="C91" s="45"/>
      <c r="H91" s="47"/>
    </row>
    <row r="92" spans="1:9" s="3" customFormat="1" x14ac:dyDescent="0.25">
      <c r="C92" s="45"/>
    </row>
    <row r="93" spans="1:9" s="3" customFormat="1" x14ac:dyDescent="0.25">
      <c r="C93" s="45"/>
    </row>
    <row r="94" spans="1:9" s="3" customFormat="1" x14ac:dyDescent="0.25">
      <c r="C94" s="45"/>
    </row>
    <row r="95" spans="1:9" s="3" customFormat="1" x14ac:dyDescent="0.25">
      <c r="C95" s="45"/>
    </row>
    <row r="96" spans="1:9" s="3" customFormat="1" x14ac:dyDescent="0.25">
      <c r="C96" s="45"/>
    </row>
    <row r="97" spans="3:5" s="3" customFormat="1" x14ac:dyDescent="0.25">
      <c r="C97" s="45"/>
    </row>
    <row r="98" spans="3:5" s="3" customFormat="1" x14ac:dyDescent="0.25">
      <c r="C98" s="45"/>
    </row>
    <row r="99" spans="3:5" s="3" customFormat="1" x14ac:dyDescent="0.25">
      <c r="C99" s="45"/>
    </row>
    <row r="100" spans="3:5" s="3" customFormat="1" x14ac:dyDescent="0.25">
      <c r="C100" s="45"/>
    </row>
    <row r="101" spans="3:5" s="3" customFormat="1" x14ac:dyDescent="0.25">
      <c r="C101" s="45"/>
    </row>
    <row r="102" spans="3:5" s="3" customFormat="1" x14ac:dyDescent="0.25">
      <c r="C102" s="45"/>
    </row>
    <row r="103" spans="3:5" s="3" customFormat="1" x14ac:dyDescent="0.25"/>
    <row r="104" spans="3:5" s="3" customFormat="1" x14ac:dyDescent="0.25">
      <c r="C104" s="45"/>
    </row>
    <row r="105" spans="3:5" s="3" customFormat="1" x14ac:dyDescent="0.25">
      <c r="C105" s="45"/>
    </row>
    <row r="106" spans="3:5" s="3" customFormat="1" x14ac:dyDescent="0.25">
      <c r="C106" s="45"/>
    </row>
    <row r="107" spans="3:5" s="3" customFormat="1" x14ac:dyDescent="0.25">
      <c r="C107" s="45"/>
    </row>
    <row r="108" spans="3:5" s="3" customFormat="1" x14ac:dyDescent="0.25">
      <c r="C108" s="45"/>
    </row>
    <row r="109" spans="3:5" s="3" customFormat="1" x14ac:dyDescent="0.25">
      <c r="C109" s="45"/>
    </row>
    <row r="110" spans="3:5" s="3" customFormat="1" x14ac:dyDescent="0.25">
      <c r="C110" s="45"/>
    </row>
    <row r="111" spans="3:5" s="3" customFormat="1" x14ac:dyDescent="0.25">
      <c r="C111" s="45"/>
    </row>
    <row r="112" spans="3:5" s="3" customFormat="1" x14ac:dyDescent="0.25">
      <c r="C112" s="45"/>
      <c r="D112" s="212"/>
      <c r="E112" s="212"/>
    </row>
    <row r="113" spans="3:3" s="3" customFormat="1" x14ac:dyDescent="0.25">
      <c r="C113" s="45"/>
    </row>
    <row r="114" spans="3:3" s="3" customFormat="1" x14ac:dyDescent="0.25">
      <c r="C114" s="45"/>
    </row>
    <row r="115" spans="3:3" s="3" customFormat="1" x14ac:dyDescent="0.25">
      <c r="C115" s="45"/>
    </row>
    <row r="116" spans="3:3" s="3" customFormat="1" x14ac:dyDescent="0.25">
      <c r="C116" s="45"/>
    </row>
    <row r="117" spans="3:3" s="3" customFormat="1" x14ac:dyDescent="0.25">
      <c r="C117" s="45"/>
    </row>
    <row r="118" spans="3:3" s="3" customFormat="1" x14ac:dyDescent="0.25">
      <c r="C118" s="45"/>
    </row>
    <row r="119" spans="3:3" s="3" customFormat="1" x14ac:dyDescent="0.25">
      <c r="C119" s="45"/>
    </row>
    <row r="120" spans="3:3" s="3" customFormat="1" x14ac:dyDescent="0.25">
      <c r="C120" s="45"/>
    </row>
    <row r="121" spans="3:3" s="3" customFormat="1" x14ac:dyDescent="0.25">
      <c r="C121" s="45"/>
    </row>
    <row r="122" spans="3:3" s="3" customFormat="1" x14ac:dyDescent="0.25"/>
    <row r="123" spans="3:3" s="3" customFormat="1" x14ac:dyDescent="0.25"/>
    <row r="124" spans="3:3" s="3" customFormat="1" x14ac:dyDescent="0.25"/>
    <row r="125" spans="3:3" s="3" customFormat="1" x14ac:dyDescent="0.25"/>
    <row r="126" spans="3:3" s="3" customFormat="1" x14ac:dyDescent="0.25"/>
    <row r="127" spans="3:3" s="3" customFormat="1" x14ac:dyDescent="0.25"/>
    <row r="128" spans="3:3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6">
    <tabColor rgb="FF0070C0"/>
  </sheetPr>
  <dimension ref="A1:BD32"/>
  <sheetViews>
    <sheetView topLeftCell="A2" zoomScale="80" zoomScaleNormal="80" workbookViewId="0">
      <selection activeCell="E2" sqref="E2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6" width="13.5703125" hidden="1" customWidth="1"/>
    <col min="7" max="8" width="7.140625" customWidth="1"/>
    <col min="9" max="18" width="7.140625" bestFit="1" customWidth="1"/>
    <col min="19" max="19" width="7.85546875" customWidth="1"/>
    <col min="20" max="22" width="7.140625" bestFit="1" customWidth="1"/>
    <col min="23" max="23" width="7.85546875" customWidth="1"/>
    <col min="30" max="30" width="19.7109375" hidden="1" customWidth="1"/>
    <col min="31" max="31" width="21.5703125" hidden="1" customWidth="1"/>
    <col min="32" max="34" width="13.5703125" hidden="1" customWidth="1"/>
    <col min="35" max="46" width="7.140625" hidden="1" customWidth="1"/>
    <col min="47" max="47" width="7.85546875" customWidth="1"/>
    <col min="48" max="50" width="7.140625" bestFit="1" customWidth="1"/>
    <col min="51" max="51" width="7.85546875" customWidth="1"/>
  </cols>
  <sheetData>
    <row r="1" spans="1:56" s="3" customFormat="1" ht="23.25" x14ac:dyDescent="0.35">
      <c r="A1" s="46" t="s">
        <v>99</v>
      </c>
      <c r="AC1" s="46" t="s">
        <v>99</v>
      </c>
    </row>
    <row r="2" spans="1:56" s="3" customFormat="1" ht="23.25" x14ac:dyDescent="0.35">
      <c r="A2" s="46"/>
      <c r="D2" s="7"/>
      <c r="E2" s="235">
        <f>'T energie vecteurs'!E5</f>
        <v>4</v>
      </c>
      <c r="F2" s="235">
        <f>E2+9</f>
        <v>13</v>
      </c>
      <c r="G2" s="235">
        <f>F2+3</f>
        <v>16</v>
      </c>
      <c r="H2" s="235">
        <f t="shared" ref="H2:S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>S2+5</f>
        <v>33</v>
      </c>
      <c r="U2" s="235">
        <f>T2+5</f>
        <v>38</v>
      </c>
      <c r="V2" s="235">
        <f>U2+5</f>
        <v>43</v>
      </c>
      <c r="W2" s="235">
        <f>V2+5</f>
        <v>48</v>
      </c>
      <c r="AC2" s="46"/>
      <c r="AF2" s="7"/>
      <c r="AG2" s="235">
        <v>3</v>
      </c>
      <c r="AH2" s="235">
        <v>12</v>
      </c>
      <c r="AI2" s="235">
        <v>15</v>
      </c>
      <c r="AJ2" s="235">
        <v>16</v>
      </c>
      <c r="AK2" s="235">
        <v>17</v>
      </c>
      <c r="AL2" s="235">
        <v>18</v>
      </c>
      <c r="AM2" s="235">
        <v>19</v>
      </c>
      <c r="AN2" s="235">
        <v>20</v>
      </c>
      <c r="AO2" s="235">
        <v>21</v>
      </c>
      <c r="AP2" s="235">
        <v>22</v>
      </c>
      <c r="AQ2" s="235">
        <v>23</v>
      </c>
      <c r="AR2" s="235">
        <v>24</v>
      </c>
      <c r="AS2" s="235">
        <v>25</v>
      </c>
      <c r="AT2" s="235">
        <v>26</v>
      </c>
      <c r="AU2" s="235">
        <v>27</v>
      </c>
      <c r="AV2" s="235">
        <v>32</v>
      </c>
      <c r="AW2" s="235">
        <v>37</v>
      </c>
      <c r="AX2" s="235">
        <v>42</v>
      </c>
      <c r="AY2" s="235">
        <v>47</v>
      </c>
    </row>
    <row r="3" spans="1:56" ht="23.25" x14ac:dyDescent="0.35">
      <c r="A3" s="228"/>
      <c r="B3" s="3"/>
      <c r="C3" s="42"/>
      <c r="D3" s="11"/>
      <c r="E3" s="238">
        <v>2006</v>
      </c>
      <c r="F3" s="49">
        <v>2015</v>
      </c>
      <c r="G3" s="20">
        <v>2018</v>
      </c>
      <c r="H3" s="4">
        <v>2019</v>
      </c>
      <c r="I3" s="190">
        <v>2020</v>
      </c>
      <c r="J3" s="91">
        <v>2021</v>
      </c>
      <c r="K3" s="27">
        <v>2022</v>
      </c>
      <c r="L3" s="4">
        <v>2023</v>
      </c>
      <c r="M3" s="27">
        <v>2024</v>
      </c>
      <c r="N3" s="83">
        <v>2025</v>
      </c>
      <c r="O3" s="91">
        <v>2026</v>
      </c>
      <c r="P3" s="4">
        <v>2027</v>
      </c>
      <c r="Q3" s="27">
        <v>2028</v>
      </c>
      <c r="R3" s="27">
        <v>2029</v>
      </c>
      <c r="S3" s="83">
        <v>2030</v>
      </c>
      <c r="T3" s="93">
        <v>2035</v>
      </c>
      <c r="U3" s="93">
        <v>2040</v>
      </c>
      <c r="V3" s="4">
        <v>2045</v>
      </c>
      <c r="W3" s="93">
        <v>2050</v>
      </c>
      <c r="X3" s="3"/>
      <c r="AC3" s="228"/>
      <c r="AD3" s="3"/>
      <c r="AE3" s="42"/>
      <c r="AF3" s="11"/>
      <c r="AG3" s="238">
        <v>2006</v>
      </c>
      <c r="AH3" s="49">
        <v>2015</v>
      </c>
      <c r="AI3" s="20">
        <v>2018</v>
      </c>
      <c r="AJ3" s="4">
        <v>2019</v>
      </c>
      <c r="AK3" s="190">
        <v>2020</v>
      </c>
      <c r="AL3" s="91">
        <v>2021</v>
      </c>
      <c r="AM3" s="27">
        <v>2022</v>
      </c>
      <c r="AN3" s="4">
        <v>2023</v>
      </c>
      <c r="AO3" s="27">
        <v>2024</v>
      </c>
      <c r="AP3" s="83">
        <v>2025</v>
      </c>
      <c r="AQ3" s="91">
        <v>2026</v>
      </c>
      <c r="AR3" s="4">
        <v>2027</v>
      </c>
      <c r="AS3" s="27">
        <v>2028</v>
      </c>
      <c r="AT3" s="27">
        <v>2029</v>
      </c>
      <c r="AU3" s="83">
        <v>2030</v>
      </c>
      <c r="AV3" s="93">
        <v>2035</v>
      </c>
      <c r="AW3" s="93">
        <v>2040</v>
      </c>
      <c r="AX3" s="4">
        <v>2045</v>
      </c>
      <c r="AY3" s="93">
        <v>2050</v>
      </c>
      <c r="AZ3" s="3"/>
    </row>
    <row r="4" spans="1:56" ht="23.25" x14ac:dyDescent="0.35">
      <c r="A4" s="161" t="str">
        <f>Résultats!B1</f>
        <v>SNBC3</v>
      </c>
      <c r="B4" s="229" t="s">
        <v>100</v>
      </c>
      <c r="C4" s="5" t="s">
        <v>92</v>
      </c>
      <c r="D4" s="12" t="s">
        <v>190</v>
      </c>
      <c r="E4" s="18">
        <f>VLOOKUP($D4,Résultats!$B$2:$AX$212,E$2,FALSE)</f>
        <v>2393165780</v>
      </c>
      <c r="F4" s="18">
        <f>VLOOKUP($D4,Résultats!$B$2:$AX$212,F$2,FALSE)</f>
        <v>2623669000</v>
      </c>
      <c r="G4" s="106">
        <f>VLOOKUP($D4,Résultats!$B$2:$AX$212,G$2,FALSE)/1000000</f>
        <v>2715.6825130000002</v>
      </c>
      <c r="H4" s="18">
        <f>VLOOKUP($D4,Résultats!$B$2:$AX$212,H$2,FALSE)/1000000</f>
        <v>2745.4671250000001</v>
      </c>
      <c r="I4" s="114">
        <f>VLOOKUP($D4,Résultats!$B$2:$AX$212,I$2,FALSE)/1000000</f>
        <v>2775.1517399999998</v>
      </c>
      <c r="J4" s="106">
        <f>VLOOKUP($D4,Résultats!$B$2:$AX$212,J$2,FALSE)/1000000</f>
        <v>2804.2295709999999</v>
      </c>
      <c r="K4" s="18">
        <f>VLOOKUP($D4,Résultats!$B$2:$AX$212,K$2,FALSE)/1000000</f>
        <v>2833.057577</v>
      </c>
      <c r="L4" s="18">
        <f>VLOOKUP($D4,Résultats!$B$2:$AX$212,L$2,FALSE)/1000000</f>
        <v>2863.7831890000002</v>
      </c>
      <c r="M4" s="18">
        <f>VLOOKUP($D4,Résultats!$B$2:$AX$212,M$2,FALSE)/1000000</f>
        <v>2894.2374909999999</v>
      </c>
      <c r="N4" s="107">
        <f>VLOOKUP($D4,Résultats!$B$2:$AX$212,N$2,FALSE)/1000000</f>
        <v>2923.5414609999998</v>
      </c>
      <c r="O4" s="106">
        <f>VLOOKUP($D4,Résultats!$B$2:$AX$212,O$2,FALSE)/1000000</f>
        <v>2951.7865609999999</v>
      </c>
      <c r="P4" s="18">
        <f>VLOOKUP($D4,Résultats!$B$2:$AX$212,P$2,FALSE)/1000000</f>
        <v>2978.8946310000001</v>
      </c>
      <c r="Q4" s="18">
        <f>VLOOKUP($D4,Résultats!$B$2:$AX$212,Q$2,FALSE)/1000000</f>
        <v>3005.0072530000002</v>
      </c>
      <c r="R4" s="18">
        <f>VLOOKUP($D4,Résultats!$B$2:$AX$212,R$2,FALSE)/1000000</f>
        <v>3029.9620610000002</v>
      </c>
      <c r="S4" s="107">
        <f>VLOOKUP($D4,Résultats!$B$2:$AX$212,S$2,FALSE)/1000000</f>
        <v>3053.683419</v>
      </c>
      <c r="T4" s="114">
        <f>VLOOKUP($D4,Résultats!$B$2:$AX$212,T$2,FALSE)/1000000</f>
        <v>3148.7032399999998</v>
      </c>
      <c r="U4" s="114">
        <f>VLOOKUP($D4,Résultats!$B$2:$AX$212,U$2,FALSE)/1000000</f>
        <v>3200.032522</v>
      </c>
      <c r="V4" s="18">
        <f>VLOOKUP($D4,Résultats!$B$2:$AX$212,V$2,FALSE)/1000000</f>
        <v>3230.8822530000002</v>
      </c>
      <c r="W4" s="114">
        <f>VLOOKUP($D4,Résultats!$B$2:$AX$212,W$2,FALSE)/1000000</f>
        <v>3259.6937800000001</v>
      </c>
      <c r="X4" s="3"/>
      <c r="AC4" s="161" t="s">
        <v>464</v>
      </c>
      <c r="AD4" s="229" t="s">
        <v>100</v>
      </c>
      <c r="AE4" s="5" t="s">
        <v>92</v>
      </c>
      <c r="AF4" s="12" t="s">
        <v>190</v>
      </c>
      <c r="AG4" s="18">
        <v>2355349875.8831902</v>
      </c>
      <c r="AH4" s="18">
        <v>2596998398</v>
      </c>
      <c r="AI4" s="106">
        <v>2655.7572249999998</v>
      </c>
      <c r="AJ4" s="18">
        <v>2671.9482079999998</v>
      </c>
      <c r="AK4" s="114">
        <v>2688.2378990000002</v>
      </c>
      <c r="AL4" s="106">
        <v>2704.626902</v>
      </c>
      <c r="AM4" s="18">
        <v>2721.2510619999998</v>
      </c>
      <c r="AN4" s="18">
        <v>2733.314965</v>
      </c>
      <c r="AO4" s="18">
        <v>2745.2011419999999</v>
      </c>
      <c r="AP4" s="107">
        <v>2756.950288</v>
      </c>
      <c r="AQ4" s="106">
        <v>2768.561725</v>
      </c>
      <c r="AR4" s="18">
        <v>2779.993097</v>
      </c>
      <c r="AS4" s="18">
        <v>2791.5774529999999</v>
      </c>
      <c r="AT4" s="18">
        <v>2802.855591</v>
      </c>
      <c r="AU4" s="107">
        <v>2814.3284440000002</v>
      </c>
      <c r="AV4" s="114">
        <v>2869.6227979999999</v>
      </c>
      <c r="AW4" s="114">
        <v>2921.4190490000001</v>
      </c>
      <c r="AX4" s="18">
        <v>2966.1644070000002</v>
      </c>
      <c r="AY4" s="114">
        <v>3002.7028059999998</v>
      </c>
      <c r="AZ4" s="3"/>
    </row>
    <row r="5" spans="1:56" x14ac:dyDescent="0.25">
      <c r="A5" s="3"/>
      <c r="B5" s="230"/>
      <c r="C5" s="35" t="s">
        <v>27</v>
      </c>
      <c r="D5" s="13" t="s">
        <v>191</v>
      </c>
      <c r="E5" s="25">
        <f>VLOOKUP($D5,Résultats!$B$2:$AX$212,E$2,FALSE)</f>
        <v>661127</v>
      </c>
      <c r="F5" s="25">
        <f>VLOOKUP($D5,Résultats!$B$2:$AX$212,F$2,FALSE)</f>
        <v>16527656.119999999</v>
      </c>
      <c r="G5" s="101">
        <f>VLOOKUP($D5,Résultats!$B$2:$AX$212,G$2,FALSE)/1000000</f>
        <v>23.647735109999999</v>
      </c>
      <c r="H5" s="25">
        <f>VLOOKUP($D5,Résultats!$B$2:$AX$212,H$2,FALSE)/1000000</f>
        <v>27.619044239999997</v>
      </c>
      <c r="I5" s="102">
        <f>VLOOKUP($D5,Résultats!$B$2:$AX$212,I$2,FALSE)/1000000</f>
        <v>32.44081096</v>
      </c>
      <c r="J5" s="101">
        <f>VLOOKUP($D5,Résultats!$B$2:$AX$212,J$2,FALSE)/1000000</f>
        <v>38.212347280000003</v>
      </c>
      <c r="K5" s="25">
        <f>VLOOKUP($D5,Résultats!$B$2:$AX$212,K$2,FALSE)/1000000</f>
        <v>44.646683950000003</v>
      </c>
      <c r="L5" s="25">
        <f>VLOOKUP($D5,Résultats!$B$2:$AX$212,L$2,FALSE)/1000000</f>
        <v>51.507404229999999</v>
      </c>
      <c r="M5" s="25">
        <f>VLOOKUP($D5,Résultats!$B$2:$AX$212,M$2,FALSE)/1000000</f>
        <v>58.104966470000001</v>
      </c>
      <c r="N5" s="102">
        <f>VLOOKUP($D5,Résultats!$B$2:$AX$212,N$2,FALSE)/1000000</f>
        <v>64.650861200000008</v>
      </c>
      <c r="O5" s="101">
        <f>VLOOKUP($D5,Résultats!$B$2:$AX$212,O$2,FALSE)/1000000</f>
        <v>73.047073280000006</v>
      </c>
      <c r="P5" s="25">
        <f>VLOOKUP($D5,Résultats!$B$2:$AX$212,P$2,FALSE)/1000000</f>
        <v>83.684491319999907</v>
      </c>
      <c r="Q5" s="25">
        <f>VLOOKUP($D5,Résultats!$B$2:$AX$212,Q$2,FALSE)/1000000</f>
        <v>95.710751989999991</v>
      </c>
      <c r="R5" s="25">
        <f>VLOOKUP($D5,Résultats!$B$2:$AX$212,R$2,FALSE)/1000000</f>
        <v>108.71699529999999</v>
      </c>
      <c r="S5" s="102">
        <f>VLOOKUP($D5,Résultats!$B$2:$AX$212,S$2,FALSE)/1000000</f>
        <v>122.8171785</v>
      </c>
      <c r="T5" s="105">
        <f>VLOOKUP($D5,Résultats!$B$2:$AX$212,T$2,FALSE)/1000000</f>
        <v>204.4044011</v>
      </c>
      <c r="U5" s="105">
        <f>VLOOKUP($D5,Résultats!$B$2:$AX$212,U$2,FALSE)/1000000</f>
        <v>306.48547560000003</v>
      </c>
      <c r="V5" s="25">
        <f>VLOOKUP($D5,Résultats!$B$2:$AX$212,V$2,FALSE)/1000000</f>
        <v>435.88056779999999</v>
      </c>
      <c r="W5" s="105">
        <f>VLOOKUP($D5,Résultats!$B$2:$AX$212,W$2,FALSE)/1000000</f>
        <v>586.92179920000001</v>
      </c>
      <c r="X5" s="3"/>
      <c r="AC5" s="3"/>
      <c r="AD5" s="230"/>
      <c r="AE5" s="35" t="s">
        <v>27</v>
      </c>
      <c r="AF5" s="13" t="s">
        <v>191</v>
      </c>
      <c r="AG5" s="25">
        <v>650680.12020171306</v>
      </c>
      <c r="AH5" s="25">
        <v>43187152.149999999</v>
      </c>
      <c r="AI5" s="101">
        <v>50.412683960000003</v>
      </c>
      <c r="AJ5" s="25">
        <v>52.585453389999998</v>
      </c>
      <c r="AK5" s="102">
        <v>55.248827470000002</v>
      </c>
      <c r="AL5" s="101">
        <v>58.446187070000001</v>
      </c>
      <c r="AM5" s="25">
        <v>61.862481409999994</v>
      </c>
      <c r="AN5" s="25">
        <v>65.420231920000006</v>
      </c>
      <c r="AO5" s="25">
        <v>69.449230379999989</v>
      </c>
      <c r="AP5" s="102">
        <v>74.034006009999999</v>
      </c>
      <c r="AQ5" s="101">
        <v>79.004304869999999</v>
      </c>
      <c r="AR5" s="25">
        <v>83.804995500000004</v>
      </c>
      <c r="AS5" s="25">
        <v>87.363160239999999</v>
      </c>
      <c r="AT5" s="25">
        <v>89.222456459999904</v>
      </c>
      <c r="AU5" s="102">
        <v>90.697099290000011</v>
      </c>
      <c r="AV5" s="105">
        <v>97.114109620000008</v>
      </c>
      <c r="AW5" s="105">
        <v>103.08508359999999</v>
      </c>
      <c r="AX5" s="25">
        <v>108.2989291</v>
      </c>
      <c r="AY5" s="105">
        <v>112.66037159999999</v>
      </c>
      <c r="AZ5" s="3"/>
    </row>
    <row r="6" spans="1:56" x14ac:dyDescent="0.25">
      <c r="A6" s="3"/>
      <c r="B6" s="230"/>
      <c r="C6" s="35" t="s">
        <v>28</v>
      </c>
      <c r="D6" s="13" t="s">
        <v>192</v>
      </c>
      <c r="E6" s="25">
        <f>VLOOKUP($D6,Résultats!$B$2:$AX$212,E$2,FALSE)</f>
        <v>42391824</v>
      </c>
      <c r="F6" s="25">
        <f>VLOOKUP($D6,Résultats!$B$2:$AX$212,F$2,FALSE)</f>
        <v>109847461.59999999</v>
      </c>
      <c r="G6" s="101">
        <f>VLOOKUP($D6,Résultats!$B$2:$AX$212,G$2,FALSE)/1000000</f>
        <v>134.4620333</v>
      </c>
      <c r="H6" s="25">
        <f>VLOOKUP($D6,Résultats!$B$2:$AX$212,H$2,FALSE)/1000000</f>
        <v>148.3123631</v>
      </c>
      <c r="I6" s="102">
        <f>VLOOKUP($D6,Résultats!$B$2:$AX$212,I$2,FALSE)/1000000</f>
        <v>164.02330130000001</v>
      </c>
      <c r="J6" s="101">
        <f>VLOOKUP($D6,Résultats!$B$2:$AX$212,J$2,FALSE)/1000000</f>
        <v>182.5906621</v>
      </c>
      <c r="K6" s="25">
        <f>VLOOKUP($D6,Résultats!$B$2:$AX$212,K$2,FALSE)/1000000</f>
        <v>201.3584319</v>
      </c>
      <c r="L6" s="25">
        <f>VLOOKUP($D6,Résultats!$B$2:$AX$212,L$2,FALSE)/1000000</f>
        <v>220.56404230000001</v>
      </c>
      <c r="M6" s="25">
        <f>VLOOKUP($D6,Résultats!$B$2:$AX$212,M$2,FALSE)/1000000</f>
        <v>237.88692019999999</v>
      </c>
      <c r="N6" s="102">
        <f>VLOOKUP($D6,Résultats!$B$2:$AX$212,N$2,FALSE)/1000000</f>
        <v>254.8351648</v>
      </c>
      <c r="O6" s="101">
        <f>VLOOKUP($D6,Résultats!$B$2:$AX$212,O$2,FALSE)/1000000</f>
        <v>275.49457989999996</v>
      </c>
      <c r="P6" s="25">
        <f>VLOOKUP($D6,Résultats!$B$2:$AX$212,P$2,FALSE)/1000000</f>
        <v>299.13695560000002</v>
      </c>
      <c r="Q6" s="25">
        <f>VLOOKUP($D6,Résultats!$B$2:$AX$212,Q$2,FALSE)/1000000</f>
        <v>324.18550499999998</v>
      </c>
      <c r="R6" s="25">
        <f>VLOOKUP($D6,Résultats!$B$2:$AX$212,R$2,FALSE)/1000000</f>
        <v>349.52883080000004</v>
      </c>
      <c r="S6" s="102">
        <f>VLOOKUP($D6,Résultats!$B$2:$AX$212,S$2,FALSE)/1000000</f>
        <v>375.09008439999997</v>
      </c>
      <c r="T6" s="105">
        <f>VLOOKUP($D6,Résultats!$B$2:$AX$212,T$2,FALSE)/1000000</f>
        <v>496.14544810000001</v>
      </c>
      <c r="U6" s="105">
        <f>VLOOKUP($D6,Résultats!$B$2:$AX$212,U$2,FALSE)/1000000</f>
        <v>605.44539020000002</v>
      </c>
      <c r="V6" s="25">
        <f>VLOOKUP($D6,Résultats!$B$2:$AX$212,V$2,FALSE)/1000000</f>
        <v>700.5071815</v>
      </c>
      <c r="W6" s="105">
        <f>VLOOKUP($D6,Résultats!$B$2:$AX$212,W$2,FALSE)/1000000</f>
        <v>774.8553897999999</v>
      </c>
      <c r="X6" s="3"/>
      <c r="AC6" s="3"/>
      <c r="AD6" s="230"/>
      <c r="AE6" s="35" t="s">
        <v>28</v>
      </c>
      <c r="AF6" s="13" t="s">
        <v>192</v>
      </c>
      <c r="AG6" s="25">
        <v>41721964.366740197</v>
      </c>
      <c r="AH6" s="25">
        <v>181120567.69999999</v>
      </c>
      <c r="AI6" s="101">
        <v>215.590058</v>
      </c>
      <c r="AJ6" s="25">
        <v>228.76262990000001</v>
      </c>
      <c r="AK6" s="102">
        <v>245.54528809999999</v>
      </c>
      <c r="AL6" s="101">
        <v>266.69365629999999</v>
      </c>
      <c r="AM6" s="25">
        <v>288.86536289999998</v>
      </c>
      <c r="AN6" s="25">
        <v>307.95133449999997</v>
      </c>
      <c r="AO6" s="25">
        <v>327.0308915</v>
      </c>
      <c r="AP6" s="102">
        <v>345.91796049999999</v>
      </c>
      <c r="AQ6" s="101">
        <v>364.40862630000004</v>
      </c>
      <c r="AR6" s="25">
        <v>382.0194525</v>
      </c>
      <c r="AS6" s="25">
        <v>398.17266369999999</v>
      </c>
      <c r="AT6" s="25">
        <v>412.14001530000002</v>
      </c>
      <c r="AU6" s="102">
        <v>424.70792360000002</v>
      </c>
      <c r="AV6" s="105">
        <v>482.66274469999996</v>
      </c>
      <c r="AW6" s="105">
        <v>537.15071260000002</v>
      </c>
      <c r="AX6" s="25">
        <v>585.07997970000008</v>
      </c>
      <c r="AY6" s="105">
        <v>625.4614967</v>
      </c>
      <c r="AZ6" s="3"/>
    </row>
    <row r="7" spans="1:56" x14ac:dyDescent="0.25">
      <c r="A7" s="3"/>
      <c r="B7" s="230"/>
      <c r="C7" s="35" t="s">
        <v>29</v>
      </c>
      <c r="D7" s="13" t="s">
        <v>193</v>
      </c>
      <c r="E7" s="25">
        <f>VLOOKUP($D7,Résultats!$B$2:$AX$212,E$2,FALSE)</f>
        <v>300942006</v>
      </c>
      <c r="F7" s="25">
        <f>VLOOKUP($D7,Résultats!$B$2:$AX$212,F$2,FALSE)</f>
        <v>552505194.10000002</v>
      </c>
      <c r="G7" s="101">
        <f>VLOOKUP($D7,Résultats!$B$2:$AX$212,G$2,FALSE)/1000000</f>
        <v>609.00089609999998</v>
      </c>
      <c r="H7" s="25">
        <f>VLOOKUP($D7,Résultats!$B$2:$AX$212,H$2,FALSE)/1000000</f>
        <v>632.64030360000004</v>
      </c>
      <c r="I7" s="102">
        <f>VLOOKUP($D7,Résultats!$B$2:$AX$212,I$2,FALSE)/1000000</f>
        <v>657.37998960000004</v>
      </c>
      <c r="J7" s="101">
        <f>VLOOKUP($D7,Résultats!$B$2:$AX$212,J$2,FALSE)/1000000</f>
        <v>682.78711129999999</v>
      </c>
      <c r="K7" s="25">
        <f>VLOOKUP($D7,Résultats!$B$2:$AX$212,K$2,FALSE)/1000000</f>
        <v>706.44743140000003</v>
      </c>
      <c r="L7" s="25">
        <f>VLOOKUP($D7,Résultats!$B$2:$AX$212,L$2,FALSE)/1000000</f>
        <v>729.29573429999994</v>
      </c>
      <c r="M7" s="25">
        <f>VLOOKUP($D7,Résultats!$B$2:$AX$212,M$2,FALSE)/1000000</f>
        <v>749.1989671</v>
      </c>
      <c r="N7" s="102">
        <f>VLOOKUP($D7,Résultats!$B$2:$AX$212,N$2,FALSE)/1000000</f>
        <v>766.95979139999997</v>
      </c>
      <c r="O7" s="101">
        <f>VLOOKUP($D7,Résultats!$B$2:$AX$212,O$2,FALSE)/1000000</f>
        <v>784.28428719999999</v>
      </c>
      <c r="P7" s="25">
        <f>VLOOKUP($D7,Résultats!$B$2:$AX$212,P$2,FALSE)/1000000</f>
        <v>800.56211089999999</v>
      </c>
      <c r="Q7" s="25">
        <f>VLOOKUP($D7,Résultats!$B$2:$AX$212,Q$2,FALSE)/1000000</f>
        <v>816.0058411</v>
      </c>
      <c r="R7" s="25">
        <f>VLOOKUP($D7,Résultats!$B$2:$AX$212,R$2,FALSE)/1000000</f>
        <v>830.11470139999994</v>
      </c>
      <c r="S7" s="102">
        <f>VLOOKUP($D7,Résultats!$B$2:$AX$212,S$2,FALSE)/1000000</f>
        <v>842.65743420000001</v>
      </c>
      <c r="T7" s="105">
        <f>VLOOKUP($D7,Résultats!$B$2:$AX$212,T$2,FALSE)/1000000</f>
        <v>880.79466579999996</v>
      </c>
      <c r="U7" s="105">
        <f>VLOOKUP($D7,Résultats!$B$2:$AX$212,U$2,FALSE)/1000000</f>
        <v>882.03911520000008</v>
      </c>
      <c r="V7" s="25">
        <f>VLOOKUP($D7,Résultats!$B$2:$AX$212,V$2,FALSE)/1000000</f>
        <v>857.03389970000001</v>
      </c>
      <c r="W7" s="105">
        <f>VLOOKUP($D7,Résultats!$B$2:$AX$212,W$2,FALSE)/1000000</f>
        <v>814.95651510000005</v>
      </c>
      <c r="X7" s="3"/>
      <c r="AC7" s="3"/>
      <c r="AD7" s="230"/>
      <c r="AE7" s="35" t="s">
        <v>29</v>
      </c>
      <c r="AF7" s="13" t="s">
        <v>193</v>
      </c>
      <c r="AG7" s="25">
        <v>296186633.79021603</v>
      </c>
      <c r="AH7" s="25">
        <v>569035477.39999998</v>
      </c>
      <c r="AI7" s="101">
        <v>632.75076910000007</v>
      </c>
      <c r="AJ7" s="25">
        <v>645.57478270000001</v>
      </c>
      <c r="AK7" s="102">
        <v>657.42506470000001</v>
      </c>
      <c r="AL7" s="101">
        <v>667.32190209999999</v>
      </c>
      <c r="AM7" s="25">
        <v>679.26979920000008</v>
      </c>
      <c r="AN7" s="25">
        <v>692.50705210000001</v>
      </c>
      <c r="AO7" s="25">
        <v>704.80679639999994</v>
      </c>
      <c r="AP7" s="102">
        <v>715.45919620000006</v>
      </c>
      <c r="AQ7" s="101">
        <v>724.50526070000001</v>
      </c>
      <c r="AR7" s="25">
        <v>732.1551892</v>
      </c>
      <c r="AS7" s="25">
        <v>738.47130540000001</v>
      </c>
      <c r="AT7" s="25">
        <v>743.1869147000001</v>
      </c>
      <c r="AU7" s="102">
        <v>744.57653449999998</v>
      </c>
      <c r="AV7" s="105">
        <v>744.73285629999998</v>
      </c>
      <c r="AW7" s="105">
        <v>744.52864450000004</v>
      </c>
      <c r="AX7" s="25">
        <v>744.18700850000005</v>
      </c>
      <c r="AY7" s="105">
        <v>743.80258720000006</v>
      </c>
      <c r="AZ7" s="3"/>
    </row>
    <row r="8" spans="1:56" x14ac:dyDescent="0.25">
      <c r="A8" s="3"/>
      <c r="B8" s="230"/>
      <c r="C8" s="35" t="s">
        <v>30</v>
      </c>
      <c r="D8" s="13" t="s">
        <v>194</v>
      </c>
      <c r="E8" s="25">
        <f>VLOOKUP($D8,Résultats!$B$2:$AX$212,E$2,FALSE)</f>
        <v>661409532</v>
      </c>
      <c r="F8" s="25">
        <f>VLOOKUP($D8,Résultats!$B$2:$AX$212,F$2,FALSE)</f>
        <v>815873435.20000005</v>
      </c>
      <c r="G8" s="101">
        <f>VLOOKUP($D8,Résultats!$B$2:$AX$212,G$2,FALSE)/1000000</f>
        <v>851.79197879999992</v>
      </c>
      <c r="H8" s="25">
        <f>VLOOKUP($D8,Résultats!$B$2:$AX$212,H$2,FALSE)/1000000</f>
        <v>862.42421999999999</v>
      </c>
      <c r="I8" s="102">
        <f>VLOOKUP($D8,Résultats!$B$2:$AX$212,I$2,FALSE)/1000000</f>
        <v>872.66889329999992</v>
      </c>
      <c r="J8" s="101">
        <f>VLOOKUP($D8,Résultats!$B$2:$AX$212,J$2,FALSE)/1000000</f>
        <v>880.8113947999999</v>
      </c>
      <c r="K8" s="25">
        <f>VLOOKUP($D8,Résultats!$B$2:$AX$212,K$2,FALSE)/1000000</f>
        <v>887.91094420000002</v>
      </c>
      <c r="L8" s="25">
        <f>VLOOKUP($D8,Résultats!$B$2:$AX$212,L$2,FALSE)/1000000</f>
        <v>894.88414450000005</v>
      </c>
      <c r="M8" s="25">
        <f>VLOOKUP($D8,Résultats!$B$2:$AX$212,M$2,FALSE)/1000000</f>
        <v>901.94248100000004</v>
      </c>
      <c r="N8" s="102">
        <f>VLOOKUP($D8,Résultats!$B$2:$AX$212,N$2,FALSE)/1000000</f>
        <v>907.84061179999992</v>
      </c>
      <c r="O8" s="101">
        <f>VLOOKUP($D8,Résultats!$B$2:$AX$212,O$2,FALSE)/1000000</f>
        <v>909.53506240000002</v>
      </c>
      <c r="P8" s="25">
        <f>VLOOKUP($D8,Résultats!$B$2:$AX$212,P$2,FALSE)/1000000</f>
        <v>907.38710420000007</v>
      </c>
      <c r="Q8" s="25">
        <f>VLOOKUP($D8,Résultats!$B$2:$AX$212,Q$2,FALSE)/1000000</f>
        <v>903.28533820000007</v>
      </c>
      <c r="R8" s="25">
        <f>VLOOKUP($D8,Résultats!$B$2:$AX$212,R$2,FALSE)/1000000</f>
        <v>897.9495081</v>
      </c>
      <c r="S8" s="102">
        <f>VLOOKUP($D8,Résultats!$B$2:$AX$212,S$2,FALSE)/1000000</f>
        <v>891.2133288</v>
      </c>
      <c r="T8" s="105">
        <f>VLOOKUP($D8,Résultats!$B$2:$AX$212,T$2,FALSE)/1000000</f>
        <v>843.04912979999995</v>
      </c>
      <c r="U8" s="105">
        <f>VLOOKUP($D8,Résultats!$B$2:$AX$212,U$2,FALSE)/1000000</f>
        <v>768.54510520000008</v>
      </c>
      <c r="V8" s="25">
        <f>VLOOKUP($D8,Résultats!$B$2:$AX$212,V$2,FALSE)/1000000</f>
        <v>681.37053170000002</v>
      </c>
      <c r="W8" s="105">
        <f>VLOOKUP($D8,Résultats!$B$2:$AX$212,W$2,FALSE)/1000000</f>
        <v>596.32903199999998</v>
      </c>
      <c r="X8" s="3"/>
      <c r="AC8" s="3"/>
      <c r="AD8" s="230"/>
      <c r="AE8" s="35" t="s">
        <v>30</v>
      </c>
      <c r="AF8" s="13" t="s">
        <v>194</v>
      </c>
      <c r="AG8" s="25">
        <v>650958187.73748195</v>
      </c>
      <c r="AH8" s="25">
        <v>633667547</v>
      </c>
      <c r="AI8" s="101">
        <v>628.52988640000001</v>
      </c>
      <c r="AJ8" s="25">
        <v>627.05710270000009</v>
      </c>
      <c r="AK8" s="102">
        <v>626.0079624</v>
      </c>
      <c r="AL8" s="101">
        <v>625.30736860000002</v>
      </c>
      <c r="AM8" s="25">
        <v>624.74556860000007</v>
      </c>
      <c r="AN8" s="25">
        <v>623.84060450000004</v>
      </c>
      <c r="AO8" s="25">
        <v>622.26125309999998</v>
      </c>
      <c r="AP8" s="102">
        <v>619.89497360000007</v>
      </c>
      <c r="AQ8" s="101">
        <v>616.94481870000004</v>
      </c>
      <c r="AR8" s="25">
        <v>613.84423860000004</v>
      </c>
      <c r="AS8" s="25">
        <v>611.24747579999996</v>
      </c>
      <c r="AT8" s="25">
        <v>609.73983529999998</v>
      </c>
      <c r="AU8" s="102">
        <v>609.83384439999998</v>
      </c>
      <c r="AV8" s="105">
        <v>612.04639099999997</v>
      </c>
      <c r="AW8" s="105">
        <v>613.18375549999996</v>
      </c>
      <c r="AX8" s="25">
        <v>613.83096479999995</v>
      </c>
      <c r="AY8" s="105">
        <v>614.26554610000005</v>
      </c>
      <c r="AZ8" s="3"/>
    </row>
    <row r="9" spans="1:56" x14ac:dyDescent="0.25">
      <c r="A9" s="3"/>
      <c r="B9" s="230"/>
      <c r="C9" s="35" t="s">
        <v>31</v>
      </c>
      <c r="D9" s="13" t="s">
        <v>195</v>
      </c>
      <c r="E9" s="25">
        <f>VLOOKUP($D9,Résultats!$B$2:$AX$212,E$2,FALSE)</f>
        <v>786713699</v>
      </c>
      <c r="F9" s="25">
        <f>VLOOKUP($D9,Résultats!$B$2:$AX$212,F$2,FALSE)</f>
        <v>627845205.79999995</v>
      </c>
      <c r="G9" s="101">
        <f>VLOOKUP($D9,Résultats!$B$2:$AX$212,G$2,FALSE)/1000000</f>
        <v>606.39615529999992</v>
      </c>
      <c r="H9" s="25">
        <f>VLOOKUP($D9,Résultats!$B$2:$AX$212,H$2,FALSE)/1000000</f>
        <v>593.29364129999999</v>
      </c>
      <c r="I9" s="102">
        <f>VLOOKUP($D9,Résultats!$B$2:$AX$212,I$2,FALSE)/1000000</f>
        <v>578.49725920000003</v>
      </c>
      <c r="J9" s="101">
        <f>VLOOKUP($D9,Résultats!$B$2:$AX$212,J$2,FALSE)/1000000</f>
        <v>562.20716270000003</v>
      </c>
      <c r="K9" s="25">
        <f>VLOOKUP($D9,Résultats!$B$2:$AX$212,K$2,FALSE)/1000000</f>
        <v>546.93672600000002</v>
      </c>
      <c r="L9" s="25">
        <f>VLOOKUP($D9,Résultats!$B$2:$AX$212,L$2,FALSE)/1000000</f>
        <v>532.82152389999999</v>
      </c>
      <c r="M9" s="25">
        <f>VLOOKUP($D9,Résultats!$B$2:$AX$212,M$2,FALSE)/1000000</f>
        <v>521.38750819999996</v>
      </c>
      <c r="N9" s="102">
        <f>VLOOKUP($D9,Résultats!$B$2:$AX$212,N$2,FALSE)/1000000</f>
        <v>511.42877339999995</v>
      </c>
      <c r="O9" s="101">
        <f>VLOOKUP($D9,Résultats!$B$2:$AX$212,O$2,FALSE)/1000000</f>
        <v>500.32669820000001</v>
      </c>
      <c r="P9" s="25">
        <f>VLOOKUP($D9,Résultats!$B$2:$AX$212,P$2,FALSE)/1000000</f>
        <v>488.37623230000003</v>
      </c>
      <c r="Q9" s="25">
        <f>VLOOKUP($D9,Résultats!$B$2:$AX$212,Q$2,FALSE)/1000000</f>
        <v>475.96191870000001</v>
      </c>
      <c r="R9" s="25">
        <f>VLOOKUP($D9,Résultats!$B$2:$AX$212,R$2,FALSE)/1000000</f>
        <v>463.72760869999996</v>
      </c>
      <c r="S9" s="102">
        <f>VLOOKUP($D9,Résultats!$B$2:$AX$212,S$2,FALSE)/1000000</f>
        <v>451.80329969999997</v>
      </c>
      <c r="T9" s="105">
        <f>VLOOKUP($D9,Résultats!$B$2:$AX$212,T$2,FALSE)/1000000</f>
        <v>399.43283200000002</v>
      </c>
      <c r="U9" s="105">
        <f>VLOOKUP($D9,Résultats!$B$2:$AX$212,U$2,FALSE)/1000000</f>
        <v>354.00959019999999</v>
      </c>
      <c r="V9" s="25">
        <f>VLOOKUP($D9,Résultats!$B$2:$AX$212,V$2,FALSE)/1000000</f>
        <v>311.75644839999995</v>
      </c>
      <c r="W9" s="105">
        <f>VLOOKUP($D9,Résultats!$B$2:$AX$212,W$2,FALSE)/1000000</f>
        <v>276.13119110000002</v>
      </c>
      <c r="X9" s="3"/>
      <c r="AC9" s="3"/>
      <c r="AD9" s="230"/>
      <c r="AE9" s="35" t="s">
        <v>31</v>
      </c>
      <c r="AF9" s="13" t="s">
        <v>195</v>
      </c>
      <c r="AG9" s="25">
        <v>774282345.494367</v>
      </c>
      <c r="AH9" s="25">
        <v>688439089.5</v>
      </c>
      <c r="AI9" s="101">
        <v>670.45152770000004</v>
      </c>
      <c r="AJ9" s="25">
        <v>665.95475250000004</v>
      </c>
      <c r="AK9" s="102">
        <v>659.88800020000008</v>
      </c>
      <c r="AL9" s="101">
        <v>652.34777539999993</v>
      </c>
      <c r="AM9" s="25">
        <v>643.27403679999998</v>
      </c>
      <c r="AN9" s="25">
        <v>632.84907470000007</v>
      </c>
      <c r="AO9" s="25">
        <v>622.61724920000006</v>
      </c>
      <c r="AP9" s="102">
        <v>613.00283739999998</v>
      </c>
      <c r="AQ9" s="101">
        <v>604.12207049999995</v>
      </c>
      <c r="AR9" s="25">
        <v>596.24764210000001</v>
      </c>
      <c r="AS9" s="25">
        <v>590.12780510000005</v>
      </c>
      <c r="AT9" s="25">
        <v>586.09317070000009</v>
      </c>
      <c r="AU9" s="102">
        <v>584.34791289999998</v>
      </c>
      <c r="AV9" s="105">
        <v>581.87145939999994</v>
      </c>
      <c r="AW9" s="105">
        <v>578.55799479999996</v>
      </c>
      <c r="AX9" s="25">
        <v>574.87388099999998</v>
      </c>
      <c r="AY9" s="105">
        <v>571.04697310000006</v>
      </c>
      <c r="AZ9" s="3"/>
    </row>
    <row r="10" spans="1:56" x14ac:dyDescent="0.25">
      <c r="A10" s="3"/>
      <c r="B10" s="230"/>
      <c r="C10" s="35" t="s">
        <v>32</v>
      </c>
      <c r="D10" s="13" t="s">
        <v>196</v>
      </c>
      <c r="E10" s="25">
        <f>VLOOKUP($D10,Résultats!$B$2:$AX$212,E$2,FALSE)</f>
        <v>412154138</v>
      </c>
      <c r="F10" s="25">
        <f>VLOOKUP($D10,Résultats!$B$2:$AX$212,F$2,FALSE)</f>
        <v>311915137.80000001</v>
      </c>
      <c r="G10" s="101">
        <f>VLOOKUP($D10,Résultats!$B$2:$AX$212,G$2,FALSE)/1000000</f>
        <v>298.63417269999997</v>
      </c>
      <c r="H10" s="25">
        <f>VLOOKUP($D10,Résultats!$B$2:$AX$212,H$2,FALSE)/1000000</f>
        <v>291.39089110000003</v>
      </c>
      <c r="I10" s="102">
        <f>VLOOKUP($D10,Résultats!$B$2:$AX$212,I$2,FALSE)/1000000</f>
        <v>283.37090689999997</v>
      </c>
      <c r="J10" s="101">
        <f>VLOOKUP($D10,Résultats!$B$2:$AX$212,J$2,FALSE)/1000000</f>
        <v>274.79501449999998</v>
      </c>
      <c r="K10" s="25">
        <f>VLOOKUP($D10,Résultats!$B$2:$AX$212,K$2,FALSE)/1000000</f>
        <v>266.81467450000002</v>
      </c>
      <c r="L10" s="25">
        <f>VLOOKUP($D10,Résultats!$B$2:$AX$212,L$2,FALSE)/1000000</f>
        <v>259.51111650000001</v>
      </c>
      <c r="M10" s="25">
        <f>VLOOKUP($D10,Résultats!$B$2:$AX$212,M$2,FALSE)/1000000</f>
        <v>253.53134930000002</v>
      </c>
      <c r="N10" s="102">
        <f>VLOOKUP($D10,Résultats!$B$2:$AX$212,N$2,FALSE)/1000000</f>
        <v>248.34223780000002</v>
      </c>
      <c r="O10" s="101">
        <f>VLOOKUP($D10,Résultats!$B$2:$AX$212,O$2,FALSE)/1000000</f>
        <v>242.8137667</v>
      </c>
      <c r="P10" s="25">
        <f>VLOOKUP($D10,Résultats!$B$2:$AX$212,P$2,FALSE)/1000000</f>
        <v>237.02372650000001</v>
      </c>
      <c r="Q10" s="25">
        <f>VLOOKUP($D10,Résultats!$B$2:$AX$212,Q$2,FALSE)/1000000</f>
        <v>231.021424</v>
      </c>
      <c r="R10" s="25">
        <f>VLOOKUP($D10,Résultats!$B$2:$AX$212,R$2,FALSE)/1000000</f>
        <v>225.07582550000001</v>
      </c>
      <c r="S10" s="102">
        <f>VLOOKUP($D10,Résultats!$B$2:$AX$212,S$2,FALSE)/1000000</f>
        <v>219.26562480000001</v>
      </c>
      <c r="T10" s="105">
        <f>VLOOKUP($D10,Résultats!$B$2:$AX$212,T$2,FALSE)/1000000</f>
        <v>193.14074189999999</v>
      </c>
      <c r="U10" s="105">
        <f>VLOOKUP($D10,Résultats!$B$2:$AX$212,U$2,FALSE)/1000000</f>
        <v>169.82625640000001</v>
      </c>
      <c r="V10" s="25">
        <f>VLOOKUP($D10,Résultats!$B$2:$AX$212,V$2,FALSE)/1000000</f>
        <v>147.95686759999998</v>
      </c>
      <c r="W10" s="105">
        <f>VLOOKUP($D10,Résultats!$B$2:$AX$212,W$2,FALSE)/1000000</f>
        <v>129.1200264</v>
      </c>
      <c r="X10" s="3"/>
      <c r="Y10">
        <f>(K10+K11-S10-S11)*10</f>
        <v>756.55266299999994</v>
      </c>
      <c r="AC10" s="3"/>
      <c r="AD10" s="230"/>
      <c r="AE10" s="35" t="s">
        <v>32</v>
      </c>
      <c r="AF10" s="13" t="s">
        <v>196</v>
      </c>
      <c r="AG10" s="25">
        <v>405641433.57550502</v>
      </c>
      <c r="AH10" s="25">
        <v>358699989.39999998</v>
      </c>
      <c r="AI10" s="101">
        <v>349.78984839999998</v>
      </c>
      <c r="AJ10" s="25">
        <v>347.84470189999996</v>
      </c>
      <c r="AK10" s="102">
        <v>344.37584369999996</v>
      </c>
      <c r="AL10" s="101">
        <v>339.4637755</v>
      </c>
      <c r="AM10" s="25">
        <v>333.12609300000003</v>
      </c>
      <c r="AN10" s="25">
        <v>325.73093399999999</v>
      </c>
      <c r="AO10" s="25">
        <v>318.93370930000003</v>
      </c>
      <c r="AP10" s="102">
        <v>313.19780250000002</v>
      </c>
      <c r="AQ10" s="101">
        <v>308.52180600000003</v>
      </c>
      <c r="AR10" s="25">
        <v>304.94413470000001</v>
      </c>
      <c r="AS10" s="25">
        <v>302.85805119999998</v>
      </c>
      <c r="AT10" s="25">
        <v>302.32541989999999</v>
      </c>
      <c r="AU10" s="102">
        <v>302.79875079999999</v>
      </c>
      <c r="AV10" s="105">
        <v>303.19194399999998</v>
      </c>
      <c r="AW10" s="105">
        <v>301.2874711</v>
      </c>
      <c r="AX10" s="25">
        <v>298.19526869999999</v>
      </c>
      <c r="AY10" s="105">
        <v>294.5149955</v>
      </c>
      <c r="AZ10" s="3"/>
    </row>
    <row r="11" spans="1:56" x14ac:dyDescent="0.25">
      <c r="A11" s="3"/>
      <c r="B11" s="230"/>
      <c r="C11" s="56" t="s">
        <v>33</v>
      </c>
      <c r="D11" s="26" t="s">
        <v>197</v>
      </c>
      <c r="E11" s="17">
        <f>VLOOKUP($D11,Résultats!$B$2:$AX$212,E$2,FALSE)</f>
        <v>188893454</v>
      </c>
      <c r="F11" s="17">
        <f>VLOOKUP($D11,Résultats!$B$2:$AX$212,F$2,FALSE)</f>
        <v>189154909.40000001</v>
      </c>
      <c r="G11" s="88">
        <f>VLOOKUP($D11,Résultats!$B$2:$AX$212,G$2,FALSE)/1000000</f>
        <v>191.7495414</v>
      </c>
      <c r="H11" s="17">
        <f>VLOOKUP($D11,Résultats!$B$2:$AX$212,H$2,FALSE)/1000000</f>
        <v>189.78666200000001</v>
      </c>
      <c r="I11" s="89">
        <f>VLOOKUP($D11,Résultats!$B$2:$AX$212,I$2,FALSE)/1000000</f>
        <v>186.77057819999999</v>
      </c>
      <c r="J11" s="88">
        <f>VLOOKUP($D11,Résultats!$B$2:$AX$212,J$2,FALSE)/1000000</f>
        <v>182.82587859999998</v>
      </c>
      <c r="K11" s="17">
        <f>VLOOKUP($D11,Résultats!$B$2:$AX$212,K$2,FALSE)/1000000</f>
        <v>178.94268500000001</v>
      </c>
      <c r="L11" s="17">
        <f>VLOOKUP($D11,Résultats!$B$2:$AX$212,L$2,FALSE)/1000000</f>
        <v>175.19922369999998</v>
      </c>
      <c r="M11" s="17">
        <f>VLOOKUP($D11,Résultats!$B$2:$AX$212,M$2,FALSE)/1000000</f>
        <v>172.18529869999998</v>
      </c>
      <c r="N11" s="89">
        <f>VLOOKUP($D11,Résultats!$B$2:$AX$212,N$2,FALSE)/1000000</f>
        <v>169.48402040000002</v>
      </c>
      <c r="O11" s="88">
        <f>VLOOKUP($D11,Résultats!$B$2:$AX$212,O$2,FALSE)/1000000</f>
        <v>166.28509319999998</v>
      </c>
      <c r="P11" s="17">
        <f>VLOOKUP($D11,Résultats!$B$2:$AX$212,P$2,FALSE)/1000000</f>
        <v>162.72400999999999</v>
      </c>
      <c r="Q11" s="17">
        <f>VLOOKUP($D11,Résultats!$B$2:$AX$212,Q$2,FALSE)/1000000</f>
        <v>158.83647390000002</v>
      </c>
      <c r="R11" s="17">
        <f>VLOOKUP($D11,Résultats!$B$2:$AX$212,R$2,FALSE)/1000000</f>
        <v>154.84859080000001</v>
      </c>
      <c r="S11" s="89">
        <f>VLOOKUP($D11,Résultats!$B$2:$AX$212,S$2,FALSE)/1000000</f>
        <v>150.8364684</v>
      </c>
      <c r="T11" s="97">
        <f>VLOOKUP($D11,Résultats!$B$2:$AX$212,T$2,FALSE)/1000000</f>
        <v>131.73602120000001</v>
      </c>
      <c r="U11" s="97">
        <f>VLOOKUP($D11,Résultats!$B$2:$AX$212,U$2,FALSE)/1000000</f>
        <v>113.68158940000001</v>
      </c>
      <c r="V11" s="17">
        <f>VLOOKUP($D11,Résultats!$B$2:$AX$212,V$2,FALSE)/1000000</f>
        <v>96.376756720000003</v>
      </c>
      <c r="W11" s="97">
        <f>VLOOKUP($D11,Résultats!$B$2:$AX$212,W$2,FALSE)/1000000</f>
        <v>82.095374419999999</v>
      </c>
      <c r="X11" s="3"/>
      <c r="AC11" s="3"/>
      <c r="AD11" s="230"/>
      <c r="AE11" s="56" t="s">
        <v>33</v>
      </c>
      <c r="AF11" s="26" t="s">
        <v>197</v>
      </c>
      <c r="AG11" s="17">
        <v>185908630.79867601</v>
      </c>
      <c r="AH11" s="17">
        <v>122848574.7</v>
      </c>
      <c r="AI11" s="88">
        <v>108.23245179999999</v>
      </c>
      <c r="AJ11" s="17">
        <v>104.1687845</v>
      </c>
      <c r="AK11" s="89">
        <v>99.74691254999999</v>
      </c>
      <c r="AL11" s="88">
        <v>95.046236530000002</v>
      </c>
      <c r="AM11" s="17">
        <v>90.107720040000004</v>
      </c>
      <c r="AN11" s="17">
        <v>85.015733400000002</v>
      </c>
      <c r="AO11" s="17">
        <v>80.102011930000003</v>
      </c>
      <c r="AP11" s="89">
        <v>75.443511400000006</v>
      </c>
      <c r="AQ11" s="88">
        <v>71.054838119999999</v>
      </c>
      <c r="AR11" s="17">
        <v>66.977444469999995</v>
      </c>
      <c r="AS11" s="17">
        <v>63.336991279999999</v>
      </c>
      <c r="AT11" s="17">
        <v>60.147778989999999</v>
      </c>
      <c r="AU11" s="89">
        <v>57.366378259999998</v>
      </c>
      <c r="AV11" s="97">
        <v>48.003292939999994</v>
      </c>
      <c r="AW11" s="97">
        <v>43.625386599999999</v>
      </c>
      <c r="AX11" s="17">
        <v>41.698375349999999</v>
      </c>
      <c r="AY11" s="97">
        <v>40.95083563</v>
      </c>
      <c r="AZ11" s="3"/>
    </row>
    <row r="12" spans="1:5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</row>
    <row r="13" spans="1:5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</row>
    <row r="14" spans="1:56" x14ac:dyDescent="0.25">
      <c r="A14" s="3"/>
      <c r="B14" s="3"/>
      <c r="C14" s="42"/>
      <c r="D14" s="11"/>
      <c r="E14" s="237">
        <v>2006</v>
      </c>
      <c r="F14" s="24">
        <v>2015</v>
      </c>
      <c r="G14" s="20">
        <v>2018</v>
      </c>
      <c r="H14" s="4">
        <v>2019</v>
      </c>
      <c r="I14" s="190">
        <v>2020</v>
      </c>
      <c r="J14" s="91">
        <v>2021</v>
      </c>
      <c r="K14" s="27">
        <v>2022</v>
      </c>
      <c r="L14" s="4">
        <v>2023</v>
      </c>
      <c r="M14" s="27">
        <v>2024</v>
      </c>
      <c r="N14" s="83">
        <v>2025</v>
      </c>
      <c r="O14" s="91">
        <v>2026</v>
      </c>
      <c r="P14" s="4">
        <v>2027</v>
      </c>
      <c r="Q14" s="27">
        <v>2028</v>
      </c>
      <c r="R14" s="27">
        <v>2029</v>
      </c>
      <c r="S14" s="83">
        <v>2030</v>
      </c>
      <c r="T14" s="4">
        <v>2035</v>
      </c>
      <c r="U14" s="93">
        <v>2040</v>
      </c>
      <c r="V14" s="4">
        <v>2045</v>
      </c>
      <c r="W14" s="93">
        <v>2050</v>
      </c>
      <c r="X14" s="3"/>
      <c r="AC14" s="3"/>
      <c r="AD14" s="3"/>
      <c r="AE14" s="42"/>
      <c r="AF14" s="11"/>
      <c r="AG14" s="237">
        <v>2006</v>
      </c>
      <c r="AH14" s="24">
        <v>2015</v>
      </c>
      <c r="AI14" s="20">
        <v>2018</v>
      </c>
      <c r="AJ14" s="4">
        <v>2019</v>
      </c>
      <c r="AK14" s="190">
        <v>2020</v>
      </c>
      <c r="AL14" s="91">
        <v>2021</v>
      </c>
      <c r="AM14" s="27">
        <v>2022</v>
      </c>
      <c r="AN14" s="4">
        <v>2023</v>
      </c>
      <c r="AO14" s="27">
        <v>2024</v>
      </c>
      <c r="AP14" s="83">
        <v>2025</v>
      </c>
      <c r="AQ14" s="91">
        <v>2026</v>
      </c>
      <c r="AR14" s="4">
        <v>2027</v>
      </c>
      <c r="AS14" s="27">
        <v>2028</v>
      </c>
      <c r="AT14" s="27">
        <v>2029</v>
      </c>
      <c r="AU14" s="83">
        <v>2030</v>
      </c>
      <c r="AV14" s="4">
        <v>2035</v>
      </c>
      <c r="AW14" s="93">
        <v>2040</v>
      </c>
      <c r="AX14" s="4">
        <v>2045</v>
      </c>
      <c r="AY14" s="93">
        <v>2050</v>
      </c>
      <c r="AZ14" s="3"/>
    </row>
    <row r="15" spans="1:56" ht="15.75" thickBot="1" x14ac:dyDescent="0.3">
      <c r="A15" s="3"/>
      <c r="B15" s="229" t="s">
        <v>101</v>
      </c>
      <c r="C15" s="5" t="s">
        <v>44</v>
      </c>
      <c r="D15" s="12" t="s">
        <v>190</v>
      </c>
      <c r="E15" s="18">
        <f>E4/100</f>
        <v>23931657.800000001</v>
      </c>
      <c r="F15" s="18">
        <f>F4/100</f>
        <v>26236690</v>
      </c>
      <c r="G15" s="106">
        <f>G4*1000/100</f>
        <v>27156.825130000001</v>
      </c>
      <c r="H15" s="18">
        <f t="shared" ref="H15:W15" si="1">H4*1000/100</f>
        <v>27454.671249999999</v>
      </c>
      <c r="I15" s="233">
        <f t="shared" si="1"/>
        <v>27751.517399999997</v>
      </c>
      <c r="J15" s="106">
        <f t="shared" si="1"/>
        <v>28042.295709999999</v>
      </c>
      <c r="K15" s="18">
        <f t="shared" si="1"/>
        <v>28330.575769999999</v>
      </c>
      <c r="L15" s="18">
        <f t="shared" si="1"/>
        <v>28637.831890000001</v>
      </c>
      <c r="M15" s="18">
        <f t="shared" si="1"/>
        <v>28942.374909999999</v>
      </c>
      <c r="N15" s="107">
        <f t="shared" si="1"/>
        <v>29235.414609999996</v>
      </c>
      <c r="O15" s="106">
        <f t="shared" si="1"/>
        <v>29517.865609999997</v>
      </c>
      <c r="P15" s="18">
        <f t="shared" si="1"/>
        <v>29788.946309999999</v>
      </c>
      <c r="Q15" s="18">
        <f t="shared" si="1"/>
        <v>30050.072530000001</v>
      </c>
      <c r="R15" s="18">
        <f t="shared" si="1"/>
        <v>30299.620610000002</v>
      </c>
      <c r="S15" s="107">
        <f t="shared" si="1"/>
        <v>30536.834189999998</v>
      </c>
      <c r="T15" s="18">
        <f t="shared" si="1"/>
        <v>31487.032399999996</v>
      </c>
      <c r="U15" s="114">
        <f t="shared" si="1"/>
        <v>32000.325219999999</v>
      </c>
      <c r="V15" s="18">
        <f t="shared" si="1"/>
        <v>32308.822530000001</v>
      </c>
      <c r="W15" s="114">
        <f t="shared" si="1"/>
        <v>32596.937800000003</v>
      </c>
      <c r="X15" s="3"/>
      <c r="Y15" s="33" t="s">
        <v>102</v>
      </c>
      <c r="AC15" s="3"/>
      <c r="AD15" s="229" t="s">
        <v>101</v>
      </c>
      <c r="AE15" s="5" t="s">
        <v>44</v>
      </c>
      <c r="AF15" s="12" t="s">
        <v>190</v>
      </c>
      <c r="AG15" s="18">
        <v>23553498.758831903</v>
      </c>
      <c r="AH15" s="18">
        <v>25969983.98</v>
      </c>
      <c r="AI15" s="106">
        <v>26557.572249999997</v>
      </c>
      <c r="AJ15" s="18">
        <v>26719.482079999998</v>
      </c>
      <c r="AK15" s="233">
        <v>26882.378990000001</v>
      </c>
      <c r="AL15" s="106">
        <v>27046.269019999996</v>
      </c>
      <c r="AM15" s="18">
        <v>27212.510620000001</v>
      </c>
      <c r="AN15" s="18">
        <v>27333.149649999999</v>
      </c>
      <c r="AO15" s="18">
        <v>27452.011419999999</v>
      </c>
      <c r="AP15" s="107">
        <v>27569.50288</v>
      </c>
      <c r="AQ15" s="106">
        <v>27685.617249999999</v>
      </c>
      <c r="AR15" s="18">
        <v>27799.930970000001</v>
      </c>
      <c r="AS15" s="18">
        <v>27915.774529999999</v>
      </c>
      <c r="AT15" s="18">
        <v>28028.555909999999</v>
      </c>
      <c r="AU15" s="107">
        <v>28143.284440000003</v>
      </c>
      <c r="AV15" s="18">
        <v>28696.22798</v>
      </c>
      <c r="AW15" s="114">
        <v>29214.190490000001</v>
      </c>
      <c r="AX15" s="18">
        <v>29661.644070000002</v>
      </c>
      <c r="AY15" s="114">
        <v>30027.028059999997</v>
      </c>
      <c r="AZ15" s="3"/>
      <c r="BA15" s="33" t="s">
        <v>102</v>
      </c>
    </row>
    <row r="16" spans="1:56" x14ac:dyDescent="0.25">
      <c r="A16" s="3"/>
      <c r="B16" s="230"/>
      <c r="C16" s="35" t="s">
        <v>27</v>
      </c>
      <c r="D16" s="13" t="s">
        <v>191</v>
      </c>
      <c r="E16" s="74">
        <f>E5/E$4</f>
        <v>2.7625624832392512E-4</v>
      </c>
      <c r="F16" s="74">
        <f>F5/F$4</f>
        <v>6.2994440685924941E-3</v>
      </c>
      <c r="G16" s="108">
        <f>G5/G$4</f>
        <v>8.7078423183851745E-3</v>
      </c>
      <c r="H16" s="74">
        <f t="shared" ref="H16:W16" si="2">H5/H$4</f>
        <v>1.0059870682297824E-2</v>
      </c>
      <c r="I16" s="109">
        <f t="shared" si="2"/>
        <v>1.1689743120136559E-2</v>
      </c>
      <c r="J16" s="108">
        <f t="shared" si="2"/>
        <v>1.3626682948918951E-2</v>
      </c>
      <c r="K16" s="74">
        <f t="shared" si="2"/>
        <v>1.5759186933743001E-2</v>
      </c>
      <c r="L16" s="74">
        <f t="shared" si="2"/>
        <v>1.7985790414527081E-2</v>
      </c>
      <c r="M16" s="74">
        <f t="shared" si="2"/>
        <v>2.0076087968138343E-2</v>
      </c>
      <c r="N16" s="109">
        <f t="shared" si="2"/>
        <v>2.2113885526318523E-2</v>
      </c>
      <c r="O16" s="108">
        <f t="shared" si="2"/>
        <v>2.4746732790616566E-2</v>
      </c>
      <c r="P16" s="74">
        <f t="shared" si="2"/>
        <v>2.8092464382302586E-2</v>
      </c>
      <c r="Q16" s="74">
        <f t="shared" si="2"/>
        <v>3.1850422954702924E-2</v>
      </c>
      <c r="R16" s="74">
        <f t="shared" si="2"/>
        <v>3.5880645734593569E-2</v>
      </c>
      <c r="S16" s="109">
        <f t="shared" si="2"/>
        <v>4.0219355331935276E-2</v>
      </c>
      <c r="T16" s="74">
        <f t="shared" si="2"/>
        <v>6.4917010438875156E-2</v>
      </c>
      <c r="U16" s="115">
        <f t="shared" si="2"/>
        <v>9.577573774420535E-2</v>
      </c>
      <c r="V16" s="74">
        <f t="shared" si="2"/>
        <v>0.13491069425240362</v>
      </c>
      <c r="W16" s="115">
        <f t="shared" si="2"/>
        <v>0.1800542746687083</v>
      </c>
      <c r="X16" s="3"/>
      <c r="Y16" s="133"/>
      <c r="Z16" s="134">
        <v>2020</v>
      </c>
      <c r="AA16" s="134">
        <v>2030</v>
      </c>
      <c r="AB16" s="135">
        <v>2050</v>
      </c>
      <c r="AC16" s="3"/>
      <c r="AD16" s="230"/>
      <c r="AE16" s="35" t="s">
        <v>27</v>
      </c>
      <c r="AF16" s="13" t="s">
        <v>191</v>
      </c>
      <c r="AG16" s="74">
        <v>2.7625624832392523E-4</v>
      </c>
      <c r="AH16" s="74">
        <v>1.6629641428835412E-2</v>
      </c>
      <c r="AI16" s="108">
        <v>1.898241431311554E-2</v>
      </c>
      <c r="AJ16" s="74">
        <v>1.9680566124955369E-2</v>
      </c>
      <c r="AK16" s="109">
        <v>2.055206032566986E-2</v>
      </c>
      <c r="AL16" s="108">
        <v>2.160970410624127E-2</v>
      </c>
      <c r="AM16" s="74">
        <v>2.2733103267779265E-2</v>
      </c>
      <c r="AN16" s="74">
        <v>2.393439203227719E-2</v>
      </c>
      <c r="AO16" s="74">
        <v>2.529841231575591E-2</v>
      </c>
      <c r="AP16" s="109">
        <v>2.6853587579088043E-2</v>
      </c>
      <c r="AQ16" s="108">
        <v>2.8536226646707685E-2</v>
      </c>
      <c r="AR16" s="74">
        <v>3.0145756689265623E-2</v>
      </c>
      <c r="AS16" s="74">
        <v>3.1295266461661024E-2</v>
      </c>
      <c r="AT16" s="74">
        <v>3.1832698318990882E-2</v>
      </c>
      <c r="AU16" s="109">
        <v>3.2226906380938385E-2</v>
      </c>
      <c r="AV16" s="74">
        <v>3.3842116701778453E-2</v>
      </c>
      <c r="AW16" s="115">
        <v>3.528596270202522E-2</v>
      </c>
      <c r="AX16" s="74">
        <v>3.6511438423446764E-2</v>
      </c>
      <c r="AY16" s="115">
        <v>3.7519654417640692E-2</v>
      </c>
      <c r="AZ16" s="3"/>
      <c r="BA16" s="133"/>
      <c r="BB16" s="134">
        <v>2020</v>
      </c>
      <c r="BC16" s="134">
        <v>2030</v>
      </c>
      <c r="BD16" s="135">
        <v>2050</v>
      </c>
    </row>
    <row r="17" spans="1:56" x14ac:dyDescent="0.25">
      <c r="A17" s="3"/>
      <c r="B17" s="230"/>
      <c r="C17" s="35" t="s">
        <v>28</v>
      </c>
      <c r="D17" s="13" t="s">
        <v>192</v>
      </c>
      <c r="E17" s="68">
        <f t="shared" ref="E17:G22" si="3">E6/E$4</f>
        <v>1.77137013884596E-2</v>
      </c>
      <c r="F17" s="68">
        <f t="shared" si="3"/>
        <v>4.1867881047494934E-2</v>
      </c>
      <c r="G17" s="110">
        <f t="shared" si="3"/>
        <v>4.951316387550049E-2</v>
      </c>
      <c r="H17" s="68">
        <f t="shared" ref="H17:W17" si="4">H6/H$4</f>
        <v>5.4020811886428981E-2</v>
      </c>
      <c r="I17" s="111">
        <f t="shared" si="4"/>
        <v>5.9104264078907634E-2</v>
      </c>
      <c r="J17" s="110">
        <f t="shared" si="4"/>
        <v>6.5112594199941851E-2</v>
      </c>
      <c r="K17" s="68">
        <f t="shared" si="4"/>
        <v>7.1074599236780708E-2</v>
      </c>
      <c r="L17" s="68">
        <f t="shared" si="4"/>
        <v>7.7018415062705362E-2</v>
      </c>
      <c r="M17" s="68">
        <f t="shared" si="4"/>
        <v>8.2193296486463077E-2</v>
      </c>
      <c r="N17" s="111">
        <f t="shared" si="4"/>
        <v>8.7166598524254693E-2</v>
      </c>
      <c r="O17" s="110">
        <f t="shared" si="4"/>
        <v>9.3331470350846948E-2</v>
      </c>
      <c r="P17" s="68">
        <f t="shared" si="4"/>
        <v>0.10041877698090357</v>
      </c>
      <c r="Q17" s="68">
        <f t="shared" si="4"/>
        <v>0.10788177122579476</v>
      </c>
      <c r="R17" s="68">
        <f t="shared" si="4"/>
        <v>0.11535749417424802</v>
      </c>
      <c r="S17" s="111">
        <f t="shared" si="4"/>
        <v>0.12283201397570936</v>
      </c>
      <c r="T17" s="68">
        <f t="shared" si="4"/>
        <v>0.1575713588365984</v>
      </c>
      <c r="U17" s="116">
        <f t="shared" si="4"/>
        <v>0.18919976157667315</v>
      </c>
      <c r="V17" s="68">
        <f t="shared" si="4"/>
        <v>0.21681606652472454</v>
      </c>
      <c r="W17" s="116">
        <f t="shared" si="4"/>
        <v>0.2377080309058969</v>
      </c>
      <c r="X17" s="3"/>
      <c r="Y17" s="136" t="s">
        <v>54</v>
      </c>
      <c r="Z17" s="137">
        <f>I16+I17</f>
        <v>7.079400719904419E-2</v>
      </c>
      <c r="AA17" s="137">
        <f>S16+S17</f>
        <v>0.16305136930764463</v>
      </c>
      <c r="AB17" s="138">
        <f>W16+W17</f>
        <v>0.4177623055746052</v>
      </c>
      <c r="AC17" s="3"/>
      <c r="AD17" s="230"/>
      <c r="AE17" s="35" t="s">
        <v>28</v>
      </c>
      <c r="AF17" s="13" t="s">
        <v>192</v>
      </c>
      <c r="AG17" s="68">
        <v>1.7713701388459593E-2</v>
      </c>
      <c r="AH17" s="68">
        <v>6.9742271631543756E-2</v>
      </c>
      <c r="AI17" s="110">
        <v>8.1178375783200599E-2</v>
      </c>
      <c r="AJ17" s="68">
        <v>8.5616416222091693E-2</v>
      </c>
      <c r="AK17" s="111">
        <v>9.1340609471855363E-2</v>
      </c>
      <c r="AL17" s="110">
        <v>9.8606449600418852E-2</v>
      </c>
      <c r="AM17" s="68">
        <v>0.10615167668053996</v>
      </c>
      <c r="AN17" s="68">
        <v>0.1126658795064988</v>
      </c>
      <c r="AO17" s="68">
        <v>0.11912820758253932</v>
      </c>
      <c r="AP17" s="111">
        <v>0.12547123609941566</v>
      </c>
      <c r="AQ17" s="110">
        <v>0.13162380416134664</v>
      </c>
      <c r="AR17" s="68">
        <v>0.13741741046488648</v>
      </c>
      <c r="AS17" s="68">
        <v>0.14263357202290744</v>
      </c>
      <c r="AT17" s="68">
        <v>0.14704290032757525</v>
      </c>
      <c r="AU17" s="111">
        <v>0.15090915365811511</v>
      </c>
      <c r="AV17" s="68">
        <v>0.16819727841456883</v>
      </c>
      <c r="AW17" s="116">
        <v>0.18386636890858446</v>
      </c>
      <c r="AX17" s="68">
        <v>0.19725136554104705</v>
      </c>
      <c r="AY17" s="116">
        <v>0.20829950118613239</v>
      </c>
      <c r="AZ17" s="3"/>
      <c r="BA17" s="136" t="s">
        <v>54</v>
      </c>
      <c r="BB17" s="137">
        <v>0.11189266979752523</v>
      </c>
      <c r="BC17" s="137">
        <v>0.1831360600390535</v>
      </c>
      <c r="BD17" s="138">
        <v>0.24581915560377307</v>
      </c>
    </row>
    <row r="18" spans="1:56" x14ac:dyDescent="0.25">
      <c r="A18" s="3"/>
      <c r="B18" s="230"/>
      <c r="C18" s="35" t="s">
        <v>29</v>
      </c>
      <c r="D18" s="13" t="s">
        <v>193</v>
      </c>
      <c r="E18" s="68">
        <f t="shared" si="3"/>
        <v>0.12575058882882739</v>
      </c>
      <c r="F18" s="68">
        <f t="shared" si="3"/>
        <v>0.21058494577631554</v>
      </c>
      <c r="G18" s="110">
        <f t="shared" si="3"/>
        <v>0.22425334816743356</v>
      </c>
      <c r="H18" s="68">
        <f t="shared" ref="H18:W18" si="5">H7/H$4</f>
        <v>0.23043084283881199</v>
      </c>
      <c r="I18" s="111">
        <f t="shared" si="5"/>
        <v>0.23688073705115673</v>
      </c>
      <c r="J18" s="110">
        <f t="shared" si="5"/>
        <v>0.24348474117848892</v>
      </c>
      <c r="K18" s="68">
        <f t="shared" si="5"/>
        <v>0.24935865657487835</v>
      </c>
      <c r="L18" s="68">
        <f t="shared" si="5"/>
        <v>0.25466164376593797</v>
      </c>
      <c r="M18" s="68">
        <f t="shared" si="5"/>
        <v>0.25885884258970787</v>
      </c>
      <c r="N18" s="111">
        <f t="shared" si="5"/>
        <v>0.26233929008062051</v>
      </c>
      <c r="O18" s="110">
        <f t="shared" si="5"/>
        <v>0.26569816990233258</v>
      </c>
      <c r="P18" s="68">
        <f t="shared" si="5"/>
        <v>0.26874468890873637</v>
      </c>
      <c r="Q18" s="68">
        <f t="shared" si="5"/>
        <v>0.27154870933684228</v>
      </c>
      <c r="R18" s="68">
        <f t="shared" si="5"/>
        <v>0.27396867838207561</v>
      </c>
      <c r="S18" s="111">
        <f t="shared" si="5"/>
        <v>0.27594786969631185</v>
      </c>
      <c r="T18" s="68">
        <f t="shared" si="5"/>
        <v>0.27973251166089569</v>
      </c>
      <c r="U18" s="116">
        <f t="shared" si="5"/>
        <v>0.27563442219291295</v>
      </c>
      <c r="V18" s="68">
        <f t="shared" si="5"/>
        <v>0.26526311780759282</v>
      </c>
      <c r="W18" s="116">
        <f t="shared" si="5"/>
        <v>0.25001014515541398</v>
      </c>
      <c r="X18" s="3"/>
      <c r="Y18" s="136" t="s">
        <v>55</v>
      </c>
      <c r="Z18" s="137">
        <f>I18+I19+I20</f>
        <v>0.75979490119700632</v>
      </c>
      <c r="AA18" s="137">
        <f>S18+S19+S20</f>
        <v>0.71575005093872834</v>
      </c>
      <c r="AB18" s="138">
        <f>W18+W19+W20</f>
        <v>0.51766112159161159</v>
      </c>
      <c r="AC18" s="3"/>
      <c r="AD18" s="230"/>
      <c r="AE18" s="35" t="s">
        <v>29</v>
      </c>
      <c r="AF18" s="13" t="s">
        <v>193</v>
      </c>
      <c r="AG18" s="68">
        <v>0.12575058882882711</v>
      </c>
      <c r="AH18" s="68">
        <v>0.21911275641841962</v>
      </c>
      <c r="AI18" s="110">
        <v>0.23825625442852749</v>
      </c>
      <c r="AJ18" s="68">
        <v>0.24161201207684488</v>
      </c>
      <c r="AK18" s="111">
        <v>0.24455613282758795</v>
      </c>
      <c r="AL18" s="110">
        <v>0.24673344098091057</v>
      </c>
      <c r="AM18" s="68">
        <v>0.24961673279082403</v>
      </c>
      <c r="AN18" s="68">
        <v>0.25335794116943272</v>
      </c>
      <c r="AO18" s="68">
        <v>0.2567414043426039</v>
      </c>
      <c r="AP18" s="111">
        <v>0.25951109793823024</v>
      </c>
      <c r="AQ18" s="110">
        <v>0.26169012384941498</v>
      </c>
      <c r="AR18" s="68">
        <v>0.26336582993321006</v>
      </c>
      <c r="AS18" s="68">
        <v>0.264535488566292</v>
      </c>
      <c r="AT18" s="68">
        <v>0.2651534802885962</v>
      </c>
      <c r="AU18" s="111">
        <v>0.26456632525865909</v>
      </c>
      <c r="AV18" s="68">
        <v>0.25952290901056607</v>
      </c>
      <c r="AW18" s="116">
        <v>0.25485171144990371</v>
      </c>
      <c r="AX18" s="68">
        <v>0.25089202970130575</v>
      </c>
      <c r="AY18" s="116">
        <v>0.24771102411924817</v>
      </c>
      <c r="AZ18" s="3"/>
      <c r="BA18" s="136" t="s">
        <v>55</v>
      </c>
      <c r="BB18" s="137">
        <v>0.72289771229804389</v>
      </c>
      <c r="BC18" s="137">
        <v>0.68888842591678678</v>
      </c>
      <c r="BD18" s="138">
        <v>0.64245955428730506</v>
      </c>
    </row>
    <row r="19" spans="1:56" ht="15.75" thickBot="1" x14ac:dyDescent="0.3">
      <c r="A19" s="3"/>
      <c r="B19" s="230"/>
      <c r="C19" s="35" t="s">
        <v>30</v>
      </c>
      <c r="D19" s="13" t="s">
        <v>194</v>
      </c>
      <c r="E19" s="68">
        <f t="shared" si="3"/>
        <v>0.27637430617113368</v>
      </c>
      <c r="F19" s="68">
        <f t="shared" si="3"/>
        <v>0.31096660257067488</v>
      </c>
      <c r="G19" s="110">
        <f t="shared" si="3"/>
        <v>0.3136566865686482</v>
      </c>
      <c r="H19" s="68">
        <f t="shared" ref="H19:W19" si="6">H8/H$4</f>
        <v>0.31412658783885455</v>
      </c>
      <c r="I19" s="111">
        <f t="shared" si="6"/>
        <v>0.31445808195698877</v>
      </c>
      <c r="J19" s="110">
        <f t="shared" si="6"/>
        <v>0.31410102935541717</v>
      </c>
      <c r="K19" s="68">
        <f t="shared" si="6"/>
        <v>0.31341083619635873</v>
      </c>
      <c r="L19" s="68">
        <f t="shared" si="6"/>
        <v>0.31248320331557056</v>
      </c>
      <c r="M19" s="68">
        <f t="shared" si="6"/>
        <v>0.31163388761451161</v>
      </c>
      <c r="N19" s="111">
        <f t="shared" si="6"/>
        <v>0.31052770207318087</v>
      </c>
      <c r="O19" s="110">
        <f t="shared" si="6"/>
        <v>0.30813036227520113</v>
      </c>
      <c r="P19" s="68">
        <f t="shared" si="6"/>
        <v>0.30460530384567336</v>
      </c>
      <c r="Q19" s="68">
        <f t="shared" si="6"/>
        <v>0.30059339700369103</v>
      </c>
      <c r="R19" s="68">
        <f t="shared" si="6"/>
        <v>0.29635668368852225</v>
      </c>
      <c r="S19" s="111">
        <f t="shared" si="6"/>
        <v>0.29184863213222301</v>
      </c>
      <c r="T19" s="68">
        <f t="shared" si="6"/>
        <v>0.26774486686779664</v>
      </c>
      <c r="U19" s="116">
        <f t="shared" si="6"/>
        <v>0.24016790451856543</v>
      </c>
      <c r="V19" s="68">
        <f t="shared" si="6"/>
        <v>0.21089302498329082</v>
      </c>
      <c r="W19" s="116">
        <f t="shared" si="6"/>
        <v>0.18294019998406108</v>
      </c>
      <c r="X19" s="3"/>
      <c r="Y19" s="139" t="s">
        <v>60</v>
      </c>
      <c r="Z19" s="140">
        <f>I21+I22</f>
        <v>0.16941109140936561</v>
      </c>
      <c r="AA19" s="140">
        <f>S21+S22</f>
        <v>0.12119857968813237</v>
      </c>
      <c r="AB19" s="271">
        <f>W21+W22</f>
        <v>6.4796086710942516E-2</v>
      </c>
      <c r="AC19" s="3"/>
      <c r="AD19" s="230"/>
      <c r="AE19" s="35" t="s">
        <v>30</v>
      </c>
      <c r="AF19" s="13" t="s">
        <v>194</v>
      </c>
      <c r="AG19" s="68">
        <v>0.27637430617113345</v>
      </c>
      <c r="AH19" s="68">
        <v>0.24399997608315813</v>
      </c>
      <c r="AI19" s="110">
        <v>0.2366669213900002</v>
      </c>
      <c r="AJ19" s="68">
        <v>0.23468160828213183</v>
      </c>
      <c r="AK19" s="111">
        <v>0.23286925708207196</v>
      </c>
      <c r="AL19" s="110">
        <v>0.23119912330148079</v>
      </c>
      <c r="AM19" s="68">
        <v>0.22958027552990262</v>
      </c>
      <c r="AN19" s="68">
        <v>0.22823590127309021</v>
      </c>
      <c r="AO19" s="68">
        <v>0.22667237149939959</v>
      </c>
      <c r="AP19" s="111">
        <v>0.22484807807314372</v>
      </c>
      <c r="AQ19" s="110">
        <v>0.22283946683543782</v>
      </c>
      <c r="AR19" s="68">
        <v>0.22080782835843135</v>
      </c>
      <c r="AS19" s="68">
        <v>0.21896131706577443</v>
      </c>
      <c r="AT19" s="68">
        <v>0.21754236545681527</v>
      </c>
      <c r="AU19" s="111">
        <v>0.21668893895456073</v>
      </c>
      <c r="AV19" s="68">
        <v>0.21328461407073057</v>
      </c>
      <c r="AW19" s="116">
        <v>0.20989243419559833</v>
      </c>
      <c r="AX19" s="68">
        <v>0.2069443498652298</v>
      </c>
      <c r="AY19" s="116">
        <v>0.20457087690216122</v>
      </c>
      <c r="AZ19" s="3"/>
      <c r="BA19" s="139" t="s">
        <v>60</v>
      </c>
      <c r="BB19" s="140">
        <v>0.16520961794906971</v>
      </c>
      <c r="BC19" s="140">
        <v>0.12797551395532852</v>
      </c>
      <c r="BD19" s="271">
        <v>0.11172129005230631</v>
      </c>
    </row>
    <row r="20" spans="1:56" x14ac:dyDescent="0.25">
      <c r="A20" s="3"/>
      <c r="B20" s="230"/>
      <c r="C20" s="35" t="s">
        <v>31</v>
      </c>
      <c r="D20" s="13" t="s">
        <v>195</v>
      </c>
      <c r="E20" s="68">
        <f t="shared" si="3"/>
        <v>0.32873347328240671</v>
      </c>
      <c r="F20" s="68">
        <f t="shared" si="3"/>
        <v>0.23930046274892144</v>
      </c>
      <c r="G20" s="110">
        <f t="shared" si="3"/>
        <v>0.22329420040714454</v>
      </c>
      <c r="H20" s="68">
        <f t="shared" ref="H20:W20" si="7">H9/H$4</f>
        <v>0.21609934276667034</v>
      </c>
      <c r="I20" s="111">
        <f t="shared" si="7"/>
        <v>0.2084560821888608</v>
      </c>
      <c r="J20" s="110">
        <f t="shared" si="7"/>
        <v>0.20048542691157581</v>
      </c>
      <c r="K20" s="68">
        <f t="shared" si="7"/>
        <v>0.1930552807822444</v>
      </c>
      <c r="L20" s="68">
        <f t="shared" si="7"/>
        <v>0.18605511965661586</v>
      </c>
      <c r="M20" s="68">
        <f t="shared" si="7"/>
        <v>0.18014676052719267</v>
      </c>
      <c r="N20" s="111">
        <f t="shared" si="7"/>
        <v>0.17493467434016322</v>
      </c>
      <c r="O20" s="110">
        <f t="shared" si="7"/>
        <v>0.1694996192510953</v>
      </c>
      <c r="P20" s="68">
        <f t="shared" si="7"/>
        <v>0.16394545386657552</v>
      </c>
      <c r="Q20" s="68">
        <f t="shared" si="7"/>
        <v>0.15838960728791293</v>
      </c>
      <c r="R20" s="68">
        <f t="shared" si="7"/>
        <v>0.15304733173687085</v>
      </c>
      <c r="S20" s="111">
        <f t="shared" si="7"/>
        <v>0.14795354911019346</v>
      </c>
      <c r="T20" s="68">
        <f t="shared" si="7"/>
        <v>0.12685629656226352</v>
      </c>
      <c r="U20" s="116">
        <f t="shared" si="7"/>
        <v>0.11062687262276517</v>
      </c>
      <c r="V20" s="68">
        <f t="shared" si="7"/>
        <v>9.6492667942485968E-2</v>
      </c>
      <c r="W20" s="116">
        <f t="shared" si="7"/>
        <v>8.4710776452136566E-2</v>
      </c>
      <c r="X20" s="3"/>
      <c r="Y20" s="173" t="s">
        <v>92</v>
      </c>
      <c r="Z20" s="174">
        <f>SUM(Z17:Z19)</f>
        <v>0.9999999998054161</v>
      </c>
      <c r="AA20" s="174">
        <f t="shared" ref="AA20:AB20" si="8">SUM(AA17:AA19)</f>
        <v>0.99999999993450539</v>
      </c>
      <c r="AB20" s="174">
        <f t="shared" si="8"/>
        <v>1.0002195138771592</v>
      </c>
      <c r="AC20" s="3"/>
      <c r="AD20" s="230"/>
      <c r="AE20" s="35" t="s">
        <v>31</v>
      </c>
      <c r="AF20" s="13" t="s">
        <v>195</v>
      </c>
      <c r="AG20" s="68">
        <v>0.32873347328240687</v>
      </c>
      <c r="AH20" s="68">
        <v>0.26509030195404842</v>
      </c>
      <c r="AI20" s="110">
        <v>0.25245211474478813</v>
      </c>
      <c r="AJ20" s="68">
        <v>0.24923939412675924</v>
      </c>
      <c r="AK20" s="111">
        <v>0.24547232238838398</v>
      </c>
      <c r="AL20" s="110">
        <v>0.24119695582322501</v>
      </c>
      <c r="AM20" s="68">
        <v>0.23638908066322328</v>
      </c>
      <c r="AN20" s="68">
        <v>0.23153170520178237</v>
      </c>
      <c r="AO20" s="68">
        <v>0.22680205092235828</v>
      </c>
      <c r="AP20" s="111">
        <v>0.22234816495175047</v>
      </c>
      <c r="AQ20" s="110">
        <v>0.21820791100476547</v>
      </c>
      <c r="AR20" s="68">
        <v>0.21447810166990497</v>
      </c>
      <c r="AS20" s="68">
        <v>0.21139582011805283</v>
      </c>
      <c r="AT20" s="68">
        <v>0.20910573223320947</v>
      </c>
      <c r="AU20" s="111">
        <v>0.20763316170356694</v>
      </c>
      <c r="AV20" s="68">
        <v>0.20276931860366407</v>
      </c>
      <c r="AW20" s="116">
        <v>0.19804005693672738</v>
      </c>
      <c r="AX20" s="68">
        <v>0.19381052501450233</v>
      </c>
      <c r="AY20" s="116">
        <v>0.1901776532658957</v>
      </c>
      <c r="AZ20" s="3"/>
      <c r="BA20" s="173" t="s">
        <v>92</v>
      </c>
      <c r="BB20" s="174">
        <v>1.0000000000446387</v>
      </c>
      <c r="BC20" s="174">
        <v>0.99999999991116884</v>
      </c>
      <c r="BD20" s="174">
        <v>0.99999999994338451</v>
      </c>
    </row>
    <row r="21" spans="1:56" x14ac:dyDescent="0.25">
      <c r="A21" s="3"/>
      <c r="B21" s="230"/>
      <c r="C21" s="35" t="s">
        <v>32</v>
      </c>
      <c r="D21" s="13" t="s">
        <v>196</v>
      </c>
      <c r="E21" s="68">
        <f t="shared" si="3"/>
        <v>0.1722213067913749</v>
      </c>
      <c r="F21" s="68">
        <f t="shared" si="3"/>
        <v>0.11888509480426075</v>
      </c>
      <c r="G21" s="110">
        <f t="shared" si="3"/>
        <v>0.10996652637796764</v>
      </c>
      <c r="H21" s="68">
        <f t="shared" ref="H21:W21" si="9">H10/H$4</f>
        <v>0.10613526872954271</v>
      </c>
      <c r="I21" s="111">
        <f t="shared" si="9"/>
        <v>0.10211005863773055</v>
      </c>
      <c r="J21" s="110">
        <f t="shared" si="9"/>
        <v>9.7993052117343923E-2</v>
      </c>
      <c r="K21" s="68">
        <f t="shared" si="9"/>
        <v>9.4179051165821051E-2</v>
      </c>
      <c r="L21" s="68">
        <f t="shared" si="9"/>
        <v>9.0618283359159696E-2</v>
      </c>
      <c r="M21" s="68">
        <f t="shared" si="9"/>
        <v>8.7598668073503999E-2</v>
      </c>
      <c r="N21" s="111">
        <f t="shared" si="9"/>
        <v>8.4945686973447038E-2</v>
      </c>
      <c r="O21" s="110">
        <f t="shared" si="9"/>
        <v>8.225993366462786E-2</v>
      </c>
      <c r="P21" s="68">
        <f t="shared" si="9"/>
        <v>7.9567677229466935E-2</v>
      </c>
      <c r="Q21" s="68">
        <f t="shared" si="9"/>
        <v>7.6878824092475484E-2</v>
      </c>
      <c r="R21" s="68">
        <f t="shared" si="9"/>
        <v>7.4283380771347551E-2</v>
      </c>
      <c r="S21" s="111">
        <f t="shared" si="9"/>
        <v>7.1803653068857956E-2</v>
      </c>
      <c r="T21" s="68">
        <f t="shared" si="9"/>
        <v>6.1339772972698436E-2</v>
      </c>
      <c r="U21" s="116">
        <f t="shared" si="9"/>
        <v>5.3070165766271549E-2</v>
      </c>
      <c r="V21" s="68">
        <f t="shared" si="9"/>
        <v>4.5794571270004115E-2</v>
      </c>
      <c r="W21" s="116">
        <f t="shared" si="9"/>
        <v>3.9611090830746681E-2</v>
      </c>
      <c r="X21" s="3"/>
      <c r="AC21" s="3"/>
      <c r="AD21" s="230"/>
      <c r="AE21" s="35" t="s">
        <v>32</v>
      </c>
      <c r="AF21" s="13" t="s">
        <v>196</v>
      </c>
      <c r="AG21" s="68">
        <v>0.17222130679137462</v>
      </c>
      <c r="AH21" s="68">
        <v>0.13812098986131141</v>
      </c>
      <c r="AI21" s="110">
        <v>0.13171002420976188</v>
      </c>
      <c r="AJ21" s="68">
        <v>0.13018392379707383</v>
      </c>
      <c r="AK21" s="111">
        <v>0.12810467549323093</v>
      </c>
      <c r="AL21" s="110">
        <v>0.12551223802772041</v>
      </c>
      <c r="AM21" s="68">
        <v>0.12241652291911904</v>
      </c>
      <c r="AN21" s="68">
        <v>0.11917065474377191</v>
      </c>
      <c r="AO21" s="68">
        <v>0.11617863056389478</v>
      </c>
      <c r="AP21" s="111">
        <v>0.11360299235834463</v>
      </c>
      <c r="AQ21" s="110">
        <v>0.11143757540749792</v>
      </c>
      <c r="AR21" s="68">
        <v>0.10969240716067864</v>
      </c>
      <c r="AS21" s="68">
        <v>0.10848993312885881</v>
      </c>
      <c r="AT21" s="68">
        <v>0.10786335937918821</v>
      </c>
      <c r="AU21" s="111">
        <v>0.107591831168658</v>
      </c>
      <c r="AV21" s="68">
        <v>0.1056556785830219</v>
      </c>
      <c r="AW21" s="116">
        <v>0.10313052186167217</v>
      </c>
      <c r="AX21" s="68">
        <v>0.10053227932891177</v>
      </c>
      <c r="AY21" s="116">
        <v>9.8083298457476459E-2</v>
      </c>
      <c r="AZ21" s="3"/>
    </row>
    <row r="22" spans="1:56" x14ac:dyDescent="0.25">
      <c r="A22" s="3"/>
      <c r="B22" s="230"/>
      <c r="C22" s="56" t="s">
        <v>33</v>
      </c>
      <c r="D22" s="26" t="s">
        <v>197</v>
      </c>
      <c r="E22" s="70">
        <f t="shared" si="3"/>
        <v>7.893036728947378E-2</v>
      </c>
      <c r="F22" s="70">
        <f t="shared" si="3"/>
        <v>7.2095568991362866E-2</v>
      </c>
      <c r="G22" s="112">
        <f t="shared" si="3"/>
        <v>7.0608232178133112E-2</v>
      </c>
      <c r="H22" s="70">
        <f t="shared" ref="H22:W22" si="10">H11/H$4</f>
        <v>6.9127275381234074E-2</v>
      </c>
      <c r="I22" s="113">
        <f t="shared" si="10"/>
        <v>6.7301032771635044E-2</v>
      </c>
      <c r="J22" s="112">
        <f t="shared" si="10"/>
        <v>6.5196473388162549E-2</v>
      </c>
      <c r="K22" s="70">
        <f t="shared" si="10"/>
        <v>6.3162389092524959E-2</v>
      </c>
      <c r="L22" s="70">
        <f t="shared" si="10"/>
        <v>6.1177544575634409E-2</v>
      </c>
      <c r="M22" s="70">
        <f t="shared" si="10"/>
        <v>5.9492456730117035E-2</v>
      </c>
      <c r="N22" s="113">
        <f t="shared" si="10"/>
        <v>5.7972162413604991E-2</v>
      </c>
      <c r="O22" s="112">
        <f t="shared" si="10"/>
        <v>5.6333711724626277E-2</v>
      </c>
      <c r="P22" s="70">
        <f t="shared" si="10"/>
        <v>5.4625634725916555E-2</v>
      </c>
      <c r="Q22" s="70">
        <f t="shared" si="10"/>
        <v>5.2857268061974959E-2</v>
      </c>
      <c r="R22" s="70">
        <f t="shared" si="10"/>
        <v>5.1105785380327243E-2</v>
      </c>
      <c r="S22" s="113">
        <f t="shared" si="10"/>
        <v>4.9394926619274415E-2</v>
      </c>
      <c r="T22" s="70">
        <f t="shared" si="10"/>
        <v>4.1838182629113062E-2</v>
      </c>
      <c r="U22" s="117">
        <f t="shared" si="10"/>
        <v>3.5525135641105841E-2</v>
      </c>
      <c r="V22" s="70">
        <f t="shared" si="10"/>
        <v>2.9829857349493446E-2</v>
      </c>
      <c r="W22" s="117">
        <f t="shared" si="10"/>
        <v>2.5184995880195838E-2</v>
      </c>
      <c r="X22" s="3"/>
      <c r="AC22" s="3"/>
      <c r="AD22" s="230"/>
      <c r="AE22" s="56" t="s">
        <v>33</v>
      </c>
      <c r="AF22" s="26" t="s">
        <v>197</v>
      </c>
      <c r="AG22" s="70">
        <v>7.8930367289473502E-2</v>
      </c>
      <c r="AH22" s="70">
        <v>4.7304062564924233E-2</v>
      </c>
      <c r="AI22" s="112">
        <v>4.0753895266160862E-2</v>
      </c>
      <c r="AJ22" s="70">
        <v>3.8986079216697153E-2</v>
      </c>
      <c r="AK22" s="113">
        <v>3.7104942455838792E-2</v>
      </c>
      <c r="AL22" s="112">
        <v>3.5142087975134698E-2</v>
      </c>
      <c r="AM22" s="70">
        <v>3.311260813023801E-2</v>
      </c>
      <c r="AN22" s="70">
        <v>3.1103526117049595E-2</v>
      </c>
      <c r="AO22" s="70">
        <v>2.9178922704236585E-2</v>
      </c>
      <c r="AP22" s="113">
        <v>2.7364842858566628E-2</v>
      </c>
      <c r="AQ22" s="112">
        <v>2.5664892163457183E-2</v>
      </c>
      <c r="AR22" s="70">
        <v>2.4092665748802755E-2</v>
      </c>
      <c r="AS22" s="70">
        <v>2.2688602536151806E-2</v>
      </c>
      <c r="AT22" s="70">
        <v>2.1459464120497387E-2</v>
      </c>
      <c r="AU22" s="113">
        <v>2.0383682786670507E-2</v>
      </c>
      <c r="AV22" s="70">
        <v>1.6728084601730989E-2</v>
      </c>
      <c r="AW22" s="117">
        <v>1.4932943842798909E-2</v>
      </c>
      <c r="AX22" s="70">
        <v>1.4058012176126823E-2</v>
      </c>
      <c r="AY22" s="117">
        <v>1.3637991594829849E-2</v>
      </c>
      <c r="AZ22" s="3"/>
    </row>
    <row r="23" spans="1:5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spans="1:5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294">
        <v>2023</v>
      </c>
      <c r="M24" s="294">
        <v>2024</v>
      </c>
      <c r="N24" s="294">
        <v>2025</v>
      </c>
      <c r="O24" s="294">
        <v>2026</v>
      </c>
      <c r="P24" s="294">
        <v>2027</v>
      </c>
      <c r="Q24" s="294">
        <v>2028</v>
      </c>
      <c r="R24" s="294">
        <v>2029</v>
      </c>
      <c r="S24" s="295">
        <v>2030</v>
      </c>
      <c r="T24" s="294">
        <v>2035</v>
      </c>
      <c r="U24" s="294">
        <v>2040</v>
      </c>
      <c r="V24" s="294">
        <v>2045</v>
      </c>
      <c r="W24" s="294">
        <v>2050</v>
      </c>
      <c r="X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</row>
    <row r="25" spans="1:5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294">
        <v>27409.152760000001</v>
      </c>
      <c r="M25" s="294">
        <v>27534.384159999998</v>
      </c>
      <c r="N25" s="294">
        <v>27700.864130000002</v>
      </c>
      <c r="O25" s="294">
        <v>27827.24728</v>
      </c>
      <c r="P25" s="294">
        <v>27954.14676</v>
      </c>
      <c r="Q25" s="294">
        <v>28081.564560000003</v>
      </c>
      <c r="R25" s="294">
        <v>28209.502670000002</v>
      </c>
      <c r="S25" s="296">
        <v>28379.33238</v>
      </c>
      <c r="T25" s="294">
        <v>28988.170300000002</v>
      </c>
      <c r="U25" s="294">
        <v>29523.746120000003</v>
      </c>
      <c r="V25" s="294">
        <v>30025.638859999999</v>
      </c>
      <c r="W25" s="294">
        <v>30354.287279999997</v>
      </c>
      <c r="X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</row>
    <row r="26" spans="1:56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294">
        <v>4.1624116914148641E-2</v>
      </c>
      <c r="M26" s="294">
        <v>5.2596252256255291E-2</v>
      </c>
      <c r="N26" s="294">
        <v>6.5747814416647232E-2</v>
      </c>
      <c r="O26" s="294">
        <v>7.9997070734335318E-2</v>
      </c>
      <c r="P26" s="294">
        <v>9.530484041860271E-2</v>
      </c>
      <c r="Q26" s="294">
        <v>0.11128804035554064</v>
      </c>
      <c r="R26" s="294">
        <v>0.1277171678688088</v>
      </c>
      <c r="S26" s="294">
        <v>0.144310124817672</v>
      </c>
      <c r="T26" s="294">
        <v>0.23039888057370769</v>
      </c>
      <c r="U26" s="294">
        <v>0.31790028036591178</v>
      </c>
      <c r="V26" s="294">
        <v>0.40549770104042343</v>
      </c>
      <c r="W26" s="294">
        <v>0.47588868639053089</v>
      </c>
      <c r="X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</row>
    <row r="27" spans="1:56" x14ac:dyDescent="0.25">
      <c r="L27" s="297">
        <v>7.5898692499388284E-2</v>
      </c>
      <c r="M27" s="297">
        <v>8.7239713154347157E-2</v>
      </c>
      <c r="N27" s="297">
        <v>0.10006509916050045</v>
      </c>
      <c r="O27" s="297">
        <v>0.11371798001286168</v>
      </c>
      <c r="P27" s="297">
        <v>0.1274660875036488</v>
      </c>
      <c r="Q27" s="297">
        <v>0.14072834010214422</v>
      </c>
      <c r="R27" s="297">
        <v>0.15318021985532579</v>
      </c>
      <c r="S27" s="297">
        <v>0.16456568482531725</v>
      </c>
      <c r="T27" s="297">
        <v>0.20721591048469865</v>
      </c>
      <c r="U27" s="297">
        <v>0.22820456318840612</v>
      </c>
      <c r="V27" s="297">
        <v>0.23319455071871201</v>
      </c>
      <c r="W27" s="297">
        <v>0.22857891325195365</v>
      </c>
    </row>
    <row r="28" spans="1:56" x14ac:dyDescent="0.25">
      <c r="L28" s="297">
        <v>0.26241690854073663</v>
      </c>
      <c r="M28" s="297">
        <v>0.27026887864122834</v>
      </c>
      <c r="N28" s="297">
        <v>0.27839092335925619</v>
      </c>
      <c r="O28" s="297">
        <v>0.28610080486552525</v>
      </c>
      <c r="P28" s="297">
        <v>0.29266041443648771</v>
      </c>
      <c r="Q28" s="297">
        <v>0.29772521175365735</v>
      </c>
      <c r="R28" s="297">
        <v>0.30120146258501901</v>
      </c>
      <c r="S28" s="297">
        <v>0.30323983675052191</v>
      </c>
      <c r="T28" s="297">
        <v>0.29498535614715909</v>
      </c>
      <c r="U28" s="297">
        <v>0.26827909015361767</v>
      </c>
      <c r="V28" s="297">
        <v>0.23329132171544412</v>
      </c>
      <c r="W28" s="297">
        <v>0.20267551921910915</v>
      </c>
    </row>
    <row r="29" spans="1:56" x14ac:dyDescent="0.25">
      <c r="L29" s="297">
        <v>0.31103555008243167</v>
      </c>
      <c r="M29" s="297">
        <v>0.30726089883972912</v>
      </c>
      <c r="N29" s="297">
        <v>0.30173638121086294</v>
      </c>
      <c r="O29" s="297">
        <v>0.2935316151759873</v>
      </c>
      <c r="P29" s="297">
        <v>0.28335135949611795</v>
      </c>
      <c r="Q29" s="297">
        <v>0.27192376089603459</v>
      </c>
      <c r="R29" s="297">
        <v>0.25983147135716589</v>
      </c>
      <c r="S29" s="297">
        <v>0.24783389389937438</v>
      </c>
      <c r="T29" s="297">
        <v>0.18863571541112406</v>
      </c>
      <c r="U29" s="297">
        <v>0.13973920214024654</v>
      </c>
      <c r="V29" s="297">
        <v>0.10072426615471522</v>
      </c>
      <c r="W29" s="297">
        <v>7.4843140444838016E-2</v>
      </c>
    </row>
    <row r="30" spans="1:56" x14ac:dyDescent="0.25">
      <c r="L30" s="297">
        <v>0.19282409942685141</v>
      </c>
      <c r="M30" s="297">
        <v>0.18053517021170232</v>
      </c>
      <c r="N30" s="297">
        <v>0.16652767539494082</v>
      </c>
      <c r="O30" s="297">
        <v>0.15239289579490162</v>
      </c>
      <c r="P30" s="297">
        <v>0.13860999544240785</v>
      </c>
      <c r="Q30" s="297">
        <v>0.1257152202989647</v>
      </c>
      <c r="R30" s="297">
        <v>0.11391359910139104</v>
      </c>
      <c r="S30" s="297">
        <v>0.103079395238402</v>
      </c>
      <c r="T30" s="297">
        <v>6.3467552762376311E-2</v>
      </c>
      <c r="U30" s="297">
        <v>3.9545033860357556E-2</v>
      </c>
      <c r="V30" s="297">
        <v>2.4676156279460425E-2</v>
      </c>
      <c r="W30" s="297">
        <v>1.6744166140737666E-2</v>
      </c>
    </row>
    <row r="31" spans="1:56" x14ac:dyDescent="0.25">
      <c r="L31" s="297">
        <v>9.2131982375072877E-2</v>
      </c>
      <c r="M31" s="297">
        <v>8.1418386152131025E-2</v>
      </c>
      <c r="N31" s="297">
        <v>7.0011436534922269E-2</v>
      </c>
      <c r="O31" s="297">
        <v>5.9489629762617326E-2</v>
      </c>
      <c r="P31" s="297">
        <v>5.0197046650977808E-2</v>
      </c>
      <c r="Q31" s="297">
        <v>4.2209707883882945E-2</v>
      </c>
      <c r="R31" s="297">
        <v>3.5432382332034926E-2</v>
      </c>
      <c r="S31" s="297">
        <v>2.9674727658269173E-2</v>
      </c>
      <c r="T31" s="297">
        <v>1.2288807106945967E-2</v>
      </c>
      <c r="U31" s="297">
        <v>5.089130118830598E-3</v>
      </c>
      <c r="V31" s="297">
        <v>2.1033528640129659E-3</v>
      </c>
      <c r="W31" s="297">
        <v>1.0223712098306266E-3</v>
      </c>
    </row>
    <row r="32" spans="1:56" x14ac:dyDescent="0.25">
      <c r="L32" s="297">
        <v>2.4068650205151396E-2</v>
      </c>
      <c r="M32" s="297">
        <v>2.0680700846297775E-2</v>
      </c>
      <c r="N32" s="297">
        <v>1.7520670016729908E-2</v>
      </c>
      <c r="O32" s="297">
        <v>1.4770003520808185E-2</v>
      </c>
      <c r="P32" s="297">
        <v>1.2410255987366076E-2</v>
      </c>
      <c r="Q32" s="297">
        <v>1.0409718652798595E-2</v>
      </c>
      <c r="R32" s="297">
        <v>8.7236969569729744E-3</v>
      </c>
      <c r="S32" s="297">
        <v>7.2963369126303589E-3</v>
      </c>
      <c r="T32" s="297">
        <v>3.007777410842653E-3</v>
      </c>
      <c r="U32" s="297">
        <v>1.2427002258072527E-3</v>
      </c>
      <c r="V32" s="297">
        <v>5.126512452165023E-4</v>
      </c>
      <c r="W32" s="297">
        <v>2.4720344861940046E-4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0070C0"/>
    <pageSetUpPr fitToPage="1"/>
  </sheetPr>
  <dimension ref="A1:CF648"/>
  <sheetViews>
    <sheetView topLeftCell="W1" zoomScale="80" zoomScaleNormal="80" workbookViewId="0">
      <selection activeCell="AM7" sqref="AM7"/>
    </sheetView>
  </sheetViews>
  <sheetFormatPr baseColWidth="10" defaultRowHeight="15" x14ac:dyDescent="0.25"/>
  <cols>
    <col min="1" max="1" width="11.42578125" style="3"/>
    <col min="2" max="2" width="17.140625" style="3" customWidth="1"/>
    <col min="3" max="3" width="28.140625" customWidth="1"/>
    <col min="4" max="4" width="41" hidden="1" customWidth="1"/>
    <col min="5" max="8" width="20.140625" hidden="1" customWidth="1"/>
    <col min="9" max="39" width="20.140625" customWidth="1"/>
    <col min="40" max="40" width="13" style="3" customWidth="1"/>
    <col min="41" max="84" width="11.42578125" style="3"/>
  </cols>
  <sheetData>
    <row r="1" spans="1:39" s="3" customFormat="1" ht="23.25" x14ac:dyDescent="0.35">
      <c r="A1" s="228" t="s">
        <v>69</v>
      </c>
      <c r="C1" s="228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39" s="3" customFormat="1" ht="23.25" x14ac:dyDescent="0.35">
      <c r="A2" s="46"/>
      <c r="E2" s="235">
        <f>Résultats!E1</f>
        <v>4</v>
      </c>
      <c r="F2" s="235">
        <f>Résultats!N1</f>
        <v>13</v>
      </c>
      <c r="G2" s="235">
        <f>F2+3</f>
        <v>16</v>
      </c>
      <c r="H2" s="235">
        <f t="shared" ref="H2:AA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 t="shared" si="0"/>
        <v>29</v>
      </c>
      <c r="U2" s="235">
        <f t="shared" si="0"/>
        <v>30</v>
      </c>
      <c r="V2" s="235">
        <f t="shared" si="0"/>
        <v>31</v>
      </c>
      <c r="W2" s="235">
        <f t="shared" si="0"/>
        <v>32</v>
      </c>
      <c r="X2" s="235">
        <f>S2+5</f>
        <v>33</v>
      </c>
      <c r="Y2" s="235">
        <f t="shared" si="0"/>
        <v>34</v>
      </c>
      <c r="Z2" s="235">
        <f t="shared" ref="Z2" si="1">U2+5</f>
        <v>35</v>
      </c>
      <c r="AA2" s="235">
        <f t="shared" si="0"/>
        <v>36</v>
      </c>
      <c r="AB2" s="235">
        <f t="shared" ref="AB2" si="2">W2+5</f>
        <v>37</v>
      </c>
      <c r="AC2" s="235">
        <f>X2+5</f>
        <v>38</v>
      </c>
      <c r="AD2" s="235">
        <f t="shared" ref="AD2:AG2" si="3">Y2+5</f>
        <v>39</v>
      </c>
      <c r="AE2" s="235">
        <f t="shared" si="3"/>
        <v>40</v>
      </c>
      <c r="AF2" s="235">
        <f t="shared" si="3"/>
        <v>41</v>
      </c>
      <c r="AG2" s="235">
        <f t="shared" si="3"/>
        <v>42</v>
      </c>
      <c r="AH2" s="235">
        <f>AC2+5</f>
        <v>43</v>
      </c>
      <c r="AI2" s="235">
        <f t="shared" ref="AI2:AL2" si="4">AD2+5</f>
        <v>44</v>
      </c>
      <c r="AJ2" s="235">
        <f t="shared" si="4"/>
        <v>45</v>
      </c>
      <c r="AK2" s="235">
        <f t="shared" si="4"/>
        <v>46</v>
      </c>
      <c r="AL2" s="235">
        <f t="shared" si="4"/>
        <v>47</v>
      </c>
      <c r="AM2" s="236">
        <f>AH2+5</f>
        <v>48</v>
      </c>
    </row>
    <row r="3" spans="1:39" ht="23.25" x14ac:dyDescent="0.35">
      <c r="B3" s="46"/>
      <c r="D3" s="146"/>
      <c r="E3" s="92">
        <v>2006</v>
      </c>
      <c r="F3" s="92">
        <v>2015</v>
      </c>
      <c r="G3" s="92">
        <v>2018</v>
      </c>
      <c r="H3" s="92">
        <v>2019</v>
      </c>
      <c r="I3" s="92">
        <v>2020</v>
      </c>
      <c r="J3" s="20">
        <v>2021</v>
      </c>
      <c r="K3" s="4">
        <v>2022</v>
      </c>
      <c r="L3" s="4">
        <v>2023</v>
      </c>
      <c r="M3" s="4">
        <v>2024</v>
      </c>
      <c r="N3" s="92">
        <v>2025</v>
      </c>
      <c r="O3" s="20">
        <v>2026</v>
      </c>
      <c r="P3" s="4">
        <v>2027</v>
      </c>
      <c r="Q3" s="4">
        <v>2028</v>
      </c>
      <c r="R3" s="4">
        <v>2029</v>
      </c>
      <c r="S3" s="92">
        <v>2030</v>
      </c>
      <c r="T3" s="4">
        <v>2031</v>
      </c>
      <c r="U3" s="92">
        <v>2032</v>
      </c>
      <c r="V3" s="4">
        <v>2033</v>
      </c>
      <c r="W3" s="92">
        <v>2034</v>
      </c>
      <c r="X3" s="4">
        <v>2035</v>
      </c>
      <c r="Y3" s="92">
        <v>2036</v>
      </c>
      <c r="Z3" s="4">
        <v>2037</v>
      </c>
      <c r="AA3" s="92">
        <v>2038</v>
      </c>
      <c r="AB3" s="4">
        <v>2039</v>
      </c>
      <c r="AC3" s="93">
        <v>2040</v>
      </c>
      <c r="AD3" s="4">
        <v>2041</v>
      </c>
      <c r="AE3" s="93">
        <v>2042</v>
      </c>
      <c r="AF3" s="4">
        <v>2043</v>
      </c>
      <c r="AG3" s="93">
        <v>2044</v>
      </c>
      <c r="AH3" s="4">
        <v>2045</v>
      </c>
      <c r="AI3" s="93">
        <v>2046</v>
      </c>
      <c r="AJ3" s="4">
        <v>2047</v>
      </c>
      <c r="AK3" s="93">
        <v>2048</v>
      </c>
      <c r="AL3" s="4">
        <v>2049</v>
      </c>
      <c r="AM3" s="93">
        <v>2050</v>
      </c>
    </row>
    <row r="4" spans="1:39" x14ac:dyDescent="0.25">
      <c r="A4" s="152" t="str">
        <f>Résultats!B1</f>
        <v>SNBC3</v>
      </c>
      <c r="C4" s="175" t="s">
        <v>71</v>
      </c>
      <c r="D4" s="58" t="s">
        <v>130</v>
      </c>
      <c r="E4" s="59">
        <f t="shared" ref="E4:H4" si="5">E43</f>
        <v>32001.800439999999</v>
      </c>
      <c r="F4" s="59">
        <f t="shared" si="5"/>
        <v>35911.307350000003</v>
      </c>
      <c r="G4" s="59">
        <f t="shared" si="5"/>
        <v>36708.886160000002</v>
      </c>
      <c r="H4" s="59">
        <f t="shared" si="5"/>
        <v>37113.743849999999</v>
      </c>
      <c r="I4" s="59">
        <f t="shared" ref="I4:AM4" si="6">I43</f>
        <v>37468.13839</v>
      </c>
      <c r="J4" s="59">
        <f t="shared" si="6"/>
        <v>37674.700530000002</v>
      </c>
      <c r="K4" s="59">
        <f t="shared" si="6"/>
        <v>37776.063759999997</v>
      </c>
      <c r="L4" s="59">
        <f t="shared" si="6"/>
        <v>37847.518880000003</v>
      </c>
      <c r="M4" s="59">
        <f t="shared" si="6"/>
        <v>37774.379829999998</v>
      </c>
      <c r="N4" s="59">
        <f t="shared" si="6"/>
        <v>37610.316129999999</v>
      </c>
      <c r="O4" s="59">
        <f t="shared" si="6"/>
        <v>37339.257259999998</v>
      </c>
      <c r="P4" s="59">
        <f t="shared" si="6"/>
        <v>36974.615030000001</v>
      </c>
      <c r="Q4" s="59">
        <f t="shared" si="6"/>
        <v>36581.806049999999</v>
      </c>
      <c r="R4" s="59">
        <f t="shared" si="6"/>
        <v>36184.51427</v>
      </c>
      <c r="S4" s="59">
        <f t="shared" si="6"/>
        <v>35719.150029999997</v>
      </c>
      <c r="T4" s="59">
        <f t="shared" si="6"/>
        <v>35337.12167</v>
      </c>
      <c r="U4" s="59">
        <f t="shared" si="6"/>
        <v>35001.497860000003</v>
      </c>
      <c r="V4" s="59">
        <f t="shared" si="6"/>
        <v>34674.842279999997</v>
      </c>
      <c r="W4" s="59">
        <f t="shared" si="6"/>
        <v>34356.46097</v>
      </c>
      <c r="X4" s="59">
        <f t="shared" si="6"/>
        <v>34046.939939999997</v>
      </c>
      <c r="Y4" s="59">
        <f t="shared" si="6"/>
        <v>33772.83668</v>
      </c>
      <c r="Z4" s="59">
        <f t="shared" si="6"/>
        <v>33516.610240000002</v>
      </c>
      <c r="AA4" s="59">
        <f t="shared" si="6"/>
        <v>33268.125269999997</v>
      </c>
      <c r="AB4" s="59">
        <f t="shared" si="6"/>
        <v>33029.700629999999</v>
      </c>
      <c r="AC4" s="59">
        <f t="shared" si="6"/>
        <v>32800.690329999998</v>
      </c>
      <c r="AD4" s="59">
        <f t="shared" si="6"/>
        <v>32577.11463</v>
      </c>
      <c r="AE4" s="59">
        <f t="shared" si="6"/>
        <v>32362.155650000001</v>
      </c>
      <c r="AF4" s="59">
        <f t="shared" si="6"/>
        <v>32162.529709999999</v>
      </c>
      <c r="AG4" s="59">
        <f t="shared" si="6"/>
        <v>31970.599149999998</v>
      </c>
      <c r="AH4" s="59">
        <f t="shared" si="6"/>
        <v>31717.337459999999</v>
      </c>
      <c r="AI4" s="59">
        <f t="shared" si="6"/>
        <v>31481.696929999998</v>
      </c>
      <c r="AJ4" s="59">
        <f t="shared" si="6"/>
        <v>31260.945489999998</v>
      </c>
      <c r="AK4" s="59">
        <f t="shared" si="6"/>
        <v>31050.790140000001</v>
      </c>
      <c r="AL4" s="59">
        <f t="shared" si="6"/>
        <v>30843.645939999999</v>
      </c>
      <c r="AM4" s="103">
        <f t="shared" si="6"/>
        <v>30611.075769999999</v>
      </c>
    </row>
    <row r="5" spans="1:39" x14ac:dyDescent="0.25">
      <c r="C5" s="175" t="s">
        <v>72</v>
      </c>
      <c r="D5" s="58" t="s">
        <v>422</v>
      </c>
      <c r="E5" s="154"/>
      <c r="F5" s="154"/>
      <c r="G5" s="154">
        <f t="shared" ref="G5:AM5" si="7">G4/1000</f>
        <v>36.708886159999999</v>
      </c>
      <c r="H5" s="154">
        <f t="shared" si="7"/>
        <v>37.113743849999999</v>
      </c>
      <c r="I5" s="154">
        <f t="shared" si="7"/>
        <v>37.46813839</v>
      </c>
      <c r="J5" s="154">
        <f t="shared" si="7"/>
        <v>37.674700530000003</v>
      </c>
      <c r="K5" s="154">
        <f t="shared" si="7"/>
        <v>37.77606376</v>
      </c>
      <c r="L5" s="154">
        <f t="shared" si="7"/>
        <v>37.847518880000003</v>
      </c>
      <c r="M5" s="154">
        <f t="shared" si="7"/>
        <v>37.774379830000001</v>
      </c>
      <c r="N5" s="154">
        <f t="shared" si="7"/>
        <v>37.610316130000001</v>
      </c>
      <c r="O5" s="154">
        <f t="shared" si="7"/>
        <v>37.339257259999997</v>
      </c>
      <c r="P5" s="154">
        <f t="shared" si="7"/>
        <v>36.974615030000002</v>
      </c>
      <c r="Q5" s="154">
        <f t="shared" si="7"/>
        <v>36.581806049999997</v>
      </c>
      <c r="R5" s="154">
        <f t="shared" si="7"/>
        <v>36.184514270000001</v>
      </c>
      <c r="S5" s="154">
        <f t="shared" si="7"/>
        <v>35.719150029999994</v>
      </c>
      <c r="T5" s="154">
        <f t="shared" si="7"/>
        <v>35.337121670000002</v>
      </c>
      <c r="U5" s="154">
        <f t="shared" si="7"/>
        <v>35.001497860000001</v>
      </c>
      <c r="V5" s="154">
        <f t="shared" si="7"/>
        <v>34.67484228</v>
      </c>
      <c r="W5" s="154">
        <f t="shared" si="7"/>
        <v>34.356460970000001</v>
      </c>
      <c r="X5" s="154">
        <f t="shared" si="7"/>
        <v>34.046939939999994</v>
      </c>
      <c r="Y5" s="154">
        <f t="shared" si="7"/>
        <v>33.772836679999998</v>
      </c>
      <c r="Z5" s="154">
        <f t="shared" si="7"/>
        <v>33.516610239999999</v>
      </c>
      <c r="AA5" s="154">
        <f t="shared" si="7"/>
        <v>33.268125269999999</v>
      </c>
      <c r="AB5" s="154">
        <f t="shared" si="7"/>
        <v>33.029700630000001</v>
      </c>
      <c r="AC5" s="154">
        <f t="shared" si="7"/>
        <v>32.800690329999995</v>
      </c>
      <c r="AD5" s="154">
        <f t="shared" si="7"/>
        <v>32.577114629999997</v>
      </c>
      <c r="AE5" s="154">
        <f t="shared" si="7"/>
        <v>32.362155649999998</v>
      </c>
      <c r="AF5" s="154">
        <f t="shared" si="7"/>
        <v>32.162529710000001</v>
      </c>
      <c r="AG5" s="154">
        <f t="shared" si="7"/>
        <v>31.970599149999998</v>
      </c>
      <c r="AH5" s="154">
        <f t="shared" si="7"/>
        <v>31.71733746</v>
      </c>
      <c r="AI5" s="154">
        <f t="shared" si="7"/>
        <v>31.481696929999998</v>
      </c>
      <c r="AJ5" s="154">
        <f t="shared" si="7"/>
        <v>31.260945489999997</v>
      </c>
      <c r="AK5" s="154">
        <f t="shared" si="7"/>
        <v>31.05079014</v>
      </c>
      <c r="AL5" s="154">
        <f t="shared" si="7"/>
        <v>30.843645939999998</v>
      </c>
      <c r="AM5" s="176">
        <f t="shared" si="7"/>
        <v>30.611075769999999</v>
      </c>
    </row>
    <row r="6" spans="1:39" x14ac:dyDescent="0.25">
      <c r="C6" s="157" t="s">
        <v>73</v>
      </c>
      <c r="D6" s="3" t="s">
        <v>423</v>
      </c>
      <c r="E6" s="155"/>
      <c r="F6" s="155"/>
      <c r="G6" s="155">
        <f>G91</f>
        <v>8.2063928087323899E-3</v>
      </c>
      <c r="H6" s="155">
        <f t="shared" ref="H6:AM6" si="8">H91</f>
        <v>1.0756861323759985E-2</v>
      </c>
      <c r="I6" s="155">
        <f t="shared" si="8"/>
        <v>1.3883814017801272E-2</v>
      </c>
      <c r="J6" s="155">
        <f t="shared" si="8"/>
        <v>1.7520260708493017E-2</v>
      </c>
      <c r="K6" s="155">
        <f t="shared" si="8"/>
        <v>2.2233542206410127E-2</v>
      </c>
      <c r="L6" s="155">
        <f t="shared" si="8"/>
        <v>2.8192371562930835E-2</v>
      </c>
      <c r="M6" s="155">
        <f t="shared" si="8"/>
        <v>3.4874895919634746E-2</v>
      </c>
      <c r="N6" s="155">
        <f t="shared" si="8"/>
        <v>4.242697603190819E-2</v>
      </c>
      <c r="O6" s="155">
        <f t="shared" si="8"/>
        <v>5.1414845015050524E-2</v>
      </c>
      <c r="P6" s="155">
        <f t="shared" si="8"/>
        <v>6.295543637469482E-2</v>
      </c>
      <c r="Q6" s="155">
        <f t="shared" si="8"/>
        <v>7.8807445538900622E-2</v>
      </c>
      <c r="R6" s="155">
        <f t="shared" si="8"/>
        <v>9.9735330425370944E-2</v>
      </c>
      <c r="S6" s="155">
        <f t="shared" si="8"/>
        <v>0.12492856546844322</v>
      </c>
      <c r="T6" s="155">
        <f t="shared" si="8"/>
        <v>0.15595004557709921</v>
      </c>
      <c r="U6" s="155">
        <f t="shared" si="8"/>
        <v>0.19114138674178441</v>
      </c>
      <c r="V6" s="155">
        <f t="shared" si="8"/>
        <v>0.22828093959537976</v>
      </c>
      <c r="W6" s="155">
        <f t="shared" si="8"/>
        <v>0.26596717353917843</v>
      </c>
      <c r="X6" s="155">
        <f t="shared" si="8"/>
        <v>0.30323888514487163</v>
      </c>
      <c r="Y6" s="155">
        <f t="shared" si="8"/>
        <v>0.34002887139180044</v>
      </c>
      <c r="Z6" s="155">
        <f t="shared" si="8"/>
        <v>0.37565622059756359</v>
      </c>
      <c r="AA6" s="155">
        <f t="shared" si="8"/>
        <v>0.40978945820832546</v>
      </c>
      <c r="AB6" s="155">
        <f t="shared" si="8"/>
        <v>0.44243243781407537</v>
      </c>
      <c r="AC6" s="155">
        <f t="shared" si="8"/>
        <v>0.47358195189546187</v>
      </c>
      <c r="AD6" s="155">
        <f t="shared" si="8"/>
        <v>0.50307159047498484</v>
      </c>
      <c r="AE6" s="155">
        <f t="shared" si="8"/>
        <v>0.53102287733419273</v>
      </c>
      <c r="AF6" s="155">
        <f t="shared" si="8"/>
        <v>0.55759884846446051</v>
      </c>
      <c r="AG6" s="155">
        <f t="shared" si="8"/>
        <v>0.58275592467274728</v>
      </c>
      <c r="AH6" s="155">
        <f t="shared" si="8"/>
        <v>0.60746101731579583</v>
      </c>
      <c r="AI6" s="155">
        <f t="shared" si="8"/>
        <v>0.63088719277623762</v>
      </c>
      <c r="AJ6" s="155">
        <f t="shared" si="8"/>
        <v>0.65306155556077528</v>
      </c>
      <c r="AK6" s="155">
        <f t="shared" si="8"/>
        <v>0.67399900181734962</v>
      </c>
      <c r="AL6" s="155">
        <f t="shared" si="8"/>
        <v>0.69368885480080189</v>
      </c>
      <c r="AM6" s="177">
        <f t="shared" si="8"/>
        <v>0.7119374713827642</v>
      </c>
    </row>
    <row r="7" spans="1:39" x14ac:dyDescent="0.25">
      <c r="C7" s="178" t="s">
        <v>75</v>
      </c>
      <c r="D7" s="7" t="s">
        <v>424</v>
      </c>
      <c r="E7" s="179"/>
      <c r="F7" s="179"/>
      <c r="G7" s="179">
        <f>G99</f>
        <v>0.99179360717492271</v>
      </c>
      <c r="H7" s="179">
        <f t="shared" ref="H7:AM7" si="9">H99</f>
        <v>0.98924313856307444</v>
      </c>
      <c r="I7" s="179">
        <f t="shared" si="9"/>
        <v>0.98611618611564533</v>
      </c>
      <c r="J7" s="179">
        <f t="shared" si="9"/>
        <v>0.98247973943483913</v>
      </c>
      <c r="K7" s="179">
        <f t="shared" si="9"/>
        <v>0.97776645774064641</v>
      </c>
      <c r="L7" s="179">
        <f t="shared" si="9"/>
        <v>0.97180762856917813</v>
      </c>
      <c r="M7" s="179">
        <f t="shared" si="9"/>
        <v>0.96512510421273012</v>
      </c>
      <c r="N7" s="179">
        <f t="shared" si="9"/>
        <v>0.95757302399468036</v>
      </c>
      <c r="O7" s="179">
        <f t="shared" si="9"/>
        <v>0.94858515511885688</v>
      </c>
      <c r="P7" s="179">
        <f t="shared" si="9"/>
        <v>0.93704456373348743</v>
      </c>
      <c r="Q7" s="179">
        <f t="shared" si="9"/>
        <v>0.92119255440642744</v>
      </c>
      <c r="R7" s="179">
        <f t="shared" si="9"/>
        <v>0.90026466949172068</v>
      </c>
      <c r="S7" s="179">
        <f t="shared" si="9"/>
        <v>0.87507143433558354</v>
      </c>
      <c r="T7" s="179">
        <f t="shared" si="9"/>
        <v>0.8440499542814065</v>
      </c>
      <c r="U7" s="179">
        <f t="shared" si="9"/>
        <v>0.80885861322964525</v>
      </c>
      <c r="V7" s="179">
        <f t="shared" si="9"/>
        <v>0.77171906028926296</v>
      </c>
      <c r="W7" s="179">
        <f t="shared" si="9"/>
        <v>0.73403282637350176</v>
      </c>
      <c r="X7" s="179">
        <f t="shared" si="9"/>
        <v>0.69676111485512848</v>
      </c>
      <c r="Y7" s="179">
        <f t="shared" si="9"/>
        <v>0.65997112831210358</v>
      </c>
      <c r="Z7" s="179">
        <f t="shared" si="9"/>
        <v>0.62434377940243635</v>
      </c>
      <c r="AA7" s="179">
        <f t="shared" si="9"/>
        <v>0.59021054179167465</v>
      </c>
      <c r="AB7" s="179">
        <f t="shared" si="9"/>
        <v>0.55756756188316681</v>
      </c>
      <c r="AC7" s="179">
        <f t="shared" si="9"/>
        <v>0.52641804840940987</v>
      </c>
      <c r="AD7" s="179">
        <f t="shared" si="9"/>
        <v>0.496928409831979</v>
      </c>
      <c r="AE7" s="179">
        <f t="shared" si="9"/>
        <v>0.46897712266580738</v>
      </c>
      <c r="AF7" s="179">
        <f t="shared" si="9"/>
        <v>0.44240115184646028</v>
      </c>
      <c r="AG7" s="179">
        <f t="shared" si="9"/>
        <v>0.41724407532725266</v>
      </c>
      <c r="AH7" s="179">
        <f t="shared" si="9"/>
        <v>0.39253898268420417</v>
      </c>
      <c r="AI7" s="179">
        <f t="shared" si="9"/>
        <v>0.36911280722376233</v>
      </c>
      <c r="AJ7" s="179">
        <f t="shared" si="9"/>
        <v>0.34693844475911273</v>
      </c>
      <c r="AK7" s="179">
        <f t="shared" si="9"/>
        <v>0.32600099850470338</v>
      </c>
      <c r="AL7" s="179">
        <f t="shared" si="9"/>
        <v>0.30631114526404107</v>
      </c>
      <c r="AM7" s="180">
        <f t="shared" si="9"/>
        <v>0.28806252868257171</v>
      </c>
    </row>
    <row r="8" spans="1:39" s="3" customFormat="1" x14ac:dyDescent="0.25">
      <c r="C8" s="153" t="s">
        <v>70</v>
      </c>
      <c r="E8" s="231"/>
      <c r="F8" s="231"/>
      <c r="G8" s="231">
        <f>SUM(G6:G7)</f>
        <v>0.99999999998365507</v>
      </c>
      <c r="H8" s="231">
        <f t="shared" ref="H8:AM8" si="10">SUM(H6:H7)</f>
        <v>0.99999999988683441</v>
      </c>
      <c r="I8" s="231">
        <f t="shared" si="10"/>
        <v>1.0000000001334466</v>
      </c>
      <c r="J8" s="231">
        <f t="shared" si="10"/>
        <v>1.0000000001433322</v>
      </c>
      <c r="K8" s="231">
        <f t="shared" si="10"/>
        <v>0.99999999994705657</v>
      </c>
      <c r="L8" s="231">
        <f t="shared" si="10"/>
        <v>1.000000000132109</v>
      </c>
      <c r="M8" s="231">
        <f t="shared" si="10"/>
        <v>1.0000000001323648</v>
      </c>
      <c r="N8" s="231">
        <f t="shared" si="10"/>
        <v>1.0000000000265885</v>
      </c>
      <c r="O8" s="231">
        <f t="shared" si="10"/>
        <v>1.0000000001339073</v>
      </c>
      <c r="P8" s="231">
        <f t="shared" si="10"/>
        <v>1.0000000001081824</v>
      </c>
      <c r="Q8" s="231">
        <f t="shared" si="10"/>
        <v>0.99999999994532807</v>
      </c>
      <c r="R8" s="231">
        <f t="shared" si="10"/>
        <v>0.99999999991709165</v>
      </c>
      <c r="S8" s="231">
        <f t="shared" si="10"/>
        <v>0.99999999980402676</v>
      </c>
      <c r="T8" s="231">
        <f t="shared" si="10"/>
        <v>0.99999999985850574</v>
      </c>
      <c r="U8" s="231">
        <f t="shared" si="10"/>
        <v>0.99999999997142963</v>
      </c>
      <c r="V8" s="231">
        <f t="shared" si="10"/>
        <v>0.99999999988464272</v>
      </c>
      <c r="W8" s="231">
        <f t="shared" si="10"/>
        <v>0.99999999991268018</v>
      </c>
      <c r="X8" s="231">
        <f t="shared" si="10"/>
        <v>1</v>
      </c>
      <c r="Y8" s="231">
        <f t="shared" si="10"/>
        <v>0.99999999970390396</v>
      </c>
      <c r="Z8" s="231">
        <f t="shared" si="10"/>
        <v>1</v>
      </c>
      <c r="AA8" s="231">
        <f t="shared" si="10"/>
        <v>1</v>
      </c>
      <c r="AB8" s="231">
        <f t="shared" si="10"/>
        <v>0.99999999969724218</v>
      </c>
      <c r="AC8" s="231">
        <f t="shared" si="10"/>
        <v>1.0000000003048717</v>
      </c>
      <c r="AD8" s="231">
        <f t="shared" si="10"/>
        <v>1.0000000003069638</v>
      </c>
      <c r="AE8" s="231">
        <f t="shared" si="10"/>
        <v>1</v>
      </c>
      <c r="AF8" s="231">
        <f t="shared" si="10"/>
        <v>1.0000000003109208</v>
      </c>
      <c r="AG8" s="231">
        <f t="shared" si="10"/>
        <v>1</v>
      </c>
      <c r="AH8" s="231">
        <f t="shared" si="10"/>
        <v>1</v>
      </c>
      <c r="AI8" s="231">
        <f t="shared" si="10"/>
        <v>1</v>
      </c>
      <c r="AJ8" s="231">
        <f t="shared" si="10"/>
        <v>1.0000000003198881</v>
      </c>
      <c r="AK8" s="231">
        <f t="shared" si="10"/>
        <v>1.0000000003220531</v>
      </c>
      <c r="AL8" s="231">
        <f t="shared" si="10"/>
        <v>1.000000000064843</v>
      </c>
      <c r="AM8" s="231">
        <f t="shared" si="10"/>
        <v>1.000000000065336</v>
      </c>
    </row>
    <row r="9" spans="1:39" s="3" customFormat="1" x14ac:dyDescent="0.25"/>
    <row r="10" spans="1:39" s="3" customFormat="1" x14ac:dyDescent="0.25"/>
    <row r="11" spans="1:39" s="3" customFormat="1" x14ac:dyDescent="0.25"/>
    <row r="12" spans="1:39" x14ac:dyDescent="0.25">
      <c r="C12" s="156"/>
      <c r="E12" s="20"/>
      <c r="F12" s="20"/>
      <c r="G12" s="20"/>
      <c r="H12" s="20"/>
      <c r="I12" s="20">
        <v>2020</v>
      </c>
      <c r="J12" s="93">
        <v>2030</v>
      </c>
      <c r="K12" s="93">
        <v>2050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C13" s="157" t="s">
        <v>73</v>
      </c>
      <c r="D13" s="3"/>
      <c r="E13" s="181"/>
      <c r="F13" s="181"/>
      <c r="G13" s="181"/>
      <c r="H13" s="181"/>
      <c r="I13" s="181">
        <f>I91</f>
        <v>1.3883814017801272E-2</v>
      </c>
      <c r="J13" s="182">
        <f>S91</f>
        <v>0.12492856546844322</v>
      </c>
      <c r="K13" s="182">
        <f>AM91</f>
        <v>0.7119374713827642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C14" s="158" t="s">
        <v>59</v>
      </c>
      <c r="D14" s="3"/>
      <c r="E14" s="183"/>
      <c r="F14" s="183"/>
      <c r="G14" s="183"/>
      <c r="H14" s="183"/>
      <c r="I14" s="183">
        <f>I91</f>
        <v>1.3883814017801272E-2</v>
      </c>
      <c r="J14" s="183">
        <f>S91</f>
        <v>0.12492856546844322</v>
      </c>
      <c r="K14" s="183">
        <f>AM91</f>
        <v>0.7119374713827642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C15" s="157" t="s">
        <v>74</v>
      </c>
      <c r="D15" s="3"/>
      <c r="E15" s="181"/>
      <c r="F15" s="181"/>
      <c r="G15" s="181"/>
      <c r="H15" s="181"/>
      <c r="I15" s="181">
        <f>I99</f>
        <v>0.98611618611564533</v>
      </c>
      <c r="J15" s="181">
        <f>S99</f>
        <v>0.87507143433558354</v>
      </c>
      <c r="K15" s="182">
        <f>AM99</f>
        <v>0.28806252868257171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C16" s="158" t="s">
        <v>56</v>
      </c>
      <c r="D16" s="3"/>
      <c r="E16" s="184"/>
      <c r="F16" s="184"/>
      <c r="G16" s="184"/>
      <c r="H16" s="184"/>
      <c r="I16" s="184">
        <f>I100+I101</f>
        <v>0.14398317716633161</v>
      </c>
      <c r="J16" s="184">
        <f>S100+S101</f>
        <v>0.16693422862503654</v>
      </c>
      <c r="K16" s="184">
        <f>AM100+AM101</f>
        <v>5.635081667369967E-2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C17" s="159" t="s">
        <v>57</v>
      </c>
      <c r="D17" s="3"/>
      <c r="E17" s="183"/>
      <c r="F17" s="183"/>
      <c r="G17" s="183"/>
      <c r="H17" s="183"/>
      <c r="I17" s="183">
        <f>I102+I103+I104</f>
        <v>0.71982210395054513</v>
      </c>
      <c r="J17" s="183">
        <f>S102+S103+S104</f>
        <v>0.63268906012655202</v>
      </c>
      <c r="K17" s="183">
        <f>AM102+AM103+AM104</f>
        <v>0.20774450048019336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C18" s="159" t="s">
        <v>58</v>
      </c>
      <c r="D18" s="3"/>
      <c r="E18" s="183"/>
      <c r="F18" s="183"/>
      <c r="G18" s="183"/>
      <c r="H18" s="183"/>
      <c r="I18" s="183">
        <f>I105+I106</f>
        <v>0.1223109049694102</v>
      </c>
      <c r="J18" s="183">
        <f>S105+S106</f>
        <v>7.5448145684781295E-2</v>
      </c>
      <c r="K18" s="183">
        <f>AM105+AM106</f>
        <v>2.3967211518878286E-2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C19" s="160" t="s">
        <v>70</v>
      </c>
      <c r="E19" s="185"/>
      <c r="F19" s="185"/>
      <c r="G19" s="185"/>
      <c r="H19" s="185"/>
      <c r="I19" s="185">
        <f>SUM(I16:I18)</f>
        <v>0.98611618608628693</v>
      </c>
      <c r="J19" s="185">
        <f>SUM(J16:J18)</f>
        <v>0.87507143443636992</v>
      </c>
      <c r="K19" s="185">
        <f>SUM(K16:K18)</f>
        <v>0.28806252867277127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s="3" customFormat="1" x14ac:dyDescent="0.25"/>
    <row r="21" spans="1:39" s="3" customFormat="1" x14ac:dyDescent="0.25"/>
    <row r="22" spans="1:39" s="3" customFormat="1" x14ac:dyDescent="0.25"/>
    <row r="23" spans="1:39" s="3" customFormat="1" ht="23.25" x14ac:dyDescent="0.35">
      <c r="B23" s="46"/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</row>
    <row r="24" spans="1:39" s="3" customFormat="1" ht="23.25" x14ac:dyDescent="0.35">
      <c r="A24" s="228" t="s">
        <v>76</v>
      </c>
      <c r="C24" s="228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</row>
    <row r="25" spans="1:39" x14ac:dyDescent="0.25">
      <c r="C25" s="11"/>
      <c r="D25" s="11"/>
      <c r="E25" s="93">
        <v>2006</v>
      </c>
      <c r="F25" s="93">
        <v>2015</v>
      </c>
      <c r="G25" s="93">
        <v>2018</v>
      </c>
      <c r="H25" s="93">
        <v>2019</v>
      </c>
      <c r="I25" s="93">
        <v>2020</v>
      </c>
      <c r="J25" s="20">
        <v>2021</v>
      </c>
      <c r="K25" s="4">
        <v>2022</v>
      </c>
      <c r="L25" s="4">
        <v>2023</v>
      </c>
      <c r="M25" s="4">
        <v>2024</v>
      </c>
      <c r="N25" s="92">
        <v>2025</v>
      </c>
      <c r="O25" s="20">
        <v>2026</v>
      </c>
      <c r="P25" s="4">
        <v>2027</v>
      </c>
      <c r="Q25" s="4">
        <v>2028</v>
      </c>
      <c r="R25" s="4">
        <v>2029</v>
      </c>
      <c r="S25" s="92">
        <v>2030</v>
      </c>
      <c r="T25" s="4">
        <v>2031</v>
      </c>
      <c r="U25" s="92">
        <v>2032</v>
      </c>
      <c r="V25" s="4">
        <v>2033</v>
      </c>
      <c r="W25" s="92">
        <v>2034</v>
      </c>
      <c r="X25" s="4">
        <v>2035</v>
      </c>
      <c r="Y25" s="92">
        <v>2036</v>
      </c>
      <c r="Z25" s="4">
        <v>2037</v>
      </c>
      <c r="AA25" s="92">
        <v>2038</v>
      </c>
      <c r="AB25" s="4">
        <v>2039</v>
      </c>
      <c r="AC25" s="93">
        <v>2040</v>
      </c>
      <c r="AD25" s="4">
        <v>2041</v>
      </c>
      <c r="AE25" s="93">
        <v>2042</v>
      </c>
      <c r="AF25" s="4">
        <v>2043</v>
      </c>
      <c r="AG25" s="93">
        <v>2044</v>
      </c>
      <c r="AH25" s="4">
        <v>2045</v>
      </c>
      <c r="AI25" s="93">
        <v>2046</v>
      </c>
      <c r="AJ25" s="4">
        <v>2047</v>
      </c>
      <c r="AK25" s="93">
        <v>2048</v>
      </c>
      <c r="AL25" s="4">
        <v>2049</v>
      </c>
      <c r="AM25" s="93">
        <v>2050</v>
      </c>
    </row>
    <row r="26" spans="1:39" x14ac:dyDescent="0.25">
      <c r="A26" s="152" t="str">
        <f>Résultats!B1</f>
        <v>SNBC3</v>
      </c>
      <c r="B26" s="60" t="s">
        <v>77</v>
      </c>
      <c r="C26" s="216" t="s">
        <v>51</v>
      </c>
      <c r="D26" s="50" t="s">
        <v>149</v>
      </c>
      <c r="E26" s="99">
        <f>VLOOKUP($D26,Résultats!$B$2:$AZ$251,E$2,FALSE)</f>
        <v>2373</v>
      </c>
      <c r="F26" s="99">
        <f>VLOOKUP($D26,Résultats!$B$2:$AZ$251,F$2,FALSE)</f>
        <v>1940.3869999999999</v>
      </c>
      <c r="G26" s="99">
        <f>VLOOKUP($D26,Résultats!$B$2:$AZ$251,G$2,FALSE)</f>
        <v>2203.7420000000002</v>
      </c>
      <c r="H26" s="99">
        <f>VLOOKUP($D26,Résultats!$B$2:$AZ$251,H$2,FALSE)</f>
        <v>2240.3020000000001</v>
      </c>
      <c r="I26" s="99">
        <f>VLOOKUP($D26,Résultats!$B$2:$AZ$251,I$2,FALSE)</f>
        <v>2210.081737</v>
      </c>
      <c r="J26" s="51">
        <f>VLOOKUP($D26,Résultats!$B$2:$AZ$251,J$2,FALSE)</f>
        <v>2079.9690599999999</v>
      </c>
      <c r="K26" s="51">
        <f>VLOOKUP($D26,Résultats!$B$2:$AZ$251,K$2,FALSE)</f>
        <v>2194.402145</v>
      </c>
      <c r="L26" s="51">
        <f>VLOOKUP($D26,Résultats!$B$2:$AZ$251,L$2,FALSE)</f>
        <v>2293.5765190000002</v>
      </c>
      <c r="M26" s="51">
        <f>VLOOKUP($D26,Résultats!$B$2:$AZ$251,M$2,FALSE)</f>
        <v>2153.1855919999998</v>
      </c>
      <c r="N26" s="51">
        <f>VLOOKUP($D26,Résultats!$B$2:$AZ$251,N$2,FALSE)</f>
        <v>2057.9586420000001</v>
      </c>
      <c r="O26" s="51">
        <f>VLOOKUP($D26,Résultats!$B$2:$AZ$251,O$2,FALSE)</f>
        <v>1950.022794</v>
      </c>
      <c r="P26" s="51">
        <f>VLOOKUP($D26,Résultats!$B$2:$AZ$251,P$2,FALSE)</f>
        <v>1849.147727</v>
      </c>
      <c r="Q26" s="51">
        <f>VLOOKUP($D26,Résultats!$B$2:$AZ$251,Q$2,FALSE)</f>
        <v>1808.06096</v>
      </c>
      <c r="R26" s="51">
        <f>VLOOKUP($D26,Résultats!$B$2:$AZ$251,R$2,FALSE)</f>
        <v>1788.871926</v>
      </c>
      <c r="S26" s="51">
        <f>VLOOKUP($D26,Résultats!$B$2:$AZ$251,S$2,FALSE)</f>
        <v>1705.7066130000001</v>
      </c>
      <c r="T26" s="51">
        <f>VLOOKUP($D26,Résultats!$B$2:$AZ$251,T$2,FALSE)</f>
        <v>1769.7276649999999</v>
      </c>
      <c r="U26" s="51">
        <f>VLOOKUP($D26,Résultats!$B$2:$AZ$251,U$2,FALSE)</f>
        <v>1801.7021030000001</v>
      </c>
      <c r="V26" s="51">
        <f>VLOOKUP($D26,Résultats!$B$2:$AZ$251,V$2,FALSE)</f>
        <v>1798.9414509999999</v>
      </c>
      <c r="W26" s="51">
        <f>VLOOKUP($D26,Résultats!$B$2:$AZ$251,W$2,FALSE)</f>
        <v>1795.938339</v>
      </c>
      <c r="X26" s="51">
        <f>VLOOKUP($D26,Résultats!$B$2:$AZ$251,X$2,FALSE)</f>
        <v>1793.9357709999999</v>
      </c>
      <c r="Y26" s="51">
        <f>VLOOKUP($D26,Résultats!$B$2:$AZ$251,Y$2,FALSE)</f>
        <v>1818.94632</v>
      </c>
      <c r="Z26" s="51">
        <f>VLOOKUP($D26,Résultats!$B$2:$AZ$251,Z$2,FALSE)</f>
        <v>1828.51657</v>
      </c>
      <c r="AA26" s="51">
        <f>VLOOKUP($D26,Résultats!$B$2:$AZ$251,AA$2,FALSE)</f>
        <v>1828.9908680000001</v>
      </c>
      <c r="AB26" s="51">
        <f>VLOOKUP($D26,Résultats!$B$2:$AZ$251,AB$2,FALSE)</f>
        <v>1832.2055620000001</v>
      </c>
      <c r="AC26" s="51">
        <f>VLOOKUP($D26,Résultats!$B$2:$AZ$251,AC$2,FALSE)</f>
        <v>1835.3459949999999</v>
      </c>
      <c r="AD26" s="51">
        <f>VLOOKUP($D26,Résultats!$B$2:$AZ$251,AD$2,FALSE)</f>
        <v>1826.467447</v>
      </c>
      <c r="AE26" s="51">
        <f>VLOOKUP($D26,Résultats!$B$2:$AZ$251,AE$2,FALSE)</f>
        <v>1821.110678</v>
      </c>
      <c r="AF26" s="51">
        <f>VLOOKUP($D26,Résultats!$B$2:$AZ$251,AF$2,FALSE)</f>
        <v>1823.008797</v>
      </c>
      <c r="AG26" s="51">
        <f>VLOOKUP($D26,Résultats!$B$2:$AZ$251,AG$2,FALSE)</f>
        <v>1818.227541</v>
      </c>
      <c r="AH26" s="51">
        <f>VLOOKUP($D26,Résultats!$B$2:$AZ$251,AH$2,FALSE)</f>
        <v>1878.11159</v>
      </c>
      <c r="AI26" s="51">
        <f>VLOOKUP($D26,Résultats!$B$2:$AZ$251,AI$2,FALSE)</f>
        <v>1878.8486379999999</v>
      </c>
      <c r="AJ26" s="51">
        <f>VLOOKUP($D26,Résultats!$B$2:$AZ$251,AJ$2,FALSE)</f>
        <v>1878.0283529999999</v>
      </c>
      <c r="AK26" s="51">
        <f>VLOOKUP($D26,Résultats!$B$2:$AZ$251,AK$2,FALSE)</f>
        <v>1873.9076849999999</v>
      </c>
      <c r="AL26" s="51">
        <f>VLOOKUP($D26,Résultats!$B$2:$AZ$251,AL$2,FALSE)</f>
        <v>1862.9084720000001</v>
      </c>
      <c r="AM26" s="100">
        <f>VLOOKUP($D26,Résultats!$B$2:$AZ$251,AM$2,FALSE)</f>
        <v>1823.672894</v>
      </c>
    </row>
    <row r="27" spans="1:39" x14ac:dyDescent="0.25">
      <c r="C27" s="217" t="s">
        <v>462</v>
      </c>
      <c r="D27" s="52" t="s">
        <v>158</v>
      </c>
      <c r="E27" s="53">
        <f>VLOOKUP($D27,Résultats!$B$2:$AZ$251,E$2,FALSE)</f>
        <v>1.1865000000000001</v>
      </c>
      <c r="F27" s="53">
        <f>VLOOKUP($D27,Résultats!$B$2:$AZ$251,F$2,FALSE)</f>
        <v>35.527417239999998</v>
      </c>
      <c r="G27" s="53">
        <f>VLOOKUP($D27,Résultats!$B$2:$AZ$251,G$2,FALSE)</f>
        <v>87.19797398</v>
      </c>
      <c r="H27" s="53">
        <f>VLOOKUP($D27,Résultats!$B$2:$AZ$251,H$2,FALSE)</f>
        <v>113.0422334</v>
      </c>
      <c r="I27" s="53">
        <f>VLOOKUP($D27,Résultats!$B$2:$AZ$251,I$2,FALSE)</f>
        <v>140.934639</v>
      </c>
      <c r="J27" s="53">
        <f>VLOOKUP($D27,Résultats!$B$2:$AZ$251,J$2,FALSE)</f>
        <v>165.87994370000001</v>
      </c>
      <c r="K27" s="53">
        <f>VLOOKUP($D27,Résultats!$B$2:$AZ$251,K$2,FALSE)</f>
        <v>216.49572029999999</v>
      </c>
      <c r="L27" s="53">
        <f>VLOOKUP($D27,Résultats!$B$2:$AZ$251,L$2,FALSE)</f>
        <v>276.52123699999999</v>
      </c>
      <c r="M27" s="53">
        <f>VLOOKUP($D27,Résultats!$B$2:$AZ$251,M$2,FALSE)</f>
        <v>313.13162110000002</v>
      </c>
      <c r="N27" s="53">
        <f>VLOOKUP($D27,Résultats!$B$2:$AZ$251,N$2,FALSE)</f>
        <v>355.80721449999999</v>
      </c>
      <c r="O27" s="53">
        <f>VLOOKUP($D27,Résultats!$B$2:$AZ$251,O$2,FALSE)</f>
        <v>418.33392190000001</v>
      </c>
      <c r="P27" s="53">
        <f>VLOOKUP($D27,Résultats!$B$2:$AZ$251,P$2,FALSE)</f>
        <v>521.78256639999995</v>
      </c>
      <c r="Q27" s="53">
        <f>VLOOKUP($D27,Résultats!$B$2:$AZ$251,Q$2,FALSE)</f>
        <v>693.7223917</v>
      </c>
      <c r="R27" s="53">
        <f>VLOOKUP($D27,Résultats!$B$2:$AZ$251,R$2,FALSE)</f>
        <v>898.24177659999998</v>
      </c>
      <c r="S27" s="53">
        <f>VLOOKUP($D27,Résultats!$B$2:$AZ$251,S$2,FALSE)</f>
        <v>1070.0001549999999</v>
      </c>
      <c r="T27" s="53">
        <f>VLOOKUP($D27,Résultats!$B$2:$AZ$251,T$2,FALSE)</f>
        <v>1317.299356</v>
      </c>
      <c r="U27" s="53">
        <f>VLOOKUP($D27,Résultats!$B$2:$AZ$251,U$2,FALSE)</f>
        <v>1512.725177</v>
      </c>
      <c r="V27" s="53">
        <f>VLOOKUP($D27,Résultats!$B$2:$AZ$251,V$2,FALSE)</f>
        <v>1631.660302</v>
      </c>
      <c r="W27" s="53">
        <f>VLOOKUP($D27,Résultats!$B$2:$AZ$251,W$2,FALSE)</f>
        <v>1704.7441180000001</v>
      </c>
      <c r="X27" s="53">
        <f>VLOOKUP($D27,Résultats!$B$2:$AZ$251,X$2,FALSE)</f>
        <v>1746.1157499999999</v>
      </c>
      <c r="Y27" s="53">
        <f>VLOOKUP($D27,Résultats!$B$2:$AZ$251,Y$2,FALSE)</f>
        <v>1794.0774590000001</v>
      </c>
      <c r="Z27" s="53">
        <f>VLOOKUP($D27,Résultats!$B$2:$AZ$251,Z$2,FALSE)</f>
        <v>1815.8563999999999</v>
      </c>
      <c r="AA27" s="53">
        <f>VLOOKUP($D27,Résultats!$B$2:$AZ$251,AA$2,FALSE)</f>
        <v>1822.620621</v>
      </c>
      <c r="AB27" s="53">
        <f>VLOOKUP($D27,Résultats!$B$2:$AZ$251,AB$2,FALSE)</f>
        <v>1829.0063700000001</v>
      </c>
      <c r="AC27" s="53">
        <f>VLOOKUP($D27,Résultats!$B$2:$AZ$251,AC$2,FALSE)</f>
        <v>1833.74216</v>
      </c>
      <c r="AD27" s="53">
        <f>VLOOKUP($D27,Résultats!$B$2:$AZ$251,AD$2,FALSE)</f>
        <v>1825.6693540000001</v>
      </c>
      <c r="AE27" s="53">
        <f>VLOOKUP($D27,Résultats!$B$2:$AZ$251,AE$2,FALSE)</f>
        <v>1820.712945</v>
      </c>
      <c r="AF27" s="53">
        <f>VLOOKUP($D27,Résultats!$B$2:$AZ$251,AF$2,FALSE)</f>
        <v>1822.8098359999999</v>
      </c>
      <c r="AG27" s="53">
        <f>VLOOKUP($D27,Résultats!$B$2:$AZ$251,AG$2,FALSE)</f>
        <v>1818.128387</v>
      </c>
      <c r="AH27" s="53">
        <f>VLOOKUP($D27,Résultats!$B$2:$AZ$251,AH$2,FALSE)</f>
        <v>1878.060416</v>
      </c>
      <c r="AI27" s="53">
        <f>VLOOKUP($D27,Résultats!$B$2:$AZ$251,AI$2,FALSE)</f>
        <v>1878.8230590000001</v>
      </c>
      <c r="AJ27" s="53">
        <f>VLOOKUP($D27,Résultats!$B$2:$AZ$251,AJ$2,FALSE)</f>
        <v>1878.015578</v>
      </c>
      <c r="AK27" s="53">
        <f>VLOOKUP($D27,Résultats!$B$2:$AZ$251,AK$2,FALSE)</f>
        <v>1873.901316</v>
      </c>
      <c r="AL27" s="53">
        <f>VLOOKUP($D27,Résultats!$B$2:$AZ$251,AL$2,FALSE)</f>
        <v>1862.905309</v>
      </c>
      <c r="AM27" s="213">
        <f>VLOOKUP($D27,Résultats!$B$2:$AZ$251,AM$2,FALSE)</f>
        <v>1823.671347</v>
      </c>
    </row>
    <row r="28" spans="1:39" x14ac:dyDescent="0.25">
      <c r="C28" s="218" t="s">
        <v>27</v>
      </c>
      <c r="D28" s="54" t="s">
        <v>159</v>
      </c>
      <c r="E28" s="25">
        <f>VLOOKUP($D28,Résultats!$B$2:$AZ$251,E$2,FALSE)</f>
        <v>3.5336769799999999E-3</v>
      </c>
      <c r="F28" s="25">
        <f>VLOOKUP($D28,Résultats!$B$2:$AZ$251,F$2,FALSE)</f>
        <v>0.41933248360000003</v>
      </c>
      <c r="G28" s="25">
        <f>VLOOKUP($D28,Résultats!$B$2:$AZ$251,G$2,FALSE)</f>
        <v>0.60590041520000004</v>
      </c>
      <c r="H28" s="25">
        <f>VLOOKUP($D28,Résultats!$B$2:$AZ$251,H$2,FALSE)</f>
        <v>0.99769199419999999</v>
      </c>
      <c r="I28" s="25">
        <f>VLOOKUP($D28,Résultats!$B$2:$AZ$251,I$2,FALSE)</f>
        <v>1.553522989</v>
      </c>
      <c r="J28" s="25">
        <f>VLOOKUP($D28,Résultats!$B$2:$AZ$251,J$2,FALSE)</f>
        <v>2.2630497009999999</v>
      </c>
      <c r="K28" s="25">
        <f>VLOOKUP($D28,Résultats!$B$2:$AZ$251,K$2,FALSE)</f>
        <v>5.4000150939999996</v>
      </c>
      <c r="L28" s="25">
        <f>VLOOKUP($D28,Résultats!$B$2:$AZ$251,L$2,FALSE)</f>
        <v>8.9544089390000003</v>
      </c>
      <c r="M28" s="25">
        <f>VLOOKUP($D28,Résultats!$B$2:$AZ$251,M$2,FALSE)</f>
        <v>10.970898800000001</v>
      </c>
      <c r="N28" s="25">
        <f>VLOOKUP($D28,Résultats!$B$2:$AZ$251,N$2,FALSE)</f>
        <v>13.28653772</v>
      </c>
      <c r="O28" s="25">
        <f>VLOOKUP($D28,Résultats!$B$2:$AZ$251,O$2,FALSE)</f>
        <v>16.815716429999998</v>
      </c>
      <c r="P28" s="25">
        <f>VLOOKUP($D28,Résultats!$B$2:$AZ$251,P$2,FALSE)</f>
        <v>22.362840810000002</v>
      </c>
      <c r="Q28" s="25">
        <f>VLOOKUP($D28,Résultats!$B$2:$AZ$251,Q$2,FALSE)</f>
        <v>31.491452580000001</v>
      </c>
      <c r="R28" s="25">
        <f>VLOOKUP($D28,Résultats!$B$2:$AZ$251,R$2,FALSE)</f>
        <v>43.112639639999998</v>
      </c>
      <c r="S28" s="25">
        <f>VLOOKUP($D28,Résultats!$B$2:$AZ$251,S$2,FALSE)</f>
        <v>54.624124610000003</v>
      </c>
      <c r="T28" s="25">
        <f>VLOOKUP($D28,Résultats!$B$2:$AZ$251,T$2,FALSE)</f>
        <v>70.722158149999998</v>
      </c>
      <c r="U28" s="25">
        <f>VLOOKUP($D28,Résultats!$B$2:$AZ$251,U$2,FALSE)</f>
        <v>85.904448389999999</v>
      </c>
      <c r="V28" s="25">
        <f>VLOOKUP($D28,Résultats!$B$2:$AZ$251,V$2,FALSE)</f>
        <v>98.006278750000007</v>
      </c>
      <c r="W28" s="25">
        <f>VLOOKUP($D28,Résultats!$B$2:$AZ$251,W$2,FALSE)</f>
        <v>108.31232540000001</v>
      </c>
      <c r="X28" s="25">
        <f>VLOOKUP($D28,Résultats!$B$2:$AZ$251,X$2,FALSE)</f>
        <v>117.1853163</v>
      </c>
      <c r="Y28" s="25">
        <f>VLOOKUP($D28,Résultats!$B$2:$AZ$251,Y$2,FALSE)</f>
        <v>126.7572847</v>
      </c>
      <c r="Z28" s="25">
        <f>VLOOKUP($D28,Résultats!$B$2:$AZ$251,Z$2,FALSE)</f>
        <v>135.06789459999999</v>
      </c>
      <c r="AA28" s="25">
        <f>VLOOKUP($D28,Résultats!$B$2:$AZ$251,AA$2,FALSE)</f>
        <v>142.58173780000001</v>
      </c>
      <c r="AB28" s="25">
        <f>VLOOKUP($D28,Résultats!$B$2:$AZ$251,AB$2,FALSE)</f>
        <v>150.18833090000001</v>
      </c>
      <c r="AC28" s="25">
        <f>VLOOKUP($D28,Résultats!$B$2:$AZ$251,AC$2,FALSE)</f>
        <v>157.81411</v>
      </c>
      <c r="AD28" s="25">
        <f>VLOOKUP($D28,Résultats!$B$2:$AZ$251,AD$2,FALSE)</f>
        <v>163.54672170000001</v>
      </c>
      <c r="AE28" s="25">
        <f>VLOOKUP($D28,Résultats!$B$2:$AZ$251,AE$2,FALSE)</f>
        <v>169.60265519999999</v>
      </c>
      <c r="AF28" s="25">
        <f>VLOOKUP($D28,Résultats!$B$2:$AZ$251,AF$2,FALSE)</f>
        <v>176.23099640000001</v>
      </c>
      <c r="AG28" s="25">
        <f>VLOOKUP($D28,Résultats!$B$2:$AZ$251,AG$2,FALSE)</f>
        <v>182.28028950000001</v>
      </c>
      <c r="AH28" s="25">
        <f>VLOOKUP($D28,Résultats!$B$2:$AZ$251,AH$2,FALSE)</f>
        <v>211.60128470000001</v>
      </c>
      <c r="AI28" s="25">
        <f>VLOOKUP($D28,Résultats!$B$2:$AZ$251,AI$2,FALSE)</f>
        <v>219.10893300000001</v>
      </c>
      <c r="AJ28" s="25">
        <f>VLOOKUP($D28,Résultats!$B$2:$AZ$251,AJ$2,FALSE)</f>
        <v>226.4672727</v>
      </c>
      <c r="AK28" s="25">
        <f>VLOOKUP($D28,Résultats!$B$2:$AZ$251,AK$2,FALSE)</f>
        <v>233.4694475</v>
      </c>
      <c r="AL28" s="25">
        <f>VLOOKUP($D28,Résultats!$B$2:$AZ$251,AL$2,FALSE)</f>
        <v>239.801275</v>
      </c>
      <c r="AM28" s="102">
        <f>VLOOKUP($D28,Résultats!$B$2:$AZ$251,AM$2,FALSE)</f>
        <v>242.65934809999999</v>
      </c>
    </row>
    <row r="29" spans="1:39" x14ac:dyDescent="0.25">
      <c r="C29" s="218" t="s">
        <v>28</v>
      </c>
      <c r="D29" s="54" t="s">
        <v>160</v>
      </c>
      <c r="E29" s="25">
        <f>VLOOKUP($D29,Résultats!$B$2:$AZ$251,E$2,FALSE)</f>
        <v>8.10027491E-3</v>
      </c>
      <c r="F29" s="25">
        <f>VLOOKUP($D29,Résultats!$B$2:$AZ$251,F$2,FALSE)</f>
        <v>0.45425880790000001</v>
      </c>
      <c r="G29" s="25">
        <f>VLOOKUP($D29,Résultats!$B$2:$AZ$251,G$2,FALSE)</f>
        <v>0.83196113179999998</v>
      </c>
      <c r="H29" s="25">
        <f>VLOOKUP($D29,Résultats!$B$2:$AZ$251,H$2,FALSE)</f>
        <v>1.2210421490000001</v>
      </c>
      <c r="I29" s="25">
        <f>VLOOKUP($D29,Résultats!$B$2:$AZ$251,I$2,FALSE)</f>
        <v>1.729038469</v>
      </c>
      <c r="J29" s="25">
        <f>VLOOKUP($D29,Résultats!$B$2:$AZ$251,J$2,FALSE)</f>
        <v>2.3224906590000001</v>
      </c>
      <c r="K29" s="25">
        <f>VLOOKUP($D29,Résultats!$B$2:$AZ$251,K$2,FALSE)</f>
        <v>4.6044612010000003</v>
      </c>
      <c r="L29" s="25">
        <f>VLOOKUP($D29,Résultats!$B$2:$AZ$251,L$2,FALSE)</f>
        <v>7.1515798689999999</v>
      </c>
      <c r="M29" s="25">
        <f>VLOOKUP($D29,Résultats!$B$2:$AZ$251,M$2,FALSE)</f>
        <v>8.5998222940000009</v>
      </c>
      <c r="N29" s="25">
        <f>VLOOKUP($D29,Résultats!$B$2:$AZ$251,N$2,FALSE)</f>
        <v>10.261107989999999</v>
      </c>
      <c r="O29" s="25">
        <f>VLOOKUP($D29,Résultats!$B$2:$AZ$251,O$2,FALSE)</f>
        <v>12.767601000000001</v>
      </c>
      <c r="P29" s="25">
        <f>VLOOKUP($D29,Résultats!$B$2:$AZ$251,P$2,FALSE)</f>
        <v>16.731536179999999</v>
      </c>
      <c r="Q29" s="25">
        <f>VLOOKUP($D29,Résultats!$B$2:$AZ$251,Q$2,FALSE)</f>
        <v>23.253535930000002</v>
      </c>
      <c r="R29" s="25">
        <f>VLOOKUP($D29,Résultats!$B$2:$AZ$251,R$2,FALSE)</f>
        <v>31.43083888</v>
      </c>
      <c r="S29" s="25">
        <f>VLOOKUP($D29,Résultats!$B$2:$AZ$251,S$2,FALSE)</f>
        <v>39.261524829999999</v>
      </c>
      <c r="T29" s="25">
        <f>VLOOKUP($D29,Résultats!$B$2:$AZ$251,T$2,FALSE)</f>
        <v>50.24114806</v>
      </c>
      <c r="U29" s="25">
        <f>VLOOKUP($D29,Résultats!$B$2:$AZ$251,U$2,FALSE)</f>
        <v>60.227107349999997</v>
      </c>
      <c r="V29" s="25">
        <f>VLOOKUP($D29,Résultats!$B$2:$AZ$251,V$2,FALSE)</f>
        <v>67.797876279999997</v>
      </c>
      <c r="W29" s="25">
        <f>VLOOKUP($D29,Résultats!$B$2:$AZ$251,W$2,FALSE)</f>
        <v>73.910455920000004</v>
      </c>
      <c r="X29" s="25">
        <f>VLOOKUP($D29,Résultats!$B$2:$AZ$251,X$2,FALSE)</f>
        <v>78.882897740000004</v>
      </c>
      <c r="Y29" s="25">
        <f>VLOOKUP($D29,Résultats!$B$2:$AZ$251,Y$2,FALSE)</f>
        <v>84.213843909999994</v>
      </c>
      <c r="Z29" s="25">
        <f>VLOOKUP($D29,Résultats!$B$2:$AZ$251,Z$2,FALSE)</f>
        <v>88.5325366</v>
      </c>
      <c r="AA29" s="25">
        <f>VLOOKUP($D29,Résultats!$B$2:$AZ$251,AA$2,FALSE)</f>
        <v>92.192401050000001</v>
      </c>
      <c r="AB29" s="25">
        <f>VLOOKUP($D29,Résultats!$B$2:$AZ$251,AB$2,FALSE)</f>
        <v>95.805658140000006</v>
      </c>
      <c r="AC29" s="25">
        <f>VLOOKUP($D29,Résultats!$B$2:$AZ$251,AC$2,FALSE)</f>
        <v>99.315765929999998</v>
      </c>
      <c r="AD29" s="25">
        <f>VLOOKUP($D29,Résultats!$B$2:$AZ$251,AD$2,FALSE)</f>
        <v>101.70091669999999</v>
      </c>
      <c r="AE29" s="25">
        <f>VLOOKUP($D29,Résultats!$B$2:$AZ$251,AE$2,FALSE)</f>
        <v>104.20733610000001</v>
      </c>
      <c r="AF29" s="25">
        <f>VLOOKUP($D29,Résultats!$B$2:$AZ$251,AF$2,FALSE)</f>
        <v>107.0102783</v>
      </c>
      <c r="AG29" s="25">
        <f>VLOOKUP($D29,Résultats!$B$2:$AZ$251,AG$2,FALSE)</f>
        <v>109.3755115</v>
      </c>
      <c r="AH29" s="25">
        <f>VLOOKUP($D29,Résultats!$B$2:$AZ$251,AH$2,FALSE)</f>
        <v>121.8725659</v>
      </c>
      <c r="AI29" s="25">
        <f>VLOOKUP($D29,Résultats!$B$2:$AZ$251,AI$2,FALSE)</f>
        <v>124.5671037</v>
      </c>
      <c r="AJ29" s="25">
        <f>VLOOKUP($D29,Résultats!$B$2:$AZ$251,AJ$2,FALSE)</f>
        <v>127.0801463</v>
      </c>
      <c r="AK29" s="25">
        <f>VLOOKUP($D29,Résultats!$B$2:$AZ$251,AK$2,FALSE)</f>
        <v>129.2940414</v>
      </c>
      <c r="AL29" s="25">
        <f>VLOOKUP($D29,Résultats!$B$2:$AZ$251,AL$2,FALSE)</f>
        <v>131.00143180000001</v>
      </c>
      <c r="AM29" s="102">
        <f>VLOOKUP($D29,Résultats!$B$2:$AZ$251,AM$2,FALSE)</f>
        <v>130.67500870000001</v>
      </c>
    </row>
    <row r="30" spans="1:39" x14ac:dyDescent="0.25">
      <c r="C30" s="218" t="s">
        <v>29</v>
      </c>
      <c r="D30" s="54" t="s">
        <v>161</v>
      </c>
      <c r="E30" s="25">
        <f>VLOOKUP($D30,Résultats!$B$2:$AZ$251,E$2,FALSE)</f>
        <v>3.31621993E-2</v>
      </c>
      <c r="F30" s="25">
        <f>VLOOKUP($D30,Résultats!$B$2:$AZ$251,F$2,FALSE)</f>
        <v>1.074180143</v>
      </c>
      <c r="G30" s="25">
        <f>VLOOKUP($D30,Résultats!$B$2:$AZ$251,G$2,FALSE)</f>
        <v>2.535043393</v>
      </c>
      <c r="H30" s="25">
        <f>VLOOKUP($D30,Résultats!$B$2:$AZ$251,H$2,FALSE)</f>
        <v>3.3378039140000002</v>
      </c>
      <c r="I30" s="25">
        <f>VLOOKUP($D30,Résultats!$B$2:$AZ$251,I$2,FALSE)</f>
        <v>4.2355972700000004</v>
      </c>
      <c r="J30" s="25">
        <f>VLOOKUP($D30,Résultats!$B$2:$AZ$251,J$2,FALSE)</f>
        <v>5.0846243619999996</v>
      </c>
      <c r="K30" s="25">
        <f>VLOOKUP($D30,Résultats!$B$2:$AZ$251,K$2,FALSE)</f>
        <v>7.1160603629999999</v>
      </c>
      <c r="L30" s="25">
        <f>VLOOKUP($D30,Résultats!$B$2:$AZ$251,L$2,FALSE)</f>
        <v>9.4018675680000001</v>
      </c>
      <c r="M30" s="25">
        <f>VLOOKUP($D30,Résultats!$B$2:$AZ$251,M$2,FALSE)</f>
        <v>10.753105010000001</v>
      </c>
      <c r="N30" s="25">
        <f>VLOOKUP($D30,Résultats!$B$2:$AZ$251,N$2,FALSE)</f>
        <v>12.314062590000001</v>
      </c>
      <c r="O30" s="25">
        <f>VLOOKUP($D30,Résultats!$B$2:$AZ$251,O$2,FALSE)</f>
        <v>14.602352420000001</v>
      </c>
      <c r="P30" s="25">
        <f>VLOOKUP($D30,Résultats!$B$2:$AZ$251,P$2,FALSE)</f>
        <v>18.339713549999999</v>
      </c>
      <c r="Q30" s="25">
        <f>VLOOKUP($D30,Résultats!$B$2:$AZ$251,Q$2,FALSE)</f>
        <v>24.521550479999998</v>
      </c>
      <c r="R30" s="25">
        <f>VLOOKUP($D30,Résultats!$B$2:$AZ$251,R$2,FALSE)</f>
        <v>31.906406019999999</v>
      </c>
      <c r="S30" s="25">
        <f>VLOOKUP($D30,Résultats!$B$2:$AZ$251,S$2,FALSE)</f>
        <v>38.181419439999999</v>
      </c>
      <c r="T30" s="25">
        <f>VLOOKUP($D30,Résultats!$B$2:$AZ$251,T$2,FALSE)</f>
        <v>47.144570860000002</v>
      </c>
      <c r="U30" s="25">
        <f>VLOOKUP($D30,Résultats!$B$2:$AZ$251,U$2,FALSE)</f>
        <v>54.263164150000001</v>
      </c>
      <c r="V30" s="25">
        <f>VLOOKUP($D30,Résultats!$B$2:$AZ$251,V$2,FALSE)</f>
        <v>58.592605429999999</v>
      </c>
      <c r="W30" s="25">
        <f>VLOOKUP($D30,Résultats!$B$2:$AZ$251,W$2,FALSE)</f>
        <v>61.195337340000002</v>
      </c>
      <c r="X30" s="25">
        <f>VLOOKUP($D30,Résultats!$B$2:$AZ$251,X$2,FALSE)</f>
        <v>62.557790789999999</v>
      </c>
      <c r="Y30" s="25">
        <f>VLOOKUP($D30,Résultats!$B$2:$AZ$251,Y$2,FALSE)</f>
        <v>64.050057280000004</v>
      </c>
      <c r="Z30" s="25">
        <f>VLOOKUP($D30,Résultats!$B$2:$AZ$251,Z$2,FALSE)</f>
        <v>64.477974590000002</v>
      </c>
      <c r="AA30" s="25">
        <f>VLOOKUP($D30,Résultats!$B$2:$AZ$251,AA$2,FALSE)</f>
        <v>64.240904069999999</v>
      </c>
      <c r="AB30" s="25">
        <f>VLOOKUP($D30,Résultats!$B$2:$AZ$251,AB$2,FALSE)</f>
        <v>63.865035460000001</v>
      </c>
      <c r="AC30" s="25">
        <f>VLOOKUP($D30,Résultats!$B$2:$AZ$251,AC$2,FALSE)</f>
        <v>63.300115390000002</v>
      </c>
      <c r="AD30" s="25">
        <f>VLOOKUP($D30,Résultats!$B$2:$AZ$251,AD$2,FALSE)</f>
        <v>62.274763299999996</v>
      </c>
      <c r="AE30" s="25">
        <f>VLOOKUP($D30,Résultats!$B$2:$AZ$251,AE$2,FALSE)</f>
        <v>61.258467660000001</v>
      </c>
      <c r="AF30" s="25">
        <f>VLOOKUP($D30,Résultats!$B$2:$AZ$251,AF$2,FALSE)</f>
        <v>60.401285010000002</v>
      </c>
      <c r="AG30" s="25">
        <f>VLOOKUP($D30,Résultats!$B$2:$AZ$251,AG$2,FALSE)</f>
        <v>59.22037607</v>
      </c>
      <c r="AH30" s="25">
        <f>VLOOKUP($D30,Résultats!$B$2:$AZ$251,AH$2,FALSE)</f>
        <v>56.816330970000003</v>
      </c>
      <c r="AI30" s="25">
        <f>VLOOKUP($D30,Résultats!$B$2:$AZ$251,AI$2,FALSE)</f>
        <v>55.242715109999999</v>
      </c>
      <c r="AJ30" s="25">
        <f>VLOOKUP($D30,Résultats!$B$2:$AZ$251,AJ$2,FALSE)</f>
        <v>53.519249629999997</v>
      </c>
      <c r="AK30" s="25">
        <f>VLOOKUP($D30,Résultats!$B$2:$AZ$251,AK$2,FALSE)</f>
        <v>51.597510280000002</v>
      </c>
      <c r="AL30" s="25">
        <f>VLOOKUP($D30,Résultats!$B$2:$AZ$251,AL$2,FALSE)</f>
        <v>49.345874709999997</v>
      </c>
      <c r="AM30" s="102">
        <f>VLOOKUP($D30,Résultats!$B$2:$AZ$251,AM$2,FALSE)</f>
        <v>46.207317070000002</v>
      </c>
    </row>
    <row r="31" spans="1:39" x14ac:dyDescent="0.25">
      <c r="C31" s="218" t="s">
        <v>30</v>
      </c>
      <c r="D31" s="54" t="s">
        <v>162</v>
      </c>
      <c r="E31" s="25">
        <f>VLOOKUP($D31,Résultats!$B$2:$AZ$251,E$2,FALSE)</f>
        <v>0.77903986250000001</v>
      </c>
      <c r="F31" s="25">
        <f>VLOOKUP($D31,Résultats!$B$2:$AZ$251,F$2,FALSE)</f>
        <v>23.226095600000001</v>
      </c>
      <c r="G31" s="25">
        <f>VLOOKUP($D31,Résultats!$B$2:$AZ$251,G$2,FALSE)</f>
        <v>57.250103979999999</v>
      </c>
      <c r="H31" s="25">
        <f>VLOOKUP($D31,Résultats!$B$2:$AZ$251,H$2,FALSE)</f>
        <v>74.075214930000001</v>
      </c>
      <c r="I31" s="25">
        <f>VLOOKUP($D31,Résultats!$B$2:$AZ$251,I$2,FALSE)</f>
        <v>92.193180490000003</v>
      </c>
      <c r="J31" s="25">
        <f>VLOOKUP($D31,Résultats!$B$2:$AZ$251,J$2,FALSE)</f>
        <v>108.2853313</v>
      </c>
      <c r="K31" s="25">
        <f>VLOOKUP($D31,Résultats!$B$2:$AZ$251,K$2,FALSE)</f>
        <v>140.02512580000001</v>
      </c>
      <c r="L31" s="25">
        <f>VLOOKUP($D31,Résultats!$B$2:$AZ$251,L$2,FALSE)</f>
        <v>177.7241832</v>
      </c>
      <c r="M31" s="25">
        <f>VLOOKUP($D31,Résultats!$B$2:$AZ$251,M$2,FALSE)</f>
        <v>200.79456740000001</v>
      </c>
      <c r="N31" s="25">
        <f>VLOOKUP($D31,Résultats!$B$2:$AZ$251,N$2,FALSE)</f>
        <v>227.7038948</v>
      </c>
      <c r="O31" s="25">
        <f>VLOOKUP($D31,Résultats!$B$2:$AZ$251,O$2,FALSE)</f>
        <v>267.05117539999998</v>
      </c>
      <c r="P31" s="25">
        <f>VLOOKUP($D31,Résultats!$B$2:$AZ$251,P$2,FALSE)</f>
        <v>332.30926369999997</v>
      </c>
      <c r="Q31" s="25">
        <f>VLOOKUP($D31,Résultats!$B$2:$AZ$251,Q$2,FALSE)</f>
        <v>440.82020180000001</v>
      </c>
      <c r="R31" s="25">
        <f>VLOOKUP($D31,Résultats!$B$2:$AZ$251,R$2,FALSE)</f>
        <v>569.45627179999997</v>
      </c>
      <c r="S31" s="25">
        <f>VLOOKUP($D31,Résultats!$B$2:$AZ$251,S$2,FALSE)</f>
        <v>676.48678370000005</v>
      </c>
      <c r="T31" s="25">
        <f>VLOOKUP($D31,Résultats!$B$2:$AZ$251,T$2,FALSE)</f>
        <v>830.85402320000003</v>
      </c>
      <c r="U31" s="25">
        <f>VLOOKUP($D31,Résultats!$B$2:$AZ$251,U$2,FALSE)</f>
        <v>951.42764499999998</v>
      </c>
      <c r="V31" s="25">
        <f>VLOOKUP($D31,Résultats!$B$2:$AZ$251,V$2,FALSE)</f>
        <v>1023.159374</v>
      </c>
      <c r="W31" s="25">
        <f>VLOOKUP($D31,Résultats!$B$2:$AZ$251,W$2,FALSE)</f>
        <v>1065.5792300000001</v>
      </c>
      <c r="X31" s="25">
        <f>VLOOKUP($D31,Résultats!$B$2:$AZ$251,X$2,FALSE)</f>
        <v>1087.8331229999999</v>
      </c>
      <c r="Y31" s="25">
        <f>VLOOKUP($D31,Résultats!$B$2:$AZ$251,Y$2,FALSE)</f>
        <v>1114.0375959999999</v>
      </c>
      <c r="Z31" s="25">
        <f>VLOOKUP($D31,Résultats!$B$2:$AZ$251,Z$2,FALSE)</f>
        <v>1123.6379919999999</v>
      </c>
      <c r="AA31" s="25">
        <f>VLOOKUP($D31,Résultats!$B$2:$AZ$251,AA$2,FALSE)</f>
        <v>1123.7584690000001</v>
      </c>
      <c r="AB31" s="25">
        <f>VLOOKUP($D31,Résultats!$B$2:$AZ$251,AB$2,FALSE)</f>
        <v>1123.5732929999999</v>
      </c>
      <c r="AC31" s="25">
        <f>VLOOKUP($D31,Résultats!$B$2:$AZ$251,AC$2,FALSE)</f>
        <v>1122.2856750000001</v>
      </c>
      <c r="AD31" s="25">
        <f>VLOOKUP($D31,Résultats!$B$2:$AZ$251,AD$2,FALSE)</f>
        <v>1113.620064</v>
      </c>
      <c r="AE31" s="25">
        <f>VLOOKUP($D31,Résultats!$B$2:$AZ$251,AE$2,FALSE)</f>
        <v>1106.8337469999999</v>
      </c>
      <c r="AF31" s="25">
        <f>VLOOKUP($D31,Résultats!$B$2:$AZ$251,AF$2,FALSE)</f>
        <v>1104.389516</v>
      </c>
      <c r="AG31" s="25">
        <f>VLOOKUP($D31,Résultats!$B$2:$AZ$251,AG$2,FALSE)</f>
        <v>1097.801097</v>
      </c>
      <c r="AH31" s="25">
        <f>VLOOKUP($D31,Résultats!$B$2:$AZ$251,AH$2,FALSE)</f>
        <v>1120.608129</v>
      </c>
      <c r="AI31" s="25">
        <f>VLOOKUP($D31,Résultats!$B$2:$AZ$251,AI$2,FALSE)</f>
        <v>1116.832564</v>
      </c>
      <c r="AJ31" s="25">
        <f>VLOOKUP($D31,Résultats!$B$2:$AZ$251,AJ$2,FALSE)</f>
        <v>1112.121089</v>
      </c>
      <c r="AK31" s="25">
        <f>VLOOKUP($D31,Résultats!$B$2:$AZ$251,AK$2,FALSE)</f>
        <v>1105.4454920000001</v>
      </c>
      <c r="AL31" s="25">
        <f>VLOOKUP($D31,Résultats!$B$2:$AZ$251,AL$2,FALSE)</f>
        <v>1094.625027</v>
      </c>
      <c r="AM31" s="102">
        <f>VLOOKUP($D31,Résultats!$B$2:$AZ$251,AM$2,FALSE)</f>
        <v>1067.144937</v>
      </c>
    </row>
    <row r="32" spans="1:39" x14ac:dyDescent="0.25">
      <c r="C32" s="218" t="s">
        <v>31</v>
      </c>
      <c r="D32" s="54" t="s">
        <v>163</v>
      </c>
      <c r="E32" s="25">
        <f>VLOOKUP($D32,Résultats!$B$2:$AZ$251,E$2,FALSE)</f>
        <v>0.30704934709999998</v>
      </c>
      <c r="F32" s="25">
        <f>VLOOKUP($D32,Résultats!$B$2:$AZ$251,F$2,FALSE)</f>
        <v>8.9840910810000008</v>
      </c>
      <c r="G32" s="25">
        <f>VLOOKUP($D32,Résultats!$B$2:$AZ$251,G$2,FALSE)</f>
        <v>22.377076240000001</v>
      </c>
      <c r="H32" s="25">
        <f>VLOOKUP($D32,Résultats!$B$2:$AZ$251,H$2,FALSE)</f>
        <v>28.837502669999999</v>
      </c>
      <c r="I32" s="25">
        <f>VLOOKUP($D32,Résultats!$B$2:$AZ$251,I$2,FALSE)</f>
        <v>35.721540500000003</v>
      </c>
      <c r="J32" s="25">
        <f>VLOOKUP($D32,Résultats!$B$2:$AZ$251,J$2,FALSE)</f>
        <v>41.718521459999998</v>
      </c>
      <c r="K32" s="25">
        <f>VLOOKUP($D32,Résultats!$B$2:$AZ$251,K$2,FALSE)</f>
        <v>52.60578469</v>
      </c>
      <c r="L32" s="25">
        <f>VLOOKUP($D32,Résultats!$B$2:$AZ$251,L$2,FALSE)</f>
        <v>65.641506219999997</v>
      </c>
      <c r="M32" s="25">
        <f>VLOOKUP($D32,Résultats!$B$2:$AZ$251,M$2,FALSE)</f>
        <v>73.708271049999894</v>
      </c>
      <c r="N32" s="25">
        <f>VLOOKUP($D32,Résultats!$B$2:$AZ$251,N$2,FALSE)</f>
        <v>83.139270479999894</v>
      </c>
      <c r="O32" s="25">
        <f>VLOOKUP($D32,Résultats!$B$2:$AZ$251,O$2,FALSE)</f>
        <v>96.858075389999996</v>
      </c>
      <c r="P32" s="25">
        <f>VLOOKUP($D32,Résultats!$B$2:$AZ$251,P$2,FALSE)</f>
        <v>119.7776678</v>
      </c>
      <c r="Q32" s="25">
        <f>VLOOKUP($D32,Résultats!$B$2:$AZ$251,Q$2,FALSE)</f>
        <v>157.9457203</v>
      </c>
      <c r="R32" s="25">
        <f>VLOOKUP($D32,Résultats!$B$2:$AZ$251,R$2,FALSE)</f>
        <v>202.79076549999999</v>
      </c>
      <c r="S32" s="25">
        <f>VLOOKUP($D32,Résultats!$B$2:$AZ$251,S$2,FALSE)</f>
        <v>239.17900560000001</v>
      </c>
      <c r="T32" s="25">
        <f>VLOOKUP($D32,Résultats!$B$2:$AZ$251,T$2,FALSE)</f>
        <v>291.93791759999999</v>
      </c>
      <c r="U32" s="25">
        <f>VLOOKUP($D32,Résultats!$B$2:$AZ$251,U$2,FALSE)</f>
        <v>331.87227760000002</v>
      </c>
      <c r="V32" s="25">
        <f>VLOOKUP($D32,Résultats!$B$2:$AZ$251,V$2,FALSE)</f>
        <v>354.1549369</v>
      </c>
      <c r="W32" s="25">
        <f>VLOOKUP($D32,Résultats!$B$2:$AZ$251,W$2,FALSE)</f>
        <v>365.85172</v>
      </c>
      <c r="X32" s="25">
        <f>VLOOKUP($D32,Résultats!$B$2:$AZ$251,X$2,FALSE)</f>
        <v>370.3914115</v>
      </c>
      <c r="Y32" s="25">
        <f>VLOOKUP($D32,Résultats!$B$2:$AZ$251,Y$2,FALSE)</f>
        <v>376.21482179999998</v>
      </c>
      <c r="Z32" s="25">
        <f>VLOOKUP($D32,Résultats!$B$2:$AZ$251,Z$2,FALSE)</f>
        <v>376.21909260000001</v>
      </c>
      <c r="AA32" s="25">
        <f>VLOOKUP($D32,Résultats!$B$2:$AZ$251,AA$2,FALSE)</f>
        <v>372.9816361</v>
      </c>
      <c r="AB32" s="25">
        <f>VLOOKUP($D32,Résultats!$B$2:$AZ$251,AB$2,FALSE)</f>
        <v>369.677907</v>
      </c>
      <c r="AC32" s="25">
        <f>VLOOKUP($D32,Résultats!$B$2:$AZ$251,AC$2,FALSE)</f>
        <v>366.03958990000001</v>
      </c>
      <c r="AD32" s="25">
        <f>VLOOKUP($D32,Résultats!$B$2:$AZ$251,AD$2,FALSE)</f>
        <v>360.43380350000001</v>
      </c>
      <c r="AE32" s="25">
        <f>VLOOKUP($D32,Résultats!$B$2:$AZ$251,AE$2,FALSE)</f>
        <v>355.50199830000003</v>
      </c>
      <c r="AF32" s="25">
        <f>VLOOKUP($D32,Résultats!$B$2:$AZ$251,AF$2,FALSE)</f>
        <v>352.08629389999999</v>
      </c>
      <c r="AG32" s="25">
        <f>VLOOKUP($D32,Résultats!$B$2:$AZ$251,AG$2,FALSE)</f>
        <v>347.40619579999998</v>
      </c>
      <c r="AH32" s="25">
        <f>VLOOKUP($D32,Résultats!$B$2:$AZ$251,AH$2,FALSE)</f>
        <v>346.06674709999999</v>
      </c>
      <c r="AI32" s="25">
        <f>VLOOKUP($D32,Résultats!$B$2:$AZ$251,AI$2,FALSE)</f>
        <v>342.38235500000002</v>
      </c>
      <c r="AJ32" s="25">
        <f>VLOOKUP($D32,Résultats!$B$2:$AZ$251,AJ$2,FALSE)</f>
        <v>338.51538870000002</v>
      </c>
      <c r="AK32" s="25">
        <f>VLOOKUP($D32,Résultats!$B$2:$AZ$251,AK$2,FALSE)</f>
        <v>334.15347639999999</v>
      </c>
      <c r="AL32" s="25">
        <f>VLOOKUP($D32,Résultats!$B$2:$AZ$251,AL$2,FALSE)</f>
        <v>328.60187409999997</v>
      </c>
      <c r="AM32" s="102">
        <f>VLOOKUP($D32,Résultats!$B$2:$AZ$251,AM$2,FALSE)</f>
        <v>318.12979130000002</v>
      </c>
    </row>
    <row r="33" spans="2:39" x14ac:dyDescent="0.25">
      <c r="C33" s="218" t="s">
        <v>32</v>
      </c>
      <c r="D33" s="54" t="s">
        <v>164</v>
      </c>
      <c r="E33" s="25">
        <f>VLOOKUP($D33,Résultats!$B$2:$AZ$251,E$2,FALSE)</f>
        <v>4.1860481099999999E-3</v>
      </c>
      <c r="F33" s="25">
        <f>VLOOKUP($D33,Résultats!$B$2:$AZ$251,F$2,FALSE)</f>
        <v>3.5384157300000003E-2</v>
      </c>
      <c r="G33" s="25">
        <f>VLOOKUP($D33,Résultats!$B$2:$AZ$251,G$2,FALSE)</f>
        <v>4.6860402299999999E-2</v>
      </c>
      <c r="H33" s="25">
        <f>VLOOKUP($D33,Résultats!$B$2:$AZ$251,H$2,FALSE)</f>
        <v>0.1128321412</v>
      </c>
      <c r="I33" s="25">
        <f>VLOOKUP($D33,Résultats!$B$2:$AZ$251,I$2,FALSE)</f>
        <v>0.14044599029999999</v>
      </c>
      <c r="J33" s="25">
        <f>VLOOKUP($D33,Résultats!$B$2:$AZ$251,J$2,FALSE)</f>
        <v>0.16499203030000001</v>
      </c>
      <c r="K33" s="25">
        <f>VLOOKUP($D33,Résultats!$B$2:$AZ$251,K$2,FALSE)</f>
        <v>0.21366701169999999</v>
      </c>
      <c r="L33" s="25">
        <f>VLOOKUP($D33,Résultats!$B$2:$AZ$251,L$2,FALSE)</f>
        <v>0.27161133469999998</v>
      </c>
      <c r="M33" s="25">
        <f>VLOOKUP($D33,Résultats!$B$2:$AZ$251,M$2,FALSE)</f>
        <v>0.30707187800000002</v>
      </c>
      <c r="N33" s="25">
        <f>VLOOKUP($D33,Résultats!$B$2:$AZ$251,N$2,FALSE)</f>
        <v>0.34843996640000002</v>
      </c>
      <c r="O33" s="25">
        <f>VLOOKUP($D33,Résultats!$B$2:$AZ$251,O$2,FALSE)</f>
        <v>0.40898891199999998</v>
      </c>
      <c r="P33" s="25">
        <f>VLOOKUP($D33,Résultats!$B$2:$AZ$251,P$2,FALSE)</f>
        <v>0.509354788</v>
      </c>
      <c r="Q33" s="25">
        <f>VLOOKUP($D33,Résultats!$B$2:$AZ$251,Q$2,FALSE)</f>
        <v>0.67624837520000003</v>
      </c>
      <c r="R33" s="25">
        <f>VLOOKUP($D33,Résultats!$B$2:$AZ$251,R$2,FALSE)</f>
        <v>0.87438839869999996</v>
      </c>
      <c r="S33" s="25">
        <f>VLOOKUP($D33,Résultats!$B$2:$AZ$251,S$2,FALSE)</f>
        <v>1.039923355</v>
      </c>
      <c r="T33" s="25">
        <f>VLOOKUP($D33,Résultats!$B$2:$AZ$251,T$2,FALSE)</f>
        <v>1.2785623429999999</v>
      </c>
      <c r="U33" s="25">
        <f>VLOOKUP($D33,Résultats!$B$2:$AZ$251,U$2,FALSE)</f>
        <v>1.466012374</v>
      </c>
      <c r="V33" s="25">
        <f>VLOOKUP($D33,Résultats!$B$2:$AZ$251,V$2,FALSE)</f>
        <v>1.5788324220000001</v>
      </c>
      <c r="W33" s="25">
        <f>VLOOKUP($D33,Résultats!$B$2:$AZ$251,W$2,FALSE)</f>
        <v>1.646962832</v>
      </c>
      <c r="X33" s="25">
        <f>VLOOKUP($D33,Résultats!$B$2:$AZ$251,X$2,FALSE)</f>
        <v>1.6843264650000001</v>
      </c>
      <c r="Y33" s="25">
        <f>VLOOKUP($D33,Résultats!$B$2:$AZ$251,Y$2,FALSE)</f>
        <v>1.728066278</v>
      </c>
      <c r="Z33" s="25">
        <f>VLOOKUP($D33,Résultats!$B$2:$AZ$251,Z$2,FALSE)</f>
        <v>1.7464878939999999</v>
      </c>
      <c r="AA33" s="25">
        <f>VLOOKUP($D33,Résultats!$B$2:$AZ$251,AA$2,FALSE)</f>
        <v>1.7504900779999999</v>
      </c>
      <c r="AB33" s="25">
        <f>VLOOKUP($D33,Résultats!$B$2:$AZ$251,AB$2,FALSE)</f>
        <v>1.754228734</v>
      </c>
      <c r="AC33" s="25">
        <f>VLOOKUP($D33,Résultats!$B$2:$AZ$251,AC$2,FALSE)</f>
        <v>1.7564766270000001</v>
      </c>
      <c r="AD33" s="25">
        <f>VLOOKUP($D33,Résultats!$B$2:$AZ$251,AD$2,FALSE)</f>
        <v>1.7468243269999999</v>
      </c>
      <c r="AE33" s="25">
        <f>VLOOKUP($D33,Résultats!$B$2:$AZ$251,AE$2,FALSE)</f>
        <v>1.740250206</v>
      </c>
      <c r="AF33" s="25">
        <f>VLOOKUP($D33,Résultats!$B$2:$AZ$251,AF$2,FALSE)</f>
        <v>1.740546366</v>
      </c>
      <c r="AG33" s="25">
        <f>VLOOKUP($D33,Résultats!$B$2:$AZ$251,AG$2,FALSE)</f>
        <v>1.7344519899999999</v>
      </c>
      <c r="AH33" s="25">
        <f>VLOOKUP($D33,Résultats!$B$2:$AZ$251,AH$2,FALSE)</f>
        <v>1.7865672020000001</v>
      </c>
      <c r="AI33" s="25">
        <f>VLOOKUP($D33,Résultats!$B$2:$AZ$251,AI$2,FALSE)</f>
        <v>1.7859115189999999</v>
      </c>
      <c r="AJ33" s="25">
        <f>VLOOKUP($D33,Résultats!$B$2:$AZ$251,AJ$2,FALSE)</f>
        <v>1.783858599</v>
      </c>
      <c r="AK33" s="25">
        <f>VLOOKUP($D33,Résultats!$B$2:$AZ$251,AK$2,FALSE)</f>
        <v>1.778754395</v>
      </c>
      <c r="AL33" s="25">
        <f>VLOOKUP($D33,Résultats!$B$2:$AZ$251,AL$2,FALSE)</f>
        <v>1.7671837699999999</v>
      </c>
      <c r="AM33" s="102">
        <f>VLOOKUP($D33,Résultats!$B$2:$AZ$251,AM$2,FALSE)</f>
        <v>1.7288983330000001</v>
      </c>
    </row>
    <row r="34" spans="2:39" x14ac:dyDescent="0.25">
      <c r="C34" s="218" t="s">
        <v>33</v>
      </c>
      <c r="D34" s="54" t="s">
        <v>165</v>
      </c>
      <c r="E34" s="55">
        <f>VLOOKUP($D34,Résultats!$B$2:$AZ$251,E$2,FALSE)</f>
        <v>5.1428591099999997E-2</v>
      </c>
      <c r="F34" s="55">
        <f>VLOOKUP($D34,Résultats!$B$2:$AZ$251,F$2,FALSE)</f>
        <v>1.334074969</v>
      </c>
      <c r="G34" s="55">
        <f>VLOOKUP($D34,Résultats!$B$2:$AZ$251,G$2,FALSE)</f>
        <v>3.5510284150000002</v>
      </c>
      <c r="H34" s="55">
        <f>VLOOKUP($D34,Résultats!$B$2:$AZ$251,H$2,FALSE)</f>
        <v>4.4601455870000004</v>
      </c>
      <c r="I34" s="55">
        <f>VLOOKUP($D34,Résultats!$B$2:$AZ$251,I$2,FALSE)</f>
        <v>5.3613132749999997</v>
      </c>
      <c r="J34" s="55">
        <f>VLOOKUP($D34,Résultats!$B$2:$AZ$251,J$2,FALSE)</f>
        <v>6.0409341310000002</v>
      </c>
      <c r="K34" s="55">
        <f>VLOOKUP($D34,Résultats!$B$2:$AZ$251,K$2,FALSE)</f>
        <v>6.5306059899999997</v>
      </c>
      <c r="L34" s="55">
        <f>VLOOKUP($D34,Résultats!$B$2:$AZ$251,L$2,FALSE)</f>
        <v>7.3760799410000004</v>
      </c>
      <c r="M34" s="55">
        <f>VLOOKUP($D34,Résultats!$B$2:$AZ$251,M$2,FALSE)</f>
        <v>7.997884633</v>
      </c>
      <c r="N34" s="55">
        <f>VLOOKUP($D34,Résultats!$B$2:$AZ$251,N$2,FALSE)</f>
        <v>8.7539009369999903</v>
      </c>
      <c r="O34" s="55">
        <f>VLOOKUP($D34,Résultats!$B$2:$AZ$251,O$2,FALSE)</f>
        <v>9.8300123189999997</v>
      </c>
      <c r="P34" s="55">
        <f>VLOOKUP($D34,Résultats!$B$2:$AZ$251,P$2,FALSE)</f>
        <v>11.752189530000001</v>
      </c>
      <c r="Q34" s="55">
        <f>VLOOKUP($D34,Résultats!$B$2:$AZ$251,Q$2,FALSE)</f>
        <v>15.013682299999999</v>
      </c>
      <c r="R34" s="55">
        <f>VLOOKUP($D34,Résultats!$B$2:$AZ$251,R$2,FALSE)</f>
        <v>18.670466380000001</v>
      </c>
      <c r="S34" s="55">
        <f>VLOOKUP($D34,Résultats!$B$2:$AZ$251,S$2,FALSE)</f>
        <v>21.2273736</v>
      </c>
      <c r="T34" s="55">
        <f>VLOOKUP($D34,Résultats!$B$2:$AZ$251,T$2,FALSE)</f>
        <v>25.120975560000002</v>
      </c>
      <c r="U34" s="55">
        <f>VLOOKUP($D34,Résultats!$B$2:$AZ$251,U$2,FALSE)</f>
        <v>27.564521859999999</v>
      </c>
      <c r="V34" s="55">
        <f>VLOOKUP($D34,Résultats!$B$2:$AZ$251,V$2,FALSE)</f>
        <v>28.37039798</v>
      </c>
      <c r="W34" s="55">
        <f>VLOOKUP($D34,Résultats!$B$2:$AZ$251,W$2,FALSE)</f>
        <v>28.24808595</v>
      </c>
      <c r="X34" s="55">
        <f>VLOOKUP($D34,Résultats!$B$2:$AZ$251,X$2,FALSE)</f>
        <v>27.580884699999999</v>
      </c>
      <c r="Y34" s="55">
        <f>VLOOKUP($D34,Résultats!$B$2:$AZ$251,Y$2,FALSE)</f>
        <v>27.075788490000001</v>
      </c>
      <c r="Z34" s="55">
        <f>VLOOKUP($D34,Résultats!$B$2:$AZ$251,Z$2,FALSE)</f>
        <v>26.174421039999999</v>
      </c>
      <c r="AA34" s="55">
        <f>VLOOKUP($D34,Résultats!$B$2:$AZ$251,AA$2,FALSE)</f>
        <v>25.114981830000001</v>
      </c>
      <c r="AB34" s="55">
        <f>VLOOKUP($D34,Résultats!$B$2:$AZ$251,AB$2,FALSE)</f>
        <v>24.141917490000001</v>
      </c>
      <c r="AC34" s="55">
        <f>VLOOKUP($D34,Résultats!$B$2:$AZ$251,AC$2,FALSE)</f>
        <v>23.230427519999999</v>
      </c>
      <c r="AD34" s="55">
        <f>VLOOKUP($D34,Résultats!$B$2:$AZ$251,AD$2,FALSE)</f>
        <v>22.346259969999998</v>
      </c>
      <c r="AE34" s="55">
        <f>VLOOKUP($D34,Résultats!$B$2:$AZ$251,AE$2,FALSE)</f>
        <v>21.568490329999999</v>
      </c>
      <c r="AF34" s="55">
        <f>VLOOKUP($D34,Résultats!$B$2:$AZ$251,AF$2,FALSE)</f>
        <v>20.950920190000001</v>
      </c>
      <c r="AG34" s="55">
        <f>VLOOKUP($D34,Résultats!$B$2:$AZ$251,AG$2,FALSE)</f>
        <v>20.310464979999999</v>
      </c>
      <c r="AH34" s="55">
        <f>VLOOKUP($D34,Résultats!$B$2:$AZ$251,AH$2,FALSE)</f>
        <v>19.308790550000001</v>
      </c>
      <c r="AI34" s="55">
        <f>VLOOKUP($D34,Résultats!$B$2:$AZ$251,AI$2,FALSE)</f>
        <v>18.903476430000001</v>
      </c>
      <c r="AJ34" s="55">
        <f>VLOOKUP($D34,Résultats!$B$2:$AZ$251,AJ$2,FALSE)</f>
        <v>18.52857281</v>
      </c>
      <c r="AK34" s="55">
        <f>VLOOKUP($D34,Résultats!$B$2:$AZ$251,AK$2,FALSE)</f>
        <v>18.162593860000001</v>
      </c>
      <c r="AL34" s="55">
        <f>VLOOKUP($D34,Résultats!$B$2:$AZ$251,AL$2,FALSE)</f>
        <v>17.76264209</v>
      </c>
      <c r="AM34" s="214">
        <f>VLOOKUP($D34,Résultats!$B$2:$AZ$251,AM$2,FALSE)</f>
        <v>17.1260464</v>
      </c>
    </row>
    <row r="35" spans="2:39" x14ac:dyDescent="0.25">
      <c r="C35" s="217" t="s">
        <v>46</v>
      </c>
      <c r="D35" s="52" t="s">
        <v>150</v>
      </c>
      <c r="E35" s="53">
        <f>VLOOKUP($D35,Résultats!$B$2:$AZ$251,E$2,FALSE)</f>
        <v>2371.8135000000002</v>
      </c>
      <c r="F35" s="53">
        <f>VLOOKUP($D35,Résultats!$B$2:$AZ$251,F$2,FALSE)</f>
        <v>1904.8595829999999</v>
      </c>
      <c r="G35" s="53">
        <f>VLOOKUP($D35,Résultats!$B$2:$AZ$251,G$2,FALSE)</f>
        <v>2116.544026</v>
      </c>
      <c r="H35" s="53">
        <f>VLOOKUP($D35,Résultats!$B$2:$AZ$251,H$2,FALSE)</f>
        <v>2127.259767</v>
      </c>
      <c r="I35" s="53">
        <f>VLOOKUP($D35,Résultats!$B$2:$AZ$251,I$2,FALSE)</f>
        <v>2069.1470979999999</v>
      </c>
      <c r="J35" s="53">
        <f>VLOOKUP($D35,Résultats!$B$2:$AZ$251,J$2,FALSE)</f>
        <v>1914.0891160000001</v>
      </c>
      <c r="K35" s="53">
        <f>VLOOKUP($D35,Résultats!$B$2:$AZ$251,K$2,FALSE)</f>
        <v>1977.9064249999999</v>
      </c>
      <c r="L35" s="53">
        <f>VLOOKUP($D35,Résultats!$B$2:$AZ$251,L$2,FALSE)</f>
        <v>2017.055282</v>
      </c>
      <c r="M35" s="53">
        <f>VLOOKUP($D35,Résultats!$B$2:$AZ$251,M$2,FALSE)</f>
        <v>1840.053971</v>
      </c>
      <c r="N35" s="53">
        <f>VLOOKUP($D35,Résultats!$B$2:$AZ$251,N$2,FALSE)</f>
        <v>1702.151427</v>
      </c>
      <c r="O35" s="53">
        <f>VLOOKUP($D35,Résultats!$B$2:$AZ$251,O$2,FALSE)</f>
        <v>1531.6888719999999</v>
      </c>
      <c r="P35" s="53">
        <f>VLOOKUP($D35,Résultats!$B$2:$AZ$251,P$2,FALSE)</f>
        <v>1327.3651609999999</v>
      </c>
      <c r="Q35" s="53">
        <f>VLOOKUP($D35,Résultats!$B$2:$AZ$251,Q$2,FALSE)</f>
        <v>1114.338569</v>
      </c>
      <c r="R35" s="53">
        <f>VLOOKUP($D35,Résultats!$B$2:$AZ$251,R$2,FALSE)</f>
        <v>890.63014959999998</v>
      </c>
      <c r="S35" s="53">
        <f>VLOOKUP($D35,Résultats!$B$2:$AZ$251,S$2,FALSE)</f>
        <v>635.70645809999996</v>
      </c>
      <c r="T35" s="53">
        <f>VLOOKUP($D35,Résultats!$B$2:$AZ$251,T$2,FALSE)</f>
        <v>452.42830950000001</v>
      </c>
      <c r="U35" s="53">
        <f>VLOOKUP($D35,Résultats!$B$2:$AZ$251,U$2,FALSE)</f>
        <v>288.97692590000003</v>
      </c>
      <c r="V35" s="53">
        <f>VLOOKUP($D35,Résultats!$B$2:$AZ$251,V$2,FALSE)</f>
        <v>167.28114869999999</v>
      </c>
      <c r="W35" s="53">
        <f>VLOOKUP($D35,Résultats!$B$2:$AZ$251,W$2,FALSE)</f>
        <v>91.19422179</v>
      </c>
      <c r="X35" s="53">
        <f>VLOOKUP($D35,Résultats!$B$2:$AZ$251,X$2,FALSE)</f>
        <v>47.820020649999996</v>
      </c>
      <c r="Y35" s="53">
        <f>VLOOKUP($D35,Résultats!$B$2:$AZ$251,Y$2,FALSE)</f>
        <v>24.868861450000001</v>
      </c>
      <c r="Z35" s="53">
        <f>VLOOKUP($D35,Résultats!$B$2:$AZ$251,Z$2,FALSE)</f>
        <v>12.66017046</v>
      </c>
      <c r="AA35" s="53">
        <f>VLOOKUP($D35,Résultats!$B$2:$AZ$251,AA$2,FALSE)</f>
        <v>6.3702469859999997</v>
      </c>
      <c r="AB35" s="53">
        <f>VLOOKUP($D35,Résultats!$B$2:$AZ$251,AB$2,FALSE)</f>
        <v>3.1991914989999999</v>
      </c>
      <c r="AC35" s="53">
        <f>VLOOKUP($D35,Résultats!$B$2:$AZ$251,AC$2,FALSE)</f>
        <v>1.6038342910000001</v>
      </c>
      <c r="AD35" s="53">
        <f>VLOOKUP($D35,Résultats!$B$2:$AZ$251,AD$2,FALSE)</f>
        <v>0.79809307110000005</v>
      </c>
      <c r="AE35" s="53">
        <f>VLOOKUP($D35,Résultats!$B$2:$AZ$251,AE$2,FALSE)</f>
        <v>0.39773304570000001</v>
      </c>
      <c r="AF35" s="53">
        <f>VLOOKUP($D35,Résultats!$B$2:$AZ$251,AF$2,FALSE)</f>
        <v>0.19896061609999999</v>
      </c>
      <c r="AG35" s="53">
        <f>VLOOKUP($D35,Résultats!$B$2:$AZ$251,AG$2,FALSE)</f>
        <v>9.9153400200000005E-2</v>
      </c>
      <c r="AH35" s="53">
        <f>VLOOKUP($D35,Résultats!$B$2:$AZ$251,AH$2,FALSE)</f>
        <v>5.1173941100000002E-2</v>
      </c>
      <c r="AI35" s="53">
        <f>VLOOKUP($D35,Résultats!$B$2:$AZ$251,AI$2,FALSE)</f>
        <v>2.5578985200000001E-2</v>
      </c>
      <c r="AJ35" s="53">
        <f>VLOOKUP($D35,Résultats!$B$2:$AZ$251,AJ$2,FALSE)</f>
        <v>1.27748262E-2</v>
      </c>
      <c r="AK35" s="53">
        <f>VLOOKUP($D35,Résultats!$B$2:$AZ$251,AK$2,FALSE)</f>
        <v>6.36887923E-3</v>
      </c>
      <c r="AL35" s="53">
        <f>VLOOKUP($D35,Résultats!$B$2:$AZ$251,AL$2,FALSE)</f>
        <v>3.1635172899999999E-3</v>
      </c>
      <c r="AM35" s="213">
        <f>VLOOKUP($D35,Résultats!$B$2:$AZ$251,AM$2,FALSE)</f>
        <v>1.54736233E-3</v>
      </c>
    </row>
    <row r="36" spans="2:39" x14ac:dyDescent="0.25">
      <c r="C36" s="218" t="s">
        <v>27</v>
      </c>
      <c r="D36" s="3" t="s">
        <v>151</v>
      </c>
      <c r="E36" s="25">
        <f>VLOOKUP($D36,Résultats!$B$2:$AZ$251,E$2,FALSE)</f>
        <v>1.1865000000000001</v>
      </c>
      <c r="F36" s="25">
        <f>VLOOKUP($D36,Résultats!$B$2:$AZ$251,F$2,FALSE)</f>
        <v>36.650501859999999</v>
      </c>
      <c r="G36" s="25">
        <f>VLOOKUP($D36,Résultats!$B$2:$AZ$251,G$2,FALSE)</f>
        <v>45.398919720000002</v>
      </c>
      <c r="H36" s="25">
        <f>VLOOKUP($D36,Résultats!$B$2:$AZ$251,H$2,FALSE)</f>
        <v>50.210141980000003</v>
      </c>
      <c r="I36" s="25">
        <f>VLOOKUP($D36,Résultats!$B$2:$AZ$251,I$2,FALSE)</f>
        <v>73.429767499999997</v>
      </c>
      <c r="J36" s="25">
        <f>VLOOKUP($D36,Résultats!$B$2:$AZ$251,J$2,FALSE)</f>
        <v>65.375934909999998</v>
      </c>
      <c r="K36" s="25">
        <f>VLOOKUP($D36,Résultats!$B$2:$AZ$251,K$2,FALSE)</f>
        <v>98.33568923</v>
      </c>
      <c r="L36" s="25">
        <f>VLOOKUP($D36,Résultats!$B$2:$AZ$251,L$2,FALSE)</f>
        <v>116.4134665</v>
      </c>
      <c r="M36" s="25">
        <f>VLOOKUP($D36,Résultats!$B$2:$AZ$251,M$2,FALSE)</f>
        <v>112.9547233</v>
      </c>
      <c r="N36" s="25">
        <f>VLOOKUP($D36,Résultats!$B$2:$AZ$251,N$2,FALSE)</f>
        <v>109.5245695</v>
      </c>
      <c r="O36" s="25">
        <f>VLOOKUP($D36,Résultats!$B$2:$AZ$251,O$2,FALSE)</f>
        <v>103.6281913</v>
      </c>
      <c r="P36" s="25">
        <f>VLOOKUP($D36,Résultats!$B$2:$AZ$251,P$2,FALSE)</f>
        <v>96.424180120000003</v>
      </c>
      <c r="Q36" s="25">
        <f>VLOOKUP($D36,Résultats!$B$2:$AZ$251,Q$2,FALSE)</f>
        <v>84.710008790000003</v>
      </c>
      <c r="R36" s="25">
        <f>VLOOKUP($D36,Résultats!$B$2:$AZ$251,R$2,FALSE)</f>
        <v>70.700486920000003</v>
      </c>
      <c r="S36" s="25">
        <f>VLOOKUP($D36,Résultats!$B$2:$AZ$251,S$2,FALSE)</f>
        <v>53.162736819999999</v>
      </c>
      <c r="T36" s="25">
        <f>VLOOKUP($D36,Résultats!$B$2:$AZ$251,T$2,FALSE)</f>
        <v>39.84369633</v>
      </c>
      <c r="U36" s="25">
        <f>VLOOKUP($D36,Résultats!$B$2:$AZ$251,U$2,FALSE)</f>
        <v>26.82396512</v>
      </c>
      <c r="V36" s="25">
        <f>VLOOKUP($D36,Résultats!$B$2:$AZ$251,V$2,FALSE)</f>
        <v>16.36989853</v>
      </c>
      <c r="W36" s="25">
        <f>VLOOKUP($D36,Résultats!$B$2:$AZ$251,W$2,FALSE)</f>
        <v>9.3784227950000005</v>
      </c>
      <c r="X36" s="25">
        <f>VLOOKUP($D36,Résultats!$B$2:$AZ$251,X$2,FALSE)</f>
        <v>5.1956041900000001</v>
      </c>
      <c r="Y36" s="25">
        <f>VLOOKUP($D36,Résultats!$B$2:$AZ$251,Y$2,FALSE)</f>
        <v>2.8455137960000001</v>
      </c>
      <c r="Z36" s="25">
        <f>VLOOKUP($D36,Résultats!$B$2:$AZ$251,Z$2,FALSE)</f>
        <v>1.5225161089999999</v>
      </c>
      <c r="AA36" s="25">
        <f>VLOOKUP($D36,Résultats!$B$2:$AZ$251,AA$2,FALSE)</f>
        <v>0.80468872390000001</v>
      </c>
      <c r="AB36" s="25">
        <f>VLOOKUP($D36,Résultats!$B$2:$AZ$251,AB$2,FALSE)</f>
        <v>0.42287763270000001</v>
      </c>
      <c r="AC36" s="25">
        <f>VLOOKUP($D36,Résultats!$B$2:$AZ$251,AC$2,FALSE)</f>
        <v>0.22136332359999999</v>
      </c>
      <c r="AD36" s="25">
        <f>VLOOKUP($D36,Résultats!$B$2:$AZ$251,AD$2,FALSE)</f>
        <v>0.11464330289999999</v>
      </c>
      <c r="AE36" s="25">
        <f>VLOOKUP($D36,Résultats!$B$2:$AZ$251,AE$2,FALSE)</f>
        <v>5.9409457399999997E-2</v>
      </c>
      <c r="AF36" s="25">
        <f>VLOOKUP($D36,Résultats!$B$2:$AZ$251,AF$2,FALSE)</f>
        <v>3.0821339699999999E-2</v>
      </c>
      <c r="AG36" s="25">
        <f>VLOOKUP($D36,Résultats!$B$2:$AZ$251,AG$2,FALSE)</f>
        <v>1.5917788400000001E-2</v>
      </c>
      <c r="AH36" s="25">
        <f>VLOOKUP($D36,Résultats!$B$2:$AZ$251,AH$2,FALSE)</f>
        <v>8.9757057100000003E-3</v>
      </c>
      <c r="AI36" s="25">
        <f>VLOOKUP($D36,Résultats!$B$2:$AZ$251,AI$2,FALSE)</f>
        <v>4.6425045000000002E-3</v>
      </c>
      <c r="AJ36" s="25">
        <f>VLOOKUP($D36,Résultats!$B$2:$AZ$251,AJ$2,FALSE)</f>
        <v>2.4004587000000001E-3</v>
      </c>
      <c r="AK36" s="25">
        <f>VLOOKUP($D36,Résultats!$B$2:$AZ$251,AK$2,FALSE)</f>
        <v>1.23750063E-3</v>
      </c>
      <c r="AL36" s="25">
        <f>VLOOKUP($D36,Résultats!$B$2:$AZ$251,AL$2,FALSE)</f>
        <v>6.3570792200000001E-4</v>
      </c>
      <c r="AM36" s="102">
        <f>VLOOKUP($D36,Résultats!$B$2:$AZ$251,AM$2,FALSE)</f>
        <v>3.21777321E-4</v>
      </c>
    </row>
    <row r="37" spans="2:39" x14ac:dyDescent="0.25">
      <c r="C37" s="218" t="s">
        <v>28</v>
      </c>
      <c r="D37" s="3" t="s">
        <v>152</v>
      </c>
      <c r="E37" s="25">
        <f>VLOOKUP($D37,Résultats!$B$2:$AZ$251,E$2,FALSE)</f>
        <v>427.14</v>
      </c>
      <c r="F37" s="25">
        <f>VLOOKUP($D37,Résultats!$B$2:$AZ$251,F$2,FALSE)</f>
        <v>363.77658400000001</v>
      </c>
      <c r="G37" s="25">
        <f>VLOOKUP($D37,Résultats!$B$2:$AZ$251,G$2,FALSE)</f>
        <v>405.26711999999998</v>
      </c>
      <c r="H37" s="25">
        <f>VLOOKUP($D37,Résultats!$B$2:$AZ$251,H$2,FALSE)</f>
        <v>409.86653990000002</v>
      </c>
      <c r="I37" s="25">
        <f>VLOOKUP($D37,Résultats!$B$2:$AZ$251,I$2,FALSE)</f>
        <v>414.3834483</v>
      </c>
      <c r="J37" s="25">
        <f>VLOOKUP($D37,Résultats!$B$2:$AZ$251,J$2,FALSE)</f>
        <v>378.34798469999998</v>
      </c>
      <c r="K37" s="25">
        <f>VLOOKUP($D37,Résultats!$B$2:$AZ$251,K$2,FALSE)</f>
        <v>408.7188438</v>
      </c>
      <c r="L37" s="25">
        <f>VLOOKUP($D37,Résultats!$B$2:$AZ$251,L$2,FALSE)</f>
        <v>423.60754509999998</v>
      </c>
      <c r="M37" s="25">
        <f>VLOOKUP($D37,Résultats!$B$2:$AZ$251,M$2,FALSE)</f>
        <v>388.9557729</v>
      </c>
      <c r="N37" s="25">
        <f>VLOOKUP($D37,Résultats!$B$2:$AZ$251,N$2,FALSE)</f>
        <v>361.55323349999998</v>
      </c>
      <c r="O37" s="25">
        <f>VLOOKUP($D37,Résultats!$B$2:$AZ$251,O$2,FALSE)</f>
        <v>326.85788500000001</v>
      </c>
      <c r="P37" s="25">
        <f>VLOOKUP($D37,Résultats!$B$2:$AZ$251,P$2,FALSE)</f>
        <v>284.69304820000002</v>
      </c>
      <c r="Q37" s="25">
        <f>VLOOKUP($D37,Résultats!$B$2:$AZ$251,Q$2,FALSE)</f>
        <v>240.03376420000001</v>
      </c>
      <c r="R37" s="25">
        <f>VLOOKUP($D37,Résultats!$B$2:$AZ$251,R$2,FALSE)</f>
        <v>192.7248036</v>
      </c>
      <c r="S37" s="25">
        <f>VLOOKUP($D37,Résultats!$B$2:$AZ$251,S$2,FALSE)</f>
        <v>138.26146249999999</v>
      </c>
      <c r="T37" s="25">
        <f>VLOOKUP($D37,Résultats!$B$2:$AZ$251,T$2,FALSE)</f>
        <v>98.775129340000007</v>
      </c>
      <c r="U37" s="25">
        <f>VLOOKUP($D37,Résultats!$B$2:$AZ$251,U$2,FALSE)</f>
        <v>63.366399270000002</v>
      </c>
      <c r="V37" s="25">
        <f>VLOOKUP($D37,Résultats!$B$2:$AZ$251,V$2,FALSE)</f>
        <v>36.837850889999999</v>
      </c>
      <c r="W37" s="25">
        <f>VLOOKUP($D37,Résultats!$B$2:$AZ$251,W$2,FALSE)</f>
        <v>20.15322093</v>
      </c>
      <c r="X37" s="25">
        <f>VLOOKUP($D37,Résultats!$B$2:$AZ$251,X$2,FALSE)</f>
        <v>10.613249659999999</v>
      </c>
      <c r="Y37" s="25">
        <f>VLOOKUP($D37,Résultats!$B$2:$AZ$251,Y$2,FALSE)</f>
        <v>5.5386996899999996</v>
      </c>
      <c r="Z37" s="25">
        <f>VLOOKUP($D37,Résultats!$B$2:$AZ$251,Z$2,FALSE)</f>
        <v>2.8284227309999999</v>
      </c>
      <c r="AA37" s="25">
        <f>VLOOKUP($D37,Résultats!$B$2:$AZ$251,AA$2,FALSE)</f>
        <v>1.4277988960000001</v>
      </c>
      <c r="AB37" s="25">
        <f>VLOOKUP($D37,Résultats!$B$2:$AZ$251,AB$2,FALSE)</f>
        <v>0.71914755080000003</v>
      </c>
      <c r="AC37" s="25">
        <f>VLOOKUP($D37,Résultats!$B$2:$AZ$251,AC$2,FALSE)</f>
        <v>0.36142719620000002</v>
      </c>
      <c r="AD37" s="25">
        <f>VLOOKUP($D37,Résultats!$B$2:$AZ$251,AD$2,FALSE)</f>
        <v>0.18013396409999999</v>
      </c>
      <c r="AE37" s="25">
        <f>VLOOKUP($D37,Résultats!$B$2:$AZ$251,AE$2,FALSE)</f>
        <v>8.9896367199999896E-2</v>
      </c>
      <c r="AF37" s="25">
        <f>VLOOKUP($D37,Résultats!$B$2:$AZ$251,AF$2,FALSE)</f>
        <v>4.5019500400000002E-2</v>
      </c>
      <c r="AG37" s="25">
        <f>VLOOKUP($D37,Résultats!$B$2:$AZ$251,AG$2,FALSE)</f>
        <v>2.24542366E-2</v>
      </c>
      <c r="AH37" s="25">
        <f>VLOOKUP($D37,Résultats!$B$2:$AZ$251,AH$2,FALSE)</f>
        <v>1.1681361100000001E-2</v>
      </c>
      <c r="AI37" s="25">
        <f>VLOOKUP($D37,Résultats!$B$2:$AZ$251,AI$2,FALSE)</f>
        <v>5.8390279E-3</v>
      </c>
      <c r="AJ37" s="25">
        <f>VLOOKUP($D37,Résultats!$B$2:$AZ$251,AJ$2,FALSE)</f>
        <v>2.9152050200000001E-3</v>
      </c>
      <c r="AK37" s="25">
        <f>VLOOKUP($D37,Résultats!$B$2:$AZ$251,AK$2,FALSE)</f>
        <v>1.45219377E-3</v>
      </c>
      <c r="AL37" s="25">
        <f>VLOOKUP($D37,Résultats!$B$2:$AZ$251,AL$2,FALSE)</f>
        <v>7.2040175399999999E-4</v>
      </c>
      <c r="AM37" s="102">
        <f>VLOOKUP($D37,Résultats!$B$2:$AZ$251,AM$2,FALSE)</f>
        <v>3.5177317699999999E-4</v>
      </c>
    </row>
    <row r="38" spans="2:39" x14ac:dyDescent="0.25">
      <c r="C38" s="218" t="s">
        <v>29</v>
      </c>
      <c r="D38" s="3" t="s">
        <v>153</v>
      </c>
      <c r="E38" s="25">
        <f>VLOOKUP($D38,Résultats!$B$2:$AZ$251,E$2,FALSE)</f>
        <v>673.93200000000002</v>
      </c>
      <c r="F38" s="25">
        <f>VLOOKUP($D38,Résultats!$B$2:$AZ$251,F$2,FALSE)</f>
        <v>551.88772059999997</v>
      </c>
      <c r="G38" s="25">
        <f>VLOOKUP($D38,Résultats!$B$2:$AZ$251,G$2,FALSE)</f>
        <v>614.24668329999997</v>
      </c>
      <c r="H38" s="25">
        <f>VLOOKUP($D38,Résultats!$B$2:$AZ$251,H$2,FALSE)</f>
        <v>619.2146113</v>
      </c>
      <c r="I38" s="25">
        <f>VLOOKUP($D38,Résultats!$B$2:$AZ$251,I$2,FALSE)</f>
        <v>610.06015230000003</v>
      </c>
      <c r="J38" s="25">
        <f>VLOOKUP($D38,Résultats!$B$2:$AZ$251,J$2,FALSE)</f>
        <v>563.08664680000004</v>
      </c>
      <c r="K38" s="25">
        <f>VLOOKUP($D38,Résultats!$B$2:$AZ$251,K$2,FALSE)</f>
        <v>587.04518389999998</v>
      </c>
      <c r="L38" s="25">
        <f>VLOOKUP($D38,Résultats!$B$2:$AZ$251,L$2,FALSE)</f>
        <v>598.01096199999995</v>
      </c>
      <c r="M38" s="25">
        <f>VLOOKUP($D38,Résultats!$B$2:$AZ$251,M$2,FALSE)</f>
        <v>545.0438924</v>
      </c>
      <c r="N38" s="25">
        <f>VLOOKUP($D38,Résultats!$B$2:$AZ$251,N$2,FALSE)</f>
        <v>503.7471357</v>
      </c>
      <c r="O38" s="25">
        <f>VLOOKUP($D38,Résultats!$B$2:$AZ$251,O$2,FALSE)</f>
        <v>452.73301750000002</v>
      </c>
      <c r="P38" s="25">
        <f>VLOOKUP($D38,Résultats!$B$2:$AZ$251,P$2,FALSE)</f>
        <v>391.38581090000002</v>
      </c>
      <c r="Q38" s="25">
        <f>VLOOKUP($D38,Résultats!$B$2:$AZ$251,Q$2,FALSE)</f>
        <v>328.06850470000001</v>
      </c>
      <c r="R38" s="25">
        <f>VLOOKUP($D38,Résultats!$B$2:$AZ$251,R$2,FALSE)</f>
        <v>261.80121129999998</v>
      </c>
      <c r="S38" s="25">
        <f>VLOOKUP($D38,Résultats!$B$2:$AZ$251,S$2,FALSE)</f>
        <v>186.45452470000001</v>
      </c>
      <c r="T38" s="25">
        <f>VLOOKUP($D38,Résultats!$B$2:$AZ$251,T$2,FALSE)</f>
        <v>132.33945410000001</v>
      </c>
      <c r="U38" s="25">
        <f>VLOOKUP($D38,Résultats!$B$2:$AZ$251,U$2,FALSE)</f>
        <v>84.277174209999998</v>
      </c>
      <c r="V38" s="25">
        <f>VLOOKUP($D38,Résultats!$B$2:$AZ$251,V$2,FALSE)</f>
        <v>48.622245839999998</v>
      </c>
      <c r="W38" s="25">
        <f>VLOOKUP($D38,Résultats!$B$2:$AZ$251,W$2,FALSE)</f>
        <v>26.41199301</v>
      </c>
      <c r="X38" s="25">
        <f>VLOOKUP($D38,Résultats!$B$2:$AZ$251,X$2,FALSE)</f>
        <v>13.789982869999999</v>
      </c>
      <c r="Y38" s="25">
        <f>VLOOKUP($D38,Résultats!$B$2:$AZ$251,Y$2,FALSE)</f>
        <v>7.1385772579999998</v>
      </c>
      <c r="Z38" s="25">
        <f>VLOOKUP($D38,Résultats!$B$2:$AZ$251,Z$2,FALSE)</f>
        <v>3.6163329000000002</v>
      </c>
      <c r="AA38" s="25">
        <f>VLOOKUP($D38,Résultats!$B$2:$AZ$251,AA$2,FALSE)</f>
        <v>1.810038778</v>
      </c>
      <c r="AB38" s="25">
        <f>VLOOKUP($D38,Résultats!$B$2:$AZ$251,AB$2,FALSE)</f>
        <v>0.90416942560000002</v>
      </c>
      <c r="AC38" s="25">
        <f>VLOOKUP($D38,Résultats!$B$2:$AZ$251,AC$2,FALSE)</f>
        <v>0.45076847050000002</v>
      </c>
      <c r="AD38" s="25">
        <f>VLOOKUP($D38,Résultats!$B$2:$AZ$251,AD$2,FALSE)</f>
        <v>0.2230570214</v>
      </c>
      <c r="AE38" s="25">
        <f>VLOOKUP($D38,Résultats!$B$2:$AZ$251,AE$2,FALSE)</f>
        <v>0.1105089419</v>
      </c>
      <c r="AF38" s="25">
        <f>VLOOKUP($D38,Résultats!$B$2:$AZ$251,AF$2,FALSE)</f>
        <v>5.4956346900000001E-2</v>
      </c>
      <c r="AG38" s="25">
        <f>VLOOKUP($D38,Résultats!$B$2:$AZ$251,AG$2,FALSE)</f>
        <v>2.7219825900000001E-2</v>
      </c>
      <c r="AH38" s="25">
        <f>VLOOKUP($D38,Résultats!$B$2:$AZ$251,AH$2,FALSE)</f>
        <v>1.38079177E-2</v>
      </c>
      <c r="AI38" s="25">
        <f>VLOOKUP($D38,Résultats!$B$2:$AZ$251,AI$2,FALSE)</f>
        <v>6.8504004900000002E-3</v>
      </c>
      <c r="AJ38" s="25">
        <f>VLOOKUP($D38,Résultats!$B$2:$AZ$251,AJ$2,FALSE)</f>
        <v>3.3937871699999999E-3</v>
      </c>
      <c r="AK38" s="25">
        <f>VLOOKUP($D38,Résultats!$B$2:$AZ$251,AK$2,FALSE)</f>
        <v>1.6780562600000001E-3</v>
      </c>
      <c r="AL38" s="25">
        <f>VLOOKUP($D38,Résultats!$B$2:$AZ$251,AL$2,FALSE)</f>
        <v>8.2622586799999999E-4</v>
      </c>
      <c r="AM38" s="102">
        <f>VLOOKUP($D38,Résultats!$B$2:$AZ$251,AM$2,FALSE)</f>
        <v>4.00312231E-4</v>
      </c>
    </row>
    <row r="39" spans="2:39" x14ac:dyDescent="0.25">
      <c r="C39" s="218" t="s">
        <v>30</v>
      </c>
      <c r="D39" s="3" t="s">
        <v>154</v>
      </c>
      <c r="E39" s="25">
        <f>VLOOKUP($D39,Résultats!$B$2:$AZ$251,E$2,FALSE)</f>
        <v>664.44</v>
      </c>
      <c r="F39" s="25">
        <f>VLOOKUP($D39,Résultats!$B$2:$AZ$251,F$2,FALSE)</f>
        <v>529.53791790000002</v>
      </c>
      <c r="G39" s="25">
        <f>VLOOKUP($D39,Résultats!$B$2:$AZ$251,G$2,FALSE)</f>
        <v>586.28110979999997</v>
      </c>
      <c r="H39" s="25">
        <f>VLOOKUP($D39,Résultats!$B$2:$AZ$251,H$2,FALSE)</f>
        <v>592.65567350000003</v>
      </c>
      <c r="I39" s="25">
        <f>VLOOKUP($D39,Résultats!$B$2:$AZ$251,I$2,FALSE)</f>
        <v>571.22117179999998</v>
      </c>
      <c r="J39" s="25">
        <f>VLOOKUP($D39,Résultats!$B$2:$AZ$251,J$2,FALSE)</f>
        <v>540.85889369999995</v>
      </c>
      <c r="K39" s="25">
        <f>VLOOKUP($D39,Résultats!$B$2:$AZ$251,K$2,FALSE)</f>
        <v>553.73503749999998</v>
      </c>
      <c r="L39" s="25">
        <f>VLOOKUP($D39,Résultats!$B$2:$AZ$251,L$2,FALSE)</f>
        <v>559.17367920000004</v>
      </c>
      <c r="M39" s="25">
        <f>VLOOKUP($D39,Résultats!$B$2:$AZ$251,M$2,FALSE)</f>
        <v>507.68203790000001</v>
      </c>
      <c r="N39" s="25">
        <f>VLOOKUP($D39,Résultats!$B$2:$AZ$251,N$2,FALSE)</f>
        <v>467.7906347</v>
      </c>
      <c r="O39" s="25">
        <f>VLOOKUP($D39,Résultats!$B$2:$AZ$251,O$2,FALSE)</f>
        <v>419.07026990000003</v>
      </c>
      <c r="P39" s="25">
        <f>VLOOKUP($D39,Résultats!$B$2:$AZ$251,P$2,FALSE)</f>
        <v>360.72916550000002</v>
      </c>
      <c r="Q39" s="25">
        <f>VLOOKUP($D39,Résultats!$B$2:$AZ$251,Q$2,FALSE)</f>
        <v>301.39364219999999</v>
      </c>
      <c r="R39" s="25">
        <f>VLOOKUP($D39,Résultats!$B$2:$AZ$251,R$2,FALSE)</f>
        <v>239.7064848</v>
      </c>
      <c r="S39" s="25">
        <f>VLOOKUP($D39,Résultats!$B$2:$AZ$251,S$2,FALSE)</f>
        <v>170.0238694</v>
      </c>
      <c r="T39" s="25">
        <f>VLOOKUP($D39,Résultats!$B$2:$AZ$251,T$2,FALSE)</f>
        <v>120.217867</v>
      </c>
      <c r="U39" s="25">
        <f>VLOOKUP($D39,Résultats!$B$2:$AZ$251,U$2,FALSE)</f>
        <v>76.233178319999894</v>
      </c>
      <c r="V39" s="25">
        <f>VLOOKUP($D39,Résultats!$B$2:$AZ$251,V$2,FALSE)</f>
        <v>43.786683420000003</v>
      </c>
      <c r="W39" s="25">
        <f>VLOOKUP($D39,Résultats!$B$2:$AZ$251,W$2,FALSE)</f>
        <v>23.685528139999999</v>
      </c>
      <c r="X39" s="25">
        <f>VLOOKUP($D39,Résultats!$B$2:$AZ$251,X$2,FALSE)</f>
        <v>12.304321119999999</v>
      </c>
      <c r="Y39" s="25">
        <f>VLOOKUP($D39,Résultats!$B$2:$AZ$251,Y$2,FALSE)</f>
        <v>6.3390616770000001</v>
      </c>
      <c r="Z39" s="25">
        <f>VLOOKUP($D39,Résultats!$B$2:$AZ$251,Z$2,FALSE)</f>
        <v>3.1960660249999999</v>
      </c>
      <c r="AA39" s="25">
        <f>VLOOKUP($D39,Résultats!$B$2:$AZ$251,AA$2,FALSE)</f>
        <v>1.591703858</v>
      </c>
      <c r="AB39" s="25">
        <f>VLOOKUP($D39,Résultats!$B$2:$AZ$251,AB$2,FALSE)</f>
        <v>0.79128334040000003</v>
      </c>
      <c r="AC39" s="25">
        <f>VLOOKUP($D39,Résultats!$B$2:$AZ$251,AC$2,FALSE)</f>
        <v>0.39264447070000003</v>
      </c>
      <c r="AD39" s="25">
        <f>VLOOKUP($D39,Résultats!$B$2:$AZ$251,AD$2,FALSE)</f>
        <v>0.1934760968</v>
      </c>
      <c r="AE39" s="25">
        <f>VLOOKUP($D39,Résultats!$B$2:$AZ$251,AE$2,FALSE)</f>
        <v>9.5446678199999996E-2</v>
      </c>
      <c r="AF39" s="25">
        <f>VLOOKUP($D39,Résultats!$B$2:$AZ$251,AF$2,FALSE)</f>
        <v>4.7273977100000003E-2</v>
      </c>
      <c r="AG39" s="25">
        <f>VLOOKUP($D39,Résultats!$B$2:$AZ$251,AG$2,FALSE)</f>
        <v>2.3321020800000002E-2</v>
      </c>
      <c r="AH39" s="25">
        <f>VLOOKUP($D39,Résultats!$B$2:$AZ$251,AH$2,FALSE)</f>
        <v>1.16755921E-2</v>
      </c>
      <c r="AI39" s="25">
        <f>VLOOKUP($D39,Résultats!$B$2:$AZ$251,AI$2,FALSE)</f>
        <v>5.7690000299999997E-3</v>
      </c>
      <c r="AJ39" s="25">
        <f>VLOOKUP($D39,Résultats!$B$2:$AZ$251,AJ$2,FALSE)</f>
        <v>2.846286E-3</v>
      </c>
      <c r="AK39" s="25">
        <f>VLOOKUP($D39,Résultats!$B$2:$AZ$251,AK$2,FALSE)</f>
        <v>1.4018543300000001E-3</v>
      </c>
      <c r="AL39" s="25">
        <f>VLOOKUP($D39,Résultats!$B$2:$AZ$251,AL$2,FALSE)</f>
        <v>6.8757119899999996E-4</v>
      </c>
      <c r="AM39" s="102">
        <f>VLOOKUP($D39,Résultats!$B$2:$AZ$251,AM$2,FALSE)</f>
        <v>3.31833601E-4</v>
      </c>
    </row>
    <row r="40" spans="2:39" x14ac:dyDescent="0.25">
      <c r="C40" s="218" t="s">
        <v>31</v>
      </c>
      <c r="D40" s="3" t="s">
        <v>155</v>
      </c>
      <c r="E40" s="25">
        <f>VLOOKUP($D40,Résultats!$B$2:$AZ$251,E$2,FALSE)</f>
        <v>427.14</v>
      </c>
      <c r="F40" s="25">
        <f>VLOOKUP($D40,Résultats!$B$2:$AZ$251,F$2,FALSE)</f>
        <v>321.81793770000002</v>
      </c>
      <c r="G40" s="25">
        <f>VLOOKUP($D40,Résultats!$B$2:$AZ$251,G$2,FALSE)</f>
        <v>349.0847339</v>
      </c>
      <c r="H40" s="25">
        <f>VLOOKUP($D40,Résultats!$B$2:$AZ$251,H$2,FALSE)</f>
        <v>346.29493189999999</v>
      </c>
      <c r="I40" s="25">
        <f>VLOOKUP($D40,Résultats!$B$2:$AZ$251,I$2,FALSE)</f>
        <v>314.30550260000001</v>
      </c>
      <c r="J40" s="25">
        <f>VLOOKUP($D40,Résultats!$B$2:$AZ$251,J$2,FALSE)</f>
        <v>311.8409709</v>
      </c>
      <c r="K40" s="25">
        <f>VLOOKUP($D40,Résultats!$B$2:$AZ$251,K$2,FALSE)</f>
        <v>291.95890910000003</v>
      </c>
      <c r="L40" s="25">
        <f>VLOOKUP($D40,Résultats!$B$2:$AZ$251,L$2,FALSE)</f>
        <v>286.7172759</v>
      </c>
      <c r="M40" s="25">
        <f>VLOOKUP($D40,Résultats!$B$2:$AZ$251,M$2,FALSE)</f>
        <v>257.22958949999997</v>
      </c>
      <c r="N40" s="25">
        <f>VLOOKUP($D40,Résultats!$B$2:$AZ$251,N$2,FALSE)</f>
        <v>234.8450181</v>
      </c>
      <c r="O40" s="25">
        <f>VLOOKUP($D40,Résultats!$B$2:$AZ$251,O$2,FALSE)</f>
        <v>208.4090721</v>
      </c>
      <c r="P40" s="25">
        <f>VLOOKUP($D40,Résultats!$B$2:$AZ$251,P$2,FALSE)</f>
        <v>177.24892679999999</v>
      </c>
      <c r="Q40" s="25">
        <f>VLOOKUP($D40,Résultats!$B$2:$AZ$251,Q$2,FALSE)</f>
        <v>146.73878909999999</v>
      </c>
      <c r="R40" s="25">
        <f>VLOOKUP($D40,Résultats!$B$2:$AZ$251,R$2,FALSE)</f>
        <v>115.6023029</v>
      </c>
      <c r="S40" s="25">
        <f>VLOOKUP($D40,Résultats!$B$2:$AZ$251,S$2,FALSE)</f>
        <v>81.08603531</v>
      </c>
      <c r="T40" s="25">
        <f>VLOOKUP($D40,Résultats!$B$2:$AZ$251,T$2,FALSE)</f>
        <v>56.76761724</v>
      </c>
      <c r="U40" s="25">
        <f>VLOOKUP($D40,Résultats!$B$2:$AZ$251,U$2,FALSE)</f>
        <v>35.607199860000001</v>
      </c>
      <c r="V40" s="25">
        <f>VLOOKUP($D40,Résultats!$B$2:$AZ$251,V$2,FALSE)</f>
        <v>20.227358550000002</v>
      </c>
      <c r="W40" s="25">
        <f>VLOOKUP($D40,Résultats!$B$2:$AZ$251,W$2,FALSE)</f>
        <v>10.832368900000001</v>
      </c>
      <c r="X40" s="25">
        <f>VLOOKUP($D40,Résultats!$B$2:$AZ$251,X$2,FALSE)</f>
        <v>5.5616553270000004</v>
      </c>
      <c r="Y40" s="25">
        <f>VLOOKUP($D40,Résultats!$B$2:$AZ$251,Y$2,FALSE)</f>
        <v>2.8351419920000001</v>
      </c>
      <c r="Z40" s="25">
        <f>VLOOKUP($D40,Résultats!$B$2:$AZ$251,Z$2,FALSE)</f>
        <v>1.4151850189999999</v>
      </c>
      <c r="AA40" s="25">
        <f>VLOOKUP($D40,Résultats!$B$2:$AZ$251,AA$2,FALSE)</f>
        <v>0.69770476459999997</v>
      </c>
      <c r="AB40" s="25">
        <f>VLOOKUP($D40,Résultats!$B$2:$AZ$251,AB$2,FALSE)</f>
        <v>0.34366729299999998</v>
      </c>
      <c r="AC40" s="25">
        <f>VLOOKUP($D40,Résultats!$B$2:$AZ$251,AC$2,FALSE)</f>
        <v>0.1691036524</v>
      </c>
      <c r="AD40" s="25">
        <f>VLOOKUP($D40,Résultats!$B$2:$AZ$251,AD$2,FALSE)</f>
        <v>8.2748588900000003E-2</v>
      </c>
      <c r="AE40" s="25">
        <f>VLOOKUP($D40,Résultats!$B$2:$AZ$251,AE$2,FALSE)</f>
        <v>4.0555656500000002E-2</v>
      </c>
      <c r="AF40" s="25">
        <f>VLOOKUP($D40,Résultats!$B$2:$AZ$251,AF$2,FALSE)</f>
        <v>1.99714777E-2</v>
      </c>
      <c r="AG40" s="25">
        <f>VLOOKUP($D40,Résultats!$B$2:$AZ$251,AG$2,FALSE)</f>
        <v>9.8010208400000007E-3</v>
      </c>
      <c r="AH40" s="25">
        <f>VLOOKUP($D40,Résultats!$B$2:$AZ$251,AH$2,FALSE)</f>
        <v>4.8301283799999997E-3</v>
      </c>
      <c r="AI40" s="25">
        <f>VLOOKUP($D40,Résultats!$B$2:$AZ$251,AI$2,FALSE)</f>
        <v>2.37935578E-3</v>
      </c>
      <c r="AJ40" s="25">
        <f>VLOOKUP($D40,Résultats!$B$2:$AZ$251,AJ$2,FALSE)</f>
        <v>1.1710926899999999E-3</v>
      </c>
      <c r="AK40" s="25">
        <f>VLOOKUP($D40,Résultats!$B$2:$AZ$251,AK$2,FALSE)</f>
        <v>5.75887724E-4</v>
      </c>
      <c r="AL40" s="25">
        <f>VLOOKUP($D40,Résultats!$B$2:$AZ$251,AL$2,FALSE)</f>
        <v>2.8222981799999998E-4</v>
      </c>
      <c r="AM40" s="102">
        <f>VLOOKUP($D40,Résultats!$B$2:$AZ$251,AM$2,FALSE)</f>
        <v>1.36201989E-4</v>
      </c>
    </row>
    <row r="41" spans="2:39" x14ac:dyDescent="0.25">
      <c r="C41" s="218" t="s">
        <v>32</v>
      </c>
      <c r="D41" s="3" t="s">
        <v>156</v>
      </c>
      <c r="E41" s="25">
        <f>VLOOKUP($D41,Résultats!$B$2:$AZ$251,E$2,FALSE)</f>
        <v>142.38</v>
      </c>
      <c r="F41" s="25">
        <f>VLOOKUP($D41,Résultats!$B$2:$AZ$251,F$2,FALSE)</f>
        <v>86.91730561</v>
      </c>
      <c r="G41" s="25">
        <f>VLOOKUP($D41,Résultats!$B$2:$AZ$251,G$2,FALSE)</f>
        <v>99.375444659999999</v>
      </c>
      <c r="H41" s="25">
        <f>VLOOKUP($D41,Résultats!$B$2:$AZ$251,H$2,FALSE)</f>
        <v>95.673739060000003</v>
      </c>
      <c r="I41" s="25">
        <f>VLOOKUP($D41,Résultats!$B$2:$AZ$251,I$2,FALSE)</f>
        <v>77.339917529999994</v>
      </c>
      <c r="J41" s="25">
        <f>VLOOKUP($D41,Résultats!$B$2:$AZ$251,J$2,FALSE)</f>
        <v>52.36203502</v>
      </c>
      <c r="K41" s="25">
        <f>VLOOKUP($D41,Résultats!$B$2:$AZ$251,K$2,FALSE)</f>
        <v>38.11276076</v>
      </c>
      <c r="L41" s="25">
        <f>VLOOKUP($D41,Résultats!$B$2:$AZ$251,L$2,FALSE)</f>
        <v>33.132353010000003</v>
      </c>
      <c r="M41" s="25">
        <f>VLOOKUP($D41,Résultats!$B$2:$AZ$251,M$2,FALSE)</f>
        <v>28.18795501</v>
      </c>
      <c r="N41" s="25">
        <f>VLOOKUP($D41,Résultats!$B$2:$AZ$251,N$2,FALSE)</f>
        <v>24.69083547</v>
      </c>
      <c r="O41" s="25">
        <f>VLOOKUP($D41,Résultats!$B$2:$AZ$251,O$2,FALSE)</f>
        <v>20.990436420000002</v>
      </c>
      <c r="P41" s="25">
        <f>VLOOKUP($D41,Résultats!$B$2:$AZ$251,P$2,FALSE)</f>
        <v>16.884029049999999</v>
      </c>
      <c r="Q41" s="25">
        <f>VLOOKUP($D41,Résultats!$B$2:$AZ$251,Q$2,FALSE)</f>
        <v>13.393859450000001</v>
      </c>
      <c r="R41" s="25">
        <f>VLOOKUP($D41,Résultats!$B$2:$AZ$251,R$2,FALSE)</f>
        <v>10.09486008</v>
      </c>
      <c r="S41" s="25">
        <f>VLOOKUP($D41,Résultats!$B$2:$AZ$251,S$2,FALSE)</f>
        <v>6.7178293379999996</v>
      </c>
      <c r="T41" s="25">
        <f>VLOOKUP($D41,Résultats!$B$2:$AZ$251,T$2,FALSE)</f>
        <v>4.4845455400000001</v>
      </c>
      <c r="U41" s="25">
        <f>VLOOKUP($D41,Résultats!$B$2:$AZ$251,U$2,FALSE)</f>
        <v>2.669009172</v>
      </c>
      <c r="V41" s="25">
        <f>VLOOKUP($D41,Résultats!$B$2:$AZ$251,V$2,FALSE)</f>
        <v>1.4371115189999999</v>
      </c>
      <c r="W41" s="25">
        <f>VLOOKUP($D41,Résultats!$B$2:$AZ$251,W$2,FALSE)</f>
        <v>0.73268801419999996</v>
      </c>
      <c r="X41" s="25">
        <f>VLOOKUP($D41,Résultats!$B$2:$AZ$251,X$2,FALSE)</f>
        <v>0.35520747740000003</v>
      </c>
      <c r="Y41" s="25">
        <f>VLOOKUP($D41,Résultats!$B$2:$AZ$251,Y$2,FALSE)</f>
        <v>0.171867036</v>
      </c>
      <c r="Z41" s="25">
        <f>VLOOKUP($D41,Résultats!$B$2:$AZ$251,Z$2,FALSE)</f>
        <v>8.1647673200000007E-2</v>
      </c>
      <c r="AA41" s="25">
        <f>VLOOKUP($D41,Résultats!$B$2:$AZ$251,AA$2,FALSE)</f>
        <v>3.8311964300000001E-2</v>
      </c>
      <c r="AB41" s="25">
        <f>VLOOKUP($D41,Résultats!$B$2:$AZ$251,AB$2,FALSE)</f>
        <v>1.8046256900000002E-2</v>
      </c>
      <c r="AC41" s="25">
        <f>VLOOKUP($D41,Résultats!$B$2:$AZ$251,AC$2,FALSE)</f>
        <v>8.5271778499999996E-3</v>
      </c>
      <c r="AD41" s="25">
        <f>VLOOKUP($D41,Résultats!$B$2:$AZ$251,AD$2,FALSE)</f>
        <v>4.0340970400000002E-3</v>
      </c>
      <c r="AE41" s="25">
        <f>VLOOKUP($D41,Résultats!$B$2:$AZ$251,AE$2,FALSE)</f>
        <v>1.91594452E-3</v>
      </c>
      <c r="AF41" s="25">
        <f>VLOOKUP($D41,Résultats!$B$2:$AZ$251,AF$2,FALSE)</f>
        <v>9.1797430299999999E-4</v>
      </c>
      <c r="AG41" s="25">
        <f>VLOOKUP($D41,Résultats!$B$2:$AZ$251,AG$2,FALSE)</f>
        <v>4.3950766799999999E-4</v>
      </c>
      <c r="AH41" s="25">
        <f>VLOOKUP($D41,Résultats!$B$2:$AZ$251,AH$2,FALSE)</f>
        <v>2.0323613899999999E-4</v>
      </c>
      <c r="AI41" s="25">
        <f>VLOOKUP($D41,Résultats!$B$2:$AZ$251,AI$2,FALSE)</f>
        <v>9.8696470199999994E-5</v>
      </c>
      <c r="AJ41" s="25">
        <f>VLOOKUP($D41,Résultats!$B$2:$AZ$251,AJ$2,FALSE)</f>
        <v>4.7996648600000001E-5</v>
      </c>
      <c r="AK41" s="25">
        <f>VLOOKUP($D41,Résultats!$B$2:$AZ$251,AK$2,FALSE)</f>
        <v>2.3386513599999999E-5</v>
      </c>
      <c r="AL41" s="25">
        <f>VLOOKUP($D41,Résultats!$B$2:$AZ$251,AL$2,FALSE)</f>
        <v>1.1380733199999999E-5</v>
      </c>
      <c r="AM41" s="102">
        <f>VLOOKUP($D41,Résultats!$B$2:$AZ$251,AM$2,FALSE)</f>
        <v>5.46400679E-6</v>
      </c>
    </row>
    <row r="42" spans="2:39" x14ac:dyDescent="0.25">
      <c r="C42" s="219" t="s">
        <v>33</v>
      </c>
      <c r="D42" s="7" t="s">
        <v>157</v>
      </c>
      <c r="E42" s="57">
        <f>VLOOKUP($D42,Résultats!$B$2:$AZ$251,E$2,FALSE)</f>
        <v>35.594999999999999</v>
      </c>
      <c r="F42" s="57">
        <f>VLOOKUP($D42,Résultats!$B$2:$AZ$251,F$2,FALSE)</f>
        <v>14.271615069999999</v>
      </c>
      <c r="G42" s="57">
        <f>VLOOKUP($D42,Résultats!$B$2:$AZ$251,G$2,FALSE)</f>
        <v>16.890014699999998</v>
      </c>
      <c r="H42" s="57">
        <f>VLOOKUP($D42,Résultats!$B$2:$AZ$251,H$2,FALSE)</f>
        <v>13.34412904</v>
      </c>
      <c r="I42" s="57">
        <f>VLOOKUP($D42,Résultats!$B$2:$AZ$251,I$2,FALSE)</f>
        <v>8.4071377129999902</v>
      </c>
      <c r="J42" s="57">
        <f>VLOOKUP($D42,Résultats!$B$2:$AZ$251,J$2,FALSE)</f>
        <v>2.2166501040000002</v>
      </c>
      <c r="K42" s="57">
        <f>VLOOKUP($D42,Résultats!$B$2:$AZ$251,K$2,FALSE)</f>
        <v>0</v>
      </c>
      <c r="L42" s="57">
        <f>VLOOKUP($D42,Résultats!$B$2:$AZ$251,L$2,FALSE)</f>
        <v>0</v>
      </c>
      <c r="M42" s="57">
        <f>VLOOKUP($D42,Résultats!$B$2:$AZ$251,M$2,FALSE)</f>
        <v>0</v>
      </c>
      <c r="N42" s="57">
        <f>VLOOKUP($D42,Résultats!$B$2:$AZ$251,N$2,FALSE)</f>
        <v>0</v>
      </c>
      <c r="O42" s="57">
        <f>VLOOKUP($D42,Résultats!$B$2:$AZ$251,O$2,FALSE)</f>
        <v>0</v>
      </c>
      <c r="P42" s="57">
        <f>VLOOKUP($D42,Résultats!$B$2:$AZ$251,P$2,FALSE)</f>
        <v>0</v>
      </c>
      <c r="Q42" s="57">
        <f>VLOOKUP($D42,Résultats!$B$2:$AZ$251,Q$2,FALSE)</f>
        <v>0</v>
      </c>
      <c r="R42" s="57">
        <f>VLOOKUP($D42,Résultats!$B$2:$AZ$251,R$2,FALSE)</f>
        <v>0</v>
      </c>
      <c r="S42" s="57">
        <f>VLOOKUP($D42,Résultats!$B$2:$AZ$251,S$2,FALSE)</f>
        <v>0</v>
      </c>
      <c r="T42" s="57">
        <f>VLOOKUP($D42,Résultats!$B$2:$AZ$251,T$2,FALSE)</f>
        <v>0</v>
      </c>
      <c r="U42" s="57">
        <f>VLOOKUP($D42,Résultats!$B$2:$AZ$251,U$2,FALSE)</f>
        <v>0</v>
      </c>
      <c r="V42" s="57">
        <f>VLOOKUP($D42,Résultats!$B$2:$AZ$251,V$2,FALSE)</f>
        <v>0</v>
      </c>
      <c r="W42" s="57">
        <f>VLOOKUP($D42,Résultats!$B$2:$AZ$251,W$2,FALSE)</f>
        <v>0</v>
      </c>
      <c r="X42" s="57">
        <f>VLOOKUP($D42,Résultats!$B$2:$AZ$251,X$2,FALSE)</f>
        <v>0</v>
      </c>
      <c r="Y42" s="57">
        <f>VLOOKUP($D42,Résultats!$B$2:$AZ$251,Y$2,FALSE)</f>
        <v>0</v>
      </c>
      <c r="Z42" s="57">
        <f>VLOOKUP($D42,Résultats!$B$2:$AZ$251,Z$2,FALSE)</f>
        <v>0</v>
      </c>
      <c r="AA42" s="57">
        <f>VLOOKUP($D42,Résultats!$B$2:$AZ$251,AA$2,FALSE)</f>
        <v>0</v>
      </c>
      <c r="AB42" s="57">
        <f>VLOOKUP($D42,Résultats!$B$2:$AZ$251,AB$2,FALSE)</f>
        <v>0</v>
      </c>
      <c r="AC42" s="57">
        <f>VLOOKUP($D42,Résultats!$B$2:$AZ$251,AC$2,FALSE)</f>
        <v>0</v>
      </c>
      <c r="AD42" s="57">
        <f>VLOOKUP($D42,Résultats!$B$2:$AZ$251,AD$2,FALSE)</f>
        <v>0</v>
      </c>
      <c r="AE42" s="57">
        <f>VLOOKUP($D42,Résultats!$B$2:$AZ$251,AE$2,FALSE)</f>
        <v>0</v>
      </c>
      <c r="AF42" s="57">
        <f>VLOOKUP($D42,Résultats!$B$2:$AZ$251,AF$2,FALSE)</f>
        <v>0</v>
      </c>
      <c r="AG42" s="57">
        <f>VLOOKUP($D42,Résultats!$B$2:$AZ$251,AG$2,FALSE)</f>
        <v>0</v>
      </c>
      <c r="AH42" s="57">
        <f>VLOOKUP($D42,Résultats!$B$2:$AZ$251,AH$2,FALSE)</f>
        <v>0</v>
      </c>
      <c r="AI42" s="57">
        <f>VLOOKUP($D42,Résultats!$B$2:$AZ$251,AI$2,FALSE)</f>
        <v>0</v>
      </c>
      <c r="AJ42" s="57">
        <f>VLOOKUP($D42,Résultats!$B$2:$AZ$251,AJ$2,FALSE)</f>
        <v>0</v>
      </c>
      <c r="AK42" s="57">
        <f>VLOOKUP($D42,Résultats!$B$2:$AZ$251,AK$2,FALSE)</f>
        <v>0</v>
      </c>
      <c r="AL42" s="57">
        <f>VLOOKUP($D42,Résultats!$B$2:$AZ$251,AL$2,FALSE)</f>
        <v>0</v>
      </c>
      <c r="AM42" s="215">
        <f>VLOOKUP($D42,Résultats!$B$2:$AZ$251,AM$2,FALSE)</f>
        <v>0</v>
      </c>
    </row>
    <row r="43" spans="2:39" x14ac:dyDescent="0.25">
      <c r="B43" s="229" t="s">
        <v>78</v>
      </c>
      <c r="C43" s="220" t="s">
        <v>463</v>
      </c>
      <c r="D43" s="58" t="s">
        <v>130</v>
      </c>
      <c r="E43" s="99">
        <f>VLOOKUP($D48,Résultats!$B$2:$AZ$212,E$2,FALSE)</f>
        <v>32001.800439999999</v>
      </c>
      <c r="F43" s="99">
        <f>VLOOKUP($D48,Résultats!$B$2:$AZ$212,F$2,FALSE)</f>
        <v>35911.307350000003</v>
      </c>
      <c r="G43" s="99">
        <f>VLOOKUP($D48,Résultats!$B$2:$AZ$212,G$2,FALSE)</f>
        <v>36708.886160000002</v>
      </c>
      <c r="H43" s="99">
        <f>VLOOKUP($D48,Résultats!$B$2:$AZ$212,H$2,FALSE)</f>
        <v>37113.743849999999</v>
      </c>
      <c r="I43" s="99">
        <f>VLOOKUP($D48,Résultats!$B$2:$AZ$212,I$2,FALSE)</f>
        <v>37468.13839</v>
      </c>
      <c r="J43" s="99">
        <f>VLOOKUP($D48,Résultats!$B$2:$AZ$212,J$2,FALSE)</f>
        <v>37674.700530000002</v>
      </c>
      <c r="K43" s="99">
        <f>VLOOKUP($D48,Résultats!$B$2:$AZ$212,K$2,FALSE)</f>
        <v>37776.063759999997</v>
      </c>
      <c r="L43" s="99">
        <f>VLOOKUP($D48,Résultats!$B$2:$AZ$212,L$2,FALSE)</f>
        <v>37847.518880000003</v>
      </c>
      <c r="M43" s="99">
        <f>VLOOKUP($D48,Résultats!$B$2:$AZ$212,M$2,FALSE)</f>
        <v>37774.379829999998</v>
      </c>
      <c r="N43" s="99">
        <f>VLOOKUP($D48,Résultats!$B$2:$AZ$212,N$2,FALSE)</f>
        <v>37610.316129999999</v>
      </c>
      <c r="O43" s="99">
        <f>VLOOKUP($D48,Résultats!$B$2:$AZ$212,O$2,FALSE)</f>
        <v>37339.257259999998</v>
      </c>
      <c r="P43" s="99">
        <f>VLOOKUP($D48,Résultats!$B$2:$AZ$212,P$2,FALSE)</f>
        <v>36974.615030000001</v>
      </c>
      <c r="Q43" s="99">
        <f>VLOOKUP($D48,Résultats!$B$2:$AZ$212,Q$2,FALSE)</f>
        <v>36581.806049999999</v>
      </c>
      <c r="R43" s="99">
        <f>VLOOKUP($D48,Résultats!$B$2:$AZ$212,R$2,FALSE)</f>
        <v>36184.51427</v>
      </c>
      <c r="S43" s="99">
        <f>VLOOKUP($D48,Résultats!$B$2:$AZ$212,S$2,FALSE)</f>
        <v>35719.150029999997</v>
      </c>
      <c r="T43" s="99">
        <f>VLOOKUP($D48,Résultats!$B$2:$AZ$212,T$2,FALSE)</f>
        <v>35337.12167</v>
      </c>
      <c r="U43" s="99">
        <f>VLOOKUP($D48,Résultats!$B$2:$AZ$212,U$2,FALSE)</f>
        <v>35001.497860000003</v>
      </c>
      <c r="V43" s="99">
        <f>VLOOKUP($D48,Résultats!$B$2:$AZ$212,V$2,FALSE)</f>
        <v>34674.842279999997</v>
      </c>
      <c r="W43" s="99">
        <f>VLOOKUP($D48,Résultats!$B$2:$AZ$212,W$2,FALSE)</f>
        <v>34356.46097</v>
      </c>
      <c r="X43" s="99">
        <f>VLOOKUP($D48,Résultats!$B$2:$AZ$212,X$2,FALSE)</f>
        <v>34046.939939999997</v>
      </c>
      <c r="Y43" s="99">
        <f>VLOOKUP($D48,Résultats!$B$2:$AZ$212,Y$2,FALSE)</f>
        <v>33772.83668</v>
      </c>
      <c r="Z43" s="99">
        <f>VLOOKUP($D48,Résultats!$B$2:$AZ$212,Z$2,FALSE)</f>
        <v>33516.610240000002</v>
      </c>
      <c r="AA43" s="99">
        <f>VLOOKUP($D48,Résultats!$B$2:$AZ$212,AA$2,FALSE)</f>
        <v>33268.125269999997</v>
      </c>
      <c r="AB43" s="99">
        <f>VLOOKUP($D48,Résultats!$B$2:$AZ$212,AB$2,FALSE)</f>
        <v>33029.700629999999</v>
      </c>
      <c r="AC43" s="99">
        <f>VLOOKUP($D48,Résultats!$B$2:$AZ$212,AC$2,FALSE)</f>
        <v>32800.690329999998</v>
      </c>
      <c r="AD43" s="99">
        <f>VLOOKUP($D48,Résultats!$B$2:$AZ$212,AD$2,FALSE)</f>
        <v>32577.11463</v>
      </c>
      <c r="AE43" s="99">
        <f>VLOOKUP($D48,Résultats!$B$2:$AZ$212,AE$2,FALSE)</f>
        <v>32362.155650000001</v>
      </c>
      <c r="AF43" s="99">
        <f>VLOOKUP($D48,Résultats!$B$2:$AZ$212,AF$2,FALSE)</f>
        <v>32162.529709999999</v>
      </c>
      <c r="AG43" s="99">
        <f>VLOOKUP($D48,Résultats!$B$2:$AZ$212,AG$2,FALSE)</f>
        <v>31970.599149999998</v>
      </c>
      <c r="AH43" s="99">
        <f>VLOOKUP($D48,Résultats!$B$2:$AZ$212,AH$2,FALSE)</f>
        <v>31717.337459999999</v>
      </c>
      <c r="AI43" s="99">
        <f>VLOOKUP($D48,Résultats!$B$2:$AZ$212,AI$2,FALSE)</f>
        <v>31481.696929999998</v>
      </c>
      <c r="AJ43" s="99">
        <f>VLOOKUP($D48,Résultats!$B$2:$AZ$212,AJ$2,FALSE)</f>
        <v>31260.945489999998</v>
      </c>
      <c r="AK43" s="99">
        <f>VLOOKUP($D48,Résultats!$B$2:$AZ$212,AK$2,FALSE)</f>
        <v>31050.790140000001</v>
      </c>
      <c r="AL43" s="99">
        <f>VLOOKUP($D48,Résultats!$B$2:$AZ$212,AL$2,FALSE)</f>
        <v>30843.645939999999</v>
      </c>
      <c r="AM43" s="104">
        <f>VLOOKUP($D48,Résultats!$B$2:$AZ$212,AM$2,FALSE)</f>
        <v>30611.075769999999</v>
      </c>
    </row>
    <row r="44" spans="2:39" x14ac:dyDescent="0.25">
      <c r="B44" s="230"/>
      <c r="C44" s="218" t="s">
        <v>8</v>
      </c>
      <c r="D44" s="54" t="s">
        <v>145</v>
      </c>
      <c r="E44" s="25">
        <f>VLOOKUP($D44,Résultats!$B$2:$AZ$212,E$2,FALSE)</f>
        <v>0</v>
      </c>
      <c r="F44" s="25">
        <f>VLOOKUP($D44,Résultats!$B$2:$AZ$212,F$2,FALSE)</f>
        <v>0</v>
      </c>
      <c r="G44" s="25">
        <f>VLOOKUP($D44,Résultats!$B$2:$AZ$212,G$2,FALSE)</f>
        <v>0</v>
      </c>
      <c r="H44" s="25">
        <f>VLOOKUP($D44,Résultats!$B$2:$AZ$212,H$2,FALSE)</f>
        <v>0</v>
      </c>
      <c r="I44" s="25">
        <f>VLOOKUP($D44,Résultats!$B$2:$AZ$212,I$2,FALSE)</f>
        <v>0</v>
      </c>
      <c r="J44" s="25">
        <f>VLOOKUP($D44,Résultats!$B$2:$AZ$212,J$2,FALSE)</f>
        <v>0</v>
      </c>
      <c r="K44" s="25">
        <f>VLOOKUP($D44,Résultats!$B$2:$AZ$212,K$2,FALSE)</f>
        <v>0</v>
      </c>
      <c r="L44" s="25">
        <f>VLOOKUP($D44,Résultats!$B$2:$AZ$212,L$2,FALSE)</f>
        <v>0</v>
      </c>
      <c r="M44" s="25">
        <f>VLOOKUP($D44,Résultats!$B$2:$AZ$212,M$2,FALSE)</f>
        <v>0</v>
      </c>
      <c r="N44" s="25">
        <f>VLOOKUP($D44,Résultats!$B$2:$AZ$212,N$2,FALSE)</f>
        <v>0</v>
      </c>
      <c r="O44" s="25">
        <f>VLOOKUP($D44,Résultats!$B$2:$AZ$212,O$2,FALSE)</f>
        <v>0</v>
      </c>
      <c r="P44" s="25">
        <f>VLOOKUP($D44,Résultats!$B$2:$AZ$212,P$2,FALSE)</f>
        <v>0</v>
      </c>
      <c r="Q44" s="25">
        <f>VLOOKUP($D44,Résultats!$B$2:$AZ$212,Q$2,FALSE)</f>
        <v>0</v>
      </c>
      <c r="R44" s="25">
        <f>VLOOKUP($D44,Résultats!$B$2:$AZ$212,R$2,FALSE)</f>
        <v>0</v>
      </c>
      <c r="S44" s="25">
        <f>VLOOKUP($D44,Résultats!$B$2:$AZ$212,S$2,FALSE)</f>
        <v>0</v>
      </c>
      <c r="T44" s="25">
        <f>VLOOKUP($D44,Résultats!$B$2:$AZ$212,T$2,FALSE)</f>
        <v>0</v>
      </c>
      <c r="U44" s="25">
        <f>VLOOKUP($D44,Résultats!$B$2:$AZ$212,U$2,FALSE)</f>
        <v>0</v>
      </c>
      <c r="V44" s="25">
        <f>VLOOKUP($D44,Résultats!$B$2:$AZ$212,V$2,FALSE)</f>
        <v>0</v>
      </c>
      <c r="W44" s="25">
        <f>VLOOKUP($D44,Résultats!$B$2:$AZ$212,W$2,FALSE)</f>
        <v>0</v>
      </c>
      <c r="X44" s="25">
        <f>VLOOKUP($D44,Résultats!$B$2:$AZ$212,X$2,FALSE)</f>
        <v>0</v>
      </c>
      <c r="Y44" s="25">
        <f>VLOOKUP($D44,Résultats!$B$2:$AZ$212,Y$2,FALSE)</f>
        <v>0</v>
      </c>
      <c r="Z44" s="25">
        <f>VLOOKUP($D44,Résultats!$B$2:$AZ$212,Z$2,FALSE)</f>
        <v>0</v>
      </c>
      <c r="AA44" s="25">
        <f>VLOOKUP($D44,Résultats!$B$2:$AZ$212,AA$2,FALSE)</f>
        <v>0</v>
      </c>
      <c r="AB44" s="25">
        <f>VLOOKUP($D44,Résultats!$B$2:$AZ$212,AB$2,FALSE)</f>
        <v>0</v>
      </c>
      <c r="AC44" s="25">
        <f>VLOOKUP($D44,Résultats!$B$2:$AZ$212,AC$2,FALSE)</f>
        <v>0</v>
      </c>
      <c r="AD44" s="25">
        <f>VLOOKUP($D44,Résultats!$B$2:$AZ$212,AD$2,FALSE)</f>
        <v>0</v>
      </c>
      <c r="AE44" s="25">
        <f>VLOOKUP($D44,Résultats!$B$2:$AZ$212,AE$2,FALSE)</f>
        <v>0</v>
      </c>
      <c r="AF44" s="25">
        <f>VLOOKUP($D44,Résultats!$B$2:$AZ$212,AF$2,FALSE)</f>
        <v>0</v>
      </c>
      <c r="AG44" s="25">
        <f>VLOOKUP($D44,Résultats!$B$2:$AZ$212,AG$2,FALSE)</f>
        <v>0</v>
      </c>
      <c r="AH44" s="25">
        <f>VLOOKUP($D44,Résultats!$B$2:$AZ$212,AH$2,FALSE)</f>
        <v>0</v>
      </c>
      <c r="AI44" s="25">
        <f>VLOOKUP($D44,Résultats!$B$2:$AZ$212,AI$2,FALSE)</f>
        <v>0</v>
      </c>
      <c r="AJ44" s="25">
        <f>VLOOKUP($D44,Résultats!$B$2:$AZ$212,AJ$2,FALSE)</f>
        <v>0</v>
      </c>
      <c r="AK44" s="25">
        <f>VLOOKUP($D44,Résultats!$B$2:$AZ$212,AK$2,FALSE)</f>
        <v>0</v>
      </c>
      <c r="AL44" s="25">
        <f>VLOOKUP($D44,Résultats!$B$2:$AZ$212,AL$2,FALSE)</f>
        <v>0</v>
      </c>
      <c r="AM44" s="102">
        <f>VLOOKUP($D44,Résultats!$B$2:$AZ$212,AM$2,FALSE)</f>
        <v>0</v>
      </c>
    </row>
    <row r="45" spans="2:39" x14ac:dyDescent="0.25">
      <c r="B45" s="230"/>
      <c r="C45" s="218" t="s">
        <v>6</v>
      </c>
      <c r="D45" s="3" t="s">
        <v>146</v>
      </c>
      <c r="E45" s="25">
        <f>VLOOKUP($D45,Résultats!$B$2:$AZ$212,E$2,FALSE)</f>
        <v>31999.388770000001</v>
      </c>
      <c r="F45" s="25">
        <f>VLOOKUP($D45,Résultats!$B$2:$AZ$212,F$2,FALSE)</f>
        <v>35785.167699999998</v>
      </c>
      <c r="G45" s="25">
        <f>VLOOKUP($D45,Résultats!$B$2:$AZ$212,G$2,FALSE)</f>
        <v>36407.638619999998</v>
      </c>
      <c r="H45" s="25">
        <f>VLOOKUP($D45,Résultats!$B$2:$AZ$212,H$2,FALSE)</f>
        <v>36714.516450000003</v>
      </c>
      <c r="I45" s="25">
        <f>VLOOKUP($D45,Résultats!$B$2:$AZ$212,I$2,FALSE)</f>
        <v>36947.937729999998</v>
      </c>
      <c r="J45" s="25">
        <f>VLOOKUP($D45,Résultats!$B$2:$AZ$212,J$2,FALSE)</f>
        <v>37014.629959999998</v>
      </c>
      <c r="K45" s="25">
        <f>VLOOKUP($D45,Résultats!$B$2:$AZ$212,K$2,FALSE)</f>
        <v>36936.16805</v>
      </c>
      <c r="L45" s="25">
        <f>VLOOKUP($D45,Résultats!$B$2:$AZ$212,L$2,FALSE)</f>
        <v>36780.507570000002</v>
      </c>
      <c r="M45" s="25">
        <f>VLOOKUP($D45,Résultats!$B$2:$AZ$212,M$2,FALSE)</f>
        <v>36457.002269999997</v>
      </c>
      <c r="N45" s="25">
        <f>VLOOKUP($D45,Résultats!$B$2:$AZ$212,N$2,FALSE)</f>
        <v>36014.624150000003</v>
      </c>
      <c r="O45" s="25">
        <f>VLOOKUP($D45,Résultats!$B$2:$AZ$212,O$2,FALSE)</f>
        <v>35419.46514</v>
      </c>
      <c r="P45" s="25">
        <f>VLOOKUP($D45,Résultats!$B$2:$AZ$212,P$2,FALSE)</f>
        <v>34646.862009999997</v>
      </c>
      <c r="Q45" s="25">
        <f>VLOOKUP($D45,Résultats!$B$2:$AZ$212,Q$2,FALSE)</f>
        <v>33698.887360000001</v>
      </c>
      <c r="R45" s="25">
        <f>VLOOKUP($D45,Résultats!$B$2:$AZ$212,R$2,FALSE)</f>
        <v>32575.639780000001</v>
      </c>
      <c r="S45" s="25">
        <f>VLOOKUP($D45,Résultats!$B$2:$AZ$212,S$2,FALSE)</f>
        <v>31256.807850000001</v>
      </c>
      <c r="T45" s="25">
        <f>VLOOKUP($D45,Résultats!$B$2:$AZ$212,T$2,FALSE)</f>
        <v>29826.29593</v>
      </c>
      <c r="U45" s="25">
        <f>VLOOKUP($D45,Résultats!$B$2:$AZ$212,U$2,FALSE)</f>
        <v>28311.263019999999</v>
      </c>
      <c r="V45" s="25">
        <f>VLOOKUP($D45,Résultats!$B$2:$AZ$212,V$2,FALSE)</f>
        <v>26759.236700000001</v>
      </c>
      <c r="W45" s="25">
        <f>VLOOKUP($D45,Résultats!$B$2:$AZ$212,W$2,FALSE)</f>
        <v>25218.77015</v>
      </c>
      <c r="X45" s="25">
        <f>VLOOKUP($D45,Résultats!$B$2:$AZ$212,X$2,FALSE)</f>
        <v>23722.58383</v>
      </c>
      <c r="Y45" s="25">
        <f>VLOOKUP($D45,Résultats!$B$2:$AZ$212,Y$2,FALSE)</f>
        <v>22289.097129999998</v>
      </c>
      <c r="Z45" s="25">
        <f>VLOOKUP($D45,Résultats!$B$2:$AZ$212,Z$2,FALSE)</f>
        <v>20925.88711</v>
      </c>
      <c r="AA45" s="25">
        <f>VLOOKUP($D45,Résultats!$B$2:$AZ$212,AA$2,FALSE)</f>
        <v>19635.198240000002</v>
      </c>
      <c r="AB45" s="25">
        <f>VLOOKUP($D45,Résultats!$B$2:$AZ$212,AB$2,FALSE)</f>
        <v>18416.289649999999</v>
      </c>
      <c r="AC45" s="25">
        <f>VLOOKUP($D45,Résultats!$B$2:$AZ$212,AC$2,FALSE)</f>
        <v>17266.875390000001</v>
      </c>
      <c r="AD45" s="25">
        <f>VLOOKUP($D45,Résultats!$B$2:$AZ$212,AD$2,FALSE)</f>
        <v>16188.493769999999</v>
      </c>
      <c r="AE45" s="25">
        <f>VLOOKUP($D45,Résultats!$B$2:$AZ$212,AE$2,FALSE)</f>
        <v>15177.110640000001</v>
      </c>
      <c r="AF45" s="25">
        <f>VLOOKUP($D45,Résultats!$B$2:$AZ$212,AF$2,FALSE)</f>
        <v>14228.74019</v>
      </c>
      <c r="AG45" s="25">
        <f>VLOOKUP($D45,Résultats!$B$2:$AZ$212,AG$2,FALSE)</f>
        <v>13339.543079999999</v>
      </c>
      <c r="AH45" s="25">
        <f>VLOOKUP($D45,Résultats!$B$2:$AZ$212,AH$2,FALSE)</f>
        <v>12450.291380000001</v>
      </c>
      <c r="AI45" s="25">
        <f>VLOOKUP($D45,Résultats!$B$2:$AZ$212,AI$2,FALSE)</f>
        <v>11620.29753</v>
      </c>
      <c r="AJ45" s="25">
        <f>VLOOKUP($D45,Résultats!$B$2:$AZ$212,AJ$2,FALSE)</f>
        <v>10845.623809999999</v>
      </c>
      <c r="AK45" s="25">
        <f>VLOOKUP($D45,Résultats!$B$2:$AZ$212,AK$2,FALSE)</f>
        <v>10122.588589999999</v>
      </c>
      <c r="AL45" s="25">
        <f>VLOOKUP($D45,Résultats!$B$2:$AZ$212,AL$2,FALSE)</f>
        <v>9447.75251199999</v>
      </c>
      <c r="AM45" s="102">
        <f>VLOOKUP($D45,Résultats!$B$2:$AZ$212,AM$2,FALSE)</f>
        <v>8817.9038920000003</v>
      </c>
    </row>
    <row r="46" spans="2:39" x14ac:dyDescent="0.25">
      <c r="B46" s="230"/>
      <c r="C46" s="218" t="s">
        <v>34</v>
      </c>
      <c r="D46" s="3" t="s">
        <v>147</v>
      </c>
      <c r="E46" s="25">
        <f>VLOOKUP($D46,Résultats!$B$2:$AZ$212,E$2,FALSE)</f>
        <v>2.411668513</v>
      </c>
      <c r="F46" s="25">
        <f>VLOOKUP($D46,Résultats!$B$2:$AZ$212,F$2,FALSE)</f>
        <v>126.1396536</v>
      </c>
      <c r="G46" s="25">
        <f>VLOOKUP($D46,Résultats!$B$2:$AZ$212,G$2,FALSE)</f>
        <v>301.24753939999999</v>
      </c>
      <c r="H46" s="25">
        <f>VLOOKUP($D46,Résultats!$B$2:$AZ$212,H$2,FALSE)</f>
        <v>399.22739580000001</v>
      </c>
      <c r="I46" s="25">
        <f>VLOOKUP($D46,Résultats!$B$2:$AZ$212,I$2,FALSE)</f>
        <v>520.20066499999996</v>
      </c>
      <c r="J46" s="25">
        <f>VLOOKUP($D46,Résultats!$B$2:$AZ$212,J$2,FALSE)</f>
        <v>660.07057540000005</v>
      </c>
      <c r="K46" s="25">
        <f>VLOOKUP($D46,Résultats!$B$2:$AZ$212,K$2,FALSE)</f>
        <v>839.89570800000001</v>
      </c>
      <c r="L46" s="25">
        <f>VLOOKUP($D46,Résultats!$B$2:$AZ$212,L$2,FALSE)</f>
        <v>1067.011315</v>
      </c>
      <c r="M46" s="25">
        <f>VLOOKUP($D46,Résultats!$B$2:$AZ$212,M$2,FALSE)</f>
        <v>1317.377565</v>
      </c>
      <c r="N46" s="25">
        <f>VLOOKUP($D46,Résultats!$B$2:$AZ$212,N$2,FALSE)</f>
        <v>1595.6919809999999</v>
      </c>
      <c r="O46" s="25">
        <f>VLOOKUP($D46,Résultats!$B$2:$AZ$212,O$2,FALSE)</f>
        <v>1919.7921249999999</v>
      </c>
      <c r="P46" s="25">
        <f>VLOOKUP($D46,Résultats!$B$2:$AZ$212,P$2,FALSE)</f>
        <v>2327.7530240000001</v>
      </c>
      <c r="Q46" s="25">
        <f>VLOOKUP($D46,Résultats!$B$2:$AZ$212,Q$2,FALSE)</f>
        <v>2882.9186880000002</v>
      </c>
      <c r="R46" s="25">
        <f>VLOOKUP($D46,Résultats!$B$2:$AZ$212,R$2,FALSE)</f>
        <v>3608.874487</v>
      </c>
      <c r="S46" s="25">
        <f>VLOOKUP($D46,Résultats!$B$2:$AZ$212,S$2,FALSE)</f>
        <v>4462.342173</v>
      </c>
      <c r="T46" s="25">
        <f>VLOOKUP($D46,Résultats!$B$2:$AZ$212,T$2,FALSE)</f>
        <v>5510.8257350000003</v>
      </c>
      <c r="U46" s="25">
        <f>VLOOKUP($D46,Résultats!$B$2:$AZ$212,U$2,FALSE)</f>
        <v>6690.2348389999997</v>
      </c>
      <c r="V46" s="25">
        <f>VLOOKUP($D46,Résultats!$B$2:$AZ$212,V$2,FALSE)</f>
        <v>7915.6055759999999</v>
      </c>
      <c r="W46" s="25">
        <f>VLOOKUP($D46,Résultats!$B$2:$AZ$212,W$2,FALSE)</f>
        <v>9137.6908170000006</v>
      </c>
      <c r="X46" s="25">
        <f>VLOOKUP($D46,Résultats!$B$2:$AZ$212,X$2,FALSE)</f>
        <v>10324.356110000001</v>
      </c>
      <c r="Y46" s="25">
        <f>VLOOKUP($D46,Résultats!$B$2:$AZ$212,Y$2,FALSE)</f>
        <v>11483.73954</v>
      </c>
      <c r="Z46" s="25">
        <f>VLOOKUP($D46,Résultats!$B$2:$AZ$212,Z$2,FALSE)</f>
        <v>12590.72313</v>
      </c>
      <c r="AA46" s="25">
        <f>VLOOKUP($D46,Résultats!$B$2:$AZ$212,AA$2,FALSE)</f>
        <v>13632.927030000001</v>
      </c>
      <c r="AB46" s="25">
        <f>VLOOKUP($D46,Résultats!$B$2:$AZ$212,AB$2,FALSE)</f>
        <v>14613.410970000001</v>
      </c>
      <c r="AC46" s="25">
        <f>VLOOKUP($D46,Résultats!$B$2:$AZ$212,AC$2,FALSE)</f>
        <v>15533.81495</v>
      </c>
      <c r="AD46" s="25">
        <f>VLOOKUP($D46,Résultats!$B$2:$AZ$212,AD$2,FALSE)</f>
        <v>16388.620869999999</v>
      </c>
      <c r="AE46" s="25">
        <f>VLOOKUP($D46,Résultats!$B$2:$AZ$212,AE$2,FALSE)</f>
        <v>17185.045010000002</v>
      </c>
      <c r="AF46" s="25">
        <f>VLOOKUP($D46,Résultats!$B$2:$AZ$212,AF$2,FALSE)</f>
        <v>17933.789529999998</v>
      </c>
      <c r="AG46" s="25">
        <f>VLOOKUP($D46,Résultats!$B$2:$AZ$212,AG$2,FALSE)</f>
        <v>18631.056069999999</v>
      </c>
      <c r="AH46" s="25">
        <f>VLOOKUP($D46,Résultats!$B$2:$AZ$212,AH$2,FALSE)</f>
        <v>19267.04608</v>
      </c>
      <c r="AI46" s="25">
        <f>VLOOKUP($D46,Résultats!$B$2:$AZ$212,AI$2,FALSE)</f>
        <v>19861.399399999998</v>
      </c>
      <c r="AJ46" s="25">
        <f>VLOOKUP($D46,Résultats!$B$2:$AZ$212,AJ$2,FALSE)</f>
        <v>20415.321690000001</v>
      </c>
      <c r="AK46" s="25">
        <f>VLOOKUP($D46,Résultats!$B$2:$AZ$212,AK$2,FALSE)</f>
        <v>20928.201560000001</v>
      </c>
      <c r="AL46" s="25">
        <f>VLOOKUP($D46,Résultats!$B$2:$AZ$212,AL$2,FALSE)</f>
        <v>21395.89343</v>
      </c>
      <c r="AM46" s="102">
        <f>VLOOKUP($D46,Résultats!$B$2:$AZ$212,AM$2,FALSE)</f>
        <v>21793.171880000002</v>
      </c>
    </row>
    <row r="47" spans="2:39" x14ac:dyDescent="0.25">
      <c r="B47" s="230"/>
      <c r="C47" s="218" t="s">
        <v>35</v>
      </c>
      <c r="D47" s="3" t="s">
        <v>148</v>
      </c>
      <c r="E47" s="25">
        <f>VLOOKUP($D47,Résultats!$B$2:$AZ$212,E$2,FALSE)</f>
        <v>2.2615513600000001E-2</v>
      </c>
      <c r="F47" s="25">
        <f>VLOOKUP($D47,Résultats!$B$2:$AZ$212,F$2,FALSE)</f>
        <v>0.34688827630000002</v>
      </c>
      <c r="G47" s="25">
        <f>VLOOKUP($D47,Résultats!$B$2:$AZ$212,G$2,FALSE)</f>
        <v>0.41062924379999999</v>
      </c>
      <c r="H47" s="25">
        <f>VLOOKUP($D47,Résultats!$B$2:$AZ$212,H$2,FALSE)</f>
        <v>0.44723464860000001</v>
      </c>
      <c r="I47" s="25">
        <f>VLOOKUP($D47,Résultats!$B$2:$AZ$212,I$2,FALSE)</f>
        <v>0.50824763969999998</v>
      </c>
      <c r="J47" s="25">
        <f>VLOOKUP($D47,Résultats!$B$2:$AZ$212,J$2,FALSE)</f>
        <v>0.55707479270000004</v>
      </c>
      <c r="K47" s="25">
        <f>VLOOKUP($D47,Résultats!$B$2:$AZ$212,K$2,FALSE)</f>
        <v>0.63763375509999998</v>
      </c>
      <c r="L47" s="25">
        <f>VLOOKUP($D47,Résultats!$B$2:$AZ$212,L$2,FALSE)</f>
        <v>0.73207246010000004</v>
      </c>
      <c r="M47" s="25">
        <f>VLOOKUP($D47,Résultats!$B$2:$AZ$212,M$2,FALSE)</f>
        <v>0.8170136361</v>
      </c>
      <c r="N47" s="25">
        <f>VLOOKUP($D47,Résultats!$B$2:$AZ$212,N$2,FALSE)</f>
        <v>0.89305551059999999</v>
      </c>
      <c r="O47" s="25">
        <f>VLOOKUP($D47,Résultats!$B$2:$AZ$212,O$2,FALSE)</f>
        <v>0.9577211377</v>
      </c>
      <c r="P47" s="25">
        <f>VLOOKUP($D47,Résultats!$B$2:$AZ$212,P$2,FALSE)</f>
        <v>1.010163181</v>
      </c>
      <c r="Q47" s="25">
        <f>VLOOKUP($D47,Résultats!$B$2:$AZ$212,Q$2,FALSE)</f>
        <v>1.0459791169999999</v>
      </c>
      <c r="R47" s="25">
        <f>VLOOKUP($D47,Résultats!$B$2:$AZ$212,R$2,FALSE)</f>
        <v>1.0635399510000001</v>
      </c>
      <c r="S47" s="25">
        <f>VLOOKUP($D47,Résultats!$B$2:$AZ$212,S$2,FALSE)</f>
        <v>1.059928633</v>
      </c>
      <c r="T47" s="25">
        <f>VLOOKUP($D47,Résultats!$B$2:$AZ$212,T$2,FALSE)</f>
        <v>1.041191362</v>
      </c>
      <c r="U47" s="25">
        <f>VLOOKUP($D47,Résultats!$B$2:$AZ$212,U$2,FALSE)</f>
        <v>1.008584937</v>
      </c>
      <c r="V47" s="25">
        <f>VLOOKUP($D47,Résultats!$B$2:$AZ$212,V$2,FALSE)</f>
        <v>0.96586625260000003</v>
      </c>
      <c r="W47" s="25">
        <f>VLOOKUP($D47,Résultats!$B$2:$AZ$212,W$2,FALSE)</f>
        <v>0.91758778610000002</v>
      </c>
      <c r="X47" s="25">
        <f>VLOOKUP($D47,Résultats!$B$2:$AZ$212,X$2,FALSE)</f>
        <v>0.86728950569999996</v>
      </c>
      <c r="Y47" s="25">
        <f>VLOOKUP($D47,Résultats!$B$2:$AZ$212,Y$2,FALSE)</f>
        <v>0.81719290430000002</v>
      </c>
      <c r="Z47" s="25">
        <f>VLOOKUP($D47,Résultats!$B$2:$AZ$212,Z$2,FALSE)</f>
        <v>0.76847185240000004</v>
      </c>
      <c r="AA47" s="25">
        <f>VLOOKUP($D47,Résultats!$B$2:$AZ$212,AA$2,FALSE)</f>
        <v>0.72174985790000001</v>
      </c>
      <c r="AB47" s="25">
        <f>VLOOKUP($D47,Résultats!$B$2:$AZ$212,AB$2,FALSE)</f>
        <v>0.67730615039999997</v>
      </c>
      <c r="AC47" s="25">
        <f>VLOOKUP($D47,Résultats!$B$2:$AZ$212,AC$2,FALSE)</f>
        <v>0.63522497190000005</v>
      </c>
      <c r="AD47" s="25">
        <f>VLOOKUP($D47,Résultats!$B$2:$AZ$212,AD$2,FALSE)</f>
        <v>0.59565311430000001</v>
      </c>
      <c r="AE47" s="25">
        <f>VLOOKUP($D47,Résultats!$B$2:$AZ$212,AE$2,FALSE)</f>
        <v>0.55849200489999995</v>
      </c>
      <c r="AF47" s="25">
        <f>VLOOKUP($D47,Résultats!$B$2:$AZ$212,AF$2,FALSE)</f>
        <v>0.52362112130000005</v>
      </c>
      <c r="AG47" s="25">
        <f>VLOOKUP($D47,Résultats!$B$2:$AZ$212,AG$2,FALSE)</f>
        <v>0.49091280739999998</v>
      </c>
      <c r="AH47" s="25">
        <f>VLOOKUP($D47,Résultats!$B$2:$AZ$212,AH$2,FALSE)</f>
        <v>0.45819543930000001</v>
      </c>
      <c r="AI47" s="25">
        <f>VLOOKUP($D47,Résultats!$B$2:$AZ$212,AI$2,FALSE)</f>
        <v>0.42765432759999999</v>
      </c>
      <c r="AJ47" s="25">
        <f>VLOOKUP($D47,Résultats!$B$2:$AZ$212,AJ$2,FALSE)</f>
        <v>0.39914675399999999</v>
      </c>
      <c r="AK47" s="25">
        <f>VLOOKUP($D47,Résultats!$B$2:$AZ$212,AK$2,FALSE)</f>
        <v>0.37253837000000001</v>
      </c>
      <c r="AL47" s="25">
        <f>VLOOKUP($D47,Résultats!$B$2:$AZ$212,AL$2,FALSE)</f>
        <v>0.34770319760000001</v>
      </c>
      <c r="AM47" s="102">
        <f>VLOOKUP($D47,Résultats!$B$2:$AZ$212,AM$2,FALSE)</f>
        <v>0.32452334830000001</v>
      </c>
    </row>
    <row r="48" spans="2:39" x14ac:dyDescent="0.25">
      <c r="B48" s="230"/>
      <c r="C48" s="220" t="s">
        <v>463</v>
      </c>
      <c r="D48" s="58" t="s">
        <v>130</v>
      </c>
      <c r="E48" s="59">
        <f>VLOOKUP($D48,Résultats!$B$2:$AZ$212,E$2,FALSE)</f>
        <v>32001.800439999999</v>
      </c>
      <c r="F48" s="59">
        <f>VLOOKUP($D48,Résultats!$B$2:$AZ$212,F$2,FALSE)</f>
        <v>35911.307350000003</v>
      </c>
      <c r="G48" s="59">
        <f>VLOOKUP($D48,Résultats!$B$2:$AZ$212,G$2,FALSE)</f>
        <v>36708.886160000002</v>
      </c>
      <c r="H48" s="59">
        <f>VLOOKUP($D48,Résultats!$B$2:$AZ$212,H$2,FALSE)</f>
        <v>37113.743849999999</v>
      </c>
      <c r="I48" s="59">
        <f>VLOOKUP($D48,Résultats!$B$2:$AZ$212,I$2,FALSE)</f>
        <v>37468.13839</v>
      </c>
      <c r="J48" s="59">
        <f>VLOOKUP($D48,Résultats!$B$2:$AZ$212,J$2,FALSE)</f>
        <v>37674.700530000002</v>
      </c>
      <c r="K48" s="59">
        <f>VLOOKUP($D48,Résultats!$B$2:$AZ$212,K$2,FALSE)</f>
        <v>37776.063759999997</v>
      </c>
      <c r="L48" s="59">
        <f>VLOOKUP($D48,Résultats!$B$2:$AZ$212,L$2,FALSE)</f>
        <v>37847.518880000003</v>
      </c>
      <c r="M48" s="59">
        <f>VLOOKUP($D48,Résultats!$B$2:$AZ$212,M$2,FALSE)</f>
        <v>37774.379829999998</v>
      </c>
      <c r="N48" s="59">
        <f>VLOOKUP($D48,Résultats!$B$2:$AZ$212,N$2,FALSE)</f>
        <v>37610.316129999999</v>
      </c>
      <c r="O48" s="59">
        <f>VLOOKUP($D48,Résultats!$B$2:$AZ$212,O$2,FALSE)</f>
        <v>37339.257259999998</v>
      </c>
      <c r="P48" s="59">
        <f>VLOOKUP($D48,Résultats!$B$2:$AZ$212,P$2,FALSE)</f>
        <v>36974.615030000001</v>
      </c>
      <c r="Q48" s="59">
        <f>VLOOKUP($D48,Résultats!$B$2:$AZ$212,Q$2,FALSE)</f>
        <v>36581.806049999999</v>
      </c>
      <c r="R48" s="59">
        <f>VLOOKUP($D48,Résultats!$B$2:$AZ$212,R$2,FALSE)</f>
        <v>36184.51427</v>
      </c>
      <c r="S48" s="59">
        <f>VLOOKUP($D48,Résultats!$B$2:$AZ$212,S$2,FALSE)</f>
        <v>35719.150029999997</v>
      </c>
      <c r="T48" s="59">
        <f>VLOOKUP($D48,Résultats!$B$2:$AZ$212,T$2,FALSE)</f>
        <v>35337.12167</v>
      </c>
      <c r="U48" s="59">
        <f>VLOOKUP($D48,Résultats!$B$2:$AZ$212,U$2,FALSE)</f>
        <v>35001.497860000003</v>
      </c>
      <c r="V48" s="59">
        <f>VLOOKUP($D48,Résultats!$B$2:$AZ$212,V$2,FALSE)</f>
        <v>34674.842279999997</v>
      </c>
      <c r="W48" s="59">
        <f>VLOOKUP($D48,Résultats!$B$2:$AZ$212,W$2,FALSE)</f>
        <v>34356.46097</v>
      </c>
      <c r="X48" s="59">
        <f>VLOOKUP($D48,Résultats!$B$2:$AZ$212,X$2,FALSE)</f>
        <v>34046.939939999997</v>
      </c>
      <c r="Y48" s="59">
        <f>VLOOKUP($D48,Résultats!$B$2:$AZ$212,Y$2,FALSE)</f>
        <v>33772.83668</v>
      </c>
      <c r="Z48" s="59">
        <f>VLOOKUP($D48,Résultats!$B$2:$AZ$212,Z$2,FALSE)</f>
        <v>33516.610240000002</v>
      </c>
      <c r="AA48" s="59">
        <f>VLOOKUP($D48,Résultats!$B$2:$AZ$212,AA$2,FALSE)</f>
        <v>33268.125269999997</v>
      </c>
      <c r="AB48" s="59">
        <f>VLOOKUP($D48,Résultats!$B$2:$AZ$212,AB$2,FALSE)</f>
        <v>33029.700629999999</v>
      </c>
      <c r="AC48" s="59">
        <f>VLOOKUP($D48,Résultats!$B$2:$AZ$212,AC$2,FALSE)</f>
        <v>32800.690329999998</v>
      </c>
      <c r="AD48" s="59">
        <f>VLOOKUP($D48,Résultats!$B$2:$AZ$212,AD$2,FALSE)</f>
        <v>32577.11463</v>
      </c>
      <c r="AE48" s="59">
        <f>VLOOKUP($D48,Résultats!$B$2:$AZ$212,AE$2,FALSE)</f>
        <v>32362.155650000001</v>
      </c>
      <c r="AF48" s="59">
        <f>VLOOKUP($D48,Résultats!$B$2:$AZ$212,AF$2,FALSE)</f>
        <v>32162.529709999999</v>
      </c>
      <c r="AG48" s="59">
        <f>VLOOKUP($D48,Résultats!$B$2:$AZ$212,AG$2,FALSE)</f>
        <v>31970.599149999998</v>
      </c>
      <c r="AH48" s="59">
        <f>VLOOKUP($D48,Résultats!$B$2:$AZ$212,AH$2,FALSE)</f>
        <v>31717.337459999999</v>
      </c>
      <c r="AI48" s="59">
        <f>VLOOKUP($D48,Résultats!$B$2:$AZ$212,AI$2,FALSE)</f>
        <v>31481.696929999998</v>
      </c>
      <c r="AJ48" s="59">
        <f>VLOOKUP($D48,Résultats!$B$2:$AZ$212,AJ$2,FALSE)</f>
        <v>31260.945489999998</v>
      </c>
      <c r="AK48" s="59">
        <f>VLOOKUP($D48,Résultats!$B$2:$AZ$212,AK$2,FALSE)</f>
        <v>31050.790140000001</v>
      </c>
      <c r="AL48" s="59">
        <f>VLOOKUP($D48,Résultats!$B$2:$AZ$212,AL$2,FALSE)</f>
        <v>30843.645939999999</v>
      </c>
      <c r="AM48" s="103">
        <f>VLOOKUP($D48,Résultats!$B$2:$AZ$212,AM$2,FALSE)</f>
        <v>30611.075769999999</v>
      </c>
    </row>
    <row r="49" spans="2:40" x14ac:dyDescent="0.25">
      <c r="B49" s="230"/>
      <c r="C49" s="221" t="s">
        <v>462</v>
      </c>
      <c r="D49" s="3" t="s">
        <v>147</v>
      </c>
      <c r="E49" s="61">
        <f>VLOOKUP($D49,Résultats!$B$2:$AZ$212,E$2,FALSE)</f>
        <v>2.411668513</v>
      </c>
      <c r="F49" s="61">
        <f>VLOOKUP($D49,Résultats!$B$2:$AZ$212,F$2,FALSE)</f>
        <v>126.1396536</v>
      </c>
      <c r="G49" s="61">
        <f>VLOOKUP($D49,Résultats!$B$2:$AZ$212,G$2,FALSE)</f>
        <v>301.24753939999999</v>
      </c>
      <c r="H49" s="61">
        <f>VLOOKUP($D49,Résultats!$B$2:$AZ$212,H$2,FALSE)</f>
        <v>399.22739580000001</v>
      </c>
      <c r="I49" s="61">
        <f>VLOOKUP($D49,Résultats!$B$2:$AZ$212,I$2,FALSE)</f>
        <v>520.20066499999996</v>
      </c>
      <c r="J49" s="61">
        <f>VLOOKUP($D49,Résultats!$B$2:$AZ$212,J$2,FALSE)</f>
        <v>660.07057540000005</v>
      </c>
      <c r="K49" s="61">
        <f>VLOOKUP($D49,Résultats!$B$2:$AZ$212,K$2,FALSE)</f>
        <v>839.89570800000001</v>
      </c>
      <c r="L49" s="61">
        <f>VLOOKUP($D49,Résultats!$B$2:$AZ$212,L$2,FALSE)</f>
        <v>1067.011315</v>
      </c>
      <c r="M49" s="61">
        <f>VLOOKUP($D49,Résultats!$B$2:$AZ$212,M$2,FALSE)</f>
        <v>1317.377565</v>
      </c>
      <c r="N49" s="61">
        <f>VLOOKUP($D49,Résultats!$B$2:$AZ$212,N$2,FALSE)</f>
        <v>1595.6919809999999</v>
      </c>
      <c r="O49" s="61">
        <f>VLOOKUP($D49,Résultats!$B$2:$AZ$212,O$2,FALSE)</f>
        <v>1919.7921249999999</v>
      </c>
      <c r="P49" s="61">
        <f>VLOOKUP($D49,Résultats!$B$2:$AZ$212,P$2,FALSE)</f>
        <v>2327.7530240000001</v>
      </c>
      <c r="Q49" s="61">
        <f>VLOOKUP($D49,Résultats!$B$2:$AZ$212,Q$2,FALSE)</f>
        <v>2882.9186880000002</v>
      </c>
      <c r="R49" s="61">
        <f>VLOOKUP($D49,Résultats!$B$2:$AZ$212,R$2,FALSE)</f>
        <v>3608.874487</v>
      </c>
      <c r="S49" s="61">
        <f>VLOOKUP($D49,Résultats!$B$2:$AZ$212,S$2,FALSE)</f>
        <v>4462.342173</v>
      </c>
      <c r="T49" s="61">
        <f>VLOOKUP($D49,Résultats!$B$2:$AZ$212,T$2,FALSE)</f>
        <v>5510.8257350000003</v>
      </c>
      <c r="U49" s="61">
        <f>VLOOKUP($D49,Résultats!$B$2:$AZ$212,U$2,FALSE)</f>
        <v>6690.2348389999997</v>
      </c>
      <c r="V49" s="61">
        <f>VLOOKUP($D49,Résultats!$B$2:$AZ$212,V$2,FALSE)</f>
        <v>7915.6055759999999</v>
      </c>
      <c r="W49" s="61">
        <f>VLOOKUP($D49,Résultats!$B$2:$AZ$212,W$2,FALSE)</f>
        <v>9137.6908170000006</v>
      </c>
      <c r="X49" s="61">
        <f>VLOOKUP($D49,Résultats!$B$2:$AZ$212,X$2,FALSE)</f>
        <v>10324.356110000001</v>
      </c>
      <c r="Y49" s="61">
        <f>VLOOKUP($D49,Résultats!$B$2:$AZ$212,Y$2,FALSE)</f>
        <v>11483.73954</v>
      </c>
      <c r="Z49" s="61">
        <f>VLOOKUP($D49,Résultats!$B$2:$AZ$212,Z$2,FALSE)</f>
        <v>12590.72313</v>
      </c>
      <c r="AA49" s="61">
        <f>VLOOKUP($D49,Résultats!$B$2:$AZ$212,AA$2,FALSE)</f>
        <v>13632.927030000001</v>
      </c>
      <c r="AB49" s="61">
        <f>VLOOKUP($D49,Résultats!$B$2:$AZ$212,AB$2,FALSE)</f>
        <v>14613.410970000001</v>
      </c>
      <c r="AC49" s="61">
        <f>VLOOKUP($D49,Résultats!$B$2:$AZ$212,AC$2,FALSE)</f>
        <v>15533.81495</v>
      </c>
      <c r="AD49" s="61">
        <f>VLOOKUP($D49,Résultats!$B$2:$AZ$212,AD$2,FALSE)</f>
        <v>16388.620869999999</v>
      </c>
      <c r="AE49" s="61">
        <f>VLOOKUP($D49,Résultats!$B$2:$AZ$212,AE$2,FALSE)</f>
        <v>17185.045010000002</v>
      </c>
      <c r="AF49" s="61">
        <f>VLOOKUP($D49,Résultats!$B$2:$AZ$212,AF$2,FALSE)</f>
        <v>17933.789529999998</v>
      </c>
      <c r="AG49" s="61">
        <f>VLOOKUP($D49,Résultats!$B$2:$AZ$212,AG$2,FALSE)</f>
        <v>18631.056069999999</v>
      </c>
      <c r="AH49" s="61">
        <f>VLOOKUP($D49,Résultats!$B$2:$AZ$212,AH$2,FALSE)</f>
        <v>19267.04608</v>
      </c>
      <c r="AI49" s="61">
        <f>VLOOKUP($D49,Résultats!$B$2:$AZ$212,AI$2,FALSE)</f>
        <v>19861.399399999998</v>
      </c>
      <c r="AJ49" s="61">
        <f>VLOOKUP($D49,Résultats!$B$2:$AZ$212,AJ$2,FALSE)</f>
        <v>20415.321690000001</v>
      </c>
      <c r="AK49" s="61">
        <f>VLOOKUP($D49,Résultats!$B$2:$AZ$212,AK$2,FALSE)</f>
        <v>20928.201560000001</v>
      </c>
      <c r="AL49" s="61">
        <f>VLOOKUP($D49,Résultats!$B$2:$AZ$212,AL$2,FALSE)</f>
        <v>21395.89343</v>
      </c>
      <c r="AM49" s="225">
        <f>VLOOKUP($D49,Résultats!$B$2:$AZ$212,AM$2,FALSE)</f>
        <v>21793.171880000002</v>
      </c>
    </row>
    <row r="50" spans="2:40" x14ac:dyDescent="0.25">
      <c r="B50" s="230"/>
      <c r="C50" s="222" t="s">
        <v>27</v>
      </c>
      <c r="D50" s="63" t="s">
        <v>138</v>
      </c>
      <c r="E50" s="25">
        <f>VLOOKUP($D50,Résultats!$B$2:$AZ$212,E$2,FALSE)</f>
        <v>7.1825179100000001E-3</v>
      </c>
      <c r="F50" s="25">
        <f>VLOOKUP($D50,Résultats!$B$2:$AZ$212,F$2,FALSE)</f>
        <v>1.1971172640000001</v>
      </c>
      <c r="G50" s="25">
        <f>VLOOKUP($D50,Résultats!$B$2:$AZ$212,G$2,FALSE)</f>
        <v>2.5400318450000001</v>
      </c>
      <c r="H50" s="25">
        <f>VLOOKUP($D50,Résultats!$B$2:$AZ$212,H$2,FALSE)</f>
        <v>3.4107222469999998</v>
      </c>
      <c r="I50" s="25">
        <f>VLOOKUP($D50,Résultats!$B$2:$AZ$212,I$2,FALSE)</f>
        <v>4.7937091240000003</v>
      </c>
      <c r="J50" s="25">
        <f>VLOOKUP($D50,Résultats!$B$2:$AZ$212,J$2,FALSE)</f>
        <v>6.817073369</v>
      </c>
      <c r="K50" s="25">
        <f>VLOOKUP($D50,Résultats!$B$2:$AZ$212,K$2,FALSE)</f>
        <v>11.838362160000001</v>
      </c>
      <c r="L50" s="25">
        <f>VLOOKUP($D50,Résultats!$B$2:$AZ$212,L$2,FALSE)</f>
        <v>20.096396859999999</v>
      </c>
      <c r="M50" s="25">
        <f>VLOOKUP($D50,Résultats!$B$2:$AZ$212,M$2,FALSE)</f>
        <v>29.885154669999999</v>
      </c>
      <c r="N50" s="25">
        <f>VLOOKUP($D50,Résultats!$B$2:$AZ$212,N$2,FALSE)</f>
        <v>41.413742120000002</v>
      </c>
      <c r="O50" s="25">
        <f>VLOOKUP($D50,Résultats!$B$2:$AZ$212,O$2,FALSE)</f>
        <v>55.783765109999997</v>
      </c>
      <c r="P50" s="25">
        <f>VLOOKUP($D50,Résultats!$B$2:$AZ$212,P$2,FALSE)</f>
        <v>74.839268070000003</v>
      </c>
      <c r="Q50" s="25">
        <f>VLOOKUP($D50,Résultats!$B$2:$AZ$212,Q$2,FALSE)</f>
        <v>101.8760023</v>
      </c>
      <c r="R50" s="25">
        <f>VLOOKUP($D50,Résultats!$B$2:$AZ$212,R$2,FALSE)</f>
        <v>138.90043460000001</v>
      </c>
      <c r="S50" s="25">
        <f>VLOOKUP($D50,Résultats!$B$2:$AZ$212,S$2,FALSE)</f>
        <v>185.1905332</v>
      </c>
      <c r="T50" s="25">
        <f>VLOOKUP($D50,Résultats!$B$2:$AZ$212,T$2,FALSE)</f>
        <v>244.75663510000001</v>
      </c>
      <c r="U50" s="25">
        <f>VLOOKUP($D50,Résultats!$B$2:$AZ$212,U$2,FALSE)</f>
        <v>315.85725480000002</v>
      </c>
      <c r="V50" s="25">
        <f>VLOOKUP($D50,Résultats!$B$2:$AZ$212,V$2,FALSE)</f>
        <v>394.68191890000003</v>
      </c>
      <c r="W50" s="25">
        <f>VLOOKUP($D50,Résultats!$B$2:$AZ$212,W$2,FALSE)</f>
        <v>478.92827360000001</v>
      </c>
      <c r="X50" s="25">
        <f>VLOOKUP($D50,Résultats!$B$2:$AZ$212,X$2,FALSE)</f>
        <v>566.79145070000004</v>
      </c>
      <c r="Y50" s="25">
        <f>VLOOKUP($D50,Résultats!$B$2:$AZ$212,Y$2,FALSE)</f>
        <v>658.70499870000003</v>
      </c>
      <c r="Z50" s="25">
        <f>VLOOKUP($D50,Résultats!$B$2:$AZ$212,Z$2,FALSE)</f>
        <v>753.1120909</v>
      </c>
      <c r="AA50" s="25">
        <f>VLOOKUP($D50,Résultats!$B$2:$AZ$212,AA$2,FALSE)</f>
        <v>849.01332730000001</v>
      </c>
      <c r="AB50" s="25">
        <f>VLOOKUP($D50,Résultats!$B$2:$AZ$212,AB$2,FALSE)</f>
        <v>946.35850500000004</v>
      </c>
      <c r="AC50" s="25">
        <f>VLOOKUP($D50,Résultats!$B$2:$AZ$212,AC$2,FALSE)</f>
        <v>1045.025208</v>
      </c>
      <c r="AD50" s="25">
        <f>VLOOKUP($D50,Résultats!$B$2:$AZ$212,AD$2,FALSE)</f>
        <v>1143.2578550000001</v>
      </c>
      <c r="AE50" s="25">
        <f>VLOOKUP($D50,Résultats!$B$2:$AZ$212,AE$2,FALSE)</f>
        <v>1241.406894</v>
      </c>
      <c r="AF50" s="25">
        <f>VLOOKUP($D50,Résultats!$B$2:$AZ$212,AF$2,FALSE)</f>
        <v>1340.0499589999999</v>
      </c>
      <c r="AG50" s="25">
        <f>VLOOKUP($D50,Résultats!$B$2:$AZ$212,AG$2,FALSE)</f>
        <v>1438.5771259999999</v>
      </c>
      <c r="AH50" s="25">
        <f>VLOOKUP($D50,Résultats!$B$2:$AZ$212,AH$2,FALSE)</f>
        <v>1554.273269</v>
      </c>
      <c r="AI50" s="25">
        <f>VLOOKUP($D50,Résultats!$B$2:$AZ$212,AI$2,FALSE)</f>
        <v>1669.7639839999999</v>
      </c>
      <c r="AJ50" s="25">
        <f>VLOOKUP($D50,Résultats!$B$2:$AZ$212,AJ$2,FALSE)</f>
        <v>1784.9136579999999</v>
      </c>
      <c r="AK50" s="25">
        <f>VLOOKUP($D50,Résultats!$B$2:$AZ$212,AK$2,FALSE)</f>
        <v>1899.388862</v>
      </c>
      <c r="AL50" s="25">
        <f>VLOOKUP($D50,Résultats!$B$2:$AZ$212,AL$2,FALSE)</f>
        <v>2012.5642130000001</v>
      </c>
      <c r="AM50" s="102">
        <f>VLOOKUP($D50,Résultats!$B$2:$AZ$212,AM$2,FALSE)</f>
        <v>2121.0526129999998</v>
      </c>
    </row>
    <row r="51" spans="2:40" x14ac:dyDescent="0.25">
      <c r="B51" s="230"/>
      <c r="C51" s="218" t="s">
        <v>28</v>
      </c>
      <c r="D51" s="54" t="s">
        <v>139</v>
      </c>
      <c r="E51" s="25">
        <f>VLOOKUP($D51,Résultats!$B$2:$AZ$212,E$2,FALSE)</f>
        <v>1.6464540999999999E-2</v>
      </c>
      <c r="F51" s="25">
        <f>VLOOKUP($D51,Résultats!$B$2:$AZ$212,F$2,FALSE)</f>
        <v>1.4178024549999999</v>
      </c>
      <c r="G51" s="25">
        <f>VLOOKUP($D51,Résultats!$B$2:$AZ$212,G$2,FALSE)</f>
        <v>3.1717463100000001</v>
      </c>
      <c r="H51" s="25">
        <f>VLOOKUP($D51,Résultats!$B$2:$AZ$212,H$2,FALSE)</f>
        <v>4.2342011429999999</v>
      </c>
      <c r="I51" s="25">
        <f>VLOOKUP($D51,Résultats!$B$2:$AZ$212,I$2,FALSE)</f>
        <v>5.7515295550000003</v>
      </c>
      <c r="J51" s="25">
        <f>VLOOKUP($D51,Résultats!$B$2:$AZ$212,J$2,FALSE)</f>
        <v>7.7864437369999999</v>
      </c>
      <c r="K51" s="25">
        <f>VLOOKUP($D51,Résultats!$B$2:$AZ$212,K$2,FALSE)</f>
        <v>11.958324729999999</v>
      </c>
      <c r="L51" s="25">
        <f>VLOOKUP($D51,Résultats!$B$2:$AZ$212,L$2,FALSE)</f>
        <v>18.406473729999998</v>
      </c>
      <c r="M51" s="25">
        <f>VLOOKUP($D51,Résultats!$B$2:$AZ$212,M$2,FALSE)</f>
        <v>25.923562279999999</v>
      </c>
      <c r="N51" s="25">
        <f>VLOOKUP($D51,Résultats!$B$2:$AZ$212,N$2,FALSE)</f>
        <v>34.659754839999998</v>
      </c>
      <c r="O51" s="25">
        <f>VLOOKUP($D51,Résultats!$B$2:$AZ$212,O$2,FALSE)</f>
        <v>45.380519929999998</v>
      </c>
      <c r="P51" s="25">
        <f>VLOOKUP($D51,Résultats!$B$2:$AZ$212,P$2,FALSE)</f>
        <v>59.421511449999997</v>
      </c>
      <c r="Q51" s="25">
        <f>VLOOKUP($D51,Résultats!$B$2:$AZ$212,Q$2,FALSE)</f>
        <v>79.138052650000006</v>
      </c>
      <c r="R51" s="25">
        <f>VLOOKUP($D51,Résultats!$B$2:$AZ$212,R$2,FALSE)</f>
        <v>105.8395258</v>
      </c>
      <c r="S51" s="25">
        <f>VLOOKUP($D51,Résultats!$B$2:$AZ$212,S$2,FALSE)</f>
        <v>138.75067910000001</v>
      </c>
      <c r="T51" s="25">
        <f>VLOOKUP($D51,Résultats!$B$2:$AZ$212,T$2,FALSE)</f>
        <v>180.6333525</v>
      </c>
      <c r="U51" s="25">
        <f>VLOOKUP($D51,Résultats!$B$2:$AZ$212,U$2,FALSE)</f>
        <v>229.9350555</v>
      </c>
      <c r="V51" s="25">
        <f>VLOOKUP($D51,Résultats!$B$2:$AZ$212,V$2,FALSE)</f>
        <v>283.7692644</v>
      </c>
      <c r="W51" s="25">
        <f>VLOOKUP($D51,Résultats!$B$2:$AZ$212,W$2,FALSE)</f>
        <v>340.37671640000002</v>
      </c>
      <c r="X51" s="25">
        <f>VLOOKUP($D51,Résultats!$B$2:$AZ$212,X$2,FALSE)</f>
        <v>398.4202234</v>
      </c>
      <c r="Y51" s="25">
        <f>VLOOKUP($D51,Résultats!$B$2:$AZ$212,Y$2,FALSE)</f>
        <v>458.14102070000001</v>
      </c>
      <c r="Z51" s="25">
        <f>VLOOKUP($D51,Résultats!$B$2:$AZ$212,Z$2,FALSE)</f>
        <v>518.39324739999995</v>
      </c>
      <c r="AA51" s="25">
        <f>VLOOKUP($D51,Résultats!$B$2:$AZ$212,AA$2,FALSE)</f>
        <v>578.45383560000005</v>
      </c>
      <c r="AB51" s="25">
        <f>VLOOKUP($D51,Résultats!$B$2:$AZ$212,AB$2,FALSE)</f>
        <v>638.25614299999995</v>
      </c>
      <c r="AC51" s="25">
        <f>VLOOKUP($D51,Résultats!$B$2:$AZ$212,AC$2,FALSE)</f>
        <v>697.68089999999995</v>
      </c>
      <c r="AD51" s="25">
        <f>VLOOKUP($D51,Résultats!$B$2:$AZ$212,AD$2,FALSE)</f>
        <v>755.77676039999994</v>
      </c>
      <c r="AE51" s="25">
        <f>VLOOKUP($D51,Résultats!$B$2:$AZ$212,AE$2,FALSE)</f>
        <v>812.74804900000004</v>
      </c>
      <c r="AF51" s="25">
        <f>VLOOKUP($D51,Résultats!$B$2:$AZ$212,AF$2,FALSE)</f>
        <v>868.96157430000005</v>
      </c>
      <c r="AG51" s="25">
        <f>VLOOKUP($D51,Résultats!$B$2:$AZ$212,AG$2,FALSE)</f>
        <v>924.02698729999997</v>
      </c>
      <c r="AH51" s="25">
        <f>VLOOKUP($D51,Résultats!$B$2:$AZ$212,AH$2,FALSE)</f>
        <v>984.29775410000002</v>
      </c>
      <c r="AI51" s="25">
        <f>VLOOKUP($D51,Résultats!$B$2:$AZ$212,AI$2,FALSE)</f>
        <v>1043.2450080000001</v>
      </c>
      <c r="AJ51" s="25">
        <f>VLOOKUP($D51,Résultats!$B$2:$AZ$212,AJ$2,FALSE)</f>
        <v>1100.7754870000001</v>
      </c>
      <c r="AK51" s="25">
        <f>VLOOKUP($D51,Résultats!$B$2:$AZ$212,AK$2,FALSE)</f>
        <v>1156.6844960000001</v>
      </c>
      <c r="AL51" s="25">
        <f>VLOOKUP($D51,Résultats!$B$2:$AZ$212,AL$2,FALSE)</f>
        <v>1210.5736280000001</v>
      </c>
      <c r="AM51" s="102">
        <f>VLOOKUP($D51,Résultats!$B$2:$AZ$212,AM$2,FALSE)</f>
        <v>1260.5437280000001</v>
      </c>
    </row>
    <row r="52" spans="2:40" x14ac:dyDescent="0.25">
      <c r="B52" s="230"/>
      <c r="C52" s="218" t="s">
        <v>29</v>
      </c>
      <c r="D52" s="54" t="s">
        <v>140</v>
      </c>
      <c r="E52" s="25">
        <f>VLOOKUP($D52,Résultats!$B$2:$AZ$212,E$2,FALSE)</f>
        <v>6.7405168000000001E-2</v>
      </c>
      <c r="F52" s="25">
        <f>VLOOKUP($D52,Résultats!$B$2:$AZ$212,F$2,FALSE)</f>
        <v>3.7432173309999999</v>
      </c>
      <c r="G52" s="25">
        <f>VLOOKUP($D52,Résultats!$B$2:$AZ$212,G$2,FALSE)</f>
        <v>8.8612112790000008</v>
      </c>
      <c r="H52" s="25">
        <f>VLOOKUP($D52,Résultats!$B$2:$AZ$212,H$2,FALSE)</f>
        <v>11.75595463</v>
      </c>
      <c r="I52" s="25">
        <f>VLOOKUP($D52,Résultats!$B$2:$AZ$212,I$2,FALSE)</f>
        <v>15.403754169999999</v>
      </c>
      <c r="J52" s="25">
        <f>VLOOKUP($D52,Résultats!$B$2:$AZ$212,J$2,FALSE)</f>
        <v>19.71819082</v>
      </c>
      <c r="K52" s="25">
        <f>VLOOKUP($D52,Résultats!$B$2:$AZ$212,K$2,FALSE)</f>
        <v>25.738796140000002</v>
      </c>
      <c r="L52" s="25">
        <f>VLOOKUP($D52,Résultats!$B$2:$AZ$212,L$2,FALSE)</f>
        <v>33.626616869999999</v>
      </c>
      <c r="M52" s="25">
        <f>VLOOKUP($D52,Résultats!$B$2:$AZ$212,M$2,FALSE)</f>
        <v>42.4016856</v>
      </c>
      <c r="N52" s="25">
        <f>VLOOKUP($D52,Résultats!$B$2:$AZ$212,N$2,FALSE)</f>
        <v>52.221531380000002</v>
      </c>
      <c r="O52" s="25">
        <f>VLOOKUP($D52,Résultats!$B$2:$AZ$212,O$2,FALSE)</f>
        <v>63.739935099999997</v>
      </c>
      <c r="P52" s="25">
        <f>VLOOKUP($D52,Résultats!$B$2:$AZ$212,P$2,FALSE)</f>
        <v>78.300601119999996</v>
      </c>
      <c r="Q52" s="25">
        <f>VLOOKUP($D52,Résultats!$B$2:$AZ$212,Q$2,FALSE)</f>
        <v>98.161401530000006</v>
      </c>
      <c r="R52" s="25">
        <f>VLOOKUP($D52,Résultats!$B$2:$AZ$212,R$2,FALSE)</f>
        <v>124.2015883</v>
      </c>
      <c r="S52" s="25">
        <f>VLOOKUP($D52,Résultats!$B$2:$AZ$212,S$2,FALSE)</f>
        <v>154.93091250000001</v>
      </c>
      <c r="T52" s="25">
        <f>VLOOKUP($D52,Résultats!$B$2:$AZ$212,T$2,FALSE)</f>
        <v>192.74229579999999</v>
      </c>
      <c r="U52" s="25">
        <f>VLOOKUP($D52,Résultats!$B$2:$AZ$212,U$2,FALSE)</f>
        <v>235.3476598</v>
      </c>
      <c r="V52" s="25">
        <f>VLOOKUP($D52,Résultats!$B$2:$AZ$212,V$2,FALSE)</f>
        <v>279.64789730000001</v>
      </c>
      <c r="W52" s="25">
        <f>VLOOKUP($D52,Résultats!$B$2:$AZ$212,W$2,FALSE)</f>
        <v>323.79153350000001</v>
      </c>
      <c r="X52" s="25">
        <f>VLOOKUP($D52,Résultats!$B$2:$AZ$212,X$2,FALSE)</f>
        <v>366.52535289999997</v>
      </c>
      <c r="Y52" s="25">
        <f>VLOOKUP($D52,Résultats!$B$2:$AZ$212,Y$2,FALSE)</f>
        <v>408.04311389999998</v>
      </c>
      <c r="Z52" s="25">
        <f>VLOOKUP($D52,Résultats!$B$2:$AZ$212,Z$2,FALSE)</f>
        <v>447.33324199999998</v>
      </c>
      <c r="AA52" s="25">
        <f>VLOOKUP($D52,Résultats!$B$2:$AZ$212,AA$2,FALSE)</f>
        <v>483.846879</v>
      </c>
      <c r="AB52" s="25">
        <f>VLOOKUP($D52,Résultats!$B$2:$AZ$212,AB$2,FALSE)</f>
        <v>517.59696350000002</v>
      </c>
      <c r="AC52" s="25">
        <f>VLOOKUP($D52,Résultats!$B$2:$AZ$212,AC$2,FALSE)</f>
        <v>548.54726860000005</v>
      </c>
      <c r="AD52" s="25">
        <f>VLOOKUP($D52,Résultats!$B$2:$AZ$212,AD$2,FALSE)</f>
        <v>576.53782760000001</v>
      </c>
      <c r="AE52" s="25">
        <f>VLOOKUP($D52,Résultats!$B$2:$AZ$212,AE$2,FALSE)</f>
        <v>601.76268110000001</v>
      </c>
      <c r="AF52" s="25">
        <f>VLOOKUP($D52,Résultats!$B$2:$AZ$212,AF$2,FALSE)</f>
        <v>624.55379849999997</v>
      </c>
      <c r="AG52" s="25">
        <f>VLOOKUP($D52,Résultats!$B$2:$AZ$212,AG$2,FALSE)</f>
        <v>644.73956220000002</v>
      </c>
      <c r="AH52" s="25">
        <f>VLOOKUP($D52,Résultats!$B$2:$AZ$212,AH$2,FALSE)</f>
        <v>658.5732557</v>
      </c>
      <c r="AI52" s="25">
        <f>VLOOKUP($D52,Résultats!$B$2:$AZ$212,AI$2,FALSE)</f>
        <v>669.91108710000003</v>
      </c>
      <c r="AJ52" s="25">
        <f>VLOOKUP($D52,Résultats!$B$2:$AZ$212,AJ$2,FALSE)</f>
        <v>678.7695976</v>
      </c>
      <c r="AK52" s="25">
        <f>VLOOKUP($D52,Résultats!$B$2:$AZ$212,AK$2,FALSE)</f>
        <v>685.11580130000004</v>
      </c>
      <c r="AL52" s="25">
        <f>VLOOKUP($D52,Résultats!$B$2:$AZ$212,AL$2,FALSE)</f>
        <v>688.7872893</v>
      </c>
      <c r="AM52" s="102">
        <f>VLOOKUP($D52,Résultats!$B$2:$AZ$212,AM$2,FALSE)</f>
        <v>689.07545370000003</v>
      </c>
    </row>
    <row r="53" spans="2:40" x14ac:dyDescent="0.25">
      <c r="B53" s="230"/>
      <c r="C53" s="218" t="s">
        <v>30</v>
      </c>
      <c r="D53" s="54" t="s">
        <v>141</v>
      </c>
      <c r="E53" s="25">
        <f>VLOOKUP($D53,Résultats!$B$2:$AZ$212,E$2,FALSE)</f>
        <v>1.5834689479999999</v>
      </c>
      <c r="F53" s="25">
        <f>VLOOKUP($D53,Résultats!$B$2:$AZ$212,F$2,FALSE)</f>
        <v>82.607620920000002</v>
      </c>
      <c r="G53" s="25">
        <f>VLOOKUP($D53,Résultats!$B$2:$AZ$212,G$2,FALSE)</f>
        <v>197.46598850000001</v>
      </c>
      <c r="H53" s="25">
        <f>VLOOKUP($D53,Résultats!$B$2:$AZ$212,H$2,FALSE)</f>
        <v>261.66790400000002</v>
      </c>
      <c r="I53" s="25">
        <f>VLOOKUP($D53,Résultats!$B$2:$AZ$212,I$2,FALSE)</f>
        <v>340.77768930000002</v>
      </c>
      <c r="J53" s="25">
        <f>VLOOKUP($D53,Résultats!$B$2:$AZ$212,J$2,FALSE)</f>
        <v>432.02413610000002</v>
      </c>
      <c r="K53" s="25">
        <f>VLOOKUP($D53,Résultats!$B$2:$AZ$212,K$2,FALSE)</f>
        <v>548.04792110000005</v>
      </c>
      <c r="L53" s="25">
        <f>VLOOKUP($D53,Résultats!$B$2:$AZ$212,L$2,FALSE)</f>
        <v>693.53399119999995</v>
      </c>
      <c r="M53" s="25">
        <f>VLOOKUP($D53,Résultats!$B$2:$AZ$212,M$2,FALSE)</f>
        <v>853.5324415</v>
      </c>
      <c r="N53" s="25">
        <f>VLOOKUP($D53,Résultats!$B$2:$AZ$212,N$2,FALSE)</f>
        <v>1031.028546</v>
      </c>
      <c r="O53" s="25">
        <f>VLOOKUP($D53,Résultats!$B$2:$AZ$212,O$2,FALSE)</f>
        <v>1237.192209</v>
      </c>
      <c r="P53" s="25">
        <f>VLOOKUP($D53,Résultats!$B$2:$AZ$212,P$2,FALSE)</f>
        <v>1496.1501559999999</v>
      </c>
      <c r="Q53" s="25">
        <f>VLOOKUP($D53,Résultats!$B$2:$AZ$212,Q$2,FALSE)</f>
        <v>1847.9138</v>
      </c>
      <c r="R53" s="25">
        <f>VLOOKUP($D53,Résultats!$B$2:$AZ$212,R$2,FALSE)</f>
        <v>2306.9369769999998</v>
      </c>
      <c r="S53" s="25">
        <f>VLOOKUP($D53,Résultats!$B$2:$AZ$212,S$2,FALSE)</f>
        <v>2845.0075419999998</v>
      </c>
      <c r="T53" s="25">
        <f>VLOOKUP($D53,Résultats!$B$2:$AZ$212,T$2,FALSE)</f>
        <v>3504.4755679999998</v>
      </c>
      <c r="U53" s="25">
        <f>VLOOKUP($D53,Résultats!$B$2:$AZ$212,U$2,FALSE)</f>
        <v>4243.9389650000003</v>
      </c>
      <c r="V53" s="25">
        <f>VLOOKUP($D53,Résultats!$B$2:$AZ$212,V$2,FALSE)</f>
        <v>5009.3692529999998</v>
      </c>
      <c r="W53" s="25">
        <f>VLOOKUP($D53,Résultats!$B$2:$AZ$212,W$2,FALSE)</f>
        <v>5769.4991380000001</v>
      </c>
      <c r="X53" s="25">
        <f>VLOOKUP($D53,Résultats!$B$2:$AZ$212,X$2,FALSE)</f>
        <v>6504.0976199999996</v>
      </c>
      <c r="Y53" s="25">
        <f>VLOOKUP($D53,Résultats!$B$2:$AZ$212,Y$2,FALSE)</f>
        <v>7218.2931490000001</v>
      </c>
      <c r="Z53" s="25">
        <f>VLOOKUP($D53,Résultats!$B$2:$AZ$212,Z$2,FALSE)</f>
        <v>7896.3574900000003</v>
      </c>
      <c r="AA53" s="25">
        <f>VLOOKUP($D53,Résultats!$B$2:$AZ$212,AA$2,FALSE)</f>
        <v>8530.6723139999995</v>
      </c>
      <c r="AB53" s="25">
        <f>VLOOKUP($D53,Résultats!$B$2:$AZ$212,AB$2,FALSE)</f>
        <v>9123.2908979999902</v>
      </c>
      <c r="AC53" s="25">
        <f>VLOOKUP($D53,Résultats!$B$2:$AZ$212,AC$2,FALSE)</f>
        <v>9675.3708920000008</v>
      </c>
      <c r="AD53" s="25">
        <f>VLOOKUP($D53,Résultats!$B$2:$AZ$212,AD$2,FALSE)</f>
        <v>10184.280280000001</v>
      </c>
      <c r="AE53" s="25">
        <f>VLOOKUP($D53,Résultats!$B$2:$AZ$212,AE$2,FALSE)</f>
        <v>10654.596509999999</v>
      </c>
      <c r="AF53" s="25">
        <f>VLOOKUP($D53,Résultats!$B$2:$AZ$212,AF$2,FALSE)</f>
        <v>11093.07374</v>
      </c>
      <c r="AG53" s="25">
        <f>VLOOKUP($D53,Résultats!$B$2:$AZ$212,AG$2,FALSE)</f>
        <v>11497.55773</v>
      </c>
      <c r="AH53" s="25">
        <f>VLOOKUP($D53,Résultats!$B$2:$AZ$212,AH$2,FALSE)</f>
        <v>11851.66201</v>
      </c>
      <c r="AI53" s="25">
        <f>VLOOKUP($D53,Résultats!$B$2:$AZ$212,AI$2,FALSE)</f>
        <v>12178.38377</v>
      </c>
      <c r="AJ53" s="25">
        <f>VLOOKUP($D53,Résultats!$B$2:$AZ$212,AJ$2,FALSE)</f>
        <v>12478.61261</v>
      </c>
      <c r="AK53" s="25">
        <f>VLOOKUP($D53,Résultats!$B$2:$AZ$212,AK$2,FALSE)</f>
        <v>12752.150589999999</v>
      </c>
      <c r="AL53" s="25">
        <f>VLOOKUP($D53,Résultats!$B$2:$AZ$212,AL$2,FALSE)</f>
        <v>12996.632250000001</v>
      </c>
      <c r="AM53" s="102">
        <f>VLOOKUP($D53,Résultats!$B$2:$AZ$212,AM$2,FALSE)</f>
        <v>13197.33504</v>
      </c>
    </row>
    <row r="54" spans="2:40" x14ac:dyDescent="0.25">
      <c r="B54" s="230"/>
      <c r="C54" s="218" t="s">
        <v>31</v>
      </c>
      <c r="D54" s="54" t="s">
        <v>142</v>
      </c>
      <c r="E54" s="25">
        <f>VLOOKUP($D54,Résultats!$B$2:$AZ$212,E$2,FALSE)</f>
        <v>0.62410555599999995</v>
      </c>
      <c r="F54" s="25">
        <f>VLOOKUP($D54,Résultats!$B$2:$AZ$212,F$2,FALSE)</f>
        <v>32.113217280000001</v>
      </c>
      <c r="G54" s="25">
        <f>VLOOKUP($D54,Résultats!$B$2:$AZ$212,G$2,FALSE)</f>
        <v>76.938167089999894</v>
      </c>
      <c r="H54" s="25">
        <f>VLOOKUP($D54,Résultats!$B$2:$AZ$212,H$2,FALSE)</f>
        <v>101.9287614</v>
      </c>
      <c r="I54" s="25">
        <f>VLOOKUP($D54,Résultats!$B$2:$AZ$212,I$2,FALSE)</f>
        <v>132.55386379999999</v>
      </c>
      <c r="J54" s="25">
        <f>VLOOKUP($D54,Résultats!$B$2:$AZ$212,J$2,FALSE)</f>
        <v>167.64469209999999</v>
      </c>
      <c r="K54" s="25">
        <f>VLOOKUP($D54,Résultats!$B$2:$AZ$212,K$2,FALSE)</f>
        <v>210.93688280000001</v>
      </c>
      <c r="L54" s="25">
        <f>VLOOKUP($D54,Résultats!$B$2:$AZ$212,L$2,FALSE)</f>
        <v>264.17033709999998</v>
      </c>
      <c r="M54" s="25">
        <f>VLOOKUP($D54,Résultats!$B$2:$AZ$212,M$2,FALSE)</f>
        <v>322.33917650000001</v>
      </c>
      <c r="N54" s="25">
        <f>VLOOKUP($D54,Résultats!$B$2:$AZ$212,N$2,FALSE)</f>
        <v>386.51731899999999</v>
      </c>
      <c r="O54" s="25">
        <f>VLOOKUP($D54,Résultats!$B$2:$AZ$212,O$2,FALSE)</f>
        <v>460.5495684</v>
      </c>
      <c r="P54" s="25">
        <f>VLOOKUP($D54,Résultats!$B$2:$AZ$212,P$2,FALSE)</f>
        <v>553.02192590000004</v>
      </c>
      <c r="Q54" s="25">
        <f>VLOOKUP($D54,Résultats!$B$2:$AZ$212,Q$2,FALSE)</f>
        <v>678.04967439999996</v>
      </c>
      <c r="R54" s="25">
        <f>VLOOKUP($D54,Résultats!$B$2:$AZ$212,R$2,FALSE)</f>
        <v>840.31954299999995</v>
      </c>
      <c r="S54" s="25">
        <f>VLOOKUP($D54,Résultats!$B$2:$AZ$212,S$2,FALSE)</f>
        <v>1029.0793759999999</v>
      </c>
      <c r="T54" s="25">
        <f>VLOOKUP($D54,Résultats!$B$2:$AZ$212,T$2,FALSE)</f>
        <v>1259.0245600000001</v>
      </c>
      <c r="U54" s="25">
        <f>VLOOKUP($D54,Résultats!$B$2:$AZ$212,U$2,FALSE)</f>
        <v>1514.746159</v>
      </c>
      <c r="V54" s="25">
        <f>VLOOKUP($D54,Résultats!$B$2:$AZ$212,V$2,FALSE)</f>
        <v>1776.912462</v>
      </c>
      <c r="W54" s="25">
        <f>VLOOKUP($D54,Résultats!$B$2:$AZ$212,W$2,FALSE)</f>
        <v>2034.4158620000001</v>
      </c>
      <c r="X54" s="25">
        <f>VLOOKUP($D54,Résultats!$B$2:$AZ$212,X$2,FALSE)</f>
        <v>2280.2512000000002</v>
      </c>
      <c r="Y54" s="25">
        <f>VLOOKUP($D54,Résultats!$B$2:$AZ$212,Y$2,FALSE)</f>
        <v>2516.2866450000001</v>
      </c>
      <c r="Z54" s="25">
        <f>VLOOKUP($D54,Résultats!$B$2:$AZ$212,Z$2,FALSE)</f>
        <v>2737.1794009999999</v>
      </c>
      <c r="AA54" s="25">
        <f>VLOOKUP($D54,Résultats!$B$2:$AZ$212,AA$2,FALSE)</f>
        <v>2940.5011570000001</v>
      </c>
      <c r="AB54" s="25">
        <f>VLOOKUP($D54,Résultats!$B$2:$AZ$212,AB$2,FALSE)</f>
        <v>3127.16032</v>
      </c>
      <c r="AC54" s="25">
        <f>VLOOKUP($D54,Résultats!$B$2:$AZ$212,AC$2,FALSE)</f>
        <v>3297.7523900000001</v>
      </c>
      <c r="AD54" s="25">
        <f>VLOOKUP($D54,Résultats!$B$2:$AZ$212,AD$2,FALSE)</f>
        <v>3452.076669</v>
      </c>
      <c r="AE54" s="25">
        <f>VLOOKUP($D54,Résultats!$B$2:$AZ$212,AE$2,FALSE)</f>
        <v>3591.823875</v>
      </c>
      <c r="AF54" s="25">
        <f>VLOOKUP($D54,Résultats!$B$2:$AZ$212,AF$2,FALSE)</f>
        <v>3719.4211770000002</v>
      </c>
      <c r="AG54" s="25">
        <f>VLOOKUP($D54,Résultats!$B$2:$AZ$212,AG$2,FALSE)</f>
        <v>3834.3635490000001</v>
      </c>
      <c r="AH54" s="25">
        <f>VLOOKUP($D54,Résultats!$B$2:$AZ$212,AH$2,FALSE)</f>
        <v>3924.8060599999999</v>
      </c>
      <c r="AI54" s="25">
        <f>VLOOKUP($D54,Résultats!$B$2:$AZ$212,AI$2,FALSE)</f>
        <v>4005.5346770000001</v>
      </c>
      <c r="AJ54" s="25">
        <f>VLOOKUP($D54,Résultats!$B$2:$AZ$212,AJ$2,FALSE)</f>
        <v>4077.0144209999999</v>
      </c>
      <c r="AK54" s="25">
        <f>VLOOKUP($D54,Résultats!$B$2:$AZ$212,AK$2,FALSE)</f>
        <v>4139.3669360000004</v>
      </c>
      <c r="AL54" s="25">
        <f>VLOOKUP($D54,Résultats!$B$2:$AZ$212,AL$2,FALSE)</f>
        <v>4192.0110139999997</v>
      </c>
      <c r="AM54" s="102">
        <f>VLOOKUP($D54,Résultats!$B$2:$AZ$212,AM$2,FALSE)</f>
        <v>4230.6734049999995</v>
      </c>
    </row>
    <row r="55" spans="2:40" x14ac:dyDescent="0.25">
      <c r="B55" s="230"/>
      <c r="C55" s="218" t="s">
        <v>32</v>
      </c>
      <c r="D55" s="54" t="s">
        <v>143</v>
      </c>
      <c r="E55" s="25">
        <f>VLOOKUP($D55,Résultats!$B$2:$AZ$212,E$2,FALSE)</f>
        <v>8.5085212099999998E-3</v>
      </c>
      <c r="F55" s="25">
        <f>VLOOKUP($D55,Résultats!$B$2:$AZ$212,F$2,FALSE)</f>
        <v>0.1356509833</v>
      </c>
      <c r="G55" s="25">
        <f>VLOOKUP($D55,Résultats!$B$2:$AZ$212,G$2,FALSE)</f>
        <v>0.29585650419999998</v>
      </c>
      <c r="H55" s="25">
        <f>VLOOKUP($D55,Résultats!$B$2:$AZ$212,H$2,FALSE)</f>
        <v>0.39389582020000002</v>
      </c>
      <c r="I55" s="25">
        <f>VLOOKUP($D55,Résultats!$B$2:$AZ$212,I$2,FALSE)</f>
        <v>0.51464701950000002</v>
      </c>
      <c r="J55" s="25">
        <f>VLOOKUP($D55,Résultats!$B$2:$AZ$212,J$2,FALSE)</f>
        <v>0.65390669879999996</v>
      </c>
      <c r="K55" s="25">
        <f>VLOOKUP($D55,Résultats!$B$2:$AZ$212,K$2,FALSE)</f>
        <v>0.83124556059999999</v>
      </c>
      <c r="L55" s="25">
        <f>VLOOKUP($D55,Résultats!$B$2:$AZ$212,L$2,FALSE)</f>
        <v>1.0539600979999999</v>
      </c>
      <c r="M55" s="25">
        <f>VLOOKUP($D55,Résultats!$B$2:$AZ$212,M$2,FALSE)</f>
        <v>1.2990343230000001</v>
      </c>
      <c r="N55" s="25">
        <f>VLOOKUP($D55,Résultats!$B$2:$AZ$212,N$2,FALSE)</f>
        <v>1.571060506</v>
      </c>
      <c r="O55" s="25">
        <f>VLOOKUP($D55,Résultats!$B$2:$AZ$212,O$2,FALSE)</f>
        <v>1.8872702539999999</v>
      </c>
      <c r="P55" s="25">
        <f>VLOOKUP($D55,Résultats!$B$2:$AZ$212,P$2,FALSE)</f>
        <v>2.284731549</v>
      </c>
      <c r="Q55" s="25">
        <f>VLOOKUP($D55,Résultats!$B$2:$AZ$212,Q$2,FALSE)</f>
        <v>2.824983998</v>
      </c>
      <c r="R55" s="25">
        <f>VLOOKUP($D55,Résultats!$B$2:$AZ$212,R$2,FALSE)</f>
        <v>3.5305486519999998</v>
      </c>
      <c r="S55" s="25">
        <f>VLOOKUP($D55,Résultats!$B$2:$AZ$212,S$2,FALSE)</f>
        <v>4.3586390880000003</v>
      </c>
      <c r="T55" s="25">
        <f>VLOOKUP($D55,Résultats!$B$2:$AZ$212,T$2,FALSE)</f>
        <v>5.3746328109999997</v>
      </c>
      <c r="U55" s="25">
        <f>VLOOKUP($D55,Résultats!$B$2:$AZ$212,U$2,FALSE)</f>
        <v>6.5155665880000004</v>
      </c>
      <c r="V55" s="25">
        <f>VLOOKUP($D55,Résultats!$B$2:$AZ$212,V$2,FALSE)</f>
        <v>7.6987168280000002</v>
      </c>
      <c r="W55" s="25">
        <f>VLOOKUP($D55,Résultats!$B$2:$AZ$212,W$2,FALSE)</f>
        <v>8.8762457070000007</v>
      </c>
      <c r="X55" s="25">
        <f>VLOOKUP($D55,Résultats!$B$2:$AZ$212,X$2,FALSE)</f>
        <v>10.01712856</v>
      </c>
      <c r="Y55" s="25">
        <f>VLOOKUP($D55,Résultats!$B$2:$AZ$212,Y$2,FALSE)</f>
        <v>11.129387749999999</v>
      </c>
      <c r="Z55" s="25">
        <f>VLOOKUP($D55,Résultats!$B$2:$AZ$212,Z$2,FALSE)</f>
        <v>12.1888764</v>
      </c>
      <c r="AA55" s="25">
        <f>VLOOKUP($D55,Résultats!$B$2:$AZ$212,AA$2,FALSE)</f>
        <v>13.18385761</v>
      </c>
      <c r="AB55" s="25">
        <f>VLOOKUP($D55,Résultats!$B$2:$AZ$212,AB$2,FALSE)</f>
        <v>14.1175143</v>
      </c>
      <c r="AC55" s="25">
        <f>VLOOKUP($D55,Résultats!$B$2:$AZ$212,AC$2,FALSE)</f>
        <v>14.991646279999999</v>
      </c>
      <c r="AD55" s="25">
        <f>VLOOKUP($D55,Résultats!$B$2:$AZ$212,AD$2,FALSE)</f>
        <v>15.80149271</v>
      </c>
      <c r="AE55" s="25">
        <f>VLOOKUP($D55,Résultats!$B$2:$AZ$212,AE$2,FALSE)</f>
        <v>16.554149630000001</v>
      </c>
      <c r="AF55" s="25">
        <f>VLOOKUP($D55,Résultats!$B$2:$AZ$212,AF$2,FALSE)</f>
        <v>17.26006164</v>
      </c>
      <c r="AG55" s="25">
        <f>VLOOKUP($D55,Résultats!$B$2:$AZ$212,AG$2,FALSE)</f>
        <v>17.915759779999998</v>
      </c>
      <c r="AH55" s="25">
        <f>VLOOKUP($D55,Résultats!$B$2:$AZ$212,AH$2,FALSE)</f>
        <v>18.50794299</v>
      </c>
      <c r="AI55" s="25">
        <f>VLOOKUP($D55,Résultats!$B$2:$AZ$212,AI$2,FALSE)</f>
        <v>19.059991650000001</v>
      </c>
      <c r="AJ55" s="25">
        <f>VLOOKUP($D55,Résultats!$B$2:$AZ$212,AJ$2,FALSE)</f>
        <v>19.573184139999999</v>
      </c>
      <c r="AK55" s="25">
        <f>VLOOKUP($D55,Résultats!$B$2:$AZ$212,AK$2,FALSE)</f>
        <v>20.04705959</v>
      </c>
      <c r="AL55" s="25">
        <f>VLOOKUP($D55,Résultats!$B$2:$AZ$212,AL$2,FALSE)</f>
        <v>20.477772720000001</v>
      </c>
      <c r="AM55" s="102">
        <f>VLOOKUP($D55,Résultats!$B$2:$AZ$212,AM$2,FALSE)</f>
        <v>20.841486199999999</v>
      </c>
    </row>
    <row r="56" spans="2:40" x14ac:dyDescent="0.25">
      <c r="B56" s="230"/>
      <c r="C56" s="218" t="s">
        <v>33</v>
      </c>
      <c r="D56" s="54" t="s">
        <v>144</v>
      </c>
      <c r="E56" s="25">
        <f>VLOOKUP($D56,Résultats!$B$2:$AZ$212,E$2,FALSE)</f>
        <v>0.1045332606</v>
      </c>
      <c r="F56" s="25">
        <f>VLOOKUP($D56,Résultats!$B$2:$AZ$212,F$2,FALSE)</f>
        <v>4.9250273939999998</v>
      </c>
      <c r="G56" s="25">
        <f>VLOOKUP($D56,Résultats!$B$2:$AZ$212,G$2,FALSE)</f>
        <v>11.974537850000001</v>
      </c>
      <c r="H56" s="25">
        <f>VLOOKUP($D56,Résultats!$B$2:$AZ$212,H$2,FALSE)</f>
        <v>15.835956550000001</v>
      </c>
      <c r="I56" s="25">
        <f>VLOOKUP($D56,Résultats!$B$2:$AZ$212,I$2,FALSE)</f>
        <v>20.405472</v>
      </c>
      <c r="J56" s="25">
        <f>VLOOKUP($D56,Résultats!$B$2:$AZ$212,J$2,FALSE)</f>
        <v>25.42613253</v>
      </c>
      <c r="K56" s="25">
        <f>VLOOKUP($D56,Résultats!$B$2:$AZ$212,K$2,FALSE)</f>
        <v>30.544175599999999</v>
      </c>
      <c r="L56" s="25">
        <f>VLOOKUP($D56,Résultats!$B$2:$AZ$212,L$2,FALSE)</f>
        <v>36.12353933</v>
      </c>
      <c r="M56" s="25">
        <f>VLOOKUP($D56,Résultats!$B$2:$AZ$212,M$2,FALSE)</f>
        <v>41.996509879999998</v>
      </c>
      <c r="N56" s="25">
        <f>VLOOKUP($D56,Résultats!$B$2:$AZ$212,N$2,FALSE)</f>
        <v>48.280027879999999</v>
      </c>
      <c r="O56" s="25">
        <f>VLOOKUP($D56,Résultats!$B$2:$AZ$212,O$2,FALSE)</f>
        <v>55.258857450000001</v>
      </c>
      <c r="P56" s="25">
        <f>VLOOKUP($D56,Résultats!$B$2:$AZ$212,P$2,FALSE)</f>
        <v>63.73483014</v>
      </c>
      <c r="Q56" s="25">
        <f>VLOOKUP($D56,Résultats!$B$2:$AZ$212,Q$2,FALSE)</f>
        <v>74.954772550000001</v>
      </c>
      <c r="R56" s="25">
        <f>VLOOKUP($D56,Résultats!$B$2:$AZ$212,R$2,FALSE)</f>
        <v>89.145870059999893</v>
      </c>
      <c r="S56" s="25">
        <f>VLOOKUP($D56,Résultats!$B$2:$AZ$212,S$2,FALSE)</f>
        <v>105.0244915</v>
      </c>
      <c r="T56" s="25">
        <f>VLOOKUP($D56,Résultats!$B$2:$AZ$212,T$2,FALSE)</f>
        <v>123.81869039999999</v>
      </c>
      <c r="U56" s="25">
        <f>VLOOKUP($D56,Résultats!$B$2:$AZ$212,U$2,FALSE)</f>
        <v>143.8941786</v>
      </c>
      <c r="V56" s="25">
        <f>VLOOKUP($D56,Résultats!$B$2:$AZ$212,V$2,FALSE)</f>
        <v>163.52606370000001</v>
      </c>
      <c r="W56" s="25">
        <f>VLOOKUP($D56,Résultats!$B$2:$AZ$212,W$2,FALSE)</f>
        <v>181.80304820000001</v>
      </c>
      <c r="X56" s="25">
        <f>VLOOKUP($D56,Résultats!$B$2:$AZ$212,X$2,FALSE)</f>
        <v>198.25313399999999</v>
      </c>
      <c r="Y56" s="25">
        <f>VLOOKUP($D56,Résultats!$B$2:$AZ$212,Y$2,FALSE)</f>
        <v>213.14122990000001</v>
      </c>
      <c r="Z56" s="25">
        <f>VLOOKUP($D56,Résultats!$B$2:$AZ$212,Z$2,FALSE)</f>
        <v>226.1587849</v>
      </c>
      <c r="AA56" s="25">
        <f>VLOOKUP($D56,Résultats!$B$2:$AZ$212,AA$2,FALSE)</f>
        <v>237.25566019999999</v>
      </c>
      <c r="AB56" s="25">
        <f>VLOOKUP($D56,Résultats!$B$2:$AZ$212,AB$2,FALSE)</f>
        <v>246.63062790000001</v>
      </c>
      <c r="AC56" s="25">
        <f>VLOOKUP($D56,Résultats!$B$2:$AZ$212,AC$2,FALSE)</f>
        <v>254.44664119999999</v>
      </c>
      <c r="AD56" s="25">
        <f>VLOOKUP($D56,Résultats!$B$2:$AZ$212,AD$2,FALSE)</f>
        <v>260.88998609999999</v>
      </c>
      <c r="AE56" s="25">
        <f>VLOOKUP($D56,Résultats!$B$2:$AZ$212,AE$2,FALSE)</f>
        <v>266.15285230000001</v>
      </c>
      <c r="AF56" s="25">
        <f>VLOOKUP($D56,Résultats!$B$2:$AZ$212,AF$2,FALSE)</f>
        <v>270.4692192</v>
      </c>
      <c r="AG56" s="25">
        <f>VLOOKUP($D56,Résultats!$B$2:$AZ$212,AG$2,FALSE)</f>
        <v>273.87535800000001</v>
      </c>
      <c r="AH56" s="25">
        <f>VLOOKUP($D56,Résultats!$B$2:$AZ$212,AH$2,FALSE)</f>
        <v>274.92579130000001</v>
      </c>
      <c r="AI56" s="25">
        <f>VLOOKUP($D56,Résultats!$B$2:$AZ$212,AI$2,FALSE)</f>
        <v>275.50088169999998</v>
      </c>
      <c r="AJ56" s="25">
        <f>VLOOKUP($D56,Résultats!$B$2:$AZ$212,AJ$2,FALSE)</f>
        <v>275.66272900000001</v>
      </c>
      <c r="AK56" s="25">
        <f>VLOOKUP($D56,Résultats!$B$2:$AZ$212,AK$2,FALSE)</f>
        <v>275.44780759999998</v>
      </c>
      <c r="AL56" s="25">
        <f>VLOOKUP($D56,Résultats!$B$2:$AZ$212,AL$2,FALSE)</f>
        <v>274.8472625</v>
      </c>
      <c r="AM56" s="102">
        <f>VLOOKUP($D56,Résultats!$B$2:$AZ$212,AM$2,FALSE)</f>
        <v>273.6501581</v>
      </c>
    </row>
    <row r="57" spans="2:40" x14ac:dyDescent="0.25">
      <c r="B57" s="230"/>
      <c r="C57" s="223" t="s">
        <v>46</v>
      </c>
      <c r="D57" s="52" t="s">
        <v>146</v>
      </c>
      <c r="E57" s="61">
        <f>VLOOKUP($D57,Résultats!$B$2:$AZ$212,E$2,FALSE)</f>
        <v>31999.388770000001</v>
      </c>
      <c r="F57" s="61">
        <f>VLOOKUP($D57,Résultats!$B$2:$AZ$212,F$2,FALSE)</f>
        <v>35785.167699999998</v>
      </c>
      <c r="G57" s="61">
        <f>VLOOKUP($D57,Résultats!$B$2:$AZ$212,G$2,FALSE)</f>
        <v>36407.638619999998</v>
      </c>
      <c r="H57" s="61">
        <f>VLOOKUP($D57,Résultats!$B$2:$AZ$212,H$2,FALSE)</f>
        <v>36714.516450000003</v>
      </c>
      <c r="I57" s="61">
        <f>VLOOKUP($D57,Résultats!$B$2:$AZ$212,I$2,FALSE)</f>
        <v>36947.937729999998</v>
      </c>
      <c r="J57" s="61">
        <f>VLOOKUP($D57,Résultats!$B$2:$AZ$212,J$2,FALSE)</f>
        <v>37014.629959999998</v>
      </c>
      <c r="K57" s="61">
        <f>VLOOKUP($D57,Résultats!$B$2:$AZ$212,K$2,FALSE)</f>
        <v>36936.16805</v>
      </c>
      <c r="L57" s="61">
        <f>VLOOKUP($D57,Résultats!$B$2:$AZ$212,L$2,FALSE)</f>
        <v>36780.507570000002</v>
      </c>
      <c r="M57" s="61">
        <f>VLOOKUP($D57,Résultats!$B$2:$AZ$212,M$2,FALSE)</f>
        <v>36457.002269999997</v>
      </c>
      <c r="N57" s="61">
        <f>VLOOKUP($D57,Résultats!$B$2:$AZ$212,N$2,FALSE)</f>
        <v>36014.624150000003</v>
      </c>
      <c r="O57" s="61">
        <f>VLOOKUP($D57,Résultats!$B$2:$AZ$212,O$2,FALSE)</f>
        <v>35419.46514</v>
      </c>
      <c r="P57" s="61">
        <f>VLOOKUP($D57,Résultats!$B$2:$AZ$212,P$2,FALSE)</f>
        <v>34646.862009999997</v>
      </c>
      <c r="Q57" s="61">
        <f>VLOOKUP($D57,Résultats!$B$2:$AZ$212,Q$2,FALSE)</f>
        <v>33698.887360000001</v>
      </c>
      <c r="R57" s="61">
        <f>VLOOKUP($D57,Résultats!$B$2:$AZ$212,R$2,FALSE)</f>
        <v>32575.639780000001</v>
      </c>
      <c r="S57" s="61">
        <f>VLOOKUP($D57,Résultats!$B$2:$AZ$212,S$2,FALSE)</f>
        <v>31256.807850000001</v>
      </c>
      <c r="T57" s="61">
        <f>VLOOKUP($D57,Résultats!$B$2:$AZ$212,T$2,FALSE)</f>
        <v>29826.29593</v>
      </c>
      <c r="U57" s="61">
        <f>VLOOKUP($D57,Résultats!$B$2:$AZ$212,U$2,FALSE)</f>
        <v>28311.263019999999</v>
      </c>
      <c r="V57" s="61">
        <f>VLOOKUP($D57,Résultats!$B$2:$AZ$212,V$2,FALSE)</f>
        <v>26759.236700000001</v>
      </c>
      <c r="W57" s="61">
        <f>VLOOKUP($D57,Résultats!$B$2:$AZ$212,W$2,FALSE)</f>
        <v>25218.77015</v>
      </c>
      <c r="X57" s="61">
        <f>VLOOKUP($D57,Résultats!$B$2:$AZ$212,X$2,FALSE)</f>
        <v>23722.58383</v>
      </c>
      <c r="Y57" s="61">
        <f>VLOOKUP($D57,Résultats!$B$2:$AZ$212,Y$2,FALSE)</f>
        <v>22289.097129999998</v>
      </c>
      <c r="Z57" s="61">
        <f>VLOOKUP($D57,Résultats!$B$2:$AZ$212,Z$2,FALSE)</f>
        <v>20925.88711</v>
      </c>
      <c r="AA57" s="61">
        <f>VLOOKUP($D57,Résultats!$B$2:$AZ$212,AA$2,FALSE)</f>
        <v>19635.198240000002</v>
      </c>
      <c r="AB57" s="61">
        <f>VLOOKUP($D57,Résultats!$B$2:$AZ$212,AB$2,FALSE)</f>
        <v>18416.289649999999</v>
      </c>
      <c r="AC57" s="61">
        <f>VLOOKUP($D57,Résultats!$B$2:$AZ$212,AC$2,FALSE)</f>
        <v>17266.875390000001</v>
      </c>
      <c r="AD57" s="61">
        <f>VLOOKUP($D57,Résultats!$B$2:$AZ$212,AD$2,FALSE)</f>
        <v>16188.493769999999</v>
      </c>
      <c r="AE57" s="61">
        <f>VLOOKUP($D57,Résultats!$B$2:$AZ$212,AE$2,FALSE)</f>
        <v>15177.110640000001</v>
      </c>
      <c r="AF57" s="61">
        <f>VLOOKUP($D57,Résultats!$B$2:$AZ$212,AF$2,FALSE)</f>
        <v>14228.74019</v>
      </c>
      <c r="AG57" s="61">
        <f>VLOOKUP($D57,Résultats!$B$2:$AZ$212,AG$2,FALSE)</f>
        <v>13339.543079999999</v>
      </c>
      <c r="AH57" s="61">
        <f>VLOOKUP($D57,Résultats!$B$2:$AZ$212,AH$2,FALSE)</f>
        <v>12450.291380000001</v>
      </c>
      <c r="AI57" s="61">
        <f>VLOOKUP($D57,Résultats!$B$2:$AZ$212,AI$2,FALSE)</f>
        <v>11620.29753</v>
      </c>
      <c r="AJ57" s="61">
        <f>VLOOKUP($D57,Résultats!$B$2:$AZ$212,AJ$2,FALSE)</f>
        <v>10845.623809999999</v>
      </c>
      <c r="AK57" s="61">
        <f>VLOOKUP($D57,Résultats!$B$2:$AZ$212,AK$2,FALSE)</f>
        <v>10122.588589999999</v>
      </c>
      <c r="AL57" s="61">
        <f>VLOOKUP($D57,Résultats!$B$2:$AZ$212,AL$2,FALSE)</f>
        <v>9447.75251199999</v>
      </c>
      <c r="AM57" s="225">
        <f>VLOOKUP($D57,Résultats!$B$2:$AZ$212,AM$2,FALSE)</f>
        <v>8817.9038920000003</v>
      </c>
      <c r="AN57" s="212"/>
    </row>
    <row r="58" spans="2:40" x14ac:dyDescent="0.25">
      <c r="B58" s="230"/>
      <c r="C58" s="218" t="s">
        <v>27</v>
      </c>
      <c r="D58" s="54" t="s">
        <v>131</v>
      </c>
      <c r="E58" s="65">
        <f>VLOOKUP($D58,Résultats!$B$2:$AZ$212,E$2,FALSE)</f>
        <v>18.581072330000001</v>
      </c>
      <c r="F58" s="65">
        <f>VLOOKUP($D58,Résultats!$B$2:$AZ$212,F$2,FALSE)</f>
        <v>303.43290530000002</v>
      </c>
      <c r="G58" s="65">
        <f>VLOOKUP($D58,Résultats!$B$2:$AZ$212,G$2,FALSE)</f>
        <v>359.3900094</v>
      </c>
      <c r="H58" s="65">
        <f>VLOOKUP($D58,Résultats!$B$2:$AZ$212,H$2,FALSE)</f>
        <v>391.63065089999998</v>
      </c>
      <c r="I58" s="65">
        <f>VLOOKUP($D58,Résultats!$B$2:$AZ$212,I$2,FALSE)</f>
        <v>445.47888590000002</v>
      </c>
      <c r="J58" s="65">
        <f>VLOOKUP($D58,Résultats!$B$2:$AZ$212,J$2,FALSE)</f>
        <v>488.58087649999999</v>
      </c>
      <c r="K58" s="65">
        <f>VLOOKUP($D58,Résultats!$B$2:$AZ$212,K$2,FALSE)</f>
        <v>559.7731837</v>
      </c>
      <c r="L58" s="65">
        <f>VLOOKUP($D58,Résultats!$B$2:$AZ$212,L$2,FALSE)</f>
        <v>643.25881589999995</v>
      </c>
      <c r="M58" s="65">
        <f>VLOOKUP($D58,Résultats!$B$2:$AZ$212,M$2,FALSE)</f>
        <v>718.37478529999998</v>
      </c>
      <c r="N58" s="65">
        <f>VLOOKUP($D58,Résultats!$B$2:$AZ$212,N$2,FALSE)</f>
        <v>785.64201449999996</v>
      </c>
      <c r="O58" s="65">
        <f>VLOOKUP($D58,Résultats!$B$2:$AZ$212,O$2,FALSE)</f>
        <v>842.87402380000003</v>
      </c>
      <c r="P58" s="65">
        <f>VLOOKUP($D58,Résultats!$B$2:$AZ$212,P$2,FALSE)</f>
        <v>889.32543569999996</v>
      </c>
      <c r="Q58" s="65">
        <f>VLOOKUP($D58,Résultats!$B$2:$AZ$212,Q$2,FALSE)</f>
        <v>921.09940670000003</v>
      </c>
      <c r="R58" s="65">
        <f>VLOOKUP($D58,Résultats!$B$2:$AZ$212,R$2,FALSE)</f>
        <v>936.75411229999997</v>
      </c>
      <c r="S58" s="65">
        <f>VLOOKUP($D58,Résultats!$B$2:$AZ$212,S$2,FALSE)</f>
        <v>933.71160239999995</v>
      </c>
      <c r="T58" s="65">
        <f>VLOOKUP($D58,Résultats!$B$2:$AZ$212,T$2,FALSE)</f>
        <v>917.30761180000002</v>
      </c>
      <c r="U58" s="65">
        <f>VLOOKUP($D58,Résultats!$B$2:$AZ$212,U$2,FALSE)</f>
        <v>888.64926170000001</v>
      </c>
      <c r="V58" s="65">
        <f>VLOOKUP($D58,Résultats!$B$2:$AZ$212,V$2,FALSE)</f>
        <v>851.0526059</v>
      </c>
      <c r="W58" s="65">
        <f>VLOOKUP($D58,Résultats!$B$2:$AZ$212,W$2,FALSE)</f>
        <v>808.53757710000002</v>
      </c>
      <c r="X58" s="65">
        <f>VLOOKUP($D58,Résultats!$B$2:$AZ$212,X$2,FALSE)</f>
        <v>764.23088069999994</v>
      </c>
      <c r="Y58" s="65">
        <f>VLOOKUP($D58,Résultats!$B$2:$AZ$212,Y$2,FALSE)</f>
        <v>720.09498789999998</v>
      </c>
      <c r="Z58" s="65">
        <f>VLOOKUP($D58,Résultats!$B$2:$AZ$212,Z$2,FALSE)</f>
        <v>677.16719609999996</v>
      </c>
      <c r="AA58" s="65">
        <f>VLOOKUP($D58,Résultats!$B$2:$AZ$212,AA$2,FALSE)</f>
        <v>635.99871150000001</v>
      </c>
      <c r="AB58" s="65">
        <f>VLOOKUP($D58,Résultats!$B$2:$AZ$212,AB$2,FALSE)</f>
        <v>596.83660710000004</v>
      </c>
      <c r="AC58" s="65">
        <f>VLOOKUP($D58,Résultats!$B$2:$AZ$212,AC$2,FALSE)</f>
        <v>559.75568250000003</v>
      </c>
      <c r="AD58" s="65">
        <f>VLOOKUP($D58,Résultats!$B$2:$AZ$212,AD$2,FALSE)</f>
        <v>524.88559559999999</v>
      </c>
      <c r="AE58" s="65">
        <f>VLOOKUP($D58,Résultats!$B$2:$AZ$212,AE$2,FALSE)</f>
        <v>492.13965530000002</v>
      </c>
      <c r="AF58" s="65">
        <f>VLOOKUP($D58,Résultats!$B$2:$AZ$212,AF$2,FALSE)</f>
        <v>461.41174819999998</v>
      </c>
      <c r="AG58" s="65">
        <f>VLOOKUP($D58,Résultats!$B$2:$AZ$212,AG$2,FALSE)</f>
        <v>432.58943169999998</v>
      </c>
      <c r="AH58" s="65">
        <f>VLOOKUP($D58,Résultats!$B$2:$AZ$212,AH$2,FALSE)</f>
        <v>403.75911200000002</v>
      </c>
      <c r="AI58" s="65">
        <f>VLOOKUP($D58,Résultats!$B$2:$AZ$212,AI$2,FALSE)</f>
        <v>376.84648040000002</v>
      </c>
      <c r="AJ58" s="65">
        <f>VLOOKUP($D58,Résultats!$B$2:$AZ$212,AJ$2,FALSE)</f>
        <v>351.7257821</v>
      </c>
      <c r="AK58" s="65">
        <f>VLOOKUP($D58,Résultats!$B$2:$AZ$212,AK$2,FALSE)</f>
        <v>328.2786342</v>
      </c>
      <c r="AL58" s="65">
        <f>VLOOKUP($D58,Résultats!$B$2:$AZ$212,AL$2,FALSE)</f>
        <v>306.39402760000002</v>
      </c>
      <c r="AM58" s="226">
        <f>VLOOKUP($D58,Résultats!$B$2:$AZ$212,AM$2,FALSE)</f>
        <v>285.96808090000002</v>
      </c>
    </row>
    <row r="59" spans="2:40" x14ac:dyDescent="0.25">
      <c r="B59" s="230"/>
      <c r="C59" s="218" t="s">
        <v>28</v>
      </c>
      <c r="D59" s="54" t="s">
        <v>132</v>
      </c>
      <c r="E59" s="65">
        <f>VLOOKUP($D59,Résultats!$B$2:$AZ$212,E$2,FALSE)</f>
        <v>1622.772802</v>
      </c>
      <c r="F59" s="65">
        <f>VLOOKUP($D59,Résultats!$B$2:$AZ$212,F$2,FALSE)</f>
        <v>4072.3056879999999</v>
      </c>
      <c r="G59" s="65">
        <f>VLOOKUP($D59,Résultats!$B$2:$AZ$212,G$2,FALSE)</f>
        <v>4593.4028369999996</v>
      </c>
      <c r="H59" s="65">
        <f>VLOOKUP($D59,Résultats!$B$2:$AZ$212,H$2,FALSE)</f>
        <v>4773.5992349999997</v>
      </c>
      <c r="I59" s="65">
        <f>VLOOKUP($D59,Résultats!$B$2:$AZ$212,I$2,FALSE)</f>
        <v>4949.3027220000004</v>
      </c>
      <c r="J59" s="65">
        <f>VLOOKUP($D59,Résultats!$B$2:$AZ$212,J$2,FALSE)</f>
        <v>5080.1855699999996</v>
      </c>
      <c r="K59" s="65">
        <f>VLOOKUP($D59,Résultats!$B$2:$AZ$212,K$2,FALSE)</f>
        <v>5206.6718819999996</v>
      </c>
      <c r="L59" s="65">
        <f>VLOOKUP($D59,Résultats!$B$2:$AZ$212,L$2,FALSE)</f>
        <v>5324.0046110000003</v>
      </c>
      <c r="M59" s="65">
        <f>VLOOKUP($D59,Résultats!$B$2:$AZ$212,M$2,FALSE)</f>
        <v>5399.7836420000003</v>
      </c>
      <c r="N59" s="65">
        <f>VLOOKUP($D59,Résultats!$B$2:$AZ$212,N$2,FALSE)</f>
        <v>5443.7025439999998</v>
      </c>
      <c r="O59" s="65">
        <f>VLOOKUP($D59,Résultats!$B$2:$AZ$212,O$2,FALSE)</f>
        <v>5449.0819320000001</v>
      </c>
      <c r="P59" s="65">
        <f>VLOOKUP($D59,Résultats!$B$2:$AZ$212,P$2,FALSE)</f>
        <v>5410.7068810000001</v>
      </c>
      <c r="Q59" s="65">
        <f>VLOOKUP($D59,Résultats!$B$2:$AZ$212,Q$2,FALSE)</f>
        <v>5328.6747599999999</v>
      </c>
      <c r="R59" s="65">
        <f>VLOOKUP($D59,Résultats!$B$2:$AZ$212,R$2,FALSE)</f>
        <v>5202.9528650000002</v>
      </c>
      <c r="S59" s="65">
        <f>VLOOKUP($D59,Résultats!$B$2:$AZ$212,S$2,FALSE)</f>
        <v>5029.037155</v>
      </c>
      <c r="T59" s="65">
        <f>VLOOKUP($D59,Résultats!$B$2:$AZ$212,T$2,FALSE)</f>
        <v>4824.8582390000001</v>
      </c>
      <c r="U59" s="65">
        <f>VLOOKUP($D59,Résultats!$B$2:$AZ$212,U$2,FALSE)</f>
        <v>4596.3985350000003</v>
      </c>
      <c r="V59" s="65">
        <f>VLOOKUP($D59,Résultats!$B$2:$AZ$212,V$2,FALSE)</f>
        <v>4354.1028720000004</v>
      </c>
      <c r="W59" s="65">
        <f>VLOOKUP($D59,Résultats!$B$2:$AZ$212,W$2,FALSE)</f>
        <v>4108.7620150000002</v>
      </c>
      <c r="X59" s="65">
        <f>VLOOKUP($D59,Résultats!$B$2:$AZ$212,X$2,FALSE)</f>
        <v>3867.8184070000002</v>
      </c>
      <c r="Y59" s="65">
        <f>VLOOKUP($D59,Résultats!$B$2:$AZ$212,Y$2,FALSE)</f>
        <v>3635.581385</v>
      </c>
      <c r="Z59" s="65">
        <f>VLOOKUP($D59,Résultats!$B$2:$AZ$212,Z$2,FALSE)</f>
        <v>3413.991203</v>
      </c>
      <c r="AA59" s="65">
        <f>VLOOKUP($D59,Résultats!$B$2:$AZ$212,AA$2,FALSE)</f>
        <v>3203.8079769999999</v>
      </c>
      <c r="AB59" s="65">
        <f>VLOOKUP($D59,Résultats!$B$2:$AZ$212,AB$2,FALSE)</f>
        <v>3005.1199889999998</v>
      </c>
      <c r="AC59" s="65">
        <f>VLOOKUP($D59,Résultats!$B$2:$AZ$212,AC$2,FALSE)</f>
        <v>2817.6614169999998</v>
      </c>
      <c r="AD59" s="65">
        <f>VLOOKUP($D59,Résultats!$B$2:$AZ$212,AD$2,FALSE)</f>
        <v>2641.737713</v>
      </c>
      <c r="AE59" s="65">
        <f>VLOOKUP($D59,Résultats!$B$2:$AZ$212,AE$2,FALSE)</f>
        <v>2476.7190019999998</v>
      </c>
      <c r="AF59" s="65">
        <f>VLOOKUP($D59,Résultats!$B$2:$AZ$212,AF$2,FALSE)</f>
        <v>2321.9690839999998</v>
      </c>
      <c r="AG59" s="65">
        <f>VLOOKUP($D59,Résultats!$B$2:$AZ$212,AG$2,FALSE)</f>
        <v>2176.8684699999999</v>
      </c>
      <c r="AH59" s="65">
        <f>VLOOKUP($D59,Résultats!$B$2:$AZ$212,AH$2,FALSE)</f>
        <v>2031.7555870000001</v>
      </c>
      <c r="AI59" s="65">
        <f>VLOOKUP($D59,Résultats!$B$2:$AZ$212,AI$2,FALSE)</f>
        <v>1896.311054</v>
      </c>
      <c r="AJ59" s="65">
        <f>VLOOKUP($D59,Résultats!$B$2:$AZ$212,AJ$2,FALSE)</f>
        <v>1769.8932319999999</v>
      </c>
      <c r="AK59" s="65">
        <f>VLOOKUP($D59,Résultats!$B$2:$AZ$212,AK$2,FALSE)</f>
        <v>1651.9018020000001</v>
      </c>
      <c r="AL59" s="65">
        <f>VLOOKUP($D59,Résultats!$B$2:$AZ$212,AL$2,FALSE)</f>
        <v>1541.7757360000001</v>
      </c>
      <c r="AM59" s="226">
        <f>VLOOKUP($D59,Résultats!$B$2:$AZ$212,AM$2,FALSE)</f>
        <v>1438.9910379999999</v>
      </c>
    </row>
    <row r="60" spans="2:40" x14ac:dyDescent="0.25">
      <c r="B60" s="230"/>
      <c r="C60" s="218" t="s">
        <v>29</v>
      </c>
      <c r="D60" s="54" t="s">
        <v>133</v>
      </c>
      <c r="E60" s="65">
        <f>VLOOKUP($D60,Résultats!$B$2:$AZ$212,E$2,FALSE)</f>
        <v>3840.9962489999998</v>
      </c>
      <c r="F60" s="65">
        <f>VLOOKUP($D60,Résultats!$B$2:$AZ$212,F$2,FALSE)</f>
        <v>7008.353736</v>
      </c>
      <c r="G60" s="65">
        <f>VLOOKUP($D60,Résultats!$B$2:$AZ$212,G$2,FALSE)</f>
        <v>7684.8372600000002</v>
      </c>
      <c r="H60" s="65">
        <f>VLOOKUP($D60,Résultats!$B$2:$AZ$212,H$2,FALSE)</f>
        <v>7919.8100089999998</v>
      </c>
      <c r="I60" s="65">
        <f>VLOOKUP($D60,Résultats!$B$2:$AZ$212,I$2,FALSE)</f>
        <v>8133.8796599999996</v>
      </c>
      <c r="J60" s="65">
        <f>VLOOKUP($D60,Résultats!$B$2:$AZ$212,J$2,FALSE)</f>
        <v>8290.2723239999996</v>
      </c>
      <c r="K60" s="65">
        <f>VLOOKUP($D60,Résultats!$B$2:$AZ$212,K$2,FALSE)</f>
        <v>8416.7468229999995</v>
      </c>
      <c r="L60" s="65">
        <f>VLOOKUP($D60,Résultats!$B$2:$AZ$212,L$2,FALSE)</f>
        <v>8519.6550310000002</v>
      </c>
      <c r="M60" s="65">
        <f>VLOOKUP($D60,Résultats!$B$2:$AZ$212,M$2,FALSE)</f>
        <v>8563.5427450000007</v>
      </c>
      <c r="N60" s="65">
        <f>VLOOKUP($D60,Résultats!$B$2:$AZ$212,N$2,FALSE)</f>
        <v>8563.5520720000004</v>
      </c>
      <c r="O60" s="65">
        <f>VLOOKUP($D60,Résultats!$B$2:$AZ$212,O$2,FALSE)</f>
        <v>8510.5635110000003</v>
      </c>
      <c r="P60" s="65">
        <f>VLOOKUP($D60,Résultats!$B$2:$AZ$212,P$2,FALSE)</f>
        <v>8397.3704570000009</v>
      </c>
      <c r="Q60" s="65">
        <f>VLOOKUP($D60,Résultats!$B$2:$AZ$212,Q$2,FALSE)</f>
        <v>8225.5954829999901</v>
      </c>
      <c r="R60" s="65">
        <f>VLOOKUP($D60,Résultats!$B$2:$AZ$212,R$2,FALSE)</f>
        <v>7995.8272429999997</v>
      </c>
      <c r="S60" s="65">
        <f>VLOOKUP($D60,Résultats!$B$2:$AZ$212,S$2,FALSE)</f>
        <v>7702.5321329999997</v>
      </c>
      <c r="T60" s="65">
        <f>VLOOKUP($D60,Résultats!$B$2:$AZ$212,T$2,FALSE)</f>
        <v>7370.8636269999997</v>
      </c>
      <c r="U60" s="65">
        <f>VLOOKUP($D60,Résultats!$B$2:$AZ$212,U$2,FALSE)</f>
        <v>7009.3224369999998</v>
      </c>
      <c r="V60" s="65">
        <f>VLOOKUP($D60,Résultats!$B$2:$AZ$212,V$2,FALSE)</f>
        <v>6632.2773280000001</v>
      </c>
      <c r="W60" s="65">
        <f>VLOOKUP($D60,Résultats!$B$2:$AZ$212,W$2,FALSE)</f>
        <v>6254.2821670000003</v>
      </c>
      <c r="X60" s="65">
        <f>VLOOKUP($D60,Résultats!$B$2:$AZ$212,X$2,FALSE)</f>
        <v>5885.1569149999996</v>
      </c>
      <c r="Y60" s="65">
        <f>VLOOKUP($D60,Résultats!$B$2:$AZ$212,Y$2,FALSE)</f>
        <v>5530.5030589999997</v>
      </c>
      <c r="Z60" s="65">
        <f>VLOOKUP($D60,Résultats!$B$2:$AZ$212,Z$2,FALSE)</f>
        <v>5192.7303140000004</v>
      </c>
      <c r="AA60" s="65">
        <f>VLOOKUP($D60,Résultats!$B$2:$AZ$212,AA$2,FALSE)</f>
        <v>4872.6769039999999</v>
      </c>
      <c r="AB60" s="65">
        <f>VLOOKUP($D60,Résultats!$B$2:$AZ$212,AB$2,FALSE)</f>
        <v>4570.302428</v>
      </c>
      <c r="AC60" s="65">
        <f>VLOOKUP($D60,Résultats!$B$2:$AZ$212,AC$2,FALSE)</f>
        <v>4285.1092950000002</v>
      </c>
      <c r="AD60" s="65">
        <f>VLOOKUP($D60,Résultats!$B$2:$AZ$212,AD$2,FALSE)</f>
        <v>4017.5130210000002</v>
      </c>
      <c r="AE60" s="65">
        <f>VLOOKUP($D60,Résultats!$B$2:$AZ$212,AE$2,FALSE)</f>
        <v>3766.5289659999999</v>
      </c>
      <c r="AF60" s="65">
        <f>VLOOKUP($D60,Résultats!$B$2:$AZ$212,AF$2,FALSE)</f>
        <v>3531.1758620000001</v>
      </c>
      <c r="AG60" s="65">
        <f>VLOOKUP($D60,Résultats!$B$2:$AZ$212,AG$2,FALSE)</f>
        <v>3310.50459</v>
      </c>
      <c r="AH60" s="65">
        <f>VLOOKUP($D60,Résultats!$B$2:$AZ$212,AH$2,FALSE)</f>
        <v>3089.818092</v>
      </c>
      <c r="AI60" s="65">
        <f>VLOOKUP($D60,Résultats!$B$2:$AZ$212,AI$2,FALSE)</f>
        <v>2883.83707</v>
      </c>
      <c r="AJ60" s="65">
        <f>VLOOKUP($D60,Résultats!$B$2:$AZ$212,AJ$2,FALSE)</f>
        <v>2691.5846590000001</v>
      </c>
      <c r="AK60" s="65">
        <f>VLOOKUP($D60,Résultats!$B$2:$AZ$212,AK$2,FALSE)</f>
        <v>2512.1473599999999</v>
      </c>
      <c r="AL60" s="65">
        <f>VLOOKUP($D60,Résultats!$B$2:$AZ$212,AL$2,FALSE)</f>
        <v>2344.671695</v>
      </c>
      <c r="AM60" s="226">
        <f>VLOOKUP($D60,Résultats!$B$2:$AZ$212,AM$2,FALSE)</f>
        <v>2188.3606490000002</v>
      </c>
    </row>
    <row r="61" spans="2:40" x14ac:dyDescent="0.25">
      <c r="B61" s="230"/>
      <c r="C61" s="218" t="s">
        <v>30</v>
      </c>
      <c r="D61" s="54" t="s">
        <v>134</v>
      </c>
      <c r="E61" s="65">
        <f>VLOOKUP($D61,Résultats!$B$2:$AZ$212,E$2,FALSE)</f>
        <v>5377.3855290000001</v>
      </c>
      <c r="F61" s="65">
        <f>VLOOKUP($D61,Résultats!$B$2:$AZ$212,F$2,FALSE)</f>
        <v>7824.5764230000004</v>
      </c>
      <c r="G61" s="65">
        <f>VLOOKUP($D61,Résultats!$B$2:$AZ$212,G$2,FALSE)</f>
        <v>8313.2284490000002</v>
      </c>
      <c r="H61" s="65">
        <f>VLOOKUP($D61,Résultats!$B$2:$AZ$212,H$2,FALSE)</f>
        <v>8490.2227000000003</v>
      </c>
      <c r="I61" s="65">
        <f>VLOOKUP($D61,Résultats!$B$2:$AZ$212,I$2,FALSE)</f>
        <v>8636.9327369999901</v>
      </c>
      <c r="J61" s="65">
        <f>VLOOKUP($D61,Résultats!$B$2:$AZ$212,J$2,FALSE)</f>
        <v>8745.9449939999995</v>
      </c>
      <c r="K61" s="65">
        <f>VLOOKUP($D61,Résultats!$B$2:$AZ$212,K$2,FALSE)</f>
        <v>8813.7941979999996</v>
      </c>
      <c r="L61" s="65">
        <f>VLOOKUP($D61,Résultats!$B$2:$AZ$212,L$2,FALSE)</f>
        <v>8854.50939499999</v>
      </c>
      <c r="M61" s="65">
        <f>VLOOKUP($D61,Résultats!$B$2:$AZ$212,M$2,FALSE)</f>
        <v>8841.33793899999</v>
      </c>
      <c r="N61" s="65">
        <f>VLOOKUP($D61,Résultats!$B$2:$AZ$212,N$2,FALSE)</f>
        <v>8789.0498719999996</v>
      </c>
      <c r="O61" s="65">
        <f>VLOOKUP($D61,Résultats!$B$2:$AZ$212,O$2,FALSE)</f>
        <v>8689.0817630000001</v>
      </c>
      <c r="P61" s="65">
        <f>VLOOKUP($D61,Résultats!$B$2:$AZ$212,P$2,FALSE)</f>
        <v>8534.6479789999994</v>
      </c>
      <c r="Q61" s="65">
        <f>VLOOKUP($D61,Résultats!$B$2:$AZ$212,Q$2,FALSE)</f>
        <v>8328.0268599999999</v>
      </c>
      <c r="R61" s="65">
        <f>VLOOKUP($D61,Résultats!$B$2:$AZ$212,R$2,FALSE)</f>
        <v>8070.0424970000004</v>
      </c>
      <c r="S61" s="65">
        <f>VLOOKUP($D61,Résultats!$B$2:$AZ$212,S$2,FALSE)</f>
        <v>7755.863816</v>
      </c>
      <c r="T61" s="65">
        <f>VLOOKUP($D61,Résultats!$B$2:$AZ$212,T$2,FALSE)</f>
        <v>7408.8609710000001</v>
      </c>
      <c r="U61" s="65">
        <f>VLOOKUP($D61,Résultats!$B$2:$AZ$212,U$2,FALSE)</f>
        <v>7036.9775589999999</v>
      </c>
      <c r="V61" s="65">
        <f>VLOOKUP($D61,Résultats!$B$2:$AZ$212,V$2,FALSE)</f>
        <v>6653.4174270000003</v>
      </c>
      <c r="W61" s="65">
        <f>VLOOKUP($D61,Résultats!$B$2:$AZ$212,W$2,FALSE)</f>
        <v>6271.4067699999996</v>
      </c>
      <c r="X61" s="65">
        <f>VLOOKUP($D61,Résultats!$B$2:$AZ$212,X$2,FALSE)</f>
        <v>5899.7474119999997</v>
      </c>
      <c r="Y61" s="65">
        <f>VLOOKUP($D61,Résultats!$B$2:$AZ$212,Y$2,FALSE)</f>
        <v>5543.3970829999998</v>
      </c>
      <c r="Z61" s="65">
        <f>VLOOKUP($D61,Résultats!$B$2:$AZ$212,Z$2,FALSE)</f>
        <v>5204.408144</v>
      </c>
      <c r="AA61" s="65">
        <f>VLOOKUP($D61,Résultats!$B$2:$AZ$212,AA$2,FALSE)</f>
        <v>4883.412566</v>
      </c>
      <c r="AB61" s="65">
        <f>VLOOKUP($D61,Résultats!$B$2:$AZ$212,AB$2,FALSE)</f>
        <v>4580.2570100000003</v>
      </c>
      <c r="AC61" s="65">
        <f>VLOOKUP($D61,Résultats!$B$2:$AZ$212,AC$2,FALSE)</f>
        <v>4294.3835909999998</v>
      </c>
      <c r="AD61" s="65">
        <f>VLOOKUP($D61,Résultats!$B$2:$AZ$212,AD$2,FALSE)</f>
        <v>4026.178093</v>
      </c>
      <c r="AE61" s="65">
        <f>VLOOKUP($D61,Résultats!$B$2:$AZ$212,AE$2,FALSE)</f>
        <v>3774.6374080000001</v>
      </c>
      <c r="AF61" s="65">
        <f>VLOOKUP($D61,Résultats!$B$2:$AZ$212,AF$2,FALSE)</f>
        <v>3538.7698439999999</v>
      </c>
      <c r="AG61" s="65">
        <f>VLOOKUP($D61,Résultats!$B$2:$AZ$212,AG$2,FALSE)</f>
        <v>3317.62005</v>
      </c>
      <c r="AH61" s="65">
        <f>VLOOKUP($D61,Résultats!$B$2:$AZ$212,AH$2,FALSE)</f>
        <v>3096.4570560000002</v>
      </c>
      <c r="AI61" s="65">
        <f>VLOOKUP($D61,Résultats!$B$2:$AZ$212,AI$2,FALSE)</f>
        <v>2890.0323539999999</v>
      </c>
      <c r="AJ61" s="65">
        <f>VLOOKUP($D61,Résultats!$B$2:$AZ$212,AJ$2,FALSE)</f>
        <v>2697.3663769999998</v>
      </c>
      <c r="AK61" s="65">
        <f>VLOOKUP($D61,Résultats!$B$2:$AZ$212,AK$2,FALSE)</f>
        <v>2517.5433539999999</v>
      </c>
      <c r="AL61" s="65">
        <f>VLOOKUP($D61,Résultats!$B$2:$AZ$212,AL$2,FALSE)</f>
        <v>2349.7078179999999</v>
      </c>
      <c r="AM61" s="226">
        <f>VLOOKUP($D61,Résultats!$B$2:$AZ$212,AM$2,FALSE)</f>
        <v>2193.060962</v>
      </c>
    </row>
    <row r="62" spans="2:40" x14ac:dyDescent="0.25">
      <c r="B62" s="230"/>
      <c r="C62" s="218" t="s">
        <v>31</v>
      </c>
      <c r="D62" s="54" t="s">
        <v>135</v>
      </c>
      <c r="E62" s="65">
        <f>VLOOKUP($D62,Résultats!$B$2:$AZ$212,E$2,FALSE)</f>
        <v>13959.64589</v>
      </c>
      <c r="F62" s="65">
        <f>VLOOKUP($D62,Résultats!$B$2:$AZ$212,F$2,FALSE)</f>
        <v>11255.01633</v>
      </c>
      <c r="G62" s="65">
        <f>VLOOKUP($D62,Résultats!$B$2:$AZ$212,G$2,FALSE)</f>
        <v>10588.69376</v>
      </c>
      <c r="H62" s="65">
        <f>VLOOKUP($D62,Résultats!$B$2:$AZ$212,H$2,FALSE)</f>
        <v>10405.55401</v>
      </c>
      <c r="I62" s="65">
        <f>VLOOKUP($D62,Résultats!$B$2:$AZ$212,I$2,FALSE)</f>
        <v>10199.58181</v>
      </c>
      <c r="J62" s="65">
        <f>VLOOKUP($D62,Résultats!$B$2:$AZ$212,J$2,FALSE)</f>
        <v>10001.44369</v>
      </c>
      <c r="K62" s="65">
        <f>VLOOKUP($D62,Résultats!$B$2:$AZ$212,K$2,FALSE)</f>
        <v>9737.7668389999999</v>
      </c>
      <c r="L62" s="65">
        <f>VLOOKUP($D62,Résultats!$B$2:$AZ$212,L$2,FALSE)</f>
        <v>9451.67430099999</v>
      </c>
      <c r="M62" s="65">
        <f>VLOOKUP($D62,Résultats!$B$2:$AZ$212,M$2,FALSE)</f>
        <v>9152.9230490000009</v>
      </c>
      <c r="N62" s="65">
        <f>VLOOKUP($D62,Résultats!$B$2:$AZ$212,N$2,FALSE)</f>
        <v>8849.3608289999902</v>
      </c>
      <c r="O62" s="65">
        <f>VLOOKUP($D62,Résultats!$B$2:$AZ$212,O$2,FALSE)</f>
        <v>8535.1698520000009</v>
      </c>
      <c r="P62" s="65">
        <f>VLOOKUP($D62,Résultats!$B$2:$AZ$212,P$2,FALSE)</f>
        <v>8206.3810410000006</v>
      </c>
      <c r="Q62" s="65">
        <f>VLOOKUP($D62,Résultats!$B$2:$AZ$212,Q$2,FALSE)</f>
        <v>7864.6447680000001</v>
      </c>
      <c r="R62" s="65">
        <f>VLOOKUP($D62,Résultats!$B$2:$AZ$212,R$2,FALSE)</f>
        <v>7510.2483789999997</v>
      </c>
      <c r="S62" s="65">
        <f>VLOOKUP($D62,Résultats!$B$2:$AZ$212,S$2,FALSE)</f>
        <v>7140.7195119999997</v>
      </c>
      <c r="T62" s="65">
        <f>VLOOKUP($D62,Résultats!$B$2:$AZ$212,T$2,FALSE)</f>
        <v>6767.3233030000001</v>
      </c>
      <c r="U62" s="65">
        <f>VLOOKUP($D62,Résultats!$B$2:$AZ$212,U$2,FALSE)</f>
        <v>6393.6165940000001</v>
      </c>
      <c r="V62" s="65">
        <f>VLOOKUP($D62,Résultats!$B$2:$AZ$212,V$2,FALSE)</f>
        <v>6025.5676409999996</v>
      </c>
      <c r="W62" s="65">
        <f>VLOOKUP($D62,Résultats!$B$2:$AZ$212,W$2,FALSE)</f>
        <v>5668.987349</v>
      </c>
      <c r="X62" s="65">
        <f>VLOOKUP($D62,Résultats!$B$2:$AZ$212,X$2,FALSE)</f>
        <v>5327.4681460000002</v>
      </c>
      <c r="Y62" s="65">
        <f>VLOOKUP($D62,Résultats!$B$2:$AZ$212,Y$2,FALSE)</f>
        <v>5002.7950000000001</v>
      </c>
      <c r="Z62" s="65">
        <f>VLOOKUP($D62,Résultats!$B$2:$AZ$212,Z$2,FALSE)</f>
        <v>4695.3956790000002</v>
      </c>
      <c r="AA62" s="65">
        <f>VLOOKUP($D62,Résultats!$B$2:$AZ$212,AA$2,FALSE)</f>
        <v>4405.0564619999996</v>
      </c>
      <c r="AB62" s="65">
        <f>VLOOKUP($D62,Résultats!$B$2:$AZ$212,AB$2,FALSE)</f>
        <v>4131.22649</v>
      </c>
      <c r="AC62" s="65">
        <f>VLOOKUP($D62,Résultats!$B$2:$AZ$212,AC$2,FALSE)</f>
        <v>3873.1939379999999</v>
      </c>
      <c r="AD62" s="65">
        <f>VLOOKUP($D62,Résultats!$B$2:$AZ$212,AD$2,FALSE)</f>
        <v>3631.2020659999998</v>
      </c>
      <c r="AE62" s="65">
        <f>VLOOKUP($D62,Résultats!$B$2:$AZ$212,AE$2,FALSE)</f>
        <v>3404.292492</v>
      </c>
      <c r="AF62" s="65">
        <f>VLOOKUP($D62,Résultats!$B$2:$AZ$212,AF$2,FALSE)</f>
        <v>3191.544183</v>
      </c>
      <c r="AG62" s="65">
        <f>VLOOKUP($D62,Résultats!$B$2:$AZ$212,AG$2,FALSE)</f>
        <v>2992.0824729999999</v>
      </c>
      <c r="AH62" s="65">
        <f>VLOOKUP($D62,Résultats!$B$2:$AZ$212,AH$2,FALSE)</f>
        <v>2792.6151380000001</v>
      </c>
      <c r="AI62" s="65">
        <f>VLOOKUP($D62,Résultats!$B$2:$AZ$212,AI$2,FALSE)</f>
        <v>2606.4431749999999</v>
      </c>
      <c r="AJ62" s="65">
        <f>VLOOKUP($D62,Résultats!$B$2:$AZ$212,AJ$2,FALSE)</f>
        <v>2432.6814669999999</v>
      </c>
      <c r="AK62" s="65">
        <f>VLOOKUP($D62,Résultats!$B$2:$AZ$212,AK$2,FALSE)</f>
        <v>2270.503279</v>
      </c>
      <c r="AL62" s="65">
        <f>VLOOKUP($D62,Résultats!$B$2:$AZ$212,AL$2,FALSE)</f>
        <v>2119.1366760000001</v>
      </c>
      <c r="AM62" s="226">
        <f>VLOOKUP($D62,Résultats!$B$2:$AZ$212,AM$2,FALSE)</f>
        <v>1977.861034</v>
      </c>
    </row>
    <row r="63" spans="2:40" x14ac:dyDescent="0.25">
      <c r="B63" s="230"/>
      <c r="C63" s="218" t="s">
        <v>32</v>
      </c>
      <c r="D63" s="54" t="s">
        <v>136</v>
      </c>
      <c r="E63" s="65">
        <f>VLOOKUP($D63,Résultats!$B$2:$AZ$212,E$2,FALSE)</f>
        <v>4923.9468200000001</v>
      </c>
      <c r="F63" s="65">
        <f>VLOOKUP($D63,Résultats!$B$2:$AZ$212,F$2,FALSE)</f>
        <v>3811.822854</v>
      </c>
      <c r="G63" s="65">
        <f>VLOOKUP($D63,Résultats!$B$2:$AZ$212,G$2,FALSE)</f>
        <v>3531.0782720000002</v>
      </c>
      <c r="H63" s="65">
        <f>VLOOKUP($D63,Résultats!$B$2:$AZ$212,H$2,FALSE)</f>
        <v>3450.198097</v>
      </c>
      <c r="I63" s="65">
        <f>VLOOKUP($D63,Résultats!$B$2:$AZ$212,I$2,FALSE)</f>
        <v>3355.0281100000002</v>
      </c>
      <c r="J63" s="65">
        <f>VLOOKUP($D63,Résultats!$B$2:$AZ$212,J$2,FALSE)</f>
        <v>3239.638739</v>
      </c>
      <c r="K63" s="65">
        <f>VLOOKUP($D63,Résultats!$B$2:$AZ$212,K$2,FALSE)</f>
        <v>3097.7715699999999</v>
      </c>
      <c r="L63" s="65">
        <f>VLOOKUP($D63,Résultats!$B$2:$AZ$212,L$2,FALSE)</f>
        <v>2948.6820659999998</v>
      </c>
      <c r="M63" s="65">
        <f>VLOOKUP($D63,Résultats!$B$2:$AZ$212,M$2,FALSE)</f>
        <v>2803.4181349999999</v>
      </c>
      <c r="N63" s="65">
        <f>VLOOKUP($D63,Résultats!$B$2:$AZ$212,N$2,FALSE)</f>
        <v>2663.2020210000001</v>
      </c>
      <c r="O63" s="65">
        <f>VLOOKUP($D63,Résultats!$B$2:$AZ$212,O$2,FALSE)</f>
        <v>2526.9167480000001</v>
      </c>
      <c r="P63" s="65">
        <f>VLOOKUP($D63,Résultats!$B$2:$AZ$212,P$2,FALSE)</f>
        <v>2393.9835779999999</v>
      </c>
      <c r="Q63" s="65">
        <f>VLOOKUP($D63,Résultats!$B$2:$AZ$212,Q$2,FALSE)</f>
        <v>2264.8784150000001</v>
      </c>
      <c r="R63" s="65">
        <f>VLOOKUP($D63,Résultats!$B$2:$AZ$212,R$2,FALSE)</f>
        <v>2139.621975</v>
      </c>
      <c r="S63" s="65">
        <f>VLOOKUP($D63,Résultats!$B$2:$AZ$212,S$2,FALSE)</f>
        <v>2017.9624859999999</v>
      </c>
      <c r="T63" s="65">
        <f>VLOOKUP($D63,Résultats!$B$2:$AZ$212,T$2,FALSE)</f>
        <v>1900.8830270000001</v>
      </c>
      <c r="U63" s="65">
        <f>VLOOKUP($D63,Résultats!$B$2:$AZ$212,U$2,FALSE)</f>
        <v>1788.5792719999999</v>
      </c>
      <c r="V63" s="65">
        <f>VLOOKUP($D63,Résultats!$B$2:$AZ$212,V$2,FALSE)</f>
        <v>1681.398209</v>
      </c>
      <c r="W63" s="65">
        <f>VLOOKUP($D63,Résultats!$B$2:$AZ$212,W$2,FALSE)</f>
        <v>1579.606616</v>
      </c>
      <c r="X63" s="65">
        <f>VLOOKUP($D63,Résultats!$B$2:$AZ$212,X$2,FALSE)</f>
        <v>1483.2512139999999</v>
      </c>
      <c r="Y63" s="65">
        <f>VLOOKUP($D63,Résultats!$B$2:$AZ$212,Y$2,FALSE)</f>
        <v>1392.239605</v>
      </c>
      <c r="Z63" s="65">
        <f>VLOOKUP($D63,Résultats!$B$2:$AZ$212,Z$2,FALSE)</f>
        <v>1306.380537</v>
      </c>
      <c r="AA63" s="65">
        <f>VLOOKUP($D63,Résultats!$B$2:$AZ$212,AA$2,FALSE)</f>
        <v>1225.4448480000001</v>
      </c>
      <c r="AB63" s="65">
        <f>VLOOKUP($D63,Résultats!$B$2:$AZ$212,AB$2,FALSE)</f>
        <v>1149.190394</v>
      </c>
      <c r="AC63" s="65">
        <f>VLOOKUP($D63,Résultats!$B$2:$AZ$212,AC$2,FALSE)</f>
        <v>1077.374521</v>
      </c>
      <c r="AD63" s="65">
        <f>VLOOKUP($D63,Résultats!$B$2:$AZ$212,AD$2,FALSE)</f>
        <v>1010.042648</v>
      </c>
      <c r="AE63" s="65">
        <f>VLOOKUP($D63,Résultats!$B$2:$AZ$212,AE$2,FALSE)</f>
        <v>946.91689819999999</v>
      </c>
      <c r="AF63" s="65">
        <f>VLOOKUP($D63,Résultats!$B$2:$AZ$212,AF$2,FALSE)</f>
        <v>887.73550999999998</v>
      </c>
      <c r="AG63" s="65">
        <f>VLOOKUP($D63,Résultats!$B$2:$AZ$212,AG$2,FALSE)</f>
        <v>832.25248020000004</v>
      </c>
      <c r="AH63" s="65">
        <f>VLOOKUP($D63,Résultats!$B$2:$AZ$212,AH$2,FALSE)</f>
        <v>776.76918469999998</v>
      </c>
      <c r="AI63" s="65">
        <f>VLOOKUP($D63,Résultats!$B$2:$AZ$212,AI$2,FALSE)</f>
        <v>724.98467110000001</v>
      </c>
      <c r="AJ63" s="65">
        <f>VLOOKUP($D63,Résultats!$B$2:$AZ$212,AJ$2,FALSE)</f>
        <v>676.65240770000003</v>
      </c>
      <c r="AK63" s="65">
        <f>VLOOKUP($D63,Résultats!$B$2:$AZ$212,AK$2,FALSE)</f>
        <v>631.54227060000005</v>
      </c>
      <c r="AL63" s="65">
        <f>VLOOKUP($D63,Résultats!$B$2:$AZ$212,AL$2,FALSE)</f>
        <v>589.43946389999996</v>
      </c>
      <c r="AM63" s="226">
        <f>VLOOKUP($D63,Résultats!$B$2:$AZ$212,AM$2,FALSE)</f>
        <v>550.14350509999997</v>
      </c>
    </row>
    <row r="64" spans="2:40" x14ac:dyDescent="0.25">
      <c r="B64" s="230"/>
      <c r="C64" s="219" t="s">
        <v>33</v>
      </c>
      <c r="D64" s="54" t="s">
        <v>137</v>
      </c>
      <c r="E64" s="224">
        <f>VLOOKUP($D64,Résultats!$B$2:$AZ$212,E$2,FALSE)</f>
        <v>2256.0604069999999</v>
      </c>
      <c r="F64" s="224">
        <f>VLOOKUP($D64,Résultats!$B$2:$AZ$212,F$2,FALSE)</f>
        <v>1509.65976</v>
      </c>
      <c r="G64" s="224">
        <f>VLOOKUP($D64,Résultats!$B$2:$AZ$212,G$2,FALSE)</f>
        <v>1337.008026</v>
      </c>
      <c r="H64" s="224">
        <f>VLOOKUP($D64,Résultats!$B$2:$AZ$212,H$2,FALSE)</f>
        <v>1283.5017539999999</v>
      </c>
      <c r="I64" s="224">
        <f>VLOOKUP($D64,Résultats!$B$2:$AZ$212,I$2,FALSE)</f>
        <v>1227.733804</v>
      </c>
      <c r="J64" s="224">
        <f>VLOOKUP($D64,Résultats!$B$2:$AZ$212,J$2,FALSE)</f>
        <v>1168.563764</v>
      </c>
      <c r="K64" s="224">
        <f>VLOOKUP($D64,Résultats!$B$2:$AZ$212,K$2,FALSE)</f>
        <v>1103.6435550000001</v>
      </c>
      <c r="L64" s="224">
        <f>VLOOKUP($D64,Résultats!$B$2:$AZ$212,L$2,FALSE)</f>
        <v>1038.723346</v>
      </c>
      <c r="M64" s="224">
        <f>VLOOKUP($D64,Résultats!$B$2:$AZ$212,M$2,FALSE)</f>
        <v>977.62197249999997</v>
      </c>
      <c r="N64" s="224">
        <f>VLOOKUP($D64,Résultats!$B$2:$AZ$212,N$2,FALSE)</f>
        <v>920.11479759999997</v>
      </c>
      <c r="O64" s="224">
        <f>VLOOKUP($D64,Résultats!$B$2:$AZ$212,O$2,FALSE)</f>
        <v>865.77730959999997</v>
      </c>
      <c r="P64" s="224">
        <f>VLOOKUP($D64,Résultats!$B$2:$AZ$212,P$2,FALSE)</f>
        <v>814.446639</v>
      </c>
      <c r="Q64" s="224">
        <f>VLOOKUP($D64,Résultats!$B$2:$AZ$212,Q$2,FALSE)</f>
        <v>765.96767239999997</v>
      </c>
      <c r="R64" s="224">
        <f>VLOOKUP($D64,Résultats!$B$2:$AZ$212,R$2,FALSE)</f>
        <v>720.19271189999995</v>
      </c>
      <c r="S64" s="224">
        <f>VLOOKUP($D64,Résultats!$B$2:$AZ$212,S$2,FALSE)</f>
        <v>676.9811492</v>
      </c>
      <c r="T64" s="224">
        <f>VLOOKUP($D64,Résultats!$B$2:$AZ$212,T$2,FALSE)</f>
        <v>636.19915230000004</v>
      </c>
      <c r="U64" s="224">
        <f>VLOOKUP($D64,Résultats!$B$2:$AZ$212,U$2,FALSE)</f>
        <v>597.71936479999999</v>
      </c>
      <c r="V64" s="224">
        <f>VLOOKUP($D64,Résultats!$B$2:$AZ$212,V$2,FALSE)</f>
        <v>561.42061799999999</v>
      </c>
      <c r="W64" s="224">
        <f>VLOOKUP($D64,Résultats!$B$2:$AZ$212,W$2,FALSE)</f>
        <v>527.18765350000001</v>
      </c>
      <c r="X64" s="224">
        <f>VLOOKUP($D64,Résultats!$B$2:$AZ$212,X$2,FALSE)</f>
        <v>494.9108584</v>
      </c>
      <c r="Y64" s="224">
        <f>VLOOKUP($D64,Résultats!$B$2:$AZ$212,Y$2,FALSE)</f>
        <v>464.48601050000002</v>
      </c>
      <c r="Z64" s="224">
        <f>VLOOKUP($D64,Résultats!$B$2:$AZ$212,Z$2,FALSE)</f>
        <v>435.81403460000001</v>
      </c>
      <c r="AA64" s="224">
        <f>VLOOKUP($D64,Résultats!$B$2:$AZ$212,AA$2,FALSE)</f>
        <v>408.80076789999998</v>
      </c>
      <c r="AB64" s="224">
        <f>VLOOKUP($D64,Résultats!$B$2:$AZ$212,AB$2,FALSE)</f>
        <v>383.3567367</v>
      </c>
      <c r="AC64" s="224">
        <f>VLOOKUP($D64,Résultats!$B$2:$AZ$212,AC$2,FALSE)</f>
        <v>359.39694070000002</v>
      </c>
      <c r="AD64" s="224">
        <f>VLOOKUP($D64,Résultats!$B$2:$AZ$212,AD$2,FALSE)</f>
        <v>336.9346319</v>
      </c>
      <c r="AE64" s="224">
        <f>VLOOKUP($D64,Résultats!$B$2:$AZ$212,AE$2,FALSE)</f>
        <v>315.87621739999997</v>
      </c>
      <c r="AF64" s="224">
        <f>VLOOKUP($D64,Résultats!$B$2:$AZ$212,AF$2,FALSE)</f>
        <v>296.13395379999997</v>
      </c>
      <c r="AG64" s="224">
        <f>VLOOKUP($D64,Résultats!$B$2:$AZ$212,AG$2,FALSE)</f>
        <v>277.6255817</v>
      </c>
      <c r="AH64" s="224">
        <f>VLOOKUP($D64,Résultats!$B$2:$AZ$212,AH$2,FALSE)</f>
        <v>259.11720960000002</v>
      </c>
      <c r="AI64" s="224">
        <f>VLOOKUP($D64,Résultats!$B$2:$AZ$212,AI$2,FALSE)</f>
        <v>241.84272899999999</v>
      </c>
      <c r="AJ64" s="224">
        <f>VLOOKUP($D64,Résultats!$B$2:$AZ$212,AJ$2,FALSE)</f>
        <v>225.71988039999999</v>
      </c>
      <c r="AK64" s="224">
        <f>VLOOKUP($D64,Résultats!$B$2:$AZ$212,AK$2,FALSE)</f>
        <v>210.67188830000001</v>
      </c>
      <c r="AL64" s="224">
        <f>VLOOKUP($D64,Résultats!$B$2:$AZ$212,AL$2,FALSE)</f>
        <v>196.62709580000001</v>
      </c>
      <c r="AM64" s="227">
        <f>VLOOKUP($D64,Résultats!$B$2:$AZ$212,AM$2,FALSE)</f>
        <v>183.51862270000001</v>
      </c>
    </row>
    <row r="65" spans="2:39" s="3" customFormat="1" x14ac:dyDescent="0.25"/>
    <row r="66" spans="2:39" s="3" customFormat="1" x14ac:dyDescent="0.25"/>
    <row r="67" spans="2:39" x14ac:dyDescent="0.25">
      <c r="C67" s="11"/>
      <c r="D67" s="11"/>
      <c r="E67" s="93">
        <v>2006</v>
      </c>
      <c r="F67" s="93">
        <v>2015</v>
      </c>
      <c r="G67" s="93">
        <v>2018</v>
      </c>
      <c r="H67" s="93">
        <v>2019</v>
      </c>
      <c r="I67" s="93">
        <v>2020</v>
      </c>
      <c r="J67" s="20">
        <v>2021</v>
      </c>
      <c r="K67" s="4">
        <v>2022</v>
      </c>
      <c r="L67" s="4">
        <v>2023</v>
      </c>
      <c r="M67" s="4">
        <v>2024</v>
      </c>
      <c r="N67" s="92">
        <v>2025</v>
      </c>
      <c r="O67" s="20">
        <v>2026</v>
      </c>
      <c r="P67" s="4">
        <v>2027</v>
      </c>
      <c r="Q67" s="4">
        <v>2028</v>
      </c>
      <c r="R67" s="4">
        <v>2029</v>
      </c>
      <c r="S67" s="92">
        <v>2030</v>
      </c>
      <c r="T67" s="92">
        <v>2031</v>
      </c>
      <c r="U67" s="92">
        <v>2032</v>
      </c>
      <c r="V67" s="92">
        <v>2033</v>
      </c>
      <c r="W67" s="92">
        <v>2034</v>
      </c>
      <c r="X67" s="93">
        <v>2035</v>
      </c>
      <c r="Y67" s="93">
        <v>2036</v>
      </c>
      <c r="Z67" s="93">
        <v>2037</v>
      </c>
      <c r="AA67" s="93">
        <v>2038</v>
      </c>
      <c r="AB67" s="93">
        <v>2039</v>
      </c>
      <c r="AC67" s="93">
        <v>2040</v>
      </c>
      <c r="AD67" s="93">
        <v>2041</v>
      </c>
      <c r="AE67" s="93">
        <v>2042</v>
      </c>
      <c r="AF67" s="93">
        <v>2043</v>
      </c>
      <c r="AG67" s="93">
        <v>2044</v>
      </c>
      <c r="AH67" s="93">
        <v>2045</v>
      </c>
      <c r="AI67" s="93">
        <v>2046</v>
      </c>
      <c r="AJ67" s="93">
        <v>2047</v>
      </c>
      <c r="AK67" s="93">
        <v>2048</v>
      </c>
      <c r="AL67" s="93">
        <v>2049</v>
      </c>
      <c r="AM67" s="93">
        <v>2050</v>
      </c>
    </row>
    <row r="68" spans="2:39" x14ac:dyDescent="0.25">
      <c r="B68" s="229" t="s">
        <v>79</v>
      </c>
      <c r="C68" s="50" t="s">
        <v>51</v>
      </c>
      <c r="D68" s="50" t="s">
        <v>149</v>
      </c>
      <c r="E68" s="51">
        <f t="shared" ref="E68:AM68" si="11">E26</f>
        <v>2373</v>
      </c>
      <c r="F68" s="51">
        <f t="shared" si="11"/>
        <v>1940.3869999999999</v>
      </c>
      <c r="G68" s="51">
        <f t="shared" si="11"/>
        <v>2203.7420000000002</v>
      </c>
      <c r="H68" s="51">
        <f t="shared" si="11"/>
        <v>2240.3020000000001</v>
      </c>
      <c r="I68" s="51">
        <f t="shared" si="11"/>
        <v>2210.081737</v>
      </c>
      <c r="J68" s="51">
        <f t="shared" si="11"/>
        <v>2079.9690599999999</v>
      </c>
      <c r="K68" s="51">
        <f t="shared" si="11"/>
        <v>2194.402145</v>
      </c>
      <c r="L68" s="51">
        <f t="shared" si="11"/>
        <v>2293.5765190000002</v>
      </c>
      <c r="M68" s="51">
        <f t="shared" si="11"/>
        <v>2153.1855919999998</v>
      </c>
      <c r="N68" s="51">
        <f t="shared" si="11"/>
        <v>2057.9586420000001</v>
      </c>
      <c r="O68" s="51">
        <f t="shared" si="11"/>
        <v>1950.022794</v>
      </c>
      <c r="P68" s="51">
        <f t="shared" si="11"/>
        <v>1849.147727</v>
      </c>
      <c r="Q68" s="51">
        <f t="shared" si="11"/>
        <v>1808.06096</v>
      </c>
      <c r="R68" s="51">
        <f t="shared" si="11"/>
        <v>1788.871926</v>
      </c>
      <c r="S68" s="51">
        <f t="shared" si="11"/>
        <v>1705.7066130000001</v>
      </c>
      <c r="T68" s="51">
        <f t="shared" si="11"/>
        <v>1769.7276649999999</v>
      </c>
      <c r="U68" s="51">
        <f t="shared" si="11"/>
        <v>1801.7021030000001</v>
      </c>
      <c r="V68" s="51">
        <f t="shared" si="11"/>
        <v>1798.9414509999999</v>
      </c>
      <c r="W68" s="51">
        <f t="shared" si="11"/>
        <v>1795.938339</v>
      </c>
      <c r="X68" s="51">
        <f t="shared" si="11"/>
        <v>1793.9357709999999</v>
      </c>
      <c r="Y68" s="51">
        <f t="shared" si="11"/>
        <v>1818.94632</v>
      </c>
      <c r="Z68" s="51">
        <f t="shared" si="11"/>
        <v>1828.51657</v>
      </c>
      <c r="AA68" s="51">
        <f t="shared" si="11"/>
        <v>1828.9908680000001</v>
      </c>
      <c r="AB68" s="51">
        <f t="shared" si="11"/>
        <v>1832.2055620000001</v>
      </c>
      <c r="AC68" s="51">
        <f t="shared" si="11"/>
        <v>1835.3459949999999</v>
      </c>
      <c r="AD68" s="51">
        <f t="shared" si="11"/>
        <v>1826.467447</v>
      </c>
      <c r="AE68" s="51">
        <f t="shared" si="11"/>
        <v>1821.110678</v>
      </c>
      <c r="AF68" s="51">
        <f t="shared" si="11"/>
        <v>1823.008797</v>
      </c>
      <c r="AG68" s="51">
        <f t="shared" si="11"/>
        <v>1818.227541</v>
      </c>
      <c r="AH68" s="51">
        <f t="shared" si="11"/>
        <v>1878.11159</v>
      </c>
      <c r="AI68" s="51">
        <f t="shared" si="11"/>
        <v>1878.8486379999999</v>
      </c>
      <c r="AJ68" s="51">
        <f t="shared" si="11"/>
        <v>1878.0283529999999</v>
      </c>
      <c r="AK68" s="51">
        <f t="shared" si="11"/>
        <v>1873.9076849999999</v>
      </c>
      <c r="AL68" s="51">
        <f t="shared" si="11"/>
        <v>1862.9084720000001</v>
      </c>
      <c r="AM68" s="100">
        <f t="shared" si="11"/>
        <v>1823.672894</v>
      </c>
    </row>
    <row r="69" spans="2:39" x14ac:dyDescent="0.25">
      <c r="B69" s="230"/>
      <c r="C69" s="52" t="s">
        <v>45</v>
      </c>
      <c r="D69" s="52" t="s">
        <v>425</v>
      </c>
      <c r="E69" s="124">
        <f t="shared" ref="E69:AM69" si="12">E27/E$26</f>
        <v>5.0000000000000001E-4</v>
      </c>
      <c r="F69" s="124">
        <f t="shared" si="12"/>
        <v>1.8309449218119889E-2</v>
      </c>
      <c r="G69" s="124">
        <f t="shared" si="12"/>
        <v>3.9568140907601704E-2</v>
      </c>
      <c r="H69" s="124">
        <f t="shared" si="12"/>
        <v>5.0458479883515699E-2</v>
      </c>
      <c r="I69" s="124">
        <f t="shared" si="12"/>
        <v>6.376897136451927E-2</v>
      </c>
      <c r="J69" s="123">
        <f t="shared" si="12"/>
        <v>7.9751159231185878E-2</v>
      </c>
      <c r="K69" s="67">
        <f t="shared" si="12"/>
        <v>9.8658179310155567E-2</v>
      </c>
      <c r="L69" s="67">
        <f t="shared" si="12"/>
        <v>0.1205633362171685</v>
      </c>
      <c r="M69" s="67">
        <f t="shared" si="12"/>
        <v>0.14542713933411833</v>
      </c>
      <c r="N69" s="124">
        <f t="shared" si="12"/>
        <v>0.17289327746363911</v>
      </c>
      <c r="O69" s="123">
        <f t="shared" si="12"/>
        <v>0.21452770869508103</v>
      </c>
      <c r="P69" s="67">
        <f t="shared" si="12"/>
        <v>0.2821746249806249</v>
      </c>
      <c r="Q69" s="67">
        <f t="shared" si="12"/>
        <v>0.3836830765374194</v>
      </c>
      <c r="R69" s="67">
        <f t="shared" si="12"/>
        <v>0.5021274936146547</v>
      </c>
      <c r="S69" s="124">
        <f t="shared" si="12"/>
        <v>0.62730609522471259</v>
      </c>
      <c r="T69" s="124">
        <f t="shared" si="12"/>
        <v>0.74435145138560066</v>
      </c>
      <c r="U69" s="124">
        <f t="shared" si="12"/>
        <v>0.83960893117745339</v>
      </c>
      <c r="V69" s="124">
        <f t="shared" si="12"/>
        <v>0.9070113433058028</v>
      </c>
      <c r="W69" s="124">
        <f t="shared" si="12"/>
        <v>0.94922196435163919</v>
      </c>
      <c r="X69" s="118">
        <f t="shared" si="12"/>
        <v>0.97334351554105891</v>
      </c>
      <c r="Y69" s="118">
        <f t="shared" si="12"/>
        <v>0.98632787525032628</v>
      </c>
      <c r="Z69" s="118">
        <f t="shared" si="12"/>
        <v>0.99307626181369513</v>
      </c>
      <c r="AA69" s="118">
        <f t="shared" si="12"/>
        <v>0.99651707008960311</v>
      </c>
      <c r="AB69" s="118">
        <f t="shared" si="12"/>
        <v>0.9982539120793259</v>
      </c>
      <c r="AC69" s="118">
        <f t="shared" si="12"/>
        <v>0.99912614024583424</v>
      </c>
      <c r="AD69" s="118">
        <f t="shared" si="12"/>
        <v>0.99956304011806463</v>
      </c>
      <c r="AE69" s="118">
        <f t="shared" si="12"/>
        <v>0.99978159866678895</v>
      </c>
      <c r="AF69" s="118">
        <f t="shared" si="12"/>
        <v>0.99989086119588266</v>
      </c>
      <c r="AG69" s="118">
        <f t="shared" si="12"/>
        <v>0.99994546667137962</v>
      </c>
      <c r="AH69" s="118">
        <f t="shared" si="12"/>
        <v>0.9999727524177624</v>
      </c>
      <c r="AI69" s="118">
        <f t="shared" si="12"/>
        <v>0.99998638581124499</v>
      </c>
      <c r="AJ69" s="118">
        <f t="shared" si="12"/>
        <v>0.99999319765328387</v>
      </c>
      <c r="AK69" s="118">
        <f t="shared" si="12"/>
        <v>0.99999660121997958</v>
      </c>
      <c r="AL69" s="118">
        <f t="shared" si="12"/>
        <v>0.99999830211733554</v>
      </c>
      <c r="AM69" s="118">
        <f t="shared" si="12"/>
        <v>0.99999915171190779</v>
      </c>
    </row>
    <row r="70" spans="2:39" x14ac:dyDescent="0.25">
      <c r="B70" s="230"/>
      <c r="C70" s="35" t="s">
        <v>27</v>
      </c>
      <c r="D70" s="54" t="s">
        <v>426</v>
      </c>
      <c r="E70" s="111">
        <f t="shared" ref="E70:AM70" si="13">E28/E$26</f>
        <v>1.489117985672145E-6</v>
      </c>
      <c r="F70" s="111">
        <f t="shared" si="13"/>
        <v>2.1610765460704492E-4</v>
      </c>
      <c r="G70" s="111">
        <f t="shared" si="13"/>
        <v>2.749416289202638E-4</v>
      </c>
      <c r="H70" s="111">
        <f t="shared" si="13"/>
        <v>4.4533817056807516E-4</v>
      </c>
      <c r="I70" s="111">
        <f t="shared" si="13"/>
        <v>7.0292558098270918E-4</v>
      </c>
      <c r="J70" s="110">
        <f t="shared" si="13"/>
        <v>1.0880208482524254E-3</v>
      </c>
      <c r="K70" s="68">
        <f t="shared" si="13"/>
        <v>2.4608138058486995E-3</v>
      </c>
      <c r="L70" s="68">
        <f t="shared" si="13"/>
        <v>3.9041247871268426E-3</v>
      </c>
      <c r="M70" s="68">
        <f t="shared" si="13"/>
        <v>5.0951942279205079E-3</v>
      </c>
      <c r="N70" s="111">
        <f t="shared" si="13"/>
        <v>6.4561733403386825E-3</v>
      </c>
      <c r="O70" s="110">
        <f t="shared" si="13"/>
        <v>8.623343522824482E-3</v>
      </c>
      <c r="P70" s="68">
        <f t="shared" si="13"/>
        <v>1.2093593434138862E-2</v>
      </c>
      <c r="Q70" s="68">
        <f t="shared" si="13"/>
        <v>1.7417251562137595E-2</v>
      </c>
      <c r="R70" s="68">
        <f t="shared" si="13"/>
        <v>2.4100461868392022E-2</v>
      </c>
      <c r="S70" s="111">
        <f t="shared" si="13"/>
        <v>3.2024337710649421E-2</v>
      </c>
      <c r="T70" s="111">
        <f t="shared" si="13"/>
        <v>3.9962170196395731E-2</v>
      </c>
      <c r="U70" s="111">
        <f t="shared" si="13"/>
        <v>4.7679607104282762E-2</v>
      </c>
      <c r="V70" s="111">
        <f t="shared" si="13"/>
        <v>5.4479971371786472E-2</v>
      </c>
      <c r="W70" s="111">
        <f t="shared" si="13"/>
        <v>6.0309601420007332E-2</v>
      </c>
      <c r="X70" s="116">
        <f t="shared" si="13"/>
        <v>6.5323027833196601E-2</v>
      </c>
      <c r="Y70" s="116">
        <f t="shared" si="13"/>
        <v>6.9687204787879611E-2</v>
      </c>
      <c r="Z70" s="116">
        <f t="shared" si="13"/>
        <v>7.3867470941212196E-2</v>
      </c>
      <c r="AA70" s="116">
        <f t="shared" si="13"/>
        <v>7.7956506122916311E-2</v>
      </c>
      <c r="AB70" s="116">
        <f t="shared" si="13"/>
        <v>8.1971332264736352E-2</v>
      </c>
      <c r="AC70" s="116">
        <f t="shared" si="13"/>
        <v>8.5986026847215805E-2</v>
      </c>
      <c r="AD70" s="116">
        <f t="shared" si="13"/>
        <v>8.954264253032701E-2</v>
      </c>
      <c r="AE70" s="116">
        <f t="shared" si="13"/>
        <v>9.3131437451271698E-2</v>
      </c>
      <c r="AF70" s="116">
        <f t="shared" si="13"/>
        <v>9.6670403724881213E-2</v>
      </c>
      <c r="AG70" s="116">
        <f t="shared" si="13"/>
        <v>0.10025163814191725</v>
      </c>
      <c r="AH70" s="116">
        <f t="shared" si="13"/>
        <v>0.11266704589155963</v>
      </c>
      <c r="AI70" s="116">
        <f t="shared" si="13"/>
        <v>0.11661872519610599</v>
      </c>
      <c r="AJ70" s="116">
        <f t="shared" si="13"/>
        <v>0.12058778150938811</v>
      </c>
      <c r="AK70" s="116">
        <f t="shared" si="13"/>
        <v>0.12458962059275615</v>
      </c>
      <c r="AL70" s="116">
        <f t="shared" si="13"/>
        <v>0.12872413143440789</v>
      </c>
      <c r="AM70" s="116">
        <f t="shared" si="13"/>
        <v>0.13306078568057061</v>
      </c>
    </row>
    <row r="71" spans="2:39" x14ac:dyDescent="0.25">
      <c r="B71" s="230"/>
      <c r="C71" s="35" t="s">
        <v>28</v>
      </c>
      <c r="D71" s="54" t="s">
        <v>427</v>
      </c>
      <c r="E71" s="111">
        <f t="shared" ref="E71:AM71" si="14">E29/E$26</f>
        <v>3.4135166076696166E-6</v>
      </c>
      <c r="F71" s="111">
        <f t="shared" si="14"/>
        <v>2.3410732389982E-4</v>
      </c>
      <c r="G71" s="111">
        <f t="shared" si="14"/>
        <v>3.7752202018203577E-4</v>
      </c>
      <c r="H71" s="111">
        <f t="shared" si="14"/>
        <v>5.4503461988606892E-4</v>
      </c>
      <c r="I71" s="111">
        <f t="shared" si="14"/>
        <v>7.8234141301354056E-4</v>
      </c>
      <c r="J71" s="110">
        <f t="shared" si="14"/>
        <v>1.1165986570011769E-3</v>
      </c>
      <c r="K71" s="68">
        <f t="shared" si="14"/>
        <v>2.0982759297293709E-3</v>
      </c>
      <c r="L71" s="68">
        <f t="shared" si="14"/>
        <v>3.1180908113403994E-3</v>
      </c>
      <c r="M71" s="68">
        <f t="shared" si="14"/>
        <v>3.9939995539409138E-3</v>
      </c>
      <c r="N71" s="111">
        <f t="shared" si="14"/>
        <v>4.9860613233839706E-3</v>
      </c>
      <c r="O71" s="110">
        <f t="shared" si="14"/>
        <v>6.5474111581077243E-3</v>
      </c>
      <c r="P71" s="68">
        <f t="shared" si="14"/>
        <v>9.0482420283125378E-3</v>
      </c>
      <c r="Q71" s="68">
        <f t="shared" si="14"/>
        <v>1.2861035354692909E-2</v>
      </c>
      <c r="R71" s="68">
        <f t="shared" si="14"/>
        <v>1.7570200763495015E-2</v>
      </c>
      <c r="S71" s="111">
        <f t="shared" si="14"/>
        <v>2.3017747912078945E-2</v>
      </c>
      <c r="T71" s="111">
        <f t="shared" si="14"/>
        <v>2.8389197419253772E-2</v>
      </c>
      <c r="U71" s="111">
        <f t="shared" si="14"/>
        <v>3.3427894239406342E-2</v>
      </c>
      <c r="V71" s="111">
        <f t="shared" si="14"/>
        <v>3.768765028028697E-2</v>
      </c>
      <c r="W71" s="111">
        <f t="shared" si="14"/>
        <v>4.11542280238609E-2</v>
      </c>
      <c r="X71" s="116">
        <f t="shared" si="14"/>
        <v>4.3971974367860468E-2</v>
      </c>
      <c r="Y71" s="116">
        <f t="shared" si="14"/>
        <v>4.6298146890887903E-2</v>
      </c>
      <c r="Z71" s="116">
        <f t="shared" si="14"/>
        <v>4.8417683521456957E-2</v>
      </c>
      <c r="AA71" s="116">
        <f t="shared" si="14"/>
        <v>5.0406157112644477E-2</v>
      </c>
      <c r="AB71" s="116">
        <f t="shared" si="14"/>
        <v>5.2289797677188797E-2</v>
      </c>
      <c r="AC71" s="116">
        <f t="shared" si="14"/>
        <v>5.4112830060688365E-2</v>
      </c>
      <c r="AD71" s="116">
        <f t="shared" si="14"/>
        <v>5.5681757080885984E-2</v>
      </c>
      <c r="AE71" s="116">
        <f t="shared" si="14"/>
        <v>5.7221857715119062E-2</v>
      </c>
      <c r="AF71" s="116">
        <f t="shared" si="14"/>
        <v>5.8699814546204848E-2</v>
      </c>
      <c r="AG71" s="116">
        <f t="shared" si="14"/>
        <v>6.0155018573662671E-2</v>
      </c>
      <c r="AH71" s="116">
        <f t="shared" si="14"/>
        <v>6.4891014223494567E-2</v>
      </c>
      <c r="AI71" s="116">
        <f t="shared" si="14"/>
        <v>6.6299701413201337E-2</v>
      </c>
      <c r="AJ71" s="116">
        <f t="shared" si="14"/>
        <v>6.7666787935868819E-2</v>
      </c>
      <c r="AK71" s="116">
        <f t="shared" si="14"/>
        <v>6.8997017534511054E-2</v>
      </c>
      <c r="AL71" s="116">
        <f t="shared" si="14"/>
        <v>7.0320916872184364E-2</v>
      </c>
      <c r="AM71" s="116">
        <f t="shared" si="14"/>
        <v>7.1654850565542272E-2</v>
      </c>
    </row>
    <row r="72" spans="2:39" x14ac:dyDescent="0.25">
      <c r="B72" s="230"/>
      <c r="C72" s="35" t="s">
        <v>29</v>
      </c>
      <c r="D72" s="54" t="s">
        <v>428</v>
      </c>
      <c r="E72" s="111">
        <f t="shared" ref="E72:AM72" si="15">E30/E$26</f>
        <v>1.3974799536451749E-5</v>
      </c>
      <c r="F72" s="111">
        <f t="shared" si="15"/>
        <v>5.5359067186081955E-4</v>
      </c>
      <c r="G72" s="111">
        <f t="shared" si="15"/>
        <v>1.1503358346848223E-3</v>
      </c>
      <c r="H72" s="111">
        <f t="shared" si="15"/>
        <v>1.4898901639154008E-3</v>
      </c>
      <c r="I72" s="111">
        <f t="shared" si="15"/>
        <v>1.9164889692041289E-3</v>
      </c>
      <c r="J72" s="110">
        <f t="shared" si="15"/>
        <v>2.4445673062079105E-3</v>
      </c>
      <c r="K72" s="68">
        <f t="shared" si="15"/>
        <v>3.2428241920990281E-3</v>
      </c>
      <c r="L72" s="68">
        <f t="shared" si="15"/>
        <v>4.0992168737841875E-3</v>
      </c>
      <c r="M72" s="68">
        <f t="shared" si="15"/>
        <v>4.9940446610605045E-3</v>
      </c>
      <c r="N72" s="111">
        <f t="shared" si="15"/>
        <v>5.9836297672302783E-3</v>
      </c>
      <c r="O72" s="110">
        <f t="shared" si="15"/>
        <v>7.4882983239630795E-3</v>
      </c>
      <c r="P72" s="68">
        <f t="shared" si="15"/>
        <v>9.9179277470458141E-3</v>
      </c>
      <c r="Q72" s="68">
        <f t="shared" si="15"/>
        <v>1.3562347189886782E-2</v>
      </c>
      <c r="R72" s="68">
        <f t="shared" si="15"/>
        <v>1.7836048269450004E-2</v>
      </c>
      <c r="S72" s="111">
        <f t="shared" si="15"/>
        <v>2.2384517448077689E-2</v>
      </c>
      <c r="T72" s="111">
        <f t="shared" si="15"/>
        <v>2.6639449556211805E-2</v>
      </c>
      <c r="U72" s="111">
        <f t="shared" si="15"/>
        <v>3.0117722602225325E-2</v>
      </c>
      <c r="V72" s="111">
        <f t="shared" si="15"/>
        <v>3.2570601671015699E-2</v>
      </c>
      <c r="W72" s="111">
        <f t="shared" si="15"/>
        <v>3.4074297547472758E-2</v>
      </c>
      <c r="X72" s="116">
        <f t="shared" si="15"/>
        <v>3.487181191282461E-2</v>
      </c>
      <c r="Y72" s="116">
        <f t="shared" si="15"/>
        <v>3.5212725398075524E-2</v>
      </c>
      <c r="Z72" s="116">
        <f t="shared" si="15"/>
        <v>3.5262450254962691E-2</v>
      </c>
      <c r="AA72" s="116">
        <f t="shared" si="15"/>
        <v>3.5123687708866133E-2</v>
      </c>
      <c r="AB72" s="116">
        <f t="shared" si="15"/>
        <v>3.4856916049466724E-2</v>
      </c>
      <c r="AC72" s="116">
        <f t="shared" si="15"/>
        <v>3.4489472591242944E-2</v>
      </c>
      <c r="AD72" s="116">
        <f t="shared" si="15"/>
        <v>3.4095742249492168E-2</v>
      </c>
      <c r="AE72" s="116">
        <f t="shared" si="15"/>
        <v>3.3637970717560091E-2</v>
      </c>
      <c r="AF72" s="116">
        <f t="shared" si="15"/>
        <v>3.3132744674297915E-2</v>
      </c>
      <c r="AG72" s="116">
        <f t="shared" si="15"/>
        <v>3.2570387773044961E-2</v>
      </c>
      <c r="AH72" s="116">
        <f t="shared" si="15"/>
        <v>3.0251839812138109E-2</v>
      </c>
      <c r="AI72" s="116">
        <f t="shared" si="15"/>
        <v>2.9402429760816102E-2</v>
      </c>
      <c r="AJ72" s="116">
        <f t="shared" si="15"/>
        <v>2.8497572757358685E-2</v>
      </c>
      <c r="AK72" s="116">
        <f t="shared" si="15"/>
        <v>2.7534712992011667E-2</v>
      </c>
      <c r="AL72" s="116">
        <f t="shared" si="15"/>
        <v>2.6488620053900316E-2</v>
      </c>
      <c r="AM72" s="116">
        <f t="shared" si="15"/>
        <v>2.5337502806575138E-2</v>
      </c>
    </row>
    <row r="73" spans="2:39" x14ac:dyDescent="0.25">
      <c r="B73" s="230"/>
      <c r="C73" s="35" t="s">
        <v>30</v>
      </c>
      <c r="D73" s="54" t="s">
        <v>429</v>
      </c>
      <c r="E73" s="111">
        <f t="shared" ref="E73:AM73" si="16">E31/E$26</f>
        <v>3.2829324167720186E-4</v>
      </c>
      <c r="F73" s="111">
        <f t="shared" si="16"/>
        <v>1.1969826431531442E-2</v>
      </c>
      <c r="G73" s="111">
        <f t="shared" si="16"/>
        <v>2.5978587321020333E-2</v>
      </c>
      <c r="H73" s="111">
        <f t="shared" si="16"/>
        <v>3.3064834531237305E-2</v>
      </c>
      <c r="I73" s="111">
        <f t="shared" si="16"/>
        <v>4.1714828436682387E-2</v>
      </c>
      <c r="J73" s="110">
        <f t="shared" si="16"/>
        <v>5.2061029840511183E-2</v>
      </c>
      <c r="K73" s="68">
        <f t="shared" si="16"/>
        <v>6.3810148071104814E-2</v>
      </c>
      <c r="L73" s="68">
        <f t="shared" si="16"/>
        <v>7.7487793290405574E-2</v>
      </c>
      <c r="M73" s="68">
        <f t="shared" si="16"/>
        <v>9.3254649365125425E-2</v>
      </c>
      <c r="N73" s="111">
        <f t="shared" si="16"/>
        <v>0.11064551548942157</v>
      </c>
      <c r="O73" s="110">
        <f t="shared" si="16"/>
        <v>0.13694771990444743</v>
      </c>
      <c r="P73" s="68">
        <f t="shared" si="16"/>
        <v>0.17970941901928422</v>
      </c>
      <c r="Q73" s="68">
        <f t="shared" si="16"/>
        <v>0.24380826285857088</v>
      </c>
      <c r="R73" s="68">
        <f t="shared" si="16"/>
        <v>0.31833261147617786</v>
      </c>
      <c r="S73" s="111">
        <f t="shared" si="16"/>
        <v>0.39660207596322428</v>
      </c>
      <c r="T73" s="111">
        <f t="shared" si="16"/>
        <v>0.46948128778898873</v>
      </c>
      <c r="U73" s="111">
        <f t="shared" si="16"/>
        <v>0.52807156267164546</v>
      </c>
      <c r="V73" s="111">
        <f t="shared" si="16"/>
        <v>0.56875635025878335</v>
      </c>
      <c r="W73" s="111">
        <f t="shared" si="16"/>
        <v>0.59332729128847894</v>
      </c>
      <c r="X73" s="116">
        <f t="shared" si="16"/>
        <v>0.60639468847516498</v>
      </c>
      <c r="Y73" s="116">
        <f t="shared" si="16"/>
        <v>0.61246315174380728</v>
      </c>
      <c r="Z73" s="116">
        <f t="shared" si="16"/>
        <v>0.61450796259396212</v>
      </c>
      <c r="AA73" s="116">
        <f t="shared" si="16"/>
        <v>0.61441447776545166</v>
      </c>
      <c r="AB73" s="116">
        <f t="shared" si="16"/>
        <v>0.61323539034207986</v>
      </c>
      <c r="AC73" s="116">
        <f t="shared" si="16"/>
        <v>0.6114845255648923</v>
      </c>
      <c r="AD73" s="116">
        <f t="shared" si="16"/>
        <v>0.6097125168199069</v>
      </c>
      <c r="AE73" s="116">
        <f t="shared" si="16"/>
        <v>0.60777950531571145</v>
      </c>
      <c r="AF73" s="116">
        <f t="shared" si="16"/>
        <v>0.60580591701884146</v>
      </c>
      <c r="AG73" s="116">
        <f t="shared" si="16"/>
        <v>0.60377541987743988</v>
      </c>
      <c r="AH73" s="116">
        <f t="shared" si="16"/>
        <v>0.59666749034864319</v>
      </c>
      <c r="AI73" s="116">
        <f t="shared" si="16"/>
        <v>0.59442391548307372</v>
      </c>
      <c r="AJ73" s="116">
        <f t="shared" si="16"/>
        <v>0.59217481313499643</v>
      </c>
      <c r="AK73" s="116">
        <f t="shared" si="16"/>
        <v>0.58991459443211591</v>
      </c>
      <c r="AL73" s="116">
        <f t="shared" si="16"/>
        <v>0.58758926885163687</v>
      </c>
      <c r="AM73" s="116">
        <f t="shared" si="16"/>
        <v>0.5851624710280966</v>
      </c>
    </row>
    <row r="74" spans="2:39" x14ac:dyDescent="0.25">
      <c r="B74" s="230"/>
      <c r="C74" s="35" t="s">
        <v>31</v>
      </c>
      <c r="D74" s="54" t="s">
        <v>430</v>
      </c>
      <c r="E74" s="111">
        <f t="shared" ref="E74:AM74" si="17">E32/E$26</f>
        <v>1.2939289806152549E-4</v>
      </c>
      <c r="F74" s="111">
        <f t="shared" si="17"/>
        <v>4.6300511604128458E-3</v>
      </c>
      <c r="G74" s="111">
        <f t="shared" si="17"/>
        <v>1.0154127043909859E-2</v>
      </c>
      <c r="H74" s="111">
        <f t="shared" si="17"/>
        <v>1.2872149678927214E-2</v>
      </c>
      <c r="I74" s="111">
        <f t="shared" si="17"/>
        <v>1.6162995196950945E-2</v>
      </c>
      <c r="J74" s="110">
        <f t="shared" si="17"/>
        <v>2.0057279823191217E-2</v>
      </c>
      <c r="K74" s="68">
        <f t="shared" si="17"/>
        <v>2.3972718405267508E-2</v>
      </c>
      <c r="L74" s="68">
        <f t="shared" si="17"/>
        <v>2.8619714963170145E-2</v>
      </c>
      <c r="M74" s="68">
        <f t="shared" si="17"/>
        <v>3.4232195925821475E-2</v>
      </c>
      <c r="N74" s="111">
        <f t="shared" si="17"/>
        <v>4.039890247706926E-2</v>
      </c>
      <c r="O74" s="110">
        <f t="shared" si="17"/>
        <v>4.9670227285558588E-2</v>
      </c>
      <c r="P74" s="68">
        <f t="shared" si="17"/>
        <v>6.4774526151203493E-2</v>
      </c>
      <c r="Q74" s="68">
        <f t="shared" si="17"/>
        <v>8.7356413193059604E-2</v>
      </c>
      <c r="R74" s="68">
        <f t="shared" si="17"/>
        <v>0.11336237242732602</v>
      </c>
      <c r="S74" s="111">
        <f t="shared" si="17"/>
        <v>0.14022282834404418</v>
      </c>
      <c r="T74" s="111">
        <f t="shared" si="17"/>
        <v>0.16496205793336005</v>
      </c>
      <c r="U74" s="111">
        <f t="shared" si="17"/>
        <v>0.18419930633782472</v>
      </c>
      <c r="V74" s="111">
        <f t="shared" si="17"/>
        <v>0.19686851770697233</v>
      </c>
      <c r="W74" s="111">
        <f t="shared" si="17"/>
        <v>0.20371062416525426</v>
      </c>
      <c r="X74" s="116">
        <f t="shared" si="17"/>
        <v>0.20646860243693754</v>
      </c>
      <c r="Y74" s="116">
        <f t="shared" si="17"/>
        <v>0.20683118444089102</v>
      </c>
      <c r="Z74" s="116">
        <f t="shared" si="17"/>
        <v>0.20575098895603663</v>
      </c>
      <c r="AA74" s="116">
        <f t="shared" si="17"/>
        <v>0.20392755514840546</v>
      </c>
      <c r="AB74" s="116">
        <f t="shared" si="17"/>
        <v>0.2017666110545297</v>
      </c>
      <c r="AC74" s="116">
        <f t="shared" si="17"/>
        <v>0.1994390108988687</v>
      </c>
      <c r="AD74" s="116">
        <f t="shared" si="17"/>
        <v>0.19733929782981782</v>
      </c>
      <c r="AE74" s="116">
        <f t="shared" si="17"/>
        <v>0.19521163792769766</v>
      </c>
      <c r="AF74" s="116">
        <f t="shared" si="17"/>
        <v>0.19313472018314126</v>
      </c>
      <c r="AG74" s="116">
        <f t="shared" si="17"/>
        <v>0.19106860278275808</v>
      </c>
      <c r="AH74" s="116">
        <f t="shared" si="17"/>
        <v>0.18426314439601535</v>
      </c>
      <c r="AI74" s="116">
        <f t="shared" si="17"/>
        <v>0.18222987635899174</v>
      </c>
      <c r="AJ74" s="116">
        <f t="shared" si="17"/>
        <v>0.18025041430245117</v>
      </c>
      <c r="AK74" s="116">
        <f t="shared" si="17"/>
        <v>0.17831907039753669</v>
      </c>
      <c r="AL74" s="116">
        <f t="shared" si="17"/>
        <v>0.17639185125784321</v>
      </c>
      <c r="AM74" s="116">
        <f t="shared" si="17"/>
        <v>0.174444546687439</v>
      </c>
    </row>
    <row r="75" spans="2:39" x14ac:dyDescent="0.25">
      <c r="B75" s="230"/>
      <c r="C75" s="35" t="s">
        <v>32</v>
      </c>
      <c r="D75" s="54" t="s">
        <v>431</v>
      </c>
      <c r="E75" s="111">
        <f t="shared" ref="E75:AM75" si="18">E33/E$26</f>
        <v>1.7640320733249051E-6</v>
      </c>
      <c r="F75" s="111">
        <f t="shared" si="18"/>
        <v>1.823561861628634E-5</v>
      </c>
      <c r="G75" s="111">
        <f t="shared" si="18"/>
        <v>2.1264014707710793E-5</v>
      </c>
      <c r="H75" s="111">
        <f t="shared" si="18"/>
        <v>5.0364701366155096E-5</v>
      </c>
      <c r="I75" s="111">
        <f t="shared" si="18"/>
        <v>6.3547871532861769E-5</v>
      </c>
      <c r="J75" s="110">
        <f t="shared" si="18"/>
        <v>7.9324271438922271E-5</v>
      </c>
      <c r="K75" s="68">
        <f t="shared" si="18"/>
        <v>9.7369122695603266E-5</v>
      </c>
      <c r="L75" s="68">
        <f t="shared" si="18"/>
        <v>1.1842261744919789E-4</v>
      </c>
      <c r="M75" s="68">
        <f t="shared" si="18"/>
        <v>1.426128240598036E-4</v>
      </c>
      <c r="N75" s="111">
        <f t="shared" si="18"/>
        <v>1.6931339594918838E-4</v>
      </c>
      <c r="O75" s="110">
        <f t="shared" si="18"/>
        <v>2.0973545194364533E-4</v>
      </c>
      <c r="P75" s="68">
        <f t="shared" si="18"/>
        <v>2.7545381072736761E-4</v>
      </c>
      <c r="Q75" s="68">
        <f t="shared" si="18"/>
        <v>3.7401857025882578E-4</v>
      </c>
      <c r="R75" s="68">
        <f t="shared" si="18"/>
        <v>4.8879318077016984E-4</v>
      </c>
      <c r="S75" s="111">
        <f t="shared" si="18"/>
        <v>6.0967305108290627E-4</v>
      </c>
      <c r="T75" s="111">
        <f t="shared" si="18"/>
        <v>7.2246276547866483E-4</v>
      </c>
      <c r="U75" s="111">
        <f t="shared" si="18"/>
        <v>8.1368189089581135E-4</v>
      </c>
      <c r="V75" s="111">
        <f t="shared" si="18"/>
        <v>8.7764525139067469E-4</v>
      </c>
      <c r="W75" s="111">
        <f t="shared" si="18"/>
        <v>9.1704865152388731E-4</v>
      </c>
      <c r="X75" s="116">
        <f t="shared" si="18"/>
        <v>9.3890009454524674E-4</v>
      </c>
      <c r="Y75" s="116">
        <f t="shared" si="18"/>
        <v>9.5003698514863262E-4</v>
      </c>
      <c r="Z75" s="116">
        <f t="shared" si="18"/>
        <v>9.5513922195411115E-4</v>
      </c>
      <c r="AA75" s="116">
        <f t="shared" si="18"/>
        <v>9.5707972556153837E-4</v>
      </c>
      <c r="AB75" s="116">
        <f t="shared" si="18"/>
        <v>9.5744100464639889E-4</v>
      </c>
      <c r="AC75" s="116">
        <f t="shared" si="18"/>
        <v>9.5702752057930096E-4</v>
      </c>
      <c r="AD75" s="116">
        <f t="shared" si="18"/>
        <v>9.5639499618193843E-4</v>
      </c>
      <c r="AE75" s="116">
        <f t="shared" si="18"/>
        <v>9.5559826595009397E-4</v>
      </c>
      <c r="AF75" s="116">
        <f t="shared" si="18"/>
        <v>9.5476575256482437E-4</v>
      </c>
      <c r="AG75" s="116">
        <f t="shared" si="18"/>
        <v>9.5392460563328363E-4</v>
      </c>
      <c r="AH75" s="116">
        <f t="shared" si="18"/>
        <v>9.5125721576533166E-4</v>
      </c>
      <c r="AI75" s="116">
        <f t="shared" si="18"/>
        <v>9.5053506859449311E-4</v>
      </c>
      <c r="AJ75" s="116">
        <f t="shared" si="18"/>
        <v>9.4985711805172098E-4</v>
      </c>
      <c r="AK75" s="116">
        <f t="shared" si="18"/>
        <v>9.492219970270308E-4</v>
      </c>
      <c r="AL75" s="116">
        <f t="shared" si="18"/>
        <v>9.4861545618651303E-4</v>
      </c>
      <c r="AM75" s="116">
        <f t="shared" si="18"/>
        <v>9.4803094276840196E-4</v>
      </c>
    </row>
    <row r="76" spans="2:39" x14ac:dyDescent="0.25">
      <c r="B76" s="230"/>
      <c r="C76" s="35" t="s">
        <v>33</v>
      </c>
      <c r="D76" s="54" t="s">
        <v>432</v>
      </c>
      <c r="E76" s="126">
        <f t="shared" ref="E76:AM76" si="19">E34/E$26</f>
        <v>2.1672394058154232E-5</v>
      </c>
      <c r="F76" s="126">
        <f t="shared" si="19"/>
        <v>6.8753035811928238E-4</v>
      </c>
      <c r="G76" s="126">
        <f t="shared" si="19"/>
        <v>1.6113630429514889E-3</v>
      </c>
      <c r="H76" s="126">
        <f t="shared" si="19"/>
        <v>1.9908680110985039E-3</v>
      </c>
      <c r="I76" s="126">
        <f t="shared" si="19"/>
        <v>2.4258438885964152E-3</v>
      </c>
      <c r="J76" s="125">
        <f t="shared" si="19"/>
        <v>2.9043384573230143E-3</v>
      </c>
      <c r="K76" s="69">
        <f t="shared" si="19"/>
        <v>2.976029714918092E-3</v>
      </c>
      <c r="L76" s="69">
        <f t="shared" si="19"/>
        <v>3.2159729051533773E-3</v>
      </c>
      <c r="M76" s="69">
        <f t="shared" si="19"/>
        <v>3.7144427599346487E-3</v>
      </c>
      <c r="N76" s="126">
        <f t="shared" si="19"/>
        <v>4.2536816621798713E-3</v>
      </c>
      <c r="O76" s="125">
        <f t="shared" si="19"/>
        <v>5.0409730333644499E-3</v>
      </c>
      <c r="P76" s="69">
        <f t="shared" si="19"/>
        <v>6.3554627671994542E-3</v>
      </c>
      <c r="Q76" s="69">
        <f t="shared" si="19"/>
        <v>8.3037478448735481E-3</v>
      </c>
      <c r="R76" s="69">
        <f t="shared" si="19"/>
        <v>1.0437005639497078E-2</v>
      </c>
      <c r="S76" s="126">
        <f t="shared" si="19"/>
        <v>1.2444914874701255E-2</v>
      </c>
      <c r="T76" s="126">
        <f t="shared" si="19"/>
        <v>1.419482559764358E-2</v>
      </c>
      <c r="U76" s="126">
        <f t="shared" si="19"/>
        <v>1.5299156177984434E-2</v>
      </c>
      <c r="V76" s="126">
        <f t="shared" si="19"/>
        <v>1.5770606633267244E-2</v>
      </c>
      <c r="W76" s="126">
        <f t="shared" si="19"/>
        <v>1.572887294433999E-2</v>
      </c>
      <c r="X76" s="119">
        <f t="shared" si="19"/>
        <v>1.5374510696459042E-2</v>
      </c>
      <c r="Y76" s="119">
        <f t="shared" si="19"/>
        <v>1.4885424705661463E-2</v>
      </c>
      <c r="Z76" s="119">
        <f t="shared" si="19"/>
        <v>1.4314565954411886E-2</v>
      </c>
      <c r="AA76" s="119">
        <f t="shared" si="19"/>
        <v>1.3731605919642021E-2</v>
      </c>
      <c r="AB76" s="119">
        <f t="shared" si="19"/>
        <v>1.3176424081830181E-2</v>
      </c>
      <c r="AC76" s="119">
        <f t="shared" si="19"/>
        <v>1.2657246962309143E-2</v>
      </c>
      <c r="AD76" s="119">
        <f t="shared" si="19"/>
        <v>1.2234688336057706E-2</v>
      </c>
      <c r="AE76" s="119">
        <f t="shared" si="19"/>
        <v>1.1843591161459326E-2</v>
      </c>
      <c r="AF76" s="119">
        <f t="shared" si="19"/>
        <v>1.1492495387009371E-2</v>
      </c>
      <c r="AG76" s="119">
        <f t="shared" si="19"/>
        <v>1.1170474828925716E-2</v>
      </c>
      <c r="AH76" s="119">
        <f t="shared" si="19"/>
        <v>1.0280960222390194E-2</v>
      </c>
      <c r="AI76" s="119">
        <f t="shared" si="19"/>
        <v>1.0061202402191593E-2</v>
      </c>
      <c r="AJ76" s="119">
        <f t="shared" si="19"/>
        <v>9.86597075619337E-3</v>
      </c>
      <c r="AK76" s="119">
        <f t="shared" si="19"/>
        <v>9.6923631859698583E-3</v>
      </c>
      <c r="AL76" s="119">
        <f t="shared" si="19"/>
        <v>9.5348979066750411E-3</v>
      </c>
      <c r="AM76" s="119">
        <f t="shared" si="19"/>
        <v>9.3909639477264724E-3</v>
      </c>
    </row>
    <row r="77" spans="2:39" x14ac:dyDescent="0.25">
      <c r="B77" s="230"/>
      <c r="C77" s="52" t="s">
        <v>46</v>
      </c>
      <c r="D77" s="52" t="s">
        <v>433</v>
      </c>
      <c r="E77" s="124">
        <f t="shared" ref="E77:AM77" si="20">E35/E$26</f>
        <v>0.99950000000000006</v>
      </c>
      <c r="F77" s="124">
        <f t="shared" si="20"/>
        <v>0.98169055090556678</v>
      </c>
      <c r="G77" s="124">
        <f t="shared" si="20"/>
        <v>0.96043185908332274</v>
      </c>
      <c r="H77" s="124">
        <f t="shared" si="20"/>
        <v>0.94954152029503158</v>
      </c>
      <c r="I77" s="124">
        <f t="shared" si="20"/>
        <v>0.93623102863548069</v>
      </c>
      <c r="J77" s="123">
        <f t="shared" si="20"/>
        <v>0.92024884062458134</v>
      </c>
      <c r="K77" s="67">
        <f t="shared" si="20"/>
        <v>0.9013418208265559</v>
      </c>
      <c r="L77" s="67">
        <f t="shared" si="20"/>
        <v>0.87943666378283147</v>
      </c>
      <c r="M77" s="67">
        <f t="shared" si="20"/>
        <v>0.85457286071232463</v>
      </c>
      <c r="N77" s="124">
        <f t="shared" si="20"/>
        <v>0.82710672229340165</v>
      </c>
      <c r="O77" s="123">
        <f t="shared" si="20"/>
        <v>0.78547229125363749</v>
      </c>
      <c r="P77" s="67">
        <f t="shared" si="20"/>
        <v>0.7178253752356909</v>
      </c>
      <c r="Q77" s="67">
        <f t="shared" si="20"/>
        <v>0.61631692384973569</v>
      </c>
      <c r="R77" s="67">
        <f t="shared" si="20"/>
        <v>0.49787250649714759</v>
      </c>
      <c r="S77" s="124">
        <f t="shared" si="20"/>
        <v>0.37269390483391407</v>
      </c>
      <c r="T77" s="124">
        <f t="shared" si="20"/>
        <v>0.25564854889692873</v>
      </c>
      <c r="U77" s="124">
        <f t="shared" si="20"/>
        <v>0.16039106876704357</v>
      </c>
      <c r="V77" s="124">
        <f t="shared" si="20"/>
        <v>9.2988656527432476E-2</v>
      </c>
      <c r="W77" s="124">
        <f t="shared" si="20"/>
        <v>5.0778036088242336E-2</v>
      </c>
      <c r="X77" s="118">
        <f t="shared" si="20"/>
        <v>2.6656484263839344E-2</v>
      </c>
      <c r="Y77" s="118">
        <f t="shared" si="20"/>
        <v>1.3672124997069733E-2</v>
      </c>
      <c r="Z77" s="118">
        <f t="shared" si="20"/>
        <v>6.9237384378748072E-3</v>
      </c>
      <c r="AA77" s="118">
        <f t="shared" si="20"/>
        <v>3.4829299027424117E-3</v>
      </c>
      <c r="AB77" s="118">
        <f t="shared" si="20"/>
        <v>1.746087647233111E-3</v>
      </c>
      <c r="AC77" s="118">
        <f t="shared" si="20"/>
        <v>8.7385936786267928E-4</v>
      </c>
      <c r="AD77" s="118">
        <f t="shared" si="20"/>
        <v>4.3695992086301882E-4</v>
      </c>
      <c r="AE77" s="118">
        <f t="shared" si="20"/>
        <v>2.1840135830558235E-4</v>
      </c>
      <c r="AF77" s="118">
        <f t="shared" si="20"/>
        <v>1.091385935314277E-4</v>
      </c>
      <c r="AG77" s="118">
        <f t="shared" si="20"/>
        <v>5.4532998738687569E-5</v>
      </c>
      <c r="AH77" s="118">
        <f t="shared" si="20"/>
        <v>2.7247550876356608E-5</v>
      </c>
      <c r="AI77" s="118">
        <f t="shared" si="20"/>
        <v>1.3614180877938291E-5</v>
      </c>
      <c r="AJ77" s="118">
        <f t="shared" si="20"/>
        <v>6.8022541723575354E-6</v>
      </c>
      <c r="AK77" s="118">
        <f t="shared" si="20"/>
        <v>3.3987155722668377E-6</v>
      </c>
      <c r="AL77" s="118">
        <f t="shared" si="20"/>
        <v>1.6981603431131961E-6</v>
      </c>
      <c r="AM77" s="118">
        <f t="shared" si="20"/>
        <v>8.4848677363737799E-7</v>
      </c>
    </row>
    <row r="78" spans="2:39" x14ac:dyDescent="0.25">
      <c r="B78" s="230"/>
      <c r="C78" s="35" t="s">
        <v>27</v>
      </c>
      <c r="D78" s="3" t="s">
        <v>434</v>
      </c>
      <c r="E78" s="111">
        <f t="shared" ref="E78:AM78" si="21">E36/E$26</f>
        <v>5.0000000000000001E-4</v>
      </c>
      <c r="F78" s="111">
        <f t="shared" si="21"/>
        <v>1.8888243355578038E-2</v>
      </c>
      <c r="G78" s="111">
        <f t="shared" si="21"/>
        <v>2.0600832456793942E-2</v>
      </c>
      <c r="H78" s="111">
        <f t="shared" si="21"/>
        <v>2.2412220307797787E-2</v>
      </c>
      <c r="I78" s="111">
        <f t="shared" si="21"/>
        <v>3.3224910314708415E-2</v>
      </c>
      <c r="J78" s="110">
        <f t="shared" si="21"/>
        <v>3.1431205476681469E-2</v>
      </c>
      <c r="K78" s="68">
        <f t="shared" si="21"/>
        <v>4.4812063939173738E-2</v>
      </c>
      <c r="L78" s="68">
        <f t="shared" si="21"/>
        <v>5.0756303762107005E-2</v>
      </c>
      <c r="M78" s="68">
        <f t="shared" si="21"/>
        <v>5.2459353118316801E-2</v>
      </c>
      <c r="N78" s="111">
        <f t="shared" si="21"/>
        <v>5.322000513749877E-2</v>
      </c>
      <c r="O78" s="110">
        <f t="shared" si="21"/>
        <v>5.3142041015547224E-2</v>
      </c>
      <c r="P78" s="68">
        <f t="shared" si="21"/>
        <v>5.2145201117292886E-2</v>
      </c>
      <c r="Q78" s="68">
        <f t="shared" si="21"/>
        <v>4.6851301291301599E-2</v>
      </c>
      <c r="R78" s="68">
        <f t="shared" si="21"/>
        <v>3.9522386087241887E-2</v>
      </c>
      <c r="S78" s="111">
        <f t="shared" si="21"/>
        <v>3.1167573845831128E-2</v>
      </c>
      <c r="T78" s="111">
        <f t="shared" si="21"/>
        <v>2.251402694210581E-2</v>
      </c>
      <c r="U78" s="111">
        <f t="shared" si="21"/>
        <v>1.4888124443733304E-2</v>
      </c>
      <c r="V78" s="111">
        <f t="shared" si="21"/>
        <v>9.0997394722881399E-3</v>
      </c>
      <c r="W78" s="111">
        <f t="shared" si="21"/>
        <v>5.2220182571646743E-3</v>
      </c>
      <c r="X78" s="116">
        <f t="shared" si="21"/>
        <v>2.8962041305992778E-3</v>
      </c>
      <c r="Y78" s="116">
        <f t="shared" si="21"/>
        <v>1.5643748057391821E-3</v>
      </c>
      <c r="Z78" s="116">
        <f t="shared" si="21"/>
        <v>8.3265097728920225E-4</v>
      </c>
      <c r="AA78" s="116">
        <f t="shared" si="21"/>
        <v>4.3996322670540529E-4</v>
      </c>
      <c r="AB78" s="116">
        <f t="shared" si="21"/>
        <v>2.3080250462638864E-4</v>
      </c>
      <c r="AC78" s="116">
        <f t="shared" si="21"/>
        <v>1.2061122219083275E-4</v>
      </c>
      <c r="AD78" s="116">
        <f t="shared" si="21"/>
        <v>6.276777781520461E-5</v>
      </c>
      <c r="AE78" s="116">
        <f t="shared" si="21"/>
        <v>3.2622650626180116E-5</v>
      </c>
      <c r="AF78" s="116">
        <f t="shared" si="21"/>
        <v>1.6906851876261132E-5</v>
      </c>
      <c r="AG78" s="116">
        <f t="shared" si="21"/>
        <v>8.7545634641775563E-6</v>
      </c>
      <c r="AH78" s="116">
        <f t="shared" si="21"/>
        <v>4.7791120388112826E-6</v>
      </c>
      <c r="AI78" s="116">
        <f t="shared" si="21"/>
        <v>2.4709305508196026E-6</v>
      </c>
      <c r="AJ78" s="116">
        <f t="shared" si="21"/>
        <v>1.2781802235123125E-6</v>
      </c>
      <c r="AK78" s="116">
        <f t="shared" si="21"/>
        <v>6.6038505520083824E-7</v>
      </c>
      <c r="AL78" s="116">
        <f t="shared" si="21"/>
        <v>3.4124484995095348E-7</v>
      </c>
      <c r="AM78" s="116">
        <f t="shared" si="21"/>
        <v>1.7644464753447171E-7</v>
      </c>
    </row>
    <row r="79" spans="2:39" x14ac:dyDescent="0.25">
      <c r="B79" s="230"/>
      <c r="C79" s="35" t="s">
        <v>28</v>
      </c>
      <c r="D79" s="3" t="s">
        <v>435</v>
      </c>
      <c r="E79" s="111">
        <f t="shared" ref="E79:AM79" si="22">E37/E$26</f>
        <v>0.18</v>
      </c>
      <c r="F79" s="111">
        <f t="shared" si="22"/>
        <v>0.18747630446916003</v>
      </c>
      <c r="G79" s="111">
        <f t="shared" si="22"/>
        <v>0.18389953088882452</v>
      </c>
      <c r="H79" s="111">
        <f t="shared" si="22"/>
        <v>0.18295146810563934</v>
      </c>
      <c r="I79" s="111">
        <f t="shared" si="22"/>
        <v>0.18749688817504581</v>
      </c>
      <c r="J79" s="110">
        <f t="shared" si="22"/>
        <v>0.18190077534134089</v>
      </c>
      <c r="K79" s="68">
        <f t="shared" si="22"/>
        <v>0.18625521522172955</v>
      </c>
      <c r="L79" s="68">
        <f t="shared" si="22"/>
        <v>0.18469300744528591</v>
      </c>
      <c r="M79" s="68">
        <f t="shared" si="22"/>
        <v>0.18064200984120277</v>
      </c>
      <c r="N79" s="111">
        <f t="shared" si="22"/>
        <v>0.17568537390461317</v>
      </c>
      <c r="O79" s="110">
        <f t="shared" si="22"/>
        <v>0.16761746888585344</v>
      </c>
      <c r="P79" s="68">
        <f t="shared" si="22"/>
        <v>0.15395906127082512</v>
      </c>
      <c r="Q79" s="68">
        <f t="shared" si="22"/>
        <v>0.13275756155920762</v>
      </c>
      <c r="R79" s="68">
        <f t="shared" si="22"/>
        <v>0.1077353838465907</v>
      </c>
      <c r="S79" s="111">
        <f t="shared" si="22"/>
        <v>8.1058173455061805E-2</v>
      </c>
      <c r="T79" s="111">
        <f t="shared" si="22"/>
        <v>5.5813745410370819E-2</v>
      </c>
      <c r="U79" s="111">
        <f t="shared" si="22"/>
        <v>3.5170297667127717E-2</v>
      </c>
      <c r="V79" s="111">
        <f t="shared" si="22"/>
        <v>2.0477515190681989E-2</v>
      </c>
      <c r="W79" s="111">
        <f t="shared" si="22"/>
        <v>1.1221555045827216E-2</v>
      </c>
      <c r="X79" s="116">
        <f t="shared" si="22"/>
        <v>5.9161815219749021E-3</v>
      </c>
      <c r="Y79" s="116">
        <f t="shared" si="22"/>
        <v>3.0450044781970254E-3</v>
      </c>
      <c r="Z79" s="116">
        <f t="shared" si="22"/>
        <v>1.5468400874267165E-3</v>
      </c>
      <c r="AA79" s="116">
        <f t="shared" si="22"/>
        <v>7.8064845537544807E-4</v>
      </c>
      <c r="AB79" s="116">
        <f t="shared" si="22"/>
        <v>3.9250374833214266E-4</v>
      </c>
      <c r="AC79" s="116">
        <f t="shared" si="22"/>
        <v>1.9692591870123106E-4</v>
      </c>
      <c r="AD79" s="116">
        <f t="shared" si="22"/>
        <v>9.8624240139550643E-5</v>
      </c>
      <c r="AE79" s="116">
        <f t="shared" si="22"/>
        <v>4.9363483661919361E-5</v>
      </c>
      <c r="AF79" s="116">
        <f t="shared" si="22"/>
        <v>2.4695163552740663E-5</v>
      </c>
      <c r="AG79" s="116">
        <f t="shared" si="22"/>
        <v>1.2349519569839141E-5</v>
      </c>
      <c r="AH79" s="116">
        <f t="shared" si="22"/>
        <v>6.2197375077164617E-6</v>
      </c>
      <c r="AI79" s="116">
        <f t="shared" si="22"/>
        <v>3.1077691847575004E-6</v>
      </c>
      <c r="AJ79" s="116">
        <f t="shared" si="22"/>
        <v>1.5522689076249533E-6</v>
      </c>
      <c r="AK79" s="116">
        <f t="shared" si="22"/>
        <v>7.7495480787251271E-7</v>
      </c>
      <c r="AL79" s="116">
        <f t="shared" si="22"/>
        <v>3.8670807762583406E-7</v>
      </c>
      <c r="AM79" s="116">
        <f t="shared" si="22"/>
        <v>1.928926937266854E-7</v>
      </c>
    </row>
    <row r="80" spans="2:39" x14ac:dyDescent="0.25">
      <c r="B80" s="230"/>
      <c r="C80" s="35" t="s">
        <v>29</v>
      </c>
      <c r="D80" s="3" t="s">
        <v>436</v>
      </c>
      <c r="E80" s="111">
        <f t="shared" ref="E80:AM80" si="23">E38/E$26</f>
        <v>0.28400000000000003</v>
      </c>
      <c r="F80" s="111">
        <f t="shared" si="23"/>
        <v>0.2844214688100879</v>
      </c>
      <c r="G80" s="111">
        <f t="shared" si="23"/>
        <v>0.27872894526673264</v>
      </c>
      <c r="H80" s="111">
        <f t="shared" si="23"/>
        <v>0.27639782998006518</v>
      </c>
      <c r="I80" s="111">
        <f t="shared" si="23"/>
        <v>0.27603510860557823</v>
      </c>
      <c r="J80" s="110">
        <f t="shared" si="23"/>
        <v>0.27071876098003117</v>
      </c>
      <c r="K80" s="68">
        <f t="shared" si="23"/>
        <v>0.26751941764074422</v>
      </c>
      <c r="L80" s="68">
        <f t="shared" si="23"/>
        <v>0.26073294570557115</v>
      </c>
      <c r="M80" s="68">
        <f t="shared" si="23"/>
        <v>0.25313372633788273</v>
      </c>
      <c r="N80" s="111">
        <f t="shared" si="23"/>
        <v>0.2447800093836871</v>
      </c>
      <c r="O80" s="110">
        <f t="shared" si="23"/>
        <v>0.23216806433904691</v>
      </c>
      <c r="P80" s="68">
        <f t="shared" si="23"/>
        <v>0.21165740583364437</v>
      </c>
      <c r="Q80" s="68">
        <f t="shared" si="23"/>
        <v>0.18144770113282022</v>
      </c>
      <c r="R80" s="68">
        <f t="shared" si="23"/>
        <v>0.14634989095356846</v>
      </c>
      <c r="S80" s="111">
        <f t="shared" si="23"/>
        <v>0.10931218961041807</v>
      </c>
      <c r="T80" s="111">
        <f t="shared" si="23"/>
        <v>7.4779558865064141E-2</v>
      </c>
      <c r="U80" s="111">
        <f t="shared" si="23"/>
        <v>4.677641995847745E-2</v>
      </c>
      <c r="V80" s="111">
        <f t="shared" si="23"/>
        <v>2.7028253650485261E-2</v>
      </c>
      <c r="W80" s="111">
        <f t="shared" si="23"/>
        <v>1.4706514381059715E-2</v>
      </c>
      <c r="X80" s="116">
        <f t="shared" si="23"/>
        <v>7.6869992186582026E-3</v>
      </c>
      <c r="Y80" s="116">
        <f t="shared" si="23"/>
        <v>3.9245673055376363E-3</v>
      </c>
      <c r="Z80" s="116">
        <f t="shared" si="23"/>
        <v>1.9777413884742648E-3</v>
      </c>
      <c r="AA80" s="116">
        <f t="shared" si="23"/>
        <v>9.8963795263738849E-4</v>
      </c>
      <c r="AB80" s="116">
        <f t="shared" si="23"/>
        <v>4.9348689052828014E-4</v>
      </c>
      <c r="AC80" s="116">
        <f t="shared" si="23"/>
        <v>2.4560408322355594E-4</v>
      </c>
      <c r="AD80" s="116">
        <f t="shared" si="23"/>
        <v>1.221248272266634E-4</v>
      </c>
      <c r="AE80" s="116">
        <f t="shared" si="23"/>
        <v>6.068216678700953E-5</v>
      </c>
      <c r="AF80" s="116">
        <f t="shared" si="23"/>
        <v>3.0145958149207989E-5</v>
      </c>
      <c r="AG80" s="116">
        <f t="shared" si="23"/>
        <v>1.4970527772904306E-5</v>
      </c>
      <c r="AH80" s="116">
        <f t="shared" si="23"/>
        <v>7.3520219850195373E-6</v>
      </c>
      <c r="AI80" s="116">
        <f t="shared" si="23"/>
        <v>3.6460629938195163E-6</v>
      </c>
      <c r="AJ80" s="116">
        <f t="shared" si="23"/>
        <v>1.8071011359219878E-6</v>
      </c>
      <c r="AK80" s="116">
        <f t="shared" si="23"/>
        <v>8.9548501958355553E-7</v>
      </c>
      <c r="AL80" s="116">
        <f t="shared" si="23"/>
        <v>4.4351393555743086E-7</v>
      </c>
      <c r="AM80" s="116">
        <f t="shared" si="23"/>
        <v>2.1950879037411409E-7</v>
      </c>
    </row>
    <row r="81" spans="2:39" x14ac:dyDescent="0.25">
      <c r="B81" s="230"/>
      <c r="C81" s="35" t="s">
        <v>30</v>
      </c>
      <c r="D81" s="3" t="s">
        <v>437</v>
      </c>
      <c r="E81" s="111">
        <f t="shared" ref="E81:AM81" si="24">E39/E$26</f>
        <v>0.28000000000000003</v>
      </c>
      <c r="F81" s="111">
        <f t="shared" si="24"/>
        <v>0.27290324966102125</v>
      </c>
      <c r="G81" s="111">
        <f t="shared" si="24"/>
        <v>0.26603890555246479</v>
      </c>
      <c r="H81" s="111">
        <f t="shared" si="24"/>
        <v>0.26454275963687041</v>
      </c>
      <c r="I81" s="111">
        <f t="shared" si="24"/>
        <v>0.25846155924322722</v>
      </c>
      <c r="J81" s="110">
        <f t="shared" si="24"/>
        <v>0.2600321822575572</v>
      </c>
      <c r="K81" s="68">
        <f t="shared" si="24"/>
        <v>0.25233981782313653</v>
      </c>
      <c r="L81" s="68">
        <f t="shared" si="24"/>
        <v>0.24379987960628402</v>
      </c>
      <c r="M81" s="68">
        <f t="shared" si="24"/>
        <v>0.23578182939095205</v>
      </c>
      <c r="N81" s="111">
        <f t="shared" si="24"/>
        <v>0.22730808343426367</v>
      </c>
      <c r="O81" s="110">
        <f t="shared" si="24"/>
        <v>0.21490531864008561</v>
      </c>
      <c r="P81" s="68">
        <f t="shared" si="24"/>
        <v>0.19507860850319181</v>
      </c>
      <c r="Q81" s="68">
        <f t="shared" si="24"/>
        <v>0.16669440293650276</v>
      </c>
      <c r="R81" s="68">
        <f t="shared" si="24"/>
        <v>0.13399868448715316</v>
      </c>
      <c r="S81" s="111">
        <f t="shared" si="24"/>
        <v>9.9679433792521727E-2</v>
      </c>
      <c r="T81" s="111">
        <f t="shared" si="24"/>
        <v>6.7930150710504941E-2</v>
      </c>
      <c r="U81" s="111">
        <f t="shared" si="24"/>
        <v>4.2311755196968816E-2</v>
      </c>
      <c r="V81" s="111">
        <f t="shared" si="24"/>
        <v>2.4340249314762166E-2</v>
      </c>
      <c r="W81" s="111">
        <f t="shared" si="24"/>
        <v>1.3188386051822015E-2</v>
      </c>
      <c r="X81" s="116">
        <f t="shared" si="24"/>
        <v>6.8588415030829998E-3</v>
      </c>
      <c r="Y81" s="116">
        <f t="shared" si="24"/>
        <v>3.4850185556877787E-3</v>
      </c>
      <c r="Z81" s="116">
        <f t="shared" si="24"/>
        <v>1.7479010458187972E-3</v>
      </c>
      <c r="AA81" s="116">
        <f t="shared" si="24"/>
        <v>8.7026342550333604E-4</v>
      </c>
      <c r="AB81" s="116">
        <f t="shared" si="24"/>
        <v>4.318747616595217E-4</v>
      </c>
      <c r="AC81" s="116">
        <f t="shared" si="24"/>
        <v>2.1393485030597734E-4</v>
      </c>
      <c r="AD81" s="116">
        <f t="shared" si="24"/>
        <v>1.0592912406831414E-4</v>
      </c>
      <c r="AE81" s="116">
        <f t="shared" si="24"/>
        <v>5.2411245155523706E-5</v>
      </c>
      <c r="AF81" s="116">
        <f t="shared" si="24"/>
        <v>2.5931842554899093E-5</v>
      </c>
      <c r="AG81" s="116">
        <f t="shared" si="24"/>
        <v>1.2826238891516165E-5</v>
      </c>
      <c r="AH81" s="116">
        <f t="shared" si="24"/>
        <v>6.2166658052517531E-6</v>
      </c>
      <c r="AI81" s="116">
        <f t="shared" si="24"/>
        <v>3.0704974915600412E-6</v>
      </c>
      <c r="AJ81" s="116">
        <f t="shared" si="24"/>
        <v>1.5155713679472869E-6</v>
      </c>
      <c r="AK81" s="116">
        <f t="shared" si="24"/>
        <v>7.4809145681047788E-7</v>
      </c>
      <c r="AL81" s="116">
        <f t="shared" si="24"/>
        <v>3.6908479903031966E-7</v>
      </c>
      <c r="AM81" s="116">
        <f t="shared" si="24"/>
        <v>1.81958947841882E-7</v>
      </c>
    </row>
    <row r="82" spans="2:39" x14ac:dyDescent="0.25">
      <c r="B82" s="230"/>
      <c r="C82" s="35" t="s">
        <v>31</v>
      </c>
      <c r="D82" s="3" t="s">
        <v>438</v>
      </c>
      <c r="E82" s="111">
        <f t="shared" ref="E82:AM82" si="25">E40/E$26</f>
        <v>0.18</v>
      </c>
      <c r="F82" s="111">
        <f t="shared" si="25"/>
        <v>0.1658524498978812</v>
      </c>
      <c r="G82" s="111">
        <f t="shared" si="25"/>
        <v>0.15840544578267327</v>
      </c>
      <c r="H82" s="111">
        <f t="shared" si="25"/>
        <v>0.15457511170368993</v>
      </c>
      <c r="I82" s="111">
        <f t="shared" si="25"/>
        <v>0.14221442462424186</v>
      </c>
      <c r="J82" s="110">
        <f t="shared" si="25"/>
        <v>0.14992577384780909</v>
      </c>
      <c r="K82" s="68">
        <f t="shared" si="25"/>
        <v>0.13304713074822483</v>
      </c>
      <c r="L82" s="68">
        <f t="shared" si="25"/>
        <v>0.12500881201251957</v>
      </c>
      <c r="M82" s="68">
        <f t="shared" si="25"/>
        <v>0.11946466224542709</v>
      </c>
      <c r="N82" s="111">
        <f t="shared" si="25"/>
        <v>0.11411551879962416</v>
      </c>
      <c r="O82" s="110">
        <f t="shared" si="25"/>
        <v>0.10687519794191698</v>
      </c>
      <c r="P82" s="68">
        <f t="shared" si="25"/>
        <v>9.5854389680138291E-2</v>
      </c>
      <c r="Q82" s="68">
        <f t="shared" si="25"/>
        <v>8.1158098286686076E-2</v>
      </c>
      <c r="R82" s="68">
        <f t="shared" si="25"/>
        <v>6.4623018126564305E-2</v>
      </c>
      <c r="S82" s="111">
        <f t="shared" si="25"/>
        <v>4.7538090485201162E-2</v>
      </c>
      <c r="T82" s="111">
        <f t="shared" si="25"/>
        <v>3.2077035559027668E-2</v>
      </c>
      <c r="U82" s="111">
        <f t="shared" si="25"/>
        <v>1.9763089470068738E-2</v>
      </c>
      <c r="V82" s="111">
        <f t="shared" si="25"/>
        <v>1.1244033839320324E-2</v>
      </c>
      <c r="W82" s="111">
        <f t="shared" si="25"/>
        <v>6.0315928808734008E-3</v>
      </c>
      <c r="X82" s="116">
        <f t="shared" si="25"/>
        <v>3.1002533183781419E-3</v>
      </c>
      <c r="Y82" s="116">
        <f t="shared" si="25"/>
        <v>1.5586727111331136E-3</v>
      </c>
      <c r="Z82" s="116">
        <f t="shared" si="25"/>
        <v>7.7395252644606876E-4</v>
      </c>
      <c r="AA82" s="116">
        <f t="shared" si="25"/>
        <v>3.8146979124228188E-4</v>
      </c>
      <c r="AB82" s="116">
        <f t="shared" si="25"/>
        <v>1.8757027056770826E-4</v>
      </c>
      <c r="AC82" s="116">
        <f t="shared" si="25"/>
        <v>9.2137206205634276E-5</v>
      </c>
      <c r="AD82" s="116">
        <f t="shared" si="25"/>
        <v>4.5305263466871964E-5</v>
      </c>
      <c r="AE82" s="116">
        <f t="shared" si="25"/>
        <v>2.2269737358598916E-5</v>
      </c>
      <c r="AF82" s="116">
        <f t="shared" si="25"/>
        <v>1.0955228374578162E-5</v>
      </c>
      <c r="AG82" s="116">
        <f t="shared" si="25"/>
        <v>5.3904259059950083E-6</v>
      </c>
      <c r="AH82" s="116">
        <f t="shared" si="25"/>
        <v>2.5718005286363203E-6</v>
      </c>
      <c r="AI82" s="116">
        <f t="shared" si="25"/>
        <v>1.266390347725286E-6</v>
      </c>
      <c r="AJ82" s="116">
        <f t="shared" si="25"/>
        <v>6.2357561755086027E-7</v>
      </c>
      <c r="AK82" s="116">
        <f t="shared" si="25"/>
        <v>3.07319153771441E-7</v>
      </c>
      <c r="AL82" s="116">
        <f t="shared" si="25"/>
        <v>1.5149956223936264E-7</v>
      </c>
      <c r="AM82" s="116">
        <f t="shared" si="25"/>
        <v>7.4685536780259893E-8</v>
      </c>
    </row>
    <row r="83" spans="2:39" x14ac:dyDescent="0.25">
      <c r="B83" s="230"/>
      <c r="C83" s="35" t="s">
        <v>32</v>
      </c>
      <c r="D83" s="3" t="s">
        <v>439</v>
      </c>
      <c r="E83" s="111">
        <f t="shared" ref="E83:AM83" si="26">E41/E$26</f>
        <v>0.06</v>
      </c>
      <c r="F83" s="111">
        <f t="shared" si="26"/>
        <v>4.4793799180266616E-2</v>
      </c>
      <c r="G83" s="111">
        <f t="shared" si="26"/>
        <v>4.5093955944026112E-2</v>
      </c>
      <c r="H83" s="111">
        <f t="shared" si="26"/>
        <v>4.2705733003853941E-2</v>
      </c>
      <c r="I83" s="111">
        <f t="shared" si="26"/>
        <v>3.4994143535606252E-2</v>
      </c>
      <c r="J83" s="110">
        <f t="shared" si="26"/>
        <v>2.5174429767719719E-2</v>
      </c>
      <c r="K83" s="68">
        <f t="shared" si="26"/>
        <v>1.7368175129996513E-2</v>
      </c>
      <c r="L83" s="68">
        <f t="shared" si="26"/>
        <v>1.4445715124623667E-2</v>
      </c>
      <c r="M83" s="68">
        <f t="shared" si="26"/>
        <v>1.3091279783187405E-2</v>
      </c>
      <c r="N83" s="111">
        <f t="shared" si="26"/>
        <v>1.1997731619137173E-2</v>
      </c>
      <c r="O83" s="110">
        <f t="shared" si="26"/>
        <v>1.0764200544006565E-2</v>
      </c>
      <c r="P83" s="68">
        <f t="shared" si="26"/>
        <v>9.1307085980589144E-3</v>
      </c>
      <c r="Q83" s="68">
        <f t="shared" si="26"/>
        <v>7.4078583334933577E-3</v>
      </c>
      <c r="R83" s="68">
        <f t="shared" si="26"/>
        <v>5.6431429960291076E-3</v>
      </c>
      <c r="S83" s="111">
        <f t="shared" si="26"/>
        <v>3.9384436261196577E-3</v>
      </c>
      <c r="T83" s="111">
        <f t="shared" si="26"/>
        <v>2.5340314381083035E-3</v>
      </c>
      <c r="U83" s="111">
        <f t="shared" si="26"/>
        <v>1.4813820595290718E-3</v>
      </c>
      <c r="V83" s="111">
        <f t="shared" si="26"/>
        <v>7.9886508713284407E-4</v>
      </c>
      <c r="W83" s="111">
        <f t="shared" si="26"/>
        <v>4.0796947104986323E-4</v>
      </c>
      <c r="X83" s="116">
        <f t="shared" si="26"/>
        <v>1.9800456802419156E-4</v>
      </c>
      <c r="Y83" s="116">
        <f t="shared" si="26"/>
        <v>9.4487140225226658E-5</v>
      </c>
      <c r="Z83" s="116">
        <f t="shared" si="26"/>
        <v>4.4652410888461356E-5</v>
      </c>
      <c r="AA83" s="116">
        <f t="shared" si="26"/>
        <v>2.0947050622452862E-5</v>
      </c>
      <c r="AB83" s="116">
        <f t="shared" si="26"/>
        <v>9.849471737385764E-6</v>
      </c>
      <c r="AC83" s="116">
        <f t="shared" si="26"/>
        <v>4.6460873716620387E-6</v>
      </c>
      <c r="AD83" s="116">
        <f t="shared" si="26"/>
        <v>2.2086881683142314E-6</v>
      </c>
      <c r="AE83" s="116">
        <f t="shared" si="26"/>
        <v>1.0520747273329644E-6</v>
      </c>
      <c r="AF83" s="116">
        <f t="shared" si="26"/>
        <v>5.0354902538629932E-7</v>
      </c>
      <c r="AG83" s="116">
        <f t="shared" si="26"/>
        <v>2.4172313865528451E-7</v>
      </c>
      <c r="AH83" s="116">
        <f t="shared" si="26"/>
        <v>1.0821302636229405E-7</v>
      </c>
      <c r="AI83" s="116">
        <f t="shared" si="26"/>
        <v>5.2530293395566225E-8</v>
      </c>
      <c r="AJ83" s="116">
        <f t="shared" si="26"/>
        <v>2.5556935028871741E-8</v>
      </c>
      <c r="AK83" s="116">
        <f t="shared" si="26"/>
        <v>1.2480077747266404E-8</v>
      </c>
      <c r="AL83" s="116">
        <f t="shared" si="26"/>
        <v>6.1091209638344485E-9</v>
      </c>
      <c r="AM83" s="116">
        <f t="shared" si="26"/>
        <v>2.9961550714368407E-9</v>
      </c>
    </row>
    <row r="84" spans="2:39" x14ac:dyDescent="0.25">
      <c r="B84" s="230"/>
      <c r="C84" s="56" t="s">
        <v>33</v>
      </c>
      <c r="D84" s="7" t="s">
        <v>440</v>
      </c>
      <c r="E84" s="113">
        <f t="shared" ref="E84:AM84" si="27">E42/E$26</f>
        <v>1.4999999999999999E-2</v>
      </c>
      <c r="F84" s="113">
        <f t="shared" si="27"/>
        <v>7.3550353975779057E-3</v>
      </c>
      <c r="G84" s="113">
        <f t="shared" si="27"/>
        <v>7.6642432281092783E-3</v>
      </c>
      <c r="H84" s="113">
        <f t="shared" si="27"/>
        <v>5.9563974142771824E-3</v>
      </c>
      <c r="I84" s="113">
        <f t="shared" si="27"/>
        <v>3.8039940207876531E-3</v>
      </c>
      <c r="J84" s="112">
        <f t="shared" si="27"/>
        <v>1.0657130178657562E-3</v>
      </c>
      <c r="K84" s="70">
        <f t="shared" si="27"/>
        <v>0</v>
      </c>
      <c r="L84" s="70">
        <f t="shared" si="27"/>
        <v>0</v>
      </c>
      <c r="M84" s="70">
        <f t="shared" si="27"/>
        <v>0</v>
      </c>
      <c r="N84" s="113">
        <f t="shared" si="27"/>
        <v>0</v>
      </c>
      <c r="O84" s="112">
        <f t="shared" si="27"/>
        <v>0</v>
      </c>
      <c r="P84" s="70">
        <f t="shared" si="27"/>
        <v>0</v>
      </c>
      <c r="Q84" s="70">
        <f t="shared" si="27"/>
        <v>0</v>
      </c>
      <c r="R84" s="70">
        <f t="shared" si="27"/>
        <v>0</v>
      </c>
      <c r="S84" s="113">
        <f t="shared" si="27"/>
        <v>0</v>
      </c>
      <c r="T84" s="113">
        <f t="shared" si="27"/>
        <v>0</v>
      </c>
      <c r="U84" s="113">
        <f t="shared" si="27"/>
        <v>0</v>
      </c>
      <c r="V84" s="113">
        <f t="shared" si="27"/>
        <v>0</v>
      </c>
      <c r="W84" s="113">
        <f t="shared" si="27"/>
        <v>0</v>
      </c>
      <c r="X84" s="117">
        <f t="shared" si="27"/>
        <v>0</v>
      </c>
      <c r="Y84" s="117">
        <f t="shared" si="27"/>
        <v>0</v>
      </c>
      <c r="Z84" s="117">
        <f t="shared" si="27"/>
        <v>0</v>
      </c>
      <c r="AA84" s="117">
        <f t="shared" si="27"/>
        <v>0</v>
      </c>
      <c r="AB84" s="117">
        <f t="shared" si="27"/>
        <v>0</v>
      </c>
      <c r="AC84" s="117">
        <f t="shared" si="27"/>
        <v>0</v>
      </c>
      <c r="AD84" s="117">
        <f t="shared" si="27"/>
        <v>0</v>
      </c>
      <c r="AE84" s="117">
        <f t="shared" si="27"/>
        <v>0</v>
      </c>
      <c r="AF84" s="117">
        <f t="shared" si="27"/>
        <v>0</v>
      </c>
      <c r="AG84" s="117">
        <f t="shared" si="27"/>
        <v>0</v>
      </c>
      <c r="AH84" s="117">
        <f t="shared" si="27"/>
        <v>0</v>
      </c>
      <c r="AI84" s="117">
        <f t="shared" si="27"/>
        <v>0</v>
      </c>
      <c r="AJ84" s="117">
        <f t="shared" si="27"/>
        <v>0</v>
      </c>
      <c r="AK84" s="117">
        <f t="shared" si="27"/>
        <v>0</v>
      </c>
      <c r="AL84" s="117">
        <f t="shared" si="27"/>
        <v>0</v>
      </c>
      <c r="AM84" s="117">
        <f t="shared" si="27"/>
        <v>0</v>
      </c>
    </row>
    <row r="85" spans="2:39" x14ac:dyDescent="0.25">
      <c r="B85" s="229" t="s">
        <v>80</v>
      </c>
      <c r="C85" s="58" t="s">
        <v>52</v>
      </c>
      <c r="D85" s="58" t="s">
        <v>130</v>
      </c>
      <c r="E85" s="100">
        <f t="shared" ref="E85:AM85" si="28">E43</f>
        <v>32001.800439999999</v>
      </c>
      <c r="F85" s="100">
        <f t="shared" si="28"/>
        <v>35911.307350000003</v>
      </c>
      <c r="G85" s="100">
        <f t="shared" si="28"/>
        <v>36708.886160000002</v>
      </c>
      <c r="H85" s="100">
        <f t="shared" si="28"/>
        <v>37113.743849999999</v>
      </c>
      <c r="I85" s="100">
        <f t="shared" si="28"/>
        <v>37468.13839</v>
      </c>
      <c r="J85" s="99">
        <f t="shared" si="28"/>
        <v>37674.700530000002</v>
      </c>
      <c r="K85" s="51">
        <f t="shared" si="28"/>
        <v>37776.063759999997</v>
      </c>
      <c r="L85" s="51">
        <f t="shared" si="28"/>
        <v>37847.518880000003</v>
      </c>
      <c r="M85" s="51">
        <f t="shared" si="28"/>
        <v>37774.379829999998</v>
      </c>
      <c r="N85" s="100">
        <f t="shared" si="28"/>
        <v>37610.316129999999</v>
      </c>
      <c r="O85" s="99">
        <f t="shared" si="28"/>
        <v>37339.257259999998</v>
      </c>
      <c r="P85" s="51">
        <f t="shared" si="28"/>
        <v>36974.615030000001</v>
      </c>
      <c r="Q85" s="51">
        <f t="shared" si="28"/>
        <v>36581.806049999999</v>
      </c>
      <c r="R85" s="51">
        <f t="shared" si="28"/>
        <v>36184.51427</v>
      </c>
      <c r="S85" s="100">
        <f t="shared" si="28"/>
        <v>35719.150029999997</v>
      </c>
      <c r="T85" s="100">
        <f t="shared" si="28"/>
        <v>35337.12167</v>
      </c>
      <c r="U85" s="100">
        <f t="shared" si="28"/>
        <v>35001.497860000003</v>
      </c>
      <c r="V85" s="100">
        <f t="shared" si="28"/>
        <v>34674.842279999997</v>
      </c>
      <c r="W85" s="100">
        <f t="shared" si="28"/>
        <v>34356.46097</v>
      </c>
      <c r="X85" s="104">
        <f t="shared" si="28"/>
        <v>34046.939939999997</v>
      </c>
      <c r="Y85" s="104">
        <f t="shared" si="28"/>
        <v>33772.83668</v>
      </c>
      <c r="Z85" s="104">
        <f t="shared" si="28"/>
        <v>33516.610240000002</v>
      </c>
      <c r="AA85" s="104">
        <f t="shared" si="28"/>
        <v>33268.125269999997</v>
      </c>
      <c r="AB85" s="104">
        <f t="shared" si="28"/>
        <v>33029.700629999999</v>
      </c>
      <c r="AC85" s="104">
        <f t="shared" si="28"/>
        <v>32800.690329999998</v>
      </c>
      <c r="AD85" s="104">
        <f t="shared" si="28"/>
        <v>32577.11463</v>
      </c>
      <c r="AE85" s="104">
        <f t="shared" si="28"/>
        <v>32362.155650000001</v>
      </c>
      <c r="AF85" s="104">
        <f t="shared" si="28"/>
        <v>32162.529709999999</v>
      </c>
      <c r="AG85" s="104">
        <f t="shared" si="28"/>
        <v>31970.599149999998</v>
      </c>
      <c r="AH85" s="104">
        <f t="shared" si="28"/>
        <v>31717.337459999999</v>
      </c>
      <c r="AI85" s="104">
        <f t="shared" si="28"/>
        <v>31481.696929999998</v>
      </c>
      <c r="AJ85" s="104">
        <f t="shared" si="28"/>
        <v>31260.945489999998</v>
      </c>
      <c r="AK85" s="104">
        <f t="shared" si="28"/>
        <v>31050.790140000001</v>
      </c>
      <c r="AL85" s="104">
        <f t="shared" si="28"/>
        <v>30843.645939999999</v>
      </c>
      <c r="AM85" s="104">
        <f t="shared" si="28"/>
        <v>30611.075769999999</v>
      </c>
    </row>
    <row r="86" spans="2:39" x14ac:dyDescent="0.25">
      <c r="B86" s="230"/>
      <c r="C86" s="35" t="s">
        <v>8</v>
      </c>
      <c r="D86" s="54" t="s">
        <v>441</v>
      </c>
      <c r="E86" s="111">
        <f t="shared" ref="E86:AM89" si="29">E44/E$43</f>
        <v>0</v>
      </c>
      <c r="F86" s="111">
        <f t="shared" si="29"/>
        <v>0</v>
      </c>
      <c r="G86" s="111">
        <f t="shared" si="29"/>
        <v>0</v>
      </c>
      <c r="H86" s="111">
        <f t="shared" si="29"/>
        <v>0</v>
      </c>
      <c r="I86" s="111">
        <f t="shared" si="29"/>
        <v>0</v>
      </c>
      <c r="J86" s="110">
        <f t="shared" si="29"/>
        <v>0</v>
      </c>
      <c r="K86" s="68">
        <f t="shared" si="29"/>
        <v>0</v>
      </c>
      <c r="L86" s="68">
        <f t="shared" si="29"/>
        <v>0</v>
      </c>
      <c r="M86" s="68">
        <f t="shared" si="29"/>
        <v>0</v>
      </c>
      <c r="N86" s="111">
        <f t="shared" si="29"/>
        <v>0</v>
      </c>
      <c r="O86" s="110">
        <f t="shared" si="29"/>
        <v>0</v>
      </c>
      <c r="P86" s="68">
        <f t="shared" si="29"/>
        <v>0</v>
      </c>
      <c r="Q86" s="68">
        <f t="shared" si="29"/>
        <v>0</v>
      </c>
      <c r="R86" s="68">
        <f t="shared" si="29"/>
        <v>0</v>
      </c>
      <c r="S86" s="111">
        <f t="shared" si="29"/>
        <v>0</v>
      </c>
      <c r="T86" s="111">
        <f t="shared" si="29"/>
        <v>0</v>
      </c>
      <c r="U86" s="111">
        <f t="shared" si="29"/>
        <v>0</v>
      </c>
      <c r="V86" s="111">
        <f t="shared" si="29"/>
        <v>0</v>
      </c>
      <c r="W86" s="111">
        <f t="shared" si="29"/>
        <v>0</v>
      </c>
      <c r="X86" s="116">
        <f t="shared" si="29"/>
        <v>0</v>
      </c>
      <c r="Y86" s="116">
        <f t="shared" si="29"/>
        <v>0</v>
      </c>
      <c r="Z86" s="116">
        <f t="shared" si="29"/>
        <v>0</v>
      </c>
      <c r="AA86" s="116">
        <f t="shared" si="29"/>
        <v>0</v>
      </c>
      <c r="AB86" s="116">
        <f t="shared" si="29"/>
        <v>0</v>
      </c>
      <c r="AC86" s="116">
        <f t="shared" si="29"/>
        <v>0</v>
      </c>
      <c r="AD86" s="116">
        <f t="shared" si="29"/>
        <v>0</v>
      </c>
      <c r="AE86" s="116">
        <f t="shared" si="29"/>
        <v>0</v>
      </c>
      <c r="AF86" s="116">
        <f t="shared" si="29"/>
        <v>0</v>
      </c>
      <c r="AG86" s="116">
        <f t="shared" si="29"/>
        <v>0</v>
      </c>
      <c r="AH86" s="116">
        <f t="shared" si="29"/>
        <v>0</v>
      </c>
      <c r="AI86" s="116">
        <f t="shared" si="29"/>
        <v>0</v>
      </c>
      <c r="AJ86" s="116">
        <f t="shared" si="29"/>
        <v>0</v>
      </c>
      <c r="AK86" s="116">
        <f t="shared" si="29"/>
        <v>0</v>
      </c>
      <c r="AL86" s="116">
        <f t="shared" si="29"/>
        <v>0</v>
      </c>
      <c r="AM86" s="116">
        <f t="shared" si="29"/>
        <v>0</v>
      </c>
    </row>
    <row r="87" spans="2:39" x14ac:dyDescent="0.25">
      <c r="B87" s="230"/>
      <c r="C87" s="35" t="s">
        <v>6</v>
      </c>
      <c r="D87" s="3" t="s">
        <v>424</v>
      </c>
      <c r="E87" s="111">
        <f t="shared" si="29"/>
        <v>0.9999246395525615</v>
      </c>
      <c r="F87" s="111">
        <f t="shared" si="29"/>
        <v>0.99648746705959157</v>
      </c>
      <c r="G87" s="111">
        <f t="shared" si="29"/>
        <v>0.99179360717492271</v>
      </c>
      <c r="H87" s="111">
        <f t="shared" si="29"/>
        <v>0.98924313856307444</v>
      </c>
      <c r="I87" s="111">
        <f t="shared" si="29"/>
        <v>0.98611618611564533</v>
      </c>
      <c r="J87" s="110">
        <f t="shared" si="29"/>
        <v>0.98247973943483913</v>
      </c>
      <c r="K87" s="68">
        <f t="shared" si="29"/>
        <v>0.97776645774064641</v>
      </c>
      <c r="L87" s="68">
        <f t="shared" si="29"/>
        <v>0.97180762856917813</v>
      </c>
      <c r="M87" s="68">
        <f t="shared" si="29"/>
        <v>0.96512510421273012</v>
      </c>
      <c r="N87" s="111">
        <f t="shared" si="29"/>
        <v>0.95757302399468036</v>
      </c>
      <c r="O87" s="110">
        <f t="shared" si="29"/>
        <v>0.94858515511885688</v>
      </c>
      <c r="P87" s="68">
        <f t="shared" si="29"/>
        <v>0.93704456373348743</v>
      </c>
      <c r="Q87" s="68">
        <f t="shared" si="29"/>
        <v>0.92119255440642744</v>
      </c>
      <c r="R87" s="68">
        <f t="shared" si="29"/>
        <v>0.90026466949172068</v>
      </c>
      <c r="S87" s="111">
        <f t="shared" si="29"/>
        <v>0.87507143433558354</v>
      </c>
      <c r="T87" s="111">
        <f t="shared" si="29"/>
        <v>0.8440499542814065</v>
      </c>
      <c r="U87" s="111">
        <f t="shared" si="29"/>
        <v>0.80885861322964525</v>
      </c>
      <c r="V87" s="111">
        <f t="shared" si="29"/>
        <v>0.77171906028926296</v>
      </c>
      <c r="W87" s="111">
        <f t="shared" si="29"/>
        <v>0.73403282637350176</v>
      </c>
      <c r="X87" s="116">
        <f t="shared" si="29"/>
        <v>0.69676111485512848</v>
      </c>
      <c r="Y87" s="116">
        <f t="shared" si="29"/>
        <v>0.65997112831210358</v>
      </c>
      <c r="Z87" s="116">
        <f t="shared" si="29"/>
        <v>0.62434377940243635</v>
      </c>
      <c r="AA87" s="116">
        <f t="shared" si="29"/>
        <v>0.59021054179167465</v>
      </c>
      <c r="AB87" s="116">
        <f t="shared" si="29"/>
        <v>0.55756756188316681</v>
      </c>
      <c r="AC87" s="116">
        <f t="shared" si="29"/>
        <v>0.52641804840940987</v>
      </c>
      <c r="AD87" s="116">
        <f t="shared" si="29"/>
        <v>0.496928409831979</v>
      </c>
      <c r="AE87" s="116">
        <f t="shared" si="29"/>
        <v>0.46897712266580738</v>
      </c>
      <c r="AF87" s="116">
        <f t="shared" si="29"/>
        <v>0.44240115184646028</v>
      </c>
      <c r="AG87" s="116">
        <f t="shared" si="29"/>
        <v>0.41724407532725266</v>
      </c>
      <c r="AH87" s="116">
        <f t="shared" si="29"/>
        <v>0.39253898268420417</v>
      </c>
      <c r="AI87" s="116">
        <f t="shared" si="29"/>
        <v>0.36911280722376233</v>
      </c>
      <c r="AJ87" s="116">
        <f t="shared" si="29"/>
        <v>0.34693844475911273</v>
      </c>
      <c r="AK87" s="116">
        <f t="shared" si="29"/>
        <v>0.32600099850470338</v>
      </c>
      <c r="AL87" s="116">
        <f t="shared" si="29"/>
        <v>0.30631114526404107</v>
      </c>
      <c r="AM87" s="116">
        <f t="shared" si="29"/>
        <v>0.28806252868257171</v>
      </c>
    </row>
    <row r="88" spans="2:39" x14ac:dyDescent="0.25">
      <c r="B88" s="230"/>
      <c r="C88" s="35" t="s">
        <v>34</v>
      </c>
      <c r="D88" s="3" t="s">
        <v>423</v>
      </c>
      <c r="E88" s="111">
        <f t="shared" si="29"/>
        <v>7.5360400972489787E-5</v>
      </c>
      <c r="F88" s="111">
        <f t="shared" si="29"/>
        <v>3.5125330406552296E-3</v>
      </c>
      <c r="G88" s="111">
        <f t="shared" si="29"/>
        <v>8.2063928087323899E-3</v>
      </c>
      <c r="H88" s="111">
        <f t="shared" si="29"/>
        <v>1.0756861323759985E-2</v>
      </c>
      <c r="I88" s="111">
        <f t="shared" si="29"/>
        <v>1.3883814017801272E-2</v>
      </c>
      <c r="J88" s="110">
        <f t="shared" si="29"/>
        <v>1.7520260708493017E-2</v>
      </c>
      <c r="K88" s="68">
        <f t="shared" si="29"/>
        <v>2.2233542206410127E-2</v>
      </c>
      <c r="L88" s="68">
        <f t="shared" si="29"/>
        <v>2.8192371562930835E-2</v>
      </c>
      <c r="M88" s="68">
        <f t="shared" si="29"/>
        <v>3.4874895919634746E-2</v>
      </c>
      <c r="N88" s="111">
        <f t="shared" si="29"/>
        <v>4.242697603190819E-2</v>
      </c>
      <c r="O88" s="110">
        <f t="shared" si="29"/>
        <v>5.1414845015050524E-2</v>
      </c>
      <c r="P88" s="68">
        <f t="shared" si="29"/>
        <v>6.295543637469482E-2</v>
      </c>
      <c r="Q88" s="68">
        <f t="shared" si="29"/>
        <v>7.8807445538900622E-2</v>
      </c>
      <c r="R88" s="68">
        <f t="shared" si="29"/>
        <v>9.9735330425370944E-2</v>
      </c>
      <c r="S88" s="111">
        <f t="shared" si="29"/>
        <v>0.12492856546844322</v>
      </c>
      <c r="T88" s="111">
        <f t="shared" si="29"/>
        <v>0.15595004557709921</v>
      </c>
      <c r="U88" s="111">
        <f t="shared" si="29"/>
        <v>0.19114138674178441</v>
      </c>
      <c r="V88" s="111">
        <f t="shared" si="29"/>
        <v>0.22828093959537976</v>
      </c>
      <c r="W88" s="111">
        <f t="shared" si="29"/>
        <v>0.26596717353917843</v>
      </c>
      <c r="X88" s="116">
        <f t="shared" si="29"/>
        <v>0.30323888514487163</v>
      </c>
      <c r="Y88" s="116">
        <f t="shared" si="29"/>
        <v>0.34002887139180044</v>
      </c>
      <c r="Z88" s="116">
        <f t="shared" si="29"/>
        <v>0.37565622059756359</v>
      </c>
      <c r="AA88" s="116">
        <f t="shared" si="29"/>
        <v>0.40978945820832546</v>
      </c>
      <c r="AB88" s="116">
        <f t="shared" si="29"/>
        <v>0.44243243781407537</v>
      </c>
      <c r="AC88" s="116">
        <f t="shared" si="29"/>
        <v>0.47358195189546187</v>
      </c>
      <c r="AD88" s="116">
        <f t="shared" si="29"/>
        <v>0.50307159047498484</v>
      </c>
      <c r="AE88" s="116">
        <f t="shared" si="29"/>
        <v>0.53102287733419273</v>
      </c>
      <c r="AF88" s="116">
        <f t="shared" si="29"/>
        <v>0.55759884846446051</v>
      </c>
      <c r="AG88" s="116">
        <f t="shared" si="29"/>
        <v>0.58275592467274728</v>
      </c>
      <c r="AH88" s="116">
        <f t="shared" si="29"/>
        <v>0.60746101731579583</v>
      </c>
      <c r="AI88" s="116">
        <f t="shared" si="29"/>
        <v>0.63088719277623762</v>
      </c>
      <c r="AJ88" s="116">
        <f t="shared" si="29"/>
        <v>0.65306155556077528</v>
      </c>
      <c r="AK88" s="116">
        <f t="shared" si="29"/>
        <v>0.67399900181734962</v>
      </c>
      <c r="AL88" s="116">
        <f t="shared" si="29"/>
        <v>0.69368885480080189</v>
      </c>
      <c r="AM88" s="116">
        <f t="shared" si="29"/>
        <v>0.7119374713827642</v>
      </c>
    </row>
    <row r="89" spans="2:39" x14ac:dyDescent="0.25">
      <c r="B89" s="230"/>
      <c r="C89" s="35" t="s">
        <v>35</v>
      </c>
      <c r="D89" s="3" t="s">
        <v>442</v>
      </c>
      <c r="E89" s="111">
        <f t="shared" si="29"/>
        <v>7.0669503868701714E-7</v>
      </c>
      <c r="F89" s="111">
        <f t="shared" si="29"/>
        <v>9.6595836213687723E-6</v>
      </c>
      <c r="G89" s="111">
        <f t="shared" si="29"/>
        <v>1.1186099246112347E-5</v>
      </c>
      <c r="H89" s="111">
        <f t="shared" si="29"/>
        <v>1.2050378167386096E-5</v>
      </c>
      <c r="I89" s="111">
        <f t="shared" si="29"/>
        <v>1.3564795624744675E-5</v>
      </c>
      <c r="J89" s="110">
        <f t="shared" si="29"/>
        <v>1.4786442489606698E-5</v>
      </c>
      <c r="K89" s="68">
        <f t="shared" si="29"/>
        <v>1.6879306408180416E-5</v>
      </c>
      <c r="L89" s="68">
        <f t="shared" si="29"/>
        <v>1.9342680359606176E-5</v>
      </c>
      <c r="M89" s="68">
        <f t="shared" si="29"/>
        <v>2.1628776958798321E-5</v>
      </c>
      <c r="N89" s="111">
        <f t="shared" si="29"/>
        <v>2.3744961555578394E-5</v>
      </c>
      <c r="O89" s="110">
        <f t="shared" si="29"/>
        <v>2.5649174835782473E-5</v>
      </c>
      <c r="P89" s="68">
        <f t="shared" si="29"/>
        <v>2.7320451617424182E-5</v>
      </c>
      <c r="Q89" s="68">
        <f t="shared" si="29"/>
        <v>2.8592877988865723E-5</v>
      </c>
      <c r="R89" s="68">
        <f t="shared" si="29"/>
        <v>2.9392130099194505E-5</v>
      </c>
      <c r="S89" s="111">
        <f t="shared" si="29"/>
        <v>2.9673960105707477E-5</v>
      </c>
      <c r="T89" s="111">
        <f t="shared" si="29"/>
        <v>2.9464520956836607E-5</v>
      </c>
      <c r="U89" s="111">
        <f t="shared" si="29"/>
        <v>2.8815479298462225E-5</v>
      </c>
      <c r="V89" s="111">
        <f t="shared" si="29"/>
        <v>2.7854957343442606E-5</v>
      </c>
      <c r="W89" s="111">
        <f t="shared" si="29"/>
        <v>2.6707866881319238E-5</v>
      </c>
      <c r="X89" s="116">
        <f t="shared" si="29"/>
        <v>2.5473346715693124E-5</v>
      </c>
      <c r="Y89" s="116">
        <f t="shared" si="29"/>
        <v>2.4196750543727201E-5</v>
      </c>
      <c r="Z89" s="116">
        <f t="shared" si="29"/>
        <v>2.2928089890274059E-5</v>
      </c>
      <c r="AA89" s="116">
        <f t="shared" si="29"/>
        <v>2.1694936280369491E-5</v>
      </c>
      <c r="AB89" s="116">
        <f t="shared" si="29"/>
        <v>2.0505973032792819E-5</v>
      </c>
      <c r="AC89" s="116">
        <f t="shared" si="29"/>
        <v>1.936620740323303E-5</v>
      </c>
      <c r="AD89" s="116">
        <f t="shared" si="29"/>
        <v>1.8284403670037368E-5</v>
      </c>
      <c r="AE89" s="116">
        <f t="shared" si="29"/>
        <v>1.7257565007107304E-5</v>
      </c>
      <c r="AF89" s="116">
        <f t="shared" si="29"/>
        <v>1.6280470660154425E-5</v>
      </c>
      <c r="AG89" s="116">
        <f t="shared" si="29"/>
        <v>1.5355133167718566E-5</v>
      </c>
      <c r="AH89" s="116">
        <f t="shared" si="29"/>
        <v>1.444621383739567E-5</v>
      </c>
      <c r="AI89" s="116">
        <f t="shared" si="29"/>
        <v>1.3584220969755711E-5</v>
      </c>
      <c r="AJ89" s="116">
        <f t="shared" si="29"/>
        <v>1.2768223985025733E-5</v>
      </c>
      <c r="AK89" s="116">
        <f t="shared" si="29"/>
        <v>1.1997709827038882E-5</v>
      </c>
      <c r="AL89" s="116">
        <f t="shared" si="29"/>
        <v>1.127309003210533E-5</v>
      </c>
      <c r="AM89" s="116">
        <f t="shared" si="29"/>
        <v>1.0601500931830859E-5</v>
      </c>
    </row>
    <row r="90" spans="2:39" x14ac:dyDescent="0.25">
      <c r="B90" s="230"/>
      <c r="C90" s="58" t="s">
        <v>52</v>
      </c>
      <c r="D90" s="58" t="s">
        <v>130</v>
      </c>
      <c r="E90" s="59">
        <f>E43</f>
        <v>32001.800439999999</v>
      </c>
      <c r="F90" s="59">
        <f t="shared" ref="F90:AM90" si="30">F43</f>
        <v>35911.307350000003</v>
      </c>
      <c r="G90" s="59">
        <f t="shared" si="30"/>
        <v>36708.886160000002</v>
      </c>
      <c r="H90" s="59">
        <f t="shared" si="30"/>
        <v>37113.743849999999</v>
      </c>
      <c r="I90" s="59">
        <f t="shared" si="30"/>
        <v>37468.13839</v>
      </c>
      <c r="J90" s="59">
        <f t="shared" si="30"/>
        <v>37674.700530000002</v>
      </c>
      <c r="K90" s="59">
        <f t="shared" si="30"/>
        <v>37776.063759999997</v>
      </c>
      <c r="L90" s="59">
        <f t="shared" si="30"/>
        <v>37847.518880000003</v>
      </c>
      <c r="M90" s="59">
        <f t="shared" si="30"/>
        <v>37774.379829999998</v>
      </c>
      <c r="N90" s="59">
        <f t="shared" si="30"/>
        <v>37610.316129999999</v>
      </c>
      <c r="O90" s="59">
        <f t="shared" si="30"/>
        <v>37339.257259999998</v>
      </c>
      <c r="P90" s="59">
        <f t="shared" si="30"/>
        <v>36974.615030000001</v>
      </c>
      <c r="Q90" s="59">
        <f t="shared" si="30"/>
        <v>36581.806049999999</v>
      </c>
      <c r="R90" s="59">
        <f t="shared" si="30"/>
        <v>36184.51427</v>
      </c>
      <c r="S90" s="59">
        <f t="shared" si="30"/>
        <v>35719.150029999997</v>
      </c>
      <c r="T90" s="59">
        <f t="shared" si="30"/>
        <v>35337.12167</v>
      </c>
      <c r="U90" s="59">
        <f t="shared" si="30"/>
        <v>35001.497860000003</v>
      </c>
      <c r="V90" s="59">
        <f t="shared" si="30"/>
        <v>34674.842279999997</v>
      </c>
      <c r="W90" s="59">
        <f t="shared" si="30"/>
        <v>34356.46097</v>
      </c>
      <c r="X90" s="59">
        <f t="shared" si="30"/>
        <v>34046.939939999997</v>
      </c>
      <c r="Y90" s="59">
        <f t="shared" si="30"/>
        <v>33772.83668</v>
      </c>
      <c r="Z90" s="59">
        <f t="shared" si="30"/>
        <v>33516.610240000002</v>
      </c>
      <c r="AA90" s="59">
        <f t="shared" si="30"/>
        <v>33268.125269999997</v>
      </c>
      <c r="AB90" s="59">
        <f t="shared" si="30"/>
        <v>33029.700629999999</v>
      </c>
      <c r="AC90" s="59">
        <f t="shared" si="30"/>
        <v>32800.690329999998</v>
      </c>
      <c r="AD90" s="59">
        <f t="shared" si="30"/>
        <v>32577.11463</v>
      </c>
      <c r="AE90" s="59">
        <f t="shared" si="30"/>
        <v>32362.155650000001</v>
      </c>
      <c r="AF90" s="59">
        <f t="shared" si="30"/>
        <v>32162.529709999999</v>
      </c>
      <c r="AG90" s="59">
        <f t="shared" si="30"/>
        <v>31970.599149999998</v>
      </c>
      <c r="AH90" s="59">
        <f t="shared" si="30"/>
        <v>31717.337459999999</v>
      </c>
      <c r="AI90" s="59">
        <f t="shared" si="30"/>
        <v>31481.696929999998</v>
      </c>
      <c r="AJ90" s="59">
        <f t="shared" si="30"/>
        <v>31260.945489999998</v>
      </c>
      <c r="AK90" s="59">
        <f t="shared" si="30"/>
        <v>31050.790140000001</v>
      </c>
      <c r="AL90" s="59">
        <f t="shared" si="30"/>
        <v>30843.645939999999</v>
      </c>
      <c r="AM90" s="59">
        <f t="shared" si="30"/>
        <v>30611.075769999999</v>
      </c>
    </row>
    <row r="91" spans="2:39" x14ac:dyDescent="0.25">
      <c r="B91" s="230"/>
      <c r="C91" s="60" t="s">
        <v>45</v>
      </c>
      <c r="D91" s="3" t="s">
        <v>423</v>
      </c>
      <c r="E91" s="128">
        <f t="shared" ref="E91:AM98" si="31">E49/E$48</f>
        <v>7.5360400972489787E-5</v>
      </c>
      <c r="F91" s="128">
        <f t="shared" si="31"/>
        <v>3.5125330406552296E-3</v>
      </c>
      <c r="G91" s="128">
        <f t="shared" si="31"/>
        <v>8.2063928087323899E-3</v>
      </c>
      <c r="H91" s="128">
        <f t="shared" si="31"/>
        <v>1.0756861323759985E-2</v>
      </c>
      <c r="I91" s="128">
        <f t="shared" si="31"/>
        <v>1.3883814017801272E-2</v>
      </c>
      <c r="J91" s="127">
        <f t="shared" si="31"/>
        <v>1.7520260708493017E-2</v>
      </c>
      <c r="K91" s="71">
        <f t="shared" si="31"/>
        <v>2.2233542206410127E-2</v>
      </c>
      <c r="L91" s="71">
        <f t="shared" si="31"/>
        <v>2.8192371562930835E-2</v>
      </c>
      <c r="M91" s="71">
        <f t="shared" si="31"/>
        <v>3.4874895919634746E-2</v>
      </c>
      <c r="N91" s="128">
        <f t="shared" si="31"/>
        <v>4.242697603190819E-2</v>
      </c>
      <c r="O91" s="127">
        <f t="shared" si="31"/>
        <v>5.1414845015050524E-2</v>
      </c>
      <c r="P91" s="71">
        <f t="shared" si="31"/>
        <v>6.295543637469482E-2</v>
      </c>
      <c r="Q91" s="71">
        <f t="shared" si="31"/>
        <v>7.8807445538900622E-2</v>
      </c>
      <c r="R91" s="71">
        <f t="shared" si="31"/>
        <v>9.9735330425370944E-2</v>
      </c>
      <c r="S91" s="128">
        <f t="shared" si="31"/>
        <v>0.12492856546844322</v>
      </c>
      <c r="T91" s="128">
        <f t="shared" si="31"/>
        <v>0.15595004557709921</v>
      </c>
      <c r="U91" s="128">
        <f t="shared" si="31"/>
        <v>0.19114138674178441</v>
      </c>
      <c r="V91" s="128">
        <f t="shared" si="31"/>
        <v>0.22828093959537976</v>
      </c>
      <c r="W91" s="128">
        <f t="shared" si="31"/>
        <v>0.26596717353917843</v>
      </c>
      <c r="X91" s="120">
        <f t="shared" si="31"/>
        <v>0.30323888514487163</v>
      </c>
      <c r="Y91" s="120">
        <f t="shared" si="31"/>
        <v>0.34002887139180044</v>
      </c>
      <c r="Z91" s="120">
        <f t="shared" si="31"/>
        <v>0.37565622059756359</v>
      </c>
      <c r="AA91" s="120">
        <f t="shared" si="31"/>
        <v>0.40978945820832546</v>
      </c>
      <c r="AB91" s="120">
        <f t="shared" si="31"/>
        <v>0.44243243781407537</v>
      </c>
      <c r="AC91" s="120">
        <f t="shared" si="31"/>
        <v>0.47358195189546187</v>
      </c>
      <c r="AD91" s="120">
        <f t="shared" si="31"/>
        <v>0.50307159047498484</v>
      </c>
      <c r="AE91" s="120">
        <f t="shared" si="31"/>
        <v>0.53102287733419273</v>
      </c>
      <c r="AF91" s="120">
        <f t="shared" si="31"/>
        <v>0.55759884846446051</v>
      </c>
      <c r="AG91" s="120">
        <f t="shared" si="31"/>
        <v>0.58275592467274728</v>
      </c>
      <c r="AH91" s="120">
        <f t="shared" si="31"/>
        <v>0.60746101731579583</v>
      </c>
      <c r="AI91" s="120">
        <f t="shared" si="31"/>
        <v>0.63088719277623762</v>
      </c>
      <c r="AJ91" s="120">
        <f t="shared" si="31"/>
        <v>0.65306155556077528</v>
      </c>
      <c r="AK91" s="120">
        <f t="shared" si="31"/>
        <v>0.67399900181734962</v>
      </c>
      <c r="AL91" s="120">
        <f t="shared" si="31"/>
        <v>0.69368885480080189</v>
      </c>
      <c r="AM91" s="120">
        <f t="shared" si="31"/>
        <v>0.7119374713827642</v>
      </c>
    </row>
    <row r="92" spans="2:39" x14ac:dyDescent="0.25">
      <c r="B92" s="230"/>
      <c r="C92" s="62" t="s">
        <v>27</v>
      </c>
      <c r="D92" s="63" t="s">
        <v>443</v>
      </c>
      <c r="E92" s="111">
        <f t="shared" si="31"/>
        <v>2.2444105679199093E-7</v>
      </c>
      <c r="F92" s="111">
        <f t="shared" si="31"/>
        <v>3.3335385212590984E-5</v>
      </c>
      <c r="G92" s="111">
        <f t="shared" si="31"/>
        <v>6.9193923071622827E-5</v>
      </c>
      <c r="H92" s="111">
        <f t="shared" si="31"/>
        <v>9.1899169773463851E-5</v>
      </c>
      <c r="I92" s="111">
        <f t="shared" si="31"/>
        <v>1.279409474285333E-4</v>
      </c>
      <c r="J92" s="110">
        <f t="shared" si="31"/>
        <v>1.809456551239639E-4</v>
      </c>
      <c r="K92" s="68">
        <f t="shared" si="31"/>
        <v>3.1338262861932447E-4</v>
      </c>
      <c r="L92" s="68">
        <f t="shared" si="31"/>
        <v>5.3098320457195568E-4</v>
      </c>
      <c r="M92" s="68">
        <f t="shared" si="31"/>
        <v>7.9114878403021551E-4</v>
      </c>
      <c r="N92" s="111">
        <f t="shared" si="31"/>
        <v>1.1011272007619788E-3</v>
      </c>
      <c r="O92" s="110">
        <f t="shared" si="31"/>
        <v>1.4939709357785977E-3</v>
      </c>
      <c r="P92" s="68">
        <f t="shared" si="31"/>
        <v>2.0240715963987144E-3</v>
      </c>
      <c r="Q92" s="68">
        <f t="shared" si="31"/>
        <v>2.7848817021432978E-3</v>
      </c>
      <c r="R92" s="68">
        <f t="shared" si="31"/>
        <v>3.8386706966289205E-3</v>
      </c>
      <c r="S92" s="111">
        <f t="shared" si="31"/>
        <v>5.1846287788052392E-3</v>
      </c>
      <c r="T92" s="111">
        <f t="shared" si="31"/>
        <v>6.9263319572456846E-3</v>
      </c>
      <c r="U92" s="111">
        <f t="shared" si="31"/>
        <v>9.0241067986111603E-3</v>
      </c>
      <c r="V92" s="111">
        <f t="shared" si="31"/>
        <v>1.1382370991421855E-2</v>
      </c>
      <c r="W92" s="111">
        <f t="shared" si="31"/>
        <v>1.3939976938200919E-2</v>
      </c>
      <c r="X92" s="116">
        <f t="shared" si="31"/>
        <v>1.6647353674040643E-2</v>
      </c>
      <c r="Y92" s="116">
        <f t="shared" si="31"/>
        <v>1.9503987922047418E-2</v>
      </c>
      <c r="Z92" s="116">
        <f t="shared" si="31"/>
        <v>2.246981677166169E-2</v>
      </c>
      <c r="AA92" s="116">
        <f t="shared" si="31"/>
        <v>2.5520323745612736E-2</v>
      </c>
      <c r="AB92" s="116">
        <f t="shared" si="31"/>
        <v>2.8651743338552933E-2</v>
      </c>
      <c r="AC92" s="116">
        <f t="shared" si="31"/>
        <v>3.1859854091064801E-2</v>
      </c>
      <c r="AD92" s="116">
        <f t="shared" si="31"/>
        <v>3.5093895453441513E-2</v>
      </c>
      <c r="AE92" s="116">
        <f t="shared" si="31"/>
        <v>3.835983323935345E-2</v>
      </c>
      <c r="AF92" s="116">
        <f t="shared" si="31"/>
        <v>4.1664942748062213E-2</v>
      </c>
      <c r="AG92" s="116">
        <f t="shared" si="31"/>
        <v>4.4996877263715589E-2</v>
      </c>
      <c r="AH92" s="116">
        <f t="shared" si="31"/>
        <v>4.9003901130104506E-2</v>
      </c>
      <c r="AI92" s="116">
        <f t="shared" si="31"/>
        <v>5.3039198862524596E-2</v>
      </c>
      <c r="AJ92" s="116">
        <f t="shared" si="31"/>
        <v>5.7097238423929705E-2</v>
      </c>
      <c r="AK92" s="116">
        <f t="shared" si="31"/>
        <v>6.1170387401935526E-2</v>
      </c>
      <c r="AL92" s="116">
        <f t="shared" si="31"/>
        <v>6.5250528971673188E-2</v>
      </c>
      <c r="AM92" s="116">
        <f t="shared" si="31"/>
        <v>6.9290364995231918E-2</v>
      </c>
    </row>
    <row r="93" spans="2:39" x14ac:dyDescent="0.25">
      <c r="B93" s="230"/>
      <c r="C93" s="35" t="s">
        <v>28</v>
      </c>
      <c r="D93" s="54" t="s">
        <v>444</v>
      </c>
      <c r="E93" s="111">
        <f t="shared" si="31"/>
        <v>5.1448795922808401E-7</v>
      </c>
      <c r="F93" s="111">
        <f t="shared" si="31"/>
        <v>3.9480669449924655E-5</v>
      </c>
      <c r="G93" s="111">
        <f t="shared" si="31"/>
        <v>8.6402684521005908E-5</v>
      </c>
      <c r="H93" s="111">
        <f t="shared" si="31"/>
        <v>1.1408714680235634E-4</v>
      </c>
      <c r="I93" s="111">
        <f t="shared" si="31"/>
        <v>1.5350454551900144E-4</v>
      </c>
      <c r="J93" s="110">
        <f t="shared" si="31"/>
        <v>2.0667566370699428E-4</v>
      </c>
      <c r="K93" s="68">
        <f t="shared" si="31"/>
        <v>3.1655825249485975E-4</v>
      </c>
      <c r="L93" s="68">
        <f t="shared" si="31"/>
        <v>4.863323746098095E-4</v>
      </c>
      <c r="M93" s="68">
        <f t="shared" si="31"/>
        <v>6.8627367005537939E-4</v>
      </c>
      <c r="N93" s="111">
        <f t="shared" si="31"/>
        <v>9.2154914944608834E-4</v>
      </c>
      <c r="O93" s="110">
        <f t="shared" si="31"/>
        <v>1.2153567922898742E-3</v>
      </c>
      <c r="P93" s="68">
        <f t="shared" si="31"/>
        <v>1.6070893882677972E-3</v>
      </c>
      <c r="Q93" s="68">
        <f t="shared" si="31"/>
        <v>2.1633172660156293E-3</v>
      </c>
      <c r="R93" s="68">
        <f t="shared" si="31"/>
        <v>2.9249950686155777E-3</v>
      </c>
      <c r="S93" s="111">
        <f t="shared" si="31"/>
        <v>3.8844899440066555E-3</v>
      </c>
      <c r="T93" s="111">
        <f t="shared" si="31"/>
        <v>5.1117166300885079E-3</v>
      </c>
      <c r="U93" s="111">
        <f t="shared" si="31"/>
        <v>6.5692918748706365E-3</v>
      </c>
      <c r="V93" s="111">
        <f t="shared" si="31"/>
        <v>8.1837218496498953E-3</v>
      </c>
      <c r="W93" s="111">
        <f t="shared" si="31"/>
        <v>9.907211243242323E-3</v>
      </c>
      <c r="X93" s="116">
        <f t="shared" si="31"/>
        <v>1.1702086122926912E-2</v>
      </c>
      <c r="Y93" s="116">
        <f t="shared" si="31"/>
        <v>1.3565369857466175E-2</v>
      </c>
      <c r="Z93" s="116">
        <f t="shared" si="31"/>
        <v>1.5466756443685038E-2</v>
      </c>
      <c r="AA93" s="116">
        <f t="shared" si="31"/>
        <v>1.7387629477325223E-2</v>
      </c>
      <c r="AB93" s="116">
        <f t="shared" si="31"/>
        <v>1.9323703540330875E-2</v>
      </c>
      <c r="AC93" s="116">
        <f t="shared" si="31"/>
        <v>2.1270311477618223E-2</v>
      </c>
      <c r="AD93" s="116">
        <f t="shared" si="31"/>
        <v>2.3199622464538688E-2</v>
      </c>
      <c r="AE93" s="116">
        <f t="shared" si="31"/>
        <v>2.5114150546396003E-2</v>
      </c>
      <c r="AF93" s="116">
        <f t="shared" si="31"/>
        <v>2.7017824223876951E-2</v>
      </c>
      <c r="AG93" s="116">
        <f t="shared" si="31"/>
        <v>2.8902398199190459E-2</v>
      </c>
      <c r="AH93" s="116">
        <f t="shared" si="31"/>
        <v>3.1033429440328567E-2</v>
      </c>
      <c r="AI93" s="116">
        <f t="shared" si="31"/>
        <v>3.3138144056200983E-2</v>
      </c>
      <c r="AJ93" s="116">
        <f t="shared" si="31"/>
        <v>3.5212482212098321E-2</v>
      </c>
      <c r="AK93" s="116">
        <f t="shared" si="31"/>
        <v>3.7251370763346378E-2</v>
      </c>
      <c r="AL93" s="116">
        <f t="shared" si="31"/>
        <v>3.9248720153088369E-2</v>
      </c>
      <c r="AM93" s="116">
        <f t="shared" si="31"/>
        <v>4.1179334482435284E-2</v>
      </c>
    </row>
    <row r="94" spans="2:39" x14ac:dyDescent="0.25">
      <c r="B94" s="230"/>
      <c r="C94" s="35" t="s">
        <v>29</v>
      </c>
      <c r="D94" s="54" t="s">
        <v>445</v>
      </c>
      <c r="E94" s="111">
        <f t="shared" si="31"/>
        <v>2.1062929920576682E-6</v>
      </c>
      <c r="F94" s="111">
        <f t="shared" si="31"/>
        <v>1.0423506152303864E-4</v>
      </c>
      <c r="G94" s="111">
        <f t="shared" si="31"/>
        <v>2.4139145057077918E-4</v>
      </c>
      <c r="H94" s="111">
        <f t="shared" si="31"/>
        <v>3.1675474933257102E-4</v>
      </c>
      <c r="I94" s="111">
        <f t="shared" si="31"/>
        <v>4.1111607973859626E-4</v>
      </c>
      <c r="J94" s="110">
        <f t="shared" si="31"/>
        <v>5.2338016076063022E-4</v>
      </c>
      <c r="K94" s="68">
        <f t="shared" si="31"/>
        <v>6.8135198795524275E-4</v>
      </c>
      <c r="L94" s="68">
        <f t="shared" si="31"/>
        <v>8.8847612380132848E-4</v>
      </c>
      <c r="M94" s="68">
        <f t="shared" si="31"/>
        <v>1.1224985238890686E-3</v>
      </c>
      <c r="N94" s="111">
        <f t="shared" si="31"/>
        <v>1.3884895622652137E-3</v>
      </c>
      <c r="O94" s="110">
        <f t="shared" si="31"/>
        <v>1.7070488214633544E-3</v>
      </c>
      <c r="P94" s="68">
        <f t="shared" si="31"/>
        <v>2.1176853648501664E-3</v>
      </c>
      <c r="Q94" s="68">
        <f t="shared" si="31"/>
        <v>2.6833394008987156E-3</v>
      </c>
      <c r="R94" s="68">
        <f t="shared" si="31"/>
        <v>3.432451445202169E-3</v>
      </c>
      <c r="S94" s="111">
        <f t="shared" si="31"/>
        <v>4.3374747822911737E-3</v>
      </c>
      <c r="T94" s="111">
        <f t="shared" si="31"/>
        <v>5.4543858325515962E-3</v>
      </c>
      <c r="U94" s="111">
        <f t="shared" si="31"/>
        <v>6.7239310940734693E-3</v>
      </c>
      <c r="V94" s="111">
        <f t="shared" si="31"/>
        <v>8.0648642909991637E-3</v>
      </c>
      <c r="W94" s="111">
        <f t="shared" si="31"/>
        <v>9.424472846104091E-3</v>
      </c>
      <c r="X94" s="116">
        <f t="shared" si="31"/>
        <v>1.076529501758213E-2</v>
      </c>
      <c r="Y94" s="116">
        <f t="shared" si="31"/>
        <v>1.208199115064681E-2</v>
      </c>
      <c r="Z94" s="116">
        <f t="shared" si="31"/>
        <v>1.3346613479012726E-2</v>
      </c>
      <c r="AA94" s="116">
        <f t="shared" si="31"/>
        <v>1.4543857673769065E-2</v>
      </c>
      <c r="AB94" s="116">
        <f t="shared" si="31"/>
        <v>1.5670652583205082E-2</v>
      </c>
      <c r="AC94" s="116">
        <f t="shared" si="31"/>
        <v>1.6723650114713915E-2</v>
      </c>
      <c r="AD94" s="116">
        <f t="shared" si="31"/>
        <v>1.7697633266424123E-2</v>
      </c>
      <c r="AE94" s="116">
        <f t="shared" si="31"/>
        <v>1.8594641457390062E-2</v>
      </c>
      <c r="AF94" s="116">
        <f t="shared" si="31"/>
        <v>1.9418677701394028E-2</v>
      </c>
      <c r="AG94" s="116">
        <f t="shared" si="31"/>
        <v>2.0166639954884925E-2</v>
      </c>
      <c r="AH94" s="116">
        <f t="shared" si="31"/>
        <v>2.0763825353579981E-2</v>
      </c>
      <c r="AI94" s="116">
        <f t="shared" si="31"/>
        <v>2.1279383020221459E-2</v>
      </c>
      <c r="AJ94" s="116">
        <f t="shared" si="31"/>
        <v>2.1713022013909664E-2</v>
      </c>
      <c r="AK94" s="116">
        <f t="shared" si="31"/>
        <v>2.2064359657547834E-2</v>
      </c>
      <c r="AL94" s="116">
        <f t="shared" si="31"/>
        <v>2.2331578135733197E-2</v>
      </c>
      <c r="AM94" s="116">
        <f t="shared" si="31"/>
        <v>2.2510657870290197E-2</v>
      </c>
    </row>
    <row r="95" spans="2:39" x14ac:dyDescent="0.25">
      <c r="B95" s="230"/>
      <c r="C95" s="35" t="s">
        <v>30</v>
      </c>
      <c r="D95" s="54" t="s">
        <v>446</v>
      </c>
      <c r="E95" s="111">
        <f t="shared" si="31"/>
        <v>4.9480620659729355E-5</v>
      </c>
      <c r="F95" s="111">
        <f t="shared" si="31"/>
        <v>2.300323408303875E-3</v>
      </c>
      <c r="G95" s="111">
        <f t="shared" si="31"/>
        <v>5.3792421714818931E-3</v>
      </c>
      <c r="H95" s="111">
        <f t="shared" si="31"/>
        <v>7.0504313727433356E-3</v>
      </c>
      <c r="I95" s="111">
        <f t="shared" si="31"/>
        <v>9.0951326631950134E-3</v>
      </c>
      <c r="J95" s="110">
        <f t="shared" si="31"/>
        <v>1.1467221504680132E-2</v>
      </c>
      <c r="K95" s="68">
        <f t="shared" si="31"/>
        <v>1.4507809087306561E-2</v>
      </c>
      <c r="L95" s="68">
        <f t="shared" si="31"/>
        <v>1.8324424208596892E-2</v>
      </c>
      <c r="M95" s="68">
        <f t="shared" si="31"/>
        <v>2.2595538175378169E-2</v>
      </c>
      <c r="N95" s="111">
        <f t="shared" si="31"/>
        <v>2.7413450672316909E-2</v>
      </c>
      <c r="O95" s="110">
        <f t="shared" si="31"/>
        <v>3.3133819464731366E-2</v>
      </c>
      <c r="P95" s="68">
        <f t="shared" si="31"/>
        <v>4.0464252427944748E-2</v>
      </c>
      <c r="Q95" s="68">
        <f t="shared" si="31"/>
        <v>5.0514558998926193E-2</v>
      </c>
      <c r="R95" s="68">
        <f t="shared" si="31"/>
        <v>6.3754814000989493E-2</v>
      </c>
      <c r="S95" s="111">
        <f t="shared" si="31"/>
        <v>7.9649362865872209E-2</v>
      </c>
      <c r="T95" s="111">
        <f t="shared" si="31"/>
        <v>9.9172637792261931E-2</v>
      </c>
      <c r="U95" s="111">
        <f t="shared" si="31"/>
        <v>0.12125020997601386</v>
      </c>
      <c r="V95" s="111">
        <f t="shared" si="31"/>
        <v>0.14446696577735668</v>
      </c>
      <c r="W95" s="111">
        <f t="shared" si="31"/>
        <v>0.16793054275985866</v>
      </c>
      <c r="X95" s="116">
        <f t="shared" si="31"/>
        <v>0.19103325090190176</v>
      </c>
      <c r="Y95" s="116">
        <f t="shared" si="31"/>
        <v>0.2137307332929666</v>
      </c>
      <c r="Z95" s="116">
        <f t="shared" si="31"/>
        <v>0.23559534909578014</v>
      </c>
      <c r="AA95" s="116">
        <f t="shared" si="31"/>
        <v>0.25642179247451174</v>
      </c>
      <c r="AB95" s="116">
        <f t="shared" si="31"/>
        <v>0.27621476198647549</v>
      </c>
      <c r="AC95" s="116">
        <f t="shared" si="31"/>
        <v>0.29497461165171768</v>
      </c>
      <c r="AD95" s="116">
        <f t="shared" si="31"/>
        <v>0.31262069694230626</v>
      </c>
      <c r="AE95" s="116">
        <f t="shared" si="31"/>
        <v>0.32923012376649263</v>
      </c>
      <c r="AF95" s="116">
        <f t="shared" si="31"/>
        <v>0.34490675453774811</v>
      </c>
      <c r="AG95" s="116">
        <f t="shared" si="31"/>
        <v>0.35962909784879654</v>
      </c>
      <c r="AH95" s="116">
        <f t="shared" si="31"/>
        <v>0.37366509799085768</v>
      </c>
      <c r="AI95" s="116">
        <f t="shared" si="31"/>
        <v>0.38684013117459359</v>
      </c>
      <c r="AJ95" s="116">
        <f t="shared" si="31"/>
        <v>0.39917578993225777</v>
      </c>
      <c r="AK95" s="116">
        <f t="shared" si="31"/>
        <v>0.41068683059283972</v>
      </c>
      <c r="AL95" s="116">
        <f t="shared" si="31"/>
        <v>0.42137146416744276</v>
      </c>
      <c r="AM95" s="116">
        <f t="shared" si="31"/>
        <v>0.4311294101246152</v>
      </c>
    </row>
    <row r="96" spans="2:39" x14ac:dyDescent="0.25">
      <c r="B96" s="230"/>
      <c r="C96" s="35" t="s">
        <v>31</v>
      </c>
      <c r="D96" s="54" t="s">
        <v>447</v>
      </c>
      <c r="E96" s="111">
        <f t="shared" si="31"/>
        <v>1.950220135801834E-5</v>
      </c>
      <c r="F96" s="111">
        <f t="shared" si="31"/>
        <v>8.9423693119877463E-4</v>
      </c>
      <c r="G96" s="111">
        <f t="shared" si="31"/>
        <v>2.0959003428939749E-3</v>
      </c>
      <c r="H96" s="111">
        <f t="shared" si="31"/>
        <v>2.7463885565400864E-3</v>
      </c>
      <c r="I96" s="111">
        <f t="shared" si="31"/>
        <v>3.5377755473268387E-3</v>
      </c>
      <c r="J96" s="110">
        <f t="shared" si="31"/>
        <v>4.4497949483767261E-3</v>
      </c>
      <c r="K96" s="68">
        <f t="shared" si="31"/>
        <v>5.583876714634178E-3</v>
      </c>
      <c r="L96" s="68">
        <f t="shared" si="31"/>
        <v>6.9798587838104534E-3</v>
      </c>
      <c r="M96" s="68">
        <f t="shared" si="31"/>
        <v>8.5332751444406711E-3</v>
      </c>
      <c r="N96" s="111">
        <f t="shared" si="31"/>
        <v>1.0276896308555437E-2</v>
      </c>
      <c r="O96" s="110">
        <f t="shared" si="31"/>
        <v>1.2334192005832094E-2</v>
      </c>
      <c r="P96" s="68">
        <f t="shared" si="31"/>
        <v>1.4956800103295085E-2</v>
      </c>
      <c r="Q96" s="68">
        <f t="shared" si="31"/>
        <v>1.8535161262219855E-2</v>
      </c>
      <c r="R96" s="68">
        <f t="shared" si="31"/>
        <v>2.3223181517091563E-2</v>
      </c>
      <c r="S96" s="111">
        <f t="shared" si="31"/>
        <v>2.8810298541138046E-2</v>
      </c>
      <c r="T96" s="111">
        <f t="shared" si="31"/>
        <v>3.5628950534159341E-2</v>
      </c>
      <c r="U96" s="111">
        <f t="shared" si="31"/>
        <v>4.3276609619928991E-2</v>
      </c>
      <c r="V96" s="111">
        <f t="shared" si="31"/>
        <v>5.1245004884273124E-2</v>
      </c>
      <c r="W96" s="111">
        <f t="shared" si="31"/>
        <v>5.9214942533704164E-2</v>
      </c>
      <c r="X96" s="116">
        <f t="shared" si="31"/>
        <v>6.6973748713347672E-2</v>
      </c>
      <c r="Y96" s="116">
        <f t="shared" si="31"/>
        <v>7.4506227263110666E-2</v>
      </c>
      <c r="Z96" s="116">
        <f t="shared" si="31"/>
        <v>8.1666355320543296E-2</v>
      </c>
      <c r="AA96" s="116">
        <f t="shared" si="31"/>
        <v>8.8387942907370218E-2</v>
      </c>
      <c r="AB96" s="116">
        <f t="shared" si="31"/>
        <v>9.4677222631551289E-2</v>
      </c>
      <c r="AC96" s="116">
        <f t="shared" si="31"/>
        <v>0.10053911539123392</v>
      </c>
      <c r="AD96" s="116">
        <f t="shared" si="31"/>
        <v>0.10596631126505632</v>
      </c>
      <c r="AE96" s="116">
        <f t="shared" si="31"/>
        <v>0.11098839996463586</v>
      </c>
      <c r="AF96" s="116">
        <f t="shared" si="31"/>
        <v>0.11564454694754793</v>
      </c>
      <c r="AG96" s="116">
        <f t="shared" si="31"/>
        <v>0.1199340535036548</v>
      </c>
      <c r="AH96" s="116">
        <f t="shared" si="31"/>
        <v>0.12374323869239433</v>
      </c>
      <c r="AI96" s="116">
        <f t="shared" si="31"/>
        <v>0.12723376017202515</v>
      </c>
      <c r="AJ96" s="116">
        <f t="shared" si="31"/>
        <v>0.13041878155298239</v>
      </c>
      <c r="AK96" s="116">
        <f t="shared" si="31"/>
        <v>0.13330955242480669</v>
      </c>
      <c r="AL96" s="116">
        <f t="shared" si="31"/>
        <v>0.13591165655820001</v>
      </c>
      <c r="AM96" s="116">
        <f t="shared" si="31"/>
        <v>0.13820727624170001</v>
      </c>
    </row>
    <row r="97" spans="2:40" x14ac:dyDescent="0.25">
      <c r="B97" s="230"/>
      <c r="C97" s="35" t="s">
        <v>32</v>
      </c>
      <c r="D97" s="54" t="s">
        <v>448</v>
      </c>
      <c r="E97" s="111">
        <f t="shared" si="31"/>
        <v>2.6587632861321598E-7</v>
      </c>
      <c r="F97" s="111">
        <f t="shared" si="31"/>
        <v>3.7773891654211799E-6</v>
      </c>
      <c r="G97" s="111">
        <f t="shared" si="31"/>
        <v>8.0595336755921878E-6</v>
      </c>
      <c r="H97" s="111">
        <f t="shared" si="31"/>
        <v>1.0613206304165405E-5</v>
      </c>
      <c r="I97" s="111">
        <f t="shared" si="31"/>
        <v>1.3735590867715913E-5</v>
      </c>
      <c r="J97" s="110">
        <f t="shared" si="31"/>
        <v>1.7356652862556938E-5</v>
      </c>
      <c r="K97" s="68">
        <f t="shared" si="31"/>
        <v>2.2004557327123699E-5</v>
      </c>
      <c r="L97" s="68">
        <f t="shared" si="31"/>
        <v>2.7847534770818241E-5</v>
      </c>
      <c r="M97" s="68">
        <f t="shared" si="31"/>
        <v>3.4389295836124389E-5</v>
      </c>
      <c r="N97" s="111">
        <f t="shared" si="31"/>
        <v>4.1772063296932466E-5</v>
      </c>
      <c r="O97" s="110">
        <f t="shared" si="31"/>
        <v>5.0543861675088927E-5</v>
      </c>
      <c r="P97" s="68">
        <f t="shared" si="31"/>
        <v>6.1791895524706424E-5</v>
      </c>
      <c r="Q97" s="68">
        <f t="shared" si="31"/>
        <v>7.7223743249275686E-5</v>
      </c>
      <c r="R97" s="68">
        <f t="shared" si="31"/>
        <v>9.7570707337838193E-5</v>
      </c>
      <c r="S97" s="111">
        <f t="shared" si="31"/>
        <v>1.2202527451910929E-4</v>
      </c>
      <c r="T97" s="111">
        <f t="shared" si="31"/>
        <v>1.5209594208582297E-4</v>
      </c>
      <c r="U97" s="111">
        <f t="shared" si="31"/>
        <v>1.8615107884985811E-4</v>
      </c>
      <c r="V97" s="111">
        <f t="shared" si="31"/>
        <v>2.2202600853473878E-4</v>
      </c>
      <c r="W97" s="111">
        <f t="shared" si="31"/>
        <v>2.5835739352637985E-4</v>
      </c>
      <c r="X97" s="116">
        <f t="shared" si="31"/>
        <v>2.9421523865736288E-4</v>
      </c>
      <c r="Y97" s="116">
        <f t="shared" si="31"/>
        <v>3.2953665857125743E-4</v>
      </c>
      <c r="Z97" s="116">
        <f t="shared" si="31"/>
        <v>3.6366674054207694E-4</v>
      </c>
      <c r="AA97" s="116">
        <f t="shared" si="31"/>
        <v>3.9629096929873382E-4</v>
      </c>
      <c r="AB97" s="116">
        <f t="shared" si="31"/>
        <v>4.2741877857583232E-4</v>
      </c>
      <c r="AC97" s="116">
        <f t="shared" si="31"/>
        <v>4.570527671574161E-4</v>
      </c>
      <c r="AD97" s="116">
        <f t="shared" si="31"/>
        <v>4.8504887217508619E-4</v>
      </c>
      <c r="AE97" s="116">
        <f t="shared" si="31"/>
        <v>5.1152802702745799E-4</v>
      </c>
      <c r="AF97" s="116">
        <f t="shared" si="31"/>
        <v>5.3665124589479939E-4</v>
      </c>
      <c r="AG97" s="116">
        <f t="shared" si="31"/>
        <v>5.6038235930276582E-4</v>
      </c>
      <c r="AH97" s="116">
        <f t="shared" si="31"/>
        <v>5.8352763731637646E-4</v>
      </c>
      <c r="AI97" s="116">
        <f t="shared" si="31"/>
        <v>6.0543088551993126E-4</v>
      </c>
      <c r="AJ97" s="116">
        <f t="shared" si="31"/>
        <v>6.26122589486656E-4</v>
      </c>
      <c r="AK97" s="116">
        <f t="shared" si="31"/>
        <v>6.4562156066280381E-4</v>
      </c>
      <c r="AL97" s="116">
        <f t="shared" si="31"/>
        <v>6.6392192284385953E-4</v>
      </c>
      <c r="AM97" s="116">
        <f t="shared" si="31"/>
        <v>6.808478851444168E-4</v>
      </c>
    </row>
    <row r="98" spans="2:40" x14ac:dyDescent="0.25">
      <c r="B98" s="230"/>
      <c r="C98" s="35" t="s">
        <v>33</v>
      </c>
      <c r="D98" s="54" t="s">
        <v>449</v>
      </c>
      <c r="E98" s="111">
        <f t="shared" si="31"/>
        <v>3.2664806093016185E-6</v>
      </c>
      <c r="F98" s="111">
        <f t="shared" si="31"/>
        <v>1.3714419656181076E-4</v>
      </c>
      <c r="G98" s="111">
        <f t="shared" si="31"/>
        <v>3.2620270192365867E-4</v>
      </c>
      <c r="H98" s="111">
        <f t="shared" si="31"/>
        <v>4.2668712199995422E-4</v>
      </c>
      <c r="I98" s="111">
        <f t="shared" si="31"/>
        <v>5.4460864288485942E-4</v>
      </c>
      <c r="J98" s="110">
        <f t="shared" si="31"/>
        <v>6.7488612178226643E-4</v>
      </c>
      <c r="K98" s="68">
        <f t="shared" si="31"/>
        <v>8.0855898047118289E-4</v>
      </c>
      <c r="L98" s="68">
        <f t="shared" si="31"/>
        <v>9.544493377368783E-4</v>
      </c>
      <c r="M98" s="68">
        <f t="shared" si="31"/>
        <v>1.1117723194662968E-3</v>
      </c>
      <c r="N98" s="111">
        <f t="shared" si="31"/>
        <v>1.2836910945688454E-3</v>
      </c>
      <c r="O98" s="110">
        <f t="shared" ref="O98:AM106" si="32">O56/O$48</f>
        <v>1.4799131398148225E-3</v>
      </c>
      <c r="P98" s="68">
        <f t="shared" si="32"/>
        <v>1.7237456046070427E-3</v>
      </c>
      <c r="Q98" s="68">
        <f t="shared" si="32"/>
        <v>2.0489631498114623E-3</v>
      </c>
      <c r="R98" s="68">
        <f t="shared" si="32"/>
        <v>2.4636470008914642E-3</v>
      </c>
      <c r="S98" s="111">
        <f t="shared" si="32"/>
        <v>2.9402852926732983E-3</v>
      </c>
      <c r="T98" s="111">
        <f t="shared" si="32"/>
        <v>3.5039268776980723E-3</v>
      </c>
      <c r="U98" s="111">
        <f t="shared" si="32"/>
        <v>4.1110863076646628E-3</v>
      </c>
      <c r="V98" s="111">
        <f t="shared" si="32"/>
        <v>4.7159857968357578E-3</v>
      </c>
      <c r="W98" s="111">
        <f t="shared" si="32"/>
        <v>5.2916698363882735E-3</v>
      </c>
      <c r="X98" s="116">
        <f t="shared" si="32"/>
        <v>5.8229354634917602E-3</v>
      </c>
      <c r="Y98" s="116">
        <f t="shared" si="32"/>
        <v>6.3110253935589758E-3</v>
      </c>
      <c r="Z98" s="116">
        <f t="shared" si="32"/>
        <v>6.747662823912111E-3</v>
      </c>
      <c r="AA98" s="116">
        <f t="shared" si="32"/>
        <v>7.1316209817794763E-3</v>
      </c>
      <c r="AB98" s="116">
        <f t="shared" si="32"/>
        <v>7.4669350068523469E-3</v>
      </c>
      <c r="AC98" s="116">
        <f t="shared" si="32"/>
        <v>7.7573562824462669E-3</v>
      </c>
      <c r="AD98" s="116">
        <f t="shared" si="32"/>
        <v>8.0083822359070592E-3</v>
      </c>
      <c r="AE98" s="116">
        <f t="shared" si="32"/>
        <v>8.2242003647244686E-3</v>
      </c>
      <c r="AF98" s="116">
        <f t="shared" si="32"/>
        <v>8.4094510487433913E-3</v>
      </c>
      <c r="AG98" s="116">
        <f t="shared" si="32"/>
        <v>8.5664756145178468E-3</v>
      </c>
      <c r="AH98" s="116">
        <f t="shared" si="32"/>
        <v>8.6679971686374965E-3</v>
      </c>
      <c r="AI98" s="116">
        <f t="shared" si="32"/>
        <v>8.7511445876815377E-3</v>
      </c>
      <c r="AJ98" s="116">
        <f t="shared" si="32"/>
        <v>8.8181187318272635E-3</v>
      </c>
      <c r="AK98" s="116">
        <f t="shared" si="32"/>
        <v>8.8708791743487645E-3</v>
      </c>
      <c r="AL98" s="116">
        <f t="shared" si="32"/>
        <v>8.9109848762581149E-3</v>
      </c>
      <c r="AM98" s="116">
        <f t="shared" si="32"/>
        <v>8.9395799140188133E-3</v>
      </c>
    </row>
    <row r="99" spans="2:40" x14ac:dyDescent="0.25">
      <c r="B99" s="230"/>
      <c r="C99" s="64" t="s">
        <v>46</v>
      </c>
      <c r="D99" s="52" t="s">
        <v>424</v>
      </c>
      <c r="E99" s="128">
        <f t="shared" ref="E99:AM106" si="33">E57/E$48</f>
        <v>0.9999246395525615</v>
      </c>
      <c r="F99" s="128">
        <f t="shared" si="33"/>
        <v>0.99648746705959157</v>
      </c>
      <c r="G99" s="128">
        <f t="shared" si="33"/>
        <v>0.99179360717492271</v>
      </c>
      <c r="H99" s="128">
        <f t="shared" si="33"/>
        <v>0.98924313856307444</v>
      </c>
      <c r="I99" s="128">
        <f t="shared" si="33"/>
        <v>0.98611618611564533</v>
      </c>
      <c r="J99" s="127">
        <f t="shared" si="33"/>
        <v>0.98247973943483913</v>
      </c>
      <c r="K99" s="71">
        <f t="shared" si="33"/>
        <v>0.97776645774064641</v>
      </c>
      <c r="L99" s="71">
        <f t="shared" si="33"/>
        <v>0.97180762856917813</v>
      </c>
      <c r="M99" s="71">
        <f t="shared" si="33"/>
        <v>0.96512510421273012</v>
      </c>
      <c r="N99" s="128">
        <f t="shared" si="33"/>
        <v>0.95757302399468036</v>
      </c>
      <c r="O99" s="127">
        <f t="shared" si="33"/>
        <v>0.94858515511885688</v>
      </c>
      <c r="P99" s="71">
        <f t="shared" si="33"/>
        <v>0.93704456373348743</v>
      </c>
      <c r="Q99" s="71">
        <f t="shared" si="33"/>
        <v>0.92119255440642744</v>
      </c>
      <c r="R99" s="71">
        <f t="shared" si="33"/>
        <v>0.90026466949172068</v>
      </c>
      <c r="S99" s="128">
        <f t="shared" si="33"/>
        <v>0.87507143433558354</v>
      </c>
      <c r="T99" s="128">
        <f t="shared" si="32"/>
        <v>0.8440499542814065</v>
      </c>
      <c r="U99" s="128">
        <f t="shared" si="32"/>
        <v>0.80885861322964525</v>
      </c>
      <c r="V99" s="128">
        <f t="shared" si="32"/>
        <v>0.77171906028926296</v>
      </c>
      <c r="W99" s="128">
        <f t="shared" si="32"/>
        <v>0.73403282637350176</v>
      </c>
      <c r="X99" s="120">
        <f t="shared" si="33"/>
        <v>0.69676111485512848</v>
      </c>
      <c r="Y99" s="120">
        <f t="shared" si="32"/>
        <v>0.65997112831210358</v>
      </c>
      <c r="Z99" s="120">
        <f t="shared" si="32"/>
        <v>0.62434377940243635</v>
      </c>
      <c r="AA99" s="120">
        <f t="shared" si="32"/>
        <v>0.59021054179167465</v>
      </c>
      <c r="AB99" s="120">
        <f t="shared" si="32"/>
        <v>0.55756756188316681</v>
      </c>
      <c r="AC99" s="120">
        <f t="shared" si="33"/>
        <v>0.52641804840940987</v>
      </c>
      <c r="AD99" s="120">
        <f t="shared" si="32"/>
        <v>0.496928409831979</v>
      </c>
      <c r="AE99" s="120">
        <f t="shared" si="32"/>
        <v>0.46897712266580738</v>
      </c>
      <c r="AF99" s="120">
        <f t="shared" si="32"/>
        <v>0.44240115184646028</v>
      </c>
      <c r="AG99" s="120">
        <f t="shared" si="32"/>
        <v>0.41724407532725266</v>
      </c>
      <c r="AH99" s="120">
        <f t="shared" si="33"/>
        <v>0.39253898268420417</v>
      </c>
      <c r="AI99" s="120">
        <f t="shared" si="32"/>
        <v>0.36911280722376233</v>
      </c>
      <c r="AJ99" s="120">
        <f t="shared" si="32"/>
        <v>0.34693844475911273</v>
      </c>
      <c r="AK99" s="120">
        <f t="shared" si="32"/>
        <v>0.32600099850470338</v>
      </c>
      <c r="AL99" s="120">
        <f t="shared" si="32"/>
        <v>0.30631114526404107</v>
      </c>
      <c r="AM99" s="120">
        <f t="shared" si="33"/>
        <v>0.28806252868257171</v>
      </c>
      <c r="AN99" s="232"/>
    </row>
    <row r="100" spans="2:40" x14ac:dyDescent="0.25">
      <c r="B100" s="230"/>
      <c r="C100" s="35" t="s">
        <v>27</v>
      </c>
      <c r="D100" s="54" t="s">
        <v>450</v>
      </c>
      <c r="E100" s="130">
        <f t="shared" si="33"/>
        <v>5.806258421252752E-4</v>
      </c>
      <c r="F100" s="130">
        <f t="shared" si="33"/>
        <v>8.4495087394806309E-3</v>
      </c>
      <c r="G100" s="130">
        <f t="shared" si="33"/>
        <v>9.7902727920851727E-3</v>
      </c>
      <c r="H100" s="130">
        <f t="shared" si="33"/>
        <v>1.0552173137876522E-2</v>
      </c>
      <c r="I100" s="130">
        <f t="shared" si="33"/>
        <v>1.1889538819972316E-2</v>
      </c>
      <c r="J100" s="129">
        <f t="shared" si="33"/>
        <v>1.2968407701368395E-2</v>
      </c>
      <c r="K100" s="72">
        <f t="shared" si="33"/>
        <v>1.4818197768204954E-2</v>
      </c>
      <c r="L100" s="72">
        <f t="shared" si="33"/>
        <v>1.6996063016429887E-2</v>
      </c>
      <c r="M100" s="72">
        <f t="shared" si="33"/>
        <v>1.9017513683427162E-2</v>
      </c>
      <c r="N100" s="130">
        <f t="shared" si="33"/>
        <v>2.0889003213491467E-2</v>
      </c>
      <c r="O100" s="129">
        <f t="shared" si="33"/>
        <v>2.257340090968912E-2</v>
      </c>
      <c r="P100" s="72">
        <f t="shared" si="33"/>
        <v>2.4052324411719506E-2</v>
      </c>
      <c r="Q100" s="72">
        <f t="shared" si="33"/>
        <v>2.517916708215668E-2</v>
      </c>
      <c r="R100" s="72">
        <f t="shared" si="33"/>
        <v>2.5888259969725443E-2</v>
      </c>
      <c r="S100" s="130">
        <f t="shared" si="33"/>
        <v>2.6140364527593437E-2</v>
      </c>
      <c r="T100" s="130">
        <f t="shared" si="32"/>
        <v>2.5958752961443451E-2</v>
      </c>
      <c r="U100" s="130">
        <f t="shared" si="32"/>
        <v>2.5388892362676732E-2</v>
      </c>
      <c r="V100" s="130">
        <f t="shared" si="32"/>
        <v>2.4543806112447011E-2</v>
      </c>
      <c r="W100" s="130">
        <f t="shared" si="32"/>
        <v>2.3533785328064306E-2</v>
      </c>
      <c r="X100" s="121">
        <f t="shared" si="33"/>
        <v>2.2446389662236412E-2</v>
      </c>
      <c r="Y100" s="121">
        <f t="shared" si="32"/>
        <v>2.1321720610055665E-2</v>
      </c>
      <c r="Z100" s="121">
        <f t="shared" si="32"/>
        <v>2.0203928477583417E-2</v>
      </c>
      <c r="AA100" s="121">
        <f t="shared" si="32"/>
        <v>1.9117359524719622E-2</v>
      </c>
      <c r="AB100" s="121">
        <f t="shared" si="32"/>
        <v>1.8069694720693568E-2</v>
      </c>
      <c r="AC100" s="121">
        <f t="shared" si="33"/>
        <v>1.7065362858782251E-2</v>
      </c>
      <c r="AD100" s="121">
        <f t="shared" si="32"/>
        <v>1.6112095916457781E-2</v>
      </c>
      <c r="AE100" s="121">
        <f t="shared" si="32"/>
        <v>1.5207258151235052E-2</v>
      </c>
      <c r="AF100" s="121">
        <f t="shared" si="32"/>
        <v>1.4346251751973897E-2</v>
      </c>
      <c r="AG100" s="121">
        <f t="shared" si="32"/>
        <v>1.3530851569918107E-2</v>
      </c>
      <c r="AH100" s="121">
        <f t="shared" si="33"/>
        <v>1.2729918219308186E-2</v>
      </c>
      <c r="AI100" s="121">
        <f t="shared" si="32"/>
        <v>1.1970335691812406E-2</v>
      </c>
      <c r="AJ100" s="121">
        <f t="shared" si="32"/>
        <v>1.1251284201001306E-2</v>
      </c>
      <c r="AK100" s="121">
        <f t="shared" si="32"/>
        <v>1.0572311774350229E-2</v>
      </c>
      <c r="AL100" s="121">
        <f t="shared" si="32"/>
        <v>9.9337811164097421E-3</v>
      </c>
      <c r="AM100" s="121">
        <f t="shared" si="33"/>
        <v>9.3419807604494393E-3</v>
      </c>
    </row>
    <row r="101" spans="2:40" x14ac:dyDescent="0.25">
      <c r="B101" s="230"/>
      <c r="C101" s="35" t="s">
        <v>28</v>
      </c>
      <c r="D101" s="54" t="s">
        <v>451</v>
      </c>
      <c r="E101" s="130">
        <f t="shared" si="33"/>
        <v>5.070879699542305E-2</v>
      </c>
      <c r="F101" s="130">
        <f t="shared" si="33"/>
        <v>0.1133989817833797</v>
      </c>
      <c r="G101" s="130">
        <f t="shared" si="33"/>
        <v>0.12513054242449942</v>
      </c>
      <c r="H101" s="130">
        <f t="shared" si="33"/>
        <v>0.12862079488108555</v>
      </c>
      <c r="I101" s="130">
        <f t="shared" si="33"/>
        <v>0.13209363834635929</v>
      </c>
      <c r="J101" s="129">
        <f t="shared" si="33"/>
        <v>0.13484342273549585</v>
      </c>
      <c r="K101" s="72">
        <f t="shared" si="33"/>
        <v>0.13782992095415714</v>
      </c>
      <c r="L101" s="72">
        <f t="shared" si="33"/>
        <v>0.14066984490794182</v>
      </c>
      <c r="M101" s="72">
        <f t="shared" si="33"/>
        <v>0.14294830692922592</v>
      </c>
      <c r="N101" s="130">
        <f t="shared" si="33"/>
        <v>0.14473961147212511</v>
      </c>
      <c r="O101" s="129">
        <f t="shared" si="33"/>
        <v>0.14593439537527642</v>
      </c>
      <c r="P101" s="72">
        <f t="shared" si="33"/>
        <v>0.14633571915785812</v>
      </c>
      <c r="Q101" s="72">
        <f t="shared" si="33"/>
        <v>0.1456646167965783</v>
      </c>
      <c r="R101" s="72">
        <f t="shared" si="33"/>
        <v>0.14378949033768529</v>
      </c>
      <c r="S101" s="130">
        <f t="shared" si="33"/>
        <v>0.1407938640974431</v>
      </c>
      <c r="T101" s="130">
        <f t="shared" si="32"/>
        <v>0.13653795246985662</v>
      </c>
      <c r="U101" s="130">
        <f t="shared" si="32"/>
        <v>0.13132005245560655</v>
      </c>
      <c r="V101" s="130">
        <f t="shared" si="32"/>
        <v>0.12556950762286209</v>
      </c>
      <c r="W101" s="130">
        <f t="shared" si="32"/>
        <v>0.11959212034638154</v>
      </c>
      <c r="X101" s="121">
        <f t="shared" si="33"/>
        <v>0.11360252680023968</v>
      </c>
      <c r="Y101" s="121">
        <f t="shared" si="32"/>
        <v>0.10764809066669137</v>
      </c>
      <c r="Z101" s="121">
        <f t="shared" si="32"/>
        <v>0.10185968027654577</v>
      </c>
      <c r="AA101" s="121">
        <f t="shared" si="32"/>
        <v>9.6302630550964025E-2</v>
      </c>
      <c r="AB101" s="121">
        <f t="shared" si="32"/>
        <v>9.0982356233363162E-2</v>
      </c>
      <c r="AC101" s="121">
        <f t="shared" si="33"/>
        <v>8.59025035342907E-2</v>
      </c>
      <c r="AD101" s="121">
        <f t="shared" si="32"/>
        <v>8.1091826056542318E-2</v>
      </c>
      <c r="AE101" s="121">
        <f t="shared" si="32"/>
        <v>7.6531335822803873E-2</v>
      </c>
      <c r="AF101" s="121">
        <f t="shared" si="32"/>
        <v>7.2194852361941272E-2</v>
      </c>
      <c r="AG101" s="121">
        <f t="shared" si="32"/>
        <v>6.8089698907003435E-2</v>
      </c>
      <c r="AH101" s="121">
        <f t="shared" si="33"/>
        <v>6.4058201277529314E-2</v>
      </c>
      <c r="AI101" s="121">
        <f t="shared" si="32"/>
        <v>6.0235350661575669E-2</v>
      </c>
      <c r="AJ101" s="121">
        <f t="shared" si="32"/>
        <v>5.6616753084648946E-2</v>
      </c>
      <c r="AK101" s="121">
        <f t="shared" si="32"/>
        <v>5.3199992481737214E-2</v>
      </c>
      <c r="AL101" s="121">
        <f t="shared" si="32"/>
        <v>4.9986818646511805E-2</v>
      </c>
      <c r="AM101" s="121">
        <f t="shared" si="33"/>
        <v>4.7008835913250231E-2</v>
      </c>
    </row>
    <row r="102" spans="2:40" x14ac:dyDescent="0.25">
      <c r="B102" s="230"/>
      <c r="C102" s="35" t="s">
        <v>29</v>
      </c>
      <c r="D102" s="54" t="s">
        <v>452</v>
      </c>
      <c r="E102" s="130">
        <f t="shared" si="33"/>
        <v>0.1200243797595533</v>
      </c>
      <c r="F102" s="130">
        <f t="shared" si="33"/>
        <v>0.19515729872195811</v>
      </c>
      <c r="G102" s="130">
        <f t="shared" si="33"/>
        <v>0.20934542188244917</v>
      </c>
      <c r="H102" s="130">
        <f t="shared" si="33"/>
        <v>0.2133929156004562</v>
      </c>
      <c r="I102" s="130">
        <f t="shared" si="33"/>
        <v>0.21708790480422904</v>
      </c>
      <c r="J102" s="129">
        <f t="shared" si="33"/>
        <v>0.22004879155969762</v>
      </c>
      <c r="K102" s="72">
        <f t="shared" si="33"/>
        <v>0.2228063483922921</v>
      </c>
      <c r="L102" s="72">
        <f t="shared" si="33"/>
        <v>0.22510471711534291</v>
      </c>
      <c r="M102" s="72">
        <f t="shared" si="33"/>
        <v>0.2267024047393871</v>
      </c>
      <c r="N102" s="130">
        <f t="shared" si="33"/>
        <v>0.22769157383309666</v>
      </c>
      <c r="O102" s="129">
        <f t="shared" si="33"/>
        <v>0.22792535619386878</v>
      </c>
      <c r="P102" s="72">
        <f t="shared" si="33"/>
        <v>0.22711177520541181</v>
      </c>
      <c r="Q102" s="72">
        <f t="shared" si="33"/>
        <v>0.2248548218684788</v>
      </c>
      <c r="R102" s="72">
        <f t="shared" si="33"/>
        <v>0.2209737343256038</v>
      </c>
      <c r="S102" s="130">
        <f t="shared" si="33"/>
        <v>0.21564152916658863</v>
      </c>
      <c r="T102" s="130">
        <f t="shared" si="32"/>
        <v>0.20858698384757265</v>
      </c>
      <c r="U102" s="130">
        <f t="shared" si="32"/>
        <v>0.20025778511068551</v>
      </c>
      <c r="V102" s="130">
        <f t="shared" si="32"/>
        <v>0.19127058385570256</v>
      </c>
      <c r="W102" s="130">
        <f t="shared" si="32"/>
        <v>0.1820409317613135</v>
      </c>
      <c r="X102" s="121">
        <f t="shared" si="33"/>
        <v>0.17285421025711128</v>
      </c>
      <c r="Y102" s="121">
        <f t="shared" si="32"/>
        <v>0.16375595308744434</v>
      </c>
      <c r="Z102" s="121">
        <f t="shared" si="32"/>
        <v>0.154930056375534</v>
      </c>
      <c r="AA102" s="121">
        <f t="shared" si="32"/>
        <v>0.14646683167307914</v>
      </c>
      <c r="AB102" s="121">
        <f t="shared" si="32"/>
        <v>0.13836947779807957</v>
      </c>
      <c r="AC102" s="121">
        <f t="shared" si="33"/>
        <v>0.13064082651579975</v>
      </c>
      <c r="AD102" s="121">
        <f t="shared" si="32"/>
        <v>0.12332316924410197</v>
      </c>
      <c r="AE102" s="121">
        <f t="shared" si="32"/>
        <v>0.11638683797010907</v>
      </c>
      <c r="AF102" s="121">
        <f t="shared" si="32"/>
        <v>0.10979160824224855</v>
      </c>
      <c r="AG102" s="121">
        <f t="shared" si="32"/>
        <v>0.10354840628628006</v>
      </c>
      <c r="AH102" s="121">
        <f t="shared" si="33"/>
        <v>9.7417322494257066E-2</v>
      </c>
      <c r="AI102" s="121">
        <f t="shared" si="32"/>
        <v>9.1603609437326483E-2</v>
      </c>
      <c r="AJ102" s="121">
        <f t="shared" si="32"/>
        <v>8.6100551880652673E-2</v>
      </c>
      <c r="AK102" s="121">
        <f t="shared" si="32"/>
        <v>8.0904458426770326E-2</v>
      </c>
      <c r="AL102" s="121">
        <f t="shared" si="32"/>
        <v>7.6017981128465778E-2</v>
      </c>
      <c r="AM102" s="121">
        <f t="shared" si="33"/>
        <v>7.148917814723374E-2</v>
      </c>
    </row>
    <row r="103" spans="2:40" x14ac:dyDescent="0.25">
      <c r="B103" s="230"/>
      <c r="C103" s="35" t="s">
        <v>30</v>
      </c>
      <c r="D103" s="54" t="s">
        <v>453</v>
      </c>
      <c r="E103" s="130">
        <f t="shared" si="33"/>
        <v>0.16803384356708401</v>
      </c>
      <c r="F103" s="130">
        <f t="shared" si="33"/>
        <v>0.21788614785699245</v>
      </c>
      <c r="G103" s="130">
        <f t="shared" si="33"/>
        <v>0.22646365277240543</v>
      </c>
      <c r="H103" s="130">
        <f t="shared" si="33"/>
        <v>0.22876222712303923</v>
      </c>
      <c r="I103" s="130">
        <f t="shared" si="33"/>
        <v>0.23051406096293087</v>
      </c>
      <c r="J103" s="129">
        <f t="shared" si="33"/>
        <v>0.23214371636572631</v>
      </c>
      <c r="K103" s="72">
        <f t="shared" si="33"/>
        <v>0.23331690284080567</v>
      </c>
      <c r="L103" s="72">
        <f t="shared" si="33"/>
        <v>0.23395217591605544</v>
      </c>
      <c r="M103" s="72">
        <f t="shared" si="33"/>
        <v>0.23405646839973521</v>
      </c>
      <c r="N103" s="130">
        <f t="shared" si="33"/>
        <v>0.23368721075410964</v>
      </c>
      <c r="O103" s="129">
        <f t="shared" si="33"/>
        <v>0.23270633645699895</v>
      </c>
      <c r="P103" s="72">
        <f t="shared" si="33"/>
        <v>0.23082452574760451</v>
      </c>
      <c r="Q103" s="72">
        <f t="shared" si="33"/>
        <v>0.22765488528962335</v>
      </c>
      <c r="R103" s="72">
        <f t="shared" si="33"/>
        <v>0.22302475685546905</v>
      </c>
      <c r="S103" s="130">
        <f t="shared" si="33"/>
        <v>0.21713461293132569</v>
      </c>
      <c r="T103" s="130">
        <f t="shared" si="32"/>
        <v>0.20966226508736471</v>
      </c>
      <c r="U103" s="130">
        <f t="shared" si="32"/>
        <v>0.20104789763988687</v>
      </c>
      <c r="V103" s="130">
        <f t="shared" si="32"/>
        <v>0.19188025062301742</v>
      </c>
      <c r="W103" s="130">
        <f t="shared" si="32"/>
        <v>0.18253937084719468</v>
      </c>
      <c r="X103" s="121">
        <f t="shared" si="33"/>
        <v>0.17328275088442502</v>
      </c>
      <c r="Y103" s="121">
        <f t="shared" si="32"/>
        <v>0.16413773990985941</v>
      </c>
      <c r="Z103" s="121">
        <f t="shared" si="32"/>
        <v>0.15527847555982438</v>
      </c>
      <c r="AA103" s="121">
        <f t="shared" si="32"/>
        <v>0.1467895328145733</v>
      </c>
      <c r="AB103" s="121">
        <f t="shared" si="32"/>
        <v>0.13867086054785113</v>
      </c>
      <c r="AC103" s="121">
        <f t="shared" si="33"/>
        <v>0.1309235734917534</v>
      </c>
      <c r="AD103" s="121">
        <f t="shared" si="32"/>
        <v>0.12358915572259814</v>
      </c>
      <c r="AE103" s="121">
        <f t="shared" si="32"/>
        <v>0.11663739118070771</v>
      </c>
      <c r="AF103" s="121">
        <f t="shared" si="32"/>
        <v>0.11002772095068514</v>
      </c>
      <c r="AG103" s="121">
        <f t="shared" si="32"/>
        <v>0.10377096889659011</v>
      </c>
      <c r="AH103" s="121">
        <f t="shared" si="33"/>
        <v>9.7626639055219122E-2</v>
      </c>
      <c r="AI103" s="121">
        <f t="shared" si="32"/>
        <v>9.1800399464680327E-2</v>
      </c>
      <c r="AJ103" s="121">
        <f t="shared" si="32"/>
        <v>8.6285502076795945E-2</v>
      </c>
      <c r="AK103" s="121">
        <f t="shared" si="32"/>
        <v>8.1078238030306046E-2</v>
      </c>
      <c r="AL103" s="121">
        <f t="shared" si="32"/>
        <v>7.6181260236577591E-2</v>
      </c>
      <c r="AM103" s="121">
        <f t="shared" si="33"/>
        <v>7.1642727569518547E-2</v>
      </c>
    </row>
    <row r="104" spans="2:40" x14ac:dyDescent="0.25">
      <c r="B104" s="230"/>
      <c r="C104" s="35" t="s">
        <v>31</v>
      </c>
      <c r="D104" s="54" t="s">
        <v>454</v>
      </c>
      <c r="E104" s="130">
        <f t="shared" si="33"/>
        <v>0.4362143910050581</v>
      </c>
      <c r="F104" s="130">
        <f t="shared" si="33"/>
        <v>0.31341148959869319</v>
      </c>
      <c r="G104" s="130">
        <f t="shared" si="33"/>
        <v>0.2884504235254628</v>
      </c>
      <c r="H104" s="130">
        <f t="shared" si="33"/>
        <v>0.28036928993354576</v>
      </c>
      <c r="I104" s="130">
        <f t="shared" si="33"/>
        <v>0.2722201381833852</v>
      </c>
      <c r="J104" s="129">
        <f t="shared" si="33"/>
        <v>0.26546843237774237</v>
      </c>
      <c r="K104" s="72">
        <f t="shared" si="33"/>
        <v>0.25777611190160699</v>
      </c>
      <c r="L104" s="72">
        <f t="shared" si="33"/>
        <v>0.24973035434548913</v>
      </c>
      <c r="M104" s="72">
        <f t="shared" si="33"/>
        <v>0.24230505147117862</v>
      </c>
      <c r="N104" s="130">
        <f t="shared" si="33"/>
        <v>0.23529078560286992</v>
      </c>
      <c r="O104" s="129">
        <f t="shared" si="33"/>
        <v>0.22858435004660296</v>
      </c>
      <c r="P104" s="72">
        <f t="shared" si="33"/>
        <v>0.22194635520455344</v>
      </c>
      <c r="Q104" s="72">
        <f t="shared" si="33"/>
        <v>0.21498787559177931</v>
      </c>
      <c r="R104" s="72">
        <f t="shared" si="33"/>
        <v>0.20755421291440759</v>
      </c>
      <c r="S104" s="130">
        <f t="shared" si="33"/>
        <v>0.19991291802863764</v>
      </c>
      <c r="T104" s="130">
        <f t="shared" si="32"/>
        <v>0.19150748513694665</v>
      </c>
      <c r="U104" s="130">
        <f t="shared" si="32"/>
        <v>0.18266694241410386</v>
      </c>
      <c r="V104" s="130">
        <f t="shared" si="32"/>
        <v>0.17377346931655605</v>
      </c>
      <c r="W104" s="130">
        <f t="shared" si="32"/>
        <v>0.16500498564011437</v>
      </c>
      <c r="X104" s="121">
        <f t="shared" si="33"/>
        <v>0.15647421340621076</v>
      </c>
      <c r="Y104" s="121">
        <f t="shared" si="32"/>
        <v>0.14813073143372096</v>
      </c>
      <c r="Z104" s="121">
        <f t="shared" si="32"/>
        <v>0.14009160369673471</v>
      </c>
      <c r="AA104" s="121">
        <f t="shared" si="32"/>
        <v>0.13241072126093986</v>
      </c>
      <c r="AB104" s="121">
        <f t="shared" si="32"/>
        <v>0.12507611062776985</v>
      </c>
      <c r="AC104" s="121">
        <f t="shared" si="33"/>
        <v>0.11808269579184799</v>
      </c>
      <c r="AD104" s="121">
        <f t="shared" si="32"/>
        <v>0.11146481532333301</v>
      </c>
      <c r="AE104" s="121">
        <f t="shared" si="32"/>
        <v>0.10519362581460176</v>
      </c>
      <c r="AF104" s="121">
        <f t="shared" si="32"/>
        <v>9.9231752345888463E-2</v>
      </c>
      <c r="AG104" s="121">
        <f t="shared" si="32"/>
        <v>9.3588564260610671E-2</v>
      </c>
      <c r="AH104" s="121">
        <f t="shared" si="33"/>
        <v>8.804695985348325E-2</v>
      </c>
      <c r="AI104" s="121">
        <f t="shared" si="32"/>
        <v>8.2792334250452362E-2</v>
      </c>
      <c r="AJ104" s="121">
        <f t="shared" si="32"/>
        <v>7.7818550554658861E-2</v>
      </c>
      <c r="AK104" s="121">
        <f t="shared" si="32"/>
        <v>7.3122238395959868E-2</v>
      </c>
      <c r="AL104" s="121">
        <f t="shared" si="32"/>
        <v>6.8705777524562001E-2</v>
      </c>
      <c r="AM104" s="121">
        <f t="shared" si="33"/>
        <v>6.4612594763441084E-2</v>
      </c>
    </row>
    <row r="105" spans="2:40" x14ac:dyDescent="0.25">
      <c r="B105" s="230"/>
      <c r="C105" s="35" t="s">
        <v>32</v>
      </c>
      <c r="D105" s="54" t="s">
        <v>455</v>
      </c>
      <c r="E105" s="130">
        <f t="shared" si="33"/>
        <v>0.15386468112104759</v>
      </c>
      <c r="F105" s="130">
        <f t="shared" si="33"/>
        <v>0.10614547715707152</v>
      </c>
      <c r="G105" s="130">
        <f t="shared" si="33"/>
        <v>9.6191376022943864E-2</v>
      </c>
      <c r="H105" s="130">
        <f t="shared" si="33"/>
        <v>9.2962814825268567E-2</v>
      </c>
      <c r="I105" s="130">
        <f t="shared" si="33"/>
        <v>8.9543496265494613E-2</v>
      </c>
      <c r="J105" s="129">
        <f t="shared" si="33"/>
        <v>8.5989767494510191E-2</v>
      </c>
      <c r="K105" s="72">
        <f t="shared" si="33"/>
        <v>8.2003556264645616E-2</v>
      </c>
      <c r="L105" s="72">
        <f t="shared" si="33"/>
        <v>7.7909520974126262E-2</v>
      </c>
      <c r="M105" s="72">
        <f t="shared" si="33"/>
        <v>7.4214802403547497E-2</v>
      </c>
      <c r="N105" s="130">
        <f t="shared" si="33"/>
        <v>7.0810413073760042E-2</v>
      </c>
      <c r="O105" s="129">
        <f t="shared" si="33"/>
        <v>6.7674531670638818E-2</v>
      </c>
      <c r="P105" s="72">
        <f t="shared" si="33"/>
        <v>6.4746680284773733E-2</v>
      </c>
      <c r="Q105" s="72">
        <f t="shared" si="33"/>
        <v>6.1912700862947145E-2</v>
      </c>
      <c r="R105" s="72">
        <f t="shared" si="33"/>
        <v>5.913087457896115E-2</v>
      </c>
      <c r="S105" s="130">
        <f t="shared" si="33"/>
        <v>5.6495254906825679E-2</v>
      </c>
      <c r="T105" s="130">
        <f t="shared" si="32"/>
        <v>5.3792808728215812E-2</v>
      </c>
      <c r="U105" s="130">
        <f t="shared" si="32"/>
        <v>5.1100078035346108E-2</v>
      </c>
      <c r="V105" s="130">
        <f t="shared" si="32"/>
        <v>4.8490435671564941E-2</v>
      </c>
      <c r="W105" s="130">
        <f t="shared" si="32"/>
        <v>4.5976988647908459E-2</v>
      </c>
      <c r="X105" s="121">
        <f t="shared" si="33"/>
        <v>4.3564890607317233E-2</v>
      </c>
      <c r="Y105" s="121">
        <f t="shared" si="32"/>
        <v>4.1223650183476387E-2</v>
      </c>
      <c r="Z105" s="121">
        <f t="shared" si="32"/>
        <v>3.8977107996467843E-2</v>
      </c>
      <c r="AA105" s="121">
        <f t="shared" si="32"/>
        <v>3.6835404401493653E-2</v>
      </c>
      <c r="AB105" s="121">
        <f t="shared" si="32"/>
        <v>3.4792637295544271E-2</v>
      </c>
      <c r="AC105" s="121">
        <f t="shared" si="33"/>
        <v>3.2846092876728794E-2</v>
      </c>
      <c r="AD105" s="121">
        <f t="shared" si="32"/>
        <v>3.1004668752028147E-2</v>
      </c>
      <c r="AE105" s="121">
        <f t="shared" si="32"/>
        <v>2.9260006917987861E-2</v>
      </c>
      <c r="AF105" s="121">
        <f t="shared" si="32"/>
        <v>2.7601544965661844E-2</v>
      </c>
      <c r="AG105" s="121">
        <f t="shared" si="32"/>
        <v>2.6031807420787735E-2</v>
      </c>
      <c r="AH105" s="121">
        <f t="shared" si="33"/>
        <v>2.4490365424891501E-2</v>
      </c>
      <c r="AI105" s="121">
        <f t="shared" si="32"/>
        <v>2.3028767245679729E-2</v>
      </c>
      <c r="AJ105" s="121">
        <f t="shared" si="32"/>
        <v>2.1645295658650282E-2</v>
      </c>
      <c r="AK105" s="121">
        <f t="shared" si="32"/>
        <v>2.0339008049474392E-2</v>
      </c>
      <c r="AL105" s="121">
        <f t="shared" si="32"/>
        <v>1.9110563810991535E-2</v>
      </c>
      <c r="AM105" s="121">
        <f t="shared" si="33"/>
        <v>1.7972040879372205E-2</v>
      </c>
    </row>
    <row r="106" spans="2:40" x14ac:dyDescent="0.25">
      <c r="B106" s="230"/>
      <c r="C106" s="56" t="s">
        <v>33</v>
      </c>
      <c r="D106" s="66" t="s">
        <v>456</v>
      </c>
      <c r="E106" s="132">
        <f t="shared" si="33"/>
        <v>7.0497921241333764E-2</v>
      </c>
      <c r="F106" s="132">
        <f t="shared" si="33"/>
        <v>4.2038563098984474E-2</v>
      </c>
      <c r="G106" s="132">
        <f t="shared" si="33"/>
        <v>3.6421917575283902E-2</v>
      </c>
      <c r="H106" s="132">
        <f t="shared" si="33"/>
        <v>3.4582923220773373E-2</v>
      </c>
      <c r="I106" s="132">
        <f t="shared" si="33"/>
        <v>3.276740870391559E-2</v>
      </c>
      <c r="J106" s="131">
        <f t="shared" si="33"/>
        <v>3.1017201133940901E-2</v>
      </c>
      <c r="K106" s="73">
        <f t="shared" si="33"/>
        <v>2.9215419637464105E-2</v>
      </c>
      <c r="L106" s="73">
        <f t="shared" si="33"/>
        <v>2.7444952185462782E-2</v>
      </c>
      <c r="M106" s="73">
        <f t="shared" si="33"/>
        <v>2.5880556527987875E-2</v>
      </c>
      <c r="N106" s="132">
        <f t="shared" si="33"/>
        <v>2.4464426047886026E-2</v>
      </c>
      <c r="O106" s="131">
        <f t="shared" si="33"/>
        <v>2.3186784449712967E-2</v>
      </c>
      <c r="P106" s="73">
        <f t="shared" si="33"/>
        <v>2.2027183740498297E-2</v>
      </c>
      <c r="Q106" s="73">
        <f t="shared" si="33"/>
        <v>2.0938487054277082E-2</v>
      </c>
      <c r="R106" s="73">
        <f t="shared" si="33"/>
        <v>1.990334059830396E-2</v>
      </c>
      <c r="S106" s="132">
        <f t="shared" si="33"/>
        <v>1.8952890777955617E-2</v>
      </c>
      <c r="T106" s="132">
        <f t="shared" si="32"/>
        <v>1.8003706081135384E-2</v>
      </c>
      <c r="U106" s="132">
        <f t="shared" si="32"/>
        <v>1.7076965311335391E-2</v>
      </c>
      <c r="V106" s="132">
        <f t="shared" si="32"/>
        <v>1.619100711306826E-2</v>
      </c>
      <c r="W106" s="132">
        <f t="shared" si="32"/>
        <v>1.5344643732669069E-2</v>
      </c>
      <c r="X106" s="122">
        <f t="shared" si="33"/>
        <v>1.4536133328638874E-2</v>
      </c>
      <c r="Y106" s="122">
        <f t="shared" si="32"/>
        <v>1.375324243269932E-2</v>
      </c>
      <c r="Z106" s="122">
        <f t="shared" si="32"/>
        <v>1.3002926951123563E-2</v>
      </c>
      <c r="AA106" s="122">
        <f t="shared" si="32"/>
        <v>1.2288061457693315E-2</v>
      </c>
      <c r="AB106" s="122">
        <f t="shared" si="32"/>
        <v>1.1606424805189038E-2</v>
      </c>
      <c r="AC106" s="122">
        <f t="shared" si="33"/>
        <v>1.0956993193868553E-2</v>
      </c>
      <c r="AD106" s="122">
        <f t="shared" si="32"/>
        <v>1.0342678770873085E-2</v>
      </c>
      <c r="AE106" s="122">
        <f t="shared" si="32"/>
        <v>9.7606667743716877E-3</v>
      </c>
      <c r="AF106" s="122">
        <f t="shared" si="32"/>
        <v>9.2074210726006966E-3</v>
      </c>
      <c r="AG106" s="122">
        <f t="shared" si="32"/>
        <v>8.6837778797148376E-3</v>
      </c>
      <c r="AH106" s="122">
        <f t="shared" si="33"/>
        <v>8.1695763374458243E-3</v>
      </c>
      <c r="AI106" s="122">
        <f t="shared" si="32"/>
        <v>7.6820105834110768E-3</v>
      </c>
      <c r="AJ106" s="122">
        <f t="shared" si="32"/>
        <v>7.2205071491585268E-3</v>
      </c>
      <c r="AK106" s="122">
        <f t="shared" si="32"/>
        <v>6.7847512849152896E-3</v>
      </c>
      <c r="AL106" s="122">
        <f t="shared" si="32"/>
        <v>6.3749628102494037E-3</v>
      </c>
      <c r="AM106" s="122">
        <f t="shared" si="33"/>
        <v>5.9951706395060811E-3</v>
      </c>
    </row>
    <row r="107" spans="2:40" s="3" customFormat="1" x14ac:dyDescent="0.25"/>
    <row r="108" spans="2:40" s="3" customFormat="1" x14ac:dyDescent="0.25"/>
    <row r="109" spans="2:40" s="3" customFormat="1" x14ac:dyDescent="0.25"/>
    <row r="110" spans="2:40" s="3" customFormat="1" x14ac:dyDescent="0.25"/>
    <row r="111" spans="2:40" s="3" customFormat="1" x14ac:dyDescent="0.25"/>
    <row r="112" spans="2:40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</sheetData>
  <pageMargins left="0.7" right="0.7" top="0.75" bottom="0.75" header="0.3" footer="0.3"/>
  <pageSetup paperSize="9" scale="6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8"/>
  <dimension ref="B4:B11"/>
  <sheetViews>
    <sheetView workbookViewId="0">
      <selection activeCell="B4" sqref="B4"/>
    </sheetView>
  </sheetViews>
  <sheetFormatPr baseColWidth="10" defaultRowHeight="15" x14ac:dyDescent="0.25"/>
  <cols>
    <col min="2" max="2" width="68.5703125" customWidth="1"/>
  </cols>
  <sheetData>
    <row r="4" spans="2:2" x14ac:dyDescent="0.25">
      <c r="B4" t="str">
        <f>Résultats!B1&amp;" : Energie finale par usage et énergie primaire (Mtep)"</f>
        <v>SNBC3 : Energie finale par usage et énergie primaire (Mtep)</v>
      </c>
    </row>
    <row r="5" spans="2:2" x14ac:dyDescent="0.25">
      <c r="B5" t="str">
        <f>Résultats!B1&amp;" : Ventilation du mix énergie (Mtep)"</f>
        <v>SNBC3 : Ventilation du mix énergie (Mtep)</v>
      </c>
    </row>
    <row r="6" spans="2:2" x14ac:dyDescent="0.25">
      <c r="B6" t="str">
        <f>Résultats!B1&amp;" : Ventilation du mix electrique (%)"</f>
        <v>SNBC3 : Ventilation du mix electrique (%)</v>
      </c>
    </row>
    <row r="7" spans="2:2" x14ac:dyDescent="0.25">
      <c r="B7" t="str">
        <f>Résultats!B1&amp;" : Ventilation du mix carburant (%)"</f>
        <v>SNBC3 : Ventilation du mix carburant (%)</v>
      </c>
    </row>
    <row r="8" spans="2:2" x14ac:dyDescent="0.25">
      <c r="B8" t="str">
        <f>Résultats!B1&amp;" : Ventilation du mix gaz (%)"</f>
        <v>SNBC3 : Ventilation du mix gaz (%)</v>
      </c>
    </row>
    <row r="9" spans="2:2" x14ac:dyDescent="0.25">
      <c r="B9" t="str">
        <f>Résultats!B1&amp;" : Emissions CO2 (Mt.eqCO2)"</f>
        <v>SNBC3 : Emissions CO2 (Mt.eqCO2)</v>
      </c>
    </row>
    <row r="10" spans="2:2" x14ac:dyDescent="0.25">
      <c r="B10" t="str">
        <f>Résultats!B1&amp;" : Ventilation du parc auto (%)"</f>
        <v>SNBC3 : Ventilation du parc auto (%)</v>
      </c>
    </row>
    <row r="11" spans="2:2" x14ac:dyDescent="0.25">
      <c r="B11" t="str">
        <f>Résultats!B1&amp;" : Ventilation du parc de logements (%)"</f>
        <v>SNBC3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8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2</vt:i4>
      </vt:variant>
    </vt:vector>
  </HeadingPairs>
  <TitlesOfParts>
    <vt:vector size="20" baseType="lpstr">
      <vt:lpstr>T energie vecteurs</vt:lpstr>
      <vt:lpstr>T energie usages</vt:lpstr>
      <vt:lpstr>T transport</vt:lpstr>
      <vt:lpstr>Résultats</vt:lpstr>
      <vt:lpstr>T CO2</vt:lpstr>
      <vt:lpstr>T logement</vt:lpstr>
      <vt:lpstr>T parc auto</vt:lpstr>
      <vt:lpstr>Table Graphs</vt:lpstr>
      <vt:lpstr>Graphique1</vt:lpstr>
      <vt:lpstr>Graphique2</vt:lpstr>
      <vt:lpstr>Graphique3</vt:lpstr>
      <vt:lpstr>Graphique4</vt:lpstr>
      <vt:lpstr>Graphique5</vt:lpstr>
      <vt:lpstr>Graphique6</vt:lpstr>
      <vt:lpstr>Graphique7</vt:lpstr>
      <vt:lpstr>Graphique8</vt:lpstr>
      <vt:lpstr>Graphique9</vt:lpstr>
      <vt:lpstr>Graphique10</vt:lpstr>
      <vt:lpstr>'T parc auto'!Zone_d_impression</vt:lpstr>
      <vt:lpstr>'T transport'!Zone_d_impression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MONSERAND Alma</cp:lastModifiedBy>
  <cp:lastPrinted>2018-11-29T16:44:02Z</cp:lastPrinted>
  <dcterms:created xsi:type="dcterms:W3CDTF">2016-06-15T08:53:28Z</dcterms:created>
  <dcterms:modified xsi:type="dcterms:W3CDTF">2025-06-03T16:13:40Z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2025-03-12T13:29:27Z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3cca8261-751f-4fae-93e7-83dd1c3f6774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