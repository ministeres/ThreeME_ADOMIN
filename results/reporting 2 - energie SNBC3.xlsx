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7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2E9384B0-7AA5-42BD-AAFC-9A886D840808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T energie vecteurs" sheetId="13" r:id="rId1"/>
    <sheet name="T energie usages" sheetId="16" r:id="rId2"/>
    <sheet name="T transport" sheetId="32" r:id="rId3"/>
    <sheet name="Résultats" sheetId="2" r:id="rId4"/>
    <sheet name="T CO2" sheetId="31" r:id="rId5"/>
    <sheet name="T logement" sheetId="14" r:id="rId6"/>
    <sheet name="G energie" sheetId="27" r:id="rId7"/>
    <sheet name="G mix energie" sheetId="30" r:id="rId8"/>
    <sheet name="G mix élec" sheetId="22" r:id="rId9"/>
    <sheet name="G mix carb" sheetId="23" r:id="rId10"/>
    <sheet name="G mix gaz" sheetId="24" r:id="rId11"/>
    <sheet name="G CO2" sheetId="26" r:id="rId12"/>
    <sheet name="T parc auto" sheetId="25" r:id="rId13"/>
    <sheet name="G parc auto total" sheetId="28" r:id="rId14"/>
    <sheet name="G parc elec" sheetId="29" r:id="rId15"/>
    <sheet name="G parc auto" sheetId="19" r:id="rId16"/>
    <sheet name="G parc logt" sheetId="20" r:id="rId17"/>
    <sheet name="Table Graphs" sheetId="33" r:id="rId18"/>
  </sheets>
  <externalReferences>
    <externalReference r:id="rId19"/>
    <externalReference r:id="rId20"/>
    <externalReference r:id="rId21"/>
    <externalReference r:id="rId22"/>
    <externalReference r:id="rId23"/>
  </externalReferences>
  <definedNames>
    <definedName name="_xlnm.Print_Area" localSheetId="12">'T parc auto'!$C$26:$AM$107</definedName>
    <definedName name="_xlnm.Print_Area" localSheetId="2">'T transport'!$B$1:$AU$32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8" i="16" l="1"/>
  <c r="Q58" i="16"/>
  <c r="P58" i="16"/>
  <c r="O58" i="16"/>
  <c r="R57" i="16"/>
  <c r="P57" i="16"/>
  <c r="O57" i="16"/>
  <c r="R56" i="16"/>
  <c r="Q56" i="16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S14" i="16" s="1"/>
  <c r="R11" i="16"/>
  <c r="Q11" i="16"/>
  <c r="P11" i="16"/>
  <c r="O11" i="16"/>
  <c r="K14" i="16"/>
  <c r="K27" i="16"/>
  <c r="K40" i="16"/>
  <c r="K53" i="16"/>
  <c r="K66" i="16"/>
  <c r="K79" i="16"/>
  <c r="K92" i="16"/>
  <c r="K105" i="16"/>
  <c r="K118" i="16"/>
  <c r="R55" i="16" l="1"/>
  <c r="Q55" i="16"/>
  <c r="Q42" i="16"/>
  <c r="P42" i="16"/>
  <c r="K58" i="16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H38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AU20" i="32"/>
  <c r="AA20" i="32"/>
  <c r="Q20" i="32"/>
  <c r="AU17" i="32"/>
  <c r="AA17" i="32"/>
  <c r="Q17" i="32"/>
  <c r="BB10" i="32"/>
  <c r="BB9" i="32"/>
  <c r="BB8" i="32"/>
  <c r="BB7" i="32"/>
  <c r="S57" i="16" l="1"/>
  <c r="R42" i="16"/>
  <c r="P55" i="16"/>
  <c r="S37" i="16"/>
  <c r="S41" i="16"/>
  <c r="S45" i="16"/>
  <c r="S54" i="16"/>
  <c r="H50" i="16"/>
  <c r="K102" i="16"/>
  <c r="I37" i="16"/>
  <c r="L110" i="16"/>
  <c r="L40" i="16"/>
  <c r="R59" i="16"/>
  <c r="Q46" i="16"/>
  <c r="S44" i="16"/>
  <c r="S58" i="16"/>
  <c r="S53" i="16"/>
  <c r="O55" i="16"/>
  <c r="S55" i="16" s="1"/>
  <c r="Q59" i="16"/>
  <c r="S43" i="16"/>
  <c r="R46" i="16"/>
  <c r="S56" i="16"/>
  <c r="L39" i="16"/>
  <c r="L54" i="16"/>
  <c r="L41" i="16"/>
  <c r="I102" i="16"/>
  <c r="L52" i="16"/>
  <c r="I107" i="16"/>
  <c r="L38" i="16"/>
  <c r="L45" i="16"/>
  <c r="L53" i="16"/>
  <c r="L57" i="16"/>
  <c r="I55" i="16"/>
  <c r="L51" i="16"/>
  <c r="L58" i="16"/>
  <c r="J37" i="16"/>
  <c r="J42" i="16"/>
  <c r="J50" i="16"/>
  <c r="K37" i="16"/>
  <c r="K42" i="16"/>
  <c r="L44" i="16"/>
  <c r="H55" i="16"/>
  <c r="J107" i="16"/>
  <c r="I42" i="16"/>
  <c r="H102" i="16"/>
  <c r="K107" i="16"/>
  <c r="J55" i="16"/>
  <c r="L105" i="16"/>
  <c r="H107" i="16"/>
  <c r="K50" i="16"/>
  <c r="K55" i="16"/>
  <c r="P59" i="16"/>
  <c r="S50" i="16"/>
  <c r="O59" i="16"/>
  <c r="P46" i="16"/>
  <c r="O42" i="16"/>
  <c r="S40" i="16"/>
  <c r="I50" i="16"/>
  <c r="H42" i="16"/>
  <c r="L43" i="16"/>
  <c r="H37" i="16"/>
  <c r="L106" i="16"/>
  <c r="L56" i="16"/>
  <c r="J102" i="16"/>
  <c r="L109" i="16"/>
  <c r="L104" i="16"/>
  <c r="L103" i="16"/>
  <c r="L108" i="16"/>
  <c r="BD10" i="32"/>
  <c r="BD9" i="32"/>
  <c r="BD8" i="32"/>
  <c r="BD7" i="32"/>
  <c r="BC10" i="32"/>
  <c r="BC9" i="32"/>
  <c r="BC8" i="32"/>
  <c r="BC7" i="32"/>
  <c r="AU6" i="32"/>
  <c r="AA6" i="32"/>
  <c r="Q6" i="32"/>
  <c r="AU9" i="32"/>
  <c r="AA9" i="32"/>
  <c r="Q9" i="32"/>
  <c r="S42" i="16" l="1"/>
  <c r="S59" i="16"/>
  <c r="I111" i="16"/>
  <c r="K111" i="16"/>
  <c r="H111" i="16"/>
  <c r="I46" i="16"/>
  <c r="J111" i="16"/>
  <c r="K46" i="16"/>
  <c r="L42" i="16"/>
  <c r="L107" i="16"/>
  <c r="I59" i="16"/>
  <c r="K59" i="16"/>
  <c r="J59" i="16"/>
  <c r="L102" i="16"/>
  <c r="J46" i="16"/>
  <c r="L55" i="16"/>
  <c r="H59" i="16"/>
  <c r="O46" i="16"/>
  <c r="S46" i="16" s="1"/>
  <c r="L50" i="16"/>
  <c r="L37" i="16"/>
  <c r="H46" i="16"/>
  <c r="A58" i="32"/>
  <c r="A36" i="32"/>
  <c r="A1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A4" i="32" s="1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U4" i="32" s="1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R6" i="32"/>
  <c r="S6" i="32"/>
  <c r="T6" i="32"/>
  <c r="U6" i="32"/>
  <c r="V6" i="32"/>
  <c r="W6" i="32"/>
  <c r="X6" i="32"/>
  <c r="Y6" i="32"/>
  <c r="Z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Q7" i="32" s="1"/>
  <c r="R8" i="32"/>
  <c r="S8" i="32"/>
  <c r="T8" i="32"/>
  <c r="U8" i="32"/>
  <c r="V8" i="32"/>
  <c r="W8" i="32"/>
  <c r="X8" i="32"/>
  <c r="Y8" i="32"/>
  <c r="Z8" i="32"/>
  <c r="AA8" i="32"/>
  <c r="AA7" i="32" s="1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U7" i="32" s="1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R9" i="32"/>
  <c r="S9" i="32"/>
  <c r="T9" i="32"/>
  <c r="U9" i="32"/>
  <c r="V9" i="32"/>
  <c r="W9" i="32"/>
  <c r="X9" i="32"/>
  <c r="Y9" i="32"/>
  <c r="Z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AR14" i="32"/>
  <c r="AS14" i="32"/>
  <c r="AT14" i="32"/>
  <c r="AU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AR15" i="32"/>
  <c r="AS15" i="32"/>
  <c r="AT15" i="32"/>
  <c r="AU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AR16" i="32"/>
  <c r="AS16" i="32"/>
  <c r="AT16" i="32"/>
  <c r="AU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R17" i="32"/>
  <c r="S17" i="32"/>
  <c r="T17" i="32"/>
  <c r="U17" i="32"/>
  <c r="V17" i="32"/>
  <c r="W17" i="32"/>
  <c r="X17" i="32"/>
  <c r="Y17" i="32"/>
  <c r="Z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AR17" i="32"/>
  <c r="AS17" i="32"/>
  <c r="AT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AR18" i="32"/>
  <c r="AS18" i="32"/>
  <c r="AT18" i="32"/>
  <c r="AU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AR19" i="32"/>
  <c r="AS19" i="32"/>
  <c r="AT19" i="32"/>
  <c r="AU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R20" i="32"/>
  <c r="S20" i="32"/>
  <c r="T20" i="32"/>
  <c r="U20" i="32"/>
  <c r="V20" i="32"/>
  <c r="W20" i="32"/>
  <c r="X20" i="32"/>
  <c r="Y20" i="32"/>
  <c r="Z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AR20" i="32"/>
  <c r="AS20" i="32"/>
  <c r="AT20" i="32"/>
  <c r="A23" i="32"/>
  <c r="H29" i="31"/>
  <c r="T2" i="14"/>
  <c r="X2" i="25"/>
  <c r="T2" i="25"/>
  <c r="L111" i="16" l="1"/>
  <c r="L59" i="16"/>
  <c r="L46" i="16"/>
  <c r="AJ7" i="32"/>
  <c r="AO4" i="32"/>
  <c r="AI7" i="32"/>
  <c r="AN4" i="32"/>
  <c r="AB4" i="32"/>
  <c r="AT7" i="32"/>
  <c r="AH7" i="32"/>
  <c r="V7" i="32"/>
  <c r="AM4" i="32"/>
  <c r="Z4" i="32"/>
  <c r="AS7" i="32"/>
  <c r="AG7" i="32"/>
  <c r="AL4" i="32"/>
  <c r="AR7" i="32"/>
  <c r="AF7" i="32"/>
  <c r="T7" i="32"/>
  <c r="AK4" i="32"/>
  <c r="Y4" i="32"/>
  <c r="X4" i="32"/>
  <c r="S7" i="32"/>
  <c r="X7" i="32"/>
  <c r="AC4" i="32"/>
  <c r="W7" i="32"/>
  <c r="AQ7" i="32"/>
  <c r="AE7" i="32"/>
  <c r="AJ4" i="32"/>
  <c r="AP7" i="32"/>
  <c r="AD7" i="32"/>
  <c r="AI4" i="32"/>
  <c r="W4" i="32"/>
  <c r="V4" i="32"/>
  <c r="Q4" i="32"/>
  <c r="AX3" i="32" s="1"/>
  <c r="Q10" i="32"/>
  <c r="U7" i="32"/>
  <c r="R7" i="32"/>
  <c r="AO7" i="32"/>
  <c r="AC7" i="32"/>
  <c r="AT4" i="32"/>
  <c r="AH4" i="32"/>
  <c r="AN7" i="32"/>
  <c r="AB7" i="32"/>
  <c r="AS4" i="32"/>
  <c r="AG4" i="32"/>
  <c r="U4" i="32"/>
  <c r="AM7" i="32"/>
  <c r="AR4" i="32"/>
  <c r="AF4" i="32"/>
  <c r="T4" i="32"/>
  <c r="AL7" i="32"/>
  <c r="Z7" i="32"/>
  <c r="AQ4" i="32"/>
  <c r="AE4" i="32"/>
  <c r="S4" i="32"/>
  <c r="AK7" i="32"/>
  <c r="Y7" i="32"/>
  <c r="AP4" i="32"/>
  <c r="AD4" i="32"/>
  <c r="R4" i="32"/>
  <c r="AP31" i="32"/>
  <c r="AD31" i="32"/>
  <c r="R31" i="32"/>
  <c r="F31" i="32"/>
  <c r="AM30" i="32"/>
  <c r="AA30" i="32"/>
  <c r="O30" i="32"/>
  <c r="C30" i="32"/>
  <c r="AS28" i="32"/>
  <c r="AG28" i="32"/>
  <c r="AP27" i="32"/>
  <c r="AD27" i="32"/>
  <c r="R27" i="32"/>
  <c r="F27" i="32"/>
  <c r="L25" i="32"/>
  <c r="AS25" i="32"/>
  <c r="AG25" i="32"/>
  <c r="U25" i="32"/>
  <c r="I25" i="32"/>
  <c r="AL31" i="32"/>
  <c r="Z31" i="32"/>
  <c r="Z10" i="32"/>
  <c r="D30" i="32"/>
  <c r="M31" i="32"/>
  <c r="V30" i="32"/>
  <c r="AK27" i="32"/>
  <c r="Y10" i="32"/>
  <c r="AE25" i="32"/>
  <c r="AD25" i="32"/>
  <c r="AT28" i="32"/>
  <c r="AH21" i="32"/>
  <c r="AG31" i="32"/>
  <c r="U31" i="32"/>
  <c r="AP30" i="32"/>
  <c r="AD30" i="32"/>
  <c r="R30" i="32"/>
  <c r="F30" i="32"/>
  <c r="X28" i="32"/>
  <c r="AS27" i="32"/>
  <c r="AG27" i="32"/>
  <c r="I27" i="32"/>
  <c r="AA25" i="32"/>
  <c r="O25" i="32"/>
  <c r="C25" i="32"/>
  <c r="AR31" i="32"/>
  <c r="AF31" i="32"/>
  <c r="T31" i="32"/>
  <c r="H31" i="32"/>
  <c r="AO30" i="32"/>
  <c r="AC30" i="32"/>
  <c r="Q30" i="32"/>
  <c r="AU28" i="32"/>
  <c r="AI28" i="32"/>
  <c r="W28" i="32"/>
  <c r="K28" i="32"/>
  <c r="AR27" i="32"/>
  <c r="AF27" i="32"/>
  <c r="AL25" i="32"/>
  <c r="Z25" i="32"/>
  <c r="N25" i="32"/>
  <c r="AS10" i="32"/>
  <c r="AG10" i="32"/>
  <c r="U10" i="32"/>
  <c r="I10" i="32"/>
  <c r="S31" i="32"/>
  <c r="AN30" i="32"/>
  <c r="AH28" i="32"/>
  <c r="V28" i="32"/>
  <c r="J28" i="32"/>
  <c r="AE27" i="32"/>
  <c r="AS31" i="32"/>
  <c r="I31" i="32"/>
  <c r="AM25" i="32"/>
  <c r="N31" i="32"/>
  <c r="AU30" i="32"/>
  <c r="AI30" i="32"/>
  <c r="W30" i="32"/>
  <c r="K30" i="32"/>
  <c r="AO28" i="32"/>
  <c r="N10" i="32"/>
  <c r="S21" i="32"/>
  <c r="G21" i="32"/>
  <c r="H21" i="32"/>
  <c r="T21" i="32"/>
  <c r="AC28" i="32"/>
  <c r="E28" i="32"/>
  <c r="AL27" i="32"/>
  <c r="Z27" i="32"/>
  <c r="AR25" i="32"/>
  <c r="AF25" i="32"/>
  <c r="T25" i="32"/>
  <c r="H25" i="32"/>
  <c r="S27" i="32"/>
  <c r="T27" i="32"/>
  <c r="N27" i="32"/>
  <c r="O28" i="32"/>
  <c r="AJ27" i="32"/>
  <c r="AP25" i="32"/>
  <c r="AG21" i="32"/>
  <c r="AE21" i="32"/>
  <c r="AK31" i="32"/>
  <c r="AT30" i="32"/>
  <c r="AB28" i="32"/>
  <c r="P28" i="32"/>
  <c r="G25" i="32"/>
  <c r="AS21" i="32"/>
  <c r="I21" i="32"/>
  <c r="H27" i="32"/>
  <c r="AJ28" i="32"/>
  <c r="U30" i="32"/>
  <c r="AA28" i="32"/>
  <c r="AJ21" i="32"/>
  <c r="AF21" i="32"/>
  <c r="AO25" i="32"/>
  <c r="Q25" i="32"/>
  <c r="E25" i="32"/>
  <c r="AU2" i="32"/>
  <c r="AI25" i="32"/>
  <c r="K2" i="32"/>
  <c r="K54" i="32" s="1"/>
  <c r="V25" i="32"/>
  <c r="J25" i="32"/>
  <c r="L30" i="32"/>
  <c r="AD28" i="32"/>
  <c r="O10" i="32"/>
  <c r="X30" i="32"/>
  <c r="AM27" i="32"/>
  <c r="AM10" i="32"/>
  <c r="AA27" i="32"/>
  <c r="AA10" i="32"/>
  <c r="C27" i="32"/>
  <c r="C10" i="32"/>
  <c r="C28" i="32"/>
  <c r="L21" i="32"/>
  <c r="AP13" i="32"/>
  <c r="F13" i="32"/>
  <c r="F25" i="32"/>
  <c r="AJ31" i="32"/>
  <c r="O27" i="32"/>
  <c r="AT21" i="32"/>
  <c r="V21" i="32"/>
  <c r="AL10" i="32"/>
  <c r="AO10" i="32"/>
  <c r="AC10" i="32"/>
  <c r="E10" i="32"/>
  <c r="AY3" i="32"/>
  <c r="AK25" i="32"/>
  <c r="Y25" i="32"/>
  <c r="M2" i="32"/>
  <c r="M55" i="32" s="1"/>
  <c r="M25" i="32"/>
  <c r="L27" i="32"/>
  <c r="AK10" i="32"/>
  <c r="M10" i="32"/>
  <c r="AN10" i="32"/>
  <c r="AB10" i="32"/>
  <c r="P10" i="32"/>
  <c r="D10" i="32"/>
  <c r="AJ25" i="32"/>
  <c r="X25" i="32"/>
  <c r="L2" i="32"/>
  <c r="L53" i="32" s="1"/>
  <c r="AM31" i="32"/>
  <c r="R28" i="32"/>
  <c r="AM28" i="32"/>
  <c r="AG30" i="32"/>
  <c r="O31" i="32"/>
  <c r="C31" i="32"/>
  <c r="AJ30" i="32"/>
  <c r="AP28" i="32"/>
  <c r="AN28" i="32"/>
  <c r="D28" i="32"/>
  <c r="Y27" i="32"/>
  <c r="M27" i="32"/>
  <c r="AQ13" i="32"/>
  <c r="AQ25" i="32"/>
  <c r="AE13" i="32"/>
  <c r="S13" i="32"/>
  <c r="S25" i="32"/>
  <c r="G13" i="32"/>
  <c r="F28" i="32"/>
  <c r="AA31" i="32"/>
  <c r="J30" i="32"/>
  <c r="J21" i="32"/>
  <c r="X31" i="32"/>
  <c r="L31" i="32"/>
  <c r="X21" i="32"/>
  <c r="X27" i="32"/>
  <c r="AD13" i="32"/>
  <c r="U21" i="32"/>
  <c r="R13" i="32"/>
  <c r="AZ14" i="32"/>
  <c r="AU21" i="32"/>
  <c r="AI21" i="32"/>
  <c r="W21" i="32"/>
  <c r="K21" i="32"/>
  <c r="AC13" i="32"/>
  <c r="AU31" i="32"/>
  <c r="AR21" i="32"/>
  <c r="Q31" i="32"/>
  <c r="Z21" i="32"/>
  <c r="AR28" i="32"/>
  <c r="T28" i="32"/>
  <c r="AC21" i="32"/>
  <c r="E21" i="32"/>
  <c r="K13" i="32"/>
  <c r="AH31" i="32"/>
  <c r="AQ30" i="32"/>
  <c r="Y28" i="32"/>
  <c r="AT27" i="32"/>
  <c r="V27" i="32"/>
  <c r="I30" i="32"/>
  <c r="AY14" i="32"/>
  <c r="AS13" i="32"/>
  <c r="AG13" i="32"/>
  <c r="U13" i="32"/>
  <c r="I13" i="32"/>
  <c r="AS30" i="32"/>
  <c r="E30" i="32"/>
  <c r="Q28" i="32"/>
  <c r="AQ27" i="32"/>
  <c r="AZ13" i="32"/>
  <c r="AR13" i="32"/>
  <c r="AF13" i="32"/>
  <c r="T13" i="32"/>
  <c r="H13" i="32"/>
  <c r="P30" i="32"/>
  <c r="AE31" i="32"/>
  <c r="I28" i="32"/>
  <c r="AZ2" i="32"/>
  <c r="AX13" i="32"/>
  <c r="AL13" i="32"/>
  <c r="Z13" i="32"/>
  <c r="N13" i="32"/>
  <c r="Y31" i="32"/>
  <c r="AH30" i="32"/>
  <c r="P13" i="32"/>
  <c r="AK13" i="32"/>
  <c r="Y13" i="32"/>
  <c r="M13" i="32"/>
  <c r="AM21" i="32"/>
  <c r="O21" i="32"/>
  <c r="AP21" i="32"/>
  <c r="R21" i="32"/>
  <c r="F21" i="32"/>
  <c r="AJ13" i="32"/>
  <c r="X13" i="32"/>
  <c r="W31" i="32"/>
  <c r="K31" i="32"/>
  <c r="AR30" i="32"/>
  <c r="AF30" i="32"/>
  <c r="T30" i="32"/>
  <c r="H30" i="32"/>
  <c r="AX2" i="32"/>
  <c r="AL28" i="32"/>
  <c r="Z28" i="32"/>
  <c r="N28" i="32"/>
  <c r="AZ3" i="32"/>
  <c r="AI27" i="32"/>
  <c r="W27" i="32"/>
  <c r="K27" i="32"/>
  <c r="AA21" i="32"/>
  <c r="C21" i="32"/>
  <c r="AD21" i="32"/>
  <c r="L13" i="32"/>
  <c r="AO31" i="32"/>
  <c r="AC31" i="32"/>
  <c r="AL21" i="32"/>
  <c r="N21" i="32"/>
  <c r="AF28" i="32"/>
  <c r="AO21" i="32"/>
  <c r="AX14" i="32"/>
  <c r="AI13" i="32"/>
  <c r="V31" i="32"/>
  <c r="AE30" i="32"/>
  <c r="G30" i="32"/>
  <c r="AK28" i="32"/>
  <c r="AH27" i="32"/>
  <c r="J27" i="32"/>
  <c r="R25" i="32"/>
  <c r="AI31" i="32"/>
  <c r="E31" i="32"/>
  <c r="H28" i="32"/>
  <c r="AU13" i="32"/>
  <c r="W13" i="32"/>
  <c r="AT31" i="32"/>
  <c r="J31" i="32"/>
  <c r="S30" i="32"/>
  <c r="M28" i="32"/>
  <c r="AB30" i="32"/>
  <c r="U28" i="32"/>
  <c r="G27" i="32"/>
  <c r="AQ21" i="32"/>
  <c r="AN31" i="32"/>
  <c r="AB31" i="32"/>
  <c r="P31" i="32"/>
  <c r="D31" i="32"/>
  <c r="AK21" i="32"/>
  <c r="Y21" i="32"/>
  <c r="M21" i="32"/>
  <c r="AQ28" i="32"/>
  <c r="AE28" i="32"/>
  <c r="S28" i="32"/>
  <c r="G28" i="32"/>
  <c r="AN21" i="32"/>
  <c r="AB21" i="32"/>
  <c r="P21" i="32"/>
  <c r="D21" i="32"/>
  <c r="AT13" i="32"/>
  <c r="AH13" i="32"/>
  <c r="V13" i="32"/>
  <c r="J13" i="32"/>
  <c r="AP10" i="32"/>
  <c r="AD10" i="32"/>
  <c r="R10" i="32"/>
  <c r="F10" i="32"/>
  <c r="AY2" i="32"/>
  <c r="L28" i="32"/>
  <c r="U27" i="32"/>
  <c r="AN25" i="32"/>
  <c r="AB25" i="32"/>
  <c r="P25" i="32"/>
  <c r="D25" i="32"/>
  <c r="AA2" i="32"/>
  <c r="O2" i="32"/>
  <c r="O44" i="32" s="1"/>
  <c r="C2" i="32"/>
  <c r="C40" i="32" s="1"/>
  <c r="AQ31" i="32"/>
  <c r="G31" i="32"/>
  <c r="AM13" i="32"/>
  <c r="AA13" i="32"/>
  <c r="O13" i="32"/>
  <c r="C13" i="32"/>
  <c r="N2" i="32"/>
  <c r="I2" i="32"/>
  <c r="I42" i="32" s="1"/>
  <c r="AJ10" i="32"/>
  <c r="X10" i="32"/>
  <c r="L10" i="32"/>
  <c r="H2" i="32"/>
  <c r="H50" i="32" s="1"/>
  <c r="G2" i="32"/>
  <c r="G41" i="32" s="1"/>
  <c r="F2" i="32"/>
  <c r="F41" i="32" s="1"/>
  <c r="E2" i="32"/>
  <c r="E54" i="32" s="1"/>
  <c r="P2" i="32"/>
  <c r="P55" i="32" s="1"/>
  <c r="D2" i="32"/>
  <c r="D42" i="32" s="1"/>
  <c r="AO13" i="32"/>
  <c r="J2" i="32"/>
  <c r="J40" i="32" s="1"/>
  <c r="AL30" i="32"/>
  <c r="Z30" i="32"/>
  <c r="N30" i="32"/>
  <c r="AO27" i="32"/>
  <c r="AC27" i="32"/>
  <c r="Q27" i="32"/>
  <c r="E27" i="32"/>
  <c r="AU25" i="32"/>
  <c r="W25" i="32"/>
  <c r="K25" i="32"/>
  <c r="AB13" i="32"/>
  <c r="D13" i="32"/>
  <c r="AK30" i="32"/>
  <c r="Y30" i="32"/>
  <c r="M30" i="32"/>
  <c r="AN27" i="32"/>
  <c r="AB27" i="32"/>
  <c r="P27" i="32"/>
  <c r="D27" i="32"/>
  <c r="AT25" i="32"/>
  <c r="AH25" i="32"/>
  <c r="Q21" i="32"/>
  <c r="AU10" i="32"/>
  <c r="AZ4" i="32" s="1"/>
  <c r="AI10" i="32"/>
  <c r="W10" i="32"/>
  <c r="K10" i="32"/>
  <c r="Q13" i="32"/>
  <c r="AN13" i="32"/>
  <c r="AY13" i="32"/>
  <c r="AT10" i="32"/>
  <c r="AH10" i="32"/>
  <c r="V10" i="32"/>
  <c r="J10" i="32"/>
  <c r="E13" i="32"/>
  <c r="AR10" i="32"/>
  <c r="AF10" i="32"/>
  <c r="T10" i="32"/>
  <c r="H10" i="32"/>
  <c r="AQ10" i="32"/>
  <c r="AE10" i="32"/>
  <c r="S10" i="32"/>
  <c r="G10" i="32"/>
  <c r="AU27" i="32"/>
  <c r="AC25" i="32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AN2" i="32" l="1"/>
  <c r="AN40" i="32" s="1"/>
  <c r="AB2" i="32"/>
  <c r="AB50" i="32" s="1"/>
  <c r="AZ7" i="32"/>
  <c r="AZ8" i="32"/>
  <c r="AE2" i="32"/>
  <c r="AE40" i="32" s="1"/>
  <c r="AL2" i="32"/>
  <c r="AL39" i="32" s="1"/>
  <c r="AT2" i="32"/>
  <c r="AT50" i="32" s="1"/>
  <c r="AM2" i="32"/>
  <c r="AM50" i="32" s="1"/>
  <c r="T2" i="32"/>
  <c r="T50" i="32" s="1"/>
  <c r="AO2" i="32"/>
  <c r="AO43" i="32" s="1"/>
  <c r="AJ2" i="32"/>
  <c r="AJ51" i="32" s="1"/>
  <c r="AK2" i="32"/>
  <c r="AK41" i="32" s="1"/>
  <c r="AS2" i="32"/>
  <c r="AS54" i="32" s="1"/>
  <c r="W2" i="32"/>
  <c r="W41" i="32" s="1"/>
  <c r="AH2" i="32"/>
  <c r="AH43" i="32" s="1"/>
  <c r="Z2" i="32"/>
  <c r="Z43" i="32" s="1"/>
  <c r="AI2" i="32"/>
  <c r="AI24" i="32" s="1"/>
  <c r="AF2" i="32"/>
  <c r="AF54" i="32" s="1"/>
  <c r="AR2" i="32"/>
  <c r="AR53" i="32" s="1"/>
  <c r="AC2" i="32"/>
  <c r="AC52" i="32" s="1"/>
  <c r="Y2" i="32"/>
  <c r="Y43" i="32" s="1"/>
  <c r="AG2" i="32"/>
  <c r="AG50" i="32" s="1"/>
  <c r="V2" i="32"/>
  <c r="V54" i="32" s="1"/>
  <c r="X2" i="32"/>
  <c r="X39" i="32" s="1"/>
  <c r="S2" i="32"/>
  <c r="S41" i="32" s="1"/>
  <c r="AQ2" i="32"/>
  <c r="AQ40" i="32" s="1"/>
  <c r="AP2" i="32"/>
  <c r="AP53" i="32" s="1"/>
  <c r="AD2" i="32"/>
  <c r="AD41" i="32" s="1"/>
  <c r="AX4" i="32"/>
  <c r="U2" i="32"/>
  <c r="U50" i="32" s="1"/>
  <c r="R2" i="32"/>
  <c r="R41" i="32" s="1"/>
  <c r="Q2" i="32"/>
  <c r="AX8" i="32" s="1"/>
  <c r="R26" i="32"/>
  <c r="AA42" i="32"/>
  <c r="AY9" i="32"/>
  <c r="AY8" i="32"/>
  <c r="AU44" i="32"/>
  <c r="AZ9" i="32"/>
  <c r="AY7" i="32"/>
  <c r="F26" i="32"/>
  <c r="AD26" i="32"/>
  <c r="C29" i="32"/>
  <c r="AG26" i="32"/>
  <c r="AS26" i="32"/>
  <c r="C32" i="32"/>
  <c r="K32" i="32"/>
  <c r="K29" i="32"/>
  <c r="O29" i="32"/>
  <c r="W26" i="32"/>
  <c r="AM29" i="32"/>
  <c r="F29" i="32"/>
  <c r="R29" i="32"/>
  <c r="AD29" i="32"/>
  <c r="AP32" i="32"/>
  <c r="AM32" i="32"/>
  <c r="AA29" i="32"/>
  <c r="AP26" i="32"/>
  <c r="F32" i="32"/>
  <c r="V29" i="32"/>
  <c r="H29" i="32"/>
  <c r="AK26" i="32"/>
  <c r="AU24" i="32"/>
  <c r="L41" i="32"/>
  <c r="K39" i="32"/>
  <c r="J26" i="32"/>
  <c r="AC29" i="32"/>
  <c r="AO29" i="32"/>
  <c r="R32" i="32"/>
  <c r="K45" i="32"/>
  <c r="AI29" i="32"/>
  <c r="AH26" i="32"/>
  <c r="AL26" i="32"/>
  <c r="Q29" i="32"/>
  <c r="D29" i="32"/>
  <c r="AN29" i="32"/>
  <c r="AT26" i="32"/>
  <c r="K42" i="32"/>
  <c r="E24" i="32"/>
  <c r="U29" i="32"/>
  <c r="K40" i="32"/>
  <c r="AF26" i="32"/>
  <c r="V26" i="32"/>
  <c r="AR32" i="32"/>
  <c r="N24" i="32"/>
  <c r="T29" i="32"/>
  <c r="AD32" i="32"/>
  <c r="L55" i="32"/>
  <c r="H26" i="32"/>
  <c r="AE26" i="32"/>
  <c r="AP29" i="32"/>
  <c r="Z26" i="32"/>
  <c r="AR26" i="32"/>
  <c r="S29" i="32"/>
  <c r="AJ26" i="32"/>
  <c r="H45" i="32"/>
  <c r="AF29" i="32"/>
  <c r="O26" i="32"/>
  <c r="G32" i="32"/>
  <c r="N26" i="32"/>
  <c r="W29" i="32"/>
  <c r="I26" i="32"/>
  <c r="AU29" i="32"/>
  <c r="AI32" i="32"/>
  <c r="AH29" i="32"/>
  <c r="S26" i="32"/>
  <c r="D51" i="32"/>
  <c r="P51" i="32"/>
  <c r="AT29" i="32"/>
  <c r="AH32" i="32"/>
  <c r="P29" i="32"/>
  <c r="T26" i="32"/>
  <c r="AJ29" i="32"/>
  <c r="AQ32" i="32"/>
  <c r="AF32" i="32"/>
  <c r="D56" i="32"/>
  <c r="AQ26" i="32"/>
  <c r="E50" i="32"/>
  <c r="K41" i="32"/>
  <c r="K55" i="32"/>
  <c r="M26" i="32"/>
  <c r="J56" i="32"/>
  <c r="J32" i="32"/>
  <c r="AA26" i="32"/>
  <c r="P50" i="32"/>
  <c r="K52" i="32"/>
  <c r="K43" i="32"/>
  <c r="K65" i="32" s="1"/>
  <c r="K50" i="32"/>
  <c r="G29" i="32"/>
  <c r="L24" i="32"/>
  <c r="K24" i="32"/>
  <c r="L43" i="32"/>
  <c r="K53" i="32"/>
  <c r="K56" i="32"/>
  <c r="K44" i="32"/>
  <c r="G26" i="32"/>
  <c r="AE29" i="32"/>
  <c r="K51" i="32"/>
  <c r="F55" i="32"/>
  <c r="P24" i="32"/>
  <c r="AU41" i="32"/>
  <c r="AU54" i="32"/>
  <c r="J42" i="32"/>
  <c r="AU42" i="32"/>
  <c r="AU55" i="32"/>
  <c r="AX55" i="32" s="1"/>
  <c r="W32" i="32"/>
  <c r="I44" i="32"/>
  <c r="M54" i="32"/>
  <c r="AU40" i="32"/>
  <c r="E44" i="32"/>
  <c r="M56" i="32"/>
  <c r="M53" i="32"/>
  <c r="E29" i="32"/>
  <c r="AU50" i="32"/>
  <c r="C54" i="32"/>
  <c r="M51" i="32"/>
  <c r="AU39" i="32"/>
  <c r="AI26" i="32"/>
  <c r="AU52" i="32"/>
  <c r="D52" i="32"/>
  <c r="AU43" i="32"/>
  <c r="D45" i="32"/>
  <c r="P44" i="32"/>
  <c r="C50" i="32"/>
  <c r="AU51" i="32"/>
  <c r="AE32" i="32"/>
  <c r="AB29" i="32"/>
  <c r="AU53" i="32"/>
  <c r="I43" i="32"/>
  <c r="AJ32" i="32"/>
  <c r="P40" i="32"/>
  <c r="C52" i="32"/>
  <c r="K26" i="32"/>
  <c r="C24" i="32"/>
  <c r="V32" i="32"/>
  <c r="AR29" i="32"/>
  <c r="C42" i="32"/>
  <c r="M41" i="32"/>
  <c r="E55" i="32"/>
  <c r="P42" i="32"/>
  <c r="F51" i="32"/>
  <c r="E51" i="32"/>
  <c r="F56" i="32"/>
  <c r="O32" i="32"/>
  <c r="E56" i="32"/>
  <c r="L29" i="32"/>
  <c r="E53" i="32"/>
  <c r="F53" i="32"/>
  <c r="M50" i="32"/>
  <c r="D50" i="32"/>
  <c r="AA32" i="32"/>
  <c r="AY4" i="32"/>
  <c r="AA45" i="32"/>
  <c r="H41" i="32"/>
  <c r="H39" i="32"/>
  <c r="H61" i="32" s="1"/>
  <c r="N41" i="32"/>
  <c r="D54" i="32"/>
  <c r="H42" i="32"/>
  <c r="D40" i="32"/>
  <c r="L26" i="32"/>
  <c r="L32" i="32"/>
  <c r="N39" i="32"/>
  <c r="D53" i="32"/>
  <c r="AA40" i="32"/>
  <c r="AU45" i="32"/>
  <c r="S32" i="32"/>
  <c r="P43" i="32"/>
  <c r="P39" i="32"/>
  <c r="P41" i="32"/>
  <c r="I40" i="32"/>
  <c r="P56" i="32"/>
  <c r="P54" i="32"/>
  <c r="E39" i="32"/>
  <c r="N42" i="32"/>
  <c r="J29" i="32"/>
  <c r="P52" i="32"/>
  <c r="AA41" i="32"/>
  <c r="N44" i="32"/>
  <c r="P45" i="32"/>
  <c r="P53" i="32"/>
  <c r="J50" i="32"/>
  <c r="AX15" i="32"/>
  <c r="AT32" i="32"/>
  <c r="U26" i="32"/>
  <c r="U32" i="32"/>
  <c r="J53" i="32"/>
  <c r="H52" i="32"/>
  <c r="N54" i="32"/>
  <c r="I52" i="32"/>
  <c r="L52" i="32"/>
  <c r="L42" i="32"/>
  <c r="L64" i="32" s="1"/>
  <c r="L54" i="32"/>
  <c r="L50" i="32"/>
  <c r="L48" i="32" s="1"/>
  <c r="L40" i="32"/>
  <c r="L44" i="32"/>
  <c r="AM26" i="32"/>
  <c r="O42" i="32"/>
  <c r="G43" i="32"/>
  <c r="J45" i="32"/>
  <c r="H32" i="32"/>
  <c r="L45" i="32"/>
  <c r="F43" i="32"/>
  <c r="N56" i="32"/>
  <c r="C56" i="32"/>
  <c r="I45" i="32"/>
  <c r="G51" i="32"/>
  <c r="H51" i="32"/>
  <c r="X26" i="32"/>
  <c r="X32" i="32"/>
  <c r="F42" i="32"/>
  <c r="M45" i="32"/>
  <c r="I54" i="32"/>
  <c r="E45" i="32"/>
  <c r="G50" i="32"/>
  <c r="AA53" i="32"/>
  <c r="AA43" i="32"/>
  <c r="AA39" i="32"/>
  <c r="AA51" i="32"/>
  <c r="AA55" i="32"/>
  <c r="AW55" i="32" s="1"/>
  <c r="AA52" i="32"/>
  <c r="AA24" i="32"/>
  <c r="D43" i="32"/>
  <c r="D39" i="32"/>
  <c r="D41" i="32"/>
  <c r="D55" i="32"/>
  <c r="D24" i="32"/>
  <c r="F24" i="32"/>
  <c r="E52" i="32"/>
  <c r="E41" i="32"/>
  <c r="F45" i="32"/>
  <c r="AA54" i="32"/>
  <c r="G55" i="32"/>
  <c r="E43" i="32"/>
  <c r="E65" i="32" s="1"/>
  <c r="H54" i="32"/>
  <c r="G53" i="32"/>
  <c r="M43" i="32"/>
  <c r="E40" i="32"/>
  <c r="G54" i="32"/>
  <c r="X29" i="32"/>
  <c r="J24" i="32"/>
  <c r="J41" i="32"/>
  <c r="J43" i="32"/>
  <c r="J39" i="32"/>
  <c r="G24" i="32"/>
  <c r="T32" i="32"/>
  <c r="AY15" i="32"/>
  <c r="AA56" i="32"/>
  <c r="J52" i="32"/>
  <c r="H40" i="32"/>
  <c r="G56" i="32"/>
  <c r="C44" i="32"/>
  <c r="J51" i="32"/>
  <c r="J62" i="32" s="1"/>
  <c r="H56" i="32"/>
  <c r="J54" i="32"/>
  <c r="G45" i="32"/>
  <c r="I24" i="32"/>
  <c r="I55" i="32"/>
  <c r="I51" i="32"/>
  <c r="I41" i="32"/>
  <c r="I39" i="32"/>
  <c r="I53" i="32"/>
  <c r="I64" i="32" s="1"/>
  <c r="I50" i="32"/>
  <c r="G52" i="32"/>
  <c r="G63" i="32" s="1"/>
  <c r="E42" i="32"/>
  <c r="I29" i="32"/>
  <c r="I32" i="32"/>
  <c r="AQ29" i="32"/>
  <c r="O52" i="32"/>
  <c r="M24" i="32"/>
  <c r="M42" i="32"/>
  <c r="M40" i="32"/>
  <c r="M44" i="32"/>
  <c r="M66" i="32" s="1"/>
  <c r="J55" i="32"/>
  <c r="AA44" i="32"/>
  <c r="O45" i="32"/>
  <c r="N55" i="32"/>
  <c r="N51" i="32"/>
  <c r="N40" i="32"/>
  <c r="F54" i="32"/>
  <c r="F50" i="32"/>
  <c r="F44" i="32"/>
  <c r="F40" i="32"/>
  <c r="F52" i="32"/>
  <c r="F63" i="32" s="1"/>
  <c r="H43" i="32"/>
  <c r="J44" i="32"/>
  <c r="O54" i="32"/>
  <c r="H55" i="32"/>
  <c r="G39" i="32"/>
  <c r="AZ15" i="32"/>
  <c r="AU56" i="32"/>
  <c r="I56" i="32"/>
  <c r="H53" i="32"/>
  <c r="H48" i="32" s="1"/>
  <c r="N45" i="32"/>
  <c r="N43" i="32"/>
  <c r="L39" i="32"/>
  <c r="O53" i="32"/>
  <c r="O43" i="32"/>
  <c r="O39" i="32"/>
  <c r="O55" i="32"/>
  <c r="O66" i="32" s="1"/>
  <c r="O51" i="32"/>
  <c r="O41" i="32"/>
  <c r="O50" i="32"/>
  <c r="O56" i="32"/>
  <c r="H44" i="32"/>
  <c r="M39" i="32"/>
  <c r="D44" i="32"/>
  <c r="L51" i="32"/>
  <c r="C45" i="32"/>
  <c r="G40" i="32"/>
  <c r="G42" i="32"/>
  <c r="G44" i="32"/>
  <c r="AS29" i="32"/>
  <c r="AS32" i="32"/>
  <c r="N50" i="32"/>
  <c r="N52" i="32"/>
  <c r="AG29" i="32"/>
  <c r="AG32" i="32"/>
  <c r="O24" i="32"/>
  <c r="H24" i="32"/>
  <c r="N53" i="32"/>
  <c r="O40" i="32"/>
  <c r="C53" i="32"/>
  <c r="C43" i="32"/>
  <c r="C39" i="32"/>
  <c r="C55" i="32"/>
  <c r="C51" i="32"/>
  <c r="C62" i="32" s="1"/>
  <c r="C41" i="32"/>
  <c r="F39" i="32"/>
  <c r="AA50" i="32"/>
  <c r="Y26" i="32"/>
  <c r="M52" i="32"/>
  <c r="L56" i="32"/>
  <c r="C26" i="32"/>
  <c r="AO32" i="32"/>
  <c r="AO26" i="32"/>
  <c r="N32" i="32"/>
  <c r="N29" i="32"/>
  <c r="AL32" i="32"/>
  <c r="AL29" i="32"/>
  <c r="D26" i="32"/>
  <c r="D32" i="32"/>
  <c r="P26" i="32"/>
  <c r="P32" i="32"/>
  <c r="AB32" i="32"/>
  <c r="AB26" i="32"/>
  <c r="AN32" i="32"/>
  <c r="AN26" i="32"/>
  <c r="M32" i="32"/>
  <c r="M29" i="32"/>
  <c r="Y32" i="32"/>
  <c r="Y29" i="32"/>
  <c r="Z32" i="32"/>
  <c r="Z29" i="32"/>
  <c r="AU26" i="32"/>
  <c r="AU32" i="32"/>
  <c r="AK32" i="32"/>
  <c r="AK29" i="32"/>
  <c r="E32" i="32"/>
  <c r="E26" i="32"/>
  <c r="Q32" i="32"/>
  <c r="Q26" i="32"/>
  <c r="AC32" i="32"/>
  <c r="AC26" i="32"/>
  <c r="Q120" i="16"/>
  <c r="P120" i="16"/>
  <c r="Q107" i="16"/>
  <c r="O107" i="16"/>
  <c r="Q94" i="16"/>
  <c r="Q81" i="16"/>
  <c r="P81" i="16"/>
  <c r="O81" i="16"/>
  <c r="Q68" i="16"/>
  <c r="O68" i="16"/>
  <c r="Q29" i="16"/>
  <c r="Q16" i="16"/>
  <c r="O16" i="16"/>
  <c r="F128" i="16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N39" i="32" l="1"/>
  <c r="AN43" i="32"/>
  <c r="AN42" i="32"/>
  <c r="AN44" i="32"/>
  <c r="AN52" i="32"/>
  <c r="AN54" i="32"/>
  <c r="AN24" i="32"/>
  <c r="AN41" i="32"/>
  <c r="AN55" i="32"/>
  <c r="AN56" i="32"/>
  <c r="AN53" i="32"/>
  <c r="AN45" i="32"/>
  <c r="AN50" i="32"/>
  <c r="AN61" i="32" s="1"/>
  <c r="AN51" i="32"/>
  <c r="AN62" i="32" s="1"/>
  <c r="AE39" i="32"/>
  <c r="AI52" i="32"/>
  <c r="AB24" i="32"/>
  <c r="AB52" i="32"/>
  <c r="AE50" i="32"/>
  <c r="AE43" i="32"/>
  <c r="AE42" i="32"/>
  <c r="AE53" i="32"/>
  <c r="AB40" i="32"/>
  <c r="AL55" i="32"/>
  <c r="AE55" i="32"/>
  <c r="T42" i="32"/>
  <c r="T51" i="32"/>
  <c r="AL50" i="32"/>
  <c r="AL61" i="32" s="1"/>
  <c r="AT45" i="32"/>
  <c r="AE24" i="32"/>
  <c r="AB54" i="32"/>
  <c r="T40" i="32"/>
  <c r="AB45" i="32"/>
  <c r="AL45" i="32"/>
  <c r="AB42" i="32"/>
  <c r="AB44" i="32"/>
  <c r="AB53" i="32"/>
  <c r="AB48" i="32" s="1"/>
  <c r="AB55" i="32"/>
  <c r="AB41" i="32"/>
  <c r="Y42" i="32"/>
  <c r="AB39" i="32"/>
  <c r="AB61" i="32" s="1"/>
  <c r="AB56" i="32"/>
  <c r="AB51" i="32"/>
  <c r="Y24" i="32"/>
  <c r="T52" i="32"/>
  <c r="AB43" i="32"/>
  <c r="AE44" i="32"/>
  <c r="AE54" i="32"/>
  <c r="AE41" i="32"/>
  <c r="AE51" i="32"/>
  <c r="AE62" i="32" s="1"/>
  <c r="AK45" i="32"/>
  <c r="AM42" i="32"/>
  <c r="AT44" i="32"/>
  <c r="AM55" i="32"/>
  <c r="AR56" i="32"/>
  <c r="AE52" i="32"/>
  <c r="AE45" i="32"/>
  <c r="AM39" i="32"/>
  <c r="AM61" i="32" s="1"/>
  <c r="AM53" i="32"/>
  <c r="AM48" i="32" s="1"/>
  <c r="AT40" i="32"/>
  <c r="AR54" i="32"/>
  <c r="AT39" i="32"/>
  <c r="AR50" i="32"/>
  <c r="AR48" i="32" s="1"/>
  <c r="AI53" i="32"/>
  <c r="AL44" i="32"/>
  <c r="AT43" i="32"/>
  <c r="AT54" i="32"/>
  <c r="AC55" i="32"/>
  <c r="AL54" i="32"/>
  <c r="AT53" i="32"/>
  <c r="AT48" i="32" s="1"/>
  <c r="AE56" i="32"/>
  <c r="AO56" i="32"/>
  <c r="T55" i="32"/>
  <c r="AL41" i="32"/>
  <c r="AO42" i="32"/>
  <c r="AO45" i="32"/>
  <c r="AG41" i="32"/>
  <c r="T54" i="32"/>
  <c r="Y39" i="32"/>
  <c r="AL24" i="32"/>
  <c r="AJ42" i="32"/>
  <c r="Q54" i="32"/>
  <c r="AT56" i="32"/>
  <c r="AT42" i="32"/>
  <c r="T56" i="32"/>
  <c r="AT55" i="32"/>
  <c r="AT52" i="32"/>
  <c r="AL43" i="32"/>
  <c r="AT41" i="32"/>
  <c r="T53" i="32"/>
  <c r="T48" i="32" s="1"/>
  <c r="AT24" i="32"/>
  <c r="Q43" i="32"/>
  <c r="AM44" i="32"/>
  <c r="AL40" i="32"/>
  <c r="AO50" i="32"/>
  <c r="AL56" i="32"/>
  <c r="AO54" i="32"/>
  <c r="AO65" i="32" s="1"/>
  <c r="AO53" i="32"/>
  <c r="AO41" i="32"/>
  <c r="AO44" i="32"/>
  <c r="AL53" i="32"/>
  <c r="AO40" i="32"/>
  <c r="T45" i="32"/>
  <c r="AO52" i="32"/>
  <c r="AO39" i="32"/>
  <c r="AL42" i="32"/>
  <c r="AL37" i="32" s="1"/>
  <c r="AO51" i="32"/>
  <c r="AG51" i="32"/>
  <c r="AL51" i="32"/>
  <c r="AL52" i="32"/>
  <c r="AM40" i="32"/>
  <c r="AM45" i="32"/>
  <c r="AM41" i="32"/>
  <c r="AC24" i="32"/>
  <c r="AM54" i="32"/>
  <c r="Q51" i="32"/>
  <c r="AC54" i="32"/>
  <c r="AC56" i="32"/>
  <c r="AM52" i="32"/>
  <c r="AM56" i="32"/>
  <c r="AK50" i="32"/>
  <c r="AC40" i="32"/>
  <c r="Q40" i="32"/>
  <c r="Q56" i="32"/>
  <c r="AS53" i="32"/>
  <c r="AK53" i="32"/>
  <c r="AS39" i="32"/>
  <c r="X40" i="32"/>
  <c r="AS45" i="32"/>
  <c r="AT51" i="32"/>
  <c r="AJ24" i="32"/>
  <c r="AJ52" i="32"/>
  <c r="T24" i="32"/>
  <c r="AJ41" i="32"/>
  <c r="AK40" i="32"/>
  <c r="AK51" i="32"/>
  <c r="AK44" i="32"/>
  <c r="AK42" i="32"/>
  <c r="AK43" i="32"/>
  <c r="Y53" i="32"/>
  <c r="AK24" i="32"/>
  <c r="AK55" i="32"/>
  <c r="AJ56" i="32"/>
  <c r="AG39" i="32"/>
  <c r="AG61" i="32" s="1"/>
  <c r="AJ53" i="32"/>
  <c r="Q39" i="32"/>
  <c r="AM43" i="32"/>
  <c r="AJ45" i="32"/>
  <c r="Y56" i="32"/>
  <c r="AJ55" i="32"/>
  <c r="AM24" i="32"/>
  <c r="AJ54" i="32"/>
  <c r="AG40" i="32"/>
  <c r="AJ39" i="32"/>
  <c r="AI40" i="32"/>
  <c r="AJ50" i="32"/>
  <c r="AJ43" i="32"/>
  <c r="AJ44" i="32"/>
  <c r="Y55" i="32"/>
  <c r="Y54" i="32"/>
  <c r="Y65" i="32" s="1"/>
  <c r="T44" i="32"/>
  <c r="Y40" i="32"/>
  <c r="AO55" i="32"/>
  <c r="AJ40" i="32"/>
  <c r="AJ62" i="32" s="1"/>
  <c r="AC53" i="32"/>
  <c r="AS52" i="32"/>
  <c r="T41" i="32"/>
  <c r="AM51" i="32"/>
  <c r="AS43" i="32"/>
  <c r="AS65" i="32" s="1"/>
  <c r="X53" i="32"/>
  <c r="AF44" i="32"/>
  <c r="AI43" i="32"/>
  <c r="AF53" i="32"/>
  <c r="U44" i="32"/>
  <c r="AI42" i="32"/>
  <c r="AI44" i="32"/>
  <c r="AP40" i="32"/>
  <c r="AF43" i="32"/>
  <c r="AF65" i="32" s="1"/>
  <c r="U24" i="32"/>
  <c r="AI45" i="32"/>
  <c r="AF56" i="32"/>
  <c r="AF45" i="32"/>
  <c r="AI55" i="32"/>
  <c r="AP51" i="32"/>
  <c r="AQ53" i="32"/>
  <c r="W40" i="32"/>
  <c r="U52" i="32"/>
  <c r="AI54" i="32"/>
  <c r="AI39" i="32"/>
  <c r="AI51" i="32"/>
  <c r="AI56" i="32"/>
  <c r="AH24" i="32"/>
  <c r="AF42" i="32"/>
  <c r="U53" i="32"/>
  <c r="U48" i="32" s="1"/>
  <c r="AI50" i="32"/>
  <c r="Z56" i="32"/>
  <c r="AH39" i="32"/>
  <c r="W43" i="32"/>
  <c r="Q44" i="32"/>
  <c r="AP24" i="32"/>
  <c r="Z40" i="32"/>
  <c r="AH45" i="32"/>
  <c r="AH40" i="32"/>
  <c r="AH50" i="32"/>
  <c r="AS55" i="32"/>
  <c r="Z45" i="32"/>
  <c r="Z41" i="32"/>
  <c r="T39" i="32"/>
  <c r="T61" i="32" s="1"/>
  <c r="AH41" i="32"/>
  <c r="T43" i="32"/>
  <c r="AR24" i="32"/>
  <c r="AP55" i="32"/>
  <c r="AK54" i="32"/>
  <c r="AO24" i="32"/>
  <c r="AP42" i="32"/>
  <c r="AP64" i="32" s="1"/>
  <c r="AH54" i="32"/>
  <c r="AH65" i="32" s="1"/>
  <c r="AH51" i="32"/>
  <c r="AS41" i="32"/>
  <c r="AH55" i="32"/>
  <c r="R52" i="32"/>
  <c r="R63" i="32" s="1"/>
  <c r="AS51" i="32"/>
  <c r="R40" i="32"/>
  <c r="AH52" i="32"/>
  <c r="R24" i="32"/>
  <c r="AS56" i="32"/>
  <c r="Z51" i="32"/>
  <c r="Z54" i="32"/>
  <c r="Z65" i="32" s="1"/>
  <c r="Z44" i="32"/>
  <c r="AP54" i="32"/>
  <c r="AQ54" i="32"/>
  <c r="AP43" i="32"/>
  <c r="AS24" i="32"/>
  <c r="R50" i="32"/>
  <c r="AR52" i="32"/>
  <c r="R53" i="32"/>
  <c r="W56" i="32"/>
  <c r="R39" i="32"/>
  <c r="Z53" i="32"/>
  <c r="AR40" i="32"/>
  <c r="AD54" i="32"/>
  <c r="AR42" i="32"/>
  <c r="AR64" i="32" s="1"/>
  <c r="Z52" i="32"/>
  <c r="AR41" i="32"/>
  <c r="Z42" i="32"/>
  <c r="Z39" i="32"/>
  <c r="AD45" i="32"/>
  <c r="AH44" i="32"/>
  <c r="AP56" i="32"/>
  <c r="AP50" i="32"/>
  <c r="AP48" i="32" s="1"/>
  <c r="W53" i="32"/>
  <c r="AH42" i="32"/>
  <c r="AS42" i="32"/>
  <c r="AP41" i="32"/>
  <c r="AP39" i="32"/>
  <c r="AQ43" i="32"/>
  <c r="AK56" i="32"/>
  <c r="U43" i="32"/>
  <c r="Z24" i="32"/>
  <c r="AH56" i="32"/>
  <c r="AP52" i="32"/>
  <c r="AF50" i="32"/>
  <c r="AS50" i="32"/>
  <c r="W42" i="32"/>
  <c r="AS44" i="32"/>
  <c r="AK39" i="32"/>
  <c r="W50" i="32"/>
  <c r="AS40" i="32"/>
  <c r="AQ52" i="32"/>
  <c r="AG54" i="32"/>
  <c r="AG43" i="32"/>
  <c r="AQ51" i="32"/>
  <c r="AQ62" i="32" s="1"/>
  <c r="W54" i="32"/>
  <c r="AQ24" i="32"/>
  <c r="AC42" i="32"/>
  <c r="U55" i="32"/>
  <c r="Z50" i="32"/>
  <c r="AH53" i="32"/>
  <c r="AK52" i="32"/>
  <c r="AK63" i="32" s="1"/>
  <c r="U56" i="32"/>
  <c r="AP44" i="32"/>
  <c r="AC41" i="32"/>
  <c r="AC63" i="32" s="1"/>
  <c r="AI41" i="32"/>
  <c r="W45" i="32"/>
  <c r="W44" i="32"/>
  <c r="Z55" i="32"/>
  <c r="AF51" i="32"/>
  <c r="AX40" i="32"/>
  <c r="AQ41" i="32"/>
  <c r="W51" i="32"/>
  <c r="W39" i="32"/>
  <c r="AQ45" i="32"/>
  <c r="W52" i="32"/>
  <c r="W63" i="32" s="1"/>
  <c r="W55" i="32"/>
  <c r="AQ42" i="32"/>
  <c r="W24" i="32"/>
  <c r="AG44" i="32"/>
  <c r="S44" i="32"/>
  <c r="X45" i="32"/>
  <c r="Y50" i="32"/>
  <c r="S42" i="32"/>
  <c r="S50" i="32"/>
  <c r="X51" i="32"/>
  <c r="U41" i="32"/>
  <c r="V50" i="32"/>
  <c r="AR39" i="32"/>
  <c r="AF41" i="32"/>
  <c r="Q24" i="32"/>
  <c r="Y44" i="32"/>
  <c r="AG24" i="32"/>
  <c r="V55" i="32"/>
  <c r="U51" i="32"/>
  <c r="AD55" i="32"/>
  <c r="U54" i="32"/>
  <c r="V45" i="32"/>
  <c r="AF40" i="32"/>
  <c r="S55" i="32"/>
  <c r="S51" i="32"/>
  <c r="S56" i="32"/>
  <c r="AP45" i="32"/>
  <c r="X50" i="32"/>
  <c r="X61" i="32" s="1"/>
  <c r="X54" i="32"/>
  <c r="S54" i="32"/>
  <c r="X42" i="32"/>
  <c r="X37" i="32" s="1"/>
  <c r="S52" i="32"/>
  <c r="S63" i="32" s="1"/>
  <c r="S24" i="32"/>
  <c r="X52" i="32"/>
  <c r="X55" i="32"/>
  <c r="X43" i="32"/>
  <c r="X41" i="32"/>
  <c r="S53" i="32"/>
  <c r="V39" i="32"/>
  <c r="X56" i="32"/>
  <c r="X24" i="32"/>
  <c r="V51" i="32"/>
  <c r="V40" i="32"/>
  <c r="V41" i="32"/>
  <c r="AU61" i="32"/>
  <c r="U45" i="32"/>
  <c r="S40" i="32"/>
  <c r="U42" i="32"/>
  <c r="AD50" i="32"/>
  <c r="AG53" i="32"/>
  <c r="AG48" i="32" s="1"/>
  <c r="U39" i="32"/>
  <c r="U61" i="32" s="1"/>
  <c r="AC43" i="32"/>
  <c r="V24" i="32"/>
  <c r="Q53" i="32"/>
  <c r="X44" i="32"/>
  <c r="Q41" i="32"/>
  <c r="AF55" i="32"/>
  <c r="AR44" i="32"/>
  <c r="S45" i="32"/>
  <c r="AD42" i="32"/>
  <c r="R42" i="32"/>
  <c r="R44" i="32"/>
  <c r="Q45" i="32"/>
  <c r="AC44" i="32"/>
  <c r="AC51" i="32"/>
  <c r="AF39" i="32"/>
  <c r="AR55" i="32"/>
  <c r="AQ50" i="32"/>
  <c r="AF24" i="32"/>
  <c r="AQ56" i="32"/>
  <c r="AD52" i="32"/>
  <c r="AD63" i="32" s="1"/>
  <c r="AG45" i="32"/>
  <c r="V44" i="32"/>
  <c r="Y41" i="32"/>
  <c r="AR43" i="32"/>
  <c r="Q55" i="32"/>
  <c r="AD40" i="32"/>
  <c r="AG56" i="32"/>
  <c r="R54" i="32"/>
  <c r="AC45" i="32"/>
  <c r="AR51" i="32"/>
  <c r="AG52" i="32"/>
  <c r="AC39" i="32"/>
  <c r="V53" i="32"/>
  <c r="Y45" i="32"/>
  <c r="Y67" i="32" s="1"/>
  <c r="AD44" i="32"/>
  <c r="V56" i="32"/>
  <c r="Q52" i="32"/>
  <c r="V52" i="32"/>
  <c r="AG42" i="32"/>
  <c r="V43" i="32"/>
  <c r="V65" i="32" s="1"/>
  <c r="AG55" i="32"/>
  <c r="S39" i="32"/>
  <c r="AR45" i="32"/>
  <c r="S43" i="32"/>
  <c r="AQ55" i="32"/>
  <c r="Y52" i="32"/>
  <c r="AF52" i="32"/>
  <c r="V42" i="32"/>
  <c r="AQ44" i="32"/>
  <c r="AD39" i="32"/>
  <c r="AC50" i="32"/>
  <c r="Y51" i="32"/>
  <c r="Q50" i="32"/>
  <c r="AQ39" i="32"/>
  <c r="AD53" i="32"/>
  <c r="AD24" i="32"/>
  <c r="AD51" i="32"/>
  <c r="R55" i="32"/>
  <c r="R56" i="32"/>
  <c r="R51" i="32"/>
  <c r="AD43" i="32"/>
  <c r="AD56" i="32"/>
  <c r="R45" i="32"/>
  <c r="R43" i="32"/>
  <c r="U40" i="32"/>
  <c r="Q42" i="32"/>
  <c r="AX44" i="32"/>
  <c r="AY10" i="32"/>
  <c r="AW42" i="32"/>
  <c r="AZ10" i="32"/>
  <c r="AX7" i="32"/>
  <c r="AX9" i="32"/>
  <c r="L66" i="32"/>
  <c r="K67" i="32"/>
  <c r="AX51" i="32"/>
  <c r="L63" i="32"/>
  <c r="M62" i="32"/>
  <c r="K62" i="32"/>
  <c r="J64" i="32"/>
  <c r="K37" i="32"/>
  <c r="L65" i="32"/>
  <c r="K61" i="32"/>
  <c r="I63" i="32"/>
  <c r="K64" i="32"/>
  <c r="H67" i="32"/>
  <c r="D48" i="32"/>
  <c r="AW56" i="32"/>
  <c r="P67" i="32"/>
  <c r="D62" i="32"/>
  <c r="C65" i="32"/>
  <c r="D67" i="32"/>
  <c r="C64" i="32"/>
  <c r="AU65" i="32"/>
  <c r="AU63" i="32"/>
  <c r="AX54" i="32"/>
  <c r="P48" i="32"/>
  <c r="AX56" i="32"/>
  <c r="M64" i="32"/>
  <c r="AW51" i="32"/>
  <c r="K63" i="32"/>
  <c r="C63" i="32"/>
  <c r="D63" i="32"/>
  <c r="P62" i="32"/>
  <c r="E48" i="32"/>
  <c r="M67" i="32"/>
  <c r="O48" i="32"/>
  <c r="G62" i="32"/>
  <c r="K66" i="32"/>
  <c r="H66" i="32"/>
  <c r="AU48" i="32"/>
  <c r="K48" i="32"/>
  <c r="H62" i="32"/>
  <c r="F67" i="32"/>
  <c r="E62" i="32"/>
  <c r="O64" i="32"/>
  <c r="M65" i="32"/>
  <c r="AX53" i="32"/>
  <c r="E67" i="32"/>
  <c r="J67" i="32"/>
  <c r="I65" i="32"/>
  <c r="N48" i="32"/>
  <c r="AU37" i="32"/>
  <c r="P66" i="32"/>
  <c r="I48" i="32"/>
  <c r="G48" i="32"/>
  <c r="F62" i="32"/>
  <c r="F66" i="32"/>
  <c r="F64" i="32"/>
  <c r="O65" i="32"/>
  <c r="F48" i="32"/>
  <c r="E64" i="32"/>
  <c r="AU62" i="32"/>
  <c r="C67" i="32"/>
  <c r="D65" i="32"/>
  <c r="AX50" i="32"/>
  <c r="E66" i="32"/>
  <c r="I66" i="32"/>
  <c r="N65" i="32"/>
  <c r="N62" i="32"/>
  <c r="AX39" i="32"/>
  <c r="M63" i="32"/>
  <c r="P65" i="32"/>
  <c r="C66" i="32"/>
  <c r="G64" i="32"/>
  <c r="D66" i="32"/>
  <c r="AX42" i="32"/>
  <c r="AW53" i="32"/>
  <c r="AA63" i="32"/>
  <c r="P64" i="32"/>
  <c r="N67" i="32"/>
  <c r="AU64" i="32"/>
  <c r="AX43" i="32"/>
  <c r="AU66" i="32"/>
  <c r="H65" i="32"/>
  <c r="AX52" i="32"/>
  <c r="I62" i="32"/>
  <c r="M48" i="32"/>
  <c r="F37" i="32"/>
  <c r="F61" i="32"/>
  <c r="AA66" i="32"/>
  <c r="AW44" i="32"/>
  <c r="L61" i="32"/>
  <c r="L37" i="32"/>
  <c r="J66" i="32"/>
  <c r="G67" i="32"/>
  <c r="J37" i="32"/>
  <c r="J61" i="32"/>
  <c r="N66" i="32"/>
  <c r="E61" i="32"/>
  <c r="E37" i="32"/>
  <c r="AU67" i="32"/>
  <c r="AX45" i="32"/>
  <c r="D64" i="32"/>
  <c r="AA48" i="32"/>
  <c r="AW50" i="32"/>
  <c r="G66" i="32"/>
  <c r="J65" i="32"/>
  <c r="H37" i="32"/>
  <c r="H64" i="32"/>
  <c r="C61" i="32"/>
  <c r="C37" i="32"/>
  <c r="J63" i="32"/>
  <c r="AW52" i="32"/>
  <c r="J48" i="32"/>
  <c r="O63" i="32"/>
  <c r="G37" i="32"/>
  <c r="G61" i="32"/>
  <c r="I61" i="32"/>
  <c r="AW39" i="32"/>
  <c r="AA37" i="32"/>
  <c r="AA61" i="32"/>
  <c r="F65" i="32"/>
  <c r="H63" i="32"/>
  <c r="AA64" i="32"/>
  <c r="M61" i="32"/>
  <c r="M37" i="32"/>
  <c r="AA65" i="32"/>
  <c r="AW43" i="32"/>
  <c r="N63" i="32"/>
  <c r="I37" i="32"/>
  <c r="D61" i="32"/>
  <c r="D37" i="32"/>
  <c r="L67" i="32"/>
  <c r="AW54" i="32"/>
  <c r="AW41" i="32"/>
  <c r="P63" i="32"/>
  <c r="AX41" i="32"/>
  <c r="O61" i="32"/>
  <c r="O37" i="32"/>
  <c r="G65" i="32"/>
  <c r="L62" i="32"/>
  <c r="P61" i="32"/>
  <c r="P37" i="32"/>
  <c r="N61" i="32"/>
  <c r="N37" i="32"/>
  <c r="AW45" i="32"/>
  <c r="AA67" i="32"/>
  <c r="AW40" i="32"/>
  <c r="AA62" i="32"/>
  <c r="O62" i="32"/>
  <c r="O67" i="32"/>
  <c r="I67" i="32"/>
  <c r="C48" i="32"/>
  <c r="N64" i="32"/>
  <c r="E63" i="32"/>
  <c r="P94" i="16"/>
  <c r="P98" i="16" s="1"/>
  <c r="P29" i="16"/>
  <c r="P33" i="16" s="1"/>
  <c r="O120" i="16"/>
  <c r="O124" i="16" s="1"/>
  <c r="P16" i="16"/>
  <c r="P20" i="16" s="1"/>
  <c r="P68" i="16"/>
  <c r="P72" i="16" s="1"/>
  <c r="Q98" i="16"/>
  <c r="R29" i="16"/>
  <c r="R33" i="16" s="1"/>
  <c r="S70" i="16"/>
  <c r="S122" i="16"/>
  <c r="P124" i="16"/>
  <c r="S66" i="16"/>
  <c r="S123" i="16"/>
  <c r="S32" i="16"/>
  <c r="R94" i="16"/>
  <c r="R98" i="16" s="1"/>
  <c r="O111" i="16"/>
  <c r="R81" i="16"/>
  <c r="S81" i="16" s="1"/>
  <c r="S92" i="16"/>
  <c r="S102" i="16"/>
  <c r="S97" i="16"/>
  <c r="S109" i="16"/>
  <c r="Q124" i="16"/>
  <c r="S67" i="16"/>
  <c r="R68" i="16"/>
  <c r="R72" i="16" s="1"/>
  <c r="S71" i="16"/>
  <c r="O85" i="16"/>
  <c r="S83" i="16"/>
  <c r="S95" i="16"/>
  <c r="Q111" i="16"/>
  <c r="S118" i="16"/>
  <c r="S119" i="16"/>
  <c r="R120" i="16"/>
  <c r="R124" i="16" s="1"/>
  <c r="P85" i="16"/>
  <c r="Q33" i="16"/>
  <c r="O72" i="16"/>
  <c r="S105" i="16"/>
  <c r="S108" i="16"/>
  <c r="S110" i="16"/>
  <c r="S121" i="16"/>
  <c r="S80" i="16"/>
  <c r="S93" i="16"/>
  <c r="O20" i="16"/>
  <c r="S84" i="16"/>
  <c r="S79" i="16"/>
  <c r="S89" i="16"/>
  <c r="S96" i="16"/>
  <c r="R107" i="16"/>
  <c r="R111" i="16" s="1"/>
  <c r="S69" i="16"/>
  <c r="Q72" i="16"/>
  <c r="Q85" i="16"/>
  <c r="S106" i="16"/>
  <c r="S63" i="16"/>
  <c r="S115" i="16"/>
  <c r="S76" i="16"/>
  <c r="S82" i="16"/>
  <c r="O94" i="16"/>
  <c r="P107" i="16"/>
  <c r="P111" i="16" s="1"/>
  <c r="S15" i="16"/>
  <c r="S18" i="16"/>
  <c r="S30" i="16"/>
  <c r="R16" i="16"/>
  <c r="R20" i="16" s="1"/>
  <c r="S19" i="16"/>
  <c r="S27" i="16"/>
  <c r="S28" i="16"/>
  <c r="O29" i="16"/>
  <c r="O33" i="16" s="1"/>
  <c r="Q20" i="16"/>
  <c r="S17" i="16"/>
  <c r="S31" i="16"/>
  <c r="S24" i="16"/>
  <c r="S11" i="16"/>
  <c r="H16" i="31"/>
  <c r="H42" i="31"/>
  <c r="H55" i="31"/>
  <c r="H68" i="31"/>
  <c r="H81" i="31"/>
  <c r="G15" i="31"/>
  <c r="F15" i="31"/>
  <c r="E15" i="31"/>
  <c r="D15" i="31"/>
  <c r="C15" i="31"/>
  <c r="F13" i="31"/>
  <c r="D13" i="31"/>
  <c r="G12" i="31"/>
  <c r="F12" i="31"/>
  <c r="D12" i="31"/>
  <c r="C12" i="31"/>
  <c r="F10" i="31"/>
  <c r="D10" i="31"/>
  <c r="C10" i="31"/>
  <c r="C9" i="31"/>
  <c r="F8" i="31"/>
  <c r="D8" i="31"/>
  <c r="G28" i="31"/>
  <c r="F28" i="31"/>
  <c r="E28" i="31"/>
  <c r="D28" i="31"/>
  <c r="C28" i="31"/>
  <c r="F26" i="31"/>
  <c r="D26" i="31"/>
  <c r="G25" i="31"/>
  <c r="F25" i="31"/>
  <c r="D25" i="31"/>
  <c r="C25" i="31"/>
  <c r="F23" i="31"/>
  <c r="D23" i="31"/>
  <c r="C23" i="31"/>
  <c r="C22" i="31"/>
  <c r="F21" i="31"/>
  <c r="D21" i="31"/>
  <c r="G41" i="31"/>
  <c r="F41" i="31"/>
  <c r="E41" i="31"/>
  <c r="D41" i="31"/>
  <c r="C41" i="31"/>
  <c r="F39" i="31"/>
  <c r="D39" i="31"/>
  <c r="G38" i="31"/>
  <c r="F38" i="31"/>
  <c r="D38" i="31"/>
  <c r="C38" i="31"/>
  <c r="F36" i="31"/>
  <c r="D36" i="31"/>
  <c r="C36" i="31"/>
  <c r="C35" i="31"/>
  <c r="F34" i="31"/>
  <c r="D34" i="31"/>
  <c r="G54" i="31"/>
  <c r="F54" i="31"/>
  <c r="E54" i="31"/>
  <c r="D54" i="31"/>
  <c r="C54" i="31"/>
  <c r="F52" i="31"/>
  <c r="D52" i="31"/>
  <c r="G51" i="31"/>
  <c r="F51" i="31"/>
  <c r="D51" i="31"/>
  <c r="C51" i="31"/>
  <c r="F49" i="31"/>
  <c r="D49" i="31"/>
  <c r="C49" i="31"/>
  <c r="C48" i="31"/>
  <c r="F47" i="31"/>
  <c r="D47" i="31"/>
  <c r="G67" i="31"/>
  <c r="F67" i="31"/>
  <c r="E67" i="31"/>
  <c r="D67" i="31"/>
  <c r="C67" i="31"/>
  <c r="F65" i="31"/>
  <c r="D65" i="31"/>
  <c r="G64" i="31"/>
  <c r="F64" i="31"/>
  <c r="D64" i="31"/>
  <c r="C64" i="31"/>
  <c r="F62" i="31"/>
  <c r="D62" i="31"/>
  <c r="C62" i="31"/>
  <c r="C61" i="31"/>
  <c r="F60" i="31"/>
  <c r="D60" i="31"/>
  <c r="G80" i="31"/>
  <c r="F80" i="31"/>
  <c r="E80" i="31"/>
  <c r="D80" i="31"/>
  <c r="C80" i="31"/>
  <c r="F78" i="31"/>
  <c r="D78" i="31"/>
  <c r="G77" i="31"/>
  <c r="F77" i="31"/>
  <c r="D77" i="31"/>
  <c r="C77" i="31"/>
  <c r="F75" i="31"/>
  <c r="D75" i="31"/>
  <c r="C75" i="31"/>
  <c r="C74" i="31"/>
  <c r="F73" i="31"/>
  <c r="D73" i="31"/>
  <c r="AN66" i="32" l="1"/>
  <c r="AN64" i="32"/>
  <c r="AN63" i="32"/>
  <c r="AN37" i="32"/>
  <c r="AK64" i="32"/>
  <c r="AN65" i="32"/>
  <c r="AN67" i="32"/>
  <c r="AN48" i="32"/>
  <c r="T65" i="32"/>
  <c r="AE37" i="32"/>
  <c r="AE61" i="32"/>
  <c r="AI63" i="32"/>
  <c r="AE64" i="32"/>
  <c r="AE48" i="32"/>
  <c r="AK67" i="32"/>
  <c r="AE66" i="32"/>
  <c r="AL66" i="32"/>
  <c r="AB63" i="32"/>
  <c r="AG63" i="32"/>
  <c r="AT67" i="32"/>
  <c r="AB37" i="32"/>
  <c r="AE65" i="32"/>
  <c r="T62" i="32"/>
  <c r="AB62" i="32"/>
  <c r="AB67" i="32"/>
  <c r="AJ37" i="32"/>
  <c r="AB65" i="32"/>
  <c r="AT66" i="32"/>
  <c r="AT37" i="32"/>
  <c r="AT64" i="32"/>
  <c r="AL67" i="32"/>
  <c r="AB66" i="32"/>
  <c r="T63" i="32"/>
  <c r="AC65" i="32"/>
  <c r="AT65" i="32"/>
  <c r="AE63" i="32"/>
  <c r="AT61" i="32"/>
  <c r="AB64" i="32"/>
  <c r="AS61" i="32"/>
  <c r="AT62" i="32"/>
  <c r="AC66" i="32"/>
  <c r="AL65" i="32"/>
  <c r="AO67" i="32"/>
  <c r="Y37" i="32"/>
  <c r="AR67" i="32"/>
  <c r="AT63" i="32"/>
  <c r="S61" i="32"/>
  <c r="AL63" i="32"/>
  <c r="AL62" i="32"/>
  <c r="AG62" i="32"/>
  <c r="AM66" i="32"/>
  <c r="AJ64" i="32"/>
  <c r="AE67" i="32"/>
  <c r="AR65" i="32"/>
  <c r="Y64" i="32"/>
  <c r="Q67" i="32"/>
  <c r="AI64" i="32"/>
  <c r="AI48" i="32"/>
  <c r="AJ63" i="32"/>
  <c r="AM37" i="32"/>
  <c r="W64" i="32"/>
  <c r="AO48" i="32"/>
  <c r="AQ67" i="32"/>
  <c r="U67" i="32"/>
  <c r="AM64" i="32"/>
  <c r="Q65" i="32"/>
  <c r="AR61" i="32"/>
  <c r="U64" i="32"/>
  <c r="T66" i="32"/>
  <c r="AO63" i="32"/>
  <c r="AO62" i="32"/>
  <c r="AO61" i="32"/>
  <c r="AK66" i="32"/>
  <c r="AM63" i="32"/>
  <c r="AL64" i="32"/>
  <c r="Q62" i="32"/>
  <c r="AO64" i="32"/>
  <c r="AJ48" i="32"/>
  <c r="T67" i="32"/>
  <c r="Y61" i="32"/>
  <c r="AO37" i="32"/>
  <c r="AO66" i="32"/>
  <c r="AC67" i="32"/>
  <c r="T64" i="32"/>
  <c r="X62" i="32"/>
  <c r="AP61" i="32"/>
  <c r="AF67" i="32"/>
  <c r="AJ66" i="32"/>
  <c r="AL48" i="32"/>
  <c r="AK37" i="32"/>
  <c r="AF64" i="32"/>
  <c r="AJ65" i="32"/>
  <c r="AK48" i="32"/>
  <c r="AS37" i="32"/>
  <c r="AM62" i="32"/>
  <c r="AM67" i="32"/>
  <c r="AC48" i="32"/>
  <c r="X67" i="32"/>
  <c r="V48" i="32"/>
  <c r="AC64" i="32"/>
  <c r="R65" i="32"/>
  <c r="AG67" i="32"/>
  <c r="U66" i="32"/>
  <c r="AH37" i="32"/>
  <c r="AD67" i="32"/>
  <c r="AC62" i="32"/>
  <c r="AS48" i="32"/>
  <c r="AS67" i="32"/>
  <c r="AH63" i="32"/>
  <c r="Z37" i="32"/>
  <c r="AI65" i="32"/>
  <c r="AJ67" i="32"/>
  <c r="AS62" i="32"/>
  <c r="AR63" i="32"/>
  <c r="AP65" i="32"/>
  <c r="AM65" i="32"/>
  <c r="AK62" i="32"/>
  <c r="Z67" i="32"/>
  <c r="AG37" i="32"/>
  <c r="AF37" i="32"/>
  <c r="AH62" i="32"/>
  <c r="AI67" i="32"/>
  <c r="AD37" i="32"/>
  <c r="X65" i="32"/>
  <c r="S66" i="32"/>
  <c r="AJ61" i="32"/>
  <c r="AD65" i="32"/>
  <c r="AQ66" i="32"/>
  <c r="AF48" i="32"/>
  <c r="R61" i="32"/>
  <c r="AK65" i="32"/>
  <c r="R62" i="32"/>
  <c r="V37" i="32"/>
  <c r="W66" i="32"/>
  <c r="W65" i="32"/>
  <c r="AP63" i="32"/>
  <c r="AI66" i="32"/>
  <c r="AK61" i="32"/>
  <c r="Y48" i="32"/>
  <c r="AH61" i="32"/>
  <c r="Z64" i="32"/>
  <c r="AH67" i="32"/>
  <c r="AI62" i="32"/>
  <c r="T37" i="32"/>
  <c r="Q66" i="32"/>
  <c r="Y66" i="32"/>
  <c r="AI61" i="32"/>
  <c r="AP62" i="32"/>
  <c r="W67" i="32"/>
  <c r="V61" i="32"/>
  <c r="R48" i="32"/>
  <c r="AQ37" i="32"/>
  <c r="AF66" i="32"/>
  <c r="AS63" i="32"/>
  <c r="S37" i="32"/>
  <c r="Q61" i="32"/>
  <c r="W62" i="32"/>
  <c r="Y62" i="32"/>
  <c r="U37" i="32"/>
  <c r="AR66" i="32"/>
  <c r="V62" i="32"/>
  <c r="AQ63" i="32"/>
  <c r="Z61" i="32"/>
  <c r="AS66" i="32"/>
  <c r="Z66" i="32"/>
  <c r="AX10" i="32"/>
  <c r="AI37" i="32"/>
  <c r="X48" i="32"/>
  <c r="R64" i="32"/>
  <c r="AR37" i="32"/>
  <c r="AQ64" i="32"/>
  <c r="AG65" i="32"/>
  <c r="Z62" i="32"/>
  <c r="AF61" i="32"/>
  <c r="U63" i="32"/>
  <c r="AP66" i="32"/>
  <c r="AP67" i="32"/>
  <c r="AQ65" i="32"/>
  <c r="AH66" i="32"/>
  <c r="Z63" i="32"/>
  <c r="Q64" i="32"/>
  <c r="AR62" i="32"/>
  <c r="U65" i="32"/>
  <c r="W37" i="32"/>
  <c r="W48" i="32"/>
  <c r="AH64" i="32"/>
  <c r="X64" i="32"/>
  <c r="AF63" i="32"/>
  <c r="Z48" i="32"/>
  <c r="V66" i="32"/>
  <c r="AD61" i="32"/>
  <c r="X63" i="32"/>
  <c r="AS64" i="32"/>
  <c r="AP37" i="32"/>
  <c r="S65" i="32"/>
  <c r="AC61" i="32"/>
  <c r="AF62" i="32"/>
  <c r="AH48" i="32"/>
  <c r="R37" i="32"/>
  <c r="W61" i="32"/>
  <c r="Q63" i="32"/>
  <c r="V64" i="32"/>
  <c r="AD66" i="32"/>
  <c r="Y63" i="32"/>
  <c r="R66" i="32"/>
  <c r="S48" i="32"/>
  <c r="S67" i="32"/>
  <c r="S62" i="32"/>
  <c r="X66" i="32"/>
  <c r="AD48" i="32"/>
  <c r="S64" i="32"/>
  <c r="AD64" i="32"/>
  <c r="U62" i="32"/>
  <c r="AG66" i="32"/>
  <c r="AQ61" i="32"/>
  <c r="V63" i="32"/>
  <c r="AG64" i="32"/>
  <c r="V67" i="32"/>
  <c r="R67" i="32"/>
  <c r="AQ48" i="32"/>
  <c r="Q48" i="32"/>
  <c r="AC37" i="32"/>
  <c r="AD62" i="32"/>
  <c r="Q37" i="32"/>
  <c r="R85" i="16"/>
  <c r="S85" i="16" s="1"/>
  <c r="S120" i="16"/>
  <c r="S68" i="16"/>
  <c r="S94" i="16"/>
  <c r="S124" i="16"/>
  <c r="S33" i="16"/>
  <c r="S16" i="16"/>
  <c r="S20" i="16"/>
  <c r="S29" i="16"/>
  <c r="S111" i="16"/>
  <c r="S107" i="16"/>
  <c r="S72" i="16"/>
  <c r="O98" i="16"/>
  <c r="S98" i="16" s="1"/>
  <c r="H41" i="31"/>
  <c r="F126" i="16" l="1"/>
  <c r="C204" i="16" l="1"/>
  <c r="E5" i="13" l="1"/>
  <c r="F2" i="25" l="1"/>
  <c r="E2" i="25"/>
  <c r="E26" i="25" l="1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3" i="25"/>
  <c r="E27" i="25"/>
  <c r="E29" i="25"/>
  <c r="E31" i="25"/>
  <c r="E33" i="25"/>
  <c r="E35" i="25"/>
  <c r="E37" i="25"/>
  <c r="E39" i="25"/>
  <c r="E41" i="25"/>
  <c r="E43" i="25"/>
  <c r="E45" i="25"/>
  <c r="E47" i="25"/>
  <c r="E49" i="25"/>
  <c r="E51" i="25"/>
  <c r="E53" i="25"/>
  <c r="E55" i="25"/>
  <c r="E57" i="25"/>
  <c r="E59" i="25"/>
  <c r="E61" i="25"/>
  <c r="F63" i="25"/>
  <c r="F26" i="25"/>
  <c r="F28" i="25"/>
  <c r="F30" i="25"/>
  <c r="F32" i="25"/>
  <c r="F34" i="25"/>
  <c r="F36" i="25"/>
  <c r="F38" i="25"/>
  <c r="F40" i="25"/>
  <c r="F42" i="25"/>
  <c r="F44" i="25"/>
  <c r="F46" i="25"/>
  <c r="F48" i="25"/>
  <c r="F50" i="25"/>
  <c r="F52" i="25"/>
  <c r="F54" i="25"/>
  <c r="F56" i="25"/>
  <c r="F58" i="25"/>
  <c r="F60" i="25"/>
  <c r="F62" i="25"/>
  <c r="F64" i="25"/>
  <c r="F61" i="25"/>
  <c r="F59" i="25"/>
  <c r="F27" i="25"/>
  <c r="F29" i="25"/>
  <c r="F31" i="25"/>
  <c r="F33" i="25"/>
  <c r="F35" i="25"/>
  <c r="F37" i="25"/>
  <c r="F39" i="25"/>
  <c r="F41" i="25"/>
  <c r="F43" i="25"/>
  <c r="F45" i="25"/>
  <c r="F47" i="25"/>
  <c r="F49" i="25"/>
  <c r="F51" i="25"/>
  <c r="F53" i="25"/>
  <c r="F55" i="25"/>
  <c r="F57" i="25"/>
  <c r="B11" i="33"/>
  <c r="B10" i="33"/>
  <c r="B9" i="33"/>
  <c r="B8" i="33"/>
  <c r="B7" i="33"/>
  <c r="B6" i="33"/>
  <c r="B5" i="33"/>
  <c r="B4" i="33"/>
  <c r="A4" i="14"/>
  <c r="A26" i="25"/>
  <c r="A4" i="25"/>
  <c r="A3" i="31"/>
  <c r="A4" i="16"/>
  <c r="A31" i="13"/>
  <c r="A4" i="13"/>
  <c r="G76" i="31" l="1"/>
  <c r="G63" i="31"/>
  <c r="G50" i="31"/>
  <c r="G37" i="31"/>
  <c r="G24" i="31"/>
  <c r="C76" i="31"/>
  <c r="C50" i="31"/>
  <c r="C24" i="31"/>
  <c r="G11" i="31"/>
  <c r="C11" i="31"/>
  <c r="C19" i="31"/>
  <c r="G19" i="31"/>
  <c r="C72" i="31"/>
  <c r="C71" i="31" s="1"/>
  <c r="G71" i="31"/>
  <c r="G58" i="31"/>
  <c r="C58" i="31"/>
  <c r="G45" i="31"/>
  <c r="C45" i="31"/>
  <c r="G32" i="31"/>
  <c r="C32" i="31"/>
  <c r="G6" i="31"/>
  <c r="C6" i="31"/>
  <c r="G27" i="31" l="1"/>
  <c r="F63" i="31"/>
  <c r="F37" i="31"/>
  <c r="F76" i="31"/>
  <c r="G14" i="31"/>
  <c r="D24" i="31"/>
  <c r="G79" i="31"/>
  <c r="H80" i="31"/>
  <c r="D63" i="31"/>
  <c r="H54" i="31"/>
  <c r="F24" i="31"/>
  <c r="H67" i="31"/>
  <c r="D76" i="31"/>
  <c r="F50" i="31"/>
  <c r="C79" i="31"/>
  <c r="C53" i="31"/>
  <c r="H15" i="31"/>
  <c r="D37" i="31"/>
  <c r="G40" i="31"/>
  <c r="G53" i="31"/>
  <c r="H28" i="31"/>
  <c r="C14" i="31"/>
  <c r="F11" i="31"/>
  <c r="C27" i="31"/>
  <c r="G66" i="31"/>
  <c r="D11" i="31"/>
  <c r="C37" i="31"/>
  <c r="D50" i="31"/>
  <c r="C63" i="31"/>
  <c r="C40" i="31" l="1"/>
  <c r="C66" i="31"/>
  <c r="E70" i="25" l="1"/>
  <c r="E72" i="25"/>
  <c r="E79" i="25" l="1"/>
  <c r="E75" i="25"/>
  <c r="E78" i="25"/>
  <c r="E74" i="25"/>
  <c r="E91" i="25"/>
  <c r="E71" i="25"/>
  <c r="E82" i="25"/>
  <c r="E83" i="25"/>
  <c r="E81" i="25"/>
  <c r="E69" i="25"/>
  <c r="E106" i="25"/>
  <c r="E94" i="25"/>
  <c r="E105" i="25"/>
  <c r="E87" i="25"/>
  <c r="E95" i="25"/>
  <c r="F97" i="25"/>
  <c r="F80" i="25"/>
  <c r="G2" i="25"/>
  <c r="E103" i="25"/>
  <c r="E96" i="25"/>
  <c r="E100" i="25"/>
  <c r="E98" i="25"/>
  <c r="E93" i="25"/>
  <c r="E80" i="25"/>
  <c r="E76" i="25"/>
  <c r="E77" i="25"/>
  <c r="E101" i="25"/>
  <c r="E92" i="25"/>
  <c r="E99" i="25"/>
  <c r="E104" i="25"/>
  <c r="E102" i="25"/>
  <c r="E97" i="25"/>
  <c r="E68" i="25"/>
  <c r="E73" i="25"/>
  <c r="E84" i="25"/>
  <c r="E89" i="25" l="1"/>
  <c r="E4" i="25"/>
  <c r="F71" i="25"/>
  <c r="F95" i="25"/>
  <c r="G48" i="25"/>
  <c r="G43" i="25"/>
  <c r="G46" i="25"/>
  <c r="G51" i="25"/>
  <c r="G55" i="25"/>
  <c r="G59" i="25"/>
  <c r="G63" i="25"/>
  <c r="G47" i="25"/>
  <c r="G52" i="25"/>
  <c r="G56" i="25"/>
  <c r="G60" i="25"/>
  <c r="G64" i="25"/>
  <c r="G49" i="25"/>
  <c r="G57" i="25"/>
  <c r="G44" i="25"/>
  <c r="G50" i="25"/>
  <c r="G58" i="25"/>
  <c r="G61" i="25"/>
  <c r="G30" i="25"/>
  <c r="G34" i="25"/>
  <c r="G38" i="25"/>
  <c r="G42" i="25"/>
  <c r="G36" i="25"/>
  <c r="G40" i="25"/>
  <c r="G29" i="25"/>
  <c r="G33" i="25"/>
  <c r="G45" i="25"/>
  <c r="G62" i="25"/>
  <c r="G27" i="25"/>
  <c r="G31" i="25"/>
  <c r="G35" i="25"/>
  <c r="G39" i="25"/>
  <c r="G26" i="25"/>
  <c r="G53" i="25"/>
  <c r="G28" i="25"/>
  <c r="G32" i="25"/>
  <c r="G54" i="25"/>
  <c r="G37" i="25"/>
  <c r="G41" i="25"/>
  <c r="F74" i="25"/>
  <c r="F92" i="25"/>
  <c r="F82" i="25"/>
  <c r="F78" i="25"/>
  <c r="F75" i="25"/>
  <c r="F72" i="25"/>
  <c r="F100" i="25"/>
  <c r="F101" i="25"/>
  <c r="F105" i="25"/>
  <c r="F103" i="25"/>
  <c r="F98" i="25"/>
  <c r="F93" i="25"/>
  <c r="F96" i="25"/>
  <c r="F104" i="25"/>
  <c r="F91" i="25"/>
  <c r="F70" i="25"/>
  <c r="F83" i="25"/>
  <c r="F77" i="25"/>
  <c r="F69" i="25"/>
  <c r="F76" i="25"/>
  <c r="F79" i="25"/>
  <c r="F102" i="25"/>
  <c r="F73" i="25"/>
  <c r="F81" i="25"/>
  <c r="F84" i="25"/>
  <c r="F106" i="25"/>
  <c r="E90" i="25"/>
  <c r="E85" i="25"/>
  <c r="H2" i="25"/>
  <c r="F68" i="25"/>
  <c r="F99" i="25"/>
  <c r="F94" i="25"/>
  <c r="E88" i="25"/>
  <c r="E86" i="25"/>
  <c r="G4" i="25" l="1"/>
  <c r="G5" i="25" s="1"/>
  <c r="F86" i="25"/>
  <c r="F4" i="25"/>
  <c r="G78" i="25"/>
  <c r="F88" i="25"/>
  <c r="F87" i="25"/>
  <c r="F89" i="25"/>
  <c r="G75" i="25"/>
  <c r="H43" i="25"/>
  <c r="H44" i="25"/>
  <c r="H45" i="25"/>
  <c r="H46" i="25"/>
  <c r="H47" i="25"/>
  <c r="H48" i="25"/>
  <c r="H50" i="25"/>
  <c r="H51" i="25"/>
  <c r="H52" i="25"/>
  <c r="H53" i="25"/>
  <c r="H49" i="25"/>
  <c r="H26" i="25"/>
  <c r="H30" i="25"/>
  <c r="H34" i="25"/>
  <c r="H38" i="25"/>
  <c r="H42" i="25"/>
  <c r="H32" i="25"/>
  <c r="H40" i="25"/>
  <c r="H33" i="25"/>
  <c r="H54" i="25"/>
  <c r="H55" i="25"/>
  <c r="H56" i="25"/>
  <c r="H57" i="25"/>
  <c r="H58" i="25"/>
  <c r="H59" i="25"/>
  <c r="H60" i="25"/>
  <c r="H61" i="25"/>
  <c r="H62" i="25"/>
  <c r="H63" i="25"/>
  <c r="H64" i="25"/>
  <c r="H27" i="25"/>
  <c r="H31" i="25"/>
  <c r="H35" i="25"/>
  <c r="H39" i="25"/>
  <c r="H28" i="25"/>
  <c r="H36" i="25"/>
  <c r="H29" i="25"/>
  <c r="H37" i="25"/>
  <c r="H41" i="25"/>
  <c r="G97" i="25"/>
  <c r="G71" i="25"/>
  <c r="G81" i="25"/>
  <c r="G82" i="25"/>
  <c r="G69" i="25"/>
  <c r="G94" i="25"/>
  <c r="G84" i="25"/>
  <c r="G102" i="25"/>
  <c r="G92" i="25"/>
  <c r="G83" i="25"/>
  <c r="G99" i="25"/>
  <c r="G73" i="25"/>
  <c r="G80" i="25"/>
  <c r="G86" i="25"/>
  <c r="G105" i="25"/>
  <c r="G96" i="25"/>
  <c r="G103" i="25"/>
  <c r="G68" i="25"/>
  <c r="G77" i="25"/>
  <c r="G93" i="25"/>
  <c r="G106" i="25"/>
  <c r="G100" i="25"/>
  <c r="G91" i="25"/>
  <c r="G6" i="25" s="1"/>
  <c r="G70" i="25"/>
  <c r="I2" i="25"/>
  <c r="G72" i="25"/>
  <c r="G74" i="25"/>
  <c r="G76" i="25"/>
  <c r="G79" i="25"/>
  <c r="G98" i="25"/>
  <c r="G101" i="25"/>
  <c r="G88" i="25"/>
  <c r="G104" i="25"/>
  <c r="G95" i="25"/>
  <c r="F85" i="25"/>
  <c r="F90" i="25"/>
  <c r="H102" i="25" l="1"/>
  <c r="H4" i="25"/>
  <c r="H5" i="25" s="1"/>
  <c r="H91" i="25"/>
  <c r="H6" i="25" s="1"/>
  <c r="I43" i="25"/>
  <c r="I4" i="25" s="1"/>
  <c r="I5" i="25" s="1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44" i="25"/>
  <c r="I45" i="25"/>
  <c r="I46" i="25"/>
  <c r="I47" i="25"/>
  <c r="I48" i="25"/>
  <c r="I27" i="25"/>
  <c r="I32" i="25"/>
  <c r="I36" i="25"/>
  <c r="I49" i="25"/>
  <c r="I26" i="25"/>
  <c r="I31" i="25"/>
  <c r="I35" i="25"/>
  <c r="I39" i="25"/>
  <c r="I34" i="25"/>
  <c r="I29" i="25"/>
  <c r="I28" i="25"/>
  <c r="I33" i="25"/>
  <c r="I42" i="25"/>
  <c r="I30" i="25"/>
  <c r="I38" i="25"/>
  <c r="I41" i="25"/>
  <c r="I37" i="25"/>
  <c r="I40" i="25"/>
  <c r="G7" i="25"/>
  <c r="G8" i="25" s="1"/>
  <c r="G89" i="25"/>
  <c r="H95" i="25"/>
  <c r="H103" i="25"/>
  <c r="H72" i="25"/>
  <c r="H73" i="25"/>
  <c r="H80" i="25"/>
  <c r="H71" i="25"/>
  <c r="H81" i="25"/>
  <c r="H98" i="25"/>
  <c r="H105" i="25"/>
  <c r="H96" i="25"/>
  <c r="H79" i="25"/>
  <c r="H94" i="25"/>
  <c r="H99" i="25"/>
  <c r="H7" i="25" s="1"/>
  <c r="G87" i="25"/>
  <c r="H76" i="25"/>
  <c r="J2" i="25"/>
  <c r="H83" i="25"/>
  <c r="H70" i="25"/>
  <c r="H87" i="25"/>
  <c r="H93" i="25"/>
  <c r="H84" i="25"/>
  <c r="H100" i="25"/>
  <c r="H89" i="25"/>
  <c r="H86" i="25"/>
  <c r="H75" i="25"/>
  <c r="H69" i="25"/>
  <c r="H74" i="25"/>
  <c r="H97" i="25"/>
  <c r="H88" i="25"/>
  <c r="H104" i="25"/>
  <c r="H68" i="25"/>
  <c r="H78" i="25"/>
  <c r="H77" i="25"/>
  <c r="H82" i="25"/>
  <c r="H106" i="25"/>
  <c r="H101" i="25"/>
  <c r="H92" i="25"/>
  <c r="G85" i="25"/>
  <c r="G90" i="25"/>
  <c r="H8" i="25" l="1"/>
  <c r="I96" i="25"/>
  <c r="I103" i="25"/>
  <c r="J44" i="25"/>
  <c r="J45" i="25"/>
  <c r="J46" i="25"/>
  <c r="J47" i="25"/>
  <c r="J48" i="25"/>
  <c r="J49" i="25"/>
  <c r="J43" i="25"/>
  <c r="J4" i="25" s="1"/>
  <c r="J5" i="25" s="1"/>
  <c r="J26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28" i="25"/>
  <c r="J29" i="25"/>
  <c r="J33" i="25"/>
  <c r="J37" i="25"/>
  <c r="J27" i="25"/>
  <c r="J32" i="25"/>
  <c r="J36" i="25"/>
  <c r="J35" i="25"/>
  <c r="J40" i="25"/>
  <c r="J30" i="25"/>
  <c r="J34" i="25"/>
  <c r="J31" i="25"/>
  <c r="J39" i="25"/>
  <c r="J42" i="25"/>
  <c r="J38" i="25"/>
  <c r="J41" i="25"/>
  <c r="I91" i="25"/>
  <c r="I99" i="25"/>
  <c r="I94" i="25"/>
  <c r="I100" i="25"/>
  <c r="I104" i="25"/>
  <c r="I102" i="25"/>
  <c r="I97" i="25"/>
  <c r="I68" i="25"/>
  <c r="I73" i="25"/>
  <c r="I89" i="25"/>
  <c r="K2" i="25"/>
  <c r="I84" i="25"/>
  <c r="I82" i="25"/>
  <c r="I106" i="25"/>
  <c r="I101" i="25"/>
  <c r="I81" i="25"/>
  <c r="I80" i="25"/>
  <c r="I77" i="25"/>
  <c r="I74" i="25"/>
  <c r="I83" i="25"/>
  <c r="I87" i="25"/>
  <c r="I105" i="25"/>
  <c r="I69" i="25"/>
  <c r="I76" i="25"/>
  <c r="I78" i="25"/>
  <c r="I71" i="25"/>
  <c r="H85" i="25"/>
  <c r="H90" i="25"/>
  <c r="I79" i="25"/>
  <c r="I72" i="25"/>
  <c r="I70" i="25"/>
  <c r="I75" i="25"/>
  <c r="I92" i="25"/>
  <c r="I95" i="25"/>
  <c r="I98" i="25"/>
  <c r="I93" i="25"/>
  <c r="I18" i="25" l="1"/>
  <c r="J100" i="25"/>
  <c r="J95" i="25"/>
  <c r="J101" i="25"/>
  <c r="J97" i="25"/>
  <c r="J102" i="25"/>
  <c r="J91" i="25"/>
  <c r="J6" i="25" s="1"/>
  <c r="I16" i="25"/>
  <c r="I17" i="25"/>
  <c r="I7" i="25"/>
  <c r="I15" i="25"/>
  <c r="I6" i="25"/>
  <c r="I14" i="25"/>
  <c r="I13" i="25"/>
  <c r="J77" i="25"/>
  <c r="J73" i="25"/>
  <c r="J80" i="25"/>
  <c r="K44" i="25"/>
  <c r="K45" i="25"/>
  <c r="K46" i="25"/>
  <c r="K47" i="25"/>
  <c r="K48" i="25"/>
  <c r="K49" i="25"/>
  <c r="K27" i="25"/>
  <c r="K43" i="25"/>
  <c r="K4" i="25" s="1"/>
  <c r="K5" i="25" s="1"/>
  <c r="K26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30" i="25"/>
  <c r="K34" i="25"/>
  <c r="K38" i="25"/>
  <c r="K28" i="25"/>
  <c r="K29" i="25"/>
  <c r="K33" i="25"/>
  <c r="K37" i="25"/>
  <c r="K36" i="25"/>
  <c r="K41" i="25"/>
  <c r="K31" i="25"/>
  <c r="K35" i="25"/>
  <c r="K40" i="25"/>
  <c r="K32" i="25"/>
  <c r="K39" i="25"/>
  <c r="K42" i="25"/>
  <c r="I88" i="25"/>
  <c r="J78" i="25"/>
  <c r="J96" i="25"/>
  <c r="J93" i="25"/>
  <c r="J104" i="25"/>
  <c r="J92" i="25"/>
  <c r="J105" i="25"/>
  <c r="J68" i="25"/>
  <c r="J106" i="25"/>
  <c r="J89" i="25"/>
  <c r="J82" i="25"/>
  <c r="J74" i="25"/>
  <c r="J84" i="25"/>
  <c r="J72" i="25"/>
  <c r="J83" i="25"/>
  <c r="J99" i="25"/>
  <c r="J7" i="25" s="1"/>
  <c r="J94" i="25"/>
  <c r="I90" i="25"/>
  <c r="I85" i="25"/>
  <c r="J70" i="25"/>
  <c r="J81" i="25"/>
  <c r="L2" i="25"/>
  <c r="J75" i="25"/>
  <c r="J69" i="25"/>
  <c r="J71" i="25"/>
  <c r="J76" i="25"/>
  <c r="J79" i="25"/>
  <c r="J103" i="25"/>
  <c r="J98" i="25"/>
  <c r="I86" i="25"/>
  <c r="J8" i="25" l="1"/>
  <c r="I19" i="25"/>
  <c r="I8" i="25"/>
  <c r="K101" i="25"/>
  <c r="L43" i="25"/>
  <c r="L4" i="25" s="1"/>
  <c r="L5" i="25" s="1"/>
  <c r="L44" i="25"/>
  <c r="L45" i="25"/>
  <c r="L46" i="25"/>
  <c r="L47" i="25"/>
  <c r="L48" i="25"/>
  <c r="L49" i="25"/>
  <c r="L28" i="25"/>
  <c r="L31" i="25"/>
  <c r="L35" i="25"/>
  <c r="L3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30" i="25"/>
  <c r="L34" i="25"/>
  <c r="L38" i="25"/>
  <c r="L29" i="25"/>
  <c r="L37" i="25"/>
  <c r="L42" i="25"/>
  <c r="L32" i="25"/>
  <c r="L36" i="25"/>
  <c r="L41" i="25"/>
  <c r="L26" i="25"/>
  <c r="L27" i="25"/>
  <c r="L33" i="25"/>
  <c r="L40" i="25"/>
  <c r="K97" i="25"/>
  <c r="K104" i="25"/>
  <c r="K95" i="25"/>
  <c r="K93" i="25"/>
  <c r="K78" i="25"/>
  <c r="K72" i="25"/>
  <c r="K84" i="25"/>
  <c r="J87" i="25"/>
  <c r="K75" i="25"/>
  <c r="K76" i="25"/>
  <c r="K70" i="25"/>
  <c r="K81" i="25"/>
  <c r="K88" i="25"/>
  <c r="K98" i="25"/>
  <c r="K92" i="25"/>
  <c r="K83" i="25"/>
  <c r="K99" i="25"/>
  <c r="K7" i="25" s="1"/>
  <c r="J86" i="25"/>
  <c r="K68" i="25"/>
  <c r="K82" i="25"/>
  <c r="K74" i="25"/>
  <c r="K69" i="25"/>
  <c r="K106" i="25"/>
  <c r="K94" i="25"/>
  <c r="K102" i="25"/>
  <c r="K96" i="25"/>
  <c r="K103" i="25"/>
  <c r="K71" i="25"/>
  <c r="K77" i="25"/>
  <c r="J85" i="25"/>
  <c r="J90" i="25"/>
  <c r="M2" i="25"/>
  <c r="K79" i="25"/>
  <c r="K73" i="25"/>
  <c r="K80" i="25"/>
  <c r="K105" i="25"/>
  <c r="K100" i="25"/>
  <c r="K91" i="25"/>
  <c r="K6" i="25" s="1"/>
  <c r="J88" i="25"/>
  <c r="M43" i="25" l="1"/>
  <c r="M4" i="25" s="1"/>
  <c r="M5" i="25" s="1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49" i="25"/>
  <c r="M45" i="25"/>
  <c r="M47" i="25"/>
  <c r="M32" i="25"/>
  <c r="M36" i="25"/>
  <c r="M31" i="25"/>
  <c r="M35" i="25"/>
  <c r="M46" i="25"/>
  <c r="M30" i="25"/>
  <c r="M38" i="25"/>
  <c r="M39" i="25"/>
  <c r="M26" i="25"/>
  <c r="M27" i="25"/>
  <c r="M33" i="25"/>
  <c r="M40" i="25"/>
  <c r="M29" i="25"/>
  <c r="M37" i="25"/>
  <c r="M42" i="25"/>
  <c r="M44" i="25"/>
  <c r="M48" i="25"/>
  <c r="M28" i="25"/>
  <c r="M34" i="25"/>
  <c r="M41" i="25"/>
  <c r="K8" i="25"/>
  <c r="L78" i="25"/>
  <c r="L77" i="25"/>
  <c r="L74" i="25"/>
  <c r="L81" i="25"/>
  <c r="K89" i="25"/>
  <c r="L105" i="25"/>
  <c r="L96" i="25"/>
  <c r="K87" i="25"/>
  <c r="L68" i="25"/>
  <c r="L80" i="25"/>
  <c r="L71" i="25"/>
  <c r="L73" i="25"/>
  <c r="L79" i="25"/>
  <c r="L91" i="25"/>
  <c r="L6" i="25" s="1"/>
  <c r="L87" i="25"/>
  <c r="L93" i="25"/>
  <c r="L84" i="25"/>
  <c r="L72" i="25"/>
  <c r="L95" i="25"/>
  <c r="L75" i="25"/>
  <c r="N2" i="25"/>
  <c r="L83" i="25"/>
  <c r="L99" i="25"/>
  <c r="L7" i="25" s="1"/>
  <c r="L94" i="25"/>
  <c r="L97" i="25"/>
  <c r="L88" i="25"/>
  <c r="L104" i="25"/>
  <c r="L76" i="25"/>
  <c r="L69" i="25"/>
  <c r="L82" i="25"/>
  <c r="L70" i="25"/>
  <c r="L98" i="25"/>
  <c r="L102" i="25"/>
  <c r="L103" i="25"/>
  <c r="L101" i="25"/>
  <c r="L92" i="25"/>
  <c r="K85" i="25"/>
  <c r="K90" i="25"/>
  <c r="L106" i="25"/>
  <c r="L100" i="25"/>
  <c r="K86" i="25"/>
  <c r="M93" i="25" l="1"/>
  <c r="M69" i="25"/>
  <c r="M98" i="25"/>
  <c r="M94" i="25"/>
  <c r="M74" i="25"/>
  <c r="M70" i="25"/>
  <c r="N43" i="25"/>
  <c r="N4" i="25" s="1"/>
  <c r="N5" i="25" s="1"/>
  <c r="N50" i="25"/>
  <c r="N51" i="25"/>
  <c r="N52" i="25"/>
  <c r="N26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27" i="25"/>
  <c r="N29" i="25"/>
  <c r="N33" i="25"/>
  <c r="N37" i="25"/>
  <c r="N45" i="25"/>
  <c r="N47" i="25"/>
  <c r="N32" i="25"/>
  <c r="N36" i="25"/>
  <c r="N31" i="25"/>
  <c r="N40" i="25"/>
  <c r="N42" i="25"/>
  <c r="N48" i="25"/>
  <c r="N34" i="25"/>
  <c r="N41" i="25"/>
  <c r="N46" i="25"/>
  <c r="N30" i="25"/>
  <c r="N38" i="25"/>
  <c r="N39" i="25"/>
  <c r="N49" i="25"/>
  <c r="N35" i="25"/>
  <c r="N44" i="25"/>
  <c r="N28" i="25"/>
  <c r="M91" i="25"/>
  <c r="M6" i="25" s="1"/>
  <c r="M80" i="25"/>
  <c r="M75" i="25"/>
  <c r="M99" i="25"/>
  <c r="M7" i="25" s="1"/>
  <c r="L8" i="25"/>
  <c r="M77" i="25"/>
  <c r="M83" i="25"/>
  <c r="M96" i="25"/>
  <c r="M103" i="25"/>
  <c r="M95" i="25"/>
  <c r="M92" i="25"/>
  <c r="M100" i="25"/>
  <c r="M82" i="25"/>
  <c r="M84" i="25"/>
  <c r="M72" i="25"/>
  <c r="M87" i="25"/>
  <c r="M104" i="25"/>
  <c r="M102" i="25"/>
  <c r="M97" i="25"/>
  <c r="L85" i="25"/>
  <c r="L90" i="25"/>
  <c r="M68" i="25"/>
  <c r="M79" i="25"/>
  <c r="O2" i="25"/>
  <c r="M106" i="25"/>
  <c r="M101" i="25"/>
  <c r="L86" i="25"/>
  <c r="L89" i="25"/>
  <c r="M73" i="25"/>
  <c r="M76" i="25"/>
  <c r="M81" i="25"/>
  <c r="M71" i="25"/>
  <c r="M78" i="25"/>
  <c r="M105" i="25"/>
  <c r="N77" i="25" l="1"/>
  <c r="N81" i="25"/>
  <c r="N71" i="25"/>
  <c r="N95" i="25"/>
  <c r="N91" i="25"/>
  <c r="N6" i="25" s="1"/>
  <c r="N105" i="25"/>
  <c r="N96" i="25"/>
  <c r="N93" i="25"/>
  <c r="O44" i="25"/>
  <c r="O45" i="25"/>
  <c r="O46" i="25"/>
  <c r="O47" i="25"/>
  <c r="O48" i="25"/>
  <c r="O49" i="25"/>
  <c r="O27" i="25"/>
  <c r="O50" i="25"/>
  <c r="O51" i="25"/>
  <c r="O52" i="25"/>
  <c r="O26" i="25"/>
  <c r="O43" i="25"/>
  <c r="O4" i="25" s="1"/>
  <c r="O5" i="25" s="1"/>
  <c r="O28" i="25"/>
  <c r="O30" i="25"/>
  <c r="O34" i="25"/>
  <c r="O38" i="25"/>
  <c r="O29" i="25"/>
  <c r="O33" i="25"/>
  <c r="O37" i="25"/>
  <c r="O32" i="25"/>
  <c r="O41" i="25"/>
  <c r="O35" i="25"/>
  <c r="O42" i="25"/>
  <c r="O31" i="25"/>
  <c r="O40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36" i="25"/>
  <c r="O39" i="25"/>
  <c r="M8" i="25"/>
  <c r="M89" i="25"/>
  <c r="M88" i="25"/>
  <c r="N84" i="25"/>
  <c r="N78" i="25"/>
  <c r="N70" i="25"/>
  <c r="N69" i="25"/>
  <c r="N76" i="25"/>
  <c r="N83" i="25"/>
  <c r="N75" i="25"/>
  <c r="N74" i="25"/>
  <c r="N92" i="25"/>
  <c r="N101" i="25"/>
  <c r="N97" i="25"/>
  <c r="N99" i="25"/>
  <c r="N7" i="25" s="1"/>
  <c r="N100" i="25"/>
  <c r="N72" i="25"/>
  <c r="N79" i="25"/>
  <c r="N104" i="25"/>
  <c r="N103" i="25"/>
  <c r="N98" i="25"/>
  <c r="N89" i="25"/>
  <c r="N102" i="25"/>
  <c r="M90" i="25"/>
  <c r="M85" i="25"/>
  <c r="P2" i="25"/>
  <c r="N73" i="25"/>
  <c r="N80" i="25"/>
  <c r="N106" i="25"/>
  <c r="M86" i="25"/>
  <c r="N87" i="25"/>
  <c r="N68" i="25"/>
  <c r="N82" i="25"/>
  <c r="N94" i="25"/>
  <c r="O84" i="25" l="1"/>
  <c r="O71" i="25"/>
  <c r="O76" i="25"/>
  <c r="N8" i="25"/>
  <c r="O83" i="25"/>
  <c r="O77" i="25"/>
  <c r="O94" i="25"/>
  <c r="O72" i="25"/>
  <c r="P44" i="25"/>
  <c r="P45" i="25"/>
  <c r="P46" i="25"/>
  <c r="P47" i="25"/>
  <c r="P48" i="25"/>
  <c r="P49" i="25"/>
  <c r="P28" i="25"/>
  <c r="P26" i="25"/>
  <c r="P31" i="25"/>
  <c r="P35" i="25"/>
  <c r="P39" i="25"/>
  <c r="P43" i="25"/>
  <c r="P4" i="25" s="1"/>
  <c r="P5" i="25" s="1"/>
  <c r="P27" i="25"/>
  <c r="P30" i="25"/>
  <c r="P34" i="25"/>
  <c r="P38" i="25"/>
  <c r="P50" i="25"/>
  <c r="P52" i="25"/>
  <c r="P33" i="25"/>
  <c r="P42" i="25"/>
  <c r="P36" i="25"/>
  <c r="P32" i="25"/>
  <c r="P41" i="25"/>
  <c r="P51" i="25"/>
  <c r="P29" i="25"/>
  <c r="P37" i="25"/>
  <c r="P40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O70" i="25"/>
  <c r="O78" i="25"/>
  <c r="Q2" i="25"/>
  <c r="O101" i="25"/>
  <c r="O103" i="25"/>
  <c r="N90" i="25"/>
  <c r="N85" i="25"/>
  <c r="O99" i="25"/>
  <c r="O7" i="25" s="1"/>
  <c r="O102" i="25"/>
  <c r="O96" i="25"/>
  <c r="O82" i="25"/>
  <c r="O75" i="25"/>
  <c r="O74" i="25"/>
  <c r="O69" i="25"/>
  <c r="O97" i="25"/>
  <c r="O105" i="25"/>
  <c r="O106" i="25"/>
  <c r="O100" i="25"/>
  <c r="O91" i="25"/>
  <c r="O6" i="25" s="1"/>
  <c r="N86" i="25"/>
  <c r="O92" i="25"/>
  <c r="O98" i="25"/>
  <c r="O68" i="25"/>
  <c r="O79" i="25"/>
  <c r="O81" i="25"/>
  <c r="O73" i="25"/>
  <c r="O80" i="25"/>
  <c r="O93" i="25"/>
  <c r="O104" i="25"/>
  <c r="O95" i="25"/>
  <c r="N88" i="25"/>
  <c r="P91" i="25" l="1"/>
  <c r="P6" i="25" s="1"/>
  <c r="P94" i="25"/>
  <c r="O8" i="25"/>
  <c r="Q43" i="25"/>
  <c r="Q4" i="25" s="1"/>
  <c r="Q5" i="25" s="1"/>
  <c r="Q50" i="25"/>
  <c r="Q51" i="25"/>
  <c r="Q52" i="25"/>
  <c r="Q44" i="25"/>
  <c r="Q45" i="25"/>
  <c r="Q46" i="25"/>
  <c r="Q47" i="25"/>
  <c r="Q48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32" i="25"/>
  <c r="Q36" i="25"/>
  <c r="Q26" i="25"/>
  <c r="Q28" i="25"/>
  <c r="Q31" i="25"/>
  <c r="Q35" i="25"/>
  <c r="Q27" i="25"/>
  <c r="Q34" i="25"/>
  <c r="Q37" i="25"/>
  <c r="Q39" i="25"/>
  <c r="Q33" i="25"/>
  <c r="Q42" i="25"/>
  <c r="Q30" i="25"/>
  <c r="Q38" i="25"/>
  <c r="Q41" i="25"/>
  <c r="Q49" i="25"/>
  <c r="Q29" i="25"/>
  <c r="Q40" i="25"/>
  <c r="P92" i="25"/>
  <c r="P98" i="25"/>
  <c r="P106" i="25"/>
  <c r="P101" i="25"/>
  <c r="O85" i="25"/>
  <c r="O90" i="25"/>
  <c r="P86" i="25"/>
  <c r="P80" i="25"/>
  <c r="P74" i="25"/>
  <c r="P95" i="25"/>
  <c r="P99" i="25"/>
  <c r="P7" i="25" s="1"/>
  <c r="P105" i="25"/>
  <c r="P96" i="25"/>
  <c r="P70" i="25"/>
  <c r="O86" i="25"/>
  <c r="O89" i="25"/>
  <c r="O87" i="25"/>
  <c r="P75" i="25"/>
  <c r="O88" i="25"/>
  <c r="P73" i="25"/>
  <c r="P76" i="25"/>
  <c r="P79" i="25"/>
  <c r="R2" i="25"/>
  <c r="P83" i="25"/>
  <c r="P102" i="25"/>
  <c r="P93" i="25"/>
  <c r="P84" i="25"/>
  <c r="P100" i="25"/>
  <c r="P68" i="25"/>
  <c r="P78" i="25"/>
  <c r="P69" i="25"/>
  <c r="P72" i="25"/>
  <c r="P77" i="25"/>
  <c r="P82" i="25"/>
  <c r="P71" i="25"/>
  <c r="P81" i="25"/>
  <c r="P103" i="25"/>
  <c r="P97" i="25"/>
  <c r="P104" i="25"/>
  <c r="P8" i="25" l="1"/>
  <c r="Q92" i="25"/>
  <c r="Q103" i="25"/>
  <c r="Q73" i="25"/>
  <c r="Q69" i="25"/>
  <c r="R43" i="25"/>
  <c r="R4" i="25" s="1"/>
  <c r="R5" i="25" s="1"/>
  <c r="R44" i="25"/>
  <c r="R45" i="25"/>
  <c r="R46" i="25"/>
  <c r="R47" i="25"/>
  <c r="R48" i="25"/>
  <c r="R49" i="25"/>
  <c r="R26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29" i="25"/>
  <c r="R33" i="25"/>
  <c r="R37" i="25"/>
  <c r="R32" i="25"/>
  <c r="R36" i="25"/>
  <c r="R28" i="25"/>
  <c r="R35" i="25"/>
  <c r="R39" i="25"/>
  <c r="R40" i="25"/>
  <c r="R51" i="25"/>
  <c r="R38" i="25"/>
  <c r="R50" i="25"/>
  <c r="R52" i="25"/>
  <c r="R27" i="25"/>
  <c r="R34" i="25"/>
  <c r="R31" i="25"/>
  <c r="R42" i="25"/>
  <c r="R30" i="25"/>
  <c r="R41" i="25"/>
  <c r="Q70" i="25"/>
  <c r="Q100" i="25"/>
  <c r="Q94" i="25"/>
  <c r="Q91" i="25"/>
  <c r="Q6" i="25" s="1"/>
  <c r="Q96" i="25"/>
  <c r="Q99" i="25"/>
  <c r="Q7" i="25" s="1"/>
  <c r="Q104" i="25"/>
  <c r="Q76" i="25"/>
  <c r="Q77" i="25"/>
  <c r="Q80" i="25"/>
  <c r="Q83" i="25"/>
  <c r="Q74" i="25"/>
  <c r="Q71" i="25"/>
  <c r="Q84" i="25"/>
  <c r="Q95" i="25"/>
  <c r="Q102" i="25"/>
  <c r="Q97" i="25"/>
  <c r="P87" i="25"/>
  <c r="Q68" i="25"/>
  <c r="Q75" i="25"/>
  <c r="Q106" i="25"/>
  <c r="Q101" i="25"/>
  <c r="P85" i="25"/>
  <c r="P90" i="25"/>
  <c r="Q72" i="25"/>
  <c r="Q79" i="25"/>
  <c r="Q78" i="25"/>
  <c r="Q105" i="25"/>
  <c r="P88" i="25"/>
  <c r="S2" i="25"/>
  <c r="Q81" i="25"/>
  <c r="Q82" i="25"/>
  <c r="Q87" i="25"/>
  <c r="Q98" i="25"/>
  <c r="Q93" i="25"/>
  <c r="P89" i="25"/>
  <c r="R73" i="25" l="1"/>
  <c r="R81" i="25"/>
  <c r="R93" i="25"/>
  <c r="R74" i="25"/>
  <c r="R78" i="25"/>
  <c r="R92" i="25"/>
  <c r="R96" i="25"/>
  <c r="R100" i="25"/>
  <c r="R97" i="25"/>
  <c r="R95" i="25"/>
  <c r="R91" i="25"/>
  <c r="R6" i="25" s="1"/>
  <c r="R69" i="25"/>
  <c r="R80" i="25"/>
  <c r="Q8" i="25"/>
  <c r="R70" i="25"/>
  <c r="R71" i="25"/>
  <c r="R82" i="25"/>
  <c r="S44" i="25"/>
  <c r="S45" i="25"/>
  <c r="S46" i="25"/>
  <c r="S47" i="25"/>
  <c r="S48" i="25"/>
  <c r="S49" i="25"/>
  <c r="S43" i="25"/>
  <c r="S4" i="25" s="1"/>
  <c r="S5" i="25" s="1"/>
  <c r="S50" i="25"/>
  <c r="S51" i="25"/>
  <c r="S52" i="25"/>
  <c r="S27" i="25"/>
  <c r="S26" i="25"/>
  <c r="S68" i="25" s="1"/>
  <c r="S53" i="25"/>
  <c r="S54" i="25"/>
  <c r="S55" i="25"/>
  <c r="S56" i="25"/>
  <c r="S57" i="25"/>
  <c r="S58" i="25"/>
  <c r="S59" i="25"/>
  <c r="S60" i="25"/>
  <c r="S61" i="25"/>
  <c r="S62" i="25"/>
  <c r="S63" i="25"/>
  <c r="S64" i="25"/>
  <c r="S30" i="25"/>
  <c r="S34" i="25"/>
  <c r="S38" i="25"/>
  <c r="S29" i="25"/>
  <c r="S33" i="25"/>
  <c r="S37" i="25"/>
  <c r="S36" i="25"/>
  <c r="S41" i="25"/>
  <c r="S28" i="25"/>
  <c r="S35" i="25"/>
  <c r="S39" i="25"/>
  <c r="S40" i="25"/>
  <c r="S32" i="25"/>
  <c r="S31" i="25"/>
  <c r="S42" i="25"/>
  <c r="R75" i="25"/>
  <c r="R79" i="25"/>
  <c r="Q89" i="25"/>
  <c r="R99" i="25"/>
  <c r="R7" i="25" s="1"/>
  <c r="R104" i="25"/>
  <c r="R101" i="25"/>
  <c r="R94" i="25"/>
  <c r="R105" i="25"/>
  <c r="Q90" i="25"/>
  <c r="Q85" i="25"/>
  <c r="R68" i="25"/>
  <c r="R84" i="25"/>
  <c r="R103" i="25"/>
  <c r="R98" i="25"/>
  <c r="R83" i="25"/>
  <c r="R72" i="25"/>
  <c r="R89" i="25"/>
  <c r="R102" i="25"/>
  <c r="Q86" i="25"/>
  <c r="R77" i="25"/>
  <c r="R88" i="25"/>
  <c r="R76" i="25"/>
  <c r="R106" i="25"/>
  <c r="Q88" i="25"/>
  <c r="S70" i="25" l="1"/>
  <c r="S71" i="25"/>
  <c r="S69" i="25"/>
  <c r="S79" i="25"/>
  <c r="R8" i="25"/>
  <c r="S75" i="25"/>
  <c r="T43" i="25"/>
  <c r="T4" i="25" s="1"/>
  <c r="T5" i="25" s="1"/>
  <c r="T28" i="25"/>
  <c r="T44" i="25"/>
  <c r="T45" i="25"/>
  <c r="T46" i="25"/>
  <c r="T47" i="25"/>
  <c r="T48" i="25"/>
  <c r="T49" i="25"/>
  <c r="T50" i="25"/>
  <c r="T51" i="25"/>
  <c r="T52" i="25"/>
  <c r="T27" i="25"/>
  <c r="T31" i="25"/>
  <c r="T35" i="25"/>
  <c r="T39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30" i="25"/>
  <c r="T34" i="25"/>
  <c r="T38" i="25"/>
  <c r="T26" i="25"/>
  <c r="T29" i="25"/>
  <c r="T37" i="25"/>
  <c r="T42" i="25"/>
  <c r="T36" i="25"/>
  <c r="T41" i="25"/>
  <c r="T33" i="25"/>
  <c r="T40" i="25"/>
  <c r="T32" i="25"/>
  <c r="X43" i="25"/>
  <c r="X4" i="25" s="1"/>
  <c r="X5" i="25" s="1"/>
  <c r="X49" i="25"/>
  <c r="X50" i="25"/>
  <c r="X51" i="25"/>
  <c r="X52" i="25"/>
  <c r="X44" i="25"/>
  <c r="X46" i="25"/>
  <c r="X48" i="25"/>
  <c r="X26" i="25"/>
  <c r="X31" i="25"/>
  <c r="X35" i="25"/>
  <c r="X39" i="25"/>
  <c r="X30" i="25"/>
  <c r="X34" i="25"/>
  <c r="X38" i="25"/>
  <c r="X47" i="25"/>
  <c r="X33" i="25"/>
  <c r="X42" i="25"/>
  <c r="X28" i="25"/>
  <c r="X53" i="25"/>
  <c r="X54" i="25"/>
  <c r="X55" i="25"/>
  <c r="X56" i="25"/>
  <c r="X57" i="25"/>
  <c r="X58" i="25"/>
  <c r="X59" i="25"/>
  <c r="X60" i="25"/>
  <c r="X61" i="25"/>
  <c r="X62" i="25"/>
  <c r="X63" i="25"/>
  <c r="X64" i="25"/>
  <c r="X32" i="25"/>
  <c r="X41" i="25"/>
  <c r="X45" i="25"/>
  <c r="X29" i="25"/>
  <c r="X37" i="25"/>
  <c r="X40" i="25"/>
  <c r="X27" i="25"/>
  <c r="X36" i="25"/>
  <c r="S101" i="25"/>
  <c r="S93" i="25"/>
  <c r="S72" i="25"/>
  <c r="S78" i="25"/>
  <c r="S82" i="25"/>
  <c r="S94" i="25"/>
  <c r="S102" i="25"/>
  <c r="S92" i="25"/>
  <c r="S83" i="25"/>
  <c r="S99" i="25"/>
  <c r="S89" i="25"/>
  <c r="S84" i="25"/>
  <c r="S105" i="25"/>
  <c r="S96" i="25"/>
  <c r="S103" i="25"/>
  <c r="R85" i="25"/>
  <c r="R90" i="25"/>
  <c r="S73" i="25"/>
  <c r="S97" i="25"/>
  <c r="S106" i="25"/>
  <c r="S100" i="25"/>
  <c r="S91" i="25"/>
  <c r="S6" i="25" s="1"/>
  <c r="Y2" i="25"/>
  <c r="AC2" i="25"/>
  <c r="R86" i="25"/>
  <c r="R87" i="25"/>
  <c r="U2" i="25"/>
  <c r="S81" i="25"/>
  <c r="S74" i="25"/>
  <c r="S76" i="25"/>
  <c r="S77" i="25"/>
  <c r="S80" i="25"/>
  <c r="S98" i="25"/>
  <c r="S88" i="25"/>
  <c r="S104" i="25"/>
  <c r="S95" i="25"/>
  <c r="X105" i="25" l="1"/>
  <c r="T104" i="25"/>
  <c r="X91" i="25"/>
  <c r="X6" i="25" s="1"/>
  <c r="X102" i="25"/>
  <c r="X94" i="25"/>
  <c r="AC43" i="25"/>
  <c r="AC4" i="25" s="1"/>
  <c r="AC5" i="25" s="1"/>
  <c r="AC49" i="25"/>
  <c r="AC50" i="25"/>
  <c r="AC51" i="25"/>
  <c r="AC52" i="25"/>
  <c r="AC44" i="25"/>
  <c r="AC45" i="25"/>
  <c r="AC46" i="25"/>
  <c r="AC47" i="25"/>
  <c r="AC48" i="25"/>
  <c r="AC53" i="25"/>
  <c r="AC54" i="25"/>
  <c r="AC55" i="25"/>
  <c r="AC56" i="25"/>
  <c r="AC57" i="25"/>
  <c r="AC58" i="25"/>
  <c r="AC59" i="25"/>
  <c r="AC60" i="25"/>
  <c r="AC61" i="25"/>
  <c r="AC62" i="25"/>
  <c r="AC63" i="25"/>
  <c r="AC64" i="25"/>
  <c r="AC28" i="25"/>
  <c r="AC32" i="25"/>
  <c r="AC36" i="25"/>
  <c r="AC31" i="25"/>
  <c r="AC35" i="25"/>
  <c r="AC30" i="25"/>
  <c r="AC38" i="25"/>
  <c r="AC39" i="25"/>
  <c r="AC41" i="25"/>
  <c r="AC33" i="25"/>
  <c r="AC40" i="25"/>
  <c r="AC27" i="25"/>
  <c r="AC29" i="25"/>
  <c r="AC37" i="25"/>
  <c r="AC42" i="25"/>
  <c r="AC34" i="25"/>
  <c r="AC26" i="25"/>
  <c r="Y43" i="25"/>
  <c r="Y4" i="25" s="1"/>
  <c r="Y5" i="25" s="1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27" i="25"/>
  <c r="Y28" i="25"/>
  <c r="Y32" i="25"/>
  <c r="Y36" i="25"/>
  <c r="Y44" i="25"/>
  <c r="Y46" i="25"/>
  <c r="Y48" i="25"/>
  <c r="Y26" i="25"/>
  <c r="Y31" i="25"/>
  <c r="Y35" i="25"/>
  <c r="Y34" i="25"/>
  <c r="Y45" i="25"/>
  <c r="Y29" i="25"/>
  <c r="Y47" i="25"/>
  <c r="Y33" i="25"/>
  <c r="Y39" i="25"/>
  <c r="Y42" i="25"/>
  <c r="Y30" i="25"/>
  <c r="Y38" i="25"/>
  <c r="Y41" i="25"/>
  <c r="Y37" i="25"/>
  <c r="Y40" i="25"/>
  <c r="J16" i="25"/>
  <c r="U43" i="25"/>
  <c r="U4" i="25" s="1"/>
  <c r="U5" i="25" s="1"/>
  <c r="U44" i="25"/>
  <c r="U45" i="25"/>
  <c r="U46" i="25"/>
  <c r="U47" i="25"/>
  <c r="U48" i="25"/>
  <c r="U49" i="25"/>
  <c r="U50" i="25"/>
  <c r="U51" i="25"/>
  <c r="U52" i="25"/>
  <c r="U53" i="25"/>
  <c r="U54" i="25"/>
  <c r="U55" i="25"/>
  <c r="U56" i="25"/>
  <c r="U57" i="25"/>
  <c r="U58" i="25"/>
  <c r="U59" i="25"/>
  <c r="U60" i="25"/>
  <c r="U61" i="25"/>
  <c r="U62" i="25"/>
  <c r="U63" i="25"/>
  <c r="U64" i="25"/>
  <c r="U28" i="25"/>
  <c r="U32" i="25"/>
  <c r="U36" i="25"/>
  <c r="U27" i="25"/>
  <c r="U31" i="25"/>
  <c r="U35" i="25"/>
  <c r="U30" i="25"/>
  <c r="U38" i="25"/>
  <c r="U41" i="25"/>
  <c r="U40" i="25"/>
  <c r="U26" i="25"/>
  <c r="U29" i="25"/>
  <c r="U37" i="25"/>
  <c r="U42" i="25"/>
  <c r="U34" i="25"/>
  <c r="U39" i="25"/>
  <c r="U33" i="25"/>
  <c r="J15" i="25"/>
  <c r="S7" i="25"/>
  <c r="S8" i="25" s="1"/>
  <c r="T91" i="25"/>
  <c r="T6" i="25" s="1"/>
  <c r="T94" i="25"/>
  <c r="T97" i="25"/>
  <c r="T102" i="25"/>
  <c r="X96" i="25"/>
  <c r="X75" i="25"/>
  <c r="X82" i="25"/>
  <c r="J17" i="25"/>
  <c r="T103" i="25"/>
  <c r="T68" i="25"/>
  <c r="T75" i="25"/>
  <c r="T72" i="25"/>
  <c r="T73" i="25"/>
  <c r="T89" i="25"/>
  <c r="T70" i="25"/>
  <c r="T95" i="25"/>
  <c r="T99" i="25"/>
  <c r="T7" i="25" s="1"/>
  <c r="T106" i="25"/>
  <c r="T101" i="25"/>
  <c r="T92" i="25"/>
  <c r="X68" i="25"/>
  <c r="X69" i="25"/>
  <c r="X78" i="25"/>
  <c r="X71" i="25"/>
  <c r="X95" i="25"/>
  <c r="X99" i="25"/>
  <c r="X7" i="25" s="1"/>
  <c r="X93" i="25"/>
  <c r="X84" i="25"/>
  <c r="X100" i="25"/>
  <c r="J18" i="25"/>
  <c r="T105" i="25"/>
  <c r="T96" i="25"/>
  <c r="X72" i="25"/>
  <c r="X79" i="25"/>
  <c r="X80" i="25"/>
  <c r="X70" i="25"/>
  <c r="X77" i="25"/>
  <c r="X103" i="25"/>
  <c r="X97" i="25"/>
  <c r="X88" i="25"/>
  <c r="X104" i="25"/>
  <c r="S85" i="25"/>
  <c r="S90" i="25"/>
  <c r="T82" i="25"/>
  <c r="T80" i="25"/>
  <c r="AD2" i="25"/>
  <c r="X89" i="25"/>
  <c r="T76" i="25"/>
  <c r="Z2" i="25"/>
  <c r="V2" i="25"/>
  <c r="T69" i="25"/>
  <c r="T74" i="25"/>
  <c r="T81" i="25"/>
  <c r="T98" i="25"/>
  <c r="T79" i="25"/>
  <c r="T71" i="25"/>
  <c r="T77" i="25"/>
  <c r="T78" i="25"/>
  <c r="T83" i="25"/>
  <c r="T93" i="25"/>
  <c r="T84" i="25"/>
  <c r="T100" i="25"/>
  <c r="X83" i="25"/>
  <c r="X76" i="25"/>
  <c r="AH2" i="25"/>
  <c r="X73" i="25"/>
  <c r="X74" i="25"/>
  <c r="X81" i="25"/>
  <c r="X98" i="25"/>
  <c r="X106" i="25"/>
  <c r="X101" i="25"/>
  <c r="X92" i="25"/>
  <c r="J13" i="25"/>
  <c r="J14" i="25"/>
  <c r="S87" i="25"/>
  <c r="S86" i="25"/>
  <c r="X8" i="25" l="1"/>
  <c r="AC91" i="25"/>
  <c r="AC6" i="25" s="1"/>
  <c r="AC92" i="25"/>
  <c r="U92" i="25"/>
  <c r="U99" i="25"/>
  <c r="U7" i="25" s="1"/>
  <c r="U73" i="25"/>
  <c r="Y99" i="25"/>
  <c r="Y7" i="25" s="1"/>
  <c r="Y77" i="25"/>
  <c r="Y73" i="25"/>
  <c r="AC95" i="25"/>
  <c r="V44" i="25"/>
  <c r="V45" i="25"/>
  <c r="V46" i="25"/>
  <c r="V47" i="25"/>
  <c r="V48" i="25"/>
  <c r="V26" i="25"/>
  <c r="V43" i="25"/>
  <c r="V4" i="25" s="1"/>
  <c r="V5" i="25" s="1"/>
  <c r="V53" i="25"/>
  <c r="V54" i="25"/>
  <c r="V55" i="25"/>
  <c r="V56" i="25"/>
  <c r="V57" i="25"/>
  <c r="V58" i="25"/>
  <c r="V59" i="25"/>
  <c r="V60" i="25"/>
  <c r="V61" i="25"/>
  <c r="V62" i="25"/>
  <c r="V63" i="25"/>
  <c r="V64" i="25"/>
  <c r="V49" i="25"/>
  <c r="V50" i="25"/>
  <c r="V51" i="25"/>
  <c r="V52" i="25"/>
  <c r="V29" i="25"/>
  <c r="V33" i="25"/>
  <c r="V37" i="25"/>
  <c r="V28" i="25"/>
  <c r="V32" i="25"/>
  <c r="V36" i="25"/>
  <c r="V31" i="25"/>
  <c r="V40" i="25"/>
  <c r="V42" i="25"/>
  <c r="V41" i="25"/>
  <c r="V30" i="25"/>
  <c r="V38" i="25"/>
  <c r="V27" i="25"/>
  <c r="V35" i="25"/>
  <c r="V34" i="25"/>
  <c r="V39" i="25"/>
  <c r="AD43" i="25"/>
  <c r="AD4" i="25" s="1"/>
  <c r="AD5" i="25" s="1"/>
  <c r="AD49" i="25"/>
  <c r="AD50" i="25"/>
  <c r="AD51" i="25"/>
  <c r="AD52" i="25"/>
  <c r="AD26" i="25"/>
  <c r="AD44" i="25"/>
  <c r="AD45" i="25"/>
  <c r="AD46" i="25"/>
  <c r="AD47" i="25"/>
  <c r="AD48" i="25"/>
  <c r="AD53" i="25"/>
  <c r="AD54" i="25"/>
  <c r="AD55" i="25"/>
  <c r="AD56" i="25"/>
  <c r="AD57" i="25"/>
  <c r="AD58" i="25"/>
  <c r="AD59" i="25"/>
  <c r="AD60" i="25"/>
  <c r="AD61" i="25"/>
  <c r="AD62" i="25"/>
  <c r="AD63" i="25"/>
  <c r="AD64" i="25"/>
  <c r="AD27" i="25"/>
  <c r="AD29" i="25"/>
  <c r="AD33" i="25"/>
  <c r="AD37" i="25"/>
  <c r="AD28" i="25"/>
  <c r="AD32" i="25"/>
  <c r="AD36" i="25"/>
  <c r="AD31" i="25"/>
  <c r="AD40" i="25"/>
  <c r="AD42" i="25"/>
  <c r="AD34" i="25"/>
  <c r="AD41" i="25"/>
  <c r="AD30" i="25"/>
  <c r="AD38" i="25"/>
  <c r="AD39" i="25"/>
  <c r="AD35" i="25"/>
  <c r="Y84" i="25"/>
  <c r="T8" i="25"/>
  <c r="AH43" i="25"/>
  <c r="AH4" i="25" s="1"/>
  <c r="AH5" i="25" s="1"/>
  <c r="AH26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45" i="25"/>
  <c r="AH47" i="25"/>
  <c r="AH29" i="25"/>
  <c r="AH33" i="25"/>
  <c r="AH37" i="25"/>
  <c r="AH49" i="25"/>
  <c r="AH50" i="25"/>
  <c r="AH51" i="25"/>
  <c r="AH52" i="25"/>
  <c r="AH28" i="25"/>
  <c r="AH32" i="25"/>
  <c r="AH36" i="25"/>
  <c r="AH44" i="25"/>
  <c r="AH35" i="25"/>
  <c r="AH40" i="25"/>
  <c r="AH27" i="25"/>
  <c r="AH38" i="25"/>
  <c r="AH48" i="25"/>
  <c r="AH34" i="25"/>
  <c r="AH39" i="25"/>
  <c r="AH46" i="25"/>
  <c r="AH31" i="25"/>
  <c r="AH42" i="25"/>
  <c r="AH30" i="25"/>
  <c r="AH41" i="25"/>
  <c r="Z44" i="25"/>
  <c r="Z45" i="25"/>
  <c r="Z46" i="25"/>
  <c r="Z47" i="25"/>
  <c r="Z48" i="25"/>
  <c r="Z26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29" i="25"/>
  <c r="Z33" i="25"/>
  <c r="Z37" i="25"/>
  <c r="Z27" i="25"/>
  <c r="Z28" i="25"/>
  <c r="Z32" i="25"/>
  <c r="Z36" i="25"/>
  <c r="Z43" i="25"/>
  <c r="Z4" i="25" s="1"/>
  <c r="Z5" i="25" s="1"/>
  <c r="Z35" i="25"/>
  <c r="Z40" i="25"/>
  <c r="Z30" i="25"/>
  <c r="Z34" i="25"/>
  <c r="Z31" i="25"/>
  <c r="Z39" i="25"/>
  <c r="Z42" i="25"/>
  <c r="Z38" i="25"/>
  <c r="Z41" i="25"/>
  <c r="Y69" i="25"/>
  <c r="J19" i="25"/>
  <c r="T87" i="25"/>
  <c r="U103" i="25"/>
  <c r="U94" i="25"/>
  <c r="U105" i="25"/>
  <c r="Y95" i="25"/>
  <c r="U95" i="25"/>
  <c r="U96" i="25"/>
  <c r="U100" i="25"/>
  <c r="U98" i="25"/>
  <c r="U93" i="25"/>
  <c r="Y96" i="25"/>
  <c r="Y91" i="25"/>
  <c r="Y6" i="25" s="1"/>
  <c r="AC99" i="25"/>
  <c r="AC7" i="25" s="1"/>
  <c r="AC94" i="25"/>
  <c r="AC105" i="25"/>
  <c r="U80" i="25"/>
  <c r="U77" i="25"/>
  <c r="U76" i="25"/>
  <c r="U84" i="25"/>
  <c r="U71" i="25"/>
  <c r="U82" i="25"/>
  <c r="U83" i="25"/>
  <c r="Y72" i="25"/>
  <c r="Y80" i="25"/>
  <c r="Y83" i="25"/>
  <c r="Y94" i="25"/>
  <c r="Y105" i="25"/>
  <c r="T86" i="25"/>
  <c r="AC96" i="25"/>
  <c r="U91" i="25"/>
  <c r="U6" i="25" s="1"/>
  <c r="T88" i="25"/>
  <c r="AC68" i="25"/>
  <c r="AC71" i="25"/>
  <c r="AC73" i="25"/>
  <c r="AC76" i="25"/>
  <c r="AC74" i="25"/>
  <c r="AC75" i="25"/>
  <c r="AC82" i="25"/>
  <c r="AC103" i="25"/>
  <c r="AC100" i="25"/>
  <c r="AC98" i="25"/>
  <c r="AC93" i="25"/>
  <c r="U79" i="25"/>
  <c r="U72" i="25"/>
  <c r="U75" i="25"/>
  <c r="U88" i="25"/>
  <c r="U104" i="25"/>
  <c r="U102" i="25"/>
  <c r="U97" i="25"/>
  <c r="Y79" i="25"/>
  <c r="Y76" i="25"/>
  <c r="AI2" i="25"/>
  <c r="Y92" i="25"/>
  <c r="Y104" i="25"/>
  <c r="Y98" i="25"/>
  <c r="Y93" i="25"/>
  <c r="X85" i="25"/>
  <c r="X90" i="25"/>
  <c r="AC69" i="25"/>
  <c r="Y86" i="25"/>
  <c r="AC70" i="25"/>
  <c r="AC89" i="25"/>
  <c r="AC80" i="25"/>
  <c r="AC72" i="25"/>
  <c r="AC77" i="25"/>
  <c r="AC87" i="25"/>
  <c r="AC84" i="25"/>
  <c r="AC104" i="25"/>
  <c r="AC102" i="25"/>
  <c r="AC97" i="25"/>
  <c r="U69" i="25"/>
  <c r="U74" i="25"/>
  <c r="U81" i="25"/>
  <c r="W2" i="25"/>
  <c r="U87" i="25"/>
  <c r="U106" i="25"/>
  <c r="U101" i="25"/>
  <c r="Y74" i="25"/>
  <c r="Y81" i="25"/>
  <c r="Y70" i="25"/>
  <c r="Y71" i="25"/>
  <c r="Y78" i="25"/>
  <c r="Y100" i="25"/>
  <c r="Y103" i="25"/>
  <c r="Y102" i="25"/>
  <c r="Y97" i="25"/>
  <c r="X86" i="25"/>
  <c r="T85" i="25"/>
  <c r="T90" i="25"/>
  <c r="AC78" i="25"/>
  <c r="AC79" i="25"/>
  <c r="AC81" i="25"/>
  <c r="AC83" i="25"/>
  <c r="AM2" i="25"/>
  <c r="AC88" i="25"/>
  <c r="AC106" i="25"/>
  <c r="AC101" i="25"/>
  <c r="U68" i="25"/>
  <c r="U70" i="25"/>
  <c r="AA2" i="25"/>
  <c r="AE2" i="25"/>
  <c r="U78" i="25"/>
  <c r="U89" i="25"/>
  <c r="Y68" i="25"/>
  <c r="Y75" i="25"/>
  <c r="Y82" i="25"/>
  <c r="Y106" i="25"/>
  <c r="Y101" i="25"/>
  <c r="X87" i="25"/>
  <c r="AC8" i="25" l="1"/>
  <c r="V100" i="25"/>
  <c r="V96" i="25"/>
  <c r="Z101" i="25"/>
  <c r="Z97" i="25"/>
  <c r="AD81" i="25"/>
  <c r="AD78" i="25"/>
  <c r="Z80" i="25"/>
  <c r="Z69" i="25"/>
  <c r="U8" i="25"/>
  <c r="Z70" i="25"/>
  <c r="V93" i="25"/>
  <c r="V105" i="25"/>
  <c r="AH80" i="25"/>
  <c r="AD97" i="25"/>
  <c r="V77" i="25"/>
  <c r="Y8" i="25"/>
  <c r="AD74" i="25"/>
  <c r="AD105" i="25"/>
  <c r="AH97" i="25"/>
  <c r="AD71" i="25"/>
  <c r="AD70" i="25"/>
  <c r="AD69" i="25"/>
  <c r="AH100" i="25"/>
  <c r="AH104" i="25"/>
  <c r="AH96" i="25"/>
  <c r="AH101" i="25"/>
  <c r="AD77" i="25"/>
  <c r="AD73" i="25"/>
  <c r="AH92" i="25"/>
  <c r="AD101" i="25"/>
  <c r="AD92" i="25"/>
  <c r="V75" i="25"/>
  <c r="V74" i="25"/>
  <c r="AD91" i="25"/>
  <c r="AD6" i="25" s="1"/>
  <c r="Z74" i="25"/>
  <c r="AH99" i="25"/>
  <c r="AH7" i="25" s="1"/>
  <c r="AD104" i="25"/>
  <c r="AD100" i="25"/>
  <c r="AD96" i="25"/>
  <c r="V95" i="25"/>
  <c r="AD93" i="25"/>
  <c r="Z81" i="25"/>
  <c r="Z77" i="25"/>
  <c r="Z71" i="25"/>
  <c r="AH93" i="25"/>
  <c r="AD95" i="25"/>
  <c r="V70" i="25"/>
  <c r="AE44" i="25"/>
  <c r="AE45" i="25"/>
  <c r="AE46" i="25"/>
  <c r="AE47" i="25"/>
  <c r="AE48" i="25"/>
  <c r="AE43" i="25"/>
  <c r="AE4" i="25" s="1"/>
  <c r="AE5" i="25" s="1"/>
  <c r="AE27" i="25"/>
  <c r="AE49" i="25"/>
  <c r="AE50" i="25"/>
  <c r="AE51" i="25"/>
  <c r="AE52" i="25"/>
  <c r="AE26" i="25"/>
  <c r="AE30" i="25"/>
  <c r="AE34" i="25"/>
  <c r="AE38" i="25"/>
  <c r="AE29" i="25"/>
  <c r="AE33" i="25"/>
  <c r="AE37" i="25"/>
  <c r="AE32" i="25"/>
  <c r="AE41" i="25"/>
  <c r="AE35" i="25"/>
  <c r="AE42" i="25"/>
  <c r="AE31" i="25"/>
  <c r="AE40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28" i="25"/>
  <c r="AE36" i="25"/>
  <c r="AE39" i="25"/>
  <c r="AM44" i="25"/>
  <c r="AM45" i="25"/>
  <c r="AM46" i="25"/>
  <c r="AM47" i="25"/>
  <c r="AM48" i="25"/>
  <c r="AM43" i="25"/>
  <c r="AM4" i="25" s="1"/>
  <c r="AM5" i="25" s="1"/>
  <c r="AM27" i="25"/>
  <c r="AM26" i="25"/>
  <c r="AM30" i="25"/>
  <c r="AM34" i="25"/>
  <c r="AM38" i="25"/>
  <c r="AM29" i="25"/>
  <c r="AM33" i="25"/>
  <c r="AM37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32" i="25"/>
  <c r="AM41" i="25"/>
  <c r="AM49" i="25"/>
  <c r="AM42" i="25"/>
  <c r="AM50" i="25"/>
  <c r="AM52" i="25"/>
  <c r="AM31" i="25"/>
  <c r="AM40" i="25"/>
  <c r="AM28" i="25"/>
  <c r="AM36" i="25"/>
  <c r="AM39" i="25"/>
  <c r="AM51" i="25"/>
  <c r="AM35" i="25"/>
  <c r="AI44" i="25"/>
  <c r="AI45" i="25"/>
  <c r="AI46" i="25"/>
  <c r="AI47" i="25"/>
  <c r="AI48" i="25"/>
  <c r="AI43" i="25"/>
  <c r="AI4" i="25" s="1"/>
  <c r="AI5" i="25" s="1"/>
  <c r="AI49" i="25"/>
  <c r="AI50" i="25"/>
  <c r="AI51" i="25"/>
  <c r="AI52" i="25"/>
  <c r="AI27" i="25"/>
  <c r="AI26" i="25"/>
  <c r="AI53" i="25"/>
  <c r="AI54" i="25"/>
  <c r="AI55" i="25"/>
  <c r="AI56" i="25"/>
  <c r="AI57" i="25"/>
  <c r="AI58" i="25"/>
  <c r="AI59" i="25"/>
  <c r="AI60" i="25"/>
  <c r="AI61" i="25"/>
  <c r="AI62" i="25"/>
  <c r="AI63" i="25"/>
  <c r="AI64" i="25"/>
  <c r="AI30" i="25"/>
  <c r="AI34" i="25"/>
  <c r="AI38" i="25"/>
  <c r="AI29" i="25"/>
  <c r="AI33" i="25"/>
  <c r="AI37" i="25"/>
  <c r="AI28" i="25"/>
  <c r="AI36" i="25"/>
  <c r="AI41" i="25"/>
  <c r="AI35" i="25"/>
  <c r="AI40" i="25"/>
  <c r="AI32" i="25"/>
  <c r="AI39" i="25"/>
  <c r="AI31" i="25"/>
  <c r="AI42" i="25"/>
  <c r="AA44" i="25"/>
  <c r="AA45" i="25"/>
  <c r="AA46" i="25"/>
  <c r="AA47" i="25"/>
  <c r="AA48" i="25"/>
  <c r="AA27" i="25"/>
  <c r="AA26" i="25"/>
  <c r="AA53" i="25"/>
  <c r="AA54" i="25"/>
  <c r="AA55" i="25"/>
  <c r="AA56" i="25"/>
  <c r="AA57" i="25"/>
  <c r="AA58" i="25"/>
  <c r="AA59" i="25"/>
  <c r="AA60" i="25"/>
  <c r="AA61" i="25"/>
  <c r="AA62" i="25"/>
  <c r="AA63" i="25"/>
  <c r="AA64" i="25"/>
  <c r="AA30" i="25"/>
  <c r="AA34" i="25"/>
  <c r="AA38" i="25"/>
  <c r="AA29" i="25"/>
  <c r="AA33" i="25"/>
  <c r="AA37" i="25"/>
  <c r="AA49" i="25"/>
  <c r="AA51" i="25"/>
  <c r="AA28" i="25"/>
  <c r="AA36" i="25"/>
  <c r="AA41" i="25"/>
  <c r="AA31" i="25"/>
  <c r="AA39" i="25"/>
  <c r="AA43" i="25"/>
  <c r="AA4" i="25" s="1"/>
  <c r="AA5" i="25" s="1"/>
  <c r="AA35" i="25"/>
  <c r="AA40" i="25"/>
  <c r="AA50" i="25"/>
  <c r="AA52" i="25"/>
  <c r="AA32" i="25"/>
  <c r="AA42" i="25"/>
  <c r="W44" i="25"/>
  <c r="W45" i="25"/>
  <c r="W46" i="25"/>
  <c r="W47" i="25"/>
  <c r="W48" i="25"/>
  <c r="W43" i="25"/>
  <c r="W4" i="25" s="1"/>
  <c r="W5" i="25" s="1"/>
  <c r="W27" i="25"/>
  <c r="W26" i="25"/>
  <c r="W30" i="25"/>
  <c r="W34" i="25"/>
  <c r="W38" i="25"/>
  <c r="W49" i="25"/>
  <c r="W50" i="25"/>
  <c r="W51" i="25"/>
  <c r="W52" i="25"/>
  <c r="W29" i="25"/>
  <c r="W33" i="25"/>
  <c r="W37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32" i="25"/>
  <c r="W39" i="25"/>
  <c r="W41" i="25"/>
  <c r="W42" i="25"/>
  <c r="W31" i="25"/>
  <c r="W40" i="25"/>
  <c r="W28" i="25"/>
  <c r="W36" i="25"/>
  <c r="W35" i="25"/>
  <c r="Y87" i="25"/>
  <c r="V92" i="25"/>
  <c r="Z75" i="25"/>
  <c r="Z73" i="25"/>
  <c r="Z78" i="25"/>
  <c r="V82" i="25"/>
  <c r="V71" i="25"/>
  <c r="V76" i="25"/>
  <c r="V79" i="25"/>
  <c r="V104" i="25"/>
  <c r="V103" i="25"/>
  <c r="V98" i="25"/>
  <c r="Z82" i="25"/>
  <c r="Z84" i="25"/>
  <c r="Z72" i="25"/>
  <c r="Z79" i="25"/>
  <c r="AH74" i="25"/>
  <c r="AH69" i="25"/>
  <c r="AH71" i="25"/>
  <c r="AH76" i="25"/>
  <c r="AH91" i="25"/>
  <c r="AH6" i="25" s="1"/>
  <c r="AH82" i="25"/>
  <c r="AH98" i="25"/>
  <c r="V91" i="25"/>
  <c r="V6" i="25" s="1"/>
  <c r="AD75" i="25"/>
  <c r="AD76" i="25"/>
  <c r="AD79" i="25"/>
  <c r="AD103" i="25"/>
  <c r="AD98" i="25"/>
  <c r="AD80" i="25"/>
  <c r="Z106" i="25"/>
  <c r="AB2" i="25"/>
  <c r="AJ2" i="25"/>
  <c r="Z68" i="25"/>
  <c r="Z93" i="25"/>
  <c r="Z83" i="25"/>
  <c r="Z104" i="25"/>
  <c r="Z99" i="25"/>
  <c r="Z7" i="25" s="1"/>
  <c r="Z94" i="25"/>
  <c r="AH81" i="25"/>
  <c r="AH78" i="25"/>
  <c r="AH73" i="25"/>
  <c r="AH83" i="25"/>
  <c r="AH77" i="25"/>
  <c r="AH95" i="25"/>
  <c r="AH102" i="25"/>
  <c r="V73" i="25"/>
  <c r="V69" i="25"/>
  <c r="V81" i="25"/>
  <c r="V84" i="25"/>
  <c r="V87" i="25"/>
  <c r="V102" i="25"/>
  <c r="Y90" i="25"/>
  <c r="Y85" i="25"/>
  <c r="AD83" i="25"/>
  <c r="AD88" i="25"/>
  <c r="AD102" i="25"/>
  <c r="U90" i="25"/>
  <c r="U85" i="25"/>
  <c r="AF2" i="25"/>
  <c r="Z92" i="25"/>
  <c r="Z105" i="25"/>
  <c r="Z103" i="25"/>
  <c r="Z98" i="25"/>
  <c r="AH68" i="25"/>
  <c r="AH79" i="25"/>
  <c r="AH106" i="25"/>
  <c r="V68" i="25"/>
  <c r="V83" i="25"/>
  <c r="V106" i="25"/>
  <c r="AC90" i="25"/>
  <c r="AC85" i="25"/>
  <c r="AD89" i="25"/>
  <c r="AD68" i="25"/>
  <c r="AD82" i="25"/>
  <c r="AD106" i="25"/>
  <c r="U86" i="25"/>
  <c r="Z95" i="25"/>
  <c r="AD87" i="25"/>
  <c r="Z96" i="25"/>
  <c r="Z76" i="25"/>
  <c r="Z100" i="25"/>
  <c r="Z91" i="25"/>
  <c r="Z6" i="25" s="1"/>
  <c r="Z86" i="25"/>
  <c r="Z102" i="25"/>
  <c r="AH70" i="25"/>
  <c r="AH75" i="25"/>
  <c r="AH72" i="25"/>
  <c r="AH84" i="25"/>
  <c r="AH105" i="25"/>
  <c r="AH103" i="25"/>
  <c r="AH94" i="25"/>
  <c r="V80" i="25"/>
  <c r="V78" i="25"/>
  <c r="V72" i="25"/>
  <c r="V101" i="25"/>
  <c r="V97" i="25"/>
  <c r="V99" i="25"/>
  <c r="V7" i="25" s="1"/>
  <c r="V94" i="25"/>
  <c r="AC86" i="25"/>
  <c r="Y88" i="25"/>
  <c r="AD72" i="25"/>
  <c r="AD84" i="25"/>
  <c r="AD99" i="25"/>
  <c r="AD7" i="25" s="1"/>
  <c r="AD94" i="25"/>
  <c r="Y89" i="25"/>
  <c r="AE82" i="25" l="1"/>
  <c r="AI71" i="25"/>
  <c r="AE92" i="25"/>
  <c r="AD8" i="25"/>
  <c r="AE93" i="25"/>
  <c r="AE81" i="25"/>
  <c r="AH8" i="25"/>
  <c r="AE102" i="25"/>
  <c r="V8" i="25"/>
  <c r="Z8" i="25"/>
  <c r="AE77" i="25"/>
  <c r="AF44" i="25"/>
  <c r="AF45" i="25"/>
  <c r="AF46" i="25"/>
  <c r="AF47" i="25"/>
  <c r="AF48" i="25"/>
  <c r="AF43" i="25"/>
  <c r="AF4" i="25" s="1"/>
  <c r="AF5" i="25" s="1"/>
  <c r="AF49" i="25"/>
  <c r="AF50" i="25"/>
  <c r="AF51" i="25"/>
  <c r="AF52" i="25"/>
  <c r="AF26" i="25"/>
  <c r="AF31" i="25"/>
  <c r="AF35" i="25"/>
  <c r="AF27" i="25"/>
  <c r="AF30" i="25"/>
  <c r="AF34" i="25"/>
  <c r="AF38" i="25"/>
  <c r="AF33" i="25"/>
  <c r="AF42" i="25"/>
  <c r="AF53" i="25"/>
  <c r="AF54" i="25"/>
  <c r="AF55" i="25"/>
  <c r="AF56" i="25"/>
  <c r="AF57" i="25"/>
  <c r="AF58" i="25"/>
  <c r="AF59" i="25"/>
  <c r="AF60" i="25"/>
  <c r="AF61" i="25"/>
  <c r="AF62" i="25"/>
  <c r="AF63" i="25"/>
  <c r="AF64" i="25"/>
  <c r="AF36" i="25"/>
  <c r="AF32" i="25"/>
  <c r="AF41" i="25"/>
  <c r="AF29" i="25"/>
  <c r="AF37" i="25"/>
  <c r="AF40" i="25"/>
  <c r="AF28" i="25"/>
  <c r="AF39" i="25"/>
  <c r="AJ48" i="25"/>
  <c r="AJ49" i="25"/>
  <c r="AJ50" i="25"/>
  <c r="AJ51" i="25"/>
  <c r="AJ52" i="25"/>
  <c r="AJ43" i="25"/>
  <c r="AJ4" i="25" s="1"/>
  <c r="AJ5" i="25" s="1"/>
  <c r="AJ27" i="25"/>
  <c r="AJ31" i="25"/>
  <c r="AJ35" i="25"/>
  <c r="AJ45" i="25"/>
  <c r="AJ47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30" i="25"/>
  <c r="AJ34" i="25"/>
  <c r="AJ38" i="25"/>
  <c r="AJ26" i="25"/>
  <c r="AJ29" i="25"/>
  <c r="AJ37" i="25"/>
  <c r="AJ42" i="25"/>
  <c r="AJ39" i="25"/>
  <c r="AJ44" i="25"/>
  <c r="AJ28" i="25"/>
  <c r="AJ36" i="25"/>
  <c r="AJ41" i="25"/>
  <c r="AJ33" i="25"/>
  <c r="AJ40" i="25"/>
  <c r="AJ46" i="25"/>
  <c r="AJ32" i="25"/>
  <c r="AE72" i="25"/>
  <c r="AB43" i="25"/>
  <c r="AB4" i="25" s="1"/>
  <c r="AB5" i="25" s="1"/>
  <c r="AB44" i="25"/>
  <c r="AB45" i="25"/>
  <c r="AB46" i="25"/>
  <c r="AB47" i="25"/>
  <c r="AB48" i="25"/>
  <c r="AB31" i="25"/>
  <c r="AB35" i="25"/>
  <c r="AB39" i="25"/>
  <c r="AB53" i="25"/>
  <c r="AB54" i="25"/>
  <c r="AB55" i="25"/>
  <c r="AB56" i="25"/>
  <c r="AB57" i="25"/>
  <c r="AB58" i="25"/>
  <c r="AB59" i="25"/>
  <c r="AB60" i="25"/>
  <c r="AB61" i="25"/>
  <c r="AB62" i="25"/>
  <c r="AB63" i="25"/>
  <c r="AB64" i="25"/>
  <c r="AB30" i="25"/>
  <c r="AB34" i="25"/>
  <c r="AB38" i="25"/>
  <c r="AB27" i="25"/>
  <c r="AB29" i="25"/>
  <c r="AB37" i="25"/>
  <c r="AB42" i="25"/>
  <c r="AB52" i="25"/>
  <c r="AB32" i="25"/>
  <c r="AB49" i="25"/>
  <c r="AB51" i="25"/>
  <c r="AB28" i="25"/>
  <c r="AB36" i="25"/>
  <c r="AB41" i="25"/>
  <c r="AB26" i="25"/>
  <c r="AB33" i="25"/>
  <c r="AB40" i="25"/>
  <c r="AB50" i="25"/>
  <c r="AA97" i="25"/>
  <c r="AA93" i="25"/>
  <c r="AE94" i="25"/>
  <c r="AM97" i="25"/>
  <c r="AE97" i="25"/>
  <c r="AE105" i="25"/>
  <c r="AM94" i="25"/>
  <c r="AE79" i="25"/>
  <c r="AD86" i="25"/>
  <c r="AI75" i="25"/>
  <c r="AI76" i="25"/>
  <c r="AI82" i="25"/>
  <c r="AI70" i="25"/>
  <c r="W71" i="25"/>
  <c r="W76" i="25"/>
  <c r="W72" i="25"/>
  <c r="W77" i="25"/>
  <c r="AM102" i="25"/>
  <c r="AM92" i="25"/>
  <c r="AM99" i="25"/>
  <c r="AM7" i="25" s="1"/>
  <c r="AA98" i="25"/>
  <c r="AA104" i="25"/>
  <c r="AA95" i="25"/>
  <c r="AE84" i="25"/>
  <c r="AE76" i="25"/>
  <c r="AE80" i="25"/>
  <c r="AE83" i="25"/>
  <c r="AE99" i="25"/>
  <c r="AE7" i="25" s="1"/>
  <c r="AI81" i="25"/>
  <c r="AI79" i="25"/>
  <c r="AI93" i="25"/>
  <c r="AI69" i="25"/>
  <c r="AI101" i="25"/>
  <c r="AI97" i="25"/>
  <c r="AI106" i="25"/>
  <c r="AI100" i="25"/>
  <c r="AI91" i="25"/>
  <c r="AI6" i="25" s="1"/>
  <c r="AA68" i="25"/>
  <c r="AA79" i="25"/>
  <c r="AA73" i="25"/>
  <c r="V85" i="25"/>
  <c r="V90" i="25"/>
  <c r="AH85" i="25"/>
  <c r="AH90" i="25"/>
  <c r="AM68" i="25"/>
  <c r="AM73" i="25"/>
  <c r="AM84" i="25"/>
  <c r="V89" i="25"/>
  <c r="AH87" i="25"/>
  <c r="AH89" i="25"/>
  <c r="AA72" i="25"/>
  <c r="AK2" i="25"/>
  <c r="AA101" i="25"/>
  <c r="AA81" i="25"/>
  <c r="AA94" i="25"/>
  <c r="AA102" i="25"/>
  <c r="AA92" i="25"/>
  <c r="AA83" i="25"/>
  <c r="AA99" i="25"/>
  <c r="AA7" i="25" s="1"/>
  <c r="V86" i="25"/>
  <c r="AH86" i="25"/>
  <c r="AE71" i="25"/>
  <c r="AE70" i="25"/>
  <c r="AE69" i="25"/>
  <c r="AE101" i="25"/>
  <c r="AE96" i="25"/>
  <c r="AE103" i="25"/>
  <c r="AI84" i="25"/>
  <c r="AI74" i="25"/>
  <c r="AI72" i="25"/>
  <c r="AI73" i="25"/>
  <c r="AI80" i="25"/>
  <c r="AI98" i="25"/>
  <c r="AI104" i="25"/>
  <c r="AI95" i="25"/>
  <c r="W75" i="25"/>
  <c r="W70" i="25"/>
  <c r="W81" i="25"/>
  <c r="W79" i="25"/>
  <c r="W98" i="25"/>
  <c r="W93" i="25"/>
  <c r="W104" i="25"/>
  <c r="W95" i="25"/>
  <c r="AM72" i="25"/>
  <c r="AM75" i="25"/>
  <c r="AM77" i="25"/>
  <c r="AM82" i="25"/>
  <c r="AM86" i="25"/>
  <c r="AM105" i="25"/>
  <c r="AM96" i="25"/>
  <c r="AM103" i="25"/>
  <c r="AA89" i="25"/>
  <c r="V88" i="25"/>
  <c r="W87" i="25"/>
  <c r="W91" i="25"/>
  <c r="W6" i="25" s="1"/>
  <c r="AM74" i="25"/>
  <c r="AM80" i="25"/>
  <c r="AM83" i="25"/>
  <c r="AA76" i="25"/>
  <c r="AA71" i="25"/>
  <c r="AA74" i="25"/>
  <c r="AA70" i="25"/>
  <c r="AA80" i="25"/>
  <c r="AA105" i="25"/>
  <c r="AA96" i="25"/>
  <c r="AA103" i="25"/>
  <c r="AE75" i="25"/>
  <c r="AE74" i="25"/>
  <c r="AE73" i="25"/>
  <c r="AE98" i="25"/>
  <c r="AE106" i="25"/>
  <c r="AE100" i="25"/>
  <c r="AE91" i="25"/>
  <c r="AE6" i="25" s="1"/>
  <c r="AI68" i="25"/>
  <c r="AI78" i="25"/>
  <c r="AI77" i="25"/>
  <c r="AI89" i="25"/>
  <c r="AI94" i="25"/>
  <c r="AI102" i="25"/>
  <c r="AI92" i="25"/>
  <c r="AI83" i="25"/>
  <c r="AI99" i="25"/>
  <c r="AI7" i="25" s="1"/>
  <c r="W97" i="25"/>
  <c r="W78" i="25"/>
  <c r="W74" i="25"/>
  <c r="W69" i="25"/>
  <c r="W94" i="25"/>
  <c r="W102" i="25"/>
  <c r="W101" i="25"/>
  <c r="W92" i="25"/>
  <c r="W83" i="25"/>
  <c r="W99" i="25"/>
  <c r="W7" i="25" s="1"/>
  <c r="AM76" i="25"/>
  <c r="AM78" i="25"/>
  <c r="AM81" i="25"/>
  <c r="AM79" i="25"/>
  <c r="AM93" i="25"/>
  <c r="AM106" i="25"/>
  <c r="AM100" i="25"/>
  <c r="AM91" i="25"/>
  <c r="AM6" i="25" s="1"/>
  <c r="AA82" i="25"/>
  <c r="AE86" i="25"/>
  <c r="W106" i="25"/>
  <c r="W100" i="25"/>
  <c r="AM71" i="25"/>
  <c r="AH88" i="25"/>
  <c r="Z85" i="25"/>
  <c r="Z90" i="25"/>
  <c r="Z89" i="25"/>
  <c r="Z88" i="25"/>
  <c r="AA78" i="25"/>
  <c r="AA75" i="25"/>
  <c r="AA77" i="25"/>
  <c r="AA69" i="25"/>
  <c r="AA84" i="25"/>
  <c r="AA106" i="25"/>
  <c r="AA100" i="25"/>
  <c r="AA91" i="25"/>
  <c r="AA6" i="25" s="1"/>
  <c r="AD90" i="25"/>
  <c r="AD85" i="25"/>
  <c r="AE68" i="25"/>
  <c r="AE78" i="25"/>
  <c r="AE88" i="25"/>
  <c r="AE104" i="25"/>
  <c r="AE95" i="25"/>
  <c r="AI105" i="25"/>
  <c r="AI96" i="25"/>
  <c r="AI103" i="25"/>
  <c r="AG2" i="25"/>
  <c r="W68" i="25"/>
  <c r="W82" i="25"/>
  <c r="W73" i="25"/>
  <c r="W80" i="25"/>
  <c r="W84" i="25"/>
  <c r="W105" i="25"/>
  <c r="W96" i="25"/>
  <c r="W103" i="25"/>
  <c r="AM70" i="25"/>
  <c r="AM69" i="25"/>
  <c r="AM98" i="25"/>
  <c r="AM101" i="25"/>
  <c r="AM88" i="25"/>
  <c r="AM104" i="25"/>
  <c r="AM95" i="25"/>
  <c r="Z87" i="25"/>
  <c r="K15" i="25" l="1"/>
  <c r="K17" i="25"/>
  <c r="AF102" i="25"/>
  <c r="AF91" i="25"/>
  <c r="AF6" i="25" s="1"/>
  <c r="AF94" i="25"/>
  <c r="AM8" i="25"/>
  <c r="AK43" i="25"/>
  <c r="AK4" i="25" s="1"/>
  <c r="AK5" i="25" s="1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28" i="25"/>
  <c r="AK32" i="25"/>
  <c r="AK36" i="25"/>
  <c r="AK27" i="25"/>
  <c r="AK31" i="25"/>
  <c r="AK35" i="25"/>
  <c r="AK30" i="25"/>
  <c r="AK38" i="25"/>
  <c r="AK39" i="25"/>
  <c r="AK41" i="25"/>
  <c r="AK40" i="25"/>
  <c r="AK26" i="25"/>
  <c r="AK29" i="25"/>
  <c r="AK37" i="25"/>
  <c r="AK42" i="25"/>
  <c r="AK34" i="25"/>
  <c r="AK33" i="25"/>
  <c r="W8" i="25"/>
  <c r="AA8" i="25"/>
  <c r="AG43" i="25"/>
  <c r="AG4" i="25" s="1"/>
  <c r="AG5" i="25" s="1"/>
  <c r="AG49" i="25"/>
  <c r="AG50" i="25"/>
  <c r="AG51" i="25"/>
  <c r="AG52" i="25"/>
  <c r="AG44" i="25"/>
  <c r="AG45" i="25"/>
  <c r="AG46" i="25"/>
  <c r="AG47" i="25"/>
  <c r="AG53" i="25"/>
  <c r="AG54" i="25"/>
  <c r="AG55" i="25"/>
  <c r="AG56" i="25"/>
  <c r="AG57" i="25"/>
  <c r="AG58" i="25"/>
  <c r="AG59" i="25"/>
  <c r="AG60" i="25"/>
  <c r="AG61" i="25"/>
  <c r="AG62" i="25"/>
  <c r="AG63" i="25"/>
  <c r="AG64" i="25"/>
  <c r="AG28" i="25"/>
  <c r="AG32" i="25"/>
  <c r="AG36" i="25"/>
  <c r="AG26" i="25"/>
  <c r="AG31" i="25"/>
  <c r="AG35" i="25"/>
  <c r="AG48" i="25"/>
  <c r="AG34" i="25"/>
  <c r="AG39" i="25"/>
  <c r="AG37" i="25"/>
  <c r="AG33" i="25"/>
  <c r="AG42" i="25"/>
  <c r="AG27" i="25"/>
  <c r="AG30" i="25"/>
  <c r="AG38" i="25"/>
  <c r="AG41" i="25"/>
  <c r="AG29" i="25"/>
  <c r="AG40" i="25"/>
  <c r="AE8" i="25"/>
  <c r="AI8" i="25"/>
  <c r="AM89" i="25"/>
  <c r="AM87" i="25"/>
  <c r="AF98" i="25"/>
  <c r="AF95" i="25"/>
  <c r="AF99" i="25"/>
  <c r="AF7" i="25" s="1"/>
  <c r="AJ105" i="25"/>
  <c r="AJ96" i="25"/>
  <c r="AF72" i="25"/>
  <c r="AF69" i="25"/>
  <c r="AF70" i="25"/>
  <c r="AF77" i="25"/>
  <c r="AF93" i="25"/>
  <c r="AF84" i="25"/>
  <c r="AF100" i="25"/>
  <c r="AB72" i="25"/>
  <c r="AB83" i="25"/>
  <c r="AB71" i="25"/>
  <c r="AB79" i="25"/>
  <c r="K18" i="25"/>
  <c r="AF103" i="25"/>
  <c r="AB99" i="25"/>
  <c r="AB7" i="25" s="1"/>
  <c r="AB92" i="25"/>
  <c r="AI85" i="25"/>
  <c r="AI90" i="25"/>
  <c r="W85" i="25"/>
  <c r="W90" i="25"/>
  <c r="AJ69" i="25"/>
  <c r="W89" i="25"/>
  <c r="AB69" i="25"/>
  <c r="AB76" i="25"/>
  <c r="AB95" i="25"/>
  <c r="AB75" i="25"/>
  <c r="AL2" i="25"/>
  <c r="AB77" i="25"/>
  <c r="AB89" i="25"/>
  <c r="AB105" i="25"/>
  <c r="AB96" i="25"/>
  <c r="AI87" i="25"/>
  <c r="AE85" i="25"/>
  <c r="AE90" i="25"/>
  <c r="K13" i="25"/>
  <c r="K14" i="25"/>
  <c r="AI86" i="25"/>
  <c r="W86" i="25"/>
  <c r="AJ73" i="25"/>
  <c r="AJ72" i="25"/>
  <c r="AJ71" i="25"/>
  <c r="AJ70" i="25"/>
  <c r="AJ82" i="25"/>
  <c r="AJ83" i="25"/>
  <c r="AJ94" i="25"/>
  <c r="AJ93" i="25"/>
  <c r="AJ84" i="25"/>
  <c r="AJ100" i="25"/>
  <c r="AM85" i="25"/>
  <c r="AM90" i="25"/>
  <c r="W88" i="25"/>
  <c r="AF76" i="25"/>
  <c r="AF75" i="25"/>
  <c r="AF78" i="25"/>
  <c r="AF74" i="25"/>
  <c r="AF81" i="25"/>
  <c r="AF83" i="25"/>
  <c r="AF97" i="25"/>
  <c r="AF104" i="25"/>
  <c r="AB101" i="25"/>
  <c r="AJ86" i="25"/>
  <c r="AA85" i="25"/>
  <c r="AA90" i="25"/>
  <c r="AB73" i="25"/>
  <c r="AB78" i="25"/>
  <c r="AB98" i="25"/>
  <c r="AB82" i="25"/>
  <c r="AB70" i="25"/>
  <c r="AB81" i="25"/>
  <c r="AB94" i="25"/>
  <c r="AB93" i="25"/>
  <c r="AB84" i="25"/>
  <c r="AB100" i="25"/>
  <c r="K16" i="25"/>
  <c r="AA87" i="25"/>
  <c r="AJ76" i="25"/>
  <c r="AJ75" i="25"/>
  <c r="AJ74" i="25"/>
  <c r="AJ95" i="25"/>
  <c r="AJ91" i="25"/>
  <c r="AJ6" i="25" s="1"/>
  <c r="AJ102" i="25"/>
  <c r="AJ97" i="25"/>
  <c r="AJ104" i="25"/>
  <c r="AF82" i="25"/>
  <c r="AF79" i="25"/>
  <c r="AF80" i="25"/>
  <c r="AF87" i="25"/>
  <c r="AF106" i="25"/>
  <c r="AF101" i="25"/>
  <c r="AF92" i="25"/>
  <c r="AB106" i="25"/>
  <c r="AJ68" i="25"/>
  <c r="AJ80" i="25"/>
  <c r="AJ81" i="25"/>
  <c r="AB68" i="25"/>
  <c r="AB80" i="25"/>
  <c r="AB103" i="25"/>
  <c r="AB87" i="25"/>
  <c r="AB74" i="25"/>
  <c r="AB91" i="25"/>
  <c r="AB6" i="25" s="1"/>
  <c r="AB102" i="25"/>
  <c r="AB97" i="25"/>
  <c r="AB88" i="25"/>
  <c r="AB104" i="25"/>
  <c r="AA88" i="25"/>
  <c r="AJ106" i="25"/>
  <c r="AJ79" i="25"/>
  <c r="AJ98" i="25"/>
  <c r="AJ78" i="25"/>
  <c r="AJ77" i="25"/>
  <c r="AJ99" i="25"/>
  <c r="AJ7" i="25" s="1"/>
  <c r="AJ103" i="25"/>
  <c r="AJ101" i="25"/>
  <c r="AJ92" i="25"/>
  <c r="AA86" i="25"/>
  <c r="AI88" i="25"/>
  <c r="AE87" i="25"/>
  <c r="AE89" i="25"/>
  <c r="AF68" i="25"/>
  <c r="AF73" i="25"/>
  <c r="AF71" i="25"/>
  <c r="AF105" i="25"/>
  <c r="AF96" i="25"/>
  <c r="AF8" i="25" l="1"/>
  <c r="AK103" i="25"/>
  <c r="AK91" i="25"/>
  <c r="AK6" i="25" s="1"/>
  <c r="AG91" i="25"/>
  <c r="AG6" i="25" s="1"/>
  <c r="AG100" i="25"/>
  <c r="AG99" i="25"/>
  <c r="AG7" i="25" s="1"/>
  <c r="AG94" i="25"/>
  <c r="K19" i="25"/>
  <c r="AG104" i="25"/>
  <c r="AG96" i="25"/>
  <c r="AG92" i="25"/>
  <c r="AB8" i="25"/>
  <c r="AJ8" i="25"/>
  <c r="AL44" i="25"/>
  <c r="AL45" i="25"/>
  <c r="AL46" i="25"/>
  <c r="AL47" i="25"/>
  <c r="AL26" i="25"/>
  <c r="AL48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29" i="25"/>
  <c r="AL33" i="25"/>
  <c r="AL37" i="25"/>
  <c r="AL43" i="25"/>
  <c r="AL4" i="25" s="1"/>
  <c r="AL5" i="25" s="1"/>
  <c r="AL28" i="25"/>
  <c r="AL32" i="25"/>
  <c r="AL36" i="25"/>
  <c r="AL50" i="25"/>
  <c r="AL52" i="25"/>
  <c r="AL27" i="25"/>
  <c r="AL31" i="25"/>
  <c r="AL40" i="25"/>
  <c r="AL42" i="25"/>
  <c r="AL41" i="25"/>
  <c r="AL30" i="25"/>
  <c r="AL38" i="25"/>
  <c r="AL39" i="25"/>
  <c r="AL49" i="25"/>
  <c r="AL51" i="25"/>
  <c r="AL35" i="25"/>
  <c r="AL34" i="25"/>
  <c r="AK99" i="25"/>
  <c r="AK7" i="25" s="1"/>
  <c r="AK100" i="25"/>
  <c r="AJ88" i="25"/>
  <c r="AK95" i="25"/>
  <c r="AK92" i="25"/>
  <c r="AK96" i="25"/>
  <c r="AK104" i="25"/>
  <c r="AJ89" i="25"/>
  <c r="AG103" i="25"/>
  <c r="AG102" i="25"/>
  <c r="AG97" i="25"/>
  <c r="AJ87" i="25"/>
  <c r="AK98" i="25"/>
  <c r="AK93" i="25"/>
  <c r="AF89" i="25"/>
  <c r="AF86" i="25"/>
  <c r="AK102" i="25"/>
  <c r="AK77" i="25"/>
  <c r="AG77" i="25"/>
  <c r="AK76" i="25"/>
  <c r="AK78" i="25"/>
  <c r="AK83" i="25"/>
  <c r="AK97" i="25"/>
  <c r="AB85" i="25"/>
  <c r="AB90" i="25"/>
  <c r="AG72" i="25"/>
  <c r="AG79" i="25"/>
  <c r="AG78" i="25"/>
  <c r="AG106" i="25"/>
  <c r="AG101" i="25"/>
  <c r="AK80" i="25"/>
  <c r="AK84" i="25"/>
  <c r="AG80" i="25"/>
  <c r="AG75" i="25"/>
  <c r="AK70" i="25"/>
  <c r="AK69" i="25"/>
  <c r="AK79" i="25"/>
  <c r="AK72" i="25"/>
  <c r="AK87" i="25"/>
  <c r="AK106" i="25"/>
  <c r="AK101" i="25"/>
  <c r="AB86" i="25"/>
  <c r="AG69" i="25"/>
  <c r="AG74" i="25"/>
  <c r="AG70" i="25"/>
  <c r="AG81" i="25"/>
  <c r="AG82" i="25"/>
  <c r="AG87" i="25"/>
  <c r="AG105" i="25"/>
  <c r="AK68" i="25"/>
  <c r="AK75" i="25"/>
  <c r="AG68" i="25"/>
  <c r="AF85" i="25"/>
  <c r="AF90" i="25"/>
  <c r="AK74" i="25"/>
  <c r="AK73" i="25"/>
  <c r="AK82" i="25"/>
  <c r="AK81" i="25"/>
  <c r="AK71" i="25"/>
  <c r="AK88" i="25"/>
  <c r="AK94" i="25"/>
  <c r="AK89" i="25"/>
  <c r="AK105" i="25"/>
  <c r="AJ85" i="25"/>
  <c r="AJ90" i="25"/>
  <c r="AF88" i="25"/>
  <c r="AG73" i="25"/>
  <c r="AG76" i="25"/>
  <c r="AG71" i="25"/>
  <c r="AG83" i="25"/>
  <c r="AG84" i="25"/>
  <c r="AG95" i="25"/>
  <c r="AG98" i="25"/>
  <c r="AG93" i="25"/>
  <c r="AK8" i="25" l="1"/>
  <c r="AG8" i="25"/>
  <c r="AL80" i="25"/>
  <c r="AL93" i="25"/>
  <c r="AL105" i="25"/>
  <c r="AL104" i="25"/>
  <c r="AL74" i="25"/>
  <c r="AL83" i="25"/>
  <c r="AL75" i="25"/>
  <c r="AL71" i="25"/>
  <c r="AL95" i="25"/>
  <c r="AL77" i="25"/>
  <c r="AG89" i="25"/>
  <c r="AL100" i="25"/>
  <c r="AL96" i="25"/>
  <c r="AL91" i="25"/>
  <c r="AL6" i="25" s="1"/>
  <c r="AL92" i="25"/>
  <c r="AL101" i="25"/>
  <c r="AL97" i="25"/>
  <c r="AL99" i="25"/>
  <c r="AL7" i="25" s="1"/>
  <c r="AL73" i="25"/>
  <c r="AL69" i="25"/>
  <c r="AL81" i="25"/>
  <c r="AL84" i="25"/>
  <c r="AL82" i="25"/>
  <c r="AL98" i="25"/>
  <c r="AG90" i="25"/>
  <c r="AG85" i="25"/>
  <c r="AL68" i="25"/>
  <c r="AL102" i="25"/>
  <c r="AK90" i="25"/>
  <c r="AK85" i="25"/>
  <c r="AG88" i="25"/>
  <c r="AG86" i="25"/>
  <c r="AL72" i="25"/>
  <c r="AL106" i="25"/>
  <c r="AK86" i="25"/>
  <c r="AL70" i="25"/>
  <c r="AL78" i="25"/>
  <c r="AL76" i="25"/>
  <c r="AL79" i="25"/>
  <c r="AL103" i="25"/>
  <c r="AL94" i="25"/>
  <c r="AL8" i="25" l="1"/>
  <c r="AL85" i="25"/>
  <c r="AL90" i="25"/>
  <c r="AL86" i="25"/>
  <c r="AL88" i="25"/>
  <c r="AL87" i="25"/>
  <c r="AL89" i="25"/>
  <c r="E2" i="14" l="1"/>
  <c r="F2" i="14" s="1"/>
  <c r="G2" i="14" s="1"/>
  <c r="H2" i="14" l="1"/>
  <c r="G11" i="14"/>
  <c r="G7" i="14"/>
  <c r="G10" i="14"/>
  <c r="G6" i="14"/>
  <c r="G9" i="14"/>
  <c r="G5" i="14"/>
  <c r="G8" i="14"/>
  <c r="G15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E11" i="13"/>
  <c r="E15" i="13"/>
  <c r="E20" i="13"/>
  <c r="E24" i="13"/>
  <c r="E12" i="13"/>
  <c r="E16" i="13"/>
  <c r="E21" i="13"/>
  <c r="E25" i="13"/>
  <c r="E8" i="13"/>
  <c r="E13" i="13"/>
  <c r="E17" i="13"/>
  <c r="E22" i="13"/>
  <c r="E26" i="13"/>
  <c r="E9" i="13"/>
  <c r="E14" i="13"/>
  <c r="E18" i="13"/>
  <c r="E23" i="13"/>
  <c r="F5" i="13"/>
  <c r="E5" i="14"/>
  <c r="E4" i="14"/>
  <c r="E33" i="13" l="1"/>
  <c r="G5" i="13"/>
  <c r="G44" i="13" s="1"/>
  <c r="F9" i="31"/>
  <c r="G19" i="14"/>
  <c r="G21" i="14"/>
  <c r="G16" i="14"/>
  <c r="G18" i="14"/>
  <c r="G20" i="14"/>
  <c r="G22" i="14"/>
  <c r="G17" i="14"/>
  <c r="I2" i="14"/>
  <c r="H15" i="14"/>
  <c r="H8" i="14"/>
  <c r="H7" i="14"/>
  <c r="H11" i="14"/>
  <c r="H6" i="14"/>
  <c r="H10" i="14"/>
  <c r="H5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J14" i="16"/>
  <c r="H17" i="16"/>
  <c r="H14" i="16"/>
  <c r="I14" i="16"/>
  <c r="D9" i="31" s="1"/>
  <c r="K13" i="16"/>
  <c r="I17" i="16"/>
  <c r="J13" i="16"/>
  <c r="J15" i="16"/>
  <c r="K19" i="16"/>
  <c r="H19" i="16"/>
  <c r="E7" i="13"/>
  <c r="E19" i="13"/>
  <c r="E10" i="13"/>
  <c r="E16" i="14"/>
  <c r="E15" i="14"/>
  <c r="H13" i="16"/>
  <c r="K15" i="16"/>
  <c r="J19" i="16"/>
  <c r="H15" i="16"/>
  <c r="I19" i="16"/>
  <c r="J17" i="16"/>
  <c r="K18" i="16"/>
  <c r="I13" i="16"/>
  <c r="I12" i="16"/>
  <c r="D7" i="31" s="1"/>
  <c r="J12" i="16"/>
  <c r="K17" i="16"/>
  <c r="I18" i="16"/>
  <c r="F20" i="13"/>
  <c r="F11" i="13"/>
  <c r="H12" i="16"/>
  <c r="J18" i="16"/>
  <c r="F26" i="13"/>
  <c r="F25" i="13"/>
  <c r="F23" i="13"/>
  <c r="K12" i="16"/>
  <c r="F7" i="31" s="1"/>
  <c r="F6" i="31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6" i="16" l="1"/>
  <c r="K16" i="16"/>
  <c r="J16" i="16"/>
  <c r="I16" i="16"/>
  <c r="G15" i="13"/>
  <c r="G39" i="13"/>
  <c r="G17" i="13"/>
  <c r="G16" i="13"/>
  <c r="G48" i="13"/>
  <c r="G14" i="13"/>
  <c r="G51" i="13"/>
  <c r="G24" i="13"/>
  <c r="G11" i="13"/>
  <c r="G47" i="13"/>
  <c r="G13" i="13"/>
  <c r="G12" i="13"/>
  <c r="G23" i="13"/>
  <c r="G9" i="13"/>
  <c r="G35" i="13"/>
  <c r="G26" i="13"/>
  <c r="G41" i="13"/>
  <c r="G22" i="13"/>
  <c r="G8" i="13"/>
  <c r="G49" i="13"/>
  <c r="G34" i="13"/>
  <c r="H5" i="13"/>
  <c r="H37" i="13" s="1"/>
  <c r="G25" i="13"/>
  <c r="G46" i="13"/>
  <c r="G21" i="13"/>
  <c r="G20" i="13"/>
  <c r="G43" i="13"/>
  <c r="G18" i="13"/>
  <c r="G38" i="13"/>
  <c r="G52" i="13"/>
  <c r="G50" i="13"/>
  <c r="G40" i="13"/>
  <c r="G37" i="13"/>
  <c r="G42" i="13"/>
  <c r="F14" i="31"/>
  <c r="H17" i="14"/>
  <c r="H16" i="14"/>
  <c r="H18" i="14"/>
  <c r="H21" i="14"/>
  <c r="H19" i="14"/>
  <c r="H20" i="14"/>
  <c r="H22" i="14"/>
  <c r="J2" i="14"/>
  <c r="I5" i="14"/>
  <c r="I9" i="14"/>
  <c r="I15" i="14"/>
  <c r="I8" i="14"/>
  <c r="I7" i="14"/>
  <c r="I11" i="14"/>
  <c r="I6" i="14"/>
  <c r="I10" i="14"/>
  <c r="H50" i="13"/>
  <c r="H35" i="13"/>
  <c r="H25" i="13"/>
  <c r="H11" i="13"/>
  <c r="H15" i="13"/>
  <c r="D6" i="31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E27" i="13"/>
  <c r="F7" i="13"/>
  <c r="I11" i="16"/>
  <c r="L17" i="16"/>
  <c r="L19" i="16"/>
  <c r="L13" i="16"/>
  <c r="H11" i="16"/>
  <c r="L12" i="16"/>
  <c r="F19" i="13"/>
  <c r="L15" i="16"/>
  <c r="L18" i="16"/>
  <c r="F10" i="13"/>
  <c r="I20" i="16" l="1"/>
  <c r="H20" i="16"/>
  <c r="J20" i="16"/>
  <c r="K20" i="16"/>
  <c r="L16" i="16"/>
  <c r="G7" i="13"/>
  <c r="G45" i="13"/>
  <c r="G33" i="13"/>
  <c r="G10" i="13"/>
  <c r="G19" i="13"/>
  <c r="H40" i="13"/>
  <c r="H43" i="13"/>
  <c r="H52" i="13"/>
  <c r="H24" i="13"/>
  <c r="H34" i="13"/>
  <c r="H33" i="13" s="1"/>
  <c r="H41" i="13"/>
  <c r="H22" i="13"/>
  <c r="H38" i="13"/>
  <c r="H42" i="13"/>
  <c r="H20" i="13"/>
  <c r="H44" i="13"/>
  <c r="H46" i="13"/>
  <c r="H13" i="13"/>
  <c r="H9" i="13"/>
  <c r="H47" i="13"/>
  <c r="H21" i="13"/>
  <c r="H17" i="13"/>
  <c r="H26" i="13"/>
  <c r="H8" i="13"/>
  <c r="H51" i="13"/>
  <c r="H14" i="13"/>
  <c r="H16" i="13"/>
  <c r="H23" i="13"/>
  <c r="H39" i="13"/>
  <c r="H48" i="13"/>
  <c r="I5" i="13"/>
  <c r="I42" i="13" s="1"/>
  <c r="H12" i="13"/>
  <c r="H18" i="13"/>
  <c r="H49" i="13"/>
  <c r="G36" i="13"/>
  <c r="I17" i="14"/>
  <c r="I22" i="14"/>
  <c r="I20" i="14"/>
  <c r="I18" i="14"/>
  <c r="I16" i="14"/>
  <c r="I21" i="14"/>
  <c r="I19" i="14"/>
  <c r="J5" i="13"/>
  <c r="I51" i="13"/>
  <c r="I47" i="13"/>
  <c r="I38" i="13"/>
  <c r="I49" i="13"/>
  <c r="I52" i="13"/>
  <c r="I48" i="13"/>
  <c r="I43" i="13"/>
  <c r="I39" i="13"/>
  <c r="I34" i="13"/>
  <c r="I44" i="13"/>
  <c r="I41" i="13"/>
  <c r="I37" i="13"/>
  <c r="I46" i="13"/>
  <c r="I50" i="13"/>
  <c r="I40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K2" i="14"/>
  <c r="J6" i="14"/>
  <c r="J10" i="14"/>
  <c r="J5" i="14"/>
  <c r="J9" i="14"/>
  <c r="J15" i="14"/>
  <c r="J8" i="14"/>
  <c r="J7" i="14"/>
  <c r="J11" i="14"/>
  <c r="D14" i="31"/>
  <c r="F53" i="13"/>
  <c r="F17" i="14"/>
  <c r="F22" i="14"/>
  <c r="F21" i="14"/>
  <c r="F16" i="14"/>
  <c r="F19" i="14"/>
  <c r="F18" i="14"/>
  <c r="F20" i="14"/>
  <c r="L11" i="16"/>
  <c r="F27" i="13"/>
  <c r="L20" i="16" l="1"/>
  <c r="L21" i="16"/>
  <c r="G27" i="13"/>
  <c r="G53" i="13"/>
  <c r="H45" i="13"/>
  <c r="H7" i="13"/>
  <c r="H10" i="13"/>
  <c r="H36" i="13"/>
  <c r="H19" i="13"/>
  <c r="I35" i="13"/>
  <c r="I33" i="13" s="1"/>
  <c r="AA47" i="13" s="1"/>
  <c r="F22" i="31"/>
  <c r="H31" i="16"/>
  <c r="H28" i="16"/>
  <c r="I31" i="16"/>
  <c r="K30" i="16"/>
  <c r="J30" i="16"/>
  <c r="J27" i="16"/>
  <c r="I25" i="16"/>
  <c r="D20" i="31" s="1"/>
  <c r="J28" i="16"/>
  <c r="H26" i="16"/>
  <c r="H30" i="16"/>
  <c r="H32" i="16"/>
  <c r="I32" i="16"/>
  <c r="I27" i="16"/>
  <c r="D22" i="31" s="1"/>
  <c r="J31" i="16"/>
  <c r="K28" i="16"/>
  <c r="H25" i="16"/>
  <c r="I28" i="16"/>
  <c r="J25" i="16"/>
  <c r="K26" i="16"/>
  <c r="H27" i="16"/>
  <c r="I30" i="16"/>
  <c r="K25" i="16"/>
  <c r="F20" i="31" s="1"/>
  <c r="J32" i="16"/>
  <c r="K31" i="16"/>
  <c r="J26" i="16"/>
  <c r="K32" i="16"/>
  <c r="I26" i="16"/>
  <c r="E7" i="31"/>
  <c r="E8" i="31"/>
  <c r="H8" i="31" s="1"/>
  <c r="E12" i="31"/>
  <c r="E10" i="31"/>
  <c r="H10" i="31" s="1"/>
  <c r="E13" i="31"/>
  <c r="H13" i="31" s="1"/>
  <c r="E9" i="31"/>
  <c r="H9" i="31" s="1"/>
  <c r="Z17" i="14"/>
  <c r="J18" i="14"/>
  <c r="Z18" i="14"/>
  <c r="Z19" i="14"/>
  <c r="J16" i="14"/>
  <c r="J22" i="14"/>
  <c r="J20" i="14"/>
  <c r="L2" i="14"/>
  <c r="K7" i="14"/>
  <c r="K11" i="14"/>
  <c r="K6" i="14"/>
  <c r="K10" i="14"/>
  <c r="K5" i="14"/>
  <c r="K9" i="14"/>
  <c r="K15" i="14"/>
  <c r="K8" i="14"/>
  <c r="AK34" i="13"/>
  <c r="I7" i="13"/>
  <c r="AA46" i="13"/>
  <c r="AK33" i="13"/>
  <c r="I45" i="13"/>
  <c r="AA48" i="13"/>
  <c r="AA45" i="13"/>
  <c r="J19" i="14"/>
  <c r="J21" i="14"/>
  <c r="I36" i="13"/>
  <c r="AA44" i="13" s="1"/>
  <c r="J17" i="14"/>
  <c r="I19" i="13"/>
  <c r="I10" i="13"/>
  <c r="K5" i="13"/>
  <c r="J52" i="13"/>
  <c r="J48" i="13"/>
  <c r="J43" i="13"/>
  <c r="J39" i="13"/>
  <c r="J34" i="13"/>
  <c r="J50" i="13"/>
  <c r="J41" i="13"/>
  <c r="J49" i="13"/>
  <c r="J44" i="13"/>
  <c r="J40" i="13"/>
  <c r="J35" i="13"/>
  <c r="J46" i="13"/>
  <c r="J42" i="13"/>
  <c r="J51" i="13"/>
  <c r="J38" i="13"/>
  <c r="J47" i="13"/>
  <c r="J37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H53" i="13" l="1"/>
  <c r="H27" i="13"/>
  <c r="J24" i="16"/>
  <c r="J29" i="16"/>
  <c r="L27" i="16"/>
  <c r="K29" i="16"/>
  <c r="L25" i="16"/>
  <c r="H24" i="16"/>
  <c r="K24" i="16"/>
  <c r="F19" i="31"/>
  <c r="F27" i="31" s="1"/>
  <c r="L30" i="16"/>
  <c r="H29" i="16"/>
  <c r="I29" i="16"/>
  <c r="L26" i="16"/>
  <c r="L28" i="16"/>
  <c r="L31" i="16"/>
  <c r="D19" i="31"/>
  <c r="D27" i="31" s="1"/>
  <c r="I24" i="16"/>
  <c r="L32" i="16"/>
  <c r="AA33" i="13"/>
  <c r="Z20" i="14"/>
  <c r="K19" i="14"/>
  <c r="AA49" i="13"/>
  <c r="AF33" i="13"/>
  <c r="J36" i="13"/>
  <c r="I27" i="13"/>
  <c r="AA8" i="13" s="1"/>
  <c r="K20" i="14"/>
  <c r="J33" i="13"/>
  <c r="AA37" i="13"/>
  <c r="AA38" i="13"/>
  <c r="K22" i="14"/>
  <c r="J19" i="13"/>
  <c r="J10" i="13"/>
  <c r="J45" i="13"/>
  <c r="L5" i="13"/>
  <c r="K49" i="13"/>
  <c r="K44" i="13"/>
  <c r="K40" i="13"/>
  <c r="K35" i="13"/>
  <c r="K51" i="13"/>
  <c r="K50" i="13"/>
  <c r="K46" i="13"/>
  <c r="K41" i="13"/>
  <c r="K37" i="13"/>
  <c r="K47" i="13"/>
  <c r="K42" i="13"/>
  <c r="K43" i="13"/>
  <c r="K34" i="13"/>
  <c r="K39" i="13"/>
  <c r="K48" i="13"/>
  <c r="K38" i="13"/>
  <c r="K52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6" i="13"/>
  <c r="K25" i="13"/>
  <c r="AA34" i="13"/>
  <c r="AF34" i="13"/>
  <c r="K16" i="14"/>
  <c r="K18" i="14"/>
  <c r="I53" i="13"/>
  <c r="K21" i="14"/>
  <c r="M2" i="14"/>
  <c r="L15" i="14"/>
  <c r="L8" i="14"/>
  <c r="L7" i="14"/>
  <c r="L11" i="14"/>
  <c r="L6" i="14"/>
  <c r="L10" i="14"/>
  <c r="L5" i="14"/>
  <c r="L9" i="14"/>
  <c r="J7" i="13"/>
  <c r="AA35" i="13"/>
  <c r="AK35" i="13"/>
  <c r="AA36" i="13"/>
  <c r="K17" i="14"/>
  <c r="E6" i="31"/>
  <c r="H7" i="31"/>
  <c r="E11" i="31"/>
  <c r="H11" i="31" s="1"/>
  <c r="H12" i="31"/>
  <c r="K33" i="16" l="1"/>
  <c r="J33" i="16"/>
  <c r="I33" i="16"/>
  <c r="L29" i="16"/>
  <c r="H33" i="16"/>
  <c r="L24" i="16"/>
  <c r="J27" i="13"/>
  <c r="AF35" i="13"/>
  <c r="L17" i="14"/>
  <c r="K33" i="13"/>
  <c r="L20" i="14"/>
  <c r="L22" i="14"/>
  <c r="L16" i="14"/>
  <c r="L18" i="14"/>
  <c r="AA39" i="13"/>
  <c r="L21" i="14"/>
  <c r="L19" i="14"/>
  <c r="J53" i="13"/>
  <c r="N2" i="14"/>
  <c r="M5" i="14"/>
  <c r="M9" i="14"/>
  <c r="M15" i="14"/>
  <c r="M8" i="14"/>
  <c r="M7" i="14"/>
  <c r="M11" i="14"/>
  <c r="M6" i="14"/>
  <c r="M10" i="14"/>
  <c r="K7" i="13"/>
  <c r="K36" i="13"/>
  <c r="K19" i="13"/>
  <c r="K10" i="13"/>
  <c r="M5" i="13"/>
  <c r="L50" i="13"/>
  <c r="L46" i="13"/>
  <c r="L41" i="13"/>
  <c r="L37" i="13"/>
  <c r="L43" i="13"/>
  <c r="L51" i="13"/>
  <c r="L47" i="13"/>
  <c r="L42" i="13"/>
  <c r="L38" i="13"/>
  <c r="L52" i="13"/>
  <c r="L48" i="13"/>
  <c r="L44" i="13"/>
  <c r="L35" i="13"/>
  <c r="L40" i="13"/>
  <c r="L49" i="13"/>
  <c r="L39" i="13"/>
  <c r="L34" i="13"/>
  <c r="L8" i="13"/>
  <c r="L9" i="13"/>
  <c r="L13" i="13"/>
  <c r="L17" i="13"/>
  <c r="L22" i="13"/>
  <c r="L11" i="13"/>
  <c r="L15" i="13"/>
  <c r="L25" i="13"/>
  <c r="L12" i="13"/>
  <c r="L16" i="13"/>
  <c r="L21" i="13"/>
  <c r="L26" i="13"/>
  <c r="L14" i="13"/>
  <c r="L18" i="13"/>
  <c r="L23" i="13"/>
  <c r="L20" i="13"/>
  <c r="L24" i="13"/>
  <c r="K45" i="13"/>
  <c r="E14" i="31"/>
  <c r="H14" i="31" s="1"/>
  <c r="H6" i="31"/>
  <c r="L33" i="16" l="1"/>
  <c r="E22" i="31"/>
  <c r="H22" i="31" s="1"/>
  <c r="L9" i="31" s="1"/>
  <c r="E25" i="31"/>
  <c r="E23" i="31"/>
  <c r="H23" i="31" s="1"/>
  <c r="L10" i="31" s="1"/>
  <c r="E26" i="31"/>
  <c r="H26" i="31" s="1"/>
  <c r="E21" i="31"/>
  <c r="H21" i="31" s="1"/>
  <c r="E20" i="31"/>
  <c r="L33" i="13"/>
  <c r="K53" i="13"/>
  <c r="M17" i="14"/>
  <c r="L7" i="13"/>
  <c r="K27" i="13"/>
  <c r="L36" i="13"/>
  <c r="N5" i="13"/>
  <c r="F35" i="31" s="1"/>
  <c r="M51" i="13"/>
  <c r="M47" i="13"/>
  <c r="M42" i="13"/>
  <c r="M38" i="13"/>
  <c r="M44" i="13"/>
  <c r="M52" i="13"/>
  <c r="M48" i="13"/>
  <c r="M43" i="13"/>
  <c r="M39" i="13"/>
  <c r="M34" i="13"/>
  <c r="M49" i="13"/>
  <c r="M46" i="13"/>
  <c r="M37" i="13"/>
  <c r="M50" i="13"/>
  <c r="M40" i="13"/>
  <c r="M41" i="13"/>
  <c r="M35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L10" i="13"/>
  <c r="M22" i="14"/>
  <c r="M20" i="14"/>
  <c r="L45" i="13"/>
  <c r="M18" i="14"/>
  <c r="M16" i="14"/>
  <c r="L19" i="13"/>
  <c r="M21" i="14"/>
  <c r="M19" i="14"/>
  <c r="O2" i="14"/>
  <c r="N6" i="14"/>
  <c r="N10" i="14"/>
  <c r="N5" i="14"/>
  <c r="N9" i="14"/>
  <c r="N15" i="14"/>
  <c r="N8" i="14"/>
  <c r="N7" i="14"/>
  <c r="N11" i="14"/>
  <c r="E19" i="31" l="1"/>
  <c r="H19" i="31" s="1"/>
  <c r="L8" i="31" s="1"/>
  <c r="H20" i="31"/>
  <c r="H25" i="31"/>
  <c r="E24" i="31"/>
  <c r="L53" i="13"/>
  <c r="L27" i="13"/>
  <c r="N18" i="14"/>
  <c r="N22" i="14"/>
  <c r="N20" i="14"/>
  <c r="P2" i="14"/>
  <c r="O7" i="14"/>
  <c r="O11" i="14"/>
  <c r="O6" i="14"/>
  <c r="O10" i="14"/>
  <c r="O5" i="14"/>
  <c r="O9" i="14"/>
  <c r="O15" i="14"/>
  <c r="O8" i="14"/>
  <c r="M7" i="13"/>
  <c r="M33" i="13"/>
  <c r="N16" i="14"/>
  <c r="M36" i="13"/>
  <c r="N19" i="14"/>
  <c r="N21" i="14"/>
  <c r="M19" i="13"/>
  <c r="M10" i="13"/>
  <c r="M45" i="13"/>
  <c r="O5" i="13"/>
  <c r="N52" i="13"/>
  <c r="N48" i="13"/>
  <c r="N43" i="13"/>
  <c r="N39" i="13"/>
  <c r="N34" i="13"/>
  <c r="N46" i="13"/>
  <c r="N49" i="13"/>
  <c r="N44" i="13"/>
  <c r="N40" i="13"/>
  <c r="N35" i="13"/>
  <c r="N50" i="13"/>
  <c r="N41" i="13"/>
  <c r="N47" i="13"/>
  <c r="N38" i="13"/>
  <c r="N42" i="13"/>
  <c r="N51" i="13"/>
  <c r="N37" i="13"/>
  <c r="N25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6" i="13"/>
  <c r="H71" i="16"/>
  <c r="H70" i="16"/>
  <c r="H66" i="16"/>
  <c r="K69" i="16"/>
  <c r="K64" i="16"/>
  <c r="F33" i="31" s="1"/>
  <c r="J69" i="16"/>
  <c r="I71" i="16"/>
  <c r="I65" i="16"/>
  <c r="J64" i="16"/>
  <c r="H69" i="16"/>
  <c r="H67" i="16"/>
  <c r="I69" i="16"/>
  <c r="K70" i="16"/>
  <c r="K65" i="16"/>
  <c r="I67" i="16"/>
  <c r="J71" i="16"/>
  <c r="K67" i="16"/>
  <c r="K71" i="16"/>
  <c r="H65" i="16"/>
  <c r="H64" i="16"/>
  <c r="I70" i="16"/>
  <c r="J67" i="16"/>
  <c r="I64" i="16"/>
  <c r="D33" i="31" s="1"/>
  <c r="J65" i="16"/>
  <c r="J66" i="16"/>
  <c r="I66" i="16"/>
  <c r="D35" i="31" s="1"/>
  <c r="J70" i="16"/>
  <c r="N17" i="14"/>
  <c r="H24" i="31" l="1"/>
  <c r="L11" i="31" s="1"/>
  <c r="L12" i="31" s="1"/>
  <c r="E27" i="31"/>
  <c r="H27" i="31" s="1"/>
  <c r="M27" i="13"/>
  <c r="N7" i="13"/>
  <c r="M53" i="13"/>
  <c r="J63" i="16"/>
  <c r="F32" i="31"/>
  <c r="F40" i="31" s="1"/>
  <c r="K63" i="16"/>
  <c r="L71" i="16"/>
  <c r="O17" i="14"/>
  <c r="I68" i="16"/>
  <c r="N45" i="13"/>
  <c r="O20" i="14"/>
  <c r="O22" i="14"/>
  <c r="I63" i="16"/>
  <c r="H63" i="16"/>
  <c r="L64" i="16"/>
  <c r="K68" i="16"/>
  <c r="L65" i="16"/>
  <c r="L67" i="16"/>
  <c r="L66" i="16"/>
  <c r="N19" i="13"/>
  <c r="N10" i="13"/>
  <c r="N36" i="13"/>
  <c r="N33" i="13"/>
  <c r="O16" i="14"/>
  <c r="O18" i="14"/>
  <c r="L69" i="16"/>
  <c r="H68" i="16"/>
  <c r="J68" i="16"/>
  <c r="L70" i="16"/>
  <c r="P5" i="13"/>
  <c r="O49" i="13"/>
  <c r="O44" i="13"/>
  <c r="O40" i="13"/>
  <c r="O35" i="13"/>
  <c r="O47" i="13"/>
  <c r="O42" i="13"/>
  <c r="O50" i="13"/>
  <c r="O46" i="13"/>
  <c r="O41" i="13"/>
  <c r="O37" i="13"/>
  <c r="O51" i="13"/>
  <c r="O48" i="13"/>
  <c r="O39" i="13"/>
  <c r="O52" i="13"/>
  <c r="O34" i="13"/>
  <c r="O43" i="13"/>
  <c r="O38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9" i="14"/>
  <c r="O21" i="14"/>
  <c r="Q2" i="14"/>
  <c r="P15" i="14"/>
  <c r="P8" i="14"/>
  <c r="P7" i="14"/>
  <c r="P11" i="14"/>
  <c r="P6" i="14"/>
  <c r="P10" i="14"/>
  <c r="P5" i="14"/>
  <c r="P9" i="14"/>
  <c r="O33" i="13" l="1"/>
  <c r="N27" i="13"/>
  <c r="P17" i="14"/>
  <c r="P16" i="14"/>
  <c r="N53" i="13"/>
  <c r="I72" i="16"/>
  <c r="O7" i="13"/>
  <c r="O36" i="13"/>
  <c r="L63" i="16"/>
  <c r="H72" i="16"/>
  <c r="K72" i="16"/>
  <c r="P20" i="14"/>
  <c r="P22" i="14"/>
  <c r="R2" i="14"/>
  <c r="Q5" i="14"/>
  <c r="Q9" i="14"/>
  <c r="Q15" i="14"/>
  <c r="Q8" i="14"/>
  <c r="Q7" i="14"/>
  <c r="Q11" i="14"/>
  <c r="Q6" i="14"/>
  <c r="Q10" i="14"/>
  <c r="P18" i="14"/>
  <c r="O19" i="13"/>
  <c r="O10" i="13"/>
  <c r="O45" i="13"/>
  <c r="Q5" i="13"/>
  <c r="P50" i="13"/>
  <c r="P46" i="13"/>
  <c r="P41" i="13"/>
  <c r="P37" i="13"/>
  <c r="P52" i="13"/>
  <c r="P48" i="13"/>
  <c r="P51" i="13"/>
  <c r="P47" i="13"/>
  <c r="P42" i="13"/>
  <c r="P38" i="13"/>
  <c r="P43" i="13"/>
  <c r="P49" i="13"/>
  <c r="P40" i="13"/>
  <c r="P44" i="13"/>
  <c r="P39" i="13"/>
  <c r="P34" i="13"/>
  <c r="P35" i="13"/>
  <c r="P8" i="13"/>
  <c r="P9" i="13"/>
  <c r="P14" i="13"/>
  <c r="P18" i="13"/>
  <c r="P23" i="13"/>
  <c r="P25" i="13"/>
  <c r="P16" i="13"/>
  <c r="P21" i="13"/>
  <c r="P13" i="13"/>
  <c r="P17" i="13"/>
  <c r="P22" i="13"/>
  <c r="P12" i="13"/>
  <c r="P11" i="13"/>
  <c r="P15" i="13"/>
  <c r="P20" i="13"/>
  <c r="P24" i="13"/>
  <c r="P26" i="13"/>
  <c r="L68" i="16"/>
  <c r="D32" i="31"/>
  <c r="P21" i="14"/>
  <c r="P19" i="14"/>
  <c r="J72" i="16"/>
  <c r="E34" i="31" l="1"/>
  <c r="H34" i="31" s="1"/>
  <c r="E35" i="31"/>
  <c r="E36" i="31"/>
  <c r="H36" i="31" s="1"/>
  <c r="E39" i="31"/>
  <c r="H39" i="31" s="1"/>
  <c r="E38" i="31"/>
  <c r="E33" i="31"/>
  <c r="Q17" i="14"/>
  <c r="Q18" i="14"/>
  <c r="O27" i="13"/>
  <c r="Q22" i="14"/>
  <c r="Q21" i="14"/>
  <c r="O53" i="13"/>
  <c r="Q20" i="14"/>
  <c r="P19" i="13"/>
  <c r="P33" i="13"/>
  <c r="P36" i="13"/>
  <c r="R5" i="13"/>
  <c r="Q51" i="13"/>
  <c r="Q47" i="13"/>
  <c r="Q42" i="13"/>
  <c r="Q38" i="13"/>
  <c r="Q49" i="13"/>
  <c r="Q52" i="13"/>
  <c r="Q48" i="13"/>
  <c r="Q43" i="13"/>
  <c r="Q39" i="13"/>
  <c r="Q34" i="13"/>
  <c r="Q44" i="13"/>
  <c r="Q50" i="13"/>
  <c r="Q41" i="13"/>
  <c r="Q46" i="13"/>
  <c r="Q40" i="13"/>
  <c r="Q35" i="13"/>
  <c r="Q37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16" i="14"/>
  <c r="D40" i="31"/>
  <c r="Q19" i="14"/>
  <c r="S2" i="14"/>
  <c r="R6" i="14"/>
  <c r="R10" i="14"/>
  <c r="R5" i="14"/>
  <c r="R9" i="14"/>
  <c r="R15" i="14"/>
  <c r="R8" i="14"/>
  <c r="R7" i="14"/>
  <c r="R11" i="14"/>
  <c r="L72" i="16"/>
  <c r="P10" i="13"/>
  <c r="P7" i="13"/>
  <c r="P45" i="13"/>
  <c r="P53" i="13" l="1"/>
  <c r="P27" i="13"/>
  <c r="Q7" i="13"/>
  <c r="Q45" i="13"/>
  <c r="Q36" i="13"/>
  <c r="R17" i="14"/>
  <c r="Q33" i="13"/>
  <c r="R22" i="14"/>
  <c r="R20" i="14"/>
  <c r="S15" i="14"/>
  <c r="S8" i="14"/>
  <c r="S5" i="14"/>
  <c r="S9" i="14"/>
  <c r="S6" i="14"/>
  <c r="S10" i="14"/>
  <c r="S7" i="14"/>
  <c r="S11" i="14"/>
  <c r="E37" i="31"/>
  <c r="H37" i="31" s="1"/>
  <c r="H38" i="31"/>
  <c r="E32" i="31"/>
  <c r="H32" i="31" s="1"/>
  <c r="H33" i="31"/>
  <c r="R18" i="14"/>
  <c r="R16" i="14"/>
  <c r="Q19" i="13"/>
  <c r="Q10" i="13"/>
  <c r="S5" i="13"/>
  <c r="F48" i="31" s="1"/>
  <c r="R52" i="13"/>
  <c r="R48" i="13"/>
  <c r="R43" i="13"/>
  <c r="R39" i="13"/>
  <c r="R34" i="13"/>
  <c r="R50" i="13"/>
  <c r="R49" i="13"/>
  <c r="R44" i="13"/>
  <c r="R40" i="13"/>
  <c r="R35" i="13"/>
  <c r="R46" i="13"/>
  <c r="R41" i="13"/>
  <c r="R51" i="13"/>
  <c r="R37" i="13"/>
  <c r="R42" i="13"/>
  <c r="R38" i="13"/>
  <c r="R47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H35" i="31"/>
  <c r="Y10" i="14" l="1"/>
  <c r="S17" i="14"/>
  <c r="S21" i="14"/>
  <c r="S22" i="14"/>
  <c r="E40" i="31"/>
  <c r="H40" i="31" s="1"/>
  <c r="S18" i="14"/>
  <c r="S19" i="14"/>
  <c r="S20" i="14"/>
  <c r="Q27" i="13"/>
  <c r="Q53" i="13"/>
  <c r="R45" i="13"/>
  <c r="R19" i="13"/>
  <c r="R10" i="13"/>
  <c r="S49" i="13"/>
  <c r="S44" i="13"/>
  <c r="S40" i="13"/>
  <c r="S35" i="13"/>
  <c r="S51" i="13"/>
  <c r="S42" i="13"/>
  <c r="S50" i="13"/>
  <c r="S46" i="13"/>
  <c r="S41" i="13"/>
  <c r="S37" i="13"/>
  <c r="S47" i="13"/>
  <c r="S52" i="13"/>
  <c r="S34" i="13"/>
  <c r="S43" i="13"/>
  <c r="S38" i="13"/>
  <c r="S39" i="13"/>
  <c r="S48" i="13"/>
  <c r="I84" i="16"/>
  <c r="J80" i="16"/>
  <c r="I78" i="16"/>
  <c r="I79" i="16"/>
  <c r="D48" i="31" s="1"/>
  <c r="K84" i="16"/>
  <c r="S25" i="13"/>
  <c r="K82" i="16"/>
  <c r="S9" i="13"/>
  <c r="K80" i="16"/>
  <c r="S12" i="13"/>
  <c r="S14" i="13"/>
  <c r="S17" i="13"/>
  <c r="T5" i="13"/>
  <c r="F61" i="31" s="1"/>
  <c r="H78" i="16"/>
  <c r="H83" i="16"/>
  <c r="H84" i="16"/>
  <c r="S20" i="13"/>
  <c r="K83" i="16"/>
  <c r="K78" i="16"/>
  <c r="S13" i="13"/>
  <c r="K77" i="16"/>
  <c r="F46" i="31" s="1"/>
  <c r="S15" i="13"/>
  <c r="S21" i="13"/>
  <c r="I83" i="16"/>
  <c r="H82" i="16"/>
  <c r="S16" i="13"/>
  <c r="S24" i="13"/>
  <c r="J83" i="16"/>
  <c r="H79" i="16"/>
  <c r="I80" i="16"/>
  <c r="J84" i="16"/>
  <c r="I82" i="16"/>
  <c r="S18" i="13"/>
  <c r="S23" i="13"/>
  <c r="J78" i="16"/>
  <c r="H80" i="16"/>
  <c r="I77" i="16"/>
  <c r="D46" i="31" s="1"/>
  <c r="J77" i="16"/>
  <c r="H77" i="16"/>
  <c r="S22" i="13"/>
  <c r="J82" i="16"/>
  <c r="S11" i="13"/>
  <c r="J79" i="16"/>
  <c r="S26" i="13"/>
  <c r="S8" i="13"/>
  <c r="U2" i="14"/>
  <c r="U4" i="14" s="1"/>
  <c r="T6" i="14"/>
  <c r="T10" i="14"/>
  <c r="T7" i="14"/>
  <c r="T11" i="14"/>
  <c r="T15" i="14"/>
  <c r="T8" i="14"/>
  <c r="T5" i="14"/>
  <c r="T9" i="14"/>
  <c r="R7" i="13"/>
  <c r="R36" i="13"/>
  <c r="S16" i="14"/>
  <c r="R33" i="13"/>
  <c r="AA19" i="14" l="1"/>
  <c r="AA18" i="14"/>
  <c r="S19" i="13"/>
  <c r="AA17" i="14"/>
  <c r="I81" i="16"/>
  <c r="R27" i="13"/>
  <c r="AL34" i="13"/>
  <c r="T22" i="14"/>
  <c r="T16" i="14"/>
  <c r="T18" i="14"/>
  <c r="S7" i="13"/>
  <c r="AB45" i="13"/>
  <c r="T20" i="14"/>
  <c r="T19" i="14"/>
  <c r="T21" i="14"/>
  <c r="L80" i="16"/>
  <c r="L84" i="16"/>
  <c r="U5" i="13"/>
  <c r="T44" i="13"/>
  <c r="T46" i="13"/>
  <c r="T42" i="13"/>
  <c r="T43" i="13"/>
  <c r="K95" i="16"/>
  <c r="I91" i="16"/>
  <c r="I95" i="16"/>
  <c r="I93" i="16"/>
  <c r="I92" i="16"/>
  <c r="D61" i="31" s="1"/>
  <c r="T20" i="13"/>
  <c r="H97" i="16"/>
  <c r="T26" i="13"/>
  <c r="J93" i="16"/>
  <c r="T24" i="13"/>
  <c r="T9" i="13"/>
  <c r="T40" i="13"/>
  <c r="T41" i="13"/>
  <c r="T38" i="13"/>
  <c r="T52" i="13"/>
  <c r="K96" i="16"/>
  <c r="I97" i="16"/>
  <c r="K91" i="16"/>
  <c r="T14" i="13"/>
  <c r="H95" i="16"/>
  <c r="H93" i="16"/>
  <c r="T8" i="13"/>
  <c r="H92" i="16"/>
  <c r="T13" i="13"/>
  <c r="T16" i="13"/>
  <c r="T23" i="13"/>
  <c r="T25" i="13"/>
  <c r="T34" i="13"/>
  <c r="T37" i="13"/>
  <c r="T51" i="13"/>
  <c r="T48" i="13"/>
  <c r="J97" i="16"/>
  <c r="I90" i="16"/>
  <c r="D59" i="31" s="1"/>
  <c r="J91" i="16"/>
  <c r="K93" i="16"/>
  <c r="I96" i="16"/>
  <c r="T17" i="13"/>
  <c r="H91" i="16"/>
  <c r="H90" i="16"/>
  <c r="T12" i="13"/>
  <c r="H96" i="16"/>
  <c r="T18" i="13"/>
  <c r="T15" i="13"/>
  <c r="T50" i="13"/>
  <c r="T47" i="13"/>
  <c r="J92" i="16"/>
  <c r="K90" i="16"/>
  <c r="F59" i="31" s="1"/>
  <c r="J90" i="16"/>
  <c r="T21" i="13"/>
  <c r="T22" i="13"/>
  <c r="T49" i="13"/>
  <c r="T35" i="13"/>
  <c r="T39" i="13"/>
  <c r="K97" i="16"/>
  <c r="J95" i="16"/>
  <c r="J96" i="16"/>
  <c r="T11" i="13"/>
  <c r="S36" i="13"/>
  <c r="AB44" i="13" s="1"/>
  <c r="R53" i="13"/>
  <c r="T17" i="14"/>
  <c r="H76" i="16"/>
  <c r="L77" i="16"/>
  <c r="S33" i="13"/>
  <c r="AB47" i="13" s="1"/>
  <c r="S10" i="13"/>
  <c r="J76" i="16"/>
  <c r="L83" i="16"/>
  <c r="K81" i="16"/>
  <c r="AB48" i="13"/>
  <c r="AL33" i="13"/>
  <c r="AB46" i="13"/>
  <c r="S45" i="13"/>
  <c r="V2" i="14"/>
  <c r="V4" i="14" s="1"/>
  <c r="U15" i="14"/>
  <c r="U8" i="14"/>
  <c r="U5" i="14"/>
  <c r="U9" i="14"/>
  <c r="U6" i="14"/>
  <c r="U10" i="14"/>
  <c r="U7" i="14"/>
  <c r="U11" i="14"/>
  <c r="J81" i="16"/>
  <c r="I76" i="16"/>
  <c r="L79" i="16"/>
  <c r="H81" i="16"/>
  <c r="L82" i="16"/>
  <c r="F45" i="31"/>
  <c r="F53" i="31" s="1"/>
  <c r="K76" i="16"/>
  <c r="L78" i="16"/>
  <c r="S27" i="13" l="1"/>
  <c r="AB8" i="13" s="1"/>
  <c r="AA20" i="14"/>
  <c r="I85" i="16"/>
  <c r="T7" i="13"/>
  <c r="AL35" i="13"/>
  <c r="U21" i="14"/>
  <c r="U19" i="14"/>
  <c r="U17" i="14"/>
  <c r="U22" i="14"/>
  <c r="AB33" i="13"/>
  <c r="U20" i="14"/>
  <c r="L81" i="16"/>
  <c r="K85" i="16"/>
  <c r="T10" i="13"/>
  <c r="L96" i="16"/>
  <c r="U18" i="14"/>
  <c r="U16" i="14"/>
  <c r="AG34" i="13"/>
  <c r="AB36" i="13"/>
  <c r="S53" i="13"/>
  <c r="AB37" i="13"/>
  <c r="AB35" i="13"/>
  <c r="L93" i="16"/>
  <c r="T19" i="13"/>
  <c r="T45" i="13"/>
  <c r="AB38" i="13"/>
  <c r="J85" i="16"/>
  <c r="AG33" i="13"/>
  <c r="AB34" i="13"/>
  <c r="J89" i="16"/>
  <c r="T33" i="13"/>
  <c r="H94" i="16"/>
  <c r="L95" i="16"/>
  <c r="K94" i="16"/>
  <c r="W2" i="14"/>
  <c r="W4" i="14" s="1"/>
  <c r="V5" i="14"/>
  <c r="V9" i="14"/>
  <c r="V6" i="14"/>
  <c r="V10" i="14"/>
  <c r="V7" i="14"/>
  <c r="V11" i="14"/>
  <c r="V8" i="14"/>
  <c r="V15" i="14"/>
  <c r="AB49" i="13"/>
  <c r="J94" i="16"/>
  <c r="F58" i="31"/>
  <c r="F66" i="31" s="1"/>
  <c r="K89" i="16"/>
  <c r="L90" i="16"/>
  <c r="H89" i="16"/>
  <c r="L92" i="16"/>
  <c r="V5" i="13"/>
  <c r="U50" i="13"/>
  <c r="U46" i="13"/>
  <c r="U41" i="13"/>
  <c r="U37" i="13"/>
  <c r="U43" i="13"/>
  <c r="U51" i="13"/>
  <c r="U47" i="13"/>
  <c r="U42" i="13"/>
  <c r="U38" i="13"/>
  <c r="U52" i="13"/>
  <c r="U48" i="13"/>
  <c r="U35" i="13"/>
  <c r="U44" i="13"/>
  <c r="U49" i="13"/>
  <c r="U34" i="13"/>
  <c r="U39" i="13"/>
  <c r="U40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I89" i="16"/>
  <c r="T36" i="13"/>
  <c r="D45" i="31"/>
  <c r="H85" i="16"/>
  <c r="L76" i="16"/>
  <c r="L91" i="16"/>
  <c r="L97" i="16"/>
  <c r="I94" i="16"/>
  <c r="E48" i="31" l="1"/>
  <c r="E46" i="31"/>
  <c r="E47" i="31"/>
  <c r="H47" i="31" s="1"/>
  <c r="E51" i="31"/>
  <c r="E52" i="31"/>
  <c r="H52" i="31" s="1"/>
  <c r="E49" i="31"/>
  <c r="H49" i="31" s="1"/>
  <c r="M10" i="31" s="1"/>
  <c r="L85" i="16"/>
  <c r="T53" i="13"/>
  <c r="T27" i="13"/>
  <c r="V22" i="14"/>
  <c r="V20" i="14"/>
  <c r="AB39" i="13"/>
  <c r="I98" i="16"/>
  <c r="V18" i="14"/>
  <c r="V16" i="14"/>
  <c r="AG35" i="13"/>
  <c r="U19" i="13"/>
  <c r="U10" i="13"/>
  <c r="U33" i="13"/>
  <c r="K98" i="16"/>
  <c r="U36" i="13"/>
  <c r="W5" i="13"/>
  <c r="V51" i="13"/>
  <c r="V47" i="13"/>
  <c r="V42" i="13"/>
  <c r="V38" i="13"/>
  <c r="V44" i="13"/>
  <c r="V52" i="13"/>
  <c r="V48" i="13"/>
  <c r="V43" i="13"/>
  <c r="V39" i="13"/>
  <c r="V34" i="13"/>
  <c r="V49" i="13"/>
  <c r="V37" i="13"/>
  <c r="V35" i="13"/>
  <c r="V41" i="13"/>
  <c r="V40" i="13"/>
  <c r="V46" i="13"/>
  <c r="V50" i="13"/>
  <c r="V8" i="13"/>
  <c r="V11" i="13"/>
  <c r="V13" i="13"/>
  <c r="V15" i="13"/>
  <c r="V17" i="13"/>
  <c r="V20" i="13"/>
  <c r="V22" i="13"/>
  <c r="V24" i="13"/>
  <c r="V26" i="13"/>
  <c r="V9" i="13"/>
  <c r="V12" i="13"/>
  <c r="V14" i="13"/>
  <c r="V16" i="13"/>
  <c r="V18" i="13"/>
  <c r="V21" i="13"/>
  <c r="V23" i="13"/>
  <c r="V25" i="13"/>
  <c r="L94" i="16"/>
  <c r="J98" i="16"/>
  <c r="D58" i="31"/>
  <c r="D53" i="31"/>
  <c r="U7" i="13"/>
  <c r="U45" i="13"/>
  <c r="V21" i="14"/>
  <c r="W5" i="14"/>
  <c r="W9" i="14"/>
  <c r="W6" i="14"/>
  <c r="W10" i="14"/>
  <c r="W7" i="14"/>
  <c r="W11" i="14"/>
  <c r="W8" i="14"/>
  <c r="W15" i="14"/>
  <c r="L89" i="16"/>
  <c r="H98" i="16"/>
  <c r="V19" i="14"/>
  <c r="V17" i="14"/>
  <c r="F74" i="31" l="1"/>
  <c r="K133" i="16"/>
  <c r="R133" i="16"/>
  <c r="E62" i="31"/>
  <c r="H62" i="31" s="1"/>
  <c r="E61" i="31"/>
  <c r="E59" i="31"/>
  <c r="E60" i="31"/>
  <c r="H60" i="31" s="1"/>
  <c r="E65" i="31"/>
  <c r="H65" i="31" s="1"/>
  <c r="E64" i="31"/>
  <c r="U27" i="13"/>
  <c r="L98" i="16"/>
  <c r="W18" i="14"/>
  <c r="W16" i="14"/>
  <c r="U53" i="13"/>
  <c r="W22" i="14"/>
  <c r="V7" i="13"/>
  <c r="V33" i="13"/>
  <c r="W21" i="14"/>
  <c r="D66" i="31"/>
  <c r="H48" i="31"/>
  <c r="M9" i="31" s="1"/>
  <c r="W19" i="14"/>
  <c r="W17" i="14"/>
  <c r="V45" i="13"/>
  <c r="V36" i="13"/>
  <c r="W43" i="13"/>
  <c r="X43" i="13" s="1"/>
  <c r="W40" i="13"/>
  <c r="X40" i="13" s="1"/>
  <c r="W50" i="13"/>
  <c r="X50" i="13" s="1"/>
  <c r="W42" i="13"/>
  <c r="X42" i="13" s="1"/>
  <c r="H117" i="16"/>
  <c r="J123" i="16"/>
  <c r="J121" i="16"/>
  <c r="H116" i="16"/>
  <c r="W25" i="13"/>
  <c r="X25" i="13" s="1"/>
  <c r="H123" i="16"/>
  <c r="W8" i="13"/>
  <c r="X8" i="13" s="1"/>
  <c r="I116" i="16"/>
  <c r="W15" i="13"/>
  <c r="X15" i="13" s="1"/>
  <c r="J118" i="16"/>
  <c r="I117" i="16"/>
  <c r="I118" i="16"/>
  <c r="W14" i="13"/>
  <c r="X14" i="13" s="1"/>
  <c r="W18" i="13"/>
  <c r="X18" i="13" s="1"/>
  <c r="W39" i="13"/>
  <c r="X39" i="13" s="1"/>
  <c r="W34" i="13"/>
  <c r="X34" i="13" s="1"/>
  <c r="W46" i="13"/>
  <c r="X46" i="13" s="1"/>
  <c r="W51" i="13"/>
  <c r="X51" i="13" s="1"/>
  <c r="H118" i="16"/>
  <c r="J117" i="16"/>
  <c r="K119" i="16"/>
  <c r="J116" i="16"/>
  <c r="W24" i="13"/>
  <c r="X24" i="13" s="1"/>
  <c r="I121" i="16"/>
  <c r="J122" i="16"/>
  <c r="H121" i="16"/>
  <c r="W13" i="13"/>
  <c r="X13" i="13" s="1"/>
  <c r="H122" i="16"/>
  <c r="W12" i="13"/>
  <c r="X12" i="13" s="1"/>
  <c r="W20" i="13"/>
  <c r="X20" i="13" s="1"/>
  <c r="W52" i="13"/>
  <c r="W49" i="13"/>
  <c r="X49" i="13" s="1"/>
  <c r="W41" i="13"/>
  <c r="X41" i="13" s="1"/>
  <c r="W37" i="13"/>
  <c r="X37" i="13" s="1"/>
  <c r="W38" i="13"/>
  <c r="X38" i="13" s="1"/>
  <c r="J119" i="16"/>
  <c r="H119" i="16"/>
  <c r="K121" i="16"/>
  <c r="K116" i="16"/>
  <c r="I122" i="16"/>
  <c r="W22" i="13"/>
  <c r="X22" i="13" s="1"/>
  <c r="W23" i="13"/>
  <c r="X23" i="13" s="1"/>
  <c r="W17" i="13"/>
  <c r="X17" i="13" s="1"/>
  <c r="I119" i="16"/>
  <c r="W9" i="13"/>
  <c r="X9" i="13" s="1"/>
  <c r="W48" i="13"/>
  <c r="X48" i="13" s="1"/>
  <c r="W44" i="13"/>
  <c r="X44" i="13" s="1"/>
  <c r="W47" i="13"/>
  <c r="X47" i="13" s="1"/>
  <c r="W35" i="13"/>
  <c r="X35" i="13" s="1"/>
  <c r="I123" i="16"/>
  <c r="K123" i="16"/>
  <c r="K117" i="16"/>
  <c r="K122" i="16"/>
  <c r="W26" i="13"/>
  <c r="W21" i="13"/>
  <c r="X21" i="13" s="1"/>
  <c r="W11" i="13"/>
  <c r="X11" i="13" s="1"/>
  <c r="W16" i="13"/>
  <c r="X16" i="13" s="1"/>
  <c r="E45" i="31"/>
  <c r="H45" i="31" s="1"/>
  <c r="M8" i="31" s="1"/>
  <c r="H46" i="31"/>
  <c r="E50" i="31"/>
  <c r="H50" i="31" s="1"/>
  <c r="M11" i="31" s="1"/>
  <c r="H51" i="31"/>
  <c r="W20" i="14"/>
  <c r="V19" i="13"/>
  <c r="V10" i="13"/>
  <c r="P134" i="16" l="1"/>
  <c r="I134" i="16"/>
  <c r="J132" i="16"/>
  <c r="Q132" i="16"/>
  <c r="D72" i="31"/>
  <c r="I131" i="16"/>
  <c r="P131" i="16"/>
  <c r="O133" i="16"/>
  <c r="H133" i="16"/>
  <c r="K132" i="16"/>
  <c r="R132" i="16"/>
  <c r="I137" i="16"/>
  <c r="P137" i="16"/>
  <c r="H137" i="16"/>
  <c r="O137" i="16"/>
  <c r="H131" i="16"/>
  <c r="O131" i="16"/>
  <c r="K138" i="16"/>
  <c r="R138" i="16"/>
  <c r="F72" i="31"/>
  <c r="F71" i="31" s="1"/>
  <c r="F79" i="31" s="1"/>
  <c r="R131" i="16"/>
  <c r="K131" i="16"/>
  <c r="Q136" i="16"/>
  <c r="J136" i="16"/>
  <c r="J138" i="16"/>
  <c r="Q138" i="16"/>
  <c r="I138" i="16"/>
  <c r="P138" i="16"/>
  <c r="H136" i="16"/>
  <c r="O136" i="16"/>
  <c r="O134" i="16"/>
  <c r="H134" i="16"/>
  <c r="H132" i="16"/>
  <c r="O132" i="16"/>
  <c r="R136" i="16"/>
  <c r="K136" i="16"/>
  <c r="H138" i="16"/>
  <c r="O138" i="16"/>
  <c r="R137" i="16"/>
  <c r="K137" i="16"/>
  <c r="J137" i="16"/>
  <c r="Q137" i="16"/>
  <c r="Q134" i="16"/>
  <c r="J134" i="16"/>
  <c r="P136" i="16"/>
  <c r="I136" i="16"/>
  <c r="D74" i="31"/>
  <c r="P133" i="16"/>
  <c r="I133" i="16"/>
  <c r="I132" i="16"/>
  <c r="P132" i="16"/>
  <c r="J131" i="16"/>
  <c r="Q131" i="16"/>
  <c r="J133" i="16"/>
  <c r="Q133" i="16"/>
  <c r="R134" i="16"/>
  <c r="K134" i="16"/>
  <c r="L117" i="16"/>
  <c r="AM34" i="13"/>
  <c r="L116" i="16"/>
  <c r="AB17" i="14"/>
  <c r="M12" i="31"/>
  <c r="AB19" i="14"/>
  <c r="V27" i="13"/>
  <c r="K120" i="16"/>
  <c r="W7" i="13"/>
  <c r="V53" i="13"/>
  <c r="AB18" i="14"/>
  <c r="J120" i="16"/>
  <c r="H120" i="16"/>
  <c r="L121" i="16"/>
  <c r="L119" i="16"/>
  <c r="AM33" i="13"/>
  <c r="W45" i="13"/>
  <c r="AC46" i="13"/>
  <c r="L123" i="16"/>
  <c r="E63" i="31"/>
  <c r="H63" i="31" s="1"/>
  <c r="H64" i="31"/>
  <c r="E53" i="31"/>
  <c r="H53" i="31" s="1"/>
  <c r="W19" i="13"/>
  <c r="W10" i="13"/>
  <c r="AC45" i="13"/>
  <c r="L122" i="16"/>
  <c r="I120" i="16"/>
  <c r="W33" i="13"/>
  <c r="AC47" i="13" s="1"/>
  <c r="H61" i="31"/>
  <c r="E58" i="31"/>
  <c r="H58" i="31" s="1"/>
  <c r="H59" i="31"/>
  <c r="W36" i="13"/>
  <c r="AC44" i="13" s="1"/>
  <c r="J115" i="16"/>
  <c r="K115" i="16"/>
  <c r="AC48" i="13"/>
  <c r="L118" i="16"/>
  <c r="I115" i="16"/>
  <c r="H115" i="16"/>
  <c r="L120" i="16" l="1"/>
  <c r="L133" i="16"/>
  <c r="S133" i="16"/>
  <c r="L132" i="16"/>
  <c r="S132" i="16"/>
  <c r="Q135" i="16"/>
  <c r="J135" i="16"/>
  <c r="R130" i="16"/>
  <c r="K130" i="16"/>
  <c r="Q130" i="16"/>
  <c r="J130" i="16"/>
  <c r="R135" i="16"/>
  <c r="K135" i="16"/>
  <c r="L138" i="16"/>
  <c r="S138" i="16"/>
  <c r="H130" i="16"/>
  <c r="O130" i="16"/>
  <c r="P135" i="16"/>
  <c r="I135" i="16"/>
  <c r="L134" i="16"/>
  <c r="S134" i="16"/>
  <c r="S131" i="16"/>
  <c r="L131" i="16"/>
  <c r="O135" i="16"/>
  <c r="H135" i="16"/>
  <c r="P130" i="16"/>
  <c r="I130" i="16"/>
  <c r="S137" i="16"/>
  <c r="L137" i="16"/>
  <c r="S136" i="16"/>
  <c r="L136" i="16"/>
  <c r="AM35" i="13"/>
  <c r="AC38" i="13"/>
  <c r="W27" i="13"/>
  <c r="AC8" i="13" s="1"/>
  <c r="AB20" i="14"/>
  <c r="J124" i="16"/>
  <c r="AC36" i="13"/>
  <c r="AC33" i="13"/>
  <c r="AC34" i="13"/>
  <c r="K124" i="16"/>
  <c r="I124" i="16"/>
  <c r="AC35" i="13"/>
  <c r="AC37" i="13"/>
  <c r="AC49" i="13"/>
  <c r="D71" i="31"/>
  <c r="W53" i="13"/>
  <c r="L115" i="16"/>
  <c r="H124" i="16"/>
  <c r="E66" i="31"/>
  <c r="H66" i="31" s="1"/>
  <c r="AH33" i="13"/>
  <c r="AH34" i="13"/>
  <c r="O139" i="16" l="1"/>
  <c r="H139" i="16"/>
  <c r="S130" i="16"/>
  <c r="L130" i="16"/>
  <c r="J139" i="16"/>
  <c r="Q139" i="16"/>
  <c r="S135" i="16"/>
  <c r="L135" i="16"/>
  <c r="P139" i="16"/>
  <c r="I139" i="16"/>
  <c r="K139" i="16"/>
  <c r="R139" i="16"/>
  <c r="E75" i="31"/>
  <c r="H75" i="31" s="1"/>
  <c r="N10" i="31" s="1"/>
  <c r="E74" i="31"/>
  <c r="H74" i="31" s="1"/>
  <c r="N9" i="31" s="1"/>
  <c r="E73" i="31"/>
  <c r="H73" i="31" s="1"/>
  <c r="E78" i="31"/>
  <c r="H78" i="31" s="1"/>
  <c r="E77" i="31"/>
  <c r="E72" i="31"/>
  <c r="H72" i="31" s="1"/>
  <c r="L124" i="16"/>
  <c r="AC39" i="13"/>
  <c r="AH35" i="13"/>
  <c r="D79" i="31"/>
  <c r="L139" i="16" l="1"/>
  <c r="S139" i="16"/>
  <c r="E76" i="31"/>
  <c r="H76" i="31" s="1"/>
  <c r="N11" i="31" s="1"/>
  <c r="H77" i="31"/>
  <c r="E71" i="31"/>
  <c r="H71" i="31" s="1"/>
  <c r="N8" i="31" s="1"/>
  <c r="N12" i="31" l="1"/>
  <c r="E79" i="31"/>
  <c r="H79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6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<sst xmlns="http://schemas.openxmlformats.org/spreadsheetml/2006/main" count="1877" uniqueCount="543">
  <si>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</si>
  <si>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</si>
  <si>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</si>
  <si>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</si>
  <si>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</si>
  <si>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</si>
  <si>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</si>
  <si>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</si>
  <si>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</si>
  <si>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</si>
  <si>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</si>
  <si>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</si>
  <si>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</si>
  <si>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</si>
  <si>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</si>
  <si>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</si>
  <si>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</si>
  <si>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</si>
  <si>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</si>
  <si>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</si>
  <si>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</si>
  <si>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</si>
  <si>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</si>
  <si>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</si>
  <si>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</si>
  <si>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</si>
  <si>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</si>
  <si>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</si>
  <si>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</si>
  <si>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</si>
  <si>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</si>
  <si>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</si>
  <si>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</si>
  <si>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</si>
  <si>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</si>
  <si>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</si>
  <si>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</si>
  <si>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</si>
  <si>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</si>
  <si>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</si>
  <si>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</si>
  <si>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</si>
  <si>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</si>
  <si>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</si>
  <si>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</si>
  <si>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</si>
  <si>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</si>
  <si>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</si>
  <si>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</si>
  <si>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</si>
  <si>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</si>
  <si>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</si>
  <si>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</si>
  <si>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</si>
  <si>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</si>
  <si>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</si>
  <si>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</si>
  <si>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</si>
  <si>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</si>
  <si>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</si>
  <si>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</si>
  <si>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</si>
  <si>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</si>
  <si>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</si>
  <si>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</si>
  <si>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</si>
  <si>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</si>
  <si>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</si>
  <si>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</si>
  <si>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</si>
  <si>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</si>
  <si>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</si>
  <si>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</si>
  <si>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</si>
  <si>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</si>
  <si>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</si>
  <si>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</si>
  <si>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</si>
  <si>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</si>
  <si>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</si>
  <si>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</si>
  <si>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</si>
  <si>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</si>
  <si>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</si>
  <si>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</si>
  <si>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</si>
  <si>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</si>
  <si>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</si>
  <si>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</si>
  <si>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</si>
  <si>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</si>
  <si>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</si>
  <si>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</si>
  <si>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</si>
  <si>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</si>
  <si>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</si>
  <si>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</si>
  <si>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</si>
  <si>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</si>
  <si>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</si>
  <si>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</si>
  <si>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</si>
  <si>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</si>
  <si>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ER_OIL_2</t>
  </si>
  <si>
    <t>ER_OIL_2201_2</t>
  </si>
  <si>
    <t>ER_OIL_2202_2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</si>
  <si>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</si>
  <si>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</si>
  <si>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</si>
  <si>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</si>
  <si>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</si>
  <si>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</si>
  <si>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</si>
  <si>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</si>
  <si>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ER_ELEC_2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</si>
  <si>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</si>
  <si>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</si>
  <si>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</si>
  <si>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</si>
  <si>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</si>
  <si>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</si>
  <si>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</si>
  <si>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</si>
  <si>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</si>
  <si>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ER_AGRICULTURE_2</t>
  </si>
  <si>
    <t>ER_INDUS_2</t>
  </si>
  <si>
    <t>ER_RESIDENTIAL_2</t>
  </si>
  <si>
    <t>ER_TERTIARY_2</t>
  </si>
  <si>
    <t>ER_TRANS_PRIVATE_2</t>
  </si>
  <si>
    <t>ER_TRANS_PUBLIC_2</t>
  </si>
  <si>
    <t>ER_AUTO_2</t>
  </si>
  <si>
    <t>ER_AUTO_TH_A_2</t>
  </si>
  <si>
    <t>ER_AUTO_TH_B_2</t>
  </si>
  <si>
    <t>ER_AUTO_TH_C_2</t>
  </si>
  <si>
    <t>ER_AUTO_TH_D_2</t>
  </si>
  <si>
    <t>ER_AUTO_TH_E_2</t>
  </si>
  <si>
    <t>ER_AUTO_TH_F_2</t>
  </si>
  <si>
    <t>ER_AUTO_TH_G_2</t>
  </si>
  <si>
    <t>ER_AUTO_ELEC_A_2</t>
  </si>
  <si>
    <t>ER_AUTO_ELEC_B_2</t>
  </si>
  <si>
    <t>ER_AUTO_ELEC_C_2</t>
  </si>
  <si>
    <t>ER_AUTO_ELEC_D_2</t>
  </si>
  <si>
    <t>ER_AUTO_ELEC_E_2</t>
  </si>
  <si>
    <t>ER_AUTO_ELEC_F_2</t>
  </si>
  <si>
    <t>ER_AUTO_ELEC_G_2</t>
  </si>
  <si>
    <t>ER_AUTO_COAL_2</t>
  </si>
  <si>
    <t>ER_AUTO_TH_2</t>
  </si>
  <si>
    <t>ER_AUTO_ELEC_2</t>
  </si>
  <si>
    <t>ER_AUTO_GAS_2</t>
  </si>
  <si>
    <t>ER_NEWAUTO_2</t>
  </si>
  <si>
    <t>ER_NEWAUTO_TH_2</t>
  </si>
  <si>
    <t>ER_NEWAUTO_TH_A_2</t>
  </si>
  <si>
    <t>ER_NEWAUTO_TH_B_2</t>
  </si>
  <si>
    <t>ER_NEWAUTO_TH_C_2</t>
  </si>
  <si>
    <t>ER_NEWAUTO_TH_D_2</t>
  </si>
  <si>
    <t>ER_NEWAUTO_TH_E_2</t>
  </si>
  <si>
    <t>ER_NEWAUTO_TH_F_2</t>
  </si>
  <si>
    <t>ER_NEWAUTO_TH_G_2</t>
  </si>
  <si>
    <t>ER_NEWAUTO_ELEC_2</t>
  </si>
  <si>
    <t>ER_NEWAUTO_ELEC_A_2</t>
  </si>
  <si>
    <t>ER_NEWAUTO_ELEC_B_2</t>
  </si>
  <si>
    <t>ER_NEWAUTO_ELEC_C_2</t>
  </si>
  <si>
    <t>ER_NEWAUTO_ELEC_D_2</t>
  </si>
  <si>
    <t>ER_NEWAUTO_ELEC_E_2</t>
  </si>
  <si>
    <t>ER_NEWAUTO_ELEC_F_2</t>
  </si>
  <si>
    <t>ER_NEWAUTO_ELEC_G_2</t>
  </si>
  <si>
    <t>ER_AGRICULTURE_COAL_2</t>
  </si>
  <si>
    <t>ER_INDUS_COAL_2</t>
  </si>
  <si>
    <t>ER_RESIDENTIAL_COAL_2</t>
  </si>
  <si>
    <t>ER_TERTIARY_COAL_2</t>
  </si>
  <si>
    <t>ER_TRANS_PRIVATE_COAL_2</t>
  </si>
  <si>
    <t>ER_TRANS_PUBLIC_COAL_2</t>
  </si>
  <si>
    <t>ER_AGRICULTURE_OIL_2</t>
  </si>
  <si>
    <t>ER_INDUS_OIL_2</t>
  </si>
  <si>
    <t>ER_RESIDENTIAL_OIL_2</t>
  </si>
  <si>
    <t>ER_TERTIARY_OIL_2</t>
  </si>
  <si>
    <t>ER_TRANS_PRIVATE_OIL_2</t>
  </si>
  <si>
    <t>ER_TRANS_PUBLIC_OIL_2</t>
  </si>
  <si>
    <t>ER_AGRICULTURE_ELEC_2</t>
  </si>
  <si>
    <t>ER_INDUS_ELEC_2</t>
  </si>
  <si>
    <t>ER_RESIDENTIAL_ELEC_2</t>
  </si>
  <si>
    <t>ER_TERTIARY_ELEC_2</t>
  </si>
  <si>
    <t>ER_TRANS_PRIVATE_ELEC_2</t>
  </si>
  <si>
    <t>ER_TRANS_PUBLIC_ELEC_2</t>
  </si>
  <si>
    <t>ER_AGRICULTURE_GAS_2</t>
  </si>
  <si>
    <t>ER_INDUS_GAS_2</t>
  </si>
  <si>
    <t>ER_RESIDENTIAL_GAS_2</t>
  </si>
  <si>
    <t>ER_TERTIARY_GAS_2</t>
  </si>
  <si>
    <t>ER_TRANS_PRIVATE_GAS_2</t>
  </si>
  <si>
    <t>ER_TRANS_PUBLIC_GAS_2</t>
  </si>
  <si>
    <t>ER_BUIL_2</t>
  </si>
  <si>
    <t>ER_BUIL_A_2</t>
  </si>
  <si>
    <t>ER_BUIL_B_2</t>
  </si>
  <si>
    <t>ER_BUIL_C_2</t>
  </si>
  <si>
    <t>ER_BUIL_D_2</t>
  </si>
  <si>
    <t>ER_BUIL_E_2</t>
  </si>
  <si>
    <t>ER_BUIL_F_2</t>
  </si>
  <si>
    <t>ER_BUIL_G_2</t>
  </si>
  <si>
    <t>TTCO_VOL_SIGNAL_2</t>
  </si>
  <si>
    <t>PGDP_2</t>
  </si>
  <si>
    <t>100*(GDP_2/@ELEM(GDP_2,"2006"))</t>
  </si>
  <si>
    <t>100*(EMS_TOT_2/@ELEM(EMS_TOT_2,"2006"))</t>
  </si>
  <si>
    <t>EMS_DC_04_2</t>
  </si>
  <si>
    <t>EMS_DC_05_2</t>
  </si>
  <si>
    <t>EMS_DC_2</t>
  </si>
  <si>
    <t>EMS_HH_2</t>
  </si>
  <si>
    <t>EMS_HH_21_2</t>
  </si>
  <si>
    <t>EMS_HH_21_H01_2</t>
  </si>
  <si>
    <t>EMS_HH_22_2</t>
  </si>
  <si>
    <t>EMS_HH_22_H01_2</t>
  </si>
  <si>
    <t>EMS_HH_24_2</t>
  </si>
  <si>
    <t>EMS_HH_24_H01_2</t>
  </si>
  <si>
    <t>EMS_SEC_TOT_01_2</t>
  </si>
  <si>
    <t>EMS_SEC_TOT_02_2</t>
  </si>
  <si>
    <t>EMS_SEC_TOT_03_2</t>
  </si>
  <si>
    <t>EMS_SEC_TOT_04_2</t>
  </si>
  <si>
    <t>EMS_SEC_TOT_05_2</t>
  </si>
  <si>
    <t>EMS_SEC_TOT_06_2</t>
  </si>
  <si>
    <t>EMS_SEC_TOT_07_2</t>
  </si>
  <si>
    <t>EMS_SEC_TOT_08_2</t>
  </si>
  <si>
    <t>EMS_SEC_TOT_09_2</t>
  </si>
  <si>
    <t>EMS_SEC_TOT_10_2</t>
  </si>
  <si>
    <t>EMS_SEC_TOT_11_2</t>
  </si>
  <si>
    <t>EMS_SEC_TOT_12_2</t>
  </si>
  <si>
    <t>EMS_SEC_TOT_13_2</t>
  </si>
  <si>
    <t>EMS_SEC_TOT_14_2</t>
  </si>
  <si>
    <t>EMS_SEC_TOT_15_2</t>
  </si>
  <si>
    <t>EMS_SEC_TOT_16_2</t>
  </si>
  <si>
    <t>EMS_SEC_TOT_17_2</t>
  </si>
  <si>
    <t>EMS_SEC_TOT_18_2</t>
  </si>
  <si>
    <t>EMS_SEC_TOT_19_2</t>
  </si>
  <si>
    <t>EMS_SEC_TOT_2</t>
  </si>
  <si>
    <t>EMS_SEC_TOT_20_2</t>
  </si>
  <si>
    <t>EMS_SEC_TOT_21_05_2</t>
  </si>
  <si>
    <t>EMS_SEC_TOT_21_06_2</t>
  </si>
  <si>
    <t>EMS_SEC_TOT_21_07_2</t>
  </si>
  <si>
    <t>EMS_SEC_TOT_21_08_2</t>
  </si>
  <si>
    <t>EMS_SEC_TOT_21_10_2</t>
  </si>
  <si>
    <t>EMS_SEC_TOT_21_12_2</t>
  </si>
  <si>
    <t>EMS_SEC_TOT_21_19_2</t>
  </si>
  <si>
    <t>EMS_SEC_TOT_21_20_2</t>
  </si>
  <si>
    <t>EMS_SEC_TOT_21_2304_2</t>
  </si>
  <si>
    <t>EMS_SEC_TOT_2201_2</t>
  </si>
  <si>
    <t>EMS_SEC_TOT_22_01_2</t>
  </si>
  <si>
    <t>EMS_SEC_TOT_22_02_2</t>
  </si>
  <si>
    <t>EMS_SEC_TOT_22_03_2</t>
  </si>
  <si>
    <t>EMS_SEC_TOT_22_04_2</t>
  </si>
  <si>
    <t>EMS_SEC_TOT_22_05_2</t>
  </si>
  <si>
    <t>EMS_SEC_TOT_22_06_2</t>
  </si>
  <si>
    <t>EMS_SEC_TOT_22_07_2</t>
  </si>
  <si>
    <t>EMS_SEC_TOT_22_08_2</t>
  </si>
  <si>
    <t>EMS_SEC_TOT_22_09_2</t>
  </si>
  <si>
    <t>EMS_SEC_TOT_22_12_2</t>
  </si>
  <si>
    <t>EMS_SEC_TOT_22_13_2</t>
  </si>
  <si>
    <t>EMS_SEC_TOT_22_14_2</t>
  </si>
  <si>
    <t>EMS_SEC_TOT_22_15_2</t>
  </si>
  <si>
    <t>EMS_SEC_TOT_22_16_2</t>
  </si>
  <si>
    <t>EMS_SEC_TOT_22_17_2</t>
  </si>
  <si>
    <t>EMS_SEC_TOT_22_18_2</t>
  </si>
  <si>
    <t>EMS_SEC_TOT_22_19_2</t>
  </si>
  <si>
    <t>EMS_SEC_TOT_22_20_2</t>
  </si>
  <si>
    <t>EMS_SEC_TOT_22_2201_2</t>
  </si>
  <si>
    <t>EMS_SEC_TOT_22_2302_2</t>
  </si>
  <si>
    <t>EMS_SEC_TOT_2302_2</t>
  </si>
  <si>
    <t>EMS_SEC_TOT_2303_2</t>
  </si>
  <si>
    <t>EMS_SEC_TOT_2304_2</t>
  </si>
  <si>
    <t>EMS_SEC_TOT_2401_2</t>
  </si>
  <si>
    <t>EMS_SEC_TOT_24_01_2</t>
  </si>
  <si>
    <t>EMS_SEC_TOT_24_02_2</t>
  </si>
  <si>
    <t>EMS_SEC_TOT_24_03_2</t>
  </si>
  <si>
    <t>EMS_SEC_TOT_24_04_2</t>
  </si>
  <si>
    <t>EMS_SEC_TOT_24_05_2</t>
  </si>
  <si>
    <t>EMS_SEC_TOT_24_06_2</t>
  </si>
  <si>
    <t>EMS_SEC_TOT_24_07_2</t>
  </si>
  <si>
    <t>EMS_SEC_TOT_24_08_2</t>
  </si>
  <si>
    <t>EMS_SEC_TOT_24_09_2</t>
  </si>
  <si>
    <t>EMS_SEC_TOT_24_10_2</t>
  </si>
  <si>
    <t>EMS_SEC_TOT_24_11_2</t>
  </si>
  <si>
    <t>EMS_SEC_TOT_24_12_2</t>
  </si>
  <si>
    <t>EMS_SEC_TOT_24_13_2</t>
  </si>
  <si>
    <t>EMS_SEC_TOT_24_14_2</t>
  </si>
  <si>
    <t>EMS_SEC_TOT_24_15_2</t>
  </si>
  <si>
    <t>EMS_SEC_TOT_24_16_2</t>
  </si>
  <si>
    <t>EMS_SEC_TOT_24_17_2</t>
  </si>
  <si>
    <t>EMS_SEC_TOT_24_18_2</t>
  </si>
  <si>
    <t>EMS_SEC_TOT_24_19_2</t>
  </si>
  <si>
    <t>EMS_SEC_TOT_24_20_2</t>
  </si>
  <si>
    <t>EMS_SEC_TOT_24_2201_2</t>
  </si>
  <si>
    <t>EMS_SEC_TOT_24_2303_2</t>
  </si>
  <si>
    <t>EMS_SEC_TOT_24_2401_2</t>
  </si>
  <si>
    <t>EMS_SECSOU_2</t>
  </si>
  <si>
    <t>EMS_SECSOU_21_2</t>
  </si>
  <si>
    <t>EMS_SECSOU_22_2</t>
  </si>
  <si>
    <t>EMS_SECSOU_24_2</t>
  </si>
  <si>
    <t>EMS_SOU_2</t>
  </si>
  <si>
    <t>EMS_SOU_21_2</t>
  </si>
  <si>
    <t>EMS_SOU_22_2</t>
  </si>
  <si>
    <t>EMS_SOU_24_2</t>
  </si>
  <si>
    <t>EMS_TOT_2</t>
  </si>
  <si>
    <t>Q_MTEP_EP_2</t>
  </si>
  <si>
    <t>Q_MTEP_EP_21_2</t>
  </si>
  <si>
    <t>Q_MTEP_EP_21_21_2</t>
  </si>
  <si>
    <t>Q_MTEP_EP_2201_2</t>
  </si>
  <si>
    <t>Q_MTEP_EP_2202_2</t>
  </si>
  <si>
    <t>Q_MTEP_EP_22_2201_2</t>
  </si>
  <si>
    <t>Q_MTEP_EP_22_2202_2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</si>
  <si>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</si>
  <si>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</si>
  <si>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</si>
  <si>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</si>
  <si>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</si>
  <si>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</si>
  <si>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</si>
  <si>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</si>
  <si>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Q_MTEP_EP_23_2301_2</t>
  </si>
  <si>
    <t>Q_MTEP_EP_23_2302_2</t>
  </si>
  <si>
    <t>Q_MTEP_EP_23_2303_2</t>
  </si>
  <si>
    <t>Q_MTEP_EP_23_2304_2</t>
  </si>
  <si>
    <t>Q_MTEP_EP_23_2305_2</t>
  </si>
  <si>
    <t>Q_MTEP_EP_23_2306_2</t>
  </si>
  <si>
    <t>Q_MTEP_EP_23_2307_2</t>
  </si>
  <si>
    <t>Q_MTEP_EP_23_2308_2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</si>
  <si>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</si>
  <si>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</si>
  <si>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</si>
  <si>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</si>
  <si>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</si>
  <si>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</si>
  <si>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</si>
  <si>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</si>
  <si>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</si>
  <si>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</si>
  <si>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</si>
  <si>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</si>
  <si>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</si>
  <si>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</si>
  <si>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</si>
  <si>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</si>
  <si>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</si>
  <si>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</si>
  <si>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</si>
  <si>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</si>
  <si>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</si>
  <si>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</si>
  <si>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</si>
  <si>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</si>
  <si>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</si>
  <si>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</si>
  <si>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</si>
  <si>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</si>
  <si>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</si>
  <si>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</si>
  <si>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</si>
  <si>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</si>
  <si>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</si>
  <si>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</si>
  <si>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Q_Mtep_ep_2201_2</t>
  </si>
  <si>
    <t>Q_Mtep_ep_2202_2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</si>
  <si>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</si>
  <si>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</si>
  <si>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</si>
  <si>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</si>
  <si>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</si>
  <si>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</si>
  <si>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</si>
  <si>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</si>
  <si>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</si>
  <si>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</si>
  <si>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</si>
  <si>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</si>
  <si>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</si>
  <si>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</si>
  <si>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Q_Mtep_ep_21_2</t>
  </si>
  <si>
    <t>ER_Oil_2</t>
  </si>
  <si>
    <t>ER_oil_2201_2</t>
  </si>
  <si>
    <t>ER_oil_2202_2</t>
  </si>
  <si>
    <t>ER_elec_2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</si>
  <si>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</si>
  <si>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</si>
  <si>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</si>
  <si>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</si>
  <si>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</si>
  <si>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</si>
  <si>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</si>
  <si>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</si>
  <si>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</si>
  <si>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</si>
  <si>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</si>
  <si>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</si>
  <si>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</si>
  <si>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</si>
  <si>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</si>
  <si>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</si>
  <si>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</si>
  <si>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</si>
  <si>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</si>
  <si>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</si>
  <si>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</si>
  <si>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</si>
  <si>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</si>
  <si>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</si>
  <si>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</si>
  <si>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</si>
  <si>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</si>
  <si>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</si>
  <si>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</si>
  <si>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</si>
  <si>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</si>
  <si>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</si>
  <si>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</si>
  <si>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</si>
  <si>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</si>
  <si>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</si>
  <si>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</si>
  <si>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</si>
  <si>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</si>
  <si>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</si>
  <si>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</si>
  <si>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</si>
  <si>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</si>
  <si>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</si>
  <si>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</si>
  <si>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ER_AUTO_2/1000</t>
  </si>
  <si>
    <t>ER_AUTO_ELEC_2/ER_AUTO_2</t>
  </si>
  <si>
    <t>ER_AUTO_TH_2/ER_AUTO_2</t>
  </si>
  <si>
    <t>ER_NEWAUTO_ELEC_2/ER_NEWAUTO_2</t>
  </si>
  <si>
    <t>ER_NEWAUTO_ELEC_A_2/ER_NEWAUTO_2</t>
  </si>
  <si>
    <t>ER_NEWAUTO_ELEC_B_2/ER_NEWAUTO_2</t>
  </si>
  <si>
    <t>ER_NEWAUTO_ELEC_C_2/ER_NEWAUTO_2</t>
  </si>
  <si>
    <t>ER_NEWAUTO_ELEC_D_2/ER_NEWAUTO_2</t>
  </si>
  <si>
    <t>ER_NEWAUTO_ELEC_E_2/ER_NEWAUTO_2</t>
  </si>
  <si>
    <t>ER_NEWAUTO_ELEC_F_2/ER_NEWAUTO_2</t>
  </si>
  <si>
    <t>ER_NEWAUTO_ELEC_G_2/ER_NEWAUTO_2</t>
  </si>
  <si>
    <t>ER_NEWAUTO_TH_2/ER_NEWAUTO_2</t>
  </si>
  <si>
    <t>ER_NEWAUTO_TH_A_2/ER_NEWAUTO_2</t>
  </si>
  <si>
    <t>ER_NEWAUTO_TH_B_2/ER_NEWAUTO_2</t>
  </si>
  <si>
    <t>ER_NEWAUTO_TH_C_2/ER_NEWAUTO_2</t>
  </si>
  <si>
    <t>ER_NEWAUTO_TH_D_2/ER_NEWAUTO_2</t>
  </si>
  <si>
    <t>ER_NEWAUTO_TH_E_2/ER_NEWAUTO_2</t>
  </si>
  <si>
    <t>ER_NEWAUTO_TH_F_2/ER_NEWAUTO_2</t>
  </si>
  <si>
    <t>ER_NEWAUTO_TH_G_2/ER_NEWAUTO_2</t>
  </si>
  <si>
    <t>ER_AUTO_COAL_2/ER_AUTO_2</t>
  </si>
  <si>
    <t>ER_AUTO_GAS_2/ER_AUTO_2</t>
  </si>
  <si>
    <t>ER_AUTO_ELEC_A_2/ER_AUTO_2</t>
  </si>
  <si>
    <t>ER_AUTO_ELEC_B_2/ER_AUTO_2</t>
  </si>
  <si>
    <t>ER_AUTO_ELEC_C_2/ER_AUTO_2</t>
  </si>
  <si>
    <t>ER_AUTO_ELEC_D_2/ER_AUTO_2</t>
  </si>
  <si>
    <t>ER_AUTO_ELEC_E_2/ER_AUTO_2</t>
  </si>
  <si>
    <t>ER_AUTO_ELEC_F_2/ER_AUTO_2</t>
  </si>
  <si>
    <t>ER_AUTO_ELEC_G_2/ER_AUTO_2</t>
  </si>
  <si>
    <t>ER_AUTO_TH_A_2/ER_AUTO_2</t>
  </si>
  <si>
    <t>ER_AUTO_TH_B_2/ER_AUTO_2</t>
  </si>
  <si>
    <t>ER_AUTO_TH_C_2/ER_AUTO_2</t>
  </si>
  <si>
    <t>ER_AUTO_TH_D_2/ER_AUTO_2</t>
  </si>
  <si>
    <t>ER_AUTO_TH_E_2/ER_AUTO_2</t>
  </si>
  <si>
    <t>ER_AUTO_TH_F_2/ER_AUTO_2</t>
  </si>
  <si>
    <t>ER_AUTO_TH_G_2/ER_AUTO_2</t>
  </si>
  <si>
    <t>Cf. onglet "G mix energie"</t>
  </si>
  <si>
    <t>electricité</t>
  </si>
  <si>
    <t>chaleur (bois…)</t>
  </si>
  <si>
    <t>gaz</t>
  </si>
  <si>
    <t>carburant</t>
  </si>
  <si>
    <t>Electric</t>
  </si>
  <si>
    <t>Stock of vehicles</t>
  </si>
  <si>
    <t>S1</t>
  </si>
  <si>
    <t>Transport (milliers de km voyageurs)</t>
  </si>
  <si>
    <t>Avion (France + RDM)</t>
  </si>
  <si>
    <t>Longue Distance (LD)</t>
  </si>
  <si>
    <t xml:space="preserve">    voiture LD</t>
  </si>
  <si>
    <t xml:space="preserve">    train</t>
  </si>
  <si>
    <t>Courte Distance (CD)</t>
  </si>
  <si>
    <t xml:space="preserve">    voiture CD</t>
  </si>
  <si>
    <t xml:space="preserve">    bus</t>
  </si>
  <si>
    <t>Voiture CD+LD</t>
  </si>
  <si>
    <t>TEND</t>
  </si>
  <si>
    <t>Ecarts de transport 
(milliers de km voyageurs)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</si>
  <si>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</si>
  <si>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</si>
  <si>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</si>
  <si>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</si>
  <si>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</si>
  <si>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</si>
  <si>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</si>
  <si>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</si>
  <si>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1) Copier-coller sorties Eviews en B2
2) veillez à ce que les données commencent en 2004
3) modifier le scénario si besoin en B1</t>
  </si>
  <si>
    <t>Energie finale</t>
  </si>
  <si>
    <t>EMS_TOT_2/@ELEM(EMS_TOT,"2006")*100</t>
  </si>
  <si>
    <t>c</t>
  </si>
  <si>
    <t>Différences en 2050 résultant des modifs de chocs</t>
  </si>
  <si>
    <t>Ecarts par rapport à la cible</t>
  </si>
  <si>
    <t>Industry</t>
  </si>
  <si>
    <t>Industry energetic uses</t>
  </si>
  <si>
    <t>SNBC3</t>
  </si>
  <si>
    <t>Part modale hors avion</t>
  </si>
  <si>
    <t>voiture CD</t>
  </si>
  <si>
    <t>voiture LD</t>
  </si>
  <si>
    <t>voiture CD+LD</t>
  </si>
  <si>
    <t>Transport (parts modales en %)</t>
  </si>
  <si>
    <t>2030/2019</t>
  </si>
  <si>
    <t>2050/2019</t>
  </si>
  <si>
    <t>Total hors avion</t>
  </si>
  <si>
    <t>Ecarts de transport 
(points de %)</t>
  </si>
  <si>
    <t>Avion</t>
  </si>
  <si>
    <t>train</t>
  </si>
  <si>
    <t>bus</t>
  </si>
  <si>
    <t>route</t>
  </si>
  <si>
    <t>Cibles DGEC</t>
  </si>
  <si>
    <t>TTCO_VOL_SIGNAL_1</t>
  </si>
  <si>
    <t>PGDP_1</t>
  </si>
  <si>
    <t>(GDP_2/GDP_1-1)*100</t>
  </si>
  <si>
    <t>(CH_2/CH_1-1)*100</t>
  </si>
  <si>
    <t>(I_2/I_1-1)*100</t>
  </si>
  <si>
    <t>(X_2/X_1-1)*100</t>
  </si>
  <si>
    <t>(M_2/M_1-1)*100</t>
  </si>
  <si>
    <t>(DC_VAL_2/(PGDP_2*GDP_2)-DC_VAL_1/(PGDP_1*GDP_1))*100</t>
  </si>
  <si>
    <t>(UNR_TOT_2-UNR_TOT_1)*100</t>
  </si>
  <si>
    <t>(L_2/L_1-1)*100</t>
  </si>
  <si>
    <t>((W_S_2/PCH_2)/(W_S_1/PCH_1)-1)*100</t>
  </si>
  <si>
    <t>INFL_FR_2-INFL_FR_1</t>
  </si>
  <si>
    <t>R_2-R_1</t>
  </si>
  <si>
    <t>(DEBT_G_VAL_2/(PGDP_2*GDP_2)-DEBT_G_VAL_1/(PGDP_1*GDP_1))*100</t>
  </si>
  <si>
    <t>(DP_G_VAL_2-DP_G_VAL_1)*100</t>
  </si>
  <si>
    <t>100*(GDP_2/GDP_1-1)</t>
  </si>
  <si>
    <t>100*(CH_2/CH_1-1)</t>
  </si>
  <si>
    <t>100*(I_2/I_1-1)</t>
  </si>
  <si>
    <t>100*(X_2/X_1-1)</t>
  </si>
  <si>
    <t>100*(M_2/M_1-1)</t>
  </si>
  <si>
    <t>100*(UNR_TOT_2-UNR_TOT_1)</t>
  </si>
  <si>
    <t>100*(L_2/L_1-1)</t>
  </si>
  <si>
    <t>100*((W_2/PCH_2)/(W_1/PCH_1)-1)</t>
  </si>
  <si>
    <t>100*(PCH_2/PCH_1-1)</t>
  </si>
  <si>
    <t>100*(R_2-R_1)</t>
  </si>
  <si>
    <t>100*(DEBT_G_VAL_2/(PGDP_2*GDP_2)-DEBT_G_VAL_1/(PGDP_1*GDP_1))</t>
  </si>
  <si>
    <t>100*(DP_G_VAL_2-DP_G_VAL_1)</t>
  </si>
  <si>
    <t>100*(EMS_TOT_2/EMS_TOT_1-1)</t>
  </si>
  <si>
    <t>KM_AUTO_H01_1</t>
  </si>
  <si>
    <t>KM_TRAVELER_18_H01_1</t>
  </si>
  <si>
    <t>KM_TRAV_AUTO_LD_H01_1</t>
  </si>
  <si>
    <t>KM_TRAV_AUTO_CD_H01_1</t>
  </si>
  <si>
    <t>KM_TRAVELER_14_H01_1</t>
  </si>
  <si>
    <t>KM_TRAVELER_15_H01_1</t>
  </si>
  <si>
    <t>KM_TRAVELER_CD_H01_1</t>
  </si>
  <si>
    <t>KM_TRAVELER_LD_H01_1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</si>
</sst>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#,##0.0"/>
    <numFmt numFmtId="167" formatCode="0.000"/>
    <numFmt numFmtId="168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321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/>
    <xf numFmtId="0" fontId="2" fillId="0" borderId="1" xfId="0" applyFont="1" applyBorder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2" fontId="2" fillId="0" borderId="0" xfId="0" applyNumberFormat="1" applyFont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1" fontId="0" fillId="0" borderId="0" xfId="0" applyNumberFormat="1"/>
    <xf numFmtId="0" fontId="19" fillId="0" borderId="0" xfId="3" applyFill="1"/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11" fillId="2" borderId="0" xfId="0" applyNumberFormat="1" applyFont="1" applyFill="1" applyAlignment="1">
      <alignment horizontal="right"/>
    </xf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0" fontId="22" fillId="2" borderId="0" xfId="4" applyFill="1"/>
    <xf numFmtId="1" fontId="22" fillId="2" borderId="0" xfId="4" applyNumberFormat="1" applyFill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9" fontId="2" fillId="3" borderId="21" xfId="0" applyNumberFormat="1" applyFont="1" applyFill="1" applyBorder="1" applyAlignment="1">
      <alignment horizontal="center"/>
    </xf>
    <xf numFmtId="9" fontId="2" fillId="3" borderId="26" xfId="0" applyNumberFormat="1" applyFont="1" applyFill="1" applyBorder="1" applyAlignment="1">
      <alignment horizontal="center"/>
    </xf>
    <xf numFmtId="9" fontId="0" fillId="2" borderId="18" xfId="0" applyNumberFormat="1" applyFill="1" applyBorder="1" applyAlignment="1">
      <alignment vertical="center"/>
    </xf>
    <xf numFmtId="9" fontId="0" fillId="2" borderId="37" xfId="0" applyNumberFormat="1" applyFill="1" applyBorder="1" applyAlignment="1">
      <alignment vertical="center"/>
    </xf>
    <xf numFmtId="9" fontId="22" fillId="2" borderId="17" xfId="4" applyNumberFormat="1" applyFill="1" applyBorder="1" applyAlignment="1">
      <alignment vertical="center"/>
    </xf>
    <xf numFmtId="0" fontId="12" fillId="2" borderId="1" xfId="0" applyFont="1" applyFill="1" applyBorder="1"/>
    <xf numFmtId="1" fontId="2" fillId="7" borderId="1" xfId="0" applyNumberFormat="1" applyFont="1" applyFill="1" applyBorder="1" applyAlignment="1">
      <alignment horizontal="left"/>
    </xf>
    <xf numFmtId="1" fontId="22" fillId="2" borderId="0" xfId="4" applyNumberFormat="1" applyFill="1" applyBorder="1"/>
    <xf numFmtId="1" fontId="22" fillId="2" borderId="0" xfId="4" applyNumberForma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0" fillId="0" borderId="0" xfId="0" applyNumberFormat="1" applyAlignment="1">
      <alignment vertical="center"/>
    </xf>
    <xf numFmtId="1" fontId="26" fillId="10" borderId="0" xfId="5" applyNumberFormat="1" applyFont="1" applyFill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ill="1" applyBorder="1"/>
    <xf numFmtId="2" fontId="22" fillId="2" borderId="0" xfId="4" applyNumberFormat="1" applyFill="1" applyBorder="1"/>
    <xf numFmtId="9" fontId="0" fillId="2" borderId="0" xfId="0" applyNumberFormat="1" applyFill="1" applyAlignment="1">
      <alignment horizontal="right"/>
    </xf>
    <xf numFmtId="9" fontId="0" fillId="2" borderId="6" xfId="0" applyNumberFormat="1" applyFill="1" applyBorder="1" applyAlignment="1">
      <alignment horizontal="right"/>
    </xf>
    <xf numFmtId="9" fontId="0" fillId="2" borderId="3" xfId="0" applyNumberFormat="1" applyFill="1" applyBorder="1" applyAlignment="1">
      <alignment horizontal="right"/>
    </xf>
    <xf numFmtId="9" fontId="0" fillId="2" borderId="10" xfId="0" applyNumberFormat="1" applyFill="1" applyBorder="1" applyAlignment="1">
      <alignment horizontal="right"/>
    </xf>
    <xf numFmtId="9" fontId="22" fillId="2" borderId="0" xfId="4" applyNumberFormat="1" applyFill="1" applyBorder="1" applyAlignment="1">
      <alignment horizontal="right"/>
    </xf>
    <xf numFmtId="165" fontId="2" fillId="2" borderId="0" xfId="1" applyNumberFormat="1" applyFont="1" applyFill="1" applyBorder="1"/>
    <xf numFmtId="2" fontId="2" fillId="2" borderId="0" xfId="0" applyNumberFormat="1" applyFont="1" applyFill="1" applyAlignment="1">
      <alignment horizontal="right"/>
    </xf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/>
    <xf numFmtId="164" fontId="14" fillId="2" borderId="0" xfId="0" applyNumberFormat="1" applyFont="1" applyFill="1"/>
    <xf numFmtId="11" fontId="0" fillId="2" borderId="0" xfId="0" applyNumberFormat="1" applyFill="1"/>
    <xf numFmtId="3" fontId="0" fillId="2" borderId="0" xfId="0" applyNumberFormat="1" applyFill="1"/>
    <xf numFmtId="3" fontId="2" fillId="3" borderId="22" xfId="0" applyNumberFormat="1" applyFont="1" applyFill="1" applyBorder="1" applyAlignment="1">
      <alignment horizontal="right"/>
    </xf>
    <xf numFmtId="3" fontId="0" fillId="2" borderId="22" xfId="0" applyNumberFormat="1" applyFill="1" applyBorder="1" applyAlignment="1">
      <alignment horizontal="right"/>
    </xf>
    <xf numFmtId="3" fontId="0" fillId="2" borderId="10" xfId="0" applyNumberFormat="1" applyFill="1" applyBorder="1" applyAlignment="1">
      <alignment horizontal="right"/>
    </xf>
    <xf numFmtId="0" fontId="8" fillId="2" borderId="27" xfId="0" applyFont="1" applyFill="1" applyBorder="1"/>
    <xf numFmtId="0" fontId="0" fillId="2" borderId="28" xfId="0" applyFill="1" applyBorder="1"/>
    <xf numFmtId="0" fontId="7" fillId="2" borderId="18" xfId="0" applyFont="1" applyFill="1" applyBorder="1" applyAlignment="1">
      <alignment horizontal="left" indent="2"/>
    </xf>
    <xf numFmtId="0" fontId="7" fillId="2" borderId="17" xfId="0" applyFont="1" applyFill="1" applyBorder="1" applyAlignment="1">
      <alignment horizontal="left" indent="2"/>
    </xf>
    <xf numFmtId="0" fontId="2" fillId="2" borderId="25" xfId="0" applyFont="1" applyFill="1" applyBorder="1"/>
    <xf numFmtId="0" fontId="2" fillId="2" borderId="18" xfId="0" applyFont="1" applyFill="1" applyBorder="1"/>
    <xf numFmtId="0" fontId="7" fillId="2" borderId="37" xfId="0" applyFont="1" applyFill="1" applyBorder="1" applyAlignment="1">
      <alignment horizontal="left" indent="2"/>
    </xf>
    <xf numFmtId="0" fontId="2" fillId="2" borderId="28" xfId="0" applyFont="1" applyFill="1" applyBorder="1"/>
    <xf numFmtId="3" fontId="0" fillId="2" borderId="3" xfId="1" applyNumberFormat="1" applyFont="1" applyFill="1" applyBorder="1" applyAlignment="1">
      <alignment horizontal="right"/>
    </xf>
    <xf numFmtId="3" fontId="2" fillId="3" borderId="24" xfId="0" applyNumberFormat="1" applyFont="1" applyFill="1" applyBorder="1" applyAlignment="1">
      <alignment horizontal="right"/>
    </xf>
    <xf numFmtId="3" fontId="0" fillId="2" borderId="6" xfId="1" applyNumberFormat="1" applyFont="1" applyFill="1" applyBorder="1" applyAlignment="1">
      <alignment horizontal="right"/>
    </xf>
    <xf numFmtId="3" fontId="0" fillId="2" borderId="10" xfId="1" applyNumberFormat="1" applyFont="1" applyFill="1" applyBorder="1" applyAlignment="1">
      <alignment horizontal="right"/>
    </xf>
    <xf numFmtId="0" fontId="9" fillId="2" borderId="0" xfId="0" applyFont="1" applyFill="1"/>
    <xf numFmtId="0" fontId="2" fillId="2" borderId="6" xfId="0" applyFont="1" applyFill="1" applyBorder="1"/>
    <xf numFmtId="0" fontId="0" fillId="2" borderId="6" xfId="0" applyFill="1" applyBorder="1"/>
    <xf numFmtId="9" fontId="22" fillId="2" borderId="0" xfId="4" applyNumberFormat="1" applyFill="1"/>
    <xf numFmtId="165" fontId="0" fillId="2" borderId="0" xfId="0" applyNumberFormat="1" applyFill="1"/>
    <xf numFmtId="3" fontId="2" fillId="3" borderId="15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7" fillId="11" borderId="3" xfId="0" applyFont="1" applyFill="1" applyBorder="1"/>
    <xf numFmtId="0" fontId="6" fillId="0" borderId="4" xfId="0" applyFont="1" applyBorder="1"/>
    <xf numFmtId="0" fontId="6" fillId="2" borderId="4" xfId="0" applyFont="1" applyFill="1" applyBorder="1"/>
    <xf numFmtId="0" fontId="2" fillId="10" borderId="0" xfId="0" applyFont="1" applyFill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/>
    <xf numFmtId="3" fontId="2" fillId="2" borderId="5" xfId="0" applyNumberFormat="1" applyFont="1" applyFill="1" applyBorder="1"/>
    <xf numFmtId="3" fontId="2" fillId="2" borderId="0" xfId="0" applyNumberFormat="1" applyFont="1" applyFill="1"/>
    <xf numFmtId="3" fontId="2" fillId="2" borderId="7" xfId="0" applyNumberFormat="1" applyFont="1" applyFill="1" applyBorder="1"/>
    <xf numFmtId="0" fontId="0" fillId="0" borderId="15" xfId="0" applyBorder="1"/>
    <xf numFmtId="3" fontId="0" fillId="2" borderId="4" xfId="0" applyNumberFormat="1" applyFill="1" applyBorder="1"/>
    <xf numFmtId="3" fontId="0" fillId="2" borderId="1" xfId="0" applyNumberFormat="1" applyFill="1" applyBorder="1"/>
    <xf numFmtId="3" fontId="0" fillId="2" borderId="16" xfId="0" applyNumberFormat="1" applyFill="1" applyBorder="1"/>
    <xf numFmtId="3" fontId="0" fillId="0" borderId="0" xfId="0" applyNumberFormat="1"/>
    <xf numFmtId="0" fontId="0" fillId="0" borderId="27" xfId="0" applyBorder="1"/>
    <xf numFmtId="3" fontId="0" fillId="2" borderId="8" xfId="0" applyNumberFormat="1" applyFill="1" applyBorder="1"/>
    <xf numFmtId="3" fontId="0" fillId="2" borderId="2" xfId="0" applyNumberFormat="1" applyFill="1" applyBorder="1"/>
    <xf numFmtId="3" fontId="0" fillId="2" borderId="7" xfId="0" applyNumberFormat="1" applyFill="1" applyBorder="1"/>
    <xf numFmtId="0" fontId="0" fillId="0" borderId="18" xfId="0" applyBorder="1"/>
    <xf numFmtId="3" fontId="0" fillId="2" borderId="5" xfId="0" applyNumberFormat="1" applyFill="1" applyBorder="1"/>
    <xf numFmtId="3" fontId="0" fillId="2" borderId="6" xfId="0" applyNumberFormat="1" applyFill="1" applyBorder="1"/>
    <xf numFmtId="0" fontId="0" fillId="0" borderId="17" xfId="0" applyBorder="1"/>
    <xf numFmtId="3" fontId="0" fillId="2" borderId="9" xfId="0" applyNumberFormat="1" applyFill="1" applyBorder="1"/>
    <xf numFmtId="3" fontId="0" fillId="2" borderId="3" xfId="0" applyNumberFormat="1" applyFill="1" applyBorder="1"/>
    <xf numFmtId="3" fontId="0" fillId="2" borderId="10" xfId="0" applyNumberFormat="1" applyFill="1" applyBorder="1"/>
    <xf numFmtId="167" fontId="0" fillId="2" borderId="0" xfId="0" applyNumberFormat="1" applyFill="1"/>
    <xf numFmtId="0" fontId="11" fillId="11" borderId="1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5" xfId="0" applyBorder="1"/>
    <xf numFmtId="0" fontId="2" fillId="5" borderId="41" xfId="0" applyFont="1" applyFill="1" applyBorder="1" applyAlignment="1">
      <alignment horizontal="center" vertical="center"/>
    </xf>
    <xf numFmtId="2" fontId="21" fillId="2" borderId="0" xfId="0" applyNumberFormat="1" applyFont="1" applyFill="1" applyAlignment="1">
      <alignment horizontal="right"/>
    </xf>
    <xf numFmtId="164" fontId="16" fillId="2" borderId="0" xfId="0" applyNumberFormat="1" applyFont="1" applyFill="1" applyAlignment="1">
      <alignment horizontal="right"/>
    </xf>
    <xf numFmtId="165" fontId="0" fillId="10" borderId="36" xfId="0" applyNumberFormat="1" applyFill="1" applyBorder="1"/>
    <xf numFmtId="1" fontId="0" fillId="0" borderId="0" xfId="0" applyNumberFormat="1" applyAlignment="1">
      <alignment horizontal="right"/>
    </xf>
    <xf numFmtId="0" fontId="13" fillId="0" borderId="0" xfId="0" applyFont="1"/>
    <xf numFmtId="0" fontId="16" fillId="0" borderId="0" xfId="0" applyFont="1"/>
    <xf numFmtId="1" fontId="2" fillId="13" borderId="4" xfId="0" applyNumberFormat="1" applyFont="1" applyFill="1" applyBorder="1" applyAlignment="1">
      <alignment horizontal="left"/>
    </xf>
    <xf numFmtId="0" fontId="0" fillId="13" borderId="0" xfId="0" applyFill="1"/>
    <xf numFmtId="164" fontId="2" fillId="13" borderId="1" xfId="0" applyNumberFormat="1" applyFont="1" applyFill="1" applyBorder="1" applyAlignment="1">
      <alignment horizontal="right"/>
    </xf>
    <xf numFmtId="164" fontId="2" fillId="13" borderId="1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" fontId="2" fillId="14" borderId="4" xfId="0" applyNumberFormat="1" applyFont="1" applyFill="1" applyBorder="1"/>
    <xf numFmtId="0" fontId="0" fillId="14" borderId="3" xfId="0" applyFill="1" applyBorder="1"/>
    <xf numFmtId="164" fontId="2" fillId="14" borderId="1" xfId="0" applyNumberFormat="1" applyFont="1" applyFill="1" applyBorder="1"/>
    <xf numFmtId="164" fontId="2" fillId="14" borderId="15" xfId="0" applyNumberFormat="1" applyFont="1" applyFill="1" applyBorder="1"/>
    <xf numFmtId="164" fontId="11" fillId="13" borderId="4" xfId="0" quotePrefix="1" applyNumberFormat="1" applyFont="1" applyFill="1" applyBorder="1" applyAlignment="1">
      <alignment horizontal="right"/>
    </xf>
    <xf numFmtId="164" fontId="11" fillId="13" borderId="1" xfId="0" applyNumberFormat="1" applyFont="1" applyFill="1" applyBorder="1" applyAlignment="1">
      <alignment horizontal="right"/>
    </xf>
    <xf numFmtId="164" fontId="11" fillId="13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11" fillId="13" borderId="4" xfId="0" applyNumberFormat="1" applyFont="1" applyFill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164" fontId="11" fillId="14" borderId="4" xfId="0" applyNumberFormat="1" applyFont="1" applyFill="1" applyBorder="1"/>
    <xf numFmtId="164" fontId="11" fillId="14" borderId="1" xfId="0" applyNumberFormat="1" applyFont="1" applyFill="1" applyBorder="1"/>
    <xf numFmtId="164" fontId="11" fillId="14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0" fontId="21" fillId="2" borderId="0" xfId="0" applyFont="1" applyFill="1"/>
    <xf numFmtId="168" fontId="21" fillId="2" borderId="6" xfId="0" applyNumberFormat="1" applyFont="1" applyFill="1" applyBorder="1" applyAlignment="1">
      <alignment horizontal="right"/>
    </xf>
    <xf numFmtId="168" fontId="21" fillId="2" borderId="10" xfId="0" applyNumberFormat="1" applyFont="1" applyFill="1" applyBorder="1" applyAlignment="1">
      <alignment horizontal="right"/>
    </xf>
    <xf numFmtId="0" fontId="21" fillId="0" borderId="0" xfId="0" applyFont="1"/>
    <xf numFmtId="9" fontId="0" fillId="0" borderId="0" xfId="1" applyFont="1"/>
    <xf numFmtId="9" fontId="0" fillId="2" borderId="4" xfId="1" applyFont="1" applyFill="1" applyBorder="1"/>
    <xf numFmtId="9" fontId="0" fillId="2" borderId="2" xfId="1" applyFont="1" applyFill="1" applyBorder="1"/>
    <xf numFmtId="9" fontId="0" fillId="2" borderId="7" xfId="1" applyFont="1" applyFill="1" applyBorder="1"/>
    <xf numFmtId="9" fontId="0" fillId="0" borderId="0" xfId="0" applyNumberFormat="1"/>
    <xf numFmtId="9" fontId="0" fillId="2" borderId="0" xfId="1" applyFont="1" applyFill="1"/>
    <xf numFmtId="9" fontId="0" fillId="2" borderId="6" xfId="1" applyFont="1" applyFill="1" applyBorder="1"/>
    <xf numFmtId="9" fontId="0" fillId="2" borderId="3" xfId="1" applyFont="1" applyFill="1" applyBorder="1"/>
    <xf numFmtId="9" fontId="0" fillId="2" borderId="10" xfId="1" applyFont="1" applyFill="1" applyBorder="1"/>
    <xf numFmtId="9" fontId="0" fillId="2" borderId="1" xfId="1" applyFont="1" applyFill="1" applyBorder="1"/>
    <xf numFmtId="9" fontId="0" fillId="2" borderId="16" xfId="1" applyFont="1" applyFill="1" applyBorder="1"/>
    <xf numFmtId="9" fontId="2" fillId="0" borderId="0" xfId="0" applyNumberFormat="1" applyFont="1"/>
    <xf numFmtId="9" fontId="2" fillId="2" borderId="0" xfId="1" applyFont="1" applyFill="1"/>
    <xf numFmtId="165" fontId="0" fillId="0" borderId="0" xfId="1" applyNumberFormat="1" applyFont="1"/>
    <xf numFmtId="0" fontId="28" fillId="15" borderId="5" xfId="0" applyFont="1" applyFill="1" applyBorder="1" applyAlignment="1">
      <alignment horizontal="left" indent="2"/>
    </xf>
    <xf numFmtId="0" fontId="2" fillId="15" borderId="0" xfId="0" applyFont="1" applyFill="1"/>
    <xf numFmtId="1" fontId="2" fillId="15" borderId="0" xfId="0" applyNumberFormat="1" applyFont="1" applyFill="1" applyAlignment="1">
      <alignment horizontal="right"/>
    </xf>
    <xf numFmtId="1" fontId="2" fillId="15" borderId="18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7.xml"/><Relationship Id="rId18" Type="http://schemas.openxmlformats.org/officeDocument/2006/relationships/worksheet" Target="worksheets/sheet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chartsheet" Target="chartsheets/sheet1.xml"/><Relationship Id="rId12" Type="http://schemas.openxmlformats.org/officeDocument/2006/relationships/chartsheet" Target="chartsheets/sheet6.xml"/><Relationship Id="rId17" Type="http://schemas.openxmlformats.org/officeDocument/2006/relationships/chartsheet" Target="chartsheets/sheet10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9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5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8.xml"/><Relationship Id="rId23" Type="http://schemas.openxmlformats.org/officeDocument/2006/relationships/externalLink" Target="externalLinks/externalLink5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7.xml"/><Relationship Id="rId22" Type="http://schemas.openxmlformats.org/officeDocument/2006/relationships/externalLink" Target="externalLinks/externalLink4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SNBC3 : Energie finale par usage et énergie primaire (Mtep)</c:v>
            </c:pt>
          </c:strCache>
        </c:strRef>
      </c:tx>
      <c:layout>
        <c:manualLayout>
          <c:xMode val="edge"/>
          <c:yMode val="edge"/>
          <c:x val="4.15560737277888E-2"/>
          <c:y val="1.879086784349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ER_RESIDENTIAL_coal_2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ER_TRANS_PUBLIC_coal_2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ER_TERTIARY_coal_2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229.62992242670001</c:v>
                </c:pt>
                <c:pt idx="1">
                  <c:v>207.1302161225</c:v>
                </c:pt>
                <c:pt idx="2">
                  <c:v>126.86752731493999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ER_INDUS_coal_2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647219379051268E-3"/>
                  <c:y val="-3.134796238244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7-4F22-A5E8-E4153E109927}"/>
                </c:ext>
              </c:extLst>
            </c:dLbl>
            <c:dLbl>
              <c:idx val="1"/>
              <c:layout>
                <c:manualLayout>
                  <c:x val="1.3647219379051519E-3"/>
                  <c:y val="-2.5078369905956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7-4F22-A5E8-E4153E109927}"/>
                </c:ext>
              </c:extLst>
            </c:dLbl>
            <c:dLbl>
              <c:idx val="2"/>
              <c:layout>
                <c:manualLayout>
                  <c:x val="5.4588877516206077E-3"/>
                  <c:y val="-1.46290491118078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7-4F22-A5E8-E4153E10992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smooth val="0"/>
          <c:extLst>
            <c:ext xmlns:c16="http://schemas.microsoft.com/office/drawing/2014/chart" uri="{C3380CC4-5D6E-409C-BE32-E72D297353CC}">
              <c16:uniqueId val="{00000000-B687-4F22-A5E8-E4153E10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506857222784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vecteurs'!$Z$48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CC-4F25-BB18-D2DE93E1EAE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CC-4F25-BB18-D2DE93E1EAE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vecteurs'!$AA$48:$AC$48</c:f>
              <c:numCache>
                <c:formatCode>0</c:formatCode>
                <c:ptCount val="3"/>
                <c:pt idx="0">
                  <c:v>2.0528116330000001</c:v>
                </c:pt>
                <c:pt idx="1">
                  <c:v>0.27431631870000001</c:v>
                </c:pt>
                <c:pt idx="2">
                  <c:v>0.1039220793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C-4F25-BB18-D2DE93E1EAE8}"/>
            </c:ext>
          </c:extLst>
        </c:ser>
        <c:ser>
          <c:idx val="3"/>
          <c:order val="1"/>
          <c:tx>
            <c:strRef>
              <c:f>'T energie vecteurs'!$Z$47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CC-4F25-BB18-D2DE93E1EAE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vecteurs'!$AA$47:$AC$47</c:f>
              <c:numCache>
                <c:formatCode>0</c:formatCode>
                <c:ptCount val="3"/>
                <c:pt idx="0">
                  <c:v>62.187574884</c:v>
                </c:pt>
                <c:pt idx="1">
                  <c:v>47.010331084000001</c:v>
                </c:pt>
                <c:pt idx="2">
                  <c:v>17.429241596000001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CC-4F25-BB18-D2DE93E1EAE8}"/>
            </c:ext>
          </c:extLst>
        </c:ser>
        <c:ser>
          <c:idx val="1"/>
          <c:order val="2"/>
          <c:tx>
            <c:strRef>
              <c:f>'T energie vecteurs'!$Z$45</c:f>
              <c:strCache>
                <c:ptCount val="1"/>
                <c:pt idx="0">
                  <c:v>chaleur (bois…)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vecteurs'!$AA$45:$AC$45</c:f>
              <c:numCache>
                <c:formatCode>0</c:formatCode>
                <c:ptCount val="3"/>
                <c:pt idx="0">
                  <c:v>12.2277928094</c:v>
                </c:pt>
                <c:pt idx="1">
                  <c:v>18.383730376999999</c:v>
                </c:pt>
                <c:pt idx="2">
                  <c:v>19.5502495868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C-4F25-BB18-D2DE93E1EAE8}"/>
            </c:ext>
          </c:extLst>
        </c:ser>
        <c:ser>
          <c:idx val="2"/>
          <c:order val="3"/>
          <c:tx>
            <c:strRef>
              <c:f>'T energie vecteurs'!$Z$46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vecteurs'!$AA$46:$AC$46</c:f>
              <c:numCache>
                <c:formatCode>0</c:formatCode>
                <c:ptCount val="3"/>
                <c:pt idx="0">
                  <c:v>27.819893749799999</c:v>
                </c:pt>
                <c:pt idx="1">
                  <c:v>16.754727970000001</c:v>
                </c:pt>
                <c:pt idx="2">
                  <c:v>8.6512830439999995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C-4F25-BB18-D2DE93E1EAE8}"/>
            </c:ext>
          </c:extLst>
        </c:ser>
        <c:ser>
          <c:idx val="4"/>
          <c:order val="4"/>
          <c:tx>
            <c:strRef>
              <c:f>'T energie vecteurs'!$Z$44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vecteurs'!$AA$44:$AC$44</c:f>
              <c:numCache>
                <c:formatCode>0</c:formatCode>
                <c:ptCount val="3"/>
                <c:pt idx="0">
                  <c:v>36.501704766399996</c:v>
                </c:pt>
                <c:pt idx="1">
                  <c:v>38.406304569899994</c:v>
                </c:pt>
                <c:pt idx="2">
                  <c:v>38.365548287640003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CC-4F25-BB18-D2DE93E1E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11088"/>
        <c:axId val="231610696"/>
      </c:barChart>
      <c:catAx>
        <c:axId val="2316110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0696"/>
        <c:crosses val="autoZero"/>
        <c:auto val="1"/>
        <c:lblAlgn val="ctr"/>
        <c:lblOffset val="100"/>
        <c:noMultiLvlLbl val="0"/>
      </c:catAx>
      <c:valAx>
        <c:axId val="231610696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SNBC3 : Ventilation du mix énergie (Mtep)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0739596005"/>
          <c:y val="0.24874563404511155"/>
          <c:w val="0.1834512958142259"/>
          <c:h val="0.23607401739359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8.641375777340414E-3</c:v>
                </c:pt>
                <c:pt idx="1">
                  <c:v>9.5410951431965422E-4</c:v>
                </c:pt>
                <c:pt idx="2">
                  <c:v>3.4695895755746075E-4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0.69408091299125074</c:v>
                </c:pt>
                <c:pt idx="1">
                  <c:v>0.60635273038612569</c:v>
                </c:pt>
                <c:pt idx="2">
                  <c:v>0.31277992771097601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0.10258601322771342</c:v>
                </c:pt>
                <c:pt idx="1">
                  <c:v>8.9159753205824158E-2</c:v>
                </c:pt>
                <c:pt idx="2">
                  <c:v>6.4203485807957414E-2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3.6998234291871782E-2</c:v>
                </c:pt>
                <c:pt idx="1">
                  <c:v>0.11151472475580464</c:v>
                </c:pt>
                <c:pt idx="2">
                  <c:v>0.23270974523974919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8.3952357064177432E-2</c:v>
                </c:pt>
                <c:pt idx="1">
                  <c:v>0.13077571316081138</c:v>
                </c:pt>
                <c:pt idx="2">
                  <c:v>0.3650732465750347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7.3741106647646257E-2</c:v>
                </c:pt>
                <c:pt idx="1">
                  <c:v>6.1242968977114606E-2</c:v>
                </c:pt>
                <c:pt idx="2">
                  <c:v>2.4886635708725131E-2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SNBC3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6046167306E-2"/>
              <c:y val="2.402380831726580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0.95161556420856419</c:v>
                </c:pt>
                <c:pt idx="1">
                  <c:v>0.92208580327895995</c:v>
                </c:pt>
                <c:pt idx="2">
                  <c:v>0.70311938775422544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4.8384435791435747E-2</c:v>
                </c:pt>
                <c:pt idx="1">
                  <c:v>7.7914196721040052E-2</c:v>
                </c:pt>
                <c:pt idx="2">
                  <c:v>0.2968806122457745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SNBC3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0.9844963092354333</c:v>
                </c:pt>
                <c:pt idx="1">
                  <c:v>0.8499645888312205</c:v>
                </c:pt>
                <c:pt idx="2">
                  <c:v>0.49195156468169299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1.5503690764566661E-2</c:v>
                </c:pt>
                <c:pt idx="1">
                  <c:v>0.15003541116877947</c:v>
                </c:pt>
                <c:pt idx="2">
                  <c:v>0.50804843531830701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SNBC3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126.17221352410566</c:v>
                </c:pt>
                <c:pt idx="1">
                  <c:v>99.728356334074732</c:v>
                </c:pt>
                <c:pt idx="2">
                  <c:v>19.73624789952375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45.369653327088756</c:v>
                </c:pt>
                <c:pt idx="1">
                  <c:v>26.972347600893272</c:v>
                </c:pt>
                <c:pt idx="2">
                  <c:v>7.5004547264273018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25.298451492973619</c:v>
                </c:pt>
                <c:pt idx="1">
                  <c:v>16.614501591328043</c:v>
                </c:pt>
                <c:pt idx="2">
                  <c:v>4.5861204200763899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96.299836056081389</c:v>
                </c:pt>
                <c:pt idx="1">
                  <c:v>62.132731171059064</c:v>
                </c:pt>
                <c:pt idx="2">
                  <c:v>45.406093069299793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Graphs'!$B$9</c:f>
              <c:strCache>
                <c:ptCount val="1"/>
                <c:pt idx="0">
                  <c:v>SNBC3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677304466662714E-2"/>
          <c:y val="0.18782278038184441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auto'!$I$5:$AM$5</c:f>
              <c:numCache>
                <c:formatCode>#\ ##0.0</c:formatCode>
                <c:ptCount val="31"/>
                <c:pt idx="0">
                  <c:v>37.436741139999995</c:v>
                </c:pt>
                <c:pt idx="1">
                  <c:v>37.586338340000005</c:v>
                </c:pt>
                <c:pt idx="2">
                  <c:v>37.630152600000002</c:v>
                </c:pt>
                <c:pt idx="3">
                  <c:v>37.667482739999997</c:v>
                </c:pt>
                <c:pt idx="4">
                  <c:v>37.572667979999999</c:v>
                </c:pt>
                <c:pt idx="5">
                  <c:v>37.378310380000002</c:v>
                </c:pt>
                <c:pt idx="6">
                  <c:v>37.070510370000001</c:v>
                </c:pt>
                <c:pt idx="7">
                  <c:v>36.694875290000006</c:v>
                </c:pt>
                <c:pt idx="8">
                  <c:v>36.282501830000001</c:v>
                </c:pt>
                <c:pt idx="9">
                  <c:v>35.814683870000003</c:v>
                </c:pt>
                <c:pt idx="10">
                  <c:v>35.306181170000002</c:v>
                </c:pt>
                <c:pt idx="11">
                  <c:v>34.841396119999999</c:v>
                </c:pt>
                <c:pt idx="12">
                  <c:v>34.405949470000003</c:v>
                </c:pt>
                <c:pt idx="13">
                  <c:v>33.99750315</c:v>
                </c:pt>
                <c:pt idx="14">
                  <c:v>33.613404809999999</c:v>
                </c:pt>
                <c:pt idx="15">
                  <c:v>33.24846067</c:v>
                </c:pt>
                <c:pt idx="16">
                  <c:v>32.933453130000004</c:v>
                </c:pt>
                <c:pt idx="17">
                  <c:v>32.651707330000001</c:v>
                </c:pt>
                <c:pt idx="18">
                  <c:v>32.388026689999997</c:v>
                </c:pt>
                <c:pt idx="19">
                  <c:v>32.138093359999999</c:v>
                </c:pt>
                <c:pt idx="20">
                  <c:v>31.899757699999999</c:v>
                </c:pt>
                <c:pt idx="21">
                  <c:v>31.668103670000001</c:v>
                </c:pt>
                <c:pt idx="22">
                  <c:v>31.449069009999999</c:v>
                </c:pt>
                <c:pt idx="23">
                  <c:v>31.23863279</c:v>
                </c:pt>
                <c:pt idx="24">
                  <c:v>31.03906843</c:v>
                </c:pt>
                <c:pt idx="25">
                  <c:v>30.779438719999998</c:v>
                </c:pt>
                <c:pt idx="26">
                  <c:v>30.535862679999997</c:v>
                </c:pt>
                <c:pt idx="27">
                  <c:v>30.30629678</c:v>
                </c:pt>
                <c:pt idx="28">
                  <c:v>30.08579289</c:v>
                </c:pt>
                <c:pt idx="29">
                  <c:v>29.875546050000001</c:v>
                </c:pt>
                <c:pt idx="30">
                  <c:v>29.636235280000001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5D2-B2A5-76AA1C492B9B}"/>
            </c:ext>
          </c:extLst>
        </c:ser>
        <c:ser>
          <c:idx val="2"/>
          <c:order val="1"/>
          <c:tx>
            <c:strRef>
              <c:f>'[5]T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'[5]T parc auto'!$I$5:$AM$5</c:f>
              <c:numCache>
                <c:formatCode>General</c:formatCode>
                <c:ptCount val="31"/>
                <c:pt idx="0">
                  <c:v>34.664492700000004</c:v>
                </c:pt>
                <c:pt idx="1">
                  <c:v>34.956187980000003</c:v>
                </c:pt>
                <c:pt idx="2">
                  <c:v>35.116030049999999</c:v>
                </c:pt>
                <c:pt idx="3">
                  <c:v>35.22984451</c:v>
                </c:pt>
                <c:pt idx="4">
                  <c:v>35.293663940000002</c:v>
                </c:pt>
                <c:pt idx="5">
                  <c:v>35.310390290000001</c:v>
                </c:pt>
                <c:pt idx="6">
                  <c:v>35.378433780000002</c:v>
                </c:pt>
                <c:pt idx="7">
                  <c:v>35.496856720000004</c:v>
                </c:pt>
                <c:pt idx="8">
                  <c:v>35.653829440000003</c:v>
                </c:pt>
                <c:pt idx="9">
                  <c:v>35.834650719999999</c:v>
                </c:pt>
                <c:pt idx="10">
                  <c:v>36.029956510000005</c:v>
                </c:pt>
                <c:pt idx="11">
                  <c:v>36.22702245</c:v>
                </c:pt>
                <c:pt idx="12">
                  <c:v>36.422585409999996</c:v>
                </c:pt>
                <c:pt idx="13">
                  <c:v>36.615497920000003</c:v>
                </c:pt>
                <c:pt idx="14">
                  <c:v>36.806113070000002</c:v>
                </c:pt>
                <c:pt idx="15">
                  <c:v>36.99621071</c:v>
                </c:pt>
                <c:pt idx="16">
                  <c:v>37.184294620000003</c:v>
                </c:pt>
                <c:pt idx="17">
                  <c:v>37.372872549999997</c:v>
                </c:pt>
                <c:pt idx="18">
                  <c:v>37.563526299999999</c:v>
                </c:pt>
                <c:pt idx="19">
                  <c:v>37.757729379999994</c:v>
                </c:pt>
                <c:pt idx="20">
                  <c:v>37.955981359999996</c:v>
                </c:pt>
                <c:pt idx="21">
                  <c:v>38.166927919999999</c:v>
                </c:pt>
                <c:pt idx="22">
                  <c:v>38.388725370000003</c:v>
                </c:pt>
                <c:pt idx="23">
                  <c:v>38.617999920000003</c:v>
                </c:pt>
                <c:pt idx="24">
                  <c:v>38.852641049999995</c:v>
                </c:pt>
                <c:pt idx="25">
                  <c:v>39.090289320000004</c:v>
                </c:pt>
                <c:pt idx="26">
                  <c:v>39.328744280000002</c:v>
                </c:pt>
                <c:pt idx="27">
                  <c:v>39.56777889</c:v>
                </c:pt>
                <c:pt idx="28">
                  <c:v>39.807161919999999</c:v>
                </c:pt>
                <c:pt idx="29">
                  <c:v>40.046711999999999</c:v>
                </c:pt>
                <c:pt idx="30">
                  <c:v>40.288447350000006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3-45D2-B2A5-76AA1C492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chemeClr val="tx1"/>
                    </a:solidFill>
                  </a:rPr>
                  <a:t>Parc auto</a:t>
                </a:r>
                <a:br>
                  <a:rPr lang="fr-FR" b="1">
                    <a:solidFill>
                      <a:schemeClr val="tx1"/>
                    </a:solidFill>
                  </a:rPr>
                </a:br>
                <a:r>
                  <a:rPr lang="fr-FR" b="1">
                    <a:solidFill>
                      <a:schemeClr val="tx1"/>
                    </a:solidFill>
                  </a:rPr>
                  <a:t>(millions de</a:t>
                </a:r>
                <a:r>
                  <a:rPr lang="fr-FR" b="1" baseline="0">
                    <a:solidFill>
                      <a:schemeClr val="tx1"/>
                    </a:solidFill>
                  </a:rPr>
                  <a:t> véhicules)</a:t>
                </a:r>
              </a:p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fr-FR" b="1" baseline="0">
                    <a:solidFill>
                      <a:schemeClr val="tx1"/>
                    </a:solidFill>
                  </a:rPr>
                  <a:t>(actualiser TEND)</a:t>
                </a:r>
                <a:endParaRPr lang="fr-FR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417526627996E-2"/>
              <c:y val="3.879238910236656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835039786960974E-2"/>
          <c:y val="0.19199059976233585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auto'!$I$6:$AM$6</c:f>
              <c:numCache>
                <c:formatCode>0%</c:formatCode>
                <c:ptCount val="31"/>
                <c:pt idx="0">
                  <c:v>1.3380026638184031E-2</c:v>
                </c:pt>
                <c:pt idx="1">
                  <c:v>1.6819703584352929E-2</c:v>
                </c:pt>
                <c:pt idx="2">
                  <c:v>2.1296965699788312E-2</c:v>
                </c:pt>
                <c:pt idx="3">
                  <c:v>2.7037612999779661E-2</c:v>
                </c:pt>
                <c:pt idx="4">
                  <c:v>3.3518297334391212E-2</c:v>
                </c:pt>
                <c:pt idx="5">
                  <c:v>4.0822948669623625E-2</c:v>
                </c:pt>
                <c:pt idx="6">
                  <c:v>4.9492953042394275E-2</c:v>
                </c:pt>
                <c:pt idx="7">
                  <c:v>6.0769823807186998E-2</c:v>
                </c:pt>
                <c:pt idx="8">
                  <c:v>7.6202910288670142E-2</c:v>
                </c:pt>
                <c:pt idx="9">
                  <c:v>9.6056772341963997E-2</c:v>
                </c:pt>
                <c:pt idx="10">
                  <c:v>0.12037542883882504</c:v>
                </c:pt>
                <c:pt idx="11">
                  <c:v>0.14981185748190393</c:v>
                </c:pt>
                <c:pt idx="12">
                  <c:v>0.18307396273113227</c:v>
                </c:pt>
                <c:pt idx="13">
                  <c:v>0.21869361794588144</c:v>
                </c:pt>
                <c:pt idx="14">
                  <c:v>0.25529284791307638</c:v>
                </c:pt>
                <c:pt idx="15">
                  <c:v>0.29179619716211064</c:v>
                </c:pt>
                <c:pt idx="16">
                  <c:v>0.32822521820990719</c:v>
                </c:pt>
                <c:pt idx="17">
                  <c:v>0.36386530694779445</c:v>
                </c:pt>
                <c:pt idx="18">
                  <c:v>0.39823893204282157</c:v>
                </c:pt>
                <c:pt idx="19">
                  <c:v>0.4312038643601725</c:v>
                </c:pt>
                <c:pt idx="20">
                  <c:v>0.46271868955293038</c:v>
                </c:pt>
                <c:pt idx="21">
                  <c:v>0.49258866974019855</c:v>
                </c:pt>
                <c:pt idx="22">
                  <c:v>0.52097593905848982</c:v>
                </c:pt>
                <c:pt idx="23">
                  <c:v>0.54788328750030424</c:v>
                </c:pt>
                <c:pt idx="24">
                  <c:v>0.57341216345261303</c:v>
                </c:pt>
                <c:pt idx="25">
                  <c:v>0.59849121998544363</c:v>
                </c:pt>
                <c:pt idx="26">
                  <c:v>0.62226841661969379</c:v>
                </c:pt>
                <c:pt idx="27">
                  <c:v>0.64477958398716639</c:v>
                </c:pt>
                <c:pt idx="28">
                  <c:v>0.66603082535545566</c:v>
                </c:pt>
                <c:pt idx="29">
                  <c:v>0.68610173336061908</c:v>
                </c:pt>
                <c:pt idx="30">
                  <c:v>0.70466250293583177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F-413C-A382-BDDA928D9525}"/>
            </c:ext>
          </c:extLst>
        </c:ser>
        <c:ser>
          <c:idx val="2"/>
          <c:order val="1"/>
          <c:tx>
            <c:strRef>
              <c:f>'[5]T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'[5]T parc auto'!$I$6:$AM$6</c:f>
              <c:numCache>
                <c:formatCode>General</c:formatCode>
                <c:ptCount val="31"/>
                <c:pt idx="0">
                  <c:v>8.5699726798540449E-3</c:v>
                </c:pt>
                <c:pt idx="1">
                  <c:v>1.3125767536852568E-2</c:v>
                </c:pt>
                <c:pt idx="2">
                  <c:v>2.093814652035246E-2</c:v>
                </c:pt>
                <c:pt idx="3">
                  <c:v>2.9339596650975963E-2</c:v>
                </c:pt>
                <c:pt idx="4">
                  <c:v>3.8422705171822412E-2</c:v>
                </c:pt>
                <c:pt idx="5">
                  <c:v>4.8298948326351107E-2</c:v>
                </c:pt>
                <c:pt idx="6">
                  <c:v>5.9426982864022086E-2</c:v>
                </c:pt>
                <c:pt idx="7">
                  <c:v>7.1945526561541698E-2</c:v>
                </c:pt>
                <c:pt idx="8">
                  <c:v>8.5942049539349558E-2</c:v>
                </c:pt>
                <c:pt idx="9">
                  <c:v>0.10147172535354351</c:v>
                </c:pt>
                <c:pt idx="10">
                  <c:v>0.11859008108472456</c:v>
                </c:pt>
                <c:pt idx="11">
                  <c:v>0.13730358074183932</c:v>
                </c:pt>
                <c:pt idx="12">
                  <c:v>0.15763780877629907</c:v>
                </c:pt>
                <c:pt idx="13">
                  <c:v>0.17959577390884213</c:v>
                </c:pt>
                <c:pt idx="14">
                  <c:v>0.20315166958215294</c:v>
                </c:pt>
                <c:pt idx="15">
                  <c:v>0.22824904180571959</c:v>
                </c:pt>
                <c:pt idx="16">
                  <c:v>0.2547637951132391</c:v>
                </c:pt>
                <c:pt idx="17">
                  <c:v>0.28256330245612871</c:v>
                </c:pt>
                <c:pt idx="18">
                  <c:v>0.31147078409409074</c:v>
                </c:pt>
                <c:pt idx="19">
                  <c:v>0.34127816401018973</c:v>
                </c:pt>
                <c:pt idx="20">
                  <c:v>0.3717464103001657</c:v>
                </c:pt>
                <c:pt idx="21">
                  <c:v>0.40269710709271045</c:v>
                </c:pt>
                <c:pt idx="22">
                  <c:v>0.43384849821076515</c:v>
                </c:pt>
                <c:pt idx="23">
                  <c:v>0.464913357170052</c:v>
                </c:pt>
                <c:pt idx="24">
                  <c:v>0.49563467577965337</c:v>
                </c:pt>
                <c:pt idx="25">
                  <c:v>0.52577836510113596</c:v>
                </c:pt>
                <c:pt idx="26">
                  <c:v>0.55514202702634574</c:v>
                </c:pt>
                <c:pt idx="27">
                  <c:v>0.58357173153926301</c:v>
                </c:pt>
                <c:pt idx="28">
                  <c:v>0.61094374421556352</c:v>
                </c:pt>
                <c:pt idx="29">
                  <c:v>0.63716406480512056</c:v>
                </c:pt>
                <c:pt idx="30">
                  <c:v>0.66218106938290833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F-413C-A382-BDDA928D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ysClr val="windowText" lastClr="000000"/>
                    </a:solidFill>
                  </a:rPr>
                  <a:t>Pénétration véhicule</a:t>
                </a:r>
                <a:r>
                  <a:rPr lang="fr-FR" b="1" baseline="0">
                    <a:solidFill>
                      <a:sysClr val="windowText" lastClr="000000"/>
                    </a:solidFill>
                  </a:rPr>
                  <a:t> elec (% du parc)</a:t>
                </a:r>
              </a:p>
              <a:p>
                <a:pPr>
                  <a:defRPr/>
                </a:pPr>
                <a:r>
                  <a:rPr lang="fr-FR" b="1" baseline="0">
                    <a:solidFill>
                      <a:sysClr val="windowText" lastClr="000000"/>
                    </a:solidFill>
                  </a:rPr>
                  <a:t>(actualiser TEND)</a:t>
                </a:r>
                <a:endParaRPr lang="fr-FR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388951702174E-2"/>
              <c:y val="3.654170667887090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SNBC3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0%</c:formatCode>
                <c:ptCount val="3"/>
                <c:pt idx="0">
                  <c:v>0.12588014195404404</c:v>
                </c:pt>
                <c:pt idx="1">
                  <c:v>7.8839522071143323E-2</c:v>
                </c:pt>
                <c:pt idx="2">
                  <c:v>2.5576025606448078E-2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0%</c:formatCode>
                <c:ptCount val="3"/>
                <c:pt idx="0">
                  <c:v>0.72243526307108474</c:v>
                </c:pt>
                <c:pt idx="1">
                  <c:v>0.63973751095437426</c:v>
                </c:pt>
                <c:pt idx="2">
                  <c:v>0.2143291202471517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0%</c:formatCode>
                <c:ptCount val="3"/>
                <c:pt idx="0">
                  <c:v>0.13830456823251147</c:v>
                </c:pt>
                <c:pt idx="1">
                  <c:v>0.16104753816398093</c:v>
                </c:pt>
                <c:pt idx="2">
                  <c:v>5.5432351132960772E-2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0%</c:formatCode>
                <c:ptCount val="3"/>
                <c:pt idx="0">
                  <c:v>1.3380026638184031E-2</c:v>
                </c:pt>
                <c:pt idx="1">
                  <c:v>0.12037542883882504</c:v>
                </c:pt>
                <c:pt idx="2">
                  <c:v>0.70466250293583177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Graphs'!$B$11</c:f>
          <c:strCache>
            <c:ptCount val="1"/>
            <c:pt idx="0">
              <c:v>SNBC3 : Ventilation du parc de logements (%)</c:v>
            </c:pt>
          </c:strCache>
        </c:strRef>
      </c:tx>
      <c:layout>
        <c:manualLayout>
          <c:xMode val="edge"/>
          <c:yMode val="edge"/>
          <c:x val="3.4237370593317988E-2"/>
          <c:y val="1.2537313727519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0.17436145048414542</c:v>
                </c:pt>
                <c:pt idx="1">
                  <c:v>0.12155225498738616</c:v>
                </c:pt>
                <c:pt idx="2">
                  <c:v>6.417888651625725E-2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0.76226794625651717</c:v>
                </c:pt>
                <c:pt idx="1">
                  <c:v>0.70664272633486491</c:v>
                </c:pt>
                <c:pt idx="2">
                  <c:v>0.50849617162184624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6.337060310078757E-2</c:v>
                </c:pt>
                <c:pt idx="1">
                  <c:v>0.17180501854555641</c:v>
                </c:pt>
                <c:pt idx="2">
                  <c:v>0.42752897938330825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Callonnecg/Github/ThreeME/data/shocks/Bilan%20S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Hub/ThreeME/data/shocks/Bilan%20&#233;nergie%20-%20AMErun2%20-%20AMSrun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1_Transports\Transports_AMS_run2-vf10.xlsx" TargetMode="External"/><Relationship Id="rId1" Type="http://schemas.openxmlformats.org/officeDocument/2006/relationships/externalLinkPath" Target="/Users/callonnecg/Documents/Github/ThreeME/data/calibrations/Documents%20MTE/AMS-run2/001_Transports/Transports_AMS_run2-vf1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esktop\Temporaire\reporting%202%20-%20energie%20SNBC3%20-%20template%20parts%20modales%20voyageurs.xlsx" TargetMode="External"/><Relationship Id="rId1" Type="http://schemas.openxmlformats.org/officeDocument/2006/relationships/externalLinkPath" Target="https://ademecloud-my.sharepoint.com/Users/alma.monserand/Desktop/Temporaire/reporting%202%20-%20energie%20SNBC3%20-%20template%20parts%20modales%20voyageurs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Github\ThreeME\results\reporting%201%20-%20energie%20TEND.xlsx" TargetMode="External"/><Relationship Id="rId1" Type="http://schemas.openxmlformats.org/officeDocument/2006/relationships/externalLinkPath" Target="https://ademecloud-my.sharepoint.com/Users/alma.monserand/Documents/GitHub/ThreeME/results/reporting%201%20-%20energie%20TE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>
        <row r="4">
          <cell r="H4">
            <v>10.400607231191495</v>
          </cell>
          <cell r="AJ4">
            <v>9.6821026074859624</v>
          </cell>
        </row>
        <row r="5">
          <cell r="H5">
            <v>3.4968412155770827</v>
          </cell>
          <cell r="AJ5">
            <v>3.4968412155770827</v>
          </cell>
        </row>
        <row r="8">
          <cell r="AJ8">
            <v>0.62105913154569725</v>
          </cell>
        </row>
        <row r="9">
          <cell r="AJ9">
            <v>0.01</v>
          </cell>
        </row>
        <row r="10">
          <cell r="H10">
            <v>2.6577034315641361</v>
          </cell>
          <cell r="AJ10">
            <v>1.0959867027277013</v>
          </cell>
        </row>
        <row r="11">
          <cell r="H11">
            <v>0</v>
          </cell>
          <cell r="AJ11">
            <v>0.01</v>
          </cell>
        </row>
        <row r="12">
          <cell r="H12">
            <v>2.2929206076239605</v>
          </cell>
          <cell r="AJ12">
            <v>12.585580636323101</v>
          </cell>
        </row>
        <row r="13">
          <cell r="H13">
            <v>0</v>
          </cell>
          <cell r="AJ13">
            <v>7.4283543184877532</v>
          </cell>
        </row>
        <row r="14">
          <cell r="H14">
            <v>17.773000859845226</v>
          </cell>
          <cell r="AJ14">
            <v>3.8663975346227235</v>
          </cell>
        </row>
        <row r="15">
          <cell r="AJ15">
            <v>0.31052956577284868</v>
          </cell>
        </row>
        <row r="17">
          <cell r="H17">
            <v>10.490111779879621</v>
          </cell>
          <cell r="AJ17">
            <v>1.3970598106217755</v>
          </cell>
        </row>
        <row r="18">
          <cell r="H18">
            <v>5.4600171969045563</v>
          </cell>
          <cell r="AJ18">
            <v>10.432652801530878</v>
          </cell>
        </row>
        <row r="19">
          <cell r="H19">
            <v>1.1621270136304822</v>
          </cell>
          <cell r="AJ19">
            <v>12.301085039507219</v>
          </cell>
        </row>
        <row r="20">
          <cell r="AJ20">
            <v>0.69912973511411425</v>
          </cell>
        </row>
        <row r="21">
          <cell r="AJ21">
            <v>0.94296387002405035</v>
          </cell>
        </row>
        <row r="22">
          <cell r="AJ22">
            <v>6.7613203915324087</v>
          </cell>
        </row>
        <row r="28">
          <cell r="H28">
            <v>5.438782729559458</v>
          </cell>
        </row>
        <row r="29">
          <cell r="H29">
            <v>11.911185835668668</v>
          </cell>
        </row>
        <row r="30">
          <cell r="H30">
            <v>12.325609312525271</v>
          </cell>
        </row>
        <row r="31">
          <cell r="H31">
            <v>0.79152054400721716</v>
          </cell>
        </row>
        <row r="32">
          <cell r="H32">
            <v>0.25795356835769562</v>
          </cell>
        </row>
        <row r="33">
          <cell r="H33">
            <v>7.4811633429693902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bles THREEME"/>
      <sheetName val="Cibles ThreeME v2 "/>
      <sheetName val=" fonds chaleur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"/>
      <sheetName val="Bilans_E_AMS_Kyoto_run3_2023"/>
      <sheetName val="Bilans_E_AMS_Kyoto_run3_2025"/>
      <sheetName val="Bilans_E_AMS_Kyoto_run3_2028"/>
      <sheetName val="Bilans_E_AMS_Kyoto_run3_2030"/>
      <sheetName val="Bilans_E_AMS_Kyoto_run3_2033"/>
      <sheetName val="Bilans_E_AMS_Kyoto_run3_2035"/>
      <sheetName val="Bilans_E_AMS_Kyoto_run3_2038"/>
      <sheetName val="Bilans_E_AMS_Kyoto_run3_2040"/>
      <sheetName val="Bilans_E_AMS_Kyoto_run3_2045"/>
      <sheetName val="Bilans_E_AMS_Kyoto_run3_2050"/>
      <sheetName val="Bilans_E_AMS_Kyoto_run3"/>
      <sheetName val="Bilans_E_AMS_Kyoto_run3_MTE"/>
      <sheetName val="Bilans_E_AMS_Kyoto_run3_MTE_anc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</sheetNames>
    <sheetDataSet>
      <sheetData sheetId="0"/>
      <sheetData sheetId="1">
        <row r="7">
          <cell r="I7">
            <v>24.904679182551273</v>
          </cell>
        </row>
      </sheetData>
      <sheetData sheetId="2"/>
      <sheetData sheetId="3"/>
      <sheetData sheetId="4">
        <row r="7">
          <cell r="N7">
            <v>28.235617030121297</v>
          </cell>
        </row>
      </sheetData>
      <sheetData sheetId="5">
        <row r="22">
          <cell r="M22">
            <v>0.94256889676315481</v>
          </cell>
        </row>
      </sheetData>
      <sheetData sheetId="6"/>
      <sheetData sheetId="7"/>
      <sheetData sheetId="8"/>
      <sheetData sheetId="9"/>
      <sheetData sheetId="10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1.1415347236508699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0.10895527045374473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18.686166128192799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3.5678886111111101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/>
      <sheetData sheetId="13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21.793321666666667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4.4104077777777784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4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21.859968333333335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4.1018563888888897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L13">
            <v>24.298097404469559</v>
          </cell>
        </row>
      </sheetData>
      <sheetData sheetId="16">
        <row r="13">
          <cell r="L13">
            <v>64.055272794649682</v>
          </cell>
        </row>
      </sheetData>
      <sheetData sheetId="17">
        <row r="13">
          <cell r="L13">
            <v>71.534753758802367</v>
          </cell>
        </row>
      </sheetData>
      <sheetData sheetId="18">
        <row r="5">
          <cell r="T5">
            <v>47.147872325239078</v>
          </cell>
        </row>
      </sheetData>
      <sheetData sheetId="19">
        <row r="13">
          <cell r="L13">
            <v>60.003896317889257</v>
          </cell>
        </row>
      </sheetData>
      <sheetData sheetId="20">
        <row r="13">
          <cell r="L13">
            <v>50.941346245748719</v>
          </cell>
        </row>
      </sheetData>
      <sheetData sheetId="21">
        <row r="13">
          <cell r="L13">
            <v>38.942042128507637</v>
          </cell>
        </row>
      </sheetData>
      <sheetData sheetId="22">
        <row r="13">
          <cell r="L13">
            <v>31.055970799843635</v>
          </cell>
        </row>
      </sheetData>
      <sheetData sheetId="23">
        <row r="13">
          <cell r="L13">
            <v>16.706363002811486</v>
          </cell>
        </row>
      </sheetData>
      <sheetData sheetId="24">
        <row r="13">
          <cell r="L13">
            <v>12.7985093299136</v>
          </cell>
        </row>
      </sheetData>
      <sheetData sheetId="25"/>
      <sheetData sheetId="26">
        <row r="13">
          <cell r="L13">
            <v>86.192023090421856</v>
          </cell>
          <cell r="T13">
            <v>8.2175953615538209</v>
          </cell>
          <cell r="U13">
            <v>120.70181135843518</v>
          </cell>
          <cell r="V13">
            <v>155.95540999328384</v>
          </cell>
          <cell r="W13">
            <v>125.61536332451628</v>
          </cell>
          <cell r="X13">
            <v>16.904139208606786</v>
          </cell>
        </row>
        <row r="22">
          <cell r="T22">
            <v>2.4841856077042066</v>
          </cell>
          <cell r="U22">
            <v>99.196233029113813</v>
          </cell>
          <cell r="V22">
            <v>115.18135311514705</v>
          </cell>
          <cell r="W22">
            <v>63.673123299044839</v>
          </cell>
          <cell r="X22">
            <v>4.2283415153063242</v>
          </cell>
        </row>
        <row r="30">
          <cell r="T30">
            <v>0</v>
          </cell>
          <cell r="U30">
            <v>18.813292152120741</v>
          </cell>
          <cell r="V30">
            <v>17.330040012113464</v>
          </cell>
          <cell r="W30">
            <v>16.26962770883793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4.8413821640415255</v>
          </cell>
          <cell r="U37">
            <v>26.937463537570867</v>
          </cell>
          <cell r="V37">
            <v>73.413726167362853</v>
          </cell>
          <cell r="W37">
            <v>0.46982123257429881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0.36066131262685786</v>
          </cell>
          <cell r="U39">
            <v>4.7991131198633983E-4</v>
          </cell>
          <cell r="V39">
            <v>3.6562035035050702</v>
          </cell>
          <cell r="W39">
            <v>3.5112271315974612</v>
          </cell>
          <cell r="X39">
            <v>0</v>
          </cell>
        </row>
        <row r="40">
          <cell r="T40">
            <v>0.25</v>
          </cell>
          <cell r="U40">
            <v>1.390278564453125</v>
          </cell>
          <cell r="V40">
            <v>58.81291503857112</v>
          </cell>
          <cell r="W40">
            <v>20.889920153176526</v>
          </cell>
          <cell r="X40">
            <v>0</v>
          </cell>
        </row>
        <row r="41">
          <cell r="T41">
            <v>2.7934691016396722</v>
          </cell>
          <cell r="U41">
            <v>0.93174084898654219</v>
          </cell>
          <cell r="V41">
            <v>0</v>
          </cell>
          <cell r="W41">
            <v>0</v>
          </cell>
          <cell r="X41">
            <v>36.659680118734968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419.79556605067489</v>
          </cell>
        </row>
        <row r="43">
          <cell r="T43">
            <v>35.262359218486715</v>
          </cell>
          <cell r="U43">
            <v>24.165235131191906</v>
          </cell>
          <cell r="V43">
            <v>30.264105073000309</v>
          </cell>
          <cell r="W43">
            <v>18.302012365463629</v>
          </cell>
          <cell r="X43">
            <v>0</v>
          </cell>
        </row>
        <row r="44">
          <cell r="T44">
            <v>0</v>
          </cell>
          <cell r="U44">
            <v>6.1285070662635537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4.8925078124999999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41.197055664062503</v>
          </cell>
        </row>
        <row r="53">
          <cell r="E53">
            <v>13.300999650365602</v>
          </cell>
        </row>
        <row r="54">
          <cell r="E54">
            <v>114.54386945674393</v>
          </cell>
        </row>
        <row r="55">
          <cell r="E55">
            <v>0</v>
          </cell>
        </row>
        <row r="56">
          <cell r="E56">
            <v>8.8573866734579565E-2</v>
          </cell>
        </row>
        <row r="57">
          <cell r="E57">
            <v>0</v>
          </cell>
        </row>
      </sheetData>
      <sheetData sheetId="27">
        <row r="13">
          <cell r="L13">
            <v>74.597074661503257</v>
          </cell>
        </row>
      </sheetData>
      <sheetData sheetId="28">
        <row r="13">
          <cell r="L13">
            <v>57.004792385507699</v>
          </cell>
          <cell r="T13">
            <v>7.7729232574275695</v>
          </cell>
          <cell r="U13">
            <v>149.97591807761651</v>
          </cell>
          <cell r="V13">
            <v>166.37329866218946</v>
          </cell>
          <cell r="W13">
            <v>121.98780292325297</v>
          </cell>
          <cell r="X13">
            <v>34.37904289575053</v>
          </cell>
        </row>
        <row r="22">
          <cell r="T22">
            <v>1.8992499702384933</v>
          </cell>
          <cell r="U22">
            <v>81.675242038488676</v>
          </cell>
          <cell r="V22">
            <v>85.098949623624506</v>
          </cell>
          <cell r="W22">
            <v>52.738757939191267</v>
          </cell>
          <cell r="X22">
            <v>7.503677414417977</v>
          </cell>
        </row>
        <row r="30">
          <cell r="T30">
            <v>0</v>
          </cell>
          <cell r="U30">
            <v>19.64973892074547</v>
          </cell>
          <cell r="V30">
            <v>28.91573310749396</v>
          </cell>
          <cell r="W30">
            <v>21.68981250781421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11.011050824063592</v>
          </cell>
          <cell r="U37">
            <v>40.443549417210768</v>
          </cell>
          <cell r="V37">
            <v>60.462677002926597</v>
          </cell>
          <cell r="W37">
            <v>0.66301904787483434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0.62518456969816016</v>
          </cell>
          <cell r="U39">
            <v>5.5791983277925228E-4</v>
          </cell>
          <cell r="V39">
            <v>6.0227221136395004</v>
          </cell>
          <cell r="W39">
            <v>5.7126687446965985</v>
          </cell>
          <cell r="X39">
            <v>0</v>
          </cell>
        </row>
        <row r="40">
          <cell r="T40">
            <v>0.5</v>
          </cell>
          <cell r="U40">
            <v>4.88145654296875</v>
          </cell>
          <cell r="V40">
            <v>86.174932209680449</v>
          </cell>
          <cell r="W40">
            <v>32.610726720036368</v>
          </cell>
          <cell r="X40">
            <v>0</v>
          </cell>
        </row>
        <row r="41">
          <cell r="T41">
            <v>4.0387192002052101</v>
          </cell>
          <cell r="U41">
            <v>0.94472173154286976</v>
          </cell>
          <cell r="V41">
            <v>0</v>
          </cell>
          <cell r="W41">
            <v>0</v>
          </cell>
          <cell r="X41">
            <v>37.003548542473339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327.31240488287597</v>
          </cell>
        </row>
        <row r="43">
          <cell r="T43">
            <v>30.726482620518151</v>
          </cell>
          <cell r="U43">
            <v>11.411404613984462</v>
          </cell>
          <cell r="V43">
            <v>11.051911751931332</v>
          </cell>
          <cell r="W43">
            <v>3.647846365657839</v>
          </cell>
          <cell r="X43">
            <v>0</v>
          </cell>
        </row>
        <row r="44">
          <cell r="T44">
            <v>0</v>
          </cell>
          <cell r="U44">
            <v>10.269254107073522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0.92572558593749998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21.539217285156251</v>
          </cell>
        </row>
        <row r="53">
          <cell r="E53">
            <v>13.537810909623058</v>
          </cell>
        </row>
        <row r="54">
          <cell r="E54">
            <v>115.2369297376637</v>
          </cell>
        </row>
        <row r="55">
          <cell r="E55">
            <v>0</v>
          </cell>
        </row>
        <row r="56">
          <cell r="E56">
            <v>0.21009810940790719</v>
          </cell>
        </row>
        <row r="57">
          <cell r="E57">
            <v>1.1371080780029297</v>
          </cell>
        </row>
      </sheetData>
      <sheetData sheetId="29">
        <row r="13">
          <cell r="L13">
            <v>83.337259091529631</v>
          </cell>
        </row>
      </sheetData>
      <sheetData sheetId="30">
        <row r="13">
          <cell r="L13">
            <v>95.466033511784872</v>
          </cell>
          <cell r="T13">
            <v>8.6394549115432451</v>
          </cell>
          <cell r="U13">
            <v>153.63376409766943</v>
          </cell>
          <cell r="V13">
            <v>154.71508066801636</v>
          </cell>
          <cell r="W13">
            <v>121.82988531988985</v>
          </cell>
          <cell r="X13">
            <v>64.85163743776981</v>
          </cell>
        </row>
        <row r="22">
          <cell r="T22">
            <v>1.7976500828628292</v>
          </cell>
          <cell r="U22">
            <v>77.127391103588607</v>
          </cell>
          <cell r="V22">
            <v>62.480514463276663</v>
          </cell>
          <cell r="W22">
            <v>39.952116113539262</v>
          </cell>
          <cell r="X22">
            <v>10.108389747247291</v>
          </cell>
        </row>
        <row r="30">
          <cell r="T30">
            <v>0</v>
          </cell>
          <cell r="U30">
            <v>19.531581585374159</v>
          </cell>
          <cell r="V30">
            <v>40.414130897924252</v>
          </cell>
          <cell r="W30">
            <v>23.34788734439358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13.268691220387016</v>
          </cell>
          <cell r="U37">
            <v>38.482812658254467</v>
          </cell>
          <cell r="V37">
            <v>51.327953484818188</v>
          </cell>
          <cell r="W37">
            <v>0.59825096685183632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0.96290247555165809</v>
          </cell>
          <cell r="U39">
            <v>6.9244826847420892E-4</v>
          </cell>
          <cell r="V39">
            <v>8.4399601726258009</v>
          </cell>
          <cell r="W39">
            <v>7.9118943755575595</v>
          </cell>
          <cell r="X39">
            <v>0</v>
          </cell>
        </row>
        <row r="40">
          <cell r="T40">
            <v>0.75</v>
          </cell>
          <cell r="U40">
            <v>7.96939501953125</v>
          </cell>
          <cell r="V40">
            <v>106.12788282579821</v>
          </cell>
          <cell r="W40">
            <v>42.388089169065466</v>
          </cell>
          <cell r="X40">
            <v>0</v>
          </cell>
        </row>
        <row r="41">
          <cell r="T41">
            <v>5.5416929804733215</v>
          </cell>
          <cell r="U41">
            <v>0.86864625843500676</v>
          </cell>
          <cell r="V41">
            <v>0</v>
          </cell>
          <cell r="W41">
            <v>0</v>
          </cell>
          <cell r="X41">
            <v>41.017765544975838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211.71015331690265</v>
          </cell>
        </row>
        <row r="43">
          <cell r="T43">
            <v>22.236615834161011</v>
          </cell>
          <cell r="U43">
            <v>6.9248578185022795</v>
          </cell>
          <cell r="V43">
            <v>1.1922779453513948</v>
          </cell>
          <cell r="W43">
            <v>2.1695259016738468</v>
          </cell>
          <cell r="X43">
            <v>0</v>
          </cell>
        </row>
        <row r="44">
          <cell r="T44">
            <v>0</v>
          </cell>
          <cell r="U44">
            <v>9.5007953936584837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0.59552978515624999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12.5134462890625</v>
          </cell>
        </row>
        <row r="53">
          <cell r="E53">
            <v>12.973217825865042</v>
          </cell>
        </row>
        <row r="54">
          <cell r="E54">
            <v>108.38831705718137</v>
          </cell>
        </row>
        <row r="55">
          <cell r="E55">
            <v>0</v>
          </cell>
        </row>
        <row r="56">
          <cell r="E56">
            <v>3.3783937339937218</v>
          </cell>
        </row>
        <row r="57">
          <cell r="E57">
            <v>1.487132000092672</v>
          </cell>
        </row>
      </sheetData>
      <sheetData sheetId="31">
        <row r="13">
          <cell r="L13">
            <v>112.47635741768158</v>
          </cell>
        </row>
      </sheetData>
      <sheetData sheetId="32">
        <row r="13">
          <cell r="L13">
            <v>125.47851234932489</v>
          </cell>
          <cell r="T13">
            <v>9.5059865656589242</v>
          </cell>
          <cell r="U13">
            <v>158.55335920514725</v>
          </cell>
          <cell r="V13">
            <v>151.24868898897191</v>
          </cell>
          <cell r="W13">
            <v>121.37238070067973</v>
          </cell>
          <cell r="X13">
            <v>98.588545998647945</v>
          </cell>
        </row>
        <row r="22">
          <cell r="T22">
            <v>1.6960501954871656</v>
          </cell>
          <cell r="U22">
            <v>70.544008247711929</v>
          </cell>
          <cell r="V22">
            <v>39.26367448194933</v>
          </cell>
          <cell r="W22">
            <v>27.549886913301172</v>
          </cell>
          <cell r="X22">
            <v>12.027313360200161</v>
          </cell>
        </row>
        <row r="30">
          <cell r="T30">
            <v>0</v>
          </cell>
          <cell r="U30">
            <v>19.589550837757145</v>
          </cell>
          <cell r="V30">
            <v>40.573888251039236</v>
          </cell>
          <cell r="W30">
            <v>23.260331591038877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15.52633161671044</v>
          </cell>
          <cell r="U37">
            <v>37.391289864504934</v>
          </cell>
          <cell r="V37">
            <v>44.494417008077924</v>
          </cell>
          <cell r="W37">
            <v>0.53348745170182088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1.300620381405156</v>
          </cell>
          <cell r="U39">
            <v>7.8820466826144567E-4</v>
          </cell>
          <cell r="V39">
            <v>11.112810725871574</v>
          </cell>
          <cell r="W39">
            <v>10.099133053150796</v>
          </cell>
          <cell r="X39">
            <v>0</v>
          </cell>
        </row>
        <row r="40">
          <cell r="T40">
            <v>1</v>
          </cell>
          <cell r="U40">
            <v>10.938740234375</v>
          </cell>
          <cell r="V40">
            <v>136.92844956569715</v>
          </cell>
          <cell r="W40">
            <v>52.106590615041483</v>
          </cell>
          <cell r="X40">
            <v>0</v>
          </cell>
        </row>
        <row r="41">
          <cell r="T41">
            <v>6.9560280843062596</v>
          </cell>
          <cell r="U41">
            <v>0.65571165030445222</v>
          </cell>
          <cell r="V41">
            <v>0</v>
          </cell>
          <cell r="W41">
            <v>0</v>
          </cell>
          <cell r="X41">
            <v>36.960574276816558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101.77401649068347</v>
          </cell>
        </row>
        <row r="43">
          <cell r="T43">
            <v>13.844421020879521</v>
          </cell>
          <cell r="U43">
            <v>3.1554639427466697</v>
          </cell>
          <cell r="V43">
            <v>0.45829125770018231</v>
          </cell>
          <cell r="W43">
            <v>0.72441471608254671</v>
          </cell>
          <cell r="X43">
            <v>0</v>
          </cell>
        </row>
        <row r="44">
          <cell r="T44">
            <v>0</v>
          </cell>
          <cell r="U44">
            <v>8.8042095890605694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0.31248754882812502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11.840306396484376</v>
          </cell>
        </row>
        <row r="53">
          <cell r="E53">
            <v>12.555456003161671</v>
          </cell>
        </row>
        <row r="54">
          <cell r="E54">
            <v>102.03544321387012</v>
          </cell>
        </row>
        <row r="55">
          <cell r="E55">
            <v>0</v>
          </cell>
        </row>
        <row r="56">
          <cell r="E56">
            <v>6.330380960194816</v>
          </cell>
        </row>
        <row r="57">
          <cell r="E57">
            <v>1.8671101278544562</v>
          </cell>
        </row>
      </sheetData>
      <sheetData sheetId="33">
        <row r="13">
          <cell r="L13">
            <v>64.652591069811592</v>
          </cell>
        </row>
      </sheetData>
      <sheetData sheetId="34">
        <row r="13">
          <cell r="L13">
            <v>28.679288227585289</v>
          </cell>
          <cell r="T13">
            <v>11.227117591013034</v>
          </cell>
          <cell r="U13">
            <v>175.53759404222941</v>
          </cell>
          <cell r="V13">
            <v>135.77624988749807</v>
          </cell>
          <cell r="W13">
            <v>123.17781879034489</v>
          </cell>
          <cell r="X13">
            <v>129.21827578196925</v>
          </cell>
        </row>
        <row r="22">
          <cell r="T22">
            <v>1.459595922347638</v>
          </cell>
          <cell r="U22">
            <v>55.476680983540973</v>
          </cell>
          <cell r="V22">
            <v>27.268319880371575</v>
          </cell>
          <cell r="W22">
            <v>8.8076196126240713</v>
          </cell>
          <cell r="X22">
            <v>14.472730677280335</v>
          </cell>
        </row>
        <row r="30">
          <cell r="T30">
            <v>0</v>
          </cell>
          <cell r="U30">
            <v>19.118062217384278</v>
          </cell>
          <cell r="V30">
            <v>35.160977387086433</v>
          </cell>
          <cell r="W30">
            <v>22.010319853686262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20.041612409357288</v>
          </cell>
          <cell r="U37">
            <v>33.03282021908791</v>
          </cell>
          <cell r="V37">
            <v>38.670548162755892</v>
          </cell>
          <cell r="W37">
            <v>0.43608334641640845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2.1874070050904897</v>
          </cell>
          <cell r="U39">
            <v>8.5890570413253253E-4</v>
          </cell>
          <cell r="V39">
            <v>14.856183742724458</v>
          </cell>
          <cell r="W39">
            <v>13.972057854326216</v>
          </cell>
          <cell r="X39">
            <v>0</v>
          </cell>
        </row>
        <row r="40">
          <cell r="T40">
            <v>1.5</v>
          </cell>
          <cell r="U40">
            <v>15.325538085937501</v>
          </cell>
          <cell r="V40">
            <v>170.26801174847219</v>
          </cell>
          <cell r="W40">
            <v>64.752372842201794</v>
          </cell>
          <cell r="X40">
            <v>0</v>
          </cell>
        </row>
        <row r="41">
          <cell r="T41">
            <v>6.8596219696114309</v>
          </cell>
          <cell r="U41">
            <v>0</v>
          </cell>
          <cell r="V41">
            <v>0</v>
          </cell>
          <cell r="W41">
            <v>0</v>
          </cell>
          <cell r="X41">
            <v>21.896930013474247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2.5646039905747262</v>
          </cell>
        </row>
        <row r="43">
          <cell r="T43">
            <v>0</v>
          </cell>
          <cell r="U43">
            <v>0</v>
          </cell>
          <cell r="V43">
            <v>1.33686813190731E-2</v>
          </cell>
          <cell r="W43">
            <v>5.9571518115922428E-2</v>
          </cell>
          <cell r="X43">
            <v>0</v>
          </cell>
        </row>
        <row r="44">
          <cell r="T44">
            <v>0</v>
          </cell>
          <cell r="U44">
            <v>7.3058555419217219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0</v>
          </cell>
        </row>
        <row r="53">
          <cell r="E53">
            <v>7.019987079045241</v>
          </cell>
        </row>
        <row r="54">
          <cell r="E54">
            <v>91.376834551502185</v>
          </cell>
        </row>
        <row r="55">
          <cell r="E55">
            <v>0</v>
          </cell>
        </row>
        <row r="56">
          <cell r="E56">
            <v>10.939475194884611</v>
          </cell>
        </row>
        <row r="57">
          <cell r="E57">
            <v>6.6285490677230623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lan énergie"/>
      <sheetName val="FE_et_bio"/>
      <sheetName val="VP"/>
      <sheetName val="VUL"/>
      <sheetName val="PL"/>
      <sheetName val="donnees parc"/>
      <sheetName val="B&amp;C"/>
      <sheetName val="2RM"/>
      <sheetName val="Autres_modes"/>
      <sheetName val="Aérien"/>
      <sheetName val="Trafic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3">
          <cell r="H23">
            <v>629.84570702567703</v>
          </cell>
          <cell r="J23">
            <v>746.12634327708076</v>
          </cell>
          <cell r="N23">
            <v>684.63084367246472</v>
          </cell>
        </row>
        <row r="25">
          <cell r="H25">
            <v>64.888834107401252</v>
          </cell>
          <cell r="J25">
            <v>140.59793923050162</v>
          </cell>
          <cell r="N25">
            <v>187.05149835225939</v>
          </cell>
        </row>
        <row r="26">
          <cell r="H26">
            <v>37.912440194392154</v>
          </cell>
          <cell r="J26">
            <v>75.079943524557834</v>
          </cell>
          <cell r="N26">
            <v>97.003287033728711</v>
          </cell>
        </row>
        <row r="27">
          <cell r="H27">
            <v>7.2496149479999996</v>
          </cell>
          <cell r="J27">
            <v>14.4</v>
          </cell>
          <cell r="N27">
            <v>6.5</v>
          </cell>
        </row>
        <row r="28">
          <cell r="H28">
            <v>9.5825009382689181</v>
          </cell>
          <cell r="J28">
            <v>11.58776593289357</v>
          </cell>
          <cell r="N28">
            <v>11.683292928212129</v>
          </cell>
        </row>
        <row r="29">
          <cell r="H29">
            <v>5.5</v>
          </cell>
          <cell r="J29">
            <v>19.108172758676037</v>
          </cell>
          <cell r="N29">
            <v>28.331906374785511</v>
          </cell>
        </row>
        <row r="30">
          <cell r="H30">
            <v>754.94948226573945</v>
          </cell>
          <cell r="J30">
            <v>1006.9001647237097</v>
          </cell>
          <cell r="N30">
            <v>1015.2008283614504</v>
          </cell>
        </row>
        <row r="31">
          <cell r="H31">
            <v>749.44948226573945</v>
          </cell>
          <cell r="J31">
            <v>987.79199196503373</v>
          </cell>
          <cell r="N31">
            <v>986.86892198666487</v>
          </cell>
        </row>
      </sheetData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 energie vecteurs"/>
      <sheetName val="T energie usages"/>
      <sheetName val="Résultats"/>
      <sheetName val="T CO2"/>
      <sheetName val="T logement"/>
      <sheetName val="G energie"/>
      <sheetName val="G mix energie"/>
      <sheetName val="G mix élec"/>
      <sheetName val="G mix carb"/>
      <sheetName val="G mix gaz"/>
      <sheetName val="G CO2"/>
      <sheetName val="T parc auto"/>
      <sheetName val="G parc auto total"/>
      <sheetName val="G parc elec"/>
      <sheetName val="G parc auto"/>
      <sheetName val="T transport"/>
      <sheetName val="G parc logt"/>
      <sheetName val="Table Graphs"/>
    </sheetNames>
    <sheetDataSet>
      <sheetData sheetId="0" refreshError="1"/>
      <sheetData sheetId="1" refreshError="1"/>
      <sheetData sheetId="2">
        <row r="1">
          <cell r="B1" t="str">
            <v>SNBC3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 energie"/>
      <sheetName val="G mix élec"/>
      <sheetName val="G mix carb"/>
      <sheetName val="G mix gaz"/>
      <sheetName val="T CO2"/>
      <sheetName val="G CO2"/>
      <sheetName val="T parc auto"/>
      <sheetName val="G parc auto"/>
      <sheetName val="T logement"/>
      <sheetName val="G parc logt"/>
      <sheetName val="Table Graph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4">
          <cell r="A4" t="str">
            <v>TEND</v>
          </cell>
        </row>
        <row r="5">
          <cell r="I5">
            <v>34.664492700000004</v>
          </cell>
          <cell r="J5">
            <v>34.956187980000003</v>
          </cell>
          <cell r="K5">
            <v>35.116030049999999</v>
          </cell>
          <cell r="L5">
            <v>35.22984451</v>
          </cell>
          <cell r="M5">
            <v>35.293663940000002</v>
          </cell>
          <cell r="N5">
            <v>35.310390290000001</v>
          </cell>
          <cell r="O5">
            <v>35.378433780000002</v>
          </cell>
          <cell r="P5">
            <v>35.496856720000004</v>
          </cell>
          <cell r="Q5">
            <v>35.653829440000003</v>
          </cell>
          <cell r="R5">
            <v>35.834650719999999</v>
          </cell>
          <cell r="S5">
            <v>36.029956510000005</v>
          </cell>
          <cell r="T5">
            <v>36.22702245</v>
          </cell>
          <cell r="U5">
            <v>36.422585409999996</v>
          </cell>
          <cell r="V5">
            <v>36.615497920000003</v>
          </cell>
          <cell r="W5">
            <v>36.806113070000002</v>
          </cell>
          <cell r="X5">
            <v>36.99621071</v>
          </cell>
          <cell r="Y5">
            <v>37.184294620000003</v>
          </cell>
          <cell r="Z5">
            <v>37.372872549999997</v>
          </cell>
          <cell r="AA5">
            <v>37.563526299999999</v>
          </cell>
          <cell r="AB5">
            <v>37.757729379999994</v>
          </cell>
          <cell r="AC5">
            <v>37.955981359999996</v>
          </cell>
          <cell r="AD5">
            <v>38.166927919999999</v>
          </cell>
          <cell r="AE5">
            <v>38.388725370000003</v>
          </cell>
          <cell r="AF5">
            <v>38.617999920000003</v>
          </cell>
          <cell r="AG5">
            <v>38.852641049999995</v>
          </cell>
          <cell r="AH5">
            <v>39.090289320000004</v>
          </cell>
          <cell r="AI5">
            <v>39.328744280000002</v>
          </cell>
          <cell r="AJ5">
            <v>39.56777889</v>
          </cell>
          <cell r="AK5">
            <v>39.807161919999999</v>
          </cell>
          <cell r="AL5">
            <v>40.046711999999999</v>
          </cell>
          <cell r="AM5">
            <v>40.288447350000006</v>
          </cell>
        </row>
        <row r="6">
          <cell r="I6">
            <v>8.5699726798540449E-3</v>
          </cell>
          <cell r="J6">
            <v>1.3125767536852568E-2</v>
          </cell>
          <cell r="K6">
            <v>2.093814652035246E-2</v>
          </cell>
          <cell r="L6">
            <v>2.9339596650975963E-2</v>
          </cell>
          <cell r="M6">
            <v>3.8422705171822412E-2</v>
          </cell>
          <cell r="N6">
            <v>4.8298948326351107E-2</v>
          </cell>
          <cell r="O6">
            <v>5.9426982864022086E-2</v>
          </cell>
          <cell r="P6">
            <v>7.1945526561541698E-2</v>
          </cell>
          <cell r="Q6">
            <v>8.5942049539349558E-2</v>
          </cell>
          <cell r="R6">
            <v>0.10147172535354351</v>
          </cell>
          <cell r="S6">
            <v>0.11859008108472456</v>
          </cell>
          <cell r="T6">
            <v>0.13730358074183932</v>
          </cell>
          <cell r="U6">
            <v>0.15763780877629907</v>
          </cell>
          <cell r="V6">
            <v>0.17959577390884213</v>
          </cell>
          <cell r="W6">
            <v>0.20315166958215294</v>
          </cell>
          <cell r="X6">
            <v>0.22824904180571959</v>
          </cell>
          <cell r="Y6">
            <v>0.2547637951132391</v>
          </cell>
          <cell r="Z6">
            <v>0.28256330245612871</v>
          </cell>
          <cell r="AA6">
            <v>0.31147078409409074</v>
          </cell>
          <cell r="AB6">
            <v>0.34127816401018973</v>
          </cell>
          <cell r="AC6">
            <v>0.3717464103001657</v>
          </cell>
          <cell r="AD6">
            <v>0.40269710709271045</v>
          </cell>
          <cell r="AE6">
            <v>0.43384849821076515</v>
          </cell>
          <cell r="AF6">
            <v>0.464913357170052</v>
          </cell>
          <cell r="AG6">
            <v>0.49563467577965337</v>
          </cell>
          <cell r="AH6">
            <v>0.52577836510113596</v>
          </cell>
          <cell r="AI6">
            <v>0.55514202702634574</v>
          </cell>
          <cell r="AJ6">
            <v>0.58357173153926301</v>
          </cell>
          <cell r="AK6">
            <v>0.61094374421556352</v>
          </cell>
          <cell r="AL6">
            <v>0.63716406480512056</v>
          </cell>
          <cell r="AM6">
            <v>0.66218106938290833</v>
          </cell>
        </row>
      </sheetData>
      <sheetData sheetId="10" refreshError="1"/>
      <sheetData sheetId="11"/>
      <sheetData sheetId="12" refreshError="1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tabColor rgb="FF0070C0"/>
  </sheetPr>
  <dimension ref="A1:BF524"/>
  <sheetViews>
    <sheetView zoomScale="90" zoomScaleNormal="90" workbookViewId="0"/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8" width="5.5703125" customWidth="1"/>
    <col min="9" max="23" width="7.42578125" customWidth="1"/>
    <col min="25" max="58" width="11.42578125" style="3"/>
  </cols>
  <sheetData>
    <row r="1" spans="1:29" ht="28.5" x14ac:dyDescent="0.45">
      <c r="A1" s="171" t="s">
        <v>97</v>
      </c>
      <c r="B1" s="3"/>
      <c r="C1" s="3"/>
      <c r="D1" s="3" t="s">
        <v>487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46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172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61" t="str">
        <f>Résultats!B1</f>
        <v>SNBC3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s="3" customFormat="1" ht="23.25" x14ac:dyDescent="0.35">
      <c r="A5" s="46"/>
      <c r="D5" s="7"/>
      <c r="E5" s="235">
        <f>Résultats!E1</f>
        <v>4</v>
      </c>
      <c r="F5" s="235">
        <f>E5+9</f>
        <v>13</v>
      </c>
      <c r="G5" s="235">
        <f>F5+3</f>
        <v>16</v>
      </c>
      <c r="H5" s="235">
        <f t="shared" ref="H5:S5" si="0">G5+1</f>
        <v>17</v>
      </c>
      <c r="I5" s="235">
        <f t="shared" si="0"/>
        <v>18</v>
      </c>
      <c r="J5" s="235">
        <f t="shared" si="0"/>
        <v>19</v>
      </c>
      <c r="K5" s="235">
        <f t="shared" si="0"/>
        <v>20</v>
      </c>
      <c r="L5" s="235">
        <f t="shared" si="0"/>
        <v>21</v>
      </c>
      <c r="M5" s="235">
        <f t="shared" si="0"/>
        <v>22</v>
      </c>
      <c r="N5" s="235">
        <f t="shared" si="0"/>
        <v>23</v>
      </c>
      <c r="O5" s="235">
        <f t="shared" si="0"/>
        <v>24</v>
      </c>
      <c r="P5" s="235">
        <f t="shared" si="0"/>
        <v>25</v>
      </c>
      <c r="Q5" s="235">
        <f t="shared" si="0"/>
        <v>26</v>
      </c>
      <c r="R5" s="235">
        <f t="shared" si="0"/>
        <v>27</v>
      </c>
      <c r="S5" s="235">
        <f t="shared" si="0"/>
        <v>28</v>
      </c>
      <c r="T5" s="235">
        <f>S5+5</f>
        <v>33</v>
      </c>
      <c r="U5" s="235">
        <f>T5+5</f>
        <v>38</v>
      </c>
      <c r="V5" s="235">
        <f>U5+5</f>
        <v>43</v>
      </c>
      <c r="W5" s="235">
        <f>V5+5</f>
        <v>48</v>
      </c>
    </row>
    <row r="6" spans="1:29" x14ac:dyDescent="0.25">
      <c r="A6" s="3"/>
      <c r="B6" s="168"/>
      <c r="C6" s="2"/>
      <c r="D6" s="15"/>
      <c r="E6" s="4">
        <v>2006</v>
      </c>
      <c r="F6" s="4">
        <v>2015</v>
      </c>
      <c r="G6" s="20">
        <v>2018</v>
      </c>
      <c r="H6" s="27">
        <v>2019</v>
      </c>
      <c r="I6" s="83">
        <v>2020</v>
      </c>
      <c r="J6" s="91">
        <v>2021</v>
      </c>
      <c r="K6" s="27">
        <v>2022</v>
      </c>
      <c r="L6" s="27">
        <v>2023</v>
      </c>
      <c r="M6" s="27">
        <v>2024</v>
      </c>
      <c r="N6" s="83">
        <v>2025</v>
      </c>
      <c r="O6" s="91">
        <v>2026</v>
      </c>
      <c r="P6" s="27">
        <v>2027</v>
      </c>
      <c r="Q6" s="27">
        <v>2028</v>
      </c>
      <c r="R6" s="27">
        <v>2029</v>
      </c>
      <c r="S6" s="92">
        <v>2030</v>
      </c>
      <c r="T6" s="93">
        <v>2035</v>
      </c>
      <c r="U6" s="93">
        <v>2040</v>
      </c>
      <c r="V6" s="93">
        <v>2045</v>
      </c>
      <c r="W6" s="93">
        <v>2050</v>
      </c>
      <c r="X6" s="3"/>
      <c r="Y6" s="19"/>
      <c r="Z6" s="166" t="s">
        <v>90</v>
      </c>
      <c r="AA6" s="166"/>
      <c r="AB6" s="166"/>
      <c r="AC6" s="38"/>
    </row>
    <row r="7" spans="1:29" ht="15" customHeight="1" x14ac:dyDescent="0.25">
      <c r="A7" s="3"/>
      <c r="B7" s="318" t="s">
        <v>0</v>
      </c>
      <c r="C7" s="5" t="s">
        <v>1</v>
      </c>
      <c r="D7" s="2"/>
      <c r="E7" s="6">
        <f>SUM(E8:E9)</f>
        <v>85.512342682799996</v>
      </c>
      <c r="F7" s="6">
        <f>SUM(F8:F9)</f>
        <v>72.910952275</v>
      </c>
      <c r="G7" s="84">
        <f t="shared" ref="G7:R7" si="1">SUM(G8:G9)</f>
        <v>66.537888507000005</v>
      </c>
      <c r="H7" s="6">
        <f t="shared" si="1"/>
        <v>64.814351146000007</v>
      </c>
      <c r="I7" s="85">
        <f t="shared" si="1"/>
        <v>63.446054734000001</v>
      </c>
      <c r="J7" s="84">
        <f t="shared" si="1"/>
        <v>63.388356548999994</v>
      </c>
      <c r="K7" s="6">
        <f t="shared" si="1"/>
        <v>63.332833792999999</v>
      </c>
      <c r="L7" s="6">
        <f t="shared" si="1"/>
        <v>62.945764163999996</v>
      </c>
      <c r="M7" s="6">
        <f t="shared" si="1"/>
        <v>61.228614285999996</v>
      </c>
      <c r="N7" s="85">
        <f t="shared" si="1"/>
        <v>59.228462582999995</v>
      </c>
      <c r="O7" s="84">
        <f t="shared" si="1"/>
        <v>57.296723675999999</v>
      </c>
      <c r="P7" s="6">
        <f t="shared" si="1"/>
        <v>55.322927419999999</v>
      </c>
      <c r="Q7" s="6">
        <f t="shared" si="1"/>
        <v>53.349361613999996</v>
      </c>
      <c r="R7" s="6">
        <f t="shared" si="1"/>
        <v>51.188354655000005</v>
      </c>
      <c r="S7" s="85">
        <f>SUM(S8:S9)</f>
        <v>49.009148263999997</v>
      </c>
      <c r="T7" s="94">
        <f>SUM(T8:T9)</f>
        <v>39.090857638999999</v>
      </c>
      <c r="U7" s="94">
        <f>SUM(U8:U9)</f>
        <v>30.056793228</v>
      </c>
      <c r="V7" s="94">
        <f>SUM(V8:V9)</f>
        <v>22.942138089</v>
      </c>
      <c r="W7" s="94">
        <f>SUM(W8:W9)</f>
        <v>17.899121785999998</v>
      </c>
      <c r="X7" s="3"/>
      <c r="Y7" s="75"/>
      <c r="Z7" s="194"/>
      <c r="AA7" s="195">
        <v>2020</v>
      </c>
      <c r="AB7" s="195">
        <v>2030</v>
      </c>
      <c r="AC7" s="196">
        <v>2050</v>
      </c>
    </row>
    <row r="8" spans="1:29" x14ac:dyDescent="0.25">
      <c r="A8" s="3"/>
      <c r="B8" s="319"/>
      <c r="C8" s="3" t="s">
        <v>2</v>
      </c>
      <c r="D8" s="15" t="s">
        <v>356</v>
      </c>
      <c r="E8" s="16">
        <f>VLOOKUP($D8,Résultats!$B$2:$AX$476,E$5,FALSE)</f>
        <v>84.844877019999998</v>
      </c>
      <c r="F8" s="16">
        <f>VLOOKUP($D8,Résultats!$B$2:$AX$476,F$5,FALSE)</f>
        <v>69.780198580000004</v>
      </c>
      <c r="G8" s="22">
        <f>VLOOKUP($D8,Résultats!$B$2:$AX$476,G$5,FALSE)</f>
        <v>63.51292669</v>
      </c>
      <c r="H8" s="16">
        <f>VLOOKUP($D8,Résultats!$B$2:$AX$476,H$5,FALSE)</f>
        <v>61.80621146</v>
      </c>
      <c r="I8" s="86">
        <f>VLOOKUP($D8,Résultats!$B$2:$AX$476,I$5,FALSE)</f>
        <v>60.437144009999997</v>
      </c>
      <c r="J8" s="22">
        <f>VLOOKUP($D8,Résultats!$B$2:$AX$476,J$5,FALSE)</f>
        <v>60.235069619999997</v>
      </c>
      <c r="K8" s="16">
        <f>VLOOKUP($D8,Résultats!$B$2:$AX$476,K$5,FALSE)</f>
        <v>60.041424970000001</v>
      </c>
      <c r="L8" s="16">
        <f>VLOOKUP($D8,Résultats!$B$2:$AX$476,L$5,FALSE)</f>
        <v>59.540199919999999</v>
      </c>
      <c r="M8" s="16">
        <f>VLOOKUP($D8,Résultats!$B$2:$AX$476,M$5,FALSE)</f>
        <v>57.834879479999998</v>
      </c>
      <c r="N8" s="86">
        <f>VLOOKUP($D8,Résultats!$B$2:$AX$476,N$5,FALSE)</f>
        <v>55.861248199999999</v>
      </c>
      <c r="O8" s="22">
        <f>VLOOKUP($D8,Résultats!$B$2:$AX$476,O$5,FALSE)</f>
        <v>53.86634188</v>
      </c>
      <c r="P8" s="16">
        <f>VLOOKUP($D8,Résultats!$B$2:$AX$476,P$5,FALSE)</f>
        <v>51.828187419999999</v>
      </c>
      <c r="Q8" s="16">
        <f>VLOOKUP($D8,Résultats!$B$2:$AX$476,Q$5,FALSE)</f>
        <v>49.786139319999997</v>
      </c>
      <c r="R8" s="16">
        <f>VLOOKUP($D8,Résultats!$B$2:$AX$476,R$5,FALSE)</f>
        <v>47.576011880000003</v>
      </c>
      <c r="S8" s="86">
        <f>VLOOKUP($D8,Résultats!$B$2:$AX$476,S$5,FALSE)</f>
        <v>45.346376079999999</v>
      </c>
      <c r="T8" s="95">
        <f>VLOOKUP($D8,Résultats!$B$2:$AX$476,T$5,FALSE)</f>
        <v>34.380063270000001</v>
      </c>
      <c r="U8" s="95">
        <f>VLOOKUP($D8,Résultats!$B$2:$AX$476,U$5,FALSE)</f>
        <v>24.710723900000001</v>
      </c>
      <c r="V8" s="95">
        <f>VLOOKUP($D8,Résultats!$B$2:$AX$476,V$5,FALSE)</f>
        <v>17.04823627</v>
      </c>
      <c r="W8" s="95">
        <f>VLOOKUP($D8,Résultats!$B$2:$AX$476,W$5,FALSE)</f>
        <v>12.724717869999999</v>
      </c>
      <c r="X8" s="45">
        <f>W8-'[1]Cibles THREEME'!$H4</f>
        <v>2.324110638808504</v>
      </c>
      <c r="Y8" s="75"/>
      <c r="Z8" s="198" t="s">
        <v>68</v>
      </c>
      <c r="AA8" s="199">
        <f>I27</f>
        <v>229.62992242670001</v>
      </c>
      <c r="AB8" s="199">
        <f>S27</f>
        <v>207.1302161225</v>
      </c>
      <c r="AC8" s="89">
        <f>W27</f>
        <v>126.86752731493999</v>
      </c>
    </row>
    <row r="9" spans="1:29" x14ac:dyDescent="0.25">
      <c r="A9" s="3"/>
      <c r="B9" s="320"/>
      <c r="C9" s="7" t="s">
        <v>3</v>
      </c>
      <c r="D9" s="15" t="s">
        <v>357</v>
      </c>
      <c r="E9" s="16">
        <f>VLOOKUP($D9,Résultats!$B$2:$AX$476,E$5,FALSE)</f>
        <v>0.66746566279999997</v>
      </c>
      <c r="F9" s="16">
        <f>VLOOKUP($D9,Résultats!$B$2:$AX$476,F$5,FALSE)</f>
        <v>3.1307536950000001</v>
      </c>
      <c r="G9" s="22">
        <f>VLOOKUP($D9,Résultats!$B$2:$AX$476,G$5,FALSE)</f>
        <v>3.0249618169999999</v>
      </c>
      <c r="H9" s="16">
        <f>VLOOKUP($D9,Résultats!$B$2:$AX$476,H$5,FALSE)</f>
        <v>3.0081396859999998</v>
      </c>
      <c r="I9" s="86">
        <f>VLOOKUP($D9,Résultats!$B$2:$AX$476,I$5,FALSE)</f>
        <v>3.0089107240000001</v>
      </c>
      <c r="J9" s="22">
        <f>VLOOKUP($D9,Résultats!$B$2:$AX$476,J$5,FALSE)</f>
        <v>3.1532869290000001</v>
      </c>
      <c r="K9" s="16">
        <f>VLOOKUP($D9,Résultats!$B$2:$AX$476,K$5,FALSE)</f>
        <v>3.2914088229999998</v>
      </c>
      <c r="L9" s="16">
        <f>VLOOKUP($D9,Résultats!$B$2:$AX$476,L$5,FALSE)</f>
        <v>3.4055642439999998</v>
      </c>
      <c r="M9" s="16">
        <f>VLOOKUP($D9,Résultats!$B$2:$AX$476,M$5,FALSE)</f>
        <v>3.3937348059999999</v>
      </c>
      <c r="N9" s="86">
        <f>VLOOKUP($D9,Résultats!$B$2:$AX$476,N$5,FALSE)</f>
        <v>3.3672143829999999</v>
      </c>
      <c r="O9" s="22">
        <f>VLOOKUP($D9,Résultats!$B$2:$AX$476,O$5,FALSE)</f>
        <v>3.4303817959999998</v>
      </c>
      <c r="P9" s="16">
        <f>VLOOKUP($D9,Résultats!$B$2:$AX$476,P$5,FALSE)</f>
        <v>3.4947400000000002</v>
      </c>
      <c r="Q9" s="16">
        <f>VLOOKUP($D9,Résultats!$B$2:$AX$476,Q$5,FALSE)</f>
        <v>3.563222294</v>
      </c>
      <c r="R9" s="16">
        <f>VLOOKUP($D9,Résultats!$B$2:$AX$476,R$5,FALSE)</f>
        <v>3.6123427750000001</v>
      </c>
      <c r="S9" s="86">
        <f>VLOOKUP($D9,Résultats!$B$2:$AX$476,S$5,FALSE)</f>
        <v>3.662772184</v>
      </c>
      <c r="T9" s="95">
        <f>VLOOKUP($D9,Résultats!$B$2:$AX$476,T$5,FALSE)</f>
        <v>4.7107943690000003</v>
      </c>
      <c r="U9" s="95">
        <f>VLOOKUP($D9,Résultats!$B$2:$AX$476,U$5,FALSE)</f>
        <v>5.3460693279999996</v>
      </c>
      <c r="V9" s="95">
        <f>VLOOKUP($D9,Résultats!$B$2:$AX$476,V$5,FALSE)</f>
        <v>5.8939018189999999</v>
      </c>
      <c r="W9" s="95">
        <f>VLOOKUP($D9,Résultats!$B$2:$AX$476,W$5,FALSE)</f>
        <v>5.1744039160000002</v>
      </c>
      <c r="X9" s="45">
        <f>W9-'[1]Cibles THREEME'!$H5</f>
        <v>1.6775627004229174</v>
      </c>
      <c r="Y9" s="75"/>
      <c r="Z9" s="75"/>
      <c r="AA9" s="75"/>
      <c r="AB9" s="75"/>
      <c r="AC9" s="75"/>
    </row>
    <row r="10" spans="1:29" ht="15" customHeight="1" x14ac:dyDescent="0.25">
      <c r="A10" s="3"/>
      <c r="B10" s="318" t="s">
        <v>4</v>
      </c>
      <c r="C10" s="5" t="s">
        <v>1</v>
      </c>
      <c r="D10" s="2"/>
      <c r="E10" s="8">
        <f>SUM(E11:E18)</f>
        <v>135.21135778830001</v>
      </c>
      <c r="F10" s="8">
        <f>SUM(F11:F18)</f>
        <v>142.26344888740002</v>
      </c>
      <c r="G10" s="21">
        <f t="shared" ref="G10:R10" si="2">SUM(G11:G18)</f>
        <v>131.48929991759999</v>
      </c>
      <c r="H10" s="8">
        <f t="shared" si="2"/>
        <v>127.35730103200001</v>
      </c>
      <c r="I10" s="87">
        <f t="shared" si="2"/>
        <v>123.21384429849999</v>
      </c>
      <c r="J10" s="21">
        <f t="shared" si="2"/>
        <v>121.13499757549999</v>
      </c>
      <c r="K10" s="8">
        <f t="shared" si="2"/>
        <v>119.4955001352</v>
      </c>
      <c r="L10" s="8">
        <f t="shared" si="2"/>
        <v>116.48349276410001</v>
      </c>
      <c r="M10" s="8">
        <f t="shared" si="2"/>
        <v>130.5215294665</v>
      </c>
      <c r="N10" s="87">
        <f t="shared" si="2"/>
        <v>142.81729188360003</v>
      </c>
      <c r="O10" s="21">
        <f t="shared" si="2"/>
        <v>139.31947823039997</v>
      </c>
      <c r="P10" s="8">
        <f t="shared" si="2"/>
        <v>135.57591317160001</v>
      </c>
      <c r="Q10" s="8">
        <f t="shared" si="2"/>
        <v>131.77804932480001</v>
      </c>
      <c r="R10" s="8">
        <f t="shared" si="2"/>
        <v>127.04012731179999</v>
      </c>
      <c r="S10" s="87">
        <f>SUM(S11:S18)</f>
        <v>122.42545965879998</v>
      </c>
      <c r="T10" s="96">
        <f>SUM(T11:T18)</f>
        <v>106.17740581872999</v>
      </c>
      <c r="U10" s="96">
        <f>SUM(U11:U18)</f>
        <v>105.53676400026001</v>
      </c>
      <c r="V10" s="96">
        <f>SUM(V11:V18)</f>
        <v>93.288327286699882</v>
      </c>
      <c r="W10" s="96">
        <f>SUM(W11:W18)</f>
        <v>80.607620107840006</v>
      </c>
      <c r="X10" s="45"/>
      <c r="Y10" s="75"/>
      <c r="Z10" s="75"/>
      <c r="AA10" s="75"/>
      <c r="AB10" s="75"/>
      <c r="AC10" s="75"/>
    </row>
    <row r="11" spans="1:29" x14ac:dyDescent="0.25">
      <c r="A11" s="3"/>
      <c r="B11" s="319"/>
      <c r="C11" s="3" t="s">
        <v>5</v>
      </c>
      <c r="D11" s="3" t="s">
        <v>358</v>
      </c>
      <c r="E11" s="16">
        <f>VLOOKUP($D11,Résultats!$B$2:$AX$476,E$5,FALSE)</f>
        <v>118.47247350000001</v>
      </c>
      <c r="F11" s="16">
        <f>VLOOKUP($D11,Résultats!$B$2:$AX$476,F$5,FALSE)</f>
        <v>123.4866561</v>
      </c>
      <c r="G11" s="22">
        <f>VLOOKUP($D11,Résultats!$B$2:$AX$476,G$5,FALSE)</f>
        <v>112.0652607</v>
      </c>
      <c r="H11" s="16">
        <f>VLOOKUP($D11,Résultats!$B$2:$AX$476,H$5,FALSE)</f>
        <v>107.76709270000001</v>
      </c>
      <c r="I11" s="86">
        <f>VLOOKUP($D11,Résultats!$B$2:$AX$476,I$5,FALSE)</f>
        <v>103.44776899999999</v>
      </c>
      <c r="J11" s="22">
        <f>VLOOKUP($D11,Résultats!$B$2:$AX$476,J$5,FALSE)</f>
        <v>101.1234525</v>
      </c>
      <c r="K11" s="16">
        <f>VLOOKUP($D11,Résultats!$B$2:$AX$476,K$5,FALSE)</f>
        <v>99.169627009999999</v>
      </c>
      <c r="L11" s="16">
        <f>VLOOKUP($D11,Résultats!$B$2:$AX$476,L$5,FALSE)</f>
        <v>96.085453999999999</v>
      </c>
      <c r="M11" s="16">
        <f>VLOOKUP($D11,Résultats!$B$2:$AX$476,M$5,FALSE)</f>
        <v>108.7050972</v>
      </c>
      <c r="N11" s="86">
        <f>VLOOKUP($D11,Résultats!$B$2:$AX$476,N$5,FALSE)</f>
        <v>120.1047078</v>
      </c>
      <c r="O11" s="22">
        <f>VLOOKUP($D11,Résultats!$B$2:$AX$476,O$5,FALSE)</f>
        <v>116.374399</v>
      </c>
      <c r="P11" s="16">
        <f>VLOOKUP($D11,Résultats!$B$2:$AX$476,P$5,FALSE)</f>
        <v>112.5009668</v>
      </c>
      <c r="Q11" s="16">
        <f>VLOOKUP($D11,Résultats!$B$2:$AX$476,Q$5,FALSE)</f>
        <v>108.64381830000001</v>
      </c>
      <c r="R11" s="16">
        <f>VLOOKUP($D11,Résultats!$B$2:$AX$476,R$5,FALSE)</f>
        <v>104.45078100000001</v>
      </c>
      <c r="S11" s="86">
        <f>VLOOKUP($D11,Résultats!$B$2:$AX$476,S$5,FALSE)</f>
        <v>100.3707539</v>
      </c>
      <c r="T11" s="95">
        <f>VLOOKUP($D11,Résultats!$B$2:$AX$476,T$5,FALSE)</f>
        <v>83.772687489999996</v>
      </c>
      <c r="U11" s="95">
        <f>VLOOKUP($D11,Résultats!$B$2:$AX$476,U$5,FALSE)</f>
        <v>82.091423899999995</v>
      </c>
      <c r="V11" s="95">
        <f>VLOOKUP($D11,Résultats!$B$2:$AX$476,V$5,FALSE)</f>
        <v>66.177270089999894</v>
      </c>
      <c r="W11" s="95">
        <f>VLOOKUP($D11,Résultats!$B$2:$AX$476,W$5,FALSE)</f>
        <v>49.847266410000003</v>
      </c>
      <c r="X11" s="45">
        <f>W11-'[1]Cibles THREEME'!$H10</f>
        <v>47.189562978435866</v>
      </c>
      <c r="Y11" s="75"/>
      <c r="Z11" s="75"/>
      <c r="AA11" s="75"/>
      <c r="AB11" s="75"/>
      <c r="AC11" s="75"/>
    </row>
    <row r="12" spans="1:29" x14ac:dyDescent="0.25">
      <c r="A12" s="3"/>
      <c r="B12" s="319"/>
      <c r="C12" s="3" t="s">
        <v>6</v>
      </c>
      <c r="D12" s="3" t="s">
        <v>359</v>
      </c>
      <c r="E12" s="16">
        <f>VLOOKUP($D12,Résultats!$B$2:$AX$476,E$5,FALSE)</f>
        <v>1.3210359490000001</v>
      </c>
      <c r="F12" s="16">
        <f>VLOOKUP($D12,Résultats!$B$2:$AX$476,F$5,FALSE)</f>
        <v>0.74998085739999998</v>
      </c>
      <c r="G12" s="22">
        <f>VLOOKUP($D12,Résultats!$B$2:$AX$476,G$5,FALSE)</f>
        <v>0.49987066559999999</v>
      </c>
      <c r="H12" s="16">
        <f>VLOOKUP($D12,Résultats!$B$2:$AX$476,H$5,FALSE)</f>
        <v>0.41392289500000001</v>
      </c>
      <c r="I12" s="86">
        <f>VLOOKUP($D12,Résultats!$B$2:$AX$476,I$5,FALSE)</f>
        <v>0.32803670260000001</v>
      </c>
      <c r="J12" s="22">
        <f>VLOOKUP($D12,Résultats!$B$2:$AX$476,J$5,FALSE)</f>
        <v>0.46470480079999998</v>
      </c>
      <c r="K12" s="16">
        <f>VLOOKUP($D12,Résultats!$B$2:$AX$476,K$5,FALSE)</f>
        <v>0.60505382910000005</v>
      </c>
      <c r="L12" s="16">
        <f>VLOOKUP($D12,Résultats!$B$2:$AX$476,L$5,FALSE)</f>
        <v>0.73911942109999995</v>
      </c>
      <c r="M12" s="16">
        <f>VLOOKUP($D12,Résultats!$B$2:$AX$476,M$5,FALSE)</f>
        <v>0.54306208359999997</v>
      </c>
      <c r="N12" s="86">
        <f>VLOOKUP($D12,Résultats!$B$2:$AX$476,N$5,FALSE)</f>
        <v>0.35610532919999999</v>
      </c>
      <c r="O12" s="22">
        <f>VLOOKUP($D12,Résultats!$B$2:$AX$476,O$5,FALSE)</f>
        <v>0.29985844740000001</v>
      </c>
      <c r="P12" s="16">
        <f>VLOOKUP($D12,Résultats!$B$2:$AX$476,P$5,FALSE)</f>
        <v>0.23011459279999999</v>
      </c>
      <c r="Q12" s="16">
        <f>VLOOKUP($D12,Résultats!$B$2:$AX$476,Q$5,FALSE)</f>
        <v>0.14894401630000001</v>
      </c>
      <c r="R12" s="16">
        <f>VLOOKUP($D12,Résultats!$B$2:$AX$476,R$5,FALSE)</f>
        <v>0.10552367930000001</v>
      </c>
      <c r="S12" s="86">
        <f>VLOOKUP($D12,Résultats!$B$2:$AX$476,S$5,FALSE)</f>
        <v>6.5857398100000006E-2</v>
      </c>
      <c r="T12" s="95">
        <f>VLOOKUP($D12,Résultats!$B$2:$AX$476,T$5,FALSE)</f>
        <v>5.6587221100000001E-2</v>
      </c>
      <c r="U12" s="95">
        <f>VLOOKUP($D12,Résultats!$B$2:$AX$476,U$5,FALSE)</f>
        <v>1.1631278700000001E-2</v>
      </c>
      <c r="V12" s="95">
        <f>VLOOKUP($D12,Résultats!$B$2:$AX$476,V$5,FALSE)</f>
        <v>6.9524497999999997E-3</v>
      </c>
      <c r="W12" s="95">
        <f>VLOOKUP($D12,Résultats!$B$2:$AX$476,W$5,FALSE)</f>
        <v>6.6557382199999996E-3</v>
      </c>
      <c r="X12" s="45">
        <f>W12-'[1]Cibles THREEME'!$H11</f>
        <v>6.6557382199999996E-3</v>
      </c>
      <c r="Y12" s="75"/>
      <c r="Z12" s="200"/>
      <c r="AA12" s="188"/>
      <c r="AB12" s="188"/>
      <c r="AC12" s="188"/>
    </row>
    <row r="13" spans="1:29" x14ac:dyDescent="0.25">
      <c r="A13" s="3"/>
      <c r="B13" s="319"/>
      <c r="C13" s="3" t="s">
        <v>7</v>
      </c>
      <c r="D13" s="3" t="s">
        <v>360</v>
      </c>
      <c r="E13" s="16">
        <f>VLOOKUP($D13,Résultats!$B$2:$AX$476,E$5,FALSE)</f>
        <v>3.586175195</v>
      </c>
      <c r="F13" s="16">
        <f>VLOOKUP($D13,Résultats!$B$2:$AX$476,F$5,FALSE)</f>
        <v>4.077602175</v>
      </c>
      <c r="G13" s="22">
        <f>VLOOKUP($D13,Résultats!$B$2:$AX$476,G$5,FALSE)</f>
        <v>5.1041479580000004</v>
      </c>
      <c r="H13" s="16">
        <f>VLOOKUP($D13,Résultats!$B$2:$AX$476,H$5,FALSE)</f>
        <v>5.432574679</v>
      </c>
      <c r="I13" s="86">
        <f>VLOOKUP($D13,Résultats!$B$2:$AX$476,I$5,FALSE)</f>
        <v>5.7616660499999997</v>
      </c>
      <c r="J13" s="22">
        <f>VLOOKUP($D13,Résultats!$B$2:$AX$476,J$5,FALSE)</f>
        <v>5.4556760449999997</v>
      </c>
      <c r="K13" s="16">
        <f>VLOOKUP($D13,Résultats!$B$2:$AX$476,K$5,FALSE)</f>
        <v>5.1703700829999999</v>
      </c>
      <c r="L13" s="16">
        <f>VLOOKUP($D13,Résultats!$B$2:$AX$476,L$5,FALSE)</f>
        <v>4.828386568</v>
      </c>
      <c r="M13" s="16">
        <f>VLOOKUP($D13,Résultats!$B$2:$AX$476,M$5,FALSE)</f>
        <v>5.6530197820000003</v>
      </c>
      <c r="N13" s="86">
        <f>VLOOKUP($D13,Résultats!$B$2:$AX$476,N$5,FALSE)</f>
        <v>6.330593693</v>
      </c>
      <c r="O13" s="22">
        <f>VLOOKUP($D13,Résultats!$B$2:$AX$476,O$5,FALSE)</f>
        <v>6.1154394300000003</v>
      </c>
      <c r="P13" s="16">
        <f>VLOOKUP($D13,Résultats!$B$2:$AX$476,P$5,FALSE)</f>
        <v>5.8943602879999997</v>
      </c>
      <c r="Q13" s="16">
        <f>VLOOKUP($D13,Résultats!$B$2:$AX$476,Q$5,FALSE)</f>
        <v>5.6757081850000004</v>
      </c>
      <c r="R13" s="16">
        <f>VLOOKUP($D13,Résultats!$B$2:$AX$476,R$5,FALSE)</f>
        <v>4.8113092440000003</v>
      </c>
      <c r="S13" s="86">
        <f>VLOOKUP($D13,Résultats!$B$2:$AX$476,S$5,FALSE)</f>
        <v>4.0130311289999998</v>
      </c>
      <c r="T13" s="95">
        <f>VLOOKUP($D13,Résultats!$B$2:$AX$476,T$5,FALSE)</f>
        <v>2.331652756</v>
      </c>
      <c r="U13" s="95">
        <f>VLOOKUP($D13,Résultats!$B$2:$AX$476,U$5,FALSE)</f>
        <v>0.1020235956</v>
      </c>
      <c r="V13" s="95">
        <f>VLOOKUP($D13,Résultats!$B$2:$AX$476,V$5,FALSE)</f>
        <v>9.7671798099999999E-2</v>
      </c>
      <c r="W13" s="95">
        <f>VLOOKUP($D13,Résultats!$B$2:$AX$476,W$5,FALSE)</f>
        <v>9.3439726400000006E-2</v>
      </c>
      <c r="X13" s="45">
        <f>W13-'[1]Cibles THREEME'!$H12</f>
        <v>-2.1994808812239603</v>
      </c>
      <c r="Y13" s="75"/>
    </row>
    <row r="14" spans="1:29" x14ac:dyDescent="0.25">
      <c r="A14" s="3"/>
      <c r="B14" s="319"/>
      <c r="C14" s="3" t="s">
        <v>8</v>
      </c>
      <c r="D14" s="3" t="s">
        <v>361</v>
      </c>
      <c r="E14" s="16">
        <f>VLOOKUP($D14,Résultats!$B$2:$AX$476,E$5,FALSE)</f>
        <v>5.2639753090000001</v>
      </c>
      <c r="F14" s="16">
        <f>VLOOKUP($D14,Résultats!$B$2:$AX$476,F$5,FALSE)</f>
        <v>3.2514280690000001</v>
      </c>
      <c r="G14" s="22">
        <f>VLOOKUP($D14,Résultats!$B$2:$AX$476,G$5,FALSE)</f>
        <v>1.8529529490000001</v>
      </c>
      <c r="H14" s="16">
        <f>VLOOKUP($D14,Résultats!$B$2:$AX$476,H$5,FALSE)</f>
        <v>1.377836367</v>
      </c>
      <c r="I14" s="86">
        <f>VLOOKUP($D14,Résultats!$B$2:$AX$476,I$5,FALSE)</f>
        <v>0.90408457389999997</v>
      </c>
      <c r="J14" s="22">
        <f>VLOOKUP($D14,Résultats!$B$2:$AX$476,J$5,FALSE)</f>
        <v>0.85619900270000004</v>
      </c>
      <c r="K14" s="16">
        <f>VLOOKUP($D14,Résultats!$B$2:$AX$476,K$5,FALSE)</f>
        <v>0.81148929810000003</v>
      </c>
      <c r="L14" s="16">
        <f>VLOOKUP($D14,Résultats!$B$2:$AX$476,L$5,FALSE)</f>
        <v>0.75781517499999995</v>
      </c>
      <c r="M14" s="16">
        <f>VLOOKUP($D14,Résultats!$B$2:$AX$476,M$5,FALSE)</f>
        <v>0.32837249590000001</v>
      </c>
      <c r="N14" s="86">
        <f>VLOOKUP($D14,Résultats!$B$2:$AX$476,N$5,FALSE)</f>
        <v>6.4110887399999997E-2</v>
      </c>
      <c r="O14" s="22">
        <f>VLOOKUP($D14,Résultats!$B$2:$AX$476,O$5,FALSE)</f>
        <v>4.8338451999999997E-2</v>
      </c>
      <c r="P14" s="16">
        <f>VLOOKUP($D14,Résultats!$B$2:$AX$476,P$5,FALSE)</f>
        <v>3.3396531799999997E-2</v>
      </c>
      <c r="Q14" s="16">
        <f>VLOOKUP($D14,Résultats!$B$2:$AX$476,Q$5,FALSE)</f>
        <v>1.93628445E-2</v>
      </c>
      <c r="R14" s="16">
        <f>VLOOKUP($D14,Résultats!$B$2:$AX$476,R$5,FALSE)</f>
        <v>1.85920025E-2</v>
      </c>
      <c r="S14" s="86">
        <f>VLOOKUP($D14,Résultats!$B$2:$AX$476,S$5,FALSE)</f>
        <v>1.7847960699999998E-2</v>
      </c>
      <c r="T14" s="95">
        <f>VLOOKUP($D14,Résultats!$B$2:$AX$476,T$5,FALSE)</f>
        <v>7.6538956300000001E-3</v>
      </c>
      <c r="U14" s="95">
        <f>VLOOKUP($D14,Résultats!$B$2:$AX$476,U$5,FALSE)</f>
        <v>7.2721509600000003E-3</v>
      </c>
      <c r="V14" s="95">
        <f>VLOOKUP($D14,Résultats!$B$2:$AX$476,V$5,FALSE)</f>
        <v>6.9524497999999997E-3</v>
      </c>
      <c r="W14" s="95">
        <f>VLOOKUP($D14,Résultats!$B$2:$AX$476,W$5,FALSE)</f>
        <v>6.6557382199999996E-3</v>
      </c>
      <c r="X14" s="45">
        <f>W14-'[1]Cibles THREEME'!$H13</f>
        <v>6.6557382199999996E-3</v>
      </c>
      <c r="Y14" s="75"/>
    </row>
    <row r="15" spans="1:29" x14ac:dyDescent="0.25">
      <c r="A15" s="3"/>
      <c r="B15" s="319"/>
      <c r="C15" s="3" t="s">
        <v>9</v>
      </c>
      <c r="D15" s="3" t="s">
        <v>362</v>
      </c>
      <c r="E15" s="16">
        <f>VLOOKUP($D15,Résultats!$B$2:$AX$476,E$5,FALSE)</f>
        <v>0.36837997</v>
      </c>
      <c r="F15" s="16">
        <f>VLOOKUP($D15,Résultats!$B$2:$AX$476,F$5,FALSE)</f>
        <v>2.4897205549999999</v>
      </c>
      <c r="G15" s="22">
        <f>VLOOKUP($D15,Résultats!$B$2:$AX$476,G$5,FALSE)</f>
        <v>3.2096787830000002</v>
      </c>
      <c r="H15" s="16">
        <f>VLOOKUP($D15,Résultats!$B$2:$AX$476,H$5,FALSE)</f>
        <v>3.4444913389999998</v>
      </c>
      <c r="I15" s="86">
        <f>VLOOKUP($D15,Résultats!$B$2:$AX$476,I$5,FALSE)</f>
        <v>3.6813524549999999</v>
      </c>
      <c r="J15" s="22">
        <f>VLOOKUP($D15,Résultats!$B$2:$AX$476,J$5,FALSE)</f>
        <v>3.8238661129999998</v>
      </c>
      <c r="K15" s="16">
        <f>VLOOKUP($D15,Résultats!$B$2:$AX$476,K$5,FALSE)</f>
        <v>3.9779037939999999</v>
      </c>
      <c r="L15" s="16">
        <f>VLOOKUP($D15,Résultats!$B$2:$AX$476,L$5,FALSE)</f>
        <v>4.0821844660000002</v>
      </c>
      <c r="M15" s="16">
        <f>VLOOKUP($D15,Résultats!$B$2:$AX$476,M$5,FALSE)</f>
        <v>4.7668471610000003</v>
      </c>
      <c r="N15" s="86">
        <f>VLOOKUP($D15,Résultats!$B$2:$AX$476,N$5,FALSE)</f>
        <v>5.4056756359999998</v>
      </c>
      <c r="O15" s="22">
        <f>VLOOKUP($D15,Résultats!$B$2:$AX$476,O$5,FALSE)</f>
        <v>5.6018032289999997</v>
      </c>
      <c r="P15" s="16">
        <f>VLOOKUP($D15,Résultats!$B$2:$AX$476,P$5,FALSE)</f>
        <v>5.7682249130000001</v>
      </c>
      <c r="Q15" s="16">
        <f>VLOOKUP($D15,Résultats!$B$2:$AX$476,Q$5,FALSE)</f>
        <v>5.9122401699999996</v>
      </c>
      <c r="R15" s="16">
        <f>VLOOKUP($D15,Résultats!$B$2:$AX$476,R$5,FALSE)</f>
        <v>6.0482364779999997</v>
      </c>
      <c r="S15" s="86">
        <f>VLOOKUP($D15,Résultats!$B$2:$AX$476,S$5,FALSE)</f>
        <v>6.1629952230000002</v>
      </c>
      <c r="T15" s="95">
        <f>VLOOKUP($D15,Résultats!$B$2:$AX$476,T$5,FALSE)</f>
        <v>8.7212872099999998</v>
      </c>
      <c r="U15" s="95">
        <f>VLOOKUP($D15,Résultats!$B$2:$AX$476,U$5,FALSE)</f>
        <v>10.85781624</v>
      </c>
      <c r="V15" s="95">
        <f>VLOOKUP($D15,Résultats!$B$2:$AX$476,V$5,FALSE)</f>
        <v>13.235656369999999</v>
      </c>
      <c r="W15" s="95">
        <f>VLOOKUP($D15,Résultats!$B$2:$AX$476,W$5,FALSE)</f>
        <v>15.61043198</v>
      </c>
      <c r="X15" s="45">
        <f>W15-'[1]Cibles THREEME'!$H14</f>
        <v>-2.1625688798452263</v>
      </c>
      <c r="Y15" s="75"/>
    </row>
    <row r="16" spans="1:29" x14ac:dyDescent="0.25">
      <c r="A16" s="3"/>
      <c r="B16" s="319"/>
      <c r="C16" s="3" t="s">
        <v>10</v>
      </c>
      <c r="D16" s="3" t="s">
        <v>363</v>
      </c>
      <c r="E16" s="16">
        <f>VLOOKUP($D16,Résultats!$B$2:$AX$476,E$5,FALSE)</f>
        <v>8.2885493300000002E-2</v>
      </c>
      <c r="F16" s="16">
        <f>VLOOKUP($D16,Résultats!$B$2:$AX$476,F$5,FALSE)</f>
        <v>1.0972326160000001</v>
      </c>
      <c r="G16" s="22">
        <f>VLOOKUP($D16,Résultats!$B$2:$AX$476,G$5,FALSE)</f>
        <v>1.4145219</v>
      </c>
      <c r="H16" s="16">
        <f>VLOOKUP($D16,Résultats!$B$2:$AX$476,H$5,FALSE)</f>
        <v>1.518004997</v>
      </c>
      <c r="I16" s="86">
        <f>VLOOKUP($D16,Résultats!$B$2:$AX$476,I$5,FALSE)</f>
        <v>1.6223909059999999</v>
      </c>
      <c r="J16" s="22">
        <f>VLOOKUP($D16,Résultats!$B$2:$AX$476,J$5,FALSE)</f>
        <v>1.662036214</v>
      </c>
      <c r="K16" s="16">
        <f>VLOOKUP($D16,Résultats!$B$2:$AX$476,K$5,FALSE)</f>
        <v>1.706935954</v>
      </c>
      <c r="L16" s="16">
        <f>VLOOKUP($D16,Résultats!$B$2:$AX$476,L$5,FALSE)</f>
        <v>1.730892466</v>
      </c>
      <c r="M16" s="16">
        <f>VLOOKUP($D16,Résultats!$B$2:$AX$476,M$5,FALSE)</f>
        <v>2.3241472270000001</v>
      </c>
      <c r="N16" s="86">
        <f>VLOOKUP($D16,Résultats!$B$2:$AX$476,N$5,FALSE)</f>
        <v>2.923711908</v>
      </c>
      <c r="O16" s="22">
        <f>VLOOKUP($D16,Résultats!$B$2:$AX$476,O$5,FALSE)</f>
        <v>3.4626524600000002</v>
      </c>
      <c r="P16" s="16">
        <f>VLOOKUP($D16,Résultats!$B$2:$AX$476,P$5,FALSE)</f>
        <v>3.957453186</v>
      </c>
      <c r="Q16" s="16">
        <f>VLOOKUP($D16,Résultats!$B$2:$AX$476,Q$5,FALSE)</f>
        <v>4.41225194</v>
      </c>
      <c r="R16" s="16">
        <f>VLOOKUP($D16,Résultats!$B$2:$AX$476,R$5,FALSE)</f>
        <v>4.8552228639999999</v>
      </c>
      <c r="S16" s="86">
        <f>VLOOKUP($D16,Résultats!$B$2:$AX$476,S$5,FALSE)</f>
        <v>5.2552931989999996</v>
      </c>
      <c r="T16" s="95">
        <f>VLOOKUP($D16,Résultats!$B$2:$AX$476,T$5,FALSE)</f>
        <v>5.8433310020000002</v>
      </c>
      <c r="U16" s="95">
        <f>VLOOKUP($D16,Résultats!$B$2:$AX$476,U$5,FALSE)</f>
        <v>7.0984711709999999</v>
      </c>
      <c r="V16" s="95">
        <f>VLOOKUP($D16,Résultats!$B$2:$AX$476,V$5,FALSE)</f>
        <v>8.5215110149999997</v>
      </c>
      <c r="W16" s="95">
        <f>VLOOKUP($D16,Résultats!$B$2:$AX$476,W$5,FALSE)</f>
        <v>9.9506049349999994</v>
      </c>
      <c r="X16" s="45">
        <f>W16-'[1]Cibles THREEME'!$H17</f>
        <v>-0.53950684487962164</v>
      </c>
      <c r="Y16" s="75"/>
    </row>
    <row r="17" spans="1:39" x14ac:dyDescent="0.25">
      <c r="A17" s="3"/>
      <c r="B17" s="319"/>
      <c r="C17" s="3" t="s">
        <v>11</v>
      </c>
      <c r="D17" s="3" t="s">
        <v>364</v>
      </c>
      <c r="E17" s="16">
        <f>VLOOKUP($D17,Résultats!$B$2:$AX$476,E$5,FALSE)</f>
        <v>4.6467108430000001</v>
      </c>
      <c r="F17" s="16">
        <f>VLOOKUP($D17,Résultats!$B$2:$AX$476,F$5,FALSE)</f>
        <v>3.2481480450000002</v>
      </c>
      <c r="G17" s="22">
        <f>VLOOKUP($D17,Résultats!$B$2:$AX$476,G$5,FALSE)</f>
        <v>4.2041546280000004</v>
      </c>
      <c r="H17" s="16">
        <f>VLOOKUP($D17,Résultats!$B$2:$AX$476,H$5,FALSE)</f>
        <v>4.5176746809999999</v>
      </c>
      <c r="I17" s="86">
        <f>VLOOKUP($D17,Résultats!$B$2:$AX$476,I$5,FALSE)</f>
        <v>4.834680187</v>
      </c>
      <c r="J17" s="22">
        <f>VLOOKUP($D17,Résultats!$B$2:$AX$476,J$5,FALSE)</f>
        <v>5.0013528770000004</v>
      </c>
      <c r="K17" s="16">
        <f>VLOOKUP($D17,Résultats!$B$2:$AX$476,K$5,FALSE)</f>
        <v>5.1835618969999997</v>
      </c>
      <c r="L17" s="16">
        <f>VLOOKUP($D17,Résultats!$B$2:$AX$476,L$5,FALSE)</f>
        <v>5.3015315440000004</v>
      </c>
      <c r="M17" s="16">
        <f>VLOOKUP($D17,Résultats!$B$2:$AX$476,M$5,FALSE)</f>
        <v>5.1943991880000002</v>
      </c>
      <c r="N17" s="86">
        <f>VLOOKUP($D17,Résultats!$B$2:$AX$476,N$5,FALSE)</f>
        <v>4.9447986459999997</v>
      </c>
      <c r="O17" s="22">
        <f>VLOOKUP($D17,Résultats!$B$2:$AX$476,O$5,FALSE)</f>
        <v>4.8611857570000003</v>
      </c>
      <c r="P17" s="16">
        <f>VLOOKUP($D17,Résultats!$B$2:$AX$476,P$5,FALSE)</f>
        <v>4.7672024669999997</v>
      </c>
      <c r="Q17" s="16">
        <f>VLOOKUP($D17,Résultats!$B$2:$AX$476,Q$5,FALSE)</f>
        <v>4.6694363440000002</v>
      </c>
      <c r="R17" s="16">
        <f>VLOOKUP($D17,Résultats!$B$2:$AX$476,R$5,FALSE)</f>
        <v>4.5675950849999998</v>
      </c>
      <c r="S17" s="86">
        <f>VLOOKUP($D17,Résultats!$B$2:$AX$476,S$5,FALSE)</f>
        <v>4.4651981259999998</v>
      </c>
      <c r="T17" s="95">
        <f>VLOOKUP($D17,Résultats!$B$2:$AX$476,T$5,FALSE)</f>
        <v>3.3598839069999999</v>
      </c>
      <c r="U17" s="95">
        <f>VLOOKUP($D17,Résultats!$B$2:$AX$476,U$5,FALSE)</f>
        <v>3.0861382019999999</v>
      </c>
      <c r="V17" s="95">
        <f>VLOOKUP($D17,Résultats!$B$2:$AX$476,V$5,FALSE)</f>
        <v>2.9755219020000001</v>
      </c>
      <c r="W17" s="95">
        <f>VLOOKUP($D17,Résultats!$B$2:$AX$476,W$5,FALSE)</f>
        <v>2.9067620289999998</v>
      </c>
      <c r="X17" s="45">
        <f>W17-'[1]Cibles THREEME'!$H18</f>
        <v>-2.5532551679045565</v>
      </c>
      <c r="Y17" s="75"/>
    </row>
    <row r="18" spans="1:39" x14ac:dyDescent="0.25">
      <c r="A18" s="3"/>
      <c r="B18" s="320"/>
      <c r="C18" s="7" t="s">
        <v>12</v>
      </c>
      <c r="D18" s="3" t="s">
        <v>365</v>
      </c>
      <c r="E18" s="17">
        <f>VLOOKUP($D18,Résultats!$B$2:$AX$476,E$5,FALSE)</f>
        <v>1.4697215290000001</v>
      </c>
      <c r="F18" s="17">
        <f>VLOOKUP($D18,Résultats!$B$2:$AX$476,F$5,FALSE)</f>
        <v>3.8626804699999999</v>
      </c>
      <c r="G18" s="88">
        <f>VLOOKUP($D18,Résultats!$B$2:$AX$476,G$5,FALSE)</f>
        <v>3.138712334</v>
      </c>
      <c r="H18" s="17">
        <f>VLOOKUP($D18,Résultats!$B$2:$AX$476,H$5,FALSE)</f>
        <v>2.8857033740000002</v>
      </c>
      <c r="I18" s="89">
        <f>VLOOKUP($D18,Résultats!$B$2:$AX$476,I$5,FALSE)</f>
        <v>2.633864424</v>
      </c>
      <c r="J18" s="88">
        <f>VLOOKUP($D18,Résultats!$B$2:$AX$476,J$5,FALSE)</f>
        <v>2.7477100229999998</v>
      </c>
      <c r="K18" s="17">
        <f>VLOOKUP($D18,Résultats!$B$2:$AX$476,K$5,FALSE)</f>
        <v>2.8705582700000001</v>
      </c>
      <c r="L18" s="17">
        <f>VLOOKUP($D18,Résultats!$B$2:$AX$476,L$5,FALSE)</f>
        <v>2.9581091239999999</v>
      </c>
      <c r="M18" s="17">
        <f>VLOOKUP($D18,Résultats!$B$2:$AX$476,M$5,FALSE)</f>
        <v>3.0065843289999998</v>
      </c>
      <c r="N18" s="89">
        <f>VLOOKUP($D18,Résultats!$B$2:$AX$476,N$5,FALSE)</f>
        <v>2.6875879839999999</v>
      </c>
      <c r="O18" s="88">
        <f>VLOOKUP($D18,Résultats!$B$2:$AX$476,O$5,FALSE)</f>
        <v>2.5558014550000001</v>
      </c>
      <c r="P18" s="17">
        <f>VLOOKUP($D18,Résultats!$B$2:$AX$476,P$5,FALSE)</f>
        <v>2.4241943930000001</v>
      </c>
      <c r="Q18" s="17">
        <f>VLOOKUP($D18,Résultats!$B$2:$AX$476,Q$5,FALSE)</f>
        <v>2.2962875249999999</v>
      </c>
      <c r="R18" s="17">
        <f>VLOOKUP($D18,Résultats!$B$2:$AX$476,R$5,FALSE)</f>
        <v>2.1828669590000001</v>
      </c>
      <c r="S18" s="89">
        <f>VLOOKUP($D18,Résultats!$B$2:$AX$476,S$5,FALSE)</f>
        <v>2.074482723</v>
      </c>
      <c r="T18" s="97">
        <f>VLOOKUP($D18,Résultats!$B$2:$AX$476,T$5,FALSE)</f>
        <v>2.0843223370000001</v>
      </c>
      <c r="U18" s="97">
        <f>VLOOKUP($D18,Résultats!$B$2:$AX$476,U$5,FALSE)</f>
        <v>2.281987462</v>
      </c>
      <c r="V18" s="97">
        <f>VLOOKUP($D18,Résultats!$B$2:$AX$476,V$5,FALSE)</f>
        <v>2.2667912120000002</v>
      </c>
      <c r="W18" s="97">
        <f>VLOOKUP($D18,Résultats!$B$2:$AX$476,W$5,FALSE)</f>
        <v>2.1858035509999998</v>
      </c>
      <c r="X18" s="45">
        <f>W18-'[1]Cibles THREEME'!$H19</f>
        <v>1.0236765373695176</v>
      </c>
      <c r="Y18" s="75"/>
    </row>
    <row r="19" spans="1:39" ht="15" customHeight="1" x14ac:dyDescent="0.25">
      <c r="A19" s="3"/>
      <c r="B19" s="318" t="s">
        <v>53</v>
      </c>
      <c r="C19" s="5" t="s">
        <v>1</v>
      </c>
      <c r="D19" s="2"/>
      <c r="E19" s="6">
        <f>SUM(E20:E25)</f>
        <v>38.5161868498</v>
      </c>
      <c r="F19" s="6">
        <f>SUM(F20:F25)</f>
        <v>42.997828279800004</v>
      </c>
      <c r="G19" s="84">
        <f t="shared" ref="G19:R19" si="3">SUM(G20:G25)</f>
        <v>42.633083982800002</v>
      </c>
      <c r="H19" s="6">
        <f t="shared" si="3"/>
        <v>41.476521123199994</v>
      </c>
      <c r="I19" s="85">
        <f t="shared" si="3"/>
        <v>40.917211761200001</v>
      </c>
      <c r="J19" s="84">
        <f t="shared" si="3"/>
        <v>40.612237104499997</v>
      </c>
      <c r="K19" s="6">
        <f t="shared" si="3"/>
        <v>40.6408889888</v>
      </c>
      <c r="L19" s="6">
        <f t="shared" si="3"/>
        <v>41.2836859473</v>
      </c>
      <c r="M19" s="6">
        <f t="shared" si="3"/>
        <v>40.529984664099999</v>
      </c>
      <c r="N19" s="85">
        <f t="shared" si="3"/>
        <v>40.014768424799996</v>
      </c>
      <c r="O19" s="84">
        <f t="shared" si="3"/>
        <v>39.281525365399993</v>
      </c>
      <c r="P19" s="6">
        <f t="shared" si="3"/>
        <v>38.631324108999998</v>
      </c>
      <c r="Q19" s="6">
        <f t="shared" si="3"/>
        <v>37.922842074000002</v>
      </c>
      <c r="R19" s="6">
        <f t="shared" si="3"/>
        <v>36.661508505999997</v>
      </c>
      <c r="S19" s="85">
        <f>SUM(S20:S25)</f>
        <v>35.421291881000002</v>
      </c>
      <c r="T19" s="94">
        <f>SUM(T20:T25)</f>
        <v>32.747534852999998</v>
      </c>
      <c r="U19" s="94">
        <f>SUM(U20:U25)</f>
        <v>30.462429489999998</v>
      </c>
      <c r="V19" s="94">
        <f>SUM(V20:V25)</f>
        <v>30.095958244000002</v>
      </c>
      <c r="W19" s="94">
        <f>SUM(W20:W25)</f>
        <v>28.256863341799999</v>
      </c>
      <c r="X19" s="3"/>
      <c r="Y19" s="75"/>
    </row>
    <row r="20" spans="1:39" x14ac:dyDescent="0.25">
      <c r="A20" s="3"/>
      <c r="B20" s="319"/>
      <c r="C20" s="3" t="s">
        <v>13</v>
      </c>
      <c r="D20" s="3" t="s">
        <v>366</v>
      </c>
      <c r="E20" s="16">
        <f>VLOOKUP($D20,Résultats!$B$2:$AX$476,E$5,FALSE)</f>
        <v>35.359287170000002</v>
      </c>
      <c r="F20" s="16">
        <f>VLOOKUP($D20,Résultats!$B$2:$AX$476,F$5,FALSE)</f>
        <v>30.260420450000002</v>
      </c>
      <c r="G20" s="22">
        <f>VLOOKUP($D20,Résultats!$B$2:$AX$476,G$5,FALSE)</f>
        <v>29.510197439999999</v>
      </c>
      <c r="H20" s="16">
        <f>VLOOKUP($D20,Résultats!$B$2:$AX$476,H$5,FALSE)</f>
        <v>28.574227140000001</v>
      </c>
      <c r="I20" s="86">
        <f>VLOOKUP($D20,Résultats!$B$2:$AX$476,I$5,FALSE)</f>
        <v>28.0672383</v>
      </c>
      <c r="J20" s="22">
        <f>VLOOKUP($D20,Résultats!$B$2:$AX$476,J$5,FALSE)</f>
        <v>26.747603300000002</v>
      </c>
      <c r="K20" s="16">
        <f>VLOOKUP($D20,Résultats!$B$2:$AX$476,K$5,FALSE)</f>
        <v>25.62705498</v>
      </c>
      <c r="L20" s="16">
        <f>VLOOKUP($D20,Résultats!$B$2:$AX$476,L$5,FALSE)</f>
        <v>24.596643199999999</v>
      </c>
      <c r="M20" s="16">
        <f>VLOOKUP($D20,Résultats!$B$2:$AX$476,M$5,FALSE)</f>
        <v>23.368721879999999</v>
      </c>
      <c r="N20" s="86">
        <f>VLOOKUP($D20,Résultats!$B$2:$AX$476,N$5,FALSE)</f>
        <v>22.093092899999998</v>
      </c>
      <c r="O20" s="22">
        <f>VLOOKUP($D20,Résultats!$B$2:$AX$476,O$5,FALSE)</f>
        <v>20.475125169999998</v>
      </c>
      <c r="P20" s="16">
        <f>VLOOKUP($D20,Résultats!$B$2:$AX$476,P$5,FALSE)</f>
        <v>18.970498970000001</v>
      </c>
      <c r="Q20" s="16">
        <f>VLOOKUP($D20,Résultats!$B$2:$AX$476,Q$5,FALSE)</f>
        <v>17.502255649999999</v>
      </c>
      <c r="R20" s="16">
        <f>VLOOKUP($D20,Résultats!$B$2:$AX$476,R$5,FALSE)</f>
        <v>15.89589726</v>
      </c>
      <c r="S20" s="86">
        <f>VLOOKUP($D20,Résultats!$B$2:$AX$476,S$5,FALSE)</f>
        <v>14.40391383</v>
      </c>
      <c r="T20" s="95">
        <f>VLOOKUP($D20,Résultats!$B$2:$AX$476,T$5,FALSE)</f>
        <v>8.6397599120000006</v>
      </c>
      <c r="U20" s="95">
        <f>VLOOKUP($D20,Résultats!$B$2:$AX$476,U$5,FALSE)</f>
        <v>7.6653838529999998</v>
      </c>
      <c r="V20" s="95">
        <f>VLOOKUP($D20,Résultats!$B$2:$AX$476,V$5,FALSE)</f>
        <v>3.2315638180000001</v>
      </c>
      <c r="W20" s="95">
        <f>VLOOKUP($D20,Résultats!$B$2:$AX$476,W$5,FALSE)</f>
        <v>4.2602682429999996</v>
      </c>
      <c r="X20" s="45">
        <f>W20-'[1]Cibles THREEME'!$H28</f>
        <v>-1.1785144865594583</v>
      </c>
      <c r="Y20" s="75"/>
    </row>
    <row r="21" spans="1:39" x14ac:dyDescent="0.25">
      <c r="A21" s="3"/>
      <c r="B21" s="319"/>
      <c r="C21" s="3" t="s">
        <v>14</v>
      </c>
      <c r="D21" s="3" t="s">
        <v>367</v>
      </c>
      <c r="E21" s="16">
        <f>VLOOKUP($D21,Résultats!$B$2:$AX$476,E$5,FALSE)</f>
        <v>1.6086113019999999</v>
      </c>
      <c r="F21" s="16">
        <f>VLOOKUP($D21,Résultats!$B$2:$AX$476,F$5,FALSE)</f>
        <v>7.6515735879999998</v>
      </c>
      <c r="G21" s="22">
        <f>VLOOKUP($D21,Résultats!$B$2:$AX$476,G$5,FALSE)</f>
        <v>7.8757711019999999</v>
      </c>
      <c r="H21" s="16">
        <f>VLOOKUP($D21,Résultats!$B$2:$AX$476,H$5,FALSE)</f>
        <v>7.7624678170000001</v>
      </c>
      <c r="I21" s="86">
        <f>VLOOKUP($D21,Résultats!$B$2:$AX$476,I$5,FALSE)</f>
        <v>7.7602649560000003</v>
      </c>
      <c r="J21" s="22">
        <f>VLOOKUP($D21,Résultats!$B$2:$AX$476,J$5,FALSE)</f>
        <v>7.9157729909999999</v>
      </c>
      <c r="K21" s="16">
        <f>VLOOKUP($D21,Résultats!$B$2:$AX$476,K$5,FALSE)</f>
        <v>8.1403051840000007</v>
      </c>
      <c r="L21" s="16">
        <f>VLOOKUP($D21,Résultats!$B$2:$AX$476,L$5,FALSE)</f>
        <v>8.7073717209999995</v>
      </c>
      <c r="M21" s="16">
        <f>VLOOKUP($D21,Résultats!$B$2:$AX$476,M$5,FALSE)</f>
        <v>8.6242967650000004</v>
      </c>
      <c r="N21" s="86">
        <f>VLOOKUP($D21,Résultats!$B$2:$AX$476,N$5,FALSE)</f>
        <v>8.7965743249999999</v>
      </c>
      <c r="O21" s="22">
        <f>VLOOKUP($D21,Résultats!$B$2:$AX$476,O$5,FALSE)</f>
        <v>8.7359578219999996</v>
      </c>
      <c r="P21" s="16">
        <f>VLOOKUP($D21,Résultats!$B$2:$AX$476,P$5,FALSE)</f>
        <v>8.6936005089999995</v>
      </c>
      <c r="Q21" s="16">
        <f>VLOOKUP($D21,Résultats!$B$2:$AX$476,Q$5,FALSE)</f>
        <v>8.6407837740000009</v>
      </c>
      <c r="R21" s="16">
        <f>VLOOKUP($D21,Résultats!$B$2:$AX$476,R$5,FALSE)</f>
        <v>8.5496918389999994</v>
      </c>
      <c r="S21" s="86">
        <f>VLOOKUP($D21,Résultats!$B$2:$AX$476,S$5,FALSE)</f>
        <v>8.4591340440000007</v>
      </c>
      <c r="T21" s="95">
        <f>VLOOKUP($D21,Résultats!$B$2:$AX$476,T$5,FALSE)</f>
        <v>9.3497584949999997</v>
      </c>
      <c r="U21" s="95">
        <f>VLOOKUP($D21,Résultats!$B$2:$AX$476,U$5,FALSE)</f>
        <v>7.2414022649999996</v>
      </c>
      <c r="V21" s="95">
        <f>VLOOKUP($D21,Résultats!$B$2:$AX$476,V$5,FALSE)</f>
        <v>9.7036500199999995</v>
      </c>
      <c r="W21" s="95">
        <f>VLOOKUP($D21,Résultats!$B$2:$AX$476,W$5,FALSE)</f>
        <v>7.1187187549999997</v>
      </c>
      <c r="X21" s="45">
        <f>W21-'[1]Cibles THREEME'!$H29</f>
        <v>-4.7924670806686684</v>
      </c>
      <c r="Y21" s="75"/>
    </row>
    <row r="22" spans="1:39" x14ac:dyDescent="0.25">
      <c r="A22" s="3"/>
      <c r="B22" s="319"/>
      <c r="C22" s="3" t="s">
        <v>15</v>
      </c>
      <c r="D22" s="3" t="s">
        <v>368</v>
      </c>
      <c r="E22" s="16">
        <f>VLOOKUP($D22,Résultats!$B$2:$AX$476,E$5,FALSE)</f>
        <v>0.20107641270000001</v>
      </c>
      <c r="F22" s="16">
        <f>VLOOKUP($D22,Résultats!$B$2:$AX$476,F$5,FALSE)</f>
        <v>0.126162897</v>
      </c>
      <c r="G22" s="22">
        <f>VLOOKUP($D22,Résultats!$B$2:$AX$476,G$5,FALSE)</f>
        <v>0.31899669580000001</v>
      </c>
      <c r="H22" s="16">
        <f>VLOOKUP($D22,Résultats!$B$2:$AX$476,H$5,FALSE)</f>
        <v>0.37361138500000002</v>
      </c>
      <c r="I22" s="86">
        <f>VLOOKUP($D22,Résultats!$B$2:$AX$476,I$5,FALSE)</f>
        <v>0.43131102980000002</v>
      </c>
      <c r="J22" s="22">
        <f>VLOOKUP($D22,Résultats!$B$2:$AX$476,J$5,FALSE)</f>
        <v>0.66939360349999999</v>
      </c>
      <c r="K22" s="16">
        <f>VLOOKUP($D22,Résultats!$B$2:$AX$476,K$5,FALSE)</f>
        <v>0.91769333620000004</v>
      </c>
      <c r="L22" s="16">
        <f>VLOOKUP($D22,Résultats!$B$2:$AX$476,L$5,FALSE)</f>
        <v>1.2027047749999999</v>
      </c>
      <c r="M22" s="16">
        <f>VLOOKUP($D22,Résultats!$B$2:$AX$476,M$5,FALSE)</f>
        <v>1.1846809949999999</v>
      </c>
      <c r="N22" s="86">
        <f>VLOOKUP($D22,Résultats!$B$2:$AX$476,N$5,FALSE)</f>
        <v>1.1954554529999999</v>
      </c>
      <c r="O22" s="22">
        <f>VLOOKUP($D22,Résultats!$B$2:$AX$476,O$5,FALSE)</f>
        <v>1.531484445</v>
      </c>
      <c r="P22" s="16">
        <f>VLOOKUP($D22,Résultats!$B$2:$AX$476,P$5,FALSE)</f>
        <v>1.8487177459999999</v>
      </c>
      <c r="Q22" s="16">
        <f>VLOOKUP($D22,Résultats!$B$2:$AX$476,Q$5,FALSE)</f>
        <v>2.1418590279999998</v>
      </c>
      <c r="R22" s="16">
        <f>VLOOKUP($D22,Résultats!$B$2:$AX$476,R$5,FALSE)</f>
        <v>2.3435204089999999</v>
      </c>
      <c r="S22" s="86">
        <f>VLOOKUP($D22,Résultats!$B$2:$AX$476,S$5,FALSE)</f>
        <v>2.5138025000000002</v>
      </c>
      <c r="T22" s="95">
        <f>VLOOKUP($D22,Résultats!$B$2:$AX$476,T$5,FALSE)</f>
        <v>2.8352758300000001</v>
      </c>
      <c r="U22" s="95">
        <f>VLOOKUP($D22,Résultats!$B$2:$AX$476,U$5,FALSE)</f>
        <v>3.4259734449999999</v>
      </c>
      <c r="V22" s="95">
        <f>VLOOKUP($D22,Résultats!$B$2:$AX$476,V$5,FALSE)</f>
        <v>3.7123199570000001</v>
      </c>
      <c r="W22" s="95">
        <f>VLOOKUP($D22,Résultats!$B$2:$AX$476,W$5,FALSE)</f>
        <v>4.3952708139999999</v>
      </c>
      <c r="X22" s="45">
        <f>W22-'[1]Cibles THREEME'!$H30</f>
        <v>-7.9303384985252716</v>
      </c>
      <c r="Y22" s="75"/>
      <c r="Z22" s="75"/>
      <c r="AA22" s="75"/>
    </row>
    <row r="23" spans="1:39" x14ac:dyDescent="0.25">
      <c r="A23" s="3"/>
      <c r="B23" s="319"/>
      <c r="C23" s="3" t="s">
        <v>16</v>
      </c>
      <c r="D23" s="3" t="s">
        <v>369</v>
      </c>
      <c r="E23" s="16">
        <f>VLOOKUP($D23,Résultats!$B$2:$AX$476,E$5,FALSE)</f>
        <v>0.74398272700000001</v>
      </c>
      <c r="F23" s="16">
        <f>VLOOKUP($D23,Résultats!$B$2:$AX$476,F$5,FALSE)</f>
        <v>0.67393803819999998</v>
      </c>
      <c r="G23" s="22">
        <f>VLOOKUP($D23,Résultats!$B$2:$AX$476,G$5,FALSE)</f>
        <v>1.3762058269999999</v>
      </c>
      <c r="H23" s="16">
        <f>VLOOKUP($D23,Résultats!$B$2:$AX$476,H$5,FALSE)</f>
        <v>1.5344096949999999</v>
      </c>
      <c r="I23" s="86">
        <f>VLOOKUP($D23,Résultats!$B$2:$AX$476,I$5,FALSE)</f>
        <v>1.6901653089999999</v>
      </c>
      <c r="J23" s="22">
        <f>VLOOKUP($D23,Résultats!$B$2:$AX$476,J$5,FALSE)</f>
        <v>1.735595091</v>
      </c>
      <c r="K23" s="16">
        <f>VLOOKUP($D23,Résultats!$B$2:$AX$476,K$5,FALSE)</f>
        <v>1.7955676199999999</v>
      </c>
      <c r="L23" s="16">
        <f>VLOOKUP($D23,Résultats!$B$2:$AX$476,L$5,FALSE)</f>
        <v>1.8906098140000001</v>
      </c>
      <c r="M23" s="16">
        <f>VLOOKUP($D23,Résultats!$B$2:$AX$476,M$5,FALSE)</f>
        <v>1.5033218189999999</v>
      </c>
      <c r="N23" s="86">
        <f>VLOOKUP($D23,Résultats!$B$2:$AX$476,N$5,FALSE)</f>
        <v>1.2098640060000001</v>
      </c>
      <c r="O23" s="22">
        <f>VLOOKUP($D23,Résultats!$B$2:$AX$476,O$5,FALSE)</f>
        <v>1.2830213989999999</v>
      </c>
      <c r="P23" s="16">
        <f>VLOOKUP($D23,Résultats!$B$2:$AX$476,P$5,FALSE)</f>
        <v>1.352581456</v>
      </c>
      <c r="Q23" s="16">
        <f>VLOOKUP($D23,Résultats!$B$2:$AX$476,Q$5,FALSE)</f>
        <v>1.414168203</v>
      </c>
      <c r="R23" s="16">
        <f>VLOOKUP($D23,Résultats!$B$2:$AX$476,R$5,FALSE)</f>
        <v>1.4853385379999999</v>
      </c>
      <c r="S23" s="86">
        <f>VLOOKUP($D23,Résultats!$B$2:$AX$476,S$5,FALSE)</f>
        <v>1.5439422279999999</v>
      </c>
      <c r="T23" s="95">
        <f>VLOOKUP($D23,Résultats!$B$2:$AX$476,T$5,FALSE)</f>
        <v>1.540594003</v>
      </c>
      <c r="U23" s="95">
        <f>VLOOKUP($D23,Résultats!$B$2:$AX$476,U$5,FALSE)</f>
        <v>1.061594546</v>
      </c>
      <c r="V23" s="95">
        <f>VLOOKUP($D23,Résultats!$B$2:$AX$476,V$5,FALSE)</f>
        <v>1.1707302879999999</v>
      </c>
      <c r="W23" s="95">
        <f>VLOOKUP($D23,Résultats!$B$2:$AX$476,W$5,FALSE)</f>
        <v>0.78746156479999996</v>
      </c>
      <c r="X23" s="45">
        <f>W23-'[1]Cibles THREEME'!$H31</f>
        <v>-4.058979207217206E-3</v>
      </c>
      <c r="Y23" s="75"/>
      <c r="Z23" s="75"/>
      <c r="AA23" s="75"/>
    </row>
    <row r="24" spans="1:39" x14ac:dyDescent="0.25">
      <c r="A24" s="3"/>
      <c r="B24" s="319"/>
      <c r="C24" s="3" t="s">
        <v>17</v>
      </c>
      <c r="D24" s="3" t="s">
        <v>370</v>
      </c>
      <c r="E24" s="16">
        <f>VLOOKUP($D24,Résultats!$B$2:$AX$476,E$5,FALSE)</f>
        <v>0.20107641270000001</v>
      </c>
      <c r="F24" s="16">
        <f>VLOOKUP($D24,Résultats!$B$2:$AX$476,F$5,FALSE)</f>
        <v>0.21930507660000001</v>
      </c>
      <c r="G24" s="22">
        <f>VLOOKUP($D24,Résultats!$B$2:$AX$476,G$5,FALSE)</f>
        <v>0.32157457</v>
      </c>
      <c r="H24" s="16">
        <f>VLOOKUP($D24,Résultats!$B$2:$AX$476,H$5,FALSE)</f>
        <v>0.34694937219999999</v>
      </c>
      <c r="I24" s="86">
        <f>VLOOKUP($D24,Résultats!$B$2:$AX$476,I$5,FALSE)</f>
        <v>0.37614345840000002</v>
      </c>
      <c r="J24" s="22">
        <f>VLOOKUP($D24,Résultats!$B$2:$AX$476,J$5,FALSE)</f>
        <v>0.44529717499999999</v>
      </c>
      <c r="K24" s="16">
        <f>VLOOKUP($D24,Résultats!$B$2:$AX$476,K$5,FALSE)</f>
        <v>0.5195101016</v>
      </c>
      <c r="L24" s="16">
        <f>VLOOKUP($D24,Résultats!$B$2:$AX$476,L$5,FALSE)</f>
        <v>0.62622009229999998</v>
      </c>
      <c r="M24" s="16">
        <f>VLOOKUP($D24,Résultats!$B$2:$AX$476,M$5,FALSE)</f>
        <v>0.74746721009999995</v>
      </c>
      <c r="N24" s="86">
        <f>VLOOKUP($D24,Résultats!$B$2:$AX$476,N$5,FALSE)</f>
        <v>0.8762405928</v>
      </c>
      <c r="O24" s="22">
        <f>VLOOKUP($D24,Résultats!$B$2:$AX$476,O$5,FALSE)</f>
        <v>0.95881707540000005</v>
      </c>
      <c r="P24" s="16">
        <f>VLOOKUP($D24,Résultats!$B$2:$AX$476,P$5,FALSE)</f>
        <v>1.0378068789999999</v>
      </c>
      <c r="Q24" s="16">
        <f>VLOOKUP($D24,Résultats!$B$2:$AX$476,Q$5,FALSE)</f>
        <v>1.1100196470000001</v>
      </c>
      <c r="R24" s="16">
        <f>VLOOKUP($D24,Résultats!$B$2:$AX$476,R$5,FALSE)</f>
        <v>1.1662235569999999</v>
      </c>
      <c r="S24" s="86">
        <f>VLOOKUP($D24,Résultats!$B$2:$AX$476,S$5,FALSE)</f>
        <v>1.213385924</v>
      </c>
      <c r="T24" s="95">
        <f>VLOOKUP($D24,Résultats!$B$2:$AX$476,T$5,FALSE)</f>
        <v>1.724628694</v>
      </c>
      <c r="U24" s="95">
        <f>VLOOKUP($D24,Résultats!$B$2:$AX$476,U$5,FALSE)</f>
        <v>1.6534336039999999</v>
      </c>
      <c r="V24" s="95">
        <f>VLOOKUP($D24,Résultats!$B$2:$AX$476,V$5,FALSE)</f>
        <v>1.9153591510000001</v>
      </c>
      <c r="W24" s="95">
        <f>VLOOKUP($D24,Résultats!$B$2:$AX$476,W$5,FALSE)</f>
        <v>1.6753616849999999</v>
      </c>
      <c r="X24" s="45">
        <f>W24-'[1]Cibles THREEME'!$H32</f>
        <v>1.4174081166423043</v>
      </c>
      <c r="Y24" s="75"/>
      <c r="Z24" s="75"/>
      <c r="AA24" s="75"/>
    </row>
    <row r="25" spans="1:39" x14ac:dyDescent="0.25">
      <c r="A25" s="3"/>
      <c r="B25" s="320"/>
      <c r="C25" s="7" t="s">
        <v>12</v>
      </c>
      <c r="D25" s="3" t="s">
        <v>371</v>
      </c>
      <c r="E25" s="17">
        <f>VLOOKUP($D25,Résultats!$B$2:$AX$476,E$5,FALSE)</f>
        <v>0.40215282540000002</v>
      </c>
      <c r="F25" s="17">
        <f>VLOOKUP($D25,Résultats!$B$2:$AX$476,F$5,FALSE)</f>
        <v>4.0664282299999996</v>
      </c>
      <c r="G25" s="88">
        <f>VLOOKUP($D25,Résultats!$B$2:$AX$476,G$5,FALSE)</f>
        <v>3.2303383480000001</v>
      </c>
      <c r="H25" s="17">
        <f>VLOOKUP($D25,Résultats!$B$2:$AX$476,H$5,FALSE)</f>
        <v>2.884855714</v>
      </c>
      <c r="I25" s="89">
        <f>VLOOKUP($D25,Résultats!$B$2:$AX$476,I$5,FALSE)</f>
        <v>2.5920887079999999</v>
      </c>
      <c r="J25" s="88">
        <f>VLOOKUP($D25,Résultats!$B$2:$AX$476,J$5,FALSE)</f>
        <v>3.0985749440000001</v>
      </c>
      <c r="K25" s="17">
        <f>VLOOKUP($D25,Résultats!$B$2:$AX$476,K$5,FALSE)</f>
        <v>3.6407577670000002</v>
      </c>
      <c r="L25" s="17">
        <f>VLOOKUP($D25,Résultats!$B$2:$AX$476,L$5,FALSE)</f>
        <v>4.2601363450000003</v>
      </c>
      <c r="M25" s="17">
        <f>VLOOKUP($D25,Résultats!$B$2:$AX$476,M$5,FALSE)</f>
        <v>5.1014959949999996</v>
      </c>
      <c r="N25" s="89">
        <f>VLOOKUP($D25,Résultats!$B$2:$AX$476,N$5,FALSE)</f>
        <v>5.8435411479999999</v>
      </c>
      <c r="O25" s="88">
        <f>VLOOKUP($D25,Résultats!$B$2:$AX$476,O$5,FALSE)</f>
        <v>6.2971194539999997</v>
      </c>
      <c r="P25" s="17">
        <f>VLOOKUP($D25,Résultats!$B$2:$AX$476,P$5,FALSE)</f>
        <v>6.7281185490000004</v>
      </c>
      <c r="Q25" s="17">
        <f>VLOOKUP($D25,Résultats!$B$2:$AX$476,Q$5,FALSE)</f>
        <v>7.1137557720000002</v>
      </c>
      <c r="R25" s="17">
        <f>VLOOKUP($D25,Résultats!$B$2:$AX$476,R$5,FALSE)</f>
        <v>7.2208369030000004</v>
      </c>
      <c r="S25" s="89">
        <f>VLOOKUP($D25,Résultats!$B$2:$AX$476,S$5,FALSE)</f>
        <v>7.2871133549999998</v>
      </c>
      <c r="T25" s="97">
        <f>VLOOKUP($D25,Résultats!$B$2:$AX$476,T$5,FALSE)</f>
        <v>8.657517919</v>
      </c>
      <c r="U25" s="97">
        <f>VLOOKUP($D25,Résultats!$B$2:$AX$476,U$5,FALSE)</f>
        <v>9.4146417769999999</v>
      </c>
      <c r="V25" s="97">
        <f>VLOOKUP($D25,Résultats!$B$2:$AX$476,V$5,FALSE)</f>
        <v>10.362335010000001</v>
      </c>
      <c r="W25" s="97">
        <f>VLOOKUP($D25,Résultats!$B$2:$AX$476,W$5,FALSE)</f>
        <v>10.019782279999999</v>
      </c>
      <c r="X25" s="45">
        <f>W25-'[1]Cibles THREEME'!$H33</f>
        <v>2.5386189370306091</v>
      </c>
      <c r="Y25" s="75"/>
      <c r="Z25" s="75"/>
      <c r="AA25" s="75"/>
    </row>
    <row r="26" spans="1:39" x14ac:dyDescent="0.25">
      <c r="A26" s="3"/>
      <c r="B26" s="170" t="s">
        <v>8</v>
      </c>
      <c r="C26" s="2"/>
      <c r="D26" s="14" t="s">
        <v>372</v>
      </c>
      <c r="E26" s="6">
        <f>VLOOKUP($D26,Résultats!$B$2:$AX$476,E$5,FALSE)</f>
        <v>5.7508898210000003</v>
      </c>
      <c r="F26" s="6">
        <f>VLOOKUP($D26,Résultats!$B$2:$AX$476,F$5,FALSE)</f>
        <v>4.218291958</v>
      </c>
      <c r="G26" s="84">
        <f>VLOOKUP($D26,Résultats!$B$2:$AX$476,G$5,FALSE)</f>
        <v>2.4530979660000001</v>
      </c>
      <c r="H26" s="6">
        <f>VLOOKUP($D26,Résultats!$B$2:$AX$476,H$5,FALSE)</f>
        <v>2.233237028</v>
      </c>
      <c r="I26" s="85">
        <f>VLOOKUP($D26,Résultats!$B$2:$AX$476,I$5,FALSE)</f>
        <v>2.0528116330000001</v>
      </c>
      <c r="J26" s="84">
        <f>VLOOKUP($D26,Résultats!$B$2:$AX$476,J$5,FALSE)</f>
        <v>1.996005144</v>
      </c>
      <c r="K26" s="6">
        <f>VLOOKUP($D26,Résultats!$B$2:$AX$476,K$5,FALSE)</f>
        <v>1.9712402710000001</v>
      </c>
      <c r="L26" s="6">
        <f>VLOOKUP($D26,Résultats!$B$2:$AX$476,L$5,FALSE)</f>
        <v>1.6733397619999999</v>
      </c>
      <c r="M26" s="6">
        <f>VLOOKUP($D26,Résultats!$B$2:$AX$476,M$5,FALSE)</f>
        <v>1.2805146000000001</v>
      </c>
      <c r="N26" s="85">
        <f>VLOOKUP($D26,Résultats!$B$2:$AX$476,N$5,FALSE)</f>
        <v>0.9218216186</v>
      </c>
      <c r="O26" s="84">
        <f>VLOOKUP($D26,Résultats!$B$2:$AX$476,O$5,FALSE)</f>
        <v>0.68834628470000003</v>
      </c>
      <c r="P26" s="6">
        <f>VLOOKUP($D26,Résultats!$B$2:$AX$476,P$5,FALSE)</f>
        <v>0.52848121579999996</v>
      </c>
      <c r="Q26" s="6">
        <f>VLOOKUP($D26,Résultats!$B$2:$AX$476,Q$5,FALSE)</f>
        <v>0.41613933320000002</v>
      </c>
      <c r="R26" s="6">
        <f>VLOOKUP($D26,Résultats!$B$2:$AX$476,R$5,FALSE)</f>
        <v>0.33401765290000002</v>
      </c>
      <c r="S26" s="85">
        <f>VLOOKUP($D26,Résultats!$B$2:$AX$476,S$5,FALSE)</f>
        <v>0.27431631870000001</v>
      </c>
      <c r="T26" s="94">
        <f>VLOOKUP($D26,Résultats!$B$2:$AX$476,T$5,FALSE)</f>
        <v>0.17828128630000001</v>
      </c>
      <c r="U26" s="94">
        <f>VLOOKUP($D26,Résultats!$B$2:$AX$476,U$5,FALSE)</f>
        <v>0.14131942789999999</v>
      </c>
      <c r="V26" s="94">
        <f>VLOOKUP($D26,Résultats!$B$2:$AX$476,V$5,FALSE)</f>
        <v>0.1178376734</v>
      </c>
      <c r="W26" s="94">
        <f>VLOOKUP($D26,Résultats!$B$2:$AX$476,W$5,FALSE)</f>
        <v>0.1039220793</v>
      </c>
      <c r="X26" s="3"/>
      <c r="Y26" s="75"/>
      <c r="Z26" s="75"/>
      <c r="AA26" s="75"/>
    </row>
    <row r="27" spans="1:39" x14ac:dyDescent="0.25">
      <c r="A27" s="3"/>
      <c r="B27" s="169" t="s">
        <v>1</v>
      </c>
      <c r="C27" s="2"/>
      <c r="D27" s="2"/>
      <c r="E27" s="9">
        <f>E26+E19+E10+E7</f>
        <v>264.99077714190003</v>
      </c>
      <c r="F27" s="9">
        <f>F26+F19+F10+F7</f>
        <v>262.39052140019999</v>
      </c>
      <c r="G27" s="23">
        <f t="shared" ref="G27:R27" si="4">G26+G19+G10+G7</f>
        <v>243.11337037340002</v>
      </c>
      <c r="H27" s="9">
        <f t="shared" si="4"/>
        <v>235.88141032920001</v>
      </c>
      <c r="I27" s="90">
        <f t="shared" si="4"/>
        <v>229.62992242670001</v>
      </c>
      <c r="J27" s="23">
        <f t="shared" si="4"/>
        <v>227.13159637299998</v>
      </c>
      <c r="K27" s="9">
        <f t="shared" si="4"/>
        <v>225.440463188</v>
      </c>
      <c r="L27" s="9">
        <f t="shared" si="4"/>
        <v>222.3862826374</v>
      </c>
      <c r="M27" s="9">
        <f t="shared" si="4"/>
        <v>233.56064301660001</v>
      </c>
      <c r="N27" s="90">
        <f t="shared" si="4"/>
        <v>242.98234451000002</v>
      </c>
      <c r="O27" s="23">
        <f t="shared" si="4"/>
        <v>236.58607355649997</v>
      </c>
      <c r="P27" s="9">
        <f t="shared" si="4"/>
        <v>230.0586459164</v>
      </c>
      <c r="Q27" s="9">
        <f t="shared" si="4"/>
        <v>223.46639234600002</v>
      </c>
      <c r="R27" s="9">
        <f t="shared" si="4"/>
        <v>215.22400812570001</v>
      </c>
      <c r="S27" s="90">
        <f>S26+S19+S10+S7</f>
        <v>207.1302161225</v>
      </c>
      <c r="T27" s="98">
        <f>T26+T19+T10+T7</f>
        <v>178.19407959703</v>
      </c>
      <c r="U27" s="98">
        <f>U26+U19+U10+U7</f>
        <v>166.19730614616</v>
      </c>
      <c r="V27" s="98">
        <f>V26+V19+V10+V7</f>
        <v>146.44426129309988</v>
      </c>
      <c r="W27" s="98">
        <f>W26+W19+W10+W7</f>
        <v>126.86752731493999</v>
      </c>
      <c r="X27" s="3"/>
      <c r="Y27" s="75"/>
      <c r="Z27" s="75"/>
      <c r="AA27" s="75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172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61" t="str">
        <f>Résultats!B1</f>
        <v>SNBC3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166" t="s">
        <v>91</v>
      </c>
      <c r="AA31" s="166"/>
      <c r="AB31" s="166"/>
      <c r="AC31" s="38"/>
      <c r="AE31" s="166" t="s">
        <v>94</v>
      </c>
      <c r="AF31" s="166"/>
      <c r="AG31" s="166"/>
      <c r="AH31" s="38"/>
      <c r="AJ31" s="166" t="s">
        <v>95</v>
      </c>
      <c r="AK31" s="166"/>
      <c r="AL31" s="166"/>
      <c r="AM31" s="38"/>
    </row>
    <row r="32" spans="1:39" x14ac:dyDescent="0.25">
      <c r="A32" s="3"/>
      <c r="B32" s="168"/>
      <c r="C32" s="2"/>
      <c r="D32" s="15"/>
      <c r="E32" s="4">
        <v>2006</v>
      </c>
      <c r="F32" s="4">
        <v>2015</v>
      </c>
      <c r="G32" s="20">
        <v>2018</v>
      </c>
      <c r="H32" s="27">
        <v>2019</v>
      </c>
      <c r="I32" s="83">
        <v>2020</v>
      </c>
      <c r="J32" s="91">
        <v>2021</v>
      </c>
      <c r="K32" s="27">
        <v>2022</v>
      </c>
      <c r="L32" s="27">
        <v>2023</v>
      </c>
      <c r="M32" s="27">
        <v>2024</v>
      </c>
      <c r="N32" s="83">
        <v>2025</v>
      </c>
      <c r="O32" s="91">
        <v>2026</v>
      </c>
      <c r="P32" s="27">
        <v>2027</v>
      </c>
      <c r="Q32" s="27">
        <v>2028</v>
      </c>
      <c r="R32" s="27">
        <v>2029</v>
      </c>
      <c r="S32" s="92">
        <v>2030</v>
      </c>
      <c r="T32" s="93">
        <v>2035</v>
      </c>
      <c r="U32" s="93">
        <v>2040</v>
      </c>
      <c r="V32" s="93">
        <v>2045</v>
      </c>
      <c r="W32" s="93">
        <v>2050</v>
      </c>
      <c r="X32" s="3"/>
      <c r="Z32" s="194"/>
      <c r="AA32" s="195">
        <v>2020</v>
      </c>
      <c r="AB32" s="195">
        <v>2030</v>
      </c>
      <c r="AC32" s="196">
        <v>2050</v>
      </c>
      <c r="AE32" s="194"/>
      <c r="AF32" s="195">
        <v>2020</v>
      </c>
      <c r="AG32" s="195">
        <v>2030</v>
      </c>
      <c r="AH32" s="196">
        <v>2050</v>
      </c>
      <c r="AJ32" s="194"/>
      <c r="AK32" s="195">
        <v>2020</v>
      </c>
      <c r="AL32" s="195">
        <v>2030</v>
      </c>
      <c r="AM32" s="196">
        <v>2050</v>
      </c>
    </row>
    <row r="33" spans="1:39" x14ac:dyDescent="0.25">
      <c r="A33" s="3"/>
      <c r="B33" s="318" t="s">
        <v>0</v>
      </c>
      <c r="C33" s="5" t="s">
        <v>1</v>
      </c>
      <c r="D33" s="2" t="s">
        <v>373</v>
      </c>
      <c r="E33" s="6">
        <f>SUM(E34:E35)</f>
        <v>80.671237572799996</v>
      </c>
      <c r="F33" s="6">
        <f>SUM(F34:F35)</f>
        <v>70.642662774999991</v>
      </c>
      <c r="G33" s="84">
        <f t="shared" ref="G33:R33" si="5">SUM(G34:G35)</f>
        <v>64.916406537</v>
      </c>
      <c r="H33" s="6">
        <f t="shared" si="5"/>
        <v>63.381551936000001</v>
      </c>
      <c r="I33" s="85">
        <f t="shared" si="5"/>
        <v>62.187574884</v>
      </c>
      <c r="J33" s="84">
        <f t="shared" si="5"/>
        <v>61.906962209</v>
      </c>
      <c r="K33" s="6">
        <f t="shared" si="5"/>
        <v>61.631546612999998</v>
      </c>
      <c r="L33" s="6">
        <f t="shared" si="5"/>
        <v>61.037602123999996</v>
      </c>
      <c r="M33" s="6">
        <f t="shared" si="5"/>
        <v>59.092279515999998</v>
      </c>
      <c r="N33" s="85">
        <f t="shared" si="5"/>
        <v>56.894603312999998</v>
      </c>
      <c r="O33" s="84">
        <f t="shared" si="5"/>
        <v>55.021961435999998</v>
      </c>
      <c r="P33" s="6">
        <f t="shared" si="5"/>
        <v>53.110926059999997</v>
      </c>
      <c r="Q33" s="6">
        <f t="shared" si="5"/>
        <v>51.202143423999999</v>
      </c>
      <c r="R33" s="6">
        <f t="shared" si="5"/>
        <v>49.113845945000001</v>
      </c>
      <c r="S33" s="85">
        <f>SUM(S34:S35)</f>
        <v>47.010331084000001</v>
      </c>
      <c r="T33" s="94">
        <f>SUM(T34:T35)</f>
        <v>37.405992679000001</v>
      </c>
      <c r="U33" s="94">
        <f>SUM(U34:U35)</f>
        <v>28.660844577999999</v>
      </c>
      <c r="V33" s="94">
        <f>SUM(V34:V35)</f>
        <v>21.906596488999998</v>
      </c>
      <c r="W33" s="94">
        <f>SUM(W34:W35)</f>
        <v>17.429241596000001</v>
      </c>
      <c r="X33" s="3"/>
      <c r="Z33" s="197" t="s">
        <v>42</v>
      </c>
      <c r="AA33" s="201">
        <f>(I38+I40)/I36</f>
        <v>8.641375777340414E-3</v>
      </c>
      <c r="AB33" s="201">
        <f>(S38+S40)/S36</f>
        <v>9.5410951431965422E-4</v>
      </c>
      <c r="AC33" s="202">
        <f>(W38+W40)/W36</f>
        <v>3.4695895755746075E-4</v>
      </c>
      <c r="AE33" s="197" t="s">
        <v>96</v>
      </c>
      <c r="AF33" s="201">
        <f>I34/I33</f>
        <v>0.95161556420856419</v>
      </c>
      <c r="AG33" s="201">
        <f>S34/S33</f>
        <v>0.92208580327895995</v>
      </c>
      <c r="AH33" s="202">
        <f>W34/W33</f>
        <v>0.70311938775422544</v>
      </c>
      <c r="AJ33" s="197" t="s">
        <v>66</v>
      </c>
      <c r="AK33" s="201">
        <f>I46/(I46+I48)</f>
        <v>0.9844963092354333</v>
      </c>
      <c r="AL33" s="201">
        <f>S46/(S46+S48)</f>
        <v>0.8499645888312205</v>
      </c>
      <c r="AM33" s="202">
        <f>W46/(W46+W48)</f>
        <v>0.49195156468169299</v>
      </c>
    </row>
    <row r="34" spans="1:39" x14ac:dyDescent="0.25">
      <c r="A34" s="3"/>
      <c r="B34" s="319"/>
      <c r="C34" s="3" t="s">
        <v>2</v>
      </c>
      <c r="D34" s="15" t="s">
        <v>374</v>
      </c>
      <c r="E34" s="16">
        <f>VLOOKUP($D34,Résultats!$B$2:$AX$476,E$5,FALSE)</f>
        <v>80.003771909999998</v>
      </c>
      <c r="F34" s="16">
        <f>VLOOKUP($D34,Résultats!$B$2:$AX$476,F$5,FALSE)</f>
        <v>67.511909079999995</v>
      </c>
      <c r="G34" s="22">
        <f>VLOOKUP($D34,Résultats!$B$2:$AX$476,G$5,FALSE)</f>
        <v>61.891444720000003</v>
      </c>
      <c r="H34" s="16">
        <f>VLOOKUP($D34,Résultats!$B$2:$AX$476,H$5,FALSE)</f>
        <v>60.373412250000001</v>
      </c>
      <c r="I34" s="86">
        <f>VLOOKUP($D34,Résultats!$B$2:$AX$476,I$5,FALSE)</f>
        <v>59.178664159999997</v>
      </c>
      <c r="J34" s="22">
        <f>VLOOKUP($D34,Résultats!$B$2:$AX$476,J$5,FALSE)</f>
        <v>58.753675280000003</v>
      </c>
      <c r="K34" s="16">
        <f>VLOOKUP($D34,Résultats!$B$2:$AX$476,K$5,FALSE)</f>
        <v>58.34013779</v>
      </c>
      <c r="L34" s="16">
        <f>VLOOKUP($D34,Résultats!$B$2:$AX$476,L$5,FALSE)</f>
        <v>57.632037879999999</v>
      </c>
      <c r="M34" s="16">
        <f>VLOOKUP($D34,Résultats!$B$2:$AX$476,M$5,FALSE)</f>
        <v>55.69854471</v>
      </c>
      <c r="N34" s="86">
        <f>VLOOKUP($D34,Résultats!$B$2:$AX$476,N$5,FALSE)</f>
        <v>53.527388930000001</v>
      </c>
      <c r="O34" s="22">
        <f>VLOOKUP($D34,Résultats!$B$2:$AX$476,O$5,FALSE)</f>
        <v>51.591579639999999</v>
      </c>
      <c r="P34" s="16">
        <f>VLOOKUP($D34,Résultats!$B$2:$AX$476,P$5,FALSE)</f>
        <v>49.616186059999997</v>
      </c>
      <c r="Q34" s="16">
        <f>VLOOKUP($D34,Résultats!$B$2:$AX$476,Q$5,FALSE)</f>
        <v>47.63892113</v>
      </c>
      <c r="R34" s="16">
        <f>VLOOKUP($D34,Résultats!$B$2:$AX$476,R$5,FALSE)</f>
        <v>45.501503169999999</v>
      </c>
      <c r="S34" s="86">
        <f>VLOOKUP($D34,Résultats!$B$2:$AX$476,S$5,FALSE)</f>
        <v>43.347558900000003</v>
      </c>
      <c r="T34" s="95">
        <f>VLOOKUP($D34,Résultats!$B$2:$AX$476,T$5,FALSE)</f>
        <v>32.695198310000002</v>
      </c>
      <c r="U34" s="95">
        <f>VLOOKUP($D34,Résultats!$B$2:$AX$476,U$5,FALSE)</f>
        <v>23.31477525</v>
      </c>
      <c r="V34" s="95">
        <f>VLOOKUP($D34,Résultats!$B$2:$AX$476,V$5,FALSE)</f>
        <v>16.012694669999998</v>
      </c>
      <c r="W34" s="95">
        <f>VLOOKUP($D34,Résultats!$B$2:$AX$476,W$5,FALSE)</f>
        <v>12.25483768</v>
      </c>
      <c r="X34" s="45">
        <f>W34-'[1]Cibles THREEME'!$AJ4</f>
        <v>2.5727350725140372</v>
      </c>
      <c r="Z34" s="197" t="s">
        <v>61</v>
      </c>
      <c r="AA34" s="201">
        <f>I37/I36</f>
        <v>0.69408091299125074</v>
      </c>
      <c r="AB34" s="201">
        <f>S37/S36</f>
        <v>0.60635273038612569</v>
      </c>
      <c r="AC34" s="202">
        <f>W37/W36</f>
        <v>0.31277992771097601</v>
      </c>
      <c r="AE34" s="198" t="s">
        <v>65</v>
      </c>
      <c r="AF34" s="203">
        <f>I35/I33</f>
        <v>4.8384435791435747E-2</v>
      </c>
      <c r="AG34" s="203">
        <f>S35/S33</f>
        <v>7.7914196721040052E-2</v>
      </c>
      <c r="AH34" s="204">
        <f>W35/W33</f>
        <v>0.2968806122457745</v>
      </c>
      <c r="AJ34" s="198" t="s">
        <v>67</v>
      </c>
      <c r="AK34" s="203">
        <f>I48/(I46+I48)</f>
        <v>1.5503690764566661E-2</v>
      </c>
      <c r="AL34" s="203">
        <f>S48/(S46+S48)</f>
        <v>0.15003541116877947</v>
      </c>
      <c r="AM34" s="204">
        <f>W48/(W46+W48)</f>
        <v>0.50804843531830701</v>
      </c>
    </row>
    <row r="35" spans="1:39" x14ac:dyDescent="0.25">
      <c r="A35" s="3"/>
      <c r="B35" s="320"/>
      <c r="C35" s="7" t="s">
        <v>3</v>
      </c>
      <c r="D35" s="3" t="s">
        <v>375</v>
      </c>
      <c r="E35" s="16">
        <f>VLOOKUP($D35,Résultats!$B$2:$AX$476,E$5,FALSE)</f>
        <v>0.66746566279999997</v>
      </c>
      <c r="F35" s="16">
        <f>VLOOKUP($D35,Résultats!$B$2:$AX$476,F$5,FALSE)</f>
        <v>3.1307536950000001</v>
      </c>
      <c r="G35" s="22">
        <f>VLOOKUP($D35,Résultats!$B$2:$AX$476,G$5,FALSE)</f>
        <v>3.0249618169999999</v>
      </c>
      <c r="H35" s="16">
        <f>VLOOKUP($D35,Résultats!$B$2:$AX$476,H$5,FALSE)</f>
        <v>3.0081396859999998</v>
      </c>
      <c r="I35" s="86">
        <f>VLOOKUP($D35,Résultats!$B$2:$AX$476,I$5,FALSE)</f>
        <v>3.0089107240000001</v>
      </c>
      <c r="J35" s="22">
        <f>VLOOKUP($D35,Résultats!$B$2:$AX$476,J$5,FALSE)</f>
        <v>3.1532869290000001</v>
      </c>
      <c r="K35" s="16">
        <f>VLOOKUP($D35,Résultats!$B$2:$AX$476,K$5,FALSE)</f>
        <v>3.2914088229999998</v>
      </c>
      <c r="L35" s="16">
        <f>VLOOKUP($D35,Résultats!$B$2:$AX$476,L$5,FALSE)</f>
        <v>3.4055642439999998</v>
      </c>
      <c r="M35" s="16">
        <f>VLOOKUP($D35,Résultats!$B$2:$AX$476,M$5,FALSE)</f>
        <v>3.3937348059999999</v>
      </c>
      <c r="N35" s="86">
        <f>VLOOKUP($D35,Résultats!$B$2:$AX$476,N$5,FALSE)</f>
        <v>3.3672143829999999</v>
      </c>
      <c r="O35" s="22">
        <f>VLOOKUP($D35,Résultats!$B$2:$AX$476,O$5,FALSE)</f>
        <v>3.4303817959999998</v>
      </c>
      <c r="P35" s="16">
        <f>VLOOKUP($D35,Résultats!$B$2:$AX$476,P$5,FALSE)</f>
        <v>3.4947400000000002</v>
      </c>
      <c r="Q35" s="16">
        <f>VLOOKUP($D35,Résultats!$B$2:$AX$476,Q$5,FALSE)</f>
        <v>3.563222294</v>
      </c>
      <c r="R35" s="16">
        <f>VLOOKUP($D35,Résultats!$B$2:$AX$476,R$5,FALSE)</f>
        <v>3.6123427750000001</v>
      </c>
      <c r="S35" s="86">
        <f>VLOOKUP($D35,Résultats!$B$2:$AX$476,S$5,FALSE)</f>
        <v>3.662772184</v>
      </c>
      <c r="T35" s="95">
        <f>VLOOKUP($D35,Résultats!$B$2:$AX$476,T$5,FALSE)</f>
        <v>4.7107943690000003</v>
      </c>
      <c r="U35" s="95">
        <f>VLOOKUP($D35,Résultats!$B$2:$AX$476,U$5,FALSE)</f>
        <v>5.3460693279999996</v>
      </c>
      <c r="V35" s="95">
        <f>VLOOKUP($D35,Résultats!$B$2:$AX$476,V$5,FALSE)</f>
        <v>5.8939018189999999</v>
      </c>
      <c r="W35" s="95">
        <f>VLOOKUP($D35,Résultats!$B$2:$AX$476,W$5,FALSE)</f>
        <v>5.1744039160000002</v>
      </c>
      <c r="X35" s="45">
        <f>W35-'[1]Cibles THREEME'!$AJ5</f>
        <v>1.6775627004229174</v>
      </c>
      <c r="Z35" s="197" t="s">
        <v>93</v>
      </c>
      <c r="AA35" s="201">
        <f>I43/I36</f>
        <v>0.10258601322771342</v>
      </c>
      <c r="AB35" s="201">
        <f>S43/S36</f>
        <v>8.9159753205824158E-2</v>
      </c>
      <c r="AC35" s="202">
        <f>W43/W36</f>
        <v>6.4203485807957414E-2</v>
      </c>
      <c r="AE35" s="189" t="s">
        <v>92</v>
      </c>
      <c r="AF35" s="205">
        <f>SUM(AF33:AF34)</f>
        <v>0.99999999999999989</v>
      </c>
      <c r="AG35" s="205">
        <f t="shared" ref="AG35:AH35" si="6">SUM(AG33:AG34)</f>
        <v>1</v>
      </c>
      <c r="AH35" s="205">
        <f t="shared" si="6"/>
        <v>1</v>
      </c>
      <c r="AJ35" s="189" t="s">
        <v>92</v>
      </c>
      <c r="AK35" s="205">
        <f>SUM(AK33:AK34)</f>
        <v>1</v>
      </c>
      <c r="AL35" s="205">
        <f t="shared" ref="AL35" si="7">SUM(AL33:AL34)</f>
        <v>1</v>
      </c>
      <c r="AM35" s="205">
        <f t="shared" ref="AM35" si="8">SUM(AM33:AM34)</f>
        <v>1</v>
      </c>
    </row>
    <row r="36" spans="1:39" x14ac:dyDescent="0.25">
      <c r="A36" s="3"/>
      <c r="B36" s="318" t="s">
        <v>4</v>
      </c>
      <c r="C36" s="5" t="s">
        <v>1</v>
      </c>
      <c r="D36" s="2" t="s">
        <v>376</v>
      </c>
      <c r="E36" s="8">
        <f>SUM(E37:E44)</f>
        <v>37.199369557699995</v>
      </c>
      <c r="F36" s="8">
        <f>SUM(F37:F44)</f>
        <v>37.683750346199993</v>
      </c>
      <c r="G36" s="21">
        <f t="shared" ref="G36:R36" si="9">SUM(G37:G44)</f>
        <v>37.167981933299998</v>
      </c>
      <c r="H36" s="8">
        <f t="shared" si="9"/>
        <v>36.835624647400003</v>
      </c>
      <c r="I36" s="87">
        <f t="shared" si="9"/>
        <v>36.501704766399996</v>
      </c>
      <c r="J36" s="21">
        <f t="shared" si="9"/>
        <v>36.653256060199993</v>
      </c>
      <c r="K36" s="8">
        <f t="shared" si="9"/>
        <v>36.946400043900006</v>
      </c>
      <c r="L36" s="8">
        <f t="shared" si="9"/>
        <v>36.802549869900005</v>
      </c>
      <c r="M36" s="8">
        <f t="shared" si="9"/>
        <v>38.048285384599993</v>
      </c>
      <c r="N36" s="87">
        <f t="shared" si="9"/>
        <v>38.656909854600002</v>
      </c>
      <c r="O36" s="21">
        <f t="shared" si="9"/>
        <v>38.703597812299996</v>
      </c>
      <c r="P36" s="8">
        <f t="shared" si="9"/>
        <v>38.622096411999998</v>
      </c>
      <c r="Q36" s="8">
        <f t="shared" si="9"/>
        <v>38.473360547399999</v>
      </c>
      <c r="R36" s="8">
        <f t="shared" si="9"/>
        <v>38.455590844</v>
      </c>
      <c r="S36" s="87">
        <f>SUM(S37:S44)</f>
        <v>38.406304569899994</v>
      </c>
      <c r="T36" s="96">
        <f>SUM(T37:T44)</f>
        <v>38.55574619998</v>
      </c>
      <c r="U36" s="96">
        <f>SUM(U37:U44)</f>
        <v>39.322682498000006</v>
      </c>
      <c r="V36" s="96">
        <f>SUM(V37:V44)</f>
        <v>39.111660352880001</v>
      </c>
      <c r="W36" s="96">
        <f>SUM(W37:W44)</f>
        <v>38.365548287640003</v>
      </c>
      <c r="X36" s="3"/>
      <c r="Z36" s="197" t="s">
        <v>62</v>
      </c>
      <c r="AA36" s="201">
        <f>I42/I36</f>
        <v>3.6998234291871782E-2</v>
      </c>
      <c r="AB36" s="201">
        <f>S42/S36</f>
        <v>0.11151472475580464</v>
      </c>
      <c r="AC36" s="202">
        <f>W42/W36</f>
        <v>0.23270974523974919</v>
      </c>
    </row>
    <row r="37" spans="1:39" x14ac:dyDescent="0.25">
      <c r="A37" s="3"/>
      <c r="B37" s="319"/>
      <c r="C37" s="3" t="s">
        <v>5</v>
      </c>
      <c r="D37" s="3" t="s">
        <v>377</v>
      </c>
      <c r="E37" s="16">
        <f>VLOOKUP($D37,Résultats!$B$2:$AX$476,E$5,FALSE)</f>
        <v>29.720949569999998</v>
      </c>
      <c r="F37" s="16">
        <f>VLOOKUP($D37,Résultats!$B$2:$AX$476,F$5,FALSE)</f>
        <v>29.24428013</v>
      </c>
      <c r="G37" s="22">
        <f>VLOOKUP($D37,Résultats!$B$2:$AX$476,G$5,FALSE)</f>
        <v>27.08340175</v>
      </c>
      <c r="H37" s="16">
        <f>VLOOKUP($D37,Résultats!$B$2:$AX$476,H$5,FALSE)</f>
        <v>26.2160017</v>
      </c>
      <c r="I37" s="86">
        <f>VLOOKUP($D37,Résultats!$B$2:$AX$476,I$5,FALSE)</f>
        <v>25.33513657</v>
      </c>
      <c r="J37" s="22">
        <f>VLOOKUP($D37,Résultats!$B$2:$AX$476,J$5,FALSE)</f>
        <v>25.118299149999999</v>
      </c>
      <c r="K37" s="16">
        <f>VLOOKUP($D37,Résultats!$B$2:$AX$476,K$5,FALSE)</f>
        <v>24.992549910000001</v>
      </c>
      <c r="L37" s="16">
        <f>VLOOKUP($D37,Résultats!$B$2:$AX$476,L$5,FALSE)</f>
        <v>24.567825360000001</v>
      </c>
      <c r="M37" s="16">
        <f>VLOOKUP($D37,Résultats!$B$2:$AX$476,M$5,FALSE)</f>
        <v>25.107583399999999</v>
      </c>
      <c r="N37" s="86">
        <f>VLOOKUP($D37,Résultats!$B$2:$AX$476,N$5,FALSE)</f>
        <v>25.231884449999999</v>
      </c>
      <c r="O37" s="22">
        <f>VLOOKUP($D37,Résultats!$B$2:$AX$476,O$5,FALSE)</f>
        <v>24.810569399999999</v>
      </c>
      <c r="P37" s="16">
        <f>VLOOKUP($D37,Résultats!$B$2:$AX$476,P$5,FALSE)</f>
        <v>24.328089899999998</v>
      </c>
      <c r="Q37" s="16">
        <f>VLOOKUP($D37,Résultats!$B$2:$AX$476,Q$5,FALSE)</f>
        <v>23.824972939999999</v>
      </c>
      <c r="R37" s="16">
        <f>VLOOKUP($D37,Résultats!$B$2:$AX$476,R$5,FALSE)</f>
        <v>23.560186160000001</v>
      </c>
      <c r="S37" s="86">
        <f>VLOOKUP($D37,Résultats!$B$2:$AX$476,S$5,FALSE)</f>
        <v>23.287767639999998</v>
      </c>
      <c r="T37" s="95">
        <f>VLOOKUP($D37,Résultats!$B$2:$AX$476,T$5,FALSE)</f>
        <v>20.578172980000002</v>
      </c>
      <c r="U37" s="95">
        <f>VLOOKUP($D37,Résultats!$B$2:$AX$476,U$5,FALSE)</f>
        <v>19.419236990000002</v>
      </c>
      <c r="V37" s="95">
        <f>VLOOKUP($D37,Résultats!$B$2:$AX$476,V$5,FALSE)</f>
        <v>15.970989149999999</v>
      </c>
      <c r="W37" s="95">
        <f>VLOOKUP($D37,Résultats!$B$2:$AX$476,W$5,FALSE)</f>
        <v>11.99997342</v>
      </c>
      <c r="X37" s="45">
        <f>W37-'[1]Cibles THREEME'!$AJ8</f>
        <v>11.378914288454302</v>
      </c>
      <c r="Z37" s="197" t="s">
        <v>63</v>
      </c>
      <c r="AA37" s="201">
        <f>I41/I36</f>
        <v>8.3952357064177432E-2</v>
      </c>
      <c r="AB37" s="201">
        <f>S41/S36</f>
        <v>0.13077571316081138</v>
      </c>
      <c r="AC37" s="202">
        <f>W41/W36</f>
        <v>0.3650732465750347</v>
      </c>
    </row>
    <row r="38" spans="1:39" x14ac:dyDescent="0.25">
      <c r="A38" s="3"/>
      <c r="B38" s="319"/>
      <c r="C38" s="3" t="s">
        <v>6</v>
      </c>
      <c r="D38" s="3" t="s">
        <v>378</v>
      </c>
      <c r="E38" s="16">
        <f>VLOOKUP($D38,Résultats!$B$2:$AX$476,E$5,FALSE)</f>
        <v>0.38143296510000002</v>
      </c>
      <c r="F38" s="16">
        <f>VLOOKUP($D38,Résultats!$B$2:$AX$476,F$5,FALSE)</f>
        <v>0.23089399969999999</v>
      </c>
      <c r="G38" s="22">
        <f>VLOOKUP($D38,Résultats!$B$2:$AX$476,G$5,FALSE)</f>
        <v>0.15859743409999999</v>
      </c>
      <c r="H38" s="16">
        <f>VLOOKUP($D38,Résultats!$B$2:$AX$476,H$5,FALSE)</f>
        <v>0.13262799680000001</v>
      </c>
      <c r="I38" s="86">
        <f>VLOOKUP($D38,Résultats!$B$2:$AX$476,I$5,FALSE)</f>
        <v>0.10616785400000001</v>
      </c>
      <c r="J38" s="22">
        <f>VLOOKUP($D38,Résultats!$B$2:$AX$476,J$5,FALSE)</f>
        <v>0.15055263599999999</v>
      </c>
      <c r="K38" s="16">
        <f>VLOOKUP($D38,Résultats!$B$2:$AX$476,K$5,FALSE)</f>
        <v>0.19633021319999999</v>
      </c>
      <c r="L38" s="16">
        <f>VLOOKUP($D38,Résultats!$B$2:$AX$476,L$5,FALSE)</f>
        <v>0.240245341</v>
      </c>
      <c r="M38" s="16">
        <f>VLOOKUP($D38,Résultats!$B$2:$AX$476,M$5,FALSE)</f>
        <v>0.19025051500000001</v>
      </c>
      <c r="N38" s="86">
        <f>VLOOKUP($D38,Résultats!$B$2:$AX$476,N$5,FALSE)</f>
        <v>0.13805878320000001</v>
      </c>
      <c r="O38" s="22">
        <f>VLOOKUP($D38,Résultats!$B$2:$AX$476,O$5,FALSE)</f>
        <v>0.1055988247</v>
      </c>
      <c r="P38" s="16">
        <f>VLOOKUP($D38,Résultats!$B$2:$AX$476,P$5,FALSE)</f>
        <v>7.43063952E-2</v>
      </c>
      <c r="Q38" s="16">
        <f>VLOOKUP($D38,Résultats!$B$2:$AX$476,Q$5,FALSE)</f>
        <v>4.44526939E-2</v>
      </c>
      <c r="R38" s="16">
        <f>VLOOKUP($D38,Résultats!$B$2:$AX$476,R$5,FALSE)</f>
        <v>3.2292353199999999E-2</v>
      </c>
      <c r="S38" s="86">
        <f>VLOOKUP($D38,Résultats!$B$2:$AX$476,S$5,FALSE)</f>
        <v>2.0664130700000002E-2</v>
      </c>
      <c r="T38" s="95">
        <f>VLOOKUP($D38,Résultats!$B$2:$AX$476,T$5,FALSE)</f>
        <v>1.8967105500000001E-2</v>
      </c>
      <c r="U38" s="95">
        <f>VLOOKUP($D38,Résultats!$B$2:$AX$476,U$5,FALSE)</f>
        <v>8.6886798700000004E-3</v>
      </c>
      <c r="V38" s="95">
        <f>VLOOKUP($D38,Résultats!$B$2:$AX$476,V$5,FALSE)</f>
        <v>6.9522003899999997E-3</v>
      </c>
      <c r="W38" s="95">
        <f>VLOOKUP($D38,Résultats!$B$2:$AX$476,W$5,FALSE)</f>
        <v>6.6556353199999996E-3</v>
      </c>
      <c r="X38" s="45">
        <f>W38-'[1]Cibles THREEME'!$AJ9</f>
        <v>-3.3443646800000006E-3</v>
      </c>
      <c r="Z38" s="198" t="s">
        <v>64</v>
      </c>
      <c r="AA38" s="203">
        <f>(I39+I44)/I36</f>
        <v>7.3741106647646257E-2</v>
      </c>
      <c r="AB38" s="203">
        <f>(S39+S44)/S36</f>
        <v>6.1242968977114606E-2</v>
      </c>
      <c r="AC38" s="204">
        <f>(W39+W44)/W36</f>
        <v>2.4886635708725131E-2</v>
      </c>
    </row>
    <row r="39" spans="1:39" x14ac:dyDescent="0.25">
      <c r="A39" s="3"/>
      <c r="B39" s="319"/>
      <c r="C39" s="3" t="s">
        <v>7</v>
      </c>
      <c r="D39" s="3" t="s">
        <v>379</v>
      </c>
      <c r="E39" s="16">
        <f>VLOOKUP($D39,Résultats!$B$2:$AX$476,E$5,FALSE)</f>
        <v>1.523279901</v>
      </c>
      <c r="F39" s="16">
        <f>VLOOKUP($D39,Résultats!$B$2:$AX$476,F$5,FALSE)</f>
        <v>1.5185839830000001</v>
      </c>
      <c r="G39" s="22">
        <f>VLOOKUP($D39,Résultats!$B$2:$AX$476,G$5,FALSE)</f>
        <v>1.9542337839999999</v>
      </c>
      <c r="H39" s="16">
        <f>VLOOKUP($D39,Résultats!$B$2:$AX$476,H$5,FALSE)</f>
        <v>2.0988449010000001</v>
      </c>
      <c r="I39" s="86">
        <f>VLOOKUP($D39,Résultats!$B$2:$AX$476,I$5,FALSE)</f>
        <v>2.24656945</v>
      </c>
      <c r="J39" s="22">
        <f>VLOOKUP($D39,Résultats!$B$2:$AX$476,J$5,FALSE)</f>
        <v>2.1531435459999999</v>
      </c>
      <c r="K39" s="16">
        <f>VLOOKUP($D39,Résultats!$B$2:$AX$476,K$5,FALSE)</f>
        <v>2.0661384780000001</v>
      </c>
      <c r="L39" s="16">
        <f>VLOOKUP($D39,Résultats!$B$2:$AX$476,L$5,FALSE)</f>
        <v>1.9536206490000001</v>
      </c>
      <c r="M39" s="16">
        <f>VLOOKUP($D39,Résultats!$B$2:$AX$476,M$5,FALSE)</f>
        <v>2.2713170649999999</v>
      </c>
      <c r="N39" s="86">
        <f>VLOOKUP($D39,Résultats!$B$2:$AX$476,N$5,FALSE)</f>
        <v>2.5467012819999999</v>
      </c>
      <c r="O39" s="22">
        <f>VLOOKUP($D39,Résultats!$B$2:$AX$476,O$5,FALSE)</f>
        <v>2.4902396979999999</v>
      </c>
      <c r="P39" s="16">
        <f>VLOOKUP($D39,Résultats!$B$2:$AX$476,P$5,FALSE)</f>
        <v>2.4282989860000002</v>
      </c>
      <c r="Q39" s="16">
        <f>VLOOKUP($D39,Résultats!$B$2:$AX$476,Q$5,FALSE)</f>
        <v>2.364992467</v>
      </c>
      <c r="R39" s="16">
        <f>VLOOKUP($D39,Résultats!$B$2:$AX$476,R$5,FALSE)</f>
        <v>2.0522439129999999</v>
      </c>
      <c r="S39" s="86">
        <f>VLOOKUP($D39,Résultats!$B$2:$AX$476,S$5,FALSE)</f>
        <v>1.7521535260000001</v>
      </c>
      <c r="T39" s="95">
        <f>VLOOKUP($D39,Résultats!$B$2:$AX$476,T$5,FALSE)</f>
        <v>1.113170448</v>
      </c>
      <c r="U39" s="95">
        <f>VLOOKUP($D39,Résultats!$B$2:$AX$476,U$5,FALSE)</f>
        <v>9.7979281099999996E-2</v>
      </c>
      <c r="V39" s="95">
        <f>VLOOKUP($D39,Résultats!$B$2:$AX$476,V$5,FALSE)</f>
        <v>9.3777390000000002E-2</v>
      </c>
      <c r="W39" s="95">
        <f>VLOOKUP($D39,Résultats!$B$2:$AX$476,W$5,FALSE)</f>
        <v>8.9742668299999995E-2</v>
      </c>
      <c r="X39" s="45">
        <f>W39-'[1]Cibles THREEME'!$AJ10</f>
        <v>-1.0062440344277013</v>
      </c>
      <c r="Z39" s="189" t="s">
        <v>92</v>
      </c>
      <c r="AA39" s="205">
        <f>SUM(AA33:AA38)</f>
        <v>1</v>
      </c>
      <c r="AB39" s="205">
        <f t="shared" ref="AB39:AC39" si="10">SUM(AB33:AB38)</f>
        <v>1</v>
      </c>
      <c r="AC39" s="205">
        <f t="shared" si="10"/>
        <v>1</v>
      </c>
      <c r="AJ39" s="189"/>
      <c r="AK39" s="205"/>
      <c r="AL39" s="205"/>
      <c r="AM39" s="205"/>
    </row>
    <row r="40" spans="1:39" x14ac:dyDescent="0.25">
      <c r="A40" s="3"/>
      <c r="B40" s="319"/>
      <c r="C40" s="3" t="s">
        <v>8</v>
      </c>
      <c r="D40" s="3" t="s">
        <v>380</v>
      </c>
      <c r="E40" s="16">
        <f>VLOOKUP($D40,Résultats!$B$2:$AX$476,E$5,FALSE)</f>
        <v>1.519908456</v>
      </c>
      <c r="F40" s="16">
        <f>VLOOKUP($D40,Résultats!$B$2:$AX$476,F$5,FALSE)</f>
        <v>0.71184654209999998</v>
      </c>
      <c r="G40" s="22">
        <f>VLOOKUP($D40,Résultats!$B$2:$AX$476,G$5,FALSE)</f>
        <v>0.4194813845</v>
      </c>
      <c r="H40" s="16">
        <f>VLOOKUP($D40,Résultats!$B$2:$AX$476,H$5,FALSE)</f>
        <v>0.3153674051</v>
      </c>
      <c r="I40" s="86">
        <f>VLOOKUP($D40,Résultats!$B$2:$AX$476,I$5,FALSE)</f>
        <v>0.20925709340000001</v>
      </c>
      <c r="J40" s="22">
        <f>VLOOKUP($D40,Résultats!$B$2:$AX$476,J$5,FALSE)</f>
        <v>0.2004354361</v>
      </c>
      <c r="K40" s="16">
        <f>VLOOKUP($D40,Résultats!$B$2:$AX$476,K$5,FALSE)</f>
        <v>0.1922091813</v>
      </c>
      <c r="L40" s="16">
        <f>VLOOKUP($D40,Résultats!$B$2:$AX$476,L$5,FALSE)</f>
        <v>0.18160814410000001</v>
      </c>
      <c r="M40" s="16">
        <f>VLOOKUP($D40,Résultats!$B$2:$AX$476,M$5,FALSE)</f>
        <v>0.1182615134</v>
      </c>
      <c r="N40" s="86">
        <f>VLOOKUP($D40,Résultats!$B$2:$AX$476,N$5,FALSE)</f>
        <v>5.4116783299999999E-2</v>
      </c>
      <c r="O40" s="22">
        <f>VLOOKUP($D40,Résultats!$B$2:$AX$476,O$5,FALSE)</f>
        <v>4.11561898E-2</v>
      </c>
      <c r="P40" s="16">
        <f>VLOOKUP($D40,Résultats!$B$2:$AX$476,P$5,FALSE)</f>
        <v>2.8665046100000001E-2</v>
      </c>
      <c r="Q40" s="16">
        <f>VLOOKUP($D40,Résultats!$B$2:$AX$476,Q$5,FALSE)</f>
        <v>1.67500462E-2</v>
      </c>
      <c r="R40" s="16">
        <f>VLOOKUP($D40,Résultats!$B$2:$AX$476,R$5,FALSE)</f>
        <v>1.63628431E-2</v>
      </c>
      <c r="S40" s="86">
        <f>VLOOKUP($D40,Résultats!$B$2:$AX$476,S$5,FALSE)</f>
        <v>1.59796899E-2</v>
      </c>
      <c r="T40" s="95">
        <f>VLOOKUP($D40,Résultats!$B$2:$AX$476,T$5,FALSE)</f>
        <v>7.6534449800000001E-3</v>
      </c>
      <c r="U40" s="95">
        <f>VLOOKUP($D40,Résultats!$B$2:$AX$476,U$5,FALSE)</f>
        <v>7.2716234299999996E-3</v>
      </c>
      <c r="V40" s="95">
        <f>VLOOKUP($D40,Résultats!$B$2:$AX$476,V$5,FALSE)</f>
        <v>6.9522003899999997E-3</v>
      </c>
      <c r="W40" s="95">
        <f>VLOOKUP($D40,Résultats!$B$2:$AX$476,W$5,FALSE)</f>
        <v>6.6556353199999996E-3</v>
      </c>
      <c r="X40" s="45">
        <f>W40-'[1]Cibles THREEME'!$AJ11</f>
        <v>-3.3443646800000006E-3</v>
      </c>
    </row>
    <row r="41" spans="1:39" x14ac:dyDescent="0.25">
      <c r="A41" s="3"/>
      <c r="B41" s="319"/>
      <c r="C41" s="3" t="s">
        <v>9</v>
      </c>
      <c r="D41" s="3" t="s">
        <v>381</v>
      </c>
      <c r="E41" s="16">
        <f>VLOOKUP($D41,Résultats!$B$2:$AX$476,E$5,FALSE)</f>
        <v>0.30706949729999999</v>
      </c>
      <c r="F41" s="16">
        <f>VLOOKUP($D41,Résultats!$B$2:$AX$476,F$5,FALSE)</f>
        <v>2.0141671090000002</v>
      </c>
      <c r="G41" s="22">
        <f>VLOOKUP($D41,Résultats!$B$2:$AX$476,G$5,FALSE)</f>
        <v>2.6418196040000002</v>
      </c>
      <c r="H41" s="16">
        <f>VLOOKUP($D41,Résultats!$B$2:$AX$476,H$5,FALSE)</f>
        <v>2.850873746</v>
      </c>
      <c r="I41" s="86">
        <f>VLOOKUP($D41,Résultats!$B$2:$AX$476,I$5,FALSE)</f>
        <v>3.0644041519999998</v>
      </c>
      <c r="J41" s="22">
        <f>VLOOKUP($D41,Résultats!$B$2:$AX$476,J$5,FALSE)</f>
        <v>3.2296504580000001</v>
      </c>
      <c r="K41" s="16">
        <f>VLOOKUP($D41,Résultats!$B$2:$AX$476,K$5,FALSE)</f>
        <v>3.4101885840000001</v>
      </c>
      <c r="L41" s="16">
        <f>VLOOKUP($D41,Résultats!$B$2:$AX$476,L$5,FALSE)</f>
        <v>3.5519872860000001</v>
      </c>
      <c r="M41" s="16">
        <f>VLOOKUP($D41,Résultats!$B$2:$AX$476,M$5,FALSE)</f>
        <v>3.8910415629999999</v>
      </c>
      <c r="N41" s="86">
        <f>VLOOKUP($D41,Résultats!$B$2:$AX$476,N$5,FALSE)</f>
        <v>4.1612187110000001</v>
      </c>
      <c r="O41" s="22">
        <f>VLOOKUP($D41,Résultats!$B$2:$AX$476,O$5,FALSE)</f>
        <v>4.3480409179999997</v>
      </c>
      <c r="P41" s="16">
        <f>VLOOKUP($D41,Résultats!$B$2:$AX$476,P$5,FALSE)</f>
        <v>4.5120077629999997</v>
      </c>
      <c r="Q41" s="16">
        <f>VLOOKUP($D41,Résultats!$B$2:$AX$476,Q$5,FALSE)</f>
        <v>4.6593825889999998</v>
      </c>
      <c r="R41" s="16">
        <f>VLOOKUP($D41,Résultats!$B$2:$AX$476,R$5,FALSE)</f>
        <v>4.847357691</v>
      </c>
      <c r="S41" s="86">
        <f>VLOOKUP($D41,Résultats!$B$2:$AX$476,S$5,FALSE)</f>
        <v>5.0226118700000004</v>
      </c>
      <c r="T41" s="95">
        <f>VLOOKUP($D41,Résultats!$B$2:$AX$476,T$5,FALSE)</f>
        <v>7.9213075039999996</v>
      </c>
      <c r="U41" s="95">
        <f>VLOOKUP($D41,Résultats!$B$2:$AX$476,U$5,FALSE)</f>
        <v>9.8427898240000005</v>
      </c>
      <c r="V41" s="95">
        <f>VLOOKUP($D41,Résultats!$B$2:$AX$476,V$5,FALSE)</f>
        <v>11.93306465</v>
      </c>
      <c r="W41" s="95">
        <f>VLOOKUP($D41,Résultats!$B$2:$AX$476,W$5,FALSE)</f>
        <v>14.006235269999999</v>
      </c>
      <c r="X41" s="45">
        <f>W41-'[1]Cibles THREEME'!$AJ12</f>
        <v>1.4206546336768984</v>
      </c>
    </row>
    <row r="42" spans="1:39" x14ac:dyDescent="0.25">
      <c r="A42" s="3"/>
      <c r="B42" s="319"/>
      <c r="C42" s="3" t="s">
        <v>10</v>
      </c>
      <c r="D42" s="3" t="s">
        <v>382</v>
      </c>
      <c r="E42" s="16">
        <f>VLOOKUP($D42,Résultats!$B$2:$AX$476,E$5,FALSE)</f>
        <v>6.9090636900000002E-2</v>
      </c>
      <c r="F42" s="16">
        <f>VLOOKUP($D42,Résultats!$B$2:$AX$476,F$5,FALSE)</f>
        <v>0.8876537739</v>
      </c>
      <c r="G42" s="22">
        <f>VLOOKUP($D42,Résultats!$B$2:$AX$476,G$5,FALSE)</f>
        <v>1.164263447</v>
      </c>
      <c r="H42" s="16">
        <f>VLOOKUP($D42,Résultats!$B$2:$AX$476,H$5,FALSE)</f>
        <v>1.2563946800000001</v>
      </c>
      <c r="I42" s="86">
        <f>VLOOKUP($D42,Résultats!$B$2:$AX$476,I$5,FALSE)</f>
        <v>1.350498625</v>
      </c>
      <c r="J42" s="22">
        <f>VLOOKUP($D42,Résultats!$B$2:$AX$476,J$5,FALSE)</f>
        <v>1.4037614970000001</v>
      </c>
      <c r="K42" s="16">
        <f>VLOOKUP($D42,Résultats!$B$2:$AX$476,K$5,FALSE)</f>
        <v>1.4633268690000001</v>
      </c>
      <c r="L42" s="16">
        <f>VLOOKUP($D42,Résultats!$B$2:$AX$476,L$5,FALSE)</f>
        <v>1.506082854</v>
      </c>
      <c r="M42" s="16">
        <f>VLOOKUP($D42,Résultats!$B$2:$AX$476,M$5,FALSE)</f>
        <v>1.897135182</v>
      </c>
      <c r="N42" s="86">
        <f>VLOOKUP($D42,Résultats!$B$2:$AX$476,N$5,FALSE)</f>
        <v>2.2506353529999998</v>
      </c>
      <c r="O42" s="22">
        <f>VLOOKUP($D42,Résultats!$B$2:$AX$476,O$5,FALSE)</f>
        <v>2.6876621630000002</v>
      </c>
      <c r="P42" s="16">
        <f>VLOOKUP($D42,Résultats!$B$2:$AX$476,P$5,FALSE)</f>
        <v>3.0955900239999998</v>
      </c>
      <c r="Q42" s="16">
        <f>VLOOKUP($D42,Résultats!$B$2:$AX$476,Q$5,FALSE)</f>
        <v>3.477255537</v>
      </c>
      <c r="R42" s="16">
        <f>VLOOKUP($D42,Résultats!$B$2:$AX$476,R$5,FALSE)</f>
        <v>3.891217213</v>
      </c>
      <c r="S42" s="86">
        <f>VLOOKUP($D42,Résultats!$B$2:$AX$476,S$5,FALSE)</f>
        <v>4.2828684829999997</v>
      </c>
      <c r="T42" s="95">
        <f>VLOOKUP($D42,Résultats!$B$2:$AX$476,T$5,FALSE)</f>
        <v>5.3073383090000004</v>
      </c>
      <c r="U42" s="95">
        <f>VLOOKUP($D42,Résultats!$B$2:$AX$476,U$5,FALSE)</f>
        <v>6.4348814059999997</v>
      </c>
      <c r="V42" s="95">
        <f>VLOOKUP($D42,Résultats!$B$2:$AX$476,V$5,FALSE)</f>
        <v>7.682863545</v>
      </c>
      <c r="W42" s="95">
        <f>VLOOKUP($D42,Résultats!$B$2:$AX$476,W$5,FALSE)</f>
        <v>8.9280369680000007</v>
      </c>
      <c r="X42" s="45">
        <f>W42-'[1]Cibles THREEME'!$AJ13</f>
        <v>1.4996826495122475</v>
      </c>
      <c r="Z42" s="60" t="s">
        <v>457</v>
      </c>
    </row>
    <row r="43" spans="1:39" x14ac:dyDescent="0.25">
      <c r="A43" s="3"/>
      <c r="B43" s="319"/>
      <c r="C43" s="3" t="s">
        <v>11</v>
      </c>
      <c r="D43" s="3" t="s">
        <v>383</v>
      </c>
      <c r="E43" s="16">
        <f>VLOOKUP($D43,Résultats!$B$2:$AX$476,E$5,FALSE)</f>
        <v>3.4538972179999998</v>
      </c>
      <c r="F43" s="16">
        <f>VLOOKUP($D43,Résultats!$B$2:$AX$476,F$5,FALSE)</f>
        <v>2.4612218279999998</v>
      </c>
      <c r="G43" s="22">
        <f>VLOOKUP($D43,Résultats!$B$2:$AX$476,G$5,FALSE)</f>
        <v>3.228185012</v>
      </c>
      <c r="H43" s="16">
        <f>VLOOKUP($D43,Résultats!$B$2:$AX$476,H$5,FALSE)</f>
        <v>3.4836397940000001</v>
      </c>
      <c r="I43" s="86">
        <f>VLOOKUP($D43,Résultats!$B$2:$AX$476,I$5,FALSE)</f>
        <v>3.7445643679999998</v>
      </c>
      <c r="J43" s="22">
        <f>VLOOKUP($D43,Résultats!$B$2:$AX$476,J$5,FALSE)</f>
        <v>3.9279057879999999</v>
      </c>
      <c r="K43" s="16">
        <f>VLOOKUP($D43,Résultats!$B$2:$AX$476,K$5,FALSE)</f>
        <v>4.1295183160000004</v>
      </c>
      <c r="L43" s="16">
        <f>VLOOKUP($D43,Résultats!$B$2:$AX$476,L$5,FALSE)</f>
        <v>4.2840430930000002</v>
      </c>
      <c r="M43" s="16">
        <f>VLOOKUP($D43,Résultats!$B$2:$AX$476,M$5,FALSE)</f>
        <v>3.9447795710000002</v>
      </c>
      <c r="N43" s="86">
        <f>VLOOKUP($D43,Résultats!$B$2:$AX$476,N$5,FALSE)</f>
        <v>3.5476995279999999</v>
      </c>
      <c r="O43" s="22">
        <f>VLOOKUP($D43,Résultats!$B$2:$AX$476,O$5,FALSE)</f>
        <v>3.5230517809999999</v>
      </c>
      <c r="P43" s="16">
        <f>VLOOKUP($D43,Résultats!$B$2:$AX$476,P$5,FALSE)</f>
        <v>3.4880808939999999</v>
      </c>
      <c r="Q43" s="16">
        <f>VLOOKUP($D43,Résultats!$B$2:$AX$476,Q$5,FALSE)</f>
        <v>3.448428389</v>
      </c>
      <c r="R43" s="16">
        <f>VLOOKUP($D43,Résultats!$B$2:$AX$476,R$5,FALSE)</f>
        <v>3.4375577000000002</v>
      </c>
      <c r="S43" s="86">
        <f>VLOOKUP($D43,Résultats!$B$2:$AX$476,S$5,FALSE)</f>
        <v>3.4242966369999999</v>
      </c>
      <c r="T43" s="95">
        <f>VLOOKUP($D43,Résultats!$B$2:$AX$476,T$5,FALSE)</f>
        <v>2.8702446610000001</v>
      </c>
      <c r="U43" s="95">
        <f>VLOOKUP($D43,Résultats!$B$2:$AX$476,U$5,FALSE)</f>
        <v>2.626325086</v>
      </c>
      <c r="V43" s="95">
        <f>VLOOKUP($D43,Résultats!$B$2:$AX$476,V$5,FALSE)</f>
        <v>2.52665162</v>
      </c>
      <c r="W43" s="95">
        <f>VLOOKUP($D43,Résultats!$B$2:$AX$476,W$5,FALSE)</f>
        <v>2.4632019349999998</v>
      </c>
      <c r="X43" s="45">
        <f>W43-'[1]Cibles THREEME'!$AJ14</f>
        <v>-1.4031955996227237</v>
      </c>
      <c r="Z43" s="194"/>
      <c r="AA43" s="195">
        <v>2020</v>
      </c>
      <c r="AB43" s="195">
        <v>2030</v>
      </c>
      <c r="AC43" s="196">
        <v>2050</v>
      </c>
    </row>
    <row r="44" spans="1:39" x14ac:dyDescent="0.25">
      <c r="A44" s="3"/>
      <c r="B44" s="320"/>
      <c r="C44" s="7" t="s">
        <v>12</v>
      </c>
      <c r="D44" s="3" t="s">
        <v>384</v>
      </c>
      <c r="E44" s="17">
        <f>VLOOKUP($D44,Résultats!$B$2:$AX$476,E$5,FALSE)</f>
        <v>0.2237413134</v>
      </c>
      <c r="F44" s="17">
        <f>VLOOKUP($D44,Résultats!$B$2:$AX$476,F$5,FALSE)</f>
        <v>0.61510298050000001</v>
      </c>
      <c r="G44" s="88">
        <f>VLOOKUP($D44,Résultats!$B$2:$AX$476,G$5,FALSE)</f>
        <v>0.51799951769999997</v>
      </c>
      <c r="H44" s="17">
        <f>VLOOKUP($D44,Résultats!$B$2:$AX$476,H$5,FALSE)</f>
        <v>0.48187442450000001</v>
      </c>
      <c r="I44" s="89">
        <f>VLOOKUP($D44,Résultats!$B$2:$AX$476,I$5,FALSE)</f>
        <v>0.44510665399999999</v>
      </c>
      <c r="J44" s="88">
        <f>VLOOKUP($D44,Résultats!$B$2:$AX$476,J$5,FALSE)</f>
        <v>0.46950754909999998</v>
      </c>
      <c r="K44" s="17">
        <f>VLOOKUP($D44,Résultats!$B$2:$AX$476,K$5,FALSE)</f>
        <v>0.49613849240000002</v>
      </c>
      <c r="L44" s="17">
        <f>VLOOKUP($D44,Résultats!$B$2:$AX$476,L$5,FALSE)</f>
        <v>0.5171371428</v>
      </c>
      <c r="M44" s="17">
        <f>VLOOKUP($D44,Résultats!$B$2:$AX$476,M$5,FALSE)</f>
        <v>0.62791657519999999</v>
      </c>
      <c r="N44" s="89">
        <f>VLOOKUP($D44,Résultats!$B$2:$AX$476,N$5,FALSE)</f>
        <v>0.72659496410000002</v>
      </c>
      <c r="O44" s="88">
        <f>VLOOKUP($D44,Résultats!$B$2:$AX$476,O$5,FALSE)</f>
        <v>0.6972788378</v>
      </c>
      <c r="P44" s="17">
        <f>VLOOKUP($D44,Résultats!$B$2:$AX$476,P$5,FALSE)</f>
        <v>0.6670574037</v>
      </c>
      <c r="Q44" s="17">
        <f>VLOOKUP($D44,Résultats!$B$2:$AX$476,Q$5,FALSE)</f>
        <v>0.63712588530000003</v>
      </c>
      <c r="R44" s="17">
        <f>VLOOKUP($D44,Résultats!$B$2:$AX$476,R$5,FALSE)</f>
        <v>0.61837297069999997</v>
      </c>
      <c r="S44" s="89">
        <f>VLOOKUP($D44,Résultats!$B$2:$AX$476,S$5,FALSE)</f>
        <v>0.59996259330000001</v>
      </c>
      <c r="T44" s="97">
        <f>VLOOKUP($D44,Résultats!$B$2:$AX$476,T$5,FALSE)</f>
        <v>0.73889174749999997</v>
      </c>
      <c r="U44" s="97">
        <f>VLOOKUP($D44,Résultats!$B$2:$AX$476,U$5,FALSE)</f>
        <v>0.88550960759999997</v>
      </c>
      <c r="V44" s="97">
        <f>VLOOKUP($D44,Résultats!$B$2:$AX$476,V$5,FALSE)</f>
        <v>0.89040959710000001</v>
      </c>
      <c r="W44" s="97">
        <f>VLOOKUP($D44,Résultats!$B$2:$AX$476,W$5,FALSE)</f>
        <v>0.8650467557</v>
      </c>
      <c r="X44" s="45">
        <f>W44-'[1]Cibles THREEME'!$AJ15</f>
        <v>0.55451718992715127</v>
      </c>
      <c r="Z44" s="197" t="s">
        <v>458</v>
      </c>
      <c r="AA44" s="16">
        <f>I36</f>
        <v>36.501704766399996</v>
      </c>
      <c r="AB44" s="16">
        <f>S36</f>
        <v>38.406304569899994</v>
      </c>
      <c r="AC44" s="86">
        <f>W36</f>
        <v>38.365548287640003</v>
      </c>
    </row>
    <row r="45" spans="1:39" x14ac:dyDescent="0.25">
      <c r="A45" s="3"/>
      <c r="B45" s="318" t="s">
        <v>53</v>
      </c>
      <c r="C45" s="5" t="s">
        <v>1</v>
      </c>
      <c r="D45" s="2" t="s">
        <v>385</v>
      </c>
      <c r="E45" s="6">
        <f>SUM(E46:E51)</f>
        <v>37.372062064399998</v>
      </c>
      <c r="F45" s="6">
        <f>SUM(F46:F51)</f>
        <v>41.7457084869</v>
      </c>
      <c r="G45" s="84">
        <f t="shared" ref="G45:R45" si="11">SUM(G46:G51)</f>
        <v>41.540479565800013</v>
      </c>
      <c r="H45" s="6">
        <f t="shared" si="11"/>
        <v>40.495742158199995</v>
      </c>
      <c r="I45" s="85">
        <f t="shared" si="11"/>
        <v>40.047686559200002</v>
      </c>
      <c r="J45" s="84">
        <f t="shared" si="11"/>
        <v>39.797637399499997</v>
      </c>
      <c r="K45" s="6">
        <f t="shared" si="11"/>
        <v>39.874522468799995</v>
      </c>
      <c r="L45" s="6">
        <f t="shared" si="11"/>
        <v>40.5601236933</v>
      </c>
      <c r="M45" s="6">
        <f t="shared" si="11"/>
        <v>39.916072690100002</v>
      </c>
      <c r="N45" s="85">
        <f t="shared" si="11"/>
        <v>39.491923441800004</v>
      </c>
      <c r="O45" s="84">
        <f t="shared" si="11"/>
        <v>38.817871914400001</v>
      </c>
      <c r="P45" s="6">
        <f t="shared" si="11"/>
        <v>38.220936590999997</v>
      </c>
      <c r="Q45" s="6">
        <f t="shared" si="11"/>
        <v>37.561712290000003</v>
      </c>
      <c r="R45" s="6">
        <f t="shared" si="11"/>
        <v>36.342029912999998</v>
      </c>
      <c r="S45" s="85">
        <f>SUM(S46:S51)</f>
        <v>35.138458347000004</v>
      </c>
      <c r="T45" s="94">
        <f>SUM(T46:T51)</f>
        <v>32.562069457999996</v>
      </c>
      <c r="U45" s="94">
        <f>SUM(U46:U51)</f>
        <v>30.355382408600001</v>
      </c>
      <c r="V45" s="94">
        <f>SUM(V46:V51)</f>
        <v>30.019347048</v>
      </c>
      <c r="W45" s="94">
        <f>SUM(W46:W51)</f>
        <v>28.201532630799996</v>
      </c>
      <c r="X45" s="3"/>
      <c r="Z45" s="197" t="s">
        <v>459</v>
      </c>
      <c r="AA45" s="16">
        <f>SUM(I47,I49:I51)</f>
        <v>12.2277928094</v>
      </c>
      <c r="AB45" s="16">
        <f>S47+SUM(S49:S51)</f>
        <v>18.383730376999999</v>
      </c>
      <c r="AC45" s="86">
        <f>W47+SUM(W49:W51)</f>
        <v>19.5502495868</v>
      </c>
    </row>
    <row r="46" spans="1:39" x14ac:dyDescent="0.25">
      <c r="A46" s="3"/>
      <c r="B46" s="319"/>
      <c r="C46" s="3" t="s">
        <v>13</v>
      </c>
      <c r="D46" s="3" t="s">
        <v>386</v>
      </c>
      <c r="E46" s="16">
        <f>VLOOKUP($D46,Résultats!$B$2:$AX$476,E$5,FALSE)</f>
        <v>34.363958930000003</v>
      </c>
      <c r="F46" s="16">
        <f>VLOOKUP($D46,Résultats!$B$2:$AX$476,F$5,FALSE)</f>
        <v>29.180449060000001</v>
      </c>
      <c r="G46" s="22">
        <f>VLOOKUP($D46,Résultats!$B$2:$AX$476,G$5,FALSE)</f>
        <v>28.659823029999998</v>
      </c>
      <c r="H46" s="16">
        <f>VLOOKUP($D46,Résultats!$B$2:$AX$476,H$5,FALSE)</f>
        <v>27.816910579999998</v>
      </c>
      <c r="I46" s="86">
        <f>VLOOKUP($D46,Résultats!$B$2:$AX$476,I$5,FALSE)</f>
        <v>27.388582719999999</v>
      </c>
      <c r="J46" s="22">
        <f>VLOOKUP($D46,Résultats!$B$2:$AX$476,J$5,FALSE)</f>
        <v>26.116604720000002</v>
      </c>
      <c r="K46" s="16">
        <f>VLOOKUP($D46,Résultats!$B$2:$AX$476,K$5,FALSE)</f>
        <v>25.037598240000001</v>
      </c>
      <c r="L46" s="16">
        <f>VLOOKUP($D46,Résultats!$B$2:$AX$476,L$5,FALSE)</f>
        <v>24.045404569999999</v>
      </c>
      <c r="M46" s="16">
        <f>VLOOKUP($D46,Résultats!$B$2:$AX$476,M$5,FALSE)</f>
        <v>22.889486260000002</v>
      </c>
      <c r="N46" s="86">
        <f>VLOOKUP($D46,Résultats!$B$2:$AX$476,N$5,FALSE)</f>
        <v>21.675295439999999</v>
      </c>
      <c r="O46" s="22">
        <f>VLOOKUP($D46,Résultats!$B$2:$AX$476,O$5,FALSE)</f>
        <v>20.119240990000002</v>
      </c>
      <c r="P46" s="16">
        <f>VLOOKUP($D46,Résultats!$B$2:$AX$476,P$5,FALSE)</f>
        <v>18.66987271</v>
      </c>
      <c r="Q46" s="16">
        <f>VLOOKUP($D46,Résultats!$B$2:$AX$476,Q$5,FALSE)</f>
        <v>17.251833600000001</v>
      </c>
      <c r="R46" s="16">
        <f>VLOOKUP($D46,Résultats!$B$2:$AX$476,R$5,FALSE)</f>
        <v>15.692206580000001</v>
      </c>
      <c r="S46" s="86">
        <f>VLOOKUP($D46,Résultats!$B$2:$AX$476,S$5,FALSE)</f>
        <v>14.240925470000001</v>
      </c>
      <c r="T46" s="95">
        <f>VLOOKUP($D46,Résultats!$B$2:$AX$476,T$5,FALSE)</f>
        <v>8.5474446180000001</v>
      </c>
      <c r="U46" s="95">
        <f>VLOOKUP($D46,Résultats!$B$2:$AX$476,U$5,FALSE)</f>
        <v>7.6231526179999998</v>
      </c>
      <c r="V46" s="95">
        <f>VLOOKUP($D46,Résultats!$B$2:$AX$476,V$5,FALSE)</f>
        <v>3.2042629150000002</v>
      </c>
      <c r="W46" s="95">
        <f>VLOOKUP($D46,Résultats!$B$2:$AX$476,W$5,FALSE)</f>
        <v>4.2560122299999996</v>
      </c>
      <c r="X46" s="45">
        <f>W46-'[1]Cibles THREEME'!$AJ17</f>
        <v>2.8589524193782241</v>
      </c>
      <c r="Z46" s="197" t="s">
        <v>460</v>
      </c>
      <c r="AA46" s="16">
        <f>I46+I48</f>
        <v>27.819893749799999</v>
      </c>
      <c r="AB46" s="16">
        <f>S46+S48</f>
        <v>16.754727970000001</v>
      </c>
      <c r="AC46" s="86">
        <f>W46+W48</f>
        <v>8.6512830439999995</v>
      </c>
    </row>
    <row r="47" spans="1:39" x14ac:dyDescent="0.25">
      <c r="A47" s="3"/>
      <c r="B47" s="319"/>
      <c r="C47" s="3" t="s">
        <v>14</v>
      </c>
      <c r="D47" s="3" t="s">
        <v>387</v>
      </c>
      <c r="E47" s="16">
        <f>VLOOKUP($D47,Résultats!$B$2:$AX$476,E$5,FALSE)</f>
        <v>1.6086113019999999</v>
      </c>
      <c r="F47" s="16">
        <f>VLOOKUP($D47,Résultats!$B$2:$AX$476,F$5,FALSE)</f>
        <v>7.6515735879999998</v>
      </c>
      <c r="G47" s="22">
        <f>VLOOKUP($D47,Résultats!$B$2:$AX$476,G$5,FALSE)</f>
        <v>7.8757711019999999</v>
      </c>
      <c r="H47" s="16">
        <f>VLOOKUP($D47,Résultats!$B$2:$AX$476,H$5,FALSE)</f>
        <v>7.7624678170000001</v>
      </c>
      <c r="I47" s="86">
        <f>VLOOKUP($D47,Résultats!$B$2:$AX$476,I$5,FALSE)</f>
        <v>7.7602649560000003</v>
      </c>
      <c r="J47" s="22">
        <f>VLOOKUP($D47,Résultats!$B$2:$AX$476,J$5,FALSE)</f>
        <v>7.9157729909999999</v>
      </c>
      <c r="K47" s="16">
        <f>VLOOKUP($D47,Résultats!$B$2:$AX$476,K$5,FALSE)</f>
        <v>8.1403051840000007</v>
      </c>
      <c r="L47" s="16">
        <f>VLOOKUP($D47,Résultats!$B$2:$AX$476,L$5,FALSE)</f>
        <v>8.7073717209999995</v>
      </c>
      <c r="M47" s="16">
        <f>VLOOKUP($D47,Résultats!$B$2:$AX$476,M$5,FALSE)</f>
        <v>8.6242967650000004</v>
      </c>
      <c r="N47" s="86">
        <f>VLOOKUP($D47,Résultats!$B$2:$AX$476,N$5,FALSE)</f>
        <v>8.7965743249999999</v>
      </c>
      <c r="O47" s="22">
        <f>VLOOKUP($D47,Résultats!$B$2:$AX$476,O$5,FALSE)</f>
        <v>8.7359578219999996</v>
      </c>
      <c r="P47" s="16">
        <f>VLOOKUP($D47,Résultats!$B$2:$AX$476,P$5,FALSE)</f>
        <v>8.6936005089999995</v>
      </c>
      <c r="Q47" s="16">
        <f>VLOOKUP($D47,Résultats!$B$2:$AX$476,Q$5,FALSE)</f>
        <v>8.6407837740000009</v>
      </c>
      <c r="R47" s="16">
        <f>VLOOKUP($D47,Résultats!$B$2:$AX$476,R$5,FALSE)</f>
        <v>8.5496918389999994</v>
      </c>
      <c r="S47" s="86">
        <f>VLOOKUP($D47,Résultats!$B$2:$AX$476,S$5,FALSE)</f>
        <v>8.4591340440000007</v>
      </c>
      <c r="T47" s="95">
        <f>VLOOKUP($D47,Résultats!$B$2:$AX$476,T$5,FALSE)</f>
        <v>9.3497584949999997</v>
      </c>
      <c r="U47" s="95">
        <f>VLOOKUP($D47,Résultats!$B$2:$AX$476,U$5,FALSE)</f>
        <v>7.2414022649999996</v>
      </c>
      <c r="V47" s="95">
        <f>VLOOKUP($D47,Résultats!$B$2:$AX$476,V$5,FALSE)</f>
        <v>9.7036500199999995</v>
      </c>
      <c r="W47" s="95">
        <f>VLOOKUP($D47,Résultats!$B$2:$AX$476,W$5,FALSE)</f>
        <v>7.1187187549999997</v>
      </c>
      <c r="X47" s="45">
        <f>W47-'[1]Cibles THREEME'!$AJ18</f>
        <v>-3.3139340465308784</v>
      </c>
      <c r="Z47" s="197" t="s">
        <v>461</v>
      </c>
      <c r="AA47" s="16">
        <f>I33</f>
        <v>62.187574884</v>
      </c>
      <c r="AB47" s="16">
        <f>S33</f>
        <v>47.010331084000001</v>
      </c>
      <c r="AC47" s="86">
        <f>W33</f>
        <v>17.429241596000001</v>
      </c>
    </row>
    <row r="48" spans="1:39" x14ac:dyDescent="0.25">
      <c r="A48" s="3"/>
      <c r="B48" s="319"/>
      <c r="C48" s="3" t="s">
        <v>15</v>
      </c>
      <c r="D48" s="3" t="s">
        <v>388</v>
      </c>
      <c r="E48" s="16">
        <f>VLOOKUP($D48,Résultats!$B$2:$AX$476,E$5,FALSE)</f>
        <v>0.20107641270000001</v>
      </c>
      <c r="F48" s="16">
        <f>VLOOKUP($D48,Résultats!$B$2:$AX$476,F$5,FALSE)</f>
        <v>0.126162897</v>
      </c>
      <c r="G48" s="22">
        <f>VLOOKUP($D48,Résultats!$B$2:$AX$476,G$5,FALSE)</f>
        <v>0.31899669580000001</v>
      </c>
      <c r="H48" s="16">
        <f>VLOOKUP($D48,Résultats!$B$2:$AX$476,H$5,FALSE)</f>
        <v>0.37361138500000002</v>
      </c>
      <c r="I48" s="86">
        <f>VLOOKUP($D48,Résultats!$B$2:$AX$476,I$5,FALSE)</f>
        <v>0.43131102980000002</v>
      </c>
      <c r="J48" s="22">
        <f>VLOOKUP($D48,Résultats!$B$2:$AX$476,J$5,FALSE)</f>
        <v>0.66939360349999999</v>
      </c>
      <c r="K48" s="16">
        <f>VLOOKUP($D48,Résultats!$B$2:$AX$476,K$5,FALSE)</f>
        <v>0.91769333620000004</v>
      </c>
      <c r="L48" s="16">
        <f>VLOOKUP($D48,Résultats!$B$2:$AX$476,L$5,FALSE)</f>
        <v>1.2027047749999999</v>
      </c>
      <c r="M48" s="16">
        <f>VLOOKUP($D48,Résultats!$B$2:$AX$476,M$5,FALSE)</f>
        <v>1.1846809949999999</v>
      </c>
      <c r="N48" s="86">
        <f>VLOOKUP($D48,Résultats!$B$2:$AX$476,N$5,FALSE)</f>
        <v>1.1954554529999999</v>
      </c>
      <c r="O48" s="22">
        <f>VLOOKUP($D48,Résultats!$B$2:$AX$476,O$5,FALSE)</f>
        <v>1.531484445</v>
      </c>
      <c r="P48" s="16">
        <f>VLOOKUP($D48,Résultats!$B$2:$AX$476,P$5,FALSE)</f>
        <v>1.8487177459999999</v>
      </c>
      <c r="Q48" s="16">
        <f>VLOOKUP($D48,Résultats!$B$2:$AX$476,Q$5,FALSE)</f>
        <v>2.1418590279999998</v>
      </c>
      <c r="R48" s="16">
        <f>VLOOKUP($D48,Résultats!$B$2:$AX$476,R$5,FALSE)</f>
        <v>2.3435204089999999</v>
      </c>
      <c r="S48" s="86">
        <f>VLOOKUP($D48,Résultats!$B$2:$AX$476,S$5,FALSE)</f>
        <v>2.5138025000000002</v>
      </c>
      <c r="T48" s="95">
        <f>VLOOKUP($D48,Résultats!$B$2:$AX$476,T$5,FALSE)</f>
        <v>2.8352758300000001</v>
      </c>
      <c r="U48" s="95">
        <f>VLOOKUP($D48,Résultats!$B$2:$AX$476,U$5,FALSE)</f>
        <v>3.4259734449999999</v>
      </c>
      <c r="V48" s="95">
        <f>VLOOKUP($D48,Résultats!$B$2:$AX$476,V$5,FALSE)</f>
        <v>3.7123199570000001</v>
      </c>
      <c r="W48" s="95">
        <f>VLOOKUP($D48,Résultats!$B$2:$AX$476,W$5,FALSE)</f>
        <v>4.3952708139999999</v>
      </c>
      <c r="X48" s="45">
        <f>W48-'[1]Cibles THREEME'!$AJ19</f>
        <v>-7.9058142255072195</v>
      </c>
      <c r="Z48" s="198" t="s">
        <v>42</v>
      </c>
      <c r="AA48" s="17">
        <f>I52</f>
        <v>2.0528116330000001</v>
      </c>
      <c r="AB48" s="17">
        <f>S52</f>
        <v>0.27431631870000001</v>
      </c>
      <c r="AC48" s="89">
        <f>W52</f>
        <v>0.1039220793</v>
      </c>
    </row>
    <row r="49" spans="1:29" x14ac:dyDescent="0.25">
      <c r="A49" s="3"/>
      <c r="B49" s="319"/>
      <c r="C49" s="3" t="s">
        <v>16</v>
      </c>
      <c r="D49" s="3" t="s">
        <v>389</v>
      </c>
      <c r="E49" s="16">
        <f>VLOOKUP($D49,Résultats!$B$2:$AX$476,E$5,FALSE)</f>
        <v>0.59518618160000003</v>
      </c>
      <c r="F49" s="16">
        <f>VLOOKUP($D49,Résultats!$B$2:$AX$476,F$5,FALSE)</f>
        <v>0.50178963529999998</v>
      </c>
      <c r="G49" s="22">
        <f>VLOOKUP($D49,Résultats!$B$2:$AX$476,G$5,FALSE)</f>
        <v>1.1339758200000001</v>
      </c>
      <c r="H49" s="16">
        <f>VLOOKUP($D49,Résultats!$B$2:$AX$476,H$5,FALSE)</f>
        <v>1.3109472900000001</v>
      </c>
      <c r="I49" s="86">
        <f>VLOOKUP($D49,Résultats!$B$2:$AX$476,I$5,FALSE)</f>
        <v>1.499295687</v>
      </c>
      <c r="J49" s="22">
        <f>VLOOKUP($D49,Résultats!$B$2:$AX$476,J$5,FALSE)</f>
        <v>1.5519939659999999</v>
      </c>
      <c r="K49" s="16">
        <f>VLOOKUP($D49,Résultats!$B$2:$AX$476,K$5,FALSE)</f>
        <v>1.61865784</v>
      </c>
      <c r="L49" s="16">
        <f>VLOOKUP($D49,Résultats!$B$2:$AX$476,L$5,FALSE)</f>
        <v>1.7182861899999999</v>
      </c>
      <c r="M49" s="16">
        <f>VLOOKUP($D49,Résultats!$B$2:$AX$476,M$5,FALSE)</f>
        <v>1.3686454649999999</v>
      </c>
      <c r="N49" s="86">
        <f>VLOOKUP($D49,Résultats!$B$2:$AX$476,N$5,FALSE)</f>
        <v>1.104816483</v>
      </c>
      <c r="O49" s="22">
        <f>VLOOKUP($D49,Résultats!$B$2:$AX$476,O$5,FALSE)</f>
        <v>1.1752521279999999</v>
      </c>
      <c r="P49" s="16">
        <f>VLOOKUP($D49,Résultats!$B$2:$AX$476,P$5,FALSE)</f>
        <v>1.242820198</v>
      </c>
      <c r="Q49" s="16">
        <f>VLOOKUP($D49,Résultats!$B$2:$AX$476,Q$5,FALSE)</f>
        <v>1.303460469</v>
      </c>
      <c r="R49" s="16">
        <f>VLOOKUP($D49,Résultats!$B$2:$AX$476,R$5,FALSE)</f>
        <v>1.369550625</v>
      </c>
      <c r="S49" s="86">
        <f>VLOOKUP($D49,Résultats!$B$2:$AX$476,S$5,FALSE)</f>
        <v>1.424097054</v>
      </c>
      <c r="T49" s="95">
        <f>VLOOKUP($D49,Résultats!$B$2:$AX$476,T$5,FALSE)</f>
        <v>1.4474439020000001</v>
      </c>
      <c r="U49" s="95">
        <f>VLOOKUP($D49,Résultats!$B$2:$AX$476,U$5,FALSE)</f>
        <v>0.99677869959999998</v>
      </c>
      <c r="V49" s="95">
        <f>VLOOKUP($D49,Résultats!$B$2:$AX$476,V$5,FALSE)</f>
        <v>1.1214199949999999</v>
      </c>
      <c r="W49" s="95">
        <f>VLOOKUP($D49,Résultats!$B$2:$AX$476,W$5,FALSE)</f>
        <v>0.73638686679999998</v>
      </c>
      <c r="X49" s="45">
        <f>W49-'[1]Cibles THREEME'!$AJ20</f>
        <v>3.7257131685885736E-2</v>
      </c>
      <c r="Z49" s="189" t="s">
        <v>485</v>
      </c>
      <c r="AA49" s="189">
        <f>SUM(AA44:AA48)</f>
        <v>140.78977784259999</v>
      </c>
      <c r="AB49" s="189">
        <f t="shared" ref="AB49:AC49" si="12">SUM(AB44:AB48)</f>
        <v>120.8294103196</v>
      </c>
      <c r="AC49" s="189">
        <f t="shared" si="12"/>
        <v>84.100244593740001</v>
      </c>
    </row>
    <row r="50" spans="1:29" x14ac:dyDescent="0.25">
      <c r="A50" s="3"/>
      <c r="B50" s="319"/>
      <c r="C50" s="3" t="s">
        <v>17</v>
      </c>
      <c r="D50" s="3" t="s">
        <v>390</v>
      </c>
      <c r="E50" s="16">
        <f>VLOOKUP($D50,Résultats!$B$2:$AX$476,E$5,FALSE)</f>
        <v>0.20107641270000001</v>
      </c>
      <c r="F50" s="16">
        <f>VLOOKUP($D50,Résultats!$B$2:$AX$476,F$5,FALSE)</f>
        <v>0.21930507660000001</v>
      </c>
      <c r="G50" s="22">
        <f>VLOOKUP($D50,Résultats!$B$2:$AX$476,G$5,FALSE)</f>
        <v>0.32157457</v>
      </c>
      <c r="H50" s="16">
        <f>VLOOKUP($D50,Résultats!$B$2:$AX$476,H$5,FALSE)</f>
        <v>0.34694937219999999</v>
      </c>
      <c r="I50" s="86">
        <f>VLOOKUP($D50,Résultats!$B$2:$AX$476,I$5,FALSE)</f>
        <v>0.37614345840000002</v>
      </c>
      <c r="J50" s="22">
        <f>VLOOKUP($D50,Résultats!$B$2:$AX$476,J$5,FALSE)</f>
        <v>0.44529717499999999</v>
      </c>
      <c r="K50" s="16">
        <f>VLOOKUP($D50,Résultats!$B$2:$AX$476,K$5,FALSE)</f>
        <v>0.5195101016</v>
      </c>
      <c r="L50" s="16">
        <f>VLOOKUP($D50,Résultats!$B$2:$AX$476,L$5,FALSE)</f>
        <v>0.62622009229999998</v>
      </c>
      <c r="M50" s="16">
        <f>VLOOKUP($D50,Résultats!$B$2:$AX$476,M$5,FALSE)</f>
        <v>0.74746721009999995</v>
      </c>
      <c r="N50" s="86">
        <f>VLOOKUP($D50,Résultats!$B$2:$AX$476,N$5,FALSE)</f>
        <v>0.8762405928</v>
      </c>
      <c r="O50" s="22">
        <f>VLOOKUP($D50,Résultats!$B$2:$AX$476,O$5,FALSE)</f>
        <v>0.95881707540000005</v>
      </c>
      <c r="P50" s="16">
        <f>VLOOKUP($D50,Résultats!$B$2:$AX$476,P$5,FALSE)</f>
        <v>1.0378068789999999</v>
      </c>
      <c r="Q50" s="16">
        <f>VLOOKUP($D50,Résultats!$B$2:$AX$476,Q$5,FALSE)</f>
        <v>1.1100196470000001</v>
      </c>
      <c r="R50" s="16">
        <f>VLOOKUP($D50,Résultats!$B$2:$AX$476,R$5,FALSE)</f>
        <v>1.1662235569999999</v>
      </c>
      <c r="S50" s="86">
        <f>VLOOKUP($D50,Résultats!$B$2:$AX$476,S$5,FALSE)</f>
        <v>1.213385924</v>
      </c>
      <c r="T50" s="95">
        <f>VLOOKUP($D50,Résultats!$B$2:$AX$476,T$5,FALSE)</f>
        <v>1.724628694</v>
      </c>
      <c r="U50" s="95">
        <f>VLOOKUP($D50,Résultats!$B$2:$AX$476,U$5,FALSE)</f>
        <v>1.6534336039999999</v>
      </c>
      <c r="V50" s="95">
        <f>VLOOKUP($D50,Résultats!$B$2:$AX$476,V$5,FALSE)</f>
        <v>1.9153591510000001</v>
      </c>
      <c r="W50" s="95">
        <f>VLOOKUP($D50,Résultats!$B$2:$AX$476,W$5,FALSE)</f>
        <v>1.6753616849999999</v>
      </c>
      <c r="X50" s="45">
        <f>W50-'[1]Cibles THREEME'!$AJ21</f>
        <v>0.73239781497594958</v>
      </c>
    </row>
    <row r="51" spans="1:29" x14ac:dyDescent="0.25">
      <c r="A51" s="3"/>
      <c r="B51" s="320"/>
      <c r="C51" s="7" t="s">
        <v>12</v>
      </c>
      <c r="D51" s="3" t="s">
        <v>391</v>
      </c>
      <c r="E51" s="17">
        <f>VLOOKUP($D51,Résultats!$B$2:$AX$476,E$5,FALSE)</f>
        <v>0.40215282540000002</v>
      </c>
      <c r="F51" s="17">
        <f>VLOOKUP($D51,Résultats!$B$2:$AX$476,F$5,FALSE)</f>
        <v>4.0664282299999996</v>
      </c>
      <c r="G51" s="88">
        <f>VLOOKUP($D51,Résultats!$B$2:$AX$476,G$5,FALSE)</f>
        <v>3.2303383480000001</v>
      </c>
      <c r="H51" s="17">
        <f>VLOOKUP($D51,Résultats!$B$2:$AX$476,H$5,FALSE)</f>
        <v>2.884855714</v>
      </c>
      <c r="I51" s="89">
        <f>VLOOKUP($D51,Résultats!$B$2:$AX$476,I$5,FALSE)</f>
        <v>2.5920887079999999</v>
      </c>
      <c r="J51" s="88">
        <f>VLOOKUP($D51,Résultats!$B$2:$AX$476,J$5,FALSE)</f>
        <v>3.0985749440000001</v>
      </c>
      <c r="K51" s="17">
        <f>VLOOKUP($D51,Résultats!$B$2:$AX$476,K$5,FALSE)</f>
        <v>3.6407577670000002</v>
      </c>
      <c r="L51" s="17">
        <f>VLOOKUP($D51,Résultats!$B$2:$AX$476,L$5,FALSE)</f>
        <v>4.2601363450000003</v>
      </c>
      <c r="M51" s="17">
        <f>VLOOKUP($D51,Résultats!$B$2:$AX$476,M$5,FALSE)</f>
        <v>5.1014959949999996</v>
      </c>
      <c r="N51" s="89">
        <f>VLOOKUP($D51,Résultats!$B$2:$AX$476,N$5,FALSE)</f>
        <v>5.8435411479999999</v>
      </c>
      <c r="O51" s="88">
        <f>VLOOKUP($D51,Résultats!$B$2:$AX$476,O$5,FALSE)</f>
        <v>6.2971194539999997</v>
      </c>
      <c r="P51" s="17">
        <f>VLOOKUP($D51,Résultats!$B$2:$AX$476,P$5,FALSE)</f>
        <v>6.7281185490000004</v>
      </c>
      <c r="Q51" s="17">
        <f>VLOOKUP($D51,Résultats!$B$2:$AX$476,Q$5,FALSE)</f>
        <v>7.1137557720000002</v>
      </c>
      <c r="R51" s="17">
        <f>VLOOKUP($D51,Résultats!$B$2:$AX$476,R$5,FALSE)</f>
        <v>7.2208369030000004</v>
      </c>
      <c r="S51" s="89">
        <f>VLOOKUP($D51,Résultats!$B$2:$AX$476,S$5,FALSE)</f>
        <v>7.2871133549999998</v>
      </c>
      <c r="T51" s="97">
        <f>VLOOKUP($D51,Résultats!$B$2:$AX$476,T$5,FALSE)</f>
        <v>8.657517919</v>
      </c>
      <c r="U51" s="97">
        <f>VLOOKUP($D51,Résultats!$B$2:$AX$476,U$5,FALSE)</f>
        <v>9.4146417769999999</v>
      </c>
      <c r="V51" s="97">
        <f>VLOOKUP($D51,Résultats!$B$2:$AX$476,V$5,FALSE)</f>
        <v>10.362335010000001</v>
      </c>
      <c r="W51" s="97">
        <f>VLOOKUP($D51,Résultats!$B$2:$AX$476,W$5,FALSE)</f>
        <v>10.019782279999999</v>
      </c>
      <c r="X51" s="45">
        <f>W51-'[1]Cibles THREEME'!$AJ22</f>
        <v>3.2584618884675907</v>
      </c>
    </row>
    <row r="52" spans="1:29" x14ac:dyDescent="0.25">
      <c r="A52" s="3"/>
      <c r="B52" s="170" t="s">
        <v>8</v>
      </c>
      <c r="C52" s="2"/>
      <c r="D52" s="14" t="s">
        <v>392</v>
      </c>
      <c r="E52" s="6">
        <f>VLOOKUP($D52,Résultats!$B$2:$AX$476,E$5,FALSE)</f>
        <v>5.7508898210000003</v>
      </c>
      <c r="F52" s="6">
        <f>VLOOKUP($D52,Résultats!$B$2:$AX$476,F$5,FALSE)</f>
        <v>4.218291958</v>
      </c>
      <c r="G52" s="84">
        <f>VLOOKUP($D52,Résultats!$B$2:$AX$476,G$5,FALSE)</f>
        <v>2.4530979660000001</v>
      </c>
      <c r="H52" s="6">
        <f>VLOOKUP($D52,Résultats!$B$2:$AX$476,H$5,FALSE)</f>
        <v>2.233237028</v>
      </c>
      <c r="I52" s="85">
        <f>VLOOKUP($D52,Résultats!$B$2:$AX$476,I$5,FALSE)</f>
        <v>2.0528116330000001</v>
      </c>
      <c r="J52" s="84">
        <f>VLOOKUP($D52,Résultats!$B$2:$AX$476,J$5,FALSE)</f>
        <v>1.996005144</v>
      </c>
      <c r="K52" s="6">
        <f>VLOOKUP($D52,Résultats!$B$2:$AX$476,K$5,FALSE)</f>
        <v>1.9712402710000001</v>
      </c>
      <c r="L52" s="6">
        <f>VLOOKUP($D52,Résultats!$B$2:$AX$476,L$5,FALSE)</f>
        <v>1.6733397619999999</v>
      </c>
      <c r="M52" s="6">
        <f>VLOOKUP($D52,Résultats!$B$2:$AX$476,M$5,FALSE)</f>
        <v>1.2805146000000001</v>
      </c>
      <c r="N52" s="85">
        <f>VLOOKUP($D52,Résultats!$B$2:$AX$476,N$5,FALSE)</f>
        <v>0.9218216186</v>
      </c>
      <c r="O52" s="84">
        <f>VLOOKUP($D52,Résultats!$B$2:$AX$476,O$5,FALSE)</f>
        <v>0.68834628470000003</v>
      </c>
      <c r="P52" s="6">
        <f>VLOOKUP($D52,Résultats!$B$2:$AX$476,P$5,FALSE)</f>
        <v>0.52848121579999996</v>
      </c>
      <c r="Q52" s="6">
        <f>VLOOKUP($D52,Résultats!$B$2:$AX$476,Q$5,FALSE)</f>
        <v>0.41613933320000002</v>
      </c>
      <c r="R52" s="6">
        <f>VLOOKUP($D52,Résultats!$B$2:$AX$476,R$5,FALSE)</f>
        <v>0.33401765290000002</v>
      </c>
      <c r="S52" s="85">
        <f>VLOOKUP($D52,Résultats!$B$2:$AX$476,S$5,FALSE)</f>
        <v>0.27431631870000001</v>
      </c>
      <c r="T52" s="94">
        <f>VLOOKUP($D52,Résultats!$B$2:$AX$476,T$5,FALSE)</f>
        <v>0.17828128630000001</v>
      </c>
      <c r="U52" s="94">
        <f>VLOOKUP($D52,Résultats!$B$2:$AX$476,U$5,FALSE)</f>
        <v>0.14131942789999999</v>
      </c>
      <c r="V52" s="94">
        <f>VLOOKUP($D52,Résultats!$B$2:$AX$476,V$5,FALSE)</f>
        <v>0.1178376734</v>
      </c>
      <c r="W52" s="94">
        <f>VLOOKUP($D52,Résultats!$B$2:$AX$476,W$5,FALSE)</f>
        <v>0.1039220793</v>
      </c>
      <c r="X52" s="3"/>
    </row>
    <row r="53" spans="1:29" x14ac:dyDescent="0.25">
      <c r="A53" s="3"/>
      <c r="B53" s="169" t="s">
        <v>1</v>
      </c>
      <c r="C53" s="2"/>
      <c r="D53" s="2" t="s">
        <v>393</v>
      </c>
      <c r="E53" s="9">
        <f>E52+E45+E36+E33</f>
        <v>160.99355901589999</v>
      </c>
      <c r="F53" s="9">
        <f>F52+F45+F36+F33</f>
        <v>154.29041356609997</v>
      </c>
      <c r="G53" s="23">
        <f t="shared" ref="G53:R53" si="13">G52+G45+G36+G33</f>
        <v>146.07796600210003</v>
      </c>
      <c r="H53" s="9">
        <f t="shared" si="13"/>
        <v>142.94615576959998</v>
      </c>
      <c r="I53" s="90">
        <f t="shared" si="13"/>
        <v>140.78977784260002</v>
      </c>
      <c r="J53" s="23">
        <f t="shared" si="13"/>
        <v>140.35386081269999</v>
      </c>
      <c r="K53" s="9">
        <f t="shared" si="13"/>
        <v>140.42370939670002</v>
      </c>
      <c r="L53" s="9">
        <f t="shared" si="13"/>
        <v>140.07361544919999</v>
      </c>
      <c r="M53" s="9">
        <f t="shared" si="13"/>
        <v>138.33715219069998</v>
      </c>
      <c r="N53" s="90">
        <f t="shared" si="13"/>
        <v>135.96525822800001</v>
      </c>
      <c r="O53" s="23">
        <f t="shared" si="13"/>
        <v>133.23177744739999</v>
      </c>
      <c r="P53" s="9">
        <f t="shared" si="13"/>
        <v>130.4824402788</v>
      </c>
      <c r="Q53" s="9">
        <f t="shared" si="13"/>
        <v>127.6533555946</v>
      </c>
      <c r="R53" s="9">
        <f t="shared" si="13"/>
        <v>124.24548435490001</v>
      </c>
      <c r="S53" s="90">
        <f>S52+S45+S36+S33</f>
        <v>120.8294103196</v>
      </c>
      <c r="T53" s="98">
        <f>T52+T45+T36+T33</f>
        <v>108.70208962327999</v>
      </c>
      <c r="U53" s="98">
        <f>U52+U45+U36+U33</f>
        <v>98.480228912499996</v>
      </c>
      <c r="V53" s="98">
        <f>V52+V45+V36+V33</f>
        <v>91.155441563279993</v>
      </c>
      <c r="W53" s="98">
        <f>W52+W45+W36+W33</f>
        <v>84.100244593740001</v>
      </c>
      <c r="X53" s="3"/>
    </row>
    <row r="54" spans="1:29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9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9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9" s="3" customFormat="1" x14ac:dyDescent="0.25"/>
    <row r="58" spans="1:29" s="3" customFormat="1" x14ac:dyDescent="0.25"/>
    <row r="59" spans="1:29" s="3" customFormat="1" x14ac:dyDescent="0.25"/>
    <row r="60" spans="1:29" s="3" customFormat="1" x14ac:dyDescent="0.25"/>
    <row r="61" spans="1:29" s="3" customFormat="1" x14ac:dyDescent="0.25"/>
    <row r="62" spans="1:29" s="3" customFormat="1" x14ac:dyDescent="0.25"/>
    <row r="63" spans="1:29" s="3" customFormat="1" x14ac:dyDescent="0.25"/>
    <row r="64" spans="1:29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0070C0"/>
  </sheetPr>
  <dimension ref="A1:AE860"/>
  <sheetViews>
    <sheetView tabSelected="1" topLeftCell="A102" zoomScale="70" zoomScaleNormal="70" workbookViewId="0">
      <selection activeCell="Q66" sqref="Q66"/>
    </sheetView>
  </sheetViews>
  <sheetFormatPr baseColWidth="10" defaultRowHeight="15" x14ac:dyDescent="0.25"/>
  <cols>
    <col min="1" max="2" width="11.42578125" style="3"/>
    <col min="3" max="3" width="37.28515625" customWidth="1"/>
    <col min="4" max="4" width="25.2851562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2" width="11.42578125" customWidth="1"/>
    <col min="14" max="14" width="24.85546875" style="3" customWidth="1"/>
    <col min="20" max="20" width="11.42578125" style="3"/>
    <col min="21" max="21" width="37.28515625" customWidth="1"/>
    <col min="22" max="22" width="25.2851562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31" max="31" width="11.42578125" style="3"/>
  </cols>
  <sheetData>
    <row r="1" spans="1:30" ht="28.5" x14ac:dyDescent="0.45">
      <c r="A1" s="171" t="s">
        <v>98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41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61" t="str">
        <f>Résultats!B1</f>
        <v>SNBC3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41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41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42"/>
      <c r="C6" s="42"/>
      <c r="D6" s="42"/>
      <c r="E6" s="42"/>
      <c r="F6" s="42"/>
      <c r="G6" s="42"/>
      <c r="H6" s="42"/>
      <c r="I6" s="42"/>
      <c r="J6" s="3"/>
      <c r="K6" s="3"/>
      <c r="M6" s="3"/>
      <c r="O6" s="3"/>
      <c r="P6" s="3"/>
      <c r="Q6" s="3"/>
      <c r="R6" s="41"/>
      <c r="S6" s="41"/>
      <c r="T6" s="42"/>
      <c r="U6" s="42"/>
      <c r="V6" s="42"/>
      <c r="W6" s="42"/>
      <c r="X6" s="42"/>
      <c r="Y6" s="42"/>
      <c r="Z6" s="42"/>
      <c r="AA6" s="42"/>
      <c r="AB6" s="3"/>
      <c r="AC6" s="3"/>
    </row>
    <row r="7" spans="1:30" ht="18.75" x14ac:dyDescent="0.3">
      <c r="C7" s="41" t="s">
        <v>83</v>
      </c>
      <c r="I7" s="3"/>
      <c r="J7" s="3"/>
      <c r="K7" s="3"/>
      <c r="L7" s="3"/>
      <c r="M7" s="3"/>
      <c r="N7" s="41" t="s">
        <v>84</v>
      </c>
      <c r="O7" s="3"/>
      <c r="P7" s="3"/>
      <c r="Q7" s="3"/>
      <c r="R7" s="3"/>
      <c r="S7" s="3"/>
      <c r="U7" s="41" t="s">
        <v>83</v>
      </c>
      <c r="AA7" s="3"/>
      <c r="AB7" s="3"/>
      <c r="AC7" s="3"/>
      <c r="AD7" s="3"/>
    </row>
    <row r="8" spans="1:30" ht="23.25" x14ac:dyDescent="0.35">
      <c r="B8" s="46"/>
      <c r="C8" s="42" t="s">
        <v>50</v>
      </c>
      <c r="D8" s="3"/>
      <c r="E8" s="42"/>
      <c r="F8" s="42"/>
      <c r="G8" s="42"/>
      <c r="H8" s="42"/>
      <c r="I8" s="42"/>
      <c r="J8" s="42"/>
      <c r="K8" s="42"/>
      <c r="L8" s="3"/>
      <c r="M8" s="3"/>
      <c r="N8" t="s">
        <v>85</v>
      </c>
      <c r="U8" s="42" t="s">
        <v>50</v>
      </c>
      <c r="V8" s="3"/>
      <c r="W8" s="42"/>
      <c r="X8" s="42"/>
      <c r="Y8" s="42"/>
      <c r="Z8" s="42"/>
      <c r="AA8" s="42"/>
      <c r="AB8" s="42"/>
      <c r="AC8" s="42"/>
      <c r="AD8" s="3"/>
    </row>
    <row r="9" spans="1:30" x14ac:dyDescent="0.25">
      <c r="B9" s="42"/>
      <c r="C9" s="3"/>
      <c r="D9" s="3"/>
      <c r="E9" s="3"/>
      <c r="F9" s="3"/>
      <c r="G9" s="3"/>
      <c r="H9" s="42"/>
      <c r="I9" s="42"/>
      <c r="J9" s="42"/>
      <c r="K9" s="42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42"/>
      <c r="AA9" s="42"/>
      <c r="AB9" s="42"/>
      <c r="AC9" s="42"/>
      <c r="AD9" s="3"/>
    </row>
    <row r="10" spans="1:30" ht="31.5" x14ac:dyDescent="0.35">
      <c r="B10" s="42"/>
      <c r="C10" s="145">
        <v>2015</v>
      </c>
      <c r="D10" s="146"/>
      <c r="E10" s="146"/>
      <c r="F10" s="146"/>
      <c r="G10" s="146"/>
      <c r="H10" s="76" t="s">
        <v>36</v>
      </c>
      <c r="I10" s="76" t="s">
        <v>49</v>
      </c>
      <c r="J10" s="76" t="s">
        <v>38</v>
      </c>
      <c r="K10" s="76" t="s">
        <v>48</v>
      </c>
      <c r="L10" s="93" t="s">
        <v>1</v>
      </c>
      <c r="M10" s="19"/>
      <c r="N10" s="145">
        <v>2015</v>
      </c>
      <c r="O10" s="141" t="s">
        <v>36</v>
      </c>
      <c r="P10" s="76" t="s">
        <v>49</v>
      </c>
      <c r="Q10" s="76" t="s">
        <v>38</v>
      </c>
      <c r="R10" s="76" t="s">
        <v>48</v>
      </c>
      <c r="S10" s="93" t="s">
        <v>1</v>
      </c>
      <c r="U10" s="145">
        <v>2015</v>
      </c>
      <c r="V10" s="146"/>
      <c r="W10" s="146"/>
      <c r="X10" s="146"/>
      <c r="Y10" s="146"/>
      <c r="Z10" s="76" t="s">
        <v>36</v>
      </c>
      <c r="AA10" s="76" t="s">
        <v>49</v>
      </c>
      <c r="AB10" s="76" t="s">
        <v>38</v>
      </c>
      <c r="AC10" s="76" t="s">
        <v>48</v>
      </c>
      <c r="AD10" s="93" t="s">
        <v>1</v>
      </c>
    </row>
    <row r="11" spans="1:30" x14ac:dyDescent="0.25">
      <c r="C11" s="147" t="s">
        <v>18</v>
      </c>
      <c r="H11" s="8">
        <f>SUM(H12:H13)</f>
        <v>0</v>
      </c>
      <c r="I11" s="8">
        <f>SUM(I12:I13)</f>
        <v>43.355639600000003</v>
      </c>
      <c r="J11" s="8">
        <f>SUM(J12:J13)</f>
        <v>1.2708550473</v>
      </c>
      <c r="K11" s="8">
        <f>SUM(K12:K13)</f>
        <v>0.24541983271082998</v>
      </c>
      <c r="L11" s="96">
        <f>SUM(H11:K11)</f>
        <v>44.871914480010837</v>
      </c>
      <c r="M11" s="75"/>
      <c r="N11" s="150" t="s">
        <v>18</v>
      </c>
      <c r="O11" s="29">
        <f>'[2]Bilan 2015'!$X$46</f>
        <v>0</v>
      </c>
      <c r="P11" s="28">
        <f>SUM('[2]Bilan 2015'!$X$41:$X$43)</f>
        <v>42.748696780825377</v>
      </c>
      <c r="Q11" s="28">
        <f>'[2]Bilan 2015'!$X$13</f>
        <v>0.94471195184866696</v>
      </c>
      <c r="R11" s="28">
        <f>('[2]Bilan 2015'!$X$22+'[2]Bilan 2015'!$X$30+SUM('[2]Bilan 2015'!$X$36:$X$40)+SUM('[2]Bilan 2015'!$X$44:$X$45)+'[2]Bilan 2015'!$X$47)</f>
        <v>7.267406707154804E-2</v>
      </c>
      <c r="S11" s="142">
        <f>SUM(O11:R11)</f>
        <v>43.76608279974559</v>
      </c>
      <c r="U11" s="147" t="s">
        <v>18</v>
      </c>
      <c r="Z11" s="8">
        <v>0</v>
      </c>
      <c r="AA11" s="8">
        <v>43.296715939999999</v>
      </c>
      <c r="AB11" s="8">
        <v>1.2190163543999999</v>
      </c>
      <c r="AC11" s="8">
        <v>0.24408603343621002</v>
      </c>
      <c r="AD11" s="96">
        <v>44.759818327836207</v>
      </c>
    </row>
    <row r="12" spans="1:30" x14ac:dyDescent="0.25">
      <c r="C12" s="148" t="s">
        <v>19</v>
      </c>
      <c r="D12" t="s">
        <v>394</v>
      </c>
      <c r="E12" t="s">
        <v>395</v>
      </c>
      <c r="F12" t="s">
        <v>396</v>
      </c>
      <c r="G12" t="s">
        <v>397</v>
      </c>
      <c r="H12" s="16">
        <f>VLOOKUP(D12,Résultats!$B$2:$AX$476,'T energie vecteurs'!F5,FALSE)</f>
        <v>0</v>
      </c>
      <c r="I12" s="16">
        <f>VLOOKUP(E12,Résultats!$B$2:$AX$476,'T energie vecteurs'!F5,FALSE)</f>
        <v>24.309185230000001</v>
      </c>
      <c r="J12" s="16">
        <f>VLOOKUP(F12,Résultats!$B$2:$AX$476,'T energie vecteurs'!F5,FALSE)</f>
        <v>2.30451523E-2</v>
      </c>
      <c r="K12" s="16">
        <f>VLOOKUP(G12,Résultats!$B$2:$AX$476,'T energie vecteurs'!F5,FALSE)</f>
        <v>7.6120108299999998E-6</v>
      </c>
      <c r="L12" s="95">
        <f t="shared" ref="L12:L19" si="0">SUM(H12:K12)</f>
        <v>24.33223799431083</v>
      </c>
      <c r="M12" s="16"/>
      <c r="N12" s="148" t="s">
        <v>19</v>
      </c>
      <c r="O12" s="143"/>
      <c r="P12" s="16"/>
      <c r="Q12" s="34"/>
      <c r="R12" s="16"/>
      <c r="S12" s="95"/>
      <c r="U12" s="148" t="s">
        <v>19</v>
      </c>
      <c r="V12" t="s">
        <v>394</v>
      </c>
      <c r="W12" t="s">
        <v>395</v>
      </c>
      <c r="X12" t="s">
        <v>396</v>
      </c>
      <c r="Y12" t="s">
        <v>397</v>
      </c>
      <c r="Z12" s="16">
        <v>0</v>
      </c>
      <c r="AA12" s="16">
        <v>24.25561944</v>
      </c>
      <c r="AB12" s="16">
        <v>2.90133404E-2</v>
      </c>
      <c r="AC12" s="16">
        <v>9.1395362099999892E-6</v>
      </c>
      <c r="AD12" s="95">
        <v>24.28464191993621</v>
      </c>
    </row>
    <row r="13" spans="1:30" x14ac:dyDescent="0.25">
      <c r="C13" s="149" t="s">
        <v>20</v>
      </c>
      <c r="D13" t="s">
        <v>398</v>
      </c>
      <c r="E13" t="s">
        <v>399</v>
      </c>
      <c r="F13" t="s">
        <v>400</v>
      </c>
      <c r="G13" t="s">
        <v>401</v>
      </c>
      <c r="H13" s="16">
        <f>VLOOKUP(D13,Résultats!$B$2:$AX$476,'T energie vecteurs'!F5,FALSE)</f>
        <v>0</v>
      </c>
      <c r="I13" s="16">
        <f>VLOOKUP(E13,Résultats!$B$2:$AX$476,'T energie vecteurs'!F5,FALSE)</f>
        <v>19.046454369999999</v>
      </c>
      <c r="J13" s="16">
        <f>VLOOKUP(F13,Résultats!$B$2:$AX$476,'T energie vecteurs'!F5,FALSE)</f>
        <v>1.2478098950000001</v>
      </c>
      <c r="K13" s="16">
        <f>VLOOKUP(G13,Résultats!$B$2:$AX$476,'T energie vecteurs'!F5,FALSE)</f>
        <v>0.24541222069999999</v>
      </c>
      <c r="L13" s="95">
        <f t="shared" si="0"/>
        <v>20.539676485699999</v>
      </c>
      <c r="M13" s="16"/>
      <c r="N13" s="149" t="s">
        <v>20</v>
      </c>
      <c r="O13" s="143"/>
      <c r="P13" s="16"/>
      <c r="Q13" s="34"/>
      <c r="R13" s="16"/>
      <c r="S13" s="95"/>
      <c r="U13" s="149" t="s">
        <v>20</v>
      </c>
      <c r="V13" t="s">
        <v>398</v>
      </c>
      <c r="W13" t="s">
        <v>399</v>
      </c>
      <c r="X13" t="s">
        <v>400</v>
      </c>
      <c r="Y13" t="s">
        <v>401</v>
      </c>
      <c r="Z13" s="16">
        <v>0</v>
      </c>
      <c r="AA13" s="16">
        <v>19.041096499999998</v>
      </c>
      <c r="AB13" s="16">
        <v>1.190003014</v>
      </c>
      <c r="AC13" s="16">
        <v>0.24407689390000001</v>
      </c>
      <c r="AD13" s="95">
        <v>20.475176407899998</v>
      </c>
    </row>
    <row r="14" spans="1:30" x14ac:dyDescent="0.25">
      <c r="C14" s="147" t="s">
        <v>21</v>
      </c>
      <c r="D14" t="s">
        <v>402</v>
      </c>
      <c r="E14" t="s">
        <v>403</v>
      </c>
      <c r="F14" t="s">
        <v>404</v>
      </c>
      <c r="G14" t="s">
        <v>405</v>
      </c>
      <c r="H14" s="8">
        <f>VLOOKUP(D14,Résultats!$B$2:$AX$476,'T energie vecteurs'!F5,FALSE)</f>
        <v>0.33851726789999997</v>
      </c>
      <c r="I14" s="8">
        <f>VLOOKUP(E14,Résultats!$B$2:$AX$476,'T energie vecteurs'!F5,FALSE)</f>
        <v>7.1809389299999999</v>
      </c>
      <c r="J14" s="8">
        <f>VLOOKUP(F14,Résultats!$B$2:$AX$476,'T energie vecteurs'!F5,FALSE)</f>
        <v>13.838159299999999</v>
      </c>
      <c r="K14" s="8">
        <f>VLOOKUP(G14,Résultats!$B$2:$AX$476,'T energie vecteurs'!F5,FALSE)+2</f>
        <v>20.478671769999998</v>
      </c>
      <c r="L14" s="96">
        <f>SUM(H14:K14)</f>
        <v>41.836287267899998</v>
      </c>
      <c r="M14" s="75"/>
      <c r="N14" s="150" t="s">
        <v>21</v>
      </c>
      <c r="O14" s="29">
        <f>'[2]Bilan 2015'!$V$46</f>
        <v>3.6764196608413298E-2</v>
      </c>
      <c r="P14" s="28">
        <f>SUM('[2]Bilan 2015'!$V$41:$V$43)</f>
        <v>6.6752954110546101</v>
      </c>
      <c r="Q14" s="28">
        <f>'[2]Bilan 2015'!$V$13</f>
        <v>13.6203670581426</v>
      </c>
      <c r="R14" s="28">
        <f>('[2]Bilan 2015'!$V$22+'[2]Bilan 2015'!$V$30+SUM('[2]Bilan 2015'!$V$36:$V$40)+SUM('[2]Bilan 2015'!$V$44:$V$45)+'[2]Bilan 2015'!$V$47)</f>
        <v>21.832863706323721</v>
      </c>
      <c r="S14" s="142">
        <f>SUM(O14:R14)</f>
        <v>42.165290372129348</v>
      </c>
      <c r="U14" s="147" t="s">
        <v>21</v>
      </c>
      <c r="V14" t="s">
        <v>402</v>
      </c>
      <c r="W14" t="s">
        <v>403</v>
      </c>
      <c r="X14" t="s">
        <v>404</v>
      </c>
      <c r="Y14" t="s">
        <v>405</v>
      </c>
      <c r="Z14" s="8">
        <v>0.33699222420000002</v>
      </c>
      <c r="AA14" s="8">
        <v>7.1888095700000001</v>
      </c>
      <c r="AB14" s="8">
        <v>13.80657761</v>
      </c>
      <c r="AC14" s="8">
        <v>20.35437817</v>
      </c>
      <c r="AD14" s="96">
        <v>41.686757574200001</v>
      </c>
    </row>
    <row r="15" spans="1:30" x14ac:dyDescent="0.25">
      <c r="C15" s="147" t="s">
        <v>22</v>
      </c>
      <c r="D15" t="s">
        <v>406</v>
      </c>
      <c r="E15" t="s">
        <v>407</v>
      </c>
      <c r="F15" t="s">
        <v>408</v>
      </c>
      <c r="G15" t="s">
        <v>409</v>
      </c>
      <c r="H15" s="8">
        <f>VLOOKUP(D15,Résultats!$B$2:$AX$476,'T energie vecteurs'!F5,FALSE)</f>
        <v>0</v>
      </c>
      <c r="I15" s="8">
        <f>VLOOKUP(E15,Résultats!$B$2:$AX$476,'T energie vecteurs'!F5,FALSE)</f>
        <v>3.6196490689999998</v>
      </c>
      <c r="J15" s="8">
        <f>VLOOKUP(F15,Résultats!$B$2:$AX$476,'T energie vecteurs'!F5,FALSE)</f>
        <v>11.39121155</v>
      </c>
      <c r="K15" s="8">
        <f>VLOOKUP(G15,Résultats!$B$2:$AX$476,'T energie vecteurs'!F5,FALSE)</f>
        <v>9.8570778879999903</v>
      </c>
      <c r="L15" s="96">
        <f t="shared" si="0"/>
        <v>24.867938506999991</v>
      </c>
      <c r="M15" s="75"/>
      <c r="N15" s="150" t="s">
        <v>22</v>
      </c>
      <c r="O15" s="29">
        <f>'[2]Bilan 2015'!$W$46</f>
        <v>4.3073392295861899E-2</v>
      </c>
      <c r="P15" s="28">
        <f>SUM('[2]Bilan 2015'!$W$41:$W$43)</f>
        <v>3.01546564464017</v>
      </c>
      <c r="Q15" s="28">
        <f>'[2]Bilan 2015'!$W$13</f>
        <v>12.701365476499801</v>
      </c>
      <c r="R15" s="28">
        <f>('[2]Bilan 2015'!$W$22+'[2]Bilan 2015'!$W$30+SUM('[2]Bilan 2015'!$W$36:$W$40)+SUM('[2]Bilan 2015'!$W$44:$W$45)+'[2]Bilan 2015'!$W$47)</f>
        <v>8.7461122445901367</v>
      </c>
      <c r="S15" s="142">
        <f t="shared" ref="S15:S19" si="1">SUM(O15:R15)</f>
        <v>24.506016758025968</v>
      </c>
      <c r="U15" s="147" t="s">
        <v>22</v>
      </c>
      <c r="V15" t="s">
        <v>406</v>
      </c>
      <c r="W15" t="s">
        <v>407</v>
      </c>
      <c r="X15" t="s">
        <v>408</v>
      </c>
      <c r="Y15" t="s">
        <v>409</v>
      </c>
      <c r="Z15" s="8">
        <v>0</v>
      </c>
      <c r="AA15" s="8">
        <v>4.1772130589999996</v>
      </c>
      <c r="AB15" s="8">
        <v>13.072682670000001</v>
      </c>
      <c r="AC15" s="8">
        <v>11.11972967</v>
      </c>
      <c r="AD15" s="96">
        <v>28.369625399</v>
      </c>
    </row>
    <row r="16" spans="1:30" x14ac:dyDescent="0.25">
      <c r="C16" s="147" t="s">
        <v>23</v>
      </c>
      <c r="H16" s="8">
        <f>SUM(H17:H18)</f>
        <v>4.8734490504999997</v>
      </c>
      <c r="I16" s="8">
        <f t="shared" ref="I16:K16" si="2">SUM(I17:I18)</f>
        <v>15.975274195999999</v>
      </c>
      <c r="J16" s="8">
        <f t="shared" si="2"/>
        <v>10.86974479</v>
      </c>
      <c r="K16" s="8">
        <f t="shared" si="2"/>
        <v>14.559423379</v>
      </c>
      <c r="L16" s="96">
        <f>SUM(H16:K16)</f>
        <v>46.277891415500001</v>
      </c>
      <c r="M16" s="75"/>
      <c r="N16" s="150" t="s">
        <v>490</v>
      </c>
      <c r="O16" s="29">
        <f>O17+O18</f>
        <v>4.2636280705371687</v>
      </c>
      <c r="P16" s="28">
        <f t="shared" ref="P16:R16" si="3">P17+P18</f>
        <v>14.865720748941945</v>
      </c>
      <c r="Q16" s="28">
        <f t="shared" si="3"/>
        <v>10.069552160228</v>
      </c>
      <c r="R16" s="28">
        <f t="shared" si="3"/>
        <v>13.756399814544654</v>
      </c>
      <c r="S16" s="142">
        <f t="shared" si="1"/>
        <v>42.95530079425177</v>
      </c>
      <c r="U16" s="147" t="s">
        <v>23</v>
      </c>
      <c r="Z16" s="8">
        <v>4.8765354159999994</v>
      </c>
      <c r="AA16" s="8">
        <v>16.050480682</v>
      </c>
      <c r="AB16" s="8">
        <v>10.887530870000001</v>
      </c>
      <c r="AC16" s="8">
        <v>14.568884021000001</v>
      </c>
      <c r="AD16" s="96">
        <v>46.383430989000004</v>
      </c>
    </row>
    <row r="17" spans="2:30" x14ac:dyDescent="0.25">
      <c r="C17" s="149" t="s">
        <v>24</v>
      </c>
      <c r="D17" t="s">
        <v>410</v>
      </c>
      <c r="E17" t="s">
        <v>411</v>
      </c>
      <c r="F17" t="s">
        <v>412</v>
      </c>
      <c r="G17" t="s">
        <v>413</v>
      </c>
      <c r="H17" s="16">
        <f>VLOOKUP(D17,Résultats!$B$2:$AX$476,'T energie vecteurs'!F5,FALSE)</f>
        <v>3.8797746900000001</v>
      </c>
      <c r="I17" s="16">
        <f>VLOOKUP(E17,Résultats!$B$2:$AX$476,'T energie vecteurs'!F5,FALSE)</f>
        <v>14.0791413</v>
      </c>
      <c r="J17" s="16">
        <f>VLOOKUP(F17,Résultats!$B$2:$AX$476,'T energie vecteurs'!F5,FALSE)</f>
        <v>10.86974479</v>
      </c>
      <c r="K17" s="16">
        <f>VLOOKUP(G17,Résultats!$B$2:$AX$476,'T energie vecteurs'!F5,FALSE)</f>
        <v>12.769227190000001</v>
      </c>
      <c r="L17" s="95">
        <f t="shared" si="0"/>
        <v>41.597887970000002</v>
      </c>
      <c r="M17" s="16"/>
      <c r="N17" s="149" t="s">
        <v>491</v>
      </c>
      <c r="O17" s="143">
        <f>'[2]Bilan 2015'!$U$46</f>
        <v>1.0493092649428299</v>
      </c>
      <c r="P17" s="30">
        <f>SUM('[2]Bilan 2015'!$U$41:$U$43)</f>
        <v>2.4127207489419455</v>
      </c>
      <c r="Q17" s="30">
        <f>'[2]Bilan 2015'!$U$13</f>
        <v>10.069552160228</v>
      </c>
      <c r="R17" s="30">
        <f>('[2]Bilan 2015'!$U$22+'[2]Bilan 2015'!$U$30+SUM('[2]Bilan 2015'!$U$36:$U$40)+SUM('[2]Bilan 2015'!$U$44:$U$45)+'[2]Bilan 2015'!$U$47)</f>
        <v>12.654813573219924</v>
      </c>
      <c r="S17" s="95">
        <f t="shared" si="1"/>
        <v>26.186395747332696</v>
      </c>
      <c r="U17" s="149" t="s">
        <v>24</v>
      </c>
      <c r="V17" t="s">
        <v>410</v>
      </c>
      <c r="W17" t="s">
        <v>411</v>
      </c>
      <c r="X17" t="s">
        <v>412</v>
      </c>
      <c r="Y17" t="s">
        <v>413</v>
      </c>
      <c r="Z17" s="16">
        <v>3.8823198269999999</v>
      </c>
      <c r="AA17" s="16">
        <v>14.15502992</v>
      </c>
      <c r="AB17" s="16">
        <v>10.887530870000001</v>
      </c>
      <c r="AC17" s="16">
        <v>12.78159413</v>
      </c>
      <c r="AD17" s="95">
        <v>41.706474747000001</v>
      </c>
    </row>
    <row r="18" spans="2:30" x14ac:dyDescent="0.25">
      <c r="C18" s="149" t="s">
        <v>47</v>
      </c>
      <c r="D18" t="s">
        <v>414</v>
      </c>
      <c r="E18" t="s">
        <v>415</v>
      </c>
      <c r="F18" t="s">
        <v>416</v>
      </c>
      <c r="G18" t="s">
        <v>417</v>
      </c>
      <c r="H18" s="16">
        <f>VLOOKUP(D18,Résultats!$B$2:$AX$476,'T energie vecteurs'!F5,FALSE)</f>
        <v>0.99367436050000002</v>
      </c>
      <c r="I18" s="16">
        <f>VLOOKUP(E18,Résultats!$B$2:$AX$476,'T energie vecteurs'!F5,FALSE)</f>
        <v>1.8961328959999999</v>
      </c>
      <c r="J18" s="16">
        <f>VLOOKUP(F18,Résultats!$B$2:$AX$476,'T energie vecteurs'!F5,FALSE)</f>
        <v>0</v>
      </c>
      <c r="K18" s="16">
        <f>VLOOKUP(G18,Résultats!$B$2:$AX$476,'T energie vecteurs'!F5,FALSE)</f>
        <v>1.790196189</v>
      </c>
      <c r="L18" s="95">
        <f t="shared" si="0"/>
        <v>4.6800034455000006</v>
      </c>
      <c r="M18" s="16"/>
      <c r="N18" s="149" t="s">
        <v>47</v>
      </c>
      <c r="O18" s="22">
        <f>'[2]Bilan 2015'!$E$52</f>
        <v>3.2143188055943388</v>
      </c>
      <c r="P18" s="16">
        <f>('[2]Bilan 2015'!$E$54+'[2]Bilan 2015'!$E$56)</f>
        <v>12.452999999999999</v>
      </c>
      <c r="Q18" s="16">
        <v>0</v>
      </c>
      <c r="R18" s="16">
        <f>('[2]Bilan 2015'!$E$53+'[2]Bilan 2015'!$E$55+'[2]Bilan 2015'!$E$57)</f>
        <v>1.1015862413247299</v>
      </c>
      <c r="S18" s="95">
        <f t="shared" si="1"/>
        <v>16.768905046919066</v>
      </c>
      <c r="U18" s="149" t="s">
        <v>47</v>
      </c>
      <c r="V18" t="s">
        <v>414</v>
      </c>
      <c r="W18" t="s">
        <v>415</v>
      </c>
      <c r="X18" t="s">
        <v>416</v>
      </c>
      <c r="Y18" t="s">
        <v>417</v>
      </c>
      <c r="Z18" s="16">
        <v>0.99421558899999996</v>
      </c>
      <c r="AA18" s="16">
        <v>1.8954507620000001</v>
      </c>
      <c r="AB18" s="16">
        <v>0</v>
      </c>
      <c r="AC18" s="16">
        <v>1.7872898909999999</v>
      </c>
      <c r="AD18" s="95">
        <v>4.6769562419999993</v>
      </c>
    </row>
    <row r="19" spans="2:30" x14ac:dyDescent="0.25">
      <c r="C19" s="313" t="s">
        <v>25</v>
      </c>
      <c r="D19" s="314" t="s">
        <v>418</v>
      </c>
      <c r="E19" s="314" t="s">
        <v>419</v>
      </c>
      <c r="F19" s="314" t="s">
        <v>420</v>
      </c>
      <c r="G19" s="314" t="s">
        <v>421</v>
      </c>
      <c r="H19" s="315">
        <f>VLOOKUP(D19,Résultats!$B$2:$AX$476,'T energie vecteurs'!F5,FALSE)</f>
        <v>0</v>
      </c>
      <c r="I19" s="315">
        <f>VLOOKUP(E19,Résultats!$B$2:$AX$476,'T energie vecteurs'!F5,FALSE)</f>
        <v>2.4072938719999999</v>
      </c>
      <c r="J19" s="315">
        <f>VLOOKUP(F19,Résultats!$B$2:$AX$476,'T energie vecteurs'!F5,FALSE)</f>
        <v>0.31377965889999998</v>
      </c>
      <c r="K19" s="315">
        <f>VLOOKUP(G19,Résultats!$B$2:$AX$476,'T energie vecteurs'!F5,FALSE)</f>
        <v>0.39531180760000001</v>
      </c>
      <c r="L19" s="316">
        <f t="shared" si="0"/>
        <v>3.1163853385000002</v>
      </c>
      <c r="M19" s="16"/>
      <c r="N19" s="150" t="s">
        <v>25</v>
      </c>
      <c r="O19" s="29">
        <f>'[2]Bilan 2015'!$T$46</f>
        <v>2.2137192704974398E-3</v>
      </c>
      <c r="P19" s="28">
        <f>SUM('[2]Bilan 2015'!$T$41:$T$43)</f>
        <v>3.4936667755496749</v>
      </c>
      <c r="Q19" s="28">
        <f>'[2]Bilan 2015'!$T$13</f>
        <v>0.74651762682717104</v>
      </c>
      <c r="R19" s="28">
        <f>('[2]Bilan 2015'!$T$22+'[2]Bilan 2015'!$T$30+SUM('[2]Bilan 2015'!$T$36:$T$40)+SUM('[2]Bilan 2015'!$T$44:$T$45)+'[2]Bilan 2015'!$T$47)</f>
        <v>0.24365267378081518</v>
      </c>
      <c r="S19" s="142">
        <f t="shared" si="1"/>
        <v>4.4860507954281585</v>
      </c>
      <c r="U19" s="313" t="s">
        <v>25</v>
      </c>
      <c r="V19" s="314" t="s">
        <v>418</v>
      </c>
      <c r="W19" s="314" t="s">
        <v>419</v>
      </c>
      <c r="X19" s="314" t="s">
        <v>420</v>
      </c>
      <c r="Y19" s="314" t="s">
        <v>421</v>
      </c>
      <c r="Z19" s="315">
        <v>0</v>
      </c>
      <c r="AA19" s="315">
        <v>2.4414492499999998</v>
      </c>
      <c r="AB19" s="315">
        <v>0.31740027170000001</v>
      </c>
      <c r="AC19" s="315">
        <v>0.39932898379999998</v>
      </c>
      <c r="AD19" s="316">
        <v>3.1581785054999996</v>
      </c>
    </row>
    <row r="20" spans="2:30" x14ac:dyDescent="0.25">
      <c r="C20" s="23" t="s">
        <v>26</v>
      </c>
      <c r="D20" s="10"/>
      <c r="E20" s="10"/>
      <c r="F20" s="10"/>
      <c r="G20" s="10"/>
      <c r="H20" s="9">
        <f>SUM(H11,H14:H16,H19)</f>
        <v>5.2119663184</v>
      </c>
      <c r="I20" s="9">
        <f t="shared" ref="I20:K20" si="4">SUM(I11,I14:I16,I19)</f>
        <v>72.538795666999988</v>
      </c>
      <c r="J20" s="9">
        <f t="shared" si="4"/>
        <v>37.6837503462</v>
      </c>
      <c r="K20" s="9">
        <f t="shared" si="4"/>
        <v>45.535904677310825</v>
      </c>
      <c r="L20" s="98">
        <f>SUM(H20:K20)</f>
        <v>160.97041700891083</v>
      </c>
      <c r="M20" s="79"/>
      <c r="N20" s="151" t="s">
        <v>26</v>
      </c>
      <c r="O20" s="32">
        <f>O11+O14+O15+O16+O19</f>
        <v>4.3456793787119414</v>
      </c>
      <c r="P20" s="31">
        <f>P11+P14+P15+P16+P19</f>
        <v>70.798845361011772</v>
      </c>
      <c r="Q20" s="31">
        <f>Q11+Q14+Q15+Q16+Q19</f>
        <v>38.082514273546238</v>
      </c>
      <c r="R20" s="31">
        <f>R11+R14+R15+R16+R19</f>
        <v>44.651702506310876</v>
      </c>
      <c r="S20" s="144">
        <f>SUM(O20:R20)</f>
        <v>157.87874151958081</v>
      </c>
      <c r="T20" s="45"/>
      <c r="U20" s="23" t="s">
        <v>26</v>
      </c>
      <c r="V20" s="10"/>
      <c r="W20" s="10"/>
      <c r="X20" s="10"/>
      <c r="Y20" s="10"/>
      <c r="Z20" s="9">
        <v>5.2135276401999997</v>
      </c>
      <c r="AA20" s="9">
        <v>73.154668501000003</v>
      </c>
      <c r="AB20" s="9">
        <v>39.303207776100002</v>
      </c>
      <c r="AC20" s="9">
        <v>46.686406878236212</v>
      </c>
      <c r="AD20" s="98">
        <v>164.35781079553624</v>
      </c>
    </row>
    <row r="21" spans="2:30" s="3" customFormat="1" x14ac:dyDescent="0.25">
      <c r="B21" s="60"/>
      <c r="H21" s="45"/>
      <c r="I21" s="45"/>
      <c r="J21" s="45"/>
      <c r="K21" s="45"/>
      <c r="L21" s="45">
        <f>L11+L14+L15+L16+L19</f>
        <v>160.97041700891083</v>
      </c>
      <c r="M21" s="45"/>
      <c r="N21" s="45"/>
      <c r="O21" s="77"/>
      <c r="P21" s="77"/>
      <c r="Q21" s="77"/>
      <c r="R21" s="78"/>
      <c r="S21" s="45"/>
      <c r="Z21" s="45"/>
      <c r="AA21" s="45"/>
      <c r="AB21" s="45"/>
      <c r="AC21" s="45"/>
      <c r="AD21" s="45">
        <v>164.35781079553621</v>
      </c>
    </row>
    <row r="22" spans="2:30" s="3" customFormat="1" x14ac:dyDescent="0.25">
      <c r="I22" s="45"/>
      <c r="J22" s="45"/>
      <c r="K22" s="45"/>
      <c r="AA22" s="45"/>
      <c r="AB22" s="45"/>
      <c r="AC22" s="45"/>
    </row>
    <row r="23" spans="2:30" ht="31.5" x14ac:dyDescent="0.35">
      <c r="C23" s="145">
        <v>2020</v>
      </c>
      <c r="D23" s="146"/>
      <c r="E23" s="146"/>
      <c r="F23" s="146"/>
      <c r="G23" s="146"/>
      <c r="H23" s="76" t="s">
        <v>36</v>
      </c>
      <c r="I23" s="76" t="s">
        <v>49</v>
      </c>
      <c r="J23" s="76" t="s">
        <v>38</v>
      </c>
      <c r="K23" s="76" t="s">
        <v>48</v>
      </c>
      <c r="L23" s="93" t="s">
        <v>1</v>
      </c>
      <c r="M23" s="19"/>
      <c r="N23" s="145">
        <v>2020</v>
      </c>
      <c r="O23" s="141" t="s">
        <v>36</v>
      </c>
      <c r="P23" s="76" t="s">
        <v>49</v>
      </c>
      <c r="Q23" s="76" t="s">
        <v>38</v>
      </c>
      <c r="R23" s="76" t="s">
        <v>48</v>
      </c>
      <c r="S23" s="93" t="s">
        <v>1</v>
      </c>
      <c r="T23" s="19"/>
      <c r="U23" s="145">
        <v>2020</v>
      </c>
      <c r="V23" s="146"/>
      <c r="W23" s="146"/>
      <c r="X23" s="146"/>
      <c r="Y23" s="146"/>
      <c r="Z23" s="76" t="s">
        <v>36</v>
      </c>
      <c r="AA23" s="76" t="s">
        <v>49</v>
      </c>
      <c r="AB23" s="76" t="s">
        <v>38</v>
      </c>
      <c r="AC23" s="76" t="s">
        <v>48</v>
      </c>
      <c r="AD23" s="93" t="s">
        <v>1</v>
      </c>
    </row>
    <row r="24" spans="2:30" x14ac:dyDescent="0.25">
      <c r="C24" s="147" t="s">
        <v>18</v>
      </c>
      <c r="H24" s="8">
        <f>SUM(H25:H26)</f>
        <v>0</v>
      </c>
      <c r="I24" s="8">
        <f>SUM(I25:I26)</f>
        <v>41.965124959999997</v>
      </c>
      <c r="J24" s="8">
        <f>SUM(J25:J26)</f>
        <v>1.6061754189999999</v>
      </c>
      <c r="K24" s="8">
        <f>SUM(K25:K26)</f>
        <v>0.27392036909290002</v>
      </c>
      <c r="L24" s="96">
        <f t="shared" ref="L24:L33" si="5">SUM(H24:K24)</f>
        <v>43.845220748092899</v>
      </c>
      <c r="M24" s="75"/>
      <c r="N24" s="150" t="s">
        <v>18</v>
      </c>
      <c r="O24" s="29">
        <f>'[2]Bilan 2020'!$X$46/11.63</f>
        <v>0</v>
      </c>
      <c r="P24" s="28">
        <f>SUM('[2]Bilan 2020'!$X$41:$X$43)/11.63</f>
        <v>35.668036461633939</v>
      </c>
      <c r="Q24" s="28">
        <f>'[2]Bilan 2020'!$X$13/11.63</f>
        <v>0.71687008340498715</v>
      </c>
      <c r="R24" s="28">
        <f>('[2]Bilan 2020'!$X$22+'[2]Bilan 2020'!$X$30+SUM('[2]Bilan 2020'!$X$36:$X$40)+SUM('[2]Bilan 2020'!$X$44:$X$45)+'[2]Bilan 2020'!$X$47)/11.63</f>
        <v>0.19326865864144452</v>
      </c>
      <c r="S24" s="142">
        <f>SUM(O24:R24)</f>
        <v>36.578175203680367</v>
      </c>
      <c r="T24" s="75"/>
      <c r="U24" s="147" t="s">
        <v>18</v>
      </c>
      <c r="Z24" s="8">
        <v>0</v>
      </c>
      <c r="AA24" s="8">
        <v>42.470170709999998</v>
      </c>
      <c r="AB24" s="8">
        <v>1.4398483075000001</v>
      </c>
      <c r="AC24" s="8">
        <v>0.26857153999110001</v>
      </c>
      <c r="AD24" s="96">
        <v>44.178590557491098</v>
      </c>
    </row>
    <row r="25" spans="2:30" x14ac:dyDescent="0.25">
      <c r="C25" s="148" t="s">
        <v>19</v>
      </c>
      <c r="D25" t="s">
        <v>394</v>
      </c>
      <c r="E25" t="s">
        <v>395</v>
      </c>
      <c r="F25" t="s">
        <v>396</v>
      </c>
      <c r="G25" t="s">
        <v>397</v>
      </c>
      <c r="H25" s="16">
        <f>VLOOKUP(D25,Résultats!$B$2:$AX$476,'T energie vecteurs'!I5,FALSE)</f>
        <v>0</v>
      </c>
      <c r="I25" s="16">
        <f>VLOOKUP(E25,Résultats!$B$2:$AX$476,'T energie vecteurs'!I5,FALSE)</f>
        <v>23.34422906</v>
      </c>
      <c r="J25" s="16">
        <f>VLOOKUP(F25,Résultats!$B$2:$AX$476,'T energie vecteurs'!I5,FALSE)</f>
        <v>9.1818586999999896E-2</v>
      </c>
      <c r="K25" s="16">
        <f>VLOOKUP(G77,Résultats!$B$2:$AX$476,'T energie vecteurs'!I5,FALSE)</f>
        <v>1.03554929E-5</v>
      </c>
      <c r="L25" s="95">
        <f t="shared" si="5"/>
        <v>23.436058002492899</v>
      </c>
      <c r="M25" s="16"/>
      <c r="N25" s="148" t="s">
        <v>19</v>
      </c>
      <c r="O25" s="143"/>
      <c r="P25" s="16"/>
      <c r="Q25" s="34"/>
      <c r="R25" s="16"/>
      <c r="S25" s="95"/>
      <c r="T25" s="16"/>
      <c r="U25" s="148" t="s">
        <v>19</v>
      </c>
      <c r="V25" t="s">
        <v>394</v>
      </c>
      <c r="W25" t="s">
        <v>395</v>
      </c>
      <c r="X25" t="s">
        <v>396</v>
      </c>
      <c r="Y25" t="s">
        <v>397</v>
      </c>
      <c r="Z25" s="16">
        <v>0</v>
      </c>
      <c r="AA25" s="16">
        <v>23.933606399999999</v>
      </c>
      <c r="AB25" s="16">
        <v>0.1115936015</v>
      </c>
      <c r="AC25" s="16">
        <v>1.3015391099999999E-5</v>
      </c>
      <c r="AD25" s="95">
        <v>24.0452130168911</v>
      </c>
    </row>
    <row r="26" spans="2:30" x14ac:dyDescent="0.25">
      <c r="C26" s="149" t="s">
        <v>20</v>
      </c>
      <c r="D26" t="s">
        <v>398</v>
      </c>
      <c r="E26" t="s">
        <v>399</v>
      </c>
      <c r="F26" t="s">
        <v>400</v>
      </c>
      <c r="G26" t="s">
        <v>401</v>
      </c>
      <c r="H26" s="16">
        <f>VLOOKUP(D26,Résultats!$B$2:$AX$476,'T energie vecteurs'!I5,FALSE)</f>
        <v>0</v>
      </c>
      <c r="I26" s="16">
        <f>VLOOKUP(E26,Résultats!$B$2:$AX$476,'T energie vecteurs'!I5,FALSE)</f>
        <v>18.620895900000001</v>
      </c>
      <c r="J26" s="16">
        <f>VLOOKUP(F26,Résultats!$B$2:$AX$476,'T energie vecteurs'!I5,FALSE)</f>
        <v>1.514356832</v>
      </c>
      <c r="K26" s="16">
        <f>VLOOKUP(G26,Résultats!$B$2:$AX$476,'T energie vecteurs'!I5,FALSE)</f>
        <v>0.2739100136</v>
      </c>
      <c r="L26" s="95">
        <f t="shared" si="5"/>
        <v>20.4091627456</v>
      </c>
      <c r="M26" s="16"/>
      <c r="N26" s="149" t="s">
        <v>20</v>
      </c>
      <c r="O26" s="143"/>
      <c r="P26" s="16"/>
      <c r="Q26" s="34"/>
      <c r="R26" s="16"/>
      <c r="S26" s="95"/>
      <c r="T26" s="16"/>
      <c r="U26" s="149" t="s">
        <v>20</v>
      </c>
      <c r="V26" t="s">
        <v>398</v>
      </c>
      <c r="W26" t="s">
        <v>399</v>
      </c>
      <c r="X26" t="s">
        <v>400</v>
      </c>
      <c r="Y26" t="s">
        <v>401</v>
      </c>
      <c r="Z26" s="16">
        <v>0</v>
      </c>
      <c r="AA26" s="16">
        <v>18.536564309999999</v>
      </c>
      <c r="AB26" s="16">
        <v>1.3282547060000001</v>
      </c>
      <c r="AC26" s="16">
        <v>0.26855852460000001</v>
      </c>
      <c r="AD26" s="95">
        <v>20.133377540599998</v>
      </c>
    </row>
    <row r="27" spans="2:30" x14ac:dyDescent="0.25">
      <c r="C27" s="147" t="s">
        <v>21</v>
      </c>
      <c r="D27" t="s">
        <v>402</v>
      </c>
      <c r="E27" t="s">
        <v>403</v>
      </c>
      <c r="F27" t="s">
        <v>404</v>
      </c>
      <c r="G27" t="s">
        <v>405</v>
      </c>
      <c r="H27" s="8">
        <f>VLOOKUP(D27,Résultats!$B$2:$AX$476,'T energie vecteurs'!I5,FALSE)</f>
        <v>0.3273750668</v>
      </c>
      <c r="I27" s="8">
        <f>VLOOKUP(E27,Résultats!$B$2:$AX$476,'T energie vecteurs'!I5,FALSE)</f>
        <v>6.4424024400000004</v>
      </c>
      <c r="J27" s="8">
        <f>VLOOKUP(F27,Résultats!$B$2:$AX$476,'T energie vecteurs'!I5,FALSE)</f>
        <v>14.585902320000001</v>
      </c>
      <c r="K27" s="8">
        <f>VLOOKUP(G27,Résultats!$B$2:$AX$476,'T energie vecteurs'!I5,FALSE)+2</f>
        <v>19.844722619999999</v>
      </c>
      <c r="L27" s="96">
        <f t="shared" si="5"/>
        <v>41.200402446799998</v>
      </c>
      <c r="M27" s="75"/>
      <c r="N27" s="150" t="s">
        <v>21</v>
      </c>
      <c r="O27" s="29">
        <f>'[2]Bilan 2020'!$V$46/11.63</f>
        <v>2.0700734999999998E-2</v>
      </c>
      <c r="P27" s="28">
        <f>SUM('[2]Bilan 2020'!$V$41:$V$43)/11.63</f>
        <v>4.2874727518867157</v>
      </c>
      <c r="Q27" s="28">
        <f>'[2]Bilan 2020'!$V$13/11.63</f>
        <v>13.618731599337918</v>
      </c>
      <c r="R27" s="28">
        <f>('[2]Bilan 2020'!$V$22+'[2]Bilan 2020'!$V$30+SUM('[2]Bilan 2020'!$V$36:$V$40)+SUM('[2]Bilan 2020'!$V$44:$V$45)+'[2]Bilan 2020'!$V$47)/11.63</f>
        <v>20.408410382607048</v>
      </c>
      <c r="S27" s="142">
        <f t="shared" ref="S27:S33" si="6">SUM(O27:R27)</f>
        <v>38.335315468831681</v>
      </c>
      <c r="T27" s="75"/>
      <c r="U27" s="147" t="s">
        <v>21</v>
      </c>
      <c r="V27" t="s">
        <v>402</v>
      </c>
      <c r="W27" t="s">
        <v>403</v>
      </c>
      <c r="X27" t="s">
        <v>404</v>
      </c>
      <c r="Y27" t="s">
        <v>405</v>
      </c>
      <c r="Z27" s="8">
        <v>0.32532885449999999</v>
      </c>
      <c r="AA27" s="8">
        <v>6.4298124789999997</v>
      </c>
      <c r="AB27" s="8">
        <v>14.548182280000001</v>
      </c>
      <c r="AC27" s="8">
        <v>19.699657599999998</v>
      </c>
      <c r="AD27" s="96">
        <v>41.0029812135</v>
      </c>
    </row>
    <row r="28" spans="2:30" x14ac:dyDescent="0.25">
      <c r="C28" s="147" t="s">
        <v>22</v>
      </c>
      <c r="D28" t="s">
        <v>406</v>
      </c>
      <c r="E28" t="s">
        <v>407</v>
      </c>
      <c r="F28" t="s">
        <v>408</v>
      </c>
      <c r="G28" t="s">
        <v>409</v>
      </c>
      <c r="H28" s="8">
        <f>VLOOKUP(D28,Résultats!$B$2:$AX$476,'T energie vecteurs'!I5,FALSE)</f>
        <v>0</v>
      </c>
      <c r="I28" s="8">
        <f>VLOOKUP(E28,Résultats!$B$2:$AX$476,'T energie vecteurs'!I5,FALSE)</f>
        <v>2.6039873509999998</v>
      </c>
      <c r="J28" s="8">
        <f>VLOOKUP(F28,Résultats!$B$2:$AX$476,'T energie vecteurs'!I5,FALSE)</f>
        <v>11.04595926</v>
      </c>
      <c r="K28" s="8">
        <f>VLOOKUP(G28,Résultats!$B$2:$AX$476,'T energie vecteurs'!I5,FALSE)</f>
        <v>8.3377862569999994</v>
      </c>
      <c r="L28" s="96">
        <f t="shared" si="5"/>
        <v>21.987732868000002</v>
      </c>
      <c r="M28" s="75"/>
      <c r="N28" s="150" t="s">
        <v>22</v>
      </c>
      <c r="O28" s="29">
        <f>('[2]Bilan 2020'!$W$46)/11.63</f>
        <v>3.0546421000000001E-2</v>
      </c>
      <c r="P28" s="28">
        <f>SUM('[2]Bilan 2020'!$W$41:$W$43)/11.63</f>
        <v>2.7068355531694666</v>
      </c>
      <c r="Q28" s="28">
        <f>('[2]Bilan 2020'!$W$13)/11.63</f>
        <v>10.724850576412381</v>
      </c>
      <c r="R28" s="28">
        <f>('[2]Bilan 2020'!$W$22+'[2]Bilan 2020'!$W$30+SUM('[2]Bilan 2020'!$W$36:$W$40)+SUM('[2]Bilan 2020'!$W$44:$W$45)+'[2]Bilan 2020'!$W$47)/11.63</f>
        <v>7.1906336380053082</v>
      </c>
      <c r="S28" s="142">
        <f t="shared" si="6"/>
        <v>20.652866188587154</v>
      </c>
      <c r="T28" s="75"/>
      <c r="U28" s="147" t="s">
        <v>22</v>
      </c>
      <c r="V28" t="s">
        <v>406</v>
      </c>
      <c r="W28" t="s">
        <v>407</v>
      </c>
      <c r="X28" t="s">
        <v>408</v>
      </c>
      <c r="Y28" t="s">
        <v>409</v>
      </c>
      <c r="Z28" s="8">
        <v>0</v>
      </c>
      <c r="AA28" s="8">
        <v>3.0099111129999998</v>
      </c>
      <c r="AB28" s="8">
        <v>12.66223059</v>
      </c>
      <c r="AC28" s="8">
        <v>9.4093188350000005</v>
      </c>
      <c r="AD28" s="96">
        <v>25.081460538000002</v>
      </c>
    </row>
    <row r="29" spans="2:30" x14ac:dyDescent="0.25">
      <c r="C29" s="147" t="s">
        <v>23</v>
      </c>
      <c r="H29" s="8">
        <f>SUM(H30:H32)</f>
        <v>2.5925666285000002</v>
      </c>
      <c r="I29" s="8">
        <f>SUM(I30:I32)</f>
        <v>13.053391905</v>
      </c>
      <c r="J29" s="8">
        <f>SUM(J30:J32)</f>
        <v>9.2636677653999993</v>
      </c>
      <c r="K29" s="8">
        <f>SUM(K30:K32)</f>
        <v>15.7393140773</v>
      </c>
      <c r="L29" s="96">
        <f t="shared" si="5"/>
        <v>40.648940376200002</v>
      </c>
      <c r="M29" s="75"/>
      <c r="N29" s="150" t="s">
        <v>490</v>
      </c>
      <c r="O29" s="29">
        <f>O30+O31</f>
        <v>3.1626378182920636</v>
      </c>
      <c r="P29" s="28">
        <f t="shared" ref="P29:R29" si="7">P30+P31</f>
        <v>13.919973516612528</v>
      </c>
      <c r="Q29" s="28">
        <f t="shared" si="7"/>
        <v>9.0413234941421319</v>
      </c>
      <c r="R29" s="28">
        <f t="shared" si="7"/>
        <v>14.312071337572707</v>
      </c>
      <c r="S29" s="142">
        <f t="shared" si="6"/>
        <v>40.436006166619435</v>
      </c>
      <c r="T29" s="75"/>
      <c r="U29" s="147" t="s">
        <v>23</v>
      </c>
      <c r="Z29" s="8">
        <v>2.6041915935</v>
      </c>
      <c r="AA29" s="8">
        <v>13.11843627199999</v>
      </c>
      <c r="AB29" s="8">
        <v>9.2676307303000005</v>
      </c>
      <c r="AC29" s="8">
        <v>15.630882400800001</v>
      </c>
      <c r="AD29" s="96">
        <v>40.621140996599991</v>
      </c>
    </row>
    <row r="30" spans="2:30" x14ac:dyDescent="0.25">
      <c r="C30" s="149" t="s">
        <v>24</v>
      </c>
      <c r="D30" t="s">
        <v>410</v>
      </c>
      <c r="E30" t="s">
        <v>411</v>
      </c>
      <c r="F30" t="s">
        <v>412</v>
      </c>
      <c r="G30" t="s">
        <v>413</v>
      </c>
      <c r="H30" s="16">
        <f>VLOOKUP(D30,Résultats!$B$2:$AX$476,'T energie vecteurs'!I5,FALSE)</f>
        <v>1.7254365659999999</v>
      </c>
      <c r="I30" s="16">
        <f>VLOOKUP(E30,Résultats!$B$2:$AX$476,'T energie vecteurs'!I5,FALSE)</f>
        <v>8.8272969410000002</v>
      </c>
      <c r="J30" s="16">
        <f>VLOOKUP(F30,Résultats!$B$2:$AX$476,'T energie vecteurs'!I5,FALSE)</f>
        <v>8.9556578529999999</v>
      </c>
      <c r="K30" s="16">
        <f>VLOOKUP(G30,Résultats!$B$2:$AX$476,'T energie vecteurs'!I5,FALSE)</f>
        <v>13.223262549999999</v>
      </c>
      <c r="L30" s="95">
        <f t="shared" si="5"/>
        <v>32.731653909999999</v>
      </c>
      <c r="M30" s="16"/>
      <c r="N30" s="149" t="s">
        <v>491</v>
      </c>
      <c r="O30" s="143">
        <f>'[2]Bilan 2020'!$U$46/11.63</f>
        <v>0.77267988499999996</v>
      </c>
      <c r="P30" s="30">
        <f>SUM('[2]Bilan 2020'!$U$41:$U$43)/11.63</f>
        <v>2.7003587770125286</v>
      </c>
      <c r="Q30" s="30">
        <f>'[2]Bilan 2020'!$U$13/11.63</f>
        <v>9.0413234941421319</v>
      </c>
      <c r="R30" s="30">
        <f>('[2]Bilan 2020'!$U$22+'[2]Bilan 2020'!$U$30+SUM('[2]Bilan 2020'!$U$36:$U$40)+SUM('[2]Bilan 2020'!$U$44:$U$45)+'[2]Bilan 2020'!$U$47)/11.63</f>
        <v>13.277854957521116</v>
      </c>
      <c r="S30" s="95">
        <f t="shared" si="6"/>
        <v>25.792217113675775</v>
      </c>
      <c r="T30" s="16"/>
      <c r="U30" s="149" t="s">
        <v>24</v>
      </c>
      <c r="V30" t="s">
        <v>410</v>
      </c>
      <c r="W30" t="s">
        <v>411</v>
      </c>
      <c r="X30" t="s">
        <v>412</v>
      </c>
      <c r="Y30" t="s">
        <v>413</v>
      </c>
      <c r="Z30" s="16">
        <v>1.7388215869999999</v>
      </c>
      <c r="AA30" s="16">
        <v>8.8549437999999903</v>
      </c>
      <c r="AB30" s="16">
        <v>8.9540998980000008</v>
      </c>
      <c r="AC30" s="16">
        <v>13.12985211</v>
      </c>
      <c r="AD30" s="95">
        <v>32.677717394999995</v>
      </c>
    </row>
    <row r="31" spans="2:30" x14ac:dyDescent="0.25">
      <c r="C31" s="149" t="s">
        <v>47</v>
      </c>
      <c r="D31" t="s">
        <v>414</v>
      </c>
      <c r="E31" t="s">
        <v>415</v>
      </c>
      <c r="F31" t="s">
        <v>416</v>
      </c>
      <c r="G31" t="s">
        <v>417</v>
      </c>
      <c r="H31" s="16">
        <f>VLOOKUP(D31,Résultats!$B$2:$AX$476,'T energie vecteurs'!I5,FALSE)</f>
        <v>0.86713006250000002</v>
      </c>
      <c r="I31" s="16">
        <f>VLOOKUP(E31,Résultats!$B$2:$AX$476,'T energie vecteurs'!I5,FALSE)</f>
        <v>1.8773317759999999</v>
      </c>
      <c r="J31" s="16">
        <f>VLOOKUP(F31,Résultats!$B$2:$AX$476,'T energie vecteurs'!I5,FALSE)</f>
        <v>0</v>
      </c>
      <c r="K31" s="16">
        <f>VLOOKUP(G31,Résultats!$B$2:$AX$476,'T energie vecteurs'!I5,FALSE)</f>
        <v>2.148056773</v>
      </c>
      <c r="L31" s="95">
        <f t="shared" si="5"/>
        <v>4.8925186114999999</v>
      </c>
      <c r="M31" s="16"/>
      <c r="N31" s="149" t="s">
        <v>47</v>
      </c>
      <c r="O31" s="22">
        <f>'[2]Bilan 2020'!$E$52/11.63</f>
        <v>2.3899579332920635</v>
      </c>
      <c r="P31" s="16">
        <f>('[2]Bilan 2020'!$E$54+'[2]Bilan 2020'!$E$56)/11.63</f>
        <v>11.219614739599999</v>
      </c>
      <c r="Q31" s="16">
        <v>0</v>
      </c>
      <c r="R31" s="16">
        <f>('[2]Bilan 2020'!$E$53+'[2]Bilan 2020'!$E$55+'[2]Bilan 2020'!$E$57)/11.63</f>
        <v>1.0342163800515907</v>
      </c>
      <c r="S31" s="95">
        <f t="shared" si="6"/>
        <v>14.643789052943653</v>
      </c>
      <c r="T31" s="16"/>
      <c r="U31" s="149" t="s">
        <v>47</v>
      </c>
      <c r="V31" t="s">
        <v>414</v>
      </c>
      <c r="W31" t="s">
        <v>415</v>
      </c>
      <c r="X31" t="s">
        <v>416</v>
      </c>
      <c r="Y31" t="s">
        <v>417</v>
      </c>
      <c r="Z31" s="16">
        <v>0.86537000649999996</v>
      </c>
      <c r="AA31" s="16">
        <v>1.8757407829999999</v>
      </c>
      <c r="AB31" s="16">
        <v>0</v>
      </c>
      <c r="AC31" s="16">
        <v>2.1265502610000002</v>
      </c>
      <c r="AD31" s="95">
        <v>4.8676610505000006</v>
      </c>
    </row>
    <row r="32" spans="2:30" x14ac:dyDescent="0.25">
      <c r="C32" s="149" t="s">
        <v>25</v>
      </c>
      <c r="D32" t="s">
        <v>418</v>
      </c>
      <c r="E32" t="s">
        <v>419</v>
      </c>
      <c r="F32" t="s">
        <v>420</v>
      </c>
      <c r="G32" t="s">
        <v>421</v>
      </c>
      <c r="H32" s="16">
        <f>VLOOKUP(D32,Résultats!$B$2:$AX$476,'T energie vecteurs'!I5,FALSE)</f>
        <v>0</v>
      </c>
      <c r="I32" s="16">
        <f>VLOOKUP(E32,Résultats!$B$2:$AX$476,'T energie vecteurs'!I5,FALSE)</f>
        <v>2.3487631879999999</v>
      </c>
      <c r="J32" s="16">
        <f>VLOOKUP(F32,Résultats!$B$2:$AX$476,'T energie vecteurs'!I5,FALSE)</f>
        <v>0.30800991239999997</v>
      </c>
      <c r="K32" s="16">
        <f>VLOOKUP(G32,Résultats!$B$2:$AX$476,'T energie vecteurs'!I5,FALSE)</f>
        <v>0.3679947543</v>
      </c>
      <c r="L32" s="95">
        <f t="shared" si="5"/>
        <v>3.0247678546999999</v>
      </c>
      <c r="M32" s="16"/>
      <c r="N32" s="150" t="s">
        <v>25</v>
      </c>
      <c r="O32" s="29">
        <f>'[2]Bilan 2020'!$T$46/11.63</f>
        <v>1.3217009999999998E-3</v>
      </c>
      <c r="P32" s="28">
        <f>SUM('[2]Bilan 2020'!$T$41:$T$43)/11.63</f>
        <v>3.3486884684627563</v>
      </c>
      <c r="Q32" s="28">
        <f>'[2]Bilan 2020'!$T$13/11.63</f>
        <v>0.69143728159498707</v>
      </c>
      <c r="R32" s="28">
        <f>('[2]Bilan 2020'!$T$22+'[2]Bilan 2020'!$T$30+SUM('[2]Bilan 2020'!$T$36:$T$40)+SUM('[2]Bilan 2020'!$T$44:$T$45)+'[2]Bilan 2020'!$T$47)/11.63</f>
        <v>0.41959097162510717</v>
      </c>
      <c r="S32" s="142">
        <f t="shared" si="6"/>
        <v>4.4610384226828508</v>
      </c>
      <c r="T32" s="16"/>
      <c r="U32" s="149" t="s">
        <v>25</v>
      </c>
      <c r="V32" t="s">
        <v>418</v>
      </c>
      <c r="W32" t="s">
        <v>419</v>
      </c>
      <c r="X32" t="s">
        <v>420</v>
      </c>
      <c r="Y32" t="s">
        <v>421</v>
      </c>
      <c r="Z32" s="16">
        <v>0</v>
      </c>
      <c r="AA32" s="16">
        <v>2.3877516889999999</v>
      </c>
      <c r="AB32" s="16">
        <v>0.31353083230000001</v>
      </c>
      <c r="AC32" s="16">
        <v>0.3744800298</v>
      </c>
      <c r="AD32" s="95">
        <v>3.0757625511</v>
      </c>
    </row>
    <row r="33" spans="3:30" x14ac:dyDescent="0.25">
      <c r="C33" s="23" t="s">
        <v>26</v>
      </c>
      <c r="D33" s="10"/>
      <c r="E33" s="10"/>
      <c r="F33" s="10"/>
      <c r="G33" s="10"/>
      <c r="H33" s="9">
        <f>SUM(H24,H27:H29)</f>
        <v>2.9199416953000004</v>
      </c>
      <c r="I33" s="9">
        <f>SUM(I24,I27:I29)</f>
        <v>64.064906656000005</v>
      </c>
      <c r="J33" s="9">
        <f>SUM(J24,J27:J29)</f>
        <v>36.501704764400003</v>
      </c>
      <c r="K33" s="9">
        <f>SUM(K24,K27:K29)</f>
        <v>44.195743323392897</v>
      </c>
      <c r="L33" s="98">
        <f t="shared" si="5"/>
        <v>147.68229643909291</v>
      </c>
      <c r="M33" s="79"/>
      <c r="N33" s="151" t="s">
        <v>26</v>
      </c>
      <c r="O33" s="32">
        <f>O24+O27+O28+O29+O32</f>
        <v>3.2152066752920638</v>
      </c>
      <c r="P33" s="31">
        <f>P24+P27+P28+P29+P32</f>
        <v>59.931006751765409</v>
      </c>
      <c r="Q33" s="31">
        <f>Q24+Q27+Q28+Q29+Q32</f>
        <v>34.793213034892403</v>
      </c>
      <c r="R33" s="31">
        <f>R24+R27+R28+R29+R32</f>
        <v>42.523974988451613</v>
      </c>
      <c r="S33" s="144">
        <f t="shared" si="6"/>
        <v>140.46340145040148</v>
      </c>
      <c r="T33" s="79"/>
      <c r="U33" s="23" t="s">
        <v>26</v>
      </c>
      <c r="V33" s="10"/>
      <c r="W33" s="10"/>
      <c r="X33" s="10"/>
      <c r="Y33" s="10"/>
      <c r="Z33" s="9">
        <v>2.9295204479999999</v>
      </c>
      <c r="AA33" s="9">
        <v>65.028330573999995</v>
      </c>
      <c r="AB33" s="9">
        <v>37.917891907799998</v>
      </c>
      <c r="AC33" s="9">
        <v>45.0084303757911</v>
      </c>
      <c r="AD33" s="98">
        <v>150.8841733055911</v>
      </c>
    </row>
    <row r="34" spans="3:30" s="3" customFormat="1" x14ac:dyDescent="0.25">
      <c r="H34" s="45"/>
      <c r="I34" s="45"/>
      <c r="J34" s="45"/>
      <c r="K34" s="45"/>
      <c r="L34" s="45"/>
      <c r="M34" s="45"/>
      <c r="N34" s="45"/>
      <c r="O34" s="77"/>
      <c r="P34" s="77"/>
      <c r="Q34" s="77"/>
      <c r="R34" s="78"/>
      <c r="S34" s="45"/>
      <c r="T34" s="45"/>
      <c r="Z34" s="45"/>
      <c r="AA34" s="45"/>
      <c r="AB34" s="45"/>
      <c r="AC34" s="45"/>
      <c r="AD34" s="45"/>
    </row>
    <row r="35" spans="3:30" s="3" customFormat="1" x14ac:dyDescent="0.25"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Z35" s="45"/>
      <c r="AA35" s="45"/>
      <c r="AB35" s="45"/>
      <c r="AC35" s="45"/>
      <c r="AD35" s="45"/>
    </row>
    <row r="36" spans="3:30" ht="31.5" x14ac:dyDescent="0.35">
      <c r="C36" s="145">
        <v>2022</v>
      </c>
      <c r="D36" s="146"/>
      <c r="E36" s="146"/>
      <c r="F36" s="146"/>
      <c r="G36" s="146"/>
      <c r="H36" s="76" t="s">
        <v>36</v>
      </c>
      <c r="I36" s="76" t="s">
        <v>49</v>
      </c>
      <c r="J36" s="76" t="s">
        <v>38</v>
      </c>
      <c r="K36" s="76" t="s">
        <v>48</v>
      </c>
      <c r="L36" s="93" t="s">
        <v>1</v>
      </c>
      <c r="M36" s="19"/>
      <c r="N36" s="145">
        <v>2022</v>
      </c>
      <c r="O36" s="141" t="s">
        <v>36</v>
      </c>
      <c r="P36" s="76" t="s">
        <v>49</v>
      </c>
      <c r="Q36" s="76" t="s">
        <v>38</v>
      </c>
      <c r="R36" s="76" t="s">
        <v>48</v>
      </c>
      <c r="S36" s="93" t="s">
        <v>1</v>
      </c>
      <c r="T36" s="19"/>
      <c r="U36" s="145">
        <v>2022</v>
      </c>
      <c r="V36" s="146"/>
      <c r="W36" s="146"/>
      <c r="X36" s="146"/>
      <c r="Y36" s="146"/>
      <c r="Z36" s="76" t="s">
        <v>36</v>
      </c>
      <c r="AA36" s="76" t="s">
        <v>49</v>
      </c>
      <c r="AB36" s="76" t="s">
        <v>38</v>
      </c>
      <c r="AC36" s="76" t="s">
        <v>48</v>
      </c>
      <c r="AD36" s="93" t="s">
        <v>1</v>
      </c>
    </row>
    <row r="37" spans="3:30" x14ac:dyDescent="0.25">
      <c r="C37" s="147" t="s">
        <v>18</v>
      </c>
      <c r="H37" s="8">
        <f>SUM(H38:H39)</f>
        <v>0</v>
      </c>
      <c r="I37" s="8">
        <f>SUM(I38:I39)</f>
        <v>41.810292540000006</v>
      </c>
      <c r="J37" s="8">
        <f>SUM(J38:J39)</f>
        <v>1.781673914</v>
      </c>
      <c r="K37" s="8">
        <f>SUM(K38:K39)</f>
        <v>0.38301068976960001</v>
      </c>
      <c r="L37" s="96">
        <f t="shared" ref="L37:L46" si="8">SUM(H37:K37)</f>
        <v>43.974977143769607</v>
      </c>
      <c r="M37" s="75"/>
      <c r="N37" s="150" t="s">
        <v>18</v>
      </c>
      <c r="O37" s="29">
        <f>'[2]Bilan 2022 réel'!$X$46/11.63</f>
        <v>0</v>
      </c>
      <c r="P37" s="28">
        <f>SUM('[2]Bilan 2022 réel'!$X$41:$X$43)/11.63</f>
        <v>43.395882986244146</v>
      </c>
      <c r="Q37" s="28">
        <f>'[2]Bilan 2022 réel'!$X$13/11.63</f>
        <v>0.93062751504729158</v>
      </c>
      <c r="R37" s="28">
        <f>('[2]Bilan 2022 réel'!$X$22+'[2]Bilan 2022 réel'!$X$30+SUM('[2]Bilan 2022 réel'!$X$36:$X$40)+SUM('[2]Bilan 2022 réel'!$X$44:$X$45)+'[2]Bilan 2022 réel'!$X$47)/11.63</f>
        <v>0.31885683576956142</v>
      </c>
      <c r="S37" s="142">
        <f>SUM(O37:R37)</f>
        <v>44.645367337060996</v>
      </c>
      <c r="T37" s="75"/>
      <c r="U37" s="147" t="s">
        <v>18</v>
      </c>
      <c r="Z37" s="8">
        <v>0</v>
      </c>
      <c r="AA37" s="8">
        <v>42.196799800000001</v>
      </c>
      <c r="AB37" s="8">
        <v>1.5518960473000001</v>
      </c>
      <c r="AC37" s="8">
        <v>0.37730478291210001</v>
      </c>
      <c r="AD37" s="96">
        <v>44.126000630212097</v>
      </c>
    </row>
    <row r="38" spans="3:30" x14ac:dyDescent="0.25">
      <c r="C38" s="148" t="s">
        <v>19</v>
      </c>
      <c r="D38" t="s">
        <v>394</v>
      </c>
      <c r="E38" t="s">
        <v>395</v>
      </c>
      <c r="F38" t="s">
        <v>396</v>
      </c>
      <c r="G38" t="s">
        <v>397</v>
      </c>
      <c r="H38" s="16">
        <f>VLOOKUP(D38,Résultats!$B$2:$AX$476,'T energie vecteurs'!K5,FALSE)</f>
        <v>0</v>
      </c>
      <c r="I38" s="16">
        <f>VLOOKUP(E38,Résultats!$B$2:$AX$476,'T energie vecteurs'!K5,FALSE)</f>
        <v>22.934727110000001</v>
      </c>
      <c r="J38" s="16">
        <f>VLOOKUP(F38,Résultats!$B$2:$AX$476,'T energie vecteurs'!K5,FALSE)</f>
        <v>0.147253986</v>
      </c>
      <c r="K38" s="16">
        <f>VLOOKUP(G51,Résultats!$B$2:$AX$476,'T energie vecteurs'!K5,FALSE)</f>
        <v>1.34494696E-5</v>
      </c>
      <c r="L38" s="95">
        <f t="shared" si="8"/>
        <v>23.081994545469598</v>
      </c>
      <c r="M38" s="16"/>
      <c r="N38" s="148" t="s">
        <v>19</v>
      </c>
      <c r="O38" s="143"/>
      <c r="P38" s="16"/>
      <c r="Q38" s="34"/>
      <c r="R38" s="16"/>
      <c r="S38" s="95"/>
      <c r="T38" s="16"/>
      <c r="U38" s="148" t="s">
        <v>19</v>
      </c>
      <c r="V38" t="s">
        <v>394</v>
      </c>
      <c r="W38" t="s">
        <v>395</v>
      </c>
      <c r="X38" t="s">
        <v>396</v>
      </c>
      <c r="Y38" t="s">
        <v>397</v>
      </c>
      <c r="Z38" s="16">
        <v>0</v>
      </c>
      <c r="AA38" s="16">
        <v>23.39484934</v>
      </c>
      <c r="AB38" s="16">
        <v>0.1762139583</v>
      </c>
      <c r="AC38" s="16">
        <v>1.6439012100000001E-5</v>
      </c>
      <c r="AD38" s="95">
        <v>23.5710797373121</v>
      </c>
    </row>
    <row r="39" spans="3:30" x14ac:dyDescent="0.25">
      <c r="C39" s="149" t="s">
        <v>20</v>
      </c>
      <c r="D39" t="s">
        <v>398</v>
      </c>
      <c r="E39" t="s">
        <v>399</v>
      </c>
      <c r="F39" t="s">
        <v>400</v>
      </c>
      <c r="G39" t="s">
        <v>401</v>
      </c>
      <c r="H39" s="16">
        <f>VLOOKUP(D39,Résultats!$B$2:$AX$476,'T energie vecteurs'!K5,FALSE)</f>
        <v>0</v>
      </c>
      <c r="I39" s="16">
        <f>VLOOKUP(E39,Résultats!$B$2:$AX$476,'T energie vecteurs'!K5,FALSE)</f>
        <v>18.875565430000002</v>
      </c>
      <c r="J39" s="16">
        <f>VLOOKUP(F39,Résultats!$B$2:$AX$476,'T energie vecteurs'!K5,FALSE)</f>
        <v>1.634419928</v>
      </c>
      <c r="K39" s="16">
        <f>VLOOKUP(G39,Résultats!$B$2:$AX$476,'T energie vecteurs'!K5,FALSE)</f>
        <v>0.38299724029999999</v>
      </c>
      <c r="L39" s="95">
        <f t="shared" si="8"/>
        <v>20.892982598300001</v>
      </c>
      <c r="M39" s="16"/>
      <c r="N39" s="149" t="s">
        <v>20</v>
      </c>
      <c r="O39" s="143"/>
      <c r="P39" s="16"/>
      <c r="Q39" s="34"/>
      <c r="R39" s="16"/>
      <c r="S39" s="95"/>
      <c r="T39" s="16"/>
      <c r="U39" s="149" t="s">
        <v>20</v>
      </c>
      <c r="V39" t="s">
        <v>398</v>
      </c>
      <c r="W39" t="s">
        <v>399</v>
      </c>
      <c r="X39" t="s">
        <v>400</v>
      </c>
      <c r="Y39" t="s">
        <v>401</v>
      </c>
      <c r="Z39" s="16">
        <v>0</v>
      </c>
      <c r="AA39" s="16">
        <v>18.80195046</v>
      </c>
      <c r="AB39" s="16">
        <v>1.3756820890000001</v>
      </c>
      <c r="AC39" s="16">
        <v>0.37728834389999999</v>
      </c>
      <c r="AD39" s="95">
        <v>20.5549208929</v>
      </c>
    </row>
    <row r="40" spans="3:30" x14ac:dyDescent="0.25">
      <c r="C40" s="147" t="s">
        <v>21</v>
      </c>
      <c r="D40" t="s">
        <v>402</v>
      </c>
      <c r="E40" t="s">
        <v>403</v>
      </c>
      <c r="F40" t="s">
        <v>404</v>
      </c>
      <c r="G40" t="s">
        <v>405</v>
      </c>
      <c r="H40" s="8">
        <f>VLOOKUP(D40,Résultats!$B$2:$AX$476,'T energie vecteurs'!K5,FALSE)</f>
        <v>0.31219329709999999</v>
      </c>
      <c r="I40" s="8">
        <f>VLOOKUP(E40,Résultats!$B$2:$AX$476,'T energie vecteurs'!K5,FALSE)</f>
        <v>6.2348415160000004</v>
      </c>
      <c r="J40" s="8">
        <f>VLOOKUP(F40,Résultats!$B$2:$AX$476,'T energie vecteurs'!K5,FALSE)</f>
        <v>14.63904994</v>
      </c>
      <c r="K40" s="8">
        <f>VLOOKUP(G40,Résultats!$B$2:$AX$476,'T energie vecteurs'!K5,FALSE)+2</f>
        <v>19.286858410000001</v>
      </c>
      <c r="L40" s="96">
        <f t="shared" si="8"/>
        <v>40.472943163099998</v>
      </c>
      <c r="M40" s="75"/>
      <c r="N40" s="150" t="s">
        <v>21</v>
      </c>
      <c r="O40" s="29">
        <f>'[2]Bilan 2022 réel'!$V$46/11.63</f>
        <v>2.6476317000000003E-2</v>
      </c>
      <c r="P40" s="28">
        <f>SUM('[2]Bilan 2022 réel'!$V$41:$V$43)/11.63</f>
        <v>3.5006052343</v>
      </c>
      <c r="Q40" s="28">
        <f>'[2]Bilan 2022 réel'!$V$13/11.63</f>
        <v>13.359407222699915</v>
      </c>
      <c r="R40" s="28">
        <f>('[2]Bilan 2022 réel'!$V$22+'[2]Bilan 2022 réel'!$V$30+SUM('[2]Bilan 2022 réel'!$V$36:$V$40)+SUM('[2]Bilan 2022 réel'!$V$44:$V$45)+'[2]Bilan 2022 réel'!$V$47)/11.63</f>
        <v>20.358936597126686</v>
      </c>
      <c r="S40" s="142">
        <f t="shared" ref="S40:S46" si="9">SUM(O40:R40)</f>
        <v>37.245425371126601</v>
      </c>
      <c r="T40" s="75"/>
      <c r="U40" s="147" t="s">
        <v>21</v>
      </c>
      <c r="V40" t="s">
        <v>402</v>
      </c>
      <c r="W40" t="s">
        <v>403</v>
      </c>
      <c r="X40" t="s">
        <v>404</v>
      </c>
      <c r="Y40" t="s">
        <v>405</v>
      </c>
      <c r="Z40" s="8">
        <v>0.30935707070000001</v>
      </c>
      <c r="AA40" s="8">
        <v>6.1152615319999999</v>
      </c>
      <c r="AB40" s="8">
        <v>14.673588240000001</v>
      </c>
      <c r="AC40" s="8">
        <v>19.069665570000002</v>
      </c>
      <c r="AD40" s="96">
        <v>40.167872412700007</v>
      </c>
    </row>
    <row r="41" spans="3:30" x14ac:dyDescent="0.25">
      <c r="C41" s="147" t="s">
        <v>22</v>
      </c>
      <c r="D41" t="s">
        <v>406</v>
      </c>
      <c r="E41" t="s">
        <v>407</v>
      </c>
      <c r="F41" t="s">
        <v>408</v>
      </c>
      <c r="G41" t="s">
        <v>409</v>
      </c>
      <c r="H41" s="8">
        <f>VLOOKUP(D41,Résultats!$B$2:$AX$476,'T energie vecteurs'!K5,FALSE)</f>
        <v>0</v>
      </c>
      <c r="I41" s="8">
        <f>VLOOKUP(E41,Résultats!$B$2:$AX$476,'T energie vecteurs'!K5,FALSE)</f>
        <v>2.6169436909999999</v>
      </c>
      <c r="J41" s="8">
        <f>VLOOKUP(F41,Résultats!$B$2:$AX$476,'T energie vecteurs'!K5,FALSE)</f>
        <v>11.02221012</v>
      </c>
      <c r="K41" s="8">
        <f>VLOOKUP(G41,Résultats!$B$2:$AX$476,'T energie vecteurs'!K5,FALSE)</f>
        <v>8.2857059690000003</v>
      </c>
      <c r="L41" s="96">
        <f t="shared" si="8"/>
        <v>21.924859779999998</v>
      </c>
      <c r="M41" s="75"/>
      <c r="N41" s="150" t="s">
        <v>22</v>
      </c>
      <c r="O41" s="29">
        <f>('[2]Bilan 2022 réel'!$W$46)/11.63</f>
        <v>3.2835727999999995E-2</v>
      </c>
      <c r="P41" s="28">
        <f>SUM('[2]Bilan 2022 réel'!$W$41:$W$43)/11.63</f>
        <v>2.0815720291000002</v>
      </c>
      <c r="Q41" s="28">
        <f>('[2]Bilan 2022 réel'!$W$13)/11.63</f>
        <v>11.4388796216681</v>
      </c>
      <c r="R41" s="28">
        <f>('[2]Bilan 2022 réel'!$W$22+'[2]Bilan 2022 réel'!$W$30+SUM('[2]Bilan 2022 réel'!$W$36:$W$40)+SUM('[2]Bilan 2022 réel'!$W$44:$W$45)+'[2]Bilan 2022 réel'!$W$47)/11.63</f>
        <v>7.4016622456291197</v>
      </c>
      <c r="S41" s="142">
        <f t="shared" si="9"/>
        <v>20.954949624397219</v>
      </c>
      <c r="T41" s="75"/>
      <c r="U41" s="147" t="s">
        <v>22</v>
      </c>
      <c r="V41" t="s">
        <v>406</v>
      </c>
      <c r="W41" t="s">
        <v>407</v>
      </c>
      <c r="X41" t="s">
        <v>408</v>
      </c>
      <c r="Y41" t="s">
        <v>409</v>
      </c>
      <c r="Z41" s="8">
        <v>0</v>
      </c>
      <c r="AA41" s="8">
        <v>3.0089517360000002</v>
      </c>
      <c r="AB41" s="8">
        <v>12.796412650000001</v>
      </c>
      <c r="AC41" s="8">
        <v>9.2626327990000004</v>
      </c>
      <c r="AD41" s="96">
        <v>25.067997185000003</v>
      </c>
    </row>
    <row r="42" spans="3:30" x14ac:dyDescent="0.25">
      <c r="C42" s="147" t="s">
        <v>23</v>
      </c>
      <c r="H42" s="8">
        <f>SUM(H43:H45)</f>
        <v>2.5316255411999999</v>
      </c>
      <c r="I42" s="8">
        <f>SUM(I43:I45)</f>
        <v>12.886592322</v>
      </c>
      <c r="J42" s="8">
        <f>SUM(J43:J45)</f>
        <v>9.5034660708999894</v>
      </c>
      <c r="K42" s="8">
        <f>SUM(K43:K45)</f>
        <v>16.1083081837</v>
      </c>
      <c r="L42" s="96">
        <f t="shared" si="8"/>
        <v>41.029992117799992</v>
      </c>
      <c r="M42" s="75"/>
      <c r="N42" s="150" t="s">
        <v>490</v>
      </c>
      <c r="O42" s="29">
        <f>O43+O44</f>
        <v>4.5030917883254036</v>
      </c>
      <c r="P42" s="28">
        <f t="shared" ref="P42:R42" si="10">P43+P44</f>
        <v>11.747675010745624</v>
      </c>
      <c r="Q42" s="28">
        <f t="shared" si="10"/>
        <v>9.2559822012037838</v>
      </c>
      <c r="R42" s="28">
        <f t="shared" si="10"/>
        <v>13.798624448265977</v>
      </c>
      <c r="S42" s="142">
        <f t="shared" si="9"/>
        <v>39.305373448540784</v>
      </c>
      <c r="T42" s="75"/>
      <c r="U42" s="147" t="s">
        <v>23</v>
      </c>
      <c r="Z42" s="8">
        <v>2.5894166891000001</v>
      </c>
      <c r="AA42" s="8">
        <v>12.838508321000001</v>
      </c>
      <c r="AB42" s="8">
        <v>9.6564707698000003</v>
      </c>
      <c r="AC42" s="8">
        <v>15.9895936569</v>
      </c>
      <c r="AD42" s="96">
        <v>41.073989436799998</v>
      </c>
    </row>
    <row r="43" spans="3:30" x14ac:dyDescent="0.25">
      <c r="C43" s="149" t="s">
        <v>24</v>
      </c>
      <c r="D43" t="s">
        <v>410</v>
      </c>
      <c r="E43" t="s">
        <v>411</v>
      </c>
      <c r="F43" t="s">
        <v>412</v>
      </c>
      <c r="G43" t="s">
        <v>413</v>
      </c>
      <c r="H43" s="16">
        <f>VLOOKUP(D43,Résultats!$B$2:$AX$476,'T energie vecteurs'!K5,FALSE)</f>
        <v>1.659046974</v>
      </c>
      <c r="I43" s="16">
        <f>VLOOKUP(E43,Résultats!$B$2:$AX$476,'T energie vecteurs'!K5,FALSE)</f>
        <v>8.5065270589999997</v>
      </c>
      <c r="J43" s="16">
        <f>VLOOKUP(F43,Résultats!$B$2:$AX$476,'T energie vecteurs'!K5,FALSE)</f>
        <v>9.1865033539999903</v>
      </c>
      <c r="K43" s="16">
        <f>VLOOKUP(G43,Résultats!$B$2:$AX$476,'T energie vecteurs'!K5,FALSE)</f>
        <v>13.536308180000001</v>
      </c>
      <c r="L43" s="95">
        <f t="shared" si="8"/>
        <v>32.888385566999993</v>
      </c>
      <c r="M43" s="16"/>
      <c r="N43" s="149" t="s">
        <v>491</v>
      </c>
      <c r="O43" s="143">
        <f>'[2]Bilan 2022 réel'!$U$46/11.63</f>
        <v>0.63402045200000001</v>
      </c>
      <c r="P43" s="30">
        <f>SUM('[2]Bilan 2022 réel'!$U$41:$U$43)/11.63</f>
        <v>2.4775829957456241</v>
      </c>
      <c r="Q43" s="30">
        <f>'[2]Bilan 2022 réel'!$U$13/11.63</f>
        <v>9.2559822012037838</v>
      </c>
      <c r="R43" s="30">
        <f>('[2]Bilan 2022 réel'!$U$22+'[2]Bilan 2022 réel'!$U$30+SUM('[2]Bilan 2022 réel'!$U$36:$U$40)+SUM('[2]Bilan 2022 réel'!$U$44:$U$45)+'[2]Bilan 2022 réel'!$U$47)/11.63</f>
        <v>12.926272664087129</v>
      </c>
      <c r="S43" s="95">
        <f t="shared" si="9"/>
        <v>25.293858313036537</v>
      </c>
      <c r="T43" s="16"/>
      <c r="U43" s="149" t="s">
        <v>24</v>
      </c>
      <c r="V43" t="s">
        <v>410</v>
      </c>
      <c r="W43" t="s">
        <v>411</v>
      </c>
      <c r="X43" t="s">
        <v>412</v>
      </c>
      <c r="Y43" t="s">
        <v>413</v>
      </c>
      <c r="Z43" s="16">
        <v>1.704645185</v>
      </c>
      <c r="AA43" s="16">
        <v>8.5110894259999998</v>
      </c>
      <c r="AB43" s="16">
        <v>9.3330364479999997</v>
      </c>
      <c r="AC43" s="16">
        <v>13.451678599999999</v>
      </c>
      <c r="AD43" s="95">
        <v>33.000449658999997</v>
      </c>
    </row>
    <row r="44" spans="3:30" x14ac:dyDescent="0.25">
      <c r="C44" s="149" t="s">
        <v>47</v>
      </c>
      <c r="D44" t="s">
        <v>414</v>
      </c>
      <c r="E44" t="s">
        <v>415</v>
      </c>
      <c r="F44" t="s">
        <v>416</v>
      </c>
      <c r="G44" t="s">
        <v>417</v>
      </c>
      <c r="H44" s="16">
        <f>VLOOKUP(D44,Résultats!$B$2:$AX$476,'T energie vecteurs'!K5,FALSE)</f>
        <v>0.87257856720000004</v>
      </c>
      <c r="I44" s="16">
        <f>VLOOKUP(E44,Résultats!$B$2:$AX$476,'T energie vecteurs'!K5,FALSE)</f>
        <v>1.9171234580000001</v>
      </c>
      <c r="J44" s="16">
        <f>VLOOKUP(F44,Résultats!$B$2:$AX$476,'T energie vecteurs'!K5,FALSE)</f>
        <v>0</v>
      </c>
      <c r="K44" s="16">
        <f>VLOOKUP(G44,Résultats!$B$2:$AX$476,'T energie vecteurs'!K5,FALSE)</f>
        <v>2.1893607770000001</v>
      </c>
      <c r="L44" s="95">
        <f t="shared" si="8"/>
        <v>4.9790628021999996</v>
      </c>
      <c r="M44" s="16"/>
      <c r="N44" s="149" t="s">
        <v>47</v>
      </c>
      <c r="O44" s="22">
        <f>'[2]Bilan 2022 réel'!$E$52/11.63</f>
        <v>3.8690713363254039</v>
      </c>
      <c r="P44" s="16">
        <f>('[2]Bilan 2022 réel'!$E$54+'[2]Bilan 2022 réel'!$E$56)/11.63</f>
        <v>9.2700920149999995</v>
      </c>
      <c r="Q44" s="16">
        <v>0</v>
      </c>
      <c r="R44" s="16">
        <f>('[2]Bilan 2022 réel'!$E$53+'[2]Bilan 2022 réel'!$E$55+'[2]Bilan 2022 réel'!$E$57)/11.63</f>
        <v>0.87235178417884784</v>
      </c>
      <c r="S44" s="95">
        <f t="shared" si="9"/>
        <v>14.011515135504252</v>
      </c>
      <c r="T44" s="16"/>
      <c r="U44" s="149" t="s">
        <v>47</v>
      </c>
      <c r="V44" t="s">
        <v>414</v>
      </c>
      <c r="W44" t="s">
        <v>415</v>
      </c>
      <c r="X44" t="s">
        <v>416</v>
      </c>
      <c r="Y44" t="s">
        <v>417</v>
      </c>
      <c r="Z44" s="16">
        <v>0.88477150410000005</v>
      </c>
      <c r="AA44" s="16">
        <v>1.9045931359999999</v>
      </c>
      <c r="AB44" s="16">
        <v>0</v>
      </c>
      <c r="AC44" s="16">
        <v>2.1523416530000001</v>
      </c>
      <c r="AD44" s="95">
        <v>4.9417062931000002</v>
      </c>
    </row>
    <row r="45" spans="3:30" x14ac:dyDescent="0.25">
      <c r="C45" s="149" t="s">
        <v>25</v>
      </c>
      <c r="D45" t="s">
        <v>418</v>
      </c>
      <c r="E45" t="s">
        <v>419</v>
      </c>
      <c r="F45" t="s">
        <v>420</v>
      </c>
      <c r="G45" t="s">
        <v>421</v>
      </c>
      <c r="H45" s="16">
        <f>VLOOKUP(D45,Résultats!$B$2:$AX$476,'T energie vecteurs'!K5,FALSE)</f>
        <v>0</v>
      </c>
      <c r="I45" s="16">
        <f>VLOOKUP(E45,Résultats!$B$2:$AX$476,'T energie vecteurs'!K5,FALSE)</f>
        <v>2.4629418049999998</v>
      </c>
      <c r="J45" s="16">
        <f>VLOOKUP(F45,Résultats!$B$2:$AX$476,'T energie vecteurs'!K5,FALSE)</f>
        <v>0.3169627169</v>
      </c>
      <c r="K45" s="16">
        <f>VLOOKUP(G45,Résultats!$B$2:$AX$476,'T energie vecteurs'!K5,FALSE)</f>
        <v>0.3826392267</v>
      </c>
      <c r="L45" s="95">
        <f t="shared" si="8"/>
        <v>3.1625437485999996</v>
      </c>
      <c r="M45" s="16"/>
      <c r="N45" s="150" t="s">
        <v>25</v>
      </c>
      <c r="O45" s="29">
        <f>'[2]Bilan 2022 réel'!$T$46/11.63</f>
        <v>1.651664E-3</v>
      </c>
      <c r="P45" s="28">
        <f>SUM('[2]Bilan 2022 réel'!$T$41:$T$43)/11.63</f>
        <v>3.5697769387513203</v>
      </c>
      <c r="Q45" s="28">
        <f>'[2]Bilan 2022 réel'!$T$13/11.63</f>
        <v>0.67291487532244199</v>
      </c>
      <c r="R45" s="28">
        <f>('[2]Bilan 2022 réel'!$T$22+'[2]Bilan 2022 réel'!$T$30+SUM('[2]Bilan 2022 réel'!$T$36:$T$40)+SUM('[2]Bilan 2022 réel'!$T$44:$T$45)+'[2]Bilan 2022 réel'!$T$47)/11.63</f>
        <v>0.43996563007547523</v>
      </c>
      <c r="S45" s="142">
        <f t="shared" si="9"/>
        <v>4.6843091081492378</v>
      </c>
      <c r="T45" s="16"/>
      <c r="U45" s="149" t="s">
        <v>25</v>
      </c>
      <c r="V45" t="s">
        <v>418</v>
      </c>
      <c r="W45" t="s">
        <v>419</v>
      </c>
      <c r="X45" t="s">
        <v>420</v>
      </c>
      <c r="Y45" t="s">
        <v>421</v>
      </c>
      <c r="Z45" s="16">
        <v>0</v>
      </c>
      <c r="AA45" s="16">
        <v>2.4228257590000002</v>
      </c>
      <c r="AB45" s="16">
        <v>0.32343432179999998</v>
      </c>
      <c r="AC45" s="16">
        <v>0.3855734039</v>
      </c>
      <c r="AD45" s="95">
        <v>3.1318334847</v>
      </c>
    </row>
    <row r="46" spans="3:30" x14ac:dyDescent="0.25">
      <c r="C46" s="23" t="s">
        <v>26</v>
      </c>
      <c r="D46" s="10"/>
      <c r="E46" s="10"/>
      <c r="F46" s="10"/>
      <c r="G46" s="10"/>
      <c r="H46" s="9">
        <f>SUM(H37,H40:H42)</f>
        <v>2.8438188382999998</v>
      </c>
      <c r="I46" s="9">
        <f>SUM(I37,I40:I42)</f>
        <v>63.548670069000011</v>
      </c>
      <c r="J46" s="9">
        <f>SUM(J37,J40:J42)</f>
        <v>36.946400044899988</v>
      </c>
      <c r="K46" s="9">
        <f>SUM(K37,K40:K42)</f>
        <v>44.063883252469594</v>
      </c>
      <c r="L46" s="98">
        <f t="shared" si="8"/>
        <v>147.40277220466959</v>
      </c>
      <c r="M46" s="79"/>
      <c r="N46" s="151" t="s">
        <v>26</v>
      </c>
      <c r="O46" s="32">
        <f>O37+O40+O41+O42+O45</f>
        <v>4.5640554973254037</v>
      </c>
      <c r="P46" s="31">
        <f>P37+P40+P41+P42+P45</f>
        <v>64.295512199141086</v>
      </c>
      <c r="Q46" s="31">
        <f>Q37+Q40+Q41+Q42+Q45</f>
        <v>35.657811435941532</v>
      </c>
      <c r="R46" s="31">
        <f>R37+R40+R41+R42+R45</f>
        <v>42.318045756866823</v>
      </c>
      <c r="S46" s="144">
        <f t="shared" si="9"/>
        <v>146.83542488927486</v>
      </c>
      <c r="T46" s="79"/>
      <c r="U46" s="23" t="s">
        <v>26</v>
      </c>
      <c r="V46" s="10"/>
      <c r="W46" s="10"/>
      <c r="X46" s="10"/>
      <c r="Y46" s="10"/>
      <c r="Z46" s="9">
        <v>2.8987737598000001</v>
      </c>
      <c r="AA46" s="9">
        <v>64.159521389000005</v>
      </c>
      <c r="AB46" s="9">
        <v>38.678367707100001</v>
      </c>
      <c r="AC46" s="9">
        <v>44.699196808812097</v>
      </c>
      <c r="AD46" s="98">
        <v>150.4358596647121</v>
      </c>
    </row>
    <row r="47" spans="3:30" s="3" customFormat="1" x14ac:dyDescent="0.25">
      <c r="H47" s="45"/>
      <c r="I47" s="45"/>
      <c r="J47" s="45"/>
      <c r="K47" s="45"/>
      <c r="L47" s="45"/>
      <c r="M47" s="45"/>
      <c r="N47" s="45"/>
      <c r="O47" s="77"/>
      <c r="P47" s="77"/>
      <c r="Q47" s="77"/>
      <c r="R47" s="78"/>
      <c r="S47" s="45"/>
      <c r="T47" s="45"/>
      <c r="Z47" s="45"/>
      <c r="AA47" s="45"/>
      <c r="AB47" s="45"/>
      <c r="AC47" s="45"/>
      <c r="AD47" s="45"/>
    </row>
    <row r="48" spans="3:30" s="3" customFormat="1" x14ac:dyDescent="0.25"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Z48" s="45"/>
      <c r="AA48" s="45"/>
      <c r="AB48" s="45"/>
      <c r="AC48" s="45"/>
      <c r="AD48" s="45"/>
    </row>
    <row r="49" spans="2:30" ht="31.5" x14ac:dyDescent="0.35">
      <c r="C49" s="145">
        <v>2023</v>
      </c>
      <c r="D49" s="146"/>
      <c r="E49" s="146"/>
      <c r="F49" s="146"/>
      <c r="G49" s="146"/>
      <c r="H49" s="76" t="s">
        <v>36</v>
      </c>
      <c r="I49" s="76" t="s">
        <v>49</v>
      </c>
      <c r="J49" s="76" t="s">
        <v>38</v>
      </c>
      <c r="K49" s="76" t="s">
        <v>48</v>
      </c>
      <c r="L49" s="93" t="s">
        <v>1</v>
      </c>
      <c r="M49" s="19"/>
      <c r="N49" s="145">
        <v>2023</v>
      </c>
      <c r="O49" s="141" t="s">
        <v>36</v>
      </c>
      <c r="P49" s="76" t="s">
        <v>49</v>
      </c>
      <c r="Q49" s="76" t="s">
        <v>38</v>
      </c>
      <c r="R49" s="76" t="s">
        <v>48</v>
      </c>
      <c r="S49" s="93" t="s">
        <v>1</v>
      </c>
      <c r="T49" s="19"/>
      <c r="U49" s="145">
        <v>2023</v>
      </c>
      <c r="V49" s="146"/>
      <c r="W49" s="146"/>
      <c r="X49" s="146"/>
      <c r="Y49" s="146"/>
      <c r="Z49" s="76" t="s">
        <v>36</v>
      </c>
      <c r="AA49" s="76" t="s">
        <v>49</v>
      </c>
      <c r="AB49" s="76" t="s">
        <v>38</v>
      </c>
      <c r="AC49" s="76" t="s">
        <v>48</v>
      </c>
      <c r="AD49" s="93" t="s">
        <v>1</v>
      </c>
    </row>
    <row r="50" spans="2:30" x14ac:dyDescent="0.25">
      <c r="C50" s="147" t="s">
        <v>18</v>
      </c>
      <c r="H50" s="8">
        <f>SUM(H51:H52)</f>
        <v>0</v>
      </c>
      <c r="I50" s="8">
        <f>SUM(I51:I52)</f>
        <v>41.79505709</v>
      </c>
      <c r="J50" s="8">
        <f>SUM(J51:J52)</f>
        <v>1.8590193426999999</v>
      </c>
      <c r="K50" s="8">
        <f>SUM(K51:K52)</f>
        <v>0.42742611304540001</v>
      </c>
      <c r="L50" s="96">
        <f>SUM(H50:K50)</f>
        <v>44.081502545745401</v>
      </c>
      <c r="M50" s="75"/>
      <c r="N50" s="150" t="s">
        <v>18</v>
      </c>
      <c r="O50" s="29">
        <f>'[2]Bilan 2023 réel'!$X$46/11.63</f>
        <v>0</v>
      </c>
      <c r="P50" s="28">
        <f>SUM('[2]Bilan 2023 réel'!$X$41:$X$43)/11.63</f>
        <v>42.139633010859157</v>
      </c>
      <c r="Q50" s="28">
        <f>'[2]Bilan 2023 réel'!$X$13/11.63</f>
        <v>0.9065512467755803</v>
      </c>
      <c r="R50" s="28">
        <f>('[2]Bilan 2023 réel'!$X$22+'[2]Bilan 2023 réel'!$X$30+SUM('[2]Bilan 2023 réel'!$X$36:$X$40)+SUM('[2]Bilan 2023 réel'!$X$44:$X$45)+'[2]Bilan 2023 réel'!$X$47)/11.63</f>
        <v>0.31885683576956142</v>
      </c>
      <c r="S50" s="142">
        <f>SUM(O50:R50)</f>
        <v>43.365041093404294</v>
      </c>
      <c r="T50" s="270"/>
      <c r="U50" s="147" t="s">
        <v>18</v>
      </c>
      <c r="Z50" s="8">
        <v>0</v>
      </c>
      <c r="AA50" s="8">
        <v>42.066858190000005</v>
      </c>
      <c r="AB50" s="8">
        <v>1.6289597455</v>
      </c>
      <c r="AC50" s="8">
        <v>0.42183069478729995</v>
      </c>
      <c r="AD50" s="96">
        <v>44.117648630287306</v>
      </c>
    </row>
    <row r="51" spans="2:30" x14ac:dyDescent="0.25">
      <c r="C51" s="148" t="s">
        <v>19</v>
      </c>
      <c r="D51" t="s">
        <v>394</v>
      </c>
      <c r="E51" t="s">
        <v>395</v>
      </c>
      <c r="F51" t="s">
        <v>396</v>
      </c>
      <c r="G51" t="s">
        <v>397</v>
      </c>
      <c r="H51" s="16">
        <f>VLOOKUP(D51,Résultats!$B$2:$AX$476,'T energie vecteurs'!L5,FALSE)</f>
        <v>0</v>
      </c>
      <c r="I51" s="16">
        <f>VLOOKUP(E51,Résultats!$B$2:$AX$476,'T energie vecteurs'!L5,FALSE)</f>
        <v>22.627866640000001</v>
      </c>
      <c r="J51" s="16">
        <f>VLOOKUP(F51,Résultats!$B$2:$AX$476,'T energie vecteurs'!L5,FALSE)</f>
        <v>0.1873554127</v>
      </c>
      <c r="K51" s="16">
        <f>VLOOKUP(G51,Résultats!$B$2:$AX$476,'T energie vecteurs'!L5,FALSE)</f>
        <v>1.5800445400000002E-5</v>
      </c>
      <c r="L51" s="95">
        <f t="shared" ref="L51:L52" si="11">SUM(H51:K51)</f>
        <v>22.815237853145401</v>
      </c>
      <c r="M51" s="16"/>
      <c r="N51" s="148" t="s">
        <v>19</v>
      </c>
      <c r="O51" s="143"/>
      <c r="P51" s="16"/>
      <c r="Q51" s="34"/>
      <c r="R51" s="16"/>
      <c r="S51" s="95"/>
      <c r="T51" s="270"/>
      <c r="U51" s="148" t="s">
        <v>19</v>
      </c>
      <c r="V51" t="s">
        <v>394</v>
      </c>
      <c r="W51" t="s">
        <v>395</v>
      </c>
      <c r="X51" t="s">
        <v>396</v>
      </c>
      <c r="Y51" t="s">
        <v>397</v>
      </c>
      <c r="Z51" s="16">
        <v>0</v>
      </c>
      <c r="AA51" s="16">
        <v>23.0047794</v>
      </c>
      <c r="AB51" s="16">
        <v>0.22147205649999999</v>
      </c>
      <c r="AC51" s="16">
        <v>1.89455873E-5</v>
      </c>
      <c r="AD51" s="95">
        <v>23.226270402087302</v>
      </c>
    </row>
    <row r="52" spans="2:30" x14ac:dyDescent="0.25">
      <c r="C52" s="149" t="s">
        <v>20</v>
      </c>
      <c r="D52" t="s">
        <v>398</v>
      </c>
      <c r="E52" t="s">
        <v>399</v>
      </c>
      <c r="F52" t="s">
        <v>400</v>
      </c>
      <c r="G52" t="s">
        <v>401</v>
      </c>
      <c r="H52" s="16">
        <f>VLOOKUP(D52,Résultats!$B$2:$AX$476,'T energie vecteurs'!L5,FALSE)</f>
        <v>0</v>
      </c>
      <c r="I52" s="16">
        <f>VLOOKUP(E52,Résultats!$B$2:$AX$476,'T energie vecteurs'!L5,FALSE)</f>
        <v>19.16719045</v>
      </c>
      <c r="J52" s="16">
        <f>VLOOKUP(F52,Résultats!$B$2:$AX$476,'T energie vecteurs'!L5,FALSE)</f>
        <v>1.67166393</v>
      </c>
      <c r="K52" s="16">
        <f>VLOOKUP(G52,Résultats!$B$2:$AX$476,'T energie vecteurs'!L5,FALSE)</f>
        <v>0.42741031260000001</v>
      </c>
      <c r="L52" s="95">
        <f t="shared" si="11"/>
        <v>21.2662646926</v>
      </c>
      <c r="M52" s="16"/>
      <c r="N52" s="149" t="s">
        <v>20</v>
      </c>
      <c r="O52" s="143"/>
      <c r="P52" s="16"/>
      <c r="Q52" s="34"/>
      <c r="R52" s="16"/>
      <c r="S52" s="95"/>
      <c r="T52" s="270"/>
      <c r="U52" s="149" t="s">
        <v>20</v>
      </c>
      <c r="V52" t="s">
        <v>398</v>
      </c>
      <c r="W52" t="s">
        <v>399</v>
      </c>
      <c r="X52" t="s">
        <v>400</v>
      </c>
      <c r="Y52" t="s">
        <v>401</v>
      </c>
      <c r="Z52" s="16">
        <v>0</v>
      </c>
      <c r="AA52" s="16">
        <v>19.062078790000001</v>
      </c>
      <c r="AB52" s="16">
        <v>1.4074876890000001</v>
      </c>
      <c r="AC52" s="16">
        <v>0.42181174919999997</v>
      </c>
      <c r="AD52" s="95">
        <v>20.891378228200001</v>
      </c>
    </row>
    <row r="53" spans="2:30" x14ac:dyDescent="0.25">
      <c r="C53" s="147" t="s">
        <v>21</v>
      </c>
      <c r="D53" t="s">
        <v>402</v>
      </c>
      <c r="E53" t="s">
        <v>403</v>
      </c>
      <c r="F53" t="s">
        <v>404</v>
      </c>
      <c r="G53" t="s">
        <v>405</v>
      </c>
      <c r="H53" s="8">
        <f>VLOOKUP(D53,Résultats!$B$2:$AX$476,'T energie vecteurs'!L5,FALSE)</f>
        <v>0.30512125890000003</v>
      </c>
      <c r="I53" s="294">
        <f>VLOOKUP(E53,Résultats!$B$2:$AX$476,'T energie vecteurs'!L5,FALSE)</f>
        <v>6.1019220350000003</v>
      </c>
      <c r="J53" s="8">
        <f>VLOOKUP(F53,Résultats!$B$2:$AX$476,'T energie vecteurs'!L5,FALSE)</f>
        <v>14.689910149999999</v>
      </c>
      <c r="K53" s="8">
        <f>VLOOKUP(G53,Résultats!$B$2:$AX$476,'T energie vecteurs'!L5,FALSE)+2</f>
        <v>19.327403960000002</v>
      </c>
      <c r="L53" s="96">
        <f>SUM(H53:K53)</f>
        <v>40.424357403900004</v>
      </c>
      <c r="M53" s="75"/>
      <c r="N53" s="150" t="s">
        <v>21</v>
      </c>
      <c r="O53" s="29">
        <f>'[2]Bilan 2023 réel'!$V$46/11.63</f>
        <v>1.9785054E-2</v>
      </c>
      <c r="P53" s="28">
        <f>SUM('[2]Bilan 2023 réel'!$V$41:$V$43)/11.63</f>
        <v>3.0423469738</v>
      </c>
      <c r="Q53" s="28">
        <f>'[2]Bilan 2023 réel'!$V$13/11.63</f>
        <v>13.020267239896821</v>
      </c>
      <c r="R53" s="28">
        <f>('[2]Bilan 2023 réel'!$V$22+'[2]Bilan 2023 réel'!$V$30+SUM('[2]Bilan 2023 réel'!$V$36:$V$40)+SUM('[2]Bilan 2023 réel'!$V$44:$V$45)+'[2]Bilan 2023 réel'!$V$47)/11.63</f>
        <v>20.330842243575045</v>
      </c>
      <c r="S53" s="142">
        <f t="shared" ref="S53:S59" si="12">SUM(O53:R53)</f>
        <v>36.413241511271863</v>
      </c>
      <c r="T53" s="270"/>
      <c r="U53" s="147" t="s">
        <v>21</v>
      </c>
      <c r="V53" t="s">
        <v>402</v>
      </c>
      <c r="W53" t="s">
        <v>403</v>
      </c>
      <c r="X53" t="s">
        <v>404</v>
      </c>
      <c r="Y53" t="s">
        <v>405</v>
      </c>
      <c r="Z53" s="8">
        <v>0.30123921450000002</v>
      </c>
      <c r="AA53" s="294">
        <v>5.9017446480000002</v>
      </c>
      <c r="AB53" s="8">
        <v>14.75974993</v>
      </c>
      <c r="AC53" s="8">
        <v>19.064974060000001</v>
      </c>
      <c r="AD53" s="96">
        <v>40.027707852500001</v>
      </c>
    </row>
    <row r="54" spans="2:30" x14ac:dyDescent="0.25">
      <c r="C54" s="147" t="s">
        <v>22</v>
      </c>
      <c r="D54" t="s">
        <v>406</v>
      </c>
      <c r="E54" t="s">
        <v>407</v>
      </c>
      <c r="F54" t="s">
        <v>408</v>
      </c>
      <c r="G54" t="s">
        <v>409</v>
      </c>
      <c r="H54" s="8">
        <f>VLOOKUP(D54,Résultats!$B$2:$AX$476,'T energie vecteurs'!L5,FALSE)</f>
        <v>0</v>
      </c>
      <c r="I54" s="8">
        <f>VLOOKUP(E54,Résultats!$B$2:$AX$476,'T energie vecteurs'!L5,FALSE)</f>
        <v>2.616496331</v>
      </c>
      <c r="J54" s="8">
        <f>VLOOKUP(F54,Résultats!$B$2:$AX$476,'T energie vecteurs'!L5,FALSE)</f>
        <v>10.91774199</v>
      </c>
      <c r="K54" s="8">
        <f>VLOOKUP(G54,Résultats!$B$2:$AX$476,'T energie vecteurs'!L5,FALSE)</f>
        <v>8.4215917149999999</v>
      </c>
      <c r="L54" s="96">
        <f t="shared" ref="L54:L56" si="13">SUM(H54:K54)</f>
        <v>21.955830036000002</v>
      </c>
      <c r="M54" s="75"/>
      <c r="N54" s="150" t="s">
        <v>22</v>
      </c>
      <c r="O54" s="29">
        <f>('[2]Bilan 2023 réel'!$W$46)/11.63</f>
        <v>2.9470376E-2</v>
      </c>
      <c r="P54" s="28">
        <f>SUM('[2]Bilan 2023 réel'!$W$41:$W$43)/11.63</f>
        <v>2.063881609425366</v>
      </c>
      <c r="Q54" s="28">
        <f>('[2]Bilan 2023 réel'!$W$13)/11.63</f>
        <v>11.200373602751505</v>
      </c>
      <c r="R54" s="28">
        <f>('[2]Bilan 2023 réel'!$W$22+'[2]Bilan 2023 réel'!$W$30+SUM('[2]Bilan 2023 réel'!$W$36:$W$40)+SUM('[2]Bilan 2023 réel'!$W$44:$W$45)+'[2]Bilan 2023 réel'!$W$47)/11.63</f>
        <v>7.0633917765357781</v>
      </c>
      <c r="S54" s="142">
        <f t="shared" si="12"/>
        <v>20.35711736471265</v>
      </c>
      <c r="T54" s="270"/>
      <c r="U54" s="147" t="s">
        <v>22</v>
      </c>
      <c r="V54" t="s">
        <v>406</v>
      </c>
      <c r="W54" t="s">
        <v>407</v>
      </c>
      <c r="X54" t="s">
        <v>408</v>
      </c>
      <c r="Y54" t="s">
        <v>409</v>
      </c>
      <c r="Z54" s="8">
        <v>0</v>
      </c>
      <c r="AA54" s="8">
        <v>2.9949377670000001</v>
      </c>
      <c r="AB54" s="8">
        <v>12.775402789999999</v>
      </c>
      <c r="AC54" s="8">
        <v>9.3933770499999998</v>
      </c>
      <c r="AD54" s="96">
        <v>25.163717606999999</v>
      </c>
    </row>
    <row r="55" spans="2:30" x14ac:dyDescent="0.25">
      <c r="C55" s="147" t="s">
        <v>23</v>
      </c>
      <c r="H55" s="8">
        <f>SUM(H56:H58)</f>
        <v>2.5454173838999998</v>
      </c>
      <c r="I55" s="8">
        <f>SUM(I56:I58)</f>
        <v>12.905544303000001</v>
      </c>
      <c r="J55" s="8">
        <f>SUM(J56:J58)</f>
        <v>9.7506805192999995</v>
      </c>
      <c r="K55" s="8">
        <f>SUM(K56:K58)</f>
        <v>16.621019773</v>
      </c>
      <c r="L55" s="96">
        <f t="shared" si="13"/>
        <v>41.822661979199999</v>
      </c>
      <c r="M55" s="75"/>
      <c r="N55" s="150" t="s">
        <v>490</v>
      </c>
      <c r="O55" s="29">
        <f>O56+O57</f>
        <v>3.8091541290558895</v>
      </c>
      <c r="P55" s="28">
        <f t="shared" ref="P55:R55" si="14">P56+P57</f>
        <v>12.120619615422576</v>
      </c>
      <c r="Q55" s="28">
        <f t="shared" si="14"/>
        <v>8.8688043852106624</v>
      </c>
      <c r="R55" s="28">
        <f t="shared" si="14"/>
        <v>13.009554326375659</v>
      </c>
      <c r="S55" s="142">
        <f t="shared" si="12"/>
        <v>37.808132456064783</v>
      </c>
      <c r="T55" s="270"/>
      <c r="U55" s="147" t="s">
        <v>23</v>
      </c>
      <c r="Z55" s="8">
        <v>2.6011757037000001</v>
      </c>
      <c r="AA55" s="8">
        <v>12.762939494999999</v>
      </c>
      <c r="AB55" s="8">
        <v>9.9388339572</v>
      </c>
      <c r="AC55" s="8">
        <v>16.455896252500001</v>
      </c>
      <c r="AD55" s="96">
        <v>41.758845408399999</v>
      </c>
    </row>
    <row r="56" spans="2:30" x14ac:dyDescent="0.25">
      <c r="C56" s="149" t="s">
        <v>24</v>
      </c>
      <c r="D56" t="s">
        <v>410</v>
      </c>
      <c r="E56" t="s">
        <v>411</v>
      </c>
      <c r="F56" t="s">
        <v>412</v>
      </c>
      <c r="G56" t="s">
        <v>413</v>
      </c>
      <c r="H56" s="16">
        <f>VLOOKUP(D56,Résultats!$B$2:$AX$476,'T energie vecteurs'!L5,FALSE)</f>
        <v>1.653892642</v>
      </c>
      <c r="I56" s="16">
        <f>VLOOKUP(E56,Résultats!$B$2:$AX$476,'T energie vecteurs'!L5,FALSE)</f>
        <v>8.4094103610000008</v>
      </c>
      <c r="J56" s="16">
        <f>VLOOKUP(F56,Résultats!$B$2:$AX$476,'T energie vecteurs'!L5,FALSE)</f>
        <v>9.4270447920000002</v>
      </c>
      <c r="K56" s="16">
        <f>VLOOKUP(G56,Résultats!$B$2:$AX$476,'T energie vecteurs'!L5,FALSE)</f>
        <v>13.98445794</v>
      </c>
      <c r="L56" s="95">
        <f t="shared" si="13"/>
        <v>33.474805735000004</v>
      </c>
      <c r="M56" s="16"/>
      <c r="N56" s="149" t="s">
        <v>491</v>
      </c>
      <c r="O56" s="143">
        <f>'[2]Bilan 2023 réel'!$U$46/11.63</f>
        <v>0.58092196100000004</v>
      </c>
      <c r="P56" s="30">
        <f>SUM('[2]Bilan 2023 réel'!$U$41:$U$43)/11.63</f>
        <v>2.395717067522579</v>
      </c>
      <c r="Q56" s="30">
        <f>'[2]Bilan 2023 réel'!$U$13/11.63</f>
        <v>8.8688043852106624</v>
      </c>
      <c r="R56" s="30">
        <f>('[2]Bilan 2023 réel'!$U$22+'[2]Bilan 2023 réel'!$U$30+SUM('[2]Bilan 2023 réel'!$U$36:$U$40)+SUM('[2]Bilan 2023 réel'!$U$44:$U$45)+'[2]Bilan 2023 réel'!$U$47)/11.63</f>
        <v>12.148361914509794</v>
      </c>
      <c r="S56" s="95">
        <f t="shared" si="12"/>
        <v>23.993805328243035</v>
      </c>
      <c r="T56" s="270"/>
      <c r="U56" s="149" t="s">
        <v>24</v>
      </c>
      <c r="V56" t="s">
        <v>410</v>
      </c>
      <c r="W56" t="s">
        <v>411</v>
      </c>
      <c r="X56" t="s">
        <v>412</v>
      </c>
      <c r="Y56" t="s">
        <v>413</v>
      </c>
      <c r="Z56" s="16">
        <v>1.6990571510000001</v>
      </c>
      <c r="AA56" s="16">
        <v>8.3628875120000004</v>
      </c>
      <c r="AB56" s="16">
        <v>9.606620629</v>
      </c>
      <c r="AC56" s="16">
        <v>13.85908566</v>
      </c>
      <c r="AD56" s="95">
        <v>33.527650952000002</v>
      </c>
    </row>
    <row r="57" spans="2:30" x14ac:dyDescent="0.25">
      <c r="C57" s="149" t="s">
        <v>47</v>
      </c>
      <c r="D57" t="s">
        <v>414</v>
      </c>
      <c r="E57" t="s">
        <v>415</v>
      </c>
      <c r="F57" t="s">
        <v>416</v>
      </c>
      <c r="G57" t="s">
        <v>417</v>
      </c>
      <c r="H57" s="16">
        <f>VLOOKUP(D57,Résultats!$B$2:$AX$476,'T energie vecteurs'!L5,FALSE)</f>
        <v>0.89152474189999997</v>
      </c>
      <c r="I57" s="16">
        <f>VLOOKUP(E57,Résultats!$B$2:$AX$476,'T energie vecteurs'!L5,FALSE)</f>
        <v>1.9571456359999999</v>
      </c>
      <c r="J57" s="16">
        <f>VLOOKUP(F57,Résultats!$B$2:$AX$476,'T energie vecteurs'!L5,FALSE)</f>
        <v>0</v>
      </c>
      <c r="K57" s="16">
        <f>VLOOKUP(G57,Résultats!$B$2:$AX$476,'T energie vecteurs'!L5,FALSE)</f>
        <v>2.237317869</v>
      </c>
      <c r="L57" s="95">
        <f>SUM(H57:K57)</f>
        <v>5.0859882468999995</v>
      </c>
      <c r="M57" s="16"/>
      <c r="N57" s="149" t="s">
        <v>47</v>
      </c>
      <c r="O57" s="22">
        <f>'[2]Bilan 2023 réel'!$E$52/11.63</f>
        <v>3.2282321680558894</v>
      </c>
      <c r="P57" s="16">
        <f>('[2]Bilan 2023 réel'!$E$54+'[2]Bilan 2023 réel'!$E$56)/11.63</f>
        <v>9.7249025478999975</v>
      </c>
      <c r="Q57" s="16">
        <v>0</v>
      </c>
      <c r="R57" s="16">
        <f>('[2]Bilan 2023 réel'!$E$53+'[2]Bilan 2023 réel'!$E$55+'[2]Bilan 2023 réel'!$E$57)/11.63</f>
        <v>0.86119241186586415</v>
      </c>
      <c r="S57" s="95">
        <f t="shared" si="12"/>
        <v>13.814327127821752</v>
      </c>
      <c r="T57" s="270"/>
      <c r="U57" s="149" t="s">
        <v>47</v>
      </c>
      <c r="V57" t="s">
        <v>414</v>
      </c>
      <c r="W57" t="s">
        <v>415</v>
      </c>
      <c r="X57" t="s">
        <v>416</v>
      </c>
      <c r="Y57" t="s">
        <v>417</v>
      </c>
      <c r="Z57" s="16">
        <v>0.90211855269999996</v>
      </c>
      <c r="AA57" s="16">
        <v>1.939721655</v>
      </c>
      <c r="AB57" s="16">
        <v>0</v>
      </c>
      <c r="AC57" s="16">
        <v>2.1944786110000001</v>
      </c>
      <c r="AD57" s="95">
        <v>5.0363188186999999</v>
      </c>
    </row>
    <row r="58" spans="2:30" x14ac:dyDescent="0.25">
      <c r="C58" s="149" t="s">
        <v>25</v>
      </c>
      <c r="D58" t="s">
        <v>418</v>
      </c>
      <c r="E58" t="s">
        <v>419</v>
      </c>
      <c r="F58" t="s">
        <v>420</v>
      </c>
      <c r="G58" t="s">
        <v>421</v>
      </c>
      <c r="H58" s="16">
        <f>VLOOKUP(D58,Résultats!$B$2:$AX$476,'T energie vecteurs'!L5,FALSE)</f>
        <v>0</v>
      </c>
      <c r="I58" s="16">
        <f>VLOOKUP(E58,Résultats!$B$2:$AX$476,'T energie vecteurs'!L5,FALSE)</f>
        <v>2.5389883059999998</v>
      </c>
      <c r="J58" s="16">
        <f>VLOOKUP(F58,Résultats!$B$2:$AX$476,'T energie vecteurs'!L5,FALSE)</f>
        <v>0.32363572730000001</v>
      </c>
      <c r="K58" s="16">
        <f>VLOOKUP(G58,Résultats!$B$2:$AX$476,'T energie vecteurs'!L5,FALSE)</f>
        <v>0.39924396400000001</v>
      </c>
      <c r="L58" s="95">
        <f t="shared" ref="L58" si="15">SUM(H58:K58)</f>
        <v>3.2618679973</v>
      </c>
      <c r="M58" s="16"/>
      <c r="N58" s="150" t="s">
        <v>25</v>
      </c>
      <c r="O58" s="29">
        <f>'[2]Bilan 2023 réel'!$T$46/11.63</f>
        <v>1.221354E-3</v>
      </c>
      <c r="P58" s="28">
        <f>SUM('[2]Bilan 2023 réel'!$T$41:$T$43)/11.63</f>
        <v>3.4194391444513199</v>
      </c>
      <c r="Q58" s="28">
        <f>'[2]Bilan 2023 réel'!$T$13/11.63</f>
        <v>0.65647798796216683</v>
      </c>
      <c r="R58" s="28">
        <f>('[2]Bilan 2023 réel'!$T$22+'[2]Bilan 2023 réel'!$T$30+SUM('[2]Bilan 2023 réel'!$T$36:$T$40)+SUM('[2]Bilan 2023 réel'!$T$44:$T$45)+'[2]Bilan 2023 réel'!$T$47)/11.63</f>
        <v>0.44186481322250887</v>
      </c>
      <c r="S58" s="142">
        <f t="shared" si="12"/>
        <v>4.5190032996359957</v>
      </c>
      <c r="T58" s="270"/>
      <c r="U58" s="149" t="s">
        <v>25</v>
      </c>
      <c r="V58" t="s">
        <v>418</v>
      </c>
      <c r="W58" t="s">
        <v>419</v>
      </c>
      <c r="X58" t="s">
        <v>420</v>
      </c>
      <c r="Y58" t="s">
        <v>421</v>
      </c>
      <c r="Z58" s="16">
        <v>0</v>
      </c>
      <c r="AA58" s="16">
        <v>2.460330328</v>
      </c>
      <c r="AB58" s="16">
        <v>0.33221332819999999</v>
      </c>
      <c r="AC58" s="16">
        <v>0.40233198149999999</v>
      </c>
      <c r="AD58" s="95">
        <v>3.1948756377</v>
      </c>
    </row>
    <row r="59" spans="2:30" x14ac:dyDescent="0.25">
      <c r="C59" s="23" t="s">
        <v>26</v>
      </c>
      <c r="D59" s="10"/>
      <c r="E59" s="10"/>
      <c r="F59" s="10"/>
      <c r="G59" s="10"/>
      <c r="H59" s="9">
        <f>SUM(H50,H53:H55)</f>
        <v>2.8505386427999997</v>
      </c>
      <c r="I59" s="9">
        <f>SUM(I50,I53:I55)</f>
        <v>63.419019759000001</v>
      </c>
      <c r="J59" s="9">
        <f>SUM(J50,J53:J55)</f>
        <v>37.217352001999998</v>
      </c>
      <c r="K59" s="9">
        <f>SUM(K50,K53:K55)</f>
        <v>44.797441561045403</v>
      </c>
      <c r="L59" s="98">
        <f>SUM(H59:K59)</f>
        <v>148.2843519648454</v>
      </c>
      <c r="M59" s="79"/>
      <c r="N59" s="151" t="s">
        <v>26</v>
      </c>
      <c r="O59" s="32">
        <f>O50+O53+O54+O55+O58</f>
        <v>3.8596309130558897</v>
      </c>
      <c r="P59" s="31">
        <f>P50+P53+P54+P55+P58</f>
        <v>62.785920353958417</v>
      </c>
      <c r="Q59" s="31">
        <f>Q50+Q53+Q54+Q55+Q58</f>
        <v>34.652474462596736</v>
      </c>
      <c r="R59" s="31">
        <f>R50+R53+R54+R55+R58</f>
        <v>41.164509995478554</v>
      </c>
      <c r="S59" s="144">
        <f t="shared" si="12"/>
        <v>142.46253572508959</v>
      </c>
      <c r="T59" s="79"/>
      <c r="U59" s="23" t="s">
        <v>26</v>
      </c>
      <c r="V59" s="10"/>
      <c r="W59" s="10"/>
      <c r="X59" s="10"/>
      <c r="Y59" s="10"/>
      <c r="Z59" s="9">
        <v>2.9024149181999999</v>
      </c>
      <c r="AA59" s="9">
        <v>63.726480100000003</v>
      </c>
      <c r="AB59" s="9">
        <v>39.102946422700001</v>
      </c>
      <c r="AC59" s="9">
        <v>45.336078057287295</v>
      </c>
      <c r="AD59" s="98">
        <v>151.06791949818728</v>
      </c>
    </row>
    <row r="60" spans="2:30" s="3" customFormat="1" x14ac:dyDescent="0.25">
      <c r="O60" s="77"/>
      <c r="P60" s="77"/>
      <c r="Q60" s="77"/>
      <c r="R60" s="78"/>
      <c r="S60" s="45"/>
    </row>
    <row r="61" spans="2:30" s="3" customFormat="1" x14ac:dyDescent="0.25">
      <c r="B61" s="60"/>
      <c r="K61" s="47"/>
      <c r="O61" s="79"/>
      <c r="P61" s="79"/>
      <c r="Q61" s="79"/>
      <c r="R61" s="80"/>
      <c r="S61" s="81"/>
      <c r="AC61" s="47"/>
    </row>
    <row r="62" spans="2:30" ht="31.5" x14ac:dyDescent="0.35">
      <c r="C62" s="145">
        <v>2025</v>
      </c>
      <c r="D62" s="146"/>
      <c r="E62" s="146"/>
      <c r="F62" s="146"/>
      <c r="G62" s="146"/>
      <c r="H62" s="76" t="s">
        <v>36</v>
      </c>
      <c r="I62" s="76" t="s">
        <v>49</v>
      </c>
      <c r="J62" s="76" t="s">
        <v>38</v>
      </c>
      <c r="K62" s="76" t="s">
        <v>48</v>
      </c>
      <c r="L62" s="93" t="s">
        <v>1</v>
      </c>
      <c r="M62" s="19"/>
      <c r="N62" s="145">
        <v>2025</v>
      </c>
      <c r="O62" s="141" t="s">
        <v>36</v>
      </c>
      <c r="P62" s="76" t="s">
        <v>49</v>
      </c>
      <c r="Q62" s="76" t="s">
        <v>38</v>
      </c>
      <c r="R62" s="76" t="s">
        <v>48</v>
      </c>
      <c r="S62" s="93" t="s">
        <v>1</v>
      </c>
      <c r="T62" s="19"/>
      <c r="U62" s="145">
        <v>2025</v>
      </c>
      <c r="V62" s="146"/>
      <c r="W62" s="146"/>
      <c r="X62" s="146"/>
      <c r="Y62" s="146"/>
      <c r="Z62" s="76" t="s">
        <v>36</v>
      </c>
      <c r="AA62" s="76" t="s">
        <v>49</v>
      </c>
      <c r="AB62" s="76" t="s">
        <v>38</v>
      </c>
      <c r="AC62" s="76" t="s">
        <v>48</v>
      </c>
      <c r="AD62" s="93" t="s">
        <v>1</v>
      </c>
    </row>
    <row r="63" spans="2:30" x14ac:dyDescent="0.25">
      <c r="C63" s="147" t="s">
        <v>18</v>
      </c>
      <c r="H63" s="8">
        <f>SUM(H64:H65)</f>
        <v>0</v>
      </c>
      <c r="I63" s="8">
        <f>SUM(I64:I65)</f>
        <v>41.153306659999998</v>
      </c>
      <c r="J63" s="8">
        <f>SUM(J64:J65)</f>
        <v>2.0381382191999999</v>
      </c>
      <c r="K63" s="8">
        <f>SUM(K64:K65)</f>
        <v>0.4314821291473</v>
      </c>
      <c r="L63" s="96">
        <f t="shared" ref="L63:L72" si="16">SUM(H63:K63)</f>
        <v>43.622927008347297</v>
      </c>
      <c r="M63" s="75"/>
      <c r="N63" s="150" t="s">
        <v>18</v>
      </c>
      <c r="O63" s="29">
        <f>'[2]Bilan 2025 AMS'!$X$46/11.63</f>
        <v>0</v>
      </c>
      <c r="P63" s="28">
        <f>SUM('[2]Bilan 2025 AMS'!$X$41:$X$43)/11.63</f>
        <v>39.248086514996544</v>
      </c>
      <c r="Q63" s="28">
        <f>'[2]Bilan 2025 AMS'!$X$13/11.63</f>
        <v>1.453494342958451</v>
      </c>
      <c r="R63" s="28">
        <f>('[2]Bilan 2025 AMS'!$X$22+'[2]Bilan 2025 AMS'!$X$30+SUM('[2]Bilan 2025 AMS'!$X$36:$X$40)+SUM('[2]Bilan 2025 AMS'!$X$44:$X$45)+'[2]Bilan 2025 AMS'!$X$47)/11.63</f>
        <v>0.36357192736941735</v>
      </c>
      <c r="S63" s="142">
        <f>SUM(O63:R63)</f>
        <v>41.065152785324415</v>
      </c>
      <c r="T63" s="75"/>
      <c r="U63" s="147" t="s">
        <v>18</v>
      </c>
      <c r="Z63" s="8">
        <v>0</v>
      </c>
      <c r="AA63" s="8">
        <v>41.194424519999998</v>
      </c>
      <c r="AB63" s="8">
        <v>1.8832192328999999</v>
      </c>
      <c r="AC63" s="8">
        <v>0.44217973729600002</v>
      </c>
      <c r="AD63" s="96">
        <v>43.519823490195996</v>
      </c>
    </row>
    <row r="64" spans="2:30" x14ac:dyDescent="0.25">
      <c r="C64" s="148" t="s">
        <v>19</v>
      </c>
      <c r="D64" t="s">
        <v>394</v>
      </c>
      <c r="E64" t="s">
        <v>395</v>
      </c>
      <c r="F64" t="s">
        <v>396</v>
      </c>
      <c r="G64" t="s">
        <v>397</v>
      </c>
      <c r="H64" s="16">
        <f>VLOOKUP(D64,Résultats!$B$2:$AX$476,'T energie vecteurs'!N5,FALSE)</f>
        <v>0</v>
      </c>
      <c r="I64" s="16">
        <f>VLOOKUP(E64,Résultats!$B$2:$AX$476,'T energie vecteurs'!N5,FALSE)</f>
        <v>21.849143739999999</v>
      </c>
      <c r="J64" s="16">
        <f>VLOOKUP(F64,Résultats!$B$2:$AX$476,'T energie vecteurs'!N5,FALSE)</f>
        <v>0.28180116220000001</v>
      </c>
      <c r="K64" s="16">
        <f>VLOOKUP(G77,Résultats!$B$2:$AX$476,'T energie vecteurs'!N5,FALSE)</f>
        <v>1.9915447299999999E-5</v>
      </c>
      <c r="L64" s="95">
        <f t="shared" si="16"/>
        <v>22.1309648176473</v>
      </c>
      <c r="M64" s="16"/>
      <c r="N64" s="148" t="s">
        <v>19</v>
      </c>
      <c r="O64" s="143"/>
      <c r="P64" s="16"/>
      <c r="Q64" s="34"/>
      <c r="R64" s="16"/>
      <c r="S64" s="95"/>
      <c r="T64" s="16"/>
      <c r="U64" s="148" t="s">
        <v>19</v>
      </c>
      <c r="V64" t="s">
        <v>394</v>
      </c>
      <c r="W64" t="s">
        <v>395</v>
      </c>
      <c r="X64" t="s">
        <v>396</v>
      </c>
      <c r="Y64" t="s">
        <v>397</v>
      </c>
      <c r="Z64" s="16">
        <v>0</v>
      </c>
      <c r="AA64" s="16">
        <v>22.040433950000001</v>
      </c>
      <c r="AB64" s="16">
        <v>0.31913769990000002</v>
      </c>
      <c r="AC64" s="16">
        <v>2.3267395999999999E-5</v>
      </c>
      <c r="AD64" s="95">
        <v>22.359594917296</v>
      </c>
    </row>
    <row r="65" spans="3:30" x14ac:dyDescent="0.25">
      <c r="C65" s="149" t="s">
        <v>20</v>
      </c>
      <c r="D65" t="s">
        <v>398</v>
      </c>
      <c r="E65" t="s">
        <v>399</v>
      </c>
      <c r="F65" t="s">
        <v>400</v>
      </c>
      <c r="G65" t="s">
        <v>401</v>
      </c>
      <c r="H65" s="16">
        <f>VLOOKUP(D65,Résultats!$B$2:$AX$476,'T energie vecteurs'!N5,FALSE)</f>
        <v>0</v>
      </c>
      <c r="I65" s="16">
        <f>VLOOKUP(E65,Résultats!$B$2:$AX$476,'T energie vecteurs'!N5,FALSE)</f>
        <v>19.30416292</v>
      </c>
      <c r="J65" s="16">
        <f>VLOOKUP(F65,Résultats!$B$2:$AX$476,'T energie vecteurs'!N5,FALSE)</f>
        <v>1.7563370570000001</v>
      </c>
      <c r="K65" s="16">
        <f>VLOOKUP(G65,Résultats!$B$2:$AX$476,'T energie vecteurs'!N5,FALSE)</f>
        <v>0.43146221369999999</v>
      </c>
      <c r="L65" s="95">
        <f t="shared" si="16"/>
        <v>21.491962190700001</v>
      </c>
      <c r="M65" s="16"/>
      <c r="N65" s="149" t="s">
        <v>20</v>
      </c>
      <c r="O65" s="143"/>
      <c r="P65" s="16"/>
      <c r="Q65" s="34"/>
      <c r="R65" s="16"/>
      <c r="S65" s="95"/>
      <c r="T65" s="16"/>
      <c r="U65" s="149" t="s">
        <v>20</v>
      </c>
      <c r="V65" t="s">
        <v>398</v>
      </c>
      <c r="W65" t="s">
        <v>399</v>
      </c>
      <c r="X65" t="s">
        <v>400</v>
      </c>
      <c r="Y65" t="s">
        <v>401</v>
      </c>
      <c r="Z65" s="16">
        <v>0</v>
      </c>
      <c r="AA65" s="16">
        <v>19.153990570000001</v>
      </c>
      <c r="AB65" s="16">
        <v>1.564081533</v>
      </c>
      <c r="AC65" s="16">
        <v>0.44215646990000002</v>
      </c>
      <c r="AD65" s="95">
        <v>21.160228572899999</v>
      </c>
    </row>
    <row r="66" spans="3:30" x14ac:dyDescent="0.25">
      <c r="C66" s="147" t="s">
        <v>21</v>
      </c>
      <c r="D66" t="s">
        <v>402</v>
      </c>
      <c r="E66" t="s">
        <v>403</v>
      </c>
      <c r="F66" t="s">
        <v>404</v>
      </c>
      <c r="G66" t="s">
        <v>405</v>
      </c>
      <c r="H66" s="8">
        <f>VLOOKUP(D66,Résultats!$B$2:$AX$476,'T energie vecteurs'!N5,FALSE)</f>
        <v>0.29383006169999998</v>
      </c>
      <c r="I66" s="8">
        <f>VLOOKUP(E66,Résultats!$B$2:$AX$476,'T energie vecteurs'!N5,FALSE)</f>
        <v>5.9482435139999996</v>
      </c>
      <c r="J66" s="8">
        <f>VLOOKUP(F66,Résultats!$B$2:$AX$476,'T energie vecteurs'!N5,FALSE)</f>
        <v>14.827504319999999</v>
      </c>
      <c r="K66" s="8">
        <f>VLOOKUP(G66,Résultats!$B$2:$AX$476,'T energie vecteurs'!N5,FALSE)+2</f>
        <v>19.311406309999999</v>
      </c>
      <c r="L66" s="96">
        <f t="shared" si="16"/>
        <v>40.380984205700003</v>
      </c>
      <c r="M66" s="75"/>
      <c r="N66" s="150" t="s">
        <v>21</v>
      </c>
      <c r="O66" s="29">
        <f>'[2]Bilan 2025 AMS'!$V$46/11.63</f>
        <v>0</v>
      </c>
      <c r="P66" s="28">
        <f>SUM('[2]Bilan 2025 AMS'!$V$41:$V$43)/11.63</f>
        <v>2.6022446322442225</v>
      </c>
      <c r="Q66" s="28">
        <f>'[2]Bilan 2025 AMS'!$V$13/11.63</f>
        <v>13.409751504151663</v>
      </c>
      <c r="R66" s="28">
        <f>('[2]Bilan 2025 AMS'!$V$22+'[2]Bilan 2025 AMS'!$V$30+SUM('[2]Bilan 2025 AMS'!$V$36:$V$40)+SUM('[2]Bilan 2025 AMS'!$V$44:$V$45)+'[2]Bilan 2025 AMS'!$V$47)/11.63</f>
        <v>23.07775045887356</v>
      </c>
      <c r="S66" s="142">
        <f t="shared" ref="S66:S72" si="17">SUM(O66:R66)</f>
        <v>39.089746595269446</v>
      </c>
      <c r="T66" s="75"/>
      <c r="U66" s="147" t="s">
        <v>21</v>
      </c>
      <c r="V66" t="s">
        <v>402</v>
      </c>
      <c r="W66" t="s">
        <v>403</v>
      </c>
      <c r="X66" t="s">
        <v>404</v>
      </c>
      <c r="Y66" t="s">
        <v>405</v>
      </c>
      <c r="Z66" s="8">
        <v>0.28345323150000001</v>
      </c>
      <c r="AA66" s="8">
        <v>5.5816586890000002</v>
      </c>
      <c r="AB66" s="8">
        <v>14.86960706</v>
      </c>
      <c r="AC66" s="8">
        <v>18.64174843</v>
      </c>
      <c r="AD66" s="96">
        <v>39.376467410499998</v>
      </c>
    </row>
    <row r="67" spans="3:30" x14ac:dyDescent="0.25">
      <c r="C67" s="147" t="s">
        <v>22</v>
      </c>
      <c r="D67" t="s">
        <v>406</v>
      </c>
      <c r="E67" t="s">
        <v>407</v>
      </c>
      <c r="F67" t="s">
        <v>408</v>
      </c>
      <c r="G67" t="s">
        <v>409</v>
      </c>
      <c r="H67" s="8">
        <f>VLOOKUP(D67,Résultats!$B$2:$AX$476,'T energie vecteurs'!N5,FALSE)</f>
        <v>0</v>
      </c>
      <c r="I67" s="8">
        <f>VLOOKUP(E67,Résultats!$B$2:$AX$476,'T energie vecteurs'!N5,FALSE)</f>
        <v>1.8536865659999999</v>
      </c>
      <c r="J67" s="8">
        <f>VLOOKUP(F67,Résultats!$B$2:$AX$476,'T energie vecteurs'!N5,FALSE)</f>
        <v>10.500986729999999</v>
      </c>
      <c r="K67" s="8">
        <f>VLOOKUP(G67,Résultats!$B$2:$AX$476,'T energie vecteurs'!N5,FALSE)</f>
        <v>11.70224511</v>
      </c>
      <c r="L67" s="96">
        <f t="shared" si="16"/>
        <v>24.056918406000001</v>
      </c>
      <c r="M67" s="75"/>
      <c r="N67" s="150" t="s">
        <v>22</v>
      </c>
      <c r="O67" s="29">
        <f>('[2]Bilan 2025 AMS'!$W$46)/11.63</f>
        <v>0</v>
      </c>
      <c r="P67" s="28">
        <f>SUM('[2]Bilan 2025 AMS'!$W$41:$W$43)/11.63</f>
        <v>1.5736897992660042</v>
      </c>
      <c r="Q67" s="28">
        <f>('[2]Bilan 2025 AMS'!$W$13)/11.63</f>
        <v>10.800977070035794</v>
      </c>
      <c r="R67" s="28">
        <f>('[2]Bilan 2025 AMS'!$W$22+'[2]Bilan 2025 AMS'!$W$30+SUM('[2]Bilan 2025 AMS'!$W$36:$W$40)+SUM('[2]Bilan 2025 AMS'!$W$44:$W$45)+'[2]Bilan 2025 AMS'!$W$47)/11.63</f>
        <v>9.0123576547920088</v>
      </c>
      <c r="S67" s="142">
        <f t="shared" si="17"/>
        <v>21.387024524093807</v>
      </c>
      <c r="T67" s="75"/>
      <c r="U67" s="147" t="s">
        <v>22</v>
      </c>
      <c r="V67" t="s">
        <v>406</v>
      </c>
      <c r="W67" t="s">
        <v>407</v>
      </c>
      <c r="X67" t="s">
        <v>408</v>
      </c>
      <c r="Y67" t="s">
        <v>409</v>
      </c>
      <c r="Z67" s="8">
        <v>0</v>
      </c>
      <c r="AA67" s="8">
        <v>2.1711919960000001</v>
      </c>
      <c r="AB67" s="8">
        <v>12.420803279999999</v>
      </c>
      <c r="AC67" s="8">
        <v>12.657788480000001</v>
      </c>
      <c r="AD67" s="96">
        <v>27.249783755999999</v>
      </c>
    </row>
    <row r="68" spans="3:30" x14ac:dyDescent="0.25">
      <c r="C68" s="147" t="s">
        <v>23</v>
      </c>
      <c r="H68" s="8">
        <f>SUM(H69:H71)</f>
        <v>2.1716128731</v>
      </c>
      <c r="I68" s="8">
        <f>SUM(I69:I71)</f>
        <v>11.226512818</v>
      </c>
      <c r="J68" s="8">
        <f>SUM(J69:J71)</f>
        <v>12.399130235599999</v>
      </c>
      <c r="K68" s="8">
        <f>SUM(K69:K71)</f>
        <v>12.148191722400002</v>
      </c>
      <c r="L68" s="96">
        <f t="shared" si="16"/>
        <v>37.945447649099997</v>
      </c>
      <c r="M68" s="75"/>
      <c r="N68" s="150" t="s">
        <v>490</v>
      </c>
      <c r="O68" s="29">
        <f>O69+O70</f>
        <v>3.9629891209426056</v>
      </c>
      <c r="P68" s="28">
        <f t="shared" ref="P68:R68" si="18">P69+P70</f>
        <v>12.014567437975661</v>
      </c>
      <c r="Q68" s="28">
        <f t="shared" si="18"/>
        <v>10.378487649048596</v>
      </c>
      <c r="R68" s="28">
        <f t="shared" si="18"/>
        <v>14.253418221083377</v>
      </c>
      <c r="S68" s="142">
        <f t="shared" si="17"/>
        <v>40.60946242905024</v>
      </c>
      <c r="T68" s="75"/>
      <c r="U68" s="147" t="s">
        <v>23</v>
      </c>
      <c r="Z68" s="8">
        <v>2.2604120613000003</v>
      </c>
      <c r="AA68" s="8">
        <v>11.053872427999998</v>
      </c>
      <c r="AB68" s="8">
        <v>12.9784806691</v>
      </c>
      <c r="AC68" s="8">
        <v>12.109034106799999</v>
      </c>
      <c r="AD68" s="96">
        <v>38.401799265199998</v>
      </c>
    </row>
    <row r="69" spans="3:30" x14ac:dyDescent="0.25">
      <c r="C69" s="149" t="s">
        <v>24</v>
      </c>
      <c r="D69" t="s">
        <v>410</v>
      </c>
      <c r="E69" t="s">
        <v>411</v>
      </c>
      <c r="F69" t="s">
        <v>412</v>
      </c>
      <c r="G69" t="s">
        <v>413</v>
      </c>
      <c r="H69" s="16">
        <f>VLOOKUP(D69,Résultats!$B$2:$AX$476,'T energie vecteurs'!N5,FALSE)</f>
        <v>1.305131077</v>
      </c>
      <c r="I69" s="16">
        <f>VLOOKUP(E69,Résultats!$B$2:$AX$476,'T energie vecteurs'!N5,FALSE)</f>
        <v>6.5523544779999998</v>
      </c>
      <c r="J69" s="16">
        <f>VLOOKUP(F69,Résultats!$B$2:$AX$476,'T energie vecteurs'!N5,FALSE)</f>
        <v>12.06981536</v>
      </c>
      <c r="K69" s="16">
        <f>VLOOKUP(G69,Résultats!$B$2:$AX$476,'T energie vecteurs'!N5,FALSE)</f>
        <v>9.6258859950000009</v>
      </c>
      <c r="L69" s="95">
        <f t="shared" si="16"/>
        <v>29.553186910000001</v>
      </c>
      <c r="M69" s="16"/>
      <c r="N69" s="149" t="s">
        <v>491</v>
      </c>
      <c r="O69" s="143">
        <f>'[2]Bilan 2025 AMS'!$U$46/11.63</f>
        <v>0.42067994948409282</v>
      </c>
      <c r="P69" s="30">
        <f>SUM('[2]Bilan 2025 AMS'!$U$41:$U$43)/11.63</f>
        <v>2.157951503024802</v>
      </c>
      <c r="Q69" s="30">
        <f>'[2]Bilan 2025 AMS'!$U$13/11.63</f>
        <v>10.378487649048596</v>
      </c>
      <c r="R69" s="30">
        <f>('[2]Bilan 2025 AMS'!$U$22+'[2]Bilan 2025 AMS'!$U$30+SUM('[2]Bilan 2025 AMS'!$U$36:$U$40)+SUM('[2]Bilan 2025 AMS'!$U$44:$U$45)+'[2]Bilan 2025 AMS'!$U$47)/11.63</f>
        <v>13.109738113571288</v>
      </c>
      <c r="S69" s="95">
        <f t="shared" si="17"/>
        <v>26.066857215128778</v>
      </c>
      <c r="T69" s="16"/>
      <c r="U69" s="149" t="s">
        <v>24</v>
      </c>
      <c r="V69" t="s">
        <v>410</v>
      </c>
      <c r="W69" t="s">
        <v>411</v>
      </c>
      <c r="X69" t="s">
        <v>412</v>
      </c>
      <c r="Y69" t="s">
        <v>413</v>
      </c>
      <c r="Z69" s="16">
        <v>1.3730012190000001</v>
      </c>
      <c r="AA69" s="16">
        <v>6.5741076969999996</v>
      </c>
      <c r="AB69" s="16">
        <v>12.64010905</v>
      </c>
      <c r="AC69" s="16">
        <v>9.6347172190000006</v>
      </c>
      <c r="AD69" s="95">
        <v>30.221935185</v>
      </c>
    </row>
    <row r="70" spans="3:30" x14ac:dyDescent="0.25">
      <c r="C70" s="149" t="s">
        <v>47</v>
      </c>
      <c r="D70" t="s">
        <v>414</v>
      </c>
      <c r="E70" t="s">
        <v>415</v>
      </c>
      <c r="F70" t="s">
        <v>416</v>
      </c>
      <c r="G70" t="s">
        <v>417</v>
      </c>
      <c r="H70" s="16">
        <f>VLOOKUP(D70,Résultats!$B$2:$AX$476,'T energie vecteurs'!N5,FALSE)</f>
        <v>0.86648179609999998</v>
      </c>
      <c r="I70" s="16">
        <f>VLOOKUP(E70,Résultats!$B$2:$AX$476,'T energie vecteurs'!N5,FALSE)</f>
        <v>2.018526526</v>
      </c>
      <c r="J70" s="16">
        <f>VLOOKUP(F70,Résultats!$B$2:$AX$476,'T energie vecteurs'!N5,FALSE)</f>
        <v>0</v>
      </c>
      <c r="K70" s="16">
        <f>VLOOKUP(G70,Résultats!$B$2:$AX$476,'T energie vecteurs'!N5,FALSE)</f>
        <v>2.101401831</v>
      </c>
      <c r="L70" s="95">
        <f t="shared" si="16"/>
        <v>4.9864101530999996</v>
      </c>
      <c r="M70" s="16"/>
      <c r="N70" s="149" t="s">
        <v>47</v>
      </c>
      <c r="O70" s="22">
        <f>'[2]Bilan 2025 AMS'!$E$52/11.63</f>
        <v>3.5423091714585127</v>
      </c>
      <c r="P70" s="16">
        <f>('[2]Bilan 2025 AMS'!$E$54+'[2]Bilan 2025 AMS'!$E$56)/11.63</f>
        <v>9.8566159349508595</v>
      </c>
      <c r="Q70" s="16">
        <v>0</v>
      </c>
      <c r="R70" s="16">
        <f>('[2]Bilan 2025 AMS'!$E$53+'[2]Bilan 2025 AMS'!$E$55+'[2]Bilan 2025 AMS'!$E$57)/11.63</f>
        <v>1.1436801075120895</v>
      </c>
      <c r="S70" s="95">
        <f t="shared" si="17"/>
        <v>14.542605213921462</v>
      </c>
      <c r="T70" s="16"/>
      <c r="U70" s="149" t="s">
        <v>47</v>
      </c>
      <c r="V70" t="s">
        <v>414</v>
      </c>
      <c r="W70" t="s">
        <v>415</v>
      </c>
      <c r="X70" t="s">
        <v>416</v>
      </c>
      <c r="Y70" t="s">
        <v>417</v>
      </c>
      <c r="Z70" s="16">
        <v>0.8874108423</v>
      </c>
      <c r="AA70" s="16">
        <v>1.9845172609999999</v>
      </c>
      <c r="AB70" s="16">
        <v>0</v>
      </c>
      <c r="AC70" s="16">
        <v>2.0566577509999999</v>
      </c>
      <c r="AD70" s="95">
        <v>4.9285858542999996</v>
      </c>
    </row>
    <row r="71" spans="3:30" x14ac:dyDescent="0.25">
      <c r="C71" s="149" t="s">
        <v>25</v>
      </c>
      <c r="D71" t="s">
        <v>418</v>
      </c>
      <c r="E71" t="s">
        <v>419</v>
      </c>
      <c r="F71" t="s">
        <v>420</v>
      </c>
      <c r="G71" t="s">
        <v>421</v>
      </c>
      <c r="H71" s="16">
        <f>VLOOKUP(D71,Résultats!$B$2:$AX$476,'T energie vecteurs'!N5,FALSE)</f>
        <v>0</v>
      </c>
      <c r="I71" s="16">
        <f>VLOOKUP(E71,Résultats!$B$2:$AX$476,'T energie vecteurs'!N5,FALSE)</f>
        <v>2.6556318139999999</v>
      </c>
      <c r="J71" s="16">
        <f>VLOOKUP(F71,Résultats!$B$2:$AX$476,'T energie vecteurs'!N5,FALSE)</f>
        <v>0.3293148756</v>
      </c>
      <c r="K71" s="16">
        <f>VLOOKUP(G71,Résultats!$B$2:$AX$476,'T energie vecteurs'!N5,FALSE)</f>
        <v>0.42090389639999998</v>
      </c>
      <c r="L71" s="95">
        <f t="shared" si="16"/>
        <v>3.4058505860000001</v>
      </c>
      <c r="M71" s="16"/>
      <c r="N71" s="150" t="s">
        <v>25</v>
      </c>
      <c r="O71" s="29">
        <f>'[2]Bilan 2025 AMS'!$T$46/11.63</f>
        <v>0</v>
      </c>
      <c r="P71" s="28">
        <f>SUM('[2]Bilan 2025 AMS'!$T$41:$T$43)/11.63</f>
        <v>3.2722122373281501</v>
      </c>
      <c r="Q71" s="28">
        <f>'[2]Bilan 2025 AMS'!$T$13/11.63</f>
        <v>0.70658601561081857</v>
      </c>
      <c r="R71" s="28">
        <f>('[2]Bilan 2025 AMS'!$T$22+'[2]Bilan 2025 AMS'!$T$30+SUM('[2]Bilan 2025 AMS'!$T$36:$T$40)+SUM('[2]Bilan 2025 AMS'!$T$44:$T$45)+'[2]Bilan 2025 AMS'!$T$47)/11.63</f>
        <v>0.68239287053934561</v>
      </c>
      <c r="S71" s="142">
        <f t="shared" si="17"/>
        <v>4.6611911234783143</v>
      </c>
      <c r="T71" s="16"/>
      <c r="U71" s="149" t="s">
        <v>25</v>
      </c>
      <c r="V71" t="s">
        <v>418</v>
      </c>
      <c r="W71" t="s">
        <v>419</v>
      </c>
      <c r="X71" t="s">
        <v>420</v>
      </c>
      <c r="Y71" t="s">
        <v>421</v>
      </c>
      <c r="Z71" s="16">
        <v>0</v>
      </c>
      <c r="AA71" s="16">
        <v>2.4952474699999998</v>
      </c>
      <c r="AB71" s="16">
        <v>0.33837161910000002</v>
      </c>
      <c r="AC71" s="16">
        <v>0.4176591368</v>
      </c>
      <c r="AD71" s="95">
        <v>3.2512782259000002</v>
      </c>
    </row>
    <row r="72" spans="3:30" x14ac:dyDescent="0.25">
      <c r="C72" s="23" t="s">
        <v>26</v>
      </c>
      <c r="D72" s="10"/>
      <c r="E72" s="10"/>
      <c r="F72" s="10"/>
      <c r="G72" s="10"/>
      <c r="H72" s="9">
        <f>SUM(H63,H66:H68)</f>
        <v>2.4654429348</v>
      </c>
      <c r="I72" s="9">
        <f>SUM(I63,I66:I68)</f>
        <v>60.181749557999993</v>
      </c>
      <c r="J72" s="9">
        <f>SUM(J63,J66:J68)</f>
        <v>39.765759504799995</v>
      </c>
      <c r="K72" s="9">
        <f>SUM(K63,K66:K68)</f>
        <v>43.5933252715473</v>
      </c>
      <c r="L72" s="98">
        <f t="shared" si="16"/>
        <v>146.00627726914729</v>
      </c>
      <c r="M72" s="79"/>
      <c r="N72" s="151" t="s">
        <v>26</v>
      </c>
      <c r="O72" s="32">
        <f>O63+O66+O67+O68+O71</f>
        <v>3.9629891209426056</v>
      </c>
      <c r="P72" s="31">
        <f>P63+P66+P67+P68+P71</f>
        <v>58.710800621810577</v>
      </c>
      <c r="Q72" s="31">
        <f>Q63+Q66+Q67+Q68+Q71</f>
        <v>36.749296581805318</v>
      </c>
      <c r="R72" s="31">
        <f>R63+R66+R67+R68+R71</f>
        <v>47.38949113265771</v>
      </c>
      <c r="S72" s="144">
        <f t="shared" si="17"/>
        <v>146.81257745721621</v>
      </c>
      <c r="T72" s="79"/>
      <c r="U72" s="23" t="s">
        <v>26</v>
      </c>
      <c r="V72" s="10"/>
      <c r="W72" s="10"/>
      <c r="X72" s="10"/>
      <c r="Y72" s="10"/>
      <c r="Z72" s="9">
        <v>2.5438652928000005</v>
      </c>
      <c r="AA72" s="9">
        <v>60.001147632999995</v>
      </c>
      <c r="AB72" s="9">
        <v>42.152110241999999</v>
      </c>
      <c r="AC72" s="9">
        <v>43.850750754095998</v>
      </c>
      <c r="AD72" s="98">
        <v>148.54787392189598</v>
      </c>
    </row>
    <row r="73" spans="3:30" s="3" customFormat="1" x14ac:dyDescent="0.25">
      <c r="H73" s="45"/>
      <c r="I73" s="45"/>
      <c r="J73" s="45"/>
      <c r="K73" s="45"/>
      <c r="L73" s="45"/>
      <c r="M73" s="45"/>
      <c r="N73" s="45"/>
      <c r="O73" s="77"/>
      <c r="P73" s="77"/>
      <c r="Q73" s="77"/>
      <c r="R73" s="78"/>
      <c r="S73" s="45"/>
      <c r="T73" s="45"/>
      <c r="Z73" s="45"/>
      <c r="AA73" s="45"/>
      <c r="AB73" s="45"/>
      <c r="AC73" s="45"/>
      <c r="AD73" s="45"/>
    </row>
    <row r="74" spans="3:30" s="3" customFormat="1" x14ac:dyDescent="0.25"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Z74" s="45"/>
      <c r="AA74" s="45"/>
      <c r="AB74" s="45"/>
      <c r="AC74" s="45"/>
      <c r="AD74" s="45"/>
    </row>
    <row r="75" spans="3:30" ht="31.5" x14ac:dyDescent="0.35">
      <c r="C75" s="145">
        <v>2030</v>
      </c>
      <c r="D75" s="146"/>
      <c r="E75" s="146"/>
      <c r="F75" s="146"/>
      <c r="G75" s="146"/>
      <c r="H75" s="76" t="s">
        <v>36</v>
      </c>
      <c r="I75" s="76" t="s">
        <v>49</v>
      </c>
      <c r="J75" s="76" t="s">
        <v>38</v>
      </c>
      <c r="K75" s="76" t="s">
        <v>48</v>
      </c>
      <c r="L75" s="93" t="s">
        <v>1</v>
      </c>
      <c r="M75" s="19"/>
      <c r="N75" s="145">
        <v>2030</v>
      </c>
      <c r="O75" s="141" t="s">
        <v>36</v>
      </c>
      <c r="P75" s="76" t="s">
        <v>49</v>
      </c>
      <c r="Q75" s="76" t="s">
        <v>38</v>
      </c>
      <c r="R75" s="76" t="s">
        <v>48</v>
      </c>
      <c r="S75" s="93" t="s">
        <v>1</v>
      </c>
      <c r="T75" s="19"/>
      <c r="U75" s="145">
        <v>2030</v>
      </c>
      <c r="V75" s="146"/>
      <c r="W75" s="146"/>
      <c r="X75" s="146"/>
      <c r="Y75" s="146"/>
      <c r="Z75" s="76" t="s">
        <v>36</v>
      </c>
      <c r="AA75" s="76" t="s">
        <v>49</v>
      </c>
      <c r="AB75" s="76" t="s">
        <v>38</v>
      </c>
      <c r="AC75" s="76" t="s">
        <v>48</v>
      </c>
      <c r="AD75" s="93" t="s">
        <v>1</v>
      </c>
    </row>
    <row r="76" spans="3:30" x14ac:dyDescent="0.25">
      <c r="C76" s="147" t="s">
        <v>18</v>
      </c>
      <c r="H76" s="8">
        <f>SUM(H77:H78)</f>
        <v>0</v>
      </c>
      <c r="I76" s="8">
        <f>SUM(I77:I78)</f>
        <v>36.717653170000006</v>
      </c>
      <c r="J76" s="8">
        <f>SUM(J77:J78)</f>
        <v>3.3402365208000004</v>
      </c>
      <c r="K76" s="8">
        <f>SUM(K77:K78)</f>
        <v>0.55464807953760009</v>
      </c>
      <c r="L76" s="96">
        <f>SUM(H76:K76)</f>
        <v>40.612537770337603</v>
      </c>
      <c r="M76" s="75"/>
      <c r="N76" s="150" t="s">
        <v>18</v>
      </c>
      <c r="O76" s="29">
        <f>'[2]Bilan 2030 AMS'!$X$46/11.63</f>
        <v>0</v>
      </c>
      <c r="P76" s="28">
        <f>SUM('[2]Bilan 2030 AMS'!$X$41:$X$43)/11.63</f>
        <v>31.325533398568297</v>
      </c>
      <c r="Q76" s="28">
        <f>'[2]Bilan 2030 AMS'!$X$13/11.63</f>
        <v>2.9560655972270444</v>
      </c>
      <c r="R76" s="28">
        <f>('[2]Bilan 2030 AMS'!$X$22+'[2]Bilan 2030 AMS'!$X$30+SUM('[2]Bilan 2030 AMS'!$X$36:$X$40)+SUM('[2]Bilan 2030 AMS'!$X$44:$X$45)+'[2]Bilan 2030 AMS'!$X$47)/11.63</f>
        <v>0.64520012161805473</v>
      </c>
      <c r="S76" s="142">
        <f>SUM(O76:R76)</f>
        <v>34.926799117413395</v>
      </c>
      <c r="T76" s="270"/>
      <c r="U76" s="147" t="s">
        <v>18</v>
      </c>
      <c r="Z76" s="8">
        <v>0</v>
      </c>
      <c r="AA76" s="8">
        <v>36.448448220000003</v>
      </c>
      <c r="AB76" s="8">
        <v>3.1310462136999999</v>
      </c>
      <c r="AC76" s="8">
        <v>0.67089375467650003</v>
      </c>
      <c r="AD76" s="96">
        <v>40.250388188376505</v>
      </c>
    </row>
    <row r="77" spans="3:30" x14ac:dyDescent="0.25">
      <c r="C77" s="148" t="s">
        <v>19</v>
      </c>
      <c r="D77" t="s">
        <v>394</v>
      </c>
      <c r="E77" t="s">
        <v>395</v>
      </c>
      <c r="F77" t="s">
        <v>396</v>
      </c>
      <c r="G77" t="s">
        <v>397</v>
      </c>
      <c r="H77" s="16">
        <f>VLOOKUP(D77,Résultats!$B$2:$AX$476,'T energie vecteurs'!S5,FALSE)</f>
        <v>0</v>
      </c>
      <c r="I77" s="16">
        <f>VLOOKUP(E77,Résultats!$B$2:$AX$476,'T energie vecteurs'!S5,FALSE)</f>
        <v>18.62106653</v>
      </c>
      <c r="J77" s="16">
        <f>VLOOKUP(F77,Résultats!$B$2:$AX$476,'T energie vecteurs'!S5,FALSE)</f>
        <v>0.7933338768</v>
      </c>
      <c r="K77" s="16">
        <f>VLOOKUP(G77,Résultats!$B$2:$AX$476,'T energie vecteurs'!S5,FALSE)</f>
        <v>2.4542037600000001E-5</v>
      </c>
      <c r="L77" s="95">
        <f t="shared" ref="L77:L84" si="19">SUM(H77:K77)</f>
        <v>19.414424948837599</v>
      </c>
      <c r="M77" s="16"/>
      <c r="N77" s="148" t="s">
        <v>19</v>
      </c>
      <c r="O77" s="143"/>
      <c r="P77" s="16"/>
      <c r="Q77" s="34"/>
      <c r="R77" s="16"/>
      <c r="S77" s="95"/>
      <c r="T77" s="270"/>
      <c r="U77" s="148" t="s">
        <v>19</v>
      </c>
      <c r="V77" t="s">
        <v>394</v>
      </c>
      <c r="W77" t="s">
        <v>395</v>
      </c>
      <c r="X77" t="s">
        <v>396</v>
      </c>
      <c r="Y77" t="s">
        <v>397</v>
      </c>
      <c r="Z77" s="16">
        <v>0</v>
      </c>
      <c r="AA77" s="16">
        <v>18.371593789999999</v>
      </c>
      <c r="AB77" s="16">
        <v>0.82383794970000002</v>
      </c>
      <c r="AC77" s="16">
        <v>2.7019176499999999E-5</v>
      </c>
      <c r="AD77" s="95">
        <v>19.195458758876498</v>
      </c>
    </row>
    <row r="78" spans="3:30" x14ac:dyDescent="0.25">
      <c r="C78" s="149" t="s">
        <v>20</v>
      </c>
      <c r="D78" t="s">
        <v>398</v>
      </c>
      <c r="E78" t="s">
        <v>399</v>
      </c>
      <c r="F78" t="s">
        <v>400</v>
      </c>
      <c r="G78" t="s">
        <v>401</v>
      </c>
      <c r="H78" s="16">
        <f>VLOOKUP(D78,Résultats!$B$2:$AX$476,'T energie vecteurs'!S5,FALSE)</f>
        <v>0</v>
      </c>
      <c r="I78" s="16">
        <f>VLOOKUP(E78,Résultats!$B$2:$AX$476,'T energie vecteurs'!S5,FALSE)</f>
        <v>18.096586640000002</v>
      </c>
      <c r="J78" s="16">
        <f>VLOOKUP(F78,Résultats!$B$2:$AX$476,'T energie vecteurs'!S5,FALSE)</f>
        <v>2.5469026440000002</v>
      </c>
      <c r="K78" s="16">
        <f>VLOOKUP(G78,Résultats!$B$2:$AX$476,'T energie vecteurs'!S5,FALSE)</f>
        <v>0.55462353750000004</v>
      </c>
      <c r="L78" s="95">
        <f t="shared" si="19"/>
        <v>21.198112821500001</v>
      </c>
      <c r="M78" s="16"/>
      <c r="N78" s="149" t="s">
        <v>20</v>
      </c>
      <c r="O78" s="143"/>
      <c r="P78" s="16"/>
      <c r="Q78" s="34"/>
      <c r="R78" s="16"/>
      <c r="S78" s="95"/>
      <c r="T78" s="270"/>
      <c r="U78" s="149" t="s">
        <v>20</v>
      </c>
      <c r="V78" t="s">
        <v>398</v>
      </c>
      <c r="W78" t="s">
        <v>399</v>
      </c>
      <c r="X78" t="s">
        <v>400</v>
      </c>
      <c r="Y78" t="s">
        <v>401</v>
      </c>
      <c r="Z78" s="16">
        <v>0</v>
      </c>
      <c r="AA78" s="16">
        <v>18.076854430000001</v>
      </c>
      <c r="AB78" s="16">
        <v>2.3072082639999998</v>
      </c>
      <c r="AC78" s="16">
        <v>0.67086673549999998</v>
      </c>
      <c r="AD78" s="95">
        <v>21.0549294295</v>
      </c>
    </row>
    <row r="79" spans="3:30" x14ac:dyDescent="0.25">
      <c r="C79" s="147" t="s">
        <v>21</v>
      </c>
      <c r="D79" t="s">
        <v>402</v>
      </c>
      <c r="E79" t="s">
        <v>403</v>
      </c>
      <c r="F79" t="s">
        <v>404</v>
      </c>
      <c r="G79" t="s">
        <v>405</v>
      </c>
      <c r="H79" s="8">
        <f>VLOOKUP(D79,Résultats!$B$2:$AX$476,'T energie vecteurs'!S5,FALSE)</f>
        <v>0.2567868868</v>
      </c>
      <c r="I79" s="294">
        <f>VLOOKUP(E79,Résultats!$B$2:$AX$476,'T energie vecteurs'!S5,FALSE)</f>
        <v>5.4017847679999997</v>
      </c>
      <c r="J79" s="8">
        <f>VLOOKUP(F79,Résultats!$B$2:$AX$476,'T energie vecteurs'!S5,FALSE)</f>
        <v>14.93053495</v>
      </c>
      <c r="K79" s="8">
        <f>VLOOKUP(G79,Résultats!$B$2:$AX$476,'T energie vecteurs'!S5,FALSE)+2</f>
        <v>17.817498669999999</v>
      </c>
      <c r="L79" s="96">
        <f>SUM(H79:K79)</f>
        <v>38.4066052748</v>
      </c>
      <c r="M79" s="75"/>
      <c r="N79" s="150" t="s">
        <v>21</v>
      </c>
      <c r="O79" s="29">
        <f>'[2]Bilan 2030 AMS'!$V$46/11.63</f>
        <v>0</v>
      </c>
      <c r="P79" s="28">
        <f>SUM('[2]Bilan 2030 AMS'!$V$41:$V$43)/11.63</f>
        <v>0.95029335786167934</v>
      </c>
      <c r="Q79" s="28">
        <f>'[2]Bilan 2030 AMS'!$V$13/11.63</f>
        <v>14.305528689784131</v>
      </c>
      <c r="R79" s="28">
        <f>('[2]Bilan 2030 AMS'!$V$22+'[2]Bilan 2030 AMS'!$V$30+SUM('[2]Bilan 2030 AMS'!$V$36:$V$40)+SUM('[2]Bilan 2030 AMS'!$V$44:$V$45)+'[2]Bilan 2030 AMS'!$V$47)/11.63</f>
        <v>22.929923822645311</v>
      </c>
      <c r="S79" s="142">
        <f t="shared" ref="S79:S85" si="20">SUM(O79:R79)</f>
        <v>38.185745870291122</v>
      </c>
      <c r="T79" s="270"/>
      <c r="U79" s="147" t="s">
        <v>21</v>
      </c>
      <c r="V79" t="s">
        <v>402</v>
      </c>
      <c r="W79" t="s">
        <v>403</v>
      </c>
      <c r="X79" t="s">
        <v>404</v>
      </c>
      <c r="Y79" t="s">
        <v>405</v>
      </c>
      <c r="Z79" s="8">
        <v>0.23481956109999999</v>
      </c>
      <c r="AA79" s="294">
        <v>4.8481852080000003</v>
      </c>
      <c r="AB79" s="8">
        <v>14.69032676</v>
      </c>
      <c r="AC79" s="8">
        <v>16.69119529</v>
      </c>
      <c r="AD79" s="96">
        <v>36.464526819100001</v>
      </c>
    </row>
    <row r="80" spans="3:30" x14ac:dyDescent="0.25">
      <c r="C80" s="147" t="s">
        <v>22</v>
      </c>
      <c r="D80" t="s">
        <v>406</v>
      </c>
      <c r="E80" t="s">
        <v>407</v>
      </c>
      <c r="F80" t="s">
        <v>408</v>
      </c>
      <c r="G80" t="s">
        <v>409</v>
      </c>
      <c r="H80" s="8">
        <f>VLOOKUP(D80,Résultats!$B$2:$AX$476,'T energie vecteurs'!S5,FALSE)</f>
        <v>0</v>
      </c>
      <c r="I80" s="8">
        <f>VLOOKUP(E80,Résultats!$B$2:$AX$476,'T energie vecteurs'!S5,FALSE)</f>
        <v>1.1766103830000001</v>
      </c>
      <c r="J80" s="8">
        <f>VLOOKUP(F80,Résultats!$B$2:$AX$476,'T energie vecteurs'!S5,FALSE)</f>
        <v>8.0271760469999904</v>
      </c>
      <c r="K80" s="8">
        <f>VLOOKUP(G80,Résultats!$B$2:$AX$476,'T energie vecteurs'!S5,FALSE)</f>
        <v>12.920686720000001</v>
      </c>
      <c r="L80" s="96">
        <f t="shared" si="19"/>
        <v>22.124473149999993</v>
      </c>
      <c r="M80" s="75"/>
      <c r="N80" s="150" t="s">
        <v>22</v>
      </c>
      <c r="O80" s="29">
        <f>('[2]Bilan 2030 AMS'!$W$46)/11.63</f>
        <v>0</v>
      </c>
      <c r="P80" s="28">
        <f>SUM('[2]Bilan 2030 AMS'!$W$41:$W$43)/11.63</f>
        <v>0.31365832894736362</v>
      </c>
      <c r="Q80" s="28">
        <f>('[2]Bilan 2030 AMS'!$W$13)/11.63</f>
        <v>10.489063020056145</v>
      </c>
      <c r="R80" s="28">
        <f>('[2]Bilan 2030 AMS'!$W$22+'[2]Bilan 2030 AMS'!$W$30+SUM('[2]Bilan 2030 AMS'!$W$36:$W$40)+SUM('[2]Bilan 2030 AMS'!$W$44:$W$45)+'[2]Bilan 2030 AMS'!$W$47)/11.63</f>
        <v>9.7519333585222086</v>
      </c>
      <c r="S80" s="142">
        <f t="shared" si="20"/>
        <v>20.554654707525717</v>
      </c>
      <c r="T80" s="270"/>
      <c r="U80" s="147" t="s">
        <v>22</v>
      </c>
      <c r="V80" t="s">
        <v>406</v>
      </c>
      <c r="W80" t="s">
        <v>407</v>
      </c>
      <c r="X80" t="s">
        <v>408</v>
      </c>
      <c r="Y80" t="s">
        <v>409</v>
      </c>
      <c r="Z80" s="8">
        <v>0</v>
      </c>
      <c r="AA80" s="8">
        <v>1.3833655650000001</v>
      </c>
      <c r="AB80" s="8">
        <v>9.4543838549999997</v>
      </c>
      <c r="AC80" s="8">
        <v>14.28745749</v>
      </c>
      <c r="AD80" s="96">
        <v>25.125206909999999</v>
      </c>
    </row>
    <row r="81" spans="2:30" x14ac:dyDescent="0.25">
      <c r="C81" s="147" t="s">
        <v>23</v>
      </c>
      <c r="H81" s="8">
        <f>SUM(H82:H84)</f>
        <v>1.7186763991</v>
      </c>
      <c r="I81" s="8">
        <f>SUM(I82:I84)</f>
        <v>9.1539630069999998</v>
      </c>
      <c r="J81" s="8">
        <f>SUM(J82:J84)</f>
        <v>15.2446813008</v>
      </c>
      <c r="K81" s="8">
        <f>SUM(K82:K84)</f>
        <v>7.8459154569000011</v>
      </c>
      <c r="L81" s="96">
        <f t="shared" si="19"/>
        <v>33.963236163799998</v>
      </c>
      <c r="M81" s="75"/>
      <c r="N81" s="150" t="s">
        <v>490</v>
      </c>
      <c r="O81" s="29">
        <f>O82+O83</f>
        <v>1.9316373921834695</v>
      </c>
      <c r="P81" s="28">
        <f t="shared" ref="P81:R81" si="21">P82+P83</f>
        <v>10.989093223783227</v>
      </c>
      <c r="Q81" s="28">
        <f t="shared" si="21"/>
        <v>12.895607745280868</v>
      </c>
      <c r="R81" s="28">
        <f t="shared" si="21"/>
        <v>14.754489934131207</v>
      </c>
      <c r="S81" s="142">
        <f t="shared" si="20"/>
        <v>40.570828295378774</v>
      </c>
      <c r="T81" s="270"/>
      <c r="U81" s="147" t="s">
        <v>23</v>
      </c>
      <c r="Z81" s="8">
        <v>1.8535626978999999</v>
      </c>
      <c r="AA81" s="8">
        <v>9.4185534069999992</v>
      </c>
      <c r="AB81" s="8">
        <v>17.428670865700003</v>
      </c>
      <c r="AC81" s="8">
        <v>8.4466559603999993</v>
      </c>
      <c r="AD81" s="96">
        <v>37.147442931</v>
      </c>
    </row>
    <row r="82" spans="2:30" x14ac:dyDescent="0.25">
      <c r="C82" s="149" t="s">
        <v>24</v>
      </c>
      <c r="D82" t="s">
        <v>410</v>
      </c>
      <c r="E82" t="s">
        <v>411</v>
      </c>
      <c r="F82" t="s">
        <v>412</v>
      </c>
      <c r="G82" t="s">
        <v>413</v>
      </c>
      <c r="H82" s="16">
        <f>VLOOKUP(D82,Résultats!$B$2:$AX$476,'T energie vecteurs'!S5,FALSE)</f>
        <v>0.88409441190000004</v>
      </c>
      <c r="I82" s="16">
        <f>VLOOKUP(E82,Résultats!$B$2:$AX$476,'T energie vecteurs'!S5,FALSE)</f>
        <v>4.283912731</v>
      </c>
      <c r="J82" s="16">
        <f>VLOOKUP(F82,Résultats!$B$2:$AX$476,'T energie vecteurs'!S5,FALSE)</f>
        <v>14.91047069</v>
      </c>
      <c r="K82" s="16">
        <f>VLOOKUP(G82,Résultats!$B$2:$AX$476,'T energie vecteurs'!S5,FALSE)</f>
        <v>5.4113244800000002</v>
      </c>
      <c r="L82" s="95">
        <f t="shared" si="19"/>
        <v>25.4898023129</v>
      </c>
      <c r="M82" s="16"/>
      <c r="N82" s="149" t="s">
        <v>491</v>
      </c>
      <c r="O82" s="143">
        <f>'[2]Bilan 2030 AMS'!$U$46/11.63</f>
        <v>7.9598072737532236E-2</v>
      </c>
      <c r="P82" s="30">
        <f>SUM('[2]Bilan 2030 AMS'!$U$41:$U$43)/11.63</f>
        <v>1.062435627302436</v>
      </c>
      <c r="Q82" s="30">
        <f>'[2]Bilan 2030 AMS'!$U$13/11.63</f>
        <v>12.895607745280868</v>
      </c>
      <c r="R82" s="30">
        <f>('[2]Bilan 2030 AMS'!$U$22+'[2]Bilan 2030 AMS'!$U$30+SUM('[2]Bilan 2030 AMS'!$U$36:$U$40)+SUM('[2]Bilan 2030 AMS'!$U$44:$U$45)+'[2]Bilan 2030 AMS'!$U$47)/11.63</f>
        <v>13.492674028058465</v>
      </c>
      <c r="S82" s="95">
        <f t="shared" si="20"/>
        <v>27.530315473379304</v>
      </c>
      <c r="T82" s="270"/>
      <c r="U82" s="149" t="s">
        <v>24</v>
      </c>
      <c r="V82" t="s">
        <v>410</v>
      </c>
      <c r="W82" t="s">
        <v>411</v>
      </c>
      <c r="X82" t="s">
        <v>412</v>
      </c>
      <c r="Y82" t="s">
        <v>413</v>
      </c>
      <c r="Z82" s="16">
        <v>0.97157849249999995</v>
      </c>
      <c r="AA82" s="16">
        <v>4.6314053409999998</v>
      </c>
      <c r="AB82" s="16">
        <v>17.079797110000001</v>
      </c>
      <c r="AC82" s="16">
        <v>5.9678951790000001</v>
      </c>
      <c r="AD82" s="95">
        <v>28.650676122499998</v>
      </c>
    </row>
    <row r="83" spans="2:30" x14ac:dyDescent="0.25">
      <c r="C83" s="149" t="s">
        <v>47</v>
      </c>
      <c r="D83" t="s">
        <v>414</v>
      </c>
      <c r="E83" t="s">
        <v>415</v>
      </c>
      <c r="F83" t="s">
        <v>416</v>
      </c>
      <c r="G83" t="s">
        <v>417</v>
      </c>
      <c r="H83" s="16">
        <f>VLOOKUP(D83,Résultats!$B$2:$AX$476,'T energie vecteurs'!S5,FALSE)</f>
        <v>0.83458198719999999</v>
      </c>
      <c r="I83" s="16">
        <f>VLOOKUP(E83,Résultats!$B$2:$AX$476,'T energie vecteurs'!S5,FALSE)</f>
        <v>2.0854709329999999</v>
      </c>
      <c r="J83" s="16">
        <f>VLOOKUP(F83,Résultats!$B$2:$AX$476,'T energie vecteurs'!S5,FALSE)</f>
        <v>0</v>
      </c>
      <c r="K83" s="16">
        <f>VLOOKUP(G83,Résultats!$B$2:$AX$476,'T energie vecteurs'!S5,FALSE)</f>
        <v>2.0002905790000001</v>
      </c>
      <c r="L83" s="95">
        <f>SUM(H83:K83)</f>
        <v>4.9203434991999995</v>
      </c>
      <c r="M83" s="16"/>
      <c r="N83" s="149" t="s">
        <v>47</v>
      </c>
      <c r="O83" s="22">
        <f>'[2]Bilan 2030 AMS'!$E$52/11.63</f>
        <v>1.8520393194459372</v>
      </c>
      <c r="P83" s="16">
        <f>('[2]Bilan 2030 AMS'!$E$54+'[2]Bilan 2030 AMS'!$E$56)/11.63</f>
        <v>9.9266575964807906</v>
      </c>
      <c r="Q83" s="16">
        <v>0</v>
      </c>
      <c r="R83" s="16">
        <f>('[2]Bilan 2030 AMS'!$E$53+'[2]Bilan 2030 AMS'!$E$55+'[2]Bilan 2030 AMS'!$E$57)/11.63</f>
        <v>1.2618159060727419</v>
      </c>
      <c r="S83" s="95">
        <f t="shared" si="20"/>
        <v>13.040512821999471</v>
      </c>
      <c r="T83" s="270"/>
      <c r="U83" s="149" t="s">
        <v>47</v>
      </c>
      <c r="V83" t="s">
        <v>414</v>
      </c>
      <c r="W83" t="s">
        <v>415</v>
      </c>
      <c r="X83" t="s">
        <v>416</v>
      </c>
      <c r="Y83" t="s">
        <v>417</v>
      </c>
      <c r="Z83" s="16">
        <v>0.8819842054</v>
      </c>
      <c r="AA83" s="16">
        <v>2.0993414179999998</v>
      </c>
      <c r="AB83" s="16">
        <v>0</v>
      </c>
      <c r="AC83" s="16">
        <v>2.0335083740000002</v>
      </c>
      <c r="AD83" s="95">
        <v>5.0148339974000002</v>
      </c>
    </row>
    <row r="84" spans="2:30" x14ac:dyDescent="0.25">
      <c r="C84" s="149" t="s">
        <v>25</v>
      </c>
      <c r="D84" t="s">
        <v>418</v>
      </c>
      <c r="E84" t="s">
        <v>419</v>
      </c>
      <c r="F84" t="s">
        <v>420</v>
      </c>
      <c r="G84" t="s">
        <v>421</v>
      </c>
      <c r="H84" s="16">
        <f>VLOOKUP(D84,Résultats!$B$2:$AX$476,'T energie vecteurs'!S5,FALSE)</f>
        <v>0</v>
      </c>
      <c r="I84" s="16">
        <f>VLOOKUP(E84,Résultats!$B$2:$AX$476,'T energie vecteurs'!S5,FALSE)</f>
        <v>2.7845793429999999</v>
      </c>
      <c r="J84" s="16">
        <f>VLOOKUP(F84,Résultats!$B$2:$AX$476,'T energie vecteurs'!S5,FALSE)</f>
        <v>0.33421061079999997</v>
      </c>
      <c r="K84" s="16">
        <f>VLOOKUP(G84,Résultats!$B$2:$AX$476,'T energie vecteurs'!S5,FALSE)</f>
        <v>0.43430039790000002</v>
      </c>
      <c r="L84" s="95">
        <f t="shared" si="19"/>
        <v>3.5530903516999999</v>
      </c>
      <c r="M84" s="16"/>
      <c r="N84" s="150" t="s">
        <v>25</v>
      </c>
      <c r="O84" s="29">
        <f>'[2]Bilan 2030 AMS'!$T$46/11.63</f>
        <v>0</v>
      </c>
      <c r="P84" s="28">
        <f>SUM('[2]Bilan 2030 AMS'!$T$41:$T$43)/11.63</f>
        <v>2.9892692881103491</v>
      </c>
      <c r="Q84" s="28">
        <f>'[2]Bilan 2030 AMS'!$T$13/11.63</f>
        <v>0.66835109694132144</v>
      </c>
      <c r="R84" s="28">
        <f>('[2]Bilan 2030 AMS'!$T$22+'[2]Bilan 2030 AMS'!$T$30+SUM('[2]Bilan 2030 AMS'!$T$36:$T$40)+SUM('[2]Bilan 2030 AMS'!$T$44:$T$45)+'[2]Bilan 2030 AMS'!$T$47)/11.63</f>
        <v>1.2068345110920244</v>
      </c>
      <c r="S84" s="142">
        <f t="shared" si="20"/>
        <v>4.8644548961436946</v>
      </c>
      <c r="T84" s="270"/>
      <c r="U84" s="149" t="s">
        <v>25</v>
      </c>
      <c r="V84" t="s">
        <v>418</v>
      </c>
      <c r="W84" t="s">
        <v>419</v>
      </c>
      <c r="X84" t="s">
        <v>420</v>
      </c>
      <c r="Y84" t="s">
        <v>421</v>
      </c>
      <c r="Z84" s="16">
        <v>0</v>
      </c>
      <c r="AA84" s="16">
        <v>2.687806648</v>
      </c>
      <c r="AB84" s="16">
        <v>0.34887375570000001</v>
      </c>
      <c r="AC84" s="16">
        <v>0.44525240739999999</v>
      </c>
      <c r="AD84" s="95">
        <v>3.4819328111000001</v>
      </c>
    </row>
    <row r="85" spans="2:30" x14ac:dyDescent="0.25">
      <c r="C85" s="23" t="s">
        <v>26</v>
      </c>
      <c r="D85" s="10"/>
      <c r="E85" s="10"/>
      <c r="F85" s="10"/>
      <c r="G85" s="10"/>
      <c r="H85" s="9">
        <f>SUM(H76,H79:H81)</f>
        <v>1.9754632859000001</v>
      </c>
      <c r="I85" s="9">
        <f>SUM(I76,I79:I81)</f>
        <v>52.450011328000009</v>
      </c>
      <c r="J85" s="9">
        <f>SUM(J76,J79:J81)</f>
        <v>41.542628818599994</v>
      </c>
      <c r="K85" s="9">
        <f>SUM(K76,K79:K81)</f>
        <v>39.1387489264376</v>
      </c>
      <c r="L85" s="98">
        <f>SUM(H85:K85)</f>
        <v>135.1068523589376</v>
      </c>
      <c r="M85" s="79"/>
      <c r="N85" s="151" t="s">
        <v>26</v>
      </c>
      <c r="O85" s="32">
        <f>O76+O79+O80+O81+O84</f>
        <v>1.9316373921834695</v>
      </c>
      <c r="P85" s="31">
        <f>P76+P79+P80+P81+P84</f>
        <v>46.567847597270919</v>
      </c>
      <c r="Q85" s="31">
        <f>Q76+Q79+Q80+Q81+Q84</f>
        <v>41.314616149289513</v>
      </c>
      <c r="R85" s="31">
        <f>R76+R79+R80+R81+R84</f>
        <v>49.28838174800881</v>
      </c>
      <c r="S85" s="144">
        <f t="shared" si="20"/>
        <v>139.10248288675271</v>
      </c>
      <c r="T85" s="79"/>
      <c r="U85" s="23" t="s">
        <v>26</v>
      </c>
      <c r="V85" s="10"/>
      <c r="W85" s="10"/>
      <c r="X85" s="10"/>
      <c r="Y85" s="10"/>
      <c r="Z85" s="9">
        <v>2.0883822589999999</v>
      </c>
      <c r="AA85" s="9">
        <v>52.098552400000003</v>
      </c>
      <c r="AB85" s="9">
        <v>44.704427694400003</v>
      </c>
      <c r="AC85" s="9">
        <v>40.096202495076497</v>
      </c>
      <c r="AD85" s="98">
        <v>138.9875648484765</v>
      </c>
    </row>
    <row r="86" spans="2:30" s="3" customFormat="1" x14ac:dyDescent="0.25">
      <c r="O86" s="77"/>
      <c r="P86" s="77"/>
      <c r="Q86" s="77"/>
      <c r="R86" s="78"/>
      <c r="S86" s="45"/>
    </row>
    <row r="87" spans="2:30" s="3" customFormat="1" x14ac:dyDescent="0.25">
      <c r="B87" s="60"/>
      <c r="K87" s="47"/>
      <c r="O87" s="79"/>
      <c r="P87" s="79"/>
      <c r="Q87" s="79"/>
      <c r="R87" s="80"/>
      <c r="S87" s="81"/>
      <c r="AC87" s="47"/>
    </row>
    <row r="88" spans="2:30" s="3" customFormat="1" ht="31.5" x14ac:dyDescent="0.35">
      <c r="B88" s="60"/>
      <c r="C88" s="145">
        <v>2035</v>
      </c>
      <c r="D88" s="146"/>
      <c r="E88" s="146"/>
      <c r="F88" s="146"/>
      <c r="G88" s="146"/>
      <c r="H88" s="76" t="s">
        <v>36</v>
      </c>
      <c r="I88" s="76" t="s">
        <v>49</v>
      </c>
      <c r="J88" s="76" t="s">
        <v>38</v>
      </c>
      <c r="K88" s="76" t="s">
        <v>48</v>
      </c>
      <c r="L88" s="93" t="s">
        <v>1</v>
      </c>
      <c r="N88" s="145">
        <v>2035</v>
      </c>
      <c r="O88" s="141" t="s">
        <v>36</v>
      </c>
      <c r="P88" s="76" t="s">
        <v>49</v>
      </c>
      <c r="Q88" s="76" t="s">
        <v>38</v>
      </c>
      <c r="R88" s="76" t="s">
        <v>48</v>
      </c>
      <c r="S88" s="93" t="s">
        <v>1</v>
      </c>
      <c r="U88" s="145">
        <v>2035</v>
      </c>
      <c r="V88" s="146"/>
      <c r="W88" s="146"/>
      <c r="X88" s="146"/>
      <c r="Y88" s="146"/>
      <c r="Z88" s="76" t="s">
        <v>36</v>
      </c>
      <c r="AA88" s="76" t="s">
        <v>49</v>
      </c>
      <c r="AB88" s="76" t="s">
        <v>38</v>
      </c>
      <c r="AC88" s="76" t="s">
        <v>48</v>
      </c>
      <c r="AD88" s="93" t="s">
        <v>1</v>
      </c>
    </row>
    <row r="89" spans="2:30" s="3" customFormat="1" x14ac:dyDescent="0.25">
      <c r="B89" s="60"/>
      <c r="C89" s="147" t="s">
        <v>18</v>
      </c>
      <c r="D89"/>
      <c r="E89"/>
      <c r="F89"/>
      <c r="G89"/>
      <c r="H89" s="8">
        <f>SUM(H90:H91)</f>
        <v>0</v>
      </c>
      <c r="I89" s="8">
        <f>SUM(I90:I91)</f>
        <v>29.58305245</v>
      </c>
      <c r="J89" s="8">
        <f>SUM(J90:J91)</f>
        <v>5.9470695559999998</v>
      </c>
      <c r="K89" s="8">
        <f>SUM(K90:K91)</f>
        <v>0.50050625496529999</v>
      </c>
      <c r="L89" s="96">
        <f t="shared" ref="L89:L98" si="22">SUM(H89:K89)</f>
        <v>36.030628260965301</v>
      </c>
      <c r="N89" s="150" t="s">
        <v>18</v>
      </c>
      <c r="O89" s="29">
        <f>'[2]Bilan 2035 AMS'!$X$46/11.63</f>
        <v>0</v>
      </c>
      <c r="P89" s="28">
        <f>SUM('[2]Bilan 2035 AMS'!$X$41:$X$43)/11.63</f>
        <v>21.730689498011905</v>
      </c>
      <c r="Q89" s="28">
        <f>'[2]Bilan 2035 AMS'!$X$13/11.63</f>
        <v>5.5762370969707487</v>
      </c>
      <c r="R89" s="28">
        <f>('[2]Bilan 2035 AMS'!$X$22+'[2]Bilan 2035 AMS'!$X$30+SUM('[2]Bilan 2035 AMS'!$X$36:$X$40)+SUM('[2]Bilan 2035 AMS'!$X$44:$X$45)+'[2]Bilan 2035 AMS'!$X$47)/11.63</f>
        <v>0.86916506855092779</v>
      </c>
      <c r="S89" s="142">
        <f>SUM(O89:R89)</f>
        <v>28.176091663533583</v>
      </c>
      <c r="U89" s="147" t="s">
        <v>18</v>
      </c>
      <c r="V89"/>
      <c r="W89"/>
      <c r="X89"/>
      <c r="Y89"/>
      <c r="Z89" s="8">
        <v>0</v>
      </c>
      <c r="AA89" s="8">
        <v>29.114973710000001</v>
      </c>
      <c r="AB89" s="8">
        <v>5.4204162680000003</v>
      </c>
      <c r="AC89" s="8">
        <v>1.0140505968549001</v>
      </c>
      <c r="AD89" s="96">
        <v>35.549440574854899</v>
      </c>
    </row>
    <row r="90" spans="2:30" s="3" customFormat="1" x14ac:dyDescent="0.25">
      <c r="B90" s="60"/>
      <c r="C90" s="148" t="s">
        <v>19</v>
      </c>
      <c r="D90" t="s">
        <v>394</v>
      </c>
      <c r="E90" t="s">
        <v>395</v>
      </c>
      <c r="F90" t="s">
        <v>396</v>
      </c>
      <c r="G90" t="s">
        <v>397</v>
      </c>
      <c r="H90" s="16">
        <f>VLOOKUP(D90,Résultats!$B$2:$AX$476,'T energie vecteurs'!T5,FALSE)</f>
        <v>0</v>
      </c>
      <c r="I90" s="16">
        <f>VLOOKUP(E90,Résultats!$B$2:$AX$476,'T energie vecteurs'!T5,FALSE)</f>
        <v>14.50634552</v>
      </c>
      <c r="J90" s="16">
        <f>VLOOKUP(F90,Résultats!$B$2:$AX$476,'T energie vecteurs'!T5,FALSE)</f>
        <v>1.8725219120000001</v>
      </c>
      <c r="K90" s="16">
        <f>VLOOKUP(G90,Résultats!$B$2:$AX$476,'T energie vecteurs'!T5,FALSE)</f>
        <v>2.08634653E-5</v>
      </c>
      <c r="L90" s="95">
        <f t="shared" si="22"/>
        <v>16.378888295465298</v>
      </c>
      <c r="N90" s="148" t="s">
        <v>19</v>
      </c>
      <c r="O90" s="143"/>
      <c r="P90" s="16"/>
      <c r="Q90" s="34"/>
      <c r="R90" s="16"/>
      <c r="S90" s="95"/>
      <c r="U90" s="148" t="s">
        <v>19</v>
      </c>
      <c r="V90" t="s">
        <v>394</v>
      </c>
      <c r="W90" t="s">
        <v>395</v>
      </c>
      <c r="X90" t="s">
        <v>396</v>
      </c>
      <c r="Y90" t="s">
        <v>397</v>
      </c>
      <c r="Z90" s="16">
        <v>0</v>
      </c>
      <c r="AA90" s="16">
        <v>13.75063001</v>
      </c>
      <c r="AB90" s="16">
        <v>1.730598662</v>
      </c>
      <c r="AC90" s="16">
        <v>2.1556854899999999E-5</v>
      </c>
      <c r="AD90" s="95">
        <v>15.481250228854901</v>
      </c>
    </row>
    <row r="91" spans="2:30" s="3" customFormat="1" x14ac:dyDescent="0.25">
      <c r="B91" s="60"/>
      <c r="C91" s="149" t="s">
        <v>20</v>
      </c>
      <c r="D91" t="s">
        <v>398</v>
      </c>
      <c r="E91" t="s">
        <v>399</v>
      </c>
      <c r="F91" t="s">
        <v>400</v>
      </c>
      <c r="G91" t="s">
        <v>401</v>
      </c>
      <c r="H91" s="16">
        <f>VLOOKUP(D91,Résultats!$B$2:$AX$476,'T energie vecteurs'!T5,FALSE)</f>
        <v>0</v>
      </c>
      <c r="I91" s="16">
        <f>VLOOKUP(E91,Résultats!$B$2:$AX$476,'T energie vecteurs'!T5,FALSE)</f>
        <v>15.07670693</v>
      </c>
      <c r="J91" s="16">
        <f>VLOOKUP(F91,Résultats!$B$2:$AX$476,'T energie vecteurs'!T5,FALSE)</f>
        <v>4.0745476439999999</v>
      </c>
      <c r="K91" s="16">
        <f>VLOOKUP(G91,Résultats!$B$2:$AX$476,'T energie vecteurs'!T5,FALSE)</f>
        <v>0.50048539150000004</v>
      </c>
      <c r="L91" s="95">
        <f t="shared" si="22"/>
        <v>19.651739965499999</v>
      </c>
      <c r="N91" s="149" t="s">
        <v>20</v>
      </c>
      <c r="O91" s="143"/>
      <c r="P91" s="16"/>
      <c r="Q91" s="34"/>
      <c r="R91" s="16"/>
      <c r="S91" s="95"/>
      <c r="U91" s="149" t="s">
        <v>20</v>
      </c>
      <c r="V91" t="s">
        <v>398</v>
      </c>
      <c r="W91" t="s">
        <v>399</v>
      </c>
      <c r="X91" t="s">
        <v>400</v>
      </c>
      <c r="Y91" t="s">
        <v>401</v>
      </c>
      <c r="Z91" s="16">
        <v>0</v>
      </c>
      <c r="AA91" s="16">
        <v>15.364343699999999</v>
      </c>
      <c r="AB91" s="16">
        <v>3.6898176060000001</v>
      </c>
      <c r="AC91" s="16">
        <v>1.01402904</v>
      </c>
      <c r="AD91" s="95">
        <v>20.068190345999998</v>
      </c>
    </row>
    <row r="92" spans="2:30" s="3" customFormat="1" x14ac:dyDescent="0.25">
      <c r="B92" s="60"/>
      <c r="C92" s="147" t="s">
        <v>21</v>
      </c>
      <c r="D92" t="s">
        <v>402</v>
      </c>
      <c r="E92" t="s">
        <v>403</v>
      </c>
      <c r="F92" t="s">
        <v>404</v>
      </c>
      <c r="G92" t="s">
        <v>405</v>
      </c>
      <c r="H92" s="8">
        <f>VLOOKUP(D92,Résultats!$B$2:$AX$476,'T energie vecteurs'!T5,FALSE)</f>
        <v>0.21688790829999999</v>
      </c>
      <c r="I92" s="294">
        <f>VLOOKUP(E92,Résultats!$B$2:$AX$476,'T energie vecteurs'!T5,FALSE)</f>
        <v>4.672400176</v>
      </c>
      <c r="J92" s="8">
        <f>VLOOKUP(F92,Résultats!$B$2:$AX$476,'T energie vecteurs'!T5,FALSE)</f>
        <v>14.73807223</v>
      </c>
      <c r="K92" s="8">
        <f>VLOOKUP(G92,Résultats!$B$2:$AX$476,'T energie vecteurs'!T5,FALSE)+2</f>
        <v>16.323631949999999</v>
      </c>
      <c r="L92" s="96">
        <f t="shared" si="22"/>
        <v>35.950992264299998</v>
      </c>
      <c r="N92" s="150" t="s">
        <v>21</v>
      </c>
      <c r="O92" s="29">
        <f>'[2]Bilan 2035 AMS'!$V$46/11.63</f>
        <v>0</v>
      </c>
      <c r="P92" s="28">
        <f>SUM('[2]Bilan 2035 AMS'!$V$41:$V$43)/11.63</f>
        <v>0.10251745015919128</v>
      </c>
      <c r="Q92" s="28">
        <f>'[2]Bilan 2035 AMS'!$V$13/11.63</f>
        <v>13.303102379021182</v>
      </c>
      <c r="R92" s="28">
        <f>('[2]Bilan 2035 AMS'!$V$22+'[2]Bilan 2035 AMS'!$V$30+SUM('[2]Bilan 2035 AMS'!$V$36:$V$40)+SUM('[2]Bilan 2035 AMS'!$V$44:$V$45)+'[2]Bilan 2035 AMS'!$V$47)/11.63</f>
        <v>23.111817871405254</v>
      </c>
      <c r="S92" s="142">
        <f t="shared" ref="S92:S98" si="23">SUM(O92:R92)</f>
        <v>36.517437700585624</v>
      </c>
      <c r="U92" s="147" t="s">
        <v>21</v>
      </c>
      <c r="V92" t="s">
        <v>402</v>
      </c>
      <c r="W92" t="s">
        <v>403</v>
      </c>
      <c r="X92" t="s">
        <v>404</v>
      </c>
      <c r="Y92" t="s">
        <v>405</v>
      </c>
      <c r="Z92" s="8">
        <v>0.1950288731</v>
      </c>
      <c r="AA92" s="294">
        <v>4.1620379979999997</v>
      </c>
      <c r="AB92" s="8">
        <v>14.292295380000001</v>
      </c>
      <c r="AC92" s="8">
        <v>15.30683022</v>
      </c>
      <c r="AD92" s="96">
        <v>33.956192471100003</v>
      </c>
    </row>
    <row r="93" spans="2:30" s="3" customFormat="1" x14ac:dyDescent="0.25">
      <c r="B93" s="60"/>
      <c r="C93" s="147" t="s">
        <v>22</v>
      </c>
      <c r="D93" t="s">
        <v>406</v>
      </c>
      <c r="E93" t="s">
        <v>407</v>
      </c>
      <c r="F93" t="s">
        <v>408</v>
      </c>
      <c r="G93" t="s">
        <v>409</v>
      </c>
      <c r="H93" s="8">
        <f>VLOOKUP(D93,Résultats!$B$2:$AX$476,'T energie vecteurs'!T5,FALSE)</f>
        <v>0</v>
      </c>
      <c r="I93" s="8">
        <f>VLOOKUP(E93,Résultats!$B$2:$AX$476,'T energie vecteurs'!T5,FALSE)</f>
        <v>1.181429619</v>
      </c>
      <c r="J93" s="8">
        <f>VLOOKUP(F93,Résultats!$B$2:$AX$476,'T energie vecteurs'!T5,FALSE)</f>
        <v>7.9627584560000004</v>
      </c>
      <c r="K93" s="8">
        <f>VLOOKUP(G93,Résultats!$B$2:$AX$476,'T energie vecteurs'!T5,FALSE)</f>
        <v>11.61332219</v>
      </c>
      <c r="L93" s="96">
        <f t="shared" si="22"/>
        <v>20.757510265000001</v>
      </c>
      <c r="N93" s="150" t="s">
        <v>22</v>
      </c>
      <c r="O93" s="29">
        <f>('[2]Bilan 2035 AMS'!$W$46)/11.63</f>
        <v>0</v>
      </c>
      <c r="P93" s="28">
        <f>SUM('[2]Bilan 2035 AMS'!$W$41:$W$43)/11.63</f>
        <v>0.18654564932707193</v>
      </c>
      <c r="Q93" s="28">
        <f>('[2]Bilan 2035 AMS'!$W$13)/11.63</f>
        <v>10.475484550291474</v>
      </c>
      <c r="R93" s="28">
        <f>('[2]Bilan 2035 AMS'!$W$22+'[2]Bilan 2035 AMS'!$W$30+SUM('[2]Bilan 2035 AMS'!$W$36:$W$40)+SUM('[2]Bilan 2035 AMS'!$W$44:$W$45)+'[2]Bilan 2035 AMS'!$W$47)/11.63</f>
        <v>9.8192809947899988</v>
      </c>
      <c r="S93" s="142">
        <f t="shared" si="23"/>
        <v>20.481311194408548</v>
      </c>
      <c r="U93" s="147" t="s">
        <v>22</v>
      </c>
      <c r="V93" t="s">
        <v>406</v>
      </c>
      <c r="W93" t="s">
        <v>407</v>
      </c>
      <c r="X93" t="s">
        <v>408</v>
      </c>
      <c r="Y93" t="s">
        <v>409</v>
      </c>
      <c r="Z93" s="8">
        <v>0</v>
      </c>
      <c r="AA93" s="8">
        <v>1.3600609930000001</v>
      </c>
      <c r="AB93" s="8">
        <v>9.1909168549999904</v>
      </c>
      <c r="AC93" s="8">
        <v>13.204582200000001</v>
      </c>
      <c r="AD93" s="96">
        <v>23.755560047999992</v>
      </c>
    </row>
    <row r="94" spans="2:30" s="3" customFormat="1" x14ac:dyDescent="0.25">
      <c r="B94" s="60"/>
      <c r="C94" s="147" t="s">
        <v>23</v>
      </c>
      <c r="D94"/>
      <c r="E94"/>
      <c r="F94"/>
      <c r="G94"/>
      <c r="H94" s="8">
        <f>SUM(H95:H97)</f>
        <v>1.7989284320999999</v>
      </c>
      <c r="I94" s="8">
        <f>SUM(I95:I97)</f>
        <v>9.5158161700000008</v>
      </c>
      <c r="J94" s="8">
        <f>SUM(J95:J97)</f>
        <v>15.599899862900001</v>
      </c>
      <c r="K94" s="8">
        <f>SUM(K95:K97)</f>
        <v>8.1978931283000005</v>
      </c>
      <c r="L94" s="96">
        <f t="shared" si="22"/>
        <v>35.112537593300004</v>
      </c>
      <c r="N94" s="150" t="s">
        <v>490</v>
      </c>
      <c r="O94" s="29">
        <f>O95+O96</f>
        <v>1.1271690519534607</v>
      </c>
      <c r="P94" s="28">
        <f t="shared" ref="P94:R94" si="24">P95+P96</f>
        <v>10.280328019614133</v>
      </c>
      <c r="Q94" s="28">
        <f t="shared" si="24"/>
        <v>13.210125889739416</v>
      </c>
      <c r="R94" s="28">
        <f t="shared" si="24"/>
        <v>14.36569372610775</v>
      </c>
      <c r="S94" s="142">
        <f t="shared" si="23"/>
        <v>38.983316687414757</v>
      </c>
      <c r="U94" s="147" t="s">
        <v>23</v>
      </c>
      <c r="V94"/>
      <c r="W94"/>
      <c r="X94"/>
      <c r="Y94"/>
      <c r="Z94" s="8">
        <v>1.9099873234</v>
      </c>
      <c r="AA94" s="8">
        <v>10.033018376000001</v>
      </c>
      <c r="AB94" s="8">
        <v>18.145015513899999</v>
      </c>
      <c r="AC94" s="8">
        <v>8.9927629241000009</v>
      </c>
      <c r="AD94" s="96">
        <v>39.080784137400002</v>
      </c>
    </row>
    <row r="95" spans="2:30" s="3" customFormat="1" x14ac:dyDescent="0.25">
      <c r="B95" s="60"/>
      <c r="C95" s="149" t="s">
        <v>24</v>
      </c>
      <c r="D95" t="s">
        <v>410</v>
      </c>
      <c r="E95" t="s">
        <v>411</v>
      </c>
      <c r="F95" t="s">
        <v>412</v>
      </c>
      <c r="G95" t="s">
        <v>413</v>
      </c>
      <c r="H95" s="16">
        <f>VLOOKUP(D95,Résultats!$B$2:$AX$476,'T energie vecteurs'!T5,FALSE)</f>
        <v>0.93717001690000001</v>
      </c>
      <c r="I95" s="16">
        <f>VLOOKUP(E95,Résultats!$B$2:$AX$476,'T energie vecteurs'!T5,FALSE)</f>
        <v>4.4958119920000001</v>
      </c>
      <c r="J95" s="16">
        <f>VLOOKUP(F95,Résultats!$B$2:$AX$476,'T energie vecteurs'!T5,FALSE)</f>
        <v>15.25100192</v>
      </c>
      <c r="K95" s="16">
        <f>VLOOKUP(G95,Résultats!$B$2:$AX$476,'T energie vecteurs'!T5,FALSE)</f>
        <v>5.6714277830000004</v>
      </c>
      <c r="L95" s="95">
        <f t="shared" si="22"/>
        <v>26.355411711899997</v>
      </c>
      <c r="N95" s="149" t="s">
        <v>491</v>
      </c>
      <c r="O95" s="143">
        <f>'[2]Bilan 2035 AMS'!$U$46/11.63</f>
        <v>5.1206344381448832E-2</v>
      </c>
      <c r="P95" s="30">
        <f>SUM('[2]Bilan 2035 AMS'!$U$41:$U$43)/11.63</f>
        <v>0.67012072888540719</v>
      </c>
      <c r="Q95" s="30">
        <f>'[2]Bilan 2035 AMS'!$U$13/11.63</f>
        <v>13.210125889739416</v>
      </c>
      <c r="R95" s="30">
        <f>('[2]Bilan 2035 AMS'!$U$22+'[2]Bilan 2035 AMS'!$U$30+SUM('[2]Bilan 2035 AMS'!$U$36:$U$40)+SUM('[2]Bilan 2035 AMS'!$U$44:$U$45)+'[2]Bilan 2035 AMS'!$U$47)/11.63</f>
        <v>13.122327447005626</v>
      </c>
      <c r="S95" s="95">
        <f t="shared" si="23"/>
        <v>27.053780410011896</v>
      </c>
      <c r="U95" s="149" t="s">
        <v>24</v>
      </c>
      <c r="V95" t="s">
        <v>410</v>
      </c>
      <c r="W95" t="s">
        <v>411</v>
      </c>
      <c r="X95" t="s">
        <v>412</v>
      </c>
      <c r="Y95" t="s">
        <v>413</v>
      </c>
      <c r="Z95" s="16">
        <v>1.014095553</v>
      </c>
      <c r="AA95" s="16">
        <v>4.9572090940000004</v>
      </c>
      <c r="AB95" s="16">
        <v>17.77331891</v>
      </c>
      <c r="AC95" s="16">
        <v>6.3926736650000002</v>
      </c>
      <c r="AD95" s="95">
        <v>30.137297222000001</v>
      </c>
    </row>
    <row r="96" spans="2:30" s="3" customFormat="1" x14ac:dyDescent="0.25">
      <c r="B96" s="60"/>
      <c r="C96" s="149" t="s">
        <v>47</v>
      </c>
      <c r="D96" t="s">
        <v>414</v>
      </c>
      <c r="E96" t="s">
        <v>415</v>
      </c>
      <c r="F96" t="s">
        <v>416</v>
      </c>
      <c r="G96" t="s">
        <v>417</v>
      </c>
      <c r="H96" s="16">
        <f>VLOOKUP(D96,Résultats!$B$2:$AX$476,'T energie vecteurs'!T5,FALSE)</f>
        <v>0.86175841519999996</v>
      </c>
      <c r="I96" s="16">
        <f>VLOOKUP(E96,Résultats!$B$2:$AX$476,'T energie vecteurs'!T5,FALSE)</f>
        <v>2.1658767189999999</v>
      </c>
      <c r="J96" s="16">
        <f>VLOOKUP(F96,Résultats!$B$2:$AX$476,'T energie vecteurs'!T5,FALSE)</f>
        <v>0</v>
      </c>
      <c r="K96" s="16">
        <f>VLOOKUP(G96,Résultats!$B$2:$AX$476,'T energie vecteurs'!T5,FALSE)</f>
        <v>2.073284068</v>
      </c>
      <c r="L96" s="95">
        <f t="shared" si="22"/>
        <v>5.1009192022000001</v>
      </c>
      <c r="N96" s="149" t="s">
        <v>47</v>
      </c>
      <c r="O96" s="22">
        <f>'[2]Bilan 2035 AMS'!$E$52/11.63</f>
        <v>1.075962707572012</v>
      </c>
      <c r="P96" s="16">
        <f>('[2]Bilan 2035 AMS'!$E$54+'[2]Bilan 2035 AMS'!$E$56)/11.63</f>
        <v>9.6102072907287255</v>
      </c>
      <c r="Q96" s="16">
        <v>0</v>
      </c>
      <c r="R96" s="16">
        <f>('[2]Bilan 2035 AMS'!$E$53+'[2]Bilan 2035 AMS'!$E$55+'[2]Bilan 2035 AMS'!$E$57)/11.63</f>
        <v>1.2433662791021249</v>
      </c>
      <c r="S96" s="95">
        <f t="shared" si="23"/>
        <v>11.929536277402862</v>
      </c>
      <c r="U96" s="149" t="s">
        <v>47</v>
      </c>
      <c r="V96" t="s">
        <v>414</v>
      </c>
      <c r="W96" t="s">
        <v>415</v>
      </c>
      <c r="X96" t="s">
        <v>416</v>
      </c>
      <c r="Y96" t="s">
        <v>417</v>
      </c>
      <c r="Z96" s="16">
        <v>0.89589177040000001</v>
      </c>
      <c r="AA96" s="16">
        <v>2.187229995</v>
      </c>
      <c r="AB96" s="16">
        <v>0</v>
      </c>
      <c r="AC96" s="16">
        <v>2.114832695</v>
      </c>
      <c r="AD96" s="95">
        <v>5.1979544604000001</v>
      </c>
    </row>
    <row r="97" spans="2:30" s="3" customFormat="1" x14ac:dyDescent="0.25">
      <c r="B97" s="60"/>
      <c r="C97" s="149" t="s">
        <v>25</v>
      </c>
      <c r="D97" t="s">
        <v>418</v>
      </c>
      <c r="E97" t="s">
        <v>419</v>
      </c>
      <c r="F97" t="s">
        <v>420</v>
      </c>
      <c r="G97" t="s">
        <v>421</v>
      </c>
      <c r="H97" s="16">
        <f>VLOOKUP(D97,Résultats!$B$2:$AX$476,'T energie vecteurs'!T5,FALSE)</f>
        <v>0</v>
      </c>
      <c r="I97" s="16">
        <f>VLOOKUP(E97,Résultats!$B$2:$AX$476,'T energie vecteurs'!T5,FALSE)</f>
        <v>2.8541274589999999</v>
      </c>
      <c r="J97" s="16">
        <f>VLOOKUP(F97,Résultats!$B$2:$AX$476,'T energie vecteurs'!T5,FALSE)</f>
        <v>0.34889794289999998</v>
      </c>
      <c r="K97" s="16">
        <f>VLOOKUP(G97,Résultats!$B$2:$AX$476,'T energie vecteurs'!T5,FALSE)</f>
        <v>0.45318127730000002</v>
      </c>
      <c r="L97" s="95">
        <f t="shared" si="22"/>
        <v>3.6562066791999999</v>
      </c>
      <c r="N97" s="150" t="s">
        <v>25</v>
      </c>
      <c r="O97" s="29">
        <f>'[2]Bilan 2035 AMS'!$T$46/11.63</f>
        <v>0</v>
      </c>
      <c r="P97" s="28">
        <f>SUM('[2]Bilan 2035 AMS'!$T$41:$T$43)/11.63</f>
        <v>2.3885046272256516</v>
      </c>
      <c r="Q97" s="28">
        <f>'[2]Bilan 2035 AMS'!$T$13/11.63</f>
        <v>0.74285940769933312</v>
      </c>
      <c r="R97" s="28">
        <f>('[2]Bilan 2035 AMS'!$T$22+'[2]Bilan 2035 AMS'!$T$30+SUM('[2]Bilan 2035 AMS'!$T$36:$T$40)+SUM('[2]Bilan 2035 AMS'!$T$44:$T$45)+'[2]Bilan 2035 AMS'!$T$47)/11.63</f>
        <v>1.4427552690285042</v>
      </c>
      <c r="S97" s="142">
        <f t="shared" si="23"/>
        <v>4.5741193039534886</v>
      </c>
      <c r="U97" s="149" t="s">
        <v>25</v>
      </c>
      <c r="V97" t="s">
        <v>418</v>
      </c>
      <c r="W97" t="s">
        <v>419</v>
      </c>
      <c r="X97" t="s">
        <v>420</v>
      </c>
      <c r="Y97" t="s">
        <v>421</v>
      </c>
      <c r="Z97" s="16">
        <v>0</v>
      </c>
      <c r="AA97" s="16">
        <v>2.8885792870000002</v>
      </c>
      <c r="AB97" s="16">
        <v>0.37169660389999998</v>
      </c>
      <c r="AC97" s="16">
        <v>0.48525656410000001</v>
      </c>
      <c r="AD97" s="95">
        <v>3.7455324550000002</v>
      </c>
    </row>
    <row r="98" spans="2:30" s="3" customFormat="1" x14ac:dyDescent="0.25">
      <c r="B98" s="60"/>
      <c r="C98" s="23" t="s">
        <v>26</v>
      </c>
      <c r="D98" s="10"/>
      <c r="E98" s="10"/>
      <c r="F98" s="10"/>
      <c r="G98" s="10"/>
      <c r="H98" s="9">
        <f>SUM(H89,H92:H94)</f>
        <v>2.0158163403999998</v>
      </c>
      <c r="I98" s="9">
        <f>SUM(I89,I92:I94)</f>
        <v>44.952698415</v>
      </c>
      <c r="J98" s="9">
        <f>SUM(J89,J92:J94)</f>
        <v>44.247800104900001</v>
      </c>
      <c r="K98" s="9">
        <f>SUM(K89,K92:K94)</f>
        <v>36.635353523265302</v>
      </c>
      <c r="L98" s="98">
        <f t="shared" si="22"/>
        <v>127.85166838356531</v>
      </c>
      <c r="N98" s="151" t="s">
        <v>26</v>
      </c>
      <c r="O98" s="32">
        <f>O89+O92+O93+O94+O97</f>
        <v>1.1271690519534607</v>
      </c>
      <c r="P98" s="31">
        <f>P89+P92+P93+P94+P97</f>
        <v>34.688585244337951</v>
      </c>
      <c r="Q98" s="31">
        <f>Q89+Q92+Q93+Q94+Q97</f>
        <v>43.307809323722154</v>
      </c>
      <c r="R98" s="31">
        <f>R89+R92+R93+R94+R97</f>
        <v>49.608712929882437</v>
      </c>
      <c r="S98" s="144">
        <f t="shared" si="23"/>
        <v>128.732276549896</v>
      </c>
      <c r="U98" s="23" t="s">
        <v>26</v>
      </c>
      <c r="V98" s="10"/>
      <c r="W98" s="10"/>
      <c r="X98" s="10"/>
      <c r="Y98" s="10"/>
      <c r="Z98" s="9">
        <v>2.1050161964999998</v>
      </c>
      <c r="AA98" s="9">
        <v>44.670091077000002</v>
      </c>
      <c r="AB98" s="9">
        <v>47.048644016899992</v>
      </c>
      <c r="AC98" s="9">
        <v>38.518225940954899</v>
      </c>
      <c r="AD98" s="98">
        <v>132.34197723135489</v>
      </c>
    </row>
    <row r="99" spans="2:30" s="3" customFormat="1" x14ac:dyDescent="0.25">
      <c r="B99" s="60"/>
      <c r="K99" s="47"/>
      <c r="AC99" s="47"/>
    </row>
    <row r="100" spans="2:30" s="3" customFormat="1" x14ac:dyDescent="0.25">
      <c r="B100" s="60"/>
      <c r="K100" s="47"/>
      <c r="AC100" s="47"/>
    </row>
    <row r="101" spans="2:30" ht="31.5" x14ac:dyDescent="0.35">
      <c r="C101" s="145">
        <v>2040</v>
      </c>
      <c r="D101" s="146"/>
      <c r="E101" s="146"/>
      <c r="F101" s="146"/>
      <c r="G101" s="146"/>
      <c r="H101" s="76" t="s">
        <v>36</v>
      </c>
      <c r="I101" s="76" t="s">
        <v>49</v>
      </c>
      <c r="J101" s="76" t="s">
        <v>38</v>
      </c>
      <c r="K101" s="76" t="s">
        <v>48</v>
      </c>
      <c r="L101" s="93" t="s">
        <v>1</v>
      </c>
      <c r="M101" s="19"/>
      <c r="N101" s="145">
        <v>2040</v>
      </c>
      <c r="O101" s="141" t="s">
        <v>36</v>
      </c>
      <c r="P101" s="76" t="s">
        <v>49</v>
      </c>
      <c r="Q101" s="76" t="s">
        <v>38</v>
      </c>
      <c r="R101" s="76" t="s">
        <v>48</v>
      </c>
      <c r="S101" s="93" t="s">
        <v>1</v>
      </c>
      <c r="T101" s="19"/>
      <c r="U101" s="145">
        <v>2040</v>
      </c>
      <c r="V101" s="146"/>
      <c r="W101" s="146"/>
      <c r="X101" s="146"/>
      <c r="Y101" s="146"/>
      <c r="Z101" s="76" t="s">
        <v>36</v>
      </c>
      <c r="AA101" s="76" t="s">
        <v>49</v>
      </c>
      <c r="AB101" s="76" t="s">
        <v>38</v>
      </c>
      <c r="AC101" s="76" t="s">
        <v>48</v>
      </c>
      <c r="AD101" s="93" t="s">
        <v>1</v>
      </c>
    </row>
    <row r="102" spans="2:30" x14ac:dyDescent="0.25">
      <c r="C102" s="147" t="s">
        <v>18</v>
      </c>
      <c r="H102" s="8">
        <f>SUM(H103:H104)</f>
        <v>0</v>
      </c>
      <c r="I102" s="8">
        <f>SUM(I103:I104)</f>
        <v>22.555039800000003</v>
      </c>
      <c r="J102" s="8">
        <f>SUM(J103:J104)</f>
        <v>8.8475624530000001</v>
      </c>
      <c r="K102" s="8">
        <f>SUM(K103:K104)</f>
        <v>0.43287846899269999</v>
      </c>
      <c r="L102" s="96">
        <f t="shared" ref="L102:L111" si="25">SUM(H102:K102)</f>
        <v>31.835480721992706</v>
      </c>
      <c r="M102" s="75"/>
      <c r="N102" s="150" t="s">
        <v>18</v>
      </c>
      <c r="O102" s="29">
        <f>'[2]Bilan 2040 AMS'!$X$46/11.63</f>
        <v>0</v>
      </c>
      <c r="P102" s="28">
        <f>SUM('[2]Bilan 2040 AMS'!$X$41:$X$43)/11.63</f>
        <v>11.929027581040415</v>
      </c>
      <c r="Q102" s="28">
        <f>'[2]Bilan 2040 AMS'!$X$13/11.63</f>
        <v>8.4770890798493497</v>
      </c>
      <c r="R102" s="28">
        <f>('[2]Bilan 2040 AMS'!$X$22+'[2]Bilan 2040 AMS'!$X$30+SUM('[2]Bilan 2040 AMS'!$X$36:$X$40)+SUM('[2]Bilan 2040 AMS'!$X$44:$X$45)+'[2]Bilan 2040 AMS'!$X$47)/11.63</f>
        <v>1.0341627996732725</v>
      </c>
      <c r="S102" s="142">
        <f>SUM(O102:R102)</f>
        <v>21.440279460563037</v>
      </c>
      <c r="T102" s="75"/>
      <c r="U102" s="147" t="s">
        <v>18</v>
      </c>
      <c r="Z102" s="8">
        <v>0</v>
      </c>
      <c r="AA102" s="8">
        <v>22.208829556000001</v>
      </c>
      <c r="AB102" s="8">
        <v>8.0115067789999994</v>
      </c>
      <c r="AC102" s="8">
        <v>1.4401179985132</v>
      </c>
      <c r="AD102" s="96">
        <v>31.660454333513201</v>
      </c>
    </row>
    <row r="103" spans="2:30" x14ac:dyDescent="0.25">
      <c r="C103" s="148" t="s">
        <v>19</v>
      </c>
      <c r="D103" t="s">
        <v>394</v>
      </c>
      <c r="E103" t="s">
        <v>395</v>
      </c>
      <c r="F103" t="s">
        <v>396</v>
      </c>
      <c r="G103" t="s">
        <v>397</v>
      </c>
      <c r="H103" s="16">
        <f>VLOOKUP(D103,Résultats!$B$2:$AX$476,'T energie vecteurs'!U5,FALSE)</f>
        <v>0</v>
      </c>
      <c r="I103" s="16">
        <f>VLOOKUP(E103,Résultats!$B$2:$AX$476,'T energie vecteurs'!U5,FALSE)</f>
        <v>10.843387160000001</v>
      </c>
      <c r="J103" s="16">
        <f>VLOOKUP(F103,Résultats!$B$2:$AX$476,'T energie vecteurs'!U5,FALSE)</f>
        <v>2.927012559</v>
      </c>
      <c r="K103" s="16">
        <f>VLOOKUP(G103,Résultats!$B$2:$AX$476,'T energie vecteurs'!U5,FALSE)</f>
        <v>1.57068927E-5</v>
      </c>
      <c r="L103" s="95">
        <f t="shared" si="25"/>
        <v>13.770415425892701</v>
      </c>
      <c r="M103" s="16"/>
      <c r="N103" s="148" t="s">
        <v>19</v>
      </c>
      <c r="O103" s="143"/>
      <c r="P103" s="16"/>
      <c r="Q103" s="34"/>
      <c r="R103" s="16"/>
      <c r="S103" s="95"/>
      <c r="T103" s="16"/>
      <c r="U103" s="148" t="s">
        <v>19</v>
      </c>
      <c r="V103" t="s">
        <v>394</v>
      </c>
      <c r="W103" t="s">
        <v>395</v>
      </c>
      <c r="X103" t="s">
        <v>396</v>
      </c>
      <c r="Y103" t="s">
        <v>397</v>
      </c>
      <c r="Z103" s="16">
        <v>0</v>
      </c>
      <c r="AA103" s="16">
        <v>9.9989063560000009</v>
      </c>
      <c r="AB103" s="16">
        <v>2.527125426</v>
      </c>
      <c r="AC103" s="16">
        <v>1.5745513199999999E-5</v>
      </c>
      <c r="AD103" s="95">
        <v>12.526047527513201</v>
      </c>
    </row>
    <row r="104" spans="2:30" x14ac:dyDescent="0.25">
      <c r="C104" s="149" t="s">
        <v>20</v>
      </c>
      <c r="D104" t="s">
        <v>398</v>
      </c>
      <c r="E104" t="s">
        <v>399</v>
      </c>
      <c r="F104" t="s">
        <v>400</v>
      </c>
      <c r="G104" t="s">
        <v>401</v>
      </c>
      <c r="H104" s="16">
        <f>VLOOKUP(D104,Résultats!$B$2:$AX$476,'T energie vecteurs'!U5,FALSE)</f>
        <v>0</v>
      </c>
      <c r="I104" s="16">
        <f>VLOOKUP(E104,Résultats!$B$2:$AX$476,'T energie vecteurs'!U5,FALSE)</f>
        <v>11.711652640000001</v>
      </c>
      <c r="J104" s="16">
        <f>VLOOKUP(F104,Résultats!$B$2:$AX$476,'T energie vecteurs'!U5,FALSE)</f>
        <v>5.9205498939999996</v>
      </c>
      <c r="K104" s="16">
        <f>VLOOKUP(G104,Résultats!$B$2:$AX$476,'T energie vecteurs'!U5,FALSE)</f>
        <v>0.43286276210000002</v>
      </c>
      <c r="L104" s="95">
        <f t="shared" si="25"/>
        <v>18.065065296100002</v>
      </c>
      <c r="M104" s="16"/>
      <c r="N104" s="149" t="s">
        <v>20</v>
      </c>
      <c r="O104" s="143"/>
      <c r="P104" s="16"/>
      <c r="Q104" s="34"/>
      <c r="R104" s="16"/>
      <c r="S104" s="95"/>
      <c r="T104" s="16"/>
      <c r="U104" s="149" t="s">
        <v>20</v>
      </c>
      <c r="V104" t="s">
        <v>398</v>
      </c>
      <c r="W104" t="s">
        <v>399</v>
      </c>
      <c r="X104" t="s">
        <v>400</v>
      </c>
      <c r="Y104" t="s">
        <v>401</v>
      </c>
      <c r="Z104" s="16">
        <v>0</v>
      </c>
      <c r="AA104" s="16">
        <v>12.2099232</v>
      </c>
      <c r="AB104" s="16">
        <v>5.4843813529999998</v>
      </c>
      <c r="AC104" s="16">
        <v>1.4401022530000001</v>
      </c>
      <c r="AD104" s="95">
        <v>19.134406806000001</v>
      </c>
    </row>
    <row r="105" spans="2:30" x14ac:dyDescent="0.25">
      <c r="C105" s="147" t="s">
        <v>21</v>
      </c>
      <c r="D105" t="s">
        <v>402</v>
      </c>
      <c r="E105" t="s">
        <v>403</v>
      </c>
      <c r="F105" t="s">
        <v>404</v>
      </c>
      <c r="G105" t="s">
        <v>405</v>
      </c>
      <c r="H105" s="8">
        <f>VLOOKUP(D105,Résultats!$B$2:$AX$476,'T energie vecteurs'!U5,FALSE)</f>
        <v>0.18862888720000001</v>
      </c>
      <c r="I105" s="294">
        <f>VLOOKUP(E105,Résultats!$B$2:$AX$476,'T energie vecteurs'!U5,FALSE)</f>
        <v>4.3172707460000002</v>
      </c>
      <c r="J105" s="8">
        <f>VLOOKUP(F105,Résultats!$B$2:$AX$476,'T energie vecteurs'!U5,FALSE)</f>
        <v>14.50328202</v>
      </c>
      <c r="K105" s="8">
        <f>VLOOKUP(G105,Résultats!$B$2:$AX$476,'T energie vecteurs'!U5,FALSE)+2</f>
        <v>15.08543849</v>
      </c>
      <c r="L105" s="96">
        <f t="shared" si="25"/>
        <v>34.094620143200004</v>
      </c>
      <c r="M105" s="75"/>
      <c r="N105" s="150" t="s">
        <v>21</v>
      </c>
      <c r="O105" s="29">
        <f>'[2]Bilan 2040 AMS'!$V$46/11.63</f>
        <v>0</v>
      </c>
      <c r="P105" s="28">
        <f>SUM('[2]Bilan 2040 AMS'!$V$41:$V$43)/11.63</f>
        <v>3.940595509029942E-2</v>
      </c>
      <c r="Q105" s="28">
        <f>'[2]Bilan 2040 AMS'!$V$13/11.63</f>
        <v>13.005046344709536</v>
      </c>
      <c r="R105" s="28">
        <f>('[2]Bilan 2040 AMS'!$V$22+'[2]Bilan 2040 AMS'!$V$30+SUM('[2]Bilan 2040 AMS'!$V$36:$V$40)+SUM('[2]Bilan 2040 AMS'!$V$44:$V$45)+'[2]Bilan 2040 AMS'!$V$47)/11.63</f>
        <v>23.419883063855131</v>
      </c>
      <c r="S105" s="142">
        <f t="shared" ref="S105:S111" si="26">SUM(O105:R105)</f>
        <v>36.464335363654968</v>
      </c>
      <c r="T105" s="75"/>
      <c r="U105" s="147" t="s">
        <v>21</v>
      </c>
      <c r="V105" t="s">
        <v>402</v>
      </c>
      <c r="W105" t="s">
        <v>403</v>
      </c>
      <c r="X105" t="s">
        <v>404</v>
      </c>
      <c r="Y105" t="s">
        <v>405</v>
      </c>
      <c r="Z105" s="8">
        <v>0.1675986894</v>
      </c>
      <c r="AA105" s="294">
        <v>3.807506762</v>
      </c>
      <c r="AB105" s="8">
        <v>13.96566464</v>
      </c>
      <c r="AC105" s="8">
        <v>13.947059449999999</v>
      </c>
      <c r="AD105" s="96">
        <v>31.887829541400002</v>
      </c>
    </row>
    <row r="106" spans="2:30" x14ac:dyDescent="0.25">
      <c r="C106" s="147" t="s">
        <v>22</v>
      </c>
      <c r="D106" t="s">
        <v>406</v>
      </c>
      <c r="E106" t="s">
        <v>407</v>
      </c>
      <c r="F106" t="s">
        <v>408</v>
      </c>
      <c r="G106" t="s">
        <v>409</v>
      </c>
      <c r="H106" s="8">
        <f>VLOOKUP(D106,Résultats!$B$2:$AX$476,'T energie vecteurs'!U5,FALSE)</f>
        <v>0</v>
      </c>
      <c r="I106" s="8">
        <f>VLOOKUP(E106,Résultats!$B$2:$AX$476,'T energie vecteurs'!U5,FALSE)</f>
        <v>1.1976823839999999</v>
      </c>
      <c r="J106" s="8">
        <f>VLOOKUP(F106,Résultats!$B$2:$AX$476,'T energie vecteurs'!U5,FALSE)</f>
        <v>7.8715161980000001</v>
      </c>
      <c r="K106" s="8">
        <f>VLOOKUP(G106,Résultats!$B$2:$AX$476,'T energie vecteurs'!U5,FALSE)</f>
        <v>10.25921666</v>
      </c>
      <c r="L106" s="96">
        <f t="shared" si="25"/>
        <v>19.328415241999998</v>
      </c>
      <c r="M106" s="75"/>
      <c r="N106" s="150" t="s">
        <v>22</v>
      </c>
      <c r="O106" s="29">
        <f>('[2]Bilan 2040 AMS'!$W$46)/11.63</f>
        <v>0</v>
      </c>
      <c r="P106" s="28">
        <f>SUM('[2]Bilan 2040 AMS'!$W$41:$W$43)/11.63</f>
        <v>6.2288453661439952E-2</v>
      </c>
      <c r="Q106" s="28">
        <f>('[2]Bilan 2040 AMS'!$W$13)/11.63</f>
        <v>10.436146233936347</v>
      </c>
      <c r="R106" s="28">
        <f>('[2]Bilan 2040 AMS'!$W$22+'[2]Bilan 2040 AMS'!$W$30+SUM('[2]Bilan 2040 AMS'!$W$36:$W$40)+SUM('[2]Bilan 2040 AMS'!$W$44:$W$45)+'[2]Bilan 2040 AMS'!$W$47)/11.63</f>
        <v>9.7634935188507423</v>
      </c>
      <c r="S106" s="142">
        <f t="shared" si="26"/>
        <v>20.26192820644853</v>
      </c>
      <c r="T106" s="75"/>
      <c r="U106" s="147" t="s">
        <v>22</v>
      </c>
      <c r="V106" t="s">
        <v>406</v>
      </c>
      <c r="W106" t="s">
        <v>407</v>
      </c>
      <c r="X106" t="s">
        <v>408</v>
      </c>
      <c r="Y106" t="s">
        <v>409</v>
      </c>
      <c r="Z106" s="8">
        <v>0</v>
      </c>
      <c r="AA106" s="8">
        <v>1.3701595129999999</v>
      </c>
      <c r="AB106" s="8">
        <v>9.0765223319999997</v>
      </c>
      <c r="AC106" s="8">
        <v>11.72368342</v>
      </c>
      <c r="AD106" s="96">
        <v>22.170365265000001</v>
      </c>
    </row>
    <row r="107" spans="2:30" x14ac:dyDescent="0.25">
      <c r="C107" s="147" t="s">
        <v>23</v>
      </c>
      <c r="H107" s="8">
        <f>SUM(H108:H110)</f>
        <v>1.9224152311</v>
      </c>
      <c r="I107" s="8">
        <f>SUM(I108:I110)</f>
        <v>10.171412429</v>
      </c>
      <c r="J107" s="8">
        <f>SUM(J108:J110)</f>
        <v>15.981519544899999</v>
      </c>
      <c r="K107" s="8">
        <f>SUM(K108:K110)</f>
        <v>8.7541867406999998</v>
      </c>
      <c r="L107" s="96">
        <f t="shared" si="25"/>
        <v>36.8295339457</v>
      </c>
      <c r="M107" s="75"/>
      <c r="N107" s="150" t="s">
        <v>490</v>
      </c>
      <c r="O107" s="29">
        <f>O108+O109</f>
        <v>1.0449521879030526</v>
      </c>
      <c r="P107" s="28">
        <f t="shared" ref="P107:R107" si="27">P108+P109</f>
        <v>9.6454857925293265</v>
      </c>
      <c r="Q107" s="28">
        <f t="shared" si="27"/>
        <v>13.633134927355739</v>
      </c>
      <c r="R107" s="28">
        <f t="shared" si="27"/>
        <v>13.902936638787098</v>
      </c>
      <c r="S107" s="142">
        <f t="shared" si="26"/>
        <v>38.226509546575215</v>
      </c>
      <c r="T107" s="75"/>
      <c r="U107" s="147" t="s">
        <v>23</v>
      </c>
      <c r="Z107" s="8">
        <v>2.0140348428000001</v>
      </c>
      <c r="AA107" s="8">
        <v>11.067507462</v>
      </c>
      <c r="AB107" s="8">
        <v>19.151096059299999</v>
      </c>
      <c r="AC107" s="8">
        <v>9.783758262000001</v>
      </c>
      <c r="AD107" s="96">
        <v>42.016396626099997</v>
      </c>
    </row>
    <row r="108" spans="2:30" x14ac:dyDescent="0.25">
      <c r="C108" s="149" t="s">
        <v>24</v>
      </c>
      <c r="D108" t="s">
        <v>410</v>
      </c>
      <c r="E108" t="s">
        <v>411</v>
      </c>
      <c r="F108" t="s">
        <v>412</v>
      </c>
      <c r="G108" t="s">
        <v>413</v>
      </c>
      <c r="H108" s="16">
        <f>VLOOKUP(D108,Résultats!$B$2:$AX$476,'T energie vecteurs'!U5,FALSE)</f>
        <v>1.0249357729999999</v>
      </c>
      <c r="I108" s="16">
        <f>VLOOKUP(E108,Résultats!$B$2:$AX$476,'T energie vecteurs'!U5,FALSE)</f>
        <v>4.9038147350000001</v>
      </c>
      <c r="J108" s="16">
        <f>VLOOKUP(F108,Résultats!$B$2:$AX$476,'T energie vecteurs'!U5,FALSE)</f>
        <v>15.61667978</v>
      </c>
      <c r="K108" s="16">
        <f>VLOOKUP(G108,Résultats!$B$2:$AX$476,'T energie vecteurs'!U5,FALSE)</f>
        <v>6.1124663659999996</v>
      </c>
      <c r="L108" s="95">
        <f t="shared" si="25"/>
        <v>27.657896653999998</v>
      </c>
      <c r="M108" s="16"/>
      <c r="N108" s="149" t="s">
        <v>491</v>
      </c>
      <c r="O108" s="143">
        <f>'[2]Bilan 2040 AMS'!$U$46/11.63</f>
        <v>2.6869092762521495E-2</v>
      </c>
      <c r="P108" s="30">
        <f>SUM('[2]Bilan 2040 AMS'!$U$41:$U$43)/11.63</f>
        <v>0.32770211462176457</v>
      </c>
      <c r="Q108" s="30">
        <f>'[2]Bilan 2040 AMS'!$U$13/11.63</f>
        <v>13.633134927355739</v>
      </c>
      <c r="R108" s="30">
        <f>('[2]Bilan 2040 AMS'!$U$22+'[2]Bilan 2040 AMS'!$U$30+SUM('[2]Bilan 2040 AMS'!$U$36:$U$40)+SUM('[2]Bilan 2040 AMS'!$U$44:$U$45)+'[2]Bilan 2040 AMS'!$U$47)/11.63</f>
        <v>12.662819172663614</v>
      </c>
      <c r="S108" s="95">
        <f t="shared" si="26"/>
        <v>26.65052530740364</v>
      </c>
      <c r="T108" s="16"/>
      <c r="U108" s="149" t="s">
        <v>24</v>
      </c>
      <c r="V108" t="s">
        <v>410</v>
      </c>
      <c r="W108" t="s">
        <v>411</v>
      </c>
      <c r="X108" t="s">
        <v>412</v>
      </c>
      <c r="Y108" t="s">
        <v>413</v>
      </c>
      <c r="Z108" s="16">
        <v>1.0920116790000001</v>
      </c>
      <c r="AA108" s="16">
        <v>5.560453334</v>
      </c>
      <c r="AB108" s="16">
        <v>18.748610419999999</v>
      </c>
      <c r="AC108" s="16">
        <v>7.0101194810000003</v>
      </c>
      <c r="AD108" s="95">
        <v>32.411194913999999</v>
      </c>
    </row>
    <row r="109" spans="2:30" x14ac:dyDescent="0.25">
      <c r="C109" s="149" t="s">
        <v>47</v>
      </c>
      <c r="D109" t="s">
        <v>414</v>
      </c>
      <c r="E109" t="s">
        <v>415</v>
      </c>
      <c r="F109" t="s">
        <v>416</v>
      </c>
      <c r="G109" t="s">
        <v>417</v>
      </c>
      <c r="H109" s="16">
        <f>VLOOKUP(D109,Résultats!$B$2:$AX$476,'T energie vecteurs'!U5,FALSE)</f>
        <v>0.89747945809999996</v>
      </c>
      <c r="I109" s="16">
        <f>VLOOKUP(E109,Résultats!$B$2:$AX$476,'T energie vecteurs'!U5,FALSE)</f>
        <v>2.2794647330000002</v>
      </c>
      <c r="J109" s="16">
        <f>VLOOKUP(F109,Résultats!$B$2:$AX$476,'T energie vecteurs'!U5,FALSE)</f>
        <v>0</v>
      </c>
      <c r="K109" s="16">
        <f>VLOOKUP(G109,Résultats!$B$2:$AX$476,'T energie vecteurs'!U5,FALSE)</f>
        <v>2.1763379550000002</v>
      </c>
      <c r="L109" s="95">
        <f t="shared" si="25"/>
        <v>5.3532821460999997</v>
      </c>
      <c r="M109" s="16"/>
      <c r="N109" s="149" t="s">
        <v>47</v>
      </c>
      <c r="O109" s="22">
        <f>'[2]Bilan 2040 AMS'!$E$52/11.63</f>
        <v>1.0180830951405311</v>
      </c>
      <c r="P109" s="16">
        <f>('[2]Bilan 2040 AMS'!$E$54+'[2]Bilan 2040 AMS'!$E$56)/11.63</f>
        <v>9.3177836779075616</v>
      </c>
      <c r="Q109" s="16">
        <v>0</v>
      </c>
      <c r="R109" s="16">
        <f>('[2]Bilan 2040 AMS'!$E$53+'[2]Bilan 2040 AMS'!$E$55+'[2]Bilan 2040 AMS'!$E$57)/11.63</f>
        <v>1.2401174661234846</v>
      </c>
      <c r="S109" s="95">
        <f t="shared" si="26"/>
        <v>11.575984239171577</v>
      </c>
      <c r="T109" s="16"/>
      <c r="U109" s="149" t="s">
        <v>47</v>
      </c>
      <c r="V109" t="s">
        <v>414</v>
      </c>
      <c r="W109" t="s">
        <v>415</v>
      </c>
      <c r="X109" t="s">
        <v>416</v>
      </c>
      <c r="Y109" t="s">
        <v>417</v>
      </c>
      <c r="Z109" s="16">
        <v>0.92202316380000005</v>
      </c>
      <c r="AA109" s="16">
        <v>2.3465452779999998</v>
      </c>
      <c r="AB109" s="16">
        <v>0</v>
      </c>
      <c r="AC109" s="16">
        <v>2.263465563</v>
      </c>
      <c r="AD109" s="95">
        <v>5.5320340047999998</v>
      </c>
    </row>
    <row r="110" spans="2:30" x14ac:dyDescent="0.25">
      <c r="C110" s="149" t="s">
        <v>25</v>
      </c>
      <c r="D110" t="s">
        <v>418</v>
      </c>
      <c r="E110" t="s">
        <v>419</v>
      </c>
      <c r="F110" t="s">
        <v>420</v>
      </c>
      <c r="G110" t="s">
        <v>421</v>
      </c>
      <c r="H110" s="16">
        <f>VLOOKUP(D110,Résultats!$B$2:$AX$476,'T energie vecteurs'!U5,FALSE)</f>
        <v>0</v>
      </c>
      <c r="I110" s="16">
        <f>VLOOKUP(E110,Résultats!$B$2:$AX$476,'T energie vecteurs'!U5,FALSE)</f>
        <v>2.9881329609999998</v>
      </c>
      <c r="J110" s="16">
        <f>VLOOKUP(F110,Résultats!$B$2:$AX$476,'T energie vecteurs'!U5,FALSE)</f>
        <v>0.36483976489999997</v>
      </c>
      <c r="K110" s="16">
        <f>VLOOKUP(G110,Résultats!$B$2:$AX$476,'T energie vecteurs'!U5,FALSE)</f>
        <v>0.46538241969999999</v>
      </c>
      <c r="L110" s="95">
        <f t="shared" si="25"/>
        <v>3.8183551456</v>
      </c>
      <c r="M110" s="16"/>
      <c r="N110" s="150" t="s">
        <v>25</v>
      </c>
      <c r="O110" s="29">
        <f>'[2]Bilan 2040 AMS'!$T$46/11.63</f>
        <v>0</v>
      </c>
      <c r="P110" s="28">
        <f>SUM('[2]Bilan 2040 AMS'!$T$41:$T$43)/11.63</f>
        <v>1.7885166900417695</v>
      </c>
      <c r="Q110" s="28">
        <f>'[2]Bilan 2040 AMS'!$T$13/11.63</f>
        <v>0.81736771845734513</v>
      </c>
      <c r="R110" s="28">
        <f>('[2]Bilan 2040 AMS'!$T$22+'[2]Bilan 2040 AMS'!$T$30+SUM('[2]Bilan 2040 AMS'!$T$36:$T$40)+SUM('[2]Bilan 2040 AMS'!$T$44:$T$45)+'[2]Bilan 2040 AMS'!$T$47)/11.63</f>
        <v>1.6786760269649839</v>
      </c>
      <c r="S110" s="142">
        <f t="shared" si="26"/>
        <v>4.2845604354640985</v>
      </c>
      <c r="T110" s="16"/>
      <c r="U110" s="149" t="s">
        <v>25</v>
      </c>
      <c r="V110" t="s">
        <v>418</v>
      </c>
      <c r="W110" t="s">
        <v>419</v>
      </c>
      <c r="X110" t="s">
        <v>420</v>
      </c>
      <c r="Y110" t="s">
        <v>421</v>
      </c>
      <c r="Z110" s="16">
        <v>0</v>
      </c>
      <c r="AA110" s="16">
        <v>3.1605088499999998</v>
      </c>
      <c r="AB110" s="16">
        <v>0.40248563929999998</v>
      </c>
      <c r="AC110" s="16">
        <v>0.51017321800000004</v>
      </c>
      <c r="AD110" s="95">
        <v>4.0731677072999997</v>
      </c>
    </row>
    <row r="111" spans="2:30" x14ac:dyDescent="0.25">
      <c r="C111" s="23" t="s">
        <v>26</v>
      </c>
      <c r="D111" s="10"/>
      <c r="E111" s="10"/>
      <c r="F111" s="10"/>
      <c r="G111" s="10"/>
      <c r="H111" s="9">
        <f>SUM(H102,H105:H107)</f>
        <v>2.1110441183000002</v>
      </c>
      <c r="I111" s="9">
        <f>SUM(I102,I105:I107)</f>
        <v>38.241405358999998</v>
      </c>
      <c r="J111" s="9">
        <f>SUM(J102,J105:J107)</f>
        <v>47.2038802159</v>
      </c>
      <c r="K111" s="9">
        <f>SUM(K102,K105:K107)</f>
        <v>34.531720359692699</v>
      </c>
      <c r="L111" s="98">
        <f t="shared" si="25"/>
        <v>122.0880500528927</v>
      </c>
      <c r="M111" s="79"/>
      <c r="N111" s="151" t="s">
        <v>26</v>
      </c>
      <c r="O111" s="32">
        <f>O102+O105+O106+O107+O110</f>
        <v>1.0449521879030526</v>
      </c>
      <c r="P111" s="31">
        <f>P102+P105+P106+P107+P110</f>
        <v>23.464724472363251</v>
      </c>
      <c r="Q111" s="31">
        <f>Q102+Q105+Q106+Q107+Q110</f>
        <v>46.368784304308321</v>
      </c>
      <c r="R111" s="31">
        <f>R102+R105+R106+R107+R110</f>
        <v>49.799152048131226</v>
      </c>
      <c r="S111" s="144">
        <f t="shared" si="26"/>
        <v>120.67761301270585</v>
      </c>
      <c r="T111" s="79"/>
      <c r="U111" s="23" t="s">
        <v>26</v>
      </c>
      <c r="V111" s="10"/>
      <c r="W111" s="10"/>
      <c r="X111" s="10"/>
      <c r="Y111" s="10"/>
      <c r="Z111" s="9">
        <v>2.1816335322000002</v>
      </c>
      <c r="AA111" s="9">
        <v>38.454003293</v>
      </c>
      <c r="AB111" s="9">
        <v>50.204789810299999</v>
      </c>
      <c r="AC111" s="9">
        <v>36.894619130513199</v>
      </c>
      <c r="AD111" s="98">
        <v>127.7350457660132</v>
      </c>
    </row>
    <row r="112" spans="2:30" s="3" customFormat="1" x14ac:dyDescent="0.25"/>
    <row r="113" spans="3:30" s="3" customFormat="1" x14ac:dyDescent="0.25"/>
    <row r="114" spans="3:30" ht="31.5" x14ac:dyDescent="0.35">
      <c r="C114" s="145">
        <v>2050</v>
      </c>
      <c r="D114" s="146"/>
      <c r="E114" s="146"/>
      <c r="F114" s="146"/>
      <c r="G114" s="146"/>
      <c r="H114" s="76" t="s">
        <v>36</v>
      </c>
      <c r="I114" s="76" t="s">
        <v>49</v>
      </c>
      <c r="J114" s="76" t="s">
        <v>38</v>
      </c>
      <c r="K114" s="76" t="s">
        <v>48</v>
      </c>
      <c r="L114" s="93" t="s">
        <v>1</v>
      </c>
      <c r="M114" s="19"/>
      <c r="N114" s="145">
        <v>2050</v>
      </c>
      <c r="O114" s="141" t="s">
        <v>36</v>
      </c>
      <c r="P114" s="76" t="s">
        <v>49</v>
      </c>
      <c r="Q114" s="76" t="s">
        <v>38</v>
      </c>
      <c r="R114" s="76" t="s">
        <v>48</v>
      </c>
      <c r="S114" s="93" t="s">
        <v>1</v>
      </c>
      <c r="T114" s="19"/>
      <c r="U114" s="145">
        <v>2050</v>
      </c>
      <c r="V114" s="146"/>
      <c r="W114" s="146"/>
      <c r="X114" s="146"/>
      <c r="Y114" s="146"/>
      <c r="Z114" s="76" t="s">
        <v>36</v>
      </c>
      <c r="AA114" s="76" t="s">
        <v>49</v>
      </c>
      <c r="AB114" s="76" t="s">
        <v>38</v>
      </c>
      <c r="AC114" s="76" t="s">
        <v>48</v>
      </c>
      <c r="AD114" s="93" t="s">
        <v>1</v>
      </c>
    </row>
    <row r="115" spans="3:30" x14ac:dyDescent="0.25">
      <c r="C115" s="147" t="s">
        <v>18</v>
      </c>
      <c r="H115" s="8">
        <f>SUM(H116:H117)</f>
        <v>0</v>
      </c>
      <c r="I115" s="8">
        <f>SUM(I116:I117)</f>
        <v>14.354818098999999</v>
      </c>
      <c r="J115" s="8">
        <f>SUM(J116:J117)</f>
        <v>12.446602226</v>
      </c>
      <c r="K115" s="8">
        <f>SUM(K116:K117)</f>
        <v>0.60671792982671002</v>
      </c>
      <c r="L115" s="96">
        <f t="shared" ref="L115:L124" si="28">SUM(H115:K115)</f>
        <v>27.40813825482671</v>
      </c>
      <c r="M115" s="75"/>
      <c r="N115" s="150" t="s">
        <v>18</v>
      </c>
      <c r="O115" s="29">
        <f>'[2]Bilan 2050 AMS'!$X$46/11.63</f>
        <v>0</v>
      </c>
      <c r="P115" s="28">
        <f>SUM('[2]Bilan 2050 AMS'!$X$41:$X$43)/11.63</f>
        <v>2.1033133279491807</v>
      </c>
      <c r="Q115" s="28">
        <f>'[2]Bilan 2050 AMS'!$X$13/11.63</f>
        <v>11.110771778329255</v>
      </c>
      <c r="R115" s="28">
        <f>('[2]Bilan 2050 AMS'!$X$22+'[2]Bilan 2050 AMS'!$X$30+SUM('[2]Bilan 2050 AMS'!$X$36:$X$40)+SUM('[2]Bilan 2050 AMS'!$X$44:$X$45)+'[2]Bilan 2050 AMS'!$X$47)/11.63</f>
        <v>1.2444308406947837</v>
      </c>
      <c r="S115" s="142">
        <f>SUM(O115:R115)</f>
        <v>14.45851594697322</v>
      </c>
      <c r="T115" s="270"/>
      <c r="U115" s="147" t="s">
        <v>18</v>
      </c>
      <c r="Z115" s="8">
        <v>0</v>
      </c>
      <c r="AA115" s="8">
        <v>14.39661049699999</v>
      </c>
      <c r="AB115" s="8">
        <v>11.116465913000001</v>
      </c>
      <c r="AC115" s="8">
        <v>2.0492831945894801</v>
      </c>
      <c r="AD115" s="96">
        <v>27.562359604589471</v>
      </c>
    </row>
    <row r="116" spans="3:30" x14ac:dyDescent="0.25">
      <c r="C116" s="148" t="s">
        <v>19</v>
      </c>
      <c r="D116" t="s">
        <v>394</v>
      </c>
      <c r="E116" t="s">
        <v>395</v>
      </c>
      <c r="F116" t="s">
        <v>396</v>
      </c>
      <c r="G116" t="s">
        <v>397</v>
      </c>
      <c r="H116" s="16">
        <f>VLOOKUP(D116,Résultats!$B$2:$AX$476,'T energie vecteurs'!W5,FALSE)</f>
        <v>0</v>
      </c>
      <c r="I116" s="16">
        <f>VLOOKUP(E116,Résultats!$B$2:$AX$476,'T energie vecteurs'!W5,FALSE)</f>
        <v>5.8539627269999999</v>
      </c>
      <c r="J116" s="16">
        <f>VLOOKUP(F116,Résultats!$B$2:$AX$476,'T energie vecteurs'!W5,FALSE)</f>
        <v>4.3779134639999997</v>
      </c>
      <c r="K116" s="16">
        <f>VLOOKUP(G116,Résultats!$B$2:$AX$476,'T energie vecteurs'!W5,FALSE)</f>
        <v>8.4832267099999907E-6</v>
      </c>
      <c r="L116" s="95">
        <f>SUM(H116:K116)</f>
        <v>10.231884674226709</v>
      </c>
      <c r="M116" s="16"/>
      <c r="N116" s="148" t="s">
        <v>19</v>
      </c>
      <c r="O116" s="143"/>
      <c r="P116" s="16"/>
      <c r="Q116" s="34"/>
      <c r="R116" s="16"/>
      <c r="S116" s="95"/>
      <c r="T116" s="270"/>
      <c r="U116" s="148" t="s">
        <v>19</v>
      </c>
      <c r="V116" t="s">
        <v>394</v>
      </c>
      <c r="W116" t="s">
        <v>395</v>
      </c>
      <c r="X116" t="s">
        <v>396</v>
      </c>
      <c r="Y116" t="s">
        <v>397</v>
      </c>
      <c r="Z116" s="16">
        <v>0</v>
      </c>
      <c r="AA116" s="16">
        <v>5.106032956</v>
      </c>
      <c r="AB116" s="16">
        <v>3.412502253</v>
      </c>
      <c r="AC116" s="16">
        <v>8.0425894799999998E-6</v>
      </c>
      <c r="AD116" s="95">
        <v>8.5185432515894792</v>
      </c>
    </row>
    <row r="117" spans="3:30" x14ac:dyDescent="0.25">
      <c r="C117" s="149" t="s">
        <v>20</v>
      </c>
      <c r="D117" t="s">
        <v>398</v>
      </c>
      <c r="E117" t="s">
        <v>399</v>
      </c>
      <c r="F117" t="s">
        <v>400</v>
      </c>
      <c r="G117" t="s">
        <v>401</v>
      </c>
      <c r="H117" s="16">
        <f>VLOOKUP(D117,Résultats!$B$2:$AX$476,'T energie vecteurs'!W5,FALSE)</f>
        <v>0</v>
      </c>
      <c r="I117" s="34">
        <f>VLOOKUP(E117,Résultats!$B$2:$AX$476,'T energie vecteurs'!W5,FALSE)</f>
        <v>8.5008553720000002</v>
      </c>
      <c r="J117" s="16">
        <f>VLOOKUP(F117,Résultats!$B$2:$AX$476,'T energie vecteurs'!W5,FALSE)</f>
        <v>8.0686887620000007</v>
      </c>
      <c r="K117" s="16">
        <f>VLOOKUP(G117,Résultats!$B$2:$AX$476,'T energie vecteurs'!W5,FALSE)</f>
        <v>0.60670944660000004</v>
      </c>
      <c r="L117" s="95">
        <f>SUM(H117:K117)</f>
        <v>17.176253580600001</v>
      </c>
      <c r="M117" s="16"/>
      <c r="N117" s="149" t="s">
        <v>20</v>
      </c>
      <c r="O117" s="143"/>
      <c r="P117" s="16"/>
      <c r="Q117" s="34"/>
      <c r="R117" s="16"/>
      <c r="S117" s="95"/>
      <c r="T117" s="270"/>
      <c r="U117" s="149" t="s">
        <v>20</v>
      </c>
      <c r="V117" t="s">
        <v>398</v>
      </c>
      <c r="W117" t="s">
        <v>399</v>
      </c>
      <c r="X117" t="s">
        <v>400</v>
      </c>
      <c r="Y117" t="s">
        <v>401</v>
      </c>
      <c r="Z117" s="16">
        <v>0</v>
      </c>
      <c r="AA117" s="34">
        <v>9.2905775409999904</v>
      </c>
      <c r="AB117" s="16">
        <v>7.7039636600000003</v>
      </c>
      <c r="AC117" s="16">
        <v>2.0492751519999999</v>
      </c>
      <c r="AD117" s="95">
        <v>19.04381635299999</v>
      </c>
    </row>
    <row r="118" spans="3:30" x14ac:dyDescent="0.25">
      <c r="C118" s="147" t="s">
        <v>21</v>
      </c>
      <c r="D118" t="s">
        <v>402</v>
      </c>
      <c r="E118" t="s">
        <v>403</v>
      </c>
      <c r="F118" t="s">
        <v>404</v>
      </c>
      <c r="G118" t="s">
        <v>405</v>
      </c>
      <c r="H118" s="8">
        <f>VLOOKUP(D118,Résultats!$B$2:$AX$476,'T energie vecteurs'!W5,FALSE)</f>
        <v>0.14751532789999999</v>
      </c>
      <c r="I118" s="8">
        <f>VLOOKUP(E118,Résultats!$B$2:$AX$476,'T energie vecteurs'!W5,FALSE)</f>
        <v>3.5597730520000002</v>
      </c>
      <c r="J118" s="8">
        <f>VLOOKUP(F118,Résultats!$B$2:$AX$476,'T energie vecteurs'!W5,FALSE)</f>
        <v>13.891847569999999</v>
      </c>
      <c r="K118" s="8">
        <f>VLOOKUP(G118,Résultats!$B$2:$AX$476,'T energie vecteurs'!W5,FALSE)+2</f>
        <v>13.587956009999999</v>
      </c>
      <c r="L118" s="317">
        <f t="shared" si="28"/>
        <v>31.187091959899998</v>
      </c>
      <c r="M118" s="75"/>
      <c r="N118" s="150" t="s">
        <v>21</v>
      </c>
      <c r="O118" s="29">
        <f>'[2]Bilan 2050 AMS'!$V$46/11.63</f>
        <v>0</v>
      </c>
      <c r="P118" s="28">
        <f>SUM('[2]Bilan 2050 AMS'!$V$41:$V$43)/11.63</f>
        <v>1.1494996834972571E-3</v>
      </c>
      <c r="Q118" s="28">
        <f>'[2]Bilan 2050 AMS'!$V$13/11.63</f>
        <v>11.674656052235431</v>
      </c>
      <c r="R118" s="28">
        <f>('[2]Bilan 2050 AMS'!$V$22+'[2]Bilan 2050 AMS'!$V$30+SUM('[2]Bilan 2050 AMS'!$V$36:$V$40)+SUM('[2]Bilan 2050 AMS'!$V$44:$V$45)+'[2]Bilan 2050 AMS'!$V$47)/11.63</f>
        <v>24.610837568478981</v>
      </c>
      <c r="S118" s="142">
        <f t="shared" ref="S118:S124" si="29">SUM(O118:R118)</f>
        <v>36.286643120397912</v>
      </c>
      <c r="T118" s="270"/>
      <c r="U118" s="147" t="s">
        <v>21</v>
      </c>
      <c r="V118" t="s">
        <v>402</v>
      </c>
      <c r="W118" t="s">
        <v>403</v>
      </c>
      <c r="X118" t="s">
        <v>404</v>
      </c>
      <c r="Y118" t="s">
        <v>405</v>
      </c>
      <c r="Z118" s="8">
        <v>0.12642521970000001</v>
      </c>
      <c r="AA118" s="8">
        <v>3.0125354729999998</v>
      </c>
      <c r="AB118" s="8">
        <v>13.23202734</v>
      </c>
      <c r="AC118" s="8">
        <v>12.15124329</v>
      </c>
      <c r="AD118" s="317">
        <v>28.522231322700001</v>
      </c>
    </row>
    <row r="119" spans="3:30" x14ac:dyDescent="0.25">
      <c r="C119" s="147" t="s">
        <v>22</v>
      </c>
      <c r="D119" t="s">
        <v>406</v>
      </c>
      <c r="E119" t="s">
        <v>407</v>
      </c>
      <c r="F119" t="s">
        <v>408</v>
      </c>
      <c r="G119" t="s">
        <v>409</v>
      </c>
      <c r="H119" s="8">
        <f>VLOOKUP(D119,Résultats!$B$2:$AX$476,'T energie vecteurs'!W5,FALSE)</f>
        <v>0</v>
      </c>
      <c r="I119" s="8">
        <f>VLOOKUP(E119,Résultats!$B$2:$AX$476,'T energie vecteurs'!W5,FALSE)</f>
        <v>1.1812117550000001</v>
      </c>
      <c r="J119" s="8">
        <f>VLOOKUP(F119,Résultats!$B$2:$AX$476,'T energie vecteurs'!W5,FALSE)</f>
        <v>7.3825171709999999</v>
      </c>
      <c r="K119" s="8">
        <f>VLOOKUP(G119,Résultats!$B$2:$AX$476,'T energie vecteurs'!W5,FALSE)</f>
        <v>8.2309287750000006</v>
      </c>
      <c r="L119" s="96">
        <f t="shared" si="28"/>
        <v>16.794657700999998</v>
      </c>
      <c r="M119" s="75"/>
      <c r="N119" s="150" t="s">
        <v>22</v>
      </c>
      <c r="O119" s="29">
        <f>('[2]Bilan 2050 AMS'!$W$46)/11.63</f>
        <v>0</v>
      </c>
      <c r="P119" s="28">
        <f>SUM('[2]Bilan 2050 AMS'!$W$41:$W$43)/11.63</f>
        <v>5.1222285568290988E-3</v>
      </c>
      <c r="Q119" s="28">
        <f>('[2]Bilan 2050 AMS'!$W$13)/11.63</f>
        <v>10.59138596649569</v>
      </c>
      <c r="R119" s="28">
        <f>('[2]Bilan 2050 AMS'!$W$22+'[2]Bilan 2050 AMS'!$W$30+SUM('[2]Bilan 2050 AMS'!$W$36:$W$40)+SUM('[2]Bilan 2050 AMS'!$W$44:$W$45)+'[2]Bilan 2050 AMS'!$W$47)/11.63</f>
        <v>9.456444841724398</v>
      </c>
      <c r="S119" s="142">
        <f t="shared" si="29"/>
        <v>20.052953036776916</v>
      </c>
      <c r="T119" s="270"/>
      <c r="U119" s="147" t="s">
        <v>22</v>
      </c>
      <c r="V119" t="s">
        <v>406</v>
      </c>
      <c r="W119" t="s">
        <v>407</v>
      </c>
      <c r="X119" t="s">
        <v>408</v>
      </c>
      <c r="Y119" t="s">
        <v>409</v>
      </c>
      <c r="Z119" s="8">
        <v>0</v>
      </c>
      <c r="AA119" s="8">
        <v>1.33889835</v>
      </c>
      <c r="AB119" s="8">
        <v>8.5375712210000003</v>
      </c>
      <c r="AC119" s="8">
        <v>9.4603264980000006</v>
      </c>
      <c r="AD119" s="96">
        <v>19.336796069000002</v>
      </c>
    </row>
    <row r="120" spans="3:30" x14ac:dyDescent="0.25">
      <c r="C120" s="147" t="s">
        <v>23</v>
      </c>
      <c r="H120" s="8">
        <f>SUM(H121:H123)</f>
        <v>2.1133413024999999</v>
      </c>
      <c r="I120" s="8">
        <f>SUM(I121:I123)</f>
        <v>11.575499229</v>
      </c>
      <c r="J120" s="8">
        <f>SUM(J121:J123)</f>
        <v>16.904922061800001</v>
      </c>
      <c r="K120" s="8">
        <f>SUM(K121:K123)</f>
        <v>10.204618937199999</v>
      </c>
      <c r="L120" s="96">
        <f>SUM(H120:K120)</f>
        <v>40.798381530499995</v>
      </c>
      <c r="M120" s="75"/>
      <c r="N120" s="150" t="s">
        <v>490</v>
      </c>
      <c r="O120" s="29">
        <f>O121+O122</f>
        <v>0</v>
      </c>
      <c r="P120" s="28">
        <f t="shared" ref="P120:R120" si="30">P121+P122</f>
        <v>8.7976190667572478</v>
      </c>
      <c r="Q120" s="28">
        <f t="shared" si="30"/>
        <v>15.093516254705882</v>
      </c>
      <c r="R120" s="28">
        <f t="shared" si="30"/>
        <v>12.373890980253208</v>
      </c>
      <c r="S120" s="142">
        <f t="shared" si="29"/>
        <v>36.26502630171634</v>
      </c>
      <c r="T120" s="270"/>
      <c r="U120" s="147" t="s">
        <v>23</v>
      </c>
      <c r="Z120" s="8">
        <v>2.1308741222999998</v>
      </c>
      <c r="AA120" s="8">
        <v>13.198537666</v>
      </c>
      <c r="AB120" s="8">
        <v>21.249602394300002</v>
      </c>
      <c r="AC120" s="8">
        <v>11.706782009499999</v>
      </c>
      <c r="AD120" s="96">
        <v>48.285796192100008</v>
      </c>
    </row>
    <row r="121" spans="3:30" x14ac:dyDescent="0.25">
      <c r="C121" s="149" t="s">
        <v>24</v>
      </c>
      <c r="D121" t="s">
        <v>410</v>
      </c>
      <c r="E121" t="s">
        <v>411</v>
      </c>
      <c r="F121" t="s">
        <v>412</v>
      </c>
      <c r="G121" t="s">
        <v>413</v>
      </c>
      <c r="H121" s="16">
        <f>VLOOKUP(D121,Résultats!$B$2:$AX$476,'T energie vecteurs'!W5,FALSE)</f>
        <v>1.147895479</v>
      </c>
      <c r="I121" s="16">
        <f>VLOOKUP(E121,Résultats!$B$2:$AX$476,'T energie vecteurs'!W5,FALSE)</f>
        <v>5.7429935050000003</v>
      </c>
      <c r="J121" s="16">
        <f>VLOOKUP(F121,Résultats!$B$2:$AX$476,'T energie vecteurs'!W5,FALSE)</f>
        <v>16.500176010000001</v>
      </c>
      <c r="K121" s="16">
        <f>VLOOKUP(G121,Résultats!$B$2:$AX$476,'T energie vecteurs'!W5,FALSE)</f>
        <v>7.2516770179999996</v>
      </c>
      <c r="L121" s="95">
        <f t="shared" si="28"/>
        <v>30.642742011999999</v>
      </c>
      <c r="M121" s="16"/>
      <c r="N121" s="149" t="s">
        <v>491</v>
      </c>
      <c r="O121" s="143">
        <f>'[2]Bilan 2050 AMS'!$U$46/11.63</f>
        <v>0</v>
      </c>
      <c r="P121" s="30">
        <f>SUM('[2]Bilan 2050 AMS'!$U$41:$U$43)/11.63</f>
        <v>0</v>
      </c>
      <c r="Q121" s="30">
        <f>'[2]Bilan 2050 AMS'!$U$13/11.63</f>
        <v>15.093516254705882</v>
      </c>
      <c r="R121" s="30">
        <f>('[2]Bilan 2050 AMS'!$U$22+'[2]Bilan 2050 AMS'!$U$30+SUM('[2]Bilan 2050 AMS'!$U$36:$U$40)+SUM('[2]Bilan 2050 AMS'!$U$44:$U$45)+'[2]Bilan 2050 AMS'!$U$47)/11.63</f>
        <v>11.200328112947249</v>
      </c>
      <c r="S121" s="95">
        <f t="shared" si="29"/>
        <v>26.293844367653129</v>
      </c>
      <c r="T121" s="270"/>
      <c r="U121" s="149" t="s">
        <v>24</v>
      </c>
      <c r="V121" t="s">
        <v>410</v>
      </c>
      <c r="W121" t="s">
        <v>411</v>
      </c>
      <c r="X121" t="s">
        <v>412</v>
      </c>
      <c r="Y121" t="s">
        <v>413</v>
      </c>
      <c r="Z121" s="16">
        <v>1.177775711</v>
      </c>
      <c r="AA121" s="16">
        <v>6.8110208109999997</v>
      </c>
      <c r="AB121" s="16">
        <v>20.77625755</v>
      </c>
      <c r="AC121" s="16">
        <v>8.502217323</v>
      </c>
      <c r="AD121" s="95">
        <v>37.267271394999995</v>
      </c>
    </row>
    <row r="122" spans="3:30" x14ac:dyDescent="0.25">
      <c r="C122" s="149" t="s">
        <v>47</v>
      </c>
      <c r="D122" t="s">
        <v>414</v>
      </c>
      <c r="E122" t="s">
        <v>415</v>
      </c>
      <c r="F122" t="s">
        <v>416</v>
      </c>
      <c r="G122" t="s">
        <v>417</v>
      </c>
      <c r="H122" s="16">
        <f>VLOOKUP(D122,Résultats!$B$2:$AX$476,'T energie vecteurs'!W5,FALSE)</f>
        <v>0.96544582349999997</v>
      </c>
      <c r="I122" s="16">
        <f>VLOOKUP(E122,Résultats!$B$2:$AX$476,'T energie vecteurs'!W5,FALSE)</f>
        <v>2.542188721</v>
      </c>
      <c r="J122" s="16">
        <f>VLOOKUP(F122,Résultats!$B$2:$AX$476,'T energie vecteurs'!W5,FALSE)</f>
        <v>0</v>
      </c>
      <c r="K122" s="16">
        <f>VLOOKUP(G122,Résultats!$B$2:$AX$476,'T energie vecteurs'!W5,FALSE)</f>
        <v>2.4286890190000001</v>
      </c>
      <c r="L122" s="95">
        <f t="shared" si="28"/>
        <v>5.9363235635000002</v>
      </c>
      <c r="M122" s="16"/>
      <c r="N122" s="149" t="s">
        <v>47</v>
      </c>
      <c r="O122" s="22">
        <f>'[2]Bilan 2050 AMS'!$E$52/11.63</f>
        <v>0</v>
      </c>
      <c r="P122" s="16">
        <f>('[2]Bilan 2050 AMS'!$E$54+'[2]Bilan 2050 AMS'!$E$56)/11.63</f>
        <v>8.7976190667572478</v>
      </c>
      <c r="Q122" s="16">
        <v>0</v>
      </c>
      <c r="R122" s="16">
        <f>('[2]Bilan 2050 AMS'!$E$53+'[2]Bilan 2050 AMS'!$E$55+'[2]Bilan 2050 AMS'!$E$57)/11.63</f>
        <v>1.173562867305959</v>
      </c>
      <c r="S122" s="95">
        <f t="shared" si="29"/>
        <v>9.9711819340632069</v>
      </c>
      <c r="T122" s="270"/>
      <c r="U122" s="149" t="s">
        <v>47</v>
      </c>
      <c r="V122" t="s">
        <v>414</v>
      </c>
      <c r="W122" t="s">
        <v>415</v>
      </c>
      <c r="X122" t="s">
        <v>416</v>
      </c>
      <c r="Y122" t="s">
        <v>417</v>
      </c>
      <c r="Z122" s="16">
        <v>0.95309841129999995</v>
      </c>
      <c r="AA122" s="16">
        <v>2.7104909240000001</v>
      </c>
      <c r="AB122" s="16">
        <v>0</v>
      </c>
      <c r="AC122" s="16">
        <v>2.6112694429999999</v>
      </c>
      <c r="AD122" s="95">
        <v>6.2748587783000005</v>
      </c>
    </row>
    <row r="123" spans="3:30" x14ac:dyDescent="0.25">
      <c r="C123" s="149" t="s">
        <v>25</v>
      </c>
      <c r="D123" t="s">
        <v>418</v>
      </c>
      <c r="E123" t="s">
        <v>419</v>
      </c>
      <c r="F123" t="s">
        <v>420</v>
      </c>
      <c r="G123" t="s">
        <v>421</v>
      </c>
      <c r="H123" s="16">
        <f>VLOOKUP(D123,Résultats!$B$2:$AX$476,'T energie vecteurs'!W5,FALSE)</f>
        <v>0</v>
      </c>
      <c r="I123" s="16">
        <f>VLOOKUP(E123,Résultats!$B$2:$AX$476,'T energie vecteurs'!W5,FALSE)</f>
        <v>3.2903170030000002</v>
      </c>
      <c r="J123" s="16">
        <f>VLOOKUP(F123,Résultats!$B$2:$AX$476,'T energie vecteurs'!W5,FALSE)</f>
        <v>0.40474605180000001</v>
      </c>
      <c r="K123" s="16">
        <f>VLOOKUP(G123,Résultats!$B$2:$AX$476,'T energie vecteurs'!W5,FALSE)</f>
        <v>0.52425290020000004</v>
      </c>
      <c r="L123" s="95">
        <f t="shared" si="28"/>
        <v>4.2193159550000008</v>
      </c>
      <c r="M123" s="16"/>
      <c r="N123" s="150" t="s">
        <v>25</v>
      </c>
      <c r="O123" s="29">
        <f>'[2]Bilan 2050 AMS'!$T$46/11.63</f>
        <v>0</v>
      </c>
      <c r="P123" s="28">
        <f>SUM('[2]Bilan 2050 AMS'!$T$41:$T$43)/11.63</f>
        <v>0.58982132154870426</v>
      </c>
      <c r="Q123" s="28">
        <f>'[2]Bilan 2050 AMS'!$T$13/11.63</f>
        <v>0.96535834832442247</v>
      </c>
      <c r="R123" s="28">
        <f>('[2]Bilan 2050 AMS'!$T$22+'[2]Bilan 2050 AMS'!$T$30+SUM('[2]Bilan 2050 AMS'!$T$36:$T$40)+SUM('[2]Bilan 2050 AMS'!$T$44:$T$45)+'[2]Bilan 2050 AMS'!$T$47)/11.63</f>
        <v>2.1658310693719187</v>
      </c>
      <c r="S123" s="142">
        <f t="shared" si="29"/>
        <v>3.7210107392450453</v>
      </c>
      <c r="T123" s="270"/>
      <c r="U123" s="149" t="s">
        <v>25</v>
      </c>
      <c r="V123" t="s">
        <v>418</v>
      </c>
      <c r="W123" t="s">
        <v>419</v>
      </c>
      <c r="X123" t="s">
        <v>420</v>
      </c>
      <c r="Y123" t="s">
        <v>421</v>
      </c>
      <c r="Z123" s="16">
        <v>0</v>
      </c>
      <c r="AA123" s="16">
        <v>3.6770259310000002</v>
      </c>
      <c r="AB123" s="16">
        <v>0.47334484430000001</v>
      </c>
      <c r="AC123" s="16">
        <v>0.59329524349999996</v>
      </c>
      <c r="AD123" s="95">
        <v>4.7436660187999999</v>
      </c>
    </row>
    <row r="124" spans="3:30" x14ac:dyDescent="0.25">
      <c r="C124" s="23" t="s">
        <v>26</v>
      </c>
      <c r="D124" s="10"/>
      <c r="E124" s="10"/>
      <c r="F124" s="10"/>
      <c r="G124" s="10"/>
      <c r="H124" s="9">
        <f>SUM(H115,H118:H120)</f>
        <v>2.2608566303999997</v>
      </c>
      <c r="I124" s="9">
        <f>SUM(I115,I118:I120)</f>
        <v>30.671302134999998</v>
      </c>
      <c r="J124" s="9">
        <f>SUM(J115,J118:J120)</f>
        <v>50.625889028799996</v>
      </c>
      <c r="K124" s="9">
        <f>SUM(K115,K118:K120)</f>
        <v>32.630221652026705</v>
      </c>
      <c r="L124" s="98">
        <f t="shared" si="28"/>
        <v>116.1882694462267</v>
      </c>
      <c r="M124" s="79"/>
      <c r="N124" s="151" t="s">
        <v>26</v>
      </c>
      <c r="O124" s="32">
        <f>O115+O118+O119+O120+O123</f>
        <v>0</v>
      </c>
      <c r="P124" s="31">
        <f>P115+P118+P119+P120+P123</f>
        <v>11.49702544449546</v>
      </c>
      <c r="Q124" s="31">
        <f>Q115+Q118+Q119+Q120+Q123</f>
        <v>49.435688400090683</v>
      </c>
      <c r="R124" s="31">
        <f>R115+R118+R119+R120+R123</f>
        <v>49.851435300523292</v>
      </c>
      <c r="S124" s="144">
        <f t="shared" si="29"/>
        <v>110.78414914510944</v>
      </c>
      <c r="T124" s="79"/>
      <c r="U124" s="23" t="s">
        <v>26</v>
      </c>
      <c r="V124" s="10"/>
      <c r="W124" s="10"/>
      <c r="X124" s="10"/>
      <c r="Y124" s="10"/>
      <c r="Z124" s="9">
        <v>2.257299342</v>
      </c>
      <c r="AA124" s="9">
        <v>31.946581985999991</v>
      </c>
      <c r="AB124" s="9">
        <v>54.135666868300007</v>
      </c>
      <c r="AC124" s="9">
        <v>35.367634992089478</v>
      </c>
      <c r="AD124" s="98">
        <v>123.70718318838948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O125" s="77"/>
      <c r="P125" s="77"/>
      <c r="Q125" s="77"/>
      <c r="R125" s="78"/>
      <c r="S125" s="45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5">
      <c r="C126" s="3"/>
      <c r="D126" s="3"/>
      <c r="E126" s="3"/>
      <c r="F126" s="3">
        <f>0.1/0.028*51.84</f>
        <v>185.14285714285717</v>
      </c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>
        <v>185.14285714285717</v>
      </c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s="3" customFormat="1" x14ac:dyDescent="0.25">
      <c r="C128" s="60" t="s">
        <v>488</v>
      </c>
      <c r="F128" s="3">
        <f>0.1/0.028*51.84</f>
        <v>185.14285714285717</v>
      </c>
      <c r="N128" s="60" t="s">
        <v>489</v>
      </c>
      <c r="U128" s="60" t="s">
        <v>488</v>
      </c>
      <c r="X128" s="3">
        <v>185.14285714285717</v>
      </c>
    </row>
    <row r="129" spans="3:30" s="3" customFormat="1" ht="31.5" x14ac:dyDescent="0.35">
      <c r="C129" s="145">
        <v>2050</v>
      </c>
      <c r="D129" s="146"/>
      <c r="E129" s="146"/>
      <c r="F129" s="146"/>
      <c r="G129" s="146"/>
      <c r="H129" s="76" t="s">
        <v>36</v>
      </c>
      <c r="I129" s="76" t="s">
        <v>49</v>
      </c>
      <c r="J129" s="76" t="s">
        <v>38</v>
      </c>
      <c r="K129" s="76" t="s">
        <v>48</v>
      </c>
      <c r="L129" s="93" t="s">
        <v>1</v>
      </c>
      <c r="N129" s="145">
        <v>2050</v>
      </c>
      <c r="O129" s="141" t="s">
        <v>36</v>
      </c>
      <c r="P129" s="76" t="s">
        <v>49</v>
      </c>
      <c r="Q129" s="76" t="s">
        <v>38</v>
      </c>
      <c r="R129" s="76" t="s">
        <v>48</v>
      </c>
      <c r="S129" s="93" t="s">
        <v>1</v>
      </c>
      <c r="U129" s="145">
        <v>2050</v>
      </c>
      <c r="V129" s="146"/>
      <c r="W129" s="146"/>
      <c r="X129" s="146"/>
      <c r="Y129" s="146"/>
      <c r="Z129" s="76" t="s">
        <v>36</v>
      </c>
      <c r="AA129" s="76" t="s">
        <v>49</v>
      </c>
      <c r="AB129" s="76" t="s">
        <v>38</v>
      </c>
      <c r="AC129" s="76" t="s">
        <v>48</v>
      </c>
      <c r="AD129" s="93" t="s">
        <v>1</v>
      </c>
    </row>
    <row r="130" spans="3:30" s="3" customFormat="1" x14ac:dyDescent="0.25">
      <c r="C130" s="276" t="s">
        <v>18</v>
      </c>
      <c r="D130" s="277"/>
      <c r="E130" s="277"/>
      <c r="F130" s="277"/>
      <c r="G130" s="277"/>
      <c r="H130" s="278" t="e">
        <f>H115-#REF!</f>
        <v>#REF!</v>
      </c>
      <c r="I130" s="278" t="e">
        <f>I115-#REF!</f>
        <v>#REF!</v>
      </c>
      <c r="J130" s="278" t="e">
        <f>J115-#REF!</f>
        <v>#REF!</v>
      </c>
      <c r="K130" s="278" t="e">
        <f>K115-#REF!</f>
        <v>#REF!</v>
      </c>
      <c r="L130" s="279" t="e">
        <f>L115-#REF!</f>
        <v>#REF!</v>
      </c>
      <c r="N130" s="276" t="s">
        <v>18</v>
      </c>
      <c r="O130" s="285">
        <f>H115-O115</f>
        <v>0</v>
      </c>
      <c r="P130" s="286">
        <f t="shared" ref="P130:S139" si="31">I115-P115</f>
        <v>12.251504771050818</v>
      </c>
      <c r="Q130" s="286">
        <f t="shared" si="31"/>
        <v>1.3358304476707445</v>
      </c>
      <c r="R130" s="286">
        <f t="shared" si="31"/>
        <v>-0.63771291086807369</v>
      </c>
      <c r="S130" s="287">
        <f t="shared" si="31"/>
        <v>12.94962230785349</v>
      </c>
      <c r="U130" s="276" t="s">
        <v>18</v>
      </c>
      <c r="V130" s="277"/>
      <c r="W130" s="277"/>
      <c r="X130" s="277"/>
      <c r="Y130" s="277"/>
      <c r="Z130" s="278" t="e">
        <v>#REF!</v>
      </c>
      <c r="AA130" s="278" t="e">
        <v>#REF!</v>
      </c>
      <c r="AB130" s="278" t="e">
        <v>#REF!</v>
      </c>
      <c r="AC130" s="278" t="e">
        <v>#REF!</v>
      </c>
      <c r="AD130" s="279" t="e">
        <v>#REF!</v>
      </c>
    </row>
    <row r="131" spans="3:30" s="3" customFormat="1" x14ac:dyDescent="0.25">
      <c r="C131" s="148" t="s">
        <v>19</v>
      </c>
      <c r="D131" t="s">
        <v>394</v>
      </c>
      <c r="E131" t="s">
        <v>395</v>
      </c>
      <c r="F131" t="s">
        <v>396</v>
      </c>
      <c r="G131" t="s">
        <v>397</v>
      </c>
      <c r="H131" s="34" t="e">
        <f>H116-#REF!</f>
        <v>#REF!</v>
      </c>
      <c r="I131" s="34" t="e">
        <f>I116-#REF!</f>
        <v>#REF!</v>
      </c>
      <c r="J131" s="34" t="e">
        <f>J116-#REF!</f>
        <v>#REF!</v>
      </c>
      <c r="K131" s="34" t="e">
        <f>K116-#REF!</f>
        <v>#REF!</v>
      </c>
      <c r="L131" s="280" t="e">
        <f>L116-#REF!</f>
        <v>#REF!</v>
      </c>
      <c r="N131" s="148" t="s">
        <v>19</v>
      </c>
      <c r="O131" s="288">
        <f t="shared" ref="O131:O139" si="32">H116-O116</f>
        <v>0</v>
      </c>
      <c r="P131" s="34">
        <f t="shared" si="31"/>
        <v>5.8539627269999999</v>
      </c>
      <c r="Q131" s="34">
        <f t="shared" si="31"/>
        <v>4.3779134639999997</v>
      </c>
      <c r="R131" s="34">
        <f t="shared" si="31"/>
        <v>8.4832267099999907E-6</v>
      </c>
      <c r="S131" s="280">
        <f t="shared" si="31"/>
        <v>10.231884674226709</v>
      </c>
      <c r="U131" s="148" t="s">
        <v>19</v>
      </c>
      <c r="V131" t="s">
        <v>394</v>
      </c>
      <c r="W131" t="s">
        <v>395</v>
      </c>
      <c r="X131" t="s">
        <v>396</v>
      </c>
      <c r="Y131" t="s">
        <v>397</v>
      </c>
      <c r="Z131" s="34" t="e">
        <v>#REF!</v>
      </c>
      <c r="AA131" s="34" t="e">
        <v>#REF!</v>
      </c>
      <c r="AB131" s="34" t="e">
        <v>#REF!</v>
      </c>
      <c r="AC131" s="34" t="e">
        <v>#REF!</v>
      </c>
      <c r="AD131" s="280" t="e">
        <v>#REF!</v>
      </c>
    </row>
    <row r="132" spans="3:30" s="3" customFormat="1" x14ac:dyDescent="0.25">
      <c r="C132" s="149" t="s">
        <v>20</v>
      </c>
      <c r="D132" t="s">
        <v>398</v>
      </c>
      <c r="E132" t="s">
        <v>399</v>
      </c>
      <c r="F132" t="s">
        <v>400</v>
      </c>
      <c r="G132" t="s">
        <v>401</v>
      </c>
      <c r="H132" s="34" t="e">
        <f>H117-#REF!</f>
        <v>#REF!</v>
      </c>
      <c r="I132" s="34" t="e">
        <f>I117-#REF!</f>
        <v>#REF!</v>
      </c>
      <c r="J132" s="34" t="e">
        <f>J117-#REF!</f>
        <v>#REF!</v>
      </c>
      <c r="K132" s="34" t="e">
        <f>K117-#REF!</f>
        <v>#REF!</v>
      </c>
      <c r="L132" s="280" t="e">
        <f>L117-#REF!</f>
        <v>#REF!</v>
      </c>
      <c r="N132" s="149" t="s">
        <v>20</v>
      </c>
      <c r="O132" s="288">
        <f t="shared" si="32"/>
        <v>0</v>
      </c>
      <c r="P132" s="34">
        <f t="shared" si="31"/>
        <v>8.5008553720000002</v>
      </c>
      <c r="Q132" s="34">
        <f t="shared" si="31"/>
        <v>8.0686887620000007</v>
      </c>
      <c r="R132" s="34">
        <f t="shared" si="31"/>
        <v>0.60670944660000004</v>
      </c>
      <c r="S132" s="280">
        <f t="shared" si="31"/>
        <v>17.176253580600001</v>
      </c>
      <c r="U132" s="149" t="s">
        <v>20</v>
      </c>
      <c r="V132" t="s">
        <v>398</v>
      </c>
      <c r="W132" t="s">
        <v>399</v>
      </c>
      <c r="X132" t="s">
        <v>400</v>
      </c>
      <c r="Y132" t="s">
        <v>401</v>
      </c>
      <c r="Z132" s="34" t="e">
        <v>#REF!</v>
      </c>
      <c r="AA132" s="34" t="e">
        <v>#REF!</v>
      </c>
      <c r="AB132" s="34" t="e">
        <v>#REF!</v>
      </c>
      <c r="AC132" s="34" t="e">
        <v>#REF!</v>
      </c>
      <c r="AD132" s="280" t="e">
        <v>#REF!</v>
      </c>
    </row>
    <row r="133" spans="3:30" s="3" customFormat="1" x14ac:dyDescent="0.25">
      <c r="C133" s="276" t="s">
        <v>21</v>
      </c>
      <c r="D133" s="277" t="s">
        <v>402</v>
      </c>
      <c r="E133" s="277" t="s">
        <v>403</v>
      </c>
      <c r="F133" s="277" t="s">
        <v>404</v>
      </c>
      <c r="G133" s="277" t="s">
        <v>405</v>
      </c>
      <c r="H133" s="278" t="e">
        <f>H118-#REF!</f>
        <v>#REF!</v>
      </c>
      <c r="I133" s="278" t="e">
        <f>I118-#REF!</f>
        <v>#REF!</v>
      </c>
      <c r="J133" s="278" t="e">
        <f>J118-#REF!</f>
        <v>#REF!</v>
      </c>
      <c r="K133" s="278" t="e">
        <f>K118-#REF!</f>
        <v>#REF!</v>
      </c>
      <c r="L133" s="279" t="e">
        <f>L118-#REF!</f>
        <v>#REF!</v>
      </c>
      <c r="N133" s="276" t="s">
        <v>21</v>
      </c>
      <c r="O133" s="289">
        <f t="shared" si="32"/>
        <v>0.14751532789999999</v>
      </c>
      <c r="P133" s="286">
        <f t="shared" si="31"/>
        <v>3.5586235523165031</v>
      </c>
      <c r="Q133" s="286">
        <f t="shared" si="31"/>
        <v>2.2171915177645687</v>
      </c>
      <c r="R133" s="286">
        <f t="shared" si="31"/>
        <v>-11.022881558478982</v>
      </c>
      <c r="S133" s="287">
        <f t="shared" si="31"/>
        <v>-5.0995511604979136</v>
      </c>
      <c r="U133" s="276" t="s">
        <v>21</v>
      </c>
      <c r="V133" s="277" t="s">
        <v>402</v>
      </c>
      <c r="W133" s="277" t="s">
        <v>403</v>
      </c>
      <c r="X133" s="277" t="s">
        <v>404</v>
      </c>
      <c r="Y133" s="277" t="s">
        <v>405</v>
      </c>
      <c r="Z133" s="278" t="e">
        <v>#REF!</v>
      </c>
      <c r="AA133" s="278" t="e">
        <v>#REF!</v>
      </c>
      <c r="AB133" s="278" t="e">
        <v>#REF!</v>
      </c>
      <c r="AC133" s="278" t="e">
        <v>#REF!</v>
      </c>
      <c r="AD133" s="279" t="e">
        <v>#REF!</v>
      </c>
    </row>
    <row r="134" spans="3:30" s="3" customFormat="1" x14ac:dyDescent="0.25">
      <c r="C134" s="276" t="s">
        <v>22</v>
      </c>
      <c r="D134" s="277" t="s">
        <v>406</v>
      </c>
      <c r="E134" s="277" t="s">
        <v>407</v>
      </c>
      <c r="F134" s="277" t="s">
        <v>408</v>
      </c>
      <c r="G134" s="277" t="s">
        <v>409</v>
      </c>
      <c r="H134" s="278" t="e">
        <f>H119-#REF!</f>
        <v>#REF!</v>
      </c>
      <c r="I134" s="278" t="e">
        <f>I119-#REF!</f>
        <v>#REF!</v>
      </c>
      <c r="J134" s="278" t="e">
        <f>J119-#REF!</f>
        <v>#REF!</v>
      </c>
      <c r="K134" s="278" t="e">
        <f>K119-#REF!</f>
        <v>#REF!</v>
      </c>
      <c r="L134" s="279" t="e">
        <f>L119-#REF!</f>
        <v>#REF!</v>
      </c>
      <c r="N134" s="276" t="s">
        <v>22</v>
      </c>
      <c r="O134" s="289">
        <f t="shared" si="32"/>
        <v>0</v>
      </c>
      <c r="P134" s="286">
        <f t="shared" si="31"/>
        <v>1.176089526443171</v>
      </c>
      <c r="Q134" s="286">
        <f t="shared" si="31"/>
        <v>-3.2088687954956896</v>
      </c>
      <c r="R134" s="286">
        <f t="shared" si="31"/>
        <v>-1.2255160667243974</v>
      </c>
      <c r="S134" s="287">
        <f t="shared" si="31"/>
        <v>-3.2582953357769178</v>
      </c>
      <c r="U134" s="276" t="s">
        <v>22</v>
      </c>
      <c r="V134" s="277" t="s">
        <v>406</v>
      </c>
      <c r="W134" s="277" t="s">
        <v>407</v>
      </c>
      <c r="X134" s="277" t="s">
        <v>408</v>
      </c>
      <c r="Y134" s="277" t="s">
        <v>409</v>
      </c>
      <c r="Z134" s="278" t="e">
        <v>#REF!</v>
      </c>
      <c r="AA134" s="278" t="e">
        <v>#REF!</v>
      </c>
      <c r="AB134" s="278" t="e">
        <v>#REF!</v>
      </c>
      <c r="AC134" s="278" t="e">
        <v>#REF!</v>
      </c>
      <c r="AD134" s="279" t="e">
        <v>#REF!</v>
      </c>
    </row>
    <row r="135" spans="3:30" s="3" customFormat="1" x14ac:dyDescent="0.25">
      <c r="C135" s="276" t="s">
        <v>23</v>
      </c>
      <c r="D135" s="277"/>
      <c r="E135" s="277"/>
      <c r="F135" s="277"/>
      <c r="G135" s="277"/>
      <c r="H135" s="278" t="e">
        <f>H120-#REF!</f>
        <v>#REF!</v>
      </c>
      <c r="I135" s="278" t="e">
        <f>I120-#REF!</f>
        <v>#REF!</v>
      </c>
      <c r="J135" s="278" t="e">
        <f>J120-#REF!</f>
        <v>#REF!</v>
      </c>
      <c r="K135" s="278" t="e">
        <f>K120-#REF!</f>
        <v>#REF!</v>
      </c>
      <c r="L135" s="279" t="e">
        <f>L120-#REF!</f>
        <v>#REF!</v>
      </c>
      <c r="N135" s="276" t="s">
        <v>23</v>
      </c>
      <c r="O135" s="289">
        <f t="shared" si="32"/>
        <v>2.1133413024999999</v>
      </c>
      <c r="P135" s="286">
        <f t="shared" si="31"/>
        <v>2.7778801622427522</v>
      </c>
      <c r="Q135" s="286">
        <f t="shared" si="31"/>
        <v>1.8114058070941184</v>
      </c>
      <c r="R135" s="286">
        <f t="shared" si="31"/>
        <v>-2.1692720430532084</v>
      </c>
      <c r="S135" s="287">
        <f t="shared" si="31"/>
        <v>4.5333552287836554</v>
      </c>
      <c r="U135" s="276" t="s">
        <v>23</v>
      </c>
      <c r="V135" s="277"/>
      <c r="W135" s="277"/>
      <c r="X135" s="277"/>
      <c r="Y135" s="277"/>
      <c r="Z135" s="278" t="e">
        <v>#REF!</v>
      </c>
      <c r="AA135" s="278" t="e">
        <v>#REF!</v>
      </c>
      <c r="AB135" s="278" t="e">
        <v>#REF!</v>
      </c>
      <c r="AC135" s="278" t="e">
        <v>#REF!</v>
      </c>
      <c r="AD135" s="279" t="e">
        <v>#REF!</v>
      </c>
    </row>
    <row r="136" spans="3:30" s="3" customFormat="1" x14ac:dyDescent="0.25">
      <c r="C136" s="149" t="s">
        <v>24</v>
      </c>
      <c r="D136" t="s">
        <v>410</v>
      </c>
      <c r="E136" t="s">
        <v>411</v>
      </c>
      <c r="F136" t="s">
        <v>412</v>
      </c>
      <c r="G136" t="s">
        <v>413</v>
      </c>
      <c r="H136" s="34" t="e">
        <f>H121-#REF!</f>
        <v>#REF!</v>
      </c>
      <c r="I136" s="34" t="e">
        <f>I121-#REF!</f>
        <v>#REF!</v>
      </c>
      <c r="J136" s="34" t="e">
        <f>J121-#REF!</f>
        <v>#REF!</v>
      </c>
      <c r="K136" s="34" t="e">
        <f>K121-#REF!</f>
        <v>#REF!</v>
      </c>
      <c r="L136" s="280" t="e">
        <f>L121-#REF!</f>
        <v>#REF!</v>
      </c>
      <c r="N136" s="149" t="s">
        <v>24</v>
      </c>
      <c r="O136" s="288">
        <f t="shared" si="32"/>
        <v>1.147895479</v>
      </c>
      <c r="P136" s="271">
        <f t="shared" si="31"/>
        <v>5.7429935050000003</v>
      </c>
      <c r="Q136" s="271">
        <f t="shared" si="31"/>
        <v>1.4066597552941182</v>
      </c>
      <c r="R136" s="271">
        <f t="shared" si="31"/>
        <v>-3.9486510949472491</v>
      </c>
      <c r="S136" s="280">
        <f t="shared" si="31"/>
        <v>4.3488976443468701</v>
      </c>
      <c r="U136" s="149" t="s">
        <v>24</v>
      </c>
      <c r="V136" t="s">
        <v>410</v>
      </c>
      <c r="W136" t="s">
        <v>411</v>
      </c>
      <c r="X136" t="s">
        <v>412</v>
      </c>
      <c r="Y136" t="s">
        <v>413</v>
      </c>
      <c r="Z136" s="34" t="e">
        <v>#REF!</v>
      </c>
      <c r="AA136" s="34" t="e">
        <v>#REF!</v>
      </c>
      <c r="AB136" s="34" t="e">
        <v>#REF!</v>
      </c>
      <c r="AC136" s="34" t="e">
        <v>#REF!</v>
      </c>
      <c r="AD136" s="280" t="e">
        <v>#REF!</v>
      </c>
    </row>
    <row r="137" spans="3:30" s="3" customFormat="1" x14ac:dyDescent="0.25">
      <c r="C137" s="149" t="s">
        <v>47</v>
      </c>
      <c r="D137" t="s">
        <v>414</v>
      </c>
      <c r="E137" t="s">
        <v>415</v>
      </c>
      <c r="F137" t="s">
        <v>416</v>
      </c>
      <c r="G137" t="s">
        <v>417</v>
      </c>
      <c r="H137" s="34" t="e">
        <f>H122-#REF!</f>
        <v>#REF!</v>
      </c>
      <c r="I137" s="34" t="e">
        <f>I122-#REF!</f>
        <v>#REF!</v>
      </c>
      <c r="J137" s="34" t="e">
        <f>J122-#REF!</f>
        <v>#REF!</v>
      </c>
      <c r="K137" s="34" t="e">
        <f>K122-#REF!</f>
        <v>#REF!</v>
      </c>
      <c r="L137" s="280" t="e">
        <f>L122-#REF!</f>
        <v>#REF!</v>
      </c>
      <c r="N137" s="149" t="s">
        <v>47</v>
      </c>
      <c r="O137" s="290">
        <f t="shared" si="32"/>
        <v>0.96544582349999997</v>
      </c>
      <c r="P137" s="34">
        <f t="shared" si="31"/>
        <v>-6.2554303457572473</v>
      </c>
      <c r="Q137" s="34">
        <f t="shared" si="31"/>
        <v>0</v>
      </c>
      <c r="R137" s="34">
        <f t="shared" si="31"/>
        <v>1.2551261516940411</v>
      </c>
      <c r="S137" s="280">
        <f t="shared" si="31"/>
        <v>-4.0348583705632066</v>
      </c>
      <c r="U137" s="149" t="s">
        <v>47</v>
      </c>
      <c r="V137" t="s">
        <v>414</v>
      </c>
      <c r="W137" t="s">
        <v>415</v>
      </c>
      <c r="X137" t="s">
        <v>416</v>
      </c>
      <c r="Y137" t="s">
        <v>417</v>
      </c>
      <c r="Z137" s="34" t="e">
        <v>#REF!</v>
      </c>
      <c r="AA137" s="34" t="e">
        <v>#REF!</v>
      </c>
      <c r="AB137" s="34" t="e">
        <v>#REF!</v>
      </c>
      <c r="AC137" s="34" t="e">
        <v>#REF!</v>
      </c>
      <c r="AD137" s="280" t="e">
        <v>#REF!</v>
      </c>
    </row>
    <row r="138" spans="3:30" s="3" customFormat="1" x14ac:dyDescent="0.25">
      <c r="C138" s="149" t="s">
        <v>25</v>
      </c>
      <c r="D138" t="s">
        <v>418</v>
      </c>
      <c r="E138" t="s">
        <v>419</v>
      </c>
      <c r="F138" t="s">
        <v>420</v>
      </c>
      <c r="G138" t="s">
        <v>421</v>
      </c>
      <c r="H138" s="34" t="e">
        <f>H123-#REF!</f>
        <v>#REF!</v>
      </c>
      <c r="I138" s="34" t="e">
        <f>I123-#REF!</f>
        <v>#REF!</v>
      </c>
      <c r="J138" s="34" t="e">
        <f>J123-#REF!</f>
        <v>#REF!</v>
      </c>
      <c r="K138" s="34" t="e">
        <f>K123-#REF!</f>
        <v>#REF!</v>
      </c>
      <c r="L138" s="280" t="e">
        <f>L123-#REF!</f>
        <v>#REF!</v>
      </c>
      <c r="N138" s="149" t="s">
        <v>25</v>
      </c>
      <c r="O138" s="288">
        <f t="shared" si="32"/>
        <v>0</v>
      </c>
      <c r="P138" s="271">
        <f t="shared" si="31"/>
        <v>2.7004956814512959</v>
      </c>
      <c r="Q138" s="271">
        <f t="shared" si="31"/>
        <v>-0.56061229652442246</v>
      </c>
      <c r="R138" s="271">
        <f t="shared" si="31"/>
        <v>-1.6415781691719187</v>
      </c>
      <c r="S138" s="280">
        <f t="shared" si="31"/>
        <v>0.49830521575495546</v>
      </c>
      <c r="U138" s="149" t="s">
        <v>25</v>
      </c>
      <c r="V138" t="s">
        <v>418</v>
      </c>
      <c r="W138" t="s">
        <v>419</v>
      </c>
      <c r="X138" t="s">
        <v>420</v>
      </c>
      <c r="Y138" t="s">
        <v>421</v>
      </c>
      <c r="Z138" s="34" t="e">
        <v>#REF!</v>
      </c>
      <c r="AA138" s="34" t="e">
        <v>#REF!</v>
      </c>
      <c r="AB138" s="34" t="e">
        <v>#REF!</v>
      </c>
      <c r="AC138" s="34" t="e">
        <v>#REF!</v>
      </c>
      <c r="AD138" s="280" t="e">
        <v>#REF!</v>
      </c>
    </row>
    <row r="139" spans="3:30" s="3" customFormat="1" x14ac:dyDescent="0.25">
      <c r="C139" s="281" t="s">
        <v>26</v>
      </c>
      <c r="D139" s="282"/>
      <c r="E139" s="282"/>
      <c r="F139" s="282"/>
      <c r="G139" s="282"/>
      <c r="H139" s="283" t="e">
        <f>H124-#REF!</f>
        <v>#REF!</v>
      </c>
      <c r="I139" s="283" t="e">
        <f>I124-#REF!</f>
        <v>#REF!</v>
      </c>
      <c r="J139" s="283" t="e">
        <f>J124-#REF!</f>
        <v>#REF!</v>
      </c>
      <c r="K139" s="283" t="e">
        <f>K124-#REF!</f>
        <v>#REF!</v>
      </c>
      <c r="L139" s="284" t="e">
        <f>L124-#REF!</f>
        <v>#REF!</v>
      </c>
      <c r="N139" s="281" t="s">
        <v>26</v>
      </c>
      <c r="O139" s="291">
        <f t="shared" si="32"/>
        <v>2.2608566303999997</v>
      </c>
      <c r="P139" s="292">
        <f t="shared" si="31"/>
        <v>19.174276690504538</v>
      </c>
      <c r="Q139" s="292">
        <f t="shared" si="31"/>
        <v>1.190200628709313</v>
      </c>
      <c r="R139" s="292">
        <f t="shared" si="31"/>
        <v>-17.221213648496587</v>
      </c>
      <c r="S139" s="293">
        <f t="shared" si="31"/>
        <v>5.4041203011172598</v>
      </c>
      <c r="U139" s="281" t="s">
        <v>26</v>
      </c>
      <c r="V139" s="282"/>
      <c r="W139" s="282"/>
      <c r="X139" s="282"/>
      <c r="Y139" s="282"/>
      <c r="Z139" s="283" t="e">
        <v>#REF!</v>
      </c>
      <c r="AA139" s="283" t="e">
        <v>#REF!</v>
      </c>
      <c r="AB139" s="283" t="e">
        <v>#REF!</v>
      </c>
      <c r="AC139" s="283" t="e">
        <v>#REF!</v>
      </c>
      <c r="AD139" s="284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pans="3:21" s="3" customFormat="1" x14ac:dyDescent="0.25"/>
    <row r="194" spans="3:21" s="3" customFormat="1" x14ac:dyDescent="0.25"/>
    <row r="195" spans="3:21" s="3" customFormat="1" x14ac:dyDescent="0.25"/>
    <row r="196" spans="3:21" s="3" customFormat="1" x14ac:dyDescent="0.25"/>
    <row r="197" spans="3:21" s="3" customFormat="1" x14ac:dyDescent="0.25"/>
    <row r="198" spans="3:21" s="3" customFormat="1" x14ac:dyDescent="0.25"/>
    <row r="199" spans="3:21" s="3" customFormat="1" x14ac:dyDescent="0.25"/>
    <row r="200" spans="3:21" s="3" customFormat="1" x14ac:dyDescent="0.25"/>
    <row r="201" spans="3:21" s="3" customFormat="1" x14ac:dyDescent="0.25"/>
    <row r="202" spans="3:21" s="3" customFormat="1" x14ac:dyDescent="0.25"/>
    <row r="203" spans="3:21" s="3" customFormat="1" x14ac:dyDescent="0.25"/>
    <row r="204" spans="3:21" s="3" customFormat="1" x14ac:dyDescent="0.25">
      <c r="C204" s="3">
        <f>0</f>
        <v>0</v>
      </c>
      <c r="U204" s="3">
        <v>0</v>
      </c>
    </row>
    <row r="205" spans="3:21" s="3" customFormat="1" x14ac:dyDescent="0.25"/>
    <row r="206" spans="3:21" s="3" customFormat="1" x14ac:dyDescent="0.25"/>
    <row r="207" spans="3:21" s="3" customFormat="1" x14ac:dyDescent="0.25"/>
    <row r="208" spans="3:21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>
    <tabColor rgb="FF0070C0"/>
    <pageSetUpPr fitToPage="1"/>
  </sheetPr>
  <dimension ref="A1:BD67"/>
  <sheetViews>
    <sheetView showGridLines="0" topLeftCell="A29" zoomScaleNormal="100" workbookViewId="0">
      <selection activeCell="A36" sqref="A36"/>
    </sheetView>
  </sheetViews>
  <sheetFormatPr baseColWidth="10" defaultRowHeight="15" x14ac:dyDescent="0.25"/>
  <cols>
    <col min="1" max="1" width="15.7109375" customWidth="1"/>
    <col min="2" max="2" width="33.85546875" bestFit="1" customWidth="1"/>
    <col min="3" max="16" width="8.85546875" hidden="1" customWidth="1"/>
    <col min="17" max="17" width="14" customWidth="1"/>
    <col min="18" max="26" width="8.85546875" hidden="1" customWidth="1"/>
    <col min="27" max="27" width="14" customWidth="1"/>
    <col min="28" max="46" width="14" hidden="1" customWidth="1"/>
    <col min="47" max="47" width="14" customWidth="1"/>
    <col min="49" max="49" width="13.42578125" customWidth="1"/>
  </cols>
  <sheetData>
    <row r="1" spans="1:56" s="244" customFormat="1" ht="45" customHeight="1" x14ac:dyDescent="0.25">
      <c r="A1" s="239" t="str">
        <f>Résultats!B1</f>
        <v>SNBC3</v>
      </c>
      <c r="B1" s="240" t="s">
        <v>465</v>
      </c>
      <c r="C1" s="241">
        <v>2006</v>
      </c>
      <c r="D1" s="242">
        <v>2007</v>
      </c>
      <c r="E1" s="242">
        <v>2008</v>
      </c>
      <c r="F1" s="242">
        <v>2009</v>
      </c>
      <c r="G1" s="242">
        <v>2010</v>
      </c>
      <c r="H1" s="242">
        <v>2011</v>
      </c>
      <c r="I1" s="242">
        <v>2012</v>
      </c>
      <c r="J1" s="242">
        <v>2013</v>
      </c>
      <c r="K1" s="242">
        <v>2014</v>
      </c>
      <c r="L1" s="242">
        <v>2015</v>
      </c>
      <c r="M1" s="242">
        <v>2016</v>
      </c>
      <c r="N1" s="242">
        <v>2017</v>
      </c>
      <c r="O1" s="242">
        <v>2018</v>
      </c>
      <c r="P1" s="242">
        <v>2019</v>
      </c>
      <c r="Q1" s="242">
        <v>2020</v>
      </c>
      <c r="R1" s="242">
        <v>2021</v>
      </c>
      <c r="S1" s="242">
        <v>2022</v>
      </c>
      <c r="T1" s="242">
        <v>2023</v>
      </c>
      <c r="U1" s="242">
        <v>2024</v>
      </c>
      <c r="V1" s="242">
        <v>2025</v>
      </c>
      <c r="W1" s="242">
        <v>2026</v>
      </c>
      <c r="X1" s="242">
        <v>2027</v>
      </c>
      <c r="Y1" s="242">
        <v>2028</v>
      </c>
      <c r="Z1" s="242">
        <v>2029</v>
      </c>
      <c r="AA1" s="242">
        <v>2030</v>
      </c>
      <c r="AB1" s="242">
        <v>2031</v>
      </c>
      <c r="AC1" s="242">
        <v>2032</v>
      </c>
      <c r="AD1" s="242">
        <v>2033</v>
      </c>
      <c r="AE1" s="242">
        <v>2034</v>
      </c>
      <c r="AF1" s="242">
        <v>2035</v>
      </c>
      <c r="AG1" s="242">
        <v>2036</v>
      </c>
      <c r="AH1" s="242">
        <v>2037</v>
      </c>
      <c r="AI1" s="242">
        <v>2038</v>
      </c>
      <c r="AJ1" s="242">
        <v>2039</v>
      </c>
      <c r="AK1" s="242">
        <v>2040</v>
      </c>
      <c r="AL1" s="242">
        <v>2041</v>
      </c>
      <c r="AM1" s="242">
        <v>2042</v>
      </c>
      <c r="AN1" s="242">
        <v>2043</v>
      </c>
      <c r="AO1" s="242">
        <v>2044</v>
      </c>
      <c r="AP1" s="242">
        <v>2045</v>
      </c>
      <c r="AQ1" s="242">
        <v>2046</v>
      </c>
      <c r="AR1" s="242">
        <v>2047</v>
      </c>
      <c r="AS1" s="242">
        <v>2048</v>
      </c>
      <c r="AT1" s="242">
        <v>2049</v>
      </c>
      <c r="AU1" s="243">
        <v>2050</v>
      </c>
      <c r="AW1" s="266" t="s">
        <v>493</v>
      </c>
      <c r="AX1" s="242">
        <v>2020</v>
      </c>
      <c r="AY1" s="242">
        <v>2030</v>
      </c>
      <c r="AZ1" s="243">
        <v>2050</v>
      </c>
    </row>
    <row r="2" spans="1:56" x14ac:dyDescent="0.25">
      <c r="B2" s="245" t="s">
        <v>1</v>
      </c>
      <c r="C2" s="246">
        <f t="shared" ref="C2:AU2" si="0">C3+C4+C7</f>
        <v>842942.38378000003</v>
      </c>
      <c r="D2" s="247">
        <f t="shared" si="0"/>
        <v>877575.82444</v>
      </c>
      <c r="E2" s="247">
        <f t="shared" si="0"/>
        <v>892239.60917000007</v>
      </c>
      <c r="F2" s="247">
        <f t="shared" si="0"/>
        <v>916398.63481999992</v>
      </c>
      <c r="G2" s="247">
        <f t="shared" si="0"/>
        <v>935519.36810000008</v>
      </c>
      <c r="H2" s="247">
        <f t="shared" si="0"/>
        <v>970099.10462</v>
      </c>
      <c r="I2" s="247">
        <f t="shared" si="0"/>
        <v>1005936.3992000001</v>
      </c>
      <c r="J2" s="247">
        <f t="shared" si="0"/>
        <v>1046493.0201900001</v>
      </c>
      <c r="K2" s="247">
        <f t="shared" si="0"/>
        <v>1097641.24107</v>
      </c>
      <c r="L2" s="247">
        <f t="shared" si="0"/>
        <v>1149488.26963</v>
      </c>
      <c r="M2" s="247">
        <f t="shared" si="0"/>
        <v>1149708.2809899999</v>
      </c>
      <c r="N2" s="247">
        <f t="shared" si="0"/>
        <v>1145956.0021299999</v>
      </c>
      <c r="O2" s="247">
        <f t="shared" si="0"/>
        <v>1143112.36311</v>
      </c>
      <c r="P2" s="247">
        <f t="shared" si="0"/>
        <v>1138457.43545</v>
      </c>
      <c r="Q2" s="247">
        <f t="shared" si="0"/>
        <v>1146024.8075600001</v>
      </c>
      <c r="R2" s="247">
        <f t="shared" si="0"/>
        <v>1150003.35984</v>
      </c>
      <c r="S2" s="247">
        <f t="shared" si="0"/>
        <v>1152634.2330399998</v>
      </c>
      <c r="T2" s="247">
        <f t="shared" si="0"/>
        <v>1155606.2156700001</v>
      </c>
      <c r="U2" s="247">
        <f t="shared" si="0"/>
        <v>1161312.5605299999</v>
      </c>
      <c r="V2" s="247">
        <f t="shared" si="0"/>
        <v>1164995.72624</v>
      </c>
      <c r="W2" s="247">
        <f t="shared" si="0"/>
        <v>1168720.18689</v>
      </c>
      <c r="X2" s="247">
        <f t="shared" si="0"/>
        <v>1171062.3610799999</v>
      </c>
      <c r="Y2" s="247">
        <f t="shared" si="0"/>
        <v>1172592.60198</v>
      </c>
      <c r="Z2" s="247">
        <f t="shared" si="0"/>
        <v>1172828.5744</v>
      </c>
      <c r="AA2" s="247">
        <f t="shared" si="0"/>
        <v>1171961.898</v>
      </c>
      <c r="AB2" s="247">
        <f t="shared" si="0"/>
        <v>1170445.9744199999</v>
      </c>
      <c r="AC2" s="247">
        <f t="shared" si="0"/>
        <v>1169558.8993000002</v>
      </c>
      <c r="AD2" s="247">
        <f t="shared" si="0"/>
        <v>1169317.45132</v>
      </c>
      <c r="AE2" s="247">
        <f t="shared" si="0"/>
        <v>1169563.7591900001</v>
      </c>
      <c r="AF2" s="247">
        <f t="shared" si="0"/>
        <v>1170261.9676099999</v>
      </c>
      <c r="AG2" s="247">
        <f t="shared" si="0"/>
        <v>1171392.79636</v>
      </c>
      <c r="AH2" s="247">
        <f t="shared" si="0"/>
        <v>1173415.015011</v>
      </c>
      <c r="AI2" s="247">
        <f t="shared" si="0"/>
        <v>1175853.450224</v>
      </c>
      <c r="AJ2" s="247">
        <f t="shared" si="0"/>
        <v>1178647.872797</v>
      </c>
      <c r="AK2" s="247">
        <f t="shared" si="0"/>
        <v>1181752.7706169998</v>
      </c>
      <c r="AL2" s="247">
        <f t="shared" si="0"/>
        <v>1185144.8836610001</v>
      </c>
      <c r="AM2" s="247">
        <f t="shared" si="0"/>
        <v>1188967.2123829999</v>
      </c>
      <c r="AN2" s="247">
        <f t="shared" si="0"/>
        <v>1192968.14271</v>
      </c>
      <c r="AO2" s="247">
        <f t="shared" si="0"/>
        <v>1197359.09984</v>
      </c>
      <c r="AP2" s="247">
        <f t="shared" si="0"/>
        <v>1200027.5327859998</v>
      </c>
      <c r="AQ2" s="247">
        <f t="shared" si="0"/>
        <v>1203072.2567500002</v>
      </c>
      <c r="AR2" s="247">
        <f t="shared" si="0"/>
        <v>1206517.6619039997</v>
      </c>
      <c r="AS2" s="247">
        <f t="shared" si="0"/>
        <v>1210114.9168219999</v>
      </c>
      <c r="AT2" s="247">
        <f t="shared" si="0"/>
        <v>1214065.161452</v>
      </c>
      <c r="AU2" s="248">
        <f t="shared" si="0"/>
        <v>1216758.755541</v>
      </c>
      <c r="AW2" t="s">
        <v>494</v>
      </c>
      <c r="AX2" s="299">
        <f>Q8/Q7</f>
        <v>0.92274542117246894</v>
      </c>
      <c r="AY2" s="299">
        <f>AA8/AA7</f>
        <v>0.91756242127829024</v>
      </c>
      <c r="AZ2" s="299">
        <f>AU8/AU7</f>
        <v>0.9107775251094371</v>
      </c>
    </row>
    <row r="3" spans="1:56" x14ac:dyDescent="0.25">
      <c r="B3" s="249" t="s">
        <v>466</v>
      </c>
      <c r="C3" s="250">
        <f>Résultats!E286</f>
        <v>13442.05508</v>
      </c>
      <c r="D3" s="251">
        <f>Résultats!F286</f>
        <v>13725.29794</v>
      </c>
      <c r="E3" s="251">
        <f>Résultats!G286</f>
        <v>14101.09937</v>
      </c>
      <c r="F3" s="251">
        <f>Résultats!H286</f>
        <v>13577.16942</v>
      </c>
      <c r="G3" s="251">
        <f>Résultats!I286</f>
        <v>13056.794599999999</v>
      </c>
      <c r="H3" s="251">
        <f>Résultats!J286</f>
        <v>13319.90432</v>
      </c>
      <c r="I3" s="251">
        <f>Résultats!K286</f>
        <v>13518.072700000001</v>
      </c>
      <c r="J3" s="251">
        <f>Résultats!L286</f>
        <v>13372.97279</v>
      </c>
      <c r="K3" s="251">
        <f>Résultats!M286</f>
        <v>13524.236269999999</v>
      </c>
      <c r="L3" s="251">
        <f>Résultats!N286</f>
        <v>13889.918030000001</v>
      </c>
      <c r="M3" s="251">
        <f>Résultats!O286</f>
        <v>14084.75899</v>
      </c>
      <c r="N3" s="251">
        <f>Résultats!P286</f>
        <v>14301.911630000001</v>
      </c>
      <c r="O3" s="251">
        <f>Résultats!Q286</f>
        <v>14637.991410000001</v>
      </c>
      <c r="P3" s="251">
        <f>Résultats!R286</f>
        <v>14981.466350000001</v>
      </c>
      <c r="Q3" s="251">
        <f>Résultats!S286</f>
        <v>14654.316650000001</v>
      </c>
      <c r="R3" s="251">
        <f>Résultats!T286</f>
        <v>14142.151</v>
      </c>
      <c r="S3" s="251">
        <f>Résultats!U286</f>
        <v>13932.44472</v>
      </c>
      <c r="T3" s="251">
        <f>Résultats!V286</f>
        <v>13834.190490000001</v>
      </c>
      <c r="U3" s="251">
        <f>Résultats!W286</f>
        <v>13669.95333</v>
      </c>
      <c r="V3" s="251">
        <f>Résultats!X286</f>
        <v>13416.55767</v>
      </c>
      <c r="W3" s="251">
        <f>Résultats!Y286</f>
        <v>13256.42389</v>
      </c>
      <c r="X3" s="251">
        <f>Résultats!Z286</f>
        <v>13092.70781</v>
      </c>
      <c r="Y3" s="251">
        <f>Résultats!AA286</f>
        <v>12930.92426</v>
      </c>
      <c r="Z3" s="251">
        <f>Résultats!AB286</f>
        <v>12754.47056</v>
      </c>
      <c r="AA3" s="251">
        <f>Résultats!AC286</f>
        <v>12544.47624</v>
      </c>
      <c r="AB3" s="251">
        <f>Résultats!AD286</f>
        <v>12071.322260000001</v>
      </c>
      <c r="AC3" s="251">
        <f>Résultats!AE286</f>
        <v>11626.294669999999</v>
      </c>
      <c r="AD3" s="251">
        <f>Résultats!AF286</f>
        <v>11206.16087</v>
      </c>
      <c r="AE3" s="251">
        <f>Résultats!AG286</f>
        <v>10804.199360000001</v>
      </c>
      <c r="AF3" s="251">
        <f>Résultats!AH286</f>
        <v>10423.20336</v>
      </c>
      <c r="AG3" s="251">
        <f>Résultats!AI286</f>
        <v>10079.17426</v>
      </c>
      <c r="AH3" s="251">
        <f>Résultats!AJ286</f>
        <v>9762.1967810000006</v>
      </c>
      <c r="AI3" s="251">
        <f>Résultats!AK286</f>
        <v>9457.9507840000006</v>
      </c>
      <c r="AJ3" s="251">
        <f>Résultats!AL286</f>
        <v>9167.38629699999</v>
      </c>
      <c r="AK3" s="251">
        <f>Résultats!AM286</f>
        <v>8892.3732770000006</v>
      </c>
      <c r="AL3" s="251">
        <f>Résultats!AN286</f>
        <v>8641.9611110000005</v>
      </c>
      <c r="AM3" s="251">
        <f>Résultats!AO286</f>
        <v>8414.5740729999998</v>
      </c>
      <c r="AN3" s="251">
        <f>Résultats!AP286</f>
        <v>8188.6159699999998</v>
      </c>
      <c r="AO3" s="251">
        <f>Résultats!AQ286</f>
        <v>7988.3127400000003</v>
      </c>
      <c r="AP3" s="251">
        <f>Résultats!AR286</f>
        <v>7793.7378060000001</v>
      </c>
      <c r="AQ3" s="251">
        <f>Résultats!AS286</f>
        <v>7583.8453099999997</v>
      </c>
      <c r="AR3" s="251">
        <f>Résultats!AT286</f>
        <v>7384.6109939999997</v>
      </c>
      <c r="AS3" s="251">
        <f>Résultats!AU286</f>
        <v>7177.568972</v>
      </c>
      <c r="AT3" s="251">
        <f>Résultats!AV286</f>
        <v>6988.5290720000003</v>
      </c>
      <c r="AU3" s="252">
        <f>Résultats!AW286</f>
        <v>6789.6752710000001</v>
      </c>
      <c r="AV3" s="253"/>
      <c r="AW3" t="s">
        <v>495</v>
      </c>
      <c r="AX3" s="299">
        <f>Q5/Q4</f>
        <v>0.67025295167307464</v>
      </c>
      <c r="AY3" s="299">
        <f>AA5/AA4</f>
        <v>0.57799459282909693</v>
      </c>
      <c r="AZ3" s="299">
        <f>AU5/AU4</f>
        <v>0.48338666738630681</v>
      </c>
    </row>
    <row r="4" spans="1:56" x14ac:dyDescent="0.25">
      <c r="B4" s="254" t="s">
        <v>467</v>
      </c>
      <c r="C4" s="255">
        <f>Résultats!E292</f>
        <v>248850.0986</v>
      </c>
      <c r="D4" s="256">
        <f>Résultats!F292</f>
        <v>265981.65950000001</v>
      </c>
      <c r="E4" s="256">
        <f>Résultats!G292</f>
        <v>276094.31880000001</v>
      </c>
      <c r="F4" s="256">
        <f>Résultats!H292</f>
        <v>288774.80589999998</v>
      </c>
      <c r="G4" s="256">
        <f>Résultats!I292</f>
        <v>299303.70010000002</v>
      </c>
      <c r="H4" s="256">
        <f>Résultats!J292</f>
        <v>316985.5858</v>
      </c>
      <c r="I4" s="256">
        <f>Résultats!K292</f>
        <v>337275.06920000003</v>
      </c>
      <c r="J4" s="256">
        <f>Résultats!L292</f>
        <v>358502.25060000003</v>
      </c>
      <c r="K4" s="256">
        <f>Résultats!M292</f>
        <v>383211.65480000002</v>
      </c>
      <c r="L4" s="256">
        <f>Résultats!N292</f>
        <v>408732.6814</v>
      </c>
      <c r="M4" s="256">
        <f>Résultats!O292</f>
        <v>405418.14</v>
      </c>
      <c r="N4" s="256">
        <f>Résultats!P292</f>
        <v>401646.10920000001</v>
      </c>
      <c r="O4" s="256">
        <f>Résultats!Q292</f>
        <v>401603.8542</v>
      </c>
      <c r="P4" s="256">
        <f>Résultats!R292</f>
        <v>399795.28730000003</v>
      </c>
      <c r="Q4" s="256">
        <f>SUM(Q5:Q6)</f>
        <v>403550.3492</v>
      </c>
      <c r="R4" s="256">
        <f t="shared" ref="R4:AU4" si="1">SUM(R5:R6)</f>
        <v>330181.01214000001</v>
      </c>
      <c r="S4" s="256">
        <f t="shared" si="1"/>
        <v>330608.57052000001</v>
      </c>
      <c r="T4" s="256">
        <f t="shared" si="1"/>
        <v>330696.07287999999</v>
      </c>
      <c r="U4" s="256">
        <f t="shared" si="1"/>
        <v>319947.91310000001</v>
      </c>
      <c r="V4" s="256">
        <f t="shared" si="1"/>
        <v>307815.16346999997</v>
      </c>
      <c r="W4" s="256">
        <f t="shared" si="1"/>
        <v>308697.23060000001</v>
      </c>
      <c r="X4" s="256">
        <f t="shared" si="1"/>
        <v>308175.99716999999</v>
      </c>
      <c r="Y4" s="256">
        <f t="shared" si="1"/>
        <v>306861.10832</v>
      </c>
      <c r="Z4" s="256">
        <f t="shared" si="1"/>
        <v>304675.07994000003</v>
      </c>
      <c r="AA4" s="256">
        <f t="shared" si="1"/>
        <v>416496.91499999998</v>
      </c>
      <c r="AB4" s="256">
        <f t="shared" si="1"/>
        <v>298892.53645999997</v>
      </c>
      <c r="AC4" s="256">
        <f t="shared" si="1"/>
        <v>296371.99063000001</v>
      </c>
      <c r="AD4" s="256">
        <f t="shared" si="1"/>
        <v>294189.29855000001</v>
      </c>
      <c r="AE4" s="256">
        <f t="shared" si="1"/>
        <v>292554.92823000002</v>
      </c>
      <c r="AF4" s="256">
        <f t="shared" si="1"/>
        <v>291172.91194999998</v>
      </c>
      <c r="AG4" s="256">
        <f t="shared" si="1"/>
        <v>289661.76199999999</v>
      </c>
      <c r="AH4" s="256">
        <f t="shared" si="1"/>
        <v>288692.91152999998</v>
      </c>
      <c r="AI4" s="256">
        <f t="shared" si="1"/>
        <v>288031.37693999999</v>
      </c>
      <c r="AJ4" s="256">
        <f t="shared" si="1"/>
        <v>287501.76819999999</v>
      </c>
      <c r="AK4" s="256">
        <f t="shared" si="1"/>
        <v>287042.65733999998</v>
      </c>
      <c r="AL4" s="256">
        <f t="shared" si="1"/>
        <v>286909.16615</v>
      </c>
      <c r="AM4" s="256">
        <f t="shared" si="1"/>
        <v>286739.29821000004</v>
      </c>
      <c r="AN4" s="256">
        <f t="shared" si="1"/>
        <v>286667.75893999997</v>
      </c>
      <c r="AO4" s="256">
        <f t="shared" si="1"/>
        <v>286590.68609999999</v>
      </c>
      <c r="AP4" s="256">
        <f t="shared" si="1"/>
        <v>285026.15237999998</v>
      </c>
      <c r="AQ4" s="256">
        <f t="shared" si="1"/>
        <v>284550.67784000002</v>
      </c>
      <c r="AR4" s="256">
        <f t="shared" si="1"/>
        <v>284126.42830999999</v>
      </c>
      <c r="AS4" s="256">
        <f t="shared" si="1"/>
        <v>283822.89075000002</v>
      </c>
      <c r="AT4" s="256">
        <f t="shared" si="1"/>
        <v>283540.54108</v>
      </c>
      <c r="AU4" s="256">
        <f t="shared" si="1"/>
        <v>446341.60239999997</v>
      </c>
      <c r="AV4" s="253"/>
      <c r="AW4" t="s">
        <v>496</v>
      </c>
      <c r="AX4" s="299">
        <f>Q10/(Q7+Q4)</f>
        <v>0.83268347855021219</v>
      </c>
      <c r="AY4" s="299">
        <f>AA10/(AA7+AA4)</f>
        <v>0.79557964757833266</v>
      </c>
      <c r="AZ4" s="299">
        <f>AU10/(AU7+AU4)</f>
        <v>0.75311868622019507</v>
      </c>
    </row>
    <row r="5" spans="1:56" x14ac:dyDescent="0.25">
      <c r="B5" s="258" t="s">
        <v>468</v>
      </c>
      <c r="C5" s="259">
        <f>Résultats!E287</f>
        <v>163461.30420000001</v>
      </c>
      <c r="D5" s="212">
        <f>Résultats!F287</f>
        <v>173142.19940000001</v>
      </c>
      <c r="E5" s="212">
        <f>Résultats!G287</f>
        <v>180760.5914</v>
      </c>
      <c r="F5" s="212">
        <f>Résultats!H287</f>
        <v>188161.81709999999</v>
      </c>
      <c r="G5" s="212">
        <f>Résultats!I287</f>
        <v>195355.6911</v>
      </c>
      <c r="H5" s="212">
        <f>Résultats!J287</f>
        <v>204960.76800000001</v>
      </c>
      <c r="I5" s="212">
        <f>Résultats!K287</f>
        <v>219838.43520000001</v>
      </c>
      <c r="J5" s="212">
        <f>Résultats!L287</f>
        <v>235229.31099999999</v>
      </c>
      <c r="K5" s="212">
        <f>Résultats!M287</f>
        <v>251712.63449999999</v>
      </c>
      <c r="L5" s="212">
        <f>Résultats!N287</f>
        <v>274171.43839999998</v>
      </c>
      <c r="M5" s="212">
        <f>Résultats!O287</f>
        <v>274748.56439999997</v>
      </c>
      <c r="N5" s="212">
        <f>Résultats!P287</f>
        <v>271037.65789999999</v>
      </c>
      <c r="O5" s="212">
        <f>Résultats!Q287</f>
        <v>267501.01380000002</v>
      </c>
      <c r="P5" s="212">
        <f>Résultats!R287</f>
        <v>267020.47970000003</v>
      </c>
      <c r="Q5" s="212">
        <f>Résultats!S287</f>
        <v>270480.81270000001</v>
      </c>
      <c r="R5" s="212">
        <f>Résultats!T287</f>
        <v>274207.65850000002</v>
      </c>
      <c r="S5" s="212">
        <f>Résultats!U287</f>
        <v>274376.98190000001</v>
      </c>
      <c r="T5" s="212">
        <f>Résultats!V287</f>
        <v>274110.26390000002</v>
      </c>
      <c r="U5" s="212">
        <f>Résultats!W287</f>
        <v>265686.0526</v>
      </c>
      <c r="V5" s="212">
        <f>Résultats!X287</f>
        <v>255852.41889999999</v>
      </c>
      <c r="W5" s="212">
        <f>Résultats!Y287</f>
        <v>255179.57930000001</v>
      </c>
      <c r="X5" s="212">
        <f>Résultats!Z287</f>
        <v>252900.2323</v>
      </c>
      <c r="Y5" s="212">
        <f>Résultats!AA287</f>
        <v>249676.39430000001</v>
      </c>
      <c r="Z5" s="212">
        <f>Résultats!AB287</f>
        <v>245481.0895</v>
      </c>
      <c r="AA5" s="212">
        <f>Résultats!AC287</f>
        <v>240732.96479999999</v>
      </c>
      <c r="AB5" s="212">
        <f>Résultats!AD287</f>
        <v>237105.91709999999</v>
      </c>
      <c r="AC5" s="212">
        <f>Résultats!AE287</f>
        <v>234142.0471</v>
      </c>
      <c r="AD5" s="212">
        <f>Résultats!AF287</f>
        <v>231539.06890000001</v>
      </c>
      <c r="AE5" s="212">
        <f>Résultats!AG287</f>
        <v>229600.07320000001</v>
      </c>
      <c r="AF5" s="212">
        <f>Résultats!AH287</f>
        <v>227942.9584</v>
      </c>
      <c r="AG5" s="212">
        <f>Résultats!AI287</f>
        <v>226040.50959999999</v>
      </c>
      <c r="AH5" s="212">
        <f>Résultats!AJ287</f>
        <v>224729.9552</v>
      </c>
      <c r="AI5" s="212">
        <f>Résultats!AK287</f>
        <v>223766.9105</v>
      </c>
      <c r="AJ5" s="212">
        <f>Résultats!AL287</f>
        <v>222929.87160000001</v>
      </c>
      <c r="AK5" s="212">
        <f>Résultats!AM287</f>
        <v>222144.6893</v>
      </c>
      <c r="AL5" s="212">
        <f>Résultats!AN287</f>
        <v>221734.0275</v>
      </c>
      <c r="AM5" s="212">
        <f>Résultats!AO287</f>
        <v>221219.23540000001</v>
      </c>
      <c r="AN5" s="212">
        <f>Résultats!AP287</f>
        <v>220804.77129999999</v>
      </c>
      <c r="AO5" s="212">
        <f>Résultats!AQ287</f>
        <v>220339.20329999999</v>
      </c>
      <c r="AP5" s="212">
        <f>Résultats!AR287</f>
        <v>218200.0827</v>
      </c>
      <c r="AQ5" s="212">
        <f>Résultats!AS287</f>
        <v>217416.6017</v>
      </c>
      <c r="AR5" s="212">
        <f>Résultats!AT287</f>
        <v>216636.91880000001</v>
      </c>
      <c r="AS5" s="212">
        <f>Résultats!AU287</f>
        <v>215980.9014</v>
      </c>
      <c r="AT5" s="212">
        <f>Résultats!AV287</f>
        <v>215311.9816</v>
      </c>
      <c r="AU5" s="260">
        <f>Résultats!AW287</f>
        <v>215755.5797</v>
      </c>
    </row>
    <row r="6" spans="1:56" x14ac:dyDescent="0.25">
      <c r="B6" s="261" t="s">
        <v>469</v>
      </c>
      <c r="C6" s="262">
        <f>Résultats!E290</f>
        <v>47168.088080000001</v>
      </c>
      <c r="D6" s="263">
        <f>Résultats!F290</f>
        <v>48529.868210000001</v>
      </c>
      <c r="E6" s="263">
        <f>Résultats!G290</f>
        <v>48274.848400000003</v>
      </c>
      <c r="F6" s="263">
        <f>Résultats!H290</f>
        <v>49325.091469999999</v>
      </c>
      <c r="G6" s="263">
        <f>Résultats!I290</f>
        <v>49964.204640000004</v>
      </c>
      <c r="H6" s="263">
        <f>Résultats!J290</f>
        <v>51405.192300000002</v>
      </c>
      <c r="I6" s="263">
        <f>Résultats!K290</f>
        <v>51866.035609999999</v>
      </c>
      <c r="J6" s="263">
        <f>Résultats!L290</f>
        <v>52919.540990000001</v>
      </c>
      <c r="K6" s="263">
        <f>Résultats!M290</f>
        <v>54863.570959999997</v>
      </c>
      <c r="L6" s="263">
        <f>Résultats!N290</f>
        <v>55892.3802</v>
      </c>
      <c r="M6" s="263">
        <f>Résultats!O290</f>
        <v>56055.942600000002</v>
      </c>
      <c r="N6" s="263">
        <f>Résultats!P290</f>
        <v>56459.682260000001</v>
      </c>
      <c r="O6" s="263">
        <f>Résultats!Q290</f>
        <v>56629.475539999999</v>
      </c>
      <c r="P6" s="263">
        <f>Résultats!R290</f>
        <v>56182.398609999997</v>
      </c>
      <c r="Q6" s="263">
        <f>Résultats!S289</f>
        <v>133069.53649999999</v>
      </c>
      <c r="R6" s="263">
        <f>Résultats!T290</f>
        <v>55973.353640000001</v>
      </c>
      <c r="S6" s="263">
        <f>Résultats!U290</f>
        <v>56231.588620000002</v>
      </c>
      <c r="T6" s="263">
        <f>Résultats!V290</f>
        <v>56585.808980000002</v>
      </c>
      <c r="U6" s="263">
        <f>Résultats!W290</f>
        <v>54261.860500000003</v>
      </c>
      <c r="V6" s="263">
        <f>Résultats!X290</f>
        <v>51962.744570000003</v>
      </c>
      <c r="W6" s="263">
        <f>Résultats!Y290</f>
        <v>53517.651299999998</v>
      </c>
      <c r="X6" s="263">
        <f>Résultats!Z290</f>
        <v>55275.764869999999</v>
      </c>
      <c r="Y6" s="263">
        <f>Résultats!AA290</f>
        <v>57184.714019999999</v>
      </c>
      <c r="Z6" s="263">
        <f>Résultats!AB290</f>
        <v>59193.990440000001</v>
      </c>
      <c r="AA6" s="263">
        <f>Résultats!AC289</f>
        <v>175763.95019999999</v>
      </c>
      <c r="AB6" s="263">
        <f>Résultats!AD290</f>
        <v>61786.619359999997</v>
      </c>
      <c r="AC6" s="263">
        <f>Résultats!AE290</f>
        <v>62229.943529999997</v>
      </c>
      <c r="AD6" s="263">
        <f>Résultats!AF290</f>
        <v>62650.229650000001</v>
      </c>
      <c r="AE6" s="263">
        <f>Résultats!AG290</f>
        <v>62954.855029999999</v>
      </c>
      <c r="AF6" s="263">
        <f>Résultats!AH290</f>
        <v>63229.953549999998</v>
      </c>
      <c r="AG6" s="263">
        <f>Résultats!AI290</f>
        <v>63621.252399999998</v>
      </c>
      <c r="AH6" s="263">
        <f>Résultats!AJ290</f>
        <v>63962.956330000001</v>
      </c>
      <c r="AI6" s="263">
        <f>Résultats!AK290</f>
        <v>64264.466439999997</v>
      </c>
      <c r="AJ6" s="263">
        <f>Résultats!AL290</f>
        <v>64571.8966</v>
      </c>
      <c r="AK6" s="263">
        <f>Résultats!AM290</f>
        <v>64897.96804</v>
      </c>
      <c r="AL6" s="263">
        <f>Résultats!AN290</f>
        <v>65175.138650000001</v>
      </c>
      <c r="AM6" s="263">
        <f>Résultats!AO290</f>
        <v>65520.062810000003</v>
      </c>
      <c r="AN6" s="263">
        <f>Résultats!AP290</f>
        <v>65862.987640000007</v>
      </c>
      <c r="AO6" s="263">
        <f>Résultats!AQ290</f>
        <v>66251.482799999998</v>
      </c>
      <c r="AP6" s="263">
        <f>Résultats!AR290</f>
        <v>66826.069680000001</v>
      </c>
      <c r="AQ6" s="263">
        <f>Résultats!AS290</f>
        <v>67134.076140000005</v>
      </c>
      <c r="AR6" s="263">
        <f>Résultats!AT290</f>
        <v>67489.509510000004</v>
      </c>
      <c r="AS6" s="263">
        <f>Résultats!AU290</f>
        <v>67841.989350000003</v>
      </c>
      <c r="AT6" s="263">
        <f>Résultats!AV290</f>
        <v>68228.559479999996</v>
      </c>
      <c r="AU6" s="264">
        <f>Résultats!AW289</f>
        <v>230586.0227</v>
      </c>
      <c r="AV6" s="253"/>
      <c r="BB6" t="s">
        <v>506</v>
      </c>
    </row>
    <row r="7" spans="1:56" x14ac:dyDescent="0.25">
      <c r="B7" s="258" t="s">
        <v>470</v>
      </c>
      <c r="C7" s="259">
        <f>Résultats!E291</f>
        <v>580650.23010000004</v>
      </c>
      <c r="D7" s="212">
        <f>Résultats!F291</f>
        <v>597868.86699999997</v>
      </c>
      <c r="E7" s="212">
        <f>Résultats!G291</f>
        <v>602044.19099999999</v>
      </c>
      <c r="F7" s="212">
        <f>Résultats!H291</f>
        <v>614046.65949999995</v>
      </c>
      <c r="G7" s="212">
        <f>Résultats!I291</f>
        <v>623158.87340000004</v>
      </c>
      <c r="H7" s="212">
        <f>Résultats!J291</f>
        <v>639793.61450000003</v>
      </c>
      <c r="I7" s="212">
        <f>Résultats!K291</f>
        <v>655143.25730000006</v>
      </c>
      <c r="J7" s="212">
        <f>Résultats!L291</f>
        <v>674617.79680000001</v>
      </c>
      <c r="K7" s="212">
        <f>Résultats!M291</f>
        <v>700905.35</v>
      </c>
      <c r="L7" s="212">
        <f>Résultats!N291</f>
        <v>726865.67020000005</v>
      </c>
      <c r="M7" s="212">
        <f>Résultats!O291</f>
        <v>730205.38199999998</v>
      </c>
      <c r="N7" s="212">
        <f>Résultats!P291</f>
        <v>730007.98129999998</v>
      </c>
      <c r="O7" s="212">
        <f>Résultats!Q291</f>
        <v>726870.51749999996</v>
      </c>
      <c r="P7" s="212">
        <f>Résultats!R291</f>
        <v>723680.68180000002</v>
      </c>
      <c r="Q7" s="212">
        <f>SUM(Q8:Q9)</f>
        <v>727820.14171</v>
      </c>
      <c r="R7" s="212">
        <f t="shared" ref="R7:AU7" si="2">SUM(R8:R9)</f>
        <v>805680.19669999997</v>
      </c>
      <c r="S7" s="212">
        <f t="shared" si="2"/>
        <v>808093.21779999998</v>
      </c>
      <c r="T7" s="212">
        <f t="shared" si="2"/>
        <v>811075.9523</v>
      </c>
      <c r="U7" s="212">
        <f t="shared" si="2"/>
        <v>827694.69409999996</v>
      </c>
      <c r="V7" s="212">
        <f t="shared" si="2"/>
        <v>843764.00510000007</v>
      </c>
      <c r="W7" s="212">
        <f t="shared" si="2"/>
        <v>846766.53240000003</v>
      </c>
      <c r="X7" s="212">
        <f t="shared" si="2"/>
        <v>849793.65610000002</v>
      </c>
      <c r="Y7" s="212">
        <f t="shared" si="2"/>
        <v>852800.56940000004</v>
      </c>
      <c r="Z7" s="212">
        <f t="shared" si="2"/>
        <v>855399.02390000003</v>
      </c>
      <c r="AA7" s="212">
        <f t="shared" si="2"/>
        <v>742920.50676000002</v>
      </c>
      <c r="AB7" s="212">
        <f t="shared" si="2"/>
        <v>859482.11569999997</v>
      </c>
      <c r="AC7" s="212">
        <f t="shared" si="2"/>
        <v>861560.61400000006</v>
      </c>
      <c r="AD7" s="212">
        <f t="shared" si="2"/>
        <v>863921.99190000002</v>
      </c>
      <c r="AE7" s="212">
        <f t="shared" si="2"/>
        <v>866204.63160000008</v>
      </c>
      <c r="AF7" s="212">
        <f t="shared" si="2"/>
        <v>868665.85229999991</v>
      </c>
      <c r="AG7" s="212">
        <f t="shared" si="2"/>
        <v>871651.86010000005</v>
      </c>
      <c r="AH7" s="212">
        <f t="shared" si="2"/>
        <v>874959.90670000005</v>
      </c>
      <c r="AI7" s="212">
        <f t="shared" si="2"/>
        <v>878364.12250000006</v>
      </c>
      <c r="AJ7" s="212">
        <f t="shared" si="2"/>
        <v>881978.71830000007</v>
      </c>
      <c r="AK7" s="212">
        <f t="shared" si="2"/>
        <v>885817.74</v>
      </c>
      <c r="AL7" s="212">
        <f t="shared" si="2"/>
        <v>889593.75639999995</v>
      </c>
      <c r="AM7" s="212">
        <f t="shared" si="2"/>
        <v>893813.34009999991</v>
      </c>
      <c r="AN7" s="212">
        <f t="shared" si="2"/>
        <v>898111.76780000003</v>
      </c>
      <c r="AO7" s="212">
        <f t="shared" si="2"/>
        <v>902780.10100000002</v>
      </c>
      <c r="AP7" s="212">
        <f t="shared" si="2"/>
        <v>907207.6425999999</v>
      </c>
      <c r="AQ7" s="212">
        <f t="shared" si="2"/>
        <v>910937.73360000004</v>
      </c>
      <c r="AR7" s="212">
        <f t="shared" si="2"/>
        <v>915006.62259999989</v>
      </c>
      <c r="AS7" s="212">
        <f t="shared" si="2"/>
        <v>919114.4571</v>
      </c>
      <c r="AT7" s="212">
        <f t="shared" si="2"/>
        <v>923536.09129999997</v>
      </c>
      <c r="AU7" s="212">
        <f t="shared" si="2"/>
        <v>763627.47786999994</v>
      </c>
      <c r="AW7" t="s">
        <v>502</v>
      </c>
      <c r="AX7" s="312">
        <f>Q3/Q2</f>
        <v>1.2787085020611802E-2</v>
      </c>
      <c r="AY7" s="312">
        <f>AA3/AA2</f>
        <v>1.0703826004418446E-2</v>
      </c>
      <c r="AZ7" s="312">
        <f>AU3/AU2</f>
        <v>5.5801326598888109E-3</v>
      </c>
      <c r="BB7" s="312">
        <f>[3]Trafic!$H$27/([3]Trafic!$H$30-[3]Trafic!$H$29)</f>
        <v>9.6732536609177803E-3</v>
      </c>
      <c r="BC7" s="312">
        <f>[3]Trafic!$J$27/([3]Trafic!$J$30-[3]Trafic!$J$29)</f>
        <v>1.4577967949865439E-2</v>
      </c>
      <c r="BD7" s="312">
        <f>[3]Trafic!$N$27/([3]Trafic!$N$30-[3]Trafic!$N$29)</f>
        <v>6.5864876836073186E-3</v>
      </c>
    </row>
    <row r="8" spans="1:56" x14ac:dyDescent="0.25">
      <c r="B8" s="258" t="s">
        <v>471</v>
      </c>
      <c r="C8" s="259">
        <f>Résultats!E288</f>
        <v>533482.14110000001</v>
      </c>
      <c r="D8" s="212">
        <f>Résultats!F288</f>
        <v>549339.01309999998</v>
      </c>
      <c r="E8" s="212">
        <f>Résultats!G288</f>
        <v>553773.31869999995</v>
      </c>
      <c r="F8" s="212">
        <f>Résultats!H288</f>
        <v>564725.70849999995</v>
      </c>
      <c r="G8" s="212">
        <f>Résultats!I288</f>
        <v>573198.96440000006</v>
      </c>
      <c r="H8" s="212">
        <f>Résultats!J288</f>
        <v>588392.95420000004</v>
      </c>
      <c r="I8" s="212">
        <f>Résultats!K288</f>
        <v>603288.08880000003</v>
      </c>
      <c r="J8" s="212">
        <f>Résultats!L288</f>
        <v>621711.88509999996</v>
      </c>
      <c r="K8" s="212">
        <f>Résultats!M288</f>
        <v>646056.07720000006</v>
      </c>
      <c r="L8" s="212">
        <f>Résultats!N288</f>
        <v>670997.83319999999</v>
      </c>
      <c r="M8" s="212">
        <f>Résultats!O288</f>
        <v>674174.17929999996</v>
      </c>
      <c r="N8" s="212">
        <f>Résultats!P288</f>
        <v>673574.7193</v>
      </c>
      <c r="O8" s="212">
        <f>Résultats!Q288</f>
        <v>670268.98010000004</v>
      </c>
      <c r="P8" s="212">
        <f>Résultats!R288</f>
        <v>667526.47889999999</v>
      </c>
      <c r="Q8" s="212">
        <f>Résultats!S288</f>
        <v>671592.70319999999</v>
      </c>
      <c r="R8" s="212">
        <f>Résultats!T288</f>
        <v>673334.02749999997</v>
      </c>
      <c r="S8" s="212">
        <f>Résultats!U288</f>
        <v>675284.73719999997</v>
      </c>
      <c r="T8" s="212">
        <f>Résultats!V288</f>
        <v>677414.27789999999</v>
      </c>
      <c r="U8" s="212">
        <f>Résultats!W288</f>
        <v>683252.91379999998</v>
      </c>
      <c r="V8" s="212">
        <f>Résultats!X288</f>
        <v>687799.76430000004</v>
      </c>
      <c r="W8" s="212">
        <f>Résultats!Y288</f>
        <v>687588.3554</v>
      </c>
      <c r="X8" s="212">
        <f>Résultats!Z288</f>
        <v>686876.69579999999</v>
      </c>
      <c r="Y8" s="212">
        <f>Résultats!AA288</f>
        <v>685878.47779999999</v>
      </c>
      <c r="Z8" s="212">
        <f>Résultats!AB288</f>
        <v>684139.88340000005</v>
      </c>
      <c r="AA8" s="212">
        <f>Résultats!AC288</f>
        <v>681675.93900000001</v>
      </c>
      <c r="AB8" s="212">
        <f>Résultats!AD288</f>
        <v>681176.80310000002</v>
      </c>
      <c r="AC8" s="212">
        <f>Résultats!AE288</f>
        <v>680723.18160000001</v>
      </c>
      <c r="AD8" s="212">
        <f>Résultats!AF288</f>
        <v>680503.47100000002</v>
      </c>
      <c r="AE8" s="212">
        <f>Résultats!AG288</f>
        <v>680239.91040000005</v>
      </c>
      <c r="AF8" s="212">
        <f>Résultats!AH288</f>
        <v>680103.52969999996</v>
      </c>
      <c r="AG8" s="212">
        <f>Résultats!AI288</f>
        <v>680379.11170000001</v>
      </c>
      <c r="AH8" s="212">
        <f>Résultats!AJ288</f>
        <v>680967.35820000002</v>
      </c>
      <c r="AI8" s="212">
        <f>Résultats!AK288</f>
        <v>681673.83400000003</v>
      </c>
      <c r="AJ8" s="212">
        <f>Résultats!AL288</f>
        <v>682562.02280000004</v>
      </c>
      <c r="AK8" s="212">
        <f>Résultats!AM288</f>
        <v>683638.62879999995</v>
      </c>
      <c r="AL8" s="212">
        <f>Résultats!AN288</f>
        <v>684722.30839999998</v>
      </c>
      <c r="AM8" s="212">
        <f>Résultats!AO288</f>
        <v>686149.70629999996</v>
      </c>
      <c r="AN8" s="212">
        <f>Résultats!AP288</f>
        <v>687664.66680000001</v>
      </c>
      <c r="AO8" s="212">
        <f>Résultats!AQ288</f>
        <v>689449.15399999998</v>
      </c>
      <c r="AP8" s="212">
        <f>Résultats!AR288</f>
        <v>690761.49679999996</v>
      </c>
      <c r="AQ8" s="212">
        <f>Résultats!AS288</f>
        <v>691674.60270000005</v>
      </c>
      <c r="AR8" s="212">
        <f>Résultats!AT288</f>
        <v>692892.76619999995</v>
      </c>
      <c r="AS8" s="212">
        <f>Résultats!AU288</f>
        <v>694193.95479999995</v>
      </c>
      <c r="AT8" s="212">
        <f>Résultats!AV288</f>
        <v>695721.19279999996</v>
      </c>
      <c r="AU8" s="260">
        <f>Résultats!AW288</f>
        <v>695494.74439999997</v>
      </c>
      <c r="AW8" t="s">
        <v>503</v>
      </c>
      <c r="AX8" s="312">
        <f>+Q6/Q2</f>
        <v>0.11611401046659553</v>
      </c>
      <c r="AY8" s="312">
        <f>+AA6/AA2</f>
        <v>0.14997411647933967</v>
      </c>
      <c r="AZ8" s="312">
        <f>+AU6/AU2</f>
        <v>0.18950841458911544</v>
      </c>
      <c r="BB8" s="312">
        <f>[3]Trafic!$H$25/[3]Trafic!$H$31</f>
        <v>8.6581998710879085E-2</v>
      </c>
      <c r="BC8" s="312">
        <f>[3]Trafic!$J$25/[3]Trafic!$J$31</f>
        <v>0.14233557304995703</v>
      </c>
      <c r="BD8" s="312">
        <f>[3]Trafic!$N$25/[3]Trafic!$N$31</f>
        <v>0.18954036770730018</v>
      </c>
    </row>
    <row r="9" spans="1:56" x14ac:dyDescent="0.25">
      <c r="B9" s="261" t="s">
        <v>472</v>
      </c>
      <c r="C9" s="262">
        <f>Résultats!E289</f>
        <v>85388.792730000001</v>
      </c>
      <c r="D9" s="263">
        <f>Résultats!F289</f>
        <v>92860.319959999906</v>
      </c>
      <c r="E9" s="263">
        <f>Résultats!G289</f>
        <v>95363.862510000006</v>
      </c>
      <c r="F9" s="263">
        <f>Résultats!H289</f>
        <v>100650.7597</v>
      </c>
      <c r="G9" s="263">
        <f>Résultats!I289</f>
        <v>103987.973</v>
      </c>
      <c r="H9" s="263">
        <f>Résultats!J289</f>
        <v>112093.5337</v>
      </c>
      <c r="I9" s="263">
        <f>Résultats!K289</f>
        <v>117529.60030000001</v>
      </c>
      <c r="J9" s="263">
        <f>Résultats!L289</f>
        <v>123386.47900000001</v>
      </c>
      <c r="K9" s="263">
        <f>Résultats!M289</f>
        <v>131620.80720000001</v>
      </c>
      <c r="L9" s="263">
        <f>Résultats!N289</f>
        <v>134862.33199999999</v>
      </c>
      <c r="M9" s="263">
        <f>Résultats!O289</f>
        <v>131011.35860000001</v>
      </c>
      <c r="N9" s="263">
        <f>Résultats!P289</f>
        <v>130954.6833</v>
      </c>
      <c r="O9" s="263">
        <f>Résultats!Q289</f>
        <v>134519.98060000001</v>
      </c>
      <c r="P9" s="263">
        <f>Résultats!R289</f>
        <v>133193.00099999999</v>
      </c>
      <c r="Q9" s="263">
        <f>Résultats!S290</f>
        <v>56227.43851</v>
      </c>
      <c r="R9" s="263">
        <f>Résultats!T289</f>
        <v>132346.1692</v>
      </c>
      <c r="S9" s="263">
        <f>Résultats!U289</f>
        <v>132808.48060000001</v>
      </c>
      <c r="T9" s="263">
        <f>Résultats!V289</f>
        <v>133661.67439999999</v>
      </c>
      <c r="U9" s="263">
        <f>Résultats!W289</f>
        <v>144441.78030000001</v>
      </c>
      <c r="V9" s="263">
        <f>Résultats!X289</f>
        <v>155964.2408</v>
      </c>
      <c r="W9" s="263">
        <f>Résultats!Y289</f>
        <v>159178.177</v>
      </c>
      <c r="X9" s="263">
        <f>Résultats!Z289</f>
        <v>162916.96030000001</v>
      </c>
      <c r="Y9" s="263">
        <f>Résultats!AA289</f>
        <v>166922.09160000001</v>
      </c>
      <c r="Z9" s="263">
        <f>Résultats!AB289</f>
        <v>171259.14050000001</v>
      </c>
      <c r="AA9" s="263">
        <f>Résultats!AC290</f>
        <v>61244.567759999998</v>
      </c>
      <c r="AB9" s="263">
        <f>Résultats!AD289</f>
        <v>178305.3126</v>
      </c>
      <c r="AC9" s="263">
        <f>Résultats!AE289</f>
        <v>180837.43239999999</v>
      </c>
      <c r="AD9" s="263">
        <f>Résultats!AF289</f>
        <v>183418.5209</v>
      </c>
      <c r="AE9" s="263">
        <f>Résultats!AG289</f>
        <v>185964.7212</v>
      </c>
      <c r="AF9" s="263">
        <f>Résultats!AH289</f>
        <v>188562.32260000001</v>
      </c>
      <c r="AG9" s="263">
        <f>Résultats!AI289</f>
        <v>191272.74840000001</v>
      </c>
      <c r="AH9" s="263">
        <f>Résultats!AJ289</f>
        <v>193992.5485</v>
      </c>
      <c r="AI9" s="263">
        <f>Résultats!AK289</f>
        <v>196690.2885</v>
      </c>
      <c r="AJ9" s="263">
        <f>Résultats!AL289</f>
        <v>199416.6955</v>
      </c>
      <c r="AK9" s="263">
        <f>Résultats!AM289</f>
        <v>202179.11120000001</v>
      </c>
      <c r="AL9" s="263">
        <f>Résultats!AN289</f>
        <v>204871.448</v>
      </c>
      <c r="AM9" s="263">
        <f>Résultats!AO289</f>
        <v>207663.63380000001</v>
      </c>
      <c r="AN9" s="263">
        <f>Résultats!AP289</f>
        <v>210447.101</v>
      </c>
      <c r="AO9" s="263">
        <f>Résultats!AQ289</f>
        <v>213330.94699999999</v>
      </c>
      <c r="AP9" s="263">
        <f>Résultats!AR289</f>
        <v>216446.1458</v>
      </c>
      <c r="AQ9" s="263">
        <f>Résultats!AS289</f>
        <v>219263.13089999999</v>
      </c>
      <c r="AR9" s="263">
        <f>Résultats!AT289</f>
        <v>222113.85639999999</v>
      </c>
      <c r="AS9" s="263">
        <f>Résultats!AU289</f>
        <v>224920.50229999999</v>
      </c>
      <c r="AT9" s="263">
        <f>Résultats!AV289</f>
        <v>227814.89850000001</v>
      </c>
      <c r="AU9" s="264">
        <f>Résultats!AW290</f>
        <v>68132.733470000006</v>
      </c>
      <c r="AW9" t="s">
        <v>504</v>
      </c>
      <c r="AX9" s="312">
        <f>Q9/Q2</f>
        <v>4.9063020398060812E-2</v>
      </c>
      <c r="AY9" s="312">
        <f>AA9/AA2</f>
        <v>5.2258156058244139E-2</v>
      </c>
      <c r="AZ9" s="312">
        <f>AU9/AU2</f>
        <v>5.5995268708550663E-2</v>
      </c>
      <c r="BB9" s="312">
        <f>[3]Trafic!$H$26/[3]Trafic!$H$31</f>
        <v>5.0587052351781035E-2</v>
      </c>
      <c r="BC9" s="312">
        <f>[3]Trafic!$J$26/[3]Trafic!$J$31</f>
        <v>7.6007847942966056E-2</v>
      </c>
      <c r="BD9" s="312">
        <f>[3]Trafic!$N$26/[3]Trafic!$N$31</f>
        <v>9.8293993125704568E-2</v>
      </c>
    </row>
    <row r="10" spans="1:56" x14ac:dyDescent="0.25">
      <c r="B10" s="249" t="s">
        <v>473</v>
      </c>
      <c r="C10" s="250">
        <f t="shared" ref="C10:AU10" si="3">C5+C8</f>
        <v>696943.44530000002</v>
      </c>
      <c r="D10" s="251">
        <f t="shared" si="3"/>
        <v>722481.21250000002</v>
      </c>
      <c r="E10" s="251">
        <f t="shared" si="3"/>
        <v>734533.91009999998</v>
      </c>
      <c r="F10" s="251">
        <f t="shared" si="3"/>
        <v>752887.52559999994</v>
      </c>
      <c r="G10" s="251">
        <f t="shared" si="3"/>
        <v>768554.65550000011</v>
      </c>
      <c r="H10" s="251">
        <f t="shared" si="3"/>
        <v>793353.72220000008</v>
      </c>
      <c r="I10" s="251">
        <f t="shared" si="3"/>
        <v>823126.52399999998</v>
      </c>
      <c r="J10" s="251">
        <f t="shared" si="3"/>
        <v>856941.19609999994</v>
      </c>
      <c r="K10" s="251">
        <f t="shared" si="3"/>
        <v>897768.7117000001</v>
      </c>
      <c r="L10" s="251">
        <f t="shared" si="3"/>
        <v>945169.27159999998</v>
      </c>
      <c r="M10" s="251">
        <f t="shared" si="3"/>
        <v>948922.74369999999</v>
      </c>
      <c r="N10" s="251">
        <f t="shared" si="3"/>
        <v>944612.37719999999</v>
      </c>
      <c r="O10" s="251">
        <f t="shared" si="3"/>
        <v>937769.99390000012</v>
      </c>
      <c r="P10" s="251">
        <f t="shared" si="3"/>
        <v>934546.95860000001</v>
      </c>
      <c r="Q10" s="251">
        <f>Q5+Q8</f>
        <v>942073.5159</v>
      </c>
      <c r="R10" s="251">
        <f t="shared" si="3"/>
        <v>947541.68599999999</v>
      </c>
      <c r="S10" s="251">
        <f t="shared" si="3"/>
        <v>949661.71909999999</v>
      </c>
      <c r="T10" s="251">
        <f t="shared" si="3"/>
        <v>951524.54180000001</v>
      </c>
      <c r="U10" s="251">
        <f t="shared" si="3"/>
        <v>948938.96640000003</v>
      </c>
      <c r="V10" s="251">
        <f t="shared" si="3"/>
        <v>943652.18320000009</v>
      </c>
      <c r="W10" s="251">
        <f t="shared" si="3"/>
        <v>942767.93469999998</v>
      </c>
      <c r="X10" s="251">
        <f t="shared" si="3"/>
        <v>939776.92810000002</v>
      </c>
      <c r="Y10" s="251">
        <f t="shared" si="3"/>
        <v>935554.87210000004</v>
      </c>
      <c r="Z10" s="251">
        <f t="shared" si="3"/>
        <v>929620.97290000005</v>
      </c>
      <c r="AA10" s="251">
        <f t="shared" si="3"/>
        <v>922408.90379999997</v>
      </c>
      <c r="AB10" s="251">
        <f t="shared" si="3"/>
        <v>918282.72019999998</v>
      </c>
      <c r="AC10" s="251">
        <f t="shared" si="3"/>
        <v>914865.22869999998</v>
      </c>
      <c r="AD10" s="251">
        <f t="shared" si="3"/>
        <v>912042.53989999997</v>
      </c>
      <c r="AE10" s="251">
        <f t="shared" si="3"/>
        <v>909839.98360000004</v>
      </c>
      <c r="AF10" s="251">
        <f t="shared" si="3"/>
        <v>908046.48809999996</v>
      </c>
      <c r="AG10" s="251">
        <f t="shared" si="3"/>
        <v>906419.6213</v>
      </c>
      <c r="AH10" s="251">
        <f t="shared" si="3"/>
        <v>905697.31339999998</v>
      </c>
      <c r="AI10" s="251">
        <f t="shared" si="3"/>
        <v>905440.74450000003</v>
      </c>
      <c r="AJ10" s="251">
        <f t="shared" si="3"/>
        <v>905491.89440000011</v>
      </c>
      <c r="AK10" s="251">
        <f t="shared" si="3"/>
        <v>905783.31809999992</v>
      </c>
      <c r="AL10" s="251">
        <f t="shared" si="3"/>
        <v>906456.33589999995</v>
      </c>
      <c r="AM10" s="251">
        <f t="shared" si="3"/>
        <v>907368.94169999997</v>
      </c>
      <c r="AN10" s="251">
        <f t="shared" si="3"/>
        <v>908469.43810000003</v>
      </c>
      <c r="AO10" s="251">
        <f t="shared" si="3"/>
        <v>909788.35730000003</v>
      </c>
      <c r="AP10" s="251">
        <f t="shared" si="3"/>
        <v>908961.57949999999</v>
      </c>
      <c r="AQ10" s="251">
        <f t="shared" si="3"/>
        <v>909091.20440000005</v>
      </c>
      <c r="AR10" s="251">
        <f t="shared" si="3"/>
        <v>909529.68499999994</v>
      </c>
      <c r="AS10" s="251">
        <f t="shared" si="3"/>
        <v>910174.85619999992</v>
      </c>
      <c r="AT10" s="251">
        <f t="shared" si="3"/>
        <v>911033.1743999999</v>
      </c>
      <c r="AU10" s="252">
        <f t="shared" si="3"/>
        <v>911250.32409999997</v>
      </c>
      <c r="AW10" t="s">
        <v>505</v>
      </c>
      <c r="AX10" s="312">
        <f>1-SUM(AX7:AX9)</f>
        <v>0.82203588411473183</v>
      </c>
      <c r="AY10" s="312">
        <f>1-SUM(AY7:AY9)</f>
        <v>0.78706390145799776</v>
      </c>
      <c r="AZ10" s="312">
        <f t="shared" ref="AZ10" si="4">1-SUM(AZ7:AZ9)</f>
        <v>0.74891618404244509</v>
      </c>
      <c r="BB10" s="312">
        <f>([3]Trafic!$H$23+[3]Trafic!$H$28)/[3]Trafic!$H$30</f>
        <v>0.84698145105670741</v>
      </c>
      <c r="BC10" s="312">
        <f>([3]Trafic!$J$23+[3]Trafic!$J$28)/[3]Trafic!$J$30</f>
        <v>0.75252158630631349</v>
      </c>
      <c r="BD10" s="312">
        <f>([3]Trafic!$N$23+[3]Trafic!$N$28)/[3]Trafic!$N$30</f>
        <v>0.6858880697768327</v>
      </c>
    </row>
    <row r="11" spans="1:56" x14ac:dyDescent="0.25"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</row>
    <row r="12" spans="1:56" s="244" customFormat="1" ht="45" customHeight="1" x14ac:dyDescent="0.25">
      <c r="A12" s="239" t="s">
        <v>474</v>
      </c>
      <c r="B12" s="240" t="s">
        <v>465</v>
      </c>
      <c r="C12" s="242">
        <v>2006</v>
      </c>
      <c r="D12" s="242">
        <v>2007</v>
      </c>
      <c r="E12" s="242">
        <v>2008</v>
      </c>
      <c r="F12" s="242">
        <v>2009</v>
      </c>
      <c r="G12" s="242">
        <v>2010</v>
      </c>
      <c r="H12" s="242">
        <v>2011</v>
      </c>
      <c r="I12" s="242">
        <v>2012</v>
      </c>
      <c r="J12" s="242">
        <v>2013</v>
      </c>
      <c r="K12" s="242">
        <v>2014</v>
      </c>
      <c r="L12" s="242">
        <v>2015</v>
      </c>
      <c r="M12" s="242">
        <v>2016</v>
      </c>
      <c r="N12" s="242">
        <v>2017</v>
      </c>
      <c r="O12" s="242">
        <v>2018</v>
      </c>
      <c r="P12" s="242">
        <v>2019</v>
      </c>
      <c r="Q12" s="242">
        <v>2020</v>
      </c>
      <c r="R12" s="242">
        <v>2021</v>
      </c>
      <c r="S12" s="242">
        <v>2022</v>
      </c>
      <c r="T12" s="242">
        <v>2023</v>
      </c>
      <c r="U12" s="242">
        <v>2024</v>
      </c>
      <c r="V12" s="242">
        <v>2025</v>
      </c>
      <c r="W12" s="242">
        <v>2026</v>
      </c>
      <c r="X12" s="242">
        <v>2027</v>
      </c>
      <c r="Y12" s="242">
        <v>2028</v>
      </c>
      <c r="Z12" s="242">
        <v>2029</v>
      </c>
      <c r="AA12" s="242">
        <v>2030</v>
      </c>
      <c r="AB12" s="242">
        <v>2031</v>
      </c>
      <c r="AC12" s="242">
        <v>2032</v>
      </c>
      <c r="AD12" s="242">
        <v>2033</v>
      </c>
      <c r="AE12" s="242">
        <v>2034</v>
      </c>
      <c r="AF12" s="242">
        <v>2035</v>
      </c>
      <c r="AG12" s="242">
        <v>2036</v>
      </c>
      <c r="AH12" s="242">
        <v>2037</v>
      </c>
      <c r="AI12" s="242">
        <v>2038</v>
      </c>
      <c r="AJ12" s="242">
        <v>2039</v>
      </c>
      <c r="AK12" s="242">
        <v>2040</v>
      </c>
      <c r="AL12" s="242">
        <v>2041</v>
      </c>
      <c r="AM12" s="242">
        <v>2042</v>
      </c>
      <c r="AN12" s="242">
        <v>2043</v>
      </c>
      <c r="AO12" s="242">
        <v>2044</v>
      </c>
      <c r="AP12" s="242">
        <v>2045</v>
      </c>
      <c r="AQ12" s="242">
        <v>2046</v>
      </c>
      <c r="AR12" s="242">
        <v>2047</v>
      </c>
      <c r="AS12" s="242">
        <v>2048</v>
      </c>
      <c r="AT12" s="242">
        <v>2049</v>
      </c>
      <c r="AU12" s="243">
        <v>2050</v>
      </c>
      <c r="AW12" s="266" t="s">
        <v>493</v>
      </c>
      <c r="AX12" s="242">
        <v>2020</v>
      </c>
      <c r="AY12" s="242">
        <v>2030</v>
      </c>
      <c r="AZ12" s="243">
        <v>2050</v>
      </c>
    </row>
    <row r="13" spans="1:56" x14ac:dyDescent="0.25">
      <c r="B13" s="245" t="s">
        <v>1</v>
      </c>
      <c r="C13" s="246">
        <f t="shared" ref="C13:AU13" si="5">C14+C15+C18</f>
        <v>842942.38378000003</v>
      </c>
      <c r="D13" s="247">
        <f t="shared" si="5"/>
        <v>877575.82444</v>
      </c>
      <c r="E13" s="247">
        <f t="shared" si="5"/>
        <v>892239.60917000007</v>
      </c>
      <c r="F13" s="247">
        <f t="shared" si="5"/>
        <v>916398.63481999992</v>
      </c>
      <c r="G13" s="247">
        <f t="shared" si="5"/>
        <v>935519.36810000008</v>
      </c>
      <c r="H13" s="247">
        <f t="shared" si="5"/>
        <v>970099.10462</v>
      </c>
      <c r="I13" s="247">
        <f t="shared" si="5"/>
        <v>1005936.3992000001</v>
      </c>
      <c r="J13" s="247">
        <f t="shared" si="5"/>
        <v>1046493.0201900001</v>
      </c>
      <c r="K13" s="247">
        <f t="shared" si="5"/>
        <v>1097641.24107</v>
      </c>
      <c r="L13" s="247">
        <f t="shared" si="5"/>
        <v>1149488.26963</v>
      </c>
      <c r="M13" s="247">
        <f t="shared" si="5"/>
        <v>1149708.2809899999</v>
      </c>
      <c r="N13" s="247">
        <f t="shared" si="5"/>
        <v>1145956.0021299999</v>
      </c>
      <c r="O13" s="247">
        <f t="shared" si="5"/>
        <v>1143112.36311</v>
      </c>
      <c r="P13" s="247">
        <f t="shared" si="5"/>
        <v>1138457.43545</v>
      </c>
      <c r="Q13" s="247">
        <f t="shared" si="5"/>
        <v>1145565.5343499999</v>
      </c>
      <c r="R13" s="247">
        <f t="shared" si="5"/>
        <v>1150983.1273000001</v>
      </c>
      <c r="S13" s="247">
        <f t="shared" si="5"/>
        <v>1153617.1878200001</v>
      </c>
      <c r="T13" s="247">
        <f t="shared" si="5"/>
        <v>1156518.5725699998</v>
      </c>
      <c r="U13" s="247">
        <f t="shared" si="5"/>
        <v>1159414.44322</v>
      </c>
      <c r="V13" s="247">
        <f t="shared" si="5"/>
        <v>1161764.17622</v>
      </c>
      <c r="W13" s="247">
        <f t="shared" si="5"/>
        <v>1163314.9948999998</v>
      </c>
      <c r="X13" s="247">
        <f t="shared" si="5"/>
        <v>1164494.3227200001</v>
      </c>
      <c r="Y13" s="247">
        <f t="shared" si="5"/>
        <v>1165950.1559599999</v>
      </c>
      <c r="Z13" s="247">
        <f t="shared" si="5"/>
        <v>1167484.9496599999</v>
      </c>
      <c r="AA13" s="247">
        <f t="shared" si="5"/>
        <v>1169089.94374</v>
      </c>
      <c r="AB13" s="247">
        <f t="shared" si="5"/>
        <v>1168415.54614</v>
      </c>
      <c r="AC13" s="247">
        <f t="shared" si="5"/>
        <v>1170698.8471900001</v>
      </c>
      <c r="AD13" s="247">
        <f t="shared" si="5"/>
        <v>1172864.7152</v>
      </c>
      <c r="AE13" s="247">
        <f t="shared" si="5"/>
        <v>1174921.1481399999</v>
      </c>
      <c r="AF13" s="247">
        <f t="shared" si="5"/>
        <v>1179288.84014</v>
      </c>
      <c r="AG13" s="247">
        <f t="shared" si="5"/>
        <v>1181024.7851100001</v>
      </c>
      <c r="AH13" s="247">
        <f t="shared" si="5"/>
        <v>1183518.5010800001</v>
      </c>
      <c r="AI13" s="247">
        <f t="shared" si="5"/>
        <v>1186275.5276899999</v>
      </c>
      <c r="AJ13" s="247">
        <f t="shared" si="5"/>
        <v>1189270.2702899999</v>
      </c>
      <c r="AK13" s="247">
        <f t="shared" si="5"/>
        <v>1192518.4353</v>
      </c>
      <c r="AL13" s="247">
        <f t="shared" si="5"/>
        <v>1197890.5511999999</v>
      </c>
      <c r="AM13" s="247">
        <f t="shared" si="5"/>
        <v>1202660.8745200001</v>
      </c>
      <c r="AN13" s="247">
        <f t="shared" si="5"/>
        <v>1207294.87876</v>
      </c>
      <c r="AO13" s="247">
        <f t="shared" si="5"/>
        <v>1211916.0668599999</v>
      </c>
      <c r="AP13" s="247">
        <f t="shared" si="5"/>
        <v>1216519.45575</v>
      </c>
      <c r="AQ13" s="247">
        <f t="shared" si="5"/>
        <v>1222024.4769600001</v>
      </c>
      <c r="AR13" s="247">
        <f t="shared" si="5"/>
        <v>1227076.9685</v>
      </c>
      <c r="AS13" s="247">
        <f t="shared" si="5"/>
        <v>1231838.57369</v>
      </c>
      <c r="AT13" s="247">
        <f t="shared" si="5"/>
        <v>1236439.3980800002</v>
      </c>
      <c r="AU13" s="248">
        <f t="shared" si="5"/>
        <v>1240970.1425999999</v>
      </c>
      <c r="AW13" t="s">
        <v>494</v>
      </c>
      <c r="AX13" s="299">
        <f>Q19/Q18</f>
        <v>0.92278228948870245</v>
      </c>
      <c r="AY13" s="299">
        <f>AA19/AA18</f>
        <v>0.92094182250106926</v>
      </c>
      <c r="AZ13" s="299">
        <f>AU19/AU18</f>
        <v>0.92178905490893537</v>
      </c>
    </row>
    <row r="14" spans="1:56" x14ac:dyDescent="0.25">
      <c r="B14" s="249" t="s">
        <v>466</v>
      </c>
      <c r="C14" s="250">
        <f>Résultats!E294</f>
        <v>13442.05508</v>
      </c>
      <c r="D14" s="251">
        <f>Résultats!F294</f>
        <v>13725.29794</v>
      </c>
      <c r="E14" s="251">
        <f>Résultats!G294</f>
        <v>14101.09937</v>
      </c>
      <c r="F14" s="251">
        <f>Résultats!H294</f>
        <v>13577.16942</v>
      </c>
      <c r="G14" s="251">
        <f>Résultats!I294</f>
        <v>13056.794599999999</v>
      </c>
      <c r="H14" s="251">
        <f>Résultats!J294</f>
        <v>13319.90432</v>
      </c>
      <c r="I14" s="251">
        <f>Résultats!K294</f>
        <v>13518.072700000001</v>
      </c>
      <c r="J14" s="251">
        <f>Résultats!L294</f>
        <v>13372.97279</v>
      </c>
      <c r="K14" s="251">
        <f>Résultats!M294</f>
        <v>13524.236269999999</v>
      </c>
      <c r="L14" s="251">
        <f>Résultats!N294</f>
        <v>13889.918030000001</v>
      </c>
      <c r="M14" s="251">
        <f>Résultats!O294</f>
        <v>14084.75899</v>
      </c>
      <c r="N14" s="251">
        <f>Résultats!P294</f>
        <v>14301.911630000001</v>
      </c>
      <c r="O14" s="251">
        <f>Résultats!Q294</f>
        <v>14637.991410000001</v>
      </c>
      <c r="P14" s="251">
        <f>Résultats!R294</f>
        <v>14981.466350000001</v>
      </c>
      <c r="Q14" s="251">
        <f>Résultats!S294</f>
        <v>14654.316650000001</v>
      </c>
      <c r="R14" s="251">
        <f>Résultats!T294</f>
        <v>14142.151</v>
      </c>
      <c r="S14" s="251">
        <f>Résultats!U294</f>
        <v>13932.44472</v>
      </c>
      <c r="T14" s="251">
        <f>Résultats!V294</f>
        <v>13826.822770000001</v>
      </c>
      <c r="U14" s="251">
        <f>Résultats!W294</f>
        <v>14054.724920000001</v>
      </c>
      <c r="V14" s="251">
        <f>Résultats!X294</f>
        <v>14198.40562</v>
      </c>
      <c r="W14" s="251">
        <f>Résultats!Y294</f>
        <v>14344.294900000001</v>
      </c>
      <c r="X14" s="251">
        <f>Résultats!Z294</f>
        <v>14441.42792</v>
      </c>
      <c r="Y14" s="251">
        <f>Résultats!AA294</f>
        <v>14590.50476</v>
      </c>
      <c r="Z14" s="251">
        <f>Résultats!AB294</f>
        <v>14757.45376</v>
      </c>
      <c r="AA14" s="251">
        <f>Résultats!AC294</f>
        <v>14927.25404</v>
      </c>
      <c r="AB14" s="251">
        <f>Résultats!AD294</f>
        <v>15092.16784</v>
      </c>
      <c r="AC14" s="251">
        <f>Résultats!AE294</f>
        <v>15247.10989</v>
      </c>
      <c r="AD14" s="251">
        <f>Résultats!AF294</f>
        <v>15426.2371</v>
      </c>
      <c r="AE14" s="251">
        <f>Résultats!AG294</f>
        <v>15633.67704</v>
      </c>
      <c r="AF14" s="251">
        <f>Résultats!AH294</f>
        <v>15875.908939999999</v>
      </c>
      <c r="AG14" s="251">
        <f>Résultats!AI294</f>
        <v>16159.170410000001</v>
      </c>
      <c r="AH14" s="251">
        <f>Résultats!AJ294</f>
        <v>16464.484779999999</v>
      </c>
      <c r="AI14" s="251">
        <f>Résultats!AK294</f>
        <v>16767.137890000002</v>
      </c>
      <c r="AJ14" s="251">
        <f>Résultats!AL294</f>
        <v>17082.963090000001</v>
      </c>
      <c r="AK14" s="251">
        <f>Résultats!AM294</f>
        <v>17417.9663</v>
      </c>
      <c r="AL14" s="251">
        <f>Résultats!AN294</f>
        <v>17776.993600000002</v>
      </c>
      <c r="AM14" s="251">
        <f>Résultats!AO294</f>
        <v>18164.85282</v>
      </c>
      <c r="AN14" s="251">
        <f>Résultats!AP294</f>
        <v>18585.114259999998</v>
      </c>
      <c r="AO14" s="251">
        <f>Résultats!AQ294</f>
        <v>19022.503560000001</v>
      </c>
      <c r="AP14" s="251">
        <f>Résultats!AR294</f>
        <v>19469.149649999999</v>
      </c>
      <c r="AQ14" s="251">
        <f>Résultats!AS294</f>
        <v>19918.14546</v>
      </c>
      <c r="AR14" s="251">
        <f>Résultats!AT294</f>
        <v>20377.724699999999</v>
      </c>
      <c r="AS14" s="251">
        <f>Résultats!AU294</f>
        <v>20845.44269</v>
      </c>
      <c r="AT14" s="251">
        <f>Résultats!AV294</f>
        <v>21318.379980000002</v>
      </c>
      <c r="AU14" s="252">
        <f>Résultats!AW294</f>
        <v>21803.323700000001</v>
      </c>
      <c r="AW14" t="s">
        <v>495</v>
      </c>
      <c r="AX14" s="299">
        <f>Q16/Q15</f>
        <v>0.67096821980309274</v>
      </c>
      <c r="AY14" s="299">
        <f>AA16/AA15</f>
        <v>0.67155876636770062</v>
      </c>
      <c r="AZ14" s="299">
        <f>AU16/AU15</f>
        <v>0.67657592264614574</v>
      </c>
    </row>
    <row r="15" spans="1:56" x14ac:dyDescent="0.25">
      <c r="B15" s="254" t="s">
        <v>467</v>
      </c>
      <c r="C15" s="255">
        <f>Résultats!E300</f>
        <v>248850.0986</v>
      </c>
      <c r="D15" s="256">
        <f>Résultats!F300</f>
        <v>265981.65950000001</v>
      </c>
      <c r="E15" s="256">
        <f>Résultats!G300</f>
        <v>276094.31880000001</v>
      </c>
      <c r="F15" s="256">
        <f>Résultats!H300</f>
        <v>288774.80589999998</v>
      </c>
      <c r="G15" s="256">
        <f>Résultats!I300</f>
        <v>299303.70010000002</v>
      </c>
      <c r="H15" s="256">
        <f>Résultats!J300</f>
        <v>316985.5858</v>
      </c>
      <c r="I15" s="256">
        <f>Résultats!K300</f>
        <v>337275.06920000003</v>
      </c>
      <c r="J15" s="256">
        <f>Résultats!L300</f>
        <v>358502.25060000003</v>
      </c>
      <c r="K15" s="256">
        <f>Résultats!M300</f>
        <v>383211.65480000002</v>
      </c>
      <c r="L15" s="256">
        <f>Résultats!N300</f>
        <v>408732.6814</v>
      </c>
      <c r="M15" s="256">
        <f>Résultats!O300</f>
        <v>405418.14</v>
      </c>
      <c r="N15" s="256">
        <f>Résultats!P300</f>
        <v>401646.10920000001</v>
      </c>
      <c r="O15" s="256">
        <f>Résultats!Q300</f>
        <v>401603.8542</v>
      </c>
      <c r="P15" s="256">
        <f>Résultats!R300</f>
        <v>399795.28730000003</v>
      </c>
      <c r="Q15" s="256">
        <f>Résultats!S300</f>
        <v>403120.15490000002</v>
      </c>
      <c r="R15" s="256">
        <f>Résultats!T300</f>
        <v>406104.03470000002</v>
      </c>
      <c r="S15" s="256">
        <f>Résultats!U300</f>
        <v>406734.6029</v>
      </c>
      <c r="T15" s="256">
        <f>Résultats!V300</f>
        <v>407321.63689999998</v>
      </c>
      <c r="U15" s="256">
        <f>Résultats!W300</f>
        <v>408174.79070000001</v>
      </c>
      <c r="V15" s="256">
        <f>Résultats!X300</f>
        <v>408848.67560000002</v>
      </c>
      <c r="W15" s="256">
        <f>Résultats!Y300</f>
        <v>409274.84820000001</v>
      </c>
      <c r="X15" s="256">
        <f>Résultats!Z300</f>
        <v>409578.84519999998</v>
      </c>
      <c r="Y15" s="256">
        <f>Résultats!AA300</f>
        <v>410035.90139999997</v>
      </c>
      <c r="Z15" s="256">
        <f>Résultats!AB300</f>
        <v>410521.73060000001</v>
      </c>
      <c r="AA15" s="256">
        <f>Résultats!AC300</f>
        <v>411033.52130000002</v>
      </c>
      <c r="AB15" s="256">
        <f>Résultats!AD300</f>
        <v>409911.00630000001</v>
      </c>
      <c r="AC15" s="256">
        <f>Résultats!AE300</f>
        <v>411073.98420000001</v>
      </c>
      <c r="AD15" s="256">
        <f>Résultats!AF300</f>
        <v>411733.34110000002</v>
      </c>
      <c r="AE15" s="256">
        <f>Résultats!AG300</f>
        <v>412436.81199999998</v>
      </c>
      <c r="AF15" s="256">
        <f>Résultats!AH300</f>
        <v>414754.05099999998</v>
      </c>
      <c r="AG15" s="256">
        <f>Résultats!AI300</f>
        <v>414859.6876</v>
      </c>
      <c r="AH15" s="256">
        <f>Résultats!AJ300</f>
        <v>415459.723</v>
      </c>
      <c r="AI15" s="256">
        <f>Résultats!AK300</f>
        <v>416265.08860000002</v>
      </c>
      <c r="AJ15" s="256">
        <f>Résultats!AL300</f>
        <v>417147.42099999997</v>
      </c>
      <c r="AK15" s="256">
        <f>Résultats!AM300</f>
        <v>418100.35869999998</v>
      </c>
      <c r="AL15" s="256">
        <f>Résultats!AN300</f>
        <v>420498.87479999999</v>
      </c>
      <c r="AM15" s="256">
        <f>Résultats!AO300</f>
        <v>422306.46289999998</v>
      </c>
      <c r="AN15" s="256">
        <f>Résultats!AP300</f>
        <v>423921.39809999999</v>
      </c>
      <c r="AO15" s="256">
        <f>Résultats!AQ300</f>
        <v>425447.66519999999</v>
      </c>
      <c r="AP15" s="256">
        <f>Résultats!AR300</f>
        <v>426943.53210000001</v>
      </c>
      <c r="AQ15" s="256">
        <f>Résultats!AS300</f>
        <v>429138.17580000003</v>
      </c>
      <c r="AR15" s="256">
        <f>Résultats!AT300</f>
        <v>431004.21110000001</v>
      </c>
      <c r="AS15" s="256">
        <f>Résultats!AU300</f>
        <v>432738.951</v>
      </c>
      <c r="AT15" s="256">
        <f>Résultats!AV300</f>
        <v>434380.89559999999</v>
      </c>
      <c r="AU15" s="257">
        <f>Résultats!AW300</f>
        <v>435996.87089999998</v>
      </c>
      <c r="AW15" t="s">
        <v>496</v>
      </c>
      <c r="AX15" s="299">
        <f>Q21/(Q18+Q15)</f>
        <v>0.83302163879490898</v>
      </c>
      <c r="AY15" s="299">
        <f>AA21/(AA18+AA15)</f>
        <v>0.83212869708137815</v>
      </c>
      <c r="AZ15" s="299">
        <f>AU21/(AU18+AU15)</f>
        <v>0.83409624969740082</v>
      </c>
    </row>
    <row r="16" spans="1:56" x14ac:dyDescent="0.25">
      <c r="B16" s="258" t="s">
        <v>468</v>
      </c>
      <c r="C16" s="259">
        <f>Résultats!E295</f>
        <v>163461.30420000001</v>
      </c>
      <c r="D16" s="212">
        <f>Résultats!F295</f>
        <v>173142.19940000001</v>
      </c>
      <c r="E16" s="212">
        <f>Résultats!G295</f>
        <v>180760.5914</v>
      </c>
      <c r="F16" s="212">
        <f>Résultats!H295</f>
        <v>188161.81709999999</v>
      </c>
      <c r="G16" s="212">
        <f>Résultats!I295</f>
        <v>195355.6911</v>
      </c>
      <c r="H16" s="212">
        <f>Résultats!J295</f>
        <v>204960.76800000001</v>
      </c>
      <c r="I16" s="212">
        <f>Résultats!K295</f>
        <v>219838.43520000001</v>
      </c>
      <c r="J16" s="212">
        <f>Résultats!L295</f>
        <v>235229.31099999999</v>
      </c>
      <c r="K16" s="212">
        <f>Résultats!M295</f>
        <v>251712.63449999999</v>
      </c>
      <c r="L16" s="212">
        <f>Résultats!N295</f>
        <v>274171.43839999998</v>
      </c>
      <c r="M16" s="212">
        <f>Résultats!O295</f>
        <v>274748.56439999997</v>
      </c>
      <c r="N16" s="212">
        <f>Résultats!P295</f>
        <v>271037.65789999999</v>
      </c>
      <c r="O16" s="212">
        <f>Résultats!Q295</f>
        <v>267501.01380000002</v>
      </c>
      <c r="P16" s="212">
        <f>Résultats!R295</f>
        <v>267020.47970000003</v>
      </c>
      <c r="Q16" s="212">
        <f>Résultats!S295</f>
        <v>270480.81270000001</v>
      </c>
      <c r="R16" s="212">
        <f>Résultats!T295</f>
        <v>274207.65850000002</v>
      </c>
      <c r="S16" s="212">
        <f>Résultats!U295</f>
        <v>274376.98190000001</v>
      </c>
      <c r="T16" s="212">
        <f>Résultats!V295</f>
        <v>274120.91440000001</v>
      </c>
      <c r="U16" s="212">
        <f>Résultats!W295</f>
        <v>274686.85369999998</v>
      </c>
      <c r="V16" s="212">
        <f>Résultats!X295</f>
        <v>275249.23340000003</v>
      </c>
      <c r="W16" s="212">
        <f>Résultats!Y295</f>
        <v>275433.7267</v>
      </c>
      <c r="X16" s="212">
        <f>Résultats!Z295</f>
        <v>275546.74690000003</v>
      </c>
      <c r="Y16" s="212">
        <f>Résultats!AA295</f>
        <v>275708.40120000002</v>
      </c>
      <c r="Z16" s="212">
        <f>Résultats!AB295</f>
        <v>275858.53989999997</v>
      </c>
      <c r="AA16" s="212">
        <f>Résultats!AC295</f>
        <v>276033.16450000001</v>
      </c>
      <c r="AB16" s="212">
        <f>Résultats!AD295</f>
        <v>273893.05489999999</v>
      </c>
      <c r="AC16" s="212">
        <f>Résultats!AE295</f>
        <v>275110.33299999998</v>
      </c>
      <c r="AD16" s="212">
        <f>Résultats!AF295</f>
        <v>275478.94089999999</v>
      </c>
      <c r="AE16" s="212">
        <f>Résultats!AG295</f>
        <v>275894.62270000001</v>
      </c>
      <c r="AF16" s="212">
        <f>Résultats!AH295</f>
        <v>278557.13160000002</v>
      </c>
      <c r="AG16" s="212">
        <f>Résultats!AI295</f>
        <v>277885.16350000002</v>
      </c>
      <c r="AH16" s="212">
        <f>Résultats!AJ295</f>
        <v>277943.35190000001</v>
      </c>
      <c r="AI16" s="212">
        <f>Résultats!AK295</f>
        <v>278322.56579999998</v>
      </c>
      <c r="AJ16" s="212">
        <f>Résultats!AL295</f>
        <v>278798.46999999997</v>
      </c>
      <c r="AK16" s="212">
        <f>Résultats!AM295</f>
        <v>279344.84899999999</v>
      </c>
      <c r="AL16" s="212">
        <f>Résultats!AN295</f>
        <v>281952.41210000002</v>
      </c>
      <c r="AM16" s="212">
        <f>Résultats!AO295</f>
        <v>283613.9031</v>
      </c>
      <c r="AN16" s="212">
        <f>Résultats!AP295</f>
        <v>284922.62190000003</v>
      </c>
      <c r="AO16" s="212">
        <f>Résultats!AQ295</f>
        <v>286063.22979999997</v>
      </c>
      <c r="AP16" s="212">
        <f>Résultats!AR295</f>
        <v>287153.18920000002</v>
      </c>
      <c r="AQ16" s="212">
        <f>Résultats!AS295</f>
        <v>289296.54950000002</v>
      </c>
      <c r="AR16" s="212">
        <f>Résultats!AT295</f>
        <v>290938.67930000002</v>
      </c>
      <c r="AS16" s="212">
        <f>Résultats!AU295</f>
        <v>292391.80650000001</v>
      </c>
      <c r="AT16" s="212">
        <f>Résultats!AV295</f>
        <v>293714.1556</v>
      </c>
      <c r="AU16" s="260">
        <f>Résultats!AW295</f>
        <v>294984.9852</v>
      </c>
    </row>
    <row r="17" spans="1:49" x14ac:dyDescent="0.25">
      <c r="B17" s="261" t="s">
        <v>469</v>
      </c>
      <c r="C17" s="262">
        <f>Résultats!E298</f>
        <v>47168.088080000001</v>
      </c>
      <c r="D17" s="263">
        <f>Résultats!F298</f>
        <v>48529.868210000001</v>
      </c>
      <c r="E17" s="263">
        <f>Résultats!G298</f>
        <v>48274.848400000003</v>
      </c>
      <c r="F17" s="263">
        <f>Résultats!H298</f>
        <v>49325.091469999999</v>
      </c>
      <c r="G17" s="263">
        <f>Résultats!I298</f>
        <v>49964.204640000004</v>
      </c>
      <c r="H17" s="263">
        <f>Résultats!J298</f>
        <v>51405.192300000002</v>
      </c>
      <c r="I17" s="263">
        <f>Résultats!K298</f>
        <v>51866.035609999999</v>
      </c>
      <c r="J17" s="263">
        <f>Résultats!L298</f>
        <v>52919.540990000001</v>
      </c>
      <c r="K17" s="263">
        <f>Résultats!M298</f>
        <v>54863.570959999997</v>
      </c>
      <c r="L17" s="263">
        <f>Résultats!N298</f>
        <v>55892.3802</v>
      </c>
      <c r="M17" s="263">
        <f>Résultats!O298</f>
        <v>56055.942600000002</v>
      </c>
      <c r="N17" s="263">
        <f>Résultats!P298</f>
        <v>56459.682260000001</v>
      </c>
      <c r="O17" s="263">
        <f>Résultats!Q298</f>
        <v>56629.475539999999</v>
      </c>
      <c r="P17" s="263">
        <f>Résultats!R298</f>
        <v>56182.398609999997</v>
      </c>
      <c r="Q17" s="263">
        <f>Résultats!S297</f>
        <v>133069.53649999999</v>
      </c>
      <c r="R17" s="263">
        <f>Résultats!T298</f>
        <v>55973.353640000001</v>
      </c>
      <c r="S17" s="263">
        <f>Résultats!U298</f>
        <v>56231.588620000002</v>
      </c>
      <c r="T17" s="263">
        <f>Résultats!V298</f>
        <v>56576.405480000001</v>
      </c>
      <c r="U17" s="263">
        <f>Résultats!W298</f>
        <v>56727.846429999998</v>
      </c>
      <c r="V17" s="263">
        <f>Résultats!X298</f>
        <v>56844.829230000003</v>
      </c>
      <c r="W17" s="263">
        <f>Résultats!Y298</f>
        <v>56942.973189999997</v>
      </c>
      <c r="X17" s="263">
        <f>Résultats!Z298</f>
        <v>57026.115709999998</v>
      </c>
      <c r="Y17" s="263">
        <f>Résultats!AA298</f>
        <v>57112.11982</v>
      </c>
      <c r="Z17" s="263">
        <f>Résultats!AB298</f>
        <v>57203.535689999997</v>
      </c>
      <c r="AA17" s="263">
        <f>Résultats!AC297</f>
        <v>135459.0024</v>
      </c>
      <c r="AB17" s="263">
        <f>Résultats!AD298</f>
        <v>57630.971030000001</v>
      </c>
      <c r="AC17" s="263">
        <f>Résultats!AE298</f>
        <v>57583.604599999999</v>
      </c>
      <c r="AD17" s="263">
        <f>Résultats!AF298</f>
        <v>57701.693509999997</v>
      </c>
      <c r="AE17" s="263">
        <f>Résultats!AG298</f>
        <v>57788.235260000001</v>
      </c>
      <c r="AF17" s="263">
        <f>Résultats!AH298</f>
        <v>57648.594689999998</v>
      </c>
      <c r="AG17" s="263">
        <f>Résultats!AI298</f>
        <v>57911.719409999998</v>
      </c>
      <c r="AH17" s="263">
        <f>Résultats!AJ298</f>
        <v>58102.345000000001</v>
      </c>
      <c r="AI17" s="263">
        <f>Résultats!AK298</f>
        <v>58256.158940000001</v>
      </c>
      <c r="AJ17" s="263">
        <f>Résultats!AL298</f>
        <v>58415.077749999997</v>
      </c>
      <c r="AK17" s="263">
        <f>Résultats!AM298</f>
        <v>58584.894079999998</v>
      </c>
      <c r="AL17" s="263">
        <f>Résultats!AN298</f>
        <v>58553.283239999997</v>
      </c>
      <c r="AM17" s="263">
        <f>Résultats!AO298</f>
        <v>58647.893230000001</v>
      </c>
      <c r="AN17" s="263">
        <f>Résultats!AP298</f>
        <v>58794.373160000003</v>
      </c>
      <c r="AO17" s="263">
        <f>Résultats!AQ298</f>
        <v>58971.963230000001</v>
      </c>
      <c r="AP17" s="263">
        <f>Résultats!AR298</f>
        <v>59157.118629999997</v>
      </c>
      <c r="AQ17" s="263">
        <f>Résultats!AS298</f>
        <v>59222.19369</v>
      </c>
      <c r="AR17" s="263">
        <f>Résultats!AT298</f>
        <v>59339.65481</v>
      </c>
      <c r="AS17" s="263">
        <f>Résultats!AU298</f>
        <v>59461.754699999998</v>
      </c>
      <c r="AT17" s="263">
        <f>Résultats!AV298</f>
        <v>59592.680610000003</v>
      </c>
      <c r="AU17" s="264">
        <f>Résultats!AW297</f>
        <v>141533.1165</v>
      </c>
      <c r="AW17" s="253"/>
    </row>
    <row r="18" spans="1:49" x14ac:dyDescent="0.25">
      <c r="B18" s="258" t="s">
        <v>470</v>
      </c>
      <c r="C18" s="259">
        <f>Résultats!E299</f>
        <v>580650.23010000004</v>
      </c>
      <c r="D18" s="212">
        <f>Résultats!F299</f>
        <v>597868.86699999997</v>
      </c>
      <c r="E18" s="212">
        <f>Résultats!G299</f>
        <v>602044.19099999999</v>
      </c>
      <c r="F18" s="212">
        <f>Résultats!H299</f>
        <v>614046.65949999995</v>
      </c>
      <c r="G18" s="212">
        <f>Résultats!I299</f>
        <v>623158.87340000004</v>
      </c>
      <c r="H18" s="212">
        <f>Résultats!J299</f>
        <v>639793.61450000003</v>
      </c>
      <c r="I18" s="212">
        <f>Résultats!K299</f>
        <v>655143.25730000006</v>
      </c>
      <c r="J18" s="212">
        <f>Résultats!L299</f>
        <v>674617.79680000001</v>
      </c>
      <c r="K18" s="212">
        <f>Résultats!M299</f>
        <v>700905.35</v>
      </c>
      <c r="L18" s="212">
        <f>Résultats!N299</f>
        <v>726865.67020000005</v>
      </c>
      <c r="M18" s="212">
        <f>Résultats!O299</f>
        <v>730205.38199999998</v>
      </c>
      <c r="N18" s="212">
        <f>Résultats!P299</f>
        <v>730007.98129999998</v>
      </c>
      <c r="O18" s="212">
        <f>Résultats!Q299</f>
        <v>726870.51749999996</v>
      </c>
      <c r="P18" s="212">
        <f>Résultats!R299</f>
        <v>723680.68180000002</v>
      </c>
      <c r="Q18" s="212">
        <f>Résultats!S299</f>
        <v>727791.06279999996</v>
      </c>
      <c r="R18" s="212">
        <f>Résultats!T299</f>
        <v>730736.94160000002</v>
      </c>
      <c r="S18" s="212">
        <f>Résultats!U299</f>
        <v>732950.14020000002</v>
      </c>
      <c r="T18" s="212">
        <f>Résultats!V299</f>
        <v>735370.11289999995</v>
      </c>
      <c r="U18" s="212">
        <f>Résultats!W299</f>
        <v>737184.92760000005</v>
      </c>
      <c r="V18" s="212">
        <f>Résultats!X299</f>
        <v>738717.09499999997</v>
      </c>
      <c r="W18" s="212">
        <f>Résultats!Y299</f>
        <v>739695.85179999995</v>
      </c>
      <c r="X18" s="212">
        <f>Résultats!Z299</f>
        <v>740474.04960000003</v>
      </c>
      <c r="Y18" s="212">
        <f>Résultats!AA299</f>
        <v>741323.74979999999</v>
      </c>
      <c r="Z18" s="212">
        <f>Résultats!AB299</f>
        <v>742205.76529999997</v>
      </c>
      <c r="AA18" s="212">
        <f>Résultats!AC299</f>
        <v>743129.16839999997</v>
      </c>
      <c r="AB18" s="212">
        <f>Résultats!AD299</f>
        <v>743412.37199999997</v>
      </c>
      <c r="AC18" s="212">
        <f>Résultats!AE299</f>
        <v>744377.75309999997</v>
      </c>
      <c r="AD18" s="212">
        <f>Résultats!AF299</f>
        <v>745705.13699999999</v>
      </c>
      <c r="AE18" s="212">
        <f>Résultats!AG299</f>
        <v>746850.65910000005</v>
      </c>
      <c r="AF18" s="212">
        <f>Résultats!AH299</f>
        <v>748658.88020000001</v>
      </c>
      <c r="AG18" s="212">
        <f>Résultats!AI299</f>
        <v>750005.92709999997</v>
      </c>
      <c r="AH18" s="212">
        <f>Résultats!AJ299</f>
        <v>751594.29330000002</v>
      </c>
      <c r="AI18" s="212">
        <f>Résultats!AK299</f>
        <v>753243.30119999999</v>
      </c>
      <c r="AJ18" s="212">
        <f>Résultats!AL299</f>
        <v>755039.88619999995</v>
      </c>
      <c r="AK18" s="212">
        <f>Résultats!AM299</f>
        <v>757000.11029999994</v>
      </c>
      <c r="AL18" s="212">
        <f>Résultats!AN299</f>
        <v>759614.68279999995</v>
      </c>
      <c r="AM18" s="212">
        <f>Résultats!AO299</f>
        <v>762189.5588</v>
      </c>
      <c r="AN18" s="212">
        <f>Résultats!AP299</f>
        <v>764788.36640000006</v>
      </c>
      <c r="AO18" s="212">
        <f>Résultats!AQ299</f>
        <v>767445.89809999999</v>
      </c>
      <c r="AP18" s="212">
        <f>Résultats!AR299</f>
        <v>770106.77399999998</v>
      </c>
      <c r="AQ18" s="212">
        <f>Résultats!AS299</f>
        <v>772968.1557</v>
      </c>
      <c r="AR18" s="212">
        <f>Résultats!AT299</f>
        <v>775695.03269999998</v>
      </c>
      <c r="AS18" s="212">
        <f>Résultats!AU299</f>
        <v>778254.18</v>
      </c>
      <c r="AT18" s="212">
        <f>Résultats!AV299</f>
        <v>780740.12250000006</v>
      </c>
      <c r="AU18" s="260">
        <f>Résultats!AW299</f>
        <v>783169.94799999997</v>
      </c>
    </row>
    <row r="19" spans="1:49" x14ac:dyDescent="0.25">
      <c r="B19" s="258" t="s">
        <v>471</v>
      </c>
      <c r="C19" s="259">
        <f>Résultats!E296</f>
        <v>533482.14110000001</v>
      </c>
      <c r="D19" s="212">
        <f>Résultats!F296</f>
        <v>549339.01309999998</v>
      </c>
      <c r="E19" s="212">
        <f>Résultats!G296</f>
        <v>553773.31869999995</v>
      </c>
      <c r="F19" s="212">
        <f>Résultats!H296</f>
        <v>564725.70849999995</v>
      </c>
      <c r="G19" s="212">
        <f>Résultats!I296</f>
        <v>573198.96440000006</v>
      </c>
      <c r="H19" s="212">
        <f>Résultats!J296</f>
        <v>588392.95420000004</v>
      </c>
      <c r="I19" s="212">
        <f>Résultats!K296</f>
        <v>603288.08880000003</v>
      </c>
      <c r="J19" s="212">
        <f>Résultats!L296</f>
        <v>621711.88509999996</v>
      </c>
      <c r="K19" s="212">
        <f>Résultats!M296</f>
        <v>646056.07720000006</v>
      </c>
      <c r="L19" s="212">
        <f>Résultats!N296</f>
        <v>670997.83319999999</v>
      </c>
      <c r="M19" s="212">
        <f>Résultats!O296</f>
        <v>674174.17929999996</v>
      </c>
      <c r="N19" s="212">
        <f>Résultats!P296</f>
        <v>673574.7193</v>
      </c>
      <c r="O19" s="212">
        <f>Résultats!Q296</f>
        <v>670268.98010000004</v>
      </c>
      <c r="P19" s="212">
        <f>Résultats!R296</f>
        <v>667526.47889999999</v>
      </c>
      <c r="Q19" s="212">
        <f>Résultats!S296</f>
        <v>671592.70319999999</v>
      </c>
      <c r="R19" s="212">
        <f>Résultats!T296</f>
        <v>673334.02749999997</v>
      </c>
      <c r="S19" s="212">
        <f>Résultats!U296</f>
        <v>675284.73719999997</v>
      </c>
      <c r="T19" s="212">
        <f>Résultats!V296</f>
        <v>677355.40179999999</v>
      </c>
      <c r="U19" s="212">
        <f>Résultats!W296</f>
        <v>679015.22719999996</v>
      </c>
      <c r="V19" s="212">
        <f>Résultats!X296</f>
        <v>680427.41509999998</v>
      </c>
      <c r="W19" s="212">
        <f>Résultats!Y296</f>
        <v>681306.11860000005</v>
      </c>
      <c r="X19" s="212">
        <f>Résultats!Z296</f>
        <v>681999.65689999994</v>
      </c>
      <c r="Y19" s="212">
        <f>Résultats!AA296</f>
        <v>682761.69499999995</v>
      </c>
      <c r="Z19" s="212">
        <f>Résultats!AB296</f>
        <v>683550.57479999994</v>
      </c>
      <c r="AA19" s="212">
        <f>Résultats!AC296</f>
        <v>684378.73069999996</v>
      </c>
      <c r="AB19" s="212">
        <f>Résultats!AD296</f>
        <v>684328.30850000004</v>
      </c>
      <c r="AC19" s="212">
        <f>Résultats!AE296</f>
        <v>685339.30969999998</v>
      </c>
      <c r="AD19" s="212">
        <f>Résultats!AF296</f>
        <v>686546.01249999995</v>
      </c>
      <c r="AE19" s="212">
        <f>Résultats!AG296</f>
        <v>687602.75410000002</v>
      </c>
      <c r="AF19" s="212">
        <f>Résultats!AH296</f>
        <v>689547.81550000003</v>
      </c>
      <c r="AG19" s="212">
        <f>Résultats!AI296</f>
        <v>690629.34409999999</v>
      </c>
      <c r="AH19" s="212">
        <f>Résultats!AJ296</f>
        <v>692024.02560000005</v>
      </c>
      <c r="AI19" s="212">
        <f>Résultats!AK296</f>
        <v>693516.00540000002</v>
      </c>
      <c r="AJ19" s="212">
        <f>Résultats!AL296</f>
        <v>695150.16639999999</v>
      </c>
      <c r="AK19" s="212">
        <f>Résultats!AM296</f>
        <v>696936.7487</v>
      </c>
      <c r="AL19" s="212">
        <f>Résultats!AN296</f>
        <v>699578.33169999998</v>
      </c>
      <c r="AM19" s="212">
        <f>Résultats!AO296</f>
        <v>702053.67020000005</v>
      </c>
      <c r="AN19" s="212">
        <f>Résultats!AP296</f>
        <v>704500.95070000004</v>
      </c>
      <c r="AO19" s="212">
        <f>Résultats!AQ296</f>
        <v>706975.71070000005</v>
      </c>
      <c r="AP19" s="212">
        <f>Résultats!AR296</f>
        <v>709446.24</v>
      </c>
      <c r="AQ19" s="212">
        <f>Résultats!AS296</f>
        <v>712237.17949999997</v>
      </c>
      <c r="AR19" s="212">
        <f>Résultats!AT296</f>
        <v>714841.34900000005</v>
      </c>
      <c r="AS19" s="212">
        <f>Résultats!AU296</f>
        <v>717273.45079999999</v>
      </c>
      <c r="AT19" s="212">
        <f>Résultats!AV296</f>
        <v>719623.647</v>
      </c>
      <c r="AU19" s="260">
        <f>Résultats!AW296</f>
        <v>721917.48620000004</v>
      </c>
    </row>
    <row r="20" spans="1:49" x14ac:dyDescent="0.25">
      <c r="B20" s="261" t="s">
        <v>472</v>
      </c>
      <c r="C20" s="262">
        <f>Résultats!E297</f>
        <v>85388.792730000001</v>
      </c>
      <c r="D20" s="263">
        <f>Résultats!F297</f>
        <v>92860.319959999906</v>
      </c>
      <c r="E20" s="263">
        <f>Résultats!G297</f>
        <v>95363.862510000006</v>
      </c>
      <c r="F20" s="263">
        <f>Résultats!H297</f>
        <v>100650.7597</v>
      </c>
      <c r="G20" s="263">
        <f>Résultats!I297</f>
        <v>103987.973</v>
      </c>
      <c r="H20" s="263">
        <f>Résultats!J297</f>
        <v>112093.5337</v>
      </c>
      <c r="I20" s="263">
        <f>Résultats!K297</f>
        <v>117529.60030000001</v>
      </c>
      <c r="J20" s="263">
        <f>Résultats!L297</f>
        <v>123386.47900000001</v>
      </c>
      <c r="K20" s="263">
        <f>Résultats!M297</f>
        <v>131620.80720000001</v>
      </c>
      <c r="L20" s="263">
        <f>Résultats!N297</f>
        <v>134862.33199999999</v>
      </c>
      <c r="M20" s="263">
        <f>Résultats!O297</f>
        <v>131011.35860000001</v>
      </c>
      <c r="N20" s="263">
        <f>Résultats!P297</f>
        <v>130954.6833</v>
      </c>
      <c r="O20" s="263">
        <f>Résultats!Q297</f>
        <v>134519.98060000001</v>
      </c>
      <c r="P20" s="263">
        <f>Résultats!R297</f>
        <v>133193.00099999999</v>
      </c>
      <c r="Q20" s="263">
        <f>Résultats!S298</f>
        <v>56227.43851</v>
      </c>
      <c r="R20" s="263">
        <f>Résultats!T297</f>
        <v>132346.1692</v>
      </c>
      <c r="S20" s="263">
        <f>Résultats!U297</f>
        <v>132808.48060000001</v>
      </c>
      <c r="T20" s="263">
        <f>Résultats!V297</f>
        <v>133654.6127</v>
      </c>
      <c r="U20" s="263">
        <f>Résultats!W297</f>
        <v>133942.7782</v>
      </c>
      <c r="V20" s="263">
        <f>Résultats!X297</f>
        <v>134055.1</v>
      </c>
      <c r="W20" s="263">
        <f>Résultats!Y297</f>
        <v>134297.3125</v>
      </c>
      <c r="X20" s="263">
        <f>Résultats!Z297</f>
        <v>134488.67449999999</v>
      </c>
      <c r="Y20" s="263">
        <f>Résultats!AA297</f>
        <v>134784.7035</v>
      </c>
      <c r="Z20" s="263">
        <f>Résultats!AB297</f>
        <v>135121.10759999999</v>
      </c>
      <c r="AA20" s="263">
        <f>Résultats!AC298</f>
        <v>57296.981540000001</v>
      </c>
      <c r="AB20" s="263">
        <f>Résultats!AD297</f>
        <v>136486.0203</v>
      </c>
      <c r="AC20" s="263">
        <f>Résultats!AE297</f>
        <v>136434.10649999999</v>
      </c>
      <c r="AD20" s="263">
        <f>Résultats!AF297</f>
        <v>136725.639</v>
      </c>
      <c r="AE20" s="263">
        <f>Résultats!AG297</f>
        <v>137014.24969999999</v>
      </c>
      <c r="AF20" s="263">
        <f>Résultats!AH297</f>
        <v>136678.31709999999</v>
      </c>
      <c r="AG20" s="263">
        <f>Résultats!AI297</f>
        <v>137459.06419999999</v>
      </c>
      <c r="AH20" s="263">
        <f>Résultats!AJ297</f>
        <v>138002.25450000001</v>
      </c>
      <c r="AI20" s="263">
        <f>Résultats!AK297</f>
        <v>138429.486</v>
      </c>
      <c r="AJ20" s="263">
        <f>Résultats!AL297</f>
        <v>138837.01670000001</v>
      </c>
      <c r="AK20" s="263">
        <f>Résultats!AM297</f>
        <v>139244.73439999999</v>
      </c>
      <c r="AL20" s="263">
        <f>Résultats!AN297</f>
        <v>139043.8725</v>
      </c>
      <c r="AM20" s="263">
        <f>Résultats!AO297</f>
        <v>139193.18549999999</v>
      </c>
      <c r="AN20" s="263">
        <f>Résultats!AP297</f>
        <v>139501.58410000001</v>
      </c>
      <c r="AO20" s="263">
        <f>Résultats!AQ297</f>
        <v>139889.12359999999</v>
      </c>
      <c r="AP20" s="263">
        <f>Résultats!AR297</f>
        <v>140296.8432</v>
      </c>
      <c r="AQ20" s="263">
        <f>Résultats!AS297</f>
        <v>140353.073</v>
      </c>
      <c r="AR20" s="263">
        <f>Résultats!AT297</f>
        <v>140579.9785</v>
      </c>
      <c r="AS20" s="263">
        <f>Résultats!AU297</f>
        <v>140864.0796</v>
      </c>
      <c r="AT20" s="263">
        <f>Résultats!AV297</f>
        <v>141185.8738</v>
      </c>
      <c r="AU20" s="264">
        <f>Résultats!AW298</f>
        <v>59723.951159999997</v>
      </c>
    </row>
    <row r="21" spans="1:49" x14ac:dyDescent="0.25">
      <c r="B21" s="249" t="s">
        <v>473</v>
      </c>
      <c r="C21" s="250">
        <f t="shared" ref="C21:AU21" si="6">C16+C19</f>
        <v>696943.44530000002</v>
      </c>
      <c r="D21" s="251">
        <f t="shared" si="6"/>
        <v>722481.21250000002</v>
      </c>
      <c r="E21" s="251">
        <f t="shared" si="6"/>
        <v>734533.91009999998</v>
      </c>
      <c r="F21" s="251">
        <f t="shared" si="6"/>
        <v>752887.52559999994</v>
      </c>
      <c r="G21" s="251">
        <f t="shared" si="6"/>
        <v>768554.65550000011</v>
      </c>
      <c r="H21" s="251">
        <f t="shared" si="6"/>
        <v>793353.72220000008</v>
      </c>
      <c r="I21" s="251">
        <f t="shared" si="6"/>
        <v>823126.52399999998</v>
      </c>
      <c r="J21" s="251">
        <f t="shared" si="6"/>
        <v>856941.19609999994</v>
      </c>
      <c r="K21" s="251">
        <f t="shared" si="6"/>
        <v>897768.7117000001</v>
      </c>
      <c r="L21" s="251">
        <f t="shared" si="6"/>
        <v>945169.27159999998</v>
      </c>
      <c r="M21" s="251">
        <f t="shared" si="6"/>
        <v>948922.74369999999</v>
      </c>
      <c r="N21" s="251">
        <f t="shared" si="6"/>
        <v>944612.37719999999</v>
      </c>
      <c r="O21" s="251">
        <f t="shared" si="6"/>
        <v>937769.99390000012</v>
      </c>
      <c r="P21" s="251">
        <f t="shared" si="6"/>
        <v>934546.95860000001</v>
      </c>
      <c r="Q21" s="251">
        <f t="shared" si="6"/>
        <v>942073.5159</v>
      </c>
      <c r="R21" s="251">
        <f t="shared" si="6"/>
        <v>947541.68599999999</v>
      </c>
      <c r="S21" s="251">
        <f t="shared" si="6"/>
        <v>949661.71909999999</v>
      </c>
      <c r="T21" s="251">
        <f t="shared" si="6"/>
        <v>951476.3162</v>
      </c>
      <c r="U21" s="251">
        <f t="shared" si="6"/>
        <v>953702.08089999994</v>
      </c>
      <c r="V21" s="251">
        <f t="shared" si="6"/>
        <v>955676.64850000001</v>
      </c>
      <c r="W21" s="251">
        <f t="shared" si="6"/>
        <v>956739.84530000004</v>
      </c>
      <c r="X21" s="251">
        <f t="shared" si="6"/>
        <v>957546.40379999997</v>
      </c>
      <c r="Y21" s="251">
        <f t="shared" si="6"/>
        <v>958470.09620000003</v>
      </c>
      <c r="Z21" s="251">
        <f t="shared" si="6"/>
        <v>959409.11469999992</v>
      </c>
      <c r="AA21" s="251">
        <f t="shared" si="6"/>
        <v>960411.89519999991</v>
      </c>
      <c r="AB21" s="251">
        <f t="shared" si="6"/>
        <v>958221.36340000003</v>
      </c>
      <c r="AC21" s="251">
        <f t="shared" si="6"/>
        <v>960449.64269999997</v>
      </c>
      <c r="AD21" s="251">
        <f t="shared" si="6"/>
        <v>962024.9534</v>
      </c>
      <c r="AE21" s="251">
        <f t="shared" si="6"/>
        <v>963497.37679999997</v>
      </c>
      <c r="AF21" s="251">
        <f t="shared" si="6"/>
        <v>968104.94709999999</v>
      </c>
      <c r="AG21" s="251">
        <f t="shared" si="6"/>
        <v>968514.50760000001</v>
      </c>
      <c r="AH21" s="251">
        <f t="shared" si="6"/>
        <v>969967.37750000006</v>
      </c>
      <c r="AI21" s="251">
        <f t="shared" si="6"/>
        <v>971838.57120000001</v>
      </c>
      <c r="AJ21" s="251">
        <f t="shared" si="6"/>
        <v>973948.63639999996</v>
      </c>
      <c r="AK21" s="251">
        <f t="shared" si="6"/>
        <v>976281.59770000004</v>
      </c>
      <c r="AL21" s="251">
        <f t="shared" si="6"/>
        <v>981530.74380000005</v>
      </c>
      <c r="AM21" s="251">
        <f t="shared" si="6"/>
        <v>985667.57330000005</v>
      </c>
      <c r="AN21" s="251">
        <f t="shared" si="6"/>
        <v>989423.57260000007</v>
      </c>
      <c r="AO21" s="251">
        <f t="shared" si="6"/>
        <v>993038.94050000003</v>
      </c>
      <c r="AP21" s="251">
        <f t="shared" si="6"/>
        <v>996599.42920000001</v>
      </c>
      <c r="AQ21" s="251">
        <f t="shared" si="6"/>
        <v>1001533.7290000001</v>
      </c>
      <c r="AR21" s="251">
        <f t="shared" si="6"/>
        <v>1005780.0283000001</v>
      </c>
      <c r="AS21" s="251">
        <f t="shared" si="6"/>
        <v>1009665.2572999999</v>
      </c>
      <c r="AT21" s="251">
        <f t="shared" si="6"/>
        <v>1013337.8026000001</v>
      </c>
      <c r="AU21" s="252">
        <f t="shared" si="6"/>
        <v>1016902.4714</v>
      </c>
      <c r="AW21" s="253"/>
    </row>
    <row r="22" spans="1:49" x14ac:dyDescent="0.25"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W22" s="253"/>
    </row>
    <row r="23" spans="1:49" s="244" customFormat="1" ht="45" customHeight="1" x14ac:dyDescent="0.25">
      <c r="A23" s="239" t="str">
        <f>"Ecarts "&amp;Résultats!B1&amp;"  - TEND"</f>
        <v>Ecarts SNBC3  - TEND</v>
      </c>
      <c r="B23" s="266" t="s">
        <v>475</v>
      </c>
      <c r="C23" s="242">
        <v>2006</v>
      </c>
      <c r="D23" s="242">
        <v>2007</v>
      </c>
      <c r="E23" s="242">
        <v>2008</v>
      </c>
      <c r="F23" s="242">
        <v>2009</v>
      </c>
      <c r="G23" s="242">
        <v>2010</v>
      </c>
      <c r="H23" s="242">
        <v>2011</v>
      </c>
      <c r="I23" s="242">
        <v>2012</v>
      </c>
      <c r="J23" s="242">
        <v>2013</v>
      </c>
      <c r="K23" s="242">
        <v>2014</v>
      </c>
      <c r="L23" s="242">
        <v>2015</v>
      </c>
      <c r="M23" s="242">
        <v>2016</v>
      </c>
      <c r="N23" s="242">
        <v>2017</v>
      </c>
      <c r="O23" s="242">
        <v>2018</v>
      </c>
      <c r="P23" s="242">
        <v>2019</v>
      </c>
      <c r="Q23" s="242">
        <v>2020</v>
      </c>
      <c r="R23" s="242">
        <v>2021</v>
      </c>
      <c r="S23" s="242">
        <v>2022</v>
      </c>
      <c r="T23" s="242">
        <v>2023</v>
      </c>
      <c r="U23" s="242">
        <v>2024</v>
      </c>
      <c r="V23" s="242">
        <v>2025</v>
      </c>
      <c r="W23" s="242">
        <v>2026</v>
      </c>
      <c r="X23" s="242">
        <v>2027</v>
      </c>
      <c r="Y23" s="242">
        <v>2028</v>
      </c>
      <c r="Z23" s="242">
        <v>2029</v>
      </c>
      <c r="AA23" s="242">
        <v>2030</v>
      </c>
      <c r="AB23" s="242">
        <v>2031</v>
      </c>
      <c r="AC23" s="242">
        <v>2032</v>
      </c>
      <c r="AD23" s="242">
        <v>2033</v>
      </c>
      <c r="AE23" s="242">
        <v>2034</v>
      </c>
      <c r="AF23" s="242">
        <v>2035</v>
      </c>
      <c r="AG23" s="242">
        <v>2036</v>
      </c>
      <c r="AH23" s="242">
        <v>2037</v>
      </c>
      <c r="AI23" s="242">
        <v>2038</v>
      </c>
      <c r="AJ23" s="242">
        <v>2039</v>
      </c>
      <c r="AK23" s="242">
        <v>2040</v>
      </c>
      <c r="AL23" s="242">
        <v>2041</v>
      </c>
      <c r="AM23" s="242">
        <v>2042</v>
      </c>
      <c r="AN23" s="242">
        <v>2043</v>
      </c>
      <c r="AO23" s="242">
        <v>2044</v>
      </c>
      <c r="AP23" s="242">
        <v>2045</v>
      </c>
      <c r="AQ23" s="242">
        <v>2046</v>
      </c>
      <c r="AR23" s="242">
        <v>2047</v>
      </c>
      <c r="AS23" s="242">
        <v>2048</v>
      </c>
      <c r="AT23" s="242">
        <v>2049</v>
      </c>
      <c r="AU23" s="243">
        <v>2050</v>
      </c>
      <c r="AV23" s="267"/>
    </row>
    <row r="24" spans="1:49" x14ac:dyDescent="0.25">
      <c r="B24" s="245" t="s">
        <v>1</v>
      </c>
      <c r="C24" s="247">
        <f t="shared" ref="C24:AU25" si="7">C2-C13</f>
        <v>0</v>
      </c>
      <c r="D24" s="247">
        <f t="shared" si="7"/>
        <v>0</v>
      </c>
      <c r="E24" s="247">
        <f t="shared" si="7"/>
        <v>0</v>
      </c>
      <c r="F24" s="247">
        <f t="shared" si="7"/>
        <v>0</v>
      </c>
      <c r="G24" s="247">
        <f t="shared" si="7"/>
        <v>0</v>
      </c>
      <c r="H24" s="247">
        <f t="shared" si="7"/>
        <v>0</v>
      </c>
      <c r="I24" s="247">
        <f t="shared" si="7"/>
        <v>0</v>
      </c>
      <c r="J24" s="247">
        <f t="shared" si="7"/>
        <v>0</v>
      </c>
      <c r="K24" s="247">
        <f t="shared" si="7"/>
        <v>0</v>
      </c>
      <c r="L24" s="247">
        <f t="shared" si="7"/>
        <v>0</v>
      </c>
      <c r="M24" s="247">
        <f t="shared" si="7"/>
        <v>0</v>
      </c>
      <c r="N24" s="247">
        <f t="shared" si="7"/>
        <v>0</v>
      </c>
      <c r="O24" s="247">
        <f t="shared" si="7"/>
        <v>0</v>
      </c>
      <c r="P24" s="247">
        <f t="shared" si="7"/>
        <v>0</v>
      </c>
      <c r="Q24" s="247">
        <f t="shared" si="7"/>
        <v>459.27321000024676</v>
      </c>
      <c r="R24" s="247">
        <f t="shared" si="7"/>
        <v>-979.76746000000276</v>
      </c>
      <c r="S24" s="247">
        <f t="shared" si="7"/>
        <v>-982.95478000026196</v>
      </c>
      <c r="T24" s="247">
        <f t="shared" si="7"/>
        <v>-912.35689999978058</v>
      </c>
      <c r="U24" s="247">
        <f t="shared" si="7"/>
        <v>1898.117309999885</v>
      </c>
      <c r="V24" s="247">
        <f t="shared" si="7"/>
        <v>3231.550019999966</v>
      </c>
      <c r="W24" s="247">
        <f t="shared" si="7"/>
        <v>5405.1919900001958</v>
      </c>
      <c r="X24" s="247">
        <f t="shared" si="7"/>
        <v>6568.0383599998895</v>
      </c>
      <c r="Y24" s="247">
        <f t="shared" si="7"/>
        <v>6642.4460200001486</v>
      </c>
      <c r="Z24" s="247">
        <f t="shared" si="7"/>
        <v>5343.6247400001157</v>
      </c>
      <c r="AA24" s="247">
        <f t="shared" si="7"/>
        <v>2871.9542600000277</v>
      </c>
      <c r="AB24" s="247">
        <f t="shared" si="7"/>
        <v>2030.4282799998764</v>
      </c>
      <c r="AC24" s="247">
        <f t="shared" si="7"/>
        <v>-1139.9478899999522</v>
      </c>
      <c r="AD24" s="247">
        <f t="shared" si="7"/>
        <v>-3547.2638799999841</v>
      </c>
      <c r="AE24" s="247">
        <f t="shared" si="7"/>
        <v>-5357.3889499998186</v>
      </c>
      <c r="AF24" s="247">
        <f t="shared" si="7"/>
        <v>-9026.8725300000515</v>
      </c>
      <c r="AG24" s="247">
        <f t="shared" si="7"/>
        <v>-9631.9887500000186</v>
      </c>
      <c r="AH24" s="247">
        <f t="shared" si="7"/>
        <v>-10103.486069000093</v>
      </c>
      <c r="AI24" s="247">
        <f t="shared" si="7"/>
        <v>-10422.077465999871</v>
      </c>
      <c r="AJ24" s="247">
        <f t="shared" si="7"/>
        <v>-10622.397492999909</v>
      </c>
      <c r="AK24" s="247">
        <f t="shared" si="7"/>
        <v>-10765.664683000185</v>
      </c>
      <c r="AL24" s="247">
        <f t="shared" si="7"/>
        <v>-12745.667538999813</v>
      </c>
      <c r="AM24" s="247">
        <f t="shared" si="7"/>
        <v>-13693.662137000123</v>
      </c>
      <c r="AN24" s="247">
        <f t="shared" si="7"/>
        <v>-14326.736049999949</v>
      </c>
      <c r="AO24" s="247">
        <f t="shared" si="7"/>
        <v>-14556.967019999865</v>
      </c>
      <c r="AP24" s="247">
        <f t="shared" si="7"/>
        <v>-16491.922964000143</v>
      </c>
      <c r="AQ24" s="247">
        <f t="shared" si="7"/>
        <v>-18952.220209999941</v>
      </c>
      <c r="AR24" s="247">
        <f t="shared" si="7"/>
        <v>-20559.306596000213</v>
      </c>
      <c r="AS24" s="247">
        <f t="shared" si="7"/>
        <v>-21723.656868000049</v>
      </c>
      <c r="AT24" s="247">
        <f t="shared" si="7"/>
        <v>-22374.236628000159</v>
      </c>
      <c r="AU24" s="247">
        <f t="shared" si="7"/>
        <v>-24211.387058999855</v>
      </c>
      <c r="AV24" s="268"/>
    </row>
    <row r="25" spans="1:49" x14ac:dyDescent="0.25">
      <c r="B25" s="249" t="s">
        <v>466</v>
      </c>
      <c r="C25" s="251">
        <f t="shared" si="7"/>
        <v>0</v>
      </c>
      <c r="D25" s="251">
        <f t="shared" si="7"/>
        <v>0</v>
      </c>
      <c r="E25" s="251">
        <f t="shared" si="7"/>
        <v>0</v>
      </c>
      <c r="F25" s="251">
        <f t="shared" si="7"/>
        <v>0</v>
      </c>
      <c r="G25" s="251">
        <f t="shared" si="7"/>
        <v>0</v>
      </c>
      <c r="H25" s="251">
        <f t="shared" si="7"/>
        <v>0</v>
      </c>
      <c r="I25" s="251">
        <f t="shared" si="7"/>
        <v>0</v>
      </c>
      <c r="J25" s="251">
        <f t="shared" si="7"/>
        <v>0</v>
      </c>
      <c r="K25" s="251">
        <f t="shared" si="7"/>
        <v>0</v>
      </c>
      <c r="L25" s="251">
        <f t="shared" si="7"/>
        <v>0</v>
      </c>
      <c r="M25" s="251">
        <f t="shared" si="7"/>
        <v>0</v>
      </c>
      <c r="N25" s="251">
        <f t="shared" si="7"/>
        <v>0</v>
      </c>
      <c r="O25" s="251">
        <f t="shared" si="7"/>
        <v>0</v>
      </c>
      <c r="P25" s="251">
        <f t="shared" si="7"/>
        <v>0</v>
      </c>
      <c r="Q25" s="251">
        <f t="shared" si="7"/>
        <v>0</v>
      </c>
      <c r="R25" s="251">
        <f t="shared" si="7"/>
        <v>0</v>
      </c>
      <c r="S25" s="251">
        <f t="shared" si="7"/>
        <v>0</v>
      </c>
      <c r="T25" s="251">
        <f t="shared" si="7"/>
        <v>7.3677200000001903</v>
      </c>
      <c r="U25" s="251">
        <f t="shared" si="7"/>
        <v>-384.77159000000029</v>
      </c>
      <c r="V25" s="251">
        <f t="shared" si="7"/>
        <v>-781.8479499999994</v>
      </c>
      <c r="W25" s="251">
        <f t="shared" si="7"/>
        <v>-1087.8710100000008</v>
      </c>
      <c r="X25" s="251">
        <f t="shared" si="7"/>
        <v>-1348.7201100000002</v>
      </c>
      <c r="Y25" s="251">
        <f t="shared" si="7"/>
        <v>-1659.5805</v>
      </c>
      <c r="Z25" s="251">
        <f t="shared" si="7"/>
        <v>-2002.9832000000006</v>
      </c>
      <c r="AA25" s="251">
        <f t="shared" si="7"/>
        <v>-2382.7777999999998</v>
      </c>
      <c r="AB25" s="251">
        <f t="shared" si="7"/>
        <v>-3020.8455799999992</v>
      </c>
      <c r="AC25" s="251">
        <f t="shared" si="7"/>
        <v>-3620.8152200000004</v>
      </c>
      <c r="AD25" s="251">
        <f t="shared" si="7"/>
        <v>-4220.0762300000006</v>
      </c>
      <c r="AE25" s="251">
        <f t="shared" si="7"/>
        <v>-4829.47768</v>
      </c>
      <c r="AF25" s="251">
        <f t="shared" si="7"/>
        <v>-5452.7055799999998</v>
      </c>
      <c r="AG25" s="251">
        <f t="shared" si="7"/>
        <v>-6079.9961500000009</v>
      </c>
      <c r="AH25" s="251">
        <f t="shared" si="7"/>
        <v>-6702.2879989999983</v>
      </c>
      <c r="AI25" s="251">
        <f t="shared" si="7"/>
        <v>-7309.1871060000012</v>
      </c>
      <c r="AJ25" s="251">
        <f t="shared" si="7"/>
        <v>-7915.5767930000111</v>
      </c>
      <c r="AK25" s="251">
        <f t="shared" si="7"/>
        <v>-8525.5930229999994</v>
      </c>
      <c r="AL25" s="251">
        <f t="shared" si="7"/>
        <v>-9135.0324890000011</v>
      </c>
      <c r="AM25" s="251">
        <f t="shared" si="7"/>
        <v>-9750.2787470000003</v>
      </c>
      <c r="AN25" s="251">
        <f t="shared" si="7"/>
        <v>-10396.49829</v>
      </c>
      <c r="AO25" s="251">
        <f t="shared" si="7"/>
        <v>-11034.19082</v>
      </c>
      <c r="AP25" s="251">
        <f t="shared" si="7"/>
        <v>-11675.411843999998</v>
      </c>
      <c r="AQ25" s="251">
        <f t="shared" si="7"/>
        <v>-12334.300149999999</v>
      </c>
      <c r="AR25" s="251">
        <f t="shared" si="7"/>
        <v>-12993.113706</v>
      </c>
      <c r="AS25" s="251">
        <f t="shared" si="7"/>
        <v>-13667.873717999999</v>
      </c>
      <c r="AT25" s="251">
        <f t="shared" si="7"/>
        <v>-14329.850908</v>
      </c>
      <c r="AU25" s="251">
        <f t="shared" si="7"/>
        <v>-15013.648429000001</v>
      </c>
      <c r="AV25" s="268"/>
    </row>
    <row r="26" spans="1:49" x14ac:dyDescent="0.25">
      <c r="B26" s="254" t="s">
        <v>467</v>
      </c>
      <c r="C26" s="256">
        <f t="shared" ref="C26:E26" si="8">SUM(C27:C28)</f>
        <v>0</v>
      </c>
      <c r="D26" s="256">
        <f t="shared" si="8"/>
        <v>0</v>
      </c>
      <c r="E26" s="256">
        <f t="shared" si="8"/>
        <v>0</v>
      </c>
      <c r="F26" s="256">
        <f>SUM(F27:F28)</f>
        <v>0</v>
      </c>
      <c r="G26" s="256">
        <f t="shared" ref="G26:AU26" si="9">SUM(G27:G28)</f>
        <v>0</v>
      </c>
      <c r="H26" s="256">
        <f t="shared" si="9"/>
        <v>0</v>
      </c>
      <c r="I26" s="256">
        <f t="shared" si="9"/>
        <v>0</v>
      </c>
      <c r="J26" s="256">
        <f t="shared" si="9"/>
        <v>0</v>
      </c>
      <c r="K26" s="256">
        <f t="shared" si="9"/>
        <v>0</v>
      </c>
      <c r="L26" s="256">
        <f t="shared" si="9"/>
        <v>0</v>
      </c>
      <c r="M26" s="256">
        <f t="shared" si="9"/>
        <v>0</v>
      </c>
      <c r="N26" s="256">
        <f t="shared" si="9"/>
        <v>0</v>
      </c>
      <c r="O26" s="256">
        <f t="shared" si="9"/>
        <v>0</v>
      </c>
      <c r="P26" s="256">
        <f t="shared" si="9"/>
        <v>0</v>
      </c>
      <c r="Q26" s="256">
        <f t="shared" si="9"/>
        <v>0</v>
      </c>
      <c r="R26" s="256">
        <f t="shared" si="9"/>
        <v>0</v>
      </c>
      <c r="S26" s="256">
        <f t="shared" si="9"/>
        <v>0</v>
      </c>
      <c r="T26" s="256">
        <f t="shared" si="9"/>
        <v>-1.2469999999884749</v>
      </c>
      <c r="U26" s="256">
        <f t="shared" si="9"/>
        <v>-11466.787029999978</v>
      </c>
      <c r="V26" s="256">
        <f t="shared" si="9"/>
        <v>-24278.899160000037</v>
      </c>
      <c r="W26" s="256">
        <f t="shared" si="9"/>
        <v>-23679.469289999986</v>
      </c>
      <c r="X26" s="256">
        <f t="shared" si="9"/>
        <v>-24396.865440000023</v>
      </c>
      <c r="Y26" s="256">
        <f t="shared" si="9"/>
        <v>-25959.412700000008</v>
      </c>
      <c r="Z26" s="256">
        <f t="shared" si="9"/>
        <v>-28386.995649999968</v>
      </c>
      <c r="AA26" s="256">
        <f t="shared" si="9"/>
        <v>5004.748099999968</v>
      </c>
      <c r="AB26" s="256">
        <f t="shared" si="9"/>
        <v>-32631.48947</v>
      </c>
      <c r="AC26" s="256">
        <f t="shared" si="9"/>
        <v>-36321.94696999999</v>
      </c>
      <c r="AD26" s="256">
        <f t="shared" si="9"/>
        <v>-38991.33585999997</v>
      </c>
      <c r="AE26" s="256">
        <f t="shared" si="9"/>
        <v>-41127.929729999996</v>
      </c>
      <c r="AF26" s="256">
        <f t="shared" si="9"/>
        <v>-45032.814340000019</v>
      </c>
      <c r="AG26" s="256">
        <f t="shared" si="9"/>
        <v>-46135.120910000034</v>
      </c>
      <c r="AH26" s="256">
        <f t="shared" si="9"/>
        <v>-47352.785370000012</v>
      </c>
      <c r="AI26" s="256">
        <f t="shared" si="9"/>
        <v>-48547.347799999989</v>
      </c>
      <c r="AJ26" s="256">
        <f t="shared" si="9"/>
        <v>-49711.779549999956</v>
      </c>
      <c r="AK26" s="256">
        <f t="shared" si="9"/>
        <v>-50887.085739999988</v>
      </c>
      <c r="AL26" s="256">
        <f t="shared" si="9"/>
        <v>-53596.529190000016</v>
      </c>
      <c r="AM26" s="256">
        <f t="shared" si="9"/>
        <v>-55522.498119999989</v>
      </c>
      <c r="AN26" s="256">
        <f t="shared" si="9"/>
        <v>-57049.23612000003</v>
      </c>
      <c r="AO26" s="256">
        <f t="shared" si="9"/>
        <v>-58444.506929999981</v>
      </c>
      <c r="AP26" s="256">
        <f t="shared" si="9"/>
        <v>-61284.15545000002</v>
      </c>
      <c r="AQ26" s="256">
        <f t="shared" si="9"/>
        <v>-63968.065350000019</v>
      </c>
      <c r="AR26" s="256">
        <f t="shared" si="9"/>
        <v>-66151.905800000008</v>
      </c>
      <c r="AS26" s="256">
        <f t="shared" si="9"/>
        <v>-68030.670450000005</v>
      </c>
      <c r="AT26" s="256">
        <f t="shared" si="9"/>
        <v>-69766.295130000013</v>
      </c>
      <c r="AU26" s="256">
        <f t="shared" si="9"/>
        <v>9823.5007000000041</v>
      </c>
      <c r="AV26" s="268"/>
    </row>
    <row r="27" spans="1:49" x14ac:dyDescent="0.25">
      <c r="B27" s="258" t="s">
        <v>468</v>
      </c>
      <c r="C27" s="212">
        <f t="shared" ref="C27:AU28" si="10">C5-C16</f>
        <v>0</v>
      </c>
      <c r="D27" s="212">
        <f t="shared" si="10"/>
        <v>0</v>
      </c>
      <c r="E27" s="212">
        <f t="shared" si="10"/>
        <v>0</v>
      </c>
      <c r="F27" s="212">
        <f t="shared" si="10"/>
        <v>0</v>
      </c>
      <c r="G27" s="212">
        <f t="shared" si="10"/>
        <v>0</v>
      </c>
      <c r="H27" s="212">
        <f t="shared" si="10"/>
        <v>0</v>
      </c>
      <c r="I27" s="212">
        <f t="shared" si="10"/>
        <v>0</v>
      </c>
      <c r="J27" s="212">
        <f t="shared" si="10"/>
        <v>0</v>
      </c>
      <c r="K27" s="212">
        <f t="shared" si="10"/>
        <v>0</v>
      </c>
      <c r="L27" s="212">
        <f t="shared" si="10"/>
        <v>0</v>
      </c>
      <c r="M27" s="212">
        <f t="shared" si="10"/>
        <v>0</v>
      </c>
      <c r="N27" s="212">
        <f t="shared" si="10"/>
        <v>0</v>
      </c>
      <c r="O27" s="212">
        <f t="shared" si="10"/>
        <v>0</v>
      </c>
      <c r="P27" s="212">
        <f t="shared" si="10"/>
        <v>0</v>
      </c>
      <c r="Q27" s="212">
        <f t="shared" si="10"/>
        <v>0</v>
      </c>
      <c r="R27" s="212">
        <f t="shared" si="10"/>
        <v>0</v>
      </c>
      <c r="S27" s="212">
        <f t="shared" si="10"/>
        <v>0</v>
      </c>
      <c r="T27" s="212">
        <f t="shared" si="10"/>
        <v>-10.650499999988824</v>
      </c>
      <c r="U27" s="212">
        <f t="shared" si="10"/>
        <v>-9000.8010999999824</v>
      </c>
      <c r="V27" s="212">
        <f t="shared" si="10"/>
        <v>-19396.814500000037</v>
      </c>
      <c r="W27" s="212">
        <f t="shared" si="10"/>
        <v>-20254.147399999987</v>
      </c>
      <c r="X27" s="212">
        <f t="shared" si="10"/>
        <v>-22646.514600000024</v>
      </c>
      <c r="Y27" s="212">
        <f t="shared" si="10"/>
        <v>-26032.006900000008</v>
      </c>
      <c r="Z27" s="212">
        <f t="shared" si="10"/>
        <v>-30377.450399999972</v>
      </c>
      <c r="AA27" s="212">
        <f t="shared" si="10"/>
        <v>-35300.199700000026</v>
      </c>
      <c r="AB27" s="212">
        <f t="shared" si="10"/>
        <v>-36787.137799999997</v>
      </c>
      <c r="AC27" s="212">
        <f t="shared" si="10"/>
        <v>-40968.285899999988</v>
      </c>
      <c r="AD27" s="212">
        <f t="shared" si="10"/>
        <v>-43939.871999999974</v>
      </c>
      <c r="AE27" s="212">
        <f t="shared" si="10"/>
        <v>-46294.549499999994</v>
      </c>
      <c r="AF27" s="212">
        <f t="shared" si="10"/>
        <v>-50614.173200000019</v>
      </c>
      <c r="AG27" s="212">
        <f t="shared" si="10"/>
        <v>-51844.653900000034</v>
      </c>
      <c r="AH27" s="212">
        <f t="shared" si="10"/>
        <v>-53213.396700000012</v>
      </c>
      <c r="AI27" s="212">
        <f t="shared" si="10"/>
        <v>-54555.655299999984</v>
      </c>
      <c r="AJ27" s="212">
        <f t="shared" si="10"/>
        <v>-55868.598399999959</v>
      </c>
      <c r="AK27" s="212">
        <f t="shared" si="10"/>
        <v>-57200.159699999989</v>
      </c>
      <c r="AL27" s="212">
        <f t="shared" si="10"/>
        <v>-60218.384600000019</v>
      </c>
      <c r="AM27" s="212">
        <f t="shared" si="10"/>
        <v>-62394.667699999991</v>
      </c>
      <c r="AN27" s="212">
        <f t="shared" si="10"/>
        <v>-64117.850600000034</v>
      </c>
      <c r="AO27" s="212">
        <f t="shared" si="10"/>
        <v>-65724.026499999978</v>
      </c>
      <c r="AP27" s="212">
        <f t="shared" si="10"/>
        <v>-68953.106500000024</v>
      </c>
      <c r="AQ27" s="212">
        <f t="shared" si="10"/>
        <v>-71879.947800000024</v>
      </c>
      <c r="AR27" s="212">
        <f t="shared" si="10"/>
        <v>-74301.760500000004</v>
      </c>
      <c r="AS27" s="212">
        <f t="shared" si="10"/>
        <v>-76410.905100000004</v>
      </c>
      <c r="AT27" s="212">
        <f t="shared" si="10"/>
        <v>-78402.173999999999</v>
      </c>
      <c r="AU27" s="212">
        <f t="shared" si="10"/>
        <v>-79229.405499999993</v>
      </c>
      <c r="AV27" s="268"/>
    </row>
    <row r="28" spans="1:49" x14ac:dyDescent="0.25">
      <c r="B28" s="261" t="s">
        <v>469</v>
      </c>
      <c r="C28" s="263">
        <f t="shared" si="10"/>
        <v>0</v>
      </c>
      <c r="D28" s="263">
        <f t="shared" si="10"/>
        <v>0</v>
      </c>
      <c r="E28" s="263">
        <f t="shared" si="10"/>
        <v>0</v>
      </c>
      <c r="F28" s="263">
        <f t="shared" si="10"/>
        <v>0</v>
      </c>
      <c r="G28" s="263">
        <f t="shared" si="10"/>
        <v>0</v>
      </c>
      <c r="H28" s="263">
        <f t="shared" si="10"/>
        <v>0</v>
      </c>
      <c r="I28" s="263">
        <f t="shared" si="10"/>
        <v>0</v>
      </c>
      <c r="J28" s="263">
        <f t="shared" si="10"/>
        <v>0</v>
      </c>
      <c r="K28" s="263">
        <f t="shared" si="10"/>
        <v>0</v>
      </c>
      <c r="L28" s="263">
        <f t="shared" si="10"/>
        <v>0</v>
      </c>
      <c r="M28" s="263">
        <f t="shared" si="10"/>
        <v>0</v>
      </c>
      <c r="N28" s="263">
        <f t="shared" si="10"/>
        <v>0</v>
      </c>
      <c r="O28" s="263">
        <f t="shared" si="10"/>
        <v>0</v>
      </c>
      <c r="P28" s="263">
        <f t="shared" si="10"/>
        <v>0</v>
      </c>
      <c r="Q28" s="263">
        <f t="shared" si="10"/>
        <v>0</v>
      </c>
      <c r="R28" s="263">
        <f t="shared" si="10"/>
        <v>0</v>
      </c>
      <c r="S28" s="263">
        <f t="shared" si="10"/>
        <v>0</v>
      </c>
      <c r="T28" s="263">
        <f t="shared" si="10"/>
        <v>9.4035000000003492</v>
      </c>
      <c r="U28" s="263">
        <f t="shared" si="10"/>
        <v>-2465.9859299999953</v>
      </c>
      <c r="V28" s="263">
        <f t="shared" si="10"/>
        <v>-4882.0846600000004</v>
      </c>
      <c r="W28" s="263">
        <f t="shared" si="10"/>
        <v>-3425.3218899999993</v>
      </c>
      <c r="X28" s="263">
        <f t="shared" si="10"/>
        <v>-1750.3508399999992</v>
      </c>
      <c r="Y28" s="263">
        <f t="shared" si="10"/>
        <v>72.594199999999546</v>
      </c>
      <c r="Z28" s="263">
        <f t="shared" si="10"/>
        <v>1990.4547500000044</v>
      </c>
      <c r="AA28" s="263">
        <f t="shared" si="10"/>
        <v>40304.947799999994</v>
      </c>
      <c r="AB28" s="263">
        <f t="shared" si="10"/>
        <v>4155.6483299999963</v>
      </c>
      <c r="AC28" s="263">
        <f t="shared" si="10"/>
        <v>4646.3389299999981</v>
      </c>
      <c r="AD28" s="263">
        <f t="shared" si="10"/>
        <v>4948.5361400000038</v>
      </c>
      <c r="AE28" s="263">
        <f t="shared" si="10"/>
        <v>5166.6197699999975</v>
      </c>
      <c r="AF28" s="263">
        <f t="shared" si="10"/>
        <v>5581.3588600000003</v>
      </c>
      <c r="AG28" s="263">
        <f t="shared" si="10"/>
        <v>5709.5329899999997</v>
      </c>
      <c r="AH28" s="263">
        <f t="shared" si="10"/>
        <v>5860.6113299999997</v>
      </c>
      <c r="AI28" s="263">
        <f t="shared" si="10"/>
        <v>6008.3074999999953</v>
      </c>
      <c r="AJ28" s="263">
        <f t="shared" si="10"/>
        <v>6156.8188500000033</v>
      </c>
      <c r="AK28" s="263">
        <f t="shared" si="10"/>
        <v>6313.0739600000015</v>
      </c>
      <c r="AL28" s="263">
        <f t="shared" si="10"/>
        <v>6621.8554100000038</v>
      </c>
      <c r="AM28" s="263">
        <f t="shared" si="10"/>
        <v>6872.1695800000016</v>
      </c>
      <c r="AN28" s="263">
        <f t="shared" si="10"/>
        <v>7068.6144800000038</v>
      </c>
      <c r="AO28" s="263">
        <f t="shared" si="10"/>
        <v>7279.5195699999967</v>
      </c>
      <c r="AP28" s="263">
        <f t="shared" si="10"/>
        <v>7668.9510500000033</v>
      </c>
      <c r="AQ28" s="263">
        <f t="shared" si="10"/>
        <v>7911.8824500000046</v>
      </c>
      <c r="AR28" s="263">
        <f t="shared" si="10"/>
        <v>8149.8547000000035</v>
      </c>
      <c r="AS28" s="263">
        <f t="shared" si="10"/>
        <v>8380.2346500000058</v>
      </c>
      <c r="AT28" s="263">
        <f t="shared" si="10"/>
        <v>8635.8788699999932</v>
      </c>
      <c r="AU28" s="263">
        <f t="shared" si="10"/>
        <v>89052.906199999998</v>
      </c>
      <c r="AV28" s="268"/>
    </row>
    <row r="29" spans="1:49" x14ac:dyDescent="0.25">
      <c r="B29" s="258" t="s">
        <v>470</v>
      </c>
      <c r="C29" s="212">
        <f t="shared" ref="C29:E29" si="11">SUM(C30:C31)</f>
        <v>0</v>
      </c>
      <c r="D29" s="212">
        <f t="shared" si="11"/>
        <v>0</v>
      </c>
      <c r="E29" s="212">
        <f t="shared" si="11"/>
        <v>0</v>
      </c>
      <c r="F29" s="212">
        <f>SUM(F30:F31)</f>
        <v>0</v>
      </c>
      <c r="G29" s="212">
        <f t="shared" ref="G29:AU29" si="12">SUM(G30:G31)</f>
        <v>0</v>
      </c>
      <c r="H29" s="212">
        <f t="shared" si="12"/>
        <v>0</v>
      </c>
      <c r="I29" s="212">
        <f t="shared" si="12"/>
        <v>0</v>
      </c>
      <c r="J29" s="212">
        <f t="shared" si="12"/>
        <v>0</v>
      </c>
      <c r="K29" s="212">
        <f t="shared" si="12"/>
        <v>0</v>
      </c>
      <c r="L29" s="212">
        <f t="shared" si="12"/>
        <v>0</v>
      </c>
      <c r="M29" s="212">
        <f t="shared" si="12"/>
        <v>0</v>
      </c>
      <c r="N29" s="212">
        <f t="shared" si="12"/>
        <v>0</v>
      </c>
      <c r="O29" s="212">
        <f t="shared" si="12"/>
        <v>0</v>
      </c>
      <c r="P29" s="212">
        <f t="shared" si="12"/>
        <v>0</v>
      </c>
      <c r="Q29" s="212">
        <f t="shared" si="12"/>
        <v>0</v>
      </c>
      <c r="R29" s="212">
        <f t="shared" si="12"/>
        <v>0</v>
      </c>
      <c r="S29" s="212">
        <f t="shared" si="12"/>
        <v>0</v>
      </c>
      <c r="T29" s="212">
        <f t="shared" si="12"/>
        <v>65.937799999985145</v>
      </c>
      <c r="U29" s="212">
        <f t="shared" si="12"/>
        <v>14736.688700000028</v>
      </c>
      <c r="V29" s="212">
        <f t="shared" si="12"/>
        <v>29281.490000000049</v>
      </c>
      <c r="W29" s="212">
        <f t="shared" si="12"/>
        <v>31163.101299999951</v>
      </c>
      <c r="X29" s="212">
        <f t="shared" si="12"/>
        <v>33305.324700000056</v>
      </c>
      <c r="Y29" s="212">
        <f t="shared" si="12"/>
        <v>35254.170900000056</v>
      </c>
      <c r="Z29" s="212">
        <f t="shared" si="12"/>
        <v>36727.341500000126</v>
      </c>
      <c r="AA29" s="212">
        <f t="shared" si="12"/>
        <v>1244.794520000054</v>
      </c>
      <c r="AB29" s="212">
        <f t="shared" si="12"/>
        <v>38667.786899999977</v>
      </c>
      <c r="AC29" s="212">
        <f t="shared" si="12"/>
        <v>39787.197800000024</v>
      </c>
      <c r="AD29" s="212">
        <f t="shared" si="12"/>
        <v>40650.340400000074</v>
      </c>
      <c r="AE29" s="212">
        <f t="shared" si="12"/>
        <v>41587.627800000046</v>
      </c>
      <c r="AF29" s="212">
        <f t="shared" si="12"/>
        <v>42439.719699999958</v>
      </c>
      <c r="AG29" s="212">
        <f t="shared" si="12"/>
        <v>43563.451800000039</v>
      </c>
      <c r="AH29" s="212">
        <f t="shared" si="12"/>
        <v>44933.62659999996</v>
      </c>
      <c r="AI29" s="212">
        <f t="shared" si="12"/>
        <v>46418.631099999999</v>
      </c>
      <c r="AJ29" s="212">
        <f t="shared" si="12"/>
        <v>47991.535200000042</v>
      </c>
      <c r="AK29" s="212">
        <f t="shared" si="12"/>
        <v>49636.256899999978</v>
      </c>
      <c r="AL29" s="212">
        <f t="shared" si="12"/>
        <v>50971.552200000006</v>
      </c>
      <c r="AM29" s="212">
        <f t="shared" si="12"/>
        <v>52566.484399999928</v>
      </c>
      <c r="AN29" s="212">
        <f t="shared" si="12"/>
        <v>54109.232999999949</v>
      </c>
      <c r="AO29" s="212">
        <f t="shared" si="12"/>
        <v>55915.26669999992</v>
      </c>
      <c r="AP29" s="212">
        <f t="shared" si="12"/>
        <v>57464.559399999969</v>
      </c>
      <c r="AQ29" s="212">
        <f t="shared" si="12"/>
        <v>58347.481100000063</v>
      </c>
      <c r="AR29" s="212">
        <f t="shared" si="12"/>
        <v>59585.295099999901</v>
      </c>
      <c r="AS29" s="212">
        <f t="shared" si="12"/>
        <v>60976.926699999953</v>
      </c>
      <c r="AT29" s="212">
        <f t="shared" si="12"/>
        <v>62726.570499999973</v>
      </c>
      <c r="AU29" s="212">
        <f t="shared" si="12"/>
        <v>-18013.959490000067</v>
      </c>
      <c r="AV29" s="268"/>
    </row>
    <row r="30" spans="1:49" x14ac:dyDescent="0.25">
      <c r="B30" s="258" t="s">
        <v>471</v>
      </c>
      <c r="C30" s="212">
        <f t="shared" ref="C30:AU31" si="13">C8-C19</f>
        <v>0</v>
      </c>
      <c r="D30" s="212">
        <f t="shared" si="13"/>
        <v>0</v>
      </c>
      <c r="E30" s="212">
        <f t="shared" si="13"/>
        <v>0</v>
      </c>
      <c r="F30" s="212">
        <f t="shared" si="13"/>
        <v>0</v>
      </c>
      <c r="G30" s="212">
        <f t="shared" si="13"/>
        <v>0</v>
      </c>
      <c r="H30" s="212">
        <f t="shared" si="13"/>
        <v>0</v>
      </c>
      <c r="I30" s="212">
        <f t="shared" si="13"/>
        <v>0</v>
      </c>
      <c r="J30" s="212">
        <f t="shared" si="13"/>
        <v>0</v>
      </c>
      <c r="K30" s="212">
        <f t="shared" si="13"/>
        <v>0</v>
      </c>
      <c r="L30" s="212">
        <f t="shared" si="13"/>
        <v>0</v>
      </c>
      <c r="M30" s="212">
        <f t="shared" si="13"/>
        <v>0</v>
      </c>
      <c r="N30" s="212">
        <f t="shared" si="13"/>
        <v>0</v>
      </c>
      <c r="O30" s="212">
        <f t="shared" si="13"/>
        <v>0</v>
      </c>
      <c r="P30" s="212">
        <f t="shared" si="13"/>
        <v>0</v>
      </c>
      <c r="Q30" s="212">
        <f t="shared" si="13"/>
        <v>0</v>
      </c>
      <c r="R30" s="212">
        <f t="shared" si="13"/>
        <v>0</v>
      </c>
      <c r="S30" s="212">
        <f t="shared" si="13"/>
        <v>0</v>
      </c>
      <c r="T30" s="212">
        <f t="shared" si="13"/>
        <v>58.87609999999404</v>
      </c>
      <c r="U30" s="212">
        <f t="shared" si="13"/>
        <v>4237.6866000000155</v>
      </c>
      <c r="V30" s="212">
        <f t="shared" si="13"/>
        <v>7372.3492000000551</v>
      </c>
      <c r="W30" s="212">
        <f t="shared" si="13"/>
        <v>6282.2367999999551</v>
      </c>
      <c r="X30" s="212">
        <f t="shared" si="13"/>
        <v>4877.0389000000432</v>
      </c>
      <c r="Y30" s="212">
        <f t="shared" si="13"/>
        <v>3116.7828000000445</v>
      </c>
      <c r="Z30" s="212">
        <f t="shared" si="13"/>
        <v>589.3086000001058</v>
      </c>
      <c r="AA30" s="212">
        <f t="shared" si="13"/>
        <v>-2702.7916999999434</v>
      </c>
      <c r="AB30" s="212">
        <f t="shared" si="13"/>
        <v>-3151.5054000000237</v>
      </c>
      <c r="AC30" s="212">
        <f t="shared" si="13"/>
        <v>-4616.1280999999726</v>
      </c>
      <c r="AD30" s="212">
        <f t="shared" si="13"/>
        <v>-6042.5414999999339</v>
      </c>
      <c r="AE30" s="212">
        <f t="shared" si="13"/>
        <v>-7362.8436999999685</v>
      </c>
      <c r="AF30" s="212">
        <f t="shared" si="13"/>
        <v>-9444.2858000000706</v>
      </c>
      <c r="AG30" s="212">
        <f t="shared" si="13"/>
        <v>-10250.232399999979</v>
      </c>
      <c r="AH30" s="212">
        <f t="shared" si="13"/>
        <v>-11056.667400000035</v>
      </c>
      <c r="AI30" s="212">
        <f t="shared" si="13"/>
        <v>-11842.171399999992</v>
      </c>
      <c r="AJ30" s="212">
        <f t="shared" si="13"/>
        <v>-12588.143599999952</v>
      </c>
      <c r="AK30" s="212">
        <f t="shared" si="13"/>
        <v>-13298.119900000049</v>
      </c>
      <c r="AL30" s="212">
        <f t="shared" si="13"/>
        <v>-14856.023300000001</v>
      </c>
      <c r="AM30" s="212">
        <f t="shared" si="13"/>
        <v>-15903.96390000009</v>
      </c>
      <c r="AN30" s="212">
        <f t="shared" si="13"/>
        <v>-16836.283900000039</v>
      </c>
      <c r="AO30" s="212">
        <f t="shared" si="13"/>
        <v>-17526.556700000074</v>
      </c>
      <c r="AP30" s="212">
        <f t="shared" si="13"/>
        <v>-18684.743200000026</v>
      </c>
      <c r="AQ30" s="212">
        <f t="shared" si="13"/>
        <v>-20562.576799999923</v>
      </c>
      <c r="AR30" s="212">
        <f t="shared" si="13"/>
        <v>-21948.582800000091</v>
      </c>
      <c r="AS30" s="212">
        <f t="shared" si="13"/>
        <v>-23079.496000000043</v>
      </c>
      <c r="AT30" s="212">
        <f t="shared" si="13"/>
        <v>-23902.454200000037</v>
      </c>
      <c r="AU30" s="212">
        <f t="shared" si="13"/>
        <v>-26422.741800000076</v>
      </c>
      <c r="AV30" s="268"/>
    </row>
    <row r="31" spans="1:49" x14ac:dyDescent="0.25">
      <c r="B31" s="261" t="s">
        <v>472</v>
      </c>
      <c r="C31" s="263">
        <f t="shared" si="13"/>
        <v>0</v>
      </c>
      <c r="D31" s="263">
        <f t="shared" si="13"/>
        <v>0</v>
      </c>
      <c r="E31" s="263">
        <f t="shared" si="13"/>
        <v>0</v>
      </c>
      <c r="F31" s="263">
        <f t="shared" si="13"/>
        <v>0</v>
      </c>
      <c r="G31" s="263">
        <f t="shared" si="13"/>
        <v>0</v>
      </c>
      <c r="H31" s="263">
        <f t="shared" si="13"/>
        <v>0</v>
      </c>
      <c r="I31" s="263">
        <f t="shared" si="13"/>
        <v>0</v>
      </c>
      <c r="J31" s="263">
        <f t="shared" si="13"/>
        <v>0</v>
      </c>
      <c r="K31" s="263">
        <f t="shared" si="13"/>
        <v>0</v>
      </c>
      <c r="L31" s="263">
        <f t="shared" si="13"/>
        <v>0</v>
      </c>
      <c r="M31" s="263">
        <f t="shared" si="13"/>
        <v>0</v>
      </c>
      <c r="N31" s="263">
        <f t="shared" si="13"/>
        <v>0</v>
      </c>
      <c r="O31" s="263">
        <f t="shared" si="13"/>
        <v>0</v>
      </c>
      <c r="P31" s="263">
        <f t="shared" si="13"/>
        <v>0</v>
      </c>
      <c r="Q31" s="263">
        <f t="shared" si="13"/>
        <v>0</v>
      </c>
      <c r="R31" s="263">
        <f t="shared" si="13"/>
        <v>0</v>
      </c>
      <c r="S31" s="263">
        <f t="shared" si="13"/>
        <v>0</v>
      </c>
      <c r="T31" s="263">
        <f t="shared" si="13"/>
        <v>7.0616999999911059</v>
      </c>
      <c r="U31" s="263">
        <f t="shared" si="13"/>
        <v>10499.002100000012</v>
      </c>
      <c r="V31" s="263">
        <f t="shared" si="13"/>
        <v>21909.140799999994</v>
      </c>
      <c r="W31" s="263">
        <f t="shared" si="13"/>
        <v>24880.864499999996</v>
      </c>
      <c r="X31" s="263">
        <f t="shared" si="13"/>
        <v>28428.285800000012</v>
      </c>
      <c r="Y31" s="263">
        <f t="shared" si="13"/>
        <v>32137.388100000011</v>
      </c>
      <c r="Z31" s="263">
        <f t="shared" si="13"/>
        <v>36138.03290000002</v>
      </c>
      <c r="AA31" s="263">
        <f t="shared" si="13"/>
        <v>3947.5862199999974</v>
      </c>
      <c r="AB31" s="263">
        <f t="shared" si="13"/>
        <v>41819.292300000001</v>
      </c>
      <c r="AC31" s="263">
        <f t="shared" si="13"/>
        <v>44403.325899999996</v>
      </c>
      <c r="AD31" s="263">
        <f t="shared" si="13"/>
        <v>46692.881900000008</v>
      </c>
      <c r="AE31" s="263">
        <f t="shared" si="13"/>
        <v>48950.471500000014</v>
      </c>
      <c r="AF31" s="263">
        <f t="shared" si="13"/>
        <v>51884.005500000028</v>
      </c>
      <c r="AG31" s="263">
        <f t="shared" si="13"/>
        <v>53813.684200000018</v>
      </c>
      <c r="AH31" s="263">
        <f t="shared" si="13"/>
        <v>55990.293999999994</v>
      </c>
      <c r="AI31" s="263">
        <f t="shared" si="13"/>
        <v>58260.802499999991</v>
      </c>
      <c r="AJ31" s="263">
        <f t="shared" si="13"/>
        <v>60579.678799999994</v>
      </c>
      <c r="AK31" s="263">
        <f t="shared" si="13"/>
        <v>62934.376800000027</v>
      </c>
      <c r="AL31" s="263">
        <f t="shared" si="13"/>
        <v>65827.575500000006</v>
      </c>
      <c r="AM31" s="263">
        <f t="shared" si="13"/>
        <v>68470.448300000018</v>
      </c>
      <c r="AN31" s="263">
        <f t="shared" si="13"/>
        <v>70945.516899999988</v>
      </c>
      <c r="AO31" s="263">
        <f t="shared" si="13"/>
        <v>73441.823399999994</v>
      </c>
      <c r="AP31" s="263">
        <f t="shared" si="13"/>
        <v>76149.302599999995</v>
      </c>
      <c r="AQ31" s="263">
        <f t="shared" si="13"/>
        <v>78910.057899999985</v>
      </c>
      <c r="AR31" s="263">
        <f t="shared" si="13"/>
        <v>81533.877899999992</v>
      </c>
      <c r="AS31" s="263">
        <f t="shared" si="13"/>
        <v>84056.422699999996</v>
      </c>
      <c r="AT31" s="263">
        <f t="shared" si="13"/>
        <v>86629.024700000009</v>
      </c>
      <c r="AU31" s="263">
        <f t="shared" si="13"/>
        <v>8408.7823100000096</v>
      </c>
      <c r="AV31" s="268"/>
    </row>
    <row r="32" spans="1:49" x14ac:dyDescent="0.25">
      <c r="B32" s="249" t="s">
        <v>473</v>
      </c>
      <c r="C32" s="251">
        <f t="shared" ref="C32:E32" si="14">SUM(C27,C30)</f>
        <v>0</v>
      </c>
      <c r="D32" s="251">
        <f t="shared" si="14"/>
        <v>0</v>
      </c>
      <c r="E32" s="251">
        <f t="shared" si="14"/>
        <v>0</v>
      </c>
      <c r="F32" s="251">
        <f>SUM(F27,F30)</f>
        <v>0</v>
      </c>
      <c r="G32" s="251">
        <f t="shared" ref="G32:AU32" si="15">SUM(G27,G30)</f>
        <v>0</v>
      </c>
      <c r="H32" s="251">
        <f t="shared" si="15"/>
        <v>0</v>
      </c>
      <c r="I32" s="251">
        <f t="shared" si="15"/>
        <v>0</v>
      </c>
      <c r="J32" s="251">
        <f t="shared" si="15"/>
        <v>0</v>
      </c>
      <c r="K32" s="251">
        <f t="shared" si="15"/>
        <v>0</v>
      </c>
      <c r="L32" s="251">
        <f t="shared" si="15"/>
        <v>0</v>
      </c>
      <c r="M32" s="251">
        <f t="shared" si="15"/>
        <v>0</v>
      </c>
      <c r="N32" s="251">
        <f t="shared" si="15"/>
        <v>0</v>
      </c>
      <c r="O32" s="251">
        <f t="shared" si="15"/>
        <v>0</v>
      </c>
      <c r="P32" s="251">
        <f t="shared" si="15"/>
        <v>0</v>
      </c>
      <c r="Q32" s="251">
        <f t="shared" si="15"/>
        <v>0</v>
      </c>
      <c r="R32" s="251">
        <f t="shared" si="15"/>
        <v>0</v>
      </c>
      <c r="S32" s="251">
        <f t="shared" si="15"/>
        <v>0</v>
      </c>
      <c r="T32" s="251">
        <f t="shared" si="15"/>
        <v>48.225600000005215</v>
      </c>
      <c r="U32" s="251">
        <f t="shared" si="15"/>
        <v>-4763.1144999999669</v>
      </c>
      <c r="V32" s="251">
        <f t="shared" si="15"/>
        <v>-12024.465299999982</v>
      </c>
      <c r="W32" s="251">
        <f t="shared" si="15"/>
        <v>-13971.910600000032</v>
      </c>
      <c r="X32" s="251">
        <f t="shared" si="15"/>
        <v>-17769.475699999981</v>
      </c>
      <c r="Y32" s="251">
        <f t="shared" si="15"/>
        <v>-22915.224099999963</v>
      </c>
      <c r="Z32" s="251">
        <f t="shared" si="15"/>
        <v>-29788.141799999867</v>
      </c>
      <c r="AA32" s="251">
        <f t="shared" si="15"/>
        <v>-38002.99139999997</v>
      </c>
      <c r="AB32" s="251">
        <f t="shared" si="15"/>
        <v>-39938.64320000002</v>
      </c>
      <c r="AC32" s="251">
        <f t="shared" si="15"/>
        <v>-45584.413999999961</v>
      </c>
      <c r="AD32" s="251">
        <f t="shared" si="15"/>
        <v>-49982.413499999908</v>
      </c>
      <c r="AE32" s="251">
        <f t="shared" si="15"/>
        <v>-53657.393199999962</v>
      </c>
      <c r="AF32" s="251">
        <f t="shared" si="15"/>
        <v>-60058.45900000009</v>
      </c>
      <c r="AG32" s="251">
        <f t="shared" si="15"/>
        <v>-62094.886300000013</v>
      </c>
      <c r="AH32" s="251">
        <f t="shared" si="15"/>
        <v>-64270.064100000047</v>
      </c>
      <c r="AI32" s="251">
        <f t="shared" si="15"/>
        <v>-66397.826699999976</v>
      </c>
      <c r="AJ32" s="251">
        <f t="shared" si="15"/>
        <v>-68456.741999999911</v>
      </c>
      <c r="AK32" s="251">
        <f t="shared" si="15"/>
        <v>-70498.279600000038</v>
      </c>
      <c r="AL32" s="251">
        <f t="shared" si="15"/>
        <v>-75074.40790000002</v>
      </c>
      <c r="AM32" s="251">
        <f t="shared" si="15"/>
        <v>-78298.631600000081</v>
      </c>
      <c r="AN32" s="251">
        <f t="shared" si="15"/>
        <v>-80954.134500000073</v>
      </c>
      <c r="AO32" s="251">
        <f t="shared" si="15"/>
        <v>-83250.583200000052</v>
      </c>
      <c r="AP32" s="251">
        <f t="shared" si="15"/>
        <v>-87637.84970000005</v>
      </c>
      <c r="AQ32" s="251">
        <f t="shared" si="15"/>
        <v>-92442.524599999946</v>
      </c>
      <c r="AR32" s="251">
        <f t="shared" si="15"/>
        <v>-96250.343300000095</v>
      </c>
      <c r="AS32" s="251">
        <f t="shared" si="15"/>
        <v>-99490.401100000046</v>
      </c>
      <c r="AT32" s="251">
        <f t="shared" si="15"/>
        <v>-102304.62820000004</v>
      </c>
      <c r="AU32" s="251">
        <f t="shared" si="15"/>
        <v>-105652.14730000007</v>
      </c>
      <c r="AV32" s="268"/>
    </row>
    <row r="36" spans="1:50" s="244" customFormat="1" ht="45" customHeight="1" x14ac:dyDescent="0.25">
      <c r="A36" s="239" t="str">
        <f>[4]Résultats!B1</f>
        <v>SNBC3</v>
      </c>
      <c r="B36" s="240" t="s">
        <v>497</v>
      </c>
      <c r="C36" s="241">
        <v>2006</v>
      </c>
      <c r="D36" s="242">
        <v>2007</v>
      </c>
      <c r="E36" s="242">
        <v>2008</v>
      </c>
      <c r="F36" s="242">
        <v>2009</v>
      </c>
      <c r="G36" s="242">
        <v>2010</v>
      </c>
      <c r="H36" s="242">
        <v>2011</v>
      </c>
      <c r="I36" s="242">
        <v>2012</v>
      </c>
      <c r="J36" s="242">
        <v>2013</v>
      </c>
      <c r="K36" s="242">
        <v>2014</v>
      </c>
      <c r="L36" s="242">
        <v>2015</v>
      </c>
      <c r="M36" s="242">
        <v>2016</v>
      </c>
      <c r="N36" s="242">
        <v>2017</v>
      </c>
      <c r="O36" s="242">
        <v>2018</v>
      </c>
      <c r="P36" s="242">
        <v>2019</v>
      </c>
      <c r="Q36" s="242">
        <v>2020</v>
      </c>
      <c r="R36" s="242">
        <v>2021</v>
      </c>
      <c r="S36" s="242">
        <v>2022</v>
      </c>
      <c r="T36" s="242">
        <v>2023</v>
      </c>
      <c r="U36" s="242">
        <v>2024</v>
      </c>
      <c r="V36" s="242">
        <v>2025</v>
      </c>
      <c r="W36" s="242">
        <v>2026</v>
      </c>
      <c r="X36" s="242">
        <v>2027</v>
      </c>
      <c r="Y36" s="242">
        <v>2028</v>
      </c>
      <c r="Z36" s="242">
        <v>2029</v>
      </c>
      <c r="AA36" s="242">
        <v>2030</v>
      </c>
      <c r="AB36" s="242">
        <v>2031</v>
      </c>
      <c r="AC36" s="242">
        <v>2032</v>
      </c>
      <c r="AD36" s="242">
        <v>2033</v>
      </c>
      <c r="AE36" s="242">
        <v>2034</v>
      </c>
      <c r="AF36" s="242">
        <v>2035</v>
      </c>
      <c r="AG36" s="242">
        <v>2036</v>
      </c>
      <c r="AH36" s="242">
        <v>2037</v>
      </c>
      <c r="AI36" s="242">
        <v>2038</v>
      </c>
      <c r="AJ36" s="242">
        <v>2039</v>
      </c>
      <c r="AK36" s="242">
        <v>2040</v>
      </c>
      <c r="AL36" s="242">
        <v>2041</v>
      </c>
      <c r="AM36" s="242">
        <v>2042</v>
      </c>
      <c r="AN36" s="242">
        <v>2043</v>
      </c>
      <c r="AO36" s="242">
        <v>2044</v>
      </c>
      <c r="AP36" s="242">
        <v>2045</v>
      </c>
      <c r="AQ36" s="242">
        <v>2046</v>
      </c>
      <c r="AR36" s="242">
        <v>2047</v>
      </c>
      <c r="AS36" s="242">
        <v>2048</v>
      </c>
      <c r="AT36" s="242">
        <v>2049</v>
      </c>
      <c r="AU36" s="243">
        <v>2050</v>
      </c>
      <c r="AW36" s="242" t="s">
        <v>498</v>
      </c>
      <c r="AX36" s="242" t="s">
        <v>499</v>
      </c>
    </row>
    <row r="37" spans="1:50" x14ac:dyDescent="0.25">
      <c r="B37" s="245" t="s">
        <v>500</v>
      </c>
      <c r="C37" s="246">
        <f t="shared" ref="C37:AU37" si="16">C38+C39+C42</f>
        <v>1</v>
      </c>
      <c r="D37" s="247">
        <f t="shared" si="16"/>
        <v>1</v>
      </c>
      <c r="E37" s="247">
        <f t="shared" si="16"/>
        <v>0.99999999999999989</v>
      </c>
      <c r="F37" s="247">
        <f t="shared" si="16"/>
        <v>1</v>
      </c>
      <c r="G37" s="247">
        <f t="shared" si="16"/>
        <v>1</v>
      </c>
      <c r="H37" s="247">
        <f t="shared" si="16"/>
        <v>1</v>
      </c>
      <c r="I37" s="247">
        <f t="shared" si="16"/>
        <v>1</v>
      </c>
      <c r="J37" s="247">
        <f t="shared" si="16"/>
        <v>1</v>
      </c>
      <c r="K37" s="247">
        <f t="shared" si="16"/>
        <v>1</v>
      </c>
      <c r="L37" s="247">
        <f t="shared" si="16"/>
        <v>1</v>
      </c>
      <c r="M37" s="247">
        <f t="shared" si="16"/>
        <v>1</v>
      </c>
      <c r="N37" s="247">
        <f t="shared" si="16"/>
        <v>1</v>
      </c>
      <c r="O37" s="247">
        <f t="shared" si="16"/>
        <v>0.99999999999999989</v>
      </c>
      <c r="P37" s="247">
        <f t="shared" si="16"/>
        <v>0.99999999999999989</v>
      </c>
      <c r="Q37" s="247">
        <f t="shared" si="16"/>
        <v>0.99999999999999978</v>
      </c>
      <c r="R37" s="247">
        <f t="shared" si="16"/>
        <v>1</v>
      </c>
      <c r="S37" s="247">
        <f t="shared" si="16"/>
        <v>1.0000000000000002</v>
      </c>
      <c r="T37" s="247">
        <f t="shared" si="16"/>
        <v>0.99999999999999989</v>
      </c>
      <c r="U37" s="247">
        <f t="shared" si="16"/>
        <v>1</v>
      </c>
      <c r="V37" s="247">
        <f t="shared" si="16"/>
        <v>1</v>
      </c>
      <c r="W37" s="247">
        <f t="shared" si="16"/>
        <v>1</v>
      </c>
      <c r="X37" s="247">
        <f t="shared" si="16"/>
        <v>1.0000000000000002</v>
      </c>
      <c r="Y37" s="247">
        <f t="shared" si="16"/>
        <v>1</v>
      </c>
      <c r="Z37" s="247">
        <f t="shared" si="16"/>
        <v>1</v>
      </c>
      <c r="AA37" s="247">
        <f t="shared" si="16"/>
        <v>1</v>
      </c>
      <c r="AB37" s="247">
        <f t="shared" si="16"/>
        <v>1</v>
      </c>
      <c r="AC37" s="247">
        <f t="shared" si="16"/>
        <v>0.99999999999999989</v>
      </c>
      <c r="AD37" s="247">
        <f t="shared" si="16"/>
        <v>1</v>
      </c>
      <c r="AE37" s="247">
        <f t="shared" si="16"/>
        <v>0.99999999999999989</v>
      </c>
      <c r="AF37" s="247">
        <f t="shared" si="16"/>
        <v>0.99999999999999989</v>
      </c>
      <c r="AG37" s="247">
        <f t="shared" si="16"/>
        <v>1</v>
      </c>
      <c r="AH37" s="247">
        <f t="shared" si="16"/>
        <v>1</v>
      </c>
      <c r="AI37" s="247">
        <f t="shared" si="16"/>
        <v>1</v>
      </c>
      <c r="AJ37" s="247">
        <f t="shared" si="16"/>
        <v>1</v>
      </c>
      <c r="AK37" s="247">
        <f t="shared" si="16"/>
        <v>1</v>
      </c>
      <c r="AL37" s="247">
        <f t="shared" si="16"/>
        <v>0.99999999999999989</v>
      </c>
      <c r="AM37" s="247">
        <f t="shared" si="16"/>
        <v>1</v>
      </c>
      <c r="AN37" s="247">
        <f t="shared" si="16"/>
        <v>0.99999999999999989</v>
      </c>
      <c r="AO37" s="247">
        <f t="shared" si="16"/>
        <v>0.99999999999999989</v>
      </c>
      <c r="AP37" s="247">
        <f t="shared" si="16"/>
        <v>1</v>
      </c>
      <c r="AQ37" s="247">
        <f t="shared" si="16"/>
        <v>0.99999999999999989</v>
      </c>
      <c r="AR37" s="247">
        <f t="shared" si="16"/>
        <v>1</v>
      </c>
      <c r="AS37" s="247">
        <f t="shared" si="16"/>
        <v>1</v>
      </c>
      <c r="AT37" s="247">
        <f t="shared" si="16"/>
        <v>0.99999999999999989</v>
      </c>
      <c r="AU37" s="248">
        <f t="shared" si="16"/>
        <v>0.99999999999999989</v>
      </c>
    </row>
    <row r="38" spans="1:50" x14ac:dyDescent="0.25">
      <c r="B38" s="249" t="s">
        <v>466</v>
      </c>
      <c r="C38" s="300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2"/>
      <c r="AV38" s="253"/>
      <c r="AW38" s="253"/>
    </row>
    <row r="39" spans="1:50" x14ac:dyDescent="0.25">
      <c r="B39" s="254" t="s">
        <v>467</v>
      </c>
      <c r="C39" s="301">
        <f>C4/(C$2-C$3)</f>
        <v>0.29999999998794452</v>
      </c>
      <c r="D39" s="301">
        <f t="shared" ref="D39:AU45" si="17">D4/(D$2-D$3)</f>
        <v>0.30790241059139994</v>
      </c>
      <c r="E39" s="301">
        <f t="shared" si="17"/>
        <v>0.31440862200984865</v>
      </c>
      <c r="F39" s="301">
        <f t="shared" si="17"/>
        <v>0.31985815243333493</v>
      </c>
      <c r="G39" s="301">
        <f t="shared" si="17"/>
        <v>0.32446161903824927</v>
      </c>
      <c r="H39" s="301">
        <f t="shared" si="17"/>
        <v>0.33130484619712525</v>
      </c>
      <c r="I39" s="301">
        <f t="shared" si="17"/>
        <v>0.33985171393345887</v>
      </c>
      <c r="J39" s="301">
        <f t="shared" si="17"/>
        <v>0.34700928658022284</v>
      </c>
      <c r="K39" s="301">
        <f t="shared" si="17"/>
        <v>0.35347813299053976</v>
      </c>
      <c r="L39" s="301">
        <f t="shared" si="17"/>
        <v>0.3599271527861207</v>
      </c>
      <c r="M39" s="301">
        <f t="shared" si="17"/>
        <v>0.35700047783969735</v>
      </c>
      <c r="N39" s="301">
        <f t="shared" si="17"/>
        <v>0.35491950461871286</v>
      </c>
      <c r="O39" s="301">
        <f t="shared" si="17"/>
        <v>0.35588212215666037</v>
      </c>
      <c r="P39" s="301">
        <f t="shared" si="17"/>
        <v>0.35585566429184068</v>
      </c>
      <c r="Q39" s="301">
        <f t="shared" si="17"/>
        <v>0.3566915987665637</v>
      </c>
      <c r="R39" s="301">
        <f t="shared" si="17"/>
        <v>0.29068781429484497</v>
      </c>
      <c r="S39" s="301">
        <f t="shared" si="17"/>
        <v>0.29033814990996737</v>
      </c>
      <c r="T39" s="301">
        <f t="shared" si="17"/>
        <v>0.28963406493329158</v>
      </c>
      <c r="U39" s="301">
        <f t="shared" si="17"/>
        <v>0.27878706410230253</v>
      </c>
      <c r="V39" s="301">
        <f t="shared" si="17"/>
        <v>0.26729830815907912</v>
      </c>
      <c r="W39" s="301">
        <f t="shared" si="17"/>
        <v>0.26716305650166894</v>
      </c>
      <c r="X39" s="301">
        <f t="shared" si="17"/>
        <v>0.26613477848900385</v>
      </c>
      <c r="Y39" s="301">
        <f t="shared" si="17"/>
        <v>0.2646126143646626</v>
      </c>
      <c r="Z39" s="301">
        <f t="shared" si="17"/>
        <v>0.26263415322476802</v>
      </c>
      <c r="AA39" s="301">
        <f t="shared" si="17"/>
        <v>0.35922947782495462</v>
      </c>
      <c r="AB39" s="301">
        <f t="shared" si="17"/>
        <v>0.25802751804233681</v>
      </c>
      <c r="AC39" s="301">
        <f t="shared" si="17"/>
        <v>0.25594925770718857</v>
      </c>
      <c r="AD39" s="301">
        <f t="shared" si="17"/>
        <v>0.25402506734537467</v>
      </c>
      <c r="AE39" s="301">
        <f t="shared" si="17"/>
        <v>0.25247250454004477</v>
      </c>
      <c r="AF39" s="301">
        <f t="shared" si="17"/>
        <v>0.25104602546913879</v>
      </c>
      <c r="AG39" s="301">
        <f t="shared" si="17"/>
        <v>0.24942595737076215</v>
      </c>
      <c r="AH39" s="301">
        <f t="shared" si="17"/>
        <v>0.24809196266041167</v>
      </c>
      <c r="AI39" s="301">
        <f t="shared" si="17"/>
        <v>0.24694143374034555</v>
      </c>
      <c r="AJ39" s="301">
        <f t="shared" si="17"/>
        <v>0.24583716574906697</v>
      </c>
      <c r="AK39" s="301">
        <f t="shared" si="17"/>
        <v>0.24473727477797114</v>
      </c>
      <c r="AL39" s="301">
        <f t="shared" si="17"/>
        <v>0.24386608877106863</v>
      </c>
      <c r="AM39" s="301">
        <f t="shared" si="17"/>
        <v>0.24288565279094784</v>
      </c>
      <c r="AN39" s="301">
        <f t="shared" si="17"/>
        <v>0.24195873786643277</v>
      </c>
      <c r="AO39" s="301">
        <f t="shared" si="17"/>
        <v>0.24095991696482114</v>
      </c>
      <c r="AP39" s="301">
        <f t="shared" si="17"/>
        <v>0.23906900943432946</v>
      </c>
      <c r="AQ39" s="301">
        <f t="shared" si="17"/>
        <v>0.23802044011221368</v>
      </c>
      <c r="AR39" s="301">
        <f t="shared" si="17"/>
        <v>0.23694320500496732</v>
      </c>
      <c r="AS39" s="301">
        <f t="shared" si="17"/>
        <v>0.23594154031153353</v>
      </c>
      <c r="AT39" s="301">
        <f t="shared" si="17"/>
        <v>0.23489854204280422</v>
      </c>
      <c r="AU39" s="302">
        <f t="shared" si="17"/>
        <v>0.3688867837022749</v>
      </c>
      <c r="AV39" s="253"/>
      <c r="AW39" s="303">
        <f t="shared" ref="AW39:AW44" si="18">AA39-P39</f>
        <v>3.3738135331139452E-3</v>
      </c>
      <c r="AX39" s="303">
        <f t="shared" ref="AX39:AX44" si="19">AU39-P39</f>
        <v>1.3031119410434222E-2</v>
      </c>
    </row>
    <row r="40" spans="1:50" x14ac:dyDescent="0.25">
      <c r="B40" s="258" t="s">
        <v>468</v>
      </c>
      <c r="C40" s="304">
        <f>C5/(C$2-C$3)</f>
        <v>0.1970599631421219</v>
      </c>
      <c r="D40" s="304">
        <f t="shared" si="17"/>
        <v>0.20043073898618502</v>
      </c>
      <c r="E40" s="304">
        <f t="shared" si="17"/>
        <v>0.20584519342076119</v>
      </c>
      <c r="F40" s="304">
        <f t="shared" si="17"/>
        <v>0.20841531167697025</v>
      </c>
      <c r="G40" s="304">
        <f t="shared" si="17"/>
        <v>0.21177627874785532</v>
      </c>
      <c r="H40" s="304">
        <f t="shared" si="17"/>
        <v>0.21421950637695109</v>
      </c>
      <c r="I40" s="304">
        <f t="shared" si="17"/>
        <v>0.2215179116807654</v>
      </c>
      <c r="J40" s="304">
        <f t="shared" si="17"/>
        <v>0.22768826487491892</v>
      </c>
      <c r="K40" s="304">
        <f t="shared" si="17"/>
        <v>0.232182166118164</v>
      </c>
      <c r="L40" s="304">
        <f t="shared" si="17"/>
        <v>0.2414334592980929</v>
      </c>
      <c r="M40" s="304">
        <f t="shared" si="17"/>
        <v>0.24193630994550674</v>
      </c>
      <c r="N40" s="304">
        <f t="shared" si="17"/>
        <v>0.23950574665465763</v>
      </c>
      <c r="O40" s="304">
        <f t="shared" si="17"/>
        <v>0.23704660071014355</v>
      </c>
      <c r="P40" s="304">
        <f t="shared" si="17"/>
        <v>0.23767351242404069</v>
      </c>
      <c r="Q40" s="304">
        <f t="shared" si="17"/>
        <v>0.23907359691027738</v>
      </c>
      <c r="R40" s="304">
        <f t="shared" si="17"/>
        <v>0.24140947535309795</v>
      </c>
      <c r="S40" s="304">
        <f t="shared" si="17"/>
        <v>0.24095595942183076</v>
      </c>
      <c r="T40" s="304">
        <f t="shared" si="17"/>
        <v>0.24007442629082335</v>
      </c>
      <c r="U40" s="304">
        <f t="shared" si="17"/>
        <v>0.23150591563362793</v>
      </c>
      <c r="V40" s="304">
        <f t="shared" si="17"/>
        <v>0.22217527538094548</v>
      </c>
      <c r="W40" s="304">
        <f t="shared" si="17"/>
        <v>0.22084602518166552</v>
      </c>
      <c r="X40" s="304">
        <f t="shared" si="17"/>
        <v>0.21839970640494161</v>
      </c>
      <c r="Y40" s="304">
        <f t="shared" si="17"/>
        <v>0.21530106504069915</v>
      </c>
      <c r="Z40" s="304">
        <f t="shared" si="17"/>
        <v>0.21160811079863334</v>
      </c>
      <c r="AA40" s="304">
        <f t="shared" si="17"/>
        <v>0.20763269576764373</v>
      </c>
      <c r="AB40" s="304">
        <f t="shared" si="17"/>
        <v>0.20468845434236063</v>
      </c>
      <c r="AC40" s="304">
        <f t="shared" si="17"/>
        <v>0.2022069731552438</v>
      </c>
      <c r="AD40" s="304">
        <f t="shared" si="17"/>
        <v>0.19992816822468965</v>
      </c>
      <c r="AE40" s="304">
        <f t="shared" si="17"/>
        <v>0.19814298078687204</v>
      </c>
      <c r="AF40" s="304">
        <f t="shared" si="17"/>
        <v>0.19652986727633423</v>
      </c>
      <c r="AG40" s="304">
        <f t="shared" si="17"/>
        <v>0.19464208918108752</v>
      </c>
      <c r="AH40" s="304">
        <f t="shared" si="17"/>
        <v>0.19312457433981939</v>
      </c>
      <c r="AI40" s="304">
        <f t="shared" si="17"/>
        <v>0.19184479930472392</v>
      </c>
      <c r="AJ40" s="304">
        <f t="shared" si="17"/>
        <v>0.19062299386215539</v>
      </c>
      <c r="AK40" s="304">
        <f t="shared" si="17"/>
        <v>0.18940420343615932</v>
      </c>
      <c r="AL40" s="304">
        <f t="shared" si="17"/>
        <v>0.18846874346848599</v>
      </c>
      <c r="AM40" s="304">
        <f t="shared" si="17"/>
        <v>0.18738616832594832</v>
      </c>
      <c r="AN40" s="304">
        <f t="shared" si="17"/>
        <v>0.18636781470014008</v>
      </c>
      <c r="AO40" s="304">
        <f t="shared" si="17"/>
        <v>0.18525694904382606</v>
      </c>
      <c r="AP40" s="304">
        <f t="shared" si="17"/>
        <v>0.18301786412929219</v>
      </c>
      <c r="AQ40" s="304">
        <f t="shared" si="17"/>
        <v>0.18186424863635059</v>
      </c>
      <c r="AR40" s="304">
        <f t="shared" si="17"/>
        <v>0.1806612857810885</v>
      </c>
      <c r="AS40" s="304">
        <f t="shared" si="17"/>
        <v>0.17954459705322218</v>
      </c>
      <c r="AT40" s="304">
        <f t="shared" si="17"/>
        <v>0.17837474094371963</v>
      </c>
      <c r="AU40" s="305">
        <f t="shared" si="17"/>
        <v>0.17831495301669606</v>
      </c>
      <c r="AW40" s="303">
        <f t="shared" si="18"/>
        <v>-3.0040816656396963E-2</v>
      </c>
      <c r="AX40" s="303">
        <f t="shared" si="19"/>
        <v>-5.9358559407344635E-2</v>
      </c>
    </row>
    <row r="41" spans="1:50" x14ac:dyDescent="0.25">
      <c r="B41" s="261" t="s">
        <v>469</v>
      </c>
      <c r="C41" s="306">
        <f t="shared" ref="C41:R45" si="20">C6/(C$2-C$3)</f>
        <v>5.6863254236345182E-2</v>
      </c>
      <c r="D41" s="306">
        <f t="shared" si="20"/>
        <v>5.6178547933083883E-2</v>
      </c>
      <c r="E41" s="306">
        <f t="shared" si="20"/>
        <v>5.4974070560912774E-2</v>
      </c>
      <c r="F41" s="306">
        <f t="shared" si="20"/>
        <v>5.4634380506389774E-2</v>
      </c>
      <c r="G41" s="306">
        <f t="shared" si="20"/>
        <v>5.4163936917707371E-2</v>
      </c>
      <c r="H41" s="306">
        <f t="shared" si="20"/>
        <v>5.3727330489502491E-2</v>
      </c>
      <c r="I41" s="306">
        <f t="shared" si="20"/>
        <v>5.2262271085740573E-2</v>
      </c>
      <c r="J41" s="306">
        <f t="shared" si="20"/>
        <v>5.1223031750453285E-2</v>
      </c>
      <c r="K41" s="306">
        <f t="shared" si="20"/>
        <v>5.060668794704621E-2</v>
      </c>
      <c r="L41" s="306">
        <f t="shared" si="20"/>
        <v>4.9218440764069879E-2</v>
      </c>
      <c r="M41" s="306">
        <f t="shared" si="20"/>
        <v>4.9361378585464001E-2</v>
      </c>
      <c r="N41" s="306">
        <f t="shared" si="20"/>
        <v>4.9891289868491846E-2</v>
      </c>
      <c r="O41" s="306">
        <f t="shared" si="20"/>
        <v>5.0182331969746051E-2</v>
      </c>
      <c r="P41" s="306">
        <f t="shared" si="20"/>
        <v>5.0007654952341239E-2</v>
      </c>
      <c r="Q41" s="306">
        <f t="shared" si="20"/>
        <v>0.11761800185628633</v>
      </c>
      <c r="R41" s="306">
        <f t="shared" si="20"/>
        <v>4.9278338941747005E-2</v>
      </c>
      <c r="S41" s="306">
        <f t="shared" si="17"/>
        <v>4.9382190488136572E-2</v>
      </c>
      <c r="T41" s="306">
        <f t="shared" si="17"/>
        <v>4.9559638642468283E-2</v>
      </c>
      <c r="U41" s="306">
        <f t="shared" si="17"/>
        <v>4.7281148468674601E-2</v>
      </c>
      <c r="V41" s="306">
        <f t="shared" si="17"/>
        <v>4.5123032778133648E-2</v>
      </c>
      <c r="W41" s="306">
        <f t="shared" si="17"/>
        <v>4.6317031320003407E-2</v>
      </c>
      <c r="X41" s="306">
        <f t="shared" si="17"/>
        <v>4.773507208406224E-2</v>
      </c>
      <c r="Y41" s="306">
        <f t="shared" si="17"/>
        <v>4.9311549323963456E-2</v>
      </c>
      <c r="Z41" s="306">
        <f t="shared" si="17"/>
        <v>5.1026042426134677E-2</v>
      </c>
      <c r="AA41" s="306">
        <f t="shared" si="17"/>
        <v>0.15159678205731086</v>
      </c>
      <c r="AB41" s="306">
        <f t="shared" si="17"/>
        <v>5.3339063699976194E-2</v>
      </c>
      <c r="AC41" s="306">
        <f t="shared" si="17"/>
        <v>5.3742284551944741E-2</v>
      </c>
      <c r="AD41" s="306">
        <f t="shared" si="17"/>
        <v>5.4096899120685021E-2</v>
      </c>
      <c r="AE41" s="306">
        <f t="shared" si="17"/>
        <v>5.4329523753172751E-2</v>
      </c>
      <c r="AF41" s="306">
        <f t="shared" si="17"/>
        <v>5.4516158192804601E-2</v>
      </c>
      <c r="AG41" s="306">
        <f t="shared" si="17"/>
        <v>5.4783868189674616E-2</v>
      </c>
      <c r="AH41" s="306">
        <f t="shared" si="17"/>
        <v>5.4967388320592281E-2</v>
      </c>
      <c r="AI41" s="306">
        <f t="shared" si="17"/>
        <v>5.5096634435621634E-2</v>
      </c>
      <c r="AJ41" s="306">
        <f t="shared" si="17"/>
        <v>5.5214171886911592E-2</v>
      </c>
      <c r="AK41" s="306">
        <f t="shared" si="17"/>
        <v>5.533307134181184E-2</v>
      </c>
      <c r="AL41" s="306">
        <f t="shared" si="17"/>
        <v>5.5397345302582647E-2</v>
      </c>
      <c r="AM41" s="306">
        <f t="shared" si="17"/>
        <v>5.5499484464999492E-2</v>
      </c>
      <c r="AN41" s="306">
        <f t="shared" si="17"/>
        <v>5.559092316629273E-2</v>
      </c>
      <c r="AO41" s="306">
        <f t="shared" si="17"/>
        <v>5.5702967920995099E-2</v>
      </c>
      <c r="AP41" s="306">
        <f t="shared" si="17"/>
        <v>5.6051145305037284E-2</v>
      </c>
      <c r="AQ41" s="306">
        <f t="shared" si="17"/>
        <v>5.6156191475863058E-2</v>
      </c>
      <c r="AR41" s="306">
        <f t="shared" si="17"/>
        <v>5.6281919223878846E-2</v>
      </c>
      <c r="AS41" s="306">
        <f t="shared" si="17"/>
        <v>5.6396943258311356E-2</v>
      </c>
      <c r="AT41" s="306">
        <f t="shared" si="17"/>
        <v>5.6523801099084607E-2</v>
      </c>
      <c r="AU41" s="307">
        <f t="shared" si="17"/>
        <v>0.19057183068557884</v>
      </c>
      <c r="AV41" s="253"/>
      <c r="AW41" s="303">
        <f t="shared" si="18"/>
        <v>0.10158912710496962</v>
      </c>
      <c r="AX41" s="303">
        <f t="shared" si="19"/>
        <v>0.1405641757332376</v>
      </c>
    </row>
    <row r="42" spans="1:50" x14ac:dyDescent="0.25">
      <c r="B42" s="258" t="s">
        <v>470</v>
      </c>
      <c r="C42" s="304">
        <f t="shared" si="20"/>
        <v>0.70000000001205542</v>
      </c>
      <c r="D42" s="304">
        <f t="shared" si="17"/>
        <v>0.6920975894086</v>
      </c>
      <c r="E42" s="304">
        <f t="shared" si="17"/>
        <v>0.68559137799015124</v>
      </c>
      <c r="F42" s="304">
        <f t="shared" si="17"/>
        <v>0.68014184756666518</v>
      </c>
      <c r="G42" s="304">
        <f t="shared" si="17"/>
        <v>0.67553838096175078</v>
      </c>
      <c r="H42" s="304">
        <f t="shared" si="17"/>
        <v>0.6686951538028747</v>
      </c>
      <c r="I42" s="304">
        <f t="shared" si="17"/>
        <v>0.66014828606654108</v>
      </c>
      <c r="J42" s="304">
        <f t="shared" si="17"/>
        <v>0.6529907134197771</v>
      </c>
      <c r="K42" s="304">
        <f t="shared" si="17"/>
        <v>0.64652186700946024</v>
      </c>
      <c r="L42" s="304">
        <f t="shared" si="17"/>
        <v>0.64007284721387936</v>
      </c>
      <c r="M42" s="304">
        <f t="shared" si="17"/>
        <v>0.64299952216030276</v>
      </c>
      <c r="N42" s="304">
        <f t="shared" si="17"/>
        <v>0.6450804953812872</v>
      </c>
      <c r="O42" s="304">
        <f t="shared" si="17"/>
        <v>0.64411787784333951</v>
      </c>
      <c r="P42" s="304">
        <f t="shared" si="17"/>
        <v>0.64414433570815921</v>
      </c>
      <c r="Q42" s="304">
        <f t="shared" si="17"/>
        <v>0.64330840123343613</v>
      </c>
      <c r="R42" s="304">
        <f t="shared" si="17"/>
        <v>0.70931218570515508</v>
      </c>
      <c r="S42" s="304">
        <f t="shared" si="17"/>
        <v>0.7096618500900328</v>
      </c>
      <c r="T42" s="304">
        <f t="shared" si="17"/>
        <v>0.71036593506670831</v>
      </c>
      <c r="U42" s="304">
        <f t="shared" si="17"/>
        <v>0.72121293589769742</v>
      </c>
      <c r="V42" s="304">
        <f t="shared" si="17"/>
        <v>0.73270169184092093</v>
      </c>
      <c r="W42" s="304">
        <f t="shared" si="17"/>
        <v>0.73283694349833106</v>
      </c>
      <c r="X42" s="304">
        <f t="shared" si="17"/>
        <v>0.73386522151099631</v>
      </c>
      <c r="Y42" s="304">
        <f t="shared" si="17"/>
        <v>0.73538738563533745</v>
      </c>
      <c r="Z42" s="304">
        <f t="shared" si="17"/>
        <v>0.73736584677523198</v>
      </c>
      <c r="AA42" s="304">
        <f t="shared" si="17"/>
        <v>0.64077052217504538</v>
      </c>
      <c r="AB42" s="304">
        <f t="shared" si="17"/>
        <v>0.7419724819576633</v>
      </c>
      <c r="AC42" s="304">
        <f t="shared" si="17"/>
        <v>0.74405074229281132</v>
      </c>
      <c r="AD42" s="304">
        <f t="shared" si="17"/>
        <v>0.74597493265462533</v>
      </c>
      <c r="AE42" s="304">
        <f t="shared" si="17"/>
        <v>0.74752749545995512</v>
      </c>
      <c r="AF42" s="304">
        <f t="shared" si="17"/>
        <v>0.7489539745308611</v>
      </c>
      <c r="AG42" s="304">
        <f t="shared" si="17"/>
        <v>0.75057404262923788</v>
      </c>
      <c r="AH42" s="304">
        <f t="shared" si="17"/>
        <v>0.75190803733958833</v>
      </c>
      <c r="AI42" s="304">
        <f t="shared" si="17"/>
        <v>0.7530585662596545</v>
      </c>
      <c r="AJ42" s="304">
        <f t="shared" si="17"/>
        <v>0.754162834250933</v>
      </c>
      <c r="AK42" s="304">
        <f t="shared" si="17"/>
        <v>0.75526272522202886</v>
      </c>
      <c r="AL42" s="304">
        <f t="shared" si="17"/>
        <v>0.75613391122893125</v>
      </c>
      <c r="AM42" s="304">
        <f t="shared" si="17"/>
        <v>0.75711434720905224</v>
      </c>
      <c r="AN42" s="304">
        <f t="shared" si="17"/>
        <v>0.75804126213356715</v>
      </c>
      <c r="AO42" s="304">
        <f t="shared" si="17"/>
        <v>0.75904008303517878</v>
      </c>
      <c r="AP42" s="304">
        <f t="shared" si="17"/>
        <v>0.7609309905656706</v>
      </c>
      <c r="AQ42" s="304">
        <f t="shared" si="17"/>
        <v>0.76197955988778621</v>
      </c>
      <c r="AR42" s="304">
        <f t="shared" si="17"/>
        <v>0.76305679499503276</v>
      </c>
      <c r="AS42" s="304">
        <f t="shared" si="17"/>
        <v>0.76405845968846642</v>
      </c>
      <c r="AT42" s="304">
        <f t="shared" si="17"/>
        <v>0.76510145795719564</v>
      </c>
      <c r="AU42" s="305">
        <f t="shared" si="17"/>
        <v>0.63111321629772499</v>
      </c>
      <c r="AW42" s="303">
        <f t="shared" si="18"/>
        <v>-3.3738135331138341E-3</v>
      </c>
      <c r="AX42" s="303">
        <f t="shared" si="19"/>
        <v>-1.3031119410434222E-2</v>
      </c>
    </row>
    <row r="43" spans="1:50" x14ac:dyDescent="0.25">
      <c r="B43" s="258" t="s">
        <v>471</v>
      </c>
      <c r="C43" s="304">
        <f t="shared" si="20"/>
        <v>0.64313674466660875</v>
      </c>
      <c r="D43" s="304">
        <f t="shared" si="17"/>
        <v>0.635919058040882</v>
      </c>
      <c r="E43" s="304">
        <f t="shared" si="17"/>
        <v>0.63062183530263838</v>
      </c>
      <c r="F43" s="304">
        <f t="shared" si="17"/>
        <v>0.62551205320510983</v>
      </c>
      <c r="G43" s="304">
        <f t="shared" si="17"/>
        <v>0.62137910075329472</v>
      </c>
      <c r="H43" s="304">
        <f t="shared" si="17"/>
        <v>0.6149725600384166</v>
      </c>
      <c r="I43" s="304">
        <f t="shared" si="17"/>
        <v>0.60789696511111335</v>
      </c>
      <c r="J43" s="304">
        <f t="shared" si="17"/>
        <v>0.60178087402778624</v>
      </c>
      <c r="K43" s="304">
        <f t="shared" si="17"/>
        <v>0.59592836782334735</v>
      </c>
      <c r="L43" s="304">
        <f t="shared" si="17"/>
        <v>0.59087601902080822</v>
      </c>
      <c r="M43" s="304">
        <f t="shared" si="17"/>
        <v>0.59365992887561903</v>
      </c>
      <c r="N43" s="304">
        <f t="shared" si="17"/>
        <v>0.59521255209919643</v>
      </c>
      <c r="O43" s="304">
        <f t="shared" si="17"/>
        <v>0.59396030331665173</v>
      </c>
      <c r="P43" s="304">
        <f t="shared" si="17"/>
        <v>0.59416177760770938</v>
      </c>
      <c r="Q43" s="304">
        <f t="shared" si="17"/>
        <v>0.59360988163993467</v>
      </c>
      <c r="R43" s="304">
        <f t="shared" si="17"/>
        <v>0.59279604080118498</v>
      </c>
      <c r="S43" s="304">
        <f t="shared" si="17"/>
        <v>0.59303036504078133</v>
      </c>
      <c r="T43" s="304">
        <f t="shared" si="17"/>
        <v>0.59330081921844757</v>
      </c>
      <c r="U43" s="304">
        <f t="shared" si="17"/>
        <v>0.59535338746876043</v>
      </c>
      <c r="V43" s="304">
        <f t="shared" si="17"/>
        <v>0.59726659101874102</v>
      </c>
      <c r="W43" s="304">
        <f t="shared" si="17"/>
        <v>0.59507565483037994</v>
      </c>
      <c r="X43" s="304">
        <f t="shared" si="17"/>
        <v>0.5931733131868554</v>
      </c>
      <c r="Y43" s="304">
        <f t="shared" si="17"/>
        <v>0.59144704958130478</v>
      </c>
      <c r="Z43" s="304">
        <f t="shared" si="17"/>
        <v>0.58973808753717183</v>
      </c>
      <c r="AA43" s="304">
        <f t="shared" si="17"/>
        <v>0.58794695181068901</v>
      </c>
      <c r="AB43" s="304">
        <f t="shared" si="17"/>
        <v>0.58804532871107129</v>
      </c>
      <c r="AC43" s="304">
        <f t="shared" si="17"/>
        <v>0.58787806723649061</v>
      </c>
      <c r="AD43" s="304">
        <f t="shared" si="17"/>
        <v>0.5875976485261456</v>
      </c>
      <c r="AE43" s="304">
        <f t="shared" si="17"/>
        <v>0.58704146570302906</v>
      </c>
      <c r="AF43" s="304">
        <f t="shared" si="17"/>
        <v>0.58637765063817571</v>
      </c>
      <c r="AG43" s="304">
        <f t="shared" si="17"/>
        <v>0.5858702582594979</v>
      </c>
      <c r="AH43" s="304">
        <f t="shared" si="17"/>
        <v>0.58519804836274147</v>
      </c>
      <c r="AI43" s="304">
        <f t="shared" si="17"/>
        <v>0.58442769568922337</v>
      </c>
      <c r="AJ43" s="304">
        <f t="shared" si="17"/>
        <v>0.583645499586538</v>
      </c>
      <c r="AK43" s="304">
        <f t="shared" si="17"/>
        <v>0.58288150094458369</v>
      </c>
      <c r="AL43" s="304">
        <f t="shared" si="17"/>
        <v>0.58199796641040646</v>
      </c>
      <c r="AM43" s="304">
        <f t="shared" si="17"/>
        <v>0.58121059920059637</v>
      </c>
      <c r="AN43" s="304">
        <f t="shared" si="17"/>
        <v>0.58041572400576102</v>
      </c>
      <c r="AO43" s="304">
        <f t="shared" si="17"/>
        <v>0.57967554061173721</v>
      </c>
      <c r="AP43" s="304">
        <f t="shared" si="17"/>
        <v>0.5793842614665925</v>
      </c>
      <c r="AQ43" s="304">
        <f t="shared" si="17"/>
        <v>0.57857072982151125</v>
      </c>
      <c r="AR43" s="304">
        <f t="shared" si="17"/>
        <v>0.57782809478412467</v>
      </c>
      <c r="AS43" s="304">
        <f t="shared" si="17"/>
        <v>0.57708238591205685</v>
      </c>
      <c r="AT43" s="304">
        <f t="shared" si="17"/>
        <v>0.57636870281238273</v>
      </c>
      <c r="AU43" s="305">
        <f t="shared" si="17"/>
        <v>0.57480373320349887</v>
      </c>
      <c r="AW43" s="303">
        <f t="shared" si="18"/>
        <v>-6.2148257970203735E-3</v>
      </c>
      <c r="AX43" s="303">
        <f t="shared" si="19"/>
        <v>-1.9358044404210517E-2</v>
      </c>
    </row>
    <row r="44" spans="1:50" x14ac:dyDescent="0.25">
      <c r="B44" s="261" t="s">
        <v>472</v>
      </c>
      <c r="C44" s="306">
        <f t="shared" si="20"/>
        <v>0.10294003483256244</v>
      </c>
      <c r="D44" s="306">
        <f t="shared" si="17"/>
        <v>0.10749581913926159</v>
      </c>
      <c r="E44" s="306">
        <f t="shared" si="17"/>
        <v>0.1085977456241152</v>
      </c>
      <c r="F44" s="306">
        <f t="shared" si="17"/>
        <v>0.11148467726717834</v>
      </c>
      <c r="G44" s="306">
        <f t="shared" si="17"/>
        <v>0.11272866345726057</v>
      </c>
      <c r="H44" s="306">
        <f t="shared" si="17"/>
        <v>0.11715715983881428</v>
      </c>
      <c r="I44" s="306">
        <f t="shared" si="17"/>
        <v>0.11842747877751933</v>
      </c>
      <c r="J44" s="306">
        <f t="shared" si="17"/>
        <v>0.11943092122790609</v>
      </c>
      <c r="K44" s="306">
        <f t="shared" si="17"/>
        <v>0.12140830428564459</v>
      </c>
      <c r="L44" s="306">
        <f t="shared" si="17"/>
        <v>0.11875883036461428</v>
      </c>
      <c r="M44" s="306">
        <f t="shared" si="17"/>
        <v>0.11536513295292594</v>
      </c>
      <c r="N44" s="306">
        <f t="shared" si="17"/>
        <v>0.11571971011224831</v>
      </c>
      <c r="O44" s="306">
        <f t="shared" si="17"/>
        <v>0.11920517113503537</v>
      </c>
      <c r="P44" s="306">
        <f t="shared" si="17"/>
        <v>0.1185543835946032</v>
      </c>
      <c r="Q44" s="306">
        <f t="shared" si="17"/>
        <v>4.9698519593501453E-2</v>
      </c>
      <c r="R44" s="306">
        <f t="shared" si="17"/>
        <v>0.11651614490397003</v>
      </c>
      <c r="S44" s="306">
        <f t="shared" si="17"/>
        <v>0.1166314850492515</v>
      </c>
      <c r="T44" s="306">
        <f t="shared" si="17"/>
        <v>0.11706511584826074</v>
      </c>
      <c r="U44" s="306">
        <f t="shared" si="17"/>
        <v>0.1258595484289371</v>
      </c>
      <c r="V44" s="306">
        <f t="shared" si="17"/>
        <v>0.13543510082217985</v>
      </c>
      <c r="W44" s="306">
        <f t="shared" si="17"/>
        <v>0.13776128866795107</v>
      </c>
      <c r="X44" s="306">
        <f t="shared" si="17"/>
        <v>0.14069190832414086</v>
      </c>
      <c r="Y44" s="306">
        <f t="shared" si="17"/>
        <v>0.14394033605403256</v>
      </c>
      <c r="Z44" s="306">
        <f t="shared" si="17"/>
        <v>0.14762775923806024</v>
      </c>
      <c r="AA44" s="306">
        <f t="shared" si="17"/>
        <v>5.2823570364356358E-2</v>
      </c>
      <c r="AB44" s="306">
        <f t="shared" si="17"/>
        <v>0.15392715324659201</v>
      </c>
      <c r="AC44" s="306">
        <f t="shared" si="17"/>
        <v>0.15617267505632063</v>
      </c>
      <c r="AD44" s="306">
        <f t="shared" si="17"/>
        <v>0.15837728412847976</v>
      </c>
      <c r="AE44" s="306">
        <f t="shared" si="17"/>
        <v>0.16048602975692611</v>
      </c>
      <c r="AF44" s="306">
        <f t="shared" si="17"/>
        <v>0.16257632389268542</v>
      </c>
      <c r="AG44" s="306">
        <f t="shared" si="17"/>
        <v>0.1647037843697399</v>
      </c>
      <c r="AH44" s="306">
        <f t="shared" si="17"/>
        <v>0.16670998897684677</v>
      </c>
      <c r="AI44" s="306">
        <f t="shared" si="17"/>
        <v>0.16863087057043114</v>
      </c>
      <c r="AJ44" s="306">
        <f t="shared" si="17"/>
        <v>0.170517334664395</v>
      </c>
      <c r="AK44" s="306">
        <f t="shared" si="17"/>
        <v>0.17238122427744521</v>
      </c>
      <c r="AL44" s="306">
        <f t="shared" si="17"/>
        <v>0.17413594481852485</v>
      </c>
      <c r="AM44" s="306">
        <f t="shared" si="17"/>
        <v>0.17590374800845593</v>
      </c>
      <c r="AN44" s="306">
        <f t="shared" si="17"/>
        <v>0.17762553812780613</v>
      </c>
      <c r="AO44" s="306">
        <f t="shared" si="17"/>
        <v>0.17936454242344152</v>
      </c>
      <c r="AP44" s="306">
        <f t="shared" si="17"/>
        <v>0.18154672909907824</v>
      </c>
      <c r="AQ44" s="306">
        <f t="shared" si="17"/>
        <v>0.18340883006627495</v>
      </c>
      <c r="AR44" s="306">
        <f t="shared" si="17"/>
        <v>0.18522870021090815</v>
      </c>
      <c r="AS44" s="306">
        <f t="shared" si="17"/>
        <v>0.18697607377640951</v>
      </c>
      <c r="AT44" s="306">
        <f t="shared" si="17"/>
        <v>0.188732755144813</v>
      </c>
      <c r="AU44" s="307">
        <f t="shared" si="17"/>
        <v>5.6309483094226211E-2</v>
      </c>
      <c r="AW44" s="303">
        <f t="shared" si="18"/>
        <v>-6.5730813230246848E-2</v>
      </c>
      <c r="AX44" s="303">
        <f t="shared" si="19"/>
        <v>-6.2244900500376989E-2</v>
      </c>
    </row>
    <row r="45" spans="1:50" x14ac:dyDescent="0.25">
      <c r="B45" s="249" t="s">
        <v>473</v>
      </c>
      <c r="C45" s="308">
        <f t="shared" si="20"/>
        <v>0.84019670780873068</v>
      </c>
      <c r="D45" s="308">
        <f t="shared" si="17"/>
        <v>0.83634979702706702</v>
      </c>
      <c r="E45" s="308">
        <f t="shared" si="17"/>
        <v>0.83646702872339951</v>
      </c>
      <c r="F45" s="308">
        <f t="shared" si="17"/>
        <v>0.83392736488208008</v>
      </c>
      <c r="G45" s="308">
        <f t="shared" si="17"/>
        <v>0.83315537950115004</v>
      </c>
      <c r="H45" s="308">
        <f t="shared" si="17"/>
        <v>0.8291920664153678</v>
      </c>
      <c r="I45" s="308">
        <f t="shared" si="17"/>
        <v>0.82941487679187864</v>
      </c>
      <c r="J45" s="308">
        <f t="shared" ref="J45:AU45" si="21">J10/(J$2-J$3)</f>
        <v>0.82946913890270513</v>
      </c>
      <c r="K45" s="308">
        <f t="shared" si="21"/>
        <v>0.82811053394151146</v>
      </c>
      <c r="L45" s="308">
        <f t="shared" si="21"/>
        <v>0.83230947831890112</v>
      </c>
      <c r="M45" s="308">
        <f t="shared" si="21"/>
        <v>0.83559623882112588</v>
      </c>
      <c r="N45" s="308">
        <f t="shared" si="21"/>
        <v>0.83471829875385406</v>
      </c>
      <c r="O45" s="308">
        <f t="shared" si="21"/>
        <v>0.83100690402679533</v>
      </c>
      <c r="P45" s="308">
        <f t="shared" si="21"/>
        <v>0.83183529003175005</v>
      </c>
      <c r="Q45" s="308">
        <f t="shared" si="21"/>
        <v>0.83268347855021208</v>
      </c>
      <c r="R45" s="308">
        <f t="shared" si="21"/>
        <v>0.83420551615428296</v>
      </c>
      <c r="S45" s="308">
        <f t="shared" si="21"/>
        <v>0.83398632446261212</v>
      </c>
      <c r="T45" s="308">
        <f t="shared" si="21"/>
        <v>0.83337524550927089</v>
      </c>
      <c r="U45" s="308">
        <f t="shared" si="21"/>
        <v>0.82685930310238842</v>
      </c>
      <c r="V45" s="308">
        <f t="shared" si="21"/>
        <v>0.81944186639968664</v>
      </c>
      <c r="W45" s="308">
        <f t="shared" si="21"/>
        <v>0.81592168001204546</v>
      </c>
      <c r="X45" s="308">
        <f t="shared" si="21"/>
        <v>0.81157301959179706</v>
      </c>
      <c r="Y45" s="308">
        <f t="shared" si="21"/>
        <v>0.80674811462200402</v>
      </c>
      <c r="Z45" s="308">
        <f t="shared" si="21"/>
        <v>0.80134619833580512</v>
      </c>
      <c r="AA45" s="308">
        <f t="shared" si="21"/>
        <v>0.79557964757833266</v>
      </c>
      <c r="AB45" s="308">
        <f t="shared" si="21"/>
        <v>0.7927337830534319</v>
      </c>
      <c r="AC45" s="308">
        <f t="shared" si="21"/>
        <v>0.79008504039173444</v>
      </c>
      <c r="AD45" s="308">
        <f t="shared" si="21"/>
        <v>0.78752581675083522</v>
      </c>
      <c r="AE45" s="308">
        <f t="shared" si="21"/>
        <v>0.78518444648990104</v>
      </c>
      <c r="AF45" s="308">
        <f t="shared" si="21"/>
        <v>0.78290751791450996</v>
      </c>
      <c r="AG45" s="308">
        <f t="shared" si="21"/>
        <v>0.78051234744058551</v>
      </c>
      <c r="AH45" s="308">
        <f t="shared" si="21"/>
        <v>0.77832262270256081</v>
      </c>
      <c r="AI45" s="308">
        <f t="shared" si="21"/>
        <v>0.77627249499394735</v>
      </c>
      <c r="AJ45" s="308">
        <f t="shared" si="21"/>
        <v>0.77426849344869342</v>
      </c>
      <c r="AK45" s="308">
        <f t="shared" si="21"/>
        <v>0.77228570438074295</v>
      </c>
      <c r="AL45" s="308">
        <f t="shared" si="21"/>
        <v>0.77046670987889243</v>
      </c>
      <c r="AM45" s="308">
        <f t="shared" si="21"/>
        <v>0.76859676752654471</v>
      </c>
      <c r="AN45" s="308">
        <f t="shared" si="21"/>
        <v>0.7667835387059011</v>
      </c>
      <c r="AO45" s="308">
        <f t="shared" si="21"/>
        <v>0.76493248965556337</v>
      </c>
      <c r="AP45" s="308">
        <f t="shared" si="21"/>
        <v>0.76240212559588472</v>
      </c>
      <c r="AQ45" s="308">
        <f t="shared" si="21"/>
        <v>0.7604349784578619</v>
      </c>
      <c r="AR45" s="308">
        <f t="shared" si="21"/>
        <v>0.7584893805652132</v>
      </c>
      <c r="AS45" s="308">
        <f t="shared" si="21"/>
        <v>0.75662698296527908</v>
      </c>
      <c r="AT45" s="308">
        <f t="shared" si="21"/>
        <v>0.75474344375610225</v>
      </c>
      <c r="AU45" s="309">
        <f t="shared" si="21"/>
        <v>0.75311868622019484</v>
      </c>
      <c r="AW45" s="310">
        <f>AA45-P45</f>
        <v>-3.6255642453417392E-2</v>
      </c>
      <c r="AX45" s="310">
        <f>AU45-P45</f>
        <v>-7.8716603811555208E-2</v>
      </c>
    </row>
    <row r="46" spans="1:50" x14ac:dyDescent="0.25">
      <c r="C46" s="265"/>
      <c r="D46" s="265"/>
      <c r="E46" s="265"/>
      <c r="F46" s="265"/>
      <c r="G46" s="265"/>
      <c r="H46" s="265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</row>
    <row r="47" spans="1:50" s="244" customFormat="1" ht="45" customHeight="1" x14ac:dyDescent="0.25">
      <c r="A47" s="239" t="s">
        <v>474</v>
      </c>
      <c r="B47" s="240" t="s">
        <v>497</v>
      </c>
      <c r="C47" s="242">
        <v>2006</v>
      </c>
      <c r="D47" s="242">
        <v>2007</v>
      </c>
      <c r="E47" s="242">
        <v>2008</v>
      </c>
      <c r="F47" s="242">
        <v>2009</v>
      </c>
      <c r="G47" s="242">
        <v>2010</v>
      </c>
      <c r="H47" s="242">
        <v>2011</v>
      </c>
      <c r="I47" s="242">
        <v>2012</v>
      </c>
      <c r="J47" s="242">
        <v>2013</v>
      </c>
      <c r="K47" s="242">
        <v>2014</v>
      </c>
      <c r="L47" s="242">
        <v>2015</v>
      </c>
      <c r="M47" s="242">
        <v>2016</v>
      </c>
      <c r="N47" s="242">
        <v>2017</v>
      </c>
      <c r="O47" s="242">
        <v>2018</v>
      </c>
      <c r="P47" s="242">
        <v>2019</v>
      </c>
      <c r="Q47" s="242">
        <v>2020</v>
      </c>
      <c r="R47" s="242">
        <v>2021</v>
      </c>
      <c r="S47" s="242">
        <v>2022</v>
      </c>
      <c r="T47" s="242">
        <v>2023</v>
      </c>
      <c r="U47" s="242">
        <v>2024</v>
      </c>
      <c r="V47" s="242">
        <v>2025</v>
      </c>
      <c r="W47" s="242">
        <v>2026</v>
      </c>
      <c r="X47" s="242">
        <v>2027</v>
      </c>
      <c r="Y47" s="242">
        <v>2028</v>
      </c>
      <c r="Z47" s="242">
        <v>2029</v>
      </c>
      <c r="AA47" s="242">
        <v>2030</v>
      </c>
      <c r="AB47" s="242">
        <v>2031</v>
      </c>
      <c r="AC47" s="242">
        <v>2032</v>
      </c>
      <c r="AD47" s="242">
        <v>2033</v>
      </c>
      <c r="AE47" s="242">
        <v>2034</v>
      </c>
      <c r="AF47" s="242">
        <v>2035</v>
      </c>
      <c r="AG47" s="242">
        <v>2036</v>
      </c>
      <c r="AH47" s="242">
        <v>2037</v>
      </c>
      <c r="AI47" s="242">
        <v>2038</v>
      </c>
      <c r="AJ47" s="242">
        <v>2039</v>
      </c>
      <c r="AK47" s="242">
        <v>2040</v>
      </c>
      <c r="AL47" s="242">
        <v>2041</v>
      </c>
      <c r="AM47" s="242">
        <v>2042</v>
      </c>
      <c r="AN47" s="242">
        <v>2043</v>
      </c>
      <c r="AO47" s="242">
        <v>2044</v>
      </c>
      <c r="AP47" s="242">
        <v>2045</v>
      </c>
      <c r="AQ47" s="242">
        <v>2046</v>
      </c>
      <c r="AR47" s="242">
        <v>2047</v>
      </c>
      <c r="AS47" s="242">
        <v>2048</v>
      </c>
      <c r="AT47" s="242">
        <v>2049</v>
      </c>
      <c r="AU47" s="243">
        <v>2050</v>
      </c>
      <c r="AW47" s="242" t="s">
        <v>498</v>
      </c>
      <c r="AX47" s="242" t="s">
        <v>499</v>
      </c>
    </row>
    <row r="48" spans="1:50" x14ac:dyDescent="0.25">
      <c r="B48" s="245" t="s">
        <v>1</v>
      </c>
      <c r="C48" s="246">
        <f t="shared" ref="C48:AU48" si="22">C49+C50+C53</f>
        <v>1</v>
      </c>
      <c r="D48" s="247">
        <f t="shared" si="22"/>
        <v>1</v>
      </c>
      <c r="E48" s="247">
        <f t="shared" si="22"/>
        <v>0.99999999999999989</v>
      </c>
      <c r="F48" s="247">
        <f t="shared" si="22"/>
        <v>1</v>
      </c>
      <c r="G48" s="247">
        <f t="shared" si="22"/>
        <v>1</v>
      </c>
      <c r="H48" s="247">
        <f t="shared" si="22"/>
        <v>1</v>
      </c>
      <c r="I48" s="247">
        <f t="shared" si="22"/>
        <v>1</v>
      </c>
      <c r="J48" s="247">
        <f t="shared" si="22"/>
        <v>1</v>
      </c>
      <c r="K48" s="247">
        <f t="shared" si="22"/>
        <v>1</v>
      </c>
      <c r="L48" s="247">
        <f t="shared" si="22"/>
        <v>1</v>
      </c>
      <c r="M48" s="247">
        <f t="shared" si="22"/>
        <v>1</v>
      </c>
      <c r="N48" s="247">
        <f t="shared" si="22"/>
        <v>1</v>
      </c>
      <c r="O48" s="247">
        <f t="shared" si="22"/>
        <v>0.99999999999999989</v>
      </c>
      <c r="P48" s="247">
        <f t="shared" si="22"/>
        <v>0.99999999999999989</v>
      </c>
      <c r="Q48" s="247">
        <f t="shared" si="22"/>
        <v>0.99959405586968164</v>
      </c>
      <c r="R48" s="247">
        <f t="shared" si="22"/>
        <v>1.0008625767412207</v>
      </c>
      <c r="S48" s="247">
        <f t="shared" si="22"/>
        <v>1.0008632240592599</v>
      </c>
      <c r="T48" s="247">
        <f t="shared" si="22"/>
        <v>1.0008055238696665</v>
      </c>
      <c r="U48" s="247">
        <f t="shared" si="22"/>
        <v>0.99801080154598854</v>
      </c>
      <c r="V48" s="247">
        <f t="shared" si="22"/>
        <v>0.99651487446148956</v>
      </c>
      <c r="W48" s="247">
        <f t="shared" si="22"/>
        <v>0.99438055678774229</v>
      </c>
      <c r="X48" s="247">
        <f t="shared" si="22"/>
        <v>0.9931632418452041</v>
      </c>
      <c r="Y48" s="247">
        <f t="shared" si="22"/>
        <v>0.99284099261060121</v>
      </c>
      <c r="Z48" s="247">
        <f t="shared" si="22"/>
        <v>0.99366712185395589</v>
      </c>
      <c r="AA48" s="247">
        <f t="shared" si="22"/>
        <v>0.99546778238675826</v>
      </c>
      <c r="AB48" s="247">
        <f t="shared" si="22"/>
        <v>0.99563934358320005</v>
      </c>
      <c r="AC48" s="247">
        <f t="shared" si="22"/>
        <v>0.99785750282867891</v>
      </c>
      <c r="AD48" s="247">
        <f t="shared" si="22"/>
        <v>0.99941904344120625</v>
      </c>
      <c r="AE48" s="247">
        <f t="shared" si="22"/>
        <v>1.0004555830979098</v>
      </c>
      <c r="AF48" s="247">
        <f t="shared" si="22"/>
        <v>1.0030816067372186</v>
      </c>
      <c r="AG48" s="247">
        <f t="shared" si="22"/>
        <v>1.0030585989283212</v>
      </c>
      <c r="AH48" s="247">
        <f t="shared" si="22"/>
        <v>1.0029228632601719</v>
      </c>
      <c r="AI48" s="247">
        <f t="shared" si="22"/>
        <v>1.0026688120465954</v>
      </c>
      <c r="AJ48" s="247">
        <f t="shared" si="22"/>
        <v>1.0023145496921464</v>
      </c>
      <c r="AK48" s="247">
        <f t="shared" si="22"/>
        <v>1.0019099218159981</v>
      </c>
      <c r="AL48" s="247">
        <f t="shared" si="22"/>
        <v>1.0030689554448144</v>
      </c>
      <c r="AM48" s="247">
        <f t="shared" si="22"/>
        <v>1.003340285949168</v>
      </c>
      <c r="AN48" s="247">
        <f t="shared" si="22"/>
        <v>1.003317273527518</v>
      </c>
      <c r="AO48" s="247">
        <f t="shared" si="22"/>
        <v>1.0029618822306787</v>
      </c>
      <c r="AP48" s="247">
        <f t="shared" si="22"/>
        <v>1.004039904874598</v>
      </c>
      <c r="AQ48" s="247">
        <f t="shared" si="22"/>
        <v>1.0055357458898564</v>
      </c>
      <c r="AR48" s="247">
        <f t="shared" si="22"/>
        <v>1.0063097192461323</v>
      </c>
      <c r="AS48" s="247">
        <f t="shared" si="22"/>
        <v>1.0066967603627885</v>
      </c>
      <c r="AT48" s="247">
        <f t="shared" si="22"/>
        <v>1.0066643537818627</v>
      </c>
      <c r="AU48" s="248">
        <f t="shared" si="22"/>
        <v>1.0076016311325471</v>
      </c>
    </row>
    <row r="49" spans="1:50" x14ac:dyDescent="0.25">
      <c r="B49" s="249" t="s">
        <v>466</v>
      </c>
      <c r="C49" s="300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2"/>
      <c r="AW49" s="253"/>
    </row>
    <row r="50" spans="1:50" x14ac:dyDescent="0.25">
      <c r="B50" s="254" t="s">
        <v>467</v>
      </c>
      <c r="C50" s="301">
        <f>C15/(C$2-C$3)</f>
        <v>0.29999999998794452</v>
      </c>
      <c r="D50" s="301">
        <f t="shared" ref="D50:AU51" si="23">D15/(D$2-D$3)</f>
        <v>0.30790241059139994</v>
      </c>
      <c r="E50" s="301">
        <f t="shared" si="23"/>
        <v>0.31440862200984865</v>
      </c>
      <c r="F50" s="301">
        <f t="shared" si="23"/>
        <v>0.31985815243333493</v>
      </c>
      <c r="G50" s="301">
        <f t="shared" si="23"/>
        <v>0.32446161903824927</v>
      </c>
      <c r="H50" s="301">
        <f t="shared" si="23"/>
        <v>0.33130484619712525</v>
      </c>
      <c r="I50" s="301">
        <f t="shared" si="23"/>
        <v>0.33985171393345887</v>
      </c>
      <c r="J50" s="301">
        <f t="shared" si="23"/>
        <v>0.34700928658022284</v>
      </c>
      <c r="K50" s="301">
        <f t="shared" si="23"/>
        <v>0.35347813299053976</v>
      </c>
      <c r="L50" s="301">
        <f t="shared" si="23"/>
        <v>0.3599271527861207</v>
      </c>
      <c r="M50" s="301">
        <f t="shared" si="23"/>
        <v>0.35700047783969735</v>
      </c>
      <c r="N50" s="301">
        <f t="shared" si="23"/>
        <v>0.35491950461871286</v>
      </c>
      <c r="O50" s="301">
        <f t="shared" si="23"/>
        <v>0.35588212215666037</v>
      </c>
      <c r="P50" s="301">
        <f t="shared" si="23"/>
        <v>0.35585566429184068</v>
      </c>
      <c r="Q50" s="301">
        <f t="shared" si="23"/>
        <v>0.35631135701246425</v>
      </c>
      <c r="R50" s="301">
        <f t="shared" si="23"/>
        <v>0.35752962733425364</v>
      </c>
      <c r="S50" s="301">
        <f t="shared" si="23"/>
        <v>0.35719150270246064</v>
      </c>
      <c r="T50" s="301">
        <f t="shared" si="23"/>
        <v>0.356745153951189</v>
      </c>
      <c r="U50" s="301">
        <f t="shared" si="23"/>
        <v>0.35566367799454424</v>
      </c>
      <c r="V50" s="301">
        <f t="shared" si="23"/>
        <v>0.35503305960952497</v>
      </c>
      <c r="W50" s="301">
        <f t="shared" si="23"/>
        <v>0.35420829393850928</v>
      </c>
      <c r="X50" s="301">
        <f t="shared" si="23"/>
        <v>0.3537042996277035</v>
      </c>
      <c r="Y50" s="301">
        <f t="shared" si="23"/>
        <v>0.35358235016109846</v>
      </c>
      <c r="Z50" s="301">
        <f t="shared" si="23"/>
        <v>0.35387543713036806</v>
      </c>
      <c r="AA50" s="301">
        <f t="shared" si="23"/>
        <v>0.35451728910201263</v>
      </c>
      <c r="AB50" s="301">
        <f t="shared" si="23"/>
        <v>0.35386738266039103</v>
      </c>
      <c r="AC50" s="301">
        <f t="shared" si="23"/>
        <v>0.35500683075709094</v>
      </c>
      <c r="AD50" s="301">
        <f t="shared" si="23"/>
        <v>0.35552139461486071</v>
      </c>
      <c r="AE50" s="301">
        <f t="shared" si="23"/>
        <v>0.35592958737747799</v>
      </c>
      <c r="AF50" s="301">
        <f t="shared" si="23"/>
        <v>0.35759630026523315</v>
      </c>
      <c r="AG50" s="301">
        <f t="shared" si="23"/>
        <v>0.35723311920668804</v>
      </c>
      <c r="AH50" s="301">
        <f t="shared" si="23"/>
        <v>0.35703065080179519</v>
      </c>
      <c r="AI50" s="301">
        <f t="shared" si="23"/>
        <v>0.35688159702249689</v>
      </c>
      <c r="AJ50" s="301">
        <f t="shared" si="23"/>
        <v>0.35669463989812361</v>
      </c>
      <c r="AK50" s="301">
        <f t="shared" si="23"/>
        <v>0.35647921922185688</v>
      </c>
      <c r="AL50" s="301">
        <f t="shared" si="23"/>
        <v>0.35741422034770109</v>
      </c>
      <c r="AM50" s="301">
        <f t="shared" si="23"/>
        <v>0.35771929958544302</v>
      </c>
      <c r="AN50" s="301">
        <f t="shared" si="23"/>
        <v>0.35780614750024248</v>
      </c>
      <c r="AO50" s="301">
        <f t="shared" si="23"/>
        <v>0.35770818470945775</v>
      </c>
      <c r="AP50" s="301">
        <f t="shared" si="23"/>
        <v>0.35810386678995471</v>
      </c>
      <c r="AQ50" s="301">
        <f t="shared" si="23"/>
        <v>0.35896473081080793</v>
      </c>
      <c r="AR50" s="301">
        <f t="shared" si="23"/>
        <v>0.35942984873356543</v>
      </c>
      <c r="AS50" s="301">
        <f t="shared" si="23"/>
        <v>0.35973523623107284</v>
      </c>
      <c r="AT50" s="301">
        <f t="shared" si="23"/>
        <v>0.35986190432957732</v>
      </c>
      <c r="AU50" s="302">
        <f t="shared" si="23"/>
        <v>0.36033720035449907</v>
      </c>
      <c r="AW50" s="303">
        <f t="shared" ref="AW50:AW55" si="24">AA50-P50</f>
        <v>-1.3383751898280449E-3</v>
      </c>
      <c r="AX50" s="303">
        <f t="shared" ref="AX50:AX55" si="25">AU50-P50</f>
        <v>4.4815360626583867E-3</v>
      </c>
    </row>
    <row r="51" spans="1:50" x14ac:dyDescent="0.25">
      <c r="B51" s="258" t="s">
        <v>468</v>
      </c>
      <c r="C51" s="304">
        <f>C16/(C$2-C$3)</f>
        <v>0.1970599631421219</v>
      </c>
      <c r="D51" s="304">
        <f t="shared" si="23"/>
        <v>0.20043073898618502</v>
      </c>
      <c r="E51" s="304">
        <f t="shared" si="23"/>
        <v>0.20584519342076119</v>
      </c>
      <c r="F51" s="304">
        <f t="shared" si="23"/>
        <v>0.20841531167697025</v>
      </c>
      <c r="G51" s="304">
        <f t="shared" si="23"/>
        <v>0.21177627874785532</v>
      </c>
      <c r="H51" s="304">
        <f t="shared" si="23"/>
        <v>0.21421950637695109</v>
      </c>
      <c r="I51" s="304">
        <f t="shared" si="23"/>
        <v>0.2215179116807654</v>
      </c>
      <c r="J51" s="304">
        <f t="shared" si="23"/>
        <v>0.22768826487491892</v>
      </c>
      <c r="K51" s="304">
        <f t="shared" si="23"/>
        <v>0.232182166118164</v>
      </c>
      <c r="L51" s="304">
        <f t="shared" si="23"/>
        <v>0.2414334592980929</v>
      </c>
      <c r="M51" s="304">
        <f t="shared" si="23"/>
        <v>0.24193630994550674</v>
      </c>
      <c r="N51" s="304">
        <f t="shared" si="23"/>
        <v>0.23950574665465763</v>
      </c>
      <c r="O51" s="304">
        <f t="shared" si="23"/>
        <v>0.23704660071014355</v>
      </c>
      <c r="P51" s="304">
        <f t="shared" si="23"/>
        <v>0.23767351242404069</v>
      </c>
      <c r="Q51" s="304">
        <f t="shared" si="23"/>
        <v>0.23907359691027738</v>
      </c>
      <c r="R51" s="304">
        <f t="shared" si="23"/>
        <v>0.24140947535309795</v>
      </c>
      <c r="S51" s="304">
        <f t="shared" si="23"/>
        <v>0.24095595942183076</v>
      </c>
      <c r="T51" s="304">
        <f t="shared" si="23"/>
        <v>0.24008375433509585</v>
      </c>
      <c r="U51" s="304">
        <f t="shared" si="23"/>
        <v>0.23934877633218635</v>
      </c>
      <c r="V51" s="304">
        <f t="shared" si="23"/>
        <v>0.23901894104405963</v>
      </c>
      <c r="W51" s="304">
        <f t="shared" si="23"/>
        <v>0.23837504517223013</v>
      </c>
      <c r="X51" s="304">
        <f t="shared" si="23"/>
        <v>0.23795679456873617</v>
      </c>
      <c r="Y51" s="304">
        <f t="shared" si="23"/>
        <v>0.23774899739902394</v>
      </c>
      <c r="Z51" s="304">
        <f t="shared" si="23"/>
        <v>0.23779389522347877</v>
      </c>
      <c r="AA51" s="304">
        <f t="shared" si="23"/>
        <v>0.23807919332536906</v>
      </c>
      <c r="AB51" s="304">
        <f t="shared" si="23"/>
        <v>0.23644600163623805</v>
      </c>
      <c r="AC51" s="304">
        <f t="shared" si="23"/>
        <v>0.23758751752905974</v>
      </c>
      <c r="AD51" s="304">
        <f t="shared" si="23"/>
        <v>0.23786914364072806</v>
      </c>
      <c r="AE51" s="304">
        <f t="shared" si="23"/>
        <v>0.23809479745778847</v>
      </c>
      <c r="AF51" s="304">
        <f t="shared" si="23"/>
        <v>0.24016884086481335</v>
      </c>
      <c r="AG51" s="304">
        <f t="shared" si="23"/>
        <v>0.23928520101012946</v>
      </c>
      <c r="AH51" s="304">
        <f t="shared" si="23"/>
        <v>0.23885419048163514</v>
      </c>
      <c r="AI51" s="304">
        <f t="shared" si="23"/>
        <v>0.2386176609337278</v>
      </c>
      <c r="AJ51" s="304">
        <f t="shared" si="23"/>
        <v>0.23839514486845603</v>
      </c>
      <c r="AK51" s="304">
        <f t="shared" si="23"/>
        <v>0.23817399720677998</v>
      </c>
      <c r="AL51" s="304">
        <f t="shared" si="23"/>
        <v>0.23965296362280594</v>
      </c>
      <c r="AM51" s="304">
        <f t="shared" si="23"/>
        <v>0.24023825274407304</v>
      </c>
      <c r="AN51" s="304">
        <f t="shared" si="23"/>
        <v>0.2404857743313506</v>
      </c>
      <c r="AO51" s="304">
        <f t="shared" si="23"/>
        <v>0.24051644188899043</v>
      </c>
      <c r="AP51" s="304">
        <f t="shared" si="23"/>
        <v>0.24085308637373187</v>
      </c>
      <c r="AQ51" s="304">
        <f t="shared" si="23"/>
        <v>0.24199025831754739</v>
      </c>
      <c r="AR51" s="304">
        <f t="shared" si="23"/>
        <v>0.24262418509706832</v>
      </c>
      <c r="AS51" s="304">
        <f t="shared" si="23"/>
        <v>0.24306486702951693</v>
      </c>
      <c r="AT51" s="304">
        <f t="shared" si="23"/>
        <v>0.24332685077407396</v>
      </c>
      <c r="AU51" s="305">
        <f t="shared" si="23"/>
        <v>0.2437954737935743</v>
      </c>
      <c r="AW51" s="303">
        <f t="shared" si="24"/>
        <v>4.0568090132836465E-4</v>
      </c>
      <c r="AX51" s="303">
        <f t="shared" si="25"/>
        <v>6.1219613695336073E-3</v>
      </c>
    </row>
    <row r="52" spans="1:50" x14ac:dyDescent="0.25">
      <c r="B52" s="261" t="s">
        <v>469</v>
      </c>
      <c r="C52" s="306">
        <f t="shared" ref="C52:AU56" si="26">C17/(C$2-C$3)</f>
        <v>5.6863254236345182E-2</v>
      </c>
      <c r="D52" s="306">
        <f t="shared" si="26"/>
        <v>5.6178547933083883E-2</v>
      </c>
      <c r="E52" s="306">
        <f t="shared" si="26"/>
        <v>5.4974070560912774E-2</v>
      </c>
      <c r="F52" s="306">
        <f t="shared" si="26"/>
        <v>5.4634380506389774E-2</v>
      </c>
      <c r="G52" s="306">
        <f t="shared" si="26"/>
        <v>5.4163936917707371E-2</v>
      </c>
      <c r="H52" s="306">
        <f t="shared" si="26"/>
        <v>5.3727330489502491E-2</v>
      </c>
      <c r="I52" s="306">
        <f t="shared" si="26"/>
        <v>5.2262271085740573E-2</v>
      </c>
      <c r="J52" s="306">
        <f t="shared" si="26"/>
        <v>5.1223031750453285E-2</v>
      </c>
      <c r="K52" s="306">
        <f t="shared" si="26"/>
        <v>5.060668794704621E-2</v>
      </c>
      <c r="L52" s="306">
        <f t="shared" si="26"/>
        <v>4.9218440764069879E-2</v>
      </c>
      <c r="M52" s="306">
        <f t="shared" si="26"/>
        <v>4.9361378585464001E-2</v>
      </c>
      <c r="N52" s="306">
        <f t="shared" si="26"/>
        <v>4.9891289868491846E-2</v>
      </c>
      <c r="O52" s="306">
        <f t="shared" si="26"/>
        <v>5.0182331969746051E-2</v>
      </c>
      <c r="P52" s="306">
        <f t="shared" si="26"/>
        <v>5.0007654952341239E-2</v>
      </c>
      <c r="Q52" s="306">
        <f t="shared" si="26"/>
        <v>0.11761800185628633</v>
      </c>
      <c r="R52" s="306">
        <f t="shared" si="26"/>
        <v>4.9278338941747005E-2</v>
      </c>
      <c r="S52" s="306">
        <f t="shared" si="26"/>
        <v>4.9382190488136572E-2</v>
      </c>
      <c r="T52" s="306">
        <f t="shared" si="26"/>
        <v>4.9551402760179504E-2</v>
      </c>
      <c r="U52" s="306">
        <f t="shared" si="26"/>
        <v>4.9429888777311685E-2</v>
      </c>
      <c r="V52" s="306">
        <f t="shared" si="26"/>
        <v>4.9362502189570154E-2</v>
      </c>
      <c r="W52" s="306">
        <f t="shared" si="26"/>
        <v>4.9281487670505157E-2</v>
      </c>
      <c r="X52" s="306">
        <f t="shared" si="26"/>
        <v>4.9246640919270626E-2</v>
      </c>
      <c r="Y52" s="306">
        <f t="shared" si="26"/>
        <v>4.924894985948626E-2</v>
      </c>
      <c r="Z52" s="306">
        <f t="shared" si="26"/>
        <v>4.9310242768671991E-2</v>
      </c>
      <c r="AA52" s="306">
        <f t="shared" si="26"/>
        <v>0.11683367858520939</v>
      </c>
      <c r="AB52" s="306">
        <f t="shared" si="26"/>
        <v>4.9751581599732517E-2</v>
      </c>
      <c r="AC52" s="306">
        <f t="shared" si="26"/>
        <v>4.9729668522806615E-2</v>
      </c>
      <c r="AD52" s="306">
        <f t="shared" si="26"/>
        <v>4.982396250327481E-2</v>
      </c>
      <c r="AE52" s="306">
        <f t="shared" si="26"/>
        <v>4.9870773250386843E-2</v>
      </c>
      <c r="AF52" s="306">
        <f t="shared" si="26"/>
        <v>4.9703973058081032E-2</v>
      </c>
      <c r="AG52" s="306">
        <f t="shared" si="26"/>
        <v>4.9867424533674549E-2</v>
      </c>
      <c r="AH52" s="306">
        <f t="shared" si="26"/>
        <v>4.9930996676807657E-2</v>
      </c>
      <c r="AI52" s="306">
        <f t="shared" si="26"/>
        <v>4.9945459295727274E-2</v>
      </c>
      <c r="AJ52" s="306">
        <f t="shared" si="26"/>
        <v>4.9949595931116024E-2</v>
      </c>
      <c r="AK52" s="306">
        <f t="shared" si="26"/>
        <v>4.9950441001220758E-2</v>
      </c>
      <c r="AL52" s="306">
        <f t="shared" si="26"/>
        <v>4.9768922896586812E-2</v>
      </c>
      <c r="AM52" s="306">
        <f t="shared" si="26"/>
        <v>4.9678338200960188E-2</v>
      </c>
      <c r="AN52" s="306">
        <f t="shared" si="26"/>
        <v>4.9624737626735194E-2</v>
      </c>
      <c r="AO52" s="306">
        <f t="shared" si="26"/>
        <v>4.9582488379245643E-2</v>
      </c>
      <c r="AP52" s="306">
        <f t="shared" si="26"/>
        <v>4.9618723172490158E-2</v>
      </c>
      <c r="AQ52" s="306">
        <f t="shared" si="26"/>
        <v>4.9538074249222679E-2</v>
      </c>
      <c r="AR52" s="306">
        <f t="shared" si="26"/>
        <v>4.9485463489617139E-2</v>
      </c>
      <c r="AS52" s="306">
        <f t="shared" si="26"/>
        <v>4.9430466853718942E-2</v>
      </c>
      <c r="AT52" s="306">
        <f t="shared" si="26"/>
        <v>4.9369426108846766E-2</v>
      </c>
      <c r="AU52" s="307">
        <f t="shared" si="26"/>
        <v>0.11697250682506484</v>
      </c>
      <c r="AW52" s="303">
        <f t="shared" si="24"/>
        <v>6.6826023632868159E-2</v>
      </c>
      <c r="AX52" s="303">
        <f t="shared" si="25"/>
        <v>6.6964851872723608E-2</v>
      </c>
    </row>
    <row r="53" spans="1:50" x14ac:dyDescent="0.25">
      <c r="B53" s="258" t="s">
        <v>470</v>
      </c>
      <c r="C53" s="304">
        <f t="shared" si="26"/>
        <v>0.70000000001205542</v>
      </c>
      <c r="D53" s="304">
        <f t="shared" si="26"/>
        <v>0.6920975894086</v>
      </c>
      <c r="E53" s="304">
        <f t="shared" si="26"/>
        <v>0.68559137799015124</v>
      </c>
      <c r="F53" s="304">
        <f t="shared" si="26"/>
        <v>0.68014184756666518</v>
      </c>
      <c r="G53" s="304">
        <f t="shared" si="26"/>
        <v>0.67553838096175078</v>
      </c>
      <c r="H53" s="304">
        <f t="shared" si="26"/>
        <v>0.6686951538028747</v>
      </c>
      <c r="I53" s="304">
        <f t="shared" si="26"/>
        <v>0.66014828606654108</v>
      </c>
      <c r="J53" s="304">
        <f t="shared" si="26"/>
        <v>0.6529907134197771</v>
      </c>
      <c r="K53" s="304">
        <f t="shared" si="26"/>
        <v>0.64652186700946024</v>
      </c>
      <c r="L53" s="304">
        <f t="shared" si="26"/>
        <v>0.64007284721387936</v>
      </c>
      <c r="M53" s="304">
        <f t="shared" si="26"/>
        <v>0.64299952216030276</v>
      </c>
      <c r="N53" s="304">
        <f t="shared" si="26"/>
        <v>0.6450804953812872</v>
      </c>
      <c r="O53" s="304">
        <f t="shared" si="26"/>
        <v>0.64411787784333951</v>
      </c>
      <c r="P53" s="304">
        <f t="shared" si="26"/>
        <v>0.64414433570815921</v>
      </c>
      <c r="Q53" s="304">
        <f t="shared" si="26"/>
        <v>0.64328269885721745</v>
      </c>
      <c r="R53" s="304">
        <f t="shared" si="26"/>
        <v>0.64333294940696695</v>
      </c>
      <c r="S53" s="304">
        <f t="shared" si="26"/>
        <v>0.64367172135679929</v>
      </c>
      <c r="T53" s="304">
        <f t="shared" si="26"/>
        <v>0.64406036991847737</v>
      </c>
      <c r="U53" s="304">
        <f t="shared" si="26"/>
        <v>0.6423471235514443</v>
      </c>
      <c r="V53" s="304">
        <f t="shared" si="26"/>
        <v>0.64148181485196454</v>
      </c>
      <c r="W53" s="304">
        <f t="shared" si="26"/>
        <v>0.64017226284923301</v>
      </c>
      <c r="X53" s="304">
        <f t="shared" si="26"/>
        <v>0.63945894221750055</v>
      </c>
      <c r="Y53" s="304">
        <f t="shared" si="26"/>
        <v>0.6392586424495027</v>
      </c>
      <c r="Z53" s="304">
        <f t="shared" si="26"/>
        <v>0.63979168472358783</v>
      </c>
      <c r="AA53" s="304">
        <f t="shared" si="26"/>
        <v>0.64095049328474563</v>
      </c>
      <c r="AB53" s="304">
        <f t="shared" si="26"/>
        <v>0.64177196092280908</v>
      </c>
      <c r="AC53" s="304">
        <f t="shared" si="26"/>
        <v>0.64285067207158797</v>
      </c>
      <c r="AD53" s="304">
        <f t="shared" si="26"/>
        <v>0.64389764882634559</v>
      </c>
      <c r="AE53" s="304">
        <f t="shared" si="26"/>
        <v>0.64452599572043179</v>
      </c>
      <c r="AF53" s="304">
        <f t="shared" si="26"/>
        <v>0.64548530647198532</v>
      </c>
      <c r="AG53" s="304">
        <f t="shared" si="26"/>
        <v>0.64582547972163318</v>
      </c>
      <c r="AH53" s="304">
        <f t="shared" si="26"/>
        <v>0.64589221245837669</v>
      </c>
      <c r="AI53" s="304">
        <f t="shared" si="26"/>
        <v>0.64578721502409853</v>
      </c>
      <c r="AJ53" s="304">
        <f t="shared" si="26"/>
        <v>0.64561990979402273</v>
      </c>
      <c r="AK53" s="304">
        <f t="shared" si="26"/>
        <v>0.64543070259414137</v>
      </c>
      <c r="AL53" s="304">
        <f t="shared" si="26"/>
        <v>0.64565473509711335</v>
      </c>
      <c r="AM53" s="304">
        <f t="shared" si="26"/>
        <v>0.645620986363725</v>
      </c>
      <c r="AN53" s="304">
        <f t="shared" si="26"/>
        <v>0.64551112602727556</v>
      </c>
      <c r="AO53" s="304">
        <f t="shared" si="26"/>
        <v>0.64525369752122097</v>
      </c>
      <c r="AP53" s="304">
        <f t="shared" si="26"/>
        <v>0.64593603808464328</v>
      </c>
      <c r="AQ53" s="304">
        <f t="shared" si="26"/>
        <v>0.64657101507904846</v>
      </c>
      <c r="AR53" s="304">
        <f t="shared" si="26"/>
        <v>0.6468798705125669</v>
      </c>
      <c r="AS53" s="304">
        <f t="shared" si="26"/>
        <v>0.64696152413171581</v>
      </c>
      <c r="AT53" s="304">
        <f t="shared" si="26"/>
        <v>0.64680244945228549</v>
      </c>
      <c r="AU53" s="305">
        <f t="shared" si="26"/>
        <v>0.64726443077804807</v>
      </c>
      <c r="AW53" s="303">
        <f t="shared" si="24"/>
        <v>-3.1938424234135843E-3</v>
      </c>
      <c r="AX53" s="303">
        <f t="shared" si="25"/>
        <v>3.1200950698888619E-3</v>
      </c>
    </row>
    <row r="54" spans="1:50" x14ac:dyDescent="0.25">
      <c r="B54" s="258" t="s">
        <v>471</v>
      </c>
      <c r="C54" s="304">
        <f t="shared" si="26"/>
        <v>0.64313674466660875</v>
      </c>
      <c r="D54" s="304">
        <f t="shared" si="26"/>
        <v>0.635919058040882</v>
      </c>
      <c r="E54" s="304">
        <f t="shared" si="26"/>
        <v>0.63062183530263838</v>
      </c>
      <c r="F54" s="304">
        <f t="shared" si="26"/>
        <v>0.62551205320510983</v>
      </c>
      <c r="G54" s="304">
        <f t="shared" si="26"/>
        <v>0.62137910075329472</v>
      </c>
      <c r="H54" s="304">
        <f t="shared" si="26"/>
        <v>0.6149725600384166</v>
      </c>
      <c r="I54" s="304">
        <f t="shared" si="26"/>
        <v>0.60789696511111335</v>
      </c>
      <c r="J54" s="304">
        <f t="shared" si="26"/>
        <v>0.60178087402778624</v>
      </c>
      <c r="K54" s="304">
        <f t="shared" si="26"/>
        <v>0.59592836782334735</v>
      </c>
      <c r="L54" s="304">
        <f t="shared" si="26"/>
        <v>0.59087601902080822</v>
      </c>
      <c r="M54" s="304">
        <f t="shared" si="26"/>
        <v>0.59365992887561903</v>
      </c>
      <c r="N54" s="304">
        <f t="shared" si="26"/>
        <v>0.59521255209919643</v>
      </c>
      <c r="O54" s="304">
        <f t="shared" si="26"/>
        <v>0.59396030331665173</v>
      </c>
      <c r="P54" s="304">
        <f t="shared" si="26"/>
        <v>0.59416177760770938</v>
      </c>
      <c r="Q54" s="304">
        <f t="shared" si="26"/>
        <v>0.59360988163993467</v>
      </c>
      <c r="R54" s="304">
        <f t="shared" si="26"/>
        <v>0.59279604080118498</v>
      </c>
      <c r="S54" s="304">
        <f t="shared" si="26"/>
        <v>0.59303036504078133</v>
      </c>
      <c r="T54" s="304">
        <f t="shared" si="26"/>
        <v>0.593249253670596</v>
      </c>
      <c r="U54" s="304">
        <f t="shared" si="26"/>
        <v>0.59166087328933392</v>
      </c>
      <c r="V54" s="304">
        <f t="shared" si="26"/>
        <v>0.59086464367442182</v>
      </c>
      <c r="W54" s="304">
        <f t="shared" si="26"/>
        <v>0.5896386718620098</v>
      </c>
      <c r="X54" s="304">
        <f t="shared" si="26"/>
        <v>0.58896159754627042</v>
      </c>
      <c r="Y54" s="304">
        <f t="shared" si="26"/>
        <v>0.58875938398030991</v>
      </c>
      <c r="Z54" s="304">
        <f t="shared" si="26"/>
        <v>0.58923009533387249</v>
      </c>
      <c r="AA54" s="304">
        <f t="shared" si="26"/>
        <v>0.59027811541861297</v>
      </c>
      <c r="AB54" s="304">
        <f t="shared" si="26"/>
        <v>0.59076595575010704</v>
      </c>
      <c r="AC54" s="304">
        <f t="shared" si="26"/>
        <v>0.59186459294752281</v>
      </c>
      <c r="AD54" s="304">
        <f t="shared" si="26"/>
        <v>0.59281523128337099</v>
      </c>
      <c r="AE54" s="304">
        <f t="shared" si="26"/>
        <v>0.59339553945158141</v>
      </c>
      <c r="AF54" s="304">
        <f t="shared" si="26"/>
        <v>0.59452040814129048</v>
      </c>
      <c r="AG54" s="304">
        <f t="shared" si="26"/>
        <v>0.59469667018211403</v>
      </c>
      <c r="AH54" s="304">
        <f t="shared" si="26"/>
        <v>0.59469973754939942</v>
      </c>
      <c r="AI54" s="304">
        <f t="shared" si="26"/>
        <v>0.59458048812170927</v>
      </c>
      <c r="AJ54" s="304">
        <f t="shared" si="26"/>
        <v>0.5944093761499456</v>
      </c>
      <c r="AK54" s="304">
        <f t="shared" si="26"/>
        <v>0.59421969595070689</v>
      </c>
      <c r="AL54" s="304">
        <f t="shared" si="26"/>
        <v>0.59462523916532706</v>
      </c>
      <c r="AM54" s="304">
        <f t="shared" si="26"/>
        <v>0.59468222544063187</v>
      </c>
      <c r="AN54" s="304">
        <f t="shared" si="26"/>
        <v>0.59462620242812725</v>
      </c>
      <c r="AO54" s="304">
        <f t="shared" si="26"/>
        <v>0.59441153117926615</v>
      </c>
      <c r="AP54" s="304">
        <f t="shared" si="26"/>
        <v>0.59505630773694118</v>
      </c>
      <c r="AQ54" s="304">
        <f t="shared" si="26"/>
        <v>0.59577087714475607</v>
      </c>
      <c r="AR54" s="304">
        <f t="shared" si="26"/>
        <v>0.59613180410424038</v>
      </c>
      <c r="AS54" s="304">
        <f t="shared" si="26"/>
        <v>0.59626833607084928</v>
      </c>
      <c r="AT54" s="304">
        <f t="shared" si="26"/>
        <v>0.5961706387945841</v>
      </c>
      <c r="AU54" s="305">
        <f t="shared" si="26"/>
        <v>0.59664126792306704</v>
      </c>
      <c r="AW54" s="303">
        <f t="shared" si="24"/>
        <v>-3.8836621890964151E-3</v>
      </c>
      <c r="AX54" s="303">
        <f t="shared" si="25"/>
        <v>2.4794903153576575E-3</v>
      </c>
    </row>
    <row r="55" spans="1:50" x14ac:dyDescent="0.25">
      <c r="B55" s="261" t="s">
        <v>472</v>
      </c>
      <c r="C55" s="306">
        <f t="shared" si="26"/>
        <v>0.10294003483256244</v>
      </c>
      <c r="D55" s="306">
        <f t="shared" si="26"/>
        <v>0.10749581913926159</v>
      </c>
      <c r="E55" s="306">
        <f t="shared" si="26"/>
        <v>0.1085977456241152</v>
      </c>
      <c r="F55" s="306">
        <f t="shared" si="26"/>
        <v>0.11148467726717834</v>
      </c>
      <c r="G55" s="306">
        <f t="shared" si="26"/>
        <v>0.11272866345726057</v>
      </c>
      <c r="H55" s="306">
        <f t="shared" si="26"/>
        <v>0.11715715983881428</v>
      </c>
      <c r="I55" s="306">
        <f t="shared" si="26"/>
        <v>0.11842747877751933</v>
      </c>
      <c r="J55" s="306">
        <f t="shared" si="26"/>
        <v>0.11943092122790609</v>
      </c>
      <c r="K55" s="306">
        <f t="shared" si="26"/>
        <v>0.12140830428564459</v>
      </c>
      <c r="L55" s="306">
        <f t="shared" si="26"/>
        <v>0.11875883036461428</v>
      </c>
      <c r="M55" s="306">
        <f t="shared" si="26"/>
        <v>0.11536513295292594</v>
      </c>
      <c r="N55" s="306">
        <f t="shared" si="26"/>
        <v>0.11571971011224831</v>
      </c>
      <c r="O55" s="306">
        <f t="shared" si="26"/>
        <v>0.11920517113503537</v>
      </c>
      <c r="P55" s="306">
        <f t="shared" si="26"/>
        <v>0.1185543835946032</v>
      </c>
      <c r="Q55" s="306">
        <f t="shared" si="26"/>
        <v>4.9698519593501453E-2</v>
      </c>
      <c r="R55" s="306">
        <f t="shared" si="26"/>
        <v>0.11651614490397003</v>
      </c>
      <c r="S55" s="306">
        <f t="shared" si="26"/>
        <v>0.1166314850492515</v>
      </c>
      <c r="T55" s="306">
        <f t="shared" si="26"/>
        <v>0.11705893098837256</v>
      </c>
      <c r="U55" s="306">
        <f t="shared" si="26"/>
        <v>0.1167112281817346</v>
      </c>
      <c r="V55" s="306">
        <f t="shared" si="26"/>
        <v>0.11640979939439684</v>
      </c>
      <c r="W55" s="306">
        <f t="shared" si="26"/>
        <v>0.11622806080159175</v>
      </c>
      <c r="X55" s="306">
        <f t="shared" si="26"/>
        <v>0.11614179535725858</v>
      </c>
      <c r="Y55" s="306">
        <f t="shared" si="26"/>
        <v>0.1162276085254442</v>
      </c>
      <c r="Z55" s="306">
        <f t="shared" si="26"/>
        <v>0.11647627263873153</v>
      </c>
      <c r="AA55" s="306">
        <f t="shared" si="26"/>
        <v>4.9418768827039848E-2</v>
      </c>
      <c r="AB55" s="306">
        <f t="shared" si="26"/>
        <v>0.11782545486945613</v>
      </c>
      <c r="AC55" s="306">
        <f t="shared" si="26"/>
        <v>0.11782560224530118</v>
      </c>
      <c r="AD55" s="306">
        <f t="shared" si="26"/>
        <v>0.11805915383734268</v>
      </c>
      <c r="AE55" s="306">
        <f t="shared" si="26"/>
        <v>0.11824217417468481</v>
      </c>
      <c r="AF55" s="306">
        <f t="shared" si="26"/>
        <v>0.11784251510888401</v>
      </c>
      <c r="AG55" s="306">
        <f t="shared" si="26"/>
        <v>0.11836515268927369</v>
      </c>
      <c r="AH55" s="306">
        <f t="shared" si="26"/>
        <v>0.11859401046259777</v>
      </c>
      <c r="AI55" s="306">
        <f t="shared" si="26"/>
        <v>0.11868143015509029</v>
      </c>
      <c r="AJ55" s="306">
        <f t="shared" si="26"/>
        <v>0.11871683050951017</v>
      </c>
      <c r="AK55" s="306">
        <f t="shared" si="26"/>
        <v>0.11872234301354316</v>
      </c>
      <c r="AL55" s="306">
        <f t="shared" si="26"/>
        <v>0.11818404343495441</v>
      </c>
      <c r="AM55" s="306">
        <f t="shared" si="26"/>
        <v>0.1179051073057273</v>
      </c>
      <c r="AN55" s="306">
        <f t="shared" si="26"/>
        <v>0.11774476259211528</v>
      </c>
      <c r="AO55" s="306">
        <f t="shared" si="26"/>
        <v>0.11761607491729859</v>
      </c>
      <c r="AP55" s="306">
        <f t="shared" si="26"/>
        <v>0.117675613449922</v>
      </c>
      <c r="AQ55" s="306">
        <f t="shared" si="26"/>
        <v>0.11740228651061593</v>
      </c>
      <c r="AR55" s="306">
        <f t="shared" si="26"/>
        <v>0.11723467916534906</v>
      </c>
      <c r="AS55" s="306">
        <f t="shared" si="26"/>
        <v>0.11710009656925625</v>
      </c>
      <c r="AT55" s="306">
        <f t="shared" si="26"/>
        <v>0.11696512881839406</v>
      </c>
      <c r="AU55" s="307">
        <f t="shared" si="26"/>
        <v>4.9359898640279981E-2</v>
      </c>
      <c r="AW55" s="303">
        <f t="shared" si="24"/>
        <v>-6.9135614767563358E-2</v>
      </c>
      <c r="AX55" s="303">
        <f t="shared" si="25"/>
        <v>-6.9194484954323218E-2</v>
      </c>
    </row>
    <row r="56" spans="1:50" x14ac:dyDescent="0.25">
      <c r="B56" s="249" t="s">
        <v>473</v>
      </c>
      <c r="C56" s="308">
        <f t="shared" si="26"/>
        <v>0.84019670780873068</v>
      </c>
      <c r="D56" s="308">
        <f t="shared" si="26"/>
        <v>0.83634979702706702</v>
      </c>
      <c r="E56" s="308">
        <f t="shared" si="26"/>
        <v>0.83646702872339951</v>
      </c>
      <c r="F56" s="308">
        <f t="shared" si="26"/>
        <v>0.83392736488208008</v>
      </c>
      <c r="G56" s="308">
        <f t="shared" si="26"/>
        <v>0.83315537950115004</v>
      </c>
      <c r="H56" s="308">
        <f t="shared" si="26"/>
        <v>0.8291920664153678</v>
      </c>
      <c r="I56" s="308">
        <f t="shared" si="26"/>
        <v>0.82941487679187864</v>
      </c>
      <c r="J56" s="308">
        <f t="shared" si="26"/>
        <v>0.82946913890270513</v>
      </c>
      <c r="K56" s="308">
        <f t="shared" si="26"/>
        <v>0.82811053394151146</v>
      </c>
      <c r="L56" s="308">
        <f t="shared" si="26"/>
        <v>0.83230947831890112</v>
      </c>
      <c r="M56" s="308">
        <f t="shared" si="26"/>
        <v>0.83559623882112588</v>
      </c>
      <c r="N56" s="308">
        <f t="shared" si="26"/>
        <v>0.83471829875385406</v>
      </c>
      <c r="O56" s="308">
        <f t="shared" si="26"/>
        <v>0.83100690402679533</v>
      </c>
      <c r="P56" s="308">
        <f t="shared" si="26"/>
        <v>0.83183529003175005</v>
      </c>
      <c r="Q56" s="308">
        <f t="shared" si="26"/>
        <v>0.83268347855021208</v>
      </c>
      <c r="R56" s="308">
        <f t="shared" si="26"/>
        <v>0.83420551615428296</v>
      </c>
      <c r="S56" s="308">
        <f t="shared" si="26"/>
        <v>0.83398632446261212</v>
      </c>
      <c r="T56" s="308">
        <f t="shared" si="26"/>
        <v>0.83333300800569188</v>
      </c>
      <c r="U56" s="308">
        <f t="shared" si="26"/>
        <v>0.83100964962152024</v>
      </c>
      <c r="V56" s="308">
        <f t="shared" si="26"/>
        <v>0.82988358471848145</v>
      </c>
      <c r="W56" s="308">
        <f t="shared" si="26"/>
        <v>0.82801371703423987</v>
      </c>
      <c r="X56" s="308">
        <f t="shared" si="26"/>
        <v>0.82691839211500662</v>
      </c>
      <c r="Y56" s="308">
        <f t="shared" si="26"/>
        <v>0.82650838137933391</v>
      </c>
      <c r="Z56" s="308">
        <f t="shared" si="26"/>
        <v>0.82702399055735132</v>
      </c>
      <c r="AA56" s="308">
        <f t="shared" si="26"/>
        <v>0.82835730874398195</v>
      </c>
      <c r="AB56" s="308">
        <f t="shared" si="26"/>
        <v>0.82721195738634501</v>
      </c>
      <c r="AC56" s="308">
        <f t="shared" si="26"/>
        <v>0.82945211047658263</v>
      </c>
      <c r="AD56" s="308">
        <f t="shared" si="26"/>
        <v>0.83068437492409908</v>
      </c>
      <c r="AE56" s="308">
        <f t="shared" si="26"/>
        <v>0.83149033690936991</v>
      </c>
      <c r="AF56" s="308">
        <f t="shared" si="26"/>
        <v>0.83468924900610386</v>
      </c>
      <c r="AG56" s="308">
        <f t="shared" si="26"/>
        <v>0.83398187119224354</v>
      </c>
      <c r="AH56" s="308">
        <f t="shared" si="26"/>
        <v>0.83355392803103456</v>
      </c>
      <c r="AI56" s="308">
        <f t="shared" si="26"/>
        <v>0.8331981490554371</v>
      </c>
      <c r="AJ56" s="308">
        <f t="shared" si="26"/>
        <v>0.83280452101840163</v>
      </c>
      <c r="AK56" s="308">
        <f t="shared" si="26"/>
        <v>0.8323936931574869</v>
      </c>
      <c r="AL56" s="308">
        <f t="shared" si="26"/>
        <v>0.83427820278813303</v>
      </c>
      <c r="AM56" s="308">
        <f t="shared" si="26"/>
        <v>0.83492047818470494</v>
      </c>
      <c r="AN56" s="308">
        <f t="shared" si="26"/>
        <v>0.83511197675947779</v>
      </c>
      <c r="AO56" s="308">
        <f t="shared" si="26"/>
        <v>0.83492797306825661</v>
      </c>
      <c r="AP56" s="308">
        <f t="shared" si="26"/>
        <v>0.83590939411067311</v>
      </c>
      <c r="AQ56" s="308">
        <f t="shared" si="26"/>
        <v>0.83776113546230357</v>
      </c>
      <c r="AR56" s="308">
        <f t="shared" si="26"/>
        <v>0.83875598920130867</v>
      </c>
      <c r="AS56" s="308">
        <f t="shared" si="26"/>
        <v>0.83933320310036619</v>
      </c>
      <c r="AT56" s="308">
        <f t="shared" si="26"/>
        <v>0.83949748956865811</v>
      </c>
      <c r="AU56" s="309">
        <f t="shared" si="26"/>
        <v>0.84043674171664129</v>
      </c>
      <c r="AW56" s="310">
        <f>AA56-P56</f>
        <v>-3.477981287768106E-3</v>
      </c>
      <c r="AX56" s="310">
        <f>AU56-P56</f>
        <v>8.601451684891237E-3</v>
      </c>
    </row>
    <row r="57" spans="1:50" x14ac:dyDescent="0.25"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W57" s="253"/>
    </row>
    <row r="58" spans="1:50" s="244" customFormat="1" ht="45" customHeight="1" x14ac:dyDescent="0.25">
      <c r="A58" s="239" t="str">
        <f>"Ecarts "&amp;[4]Résultats!B1&amp;"  - TEND"</f>
        <v>Ecarts SNBC3  - TEND</v>
      </c>
      <c r="B58" s="266" t="s">
        <v>501</v>
      </c>
      <c r="C58" s="242">
        <v>2006</v>
      </c>
      <c r="D58" s="242">
        <v>2007</v>
      </c>
      <c r="E58" s="242">
        <v>2008</v>
      </c>
      <c r="F58" s="242">
        <v>2009</v>
      </c>
      <c r="G58" s="242">
        <v>2010</v>
      </c>
      <c r="H58" s="242">
        <v>2011</v>
      </c>
      <c r="I58" s="242">
        <v>2012</v>
      </c>
      <c r="J58" s="242">
        <v>2013</v>
      </c>
      <c r="K58" s="242">
        <v>2014</v>
      </c>
      <c r="L58" s="242">
        <v>2015</v>
      </c>
      <c r="M58" s="242">
        <v>2016</v>
      </c>
      <c r="N58" s="242">
        <v>2017</v>
      </c>
      <c r="O58" s="242">
        <v>2018</v>
      </c>
      <c r="P58" s="242">
        <v>2019</v>
      </c>
      <c r="Q58" s="242">
        <v>2020</v>
      </c>
      <c r="R58" s="242">
        <v>2021</v>
      </c>
      <c r="S58" s="242">
        <v>2022</v>
      </c>
      <c r="T58" s="242">
        <v>2023</v>
      </c>
      <c r="U58" s="242">
        <v>2024</v>
      </c>
      <c r="V58" s="242">
        <v>2025</v>
      </c>
      <c r="W58" s="242">
        <v>2026</v>
      </c>
      <c r="X58" s="242">
        <v>2027</v>
      </c>
      <c r="Y58" s="242">
        <v>2028</v>
      </c>
      <c r="Z58" s="242">
        <v>2029</v>
      </c>
      <c r="AA58" s="242">
        <v>2030</v>
      </c>
      <c r="AB58" s="242">
        <v>2031</v>
      </c>
      <c r="AC58" s="242">
        <v>2032</v>
      </c>
      <c r="AD58" s="242">
        <v>2033</v>
      </c>
      <c r="AE58" s="242">
        <v>2034</v>
      </c>
      <c r="AF58" s="242">
        <v>2035</v>
      </c>
      <c r="AG58" s="242">
        <v>2036</v>
      </c>
      <c r="AH58" s="242">
        <v>2037</v>
      </c>
      <c r="AI58" s="242">
        <v>2038</v>
      </c>
      <c r="AJ58" s="242">
        <v>2039</v>
      </c>
      <c r="AK58" s="242">
        <v>2040</v>
      </c>
      <c r="AL58" s="242">
        <v>2041</v>
      </c>
      <c r="AM58" s="242">
        <v>2042</v>
      </c>
      <c r="AN58" s="242">
        <v>2043</v>
      </c>
      <c r="AO58" s="242">
        <v>2044</v>
      </c>
      <c r="AP58" s="242">
        <v>2045</v>
      </c>
      <c r="AQ58" s="242">
        <v>2046</v>
      </c>
      <c r="AR58" s="242">
        <v>2047</v>
      </c>
      <c r="AS58" s="242">
        <v>2048</v>
      </c>
      <c r="AT58" s="242">
        <v>2049</v>
      </c>
      <c r="AU58" s="243">
        <v>2050</v>
      </c>
      <c r="AV58" s="267"/>
    </row>
    <row r="59" spans="1:50" x14ac:dyDescent="0.25">
      <c r="B59" s="245" t="s">
        <v>1</v>
      </c>
      <c r="C59" s="311"/>
      <c r="D59" s="311"/>
      <c r="E59" s="311"/>
      <c r="F59" s="311"/>
      <c r="G59" s="311"/>
      <c r="H59" s="311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  <c r="AQ59" s="311"/>
      <c r="AR59" s="311"/>
      <c r="AS59" s="311"/>
      <c r="AT59" s="311"/>
      <c r="AU59" s="311"/>
      <c r="AV59" s="268"/>
    </row>
    <row r="60" spans="1:50" x14ac:dyDescent="0.25">
      <c r="B60" s="249" t="s">
        <v>466</v>
      </c>
      <c r="C60" s="308"/>
      <c r="D60" s="308"/>
      <c r="E60" s="308"/>
      <c r="F60" s="308"/>
      <c r="G60" s="308"/>
      <c r="H60" s="308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8"/>
      <c r="AC60" s="308"/>
      <c r="AD60" s="308"/>
      <c r="AE60" s="308"/>
      <c r="AF60" s="308"/>
      <c r="AG60" s="308"/>
      <c r="AH60" s="308"/>
      <c r="AI60" s="308"/>
      <c r="AJ60" s="308"/>
      <c r="AK60" s="308"/>
      <c r="AL60" s="308"/>
      <c r="AM60" s="308"/>
      <c r="AN60" s="308"/>
      <c r="AO60" s="308"/>
      <c r="AP60" s="308"/>
      <c r="AQ60" s="308"/>
      <c r="AR60" s="308"/>
      <c r="AS60" s="308"/>
      <c r="AT60" s="308"/>
      <c r="AU60" s="308"/>
      <c r="AV60" s="268"/>
    </row>
    <row r="61" spans="1:50" x14ac:dyDescent="0.25">
      <c r="B61" s="254" t="s">
        <v>467</v>
      </c>
      <c r="C61" s="301">
        <f t="shared" ref="C61:AU66" si="27">C39-C50</f>
        <v>0</v>
      </c>
      <c r="D61" s="301">
        <f t="shared" si="27"/>
        <v>0</v>
      </c>
      <c r="E61" s="301">
        <f t="shared" si="27"/>
        <v>0</v>
      </c>
      <c r="F61" s="301">
        <f t="shared" si="27"/>
        <v>0</v>
      </c>
      <c r="G61" s="301">
        <f t="shared" si="27"/>
        <v>0</v>
      </c>
      <c r="H61" s="301">
        <f t="shared" si="27"/>
        <v>0</v>
      </c>
      <c r="I61" s="301">
        <f t="shared" si="27"/>
        <v>0</v>
      </c>
      <c r="J61" s="301">
        <f t="shared" si="27"/>
        <v>0</v>
      </c>
      <c r="K61" s="301">
        <f t="shared" si="27"/>
        <v>0</v>
      </c>
      <c r="L61" s="301">
        <f t="shared" si="27"/>
        <v>0</v>
      </c>
      <c r="M61" s="301">
        <f t="shared" si="27"/>
        <v>0</v>
      </c>
      <c r="N61" s="301">
        <f t="shared" si="27"/>
        <v>0</v>
      </c>
      <c r="O61" s="301">
        <f t="shared" si="27"/>
        <v>0</v>
      </c>
      <c r="P61" s="301">
        <f t="shared" si="27"/>
        <v>0</v>
      </c>
      <c r="Q61" s="301">
        <f t="shared" si="27"/>
        <v>3.8024175409945293E-4</v>
      </c>
      <c r="R61" s="301">
        <f t="shared" si="27"/>
        <v>-6.6841813039408671E-2</v>
      </c>
      <c r="S61" s="301">
        <f t="shared" si="27"/>
        <v>-6.685335279249327E-2</v>
      </c>
      <c r="T61" s="301">
        <f t="shared" si="27"/>
        <v>-6.7111089017897418E-2</v>
      </c>
      <c r="U61" s="301">
        <f t="shared" si="27"/>
        <v>-7.6876613892241707E-2</v>
      </c>
      <c r="V61" s="301">
        <f t="shared" si="27"/>
        <v>-8.7734751450445847E-2</v>
      </c>
      <c r="W61" s="301">
        <f t="shared" si="27"/>
        <v>-8.7045237436840339E-2</v>
      </c>
      <c r="X61" s="301">
        <f t="shared" si="27"/>
        <v>-8.7569521138699646E-2</v>
      </c>
      <c r="Y61" s="301">
        <f t="shared" si="27"/>
        <v>-8.8969735796435856E-2</v>
      </c>
      <c r="Z61" s="301">
        <f t="shared" si="27"/>
        <v>-9.1241283905600046E-2</v>
      </c>
      <c r="AA61" s="301">
        <f t="shared" si="27"/>
        <v>4.7121887229419901E-3</v>
      </c>
      <c r="AB61" s="301">
        <f t="shared" si="27"/>
        <v>-9.5839864618054216E-2</v>
      </c>
      <c r="AC61" s="301">
        <f t="shared" si="27"/>
        <v>-9.905757304990237E-2</v>
      </c>
      <c r="AD61" s="301">
        <f t="shared" si="27"/>
        <v>-0.10149632726948604</v>
      </c>
      <c r="AE61" s="301">
        <f t="shared" si="27"/>
        <v>-0.10345708283743321</v>
      </c>
      <c r="AF61" s="301">
        <f t="shared" si="27"/>
        <v>-0.10655027479609436</v>
      </c>
      <c r="AG61" s="301">
        <f t="shared" si="27"/>
        <v>-0.1078071618359259</v>
      </c>
      <c r="AH61" s="301">
        <f t="shared" si="27"/>
        <v>-0.10893868814138352</v>
      </c>
      <c r="AI61" s="301">
        <f t="shared" si="27"/>
        <v>-0.10994016328215134</v>
      </c>
      <c r="AJ61" s="301">
        <f t="shared" si="27"/>
        <v>-0.11085747414905664</v>
      </c>
      <c r="AK61" s="301">
        <f t="shared" si="27"/>
        <v>-0.11174194444388574</v>
      </c>
      <c r="AL61" s="301">
        <f t="shared" si="27"/>
        <v>-0.11354813157663246</v>
      </c>
      <c r="AM61" s="301">
        <f t="shared" si="27"/>
        <v>-0.11483364679449518</v>
      </c>
      <c r="AN61" s="301">
        <f t="shared" si="27"/>
        <v>-0.11584740963380971</v>
      </c>
      <c r="AO61" s="301">
        <f t="shared" si="27"/>
        <v>-0.11674826774463662</v>
      </c>
      <c r="AP61" s="301">
        <f t="shared" si="27"/>
        <v>-0.11903485735562525</v>
      </c>
      <c r="AQ61" s="301">
        <f t="shared" si="27"/>
        <v>-0.12094429069859425</v>
      </c>
      <c r="AR61" s="301">
        <f t="shared" si="27"/>
        <v>-0.1224866437285981</v>
      </c>
      <c r="AS61" s="301">
        <f t="shared" si="27"/>
        <v>-0.12379369591953931</v>
      </c>
      <c r="AT61" s="301">
        <f t="shared" si="27"/>
        <v>-0.1249633622867731</v>
      </c>
      <c r="AU61" s="302">
        <f t="shared" si="27"/>
        <v>8.5495833477758354E-3</v>
      </c>
      <c r="AV61" s="268"/>
    </row>
    <row r="62" spans="1:50" x14ac:dyDescent="0.25">
      <c r="B62" s="258" t="s">
        <v>468</v>
      </c>
      <c r="C62" s="304">
        <f t="shared" si="27"/>
        <v>0</v>
      </c>
      <c r="D62" s="304">
        <f t="shared" si="27"/>
        <v>0</v>
      </c>
      <c r="E62" s="304">
        <f t="shared" si="27"/>
        <v>0</v>
      </c>
      <c r="F62" s="304">
        <f t="shared" si="27"/>
        <v>0</v>
      </c>
      <c r="G62" s="304">
        <f t="shared" si="27"/>
        <v>0</v>
      </c>
      <c r="H62" s="304">
        <f t="shared" si="27"/>
        <v>0</v>
      </c>
      <c r="I62" s="304">
        <f t="shared" si="27"/>
        <v>0</v>
      </c>
      <c r="J62" s="304">
        <f t="shared" si="27"/>
        <v>0</v>
      </c>
      <c r="K62" s="304">
        <f t="shared" si="27"/>
        <v>0</v>
      </c>
      <c r="L62" s="304">
        <f t="shared" si="27"/>
        <v>0</v>
      </c>
      <c r="M62" s="304">
        <f t="shared" si="27"/>
        <v>0</v>
      </c>
      <c r="N62" s="304">
        <f t="shared" si="27"/>
        <v>0</v>
      </c>
      <c r="O62" s="304">
        <f t="shared" si="27"/>
        <v>0</v>
      </c>
      <c r="P62" s="304">
        <f t="shared" si="27"/>
        <v>0</v>
      </c>
      <c r="Q62" s="304">
        <f t="shared" si="27"/>
        <v>0</v>
      </c>
      <c r="R62" s="304">
        <f t="shared" si="27"/>
        <v>0</v>
      </c>
      <c r="S62" s="304">
        <f t="shared" si="27"/>
        <v>0</v>
      </c>
      <c r="T62" s="304">
        <f t="shared" si="27"/>
        <v>-9.3280442725052204E-6</v>
      </c>
      <c r="U62" s="304">
        <f t="shared" si="27"/>
        <v>-7.8428606985584126E-3</v>
      </c>
      <c r="V62" s="304">
        <f t="shared" si="27"/>
        <v>-1.6843665663114155E-2</v>
      </c>
      <c r="W62" s="304">
        <f t="shared" si="27"/>
        <v>-1.7529019990564609E-2</v>
      </c>
      <c r="X62" s="304">
        <f t="shared" si="27"/>
        <v>-1.9557088163794561E-2</v>
      </c>
      <c r="Y62" s="304">
        <f t="shared" si="27"/>
        <v>-2.244793235832479E-2</v>
      </c>
      <c r="Z62" s="304">
        <f t="shared" si="27"/>
        <v>-2.6185784424845426E-2</v>
      </c>
      <c r="AA62" s="304">
        <f t="shared" si="27"/>
        <v>-3.0446497557725327E-2</v>
      </c>
      <c r="AB62" s="304">
        <f t="shared" si="27"/>
        <v>-3.1757547293877419E-2</v>
      </c>
      <c r="AC62" s="304">
        <f t="shared" si="27"/>
        <v>-3.5380544373815936E-2</v>
      </c>
      <c r="AD62" s="304">
        <f t="shared" si="27"/>
        <v>-3.7940975416038414E-2</v>
      </c>
      <c r="AE62" s="304">
        <f t="shared" si="27"/>
        <v>-3.9951816670916435E-2</v>
      </c>
      <c r="AF62" s="304">
        <f t="shared" si="27"/>
        <v>-4.3638973588479124E-2</v>
      </c>
      <c r="AG62" s="304">
        <f t="shared" si="27"/>
        <v>-4.4643111829041932E-2</v>
      </c>
      <c r="AH62" s="304">
        <f t="shared" si="27"/>
        <v>-4.5729616141815754E-2</v>
      </c>
      <c r="AI62" s="304">
        <f t="shared" si="27"/>
        <v>-4.6772861629003876E-2</v>
      </c>
      <c r="AJ62" s="304">
        <f t="shared" si="27"/>
        <v>-4.7772151006300639E-2</v>
      </c>
      <c r="AK62" s="304">
        <f t="shared" si="27"/>
        <v>-4.8769793770620656E-2</v>
      </c>
      <c r="AL62" s="304">
        <f t="shared" si="27"/>
        <v>-5.1184220154319948E-2</v>
      </c>
      <c r="AM62" s="304">
        <f t="shared" si="27"/>
        <v>-5.2852084418124723E-2</v>
      </c>
      <c r="AN62" s="304">
        <f t="shared" si="27"/>
        <v>-5.4117959631210522E-2</v>
      </c>
      <c r="AO62" s="304">
        <f t="shared" si="27"/>
        <v>-5.5259492845164376E-2</v>
      </c>
      <c r="AP62" s="304">
        <f t="shared" si="27"/>
        <v>-5.7835222244439682E-2</v>
      </c>
      <c r="AQ62" s="304">
        <f t="shared" si="27"/>
        <v>-6.0126009681196801E-2</v>
      </c>
      <c r="AR62" s="304">
        <f t="shared" si="27"/>
        <v>-6.1962899315979814E-2</v>
      </c>
      <c r="AS62" s="304">
        <f t="shared" si="27"/>
        <v>-6.3520269976294758E-2</v>
      </c>
      <c r="AT62" s="304">
        <f t="shared" si="27"/>
        <v>-6.4952109830354321E-2</v>
      </c>
      <c r="AU62" s="305">
        <f t="shared" si="27"/>
        <v>-6.5480520776878243E-2</v>
      </c>
      <c r="AV62" s="268"/>
    </row>
    <row r="63" spans="1:50" x14ac:dyDescent="0.25">
      <c r="B63" s="261" t="s">
        <v>469</v>
      </c>
      <c r="C63" s="306">
        <f t="shared" si="27"/>
        <v>0</v>
      </c>
      <c r="D63" s="306">
        <f t="shared" si="27"/>
        <v>0</v>
      </c>
      <c r="E63" s="306">
        <f t="shared" si="27"/>
        <v>0</v>
      </c>
      <c r="F63" s="306">
        <f t="shared" si="27"/>
        <v>0</v>
      </c>
      <c r="G63" s="306">
        <f t="shared" si="27"/>
        <v>0</v>
      </c>
      <c r="H63" s="306">
        <f t="shared" si="27"/>
        <v>0</v>
      </c>
      <c r="I63" s="306">
        <f t="shared" si="27"/>
        <v>0</v>
      </c>
      <c r="J63" s="306">
        <f t="shared" si="27"/>
        <v>0</v>
      </c>
      <c r="K63" s="306">
        <f t="shared" si="27"/>
        <v>0</v>
      </c>
      <c r="L63" s="306">
        <f t="shared" si="27"/>
        <v>0</v>
      </c>
      <c r="M63" s="306">
        <f t="shared" si="27"/>
        <v>0</v>
      </c>
      <c r="N63" s="306">
        <f t="shared" si="27"/>
        <v>0</v>
      </c>
      <c r="O63" s="306">
        <f t="shared" si="27"/>
        <v>0</v>
      </c>
      <c r="P63" s="306">
        <f t="shared" si="27"/>
        <v>0</v>
      </c>
      <c r="Q63" s="306">
        <f t="shared" si="27"/>
        <v>0</v>
      </c>
      <c r="R63" s="306">
        <f t="shared" si="27"/>
        <v>0</v>
      </c>
      <c r="S63" s="306">
        <f t="shared" si="27"/>
        <v>0</v>
      </c>
      <c r="T63" s="306">
        <f t="shared" si="27"/>
        <v>8.2358822887790284E-6</v>
      </c>
      <c r="U63" s="306">
        <f t="shared" si="27"/>
        <v>-2.1487403086370843E-3</v>
      </c>
      <c r="V63" s="306">
        <f t="shared" si="27"/>
        <v>-4.2394694114365056E-3</v>
      </c>
      <c r="W63" s="306">
        <f t="shared" si="27"/>
        <v>-2.9644563505017499E-3</v>
      </c>
      <c r="X63" s="306">
        <f t="shared" si="27"/>
        <v>-1.5115688352083864E-3</v>
      </c>
      <c r="Y63" s="306">
        <f t="shared" si="27"/>
        <v>6.2599464477196276E-5</v>
      </c>
      <c r="Z63" s="306">
        <f t="shared" si="27"/>
        <v>1.7157996574626855E-3</v>
      </c>
      <c r="AA63" s="306">
        <f t="shared" si="27"/>
        <v>3.4763103472101473E-2</v>
      </c>
      <c r="AB63" s="306">
        <f t="shared" si="27"/>
        <v>3.5874821002436774E-3</v>
      </c>
      <c r="AC63" s="306">
        <f t="shared" si="27"/>
        <v>4.012616029138126E-3</v>
      </c>
      <c r="AD63" s="306">
        <f t="shared" si="27"/>
        <v>4.2729366174102112E-3</v>
      </c>
      <c r="AE63" s="306">
        <f t="shared" si="27"/>
        <v>4.4587505027859076E-3</v>
      </c>
      <c r="AF63" s="306">
        <f t="shared" si="27"/>
        <v>4.8121851347235692E-3</v>
      </c>
      <c r="AG63" s="306">
        <f t="shared" si="27"/>
        <v>4.9164436560000663E-3</v>
      </c>
      <c r="AH63" s="306">
        <f t="shared" si="27"/>
        <v>5.036391643784624E-3</v>
      </c>
      <c r="AI63" s="306">
        <f t="shared" si="27"/>
        <v>5.1511751398943609E-3</v>
      </c>
      <c r="AJ63" s="306">
        <f t="shared" si="27"/>
        <v>5.2645759557955682E-3</v>
      </c>
      <c r="AK63" s="306">
        <f t="shared" si="27"/>
        <v>5.3826303405910825E-3</v>
      </c>
      <c r="AL63" s="306">
        <f t="shared" si="27"/>
        <v>5.6284224059958352E-3</v>
      </c>
      <c r="AM63" s="306">
        <f t="shared" si="27"/>
        <v>5.8211462640393036E-3</v>
      </c>
      <c r="AN63" s="306">
        <f t="shared" si="27"/>
        <v>5.9661855395575364E-3</v>
      </c>
      <c r="AO63" s="306">
        <f t="shared" si="27"/>
        <v>6.1204795417494559E-3</v>
      </c>
      <c r="AP63" s="306">
        <f t="shared" si="27"/>
        <v>6.4324221325471262E-3</v>
      </c>
      <c r="AQ63" s="306">
        <f t="shared" si="27"/>
        <v>6.6181172266403798E-3</v>
      </c>
      <c r="AR63" s="306">
        <f t="shared" si="27"/>
        <v>6.7964557342617068E-3</v>
      </c>
      <c r="AS63" s="306">
        <f t="shared" si="27"/>
        <v>6.9664764045924144E-3</v>
      </c>
      <c r="AT63" s="306">
        <f t="shared" si="27"/>
        <v>7.1543749902378412E-3</v>
      </c>
      <c r="AU63" s="307">
        <f t="shared" si="27"/>
        <v>7.3599323860514002E-2</v>
      </c>
      <c r="AV63" s="268"/>
    </row>
    <row r="64" spans="1:50" x14ac:dyDescent="0.25">
      <c r="B64" s="258" t="s">
        <v>470</v>
      </c>
      <c r="C64" s="304">
        <f t="shared" si="27"/>
        <v>0</v>
      </c>
      <c r="D64" s="304">
        <f t="shared" si="27"/>
        <v>0</v>
      </c>
      <c r="E64" s="304">
        <f t="shared" si="27"/>
        <v>0</v>
      </c>
      <c r="F64" s="304">
        <f t="shared" si="27"/>
        <v>0</v>
      </c>
      <c r="G64" s="304">
        <f t="shared" si="27"/>
        <v>0</v>
      </c>
      <c r="H64" s="304">
        <f t="shared" si="27"/>
        <v>0</v>
      </c>
      <c r="I64" s="304">
        <f t="shared" si="27"/>
        <v>0</v>
      </c>
      <c r="J64" s="304">
        <f t="shared" si="27"/>
        <v>0</v>
      </c>
      <c r="K64" s="304">
        <f t="shared" si="27"/>
        <v>0</v>
      </c>
      <c r="L64" s="304">
        <f t="shared" si="27"/>
        <v>0</v>
      </c>
      <c r="M64" s="304">
        <f t="shared" si="27"/>
        <v>0</v>
      </c>
      <c r="N64" s="304">
        <f t="shared" si="27"/>
        <v>0</v>
      </c>
      <c r="O64" s="304">
        <f t="shared" si="27"/>
        <v>0</v>
      </c>
      <c r="P64" s="304">
        <f t="shared" si="27"/>
        <v>0</v>
      </c>
      <c r="Q64" s="304">
        <f t="shared" si="27"/>
        <v>2.5702376218683654E-5</v>
      </c>
      <c r="R64" s="304">
        <f t="shared" si="27"/>
        <v>6.5979236298188138E-2</v>
      </c>
      <c r="S64" s="304">
        <f t="shared" si="27"/>
        <v>6.5990128733233511E-2</v>
      </c>
      <c r="T64" s="304">
        <f t="shared" si="27"/>
        <v>6.6305565148230938E-2</v>
      </c>
      <c r="U64" s="304">
        <f t="shared" si="27"/>
        <v>7.8865812346253117E-2</v>
      </c>
      <c r="V64" s="304">
        <f t="shared" si="27"/>
        <v>9.1219876988956394E-2</v>
      </c>
      <c r="W64" s="304">
        <f t="shared" si="27"/>
        <v>9.2664680649098052E-2</v>
      </c>
      <c r="X64" s="304">
        <f t="shared" si="27"/>
        <v>9.4406279293495765E-2</v>
      </c>
      <c r="Y64" s="304">
        <f t="shared" si="27"/>
        <v>9.6128743185834753E-2</v>
      </c>
      <c r="Z64" s="304">
        <f t="shared" si="27"/>
        <v>9.7574162051644153E-2</v>
      </c>
      <c r="AA64" s="304">
        <f t="shared" si="27"/>
        <v>-1.7997110970024988E-4</v>
      </c>
      <c r="AB64" s="304">
        <f t="shared" si="27"/>
        <v>0.10020052103485422</v>
      </c>
      <c r="AC64" s="304">
        <f t="shared" si="27"/>
        <v>0.10120007022122335</v>
      </c>
      <c r="AD64" s="304">
        <f t="shared" si="27"/>
        <v>0.10207728382827974</v>
      </c>
      <c r="AE64" s="304">
        <f t="shared" si="27"/>
        <v>0.10300149973952333</v>
      </c>
      <c r="AF64" s="304">
        <f t="shared" si="27"/>
        <v>0.10346866805887578</v>
      </c>
      <c r="AG64" s="304">
        <f t="shared" si="27"/>
        <v>0.1047485629076047</v>
      </c>
      <c r="AH64" s="304">
        <f t="shared" si="27"/>
        <v>0.10601582488121164</v>
      </c>
      <c r="AI64" s="304">
        <f t="shared" si="27"/>
        <v>0.10727135123555598</v>
      </c>
      <c r="AJ64" s="304">
        <f t="shared" si="27"/>
        <v>0.10854292445691027</v>
      </c>
      <c r="AK64" s="304">
        <f t="shared" si="27"/>
        <v>0.10983202262788749</v>
      </c>
      <c r="AL64" s="304">
        <f t="shared" si="27"/>
        <v>0.1104791761318179</v>
      </c>
      <c r="AM64" s="304">
        <f t="shared" si="27"/>
        <v>0.11149336084532724</v>
      </c>
      <c r="AN64" s="304">
        <f t="shared" si="27"/>
        <v>0.11253013610629159</v>
      </c>
      <c r="AO64" s="304">
        <f t="shared" si="27"/>
        <v>0.11378638551395781</v>
      </c>
      <c r="AP64" s="304">
        <f t="shared" si="27"/>
        <v>0.11499495248102731</v>
      </c>
      <c r="AQ64" s="304">
        <f t="shared" si="27"/>
        <v>0.11540854480873775</v>
      </c>
      <c r="AR64" s="304">
        <f t="shared" si="27"/>
        <v>0.11617692448246586</v>
      </c>
      <c r="AS64" s="304">
        <f t="shared" si="27"/>
        <v>0.1170969355567506</v>
      </c>
      <c r="AT64" s="304">
        <f t="shared" si="27"/>
        <v>0.11829900850491015</v>
      </c>
      <c r="AU64" s="305">
        <f t="shared" si="27"/>
        <v>-1.6151214480323084E-2</v>
      </c>
      <c r="AV64" s="268"/>
    </row>
    <row r="65" spans="2:48" x14ac:dyDescent="0.25">
      <c r="B65" s="258" t="s">
        <v>471</v>
      </c>
      <c r="C65" s="304">
        <f t="shared" si="27"/>
        <v>0</v>
      </c>
      <c r="D65" s="304">
        <f t="shared" si="27"/>
        <v>0</v>
      </c>
      <c r="E65" s="304">
        <f t="shared" si="27"/>
        <v>0</v>
      </c>
      <c r="F65" s="304">
        <f t="shared" si="27"/>
        <v>0</v>
      </c>
      <c r="G65" s="304">
        <f t="shared" si="27"/>
        <v>0</v>
      </c>
      <c r="H65" s="304">
        <f t="shared" si="27"/>
        <v>0</v>
      </c>
      <c r="I65" s="304">
        <f t="shared" si="27"/>
        <v>0</v>
      </c>
      <c r="J65" s="304">
        <f t="shared" si="27"/>
        <v>0</v>
      </c>
      <c r="K65" s="304">
        <f t="shared" si="27"/>
        <v>0</v>
      </c>
      <c r="L65" s="304">
        <f t="shared" si="27"/>
        <v>0</v>
      </c>
      <c r="M65" s="304">
        <f t="shared" si="27"/>
        <v>0</v>
      </c>
      <c r="N65" s="304">
        <f t="shared" si="27"/>
        <v>0</v>
      </c>
      <c r="O65" s="304">
        <f t="shared" si="27"/>
        <v>0</v>
      </c>
      <c r="P65" s="304">
        <f t="shared" si="27"/>
        <v>0</v>
      </c>
      <c r="Q65" s="304">
        <f t="shared" si="27"/>
        <v>0</v>
      </c>
      <c r="R65" s="304">
        <f t="shared" si="27"/>
        <v>0</v>
      </c>
      <c r="S65" s="304">
        <f t="shared" si="27"/>
        <v>0</v>
      </c>
      <c r="T65" s="304">
        <f t="shared" si="27"/>
        <v>5.1565547851573079E-5</v>
      </c>
      <c r="U65" s="304">
        <f t="shared" si="27"/>
        <v>3.6925141794265093E-3</v>
      </c>
      <c r="V65" s="304">
        <f t="shared" si="27"/>
        <v>6.4019473443192032E-3</v>
      </c>
      <c r="W65" s="304">
        <f t="shared" si="27"/>
        <v>5.4369829683701409E-3</v>
      </c>
      <c r="X65" s="304">
        <f t="shared" si="27"/>
        <v>4.2117156405849787E-3</v>
      </c>
      <c r="Y65" s="304">
        <f t="shared" si="27"/>
        <v>2.6876656009948707E-3</v>
      </c>
      <c r="Z65" s="304">
        <f t="shared" si="27"/>
        <v>5.0799220329933448E-4</v>
      </c>
      <c r="AA65" s="304">
        <f t="shared" si="27"/>
        <v>-2.3311636079239584E-3</v>
      </c>
      <c r="AB65" s="304">
        <f t="shared" si="27"/>
        <v>-2.7206270390357501E-3</v>
      </c>
      <c r="AC65" s="304">
        <f t="shared" si="27"/>
        <v>-3.9865257110321961E-3</v>
      </c>
      <c r="AD65" s="304">
        <f t="shared" si="27"/>
        <v>-5.2175827572253919E-3</v>
      </c>
      <c r="AE65" s="304">
        <f t="shared" si="27"/>
        <v>-6.3540737485523469E-3</v>
      </c>
      <c r="AF65" s="304">
        <f t="shared" si="27"/>
        <v>-8.1427575031147725E-3</v>
      </c>
      <c r="AG65" s="304">
        <f t="shared" si="27"/>
        <v>-8.8264119226161286E-3</v>
      </c>
      <c r="AH65" s="304">
        <f t="shared" si="27"/>
        <v>-9.5016891866579467E-3</v>
      </c>
      <c r="AI65" s="304">
        <f t="shared" si="27"/>
        <v>-1.0152792432485902E-2</v>
      </c>
      <c r="AJ65" s="304">
        <f t="shared" si="27"/>
        <v>-1.0763876563407604E-2</v>
      </c>
      <c r="AK65" s="304">
        <f t="shared" si="27"/>
        <v>-1.1338195006123208E-2</v>
      </c>
      <c r="AL65" s="304">
        <f t="shared" si="27"/>
        <v>-1.2627272754920593E-2</v>
      </c>
      <c r="AM65" s="304">
        <f t="shared" si="27"/>
        <v>-1.3471626240035506E-2</v>
      </c>
      <c r="AN65" s="304">
        <f t="shared" si="27"/>
        <v>-1.4210478422366224E-2</v>
      </c>
      <c r="AO65" s="304">
        <f t="shared" si="27"/>
        <v>-1.4735990567528945E-2</v>
      </c>
      <c r="AP65" s="304">
        <f t="shared" si="27"/>
        <v>-1.5672046270348683E-2</v>
      </c>
      <c r="AQ65" s="304">
        <f t="shared" si="27"/>
        <v>-1.7200147323244819E-2</v>
      </c>
      <c r="AR65" s="304">
        <f t="shared" si="27"/>
        <v>-1.8303709320115713E-2</v>
      </c>
      <c r="AS65" s="304">
        <f t="shared" si="27"/>
        <v>-1.9185950158792431E-2</v>
      </c>
      <c r="AT65" s="304">
        <f t="shared" si="27"/>
        <v>-1.9801935982201369E-2</v>
      </c>
      <c r="AU65" s="305">
        <f t="shared" si="27"/>
        <v>-2.1837534719568175E-2</v>
      </c>
      <c r="AV65" s="268"/>
    </row>
    <row r="66" spans="2:48" x14ac:dyDescent="0.25">
      <c r="B66" s="261" t="s">
        <v>472</v>
      </c>
      <c r="C66" s="306">
        <f t="shared" si="27"/>
        <v>0</v>
      </c>
      <c r="D66" s="306">
        <f t="shared" si="27"/>
        <v>0</v>
      </c>
      <c r="E66" s="306">
        <f t="shared" si="27"/>
        <v>0</v>
      </c>
      <c r="F66" s="306">
        <f t="shared" si="27"/>
        <v>0</v>
      </c>
      <c r="G66" s="306">
        <f t="shared" si="27"/>
        <v>0</v>
      </c>
      <c r="H66" s="306">
        <f t="shared" si="27"/>
        <v>0</v>
      </c>
      <c r="I66" s="306">
        <f t="shared" si="27"/>
        <v>0</v>
      </c>
      <c r="J66" s="306">
        <f t="shared" si="27"/>
        <v>0</v>
      </c>
      <c r="K66" s="306">
        <f t="shared" si="27"/>
        <v>0</v>
      </c>
      <c r="L66" s="306">
        <f t="shared" si="27"/>
        <v>0</v>
      </c>
      <c r="M66" s="306">
        <f t="shared" si="27"/>
        <v>0</v>
      </c>
      <c r="N66" s="306">
        <f t="shared" si="27"/>
        <v>0</v>
      </c>
      <c r="O66" s="306">
        <f t="shared" si="27"/>
        <v>0</v>
      </c>
      <c r="P66" s="306">
        <f t="shared" si="27"/>
        <v>0</v>
      </c>
      <c r="Q66" s="306">
        <f t="shared" si="27"/>
        <v>0</v>
      </c>
      <c r="R66" s="306">
        <f t="shared" si="27"/>
        <v>0</v>
      </c>
      <c r="S66" s="306">
        <f t="shared" si="27"/>
        <v>0</v>
      </c>
      <c r="T66" s="306">
        <f t="shared" si="27"/>
        <v>6.1848598881808492E-6</v>
      </c>
      <c r="U66" s="306">
        <f t="shared" si="27"/>
        <v>9.148320247202496E-3</v>
      </c>
      <c r="V66" s="306">
        <f t="shared" si="27"/>
        <v>1.9025301427783012E-2</v>
      </c>
      <c r="W66" s="306">
        <f t="shared" si="27"/>
        <v>2.153322786635932E-2</v>
      </c>
      <c r="X66" s="306">
        <f t="shared" si="27"/>
        <v>2.4550112966882282E-2</v>
      </c>
      <c r="Y66" s="306">
        <f t="shared" si="27"/>
        <v>2.771272752858836E-2</v>
      </c>
      <c r="Z66" s="306">
        <f t="shared" si="27"/>
        <v>3.1151486599328704E-2</v>
      </c>
      <c r="AA66" s="306">
        <f t="shared" si="27"/>
        <v>3.4048015373165097E-3</v>
      </c>
      <c r="AB66" s="306">
        <f t="shared" si="27"/>
        <v>3.610169837713588E-2</v>
      </c>
      <c r="AC66" s="306">
        <f t="shared" si="27"/>
        <v>3.8347072811019442E-2</v>
      </c>
      <c r="AD66" s="306">
        <f t="shared" si="27"/>
        <v>4.031813029113708E-2</v>
      </c>
      <c r="AE66" s="306">
        <f t="shared" si="27"/>
        <v>4.2243855582241294E-2</v>
      </c>
      <c r="AF66" s="306">
        <f t="shared" si="27"/>
        <v>4.4733808783801413E-2</v>
      </c>
      <c r="AG66" s="306">
        <f t="shared" ref="AG66:AU66" si="28">AG44-AG55</f>
        <v>4.6338631680466202E-2</v>
      </c>
      <c r="AH66" s="306">
        <f t="shared" si="28"/>
        <v>4.8115978514249008E-2</v>
      </c>
      <c r="AI66" s="306">
        <f t="shared" si="28"/>
        <v>4.9949440415340843E-2</v>
      </c>
      <c r="AJ66" s="306">
        <f t="shared" si="28"/>
        <v>5.1800504154884838E-2</v>
      </c>
      <c r="AK66" s="306">
        <f t="shared" si="28"/>
        <v>5.3658881263902045E-2</v>
      </c>
      <c r="AL66" s="306">
        <f t="shared" si="28"/>
        <v>5.5951901383570438E-2</v>
      </c>
      <c r="AM66" s="306">
        <f t="shared" si="28"/>
        <v>5.7998640702728629E-2</v>
      </c>
      <c r="AN66" s="306">
        <f t="shared" si="28"/>
        <v>5.988077553569085E-2</v>
      </c>
      <c r="AO66" s="306">
        <f t="shared" si="28"/>
        <v>6.1748467506142934E-2</v>
      </c>
      <c r="AP66" s="306">
        <f t="shared" si="28"/>
        <v>6.3871115649156235E-2</v>
      </c>
      <c r="AQ66" s="306">
        <f t="shared" si="28"/>
        <v>6.600654355565902E-2</v>
      </c>
      <c r="AR66" s="306">
        <f t="shared" si="28"/>
        <v>6.7994021045559086E-2</v>
      </c>
      <c r="AS66" s="306">
        <f t="shared" si="28"/>
        <v>6.9875977207153259E-2</v>
      </c>
      <c r="AT66" s="306">
        <f t="shared" si="28"/>
        <v>7.1767626326418935E-2</v>
      </c>
      <c r="AU66" s="307">
        <f t="shared" si="28"/>
        <v>6.9495844539462295E-3</v>
      </c>
      <c r="AV66" s="268"/>
    </row>
    <row r="67" spans="2:48" x14ac:dyDescent="0.25">
      <c r="B67" s="249" t="s">
        <v>473</v>
      </c>
      <c r="C67" s="308">
        <f t="shared" ref="C67:AU67" si="29">C45-C56</f>
        <v>0</v>
      </c>
      <c r="D67" s="308">
        <f t="shared" si="29"/>
        <v>0</v>
      </c>
      <c r="E67" s="308">
        <f t="shared" si="29"/>
        <v>0</v>
      </c>
      <c r="F67" s="308">
        <f t="shared" si="29"/>
        <v>0</v>
      </c>
      <c r="G67" s="308">
        <f t="shared" si="29"/>
        <v>0</v>
      </c>
      <c r="H67" s="308">
        <f t="shared" si="29"/>
        <v>0</v>
      </c>
      <c r="I67" s="308">
        <f t="shared" si="29"/>
        <v>0</v>
      </c>
      <c r="J67" s="308">
        <f t="shared" si="29"/>
        <v>0</v>
      </c>
      <c r="K67" s="308">
        <f t="shared" si="29"/>
        <v>0</v>
      </c>
      <c r="L67" s="308">
        <f t="shared" si="29"/>
        <v>0</v>
      </c>
      <c r="M67" s="308">
        <f t="shared" si="29"/>
        <v>0</v>
      </c>
      <c r="N67" s="308">
        <f t="shared" si="29"/>
        <v>0</v>
      </c>
      <c r="O67" s="308">
        <f t="shared" si="29"/>
        <v>0</v>
      </c>
      <c r="P67" s="308">
        <f t="shared" si="29"/>
        <v>0</v>
      </c>
      <c r="Q67" s="308">
        <f t="shared" si="29"/>
        <v>0</v>
      </c>
      <c r="R67" s="308">
        <f t="shared" si="29"/>
        <v>0</v>
      </c>
      <c r="S67" s="308">
        <f t="shared" si="29"/>
        <v>0</v>
      </c>
      <c r="T67" s="308">
        <f t="shared" si="29"/>
        <v>4.2237503579012348E-5</v>
      </c>
      <c r="U67" s="308">
        <f t="shared" si="29"/>
        <v>-4.1503465191318201E-3</v>
      </c>
      <c r="V67" s="308">
        <f t="shared" si="29"/>
        <v>-1.0441718318794813E-2</v>
      </c>
      <c r="W67" s="308">
        <f t="shared" si="29"/>
        <v>-1.2092037022194413E-2</v>
      </c>
      <c r="X67" s="308">
        <f t="shared" si="29"/>
        <v>-1.5345372523209555E-2</v>
      </c>
      <c r="Y67" s="308">
        <f t="shared" si="29"/>
        <v>-1.9760266757329892E-2</v>
      </c>
      <c r="Z67" s="308">
        <f t="shared" si="29"/>
        <v>-2.5677792221546203E-2</v>
      </c>
      <c r="AA67" s="308">
        <f t="shared" si="29"/>
        <v>-3.2777661165649286E-2</v>
      </c>
      <c r="AB67" s="308">
        <f t="shared" si="29"/>
        <v>-3.4478174332913114E-2</v>
      </c>
      <c r="AC67" s="308">
        <f t="shared" si="29"/>
        <v>-3.9367070084848188E-2</v>
      </c>
      <c r="AD67" s="308">
        <f t="shared" si="29"/>
        <v>-4.3158558173263861E-2</v>
      </c>
      <c r="AE67" s="308">
        <f t="shared" si="29"/>
        <v>-4.6305890419468865E-2</v>
      </c>
      <c r="AF67" s="308">
        <f t="shared" si="29"/>
        <v>-5.1781731091593897E-2</v>
      </c>
      <c r="AG67" s="308">
        <f t="shared" si="29"/>
        <v>-5.3469523751658032E-2</v>
      </c>
      <c r="AH67" s="308">
        <f t="shared" si="29"/>
        <v>-5.5231305328473757E-2</v>
      </c>
      <c r="AI67" s="308">
        <f t="shared" si="29"/>
        <v>-5.692565406148975E-2</v>
      </c>
      <c r="AJ67" s="308">
        <f t="shared" si="29"/>
        <v>-5.8536027569708216E-2</v>
      </c>
      <c r="AK67" s="308">
        <f t="shared" si="29"/>
        <v>-6.0107988776743948E-2</v>
      </c>
      <c r="AL67" s="308">
        <f t="shared" si="29"/>
        <v>-6.3811492909240597E-2</v>
      </c>
      <c r="AM67" s="308">
        <f t="shared" si="29"/>
        <v>-6.6323710658160229E-2</v>
      </c>
      <c r="AN67" s="308">
        <f t="shared" si="29"/>
        <v>-6.832843805357669E-2</v>
      </c>
      <c r="AO67" s="308">
        <f t="shared" si="29"/>
        <v>-6.9995483412693238E-2</v>
      </c>
      <c r="AP67" s="308">
        <f t="shared" si="29"/>
        <v>-7.3507268514788393E-2</v>
      </c>
      <c r="AQ67" s="308">
        <f t="shared" si="29"/>
        <v>-7.7326157004441676E-2</v>
      </c>
      <c r="AR67" s="308">
        <f t="shared" si="29"/>
        <v>-8.0266608636095471E-2</v>
      </c>
      <c r="AS67" s="308">
        <f t="shared" si="29"/>
        <v>-8.2706220135087105E-2</v>
      </c>
      <c r="AT67" s="308">
        <f t="shared" si="29"/>
        <v>-8.4754045812555856E-2</v>
      </c>
      <c r="AU67" s="309">
        <f t="shared" si="29"/>
        <v>-8.7318055496446445E-2</v>
      </c>
      <c r="AV67" s="268"/>
    </row>
  </sheetData>
  <pageMargins left="0.7" right="0.7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CU30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:AW300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7" max="49" width="11.7109375" customWidth="1"/>
    <col min="50" max="50" width="21.85546875" customWidth="1"/>
    <col min="51" max="52" width="11.7109375" customWidth="1"/>
  </cols>
  <sheetData>
    <row r="1" spans="1:49" ht="51.75" thickBot="1" x14ac:dyDescent="0.3">
      <c r="A1" s="234" t="s">
        <v>484</v>
      </c>
      <c r="B1" s="269" t="s">
        <v>492</v>
      </c>
      <c r="C1" s="235">
        <v>2</v>
      </c>
      <c r="D1" s="235">
        <f>C1+1</f>
        <v>3</v>
      </c>
      <c r="E1" s="235">
        <f t="shared" ref="E1:AW1" si="0">D1+1</f>
        <v>4</v>
      </c>
      <c r="F1" s="235">
        <f t="shared" si="0"/>
        <v>5</v>
      </c>
      <c r="G1" s="235">
        <f t="shared" si="0"/>
        <v>6</v>
      </c>
      <c r="H1" s="235">
        <f t="shared" si="0"/>
        <v>7</v>
      </c>
      <c r="I1" s="235">
        <f t="shared" si="0"/>
        <v>8</v>
      </c>
      <c r="J1" s="235">
        <f t="shared" si="0"/>
        <v>9</v>
      </c>
      <c r="K1" s="235">
        <f t="shared" si="0"/>
        <v>10</v>
      </c>
      <c r="L1" s="235">
        <f t="shared" si="0"/>
        <v>11</v>
      </c>
      <c r="M1" s="235">
        <f t="shared" si="0"/>
        <v>12</v>
      </c>
      <c r="N1" s="235">
        <f t="shared" si="0"/>
        <v>13</v>
      </c>
      <c r="O1" s="235">
        <f t="shared" si="0"/>
        <v>14</v>
      </c>
      <c r="P1" s="235">
        <f t="shared" si="0"/>
        <v>15</v>
      </c>
      <c r="Q1" s="235">
        <f t="shared" si="0"/>
        <v>16</v>
      </c>
      <c r="R1" s="235">
        <f t="shared" si="0"/>
        <v>17</v>
      </c>
      <c r="S1" s="235">
        <f t="shared" si="0"/>
        <v>18</v>
      </c>
      <c r="T1" s="235">
        <f t="shared" si="0"/>
        <v>19</v>
      </c>
      <c r="U1" s="235">
        <f t="shared" si="0"/>
        <v>20</v>
      </c>
      <c r="V1" s="235">
        <f t="shared" si="0"/>
        <v>21</v>
      </c>
      <c r="W1" s="235">
        <f t="shared" si="0"/>
        <v>22</v>
      </c>
      <c r="X1" s="235">
        <f t="shared" si="0"/>
        <v>23</v>
      </c>
      <c r="Y1" s="235">
        <f t="shared" si="0"/>
        <v>24</v>
      </c>
      <c r="Z1" s="235">
        <f t="shared" si="0"/>
        <v>25</v>
      </c>
      <c r="AA1" s="235">
        <f t="shared" si="0"/>
        <v>26</v>
      </c>
      <c r="AB1" s="235">
        <f t="shared" si="0"/>
        <v>27</v>
      </c>
      <c r="AC1" s="235">
        <f t="shared" si="0"/>
        <v>28</v>
      </c>
      <c r="AD1" s="235">
        <f t="shared" si="0"/>
        <v>29</v>
      </c>
      <c r="AE1" s="235">
        <f t="shared" si="0"/>
        <v>30</v>
      </c>
      <c r="AF1" s="235">
        <f t="shared" si="0"/>
        <v>31</v>
      </c>
      <c r="AG1" s="235">
        <f t="shared" si="0"/>
        <v>32</v>
      </c>
      <c r="AH1" s="235">
        <f t="shared" si="0"/>
        <v>33</v>
      </c>
      <c r="AI1" s="235">
        <f t="shared" si="0"/>
        <v>34</v>
      </c>
      <c r="AJ1" s="235">
        <f t="shared" si="0"/>
        <v>35</v>
      </c>
      <c r="AK1" s="235">
        <f t="shared" si="0"/>
        <v>36</v>
      </c>
      <c r="AL1" s="235">
        <f t="shared" si="0"/>
        <v>37</v>
      </c>
      <c r="AM1" s="235">
        <f t="shared" si="0"/>
        <v>38</v>
      </c>
      <c r="AN1" s="235">
        <f t="shared" si="0"/>
        <v>39</v>
      </c>
      <c r="AO1" s="235">
        <f t="shared" si="0"/>
        <v>40</v>
      </c>
      <c r="AP1" s="235">
        <f t="shared" si="0"/>
        <v>41</v>
      </c>
      <c r="AQ1" s="235">
        <f t="shared" si="0"/>
        <v>42</v>
      </c>
      <c r="AR1" s="235">
        <f t="shared" si="0"/>
        <v>43</v>
      </c>
      <c r="AS1" s="235">
        <f t="shared" si="0"/>
        <v>44</v>
      </c>
      <c r="AT1" s="235">
        <f t="shared" si="0"/>
        <v>45</v>
      </c>
      <c r="AU1" s="235">
        <f t="shared" si="0"/>
        <v>46</v>
      </c>
      <c r="AV1" s="235">
        <f t="shared" si="0"/>
        <v>47</v>
      </c>
      <c r="AW1" s="235">
        <f t="shared" si="0"/>
        <v>48</v>
      </c>
    </row>
    <row r="2" spans="1:49" x14ac:dyDescent="0.25">
      <c r="B2" s="193"/>
      <c r="C2" s="16">
        <v>2004</v>
      </c>
      <c r="D2" s="16">
        <v>2005</v>
      </c>
      <c r="E2" s="16">
        <v>2006</v>
      </c>
      <c r="F2" s="2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3" t="s">
        <v>103</v>
      </c>
      <c r="C3">
        <v>78.155731330970795</v>
      </c>
      <c r="D3" s="39">
        <v>79.410546877677106</v>
      </c>
      <c r="E3" s="39">
        <v>80.671237570000002</v>
      </c>
      <c r="F3" s="39">
        <v>81.937189869999997</v>
      </c>
      <c r="G3">
        <v>78.453991079999994</v>
      </c>
      <c r="H3">
        <v>76.2799476</v>
      </c>
      <c r="I3">
        <v>74.968776109999894</v>
      </c>
      <c r="J3">
        <v>73.274172960000001</v>
      </c>
      <c r="K3">
        <v>71.359595659999997</v>
      </c>
      <c r="L3">
        <v>70.021498059999999</v>
      </c>
      <c r="M3">
        <v>70.031954519999999</v>
      </c>
      <c r="N3">
        <v>70.642662770000001</v>
      </c>
      <c r="O3">
        <v>69.223818539999996</v>
      </c>
      <c r="P3">
        <v>67.408897109999998</v>
      </c>
      <c r="Q3">
        <v>64.916406539999997</v>
      </c>
      <c r="R3">
        <v>63.381551940000001</v>
      </c>
      <c r="S3">
        <v>62.18757489</v>
      </c>
      <c r="T3">
        <v>61.906962210000003</v>
      </c>
      <c r="U3">
        <v>61.631546620000002</v>
      </c>
      <c r="V3">
        <v>61.037602130000003</v>
      </c>
      <c r="W3">
        <v>59.092279519999998</v>
      </c>
      <c r="X3">
        <v>56.894603320000002</v>
      </c>
      <c r="Y3">
        <v>55.021961439999998</v>
      </c>
      <c r="Z3">
        <v>53.110926059999997</v>
      </c>
      <c r="AA3">
        <v>51.20214343</v>
      </c>
      <c r="AB3">
        <v>49.113845939999997</v>
      </c>
      <c r="AC3">
        <v>47.01033108</v>
      </c>
      <c r="AD3">
        <v>45.0150401</v>
      </c>
      <c r="AE3">
        <v>43.063005740000001</v>
      </c>
      <c r="AF3">
        <v>41.137346299999997</v>
      </c>
      <c r="AG3">
        <v>39.245599560000002</v>
      </c>
      <c r="AH3">
        <v>37.405992670000003</v>
      </c>
      <c r="AI3">
        <v>35.50474629</v>
      </c>
      <c r="AJ3">
        <v>33.692019160000001</v>
      </c>
      <c r="AK3">
        <v>31.93196524</v>
      </c>
      <c r="AL3">
        <v>30.258110609999999</v>
      </c>
      <c r="AM3">
        <v>28.660844579999999</v>
      </c>
      <c r="AN3">
        <v>27.226504550000001</v>
      </c>
      <c r="AO3">
        <v>25.840806050000001</v>
      </c>
      <c r="AP3">
        <v>24.471552899999999</v>
      </c>
      <c r="AQ3">
        <v>23.189120979999998</v>
      </c>
      <c r="AR3">
        <v>21.906596489999998</v>
      </c>
      <c r="AS3">
        <v>20.932989249999999</v>
      </c>
      <c r="AT3">
        <v>20.017379089999999</v>
      </c>
      <c r="AU3">
        <v>19.116912580000001</v>
      </c>
      <c r="AV3">
        <v>18.266962830000001</v>
      </c>
      <c r="AW3">
        <v>17.42924159</v>
      </c>
    </row>
    <row r="4" spans="1:49" x14ac:dyDescent="0.25">
      <c r="B4" s="13" t="s">
        <v>104</v>
      </c>
      <c r="C4">
        <v>77.477678819662401</v>
      </c>
      <c r="D4" s="39">
        <v>78.721608013977402</v>
      </c>
      <c r="E4" s="39">
        <v>80.003771909999998</v>
      </c>
      <c r="F4" s="39">
        <v>80.925672700000007</v>
      </c>
      <c r="G4">
        <v>77.16738866</v>
      </c>
      <c r="H4">
        <v>74.720996940000006</v>
      </c>
      <c r="I4">
        <v>73.135157669999998</v>
      </c>
      <c r="J4">
        <v>71.188561250000006</v>
      </c>
      <c r="K4">
        <v>69.043878620000001</v>
      </c>
      <c r="L4">
        <v>67.471087030000007</v>
      </c>
      <c r="M4">
        <v>67.204145879999999</v>
      </c>
      <c r="N4">
        <v>67.511909079999995</v>
      </c>
      <c r="O4">
        <v>66.106583659999998</v>
      </c>
      <c r="P4">
        <v>64.322268210000004</v>
      </c>
      <c r="Q4">
        <v>61.891444720000003</v>
      </c>
      <c r="R4">
        <v>60.373412250000001</v>
      </c>
      <c r="S4">
        <v>59.178664159999997</v>
      </c>
      <c r="T4">
        <v>58.753675280000003</v>
      </c>
      <c r="U4">
        <v>58.34013779</v>
      </c>
      <c r="V4">
        <v>57.632037879999999</v>
      </c>
      <c r="W4">
        <v>55.69854471</v>
      </c>
      <c r="X4">
        <v>53.527388930000001</v>
      </c>
      <c r="Y4">
        <v>51.591579639999999</v>
      </c>
      <c r="Z4">
        <v>49.616186059999997</v>
      </c>
      <c r="AA4">
        <v>47.63892113</v>
      </c>
      <c r="AB4">
        <v>45.501503169999999</v>
      </c>
      <c r="AC4">
        <v>43.347558900000003</v>
      </c>
      <c r="AD4">
        <v>41.162931710000002</v>
      </c>
      <c r="AE4">
        <v>39.01026109</v>
      </c>
      <c r="AF4">
        <v>36.871853539999996</v>
      </c>
      <c r="AG4">
        <v>34.767348419999998</v>
      </c>
      <c r="AH4">
        <v>32.695198310000002</v>
      </c>
      <c r="AI4">
        <v>30.715390759999998</v>
      </c>
      <c r="AJ4">
        <v>28.80048652</v>
      </c>
      <c r="AK4">
        <v>26.91450159</v>
      </c>
      <c r="AL4">
        <v>25.0976368</v>
      </c>
      <c r="AM4">
        <v>23.31477525</v>
      </c>
      <c r="AN4">
        <v>21.832260529999999</v>
      </c>
      <c r="AO4">
        <v>20.373320769999999</v>
      </c>
      <c r="AP4">
        <v>18.90690339</v>
      </c>
      <c r="AQ4">
        <v>17.479333220000001</v>
      </c>
      <c r="AR4">
        <v>16.012694669999998</v>
      </c>
      <c r="AS4">
        <v>15.209122750000001</v>
      </c>
      <c r="AT4">
        <v>14.446182759999999</v>
      </c>
      <c r="AU4">
        <v>13.69201582</v>
      </c>
      <c r="AV4">
        <v>12.97107042</v>
      </c>
      <c r="AW4">
        <v>12.25483768</v>
      </c>
    </row>
    <row r="5" spans="1:49" x14ac:dyDescent="0.25">
      <c r="B5" s="13" t="s">
        <v>105</v>
      </c>
      <c r="C5">
        <v>0.67805251130835598</v>
      </c>
      <c r="D5" s="39">
        <v>0.68893886369971102</v>
      </c>
      <c r="E5">
        <v>0.66746566279999997</v>
      </c>
      <c r="F5">
        <v>1.0115171759999999</v>
      </c>
      <c r="G5">
        <v>1.286602413</v>
      </c>
      <c r="H5">
        <v>1.558950654</v>
      </c>
      <c r="I5">
        <v>1.833618446</v>
      </c>
      <c r="J5">
        <v>2.0856117109999999</v>
      </c>
      <c r="K5">
        <v>2.3157170370000002</v>
      </c>
      <c r="L5">
        <v>2.5504110249999998</v>
      </c>
      <c r="M5">
        <v>2.827808643</v>
      </c>
      <c r="N5">
        <v>3.1307536950000001</v>
      </c>
      <c r="O5">
        <v>3.117234888</v>
      </c>
      <c r="P5">
        <v>3.0866288989999999</v>
      </c>
      <c r="Q5">
        <v>3.0249618169999999</v>
      </c>
      <c r="R5">
        <v>3.0081396859999998</v>
      </c>
      <c r="S5">
        <v>3.0089107240000001</v>
      </c>
      <c r="T5">
        <v>3.1532869290000001</v>
      </c>
      <c r="U5">
        <v>3.2914088229999998</v>
      </c>
      <c r="V5">
        <v>3.4055642439999998</v>
      </c>
      <c r="W5">
        <v>3.3937348059999999</v>
      </c>
      <c r="X5">
        <v>3.3672143829999999</v>
      </c>
      <c r="Y5">
        <v>3.4303817959999998</v>
      </c>
      <c r="Z5">
        <v>3.4947400000000002</v>
      </c>
      <c r="AA5">
        <v>3.563222294</v>
      </c>
      <c r="AB5">
        <v>3.6123427750000001</v>
      </c>
      <c r="AC5">
        <v>3.662772184</v>
      </c>
      <c r="AD5">
        <v>3.8521083960000002</v>
      </c>
      <c r="AE5">
        <v>4.0527446510000003</v>
      </c>
      <c r="AF5">
        <v>4.2654927530000002</v>
      </c>
      <c r="AG5">
        <v>4.4782511420000004</v>
      </c>
      <c r="AH5">
        <v>4.7107943690000003</v>
      </c>
      <c r="AI5">
        <v>4.7893555360000004</v>
      </c>
      <c r="AJ5">
        <v>4.8915326459999999</v>
      </c>
      <c r="AK5">
        <v>5.0174636530000001</v>
      </c>
      <c r="AL5">
        <v>5.1604738040000004</v>
      </c>
      <c r="AM5">
        <v>5.3460693279999996</v>
      </c>
      <c r="AN5">
        <v>5.3942440219999996</v>
      </c>
      <c r="AO5">
        <v>5.4674852830000003</v>
      </c>
      <c r="AP5">
        <v>5.5646495040000001</v>
      </c>
      <c r="AQ5">
        <v>5.7097877649999997</v>
      </c>
      <c r="AR5">
        <v>5.8939018189999999</v>
      </c>
      <c r="AS5">
        <v>5.7238664979999996</v>
      </c>
      <c r="AT5">
        <v>5.5711963210000004</v>
      </c>
      <c r="AU5">
        <v>5.4248967539999997</v>
      </c>
      <c r="AV5">
        <v>5.2958924029999999</v>
      </c>
      <c r="AW5">
        <v>5.1744039160000002</v>
      </c>
    </row>
    <row r="6" spans="1:49" x14ac:dyDescent="0.25">
      <c r="B6" s="13" t="s">
        <v>106</v>
      </c>
      <c r="C6">
        <v>28.634797354551999</v>
      </c>
      <c r="D6" s="39">
        <v>29.094538288267</v>
      </c>
      <c r="E6" s="39">
        <v>29.720949569999998</v>
      </c>
      <c r="F6" s="39">
        <v>30.36030117</v>
      </c>
      <c r="G6" s="39">
        <v>30.83650536</v>
      </c>
      <c r="H6" s="39">
        <v>28.436775399999998</v>
      </c>
      <c r="I6" s="39">
        <v>29.38903659</v>
      </c>
      <c r="J6" s="39">
        <v>30.296901269999999</v>
      </c>
      <c r="K6" s="39">
        <v>30.540984519999999</v>
      </c>
      <c r="L6" s="39">
        <v>30.273645699999999</v>
      </c>
      <c r="M6">
        <v>29.980967159999999</v>
      </c>
      <c r="N6">
        <v>29.24428013</v>
      </c>
      <c r="O6">
        <v>27.626731360000001</v>
      </c>
      <c r="P6">
        <v>27.146199549999999</v>
      </c>
      <c r="Q6">
        <v>27.08340175</v>
      </c>
      <c r="R6">
        <v>26.2160017</v>
      </c>
      <c r="S6">
        <v>25.33513657</v>
      </c>
      <c r="T6">
        <v>25.118299149999999</v>
      </c>
      <c r="U6">
        <v>24.992549910000001</v>
      </c>
      <c r="V6">
        <v>24.567825360000001</v>
      </c>
      <c r="W6">
        <v>25.107583399999999</v>
      </c>
      <c r="X6">
        <v>25.231884449999999</v>
      </c>
      <c r="Y6">
        <v>24.810569399999999</v>
      </c>
      <c r="Z6">
        <v>24.328089899999998</v>
      </c>
      <c r="AA6">
        <v>23.824972939999999</v>
      </c>
      <c r="AB6">
        <v>23.560186160000001</v>
      </c>
      <c r="AC6">
        <v>23.287767639999998</v>
      </c>
      <c r="AD6">
        <v>22.816321510000002</v>
      </c>
      <c r="AE6">
        <v>22.34297961</v>
      </c>
      <c r="AF6">
        <v>21.87513448</v>
      </c>
      <c r="AG6">
        <v>21.234386449999999</v>
      </c>
      <c r="AH6">
        <v>20.578172980000002</v>
      </c>
      <c r="AI6">
        <v>20.349900689999998</v>
      </c>
      <c r="AJ6">
        <v>20.096746880000001</v>
      </c>
      <c r="AK6">
        <v>19.83850485</v>
      </c>
      <c r="AL6">
        <v>19.634198810000001</v>
      </c>
      <c r="AM6">
        <v>19.419236990000002</v>
      </c>
      <c r="AN6">
        <v>18.708515930000001</v>
      </c>
      <c r="AO6">
        <v>18.01738808</v>
      </c>
      <c r="AP6">
        <v>17.32578943</v>
      </c>
      <c r="AQ6">
        <v>16.64334427</v>
      </c>
      <c r="AR6">
        <v>15.970989149999999</v>
      </c>
      <c r="AS6">
        <v>15.153411350000001</v>
      </c>
      <c r="AT6">
        <v>14.35654813</v>
      </c>
      <c r="AU6">
        <v>13.561107829999999</v>
      </c>
      <c r="AV6">
        <v>12.78154256</v>
      </c>
      <c r="AW6">
        <v>11.99997342</v>
      </c>
    </row>
    <row r="7" spans="1:49" x14ac:dyDescent="0.25">
      <c r="B7" s="13" t="s">
        <v>107</v>
      </c>
      <c r="C7">
        <v>0.36749349586970598</v>
      </c>
      <c r="D7">
        <v>0.37339372281503302</v>
      </c>
      <c r="E7">
        <v>0.38143296510000002</v>
      </c>
      <c r="F7">
        <v>0.3691636834</v>
      </c>
      <c r="G7">
        <v>0.35525107569999997</v>
      </c>
      <c r="H7">
        <v>0.31039016159999999</v>
      </c>
      <c r="I7">
        <v>0.30392771210000002</v>
      </c>
      <c r="J7">
        <v>0.2968523663</v>
      </c>
      <c r="K7">
        <v>0.28351933940000001</v>
      </c>
      <c r="L7">
        <v>0.2662696893</v>
      </c>
      <c r="M7">
        <v>0.24983886499999999</v>
      </c>
      <c r="N7">
        <v>0.23089399969999999</v>
      </c>
      <c r="O7">
        <v>0.20077325300000001</v>
      </c>
      <c r="P7">
        <v>0.1788822189</v>
      </c>
      <c r="Q7">
        <v>0.15859743409999999</v>
      </c>
      <c r="R7">
        <v>0.13262799680000001</v>
      </c>
      <c r="S7">
        <v>0.10616785400000001</v>
      </c>
      <c r="T7">
        <v>0.15055263599999999</v>
      </c>
      <c r="U7">
        <v>0.19633021319999999</v>
      </c>
      <c r="V7">
        <v>0.240245341</v>
      </c>
      <c r="W7">
        <v>0.19025051500000001</v>
      </c>
      <c r="X7">
        <v>0.13805878320000001</v>
      </c>
      <c r="Y7">
        <v>0.1055988247</v>
      </c>
      <c r="Z7">
        <v>7.43063952E-2</v>
      </c>
      <c r="AA7">
        <v>4.44526939E-2</v>
      </c>
      <c r="AB7">
        <v>3.2292353199999999E-2</v>
      </c>
      <c r="AC7">
        <v>2.0664130700000002E-2</v>
      </c>
      <c r="AD7">
        <v>2.03966459E-2</v>
      </c>
      <c r="AE7">
        <v>2.0126763400000001E-2</v>
      </c>
      <c r="AF7">
        <v>1.98611151E-2</v>
      </c>
      <c r="AG7">
        <v>1.9423830699999999E-2</v>
      </c>
      <c r="AH7">
        <v>1.8967105500000001E-2</v>
      </c>
      <c r="AI7">
        <v>1.5254132199999999E-2</v>
      </c>
      <c r="AJ7">
        <v>1.1597622199999999E-2</v>
      </c>
      <c r="AK7">
        <v>8.0187196399999997E-3</v>
      </c>
      <c r="AL7">
        <v>8.3597709800000003E-3</v>
      </c>
      <c r="AM7">
        <v>8.6886798700000004E-3</v>
      </c>
      <c r="AN7">
        <v>8.3305367900000007E-3</v>
      </c>
      <c r="AO7">
        <v>7.9818366200000001E-3</v>
      </c>
      <c r="AP7" s="39">
        <v>7.6336673299999998E-3</v>
      </c>
      <c r="AQ7" s="39">
        <v>7.2903180200000004E-3</v>
      </c>
      <c r="AR7" s="39">
        <v>6.9522003899999997E-3</v>
      </c>
      <c r="AS7" s="39">
        <v>6.89292332E-3</v>
      </c>
      <c r="AT7" s="39">
        <v>6.8379304299999999E-3</v>
      </c>
      <c r="AU7" s="39">
        <v>6.77821429E-3</v>
      </c>
      <c r="AV7" s="39">
        <v>6.7206373999999999E-3</v>
      </c>
      <c r="AW7" s="39">
        <v>6.6556353199999996E-3</v>
      </c>
    </row>
    <row r="8" spans="1:49" x14ac:dyDescent="0.25">
      <c r="B8" t="s">
        <v>108</v>
      </c>
      <c r="C8">
        <v>1.4676116307532601</v>
      </c>
      <c r="D8" s="39">
        <v>1.4911746101974399</v>
      </c>
      <c r="E8" s="39">
        <v>1.523279901</v>
      </c>
      <c r="F8" s="39">
        <v>1.5583116290000001</v>
      </c>
      <c r="G8" s="39">
        <v>1.5850559479999999</v>
      </c>
      <c r="H8" s="39">
        <v>1.4638311850000001</v>
      </c>
      <c r="I8" s="39">
        <v>1.515050824</v>
      </c>
      <c r="J8" s="39">
        <v>1.5641243229999999</v>
      </c>
      <c r="K8" s="39">
        <v>1.579018783</v>
      </c>
      <c r="L8" s="39">
        <v>1.5674734480000001</v>
      </c>
      <c r="M8">
        <v>1.5545772680000001</v>
      </c>
      <c r="N8">
        <v>1.5185839830000001</v>
      </c>
      <c r="O8">
        <v>1.6066721340000001</v>
      </c>
      <c r="P8">
        <v>1.7612163430000001</v>
      </c>
      <c r="Q8">
        <v>1.9542337839999999</v>
      </c>
      <c r="R8">
        <v>2.0988449010000001</v>
      </c>
      <c r="S8">
        <v>2.24656945</v>
      </c>
      <c r="T8">
        <v>2.1531435459999999</v>
      </c>
      <c r="U8">
        <v>2.0661384780000001</v>
      </c>
      <c r="V8">
        <v>1.9536206490000001</v>
      </c>
      <c r="W8">
        <v>2.2713170649999999</v>
      </c>
      <c r="X8">
        <v>2.5467012819999999</v>
      </c>
      <c r="Y8">
        <v>2.4902396979999999</v>
      </c>
      <c r="Z8">
        <v>2.4282989860000002</v>
      </c>
      <c r="AA8">
        <v>2.364992467</v>
      </c>
      <c r="AB8">
        <v>2.0522439129999999</v>
      </c>
      <c r="AC8">
        <v>1.7521535260000001</v>
      </c>
      <c r="AD8">
        <v>1.6233546969999999</v>
      </c>
      <c r="AE8">
        <v>1.4948558919999999</v>
      </c>
      <c r="AF8">
        <v>1.3671686830000001</v>
      </c>
      <c r="AG8">
        <v>1.2390062559999999</v>
      </c>
      <c r="AH8">
        <v>1.113170448</v>
      </c>
      <c r="AI8">
        <v>0.87656280730000002</v>
      </c>
      <c r="AJ8">
        <v>0.64369275820000005</v>
      </c>
      <c r="AK8">
        <v>0.4158167083</v>
      </c>
      <c r="AL8">
        <v>0.2555673034</v>
      </c>
      <c r="AM8">
        <v>9.7979281099999996E-2</v>
      </c>
      <c r="AN8">
        <v>9.7129304499999999E-2</v>
      </c>
      <c r="AO8">
        <v>9.6332090800000006E-2</v>
      </c>
      <c r="AP8">
        <v>9.54819685E-2</v>
      </c>
      <c r="AQ8">
        <v>9.4628660399999995E-2</v>
      </c>
      <c r="AR8">
        <v>9.3777390000000002E-2</v>
      </c>
      <c r="AS8">
        <v>9.2970685299999994E-2</v>
      </c>
      <c r="AT8">
        <v>9.2221883000000004E-2</v>
      </c>
      <c r="AU8">
        <v>9.1409497699999995E-2</v>
      </c>
      <c r="AV8">
        <v>9.0626082999999996E-2</v>
      </c>
      <c r="AW8">
        <v>8.9742668299999995E-2</v>
      </c>
    </row>
    <row r="9" spans="1:49" x14ac:dyDescent="0.25">
      <c r="B9" t="s">
        <v>109</v>
      </c>
      <c r="C9">
        <v>1.4643633957556199</v>
      </c>
      <c r="D9">
        <v>1.4878742237362399</v>
      </c>
      <c r="E9">
        <v>1.519908456</v>
      </c>
      <c r="F9">
        <v>1.4296758119999999</v>
      </c>
      <c r="G9">
        <v>1.33712926</v>
      </c>
      <c r="H9">
        <v>1.1354429800000001</v>
      </c>
      <c r="I9">
        <v>1.080555492</v>
      </c>
      <c r="J9">
        <v>1.025738558</v>
      </c>
      <c r="K9">
        <v>0.95213437749999996</v>
      </c>
      <c r="L9">
        <v>0.8690738469</v>
      </c>
      <c r="M9">
        <v>0.79252749739999995</v>
      </c>
      <c r="N9">
        <v>0.71184654209999998</v>
      </c>
      <c r="O9">
        <v>0.59716209149999999</v>
      </c>
      <c r="P9">
        <v>0.50690973490000002</v>
      </c>
      <c r="Q9">
        <v>0.4194813845</v>
      </c>
      <c r="R9">
        <v>0.3153674051</v>
      </c>
      <c r="S9">
        <v>0.20925709340000001</v>
      </c>
      <c r="T9">
        <v>0.2004354361</v>
      </c>
      <c r="U9">
        <v>0.1922091813</v>
      </c>
      <c r="V9">
        <v>0.18160814410000001</v>
      </c>
      <c r="W9">
        <v>0.1182615134</v>
      </c>
      <c r="X9">
        <v>5.4116783299999999E-2</v>
      </c>
      <c r="Y9">
        <v>4.11561898E-2</v>
      </c>
      <c r="Z9">
        <v>2.8665046100000001E-2</v>
      </c>
      <c r="AA9">
        <v>1.67500462E-2</v>
      </c>
      <c r="AB9">
        <v>1.63628431E-2</v>
      </c>
      <c r="AC9">
        <v>1.59796899E-2</v>
      </c>
      <c r="AD9">
        <v>1.3287121000000001E-2</v>
      </c>
      <c r="AE9">
        <v>1.06044881E-2</v>
      </c>
      <c r="AF9">
        <v>7.93573048E-3</v>
      </c>
      <c r="AG9">
        <v>7.79918503E-3</v>
      </c>
      <c r="AH9">
        <v>7.6534449800000001E-3</v>
      </c>
      <c r="AI9">
        <v>7.5770123199999997E-3</v>
      </c>
      <c r="AJ9">
        <v>7.49113378E-3</v>
      </c>
      <c r="AK9">
        <v>7.4031638999999998E-3</v>
      </c>
      <c r="AL9">
        <v>7.33949818E-3</v>
      </c>
      <c r="AM9">
        <v>7.2716234299999996E-3</v>
      </c>
      <c r="AN9">
        <v>7.2069709499999997E-3</v>
      </c>
      <c r="AO9">
        <v>7.1462607700000002E-3</v>
      </c>
      <c r="AP9">
        <v>7.0816529399999996E-3</v>
      </c>
      <c r="AQ9">
        <v>7.0168370199999996E-3</v>
      </c>
      <c r="AR9">
        <v>6.9522003899999997E-3</v>
      </c>
      <c r="AS9">
        <v>6.89292332E-3</v>
      </c>
      <c r="AT9">
        <v>6.8379304299999999E-3</v>
      </c>
      <c r="AU9">
        <v>6.77821429E-3</v>
      </c>
      <c r="AV9">
        <v>6.7206373999999999E-3</v>
      </c>
      <c r="AW9">
        <v>6.6556353199999996E-3</v>
      </c>
    </row>
    <row r="10" spans="1:49" x14ac:dyDescent="0.25">
      <c r="B10" t="s">
        <v>110</v>
      </c>
      <c r="C10">
        <v>0.29584764130791702</v>
      </c>
      <c r="D10" s="39">
        <v>0.300597570883747</v>
      </c>
      <c r="E10" s="39">
        <v>0.30706949729999999</v>
      </c>
      <c r="F10">
        <v>0.65119868979999995</v>
      </c>
      <c r="G10">
        <v>0.97798850140000004</v>
      </c>
      <c r="H10">
        <v>1.1677773869999999</v>
      </c>
      <c r="I10">
        <v>1.451936229</v>
      </c>
      <c r="J10">
        <v>1.7145894669999999</v>
      </c>
      <c r="K10">
        <v>1.9070470429999999</v>
      </c>
      <c r="L10">
        <v>2.0190246570000001</v>
      </c>
      <c r="M10">
        <v>2.068481776</v>
      </c>
      <c r="N10">
        <v>2.0141671090000002</v>
      </c>
      <c r="O10">
        <v>2.1466542309999999</v>
      </c>
      <c r="P10">
        <v>2.3679593470000002</v>
      </c>
      <c r="Q10">
        <v>2.6418196040000002</v>
      </c>
      <c r="R10">
        <v>2.850873746</v>
      </c>
      <c r="S10">
        <v>3.0644041519999998</v>
      </c>
      <c r="T10">
        <v>3.2296504580000001</v>
      </c>
      <c r="U10">
        <v>3.4101885840000001</v>
      </c>
      <c r="V10">
        <v>3.5519872860000001</v>
      </c>
      <c r="W10">
        <v>3.8910415629999999</v>
      </c>
      <c r="X10">
        <v>4.1612187110000001</v>
      </c>
      <c r="Y10">
        <v>4.3480409179999997</v>
      </c>
      <c r="Z10">
        <v>4.5120077629999997</v>
      </c>
      <c r="AA10">
        <v>4.6593825889999998</v>
      </c>
      <c r="AB10">
        <v>4.847357691</v>
      </c>
      <c r="AC10">
        <v>5.0226118700000004</v>
      </c>
      <c r="AD10">
        <v>5.6704294339999999</v>
      </c>
      <c r="AE10">
        <v>6.3142831959999999</v>
      </c>
      <c r="AF10">
        <v>6.9561260279999999</v>
      </c>
      <c r="AG10">
        <v>7.4542921780000002</v>
      </c>
      <c r="AH10">
        <v>7.9213075039999996</v>
      </c>
      <c r="AI10">
        <v>8.3363887059999904</v>
      </c>
      <c r="AJ10">
        <v>8.730491078</v>
      </c>
      <c r="AK10">
        <v>9.1108173449999903</v>
      </c>
      <c r="AL10">
        <v>9.4835652419999903</v>
      </c>
      <c r="AM10">
        <v>9.8427898240000005</v>
      </c>
      <c r="AN10">
        <v>10.278294369999999</v>
      </c>
      <c r="AO10">
        <v>10.710323580000001</v>
      </c>
      <c r="AP10">
        <v>11.12741679</v>
      </c>
      <c r="AQ10">
        <v>11.534790599999999</v>
      </c>
      <c r="AR10">
        <v>11.93306465</v>
      </c>
      <c r="AS10">
        <v>12.36617274</v>
      </c>
      <c r="AT10">
        <v>12.79810009</v>
      </c>
      <c r="AU10">
        <v>13.21228644</v>
      </c>
      <c r="AV10">
        <v>13.62154136</v>
      </c>
      <c r="AW10">
        <v>14.006235269999999</v>
      </c>
    </row>
    <row r="11" spans="1:49" x14ac:dyDescent="0.25">
      <c r="B11" t="s">
        <v>111</v>
      </c>
      <c r="C11">
        <v>6.65657192942814E-2</v>
      </c>
      <c r="D11" s="39">
        <v>6.7634453448843099E-2</v>
      </c>
      <c r="E11" s="39">
        <v>6.9090636900000002E-2</v>
      </c>
      <c r="F11" s="39">
        <v>9.3895655199999997E-2</v>
      </c>
      <c r="G11" s="39">
        <v>0.12687833809999999</v>
      </c>
      <c r="H11" s="39">
        <v>0.15566306620000001</v>
      </c>
      <c r="I11">
        <v>0.21402942680000001</v>
      </c>
      <c r="J11">
        <v>0.29354132929999999</v>
      </c>
      <c r="K11">
        <v>0.3936742272</v>
      </c>
      <c r="L11">
        <v>0.51916042669999996</v>
      </c>
      <c r="M11">
        <v>0.68401464670000001</v>
      </c>
      <c r="N11">
        <v>0.8876537739</v>
      </c>
      <c r="O11">
        <v>0.94604152809999997</v>
      </c>
      <c r="P11">
        <v>1.0435718279999999</v>
      </c>
      <c r="Q11">
        <v>1.164263447</v>
      </c>
      <c r="R11">
        <v>1.2563946800000001</v>
      </c>
      <c r="S11">
        <v>1.350498625</v>
      </c>
      <c r="T11">
        <v>1.4037614970000001</v>
      </c>
      <c r="U11">
        <v>1.4633268690000001</v>
      </c>
      <c r="V11">
        <v>1.506082854</v>
      </c>
      <c r="W11">
        <v>1.897135182</v>
      </c>
      <c r="X11">
        <v>2.2506353529999998</v>
      </c>
      <c r="Y11">
        <v>2.6876621630000002</v>
      </c>
      <c r="Z11">
        <v>3.0955900239999998</v>
      </c>
      <c r="AA11">
        <v>3.477255537</v>
      </c>
      <c r="AB11">
        <v>3.891217213</v>
      </c>
      <c r="AC11">
        <v>4.2828684829999997</v>
      </c>
      <c r="AD11">
        <v>4.5198647330000004</v>
      </c>
      <c r="AE11">
        <v>4.7549769929999997</v>
      </c>
      <c r="AF11">
        <v>4.9897196529999999</v>
      </c>
      <c r="AG11">
        <v>5.1561336539999996</v>
      </c>
      <c r="AH11">
        <v>5.3073383090000004</v>
      </c>
      <c r="AI11">
        <v>5.5515168910000003</v>
      </c>
      <c r="AJ11">
        <v>5.7824086030000004</v>
      </c>
      <c r="AK11">
        <v>6.0048674210000001</v>
      </c>
      <c r="AL11">
        <v>6.2240863040000001</v>
      </c>
      <c r="AM11">
        <v>6.4348814059999997</v>
      </c>
      <c r="AN11">
        <v>6.6950167650000001</v>
      </c>
      <c r="AO11">
        <v>6.9532942220000002</v>
      </c>
      <c r="AP11">
        <v>7.2022610809999996</v>
      </c>
      <c r="AQ11">
        <v>7.4453173169999998</v>
      </c>
      <c r="AR11">
        <v>7.682863545</v>
      </c>
      <c r="AS11">
        <v>7.943153465</v>
      </c>
      <c r="AT11">
        <v>8.2029793049999995</v>
      </c>
      <c r="AU11">
        <v>8.4517172249999994</v>
      </c>
      <c r="AV11">
        <v>8.6975786599999996</v>
      </c>
      <c r="AW11">
        <v>8.9280369680000007</v>
      </c>
    </row>
    <row r="12" spans="1:49" x14ac:dyDescent="0.25">
      <c r="B12" t="s">
        <v>112</v>
      </c>
      <c r="C12">
        <v>3.32767453113023</v>
      </c>
      <c r="D12" s="39">
        <v>3.3811014220943498</v>
      </c>
      <c r="E12">
        <v>3.4538972179999998</v>
      </c>
      <c r="F12" s="39">
        <v>3.403941101</v>
      </c>
      <c r="G12" s="39">
        <v>3.3355722220000001</v>
      </c>
      <c r="H12" s="39">
        <v>2.9676643149999999</v>
      </c>
      <c r="I12">
        <v>2.9590275519999998</v>
      </c>
      <c r="J12">
        <v>2.9430057039999999</v>
      </c>
      <c r="K12">
        <v>2.86223414</v>
      </c>
      <c r="L12">
        <v>2.7372601909999998</v>
      </c>
      <c r="M12" s="39">
        <v>2.615328393</v>
      </c>
      <c r="N12">
        <v>2.4612218279999998</v>
      </c>
      <c r="O12">
        <v>2.623115146</v>
      </c>
      <c r="P12">
        <v>2.8935400680000001</v>
      </c>
      <c r="Q12">
        <v>3.228185012</v>
      </c>
      <c r="R12">
        <v>3.4836397940000001</v>
      </c>
      <c r="S12">
        <v>3.7445643679999998</v>
      </c>
      <c r="T12">
        <v>3.9279057879999999</v>
      </c>
      <c r="U12">
        <v>4.1295183160000004</v>
      </c>
      <c r="V12">
        <v>4.2840430930000002</v>
      </c>
      <c r="W12">
        <v>3.9447795710000002</v>
      </c>
      <c r="X12">
        <v>3.5476995279999999</v>
      </c>
      <c r="Y12">
        <v>3.5230517809999999</v>
      </c>
      <c r="Z12">
        <v>3.4880808939999999</v>
      </c>
      <c r="AA12">
        <v>3.448428389</v>
      </c>
      <c r="AB12">
        <v>3.4375577000000002</v>
      </c>
      <c r="AC12">
        <v>3.4242966369999999</v>
      </c>
      <c r="AD12">
        <v>3.3145331580000001</v>
      </c>
      <c r="AE12">
        <v>3.2046827329999998</v>
      </c>
      <c r="AF12">
        <v>3.0958130399999999</v>
      </c>
      <c r="AG12">
        <v>2.9837231229999999</v>
      </c>
      <c r="AH12">
        <v>2.8702446610000001</v>
      </c>
      <c r="AI12">
        <v>2.821111986</v>
      </c>
      <c r="AJ12">
        <v>2.7689008409999998</v>
      </c>
      <c r="AK12">
        <v>2.716386317</v>
      </c>
      <c r="AL12">
        <v>2.6719328280000001</v>
      </c>
      <c r="AM12">
        <v>2.626325086</v>
      </c>
      <c r="AN12">
        <v>2.6062280809999998</v>
      </c>
      <c r="AO12">
        <v>2.5875001169999998</v>
      </c>
      <c r="AP12">
        <v>2.567304322</v>
      </c>
      <c r="AQ12">
        <v>2.546974654</v>
      </c>
      <c r="AR12">
        <v>2.52665162</v>
      </c>
      <c r="AS12">
        <v>2.514290849</v>
      </c>
      <c r="AT12">
        <v>2.5033405690000001</v>
      </c>
      <c r="AU12">
        <v>2.490508315</v>
      </c>
      <c r="AV12">
        <v>2.47830583</v>
      </c>
      <c r="AW12">
        <v>2.4632019349999998</v>
      </c>
    </row>
    <row r="13" spans="1:49" x14ac:dyDescent="0.25">
      <c r="B13" t="s">
        <v>113</v>
      </c>
      <c r="C13">
        <v>0.21556468620722</v>
      </c>
      <c r="D13" s="39">
        <v>0.21902564697065</v>
      </c>
      <c r="E13" s="39">
        <v>0.2237413134</v>
      </c>
      <c r="F13" s="39">
        <v>0.25619459010000001</v>
      </c>
      <c r="G13" s="39">
        <v>0.29168185330000002</v>
      </c>
      <c r="H13" s="39">
        <v>0.3015122637</v>
      </c>
      <c r="I13" s="39">
        <v>0.34929338440000002</v>
      </c>
      <c r="J13" s="39">
        <v>0.40363015009999997</v>
      </c>
      <c r="K13" s="39">
        <v>0.45608815949999998</v>
      </c>
      <c r="L13" s="39">
        <v>0.50676996320000001</v>
      </c>
      <c r="M13">
        <v>0.56256428589999996</v>
      </c>
      <c r="N13">
        <v>0.61510298050000001</v>
      </c>
      <c r="O13">
        <v>0.56485629420000005</v>
      </c>
      <c r="P13">
        <v>0.53782583539999995</v>
      </c>
      <c r="Q13">
        <v>0.51799951769999997</v>
      </c>
      <c r="R13">
        <v>0.48187442450000001</v>
      </c>
      <c r="S13">
        <v>0.44510665399999999</v>
      </c>
      <c r="T13">
        <v>0.46950754909999998</v>
      </c>
      <c r="U13">
        <v>0.49613849240000002</v>
      </c>
      <c r="V13">
        <v>0.5171371428</v>
      </c>
      <c r="W13">
        <v>0.62791657519999999</v>
      </c>
      <c r="X13">
        <v>0.72659496410000002</v>
      </c>
      <c r="Y13">
        <v>0.6972788378</v>
      </c>
      <c r="Z13">
        <v>0.6670574037</v>
      </c>
      <c r="AA13">
        <v>0.63712588530000003</v>
      </c>
      <c r="AB13">
        <v>0.61837297069999997</v>
      </c>
      <c r="AC13">
        <v>0.59996259330000001</v>
      </c>
      <c r="AD13">
        <v>0.63328063580000005</v>
      </c>
      <c r="AE13">
        <v>0.66633419829999996</v>
      </c>
      <c r="AF13">
        <v>0.6993354799</v>
      </c>
      <c r="AG13">
        <v>0.72013222669999999</v>
      </c>
      <c r="AH13">
        <v>0.73889174749999997</v>
      </c>
      <c r="AI13">
        <v>0.77236455969999995</v>
      </c>
      <c r="AJ13">
        <v>0.80399939450000002</v>
      </c>
      <c r="AK13">
        <v>0.83447245839999995</v>
      </c>
      <c r="AL13">
        <v>0.86053564469999999</v>
      </c>
      <c r="AM13">
        <v>0.88550960759999997</v>
      </c>
      <c r="AN13">
        <v>0.88671710209999999</v>
      </c>
      <c r="AO13">
        <v>0.88825168789999998</v>
      </c>
      <c r="AP13">
        <v>0.88914391329999998</v>
      </c>
      <c r="AQ13">
        <v>0.88984694009999998</v>
      </c>
      <c r="AR13">
        <v>0.89040959710000001</v>
      </c>
      <c r="AS13">
        <v>0.88543161829999995</v>
      </c>
      <c r="AT13">
        <v>0.88096063079999998</v>
      </c>
      <c r="AU13">
        <v>0.87583762499999995</v>
      </c>
      <c r="AV13">
        <v>0.87094655870000004</v>
      </c>
      <c r="AW13">
        <v>0.8650467557</v>
      </c>
    </row>
    <row r="14" spans="1:49" x14ac:dyDescent="0.25">
      <c r="B14" t="s">
        <v>114</v>
      </c>
      <c r="C14">
        <v>35.839918454870201</v>
      </c>
      <c r="D14" s="39">
        <v>36.415339938413297</v>
      </c>
      <c r="E14">
        <v>37.199369560000001</v>
      </c>
      <c r="F14">
        <v>38.122682330000004</v>
      </c>
      <c r="G14">
        <v>38.846062549999999</v>
      </c>
      <c r="H14">
        <v>35.939056749999999</v>
      </c>
      <c r="I14">
        <v>37.26285721</v>
      </c>
      <c r="J14">
        <v>38.538383170000003</v>
      </c>
      <c r="K14">
        <v>38.974700589999998</v>
      </c>
      <c r="L14">
        <v>38.758677929999998</v>
      </c>
      <c r="M14">
        <v>38.508299890000004</v>
      </c>
      <c r="N14">
        <v>37.683750349999997</v>
      </c>
      <c r="O14">
        <v>36.31200604</v>
      </c>
      <c r="P14">
        <v>36.436104929999999</v>
      </c>
      <c r="Q14">
        <v>37.167981930000003</v>
      </c>
      <c r="R14">
        <v>36.83562465</v>
      </c>
      <c r="S14">
        <v>36.501704770000003</v>
      </c>
      <c r="T14">
        <v>36.653256059999997</v>
      </c>
      <c r="U14">
        <v>36.946400050000001</v>
      </c>
      <c r="V14">
        <v>36.80254987</v>
      </c>
      <c r="W14">
        <v>38.048285380000003</v>
      </c>
      <c r="X14">
        <v>38.656909849999998</v>
      </c>
      <c r="Y14">
        <v>38.703597809999998</v>
      </c>
      <c r="Z14">
        <v>38.622096409999997</v>
      </c>
      <c r="AA14">
        <v>38.473360550000002</v>
      </c>
      <c r="AB14">
        <v>38.455590839999999</v>
      </c>
      <c r="AC14">
        <v>38.406304570000003</v>
      </c>
      <c r="AD14">
        <v>38.611467939999997</v>
      </c>
      <c r="AE14">
        <v>38.808843869999997</v>
      </c>
      <c r="AF14">
        <v>39.011094210000003</v>
      </c>
      <c r="AG14">
        <v>38.814896910000002</v>
      </c>
      <c r="AH14">
        <v>38.555746200000002</v>
      </c>
      <c r="AI14">
        <v>38.730676789999997</v>
      </c>
      <c r="AJ14">
        <v>38.845328309999999</v>
      </c>
      <c r="AK14">
        <v>38.936286979999998</v>
      </c>
      <c r="AL14">
        <v>39.145585400000002</v>
      </c>
      <c r="AM14">
        <v>39.322682499999999</v>
      </c>
      <c r="AN14">
        <v>39.287439059999997</v>
      </c>
      <c r="AO14">
        <v>39.268217870000001</v>
      </c>
      <c r="AP14">
        <v>39.22211282</v>
      </c>
      <c r="AQ14">
        <v>39.169209600000002</v>
      </c>
      <c r="AR14">
        <v>39.111660350000001</v>
      </c>
      <c r="AS14">
        <v>38.96921656</v>
      </c>
      <c r="AT14">
        <v>38.847826470000001</v>
      </c>
      <c r="AU14">
        <v>38.696423359999997</v>
      </c>
      <c r="AV14">
        <v>38.553982329999997</v>
      </c>
      <c r="AW14">
        <v>38.36554829</v>
      </c>
    </row>
    <row r="15" spans="1:49" x14ac:dyDescent="0.25">
      <c r="B15" t="s">
        <v>115</v>
      </c>
      <c r="C15">
        <v>36.006525643363197</v>
      </c>
      <c r="D15" s="39">
        <v>36.584622059208101</v>
      </c>
      <c r="E15" s="39">
        <v>37.372062069999998</v>
      </c>
      <c r="F15" s="39">
        <v>38.44767847</v>
      </c>
      <c r="G15" s="39">
        <v>38.18479378</v>
      </c>
      <c r="H15" s="39">
        <v>37.273332230000001</v>
      </c>
      <c r="I15" s="39">
        <v>38.902002959999997</v>
      </c>
      <c r="J15" s="39">
        <v>39.646496429999999</v>
      </c>
      <c r="K15" s="39">
        <v>38.949450280000001</v>
      </c>
      <c r="L15" s="39">
        <v>39.007224000000001</v>
      </c>
      <c r="M15">
        <v>40.022146300000003</v>
      </c>
      <c r="N15">
        <v>41.745708479999998</v>
      </c>
      <c r="O15">
        <v>43.004900550000002</v>
      </c>
      <c r="P15" s="39">
        <v>43.305060820000001</v>
      </c>
      <c r="Q15">
        <v>41.540479570000002</v>
      </c>
      <c r="R15">
        <v>40.495742159999999</v>
      </c>
      <c r="S15">
        <v>40.047686560000002</v>
      </c>
      <c r="T15">
        <v>39.797637399999999</v>
      </c>
      <c r="U15">
        <v>39.874522470000002</v>
      </c>
      <c r="V15">
        <v>40.560123689999998</v>
      </c>
      <c r="W15">
        <v>39.91607269</v>
      </c>
      <c r="X15">
        <v>39.491923440000001</v>
      </c>
      <c r="Y15">
        <v>38.817871910000001</v>
      </c>
      <c r="Z15">
        <v>38.220936600000002</v>
      </c>
      <c r="AA15">
        <v>37.561712290000003</v>
      </c>
      <c r="AB15">
        <v>36.342029910000001</v>
      </c>
      <c r="AC15">
        <v>35.138458350000001</v>
      </c>
      <c r="AD15">
        <v>34.561136820000002</v>
      </c>
      <c r="AE15">
        <v>34.033109140000001</v>
      </c>
      <c r="AF15">
        <v>33.575263270000001</v>
      </c>
      <c r="AG15">
        <v>33.059270560000002</v>
      </c>
      <c r="AH15">
        <v>32.562069459999996</v>
      </c>
      <c r="AI15">
        <v>32.199833519999999</v>
      </c>
      <c r="AJ15">
        <v>31.904390169999999</v>
      </c>
      <c r="AK15">
        <v>31.646490480000001</v>
      </c>
      <c r="AL15">
        <v>30.975913729999998</v>
      </c>
      <c r="AM15">
        <v>30.355382410000001</v>
      </c>
      <c r="AN15">
        <v>30.238975279999998</v>
      </c>
      <c r="AO15">
        <v>30.137271869999999</v>
      </c>
      <c r="AP15">
        <v>30.050958810000001</v>
      </c>
      <c r="AQ15">
        <v>30.02088826</v>
      </c>
      <c r="AR15">
        <v>30.01934704</v>
      </c>
      <c r="AS15">
        <v>29.634706340000001</v>
      </c>
      <c r="AT15">
        <v>29.27214914</v>
      </c>
      <c r="AU15">
        <v>28.90221257</v>
      </c>
      <c r="AV15">
        <v>28.55204852</v>
      </c>
      <c r="AW15">
        <v>28.20153264</v>
      </c>
    </row>
    <row r="16" spans="1:49" x14ac:dyDescent="0.25">
      <c r="B16" t="s">
        <v>116</v>
      </c>
      <c r="C16">
        <v>33.108335480742298</v>
      </c>
      <c r="D16">
        <v>33.639900516080203</v>
      </c>
      <c r="E16">
        <v>34.363958930000003</v>
      </c>
      <c r="F16">
        <v>34.292218750000004</v>
      </c>
      <c r="G16">
        <v>33.035831870000003</v>
      </c>
      <c r="H16">
        <v>31.279683639999998</v>
      </c>
      <c r="I16">
        <v>31.666891060000001</v>
      </c>
      <c r="J16">
        <v>31.304560729999999</v>
      </c>
      <c r="K16">
        <v>29.831388350000001</v>
      </c>
      <c r="L16">
        <v>28.97920796</v>
      </c>
      <c r="M16">
        <v>28.841057230000001</v>
      </c>
      <c r="N16">
        <v>29.180449060000001</v>
      </c>
      <c r="O16">
        <v>29.9302408</v>
      </c>
      <c r="P16">
        <v>30.008080490000001</v>
      </c>
      <c r="Q16">
        <v>28.659823029999998</v>
      </c>
      <c r="R16">
        <v>27.816910579999998</v>
      </c>
      <c r="S16">
        <v>27.388582719999999</v>
      </c>
      <c r="T16">
        <v>26.116604720000002</v>
      </c>
      <c r="U16">
        <v>25.037598240000001</v>
      </c>
      <c r="V16">
        <v>24.045404569999999</v>
      </c>
      <c r="W16">
        <v>22.889486260000002</v>
      </c>
      <c r="X16">
        <v>21.675295439999999</v>
      </c>
      <c r="Y16">
        <v>20.119240990000002</v>
      </c>
      <c r="Z16">
        <v>18.66987271</v>
      </c>
      <c r="AA16">
        <v>17.251833600000001</v>
      </c>
      <c r="AB16">
        <v>15.692206580000001</v>
      </c>
      <c r="AC16">
        <v>14.240925470000001</v>
      </c>
      <c r="AD16">
        <v>12.743723080000001</v>
      </c>
      <c r="AE16">
        <v>11.32576072</v>
      </c>
      <c r="AF16">
        <v>9.9880734689999997</v>
      </c>
      <c r="AG16">
        <v>9.2465010139999997</v>
      </c>
      <c r="AH16">
        <v>8.5474446180000001</v>
      </c>
      <c r="AI16">
        <v>7.6481762809999996</v>
      </c>
      <c r="AJ16">
        <v>6.8041415279999997</v>
      </c>
      <c r="AK16">
        <v>6.0028145000000004</v>
      </c>
      <c r="AL16">
        <v>6.8402986050000001</v>
      </c>
      <c r="AM16">
        <v>7.6231526179999998</v>
      </c>
      <c r="AN16">
        <v>6.680210947</v>
      </c>
      <c r="AO16">
        <v>5.7677762420000001</v>
      </c>
      <c r="AP16">
        <v>4.8837041269999997</v>
      </c>
      <c r="AQ16">
        <v>4.0324687470000002</v>
      </c>
      <c r="AR16">
        <v>3.2042629150000002</v>
      </c>
      <c r="AS16">
        <v>3.4406172009999998</v>
      </c>
      <c r="AT16">
        <v>3.6650189549999999</v>
      </c>
      <c r="AU16">
        <v>3.8737000140000002</v>
      </c>
      <c r="AV16">
        <v>4.0716434780000004</v>
      </c>
      <c r="AW16">
        <v>4.2560122299999996</v>
      </c>
    </row>
    <row r="17" spans="2:49" x14ac:dyDescent="0.25">
      <c r="B17" t="s">
        <v>117</v>
      </c>
      <c r="C17">
        <v>1.54983431156195</v>
      </c>
      <c r="D17">
        <v>1.57471740274219</v>
      </c>
      <c r="E17">
        <v>1.6086113019999999</v>
      </c>
      <c r="F17" s="39">
        <v>2.6331823440000002</v>
      </c>
      <c r="G17" s="39">
        <v>3.5221763859999999</v>
      </c>
      <c r="H17" s="39">
        <v>4.2528422130000001</v>
      </c>
      <c r="I17">
        <v>5.2049118549999998</v>
      </c>
      <c r="J17">
        <v>5.9858570440000003</v>
      </c>
      <c r="K17">
        <v>6.4344616080000003</v>
      </c>
      <c r="L17">
        <v>6.8600655250000004</v>
      </c>
      <c r="M17">
        <v>7.2928950730000004</v>
      </c>
      <c r="N17">
        <v>7.6515735879999998</v>
      </c>
      <c r="O17">
        <v>7.972881332</v>
      </c>
      <c r="P17">
        <v>8.1195077869999999</v>
      </c>
      <c r="Q17">
        <v>7.8757711019999999</v>
      </c>
      <c r="R17">
        <v>7.7624678170000001</v>
      </c>
      <c r="S17">
        <v>7.7602649560000003</v>
      </c>
      <c r="T17">
        <v>7.9157729909999999</v>
      </c>
      <c r="U17">
        <v>8.1403051840000007</v>
      </c>
      <c r="V17">
        <v>8.7073717209999995</v>
      </c>
      <c r="W17">
        <v>8.6242967650000004</v>
      </c>
      <c r="X17">
        <v>8.7965743249999999</v>
      </c>
      <c r="Y17">
        <v>8.7359578219999996</v>
      </c>
      <c r="Z17">
        <v>8.6936005089999995</v>
      </c>
      <c r="AA17">
        <v>8.6407837740000009</v>
      </c>
      <c r="AB17">
        <v>8.5496918389999994</v>
      </c>
      <c r="AC17">
        <v>8.4591340440000007</v>
      </c>
      <c r="AD17">
        <v>8.8041876509999994</v>
      </c>
      <c r="AE17">
        <v>9.1399544939999995</v>
      </c>
      <c r="AF17">
        <v>9.4729674989999904</v>
      </c>
      <c r="AG17">
        <v>9.4081917419999996</v>
      </c>
      <c r="AH17">
        <v>9.3497584949999997</v>
      </c>
      <c r="AI17">
        <v>9.3440367949999903</v>
      </c>
      <c r="AJ17">
        <v>9.3525675449999994</v>
      </c>
      <c r="AK17">
        <v>9.3685380939999998</v>
      </c>
      <c r="AL17">
        <v>8.2667475180000007</v>
      </c>
      <c r="AM17">
        <v>7.2414022649999996</v>
      </c>
      <c r="AN17">
        <v>7.7521371559999999</v>
      </c>
      <c r="AO17">
        <v>8.2501767229999903</v>
      </c>
      <c r="AP17">
        <v>8.7369753269999997</v>
      </c>
      <c r="AQ17">
        <v>9.2225734890000002</v>
      </c>
      <c r="AR17">
        <v>9.7036500199999995</v>
      </c>
      <c r="AS17">
        <v>9.1318310230000002</v>
      </c>
      <c r="AT17">
        <v>8.5909709490000008</v>
      </c>
      <c r="AU17">
        <v>8.0739942439999997</v>
      </c>
      <c r="AV17">
        <v>7.5846835749999997</v>
      </c>
      <c r="AW17">
        <v>7.1187187549999997</v>
      </c>
    </row>
    <row r="18" spans="2:49" x14ac:dyDescent="0.25">
      <c r="B18" t="s">
        <v>118</v>
      </c>
      <c r="C18">
        <v>0.19372928894524399</v>
      </c>
      <c r="D18">
        <v>0.196839675342774</v>
      </c>
      <c r="E18">
        <v>0.20107641270000001</v>
      </c>
      <c r="F18">
        <v>0.1940222311</v>
      </c>
      <c r="G18">
        <v>0.18073369510000001</v>
      </c>
      <c r="H18">
        <v>0.16546807099999999</v>
      </c>
      <c r="I18">
        <v>0.16197770889999999</v>
      </c>
      <c r="J18">
        <v>0.1548301054</v>
      </c>
      <c r="K18">
        <v>0.14266558870000001</v>
      </c>
      <c r="L18">
        <v>0.1340078532</v>
      </c>
      <c r="M18">
        <v>0.1289593651</v>
      </c>
      <c r="N18">
        <v>0.126162897</v>
      </c>
      <c r="O18">
        <v>0.1968463976</v>
      </c>
      <c r="P18">
        <v>0.26544411070000001</v>
      </c>
      <c r="Q18">
        <v>0.31899669580000001</v>
      </c>
      <c r="R18">
        <v>0.37361138500000002</v>
      </c>
      <c r="S18">
        <v>0.43131102980000002</v>
      </c>
      <c r="T18">
        <v>0.66939360349999999</v>
      </c>
      <c r="U18">
        <v>0.91769333620000004</v>
      </c>
      <c r="V18">
        <v>1.2027047749999999</v>
      </c>
      <c r="W18">
        <v>1.1846809949999999</v>
      </c>
      <c r="X18">
        <v>1.1954554529999999</v>
      </c>
      <c r="Y18">
        <v>1.531484445</v>
      </c>
      <c r="Z18">
        <v>1.8487177459999999</v>
      </c>
      <c r="AA18">
        <v>2.1418590279999998</v>
      </c>
      <c r="AB18">
        <v>2.3435204089999999</v>
      </c>
      <c r="AC18">
        <v>2.5138025000000002</v>
      </c>
      <c r="AD18">
        <v>2.6125903180000001</v>
      </c>
      <c r="AE18">
        <v>2.7080523510000001</v>
      </c>
      <c r="AF18">
        <v>2.8027490140000002</v>
      </c>
      <c r="AG18">
        <v>2.8205724129999998</v>
      </c>
      <c r="AH18">
        <v>2.8352758300000001</v>
      </c>
      <c r="AI18">
        <v>3.0683571939999998</v>
      </c>
      <c r="AJ18">
        <v>3.2949404090000001</v>
      </c>
      <c r="AK18">
        <v>3.513787695</v>
      </c>
      <c r="AL18">
        <v>3.4682146669999998</v>
      </c>
      <c r="AM18">
        <v>3.4259734449999999</v>
      </c>
      <c r="AN18">
        <v>3.480626129</v>
      </c>
      <c r="AO18">
        <v>3.5350369119999998</v>
      </c>
      <c r="AP18">
        <v>3.5894716830000002</v>
      </c>
      <c r="AQ18">
        <v>3.6496565730000001</v>
      </c>
      <c r="AR18">
        <v>3.7123199570000001</v>
      </c>
      <c r="AS18" s="39">
        <v>3.866740284</v>
      </c>
      <c r="AT18">
        <v>4.0135133920000001</v>
      </c>
      <c r="AU18">
        <v>4.1486220239999998</v>
      </c>
      <c r="AV18">
        <v>4.2768514260000003</v>
      </c>
      <c r="AW18">
        <v>4.3952708139999999</v>
      </c>
    </row>
    <row r="19" spans="2:49" x14ac:dyDescent="0.25">
      <c r="B19" t="s">
        <v>119</v>
      </c>
      <c r="C19">
        <v>0.57343869527792402</v>
      </c>
      <c r="D19" s="39">
        <v>0.58264543901461296</v>
      </c>
      <c r="E19" s="39">
        <v>0.59518618160000003</v>
      </c>
      <c r="F19">
        <v>0.59346973260000002</v>
      </c>
      <c r="G19">
        <v>0.57127020949999996</v>
      </c>
      <c r="H19">
        <v>0.54047053540000001</v>
      </c>
      <c r="I19">
        <v>0.5467243785</v>
      </c>
      <c r="J19">
        <v>0.54003756000000003</v>
      </c>
      <c r="K19">
        <v>0.51421312669999997</v>
      </c>
      <c r="L19">
        <v>0.49912525530000001</v>
      </c>
      <c r="M19">
        <v>0.49634945679999998</v>
      </c>
      <c r="N19">
        <v>0.50178963529999998</v>
      </c>
      <c r="O19">
        <v>0.73632795910000004</v>
      </c>
      <c r="P19">
        <v>0.96200434609999996</v>
      </c>
      <c r="Q19">
        <v>1.1339758200000001</v>
      </c>
      <c r="R19">
        <v>1.3109472900000001</v>
      </c>
      <c r="S19">
        <v>1.499295687</v>
      </c>
      <c r="T19">
        <v>1.5519939659999999</v>
      </c>
      <c r="U19">
        <v>1.61865784</v>
      </c>
      <c r="V19">
        <v>1.7182861899999999</v>
      </c>
      <c r="W19">
        <v>1.3686454649999999</v>
      </c>
      <c r="X19">
        <v>1.104816483</v>
      </c>
      <c r="Y19">
        <v>1.1752521279999999</v>
      </c>
      <c r="Z19">
        <v>1.242820198</v>
      </c>
      <c r="AA19">
        <v>1.303460469</v>
      </c>
      <c r="AB19">
        <v>1.369550625</v>
      </c>
      <c r="AC19">
        <v>1.424097054</v>
      </c>
      <c r="AD19">
        <v>1.453628723</v>
      </c>
      <c r="AE19">
        <v>1.482665621</v>
      </c>
      <c r="AF19">
        <v>1.512373806</v>
      </c>
      <c r="AG19">
        <v>1.4790484829999999</v>
      </c>
      <c r="AH19">
        <v>1.4474439020000001</v>
      </c>
      <c r="AI19">
        <v>1.398850629</v>
      </c>
      <c r="AJ19">
        <v>1.354732332</v>
      </c>
      <c r="AK19">
        <v>1.3136469340000001</v>
      </c>
      <c r="AL19">
        <v>1.149691427</v>
      </c>
      <c r="AM19">
        <v>0.99677869959999998</v>
      </c>
      <c r="AN19">
        <v>1.02167108</v>
      </c>
      <c r="AO19">
        <v>1.046185766</v>
      </c>
      <c r="AP19">
        <v>1.070414773</v>
      </c>
      <c r="AQ19">
        <v>1.0957423850000001</v>
      </c>
      <c r="AR19">
        <v>1.1214199949999999</v>
      </c>
      <c r="AS19">
        <v>1.036542552</v>
      </c>
      <c r="AT19">
        <v>0.95609757090000003</v>
      </c>
      <c r="AU19">
        <v>0.87908504170000001</v>
      </c>
      <c r="AV19">
        <v>0.80605468999999996</v>
      </c>
      <c r="AW19">
        <v>0.73638686679999998</v>
      </c>
    </row>
    <row r="20" spans="2:49" x14ac:dyDescent="0.25">
      <c r="B20" t="s">
        <v>120</v>
      </c>
      <c r="C20">
        <v>0.19372928894524399</v>
      </c>
      <c r="D20" s="39">
        <v>0.196839675342774</v>
      </c>
      <c r="E20">
        <v>0.20107641270000001</v>
      </c>
      <c r="F20" s="39">
        <v>0.20631517120000001</v>
      </c>
      <c r="G20">
        <v>0.20436121130000001</v>
      </c>
      <c r="H20" s="39">
        <v>0.1989542473</v>
      </c>
      <c r="I20" s="39">
        <v>0.20709705959999999</v>
      </c>
      <c r="J20" s="39">
        <v>0.2105008048</v>
      </c>
      <c r="K20" s="39">
        <v>0.20625156589999999</v>
      </c>
      <c r="L20" s="39">
        <v>0.20600982910000001</v>
      </c>
      <c r="M20">
        <v>0.2108095341</v>
      </c>
      <c r="N20">
        <v>0.21930507660000001</v>
      </c>
      <c r="O20">
        <v>0.26164784009999997</v>
      </c>
      <c r="P20">
        <v>0.29938656460000002</v>
      </c>
      <c r="Q20">
        <v>0.32157457</v>
      </c>
      <c r="R20">
        <v>0.34694937219999999</v>
      </c>
      <c r="S20">
        <v>0.37614345840000002</v>
      </c>
      <c r="T20">
        <v>0.44529717499999999</v>
      </c>
      <c r="U20">
        <v>0.5195101016</v>
      </c>
      <c r="V20">
        <v>0.62622009229999998</v>
      </c>
      <c r="W20">
        <v>0.74746721009999995</v>
      </c>
      <c r="X20">
        <v>0.8762405928</v>
      </c>
      <c r="Y20">
        <v>0.95881707540000005</v>
      </c>
      <c r="Z20">
        <v>1.0378068789999999</v>
      </c>
      <c r="AA20">
        <v>1.1100196470000001</v>
      </c>
      <c r="AB20">
        <v>1.1662235569999999</v>
      </c>
      <c r="AC20">
        <v>1.213385924</v>
      </c>
      <c r="AD20">
        <v>1.347051574</v>
      </c>
      <c r="AE20">
        <v>1.4751320050000001</v>
      </c>
      <c r="AF20">
        <v>1.5993223729999999</v>
      </c>
      <c r="AG20">
        <v>1.664549641</v>
      </c>
      <c r="AH20">
        <v>1.724628694</v>
      </c>
      <c r="AI20">
        <v>1.7749475450000001</v>
      </c>
      <c r="AJ20">
        <v>1.8255525640000001</v>
      </c>
      <c r="AK20">
        <v>1.8752918709999999</v>
      </c>
      <c r="AL20">
        <v>1.7604054440000001</v>
      </c>
      <c r="AM20">
        <v>1.6534336039999999</v>
      </c>
      <c r="AN20">
        <v>1.7061357180000001</v>
      </c>
      <c r="AO20">
        <v>1.7579105770000001</v>
      </c>
      <c r="AP20">
        <v>1.8089461449999999</v>
      </c>
      <c r="AQ20">
        <v>1.8618769690000001</v>
      </c>
      <c r="AR20">
        <v>1.9153591510000001</v>
      </c>
      <c r="AS20">
        <v>1.863293442</v>
      </c>
      <c r="AT20">
        <v>1.814031779</v>
      </c>
      <c r="AU20">
        <v>1.7657077459999999</v>
      </c>
      <c r="AV20">
        <v>1.7199016030000001</v>
      </c>
      <c r="AW20">
        <v>1.6753616849999999</v>
      </c>
    </row>
    <row r="21" spans="2:49" x14ac:dyDescent="0.25">
      <c r="B21" t="s">
        <v>121</v>
      </c>
      <c r="C21">
        <v>0.38745857789048899</v>
      </c>
      <c r="D21" s="39">
        <v>0.39367935068554899</v>
      </c>
      <c r="E21" s="39">
        <v>0.40215282540000002</v>
      </c>
      <c r="F21" s="39">
        <v>0.528470247</v>
      </c>
      <c r="G21" s="39">
        <v>0.67042040849999995</v>
      </c>
      <c r="H21">
        <v>0.83591352890000004</v>
      </c>
      <c r="I21">
        <v>1.114400898</v>
      </c>
      <c r="J21">
        <v>1.4507101929999999</v>
      </c>
      <c r="K21" s="39">
        <v>1.820470045</v>
      </c>
      <c r="L21" s="39">
        <v>2.3288075789999998</v>
      </c>
      <c r="M21">
        <v>3.0520756489999998</v>
      </c>
      <c r="N21">
        <v>4.0664282299999996</v>
      </c>
      <c r="O21">
        <v>3.9069562269999998</v>
      </c>
      <c r="P21">
        <v>3.650637519</v>
      </c>
      <c r="Q21">
        <v>3.2303383480000001</v>
      </c>
      <c r="R21">
        <v>2.884855714</v>
      </c>
      <c r="S21">
        <v>2.5920887079999999</v>
      </c>
      <c r="T21">
        <v>3.0985749440000001</v>
      </c>
      <c r="U21">
        <v>3.6407577670000002</v>
      </c>
      <c r="V21">
        <v>4.2601363450000003</v>
      </c>
      <c r="W21">
        <v>5.1014959949999996</v>
      </c>
      <c r="X21">
        <v>5.8435411479999999</v>
      </c>
      <c r="Y21">
        <v>6.2971194539999997</v>
      </c>
      <c r="Z21">
        <v>6.7281185490000004</v>
      </c>
      <c r="AA21">
        <v>7.1137557720000002</v>
      </c>
      <c r="AB21">
        <v>7.2208369030000004</v>
      </c>
      <c r="AC21">
        <v>7.2871133549999998</v>
      </c>
      <c r="AD21">
        <v>7.5999554680000001</v>
      </c>
      <c r="AE21">
        <v>7.9015439430000001</v>
      </c>
      <c r="AF21">
        <v>8.1997771050000008</v>
      </c>
      <c r="AG21">
        <v>8.4404072689999996</v>
      </c>
      <c r="AH21">
        <v>8.657517919</v>
      </c>
      <c r="AI21">
        <v>8.9654650809999996</v>
      </c>
      <c r="AJ21">
        <v>9.2724557930000007</v>
      </c>
      <c r="AK21">
        <v>9.5724113890000009</v>
      </c>
      <c r="AL21">
        <v>9.4905560639999997</v>
      </c>
      <c r="AM21">
        <v>9.4146417769999999</v>
      </c>
      <c r="AN21">
        <v>9.5981942510000007</v>
      </c>
      <c r="AO21">
        <v>9.7801856459999996</v>
      </c>
      <c r="AP21">
        <v>9.9614467540000007</v>
      </c>
      <c r="AQ21">
        <v>10.1585701</v>
      </c>
      <c r="AR21">
        <v>10.362335010000001</v>
      </c>
      <c r="AS21">
        <v>10.29568184</v>
      </c>
      <c r="AT21">
        <v>10.23251649</v>
      </c>
      <c r="AU21">
        <v>10.161103499999999</v>
      </c>
      <c r="AV21">
        <v>10.092913749999999</v>
      </c>
      <c r="AW21">
        <v>10.019782279999999</v>
      </c>
    </row>
    <row r="22" spans="2:49" x14ac:dyDescent="0.25">
      <c r="B22" t="s">
        <v>122</v>
      </c>
      <c r="C22">
        <v>5.5705789795526002</v>
      </c>
      <c r="D22" s="39">
        <v>5.6600164269241402</v>
      </c>
      <c r="E22">
        <v>5.7508898210000003</v>
      </c>
      <c r="F22">
        <v>5.8007197289999999</v>
      </c>
      <c r="G22">
        <v>4.8390968609999998</v>
      </c>
      <c r="H22">
        <v>4.2365763090000002</v>
      </c>
      <c r="I22">
        <v>4.1081357269999996</v>
      </c>
      <c r="J22">
        <v>3.9313902559999998</v>
      </c>
      <c r="K22">
        <v>3.8019329590000002</v>
      </c>
      <c r="L22">
        <v>4.0491606789999999</v>
      </c>
      <c r="M22">
        <v>4.1507438460000001</v>
      </c>
      <c r="N22">
        <v>4.218291958</v>
      </c>
      <c r="O22">
        <v>3.3034520199999999</v>
      </c>
      <c r="P22">
        <v>2.7841550329999998</v>
      </c>
      <c r="Q22">
        <v>2.4530979660000001</v>
      </c>
      <c r="R22">
        <v>2.233237028</v>
      </c>
      <c r="S22">
        <v>2.0528116330000001</v>
      </c>
      <c r="T22">
        <v>1.996005144</v>
      </c>
      <c r="U22">
        <v>1.9712402710000001</v>
      </c>
      <c r="V22">
        <v>1.6733397619999999</v>
      </c>
      <c r="W22">
        <v>1.2805146000000001</v>
      </c>
      <c r="X22">
        <v>0.9218216186</v>
      </c>
      <c r="Y22">
        <v>0.68834628470000003</v>
      </c>
      <c r="Z22">
        <v>0.52848121579999996</v>
      </c>
      <c r="AA22">
        <v>0.41613933320000002</v>
      </c>
      <c r="AB22">
        <v>0.33401765290000002</v>
      </c>
      <c r="AC22">
        <v>0.27431631870000001</v>
      </c>
      <c r="AD22">
        <v>0.2439873548</v>
      </c>
      <c r="AE22">
        <v>0.22207170409999999</v>
      </c>
      <c r="AF22">
        <v>0.20450011009999999</v>
      </c>
      <c r="AG22">
        <v>0.19014698360000001</v>
      </c>
      <c r="AH22">
        <v>0.17828128630000001</v>
      </c>
      <c r="AI22">
        <v>0.16823908579999999</v>
      </c>
      <c r="AJ22">
        <v>0.15989968700000001</v>
      </c>
      <c r="AK22">
        <v>0.15279628610000001</v>
      </c>
      <c r="AL22">
        <v>0.14655162999999999</v>
      </c>
      <c r="AM22">
        <v>0.14131942789999999</v>
      </c>
      <c r="AN22">
        <v>0.13579971869999999</v>
      </c>
      <c r="AO22">
        <v>0.13076115250000001</v>
      </c>
      <c r="AP22">
        <v>0.12599890059999999</v>
      </c>
      <c r="AQ22">
        <v>0.1217831237</v>
      </c>
      <c r="AR22">
        <v>0.1178376734</v>
      </c>
      <c r="AS22">
        <v>0.1145124629</v>
      </c>
      <c r="AT22">
        <v>0.1116279536</v>
      </c>
      <c r="AU22">
        <v>0.1088811521</v>
      </c>
      <c r="AV22">
        <v>0.10636314130000001</v>
      </c>
      <c r="AW22">
        <v>0.1039220793</v>
      </c>
    </row>
    <row r="23" spans="2:49" x14ac:dyDescent="0.25">
      <c r="B23" t="s">
        <v>123</v>
      </c>
      <c r="C23">
        <v>155.572754408756</v>
      </c>
      <c r="D23" s="39">
        <v>158.07052530222199</v>
      </c>
      <c r="E23" s="39">
        <v>160.993559</v>
      </c>
      <c r="F23" s="39">
        <v>164.3082704</v>
      </c>
      <c r="G23">
        <v>160.32394429999999</v>
      </c>
      <c r="H23">
        <v>153.72891290000001</v>
      </c>
      <c r="I23">
        <v>155.241772</v>
      </c>
      <c r="J23">
        <v>155.39044279999999</v>
      </c>
      <c r="K23">
        <v>153.0856795</v>
      </c>
      <c r="L23">
        <v>151.83656070000001</v>
      </c>
      <c r="M23">
        <v>152.71314459999999</v>
      </c>
      <c r="N23">
        <v>154.29041359999999</v>
      </c>
      <c r="O23">
        <v>151.84417719999999</v>
      </c>
      <c r="P23">
        <v>149.93421789999999</v>
      </c>
      <c r="Q23">
        <v>146.077966</v>
      </c>
      <c r="R23">
        <v>142.94615580000001</v>
      </c>
      <c r="S23">
        <v>140.7897778</v>
      </c>
      <c r="T23">
        <v>140.35386080000001</v>
      </c>
      <c r="U23">
        <v>140.42370940000001</v>
      </c>
      <c r="V23">
        <v>140.07361549999999</v>
      </c>
      <c r="W23">
        <v>138.33715219999999</v>
      </c>
      <c r="X23">
        <v>135.96525819999999</v>
      </c>
      <c r="Y23">
        <v>133.2317774</v>
      </c>
      <c r="Z23">
        <v>130.48244030000001</v>
      </c>
      <c r="AA23">
        <v>127.6533556</v>
      </c>
      <c r="AB23">
        <v>124.2454844</v>
      </c>
      <c r="AC23">
        <v>120.82941030000001</v>
      </c>
      <c r="AD23">
        <v>118.4316322</v>
      </c>
      <c r="AE23">
        <v>116.1270304</v>
      </c>
      <c r="AF23">
        <v>113.9282039</v>
      </c>
      <c r="AG23">
        <v>111.30991400000001</v>
      </c>
      <c r="AH23">
        <v>108.70208959999999</v>
      </c>
      <c r="AI23">
        <v>106.6034957</v>
      </c>
      <c r="AJ23">
        <v>104.60163729999999</v>
      </c>
      <c r="AK23">
        <v>102.667539</v>
      </c>
      <c r="AL23">
        <v>100.52616140000001</v>
      </c>
      <c r="AM23">
        <v>98.480228909999994</v>
      </c>
      <c r="AN23">
        <v>96.888718620000006</v>
      </c>
      <c r="AO23">
        <v>95.377056940000003</v>
      </c>
      <c r="AP23">
        <v>93.870623429999995</v>
      </c>
      <c r="AQ23">
        <v>92.501001970000004</v>
      </c>
      <c r="AR23">
        <v>91.15544156</v>
      </c>
      <c r="AS23">
        <v>89.651424610000007</v>
      </c>
      <c r="AT23">
        <v>88.248982650000002</v>
      </c>
      <c r="AU23">
        <v>86.824429649999999</v>
      </c>
      <c r="AV23">
        <v>85.479356820000007</v>
      </c>
      <c r="AW23">
        <v>84.100244599999996</v>
      </c>
    </row>
    <row r="24" spans="2:49" x14ac:dyDescent="0.25">
      <c r="B24" t="s">
        <v>124</v>
      </c>
      <c r="C24">
        <v>2.7703288319169999</v>
      </c>
      <c r="D24">
        <v>2.8148073574016701</v>
      </c>
      <c r="E24">
        <v>2.86</v>
      </c>
      <c r="F24">
        <v>2.957033939</v>
      </c>
      <c r="G24">
        <v>2.8502736419999999</v>
      </c>
      <c r="H24">
        <v>2.9697767650000002</v>
      </c>
      <c r="I24">
        <v>3.076402554</v>
      </c>
      <c r="J24">
        <v>2.9445150619999998</v>
      </c>
      <c r="K24">
        <v>2.8595451669999998</v>
      </c>
      <c r="L24">
        <v>2.7820377249999999</v>
      </c>
      <c r="M24">
        <v>2.9615900609999999</v>
      </c>
      <c r="N24">
        <v>3.1163853380000002</v>
      </c>
      <c r="O24">
        <v>3.1867388910000001</v>
      </c>
      <c r="P24">
        <v>3.2051859989999998</v>
      </c>
      <c r="Q24">
        <v>3.0071933749999999</v>
      </c>
      <c r="R24">
        <v>2.984134064</v>
      </c>
      <c r="S24">
        <v>3.0247678549999999</v>
      </c>
      <c r="T24">
        <v>3.0898540379999999</v>
      </c>
      <c r="U24">
        <v>3.162543748</v>
      </c>
      <c r="V24">
        <v>3.261867998</v>
      </c>
      <c r="W24">
        <v>3.3423756340000002</v>
      </c>
      <c r="X24">
        <v>3.4058505860000001</v>
      </c>
      <c r="Y24">
        <v>3.4481736000000001</v>
      </c>
      <c r="Z24">
        <v>3.4815533420000002</v>
      </c>
      <c r="AA24">
        <v>3.516689102</v>
      </c>
      <c r="AB24">
        <v>3.5382450759999999</v>
      </c>
      <c r="AC24">
        <v>3.5530903519999999</v>
      </c>
      <c r="AD24">
        <v>3.5705400269999998</v>
      </c>
      <c r="AE24">
        <v>3.590798629</v>
      </c>
      <c r="AF24">
        <v>3.6130076089999998</v>
      </c>
      <c r="AG24">
        <v>3.6341882330000002</v>
      </c>
      <c r="AH24">
        <v>3.6562066789999998</v>
      </c>
      <c r="AI24">
        <v>3.6882542100000002</v>
      </c>
      <c r="AJ24">
        <v>3.7231160170000002</v>
      </c>
      <c r="AK24">
        <v>3.758171457</v>
      </c>
      <c r="AL24">
        <v>3.787141342</v>
      </c>
      <c r="AM24">
        <v>3.818355145</v>
      </c>
      <c r="AN24">
        <v>3.8603734310000002</v>
      </c>
      <c r="AO24">
        <v>3.906353958</v>
      </c>
      <c r="AP24">
        <v>3.949162303</v>
      </c>
      <c r="AQ24">
        <v>3.995561097</v>
      </c>
      <c r="AR24">
        <v>4.040329356</v>
      </c>
      <c r="AS24">
        <v>4.0738549690000001</v>
      </c>
      <c r="AT24">
        <v>4.1098671969999998</v>
      </c>
      <c r="AU24">
        <v>4.1439980109999999</v>
      </c>
      <c r="AV24">
        <v>4.1829978710000004</v>
      </c>
      <c r="AW24">
        <v>4.2193159549999999</v>
      </c>
    </row>
    <row r="25" spans="2:49" x14ac:dyDescent="0.25">
      <c r="B25" t="s">
        <v>125</v>
      </c>
      <c r="C25">
        <v>46.663857241186399</v>
      </c>
      <c r="D25">
        <v>47.413060563046002</v>
      </c>
      <c r="E25">
        <v>48.17429259</v>
      </c>
      <c r="F25">
        <v>49.136866589999997</v>
      </c>
      <c r="G25">
        <v>46.588709530000003</v>
      </c>
      <c r="H25">
        <v>42.460438600000003</v>
      </c>
      <c r="I25">
        <v>42.405989560000002</v>
      </c>
      <c r="J25">
        <v>42.858289810000002</v>
      </c>
      <c r="K25">
        <v>40.820164839999997</v>
      </c>
      <c r="L25">
        <v>40.371272130000001</v>
      </c>
      <c r="M25">
        <v>40.830353440000003</v>
      </c>
      <c r="N25">
        <v>41.597887970000002</v>
      </c>
      <c r="O25">
        <v>39.288542380000003</v>
      </c>
      <c r="P25">
        <v>37.561883530000003</v>
      </c>
      <c r="Q25">
        <v>35.407800109999997</v>
      </c>
      <c r="R25">
        <v>33.833009799999999</v>
      </c>
      <c r="S25">
        <v>32.731653909999999</v>
      </c>
      <c r="T25">
        <v>32.654800719999997</v>
      </c>
      <c r="U25">
        <v>32.888385560000003</v>
      </c>
      <c r="V25">
        <v>33.47480573</v>
      </c>
      <c r="W25">
        <v>31.540002919999999</v>
      </c>
      <c r="X25">
        <v>29.553186910000001</v>
      </c>
      <c r="Y25">
        <v>28.230375509999998</v>
      </c>
      <c r="Z25">
        <v>27.29252061</v>
      </c>
      <c r="AA25">
        <v>26.572851719999999</v>
      </c>
      <c r="AB25">
        <v>25.948651550000001</v>
      </c>
      <c r="AC25">
        <v>25.489802310000002</v>
      </c>
      <c r="AD25">
        <v>25.543017030000001</v>
      </c>
      <c r="AE25">
        <v>25.713540640000002</v>
      </c>
      <c r="AF25">
        <v>25.917781590000001</v>
      </c>
      <c r="AG25">
        <v>26.116436</v>
      </c>
      <c r="AH25">
        <v>26.355411709999998</v>
      </c>
      <c r="AI25">
        <v>26.61822132</v>
      </c>
      <c r="AJ25">
        <v>26.88314312</v>
      </c>
      <c r="AK25">
        <v>27.151683009999999</v>
      </c>
      <c r="AL25">
        <v>27.390200570000001</v>
      </c>
      <c r="AM25">
        <v>27.657896650000001</v>
      </c>
      <c r="AN25">
        <v>27.949130830000001</v>
      </c>
      <c r="AO25">
        <v>28.257674380000001</v>
      </c>
      <c r="AP25">
        <v>28.549562949999999</v>
      </c>
      <c r="AQ25">
        <v>28.87622854</v>
      </c>
      <c r="AR25">
        <v>29.208179579999999</v>
      </c>
      <c r="AS25">
        <v>29.47557759</v>
      </c>
      <c r="AT25">
        <v>29.771273170000001</v>
      </c>
      <c r="AU25">
        <v>30.054190210000002</v>
      </c>
      <c r="AV25">
        <v>30.355214870000001</v>
      </c>
      <c r="AW25">
        <v>30.642742009999999</v>
      </c>
    </row>
    <row r="26" spans="2:49" x14ac:dyDescent="0.25">
      <c r="B26" t="s">
        <v>126</v>
      </c>
      <c r="C26">
        <v>39.525714811669303</v>
      </c>
      <c r="D26">
        <v>40.160312947925298</v>
      </c>
      <c r="E26">
        <v>40.805099759999997</v>
      </c>
      <c r="F26">
        <v>40.727683300000002</v>
      </c>
      <c r="G26">
        <v>40.384411780000001</v>
      </c>
      <c r="H26">
        <v>40.333404109999996</v>
      </c>
      <c r="I26">
        <v>40.428680749999998</v>
      </c>
      <c r="J26">
        <v>40.308607459999998</v>
      </c>
      <c r="K26">
        <v>39.955440899999999</v>
      </c>
      <c r="L26">
        <v>39.732906739999997</v>
      </c>
      <c r="M26">
        <v>39.67570345</v>
      </c>
      <c r="N26">
        <v>39.836287259999999</v>
      </c>
      <c r="O26">
        <v>40.217180489999997</v>
      </c>
      <c r="P26">
        <v>40.338300789999998</v>
      </c>
      <c r="Q26">
        <v>39.968097399999998</v>
      </c>
      <c r="R26">
        <v>39.587466300000003</v>
      </c>
      <c r="S26">
        <v>39.200402449999999</v>
      </c>
      <c r="T26">
        <v>38.67202674</v>
      </c>
      <c r="U26">
        <v>38.47294316</v>
      </c>
      <c r="V26">
        <v>38.424357409999999</v>
      </c>
      <c r="W26">
        <v>38.389504090000003</v>
      </c>
      <c r="X26">
        <v>38.380984210000001</v>
      </c>
      <c r="Y26">
        <v>38.210629990000001</v>
      </c>
      <c r="Z26">
        <v>37.918178009999998</v>
      </c>
      <c r="AA26">
        <v>37.557963180000002</v>
      </c>
      <c r="AB26">
        <v>37.007793270000001</v>
      </c>
      <c r="AC26">
        <v>36.406605280000001</v>
      </c>
      <c r="AD26">
        <v>35.878803830000003</v>
      </c>
      <c r="AE26">
        <v>35.359679939999999</v>
      </c>
      <c r="AF26">
        <v>34.877780020000003</v>
      </c>
      <c r="AG26">
        <v>34.40428489</v>
      </c>
      <c r="AH26">
        <v>33.95099226</v>
      </c>
      <c r="AI26">
        <v>33.564905189999998</v>
      </c>
      <c r="AJ26">
        <v>33.230285960000003</v>
      </c>
      <c r="AK26">
        <v>32.925959169999999</v>
      </c>
      <c r="AL26">
        <v>32.50504076</v>
      </c>
      <c r="AM26">
        <v>32.094620140000004</v>
      </c>
      <c r="AN26">
        <v>31.82830538</v>
      </c>
      <c r="AO26">
        <v>31.566303649999998</v>
      </c>
      <c r="AP26">
        <v>31.326033129999999</v>
      </c>
      <c r="AQ26">
        <v>31.100638270000001</v>
      </c>
      <c r="AR26">
        <v>30.882925010000001</v>
      </c>
      <c r="AS26">
        <v>30.551719590000001</v>
      </c>
      <c r="AT26">
        <v>30.223406359999998</v>
      </c>
      <c r="AU26">
        <v>29.882639659999999</v>
      </c>
      <c r="AV26">
        <v>29.535574390000001</v>
      </c>
      <c r="AW26">
        <v>29.18709196</v>
      </c>
    </row>
    <row r="27" spans="2:49" x14ac:dyDescent="0.25">
      <c r="B27" t="s">
        <v>127</v>
      </c>
      <c r="C27">
        <v>21.072806770403201</v>
      </c>
      <c r="D27">
        <v>21.411137499294501</v>
      </c>
      <c r="E27">
        <v>21.754900240000001</v>
      </c>
      <c r="F27">
        <v>22.634380920000002</v>
      </c>
      <c r="G27">
        <v>22.91518039</v>
      </c>
      <c r="H27">
        <v>21.920441790000002</v>
      </c>
      <c r="I27">
        <v>22.722752180000001</v>
      </c>
      <c r="J27">
        <v>23.31641256</v>
      </c>
      <c r="K27">
        <v>23.48869998</v>
      </c>
      <c r="L27">
        <v>23.674063950000001</v>
      </c>
      <c r="M27">
        <v>24.16822548</v>
      </c>
      <c r="N27">
        <v>24.867938509999998</v>
      </c>
      <c r="O27">
        <v>24.576354899999998</v>
      </c>
      <c r="P27">
        <v>24.21877916</v>
      </c>
      <c r="Q27">
        <v>23.532672389999998</v>
      </c>
      <c r="R27">
        <v>22.704330379999998</v>
      </c>
      <c r="S27">
        <v>21.987732869999999</v>
      </c>
      <c r="T27">
        <v>21.972204720000001</v>
      </c>
      <c r="U27">
        <v>21.924859779999998</v>
      </c>
      <c r="V27">
        <v>21.955830039999999</v>
      </c>
      <c r="W27">
        <v>23.29166373</v>
      </c>
      <c r="X27">
        <v>24.056918400000001</v>
      </c>
      <c r="Y27">
        <v>24.118252760000001</v>
      </c>
      <c r="Z27">
        <v>23.915269479999999</v>
      </c>
      <c r="AA27">
        <v>23.518380489999998</v>
      </c>
      <c r="AB27">
        <v>22.86296042</v>
      </c>
      <c r="AC27">
        <v>22.12447315</v>
      </c>
      <c r="AD27">
        <v>21.882373680000001</v>
      </c>
      <c r="AE27">
        <v>21.606712869999999</v>
      </c>
      <c r="AF27">
        <v>21.335559870000001</v>
      </c>
      <c r="AG27">
        <v>21.044115300000001</v>
      </c>
      <c r="AH27">
        <v>20.757510270000001</v>
      </c>
      <c r="AI27">
        <v>20.501085969999998</v>
      </c>
      <c r="AJ27">
        <v>20.244857369999998</v>
      </c>
      <c r="AK27">
        <v>19.991242110000002</v>
      </c>
      <c r="AL27">
        <v>19.66053041</v>
      </c>
      <c r="AM27">
        <v>19.328415249999999</v>
      </c>
      <c r="AN27">
        <v>19.090285730000002</v>
      </c>
      <c r="AO27">
        <v>18.86253804</v>
      </c>
      <c r="AP27">
        <v>18.637632660000001</v>
      </c>
      <c r="AQ27">
        <v>18.418346069999998</v>
      </c>
      <c r="AR27">
        <v>18.206072219999999</v>
      </c>
      <c r="AS27">
        <v>17.921591289999999</v>
      </c>
      <c r="AT27">
        <v>17.635687950000001</v>
      </c>
      <c r="AU27">
        <v>17.351251139999999</v>
      </c>
      <c r="AV27">
        <v>17.071925579999998</v>
      </c>
      <c r="AW27">
        <v>16.794657699999998</v>
      </c>
    </row>
    <row r="28" spans="2:49" x14ac:dyDescent="0.25">
      <c r="B28" t="s">
        <v>128</v>
      </c>
      <c r="C28">
        <v>23.690458989791001</v>
      </c>
      <c r="D28">
        <v>24.070816971768199</v>
      </c>
      <c r="E28">
        <v>24.457281720000001</v>
      </c>
      <c r="F28">
        <v>25.373950270000002</v>
      </c>
      <c r="G28">
        <v>24.957083619999999</v>
      </c>
      <c r="H28">
        <v>25.11883787</v>
      </c>
      <c r="I28">
        <v>25.229766690000002</v>
      </c>
      <c r="J28">
        <v>25.11191269</v>
      </c>
      <c r="K28">
        <v>24.888834710000001</v>
      </c>
      <c r="L28">
        <v>24.676051340000001</v>
      </c>
      <c r="M28">
        <v>24.535299989999999</v>
      </c>
      <c r="N28">
        <v>24.332237989999999</v>
      </c>
      <c r="O28">
        <v>24.222657649999999</v>
      </c>
      <c r="P28">
        <v>23.9825844</v>
      </c>
      <c r="Q28">
        <v>23.706534739999999</v>
      </c>
      <c r="R28">
        <v>23.455268490000002</v>
      </c>
      <c r="S28">
        <v>23.436057999999999</v>
      </c>
      <c r="T28">
        <v>23.316350280000002</v>
      </c>
      <c r="U28">
        <v>23.081994550000001</v>
      </c>
      <c r="V28">
        <v>22.81523786</v>
      </c>
      <c r="W28">
        <v>22.49828432</v>
      </c>
      <c r="X28">
        <v>22.130964819999999</v>
      </c>
      <c r="Y28">
        <v>21.704041490000002</v>
      </c>
      <c r="Z28">
        <v>21.221200509999999</v>
      </c>
      <c r="AA28">
        <v>20.682342500000001</v>
      </c>
      <c r="AB28">
        <v>20.076748039999998</v>
      </c>
      <c r="AC28">
        <v>19.414424950000001</v>
      </c>
      <c r="AD28">
        <v>18.81785825</v>
      </c>
      <c r="AE28">
        <v>18.201849079999999</v>
      </c>
      <c r="AF28">
        <v>17.5817832</v>
      </c>
      <c r="AG28">
        <v>16.971232109999999</v>
      </c>
      <c r="AH28">
        <v>16.3788883</v>
      </c>
      <c r="AI28">
        <v>15.79940066</v>
      </c>
      <c r="AJ28">
        <v>15.250543090000001</v>
      </c>
      <c r="AK28">
        <v>14.730111409999999</v>
      </c>
      <c r="AL28">
        <v>14.237093570000001</v>
      </c>
      <c r="AM28">
        <v>13.770415420000001</v>
      </c>
      <c r="AN28">
        <v>13.333105529999999</v>
      </c>
      <c r="AO28">
        <v>12.921912499999999</v>
      </c>
      <c r="AP28">
        <v>12.534773299999999</v>
      </c>
      <c r="AQ28">
        <v>12.17092433</v>
      </c>
      <c r="AR28">
        <v>11.790115930000001</v>
      </c>
      <c r="AS28">
        <v>11.43770058</v>
      </c>
      <c r="AT28">
        <v>11.108196209999999</v>
      </c>
      <c r="AU28">
        <v>10.799386030000001</v>
      </c>
      <c r="AV28">
        <v>10.51038385</v>
      </c>
      <c r="AW28">
        <v>10.231884669999999</v>
      </c>
    </row>
    <row r="29" spans="2:49" x14ac:dyDescent="0.25">
      <c r="B29" t="s">
        <v>129</v>
      </c>
      <c r="C29">
        <v>22.212930412666701</v>
      </c>
      <c r="D29">
        <v>22.569566195417998</v>
      </c>
      <c r="E29">
        <v>22.94198471</v>
      </c>
      <c r="F29">
        <v>23.478355400000002</v>
      </c>
      <c r="G29">
        <v>22.628285309999999</v>
      </c>
      <c r="H29">
        <v>20.926013770000001</v>
      </c>
      <c r="I29">
        <v>21.378180279999999</v>
      </c>
      <c r="J29">
        <v>20.850705250000001</v>
      </c>
      <c r="K29">
        <v>21.072993889999999</v>
      </c>
      <c r="L29">
        <v>20.600228770000001</v>
      </c>
      <c r="M29">
        <v>20.541972149999999</v>
      </c>
      <c r="N29">
        <v>20.539676490000002</v>
      </c>
      <c r="O29">
        <v>20.35270285</v>
      </c>
      <c r="P29">
        <v>20.62748401</v>
      </c>
      <c r="Q29">
        <v>20.455667980000001</v>
      </c>
      <c r="R29">
        <v>20.381946750000001</v>
      </c>
      <c r="S29">
        <v>20.40916275</v>
      </c>
      <c r="T29">
        <v>20.648624309999999</v>
      </c>
      <c r="U29">
        <v>20.8929826</v>
      </c>
      <c r="V29">
        <v>21.26626469</v>
      </c>
      <c r="W29">
        <v>21.422274460000001</v>
      </c>
      <c r="X29">
        <v>21.491962189999999</v>
      </c>
      <c r="Y29">
        <v>21.481641249999999</v>
      </c>
      <c r="Z29">
        <v>21.480847910000001</v>
      </c>
      <c r="AA29">
        <v>21.470699790000001</v>
      </c>
      <c r="AB29">
        <v>21.32258238</v>
      </c>
      <c r="AC29">
        <v>21.198112819999999</v>
      </c>
      <c r="AD29">
        <v>20.870074160000001</v>
      </c>
      <c r="AE29">
        <v>20.551042030000001</v>
      </c>
      <c r="AF29">
        <v>20.251993370000001</v>
      </c>
      <c r="AG29">
        <v>19.936705289999999</v>
      </c>
      <c r="AH29">
        <v>19.651739970000001</v>
      </c>
      <c r="AI29">
        <v>19.330390210000001</v>
      </c>
      <c r="AJ29">
        <v>19.01514263</v>
      </c>
      <c r="AK29">
        <v>18.69750037</v>
      </c>
      <c r="AL29">
        <v>18.36942758</v>
      </c>
      <c r="AM29">
        <v>18.065065300000001</v>
      </c>
      <c r="AN29">
        <v>17.903121030000001</v>
      </c>
      <c r="AO29">
        <v>17.750582680000001</v>
      </c>
      <c r="AP29">
        <v>17.56504103</v>
      </c>
      <c r="AQ29">
        <v>17.427323309999998</v>
      </c>
      <c r="AR29">
        <v>17.300686389999999</v>
      </c>
      <c r="AS29">
        <v>17.254960570000001</v>
      </c>
      <c r="AT29">
        <v>17.24995951</v>
      </c>
      <c r="AU29">
        <v>17.21846231</v>
      </c>
      <c r="AV29">
        <v>17.217140029999999</v>
      </c>
      <c r="AW29">
        <v>17.176253580000001</v>
      </c>
    </row>
    <row r="30" spans="2:49" x14ac:dyDescent="0.25">
      <c r="B30" t="s">
        <v>130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37436.741139999998</v>
      </c>
      <c r="T30">
        <v>37586.338340000002</v>
      </c>
      <c r="U30">
        <v>37630.152600000001</v>
      </c>
      <c r="V30">
        <v>37667.482739999999</v>
      </c>
      <c r="W30">
        <v>37572.667979999998</v>
      </c>
      <c r="X30">
        <v>37378.310380000003</v>
      </c>
      <c r="Y30">
        <v>37070.510370000004</v>
      </c>
      <c r="Z30">
        <v>36694.875290000004</v>
      </c>
      <c r="AA30">
        <v>36282.501830000001</v>
      </c>
      <c r="AB30">
        <v>35814.683870000001</v>
      </c>
      <c r="AC30">
        <v>35306.181170000003</v>
      </c>
      <c r="AD30">
        <v>34841.396119999998</v>
      </c>
      <c r="AE30">
        <v>34405.94947</v>
      </c>
      <c r="AF30">
        <v>33997.503149999997</v>
      </c>
      <c r="AG30">
        <v>33613.40481</v>
      </c>
      <c r="AH30">
        <v>33248.46067</v>
      </c>
      <c r="AI30">
        <v>32933.453130000002</v>
      </c>
      <c r="AJ30">
        <v>32651.707330000001</v>
      </c>
      <c r="AK30">
        <v>32388.026689999999</v>
      </c>
      <c r="AL30">
        <v>32138.093359999999</v>
      </c>
      <c r="AM30">
        <v>31899.757699999998</v>
      </c>
      <c r="AN30">
        <v>31668.10367</v>
      </c>
      <c r="AO30">
        <v>31449.069009999999</v>
      </c>
      <c r="AP30">
        <v>31238.63279</v>
      </c>
      <c r="AQ30">
        <v>31039.068429999999</v>
      </c>
      <c r="AR30">
        <v>30779.438719999998</v>
      </c>
      <c r="AS30">
        <v>30535.862679999998</v>
      </c>
      <c r="AT30">
        <v>30306.296780000001</v>
      </c>
      <c r="AU30">
        <v>30085.792890000001</v>
      </c>
      <c r="AV30">
        <v>29875.546050000001</v>
      </c>
      <c r="AW30">
        <v>29636.235280000001</v>
      </c>
    </row>
    <row r="31" spans="2:49" x14ac:dyDescent="0.25">
      <c r="B31" t="s">
        <v>131</v>
      </c>
      <c r="C31">
        <v>17.998489648965599</v>
      </c>
      <c r="D31">
        <v>18.287461222056098</v>
      </c>
      <c r="E31">
        <v>18.581072330000001</v>
      </c>
      <c r="F31">
        <v>17.559109930000002</v>
      </c>
      <c r="G31">
        <v>38.620730799999997</v>
      </c>
      <c r="H31">
        <v>60.862743590000001</v>
      </c>
      <c r="I31">
        <v>83.12146319</v>
      </c>
      <c r="J31">
        <v>114.975223</v>
      </c>
      <c r="K31">
        <v>144.85113820000001</v>
      </c>
      <c r="L31">
        <v>170.3261172</v>
      </c>
      <c r="M31">
        <v>193.79698619999999</v>
      </c>
      <c r="N31">
        <v>204.49320739999999</v>
      </c>
      <c r="O31">
        <v>211.2626861</v>
      </c>
      <c r="P31">
        <v>211.6187271</v>
      </c>
      <c r="Q31">
        <v>229.35302730000001</v>
      </c>
      <c r="R31">
        <v>251.2603727</v>
      </c>
      <c r="S31">
        <v>295.13334140000001</v>
      </c>
      <c r="T31">
        <v>331.26335330000001</v>
      </c>
      <c r="U31">
        <v>394.87221299999999</v>
      </c>
      <c r="V31">
        <v>471.36221669999998</v>
      </c>
      <c r="W31">
        <v>541.55173409999998</v>
      </c>
      <c r="X31">
        <v>604.46244509999997</v>
      </c>
      <c r="Y31">
        <v>658.38468350000005</v>
      </c>
      <c r="Z31">
        <v>702.92490699999996</v>
      </c>
      <c r="AA31">
        <v>734.0845061</v>
      </c>
      <c r="AB31">
        <v>751.08776069999999</v>
      </c>
      <c r="AC31">
        <v>753.36491039999999</v>
      </c>
      <c r="AD31">
        <v>742.80466969999998</v>
      </c>
      <c r="AE31">
        <v>721.14449249999996</v>
      </c>
      <c r="AF31">
        <v>691.70186430000001</v>
      </c>
      <c r="AG31">
        <v>657.81208530000004</v>
      </c>
      <c r="AH31">
        <v>622.15674769999998</v>
      </c>
      <c r="AI31">
        <v>586.44113789999994</v>
      </c>
      <c r="AJ31">
        <v>551.59595220000006</v>
      </c>
      <c r="AK31">
        <v>518.1220945</v>
      </c>
      <c r="AL31">
        <v>486.24948970000003</v>
      </c>
      <c r="AM31">
        <v>456.05511050000001</v>
      </c>
      <c r="AN31">
        <v>427.65326779999998</v>
      </c>
      <c r="AO31">
        <v>400.977621</v>
      </c>
      <c r="AP31">
        <v>375.94375650000001</v>
      </c>
      <c r="AQ31">
        <v>352.46136849999999</v>
      </c>
      <c r="AR31">
        <v>328.9719182</v>
      </c>
      <c r="AS31">
        <v>307.04458510000001</v>
      </c>
      <c r="AT31">
        <v>286.5770842</v>
      </c>
      <c r="AU31">
        <v>267.47304860000003</v>
      </c>
      <c r="AV31">
        <v>249.64208170000001</v>
      </c>
      <c r="AW31">
        <v>232.9995643</v>
      </c>
    </row>
    <row r="32" spans="2:49" x14ac:dyDescent="0.25">
      <c r="B32" t="s">
        <v>132</v>
      </c>
      <c r="C32">
        <v>1571.8931047778699</v>
      </c>
      <c r="D32">
        <v>1597.13035701831</v>
      </c>
      <c r="E32">
        <v>1622.772802</v>
      </c>
      <c r="F32">
        <v>1968.9124200000001</v>
      </c>
      <c r="G32">
        <v>2302.2018750000002</v>
      </c>
      <c r="H32">
        <v>2666.2268290000002</v>
      </c>
      <c r="I32">
        <v>2996.4512570000002</v>
      </c>
      <c r="J32">
        <v>3299.8530030000002</v>
      </c>
      <c r="K32">
        <v>3521.2969880000001</v>
      </c>
      <c r="L32">
        <v>3707.8583530000001</v>
      </c>
      <c r="M32">
        <v>3885.1455000000001</v>
      </c>
      <c r="N32">
        <v>4028.7592300000001</v>
      </c>
      <c r="O32">
        <v>4181.4364850000002</v>
      </c>
      <c r="P32">
        <v>4356.6698280000001</v>
      </c>
      <c r="Q32">
        <v>4537.6542900000004</v>
      </c>
      <c r="R32">
        <v>4714.7911969999996</v>
      </c>
      <c r="S32">
        <v>4882.5389779999996</v>
      </c>
      <c r="T32">
        <v>5003.1214980000004</v>
      </c>
      <c r="U32">
        <v>5120.0447629999999</v>
      </c>
      <c r="V32">
        <v>5232.5335359999999</v>
      </c>
      <c r="W32">
        <v>5306.3192440000003</v>
      </c>
      <c r="X32">
        <v>5347.1367879999998</v>
      </c>
      <c r="Y32">
        <v>5349.1033170000001</v>
      </c>
      <c r="Z32">
        <v>5312.6914150000002</v>
      </c>
      <c r="AA32">
        <v>5232.4424220000001</v>
      </c>
      <c r="AB32">
        <v>5104.2967689999996</v>
      </c>
      <c r="AC32">
        <v>4932.6086489999998</v>
      </c>
      <c r="AD32">
        <v>4729.882893</v>
      </c>
      <c r="AE32">
        <v>4503.962775</v>
      </c>
      <c r="AF32">
        <v>4265.828998</v>
      </c>
      <c r="AG32">
        <v>4025.2713119999999</v>
      </c>
      <c r="AH32">
        <v>3789.1900660000001</v>
      </c>
      <c r="AI32">
        <v>3561.7093159999999</v>
      </c>
      <c r="AJ32">
        <v>3344.6665010000002</v>
      </c>
      <c r="AK32">
        <v>3138.7837679999998</v>
      </c>
      <c r="AL32">
        <v>2944.1471660000002</v>
      </c>
      <c r="AM32">
        <v>2760.5025489999998</v>
      </c>
      <c r="AN32">
        <v>2588.1531679999998</v>
      </c>
      <c r="AO32">
        <v>2426.484739</v>
      </c>
      <c r="AP32">
        <v>2274.8749769999999</v>
      </c>
      <c r="AQ32">
        <v>2132.7180709999998</v>
      </c>
      <c r="AR32">
        <v>1990.5487430000001</v>
      </c>
      <c r="AS32">
        <v>1857.8514319999999</v>
      </c>
      <c r="AT32">
        <v>1733.9976369999999</v>
      </c>
      <c r="AU32">
        <v>1618.399273</v>
      </c>
      <c r="AV32">
        <v>1510.506725</v>
      </c>
      <c r="AW32">
        <v>1409.806636</v>
      </c>
    </row>
    <row r="33" spans="2:49" x14ac:dyDescent="0.25">
      <c r="B33" t="s">
        <v>133</v>
      </c>
      <c r="C33">
        <v>3720.5673609549599</v>
      </c>
      <c r="D33">
        <v>3780.3022733867101</v>
      </c>
      <c r="E33">
        <v>3840.9962489999998</v>
      </c>
      <c r="F33">
        <v>4321.5530790000003</v>
      </c>
      <c r="G33">
        <v>4766.600668</v>
      </c>
      <c r="H33">
        <v>5255.822999</v>
      </c>
      <c r="I33">
        <v>5698.9100390000003</v>
      </c>
      <c r="J33">
        <v>6100.5648719999999</v>
      </c>
      <c r="K33">
        <v>6380.1280740000002</v>
      </c>
      <c r="L33">
        <v>6609.1986770000003</v>
      </c>
      <c r="M33">
        <v>6825.8459160000002</v>
      </c>
      <c r="N33">
        <v>7001.0494790000002</v>
      </c>
      <c r="O33">
        <v>7193.1431190000003</v>
      </c>
      <c r="P33">
        <v>7433.6108329999997</v>
      </c>
      <c r="Q33">
        <v>7675.4185649999999</v>
      </c>
      <c r="R33">
        <v>7910.6103999999996</v>
      </c>
      <c r="S33">
        <v>8116.9928209999998</v>
      </c>
      <c r="T33">
        <v>8259.6993469999998</v>
      </c>
      <c r="U33">
        <v>8374.2368690000003</v>
      </c>
      <c r="V33">
        <v>8472.3359720000008</v>
      </c>
      <c r="W33">
        <v>8514.800459</v>
      </c>
      <c r="X33">
        <v>8511.4156199999998</v>
      </c>
      <c r="Y33">
        <v>8454.0083290000002</v>
      </c>
      <c r="Z33">
        <v>8343.44434</v>
      </c>
      <c r="AA33">
        <v>8173.6963990000004</v>
      </c>
      <c r="AB33">
        <v>7939.1646549999996</v>
      </c>
      <c r="AC33">
        <v>7646.6677440000003</v>
      </c>
      <c r="AD33">
        <v>7314.284146</v>
      </c>
      <c r="AE33">
        <v>6953.1044119999997</v>
      </c>
      <c r="AF33">
        <v>6578.2984470000001</v>
      </c>
      <c r="AG33">
        <v>6203.2354649999997</v>
      </c>
      <c r="AH33">
        <v>5837.1407259999996</v>
      </c>
      <c r="AI33">
        <v>5485.4631490000002</v>
      </c>
      <c r="AJ33">
        <v>5150.5207179999998</v>
      </c>
      <c r="AK33">
        <v>4833.1221690000002</v>
      </c>
      <c r="AL33">
        <v>4533.2322340000001</v>
      </c>
      <c r="AM33">
        <v>4250.3685960000003</v>
      </c>
      <c r="AN33">
        <v>3984.9502889999999</v>
      </c>
      <c r="AO33">
        <v>3736.0051330000001</v>
      </c>
      <c r="AP33">
        <v>3502.5614890000002</v>
      </c>
      <c r="AQ33">
        <v>3283.679549</v>
      </c>
      <c r="AR33">
        <v>3064.7819030000001</v>
      </c>
      <c r="AS33">
        <v>2860.4702189999998</v>
      </c>
      <c r="AT33">
        <v>2669.775729</v>
      </c>
      <c r="AU33">
        <v>2491.7924229999999</v>
      </c>
      <c r="AV33">
        <v>2325.6737899999998</v>
      </c>
      <c r="AW33">
        <v>2170.6292880000001</v>
      </c>
    </row>
    <row r="34" spans="2:49" x14ac:dyDescent="0.25">
      <c r="B34" t="s">
        <v>134</v>
      </c>
      <c r="C34">
        <v>5208.7853750706299</v>
      </c>
      <c r="D34">
        <v>5292.4141090967596</v>
      </c>
      <c r="E34">
        <v>5377.3855290000001</v>
      </c>
      <c r="F34">
        <v>5765.3844870000003</v>
      </c>
      <c r="G34">
        <v>6122.0794089999999</v>
      </c>
      <c r="H34">
        <v>6525.2671520000004</v>
      </c>
      <c r="I34">
        <v>6887.6287519999996</v>
      </c>
      <c r="J34">
        <v>7211.5066059999999</v>
      </c>
      <c r="K34">
        <v>7418.8585139999996</v>
      </c>
      <c r="L34">
        <v>7580.2496499999997</v>
      </c>
      <c r="M34">
        <v>7732.6756750000004</v>
      </c>
      <c r="N34">
        <v>7839.687097</v>
      </c>
      <c r="O34">
        <v>7967.2727949999999</v>
      </c>
      <c r="P34">
        <v>8152.5660390000003</v>
      </c>
      <c r="Q34">
        <v>8334.8909569999996</v>
      </c>
      <c r="R34">
        <v>8514.7065640000001</v>
      </c>
      <c r="S34">
        <v>8656.7949129999997</v>
      </c>
      <c r="T34">
        <v>8753.6995819999902</v>
      </c>
      <c r="U34">
        <v>8811.5227099999902</v>
      </c>
      <c r="V34">
        <v>8849.0966370000006</v>
      </c>
      <c r="W34">
        <v>8835.5956440000009</v>
      </c>
      <c r="X34">
        <v>8780.8999839999997</v>
      </c>
      <c r="Y34">
        <v>8677.2451540000002</v>
      </c>
      <c r="Z34">
        <v>8525.4863679999999</v>
      </c>
      <c r="AA34">
        <v>8320.7365719999998</v>
      </c>
      <c r="AB34">
        <v>8057.7286569999997</v>
      </c>
      <c r="AC34">
        <v>7743.1555429999999</v>
      </c>
      <c r="AD34">
        <v>7394.1264140000003</v>
      </c>
      <c r="AE34">
        <v>7020.9887570000001</v>
      </c>
      <c r="AF34">
        <v>6637.7257060000002</v>
      </c>
      <c r="AG34">
        <v>6256.5711920000003</v>
      </c>
      <c r="AH34">
        <v>5885.8549110000004</v>
      </c>
      <c r="AI34">
        <v>5530.4461499999998</v>
      </c>
      <c r="AJ34">
        <v>5192.3364700000002</v>
      </c>
      <c r="AK34">
        <v>4872.1415790000001</v>
      </c>
      <c r="AL34">
        <v>4569.7168069999998</v>
      </c>
      <c r="AM34">
        <v>4284.5179179999996</v>
      </c>
      <c r="AN34">
        <v>4016.937199</v>
      </c>
      <c r="AO34">
        <v>3765.9784970000001</v>
      </c>
      <c r="AP34">
        <v>3530.654192</v>
      </c>
      <c r="AQ34">
        <v>3310.0127179999999</v>
      </c>
      <c r="AR34">
        <v>3089.3574640000002</v>
      </c>
      <c r="AS34">
        <v>2883.4063599999999</v>
      </c>
      <c r="AT34">
        <v>2691.18226</v>
      </c>
      <c r="AU34">
        <v>2511.7715819999999</v>
      </c>
      <c r="AV34">
        <v>2344.3208690000001</v>
      </c>
      <c r="AW34">
        <v>2188.03316</v>
      </c>
    </row>
    <row r="35" spans="2:49" x14ac:dyDescent="0.25">
      <c r="B35" t="s">
        <v>135</v>
      </c>
      <c r="C35">
        <v>13521.9613593495</v>
      </c>
      <c r="D35">
        <v>13739.0608227762</v>
      </c>
      <c r="E35" s="39">
        <v>13959.64589</v>
      </c>
      <c r="F35" s="39">
        <v>13634.685719999999</v>
      </c>
      <c r="G35" s="39">
        <v>13313.78399</v>
      </c>
      <c r="H35" s="39">
        <v>13048.532279999999</v>
      </c>
      <c r="I35">
        <v>12787.05853</v>
      </c>
      <c r="J35">
        <v>12525.42885</v>
      </c>
      <c r="K35" s="39">
        <v>12215.678889999999</v>
      </c>
      <c r="L35" s="39">
        <v>11906.17641</v>
      </c>
      <c r="M35" s="39">
        <v>11612.97646</v>
      </c>
      <c r="N35" s="39">
        <v>11304.029839999999</v>
      </c>
      <c r="O35" s="39">
        <v>11029.55098</v>
      </c>
      <c r="P35">
        <v>10838.53025</v>
      </c>
      <c r="Q35">
        <v>10654.62514</v>
      </c>
      <c r="R35">
        <v>10477.16394</v>
      </c>
      <c r="S35">
        <v>10271.834199999999</v>
      </c>
      <c r="T35">
        <v>10068.579589999999</v>
      </c>
      <c r="U35">
        <v>9801.3543360000003</v>
      </c>
      <c r="V35">
        <v>9515.2570350000005</v>
      </c>
      <c r="W35">
        <v>9217.2731000000003</v>
      </c>
      <c r="X35">
        <v>8912.98728999999</v>
      </c>
      <c r="Y35">
        <v>8596.8743209999902</v>
      </c>
      <c r="Z35">
        <v>8268.9350539999996</v>
      </c>
      <c r="AA35">
        <v>7927.3135339999999</v>
      </c>
      <c r="AB35">
        <v>7568.8325420000001</v>
      </c>
      <c r="AC35">
        <v>7196.8651760000002</v>
      </c>
      <c r="AD35">
        <v>6819.9288850000003</v>
      </c>
      <c r="AE35">
        <v>6442.8061109999999</v>
      </c>
      <c r="AF35">
        <v>6071.9144079999996</v>
      </c>
      <c r="AG35">
        <v>5712.7145060000003</v>
      </c>
      <c r="AH35">
        <v>5368.6626960000003</v>
      </c>
      <c r="AI35">
        <v>5041.5627999999997</v>
      </c>
      <c r="AJ35">
        <v>4731.8393900000001</v>
      </c>
      <c r="AK35">
        <v>4439.2804880000003</v>
      </c>
      <c r="AL35">
        <v>4163.3407639999996</v>
      </c>
      <c r="AM35">
        <v>3903.311404</v>
      </c>
      <c r="AN35">
        <v>3659.4423160000001</v>
      </c>
      <c r="AO35">
        <v>3430.7703630000001</v>
      </c>
      <c r="AP35">
        <v>3216.3684039999998</v>
      </c>
      <c r="AQ35">
        <v>3015.355787</v>
      </c>
      <c r="AR35">
        <v>2814.337188</v>
      </c>
      <c r="AS35">
        <v>2626.7172260000002</v>
      </c>
      <c r="AT35">
        <v>2451.6039810000002</v>
      </c>
      <c r="AU35">
        <v>2288.1643220000001</v>
      </c>
      <c r="AV35">
        <v>2135.620332</v>
      </c>
      <c r="AW35">
        <v>1993.2457870000001</v>
      </c>
    </row>
    <row r="36" spans="2:49" x14ac:dyDescent="0.25">
      <c r="B36" t="s">
        <v>136</v>
      </c>
      <c r="C36">
        <v>4769.5635809194901</v>
      </c>
      <c r="D36" s="39">
        <v>4846.1404669702097</v>
      </c>
      <c r="E36">
        <v>4923.9468200000001</v>
      </c>
      <c r="F36">
        <v>4804.1526899999999</v>
      </c>
      <c r="G36">
        <v>4678.7506960000001</v>
      </c>
      <c r="H36">
        <v>4568.4285739999996</v>
      </c>
      <c r="I36">
        <v>4461.7325540000002</v>
      </c>
      <c r="J36">
        <v>4353.4935880000003</v>
      </c>
      <c r="K36">
        <v>4231.3204809999997</v>
      </c>
      <c r="L36">
        <v>4107.7763169999998</v>
      </c>
      <c r="M36">
        <v>3990.0790259999999</v>
      </c>
      <c r="N36">
        <v>3865.6200920000001</v>
      </c>
      <c r="O36">
        <v>3752.7667849999998</v>
      </c>
      <c r="P36">
        <v>3677.07953</v>
      </c>
      <c r="Q36">
        <v>3601.2795350000001</v>
      </c>
      <c r="R36">
        <v>3525.2079119999999</v>
      </c>
      <c r="S36">
        <v>3432.1797320000001</v>
      </c>
      <c r="T36">
        <v>3316.2090109999999</v>
      </c>
      <c r="U36">
        <v>3173.0040159999999</v>
      </c>
      <c r="V36">
        <v>3022.6141729999999</v>
      </c>
      <c r="W36">
        <v>2875.7847820000002</v>
      </c>
      <c r="X36">
        <v>2733.6602010000001</v>
      </c>
      <c r="Y36">
        <v>2595.1128039999999</v>
      </c>
      <c r="Z36">
        <v>2460.0586170000001</v>
      </c>
      <c r="AA36">
        <v>2328.6808639999999</v>
      </c>
      <c r="AB36">
        <v>2200.4667709999999</v>
      </c>
      <c r="AC36">
        <v>2075.830492</v>
      </c>
      <c r="AD36">
        <v>1955.6549259999999</v>
      </c>
      <c r="AE36">
        <v>1840.2748979999999</v>
      </c>
      <c r="AF36">
        <v>1730.1076619999999</v>
      </c>
      <c r="AG36">
        <v>1625.4352280000001</v>
      </c>
      <c r="AH36">
        <v>1526.3189729999999</v>
      </c>
      <c r="AI36">
        <v>1432.683618</v>
      </c>
      <c r="AJ36">
        <v>1344.340336</v>
      </c>
      <c r="AK36">
        <v>1261.0576840000001</v>
      </c>
      <c r="AL36">
        <v>1182.589381</v>
      </c>
      <c r="AM36">
        <v>1108.6872969999999</v>
      </c>
      <c r="AN36">
        <v>1039.398923</v>
      </c>
      <c r="AO36">
        <v>974.4386581</v>
      </c>
      <c r="AP36">
        <v>913.53726740000002</v>
      </c>
      <c r="AQ36">
        <v>856.44167460000006</v>
      </c>
      <c r="AR36">
        <v>799.34578069999998</v>
      </c>
      <c r="AS36">
        <v>746.05616650000002</v>
      </c>
      <c r="AT36">
        <v>696.31913889999998</v>
      </c>
      <c r="AU36">
        <v>649.89788720000001</v>
      </c>
      <c r="AV36">
        <v>606.57137299999999</v>
      </c>
      <c r="AW36">
        <v>566.133287</v>
      </c>
    </row>
    <row r="37" spans="2:49" x14ac:dyDescent="0.25">
      <c r="B37" t="s">
        <v>137</v>
      </c>
      <c r="C37">
        <v>2185.3248924602099</v>
      </c>
      <c r="D37">
        <v>2220.4109904720199</v>
      </c>
      <c r="E37">
        <v>2256.0604069999999</v>
      </c>
      <c r="F37">
        <v>2171.6029189999999</v>
      </c>
      <c r="G37">
        <v>2084.3783669999998</v>
      </c>
      <c r="H37">
        <v>2002.9366299999999</v>
      </c>
      <c r="I37">
        <v>1925.2865839999999</v>
      </c>
      <c r="J37">
        <v>1847.5530570000001</v>
      </c>
      <c r="K37">
        <v>1769.059227</v>
      </c>
      <c r="L37">
        <v>1689.955952</v>
      </c>
      <c r="M37">
        <v>1614.925714</v>
      </c>
      <c r="N37">
        <v>1545.8588070000001</v>
      </c>
      <c r="O37">
        <v>1481.03496</v>
      </c>
      <c r="P37">
        <v>1433.555247</v>
      </c>
      <c r="Q37">
        <v>1384.739885</v>
      </c>
      <c r="R37">
        <v>1334.318417</v>
      </c>
      <c r="S37">
        <v>1280.3625569999999</v>
      </c>
      <c r="T37">
        <v>1221.574897</v>
      </c>
      <c r="U37">
        <v>1153.709625</v>
      </c>
      <c r="V37">
        <v>1085.844353</v>
      </c>
      <c r="W37">
        <v>1021.971156</v>
      </c>
      <c r="X37">
        <v>961.85520540000005</v>
      </c>
      <c r="Y37">
        <v>905.05273269999998</v>
      </c>
      <c r="Z37">
        <v>851.39347969999994</v>
      </c>
      <c r="AA37">
        <v>800.71529640000006</v>
      </c>
      <c r="AB37">
        <v>752.8637847</v>
      </c>
      <c r="AC37">
        <v>707.69195760000002</v>
      </c>
      <c r="AD37">
        <v>665.05991200000005</v>
      </c>
      <c r="AE37">
        <v>624.83451409999998</v>
      </c>
      <c r="AF37">
        <v>586.88909820000003</v>
      </c>
      <c r="AG37">
        <v>551.10317759999998</v>
      </c>
      <c r="AH37">
        <v>517.36216669999999</v>
      </c>
      <c r="AI37">
        <v>485.55711550000001</v>
      </c>
      <c r="AJ37">
        <v>455.58445399999999</v>
      </c>
      <c r="AK37">
        <v>427.3457482</v>
      </c>
      <c r="AL37">
        <v>400.7474651</v>
      </c>
      <c r="AM37">
        <v>375.7007486</v>
      </c>
      <c r="AN37">
        <v>352.2194518</v>
      </c>
      <c r="AO37">
        <v>330.205736</v>
      </c>
      <c r="AP37">
        <v>309.56787750000001</v>
      </c>
      <c r="AQ37">
        <v>290.21988520000002</v>
      </c>
      <c r="AR37">
        <v>270.87189280000001</v>
      </c>
      <c r="AS37">
        <v>252.8137667</v>
      </c>
      <c r="AT37">
        <v>235.95951550000001</v>
      </c>
      <c r="AU37">
        <v>220.22888119999999</v>
      </c>
      <c r="AV37">
        <v>205.54695580000001</v>
      </c>
      <c r="AW37">
        <v>191.84382539999999</v>
      </c>
    </row>
    <row r="38" spans="2:49" x14ac:dyDescent="0.25">
      <c r="B38" t="s">
        <v>138</v>
      </c>
      <c r="C38">
        <v>6.9573204344700098E-3</v>
      </c>
      <c r="D38" s="39">
        <v>7.06902246445449E-3</v>
      </c>
      <c r="E38">
        <v>7.1825179100000001E-3</v>
      </c>
      <c r="F38">
        <v>1.11608395E-2</v>
      </c>
      <c r="G38">
        <v>2.0214159400000001E-2</v>
      </c>
      <c r="H38">
        <v>5.34920433E-2</v>
      </c>
      <c r="I38">
        <v>0.10323267210000001</v>
      </c>
      <c r="J38">
        <v>0.17496359459999999</v>
      </c>
      <c r="K38">
        <v>0.25692715820000001</v>
      </c>
      <c r="L38">
        <v>0.37052993779999999</v>
      </c>
      <c r="M38">
        <v>0.55977508060000003</v>
      </c>
      <c r="N38">
        <v>0.81291993610000002</v>
      </c>
      <c r="O38">
        <v>1.1876284589999999</v>
      </c>
      <c r="P38">
        <v>1.265221071</v>
      </c>
      <c r="Q38">
        <v>1.4844899309999999</v>
      </c>
      <c r="R38">
        <v>1.97992816</v>
      </c>
      <c r="S38">
        <v>2.9113228109999998</v>
      </c>
      <c r="T38">
        <v>4.4227776519999997</v>
      </c>
      <c r="U38">
        <v>8.6058298670000006</v>
      </c>
      <c r="V38">
        <v>15.72361858</v>
      </c>
      <c r="W38">
        <v>24.304105280000002</v>
      </c>
      <c r="X38">
        <v>34.446736829999999</v>
      </c>
      <c r="Y38">
        <v>47.097024169999997</v>
      </c>
      <c r="Z38">
        <v>64.06323347</v>
      </c>
      <c r="AA38">
        <v>87.925509730000002</v>
      </c>
      <c r="AB38">
        <v>119.62238480000001</v>
      </c>
      <c r="AC38">
        <v>159.78846350000001</v>
      </c>
      <c r="AD38">
        <v>210.1449906</v>
      </c>
      <c r="AE38">
        <v>269.6037298</v>
      </c>
      <c r="AF38">
        <v>336.27111489999999</v>
      </c>
      <c r="AG38">
        <v>408.34730450000001</v>
      </c>
      <c r="AH38">
        <v>484.18258029999998</v>
      </c>
      <c r="AI38">
        <v>564.39093070000001</v>
      </c>
      <c r="AJ38">
        <v>647.77961619999996</v>
      </c>
      <c r="AK38">
        <v>733.27242739999997</v>
      </c>
      <c r="AL38">
        <v>820.41241950000006</v>
      </c>
      <c r="AM38">
        <v>909.01398370000004</v>
      </c>
      <c r="AN38">
        <v>997.41582240000002</v>
      </c>
      <c r="AO38">
        <v>1086.009309</v>
      </c>
      <c r="AP38">
        <v>1174.611261</v>
      </c>
      <c r="AQ38">
        <v>1263.4223050000001</v>
      </c>
      <c r="AR38">
        <v>1367.9199249999999</v>
      </c>
      <c r="AS38">
        <v>1472.067098</v>
      </c>
      <c r="AT38">
        <v>1575.8757439999999</v>
      </c>
      <c r="AU38">
        <v>1679.0061089999999</v>
      </c>
      <c r="AV38">
        <v>1781.6645659999999</v>
      </c>
      <c r="AW38">
        <v>1879.786801</v>
      </c>
    </row>
    <row r="39" spans="2:49" x14ac:dyDescent="0.25">
      <c r="B39" t="s">
        <v>139</v>
      </c>
      <c r="C39">
        <v>1.59483191497851E-2</v>
      </c>
      <c r="D39">
        <v>1.6204374572364899E-2</v>
      </c>
      <c r="E39">
        <v>1.6464540999999999E-2</v>
      </c>
      <c r="F39">
        <v>2.9310735599999999E-2</v>
      </c>
      <c r="G39">
        <v>5.3932183500000001E-2</v>
      </c>
      <c r="H39">
        <v>0.107333811</v>
      </c>
      <c r="I39">
        <v>0.18394249469999999</v>
      </c>
      <c r="J39">
        <v>0.29114526410000002</v>
      </c>
      <c r="K39">
        <v>0.41600100159999998</v>
      </c>
      <c r="L39">
        <v>0.58121642699999998</v>
      </c>
      <c r="M39">
        <v>0.82671435999999998</v>
      </c>
      <c r="N39">
        <v>1.139172058</v>
      </c>
      <c r="O39">
        <v>1.5870838629999999</v>
      </c>
      <c r="P39">
        <v>1.905938296</v>
      </c>
      <c r="Q39">
        <v>2.4074915969999999</v>
      </c>
      <c r="R39">
        <v>3.2009114790000002</v>
      </c>
      <c r="S39">
        <v>4.3888415539999999</v>
      </c>
      <c r="T39">
        <v>6.0440293670000003</v>
      </c>
      <c r="U39">
        <v>9.6341928400000008</v>
      </c>
      <c r="V39">
        <v>15.334547410000001</v>
      </c>
      <c r="W39">
        <v>22.074825019999999</v>
      </c>
      <c r="X39">
        <v>29.92045263</v>
      </c>
      <c r="Y39">
        <v>39.541188380000001</v>
      </c>
      <c r="Z39">
        <v>52.29749769</v>
      </c>
      <c r="AA39">
        <v>70.066696680000007</v>
      </c>
      <c r="AB39">
        <v>93.389295959999998</v>
      </c>
      <c r="AC39">
        <v>122.56689230000001</v>
      </c>
      <c r="AD39">
        <v>158.7558841</v>
      </c>
      <c r="AE39">
        <v>200.91101399999999</v>
      </c>
      <c r="AF39">
        <v>247.50298549999999</v>
      </c>
      <c r="AG39">
        <v>297.08609560000002</v>
      </c>
      <c r="AH39">
        <v>348.38497089999998</v>
      </c>
      <c r="AI39">
        <v>401.79627779999998</v>
      </c>
      <c r="AJ39">
        <v>456.38964600000003</v>
      </c>
      <c r="AK39">
        <v>511.35669100000001</v>
      </c>
      <c r="AL39">
        <v>566.35576119999996</v>
      </c>
      <c r="AM39">
        <v>621.22299989999999</v>
      </c>
      <c r="AN39">
        <v>675.01867049999998</v>
      </c>
      <c r="AO39">
        <v>728.01022929999999</v>
      </c>
      <c r="AP39">
        <v>780.05544239999995</v>
      </c>
      <c r="AQ39">
        <v>831.2834345</v>
      </c>
      <c r="AR39">
        <v>887.73080100000004</v>
      </c>
      <c r="AS39">
        <v>942.92212949999998</v>
      </c>
      <c r="AT39">
        <v>996.83630049999999</v>
      </c>
      <c r="AU39">
        <v>1049.249945</v>
      </c>
      <c r="AV39">
        <v>1100.283993</v>
      </c>
      <c r="AW39">
        <v>1147.5173600000001</v>
      </c>
    </row>
    <row r="40" spans="2:49" x14ac:dyDescent="0.25">
      <c r="B40" t="s">
        <v>140</v>
      </c>
      <c r="C40">
        <v>6.5291776385026298E-2</v>
      </c>
      <c r="D40" s="39">
        <v>6.63400569741113E-2</v>
      </c>
      <c r="E40">
        <v>6.7405168000000001E-2</v>
      </c>
      <c r="F40">
        <v>0.1258845727</v>
      </c>
      <c r="G40">
        <v>0.23279052820000001</v>
      </c>
      <c r="H40">
        <v>0.41546575590000001</v>
      </c>
      <c r="I40">
        <v>0.67036939579999999</v>
      </c>
      <c r="J40">
        <v>1.0194786389999999</v>
      </c>
      <c r="K40">
        <v>1.431723694</v>
      </c>
      <c r="L40">
        <v>1.9588648040000001</v>
      </c>
      <c r="M40">
        <v>2.669524301</v>
      </c>
      <c r="N40">
        <v>3.5306566080000001</v>
      </c>
      <c r="O40">
        <v>4.7235981359999997</v>
      </c>
      <c r="P40">
        <v>6.2506766550000004</v>
      </c>
      <c r="Q40">
        <v>8.3015815390000007</v>
      </c>
      <c r="R40">
        <v>11.01187569</v>
      </c>
      <c r="S40">
        <v>14.394743220000001</v>
      </c>
      <c r="T40">
        <v>18.35911424</v>
      </c>
      <c r="U40">
        <v>23.941567280000001</v>
      </c>
      <c r="V40">
        <v>31.390282160000002</v>
      </c>
      <c r="W40">
        <v>39.75025728</v>
      </c>
      <c r="X40">
        <v>49.075737070000002</v>
      </c>
      <c r="Y40">
        <v>59.976351510000001</v>
      </c>
      <c r="Z40">
        <v>73.983871410000006</v>
      </c>
      <c r="AA40">
        <v>92.992884540000006</v>
      </c>
      <c r="AB40">
        <v>117.09781220000001</v>
      </c>
      <c r="AC40">
        <v>146.1268958</v>
      </c>
      <c r="AD40">
        <v>180.99303620000001</v>
      </c>
      <c r="AE40">
        <v>219.94059129999999</v>
      </c>
      <c r="AF40">
        <v>261.07382999999999</v>
      </c>
      <c r="AG40">
        <v>302.66241819999999</v>
      </c>
      <c r="AH40">
        <v>343.34722399999998</v>
      </c>
      <c r="AI40">
        <v>383.51150580000001</v>
      </c>
      <c r="AJ40">
        <v>422.20305389999999</v>
      </c>
      <c r="AK40">
        <v>458.699208</v>
      </c>
      <c r="AL40">
        <v>492.7776657</v>
      </c>
      <c r="AM40">
        <v>524.34810019999998</v>
      </c>
      <c r="AN40">
        <v>553.17428500000005</v>
      </c>
      <c r="AO40">
        <v>579.56384349999996</v>
      </c>
      <c r="AP40">
        <v>603.45570110000006</v>
      </c>
      <c r="AQ40">
        <v>625.0224058</v>
      </c>
      <c r="AR40">
        <v>641.2325098</v>
      </c>
      <c r="AS40">
        <v>655.07388900000001</v>
      </c>
      <c r="AT40">
        <v>666.56559540000001</v>
      </c>
      <c r="AU40">
        <v>675.63377820000005</v>
      </c>
      <c r="AV40">
        <v>682.41524079999999</v>
      </c>
      <c r="AW40">
        <v>685.7337139</v>
      </c>
    </row>
    <row r="41" spans="2:49" x14ac:dyDescent="0.25">
      <c r="B41" t="s">
        <v>141</v>
      </c>
      <c r="C41">
        <v>1.5338215665531501</v>
      </c>
      <c r="D41">
        <v>1.55844756793281</v>
      </c>
      <c r="E41">
        <v>1.5834689479999999</v>
      </c>
      <c r="F41">
        <v>2.9733912020000002</v>
      </c>
      <c r="G41">
        <v>5.5014945730000004</v>
      </c>
      <c r="H41">
        <v>9.6962464619999995</v>
      </c>
      <c r="I41">
        <v>15.52700834</v>
      </c>
      <c r="J41">
        <v>23.48819422</v>
      </c>
      <c r="K41">
        <v>32.907841470000001</v>
      </c>
      <c r="L41">
        <v>44.893238080000003</v>
      </c>
      <c r="M41">
        <v>60.810391750000001</v>
      </c>
      <c r="N41">
        <v>79.94205805</v>
      </c>
      <c r="O41">
        <v>106.2911302</v>
      </c>
      <c r="P41">
        <v>142.76273399999999</v>
      </c>
      <c r="Q41">
        <v>190.92864309999999</v>
      </c>
      <c r="R41">
        <v>253.1507933</v>
      </c>
      <c r="S41">
        <v>328.71256069999998</v>
      </c>
      <c r="T41">
        <v>414.57705199999998</v>
      </c>
      <c r="U41">
        <v>524.06890099999998</v>
      </c>
      <c r="V41">
        <v>663.54277750000006</v>
      </c>
      <c r="W41">
        <v>817.99985400000003</v>
      </c>
      <c r="X41">
        <v>988.49636380000004</v>
      </c>
      <c r="Y41">
        <v>1185.5571709999999</v>
      </c>
      <c r="Z41">
        <v>1437.2862660000001</v>
      </c>
      <c r="AA41">
        <v>1777.4638600000001</v>
      </c>
      <c r="AB41">
        <v>2206.1146450000001</v>
      </c>
      <c r="AC41">
        <v>2718.7925169999999</v>
      </c>
      <c r="AD41">
        <v>3331.4172170000002</v>
      </c>
      <c r="AE41">
        <v>4011.28514</v>
      </c>
      <c r="AF41">
        <v>4724.7483119999997</v>
      </c>
      <c r="AG41">
        <v>5441.7370430000001</v>
      </c>
      <c r="AH41">
        <v>6139.5487220000005</v>
      </c>
      <c r="AI41">
        <v>6826.4332860000004</v>
      </c>
      <c r="AJ41">
        <v>7487.2662579999997</v>
      </c>
      <c r="AK41">
        <v>8111.2127090000004</v>
      </c>
      <c r="AL41">
        <v>8696.1706350000004</v>
      </c>
      <c r="AM41">
        <v>9242.3111160000008</v>
      </c>
      <c r="AN41">
        <v>9746.3230390000008</v>
      </c>
      <c r="AO41">
        <v>10214.555759999999</v>
      </c>
      <c r="AP41">
        <v>10647.07352</v>
      </c>
      <c r="AQ41">
        <v>11047.788409999999</v>
      </c>
      <c r="AR41">
        <v>11399.742910000001</v>
      </c>
      <c r="AS41">
        <v>11723.621429999999</v>
      </c>
      <c r="AT41">
        <v>12020.66167</v>
      </c>
      <c r="AU41">
        <v>12290.21522</v>
      </c>
      <c r="AV41">
        <v>12535.22437</v>
      </c>
      <c r="AW41">
        <v>12734.141460000001</v>
      </c>
    </row>
    <row r="42" spans="2:49" x14ac:dyDescent="0.25">
      <c r="B42" t="s">
        <v>142</v>
      </c>
      <c r="C42">
        <v>0.60453762790594801</v>
      </c>
      <c r="D42" s="39">
        <v>0.61424367506521405</v>
      </c>
      <c r="E42">
        <v>0.62410555599999995</v>
      </c>
      <c r="F42">
        <v>1.1731824930000001</v>
      </c>
      <c r="G42">
        <v>2.1709077309999998</v>
      </c>
      <c r="H42">
        <v>3.8165157179999998</v>
      </c>
      <c r="I42">
        <v>6.1020469909999999</v>
      </c>
      <c r="J42">
        <v>9.2205912459999997</v>
      </c>
      <c r="K42">
        <v>12.91201629</v>
      </c>
      <c r="L42" s="39">
        <v>17.60387772</v>
      </c>
      <c r="M42" s="39">
        <v>23.814086589999999</v>
      </c>
      <c r="N42" s="39">
        <v>31.26453527</v>
      </c>
      <c r="O42" s="39">
        <v>41.511514890000001</v>
      </c>
      <c r="P42" s="39">
        <v>55.933833610000001</v>
      </c>
      <c r="Q42" s="39">
        <v>74.917468810000003</v>
      </c>
      <c r="R42">
        <v>99.326345149999995</v>
      </c>
      <c r="S42">
        <v>128.78951570000001</v>
      </c>
      <c r="T42">
        <v>162.02405899999999</v>
      </c>
      <c r="U42">
        <v>203.17914870000001</v>
      </c>
      <c r="V42">
        <v>254.63886110000001</v>
      </c>
      <c r="W42">
        <v>311.25365090000003</v>
      </c>
      <c r="X42">
        <v>373.39100289999999</v>
      </c>
      <c r="Y42">
        <v>444.72034359999998</v>
      </c>
      <c r="Z42">
        <v>535.4177856</v>
      </c>
      <c r="AA42">
        <v>657.50146840000002</v>
      </c>
      <c r="AB42">
        <v>810.49818960000005</v>
      </c>
      <c r="AC42">
        <v>992.33243689999995</v>
      </c>
      <c r="AD42">
        <v>1208.420959</v>
      </c>
      <c r="AE42">
        <v>1446.430024</v>
      </c>
      <c r="AF42">
        <v>1694.0753400000001</v>
      </c>
      <c r="AG42">
        <v>1940.4492090000001</v>
      </c>
      <c r="AH42">
        <v>2177.4819429999998</v>
      </c>
      <c r="AI42">
        <v>2408.1636440000002</v>
      </c>
      <c r="AJ42">
        <v>2627.1949690000001</v>
      </c>
      <c r="AK42">
        <v>2830.9114920000002</v>
      </c>
      <c r="AL42">
        <v>3018.776312</v>
      </c>
      <c r="AM42">
        <v>3191.0180500000001</v>
      </c>
      <c r="AN42">
        <v>3347.149598</v>
      </c>
      <c r="AO42">
        <v>3489.5184680000002</v>
      </c>
      <c r="AP42">
        <v>3618.2928790000001</v>
      </c>
      <c r="AQ42">
        <v>3734.95822</v>
      </c>
      <c r="AR42">
        <v>3827.5308879999998</v>
      </c>
      <c r="AS42">
        <v>3909.9847599999998</v>
      </c>
      <c r="AT42">
        <v>3982.8624370000002</v>
      </c>
      <c r="AU42">
        <v>4046.1215560000001</v>
      </c>
      <c r="AV42">
        <v>4100.8649189999996</v>
      </c>
      <c r="AW42">
        <v>4140.5378469999996</v>
      </c>
    </row>
    <row r="43" spans="2:49" x14ac:dyDescent="0.25">
      <c r="B43" t="s">
        <v>143</v>
      </c>
      <c r="C43">
        <v>8.2417488223721705E-3</v>
      </c>
      <c r="D43">
        <v>8.3740727655845504E-3</v>
      </c>
      <c r="E43">
        <v>8.5085212099999998E-3</v>
      </c>
      <c r="F43">
        <v>1.7760165200000001E-2</v>
      </c>
      <c r="G43">
        <v>3.3192372499999998E-2</v>
      </c>
      <c r="H43">
        <v>4.49124646E-2</v>
      </c>
      <c r="I43">
        <v>5.8583579900000002E-2</v>
      </c>
      <c r="J43">
        <v>7.4387176499999999E-2</v>
      </c>
      <c r="K43">
        <v>9.5272430699999897E-2</v>
      </c>
      <c r="L43">
        <v>0.11486370009999999</v>
      </c>
      <c r="M43">
        <v>0.11228000959999999</v>
      </c>
      <c r="N43">
        <v>0.14033949479999999</v>
      </c>
      <c r="O43">
        <v>0.17945293700000001</v>
      </c>
      <c r="P43">
        <v>0.43527741679999998</v>
      </c>
      <c r="Q43">
        <v>0.68650951439999996</v>
      </c>
      <c r="R43">
        <v>0.85261526170000002</v>
      </c>
      <c r="S43">
        <v>0.94435360260000001</v>
      </c>
      <c r="T43">
        <v>1.0529722829999999</v>
      </c>
      <c r="U43">
        <v>1.19657904</v>
      </c>
      <c r="V43">
        <v>1.386241021</v>
      </c>
      <c r="W43">
        <v>1.600330121</v>
      </c>
      <c r="X43">
        <v>1.840404843</v>
      </c>
      <c r="Y43">
        <v>2.122512859</v>
      </c>
      <c r="Z43">
        <v>2.489663164</v>
      </c>
      <c r="AA43">
        <v>2.99367648</v>
      </c>
      <c r="AB43">
        <v>3.6348398999999998</v>
      </c>
      <c r="AC43">
        <v>4.4066189309999997</v>
      </c>
      <c r="AD43">
        <v>5.3336225529999997</v>
      </c>
      <c r="AE43">
        <v>6.3661300389999997</v>
      </c>
      <c r="AF43">
        <v>7.4527562820000002</v>
      </c>
      <c r="AG43">
        <v>8.5475796499999994</v>
      </c>
      <c r="AH43">
        <v>9.6158595739999999</v>
      </c>
      <c r="AI43">
        <v>10.670332070000001</v>
      </c>
      <c r="AJ43">
        <v>11.68786139</v>
      </c>
      <c r="AK43">
        <v>12.651814249999999</v>
      </c>
      <c r="AL43">
        <v>13.558929279999999</v>
      </c>
      <c r="AM43">
        <v>14.40947289</v>
      </c>
      <c r="AN43">
        <v>15.19776914</v>
      </c>
      <c r="AO43">
        <v>15.933545560000001</v>
      </c>
      <c r="AP43">
        <v>16.616854880000002</v>
      </c>
      <c r="AQ43">
        <v>17.253677209999999</v>
      </c>
      <c r="AR43">
        <v>17.827802739999999</v>
      </c>
      <c r="AS43">
        <v>18.3610066</v>
      </c>
      <c r="AT43">
        <v>18.85515685</v>
      </c>
      <c r="AU43">
        <v>19.309112240000001</v>
      </c>
      <c r="AV43">
        <v>19.72736175</v>
      </c>
      <c r="AW43">
        <v>20.075590300000002</v>
      </c>
    </row>
    <row r="44" spans="2:49" x14ac:dyDescent="0.25">
      <c r="B44" t="s">
        <v>144</v>
      </c>
      <c r="C44">
        <v>0.101255771246286</v>
      </c>
      <c r="D44" s="39">
        <v>0.10288146540575301</v>
      </c>
      <c r="E44">
        <v>0.1045332606</v>
      </c>
      <c r="F44">
        <v>0.19789164649999999</v>
      </c>
      <c r="G44">
        <v>0.36644223619999999</v>
      </c>
      <c r="H44">
        <v>0.63377456529999998</v>
      </c>
      <c r="I44">
        <v>1.003081393</v>
      </c>
      <c r="J44">
        <v>1.5048327589999999</v>
      </c>
      <c r="K44">
        <v>2.1004128039999999</v>
      </c>
      <c r="L44">
        <v>2.852145256</v>
      </c>
      <c r="M44">
        <v>3.8258127540000002</v>
      </c>
      <c r="N44">
        <v>4.9799214709999999</v>
      </c>
      <c r="O44">
        <v>6.5532333439999997</v>
      </c>
      <c r="P44">
        <v>9.0202444750000002</v>
      </c>
      <c r="Q44">
        <v>12.198572070000001</v>
      </c>
      <c r="R44">
        <v>16.16257568</v>
      </c>
      <c r="S44">
        <v>20.763256139999999</v>
      </c>
      <c r="T44">
        <v>25.711065179999999</v>
      </c>
      <c r="U44">
        <v>30.78185045</v>
      </c>
      <c r="V44">
        <v>36.422492820000002</v>
      </c>
      <c r="W44">
        <v>42.388834439999997</v>
      </c>
      <c r="X44">
        <v>48.722147640000003</v>
      </c>
      <c r="Y44">
        <v>55.714437459999999</v>
      </c>
      <c r="Z44">
        <v>64.402788380000004</v>
      </c>
      <c r="AA44">
        <v>75.88813614</v>
      </c>
      <c r="AB44">
        <v>89.885766919999995</v>
      </c>
      <c r="AC44">
        <v>105.9828752</v>
      </c>
      <c r="AD44">
        <v>124.58856</v>
      </c>
      <c r="AE44">
        <v>144.29688139999999</v>
      </c>
      <c r="AF44">
        <v>163.91262589999999</v>
      </c>
      <c r="AG44">
        <v>182.43219260000001</v>
      </c>
      <c r="AH44">
        <v>199.21308490000001</v>
      </c>
      <c r="AI44">
        <v>214.6238634</v>
      </c>
      <c r="AJ44">
        <v>228.30211</v>
      </c>
      <c r="AK44">
        <v>240.06881329999999</v>
      </c>
      <c r="AL44">
        <v>250.0183255</v>
      </c>
      <c r="AM44">
        <v>258.2903546</v>
      </c>
      <c r="AN44">
        <v>265.06987220000002</v>
      </c>
      <c r="AO44">
        <v>270.6171023</v>
      </c>
      <c r="AP44">
        <v>275.01916469999998</v>
      </c>
      <c r="AQ44">
        <v>278.45092920000002</v>
      </c>
      <c r="AR44">
        <v>279.23899899999998</v>
      </c>
      <c r="AS44">
        <v>279.47261270000001</v>
      </c>
      <c r="AT44">
        <v>279.22452729999998</v>
      </c>
      <c r="AU44">
        <v>278.52974549999999</v>
      </c>
      <c r="AV44">
        <v>277.48347200000001</v>
      </c>
      <c r="AW44">
        <v>275.75096109999998</v>
      </c>
    </row>
    <row r="45" spans="2:49" x14ac:dyDescent="0.25">
      <c r="B45" t="s">
        <v>145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146</v>
      </c>
      <c r="C46">
        <v>30996.0941631817</v>
      </c>
      <c r="D46">
        <v>31493.7464809423</v>
      </c>
      <c r="E46">
        <v>31999.388770000001</v>
      </c>
      <c r="F46">
        <v>32683.850419999999</v>
      </c>
      <c r="G46">
        <v>33306.415739999997</v>
      </c>
      <c r="H46">
        <v>34128.0772</v>
      </c>
      <c r="I46">
        <v>34840.189180000001</v>
      </c>
      <c r="J46">
        <v>35453.375200000002</v>
      </c>
      <c r="K46">
        <v>35681.193310000002</v>
      </c>
      <c r="L46">
        <v>35771.54148</v>
      </c>
      <c r="M46">
        <v>35855.44528</v>
      </c>
      <c r="N46">
        <v>35789.497750000002</v>
      </c>
      <c r="O46">
        <v>35816.467810000002</v>
      </c>
      <c r="P46">
        <v>36103.630449999997</v>
      </c>
      <c r="Q46">
        <v>36417.9614</v>
      </c>
      <c r="R46">
        <v>36728.058799999999</v>
      </c>
      <c r="S46">
        <v>36935.83655</v>
      </c>
      <c r="T46">
        <v>36954.147270000001</v>
      </c>
      <c r="U46">
        <v>36828.744530000004</v>
      </c>
      <c r="V46">
        <v>36649.043919999996</v>
      </c>
      <c r="W46">
        <v>36313.296119999999</v>
      </c>
      <c r="X46">
        <v>35852.417529999999</v>
      </c>
      <c r="Y46">
        <v>35235.781340000001</v>
      </c>
      <c r="Z46">
        <v>34464.934179999997</v>
      </c>
      <c r="AA46">
        <v>33517.669589999998</v>
      </c>
      <c r="AB46">
        <v>32374.44094</v>
      </c>
      <c r="AC46">
        <v>31056.18447</v>
      </c>
      <c r="AD46">
        <v>29621.741849999999</v>
      </c>
      <c r="AE46">
        <v>28107.115959999999</v>
      </c>
      <c r="AF46">
        <v>26562.466179999999</v>
      </c>
      <c r="AG46">
        <v>25032.142970000001</v>
      </c>
      <c r="AH46">
        <v>23546.686290000001</v>
      </c>
      <c r="AI46">
        <v>22123.863290000001</v>
      </c>
      <c r="AJ46">
        <v>20770.883819999999</v>
      </c>
      <c r="AK46">
        <v>19489.85353</v>
      </c>
      <c r="AL46">
        <v>18280.02331</v>
      </c>
      <c r="AM46" s="39">
        <v>17139.143619999999</v>
      </c>
      <c r="AN46" s="39">
        <v>16068.75461</v>
      </c>
      <c r="AO46" s="39">
        <v>15064.86075</v>
      </c>
      <c r="AP46" s="39">
        <v>14123.507960000001</v>
      </c>
      <c r="AQ46" s="39">
        <v>13240.88905</v>
      </c>
      <c r="AR46" s="39">
        <v>12358.214889999999</v>
      </c>
      <c r="AS46" s="39">
        <v>11534.35975</v>
      </c>
      <c r="AT46" s="39">
        <v>10765.41534</v>
      </c>
      <c r="AU46" s="39">
        <v>10047.727419999999</v>
      </c>
      <c r="AV46" s="39">
        <v>9377.8821270000008</v>
      </c>
      <c r="AW46" s="39">
        <v>8752.6915480000007</v>
      </c>
    </row>
    <row r="47" spans="2:49" x14ac:dyDescent="0.25">
      <c r="B47" t="s">
        <v>147</v>
      </c>
      <c r="C47">
        <v>2.3360541304970401</v>
      </c>
      <c r="D47">
        <v>2.3735602351802898</v>
      </c>
      <c r="E47">
        <v>2.411668513</v>
      </c>
      <c r="F47" s="39">
        <v>4.5285816539999999</v>
      </c>
      <c r="G47" s="39">
        <v>8.3789737829999904</v>
      </c>
      <c r="H47">
        <v>14.76774082</v>
      </c>
      <c r="I47">
        <v>23.648264869999998</v>
      </c>
      <c r="J47">
        <v>35.773592899999997</v>
      </c>
      <c r="K47">
        <v>50.120194840000003</v>
      </c>
      <c r="L47">
        <v>68.374735920000006</v>
      </c>
      <c r="M47">
        <v>92.618584839999997</v>
      </c>
      <c r="N47">
        <v>121.8096029</v>
      </c>
      <c r="O47">
        <v>162.03364189999999</v>
      </c>
      <c r="P47" s="39">
        <v>217.5739255</v>
      </c>
      <c r="Q47" s="39">
        <v>290.9247565</v>
      </c>
      <c r="R47" s="39">
        <v>385.68504469999999</v>
      </c>
      <c r="S47" s="39">
        <v>500.90459370000002</v>
      </c>
      <c r="T47" s="39">
        <v>632.19106969999996</v>
      </c>
      <c r="U47" s="39">
        <v>801.4080692</v>
      </c>
      <c r="V47" s="39">
        <v>1018.438821</v>
      </c>
      <c r="W47" s="39">
        <v>1259.3718570000001</v>
      </c>
      <c r="X47" s="39">
        <v>1525.892846</v>
      </c>
      <c r="Y47" s="39">
        <v>1834.7290290000001</v>
      </c>
      <c r="Z47" s="39">
        <v>2229.9411060000002</v>
      </c>
      <c r="AA47" s="39">
        <v>2764.8322320000002</v>
      </c>
      <c r="AB47" s="39">
        <v>3440.2429350000002</v>
      </c>
      <c r="AC47" s="39">
        <v>4249.9966990000003</v>
      </c>
      <c r="AD47" s="39">
        <v>5219.65427</v>
      </c>
      <c r="AE47" s="39">
        <v>6298.8335109999998</v>
      </c>
      <c r="AF47" s="39">
        <v>7435.0369650000002</v>
      </c>
      <c r="AG47" s="39">
        <v>8581.2618419999999</v>
      </c>
      <c r="AH47" s="39">
        <v>9701.7743850000006</v>
      </c>
      <c r="AI47">
        <v>10809.589840000001</v>
      </c>
      <c r="AJ47">
        <v>11880.82351</v>
      </c>
      <c r="AK47">
        <v>12898.17316</v>
      </c>
      <c r="AL47">
        <v>13858.07005</v>
      </c>
      <c r="AM47">
        <v>14760.614079999999</v>
      </c>
      <c r="AN47">
        <v>15599.34906</v>
      </c>
      <c r="AO47">
        <v>16384.208259999999</v>
      </c>
      <c r="AP47">
        <v>17115.124830000001</v>
      </c>
      <c r="AQ47">
        <v>17798.179380000001</v>
      </c>
      <c r="AR47">
        <v>18421.223829999999</v>
      </c>
      <c r="AS47">
        <v>19001.502919999999</v>
      </c>
      <c r="AT47">
        <v>19540.881430000001</v>
      </c>
      <c r="AU47">
        <v>20038.065470000001</v>
      </c>
      <c r="AV47">
        <v>20497.663929999999</v>
      </c>
      <c r="AW47">
        <v>20883.543730000001</v>
      </c>
    </row>
    <row r="48" spans="2:49" x14ac:dyDescent="0.25">
      <c r="B48" t="s">
        <v>148</v>
      </c>
      <c r="C48">
        <v>2.1906436884240502E-2</v>
      </c>
      <c r="D48">
        <v>2.2258151814254699E-2</v>
      </c>
      <c r="E48">
        <v>2.2615513600000001E-2</v>
      </c>
      <c r="F48" s="39">
        <v>2.1807048700000001E-2</v>
      </c>
      <c r="G48" s="39">
        <v>4.5935582000000003E-2</v>
      </c>
      <c r="H48">
        <v>7.1428447899999997E-2</v>
      </c>
      <c r="I48">
        <v>9.6906388400000001E-2</v>
      </c>
      <c r="J48">
        <v>0.13319790279999999</v>
      </c>
      <c r="K48" s="39">
        <v>0.16717290709999999</v>
      </c>
      <c r="L48" s="39">
        <v>0.19614088769999999</v>
      </c>
      <c r="M48" s="39">
        <v>0.2228353673</v>
      </c>
      <c r="N48" s="39">
        <v>0.23506348269999999</v>
      </c>
      <c r="O48" s="39">
        <v>0.24286426059999999</v>
      </c>
      <c r="P48" s="39">
        <v>0.24344174609999999</v>
      </c>
      <c r="Q48" s="39">
        <v>0.26365879530000003</v>
      </c>
      <c r="R48" s="39">
        <v>0.28858666859999998</v>
      </c>
      <c r="S48" s="39">
        <v>0.33832173129999998</v>
      </c>
      <c r="T48" s="39">
        <v>0.37926170050000002</v>
      </c>
      <c r="U48" s="39">
        <v>0.45124338400000003</v>
      </c>
      <c r="V48" s="39">
        <v>0.5377736421</v>
      </c>
      <c r="W48" s="39">
        <v>0.61714696040000006</v>
      </c>
      <c r="X48" s="39">
        <v>0.68826377549999995</v>
      </c>
      <c r="Y48" s="39">
        <v>0.74918663809999997</v>
      </c>
      <c r="Z48" s="39">
        <v>0.79947139990000005</v>
      </c>
      <c r="AA48" s="39">
        <v>0.83459500659999997</v>
      </c>
      <c r="AB48" s="39">
        <v>0.85367699649999995</v>
      </c>
      <c r="AC48" s="39">
        <v>0.85607801309999998</v>
      </c>
      <c r="AD48" s="39">
        <v>0.84394441539999998</v>
      </c>
      <c r="AE48" s="39">
        <v>0.8192470073</v>
      </c>
      <c r="AF48" s="39">
        <v>0.7857448373</v>
      </c>
      <c r="AG48" s="39">
        <v>0.74721588940000006</v>
      </c>
      <c r="AH48" s="39">
        <v>0.70669670449999999</v>
      </c>
      <c r="AI48" s="39">
        <v>0.66611802519999996</v>
      </c>
      <c r="AJ48" s="39">
        <v>0.62653318160000004</v>
      </c>
      <c r="AK48" s="39">
        <v>0.58850881310000003</v>
      </c>
      <c r="AL48" s="39">
        <v>0.55230477290000002</v>
      </c>
      <c r="AM48" s="39">
        <v>0.51800776999999998</v>
      </c>
      <c r="AN48">
        <v>0.48574725520000001</v>
      </c>
      <c r="AO48">
        <v>0.455447663</v>
      </c>
      <c r="AP48">
        <v>0.4270130016</v>
      </c>
      <c r="AQ48">
        <v>0.40034063819999999</v>
      </c>
      <c r="AR48">
        <v>0.37366028350000002</v>
      </c>
      <c r="AS48">
        <v>0.34875426770000001</v>
      </c>
      <c r="AT48">
        <v>0.3255064017</v>
      </c>
      <c r="AU48">
        <v>0.30380722310000002</v>
      </c>
      <c r="AV48">
        <v>0.28355405249999999</v>
      </c>
      <c r="AW48">
        <v>0.26465077479999999</v>
      </c>
    </row>
    <row r="49" spans="2:99" x14ac:dyDescent="0.25">
      <c r="B49" t="s">
        <v>149</v>
      </c>
      <c r="C49">
        <v>2298.5980133353301</v>
      </c>
      <c r="D49">
        <v>2335.5027479420201</v>
      </c>
      <c r="E49">
        <v>2373</v>
      </c>
      <c r="F49" s="39">
        <v>2446.6775899999998</v>
      </c>
      <c r="G49" s="39">
        <v>2424.2765530000001</v>
      </c>
      <c r="H49">
        <v>2660.3639440000002</v>
      </c>
      <c r="I49">
        <v>2598.8489709999999</v>
      </c>
      <c r="J49">
        <v>2542.822412</v>
      </c>
      <c r="K49" s="39">
        <v>2194.0678939999998</v>
      </c>
      <c r="L49" s="39">
        <v>2073.8249529999998</v>
      </c>
      <c r="M49" s="39">
        <v>2079.3430400000002</v>
      </c>
      <c r="N49" s="39">
        <v>1940.3869999999999</v>
      </c>
      <c r="O49" s="39">
        <v>2042.316</v>
      </c>
      <c r="P49" s="39">
        <v>2141.6280000000002</v>
      </c>
      <c r="Q49" s="39">
        <v>2203.7420000000002</v>
      </c>
      <c r="R49" s="39">
        <v>2240.3020000000001</v>
      </c>
      <c r="S49" s="39">
        <v>2178.6844850000002</v>
      </c>
      <c r="T49" s="39">
        <v>2021.43426</v>
      </c>
      <c r="U49" s="39">
        <v>2131.9441649999999</v>
      </c>
      <c r="V49" s="39">
        <v>2250.8685310000001</v>
      </c>
      <c r="W49" s="39">
        <v>2120.9195110000001</v>
      </c>
      <c r="X49" s="39">
        <v>2015.7993429999999</v>
      </c>
      <c r="Y49" s="39">
        <v>1899.580524</v>
      </c>
      <c r="Z49" s="39">
        <v>1822.221264</v>
      </c>
      <c r="AA49" s="39">
        <v>1771.8453059999999</v>
      </c>
      <c r="AB49" s="39">
        <v>1700.4590499999999</v>
      </c>
      <c r="AC49" s="39">
        <v>1640.37833</v>
      </c>
      <c r="AD49" s="39">
        <v>1662.0933279999999</v>
      </c>
      <c r="AE49" s="39">
        <v>1671.8958620000001</v>
      </c>
      <c r="AF49" s="39">
        <v>1680.983808</v>
      </c>
      <c r="AG49" s="39">
        <v>1688.9201430000001</v>
      </c>
      <c r="AH49" s="39">
        <v>1693.0194240000001</v>
      </c>
      <c r="AI49" s="39">
        <v>1728.955201</v>
      </c>
      <c r="AJ49" s="39">
        <v>1751.183413</v>
      </c>
      <c r="AK49" s="39">
        <v>1760.1855089999999</v>
      </c>
      <c r="AL49" s="39">
        <v>1765.9189530000001</v>
      </c>
      <c r="AM49" s="39">
        <v>1770.295179</v>
      </c>
      <c r="AN49">
        <v>1762.080827</v>
      </c>
      <c r="AO49">
        <v>1760.2218170000001</v>
      </c>
      <c r="AP49">
        <v>1755.130594</v>
      </c>
      <c r="AQ49">
        <v>1752.8501920000001</v>
      </c>
      <c r="AR49">
        <v>1809.6415179999999</v>
      </c>
      <c r="AS49">
        <v>1808.38654</v>
      </c>
      <c r="AT49">
        <v>1806.158277</v>
      </c>
      <c r="AU49">
        <v>1799.915894</v>
      </c>
      <c r="AV49">
        <v>1795.4726929999999</v>
      </c>
      <c r="AW49">
        <v>1752.392298</v>
      </c>
    </row>
    <row r="50" spans="2:99" x14ac:dyDescent="0.25">
      <c r="B50" t="s">
        <v>150</v>
      </c>
      <c r="C50">
        <v>2297.4487143286601</v>
      </c>
      <c r="D50">
        <v>2334.33499656805</v>
      </c>
      <c r="E50">
        <v>2371.8135000000002</v>
      </c>
      <c r="F50" s="39">
        <v>2444.4280349999999</v>
      </c>
      <c r="G50" s="39">
        <v>2420.1770889999998</v>
      </c>
      <c r="H50">
        <v>2653.5143330000001</v>
      </c>
      <c r="I50">
        <v>2589.1562210000002</v>
      </c>
      <c r="J50">
        <v>2529.3964289999999</v>
      </c>
      <c r="K50" s="39">
        <v>2177.753745</v>
      </c>
      <c r="L50" s="39">
        <v>2052.8138009999998</v>
      </c>
      <c r="M50" s="39">
        <v>2051.338581</v>
      </c>
      <c r="N50" s="39">
        <v>1906.10196</v>
      </c>
      <c r="O50" s="39">
        <v>1995.392433</v>
      </c>
      <c r="P50" s="39">
        <v>2077.986034</v>
      </c>
      <c r="Q50" s="39">
        <v>2119.5124730000002</v>
      </c>
      <c r="R50" s="39">
        <v>2130.9954739999998</v>
      </c>
      <c r="S50" s="39">
        <v>2044.180683</v>
      </c>
      <c r="T50" s="39">
        <v>1865.1025540000001</v>
      </c>
      <c r="U50" s="39">
        <v>1927.6054389999999</v>
      </c>
      <c r="V50" s="39">
        <v>1986.6961289999999</v>
      </c>
      <c r="W50" s="39">
        <v>1820.0783080000001</v>
      </c>
      <c r="X50" s="39">
        <v>1675.1976569999999</v>
      </c>
      <c r="Y50" s="39">
        <v>1500.6325589999999</v>
      </c>
      <c r="Z50" s="39">
        <v>1318.2307860000001</v>
      </c>
      <c r="AA50" s="39">
        <v>1104.2195899999999</v>
      </c>
      <c r="AB50" s="39">
        <v>859.81932979999999</v>
      </c>
      <c r="AC50" s="39">
        <v>624.20998910000003</v>
      </c>
      <c r="AD50" s="39">
        <v>436.41185969999998</v>
      </c>
      <c r="AE50" s="39">
        <v>277.01172609999998</v>
      </c>
      <c r="AF50" s="39">
        <v>162.26009999999999</v>
      </c>
      <c r="AG50" s="39">
        <v>89.339354</v>
      </c>
      <c r="AH50" s="39">
        <v>47.123502999999999</v>
      </c>
      <c r="AI50" s="39">
        <v>24.719189289999999</v>
      </c>
      <c r="AJ50" s="39">
        <v>12.69110622</v>
      </c>
      <c r="AK50" s="39">
        <v>6.4211870869999998</v>
      </c>
      <c r="AL50" s="39">
        <v>3.2311994309999998</v>
      </c>
      <c r="AM50" s="39">
        <v>1.6217727449999999</v>
      </c>
      <c r="AN50" s="39">
        <v>0.80746808010000004</v>
      </c>
      <c r="AO50" s="39">
        <v>0.4032958069</v>
      </c>
      <c r="AP50" s="39">
        <v>0.20101273289999999</v>
      </c>
      <c r="AQ50" s="39">
        <v>0.10033844040000001</v>
      </c>
      <c r="AR50" s="39">
        <v>5.1773319999999998E-2</v>
      </c>
      <c r="AS50" s="39">
        <v>2.58572961E-2</v>
      </c>
      <c r="AT50" s="39">
        <v>1.29068091E-2</v>
      </c>
      <c r="AU50" s="39">
        <v>6.42809391E-3</v>
      </c>
      <c r="AV50">
        <v>3.2046027400000001E-3</v>
      </c>
      <c r="AW50" s="39">
        <v>1.5631143999999999E-3</v>
      </c>
    </row>
    <row r="51" spans="2:99" x14ac:dyDescent="0.25">
      <c r="B51" t="s">
        <v>151</v>
      </c>
      <c r="C51">
        <v>1.1492990066676601</v>
      </c>
      <c r="D51">
        <v>1.1677513739710099</v>
      </c>
      <c r="E51">
        <v>1.1865000000000001</v>
      </c>
      <c r="F51" s="39">
        <v>-3.4174948200000002E-6</v>
      </c>
      <c r="G51" s="39">
        <v>22.02737192</v>
      </c>
      <c r="H51">
        <v>24.366152979999999</v>
      </c>
      <c r="I51">
        <v>25.606170509999998</v>
      </c>
      <c r="J51">
        <v>36.425440260000002</v>
      </c>
      <c r="K51" s="39">
        <v>36.199552449999999</v>
      </c>
      <c r="L51" s="39">
        <v>33.441791619999996</v>
      </c>
      <c r="M51" s="39">
        <v>32.838805440000002</v>
      </c>
      <c r="N51" s="39">
        <v>21.355055480000001</v>
      </c>
      <c r="O51" s="39">
        <v>18.016605089999999</v>
      </c>
      <c r="P51" s="39">
        <v>10.919175320000001</v>
      </c>
      <c r="Q51" s="39">
        <v>28.315236519999999</v>
      </c>
      <c r="R51" s="39">
        <v>33.374996719999999</v>
      </c>
      <c r="S51" s="39">
        <v>56.435987410000003</v>
      </c>
      <c r="T51" s="39">
        <v>50.8866789</v>
      </c>
      <c r="U51" s="39">
        <v>82.0123794</v>
      </c>
      <c r="V51" s="39">
        <v>99.717780880000007</v>
      </c>
      <c r="W51" s="39">
        <v>97.916706660000003</v>
      </c>
      <c r="X51" s="39">
        <v>94.766695310000003</v>
      </c>
      <c r="Y51" s="39">
        <v>89.618839530000002</v>
      </c>
      <c r="Z51" s="39">
        <v>83.5748885</v>
      </c>
      <c r="AA51" s="39">
        <v>73.000367389999994</v>
      </c>
      <c r="AB51" s="39">
        <v>60.87284657</v>
      </c>
      <c r="AC51" s="39">
        <v>47.342415369999998</v>
      </c>
      <c r="AD51" s="39">
        <v>34.823187660000002</v>
      </c>
      <c r="AE51" s="39">
        <v>23.267524529999999</v>
      </c>
      <c r="AF51" s="39">
        <v>14.351571829999999</v>
      </c>
      <c r="AG51" s="39">
        <v>8.2871639150000007</v>
      </c>
      <c r="AH51" s="39">
        <v>4.6188716750000003</v>
      </c>
      <c r="AI51" s="39">
        <v>2.531731309</v>
      </c>
      <c r="AJ51" s="39">
        <v>1.3548844819999999</v>
      </c>
      <c r="AK51" s="39">
        <v>0.7159740899</v>
      </c>
      <c r="AL51" s="39">
        <v>0.37565829670000001</v>
      </c>
      <c r="AM51" s="39">
        <v>0.1962139145</v>
      </c>
      <c r="AN51" s="39">
        <v>0.1016017495</v>
      </c>
      <c r="AO51" s="39">
        <v>5.2682380000000001E-2</v>
      </c>
      <c r="AP51" s="39">
        <v>2.7236877499999999E-2</v>
      </c>
      <c r="AQ51" s="39">
        <v>1.4096795699999999E-2</v>
      </c>
      <c r="AR51" s="39">
        <v>7.9742511500000002E-3</v>
      </c>
      <c r="AS51" s="39">
        <v>4.1280635499999999E-3</v>
      </c>
      <c r="AT51" s="39">
        <v>2.1380851399999999E-3</v>
      </c>
      <c r="AU51" s="39">
        <v>1.1034046100000001E-3</v>
      </c>
      <c r="AV51">
        <v>5.6964381599999999E-4</v>
      </c>
      <c r="AW51" s="39">
        <v>2.8803749700000001E-4</v>
      </c>
    </row>
    <row r="52" spans="2:99" x14ac:dyDescent="0.25">
      <c r="B52" t="s">
        <v>152</v>
      </c>
      <c r="C52">
        <v>413.74764240035898</v>
      </c>
      <c r="D52">
        <v>420.39049462956399</v>
      </c>
      <c r="E52">
        <v>427.14</v>
      </c>
      <c r="F52" s="39">
        <v>435.39212209999999</v>
      </c>
      <c r="G52" s="39">
        <v>441.57963869999998</v>
      </c>
      <c r="H52">
        <v>490.64605710000001</v>
      </c>
      <c r="I52">
        <v>476.86690320000002</v>
      </c>
      <c r="J52">
        <v>468.20656580000002</v>
      </c>
      <c r="K52" s="39">
        <v>402.93589989999998</v>
      </c>
      <c r="L52" s="39">
        <v>380.23269870000001</v>
      </c>
      <c r="M52" s="39">
        <v>381.21935689999998</v>
      </c>
      <c r="N52" s="39">
        <v>357.29673209999999</v>
      </c>
      <c r="O52" s="39">
        <v>374.25901260000001</v>
      </c>
      <c r="P52" s="39">
        <v>384.3051676</v>
      </c>
      <c r="Q52" s="39">
        <v>398.81795310000001</v>
      </c>
      <c r="R52" s="39">
        <v>404.01962150000003</v>
      </c>
      <c r="S52" s="39">
        <v>403.48734130000003</v>
      </c>
      <c r="T52" s="39">
        <v>364.70946900000001</v>
      </c>
      <c r="U52" s="39">
        <v>394.87445869999999</v>
      </c>
      <c r="V52" s="39">
        <v>413.66787729999999</v>
      </c>
      <c r="W52" s="39">
        <v>381.58179849999999</v>
      </c>
      <c r="X52" s="39">
        <v>352.95396929999998</v>
      </c>
      <c r="Y52" s="39">
        <v>317.742324</v>
      </c>
      <c r="Z52" s="39">
        <v>280.72861119999999</v>
      </c>
      <c r="AA52" s="39">
        <v>235.98263890000001</v>
      </c>
      <c r="AB52" s="39">
        <v>184.55010909999999</v>
      </c>
      <c r="AC52" s="39">
        <v>134.56968639999999</v>
      </c>
      <c r="AD52" s="39">
        <v>94.419343269999999</v>
      </c>
      <c r="AE52" s="39">
        <v>60.161508269999999</v>
      </c>
      <c r="AF52" s="39">
        <v>35.386229370000002</v>
      </c>
      <c r="AG52" s="39">
        <v>19.553838320000001</v>
      </c>
      <c r="AH52" s="39">
        <v>10.363936929999999</v>
      </c>
      <c r="AI52" s="39">
        <v>5.461262037</v>
      </c>
      <c r="AJ52" s="39">
        <v>2.815784254</v>
      </c>
      <c r="AK52" s="39">
        <v>1.431307168</v>
      </c>
      <c r="AL52" s="39">
        <v>0.72338301559999996</v>
      </c>
      <c r="AM52" s="39">
        <v>0.3645813893</v>
      </c>
      <c r="AN52" s="39">
        <v>0.18202799140000001</v>
      </c>
      <c r="AO52" s="39">
        <v>9.1143669499999996E-2</v>
      </c>
      <c r="AP52" s="39">
        <v>4.5533916600000002E-2</v>
      </c>
      <c r="AQ52" s="39">
        <v>2.2780932199999999E-2</v>
      </c>
      <c r="AR52" s="39">
        <v>1.18765255E-2</v>
      </c>
      <c r="AS52" s="39">
        <v>5.9382483600000004E-3</v>
      </c>
      <c r="AT52" s="39">
        <v>2.96700131E-3</v>
      </c>
      <c r="AU52" s="39">
        <v>1.47831474E-3</v>
      </c>
      <c r="AV52">
        <v>7.3704362299999995E-4</v>
      </c>
      <c r="AW52" s="39">
        <v>3.5941733099999998E-4</v>
      </c>
    </row>
    <row r="53" spans="2:99" x14ac:dyDescent="0.25">
      <c r="B53" t="s">
        <v>153</v>
      </c>
      <c r="C53">
        <v>652.80183578723302</v>
      </c>
      <c r="D53">
        <v>663.28278041553403</v>
      </c>
      <c r="E53">
        <v>673.93200000000002</v>
      </c>
      <c r="F53" s="39">
        <v>691.81162319999999</v>
      </c>
      <c r="G53" s="39">
        <v>682.73300889999996</v>
      </c>
      <c r="H53">
        <v>751.38536739999995</v>
      </c>
      <c r="I53">
        <v>732.1573052</v>
      </c>
      <c r="J53">
        <v>715.09488499999998</v>
      </c>
      <c r="K53" s="39">
        <v>615.09426989999997</v>
      </c>
      <c r="L53" s="39">
        <v>579.97764749999999</v>
      </c>
      <c r="M53" s="39">
        <v>580.15316600000006</v>
      </c>
      <c r="N53" s="39">
        <v>550.62508809999997</v>
      </c>
      <c r="O53" s="39">
        <v>577.15136180000002</v>
      </c>
      <c r="P53" s="39">
        <v>600.12486960000001</v>
      </c>
      <c r="Q53" s="39">
        <v>613.48827349999999</v>
      </c>
      <c r="R53" s="39">
        <v>618.96276330000001</v>
      </c>
      <c r="S53" s="39">
        <v>601.91294119999998</v>
      </c>
      <c r="T53" s="39">
        <v>548.55616710000004</v>
      </c>
      <c r="U53" s="39">
        <v>573.40970819999995</v>
      </c>
      <c r="V53" s="39">
        <v>590.70127130000003</v>
      </c>
      <c r="W53" s="39">
        <v>540.83719099999996</v>
      </c>
      <c r="X53" s="39">
        <v>497.48577660000001</v>
      </c>
      <c r="Y53" s="39">
        <v>445.23536360000003</v>
      </c>
      <c r="Z53" s="39">
        <v>390.66180120000001</v>
      </c>
      <c r="AA53" s="39">
        <v>326.88565089999997</v>
      </c>
      <c r="AB53" s="39">
        <v>253.93616879999999</v>
      </c>
      <c r="AC53" s="39">
        <v>183.85296819999999</v>
      </c>
      <c r="AD53" s="39">
        <v>128.25903690000001</v>
      </c>
      <c r="AE53" s="39">
        <v>81.216484589999894</v>
      </c>
      <c r="AF53" s="39">
        <v>47.447339839999998</v>
      </c>
      <c r="AG53" s="39">
        <v>26.052776699999999</v>
      </c>
      <c r="AH53" s="39">
        <v>13.69518712</v>
      </c>
      <c r="AI53" s="39">
        <v>7.163041625</v>
      </c>
      <c r="AJ53" s="39">
        <v>3.6664049759999999</v>
      </c>
      <c r="AK53" s="39">
        <v>1.848603086</v>
      </c>
      <c r="AL53" s="39">
        <v>0.92679784639999996</v>
      </c>
      <c r="AM53" s="39">
        <v>0.46337620390000001</v>
      </c>
      <c r="AN53" s="39">
        <v>0.22973022809999999</v>
      </c>
      <c r="AO53" s="39">
        <v>0.11423742050000001</v>
      </c>
      <c r="AP53" s="39">
        <v>5.6676533100000002E-2</v>
      </c>
      <c r="AQ53" s="39">
        <v>2.8152776000000001E-2</v>
      </c>
      <c r="AR53" s="39">
        <v>1.43245015E-2</v>
      </c>
      <c r="AS53" s="39">
        <v>7.1092911199999997E-3</v>
      </c>
      <c r="AT53" s="39">
        <v>3.5241695299999998E-3</v>
      </c>
      <c r="AU53" s="39">
        <v>1.7427369400000001E-3</v>
      </c>
      <c r="AV53">
        <v>8.6236987599999995E-4</v>
      </c>
      <c r="AW53" s="39">
        <v>4.17223403E-4</v>
      </c>
    </row>
    <row r="54" spans="2:99" x14ac:dyDescent="0.25">
      <c r="B54" t="s">
        <v>154</v>
      </c>
      <c r="C54">
        <v>643.60744373389196</v>
      </c>
      <c r="D54">
        <v>653.94076942376603</v>
      </c>
      <c r="E54">
        <v>664.44</v>
      </c>
      <c r="F54" s="39">
        <v>683.75516130000005</v>
      </c>
      <c r="G54" s="39">
        <v>673.79106909999996</v>
      </c>
      <c r="H54">
        <v>739.90210999999999</v>
      </c>
      <c r="I54">
        <v>721.25129349999997</v>
      </c>
      <c r="J54">
        <v>702.69743549999998</v>
      </c>
      <c r="K54" s="39">
        <v>603.98477190000006</v>
      </c>
      <c r="L54" s="39">
        <v>569.42835439999999</v>
      </c>
      <c r="M54" s="39">
        <v>569.33975559999999</v>
      </c>
      <c r="N54" s="39">
        <v>532.308584</v>
      </c>
      <c r="O54" s="39">
        <v>558.76848770000004</v>
      </c>
      <c r="P54" s="39">
        <v>583.65688469999998</v>
      </c>
      <c r="Q54" s="39">
        <v>589.95321899999999</v>
      </c>
      <c r="R54" s="39">
        <v>596.56015530000002</v>
      </c>
      <c r="S54" s="39">
        <v>567.82367720000002</v>
      </c>
      <c r="T54" s="39">
        <v>529.74441420000005</v>
      </c>
      <c r="U54" s="39">
        <v>544.13977199999999</v>
      </c>
      <c r="V54" s="39">
        <v>555.89879229999997</v>
      </c>
      <c r="W54" s="39">
        <v>507.03410300000002</v>
      </c>
      <c r="X54" s="39">
        <v>465.04526069999997</v>
      </c>
      <c r="Y54" s="39">
        <v>414.9022549</v>
      </c>
      <c r="Z54" s="39">
        <v>362.70238940000002</v>
      </c>
      <c r="AA54" s="39">
        <v>302.71963060000002</v>
      </c>
      <c r="AB54" s="39">
        <v>234.24725889999999</v>
      </c>
      <c r="AC54" s="39">
        <v>168.8906049</v>
      </c>
      <c r="AD54" s="39">
        <v>117.42602479999999</v>
      </c>
      <c r="AE54" s="39">
        <v>74.087731059999996</v>
      </c>
      <c r="AF54" s="39">
        <v>43.112784509999997</v>
      </c>
      <c r="AG54" s="39">
        <v>23.584858100000002</v>
      </c>
      <c r="AH54" s="39">
        <v>12.33909813</v>
      </c>
      <c r="AI54" s="39">
        <v>6.426581927</v>
      </c>
      <c r="AJ54" s="39">
        <v>3.2758843849999999</v>
      </c>
      <c r="AK54" s="39">
        <v>1.6441462469999999</v>
      </c>
      <c r="AL54" s="39">
        <v>0.82055488830000001</v>
      </c>
      <c r="AM54" s="39">
        <v>0.40841094239999998</v>
      </c>
      <c r="AN54" s="39">
        <v>0.2016509215</v>
      </c>
      <c r="AO54" s="39">
        <v>9.98729587E-2</v>
      </c>
      <c r="AP54" s="39">
        <v>4.9351221100000002E-2</v>
      </c>
      <c r="AQ54" s="39">
        <v>2.4413314799999999E-2</v>
      </c>
      <c r="AR54" s="39">
        <v>1.22606521E-2</v>
      </c>
      <c r="AS54" s="39">
        <v>6.0596034300000002E-3</v>
      </c>
      <c r="AT54" s="39">
        <v>2.9906680100000001E-3</v>
      </c>
      <c r="AU54" s="39">
        <v>1.4727643199999999E-3</v>
      </c>
      <c r="AV54">
        <v>7.2579525199999997E-4</v>
      </c>
      <c r="AW54" s="39">
        <v>3.4966297699999999E-4</v>
      </c>
    </row>
    <row r="55" spans="2:99" x14ac:dyDescent="0.25">
      <c r="B55" t="s">
        <v>155</v>
      </c>
      <c r="C55">
        <v>413.74764240035898</v>
      </c>
      <c r="D55">
        <v>420.39049462956399</v>
      </c>
      <c r="E55">
        <v>427.14</v>
      </c>
      <c r="F55" s="39">
        <v>442.82035289999999</v>
      </c>
      <c r="G55" s="39">
        <v>429.0059875</v>
      </c>
      <c r="H55">
        <v>467.0064064</v>
      </c>
      <c r="I55">
        <v>456.19552770000001</v>
      </c>
      <c r="J55">
        <v>441.65854289999999</v>
      </c>
      <c r="K55" s="39">
        <v>379.1486233</v>
      </c>
      <c r="L55" s="39">
        <v>362.35986370000001</v>
      </c>
      <c r="M55" s="39">
        <v>361.63975169999998</v>
      </c>
      <c r="N55" s="39">
        <v>329.7670799</v>
      </c>
      <c r="O55" s="39">
        <v>347.24278040000002</v>
      </c>
      <c r="P55" s="39">
        <v>360.4568175</v>
      </c>
      <c r="Q55" s="39">
        <v>358.02140939999998</v>
      </c>
      <c r="R55" s="39">
        <v>355.27005680000002</v>
      </c>
      <c r="S55" s="39">
        <v>318.52845930000001</v>
      </c>
      <c r="T55" s="39">
        <v>310.33709110000001</v>
      </c>
      <c r="U55" s="39">
        <v>292.14028280000002</v>
      </c>
      <c r="V55" s="39">
        <v>290.45295420000002</v>
      </c>
      <c r="W55" s="39">
        <v>261.73706729999998</v>
      </c>
      <c r="X55" s="39">
        <v>237.90672499999999</v>
      </c>
      <c r="Y55" s="39">
        <v>210.2445481</v>
      </c>
      <c r="Z55" s="39">
        <v>181.75683889999999</v>
      </c>
      <c r="AA55" s="39">
        <v>150.57699539999999</v>
      </c>
      <c r="AB55" s="39">
        <v>115.2628442</v>
      </c>
      <c r="AC55" s="39">
        <v>82.162587099999996</v>
      </c>
      <c r="AD55" s="39">
        <v>56.60980318</v>
      </c>
      <c r="AE55" s="39">
        <v>35.372925530000003</v>
      </c>
      <c r="AF55" s="39">
        <v>20.3718255</v>
      </c>
      <c r="AG55" s="39">
        <v>11.038781050000001</v>
      </c>
      <c r="AH55" s="39">
        <v>5.7062217200000003</v>
      </c>
      <c r="AI55" s="39">
        <v>2.9408434410000002</v>
      </c>
      <c r="AJ55" s="39">
        <v>1.484169721</v>
      </c>
      <c r="AK55" s="39">
        <v>0.73692791499999999</v>
      </c>
      <c r="AL55" s="39">
        <v>0.36404155269999999</v>
      </c>
      <c r="AM55" s="39">
        <v>0.17943780619999999</v>
      </c>
      <c r="AN55" s="39">
        <v>8.7874631499999994E-2</v>
      </c>
      <c r="AO55" s="39">
        <v>4.3191822499999998E-2</v>
      </c>
      <c r="AP55" s="39">
        <v>2.11887547E-2</v>
      </c>
      <c r="AQ55" s="39">
        <v>1.0408196999999999E-2</v>
      </c>
      <c r="AR55" s="39">
        <v>5.1196464000000004E-3</v>
      </c>
      <c r="AS55" s="39">
        <v>2.5175850100000001E-3</v>
      </c>
      <c r="AT55" s="39">
        <v>1.2366974299999999E-3</v>
      </c>
      <c r="AU55" s="39">
        <v>6.0670842400000001E-4</v>
      </c>
      <c r="AV55">
        <v>2.9806511200000001E-4</v>
      </c>
      <c r="AW55" s="39">
        <v>1.4323471599999999E-4</v>
      </c>
    </row>
    <row r="56" spans="2:99" x14ac:dyDescent="0.25">
      <c r="B56" t="s">
        <v>156</v>
      </c>
      <c r="C56">
        <v>137.915880800119</v>
      </c>
      <c r="D56">
        <v>140.13016487652101</v>
      </c>
      <c r="E56">
        <v>142.38</v>
      </c>
      <c r="F56" s="39">
        <v>151.0229454</v>
      </c>
      <c r="G56" s="39">
        <v>138.82640430000001</v>
      </c>
      <c r="H56">
        <v>147.00916609999999</v>
      </c>
      <c r="I56">
        <v>144.5675516</v>
      </c>
      <c r="J56">
        <v>137.15632429999999</v>
      </c>
      <c r="K56" s="39">
        <v>117.26904</v>
      </c>
      <c r="L56" s="39">
        <v>109.1784631</v>
      </c>
      <c r="M56" s="39">
        <v>108.2304058</v>
      </c>
      <c r="N56" s="39">
        <v>94.995412979999998</v>
      </c>
      <c r="O56" s="39">
        <v>99.755798069999997</v>
      </c>
      <c r="P56" s="39">
        <v>111.9510846</v>
      </c>
      <c r="Q56" s="39">
        <v>108.05398080000001</v>
      </c>
      <c r="R56" s="39">
        <v>103.99235349999999</v>
      </c>
      <c r="S56" s="39">
        <v>83.232216010000002</v>
      </c>
      <c r="T56" s="39">
        <v>55.638265869999998</v>
      </c>
      <c r="U56" s="39">
        <v>41.028838219999997</v>
      </c>
      <c r="V56" s="39">
        <v>36.25745277</v>
      </c>
      <c r="W56" s="39">
        <v>30.971441949999999</v>
      </c>
      <c r="X56" s="39">
        <v>27.03922996</v>
      </c>
      <c r="Y56" s="39">
        <v>22.889228840000001</v>
      </c>
      <c r="Z56" s="39">
        <v>18.806256680000001</v>
      </c>
      <c r="AA56" s="39">
        <v>15.054306929999999</v>
      </c>
      <c r="AB56" s="39">
        <v>10.950102279999999</v>
      </c>
      <c r="AC56" s="39">
        <v>7.3917272599999997</v>
      </c>
      <c r="AD56" s="39">
        <v>4.8744639139999997</v>
      </c>
      <c r="AE56" s="39">
        <v>2.9055520869999998</v>
      </c>
      <c r="AF56" s="39">
        <v>1.5903489740000001</v>
      </c>
      <c r="AG56" s="39">
        <v>0.82193592820000005</v>
      </c>
      <c r="AH56" s="39">
        <v>0.40018741810000003</v>
      </c>
      <c r="AI56" s="39">
        <v>0.19572894699999999</v>
      </c>
      <c r="AJ56" s="39">
        <v>9.3978405700000003E-2</v>
      </c>
      <c r="AK56" s="39">
        <v>4.42285808E-2</v>
      </c>
      <c r="AL56" s="39">
        <v>2.07638315E-2</v>
      </c>
      <c r="AM56" s="39">
        <v>9.7524884799999999E-3</v>
      </c>
      <c r="AN56" s="39">
        <v>4.5825581599999998E-3</v>
      </c>
      <c r="AO56" s="39">
        <v>2.16755561E-3</v>
      </c>
      <c r="AP56" s="39">
        <v>1.0254299000000001E-3</v>
      </c>
      <c r="AQ56" s="39">
        <v>4.8642466100000002E-4</v>
      </c>
      <c r="AR56" s="39">
        <v>2.1774338299999999E-4</v>
      </c>
      <c r="AS56" s="39">
        <v>1.04504659E-4</v>
      </c>
      <c r="AT56" s="39">
        <v>5.0187657000000003E-5</v>
      </c>
      <c r="AU56" s="39">
        <v>2.4164877E-5</v>
      </c>
      <c r="AV56" s="39">
        <v>1.1685061300000001E-5</v>
      </c>
      <c r="AW56" s="39">
        <v>5.5384812900000001E-6</v>
      </c>
    </row>
    <row r="57" spans="2:99" x14ac:dyDescent="0.25">
      <c r="B57" t="s">
        <v>157</v>
      </c>
      <c r="C57">
        <v>34.478970200029899</v>
      </c>
      <c r="D57">
        <v>35.032541219130302</v>
      </c>
      <c r="E57">
        <v>35.594999999999999</v>
      </c>
      <c r="F57" s="39">
        <v>39.625833800000002</v>
      </c>
      <c r="G57" s="39">
        <v>32.213608720000003</v>
      </c>
      <c r="H57">
        <v>33.199073069999997</v>
      </c>
      <c r="I57">
        <v>32.511469259999998</v>
      </c>
      <c r="J57">
        <v>28.157235230000001</v>
      </c>
      <c r="K57" s="39">
        <v>23.12158745</v>
      </c>
      <c r="L57" s="39">
        <v>18.19498244</v>
      </c>
      <c r="M57" s="39">
        <v>17.917339559999998</v>
      </c>
      <c r="N57" s="39">
        <v>19.754007250000001</v>
      </c>
      <c r="O57" s="39">
        <v>20.198387090000001</v>
      </c>
      <c r="P57" s="39">
        <v>26.572035029999999</v>
      </c>
      <c r="Q57" s="39">
        <v>22.86240037</v>
      </c>
      <c r="R57" s="39">
        <v>18.815526909999999</v>
      </c>
      <c r="S57" s="39">
        <v>12.760060920000001</v>
      </c>
      <c r="T57" s="39">
        <v>5.2304676289999996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v>0</v>
      </c>
      <c r="AI57" s="39">
        <v>0</v>
      </c>
      <c r="AJ57" s="39">
        <v>0</v>
      </c>
      <c r="AK57" s="39">
        <v>0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>
        <v>0</v>
      </c>
      <c r="AS57">
        <v>0</v>
      </c>
      <c r="AT57">
        <v>0</v>
      </c>
      <c r="AU57">
        <v>0</v>
      </c>
      <c r="AV57" s="39">
        <v>0</v>
      </c>
      <c r="AW57" s="39">
        <v>0</v>
      </c>
      <c r="CT57" s="39"/>
      <c r="CU57" s="39"/>
    </row>
    <row r="58" spans="2:99" x14ac:dyDescent="0.25">
      <c r="B58" t="s">
        <v>158</v>
      </c>
      <c r="C58">
        <v>1.1492990066676601</v>
      </c>
      <c r="D58">
        <v>1.1677513739710099</v>
      </c>
      <c r="E58">
        <v>1.1865000000000001</v>
      </c>
      <c r="F58" s="39">
        <v>2.249554909</v>
      </c>
      <c r="G58" s="39">
        <v>4.0994641200000004</v>
      </c>
      <c r="H58">
        <v>6.8496105959999998</v>
      </c>
      <c r="I58">
        <v>9.6927497900000006</v>
      </c>
      <c r="J58">
        <v>13.425982599999999</v>
      </c>
      <c r="K58" s="39">
        <v>16.31414955</v>
      </c>
      <c r="L58" s="39">
        <v>21.01115179</v>
      </c>
      <c r="M58" s="39">
        <v>28.004459399999998</v>
      </c>
      <c r="N58" s="39">
        <v>34.285040219999999</v>
      </c>
      <c r="O58" s="39">
        <v>46.923567130000002</v>
      </c>
      <c r="P58" s="39">
        <v>63.64196578</v>
      </c>
      <c r="Q58" s="39">
        <v>84.229527279999999</v>
      </c>
      <c r="R58" s="39">
        <v>109.30652600000001</v>
      </c>
      <c r="S58" s="39">
        <v>134.5038012</v>
      </c>
      <c r="T58" s="39">
        <v>156.33170580000001</v>
      </c>
      <c r="U58" s="39">
        <v>204.3387256</v>
      </c>
      <c r="V58" s="39">
        <v>264.17240249999998</v>
      </c>
      <c r="W58" s="39">
        <v>300.84120239999999</v>
      </c>
      <c r="X58" s="39">
        <v>340.60168609999999</v>
      </c>
      <c r="Y58" s="39">
        <v>398.94796539999999</v>
      </c>
      <c r="Z58" s="39">
        <v>503.99047819999998</v>
      </c>
      <c r="AA58" s="39">
        <v>667.6257157</v>
      </c>
      <c r="AB58" s="39">
        <v>840.63972049999995</v>
      </c>
      <c r="AC58" s="39">
        <v>1016.1683410000001</v>
      </c>
      <c r="AD58" s="39">
        <v>1225.681468</v>
      </c>
      <c r="AE58" s="39">
        <v>1394.8841359999999</v>
      </c>
      <c r="AF58" s="39">
        <v>1518.723708</v>
      </c>
      <c r="AG58" s="39">
        <v>1599.5807890000001</v>
      </c>
      <c r="AH58" s="39">
        <v>1645.895921</v>
      </c>
      <c r="AI58" s="39">
        <v>1704.236011</v>
      </c>
      <c r="AJ58" s="39">
        <v>1738.4923060000001</v>
      </c>
      <c r="AK58" s="39">
        <v>1753.764322</v>
      </c>
      <c r="AL58" s="39">
        <v>1762.687754</v>
      </c>
      <c r="AM58" s="39">
        <v>1768.673407</v>
      </c>
      <c r="AN58">
        <v>1761.273359</v>
      </c>
      <c r="AO58">
        <v>1759.8185209999999</v>
      </c>
      <c r="AP58">
        <v>1754.9295810000001</v>
      </c>
      <c r="AQ58">
        <v>1752.7498539999999</v>
      </c>
      <c r="AR58">
        <v>1809.5897440000001</v>
      </c>
      <c r="AS58">
        <v>1808.360682</v>
      </c>
      <c r="AT58">
        <v>1806.14537</v>
      </c>
      <c r="AU58">
        <v>1799.9094660000001</v>
      </c>
      <c r="AV58">
        <v>1795.469488</v>
      </c>
      <c r="AW58">
        <v>1752.3907349999999</v>
      </c>
    </row>
    <row r="59" spans="2:99" x14ac:dyDescent="0.25">
      <c r="B59" t="s">
        <v>159</v>
      </c>
      <c r="C59">
        <v>3.4228836395600501E-3</v>
      </c>
      <c r="D59">
        <v>3.4778391435562701E-3</v>
      </c>
      <c r="E59">
        <v>3.5336769799999999E-3</v>
      </c>
      <c r="F59" s="39">
        <v>4.3733600700000003E-3</v>
      </c>
      <c r="G59" s="39">
        <v>9.6671660399999994E-3</v>
      </c>
      <c r="H59">
        <v>3.4389662699999997E-2</v>
      </c>
      <c r="I59">
        <v>5.2682691199999999E-2</v>
      </c>
      <c r="J59">
        <v>7.7408719500000001E-2</v>
      </c>
      <c r="K59" s="39">
        <v>9.1586561299999994E-2</v>
      </c>
      <c r="L59" s="39">
        <v>0.12773377320000001</v>
      </c>
      <c r="M59" s="39">
        <v>0.2096242894</v>
      </c>
      <c r="N59" s="39">
        <v>0.2839324849</v>
      </c>
      <c r="O59" s="39">
        <v>0.41941911970000001</v>
      </c>
      <c r="P59" s="39">
        <v>0.13697403499999999</v>
      </c>
      <c r="Q59" s="39">
        <v>0.28252991290000001</v>
      </c>
      <c r="R59" s="39">
        <v>0.5696627259</v>
      </c>
      <c r="S59" s="39">
        <v>1.0303910590000001</v>
      </c>
      <c r="T59" s="39">
        <v>1.6570209810000001</v>
      </c>
      <c r="U59" s="39">
        <v>4.4287620849999998</v>
      </c>
      <c r="V59" s="39">
        <v>7.6240139960000004</v>
      </c>
      <c r="W59" s="39">
        <v>9.5054054449999903</v>
      </c>
      <c r="X59" s="39">
        <v>11.5722848</v>
      </c>
      <c r="Y59" s="39">
        <v>14.68454345</v>
      </c>
      <c r="Z59" s="39">
        <v>19.758522989999999</v>
      </c>
      <c r="AA59" s="39">
        <v>27.675563969999999</v>
      </c>
      <c r="AB59" s="39">
        <v>36.95138764</v>
      </c>
      <c r="AC59" s="39">
        <v>47.343421710000001</v>
      </c>
      <c r="AD59" s="39">
        <v>59.982338179999999</v>
      </c>
      <c r="AE59" s="39">
        <v>72.169121680000003</v>
      </c>
      <c r="AF59" s="39">
        <v>83.040081270000002</v>
      </c>
      <c r="AG59" s="39">
        <v>92.580525840000007</v>
      </c>
      <c r="AH59" s="39">
        <v>100.8361312</v>
      </c>
      <c r="AI59" s="39">
        <v>109.97367300000001</v>
      </c>
      <c r="AJ59" s="39">
        <v>118.2276318</v>
      </c>
      <c r="AK59" s="39">
        <v>125.6444403</v>
      </c>
      <c r="AL59" s="39">
        <v>132.77935479999999</v>
      </c>
      <c r="AM59" s="39">
        <v>139.87734040000001</v>
      </c>
      <c r="AN59">
        <v>145.2152127</v>
      </c>
      <c r="AO59">
        <v>150.93197499999999</v>
      </c>
      <c r="AP59">
        <v>156.47753399999999</v>
      </c>
      <c r="AQ59">
        <v>162.22424799999999</v>
      </c>
      <c r="AR59">
        <v>188.72577390000001</v>
      </c>
      <c r="AS59">
        <v>195.3418345</v>
      </c>
      <c r="AT59">
        <v>201.94645259999999</v>
      </c>
      <c r="AU59">
        <v>208.18874819999999</v>
      </c>
      <c r="AV59">
        <v>214.59219719999999</v>
      </c>
      <c r="AW59">
        <v>216.89987249999999</v>
      </c>
    </row>
    <row r="60" spans="2:99" x14ac:dyDescent="0.25">
      <c r="B60" t="s">
        <v>160</v>
      </c>
      <c r="C60">
        <v>7.8463024968376607E-3</v>
      </c>
      <c r="D60">
        <v>7.9722774213828399E-3</v>
      </c>
      <c r="E60">
        <v>8.10027491E-3</v>
      </c>
      <c r="F60" s="39">
        <v>1.37517443E-2</v>
      </c>
      <c r="G60" s="39">
        <v>2.6233538399999999E-2</v>
      </c>
      <c r="H60">
        <v>5.6367897600000001E-2</v>
      </c>
      <c r="I60">
        <v>8.2512043300000004E-2</v>
      </c>
      <c r="J60">
        <v>0.1173196066</v>
      </c>
      <c r="K60" s="39">
        <v>0.14086872710000001</v>
      </c>
      <c r="L60" s="39">
        <v>0.1880954805</v>
      </c>
      <c r="M60" s="39">
        <v>0.27746483649999998</v>
      </c>
      <c r="N60" s="39">
        <v>0.357926988</v>
      </c>
      <c r="O60" s="39">
        <v>0.51056626790000004</v>
      </c>
      <c r="P60" s="39">
        <v>0.39820862629999998</v>
      </c>
      <c r="Q60" s="39">
        <v>0.59685021599999999</v>
      </c>
      <c r="R60" s="39">
        <v>0.9137944616</v>
      </c>
      <c r="S60" s="39">
        <v>1.3479756490000001</v>
      </c>
      <c r="T60" s="39">
        <v>1.87462989</v>
      </c>
      <c r="U60" s="39">
        <v>3.9259428829999998</v>
      </c>
      <c r="V60" s="39">
        <v>6.2670717969999998</v>
      </c>
      <c r="W60" s="39">
        <v>7.6423098060000001</v>
      </c>
      <c r="X60" s="39">
        <v>9.1441467359999997</v>
      </c>
      <c r="Y60" s="39">
        <v>11.387691609999999</v>
      </c>
      <c r="Z60" s="39">
        <v>15.100648550000001</v>
      </c>
      <c r="AA60" s="39">
        <v>20.88214528</v>
      </c>
      <c r="AB60" s="39">
        <v>27.509852080000002</v>
      </c>
      <c r="AC60" s="39">
        <v>34.780954110000003</v>
      </c>
      <c r="AD60" s="39">
        <v>43.57253953</v>
      </c>
      <c r="AE60" s="39">
        <v>51.757300280000003</v>
      </c>
      <c r="AF60" s="39">
        <v>58.793045229999997</v>
      </c>
      <c r="AG60" s="39">
        <v>64.674755599999997</v>
      </c>
      <c r="AH60" s="39">
        <v>69.487819889999997</v>
      </c>
      <c r="AI60" s="39">
        <v>74.828415770000007</v>
      </c>
      <c r="AJ60" s="39">
        <v>79.395607580000004</v>
      </c>
      <c r="AK60" s="39">
        <v>83.255659370000004</v>
      </c>
      <c r="AL60" s="39">
        <v>86.826250130000005</v>
      </c>
      <c r="AM60" s="39">
        <v>90.264473820000006</v>
      </c>
      <c r="AN60">
        <v>92.622108049999994</v>
      </c>
      <c r="AO60">
        <v>95.180225800000002</v>
      </c>
      <c r="AP60">
        <v>97.545852359999998</v>
      </c>
      <c r="AQ60">
        <v>99.981457309999996</v>
      </c>
      <c r="AR60">
        <v>111.8662621</v>
      </c>
      <c r="AS60">
        <v>114.3733819</v>
      </c>
      <c r="AT60">
        <v>116.77564630000001</v>
      </c>
      <c r="AU60">
        <v>118.86939820000001</v>
      </c>
      <c r="AV60">
        <v>120.9840439</v>
      </c>
      <c r="AW60">
        <v>120.5856337</v>
      </c>
    </row>
    <row r="61" spans="2:99" x14ac:dyDescent="0.25">
      <c r="B61" t="s">
        <v>161</v>
      </c>
      <c r="C61">
        <v>3.2122446463563603E-2</v>
      </c>
      <c r="D61">
        <v>3.2638182731835802E-2</v>
      </c>
      <c r="E61">
        <v>3.31621993E-2</v>
      </c>
      <c r="F61" s="39">
        <v>6.2186688900000002E-2</v>
      </c>
      <c r="G61" s="39">
        <v>0.113829607</v>
      </c>
      <c r="H61">
        <v>0.1954787067</v>
      </c>
      <c r="I61">
        <v>0.27775425650000002</v>
      </c>
      <c r="J61">
        <v>0.38597956039999998</v>
      </c>
      <c r="K61" s="39">
        <v>0.46831637970000001</v>
      </c>
      <c r="L61" s="39">
        <v>0.60588591270000003</v>
      </c>
      <c r="M61" s="39">
        <v>0.81839706150000002</v>
      </c>
      <c r="N61" s="39">
        <v>1.007956144</v>
      </c>
      <c r="O61" s="39">
        <v>1.387127641</v>
      </c>
      <c r="P61" s="39">
        <v>1.7632584259999999</v>
      </c>
      <c r="Q61" s="39">
        <v>2.3634387170000002</v>
      </c>
      <c r="R61" s="39">
        <v>3.1253732250000001</v>
      </c>
      <c r="S61" s="39">
        <v>3.9334613209999998</v>
      </c>
      <c r="T61" s="39">
        <v>4.6841081789999999</v>
      </c>
      <c r="U61" s="39">
        <v>6.6024038330000003</v>
      </c>
      <c r="V61" s="39">
        <v>8.8570423649999999</v>
      </c>
      <c r="W61" s="39">
        <v>10.206462309999999</v>
      </c>
      <c r="X61" s="39">
        <v>11.663730210000001</v>
      </c>
      <c r="Y61" s="39">
        <v>13.79878789</v>
      </c>
      <c r="Z61" s="39">
        <v>17.563430069999999</v>
      </c>
      <c r="AA61" s="39">
        <v>23.412814999999998</v>
      </c>
      <c r="AB61" s="39">
        <v>29.66227138</v>
      </c>
      <c r="AC61" s="39">
        <v>36.05495226</v>
      </c>
      <c r="AD61" s="39">
        <v>43.668965499999999</v>
      </c>
      <c r="AE61" s="39">
        <v>49.894714520000001</v>
      </c>
      <c r="AF61" s="39">
        <v>54.489954820000001</v>
      </c>
      <c r="AG61" s="39">
        <v>57.507724119999999</v>
      </c>
      <c r="AH61" s="39">
        <v>59.215157990000002</v>
      </c>
      <c r="AI61" s="39">
        <v>61.271693110000001</v>
      </c>
      <c r="AJ61" s="39">
        <v>62.36509779</v>
      </c>
      <c r="AK61" s="39">
        <v>62.665764940000003</v>
      </c>
      <c r="AL61" s="39">
        <v>62.628200900000003</v>
      </c>
      <c r="AM61" s="39">
        <v>62.369038629999999</v>
      </c>
      <c r="AN61">
        <v>61.597941059999997</v>
      </c>
      <c r="AO61">
        <v>60.962951320000002</v>
      </c>
      <c r="AP61">
        <v>60.114597750000001</v>
      </c>
      <c r="AQ61">
        <v>59.28268602</v>
      </c>
      <c r="AR61">
        <v>57.878264379999997</v>
      </c>
      <c r="AS61">
        <v>56.590213200000001</v>
      </c>
      <c r="AT61">
        <v>55.163298990000001</v>
      </c>
      <c r="AU61" s="39">
        <v>53.505889230000001</v>
      </c>
      <c r="AV61">
        <v>51.82371448</v>
      </c>
      <c r="AW61">
        <v>48.812822490000002</v>
      </c>
    </row>
    <row r="62" spans="2:99" x14ac:dyDescent="0.25">
      <c r="B62" t="s">
        <v>162</v>
      </c>
      <c r="C62">
        <v>0.75461419315223899</v>
      </c>
      <c r="D62">
        <v>0.76672976811017601</v>
      </c>
      <c r="E62">
        <v>0.77903986250000001</v>
      </c>
      <c r="F62" s="39">
        <v>1.4770130459999999</v>
      </c>
      <c r="G62" s="39">
        <v>2.691639887</v>
      </c>
      <c r="H62">
        <v>4.4973340909999999</v>
      </c>
      <c r="I62">
        <v>6.3640554319999998</v>
      </c>
      <c r="J62">
        <v>8.8151713390000008</v>
      </c>
      <c r="K62" s="39">
        <v>10.71149793</v>
      </c>
      <c r="L62" s="39">
        <v>13.795327889999999</v>
      </c>
      <c r="M62" s="39">
        <v>18.386281759999999</v>
      </c>
      <c r="N62" s="39">
        <v>22.47623785</v>
      </c>
      <c r="O62" s="39">
        <v>30.745885380000001</v>
      </c>
      <c r="P62" s="39">
        <v>41.786160289999998</v>
      </c>
      <c r="Q62" s="39">
        <v>55.304045770000002</v>
      </c>
      <c r="R62" s="39">
        <v>71.768582319999894</v>
      </c>
      <c r="S62" s="39">
        <v>88.219307069999999</v>
      </c>
      <c r="T62" s="39">
        <v>102.3001194</v>
      </c>
      <c r="U62" s="39">
        <v>132.52390750000001</v>
      </c>
      <c r="V62" s="39">
        <v>170.3014589</v>
      </c>
      <c r="W62" s="39">
        <v>193.48900459999999</v>
      </c>
      <c r="X62" s="39">
        <v>218.61414830000001</v>
      </c>
      <c r="Y62" s="39">
        <v>255.4365766</v>
      </c>
      <c r="Z62" s="39">
        <v>322.01904630000001</v>
      </c>
      <c r="AA62" s="39">
        <v>425.73034769999998</v>
      </c>
      <c r="AB62" s="39">
        <v>534.87372500000004</v>
      </c>
      <c r="AC62" s="39">
        <v>645.0447504</v>
      </c>
      <c r="AD62" s="39">
        <v>776.40738180000005</v>
      </c>
      <c r="AE62" s="39">
        <v>881.36493259999997</v>
      </c>
      <c r="AF62" s="39">
        <v>957.06348360000004</v>
      </c>
      <c r="AG62" s="39">
        <v>1005.08314</v>
      </c>
      <c r="AH62" s="39">
        <v>1030.979253</v>
      </c>
      <c r="AI62" s="39">
        <v>1064.315838</v>
      </c>
      <c r="AJ62" s="39">
        <v>1082.2177429999999</v>
      </c>
      <c r="AK62" s="39">
        <v>1088.033203</v>
      </c>
      <c r="AL62" s="39">
        <v>1089.80519</v>
      </c>
      <c r="AM62" s="39">
        <v>1089.651145</v>
      </c>
      <c r="AN62">
        <v>1081.6563679999999</v>
      </c>
      <c r="AO62">
        <v>1077.377915</v>
      </c>
      <c r="AP62">
        <v>1070.9274949999999</v>
      </c>
      <c r="AQ62">
        <v>1066.1569790000001</v>
      </c>
      <c r="AR62">
        <v>1088.4737259999999</v>
      </c>
      <c r="AS62">
        <v>1083.8613829999999</v>
      </c>
      <c r="AT62">
        <v>1078.6150050000001</v>
      </c>
      <c r="AU62">
        <v>1070.9309960000001</v>
      </c>
      <c r="AV62">
        <v>1064.3568319999999</v>
      </c>
      <c r="AW62">
        <v>1034.5987110000001</v>
      </c>
    </row>
    <row r="63" spans="2:99" x14ac:dyDescent="0.25">
      <c r="B63" t="s">
        <v>163</v>
      </c>
      <c r="C63">
        <v>0.29742225840361802</v>
      </c>
      <c r="D63">
        <v>0.302197468966243</v>
      </c>
      <c r="E63">
        <v>0.30704934709999998</v>
      </c>
      <c r="F63" s="39">
        <v>0.58340274240000001</v>
      </c>
      <c r="G63" s="39">
        <v>1.062250275</v>
      </c>
      <c r="H63">
        <v>1.765007913</v>
      </c>
      <c r="I63">
        <v>2.495439637</v>
      </c>
      <c r="J63">
        <v>3.45415684</v>
      </c>
      <c r="K63" s="39">
        <v>4.1985575580000001</v>
      </c>
      <c r="L63" s="39">
        <v>5.402022326</v>
      </c>
      <c r="M63" s="39">
        <v>7.1784221480000001</v>
      </c>
      <c r="N63" s="39">
        <v>8.7602234469999996</v>
      </c>
      <c r="O63" s="39">
        <v>11.96652905</v>
      </c>
      <c r="P63" s="39">
        <v>16.497894469999999</v>
      </c>
      <c r="Q63" s="39">
        <v>21.780326880000001</v>
      </c>
      <c r="R63" s="39">
        <v>28.15474978</v>
      </c>
      <c r="S63" s="39">
        <v>34.429487780000002</v>
      </c>
      <c r="T63" s="39">
        <v>39.674019129999998</v>
      </c>
      <c r="U63" s="39">
        <v>50.156426310000001</v>
      </c>
      <c r="V63" s="39">
        <v>63.411427019999998</v>
      </c>
      <c r="W63" s="39">
        <v>71.593546349999997</v>
      </c>
      <c r="X63" s="39">
        <v>80.446390249999894</v>
      </c>
      <c r="Y63" s="39">
        <v>93.379990480000004</v>
      </c>
      <c r="Z63" s="39">
        <v>117.0642608</v>
      </c>
      <c r="AA63" s="39">
        <v>153.953789</v>
      </c>
      <c r="AB63" s="39">
        <v>192.28963769999999</v>
      </c>
      <c r="AC63" s="39">
        <v>230.46413860000001</v>
      </c>
      <c r="AD63" s="39">
        <v>275.86758500000002</v>
      </c>
      <c r="AE63" s="39">
        <v>311.09904160000002</v>
      </c>
      <c r="AF63" s="39">
        <v>335.48519670000002</v>
      </c>
      <c r="AG63" s="39">
        <v>349.67114529999998</v>
      </c>
      <c r="AH63" s="39">
        <v>355.83574720000001</v>
      </c>
      <c r="AI63" s="39">
        <v>364.54329589999998</v>
      </c>
      <c r="AJ63" s="39">
        <v>367.68340119999999</v>
      </c>
      <c r="AK63" s="39">
        <v>366.5591867</v>
      </c>
      <c r="AL63" s="39">
        <v>364.06263080000002</v>
      </c>
      <c r="AM63" s="39">
        <v>360.91525719999999</v>
      </c>
      <c r="AN63">
        <v>355.57017589999998</v>
      </c>
      <c r="AO63">
        <v>351.56571989999998</v>
      </c>
      <c r="AP63">
        <v>346.86931559999999</v>
      </c>
      <c r="AQ63">
        <v>342.80864609999998</v>
      </c>
      <c r="AR63">
        <v>341.56988230000002</v>
      </c>
      <c r="AS63">
        <v>337.62259829999999</v>
      </c>
      <c r="AT63">
        <v>333.54332749999998</v>
      </c>
      <c r="AU63">
        <v>328.78328160000001</v>
      </c>
      <c r="AV63">
        <v>324.48480039999998</v>
      </c>
      <c r="AW63">
        <v>313.0639223</v>
      </c>
    </row>
    <row r="64" spans="2:99" x14ac:dyDescent="0.25">
      <c r="B64" t="s">
        <v>164</v>
      </c>
      <c r="C64">
        <v>4.0548006191711396E-3</v>
      </c>
      <c r="D64">
        <v>4.1199017546743504E-3</v>
      </c>
      <c r="E64">
        <v>4.1860481099999999E-3</v>
      </c>
      <c r="F64" s="39">
        <v>9.7196126700000007E-3</v>
      </c>
      <c r="G64" s="39">
        <v>1.6409016299999999E-2</v>
      </c>
      <c r="H64">
        <v>1.3545672599999999E-2</v>
      </c>
      <c r="I64" s="39">
        <v>1.6141300800000001E-2</v>
      </c>
      <c r="J64" s="39">
        <v>1.90256935E-2</v>
      </c>
      <c r="K64" s="39">
        <v>2.4976549000000001E-2</v>
      </c>
      <c r="L64" s="39">
        <v>2.4831253000000001E-2</v>
      </c>
      <c r="M64" s="39">
        <v>3.7338130400000002E-3</v>
      </c>
      <c r="N64" s="39">
        <v>3.4234885700000002E-2</v>
      </c>
      <c r="O64" s="39">
        <v>4.6832114399999999E-2</v>
      </c>
      <c r="P64" s="39">
        <v>0.2647971267</v>
      </c>
      <c r="Q64" s="39">
        <v>0.27299596840000001</v>
      </c>
      <c r="R64" s="39">
        <v>0.20043122299999999</v>
      </c>
      <c r="S64" s="39">
        <v>0.1343691041</v>
      </c>
      <c r="T64" s="39">
        <v>0.15583636009999999</v>
      </c>
      <c r="U64" s="39">
        <v>0.20210521719999999</v>
      </c>
      <c r="V64" s="39">
        <v>0.26004898360000001</v>
      </c>
      <c r="W64" s="39">
        <v>0.29563268920000002</v>
      </c>
      <c r="X64" s="39">
        <v>0.33421178820000003</v>
      </c>
      <c r="Y64" s="39">
        <v>0.39079334100000002</v>
      </c>
      <c r="Z64" s="39">
        <v>0.49299098920000001</v>
      </c>
      <c r="AA64" s="39">
        <v>0.65220755109999995</v>
      </c>
      <c r="AB64" s="39">
        <v>0.82006838940000004</v>
      </c>
      <c r="AC64" s="39">
        <v>0.98986942450000004</v>
      </c>
      <c r="AD64" s="39">
        <v>1.192462594</v>
      </c>
      <c r="AE64" s="39">
        <v>1.3551056239999999</v>
      </c>
      <c r="AF64" s="39">
        <v>1.47323333</v>
      </c>
      <c r="AG64" s="39">
        <v>1.5492597269999999</v>
      </c>
      <c r="AH64" s="39">
        <v>1.5916011269999999</v>
      </c>
      <c r="AI64" s="39">
        <v>1.6456114019999999</v>
      </c>
      <c r="AJ64" s="39">
        <v>1.676191794</v>
      </c>
      <c r="AK64" s="39">
        <v>1.6884070849999999</v>
      </c>
      <c r="AL64" s="39">
        <v>1.694572344</v>
      </c>
      <c r="AM64" s="39">
        <v>1.697976693</v>
      </c>
      <c r="AN64">
        <v>1.688888307</v>
      </c>
      <c r="AO64">
        <v>1.685636989</v>
      </c>
      <c r="AP64">
        <v>1.6791559170000001</v>
      </c>
      <c r="AQ64">
        <v>1.6753757579999999</v>
      </c>
      <c r="AR64">
        <v>1.7243706759999999</v>
      </c>
      <c r="AS64">
        <v>1.7217240439999999</v>
      </c>
      <c r="AT64">
        <v>1.718217358</v>
      </c>
      <c r="AU64">
        <v>1.7109658480000001</v>
      </c>
      <c r="AV64">
        <v>1.705523661</v>
      </c>
      <c r="AW64" s="39">
        <v>1.663386</v>
      </c>
      <c r="BV64" s="39"/>
    </row>
    <row r="65" spans="2:49" x14ac:dyDescent="0.25">
      <c r="B65" t="s">
        <v>165</v>
      </c>
      <c r="C65">
        <v>4.9816121892674002E-2</v>
      </c>
      <c r="D65">
        <v>5.0615935843142099E-2</v>
      </c>
      <c r="E65">
        <v>5.1428591099999997E-2</v>
      </c>
      <c r="F65" s="39">
        <v>9.9107715200000002E-2</v>
      </c>
      <c r="G65" s="39">
        <v>0.17943463030000001</v>
      </c>
      <c r="H65">
        <v>0.28748665210000002</v>
      </c>
      <c r="I65">
        <v>0.40416442930000002</v>
      </c>
      <c r="J65">
        <v>0.55692084230000005</v>
      </c>
      <c r="K65" s="39">
        <v>0.67834584630000005</v>
      </c>
      <c r="L65" s="39">
        <v>0.86725515689999999</v>
      </c>
      <c r="M65" s="39">
        <v>1.130535487</v>
      </c>
      <c r="N65" s="39">
        <v>1.3645284179999999</v>
      </c>
      <c r="O65" s="39">
        <v>1.8472075539999999</v>
      </c>
      <c r="P65" s="39">
        <v>2.7946727990000002</v>
      </c>
      <c r="Q65" s="39">
        <v>3.6293398159999999</v>
      </c>
      <c r="R65" s="39">
        <v>4.5739322150000001</v>
      </c>
      <c r="S65" s="39">
        <v>5.4088092420000002</v>
      </c>
      <c r="T65" s="39">
        <v>5.9859718510000004</v>
      </c>
      <c r="U65" s="39">
        <v>6.499177778</v>
      </c>
      <c r="V65" s="39">
        <v>7.4513394579999996</v>
      </c>
      <c r="W65" s="39">
        <v>8.1088411929999999</v>
      </c>
      <c r="X65" s="39">
        <v>8.8267740539999995</v>
      </c>
      <c r="Y65" s="39">
        <v>9.8695820029999997</v>
      </c>
      <c r="Z65" s="39">
        <v>11.99157844</v>
      </c>
      <c r="AA65" s="39">
        <v>15.31884707</v>
      </c>
      <c r="AB65" s="39">
        <v>18.532778359999998</v>
      </c>
      <c r="AC65" s="39">
        <v>21.49025425</v>
      </c>
      <c r="AD65" s="39">
        <v>24.990195419999999</v>
      </c>
      <c r="AE65" s="39">
        <v>27.243919770000002</v>
      </c>
      <c r="AF65" s="39">
        <v>28.378713050000002</v>
      </c>
      <c r="AG65" s="39">
        <v>28.514239</v>
      </c>
      <c r="AH65" s="39">
        <v>27.950210129999999</v>
      </c>
      <c r="AI65" s="39">
        <v>27.657484589999999</v>
      </c>
      <c r="AJ65" s="39">
        <v>26.92663327</v>
      </c>
      <c r="AK65" s="39">
        <v>25.917660470000001</v>
      </c>
      <c r="AL65" s="39">
        <v>24.891554490000001</v>
      </c>
      <c r="AM65" s="39">
        <v>23.898174449999999</v>
      </c>
      <c r="AN65">
        <v>22.922664789999999</v>
      </c>
      <c r="AO65">
        <v>22.114097099999999</v>
      </c>
      <c r="AP65">
        <v>21.315631289999999</v>
      </c>
      <c r="AQ65">
        <v>20.620462280000002</v>
      </c>
      <c r="AR65">
        <v>19.351465080000001</v>
      </c>
      <c r="AS65">
        <v>18.849547000000001</v>
      </c>
      <c r="AT65">
        <v>18.383422119999999</v>
      </c>
      <c r="AU65">
        <v>17.92018667</v>
      </c>
      <c r="AV65">
        <v>17.522376170000001</v>
      </c>
      <c r="AW65">
        <v>16.76638724</v>
      </c>
    </row>
    <row r="66" spans="2:49" x14ac:dyDescent="0.25">
      <c r="B66" t="s">
        <v>166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167</v>
      </c>
      <c r="C67">
        <v>5.2121797950038999</v>
      </c>
      <c r="D67">
        <v>5.29586302754001</v>
      </c>
      <c r="E67">
        <v>5.3808898210000002</v>
      </c>
      <c r="F67">
        <v>5.4337238960000001</v>
      </c>
      <c r="G67">
        <v>4.4759390799999998</v>
      </c>
      <c r="H67">
        <v>3.8775699530000001</v>
      </c>
      <c r="I67">
        <v>3.7511113370000002</v>
      </c>
      <c r="J67">
        <v>3.5764240049999998</v>
      </c>
      <c r="K67">
        <v>3.4503435709999999</v>
      </c>
      <c r="L67">
        <v>3.702466614</v>
      </c>
      <c r="M67">
        <v>3.8088633340000002</v>
      </c>
      <c r="N67">
        <v>3.8797746900000001</v>
      </c>
      <c r="O67">
        <v>2.9653367749999999</v>
      </c>
      <c r="P67">
        <v>2.4454140199999999</v>
      </c>
      <c r="Q67">
        <v>2.1149005679999999</v>
      </c>
      <c r="R67">
        <v>1.8997196430000001</v>
      </c>
      <c r="S67">
        <v>1.7254365659999999</v>
      </c>
      <c r="T67">
        <v>1.6763247269999999</v>
      </c>
      <c r="U67">
        <v>1.659046974</v>
      </c>
      <c r="V67">
        <v>1.653892642</v>
      </c>
      <c r="W67">
        <v>1.500052972</v>
      </c>
      <c r="X67">
        <v>1.305131077</v>
      </c>
      <c r="Y67">
        <v>1.1820997</v>
      </c>
      <c r="Z67">
        <v>1.088437616</v>
      </c>
      <c r="AA67">
        <v>1.010937231</v>
      </c>
      <c r="AB67">
        <v>0.94203633710000001</v>
      </c>
      <c r="AC67">
        <v>0.88409441190000004</v>
      </c>
      <c r="AD67">
        <v>0.88378942819999995</v>
      </c>
      <c r="AE67">
        <v>0.89441372190000001</v>
      </c>
      <c r="AF67">
        <v>0.9073439137</v>
      </c>
      <c r="AG67">
        <v>0.92205685069999999</v>
      </c>
      <c r="AH67">
        <v>0.93717001690000001</v>
      </c>
      <c r="AI67">
        <v>0.95206085340000002</v>
      </c>
      <c r="AJ67">
        <v>0.96912423560000005</v>
      </c>
      <c r="AK67">
        <v>0.98705131180000005</v>
      </c>
      <c r="AL67">
        <v>1.0050655930000001</v>
      </c>
      <c r="AM67">
        <v>1.0249357729999999</v>
      </c>
      <c r="AN67">
        <v>1.0384270250000001</v>
      </c>
      <c r="AO67">
        <v>1.050489494</v>
      </c>
      <c r="AP67">
        <v>1.0609379569999999</v>
      </c>
      <c r="AQ67">
        <v>1.071768177</v>
      </c>
      <c r="AR67">
        <v>1.0814063309999999</v>
      </c>
      <c r="AS67">
        <v>1.094377894</v>
      </c>
      <c r="AT67">
        <v>1.1083905810000001</v>
      </c>
      <c r="AU67">
        <v>1.121828651</v>
      </c>
      <c r="AV67">
        <v>1.1352417539999999</v>
      </c>
      <c r="AW67">
        <v>1.147895479</v>
      </c>
    </row>
    <row r="68" spans="2:49" x14ac:dyDescent="0.25">
      <c r="B68" t="s">
        <v>168</v>
      </c>
      <c r="C68">
        <v>0.35839918454870201</v>
      </c>
      <c r="D68">
        <v>0.36415339938413299</v>
      </c>
      <c r="E68">
        <v>0.37</v>
      </c>
      <c r="F68">
        <v>0.36699583270000002</v>
      </c>
      <c r="G68">
        <v>0.36315778160000001</v>
      </c>
      <c r="H68">
        <v>0.35900635580000001</v>
      </c>
      <c r="I68">
        <v>0.35702438959999999</v>
      </c>
      <c r="J68">
        <v>0.35496625009999999</v>
      </c>
      <c r="K68">
        <v>0.3515893873</v>
      </c>
      <c r="L68">
        <v>0.34669406530000002</v>
      </c>
      <c r="M68">
        <v>0.34188051200000003</v>
      </c>
      <c r="N68">
        <v>0.33851726789999997</v>
      </c>
      <c r="O68">
        <v>0.3381152456</v>
      </c>
      <c r="P68">
        <v>0.33874101379999999</v>
      </c>
      <c r="Q68">
        <v>0.33819739780000002</v>
      </c>
      <c r="R68">
        <v>0.33351738539999998</v>
      </c>
      <c r="S68">
        <v>0.3273750668</v>
      </c>
      <c r="T68">
        <v>0.31968041679999998</v>
      </c>
      <c r="U68">
        <v>0.31219329709999999</v>
      </c>
      <c r="V68">
        <v>0.30512125890000003</v>
      </c>
      <c r="W68">
        <v>0.29916801910000002</v>
      </c>
      <c r="X68">
        <v>0.29383006169999998</v>
      </c>
      <c r="Y68">
        <v>0.28731344409999998</v>
      </c>
      <c r="Z68">
        <v>0.28007050389999999</v>
      </c>
      <c r="AA68">
        <v>0.27267673869999998</v>
      </c>
      <c r="AB68">
        <v>0.2650768322</v>
      </c>
      <c r="AC68">
        <v>0.2567868868</v>
      </c>
      <c r="AD68">
        <v>0.24812447970000001</v>
      </c>
      <c r="AE68">
        <v>0.2396178085</v>
      </c>
      <c r="AF68">
        <v>0.23154115829999999</v>
      </c>
      <c r="AG68">
        <v>0.22397710439999999</v>
      </c>
      <c r="AH68">
        <v>0.21688790829999999</v>
      </c>
      <c r="AI68">
        <v>0.21035286040000001</v>
      </c>
      <c r="AJ68">
        <v>0.20435126670000001</v>
      </c>
      <c r="AK68" s="39">
        <v>0.1988363762</v>
      </c>
      <c r="AL68" s="39">
        <v>0.1937378911</v>
      </c>
      <c r="AM68" s="39">
        <v>0.18862888720000001</v>
      </c>
      <c r="AN68" s="39">
        <v>0.183690147</v>
      </c>
      <c r="AO68" s="39">
        <v>0.17907170629999999</v>
      </c>
      <c r="AP68" s="39">
        <v>0.17479226989999999</v>
      </c>
      <c r="AQ68" s="39">
        <v>0.17064848390000001</v>
      </c>
      <c r="AR68" s="39">
        <v>0.16669847539999999</v>
      </c>
      <c r="AS68" s="39">
        <v>0.16293970760000001</v>
      </c>
      <c r="AT68" s="39">
        <v>0.1591480669</v>
      </c>
      <c r="AU68" s="39">
        <v>0.15530410510000001</v>
      </c>
      <c r="AV68">
        <v>0.15141694950000001</v>
      </c>
      <c r="AW68">
        <v>0.14751532789999999</v>
      </c>
    </row>
    <row r="69" spans="2:49" x14ac:dyDescent="0.25">
      <c r="B69" t="s">
        <v>169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170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171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</row>
    <row r="72" spans="2:49" x14ac:dyDescent="0.25">
      <c r="B72" t="s">
        <v>172</v>
      </c>
      <c r="C72">
        <v>2.1503951072922098</v>
      </c>
      <c r="D72">
        <v>2.1849203963048001</v>
      </c>
      <c r="E72">
        <v>2.2200000000000002</v>
      </c>
      <c r="F72">
        <v>2.2904871510000002</v>
      </c>
      <c r="G72">
        <v>2.188421478</v>
      </c>
      <c r="H72">
        <v>2.31195656</v>
      </c>
      <c r="I72">
        <v>2.3785918619999999</v>
      </c>
      <c r="J72">
        <v>2.2482446930000002</v>
      </c>
      <c r="K72">
        <v>2.1625942309999999</v>
      </c>
      <c r="L72">
        <v>2.105355614</v>
      </c>
      <c r="M72">
        <v>2.253438665</v>
      </c>
      <c r="N72">
        <v>2.4072938719999999</v>
      </c>
      <c r="O72">
        <v>2.4908241840000001</v>
      </c>
      <c r="P72">
        <v>2.5002741209999999</v>
      </c>
      <c r="Q72">
        <v>2.3250490689999999</v>
      </c>
      <c r="R72">
        <v>2.3126766729999999</v>
      </c>
      <c r="S72">
        <v>2.3487631879999999</v>
      </c>
      <c r="T72">
        <v>2.4032891279999999</v>
      </c>
      <c r="U72">
        <v>2.4629418049999998</v>
      </c>
      <c r="V72">
        <v>2.5389883059999998</v>
      </c>
      <c r="W72">
        <v>2.604199682</v>
      </c>
      <c r="X72">
        <v>2.6556318139999999</v>
      </c>
      <c r="Y72">
        <v>2.6982215859999998</v>
      </c>
      <c r="Z72">
        <v>2.7276588400000001</v>
      </c>
      <c r="AA72">
        <v>2.7564954130000001</v>
      </c>
      <c r="AB72">
        <v>2.7740814880000002</v>
      </c>
      <c r="AC72">
        <v>2.7845793429999999</v>
      </c>
      <c r="AD72">
        <v>2.7957015030000001</v>
      </c>
      <c r="AE72">
        <v>2.808946283</v>
      </c>
      <c r="AF72">
        <v>2.8236059600000001</v>
      </c>
      <c r="AG72">
        <v>2.8390018330000002</v>
      </c>
      <c r="AH72">
        <v>2.8541274589999999</v>
      </c>
      <c r="AI72">
        <v>2.8774843950000002</v>
      </c>
      <c r="AJ72">
        <v>2.9048248459999999</v>
      </c>
      <c r="AK72">
        <v>2.9328185740000001</v>
      </c>
      <c r="AL72">
        <v>2.9591694999999998</v>
      </c>
      <c r="AM72">
        <v>2.9881329609999998</v>
      </c>
      <c r="AN72">
        <v>3.0180223229999998</v>
      </c>
      <c r="AO72">
        <v>3.050840193</v>
      </c>
      <c r="AP72">
        <v>3.0813732790000001</v>
      </c>
      <c r="AQ72">
        <v>3.1153657840000002</v>
      </c>
      <c r="AR72">
        <v>3.1477769740000001</v>
      </c>
      <c r="AS72">
        <v>3.175143362</v>
      </c>
      <c r="AT72">
        <v>3.2039241440000001</v>
      </c>
      <c r="AU72">
        <v>3.2310426990000001</v>
      </c>
      <c r="AV72">
        <v>3.2617638009999999</v>
      </c>
      <c r="AW72">
        <v>3.2903170030000002</v>
      </c>
    </row>
    <row r="73" spans="2:49" x14ac:dyDescent="0.25">
      <c r="B73" t="s">
        <v>173</v>
      </c>
      <c r="C73">
        <v>17.283948650263198</v>
      </c>
      <c r="D73">
        <v>17.561448036494799</v>
      </c>
      <c r="E73">
        <v>17.843402770000001</v>
      </c>
      <c r="F73">
        <v>18.098531829999999</v>
      </c>
      <c r="G73">
        <v>16.918932600000002</v>
      </c>
      <c r="H73">
        <v>15.954091829999999</v>
      </c>
      <c r="I73">
        <v>14.82769259</v>
      </c>
      <c r="J73">
        <v>14.712336049999999</v>
      </c>
      <c r="K73">
        <v>13.55555215</v>
      </c>
      <c r="L73">
        <v>13.25719408</v>
      </c>
      <c r="M73">
        <v>13.50527013</v>
      </c>
      <c r="N73">
        <v>14.0791413</v>
      </c>
      <c r="O73">
        <v>13.110800879999999</v>
      </c>
      <c r="P73">
        <v>11.801181359999999</v>
      </c>
      <c r="Q73">
        <v>10.45239112</v>
      </c>
      <c r="R73">
        <v>9.5516754259999903</v>
      </c>
      <c r="S73">
        <v>8.8272969410000002</v>
      </c>
      <c r="T73">
        <v>8.63354979</v>
      </c>
      <c r="U73">
        <v>8.5065270589999997</v>
      </c>
      <c r="V73">
        <v>8.4094103610000008</v>
      </c>
      <c r="W73">
        <v>7.5858258369999998</v>
      </c>
      <c r="X73">
        <v>6.5523544779999998</v>
      </c>
      <c r="Y73">
        <v>5.9288383089999996</v>
      </c>
      <c r="Z73">
        <v>5.4106587419999999</v>
      </c>
      <c r="AA73">
        <v>4.9738362220000001</v>
      </c>
      <c r="AB73">
        <v>4.5960899709999996</v>
      </c>
      <c r="AC73">
        <v>4.283912731</v>
      </c>
      <c r="AD73">
        <v>4.2661331389999999</v>
      </c>
      <c r="AE73">
        <v>4.3086114899999997</v>
      </c>
      <c r="AF73">
        <v>4.3647370370000003</v>
      </c>
      <c r="AG73">
        <v>4.42786978</v>
      </c>
      <c r="AH73">
        <v>4.4958119920000001</v>
      </c>
      <c r="AI73">
        <v>4.5618847020000004</v>
      </c>
      <c r="AJ73">
        <v>4.6397957830000003</v>
      </c>
      <c r="AK73">
        <v>4.7231404369999996</v>
      </c>
      <c r="AL73">
        <v>4.8059075010000001</v>
      </c>
      <c r="AM73">
        <v>4.9038147350000001</v>
      </c>
      <c r="AN73">
        <v>4.9805243340000001</v>
      </c>
      <c r="AO73">
        <v>5.0548758960000004</v>
      </c>
      <c r="AP73">
        <v>5.1258151449999998</v>
      </c>
      <c r="AQ73">
        <v>5.2106439160000004</v>
      </c>
      <c r="AR73">
        <v>5.2953870289999996</v>
      </c>
      <c r="AS73">
        <v>5.3784477040000001</v>
      </c>
      <c r="AT73">
        <v>5.4687343650000004</v>
      </c>
      <c r="AU73">
        <v>5.5572431299999998</v>
      </c>
      <c r="AV73">
        <v>5.6497063519999999</v>
      </c>
      <c r="AW73">
        <v>5.7429935050000003</v>
      </c>
    </row>
    <row r="74" spans="2:49" x14ac:dyDescent="0.25">
      <c r="B74" t="s">
        <v>174</v>
      </c>
      <c r="C74">
        <v>9.6518912203120095</v>
      </c>
      <c r="D74">
        <v>9.8068554558467902</v>
      </c>
      <c r="E74">
        <v>9.9643076920000002</v>
      </c>
      <c r="F74">
        <v>9.5295532109999996</v>
      </c>
      <c r="G74">
        <v>8.8475728379999996</v>
      </c>
      <c r="H74">
        <v>9.0427321910000007</v>
      </c>
      <c r="I74">
        <v>8.4176690329999904</v>
      </c>
      <c r="J74">
        <v>7.8480090999999996</v>
      </c>
      <c r="K74">
        <v>7.4416099170000001</v>
      </c>
      <c r="L74">
        <v>7.2607890250000002</v>
      </c>
      <c r="M74">
        <v>7.1185250130000002</v>
      </c>
      <c r="N74">
        <v>7.1809389299999999</v>
      </c>
      <c r="O74">
        <v>7.1729370389999998</v>
      </c>
      <c r="P74">
        <v>6.9467444089999999</v>
      </c>
      <c r="Q74">
        <v>6.6772127469999996</v>
      </c>
      <c r="R74">
        <v>6.613781168</v>
      </c>
      <c r="S74">
        <v>6.4424024400000004</v>
      </c>
      <c r="T74">
        <v>6.3421080009999997</v>
      </c>
      <c r="U74">
        <v>6.2348415160000004</v>
      </c>
      <c r="V74">
        <v>6.1019220350000003</v>
      </c>
      <c r="W74">
        <v>6.0241431270000003</v>
      </c>
      <c r="X74">
        <v>5.9482435139999996</v>
      </c>
      <c r="Y74">
        <v>5.9373355569999999</v>
      </c>
      <c r="Z74">
        <v>5.8310428630000004</v>
      </c>
      <c r="AA74">
        <v>5.7123249960000004</v>
      </c>
      <c r="AB74">
        <v>5.5677191119999998</v>
      </c>
      <c r="AC74">
        <v>5.4017847679999997</v>
      </c>
      <c r="AD74">
        <v>5.2383989099999999</v>
      </c>
      <c r="AE74">
        <v>5.0786673000000002</v>
      </c>
      <c r="AF74">
        <v>4.9265129480000001</v>
      </c>
      <c r="AG74">
        <v>4.7994221970000002</v>
      </c>
      <c r="AH74">
        <v>4.672400176</v>
      </c>
      <c r="AI74">
        <v>4.5614013289999997</v>
      </c>
      <c r="AJ74">
        <v>4.4752278109999999</v>
      </c>
      <c r="AK74">
        <v>4.3969382680000004</v>
      </c>
      <c r="AL74">
        <v>4.3567294040000002</v>
      </c>
      <c r="AM74">
        <v>4.3172707460000002</v>
      </c>
      <c r="AN74">
        <v>4.2158470049999996</v>
      </c>
      <c r="AO74">
        <v>4.1241270319999996</v>
      </c>
      <c r="AP74">
        <v>4.0385496349999999</v>
      </c>
      <c r="AQ74">
        <v>3.9590915880000002</v>
      </c>
      <c r="AR74">
        <v>3.8785502589999998</v>
      </c>
      <c r="AS74">
        <v>3.8249134900000001</v>
      </c>
      <c r="AT74">
        <v>3.7632190479999998</v>
      </c>
      <c r="AU74">
        <v>3.698151985</v>
      </c>
      <c r="AV74">
        <v>3.6297365190000002</v>
      </c>
      <c r="AW74">
        <v>3.5597730520000002</v>
      </c>
    </row>
    <row r="75" spans="2:49" x14ac:dyDescent="0.25">
      <c r="B75" t="s">
        <v>175</v>
      </c>
      <c r="C75">
        <v>4.6065844460580001</v>
      </c>
      <c r="D75">
        <v>4.68054464938142</v>
      </c>
      <c r="E75">
        <v>4.7556923080000004</v>
      </c>
      <c r="F75">
        <v>4.7566597249999996</v>
      </c>
      <c r="G75">
        <v>4.4793517329999997</v>
      </c>
      <c r="H75">
        <v>4.3032852459999997</v>
      </c>
      <c r="I75">
        <v>4.1807185220000003</v>
      </c>
      <c r="J75">
        <v>3.9651263079999999</v>
      </c>
      <c r="K75">
        <v>3.745140906</v>
      </c>
      <c r="L75">
        <v>3.635302743</v>
      </c>
      <c r="M75">
        <v>3.5965248189999999</v>
      </c>
      <c r="N75">
        <v>3.6196490689999998</v>
      </c>
      <c r="O75">
        <v>3.3863347620000002</v>
      </c>
      <c r="P75">
        <v>3.145738159</v>
      </c>
      <c r="Q75">
        <v>2.9446928890000001</v>
      </c>
      <c r="R75">
        <v>2.7792061170000002</v>
      </c>
      <c r="S75">
        <v>2.6039873509999998</v>
      </c>
      <c r="T75">
        <v>2.6066558780000002</v>
      </c>
      <c r="U75">
        <v>2.6169436909999999</v>
      </c>
      <c r="V75">
        <v>2.616496331</v>
      </c>
      <c r="W75">
        <v>2.1827231770000002</v>
      </c>
      <c r="X75">
        <v>1.8536865659999999</v>
      </c>
      <c r="Y75">
        <v>1.644470981</v>
      </c>
      <c r="Z75">
        <v>1.479158991</v>
      </c>
      <c r="AA75">
        <v>1.3459787009999999</v>
      </c>
      <c r="AB75">
        <v>1.2541958609999999</v>
      </c>
      <c r="AC75">
        <v>1.1766103830000001</v>
      </c>
      <c r="AD75">
        <v>1.1721213960000001</v>
      </c>
      <c r="AE75">
        <v>1.1734796249999999</v>
      </c>
      <c r="AF75">
        <v>1.1742945920000001</v>
      </c>
      <c r="AG75">
        <v>1.178287745</v>
      </c>
      <c r="AH75">
        <v>1.181429619</v>
      </c>
      <c r="AI75">
        <v>1.1798984619999999</v>
      </c>
      <c r="AJ75">
        <v>1.1788609189999999</v>
      </c>
      <c r="AK75">
        <v>1.177394703</v>
      </c>
      <c r="AL75">
        <v>1.187273802</v>
      </c>
      <c r="AM75">
        <v>1.1976823839999999</v>
      </c>
      <c r="AN75">
        <v>1.193755806</v>
      </c>
      <c r="AO75">
        <v>1.188326072</v>
      </c>
      <c r="AP75">
        <v>1.1824437130000001</v>
      </c>
      <c r="AQ75">
        <v>1.176170594</v>
      </c>
      <c r="AR75">
        <v>1.1686371250000001</v>
      </c>
      <c r="AS75">
        <v>1.1716541760000001</v>
      </c>
      <c r="AT75">
        <v>1.1747809840000001</v>
      </c>
      <c r="AU75">
        <v>1.177586392</v>
      </c>
      <c r="AV75">
        <v>1.1795555390000001</v>
      </c>
      <c r="AW75">
        <v>1.1812117550000001</v>
      </c>
    </row>
    <row r="76" spans="2:49" x14ac:dyDescent="0.25">
      <c r="B76" t="s">
        <v>176</v>
      </c>
      <c r="C76">
        <v>23.690015269078899</v>
      </c>
      <c r="D76">
        <v>24.070366126976499</v>
      </c>
      <c r="E76">
        <v>24.45682364</v>
      </c>
      <c r="F76">
        <v>25.373063080000001</v>
      </c>
      <c r="G76">
        <v>24.95547401</v>
      </c>
      <c r="H76">
        <v>25.11600615</v>
      </c>
      <c r="I76">
        <v>25.225240500000002</v>
      </c>
      <c r="J76">
        <v>25.10512451</v>
      </c>
      <c r="K76">
        <v>24.879365270000001</v>
      </c>
      <c r="L76">
        <v>24.663148580000001</v>
      </c>
      <c r="M76">
        <v>24.517799350000001</v>
      </c>
      <c r="N76">
        <v>24.309185230000001</v>
      </c>
      <c r="O76">
        <v>24.1919124</v>
      </c>
      <c r="P76">
        <v>23.941748090000001</v>
      </c>
      <c r="Q76">
        <v>23.65262731</v>
      </c>
      <c r="R76">
        <v>23.38464587</v>
      </c>
      <c r="S76">
        <v>23.34422906</v>
      </c>
      <c r="T76">
        <v>23.200316050000001</v>
      </c>
      <c r="U76">
        <v>22.934727110000001</v>
      </c>
      <c r="V76">
        <v>22.627866640000001</v>
      </c>
      <c r="W76">
        <v>22.266137130000001</v>
      </c>
      <c r="X76">
        <v>21.849143739999999</v>
      </c>
      <c r="Y76">
        <v>21.364453739999998</v>
      </c>
      <c r="Z76">
        <v>20.807580340000001</v>
      </c>
      <c r="AA76">
        <v>20.168413730000001</v>
      </c>
      <c r="AB76">
        <v>19.43591138</v>
      </c>
      <c r="AC76">
        <v>18.62106653</v>
      </c>
      <c r="AD76">
        <v>17.836877220000002</v>
      </c>
      <c r="AE76">
        <v>17.010064379999999</v>
      </c>
      <c r="AF76">
        <v>16.165596239999999</v>
      </c>
      <c r="AG76">
        <v>15.32583956</v>
      </c>
      <c r="AH76">
        <v>14.50634552</v>
      </c>
      <c r="AI76">
        <v>13.70160358</v>
      </c>
      <c r="AJ76">
        <v>12.932285269999999</v>
      </c>
      <c r="AK76">
        <v>12.199696919999999</v>
      </c>
      <c r="AL76">
        <v>11.50370141</v>
      </c>
      <c r="AM76">
        <v>10.843387160000001</v>
      </c>
      <c r="AN76">
        <v>10.22256861</v>
      </c>
      <c r="AO76">
        <v>9.6368206579999995</v>
      </c>
      <c r="AP76">
        <v>9.0842718540000007</v>
      </c>
      <c r="AQ76">
        <v>8.5631043360000003</v>
      </c>
      <c r="AR76">
        <v>8.0357026190000003</v>
      </c>
      <c r="AS76">
        <v>7.5428811590000002</v>
      </c>
      <c r="AT76">
        <v>7.0800495310000002</v>
      </c>
      <c r="AU76">
        <v>6.6454021430000001</v>
      </c>
      <c r="AV76">
        <v>6.2372394980000001</v>
      </c>
      <c r="AW76">
        <v>5.8539627269999999</v>
      </c>
    </row>
    <row r="77" spans="2:49" x14ac:dyDescent="0.25">
      <c r="B77" t="s">
        <v>177</v>
      </c>
      <c r="C77">
        <v>20.7498358478441</v>
      </c>
      <c r="D77">
        <v>21.0829811741058</v>
      </c>
      <c r="E77">
        <v>21.431011170000001</v>
      </c>
      <c r="F77">
        <v>21.888894879999999</v>
      </c>
      <c r="G77">
        <v>21.064238419999999</v>
      </c>
      <c r="H77">
        <v>19.551875620000001</v>
      </c>
      <c r="I77">
        <v>19.938863609999999</v>
      </c>
      <c r="J77">
        <v>19.3953323</v>
      </c>
      <c r="K77">
        <v>19.575333189999998</v>
      </c>
      <c r="L77">
        <v>19.099708010000001</v>
      </c>
      <c r="M77">
        <v>19.04039654</v>
      </c>
      <c r="N77">
        <v>19.046454369999999</v>
      </c>
      <c r="O77">
        <v>18.87100929</v>
      </c>
      <c r="P77">
        <v>19.073210970000002</v>
      </c>
      <c r="Q77">
        <v>18.864433399999999</v>
      </c>
      <c r="R77">
        <v>18.739566679999999</v>
      </c>
      <c r="S77">
        <v>18.620895900000001</v>
      </c>
      <c r="T77">
        <v>18.721043359999999</v>
      </c>
      <c r="U77">
        <v>18.875565430000002</v>
      </c>
      <c r="V77">
        <v>19.16719045</v>
      </c>
      <c r="W77">
        <v>19.276428930000002</v>
      </c>
      <c r="X77">
        <v>19.30416292</v>
      </c>
      <c r="Y77">
        <v>19.13765064</v>
      </c>
      <c r="Z77">
        <v>18.962731120000001</v>
      </c>
      <c r="AA77">
        <v>18.770453150000002</v>
      </c>
      <c r="AB77">
        <v>18.426622250000001</v>
      </c>
      <c r="AC77">
        <v>18.096586640000002</v>
      </c>
      <c r="AD77">
        <v>17.471150160000001</v>
      </c>
      <c r="AE77">
        <v>16.857123269999999</v>
      </c>
      <c r="AF77">
        <v>16.261925609999999</v>
      </c>
      <c r="AG77">
        <v>15.656988549999999</v>
      </c>
      <c r="AH77">
        <v>15.07670693</v>
      </c>
      <c r="AI77">
        <v>14.39717306</v>
      </c>
      <c r="AJ77">
        <v>13.72517991</v>
      </c>
      <c r="AK77">
        <v>13.050464249999999</v>
      </c>
      <c r="AL77">
        <v>12.37297538</v>
      </c>
      <c r="AM77">
        <v>11.711652640000001</v>
      </c>
      <c r="AN77">
        <v>11.265967180000001</v>
      </c>
      <c r="AO77">
        <v>10.81830613</v>
      </c>
      <c r="AP77">
        <v>10.346013360000001</v>
      </c>
      <c r="AQ77">
        <v>9.8992708799999996</v>
      </c>
      <c r="AR77">
        <v>9.4523536860000004</v>
      </c>
      <c r="AS77">
        <v>9.2524312890000004</v>
      </c>
      <c r="AT77">
        <v>9.0735675869999994</v>
      </c>
      <c r="AU77">
        <v>8.8802214090000007</v>
      </c>
      <c r="AV77">
        <v>8.7001208709999904</v>
      </c>
      <c r="AW77">
        <v>8.5008553720000002</v>
      </c>
    </row>
    <row r="78" spans="2:49" x14ac:dyDescent="0.25">
      <c r="B78" t="s">
        <v>178</v>
      </c>
      <c r="C78">
        <v>0.28090746897060398</v>
      </c>
      <c r="D78">
        <v>0.28541752924702302</v>
      </c>
      <c r="E78">
        <v>0.28999999999999998</v>
      </c>
      <c r="F78">
        <v>0.3008631658</v>
      </c>
      <c r="G78">
        <v>0.30332043139999998</v>
      </c>
      <c r="H78">
        <v>0.29531501249999997</v>
      </c>
      <c r="I78">
        <v>0.31074715539999997</v>
      </c>
      <c r="J78">
        <v>0.31322553739999998</v>
      </c>
      <c r="K78">
        <v>0.31965125519999998</v>
      </c>
      <c r="L78">
        <v>0.31054049989999999</v>
      </c>
      <c r="M78">
        <v>0.3213577266</v>
      </c>
      <c r="N78">
        <v>0.31377965889999998</v>
      </c>
      <c r="O78">
        <v>0.3007220142</v>
      </c>
      <c r="P78">
        <v>0.30573454760000002</v>
      </c>
      <c r="Q78">
        <v>0.30680145759999999</v>
      </c>
      <c r="R78">
        <v>0.30542060630000001</v>
      </c>
      <c r="S78">
        <v>0.30800991239999997</v>
      </c>
      <c r="T78">
        <v>0.31230937619999999</v>
      </c>
      <c r="U78">
        <v>0.3169627169</v>
      </c>
      <c r="V78">
        <v>0.32363572730000001</v>
      </c>
      <c r="W78">
        <v>0.32724776550000001</v>
      </c>
      <c r="X78">
        <v>0.3293148756</v>
      </c>
      <c r="Y78">
        <v>0.32690542030000003</v>
      </c>
      <c r="Z78">
        <v>0.3275890877</v>
      </c>
      <c r="AA78">
        <v>0.33013404419999998</v>
      </c>
      <c r="AB78">
        <v>0.33209176680000002</v>
      </c>
      <c r="AC78">
        <v>0.33421061079999997</v>
      </c>
      <c r="AD78">
        <v>0.33689551010000002</v>
      </c>
      <c r="AE78">
        <v>0.33986930500000001</v>
      </c>
      <c r="AF78">
        <v>0.34295283199999999</v>
      </c>
      <c r="AG78">
        <v>0.34546628820000003</v>
      </c>
      <c r="AH78">
        <v>0.34889794289999998</v>
      </c>
      <c r="AI78">
        <v>0.35333920670000002</v>
      </c>
      <c r="AJ78">
        <v>0.35660988290000001</v>
      </c>
      <c r="AK78">
        <v>0.35942781080000002</v>
      </c>
      <c r="AL78">
        <v>0.36242732579999998</v>
      </c>
      <c r="AM78">
        <v>0.36483976489999997</v>
      </c>
      <c r="AN78">
        <v>0.36861089359999999</v>
      </c>
      <c r="AO78">
        <v>0.37300499819999999</v>
      </c>
      <c r="AP78">
        <v>0.37726172650000001</v>
      </c>
      <c r="AQ78">
        <v>0.38125324649999998</v>
      </c>
      <c r="AR78">
        <v>0.38528925730000002</v>
      </c>
      <c r="AS78">
        <v>0.38876910860000002</v>
      </c>
      <c r="AT78">
        <v>0.39265331660000002</v>
      </c>
      <c r="AU78">
        <v>0.39647494719999998</v>
      </c>
      <c r="AV78">
        <v>0.40072623940000002</v>
      </c>
      <c r="AW78">
        <v>0.40474605180000001</v>
      </c>
    </row>
    <row r="79" spans="2:49" x14ac:dyDescent="0.25">
      <c r="B79" t="s">
        <v>179</v>
      </c>
      <c r="C79">
        <v>11.323476938849501</v>
      </c>
      <c r="D79">
        <v>11.5052790237851</v>
      </c>
      <c r="E79">
        <v>11.69</v>
      </c>
      <c r="F79">
        <v>11.93869737</v>
      </c>
      <c r="G79">
        <v>11.930605610000001</v>
      </c>
      <c r="H79">
        <v>10.428426460000001</v>
      </c>
      <c r="I79">
        <v>11.0540512</v>
      </c>
      <c r="J79">
        <v>11.51849432</v>
      </c>
      <c r="K79">
        <v>11.355871759999999</v>
      </c>
      <c r="L79">
        <v>11.15575737</v>
      </c>
      <c r="M79">
        <v>11.07351017</v>
      </c>
      <c r="N79">
        <v>10.86974479</v>
      </c>
      <c r="O79">
        <v>10.1045762</v>
      </c>
      <c r="P79">
        <v>9.8542460070000004</v>
      </c>
      <c r="Q79">
        <v>9.6831079710000001</v>
      </c>
      <c r="R79">
        <v>9.2967053259999997</v>
      </c>
      <c r="S79">
        <v>8.9556578529999999</v>
      </c>
      <c r="T79">
        <v>9.0040342100000004</v>
      </c>
      <c r="U79">
        <v>9.1865033539999903</v>
      </c>
      <c r="V79">
        <v>9.4270447920000002</v>
      </c>
      <c r="W79">
        <v>10.84964701</v>
      </c>
      <c r="X79">
        <v>12.06981536</v>
      </c>
      <c r="Y79">
        <v>12.891859970000001</v>
      </c>
      <c r="Z79">
        <v>13.55406213</v>
      </c>
      <c r="AA79">
        <v>14.09847175</v>
      </c>
      <c r="AB79">
        <v>14.526952550000001</v>
      </c>
      <c r="AC79">
        <v>14.91047069</v>
      </c>
      <c r="AD79">
        <v>15.014339250000001</v>
      </c>
      <c r="AE79">
        <v>15.07623282</v>
      </c>
      <c r="AF79">
        <v>15.135924129999999</v>
      </c>
      <c r="AG79">
        <v>15.1782317</v>
      </c>
      <c r="AH79">
        <v>15.25100192</v>
      </c>
      <c r="AI79">
        <v>15.348932830000001</v>
      </c>
      <c r="AJ79">
        <v>15.42246357</v>
      </c>
      <c r="AK79">
        <v>15.48886334</v>
      </c>
      <c r="AL79">
        <v>15.55272493</v>
      </c>
      <c r="AM79">
        <v>15.61667978</v>
      </c>
      <c r="AN79">
        <v>15.70230739</v>
      </c>
      <c r="AO79">
        <v>15.803567640000001</v>
      </c>
      <c r="AP79">
        <v>15.89663856</v>
      </c>
      <c r="AQ79">
        <v>15.993361589999999</v>
      </c>
      <c r="AR79">
        <v>16.09550467</v>
      </c>
      <c r="AS79">
        <v>16.167131999999999</v>
      </c>
      <c r="AT79">
        <v>16.253094059999999</v>
      </c>
      <c r="AU79">
        <v>16.33279319</v>
      </c>
      <c r="AV79">
        <v>16.422048319999998</v>
      </c>
      <c r="AW79">
        <v>16.500176010000001</v>
      </c>
    </row>
    <row r="80" spans="2:49" x14ac:dyDescent="0.25">
      <c r="B80" t="s">
        <v>180</v>
      </c>
      <c r="C80">
        <v>12.401465507675301</v>
      </c>
      <c r="D80">
        <v>12.6005750477687</v>
      </c>
      <c r="E80">
        <v>12.802881360000001</v>
      </c>
      <c r="F80">
        <v>12.95199622</v>
      </c>
      <c r="G80">
        <v>13.343860680000001</v>
      </c>
      <c r="H80">
        <v>13.0647451</v>
      </c>
      <c r="I80">
        <v>13.33829072</v>
      </c>
      <c r="J80">
        <v>13.70046874</v>
      </c>
      <c r="K80">
        <v>14.02956204</v>
      </c>
      <c r="L80">
        <v>14.0821205</v>
      </c>
      <c r="M80">
        <v>14.0362388</v>
      </c>
      <c r="N80">
        <v>13.838159299999999</v>
      </c>
      <c r="O80">
        <v>13.769184900000001</v>
      </c>
      <c r="P80">
        <v>14.010350880000001</v>
      </c>
      <c r="Q80">
        <v>14.461037640000001</v>
      </c>
      <c r="R80">
        <v>14.53334035</v>
      </c>
      <c r="S80">
        <v>14.585902320000001</v>
      </c>
      <c r="T80">
        <v>14.559816769999999</v>
      </c>
      <c r="U80">
        <v>14.63904994</v>
      </c>
      <c r="V80">
        <v>14.689910149999999</v>
      </c>
      <c r="W80">
        <v>14.758875809999999</v>
      </c>
      <c r="X80">
        <v>14.827504319999999</v>
      </c>
      <c r="Y80">
        <v>14.81349069</v>
      </c>
      <c r="Z80">
        <v>14.818689839999999</v>
      </c>
      <c r="AA80">
        <v>14.819744679999999</v>
      </c>
      <c r="AB80">
        <v>14.89121149</v>
      </c>
      <c r="AC80">
        <v>14.93053495</v>
      </c>
      <c r="AD80">
        <v>14.896718180000001</v>
      </c>
      <c r="AE80">
        <v>14.856630790000001</v>
      </c>
      <c r="AF80">
        <v>14.810798589999999</v>
      </c>
      <c r="AG80">
        <v>14.76861446</v>
      </c>
      <c r="AH80">
        <v>14.73807223</v>
      </c>
      <c r="AI80">
        <v>14.690914299999999</v>
      </c>
      <c r="AJ80">
        <v>14.62529378</v>
      </c>
      <c r="AK80">
        <v>14.557997670000001</v>
      </c>
      <c r="AL80">
        <v>14.5441789</v>
      </c>
      <c r="AM80">
        <v>14.50328202</v>
      </c>
      <c r="AN80">
        <v>14.426402599999999</v>
      </c>
      <c r="AO80">
        <v>14.35622468</v>
      </c>
      <c r="AP80">
        <v>14.28779288</v>
      </c>
      <c r="AQ80">
        <v>14.204922610000001</v>
      </c>
      <c r="AR80">
        <v>14.11988689</v>
      </c>
      <c r="AS80">
        <v>14.083846660000001</v>
      </c>
      <c r="AT80">
        <v>14.03979442</v>
      </c>
      <c r="AU80">
        <v>13.99287595</v>
      </c>
      <c r="AV80">
        <v>13.941369359999999</v>
      </c>
      <c r="AW80">
        <v>13.891847569999999</v>
      </c>
    </row>
    <row r="81" spans="2:99" x14ac:dyDescent="0.25">
      <c r="B81" t="s">
        <v>181</v>
      </c>
      <c r="C81">
        <v>10.826676236859401</v>
      </c>
      <c r="D81">
        <v>11.000502025829901</v>
      </c>
      <c r="E81">
        <v>11.17711864</v>
      </c>
      <c r="F81">
        <v>11.64197049</v>
      </c>
      <c r="G81">
        <v>11.99580806</v>
      </c>
      <c r="H81">
        <v>11.016947419999999</v>
      </c>
      <c r="I81">
        <v>11.363581119999999</v>
      </c>
      <c r="J81">
        <v>11.78628967</v>
      </c>
      <c r="K81">
        <v>12.02459691</v>
      </c>
      <c r="L81">
        <v>11.95515339</v>
      </c>
      <c r="M81">
        <v>11.80889822</v>
      </c>
      <c r="N81">
        <v>11.39121155</v>
      </c>
      <c r="O81">
        <v>10.85914172</v>
      </c>
      <c r="P81">
        <v>10.910556619999999</v>
      </c>
      <c r="Q81">
        <v>11.31693759</v>
      </c>
      <c r="R81">
        <v>11.24151007</v>
      </c>
      <c r="S81">
        <v>11.04595926</v>
      </c>
      <c r="T81">
        <v>11.0670272</v>
      </c>
      <c r="U81">
        <v>11.02221012</v>
      </c>
      <c r="V81">
        <v>10.91774199</v>
      </c>
      <c r="W81">
        <v>10.94588446</v>
      </c>
      <c r="X81">
        <v>10.500986729999999</v>
      </c>
      <c r="Y81">
        <v>9.9351809549999999</v>
      </c>
      <c r="Z81">
        <v>9.3518994909999904</v>
      </c>
      <c r="AA81">
        <v>8.7937423859999999</v>
      </c>
      <c r="AB81">
        <v>8.3973569619999999</v>
      </c>
      <c r="AC81">
        <v>8.0271760469999904</v>
      </c>
      <c r="AD81">
        <v>8.0050590469999996</v>
      </c>
      <c r="AE81">
        <v>7.9945949250000004</v>
      </c>
      <c r="AF81">
        <v>7.9750788779999997</v>
      </c>
      <c r="AG81">
        <v>7.9690284739999999</v>
      </c>
      <c r="AH81">
        <v>7.9627584560000004</v>
      </c>
      <c r="AI81">
        <v>7.9273117050000002</v>
      </c>
      <c r="AJ81">
        <v>7.8824000749999996</v>
      </c>
      <c r="AK81">
        <v>7.831215029</v>
      </c>
      <c r="AL81">
        <v>7.8530791449999997</v>
      </c>
      <c r="AM81">
        <v>7.8715161980000001</v>
      </c>
      <c r="AN81">
        <v>7.8090112969999996</v>
      </c>
      <c r="AO81">
        <v>7.7395870560000004</v>
      </c>
      <c r="AP81">
        <v>7.667886449</v>
      </c>
      <c r="AQ81">
        <v>7.5891482440000004</v>
      </c>
      <c r="AR81">
        <v>7.5044573530000003</v>
      </c>
      <c r="AS81">
        <v>7.4827469119999996</v>
      </c>
      <c r="AT81">
        <v>7.462460707</v>
      </c>
      <c r="AU81">
        <v>7.4401550910000003</v>
      </c>
      <c r="AV81">
        <v>7.4127514899999998</v>
      </c>
      <c r="AW81">
        <v>7.3825171709999999</v>
      </c>
    </row>
    <row r="82" spans="2:99" x14ac:dyDescent="0.25">
      <c r="B82" t="s">
        <v>182</v>
      </c>
      <c r="C82" s="39">
        <v>4.42659733299524E-4</v>
      </c>
      <c r="D82" s="39">
        <v>4.4976677849999601E-4</v>
      </c>
      <c r="E82" s="39">
        <v>4.5698792999999998E-4</v>
      </c>
      <c r="F82" s="39">
        <v>8.8597773200000003E-4</v>
      </c>
      <c r="G82" s="39">
        <v>1.6076566899999999E-3</v>
      </c>
      <c r="H82">
        <v>2.8289479600000001E-3</v>
      </c>
      <c r="I82">
        <v>4.5226184000000001E-3</v>
      </c>
      <c r="J82" s="39">
        <v>6.7835643999999999E-3</v>
      </c>
      <c r="K82" s="39">
        <v>9.4638469100000004E-3</v>
      </c>
      <c r="L82" s="39">
        <v>1.2896324799999999E-2</v>
      </c>
      <c r="M82" s="39">
        <v>1.7493413900000001E-2</v>
      </c>
      <c r="N82" s="39">
        <v>2.30451523E-2</v>
      </c>
      <c r="O82" s="39">
        <v>3.07373601E-2</v>
      </c>
      <c r="P82" s="39">
        <v>4.0828435599999997E-2</v>
      </c>
      <c r="Q82" s="39">
        <v>5.3899065000000003E-2</v>
      </c>
      <c r="R82" s="39">
        <v>7.0613636699999996E-2</v>
      </c>
      <c r="S82" s="39">
        <v>9.1818586999999896E-2</v>
      </c>
      <c r="T82" s="39">
        <v>0.116022745</v>
      </c>
      <c r="U82" s="39">
        <v>0.147253986</v>
      </c>
      <c r="V82" s="39">
        <v>0.1873554127</v>
      </c>
      <c r="W82" s="39">
        <v>0.2321292267</v>
      </c>
      <c r="X82" s="39">
        <v>0.28180116220000001</v>
      </c>
      <c r="Y82" s="39">
        <v>0.33956615540000001</v>
      </c>
      <c r="Z82" s="39">
        <v>0.4135971879</v>
      </c>
      <c r="AA82" s="39">
        <v>0.51390482120000003</v>
      </c>
      <c r="AB82" s="39">
        <v>0.64081218039999999</v>
      </c>
      <c r="AC82" s="39">
        <v>0.7933338768</v>
      </c>
      <c r="AD82" s="39">
        <v>0.98095671470000001</v>
      </c>
      <c r="AE82" s="39">
        <v>1.1917609659999999</v>
      </c>
      <c r="AF82" s="39">
        <v>1.416164054</v>
      </c>
      <c r="AG82" s="39">
        <v>1.6453706290000001</v>
      </c>
      <c r="AH82" s="39">
        <v>1.8725219120000001</v>
      </c>
      <c r="AI82" s="39">
        <v>2.0977773059999998</v>
      </c>
      <c r="AJ82" s="39">
        <v>2.3182391230000001</v>
      </c>
      <c r="AK82" s="39">
        <v>2.5303968380000001</v>
      </c>
      <c r="AL82" s="39">
        <v>2.7333755069999999</v>
      </c>
      <c r="AM82" s="39">
        <v>2.927012559</v>
      </c>
      <c r="AN82" s="39">
        <v>3.110522112</v>
      </c>
      <c r="AO82" s="39">
        <v>3.2850778809999999</v>
      </c>
      <c r="AP82" s="39">
        <v>3.450488284</v>
      </c>
      <c r="AQ82" s="39">
        <v>3.6078075809999999</v>
      </c>
      <c r="AR82" s="39">
        <v>3.7544016660000001</v>
      </c>
      <c r="AS82" s="39">
        <v>3.89480849</v>
      </c>
      <c r="AT82" s="39">
        <v>4.0281364220000002</v>
      </c>
      <c r="AU82" s="39">
        <v>4.15397426</v>
      </c>
      <c r="AV82" s="39">
        <v>4.2731353170000004</v>
      </c>
      <c r="AW82" s="39">
        <v>4.3779134639999997</v>
      </c>
    </row>
    <row r="83" spans="2:99" x14ac:dyDescent="0.25">
      <c r="B83" t="s">
        <v>183</v>
      </c>
      <c r="C83">
        <v>1.1996237928359601</v>
      </c>
      <c r="D83">
        <v>1.2188841408592499</v>
      </c>
      <c r="E83">
        <v>1.238912572</v>
      </c>
      <c r="F83">
        <v>1.2882691049999999</v>
      </c>
      <c r="G83">
        <v>1.270860119</v>
      </c>
      <c r="H83">
        <v>1.130793809</v>
      </c>
      <c r="I83">
        <v>1.1916644000000001</v>
      </c>
      <c r="J83">
        <v>1.213121342</v>
      </c>
      <c r="K83">
        <v>1.235554772</v>
      </c>
      <c r="L83">
        <v>1.242209847</v>
      </c>
      <c r="M83">
        <v>1.25080156</v>
      </c>
      <c r="N83">
        <v>1.2478098950000001</v>
      </c>
      <c r="O83">
        <v>1.2476438519999999</v>
      </c>
      <c r="P83">
        <v>1.314388433</v>
      </c>
      <c r="Q83">
        <v>1.346198206</v>
      </c>
      <c r="R83">
        <v>1.3880346569999999</v>
      </c>
      <c r="S83">
        <v>1.514356832</v>
      </c>
      <c r="T83">
        <v>1.594045755</v>
      </c>
      <c r="U83">
        <v>1.634419928</v>
      </c>
      <c r="V83">
        <v>1.67166393</v>
      </c>
      <c r="W83">
        <v>1.7155693249999999</v>
      </c>
      <c r="X83">
        <v>1.7563370570000001</v>
      </c>
      <c r="Y83">
        <v>1.887855525</v>
      </c>
      <c r="Z83">
        <v>2.035456516</v>
      </c>
      <c r="AA83">
        <v>2.1901006180000002</v>
      </c>
      <c r="AB83">
        <v>2.3647926510000001</v>
      </c>
      <c r="AC83">
        <v>2.5469026440000002</v>
      </c>
      <c r="AD83">
        <v>2.8552652250000001</v>
      </c>
      <c r="AE83">
        <v>3.1605013799999999</v>
      </c>
      <c r="AF83">
        <v>3.4661664569999999</v>
      </c>
      <c r="AG83">
        <v>3.7675360850000001</v>
      </c>
      <c r="AH83">
        <v>4.0745476439999999</v>
      </c>
      <c r="AI83">
        <v>4.4422894260000003</v>
      </c>
      <c r="AJ83">
        <v>4.8080415509999996</v>
      </c>
      <c r="AK83">
        <v>5.1739355170000003</v>
      </c>
      <c r="AL83">
        <v>5.5431742149999996</v>
      </c>
      <c r="AM83">
        <v>5.9205498939999996</v>
      </c>
      <c r="AN83">
        <v>6.1896899349999996</v>
      </c>
      <c r="AO83">
        <v>6.4677739010000002</v>
      </c>
      <c r="AP83">
        <v>6.7369814569999997</v>
      </c>
      <c r="AQ83">
        <v>7.0255763230000001</v>
      </c>
      <c r="AR83">
        <v>7.3229091029999998</v>
      </c>
      <c r="AS83">
        <v>7.4606063010000003</v>
      </c>
      <c r="AT83">
        <v>7.618288025</v>
      </c>
      <c r="AU83">
        <v>7.7646608590000001</v>
      </c>
      <c r="AV83">
        <v>7.9263760520000002</v>
      </c>
      <c r="AW83">
        <v>8.0686887620000007</v>
      </c>
    </row>
    <row r="84" spans="2:99" x14ac:dyDescent="0.25">
      <c r="B84" t="s">
        <v>184</v>
      </c>
      <c r="C84">
        <v>0.33902625565417799</v>
      </c>
      <c r="D84">
        <v>0.34446943184985501</v>
      </c>
      <c r="E84">
        <v>0.35</v>
      </c>
      <c r="F84">
        <v>0.36568362209999999</v>
      </c>
      <c r="G84">
        <v>0.35853173230000002</v>
      </c>
      <c r="H84">
        <v>0.36250519269999998</v>
      </c>
      <c r="I84">
        <v>0.38706353669999999</v>
      </c>
      <c r="J84">
        <v>0.3830448313</v>
      </c>
      <c r="K84">
        <v>0.3772996817</v>
      </c>
      <c r="L84">
        <v>0.36614161160000003</v>
      </c>
      <c r="M84">
        <v>0.3867936703</v>
      </c>
      <c r="N84">
        <v>0.39531180760000001</v>
      </c>
      <c r="O84">
        <v>0.39519269280000002</v>
      </c>
      <c r="P84">
        <v>0.39917733100000002</v>
      </c>
      <c r="Q84">
        <v>0.37534284800000001</v>
      </c>
      <c r="R84">
        <v>0.366036784</v>
      </c>
      <c r="S84">
        <v>0.3679947543</v>
      </c>
      <c r="T84">
        <v>0.37425553360000002</v>
      </c>
      <c r="U84">
        <v>0.3826392267</v>
      </c>
      <c r="V84">
        <v>0.39924396400000001</v>
      </c>
      <c r="W84">
        <v>0.41092818619999999</v>
      </c>
      <c r="X84">
        <v>0.42090389639999998</v>
      </c>
      <c r="Y84">
        <v>0.42304659280000001</v>
      </c>
      <c r="Z84">
        <v>0.42630541449999998</v>
      </c>
      <c r="AA84">
        <v>0.43005964470000002</v>
      </c>
      <c r="AB84">
        <v>0.43207182189999999</v>
      </c>
      <c r="AC84">
        <v>0.43430039790000002</v>
      </c>
      <c r="AD84">
        <v>0.43794301400000002</v>
      </c>
      <c r="AE84">
        <v>0.44198304059999999</v>
      </c>
      <c r="AF84">
        <v>0.44644881679999998</v>
      </c>
      <c r="AG84">
        <v>0.4497201119</v>
      </c>
      <c r="AH84">
        <v>0.45318127730000002</v>
      </c>
      <c r="AI84">
        <v>0.45743060839999999</v>
      </c>
      <c r="AJ84">
        <v>0.4616812884</v>
      </c>
      <c r="AK84">
        <v>0.46592507259999999</v>
      </c>
      <c r="AL84">
        <v>0.46554451559999999</v>
      </c>
      <c r="AM84">
        <v>0.46538241969999999</v>
      </c>
      <c r="AN84">
        <v>0.47374021500000002</v>
      </c>
      <c r="AO84">
        <v>0.48250876710000001</v>
      </c>
      <c r="AP84">
        <v>0.49052729740000001</v>
      </c>
      <c r="AQ84">
        <v>0.49894206730000001</v>
      </c>
      <c r="AR84">
        <v>0.50726312480000002</v>
      </c>
      <c r="AS84">
        <v>0.50994249849999995</v>
      </c>
      <c r="AT84">
        <v>0.51328973680000001</v>
      </c>
      <c r="AU84">
        <v>0.51648036429999999</v>
      </c>
      <c r="AV84">
        <v>0.52050783060000005</v>
      </c>
      <c r="AW84">
        <v>0.52425290020000004</v>
      </c>
    </row>
    <row r="85" spans="2:99" x14ac:dyDescent="0.25">
      <c r="B85" t="s">
        <v>185</v>
      </c>
      <c r="C85">
        <v>12.8442518570697</v>
      </c>
      <c r="D85">
        <v>13.0504704752259</v>
      </c>
      <c r="E85">
        <v>13.26</v>
      </c>
      <c r="F85">
        <v>13.665913489999999</v>
      </c>
      <c r="G85">
        <v>13.26323223</v>
      </c>
      <c r="H85">
        <v>12.200350350000001</v>
      </c>
      <c r="I85">
        <v>12.77313444</v>
      </c>
      <c r="J85">
        <v>13.051035430000001</v>
      </c>
      <c r="K85">
        <v>12.458397359999999</v>
      </c>
      <c r="L85">
        <v>12.25585407</v>
      </c>
      <c r="M85">
        <v>12.44270979</v>
      </c>
      <c r="N85">
        <v>12.769227190000001</v>
      </c>
      <c r="O85">
        <v>13.107828530000001</v>
      </c>
      <c r="P85" s="39">
        <v>13.46104214</v>
      </c>
      <c r="Q85" s="39">
        <v>13.157400450000001</v>
      </c>
      <c r="R85" s="39">
        <v>13.084909400000001</v>
      </c>
      <c r="S85" s="39">
        <v>13.223262549999999</v>
      </c>
      <c r="T85" s="39">
        <v>13.340891989999999</v>
      </c>
      <c r="U85" s="39">
        <v>13.536308180000001</v>
      </c>
      <c r="V85" s="39">
        <v>13.98445794</v>
      </c>
      <c r="W85" s="39">
        <v>11.6044771</v>
      </c>
      <c r="X85" s="39">
        <v>9.6258859950000009</v>
      </c>
      <c r="Y85" s="39">
        <v>8.2275775249999903</v>
      </c>
      <c r="Z85" s="39">
        <v>7.2393621210000001</v>
      </c>
      <c r="AA85" s="39">
        <v>6.4896065160000003</v>
      </c>
      <c r="AB85" s="39">
        <v>5.8835727010000003</v>
      </c>
      <c r="AC85" s="39">
        <v>5.4113244800000002</v>
      </c>
      <c r="AD85" s="39">
        <v>5.3787552060000001</v>
      </c>
      <c r="AE85" s="39">
        <v>5.4342826100000003</v>
      </c>
      <c r="AF85">
        <v>5.5097765120000002</v>
      </c>
      <c r="AG85">
        <v>5.5882776659999998</v>
      </c>
      <c r="AH85">
        <v>5.6714277830000004</v>
      </c>
      <c r="AI85">
        <v>5.755342926</v>
      </c>
      <c r="AJ85">
        <v>5.8517595360000003</v>
      </c>
      <c r="AK85">
        <v>5.9526279190000002</v>
      </c>
      <c r="AL85">
        <v>6.0265025479999998</v>
      </c>
      <c r="AM85">
        <v>6.1124663659999996</v>
      </c>
      <c r="AN85">
        <v>6.2278720820000002</v>
      </c>
      <c r="AO85">
        <v>6.3487413500000001</v>
      </c>
      <c r="AP85">
        <v>6.466171289</v>
      </c>
      <c r="AQ85">
        <v>6.6004548510000003</v>
      </c>
      <c r="AR85">
        <v>6.735881558</v>
      </c>
      <c r="AS85">
        <v>6.8356199870000003</v>
      </c>
      <c r="AT85">
        <v>6.9410541649999997</v>
      </c>
      <c r="AU85">
        <v>7.0423252459999999</v>
      </c>
      <c r="AV85">
        <v>7.1482184450000004</v>
      </c>
      <c r="AW85">
        <v>7.2516770179999996</v>
      </c>
    </row>
    <row r="86" spans="2:99" x14ac:dyDescent="0.25">
      <c r="B86" t="s">
        <v>186</v>
      </c>
      <c r="C86">
        <v>17.113958899133198</v>
      </c>
      <c r="D86">
        <v>17.388729044925601</v>
      </c>
      <c r="E86">
        <v>17.667910710000001</v>
      </c>
      <c r="F86">
        <v>17.87913803</v>
      </c>
      <c r="G86">
        <v>17.829820489999999</v>
      </c>
      <c r="H86">
        <v>17.866920459999999</v>
      </c>
      <c r="I86">
        <v>18.31569661</v>
      </c>
      <c r="J86">
        <v>18.40516337</v>
      </c>
      <c r="K86" s="39">
        <v>18.13267956</v>
      </c>
      <c r="L86" s="39">
        <v>18.043303160000001</v>
      </c>
      <c r="M86" s="39">
        <v>18.179059129999999</v>
      </c>
      <c r="N86" s="39">
        <v>18.478671769999998</v>
      </c>
      <c r="O86" s="39">
        <v>18.93694331</v>
      </c>
      <c r="P86" s="39">
        <v>19.04246449</v>
      </c>
      <c r="Q86" s="39">
        <v>18.49164961</v>
      </c>
      <c r="R86" s="39">
        <v>18.1068274</v>
      </c>
      <c r="S86" s="39">
        <v>17.844722619999999</v>
      </c>
      <c r="T86" s="39">
        <v>17.450421550000002</v>
      </c>
      <c r="U86" s="39">
        <v>17.286858410000001</v>
      </c>
      <c r="V86" s="39">
        <v>17.327403960000002</v>
      </c>
      <c r="W86" s="39">
        <v>17.307317139999999</v>
      </c>
      <c r="X86" s="39">
        <v>17.311406309999999</v>
      </c>
      <c r="Y86" s="39">
        <v>17.172490289999999</v>
      </c>
      <c r="Z86">
        <v>16.98837481</v>
      </c>
      <c r="AA86">
        <v>16.753216760000001</v>
      </c>
      <c r="AB86">
        <v>16.283785829999999</v>
      </c>
      <c r="AC86">
        <v>15.817498670000001</v>
      </c>
      <c r="AD86">
        <v>15.49556226</v>
      </c>
      <c r="AE86">
        <v>15.18476405</v>
      </c>
      <c r="AF86">
        <v>14.90892732</v>
      </c>
      <c r="AG86">
        <v>14.612271120000001</v>
      </c>
      <c r="AH86">
        <v>14.323631949999999</v>
      </c>
      <c r="AI86">
        <v>14.102236700000001</v>
      </c>
      <c r="AJ86">
        <v>13.9254131</v>
      </c>
      <c r="AK86">
        <v>13.772186850000001</v>
      </c>
      <c r="AL86">
        <v>13.41039456</v>
      </c>
      <c r="AM86">
        <v>13.08543849</v>
      </c>
      <c r="AN86">
        <v>13.00236563</v>
      </c>
      <c r="AO86">
        <v>12.906880230000001</v>
      </c>
      <c r="AP86">
        <v>12.82489835</v>
      </c>
      <c r="AQ86">
        <v>12.76597559</v>
      </c>
      <c r="AR86">
        <v>12.717789379999999</v>
      </c>
      <c r="AS86">
        <v>12.480019739999999</v>
      </c>
      <c r="AT86" s="39">
        <v>12.26124482</v>
      </c>
      <c r="AU86" s="39">
        <v>12.036307620000001</v>
      </c>
      <c r="AV86">
        <v>11.81305156</v>
      </c>
      <c r="AW86">
        <v>11.587956009999999</v>
      </c>
    </row>
    <row r="87" spans="2:99" x14ac:dyDescent="0.25">
      <c r="B87" t="s">
        <v>187</v>
      </c>
      <c r="C87">
        <v>5.6395460874857797</v>
      </c>
      <c r="D87">
        <v>5.7300908240832298</v>
      </c>
      <c r="E87">
        <v>5.8220892859999998</v>
      </c>
      <c r="F87">
        <v>6.2357507109999997</v>
      </c>
      <c r="G87">
        <v>6.4400205980000003</v>
      </c>
      <c r="H87">
        <v>6.6002091150000002</v>
      </c>
      <c r="I87">
        <v>7.1784525380000002</v>
      </c>
      <c r="J87">
        <v>7.5649965779999997</v>
      </c>
      <c r="K87">
        <v>7.7189621669999999</v>
      </c>
      <c r="L87">
        <v>8.0836078189999903</v>
      </c>
      <c r="M87">
        <v>8.7628024440000001</v>
      </c>
      <c r="N87">
        <v>9.8570778879999903</v>
      </c>
      <c r="O87">
        <v>10.330878419999999</v>
      </c>
      <c r="P87">
        <v>10.16248438</v>
      </c>
      <c r="Q87">
        <v>9.2710419159999997</v>
      </c>
      <c r="R87">
        <v>8.683614188</v>
      </c>
      <c r="S87">
        <v>8.3377862569999994</v>
      </c>
      <c r="T87">
        <v>8.2985216400000006</v>
      </c>
      <c r="U87">
        <v>8.2857059690000003</v>
      </c>
      <c r="V87">
        <v>8.4215917149999999</v>
      </c>
      <c r="W87">
        <v>10.1630561</v>
      </c>
      <c r="X87">
        <v>11.70224511</v>
      </c>
      <c r="Y87">
        <v>12.53860083</v>
      </c>
      <c r="Z87">
        <v>13.084211</v>
      </c>
      <c r="AA87">
        <v>13.3786594</v>
      </c>
      <c r="AB87">
        <v>13.211407599999999</v>
      </c>
      <c r="AC87">
        <v>12.920686720000001</v>
      </c>
      <c r="AD87">
        <v>12.70519324</v>
      </c>
      <c r="AE87">
        <v>12.438638320000001</v>
      </c>
      <c r="AF87">
        <v>12.1861864</v>
      </c>
      <c r="AG87">
        <v>11.896799079999999</v>
      </c>
      <c r="AH87">
        <v>11.61332219</v>
      </c>
      <c r="AI87">
        <v>11.3938758</v>
      </c>
      <c r="AJ87">
        <v>11.183596379999999</v>
      </c>
      <c r="AK87">
        <v>10.98263238</v>
      </c>
      <c r="AL87">
        <v>10.620177460000001</v>
      </c>
      <c r="AM87">
        <v>10.25921666</v>
      </c>
      <c r="AN87">
        <v>10.087518620000001</v>
      </c>
      <c r="AO87">
        <v>9.9346249130000004</v>
      </c>
      <c r="AP87">
        <v>9.7873025029999994</v>
      </c>
      <c r="AQ87">
        <v>9.6530272319999995</v>
      </c>
      <c r="AR87">
        <v>9.5329777419999999</v>
      </c>
      <c r="AS87">
        <v>9.2671902070000005</v>
      </c>
      <c r="AT87">
        <v>8.9984462559999905</v>
      </c>
      <c r="AU87">
        <v>8.7335096609999905</v>
      </c>
      <c r="AV87">
        <v>8.4796185459999904</v>
      </c>
      <c r="AW87">
        <v>8.2309287750000006</v>
      </c>
    </row>
    <row r="88" spans="2:99" x14ac:dyDescent="0.25">
      <c r="B88" t="s">
        <v>188</v>
      </c>
      <c r="C88" s="39">
        <v>1.0609788529198101E-6</v>
      </c>
      <c r="D88" s="39">
        <v>1.0780132115867701E-6</v>
      </c>
      <c r="E88" s="39">
        <v>1.0953210600000001E-6</v>
      </c>
      <c r="F88" s="39">
        <v>1.2126757999999999E-6</v>
      </c>
      <c r="G88" s="39">
        <v>1.9578942700000001E-6</v>
      </c>
      <c r="H88" s="39">
        <v>2.7690755999999999E-6</v>
      </c>
      <c r="I88" s="39">
        <v>3.56702903E-6</v>
      </c>
      <c r="J88" s="39">
        <v>4.6213389199999998E-6</v>
      </c>
      <c r="K88" s="39">
        <v>5.5945384700000004E-6</v>
      </c>
      <c r="L88" s="39">
        <v>6.4331373899999998E-6</v>
      </c>
      <c r="M88" s="39">
        <v>7.2233097499999999E-6</v>
      </c>
      <c r="N88" s="39">
        <v>7.6120108299999998E-6</v>
      </c>
      <c r="O88" s="39">
        <v>7.8912820300000004E-6</v>
      </c>
      <c r="P88" s="39">
        <v>7.8727526800000005E-6</v>
      </c>
      <c r="Q88" s="39">
        <v>8.3663987699999996E-6</v>
      </c>
      <c r="R88" s="39">
        <v>8.9782795799999908E-6</v>
      </c>
      <c r="S88" s="39">
        <v>1.03554929E-5</v>
      </c>
      <c r="T88" s="39">
        <v>1.14890779E-5</v>
      </c>
      <c r="U88" s="39">
        <v>1.34494696E-5</v>
      </c>
      <c r="V88" s="39">
        <v>1.5800445400000002E-5</v>
      </c>
      <c r="W88" s="39">
        <v>1.79687975E-5</v>
      </c>
      <c r="X88" s="39">
        <v>1.9915447299999999E-5</v>
      </c>
      <c r="Y88" s="39">
        <v>2.1590104900000001E-5</v>
      </c>
      <c r="Z88" s="39">
        <v>2.29753174E-5</v>
      </c>
      <c r="AA88" s="39">
        <v>2.39459838E-5</v>
      </c>
      <c r="AB88" s="39">
        <v>2.4474512299999999E-5</v>
      </c>
      <c r="AC88" s="39">
        <v>2.4542037600000001E-5</v>
      </c>
      <c r="AD88" s="39">
        <v>2.43199871E-5</v>
      </c>
      <c r="AE88" s="39">
        <v>2.3742004600000001E-5</v>
      </c>
      <c r="AF88" s="39">
        <v>2.2907854799999998E-5</v>
      </c>
      <c r="AG88" s="39">
        <v>2.1920319599999999E-5</v>
      </c>
      <c r="AH88" s="39">
        <v>2.08634653E-5</v>
      </c>
      <c r="AI88" s="39">
        <v>1.9770321299999998E-5</v>
      </c>
      <c r="AJ88" s="39">
        <v>1.8695212799999999E-5</v>
      </c>
      <c r="AK88" s="39">
        <v>1.76549488E-5</v>
      </c>
      <c r="AL88" s="39">
        <v>1.66577418E-5</v>
      </c>
      <c r="AM88" s="39">
        <v>1.57068927E-5</v>
      </c>
      <c r="AN88" s="39">
        <v>1.48104114E-5</v>
      </c>
      <c r="AO88" s="39">
        <v>1.39632481E-5</v>
      </c>
      <c r="AP88" s="39">
        <v>1.3163401600000001E-5</v>
      </c>
      <c r="AQ88" s="39">
        <v>1.2408615500000001E-5</v>
      </c>
      <c r="AR88" s="39">
        <v>1.1644601499999999E-5</v>
      </c>
      <c r="AS88" s="39">
        <v>1.09305719E-5</v>
      </c>
      <c r="AT88" s="39">
        <v>1.02599353E-5</v>
      </c>
      <c r="AU88" s="39">
        <v>9.6301066399999999E-6</v>
      </c>
      <c r="AV88" s="39">
        <v>9.0386399300000008E-6</v>
      </c>
      <c r="AW88" s="39">
        <v>8.4832267099999907E-6</v>
      </c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</row>
    <row r="89" spans="2:99" x14ac:dyDescent="0.25">
      <c r="B89" t="s">
        <v>189</v>
      </c>
      <c r="C89" s="39">
        <v>0.26347077198670499</v>
      </c>
      <c r="D89" s="39">
        <v>0.26770088045298701</v>
      </c>
      <c r="E89" s="39">
        <v>0.27206097029999998</v>
      </c>
      <c r="F89" s="39">
        <v>0.30119141030000002</v>
      </c>
      <c r="G89" s="39">
        <v>0.29318677659999998</v>
      </c>
      <c r="H89" s="39">
        <v>0.24334434260000001</v>
      </c>
      <c r="I89" s="39">
        <v>0.24765226809999999</v>
      </c>
      <c r="J89" s="39">
        <v>0.2422516022</v>
      </c>
      <c r="K89" s="39">
        <v>0.26210592519999998</v>
      </c>
      <c r="L89" s="39">
        <v>0.25831090629999998</v>
      </c>
      <c r="M89" s="39">
        <v>0.25077404710000001</v>
      </c>
      <c r="N89" s="39">
        <v>0.24541222069999999</v>
      </c>
      <c r="O89" s="39">
        <v>0.23404970899999999</v>
      </c>
      <c r="P89" s="39">
        <v>0.23988460640000001</v>
      </c>
      <c r="Q89" s="39">
        <v>0.24503637519999999</v>
      </c>
      <c r="R89" s="39">
        <v>0.2543454107</v>
      </c>
      <c r="S89" s="39">
        <v>0.2739100136</v>
      </c>
      <c r="T89" s="39">
        <v>0.33353518999999998</v>
      </c>
      <c r="U89" s="39">
        <v>0.38299724029999999</v>
      </c>
      <c r="V89" s="39">
        <v>0.42741031260000001</v>
      </c>
      <c r="W89" s="39">
        <v>0.43027619890000002</v>
      </c>
      <c r="X89" s="39">
        <v>0.43146221369999999</v>
      </c>
      <c r="Y89" s="39">
        <v>0.45613508450000001</v>
      </c>
      <c r="Z89" s="39">
        <v>0.482660276</v>
      </c>
      <c r="AA89" s="39">
        <v>0.51014602610000004</v>
      </c>
      <c r="AB89" s="39">
        <v>0.53116747909999995</v>
      </c>
      <c r="AC89" s="39">
        <v>0.55462353750000004</v>
      </c>
      <c r="AD89" s="39">
        <v>0.54365877539999996</v>
      </c>
      <c r="AE89" s="39">
        <v>0.53341737710000003</v>
      </c>
      <c r="AF89" s="39">
        <v>0.52390130310000005</v>
      </c>
      <c r="AG89" s="39">
        <v>0.51218065899999998</v>
      </c>
      <c r="AH89" s="39">
        <v>0.50048539150000004</v>
      </c>
      <c r="AI89" s="39">
        <v>0.49092771590000001</v>
      </c>
      <c r="AJ89" s="39">
        <v>0.48192116979999999</v>
      </c>
      <c r="AK89" s="39">
        <v>0.47310060549999999</v>
      </c>
      <c r="AL89" s="39">
        <v>0.45327798689999999</v>
      </c>
      <c r="AM89" s="39">
        <v>0.43286276210000002</v>
      </c>
      <c r="AN89" s="39">
        <v>0.44746391870000002</v>
      </c>
      <c r="AO89" s="39">
        <v>0.46450264670000002</v>
      </c>
      <c r="AP89" s="39">
        <v>0.48204621050000002</v>
      </c>
      <c r="AQ89" s="39">
        <v>0.50247610580000002</v>
      </c>
      <c r="AR89" s="39">
        <v>0.52542359640000003</v>
      </c>
      <c r="AS89" s="39">
        <v>0.54192297649999999</v>
      </c>
      <c r="AT89" s="39">
        <v>0.55810390099999996</v>
      </c>
      <c r="AU89" s="39">
        <v>0.57358004200000001</v>
      </c>
      <c r="AV89">
        <v>0.5906431016</v>
      </c>
      <c r="AW89">
        <v>0.60670944660000004</v>
      </c>
    </row>
    <row r="90" spans="2:99" x14ac:dyDescent="0.25">
      <c r="B90" t="s">
        <v>190</v>
      </c>
      <c r="C90">
        <v>2318131524.4374599</v>
      </c>
      <c r="D90">
        <v>2355349875.8831902</v>
      </c>
      <c r="E90">
        <v>2393165780</v>
      </c>
      <c r="F90">
        <v>2417743066</v>
      </c>
      <c r="G90">
        <v>2442572755</v>
      </c>
      <c r="H90">
        <v>2467657440</v>
      </c>
      <c r="I90">
        <v>2492999739</v>
      </c>
      <c r="J90">
        <v>2518602297</v>
      </c>
      <c r="K90">
        <v>2544467789</v>
      </c>
      <c r="L90">
        <v>2570598913</v>
      </c>
      <c r="M9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2893294392</v>
      </c>
      <c r="X90">
        <v>2920683496</v>
      </c>
      <c r="Y90">
        <v>2946016305</v>
      </c>
      <c r="Z90">
        <v>2969192311</v>
      </c>
      <c r="AA90">
        <v>2990333273</v>
      </c>
      <c r="AB90">
        <v>3009261245</v>
      </c>
      <c r="AC90">
        <v>3025888722</v>
      </c>
      <c r="AD90">
        <v>3041817748</v>
      </c>
      <c r="AE90">
        <v>3056903629</v>
      </c>
      <c r="AF90">
        <v>3071089561</v>
      </c>
      <c r="AG90">
        <v>3084363564</v>
      </c>
      <c r="AH90">
        <v>3096983722</v>
      </c>
      <c r="AI90">
        <v>3108626593</v>
      </c>
      <c r="AJ90">
        <v>3119146419</v>
      </c>
      <c r="AK90">
        <v>3128804146</v>
      </c>
      <c r="AL90">
        <v>3137546654</v>
      </c>
      <c r="AM90">
        <v>3145275685</v>
      </c>
      <c r="AN90">
        <v>3152779717</v>
      </c>
      <c r="AO90">
        <v>3159874851</v>
      </c>
      <c r="AP90">
        <v>3166558568</v>
      </c>
      <c r="AQ90">
        <v>3173103141</v>
      </c>
      <c r="AR90">
        <v>3179324132</v>
      </c>
      <c r="AS90">
        <v>3185265549</v>
      </c>
      <c r="AT90">
        <v>3191063906</v>
      </c>
      <c r="AU90">
        <v>3196626001</v>
      </c>
      <c r="AV90">
        <v>3201950414</v>
      </c>
      <c r="AW90">
        <v>3207035723</v>
      </c>
    </row>
    <row r="91" spans="2:99" x14ac:dyDescent="0.25">
      <c r="B91" t="s">
        <v>191</v>
      </c>
      <c r="C91">
        <v>640398.31806251395</v>
      </c>
      <c r="D91">
        <v>650680.12020171306</v>
      </c>
      <c r="E91">
        <v>661127</v>
      </c>
      <c r="F91">
        <v>1867906.8829999999</v>
      </c>
      <c r="G91">
        <v>3502191.3309999998</v>
      </c>
      <c r="H91">
        <v>5176975.2649999997</v>
      </c>
      <c r="I91">
        <v>6499505.4060000004</v>
      </c>
      <c r="J91">
        <v>7743571.8119999999</v>
      </c>
      <c r="K91">
        <v>9065315.0010000002</v>
      </c>
      <c r="L91">
        <v>10535510.939999999</v>
      </c>
      <c r="M91">
        <v>12138062.35</v>
      </c>
      <c r="N91">
        <v>13797730.58</v>
      </c>
      <c r="O91">
        <v>15270623.66</v>
      </c>
      <c r="P91">
        <v>17116119.579999998</v>
      </c>
      <c r="Q91">
        <v>19603465.829999998</v>
      </c>
      <c r="R91">
        <v>23557522.48</v>
      </c>
      <c r="S91">
        <v>28471200.559999999</v>
      </c>
      <c r="T91">
        <v>34518834.909999996</v>
      </c>
      <c r="U91">
        <v>41297402.490000002</v>
      </c>
      <c r="V91">
        <v>48572897.420000002</v>
      </c>
      <c r="W91">
        <v>55920526.75</v>
      </c>
      <c r="X91">
        <v>63556984.280000001</v>
      </c>
      <c r="Y91">
        <v>73529063.209999904</v>
      </c>
      <c r="Z91">
        <v>86247422.299999997</v>
      </c>
      <c r="AA91">
        <v>100646423.90000001</v>
      </c>
      <c r="AB91">
        <v>116482652.2</v>
      </c>
      <c r="AC91">
        <v>133897975.7</v>
      </c>
      <c r="AD91">
        <v>152556746.09999999</v>
      </c>
      <c r="AE91">
        <v>171975039.09999999</v>
      </c>
      <c r="AF91">
        <v>191890967.09999999</v>
      </c>
      <c r="AG91">
        <v>212208181</v>
      </c>
      <c r="AH91">
        <v>232959619.90000001</v>
      </c>
      <c r="AI91">
        <v>253797702.59999999</v>
      </c>
      <c r="AJ91">
        <v>274787606.69999999</v>
      </c>
      <c r="AK91">
        <v>296250776.30000001</v>
      </c>
      <c r="AL91">
        <v>318176325.5</v>
      </c>
      <c r="AM91">
        <v>341285599.69999999</v>
      </c>
      <c r="AN91">
        <v>365238129.39999998</v>
      </c>
      <c r="AO91">
        <v>389504325.69999999</v>
      </c>
      <c r="AP91">
        <v>413979688</v>
      </c>
      <c r="AQ91">
        <v>439412315.60000002</v>
      </c>
      <c r="AR91">
        <v>465708174.39999998</v>
      </c>
      <c r="AS91">
        <v>492572533.89999998</v>
      </c>
      <c r="AT91">
        <v>520317666.19999999</v>
      </c>
      <c r="AU91">
        <v>548792781.29999995</v>
      </c>
      <c r="AV91">
        <v>577863480.89999998</v>
      </c>
      <c r="AW91">
        <v>607514212.39999998</v>
      </c>
    </row>
    <row r="92" spans="2:99" x14ac:dyDescent="0.25">
      <c r="B92" t="s">
        <v>192</v>
      </c>
      <c r="C92">
        <v>41062689.603059798</v>
      </c>
      <c r="D92">
        <v>41721964.366740197</v>
      </c>
      <c r="E92">
        <v>42391824</v>
      </c>
      <c r="F92">
        <v>48284748.630000003</v>
      </c>
      <c r="G92">
        <v>55101976.810000002</v>
      </c>
      <c r="H92">
        <v>61954085.130000003</v>
      </c>
      <c r="I92">
        <v>67179541.659999996</v>
      </c>
      <c r="J92">
        <v>72152007.920000002</v>
      </c>
      <c r="K92">
        <v>77442639.939999998</v>
      </c>
      <c r="L92" s="273">
        <v>83700085.650000006</v>
      </c>
      <c r="M92">
        <v>90387667.299999997</v>
      </c>
      <c r="N92">
        <v>96971647.909999996</v>
      </c>
      <c r="O92">
        <v>102106501.90000001</v>
      </c>
      <c r="P92">
        <v>108515810.90000001</v>
      </c>
      <c r="Q92">
        <v>116929980.2</v>
      </c>
      <c r="R92">
        <v>131062650.8</v>
      </c>
      <c r="S92">
        <v>147391838.90000001</v>
      </c>
      <c r="T92">
        <v>167325407.19999999</v>
      </c>
      <c r="U92">
        <v>187528901.80000001</v>
      </c>
      <c r="V92">
        <v>208214751.69999999</v>
      </c>
      <c r="W92">
        <v>227748338.59999999</v>
      </c>
      <c r="X92">
        <v>247233577.19999999</v>
      </c>
      <c r="Y92">
        <v>271302223.89999998</v>
      </c>
      <c r="Z92">
        <v>298753499.5</v>
      </c>
      <c r="AA92">
        <v>327411337.19999999</v>
      </c>
      <c r="AB92">
        <v>356479059</v>
      </c>
      <c r="AC92">
        <v>385964892.30000001</v>
      </c>
      <c r="AD92">
        <v>415069891.5</v>
      </c>
      <c r="AE92">
        <v>443138741.5</v>
      </c>
      <c r="AF92">
        <v>469826904.30000001</v>
      </c>
      <c r="AG92">
        <v>495117314.30000001</v>
      </c>
      <c r="AH92">
        <v>519156696.80000001</v>
      </c>
      <c r="AI92">
        <v>541659350.39999998</v>
      </c>
      <c r="AJ92">
        <v>562823146.29999995</v>
      </c>
      <c r="AK92">
        <v>582911598.29999995</v>
      </c>
      <c r="AL92">
        <v>601964180.29999995</v>
      </c>
      <c r="AM92">
        <v>620643897.10000002</v>
      </c>
      <c r="AN92">
        <v>638555220.39999998</v>
      </c>
      <c r="AO92">
        <v>655463967.79999995</v>
      </c>
      <c r="AP92">
        <v>671302531.79999995</v>
      </c>
      <c r="AQ92">
        <v>686587626</v>
      </c>
      <c r="AR92">
        <v>701110379.39999998</v>
      </c>
      <c r="AS92">
        <v>714818195.10000002</v>
      </c>
      <c r="AT92">
        <v>727964833.89999998</v>
      </c>
      <c r="AU92">
        <v>740479037</v>
      </c>
      <c r="AV92">
        <v>752349585.10000002</v>
      </c>
      <c r="AW92">
        <v>763586497.10000002</v>
      </c>
    </row>
    <row r="93" spans="2:99" x14ac:dyDescent="0.25">
      <c r="B93" t="s">
        <v>193</v>
      </c>
      <c r="C93">
        <v>291506404.18067801</v>
      </c>
      <c r="D93">
        <v>296186633.79021603</v>
      </c>
      <c r="E93">
        <v>300942006</v>
      </c>
      <c r="F93">
        <v>329920636.60000002</v>
      </c>
      <c r="G93">
        <v>359594972.69999999</v>
      </c>
      <c r="H93">
        <v>388816408.60000002</v>
      </c>
      <c r="I93">
        <v>412822901.69999999</v>
      </c>
      <c r="J93">
        <v>436432333.60000002</v>
      </c>
      <c r="K93">
        <v>461957254.39999998</v>
      </c>
      <c r="L93">
        <v>489686150.80000001</v>
      </c>
      <c r="M93">
        <v>516613939</v>
      </c>
      <c r="N93">
        <v>540259264.39999998</v>
      </c>
      <c r="O93">
        <v>559446092.29999995</v>
      </c>
      <c r="P93">
        <v>576238203.29999995</v>
      </c>
      <c r="Q93">
        <v>594659493.5</v>
      </c>
      <c r="R93">
        <v>618972417.79999995</v>
      </c>
      <c r="S93">
        <v>644586560.89999998</v>
      </c>
      <c r="T93">
        <v>671503457.60000002</v>
      </c>
      <c r="U93">
        <v>696720039.5</v>
      </c>
      <c r="V93">
        <v>721072344</v>
      </c>
      <c r="W93">
        <v>742175114.29999995</v>
      </c>
      <c r="X93">
        <v>760526111.70000005</v>
      </c>
      <c r="Y93">
        <v>778494499.20000005</v>
      </c>
      <c r="Z93">
        <v>794824800.79999995</v>
      </c>
      <c r="AA93">
        <v>809022644.60000002</v>
      </c>
      <c r="AB93">
        <v>821270737.10000002</v>
      </c>
      <c r="AC93">
        <v>832369095.20000005</v>
      </c>
      <c r="AD93">
        <v>842654653.10000002</v>
      </c>
      <c r="AE93">
        <v>851468314.89999998</v>
      </c>
      <c r="AF93">
        <v>858526590.39999998</v>
      </c>
      <c r="AG93">
        <v>863804437.10000002</v>
      </c>
      <c r="AH93">
        <v>867505468.10000002</v>
      </c>
      <c r="AI93">
        <v>869584470.79999995</v>
      </c>
      <c r="AJ93">
        <v>870033836.70000005</v>
      </c>
      <c r="AK93">
        <v>868914838.29999995</v>
      </c>
      <c r="AL93">
        <v>866343612.60000002</v>
      </c>
      <c r="AM93">
        <v>862630824.70000005</v>
      </c>
      <c r="AN93">
        <v>858003177.89999998</v>
      </c>
      <c r="AO93">
        <v>852536209.29999995</v>
      </c>
      <c r="AP93">
        <v>846313928.29999995</v>
      </c>
      <c r="AQ93">
        <v>839481441.20000005</v>
      </c>
      <c r="AR93">
        <v>831913746.20000005</v>
      </c>
      <c r="AS93">
        <v>823767917.29999995</v>
      </c>
      <c r="AT93">
        <v>815306273.70000005</v>
      </c>
      <c r="AU93">
        <v>806589075.70000005</v>
      </c>
      <c r="AV93">
        <v>797670464.39999998</v>
      </c>
      <c r="AW93">
        <v>788554401.79999995</v>
      </c>
    </row>
    <row r="94" spans="2:99" x14ac:dyDescent="0.25">
      <c r="B94" t="s">
        <v>194</v>
      </c>
      <c r="C94">
        <v>640671991.67983496</v>
      </c>
      <c r="D94">
        <v>650958187.73748195</v>
      </c>
      <c r="E94">
        <v>661409532</v>
      </c>
      <c r="F94">
        <v>679070404.29999995</v>
      </c>
      <c r="G94">
        <v>696779655.60000002</v>
      </c>
      <c r="H94">
        <v>714789029.10000002</v>
      </c>
      <c r="I94">
        <v>730715751.5</v>
      </c>
      <c r="J94">
        <v>747013444</v>
      </c>
      <c r="K94">
        <v>765137604.70000005</v>
      </c>
      <c r="L94">
        <v>784549507</v>
      </c>
      <c r="M94">
        <v>803108467.5</v>
      </c>
      <c r="N94">
        <v>819185852</v>
      </c>
      <c r="O94">
        <v>833889409.29999995</v>
      </c>
      <c r="P94">
        <v>845457151.5</v>
      </c>
      <c r="Q94">
        <v>856732786</v>
      </c>
      <c r="R94">
        <v>867076606.39999998</v>
      </c>
      <c r="S94">
        <v>876976898.70000005</v>
      </c>
      <c r="T94">
        <v>884566182.29999995</v>
      </c>
      <c r="U94">
        <v>891161102.10000002</v>
      </c>
      <c r="V94">
        <v>897562699</v>
      </c>
      <c r="W94">
        <v>902741983.10000002</v>
      </c>
      <c r="X94">
        <v>905651113.10000002</v>
      </c>
      <c r="Y94">
        <v>903239485</v>
      </c>
      <c r="Z94">
        <v>895975122.10000002</v>
      </c>
      <c r="AA94">
        <v>885858250.29999995</v>
      </c>
      <c r="AB94">
        <v>873783692.89999998</v>
      </c>
      <c r="AC94">
        <v>860291524.29999995</v>
      </c>
      <c r="AD94">
        <v>846879243.20000005</v>
      </c>
      <c r="AE94">
        <v>833540886.10000002</v>
      </c>
      <c r="AF94">
        <v>820278710.70000005</v>
      </c>
      <c r="AG94">
        <v>806993195.79999995</v>
      </c>
      <c r="AH94">
        <v>793711870.70000005</v>
      </c>
      <c r="AI94">
        <v>780551493</v>
      </c>
      <c r="AJ94">
        <v>767193276.60000002</v>
      </c>
      <c r="AK94">
        <v>753443149.89999998</v>
      </c>
      <c r="AL94">
        <v>739332992.39999998</v>
      </c>
      <c r="AM94">
        <v>724398177.89999998</v>
      </c>
      <c r="AN94">
        <v>709439540.5</v>
      </c>
      <c r="AO94">
        <v>694548863.10000002</v>
      </c>
      <c r="AP94">
        <v>679793145.79999995</v>
      </c>
      <c r="AQ94">
        <v>664706037.89999998</v>
      </c>
      <c r="AR94">
        <v>649352727.20000005</v>
      </c>
      <c r="AS94">
        <v>633958545</v>
      </c>
      <c r="AT94">
        <v>618526955.5</v>
      </c>
      <c r="AU94">
        <v>603183556.89999998</v>
      </c>
      <c r="AV94">
        <v>587984500.5</v>
      </c>
      <c r="AW94">
        <v>573556751</v>
      </c>
    </row>
    <row r="95" spans="2:99" x14ac:dyDescent="0.25">
      <c r="B95" t="s">
        <v>195</v>
      </c>
      <c r="C95">
        <v>762047427.55376601</v>
      </c>
      <c r="D95">
        <v>774282345.494367</v>
      </c>
      <c r="E95">
        <v>786713699</v>
      </c>
      <c r="F95">
        <v>767744383.5</v>
      </c>
      <c r="G95">
        <v>748014624</v>
      </c>
      <c r="H95">
        <v>728840837.60000002</v>
      </c>
      <c r="I95">
        <v>715073026</v>
      </c>
      <c r="J95">
        <v>701897569.70000005</v>
      </c>
      <c r="K95">
        <v>687000772.20000005</v>
      </c>
      <c r="L95">
        <v>670108021.29999995</v>
      </c>
      <c r="M95">
        <v>654077482.79999995</v>
      </c>
      <c r="N95">
        <v>641287873.60000002</v>
      </c>
      <c r="O95">
        <v>634412718.89999998</v>
      </c>
      <c r="P95">
        <v>629682391</v>
      </c>
      <c r="Q95">
        <v>623058719.89999998</v>
      </c>
      <c r="R95">
        <v>609449893.89999998</v>
      </c>
      <c r="S95">
        <v>593845757.79999995</v>
      </c>
      <c r="T95">
        <v>576029200.89999998</v>
      </c>
      <c r="U95">
        <v>559133491.10000002</v>
      </c>
      <c r="V95">
        <v>543405734.5</v>
      </c>
      <c r="W95">
        <v>530100397.89999998</v>
      </c>
      <c r="X95">
        <v>518273767.5</v>
      </c>
      <c r="Y95">
        <v>504617021.39999998</v>
      </c>
      <c r="Z95">
        <v>489948172.10000002</v>
      </c>
      <c r="AA95">
        <v>475372045.5</v>
      </c>
      <c r="AB95">
        <v>460834647.5</v>
      </c>
      <c r="AC95">
        <v>445561636.60000002</v>
      </c>
      <c r="AD95">
        <v>430052326.80000001</v>
      </c>
      <c r="AE95">
        <v>415142878.60000002</v>
      </c>
      <c r="AF95">
        <v>401234961.39999998</v>
      </c>
      <c r="AG95">
        <v>388415318.89999998</v>
      </c>
      <c r="AH95">
        <v>376582624.10000002</v>
      </c>
      <c r="AI95">
        <v>365857680</v>
      </c>
      <c r="AJ95">
        <v>356167121.10000002</v>
      </c>
      <c r="AK95">
        <v>347378150.39999998</v>
      </c>
      <c r="AL95">
        <v>339368341.19999999</v>
      </c>
      <c r="AM95">
        <v>331434624.10000002</v>
      </c>
      <c r="AN95">
        <v>323846629.89999998</v>
      </c>
      <c r="AO95">
        <v>316815097.39999998</v>
      </c>
      <c r="AP95">
        <v>310342359.60000002</v>
      </c>
      <c r="AQ95">
        <v>304047520.30000001</v>
      </c>
      <c r="AR95">
        <v>298023056.69999999</v>
      </c>
      <c r="AS95">
        <v>292289852</v>
      </c>
      <c r="AT95">
        <v>286490753.60000002</v>
      </c>
      <c r="AU95">
        <v>280605007.89999998</v>
      </c>
      <c r="AV95">
        <v>274655363.39999998</v>
      </c>
      <c r="AW95">
        <v>268654234.60000002</v>
      </c>
    </row>
    <row r="96" spans="2:99" x14ac:dyDescent="0.25">
      <c r="B96" t="s">
        <v>196</v>
      </c>
      <c r="C96">
        <v>399231640.45290101</v>
      </c>
      <c r="D96">
        <v>405641433.57550502</v>
      </c>
      <c r="E96">
        <v>412154138</v>
      </c>
      <c r="F96">
        <v>399780118.30000001</v>
      </c>
      <c r="G96">
        <v>387172220.5</v>
      </c>
      <c r="H96">
        <v>374930255.60000002</v>
      </c>
      <c r="I96">
        <v>365807851.69999999</v>
      </c>
      <c r="J96">
        <v>356999824.69999999</v>
      </c>
      <c r="K96">
        <v>347163294.5</v>
      </c>
      <c r="L96">
        <v>336294172.19999999</v>
      </c>
      <c r="M96">
        <v>326137249.19999999</v>
      </c>
      <c r="N96">
        <v>318052022.30000001</v>
      </c>
      <c r="O96">
        <v>313379659.30000001</v>
      </c>
      <c r="P96">
        <v>310182505.69999999</v>
      </c>
      <c r="Q96">
        <v>306152257.69999999</v>
      </c>
      <c r="R96">
        <v>298740703</v>
      </c>
      <c r="S96">
        <v>290432937.89999998</v>
      </c>
      <c r="T96">
        <v>281239457.39999998</v>
      </c>
      <c r="U96">
        <v>272567926.30000001</v>
      </c>
      <c r="V96">
        <v>264558761.09999999</v>
      </c>
      <c r="W96">
        <v>257758259.80000001</v>
      </c>
      <c r="X96">
        <v>251750499.19999999</v>
      </c>
      <c r="Y96">
        <v>245095407.5</v>
      </c>
      <c r="Z96">
        <v>238130542.40000001</v>
      </c>
      <c r="AA96">
        <v>231251946.90000001</v>
      </c>
      <c r="AB96">
        <v>224359592.19999999</v>
      </c>
      <c r="AC96">
        <v>217021136.90000001</v>
      </c>
      <c r="AD96">
        <v>209437954.40000001</v>
      </c>
      <c r="AE96">
        <v>202033420.69999999</v>
      </c>
      <c r="AF96">
        <v>195023651.40000001</v>
      </c>
      <c r="AG96">
        <v>188476478.5</v>
      </c>
      <c r="AH96">
        <v>182366304.5</v>
      </c>
      <c r="AI96">
        <v>176753228.80000001</v>
      </c>
      <c r="AJ96">
        <v>171629438.40000001</v>
      </c>
      <c r="AK96">
        <v>166956444.09999999</v>
      </c>
      <c r="AL96">
        <v>162680808.30000001</v>
      </c>
      <c r="AM96">
        <v>158487689.40000001</v>
      </c>
      <c r="AN96">
        <v>154483126.30000001</v>
      </c>
      <c r="AO96">
        <v>150740735.09999999</v>
      </c>
      <c r="AP96">
        <v>147254974.09999999</v>
      </c>
      <c r="AQ96">
        <v>143864569.09999999</v>
      </c>
      <c r="AR96">
        <v>140612398</v>
      </c>
      <c r="AS96">
        <v>137502425.09999999</v>
      </c>
      <c r="AT96">
        <v>134371080.80000001</v>
      </c>
      <c r="AU96">
        <v>131202926.09999999</v>
      </c>
      <c r="AV96">
        <v>128005726.3</v>
      </c>
      <c r="AW96">
        <v>124785782.8</v>
      </c>
    </row>
    <row r="97" spans="2:49" x14ac:dyDescent="0.25">
      <c r="B97" t="s">
        <v>197</v>
      </c>
      <c r="C97">
        <v>182970972.649156</v>
      </c>
      <c r="D97">
        <v>185908630.79867601</v>
      </c>
      <c r="E97">
        <v>188893454</v>
      </c>
      <c r="F97">
        <v>191074867.80000001</v>
      </c>
      <c r="G97">
        <v>192407114.19999999</v>
      </c>
      <c r="H97">
        <v>193149848.59999999</v>
      </c>
      <c r="I97">
        <v>194901160.59999999</v>
      </c>
      <c r="J97">
        <v>196363545.59999999</v>
      </c>
      <c r="K97">
        <v>196700907.90000001</v>
      </c>
      <c r="L97">
        <v>195725464.90000001</v>
      </c>
      <c r="M97">
        <v>194535529.80000001</v>
      </c>
      <c r="N97">
        <v>194114609.19999999</v>
      </c>
      <c r="O97">
        <v>195483440.59999999</v>
      </c>
      <c r="P97">
        <v>197466085.09999999</v>
      </c>
      <c r="Q97">
        <v>198545809.5</v>
      </c>
      <c r="R97">
        <v>196607331</v>
      </c>
      <c r="S97">
        <v>193446544.80000001</v>
      </c>
      <c r="T97">
        <v>189047031</v>
      </c>
      <c r="U97">
        <v>184648713.69999999</v>
      </c>
      <c r="V97">
        <v>180396001.80000001</v>
      </c>
      <c r="W97">
        <v>176849771.19999999</v>
      </c>
      <c r="X97">
        <v>173691442.80000001</v>
      </c>
      <c r="Y97">
        <v>169738605.30000001</v>
      </c>
      <c r="Z97">
        <v>165312752.19999999</v>
      </c>
      <c r="AA97">
        <v>160770624.30000001</v>
      </c>
      <c r="AB97">
        <v>156050864.30000001</v>
      </c>
      <c r="AC97">
        <v>150782460.59999999</v>
      </c>
      <c r="AD97">
        <v>145166932.69999999</v>
      </c>
      <c r="AE97">
        <v>139604348.19999999</v>
      </c>
      <c r="AF97">
        <v>134307776.19999999</v>
      </c>
      <c r="AG97">
        <v>129348638.8</v>
      </c>
      <c r="AH97">
        <v>124701138.40000001</v>
      </c>
      <c r="AI97">
        <v>120422667.09999999</v>
      </c>
      <c r="AJ97">
        <v>116511993.3</v>
      </c>
      <c r="AK97">
        <v>112949188.59999999</v>
      </c>
      <c r="AL97">
        <v>109680393.7</v>
      </c>
      <c r="AM97">
        <v>106394871.90000001</v>
      </c>
      <c r="AN97">
        <v>103213892.59999999</v>
      </c>
      <c r="AO97">
        <v>100265652.40000001</v>
      </c>
      <c r="AP97">
        <v>97571940.769999996</v>
      </c>
      <c r="AQ97">
        <v>95003631.329999998</v>
      </c>
      <c r="AR97">
        <v>92603649.790000007</v>
      </c>
      <c r="AS97">
        <v>90356081.200000003</v>
      </c>
      <c r="AT97">
        <v>88086342.379999995</v>
      </c>
      <c r="AU97">
        <v>85773616.310000002</v>
      </c>
      <c r="AV97">
        <v>83421292.920000002</v>
      </c>
      <c r="AW97">
        <v>81038198.920000002</v>
      </c>
    </row>
    <row r="98" spans="2:49" x14ac:dyDescent="0.25">
      <c r="B98" t="s">
        <v>198</v>
      </c>
      <c r="C98">
        <v>61.608374519870097</v>
      </c>
      <c r="D98">
        <v>61.608374519870097</v>
      </c>
      <c r="E98">
        <v>62.603979160000002</v>
      </c>
      <c r="F98">
        <v>63.019049500000001</v>
      </c>
      <c r="G98">
        <v>64.124905350000006</v>
      </c>
      <c r="H98">
        <v>64.704770949999997</v>
      </c>
      <c r="I98">
        <v>67.564583440000007</v>
      </c>
      <c r="J98">
        <v>68.553007289999996</v>
      </c>
      <c r="K98">
        <v>69.645400600000002</v>
      </c>
      <c r="L98">
        <v>70.098227030000004</v>
      </c>
      <c r="M98">
        <v>75.546906980000003</v>
      </c>
      <c r="N98">
        <v>81.046287620000001</v>
      </c>
      <c r="O98">
        <v>88.575496380000004</v>
      </c>
      <c r="P98">
        <v>96.639414860000002</v>
      </c>
      <c r="Q98">
        <v>109.4564286</v>
      </c>
      <c r="R98">
        <v>110.0441592</v>
      </c>
      <c r="S98">
        <v>109.8057124</v>
      </c>
      <c r="T98">
        <v>109.9902812</v>
      </c>
      <c r="U98">
        <v>110.423053</v>
      </c>
      <c r="V98">
        <v>111.30790880000001</v>
      </c>
      <c r="W98">
        <v>112.1195264</v>
      </c>
      <c r="X98">
        <v>113.8697353</v>
      </c>
      <c r="Y98">
        <v>113.16965860000001</v>
      </c>
      <c r="Z98">
        <v>112.68647660000001</v>
      </c>
      <c r="AA98">
        <v>112.15391409999999</v>
      </c>
      <c r="AB98">
        <v>130.1988872</v>
      </c>
      <c r="AC98">
        <v>149.8574759</v>
      </c>
      <c r="AD98">
        <v>157.1843264</v>
      </c>
      <c r="AE98">
        <v>164.45347029999999</v>
      </c>
      <c r="AF98">
        <v>171.92830480000001</v>
      </c>
      <c r="AG98">
        <v>178.6891799</v>
      </c>
      <c r="AH98">
        <v>185.37732199999999</v>
      </c>
      <c r="AI98">
        <v>187.47290709999999</v>
      </c>
      <c r="AJ98">
        <v>189.66614960000001</v>
      </c>
      <c r="AK98">
        <v>192.03860080000001</v>
      </c>
      <c r="AL98">
        <v>191.68029730000001</v>
      </c>
      <c r="AM98">
        <v>191.39309929999999</v>
      </c>
      <c r="AN98">
        <v>201.23529619999999</v>
      </c>
      <c r="AO98">
        <v>211.3722966</v>
      </c>
      <c r="AP98">
        <v>221.90633930000001</v>
      </c>
      <c r="AQ98">
        <v>232.8416785</v>
      </c>
      <c r="AR98">
        <v>244.40290759999999</v>
      </c>
      <c r="AS98">
        <v>250.20944349999999</v>
      </c>
      <c r="AT98">
        <v>256.02855110000002</v>
      </c>
      <c r="AU98">
        <v>261.8918966</v>
      </c>
      <c r="AV98">
        <v>267.73591620000002</v>
      </c>
      <c r="AW98">
        <v>273.59978749999999</v>
      </c>
    </row>
    <row r="99" spans="2:49" x14ac:dyDescent="0.25">
      <c r="B99" t="s">
        <v>507</v>
      </c>
      <c r="C99">
        <v>61.608374519870097</v>
      </c>
      <c r="D99">
        <v>61.608374519870097</v>
      </c>
      <c r="E99">
        <v>62.603979160000002</v>
      </c>
      <c r="F99">
        <v>63.019049500000001</v>
      </c>
      <c r="G99">
        <v>64.124905350000006</v>
      </c>
      <c r="H99">
        <v>64.704770949999997</v>
      </c>
      <c r="I99">
        <v>67.564583440000007</v>
      </c>
      <c r="J99">
        <v>68.553007289999996</v>
      </c>
      <c r="K99">
        <v>69.645400600000002</v>
      </c>
      <c r="L99">
        <v>70.098227030000004</v>
      </c>
      <c r="M99">
        <v>75.546906980000003</v>
      </c>
      <c r="N99">
        <v>81.046287620000001</v>
      </c>
      <c r="O99">
        <v>88.575496380000004</v>
      </c>
      <c r="P99">
        <v>96.639414860000002</v>
      </c>
      <c r="Q99">
        <v>109.4564286</v>
      </c>
      <c r="R99">
        <v>110.0441592</v>
      </c>
      <c r="S99">
        <v>109.8057124</v>
      </c>
      <c r="T99">
        <v>109.9902812</v>
      </c>
      <c r="U99">
        <v>110.423053</v>
      </c>
      <c r="V99">
        <v>110.9918579</v>
      </c>
      <c r="W99">
        <v>111.1598508</v>
      </c>
      <c r="X99">
        <v>112.0839509</v>
      </c>
      <c r="Y99">
        <v>110.289992</v>
      </c>
      <c r="Z99">
        <v>108.6035052</v>
      </c>
      <c r="AA99">
        <v>106.8225267</v>
      </c>
      <c r="AB99">
        <v>105.0562731</v>
      </c>
      <c r="AC99">
        <v>103.345939</v>
      </c>
      <c r="AD99">
        <v>101.7834584</v>
      </c>
      <c r="AE99">
        <v>100.2429489</v>
      </c>
      <c r="AF99">
        <v>98.872997479999995</v>
      </c>
      <c r="AG99">
        <v>97.425674150000006</v>
      </c>
      <c r="AH99">
        <v>95.993918109999996</v>
      </c>
      <c r="AI99">
        <v>94.575844099999998</v>
      </c>
      <c r="AJ99">
        <v>93.176835879999999</v>
      </c>
      <c r="AK99">
        <v>91.818162569999998</v>
      </c>
      <c r="AL99">
        <v>90.5114114</v>
      </c>
      <c r="AM99">
        <v>89.264902449999994</v>
      </c>
      <c r="AN99">
        <v>89.403185559999997</v>
      </c>
      <c r="AO99">
        <v>89.699686200000002</v>
      </c>
      <c r="AP99">
        <v>90.152894660000001</v>
      </c>
      <c r="AQ99">
        <v>90.786885799999894</v>
      </c>
      <c r="AR99">
        <v>91.596760399999994</v>
      </c>
      <c r="AS99">
        <v>91.538851739999998</v>
      </c>
      <c r="AT99">
        <v>91.602468270000003</v>
      </c>
      <c r="AU99">
        <v>91.774238650000001</v>
      </c>
      <c r="AV99">
        <v>92.06386732</v>
      </c>
      <c r="AW99">
        <v>92.468295769999997</v>
      </c>
    </row>
    <row r="100" spans="2:49" x14ac:dyDescent="0.25">
      <c r="B100" t="s">
        <v>199</v>
      </c>
      <c r="C100">
        <v>0.96116878123798499</v>
      </c>
      <c r="D100">
        <v>0.98039215686274495</v>
      </c>
      <c r="E100">
        <v>0.98305153420000002</v>
      </c>
      <c r="F100">
        <v>0.97981806819999995</v>
      </c>
      <c r="G100">
        <v>0.9812573805</v>
      </c>
      <c r="H100">
        <v>0.99313781720000005</v>
      </c>
      <c r="I100">
        <v>0.98740784469999998</v>
      </c>
      <c r="J100">
        <v>0.97907393040000001</v>
      </c>
      <c r="K100">
        <v>0.97240284499999996</v>
      </c>
      <c r="L100">
        <v>0.97319305330000005</v>
      </c>
      <c r="M100">
        <v>0.97665534099999995</v>
      </c>
      <c r="N100">
        <v>0.98194144719999998</v>
      </c>
      <c r="O100">
        <v>0.98520139370000004</v>
      </c>
      <c r="P100">
        <v>0.98742206450000003</v>
      </c>
      <c r="Q100">
        <v>0.99541831260000002</v>
      </c>
      <c r="R100">
        <v>1.013756645</v>
      </c>
      <c r="S100">
        <v>1.033643868</v>
      </c>
      <c r="T100">
        <v>1.0537514649999999</v>
      </c>
      <c r="U100">
        <v>1.0735693260000001</v>
      </c>
      <c r="V100">
        <v>1.096782967</v>
      </c>
      <c r="W100">
        <v>1.1202796239999999</v>
      </c>
      <c r="X100">
        <v>1.1422710840000001</v>
      </c>
      <c r="Y100">
        <v>1.1686911449999999</v>
      </c>
      <c r="Z100">
        <v>1.193830988</v>
      </c>
      <c r="AA100">
        <v>1.2217954609999999</v>
      </c>
      <c r="AB100">
        <v>1.252710016</v>
      </c>
      <c r="AC100">
        <v>1.285178374</v>
      </c>
      <c r="AD100">
        <v>1.318140702</v>
      </c>
      <c r="AE100">
        <v>1.352216954</v>
      </c>
      <c r="AF100">
        <v>1.3844182309999999</v>
      </c>
      <c r="AG100">
        <v>1.419786548</v>
      </c>
      <c r="AH100">
        <v>1.456821677</v>
      </c>
      <c r="AI100">
        <v>1.4940682430000001</v>
      </c>
      <c r="AJ100">
        <v>1.532965151</v>
      </c>
      <c r="AK100">
        <v>1.5731500839999999</v>
      </c>
      <c r="AL100">
        <v>1.614081018</v>
      </c>
      <c r="AM100">
        <v>1.6557180339999999</v>
      </c>
      <c r="AN100">
        <v>1.69818505</v>
      </c>
      <c r="AO100">
        <v>1.741137704</v>
      </c>
      <c r="AP100">
        <v>1.7857349659999999</v>
      </c>
      <c r="AQ100">
        <v>1.8310213740000001</v>
      </c>
      <c r="AR100">
        <v>1.8773447860000001</v>
      </c>
      <c r="AS100">
        <v>1.9259597959999999</v>
      </c>
      <c r="AT100">
        <v>1.975806569</v>
      </c>
      <c r="AU100">
        <v>2.027419026</v>
      </c>
      <c r="AV100">
        <v>2.0796484159999999</v>
      </c>
      <c r="AW100">
        <v>2.134344816</v>
      </c>
    </row>
    <row r="101" spans="2:49" x14ac:dyDescent="0.25">
      <c r="B101" t="s">
        <v>508</v>
      </c>
      <c r="C101">
        <v>0.96116878123798499</v>
      </c>
      <c r="D101">
        <v>0.98039215686274495</v>
      </c>
      <c r="E101">
        <v>0.98305153420000002</v>
      </c>
      <c r="F101">
        <v>0.97981806819999995</v>
      </c>
      <c r="G101">
        <v>0.9812573805</v>
      </c>
      <c r="H101">
        <v>0.99313781720000005</v>
      </c>
      <c r="I101">
        <v>0.98740784469999998</v>
      </c>
      <c r="J101">
        <v>0.97907393040000001</v>
      </c>
      <c r="K101">
        <v>0.97240284499999996</v>
      </c>
      <c r="L101">
        <v>0.97319305330000005</v>
      </c>
      <c r="M101">
        <v>0.97665534099999995</v>
      </c>
      <c r="N101">
        <v>0.98194144719999998</v>
      </c>
      <c r="O101">
        <v>0.98520139370000004</v>
      </c>
      <c r="P101">
        <v>0.98742206450000003</v>
      </c>
      <c r="Q101">
        <v>0.99541831260000002</v>
      </c>
      <c r="R101">
        <v>1.013756645</v>
      </c>
      <c r="S101">
        <v>1.033643868</v>
      </c>
      <c r="T101">
        <v>1.0537514649999999</v>
      </c>
      <c r="U101">
        <v>1.0735693260000001</v>
      </c>
      <c r="V101">
        <v>1.0968951870000001</v>
      </c>
      <c r="W101">
        <v>1.120433724</v>
      </c>
      <c r="X101">
        <v>1.142493258</v>
      </c>
      <c r="Y101">
        <v>1.1670186499999999</v>
      </c>
      <c r="Z101">
        <v>1.190825657</v>
      </c>
      <c r="AA101">
        <v>1.217299372</v>
      </c>
      <c r="AB101">
        <v>1.2449119980000001</v>
      </c>
      <c r="AC101">
        <v>1.2732300000000001</v>
      </c>
      <c r="AD101">
        <v>1.3026602389999999</v>
      </c>
      <c r="AE101">
        <v>1.333458472</v>
      </c>
      <c r="AF101">
        <v>1.362350591</v>
      </c>
      <c r="AG101">
        <v>1.394211501</v>
      </c>
      <c r="AH101">
        <v>1.427599284</v>
      </c>
      <c r="AI101">
        <v>1.461499053</v>
      </c>
      <c r="AJ101">
        <v>1.496854589</v>
      </c>
      <c r="AK101">
        <v>1.533385698</v>
      </c>
      <c r="AL101">
        <v>1.5704825579999999</v>
      </c>
      <c r="AM101">
        <v>1.6079133080000001</v>
      </c>
      <c r="AN101">
        <v>1.6459710169999999</v>
      </c>
      <c r="AO101">
        <v>1.6844230790000001</v>
      </c>
      <c r="AP101">
        <v>1.7238920659999999</v>
      </c>
      <c r="AQ101">
        <v>1.764020683</v>
      </c>
      <c r="AR101">
        <v>1.805124782</v>
      </c>
      <c r="AS101">
        <v>1.8473524180000001</v>
      </c>
      <c r="AT101">
        <v>1.890828146</v>
      </c>
      <c r="AU101">
        <v>1.9355998240000001</v>
      </c>
      <c r="AV101">
        <v>1.981347532</v>
      </c>
      <c r="AW101">
        <v>2.0290848490000002</v>
      </c>
    </row>
    <row r="102" spans="2:49" x14ac:dyDescent="0.25">
      <c r="B102" t="s">
        <v>509</v>
      </c>
      <c r="C102">
        <v>0</v>
      </c>
      <c r="D102" s="39">
        <v>0</v>
      </c>
      <c r="E102" s="39">
        <v>0</v>
      </c>
      <c r="F102" s="39">
        <v>0</v>
      </c>
      <c r="G102" s="39">
        <v>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8.8304755063717197E-2</v>
      </c>
      <c r="W102">
        <v>0.21372009984330601</v>
      </c>
      <c r="X102">
        <v>0.26968436746590502</v>
      </c>
      <c r="Y102">
        <v>0.98532058316027604</v>
      </c>
      <c r="Z102">
        <v>1.49568602125089</v>
      </c>
      <c r="AA102">
        <v>1.8739536383123701</v>
      </c>
      <c r="AB102">
        <v>2.0249670123655799</v>
      </c>
      <c r="AC102">
        <v>2.21638050164279</v>
      </c>
      <c r="AD102">
        <v>2.4063176757428399</v>
      </c>
      <c r="AE102">
        <v>2.6027600475790802</v>
      </c>
      <c r="AF102">
        <v>2.6857727251830599</v>
      </c>
      <c r="AG102" s="39">
        <v>2.5794906442325001</v>
      </c>
      <c r="AH102" s="39">
        <v>2.5329358672018598</v>
      </c>
      <c r="AI102">
        <v>2.47560428032302</v>
      </c>
      <c r="AJ102">
        <v>2.4590534126891899</v>
      </c>
      <c r="AK102">
        <v>2.4595784317775702</v>
      </c>
      <c r="AL102" s="39">
        <v>2.4094849410169101</v>
      </c>
      <c r="AM102">
        <v>2.4560401817614799</v>
      </c>
      <c r="AN102">
        <v>2.6103627129790499</v>
      </c>
      <c r="AO102">
        <v>2.71094467204433</v>
      </c>
      <c r="AP102">
        <v>2.7296632939713699</v>
      </c>
      <c r="AQ102">
        <v>2.85192343270639</v>
      </c>
      <c r="AR102">
        <v>2.9925960671624598</v>
      </c>
      <c r="AS102">
        <v>2.9292213278725399</v>
      </c>
      <c r="AT102">
        <v>2.9330571156150902</v>
      </c>
      <c r="AU102">
        <v>2.8790408010084199</v>
      </c>
      <c r="AV102">
        <v>2.8788981362044299</v>
      </c>
      <c r="AW102">
        <v>2.7547369580032099</v>
      </c>
    </row>
    <row r="103" spans="2:49" x14ac:dyDescent="0.25">
      <c r="B103" t="s">
        <v>510</v>
      </c>
      <c r="C103" s="39">
        <v>0</v>
      </c>
      <c r="D103" s="39">
        <v>0</v>
      </c>
      <c r="E103" s="39">
        <v>0</v>
      </c>
      <c r="F103" s="39">
        <v>0</v>
      </c>
      <c r="G103" s="39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T103" s="39">
        <v>0</v>
      </c>
      <c r="U103" s="39">
        <v>0</v>
      </c>
      <c r="V103" s="39">
        <v>4.64386175484943E-2</v>
      </c>
      <c r="W103" s="39">
        <v>-1.1634553458184E-2</v>
      </c>
      <c r="X103">
        <v>-8.01525344670595E-2</v>
      </c>
      <c r="Y103">
        <v>0.66804493488652406</v>
      </c>
      <c r="Z103">
        <v>1.42047116012191</v>
      </c>
      <c r="AA103">
        <v>1.9847054315183099</v>
      </c>
      <c r="AB103">
        <v>2.1975902425613398</v>
      </c>
      <c r="AC103">
        <v>2.1972690073991101</v>
      </c>
      <c r="AD103">
        <v>2.2749281711366298</v>
      </c>
      <c r="AE103">
        <v>2.5425198774599198</v>
      </c>
      <c r="AF103">
        <v>2.6207397968419399</v>
      </c>
      <c r="AG103">
        <v>2.54437174295827</v>
      </c>
      <c r="AH103">
        <v>2.5017661892259699</v>
      </c>
      <c r="AI103">
        <v>2.2965510804984599</v>
      </c>
      <c r="AJ103">
        <v>2.1690057738777702</v>
      </c>
      <c r="AK103">
        <v>2.09259426179384</v>
      </c>
      <c r="AL103">
        <v>2.0121949614916699</v>
      </c>
      <c r="AM103">
        <v>1.9905361957930801</v>
      </c>
      <c r="AN103">
        <v>2.1882624728689399</v>
      </c>
      <c r="AO103">
        <v>2.3592995385691902</v>
      </c>
      <c r="AP103">
        <v>2.3824867560243201</v>
      </c>
      <c r="AQ103">
        <v>2.5430912416939102</v>
      </c>
      <c r="AR103">
        <v>2.7643529771948998</v>
      </c>
      <c r="AS103">
        <v>2.8203484416956299</v>
      </c>
      <c r="AT103">
        <v>2.8714393328967902</v>
      </c>
      <c r="AU103">
        <v>2.82812634523308</v>
      </c>
      <c r="AV103">
        <v>2.8729717755674899</v>
      </c>
      <c r="AW103">
        <v>2.6873803074645801</v>
      </c>
    </row>
    <row r="104" spans="2:49" x14ac:dyDescent="0.25">
      <c r="B104" t="s">
        <v>511</v>
      </c>
      <c r="C104">
        <v>0</v>
      </c>
      <c r="D104" s="39">
        <v>0</v>
      </c>
      <c r="E104" s="39">
        <v>0</v>
      </c>
      <c r="F104" s="39">
        <v>0</v>
      </c>
      <c r="G104" s="39">
        <v>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0</v>
      </c>
      <c r="T104">
        <v>0</v>
      </c>
      <c r="U104">
        <v>0</v>
      </c>
      <c r="V104">
        <v>0.70857075335255504</v>
      </c>
      <c r="W104">
        <v>0.63935440952391698</v>
      </c>
      <c r="X104">
        <v>-0.251785002652471</v>
      </c>
      <c r="Y104">
        <v>2.4041010759604</v>
      </c>
      <c r="Z104">
        <v>3.18302178010057</v>
      </c>
      <c r="AA104">
        <v>3.6655113216736699</v>
      </c>
      <c r="AB104">
        <v>3.4106398803998399</v>
      </c>
      <c r="AC104">
        <v>4.8897950502413403</v>
      </c>
      <c r="AD104">
        <v>5.4024359333732104</v>
      </c>
      <c r="AE104">
        <v>5.8661212710430899</v>
      </c>
      <c r="AF104">
        <v>5.8788602722882697</v>
      </c>
      <c r="AG104">
        <v>5.6044243087716596</v>
      </c>
      <c r="AH104">
        <v>6.4135836748486303</v>
      </c>
      <c r="AI104">
        <v>6.3547922533200696</v>
      </c>
      <c r="AJ104">
        <v>6.4270735177527101</v>
      </c>
      <c r="AK104">
        <v>6.4671220493746002</v>
      </c>
      <c r="AL104">
        <v>6.0816430556485503</v>
      </c>
      <c r="AM104" s="39">
        <v>6.5330783539701196</v>
      </c>
      <c r="AN104">
        <v>7.4350978508391501</v>
      </c>
      <c r="AO104">
        <v>7.5753596268400099</v>
      </c>
      <c r="AP104">
        <v>7.4897560232622702</v>
      </c>
      <c r="AQ104">
        <v>7.74568968092803</v>
      </c>
      <c r="AR104">
        <v>8.2033091109862699</v>
      </c>
      <c r="AS104">
        <v>7.5353042415084097</v>
      </c>
      <c r="AT104">
        <v>7.4742165263273996</v>
      </c>
      <c r="AU104">
        <v>7.3163360902244401</v>
      </c>
      <c r="AV104">
        <v>7.2322981741618602</v>
      </c>
      <c r="AW104" s="39">
        <v>6.8323580742918502</v>
      </c>
    </row>
    <row r="105" spans="2:49" x14ac:dyDescent="0.25">
      <c r="B105" t="s">
        <v>512</v>
      </c>
      <c r="C105" s="39">
        <v>0</v>
      </c>
      <c r="D105" s="39">
        <v>0</v>
      </c>
      <c r="E105" s="39">
        <v>0</v>
      </c>
      <c r="F105" s="39">
        <v>0</v>
      </c>
      <c r="G105" s="39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T105" s="39">
        <v>0</v>
      </c>
      <c r="U105" s="39">
        <v>0</v>
      </c>
      <c r="V105" s="39">
        <v>1.0433628907291399E-3</v>
      </c>
      <c r="W105" s="39">
        <v>8.3587692628217497E-2</v>
      </c>
      <c r="X105" s="39">
        <v>0.16779054925051201</v>
      </c>
      <c r="Y105">
        <v>0.105197578912852</v>
      </c>
      <c r="Z105">
        <v>3.30966869078297E-2</v>
      </c>
      <c r="AA105">
        <v>-5.6720052996672703E-2</v>
      </c>
      <c r="AB105">
        <v>-0.20128263333093399</v>
      </c>
      <c r="AC105">
        <v>-0.37824116136702102</v>
      </c>
      <c r="AD105" s="39">
        <v>-0.42135379848157101</v>
      </c>
      <c r="AE105" s="39">
        <v>-0.47472787528626198</v>
      </c>
      <c r="AF105" s="39">
        <v>-0.53580875596773703</v>
      </c>
      <c r="AG105" s="39">
        <v>-0.92284700485469795</v>
      </c>
      <c r="AH105">
        <v>-1.31240243406529</v>
      </c>
      <c r="AI105" s="39">
        <v>-1.4348515370079999</v>
      </c>
      <c r="AJ105" s="39">
        <v>-1.55617467023125</v>
      </c>
      <c r="AK105" s="39">
        <v>-1.67566356595928</v>
      </c>
      <c r="AL105" s="39">
        <v>-1.7920771329393701</v>
      </c>
      <c r="AM105" s="39">
        <v>-1.9089899156868999</v>
      </c>
      <c r="AN105" s="39">
        <v>-2.0345763554703802</v>
      </c>
      <c r="AO105">
        <v>-2.15835614332453</v>
      </c>
      <c r="AP105">
        <v>-2.2969196240005698</v>
      </c>
      <c r="AQ105">
        <v>-2.42484100951047</v>
      </c>
      <c r="AR105">
        <v>-2.55163566572848</v>
      </c>
      <c r="AS105">
        <v>-2.7100080307689902</v>
      </c>
      <c r="AT105">
        <v>-2.8566859873383899</v>
      </c>
      <c r="AU105">
        <v>-3.0135598912792601</v>
      </c>
      <c r="AV105">
        <v>-3.1551110608974402</v>
      </c>
      <c r="AW105">
        <v>-3.3027979996919798</v>
      </c>
    </row>
    <row r="106" spans="2:49" x14ac:dyDescent="0.25">
      <c r="B106" t="s">
        <v>513</v>
      </c>
      <c r="C106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0</v>
      </c>
      <c r="U106">
        <v>0</v>
      </c>
      <c r="V106" s="39">
        <v>0.16989243756424499</v>
      </c>
      <c r="W106" s="39">
        <v>-0.29295319304891698</v>
      </c>
      <c r="X106">
        <v>-0.97233054088725601</v>
      </c>
      <c r="Y106">
        <v>-0.60361713716610099</v>
      </c>
      <c r="Z106">
        <v>-0.54514119230543101</v>
      </c>
      <c r="AA106">
        <v>-0.57800180180594896</v>
      </c>
      <c r="AB106">
        <v>-0.95741703091307695</v>
      </c>
      <c r="AC106">
        <v>-0.99530103843109496</v>
      </c>
      <c r="AD106">
        <v>-1.2393041950672199</v>
      </c>
      <c r="AE106">
        <v>-1.20848700606625</v>
      </c>
      <c r="AF106">
        <v>-1.39454909925033</v>
      </c>
      <c r="AG106">
        <v>-1.73497014484104</v>
      </c>
      <c r="AH106">
        <v>-1.65443372890915</v>
      </c>
      <c r="AI106">
        <v>-1.9845781044431601</v>
      </c>
      <c r="AJ106">
        <v>-2.2472401932092301</v>
      </c>
      <c r="AK106">
        <v>-2.4906566841867401</v>
      </c>
      <c r="AL106">
        <v>-2.8004875326155698</v>
      </c>
      <c r="AM106">
        <v>-2.8744664589882598</v>
      </c>
      <c r="AN106">
        <v>-2.6927254391102098</v>
      </c>
      <c r="AO106">
        <v>-2.76296209484275</v>
      </c>
      <c r="AP106">
        <v>-2.9714323734002899</v>
      </c>
      <c r="AQ106">
        <v>-3.0725856764336301</v>
      </c>
      <c r="AR106">
        <v>-3.0134350744905101</v>
      </c>
      <c r="AS106">
        <v>-3.2332728592472</v>
      </c>
      <c r="AT106">
        <v>-3.3407866710721201</v>
      </c>
      <c r="AU106">
        <v>-3.4937320899473701</v>
      </c>
      <c r="AV106">
        <v>-3.6063955456518202</v>
      </c>
      <c r="AW106">
        <v>-3.9077000615292898</v>
      </c>
    </row>
    <row r="107" spans="2:49" x14ac:dyDescent="0.25">
      <c r="B107" t="s">
        <v>514</v>
      </c>
      <c r="C107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T107" s="39">
        <v>0</v>
      </c>
      <c r="U107">
        <v>0</v>
      </c>
      <c r="V107" s="39">
        <v>-6.3014034996142901E-2</v>
      </c>
      <c r="W107" s="39">
        <v>0.141752070740781</v>
      </c>
      <c r="X107">
        <v>0.42511022828337203</v>
      </c>
      <c r="Y107">
        <v>0.311248903949366</v>
      </c>
      <c r="Z107" s="39">
        <v>0.29342536324868301</v>
      </c>
      <c r="AA107">
        <v>0.29551569693653501</v>
      </c>
      <c r="AB107">
        <v>0.439450565810802</v>
      </c>
      <c r="AC107">
        <v>0.447574916469128</v>
      </c>
      <c r="AD107">
        <v>0.55676907455661495</v>
      </c>
      <c r="AE107">
        <v>0.54380844205215195</v>
      </c>
      <c r="AF107">
        <v>0.60576738382461204</v>
      </c>
      <c r="AG107">
        <v>0.60810811301104395</v>
      </c>
      <c r="AH107" s="39">
        <v>0.44935695629074202</v>
      </c>
      <c r="AI107" s="39">
        <v>0.52637998805715502</v>
      </c>
      <c r="AJ107">
        <v>0.57701310943956996</v>
      </c>
      <c r="AK107" s="39">
        <v>0.61944096606514898</v>
      </c>
      <c r="AL107">
        <v>0.68698000190486597</v>
      </c>
      <c r="AM107">
        <v>0.67589267452249102</v>
      </c>
      <c r="AN107">
        <v>0.57336307032982303</v>
      </c>
      <c r="AO107">
        <v>0.56111502805075497</v>
      </c>
      <c r="AP107">
        <v>0.59584663998904797</v>
      </c>
      <c r="AQ107">
        <v>0.59282994743953399</v>
      </c>
      <c r="AR107">
        <v>0.53291255377769597</v>
      </c>
      <c r="AS107">
        <v>0.57379219551784399</v>
      </c>
      <c r="AT107">
        <v>0.57595203138053797</v>
      </c>
      <c r="AU107">
        <v>0.59384094020879796</v>
      </c>
      <c r="AV107">
        <v>0.59687591600169598</v>
      </c>
      <c r="AW107">
        <v>0.66527900786564897</v>
      </c>
    </row>
    <row r="108" spans="2:49" x14ac:dyDescent="0.25">
      <c r="B108" t="s">
        <v>515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-1.5829180000000099E-2</v>
      </c>
      <c r="W108" s="39">
        <v>-4.4383010000000001E-2</v>
      </c>
      <c r="X108">
        <v>-3.2206149999999802E-2</v>
      </c>
      <c r="Y108">
        <v>-0.100725869999999</v>
      </c>
      <c r="Z108">
        <v>-0.32740764</v>
      </c>
      <c r="AA108">
        <v>-0.52936363999999902</v>
      </c>
      <c r="AB108">
        <v>-0.60077921000000001</v>
      </c>
      <c r="AC108">
        <v>-0.60389052999999904</v>
      </c>
      <c r="AD108" s="39">
        <v>-0.64046252999999898</v>
      </c>
      <c r="AE108">
        <v>-0.69390202000000001</v>
      </c>
      <c r="AF108">
        <v>-0.720020839999999</v>
      </c>
      <c r="AG108">
        <v>-0.69769985999999995</v>
      </c>
      <c r="AH108">
        <v>-0.66491914999999902</v>
      </c>
      <c r="AI108">
        <v>-0.64623830000000004</v>
      </c>
      <c r="AJ108">
        <v>-0.62504990999999999</v>
      </c>
      <c r="AK108" s="39">
        <v>-0.60802033</v>
      </c>
      <c r="AL108">
        <v>-0.58202094999999998</v>
      </c>
      <c r="AM108" s="39">
        <v>-0.56006122999999997</v>
      </c>
      <c r="AN108" s="39">
        <v>-0.58612653999999897</v>
      </c>
      <c r="AO108">
        <v>-0.62980164999999999</v>
      </c>
      <c r="AP108">
        <v>-0.64903557000000001</v>
      </c>
      <c r="AQ108">
        <v>-0.64386065000000103</v>
      </c>
      <c r="AR108">
        <v>-0.67821242999999898</v>
      </c>
      <c r="AS108" s="39">
        <v>-0.70070208999999894</v>
      </c>
      <c r="AT108" s="39">
        <v>-0.65950046000000095</v>
      </c>
      <c r="AU108">
        <v>-0.63651183</v>
      </c>
      <c r="AV108">
        <v>-0.60810284999999997</v>
      </c>
      <c r="AW108">
        <v>-0.58543803999999899</v>
      </c>
    </row>
    <row r="109" spans="2:49" x14ac:dyDescent="0.25">
      <c r="B109" t="s">
        <v>516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2.59241872720084E-2</v>
      </c>
      <c r="W109" s="39">
        <v>7.2485442031400199E-2</v>
      </c>
      <c r="X109">
        <v>5.2490917403957803E-2</v>
      </c>
      <c r="Y109">
        <v>0.16436004628881401</v>
      </c>
      <c r="Z109">
        <v>0.53484751796208896</v>
      </c>
      <c r="AA109">
        <v>0.86681891624353902</v>
      </c>
      <c r="AB109">
        <v>0.98318274161404096</v>
      </c>
      <c r="AC109">
        <v>0.98676995167217196</v>
      </c>
      <c r="AD109">
        <v>1.04533245325517</v>
      </c>
      <c r="AE109">
        <v>1.1316363344733</v>
      </c>
      <c r="AF109">
        <v>1.1731864612057601</v>
      </c>
      <c r="AG109">
        <v>1.1382704791312199</v>
      </c>
      <c r="AH109">
        <v>1.08393920201139</v>
      </c>
      <c r="AI109">
        <v>1.0518536382116901</v>
      </c>
      <c r="AJ109">
        <v>1.0160924346978599</v>
      </c>
      <c r="AK109">
        <v>0.98732686088878197</v>
      </c>
      <c r="AL109">
        <v>0.94431404156631804</v>
      </c>
      <c r="AM109">
        <v>0.90844913979526398</v>
      </c>
      <c r="AN109">
        <v>0.95112049664940401</v>
      </c>
      <c r="AO109">
        <v>1.02239129830348</v>
      </c>
      <c r="AP109">
        <v>1.0538600818480199</v>
      </c>
      <c r="AQ109">
        <v>1.04519787906032</v>
      </c>
      <c r="AR109">
        <v>1.1009454608626701</v>
      </c>
      <c r="AS109">
        <v>1.13737390642847</v>
      </c>
      <c r="AT109">
        <v>1.0700304266529901</v>
      </c>
      <c r="AU109">
        <v>1.0322734952456101</v>
      </c>
      <c r="AV109">
        <v>0.98570434805329499</v>
      </c>
      <c r="AW109">
        <v>0.94861179295189202</v>
      </c>
    </row>
    <row r="110" spans="2:49" x14ac:dyDescent="0.25">
      <c r="B110" t="s">
        <v>517</v>
      </c>
      <c r="C110" s="39">
        <v>0</v>
      </c>
      <c r="D110" s="39">
        <v>0</v>
      </c>
      <c r="E110" s="39">
        <v>0</v>
      </c>
      <c r="F110" s="39">
        <v>0</v>
      </c>
      <c r="G110" s="39">
        <v>0</v>
      </c>
      <c r="H110" s="39">
        <v>0</v>
      </c>
      <c r="I110" s="39">
        <v>0</v>
      </c>
      <c r="J110" s="39">
        <v>0</v>
      </c>
      <c r="K110" s="39">
        <v>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0</v>
      </c>
      <c r="T110" s="39">
        <v>0</v>
      </c>
      <c r="U110" s="39">
        <v>0</v>
      </c>
      <c r="V110" s="39">
        <v>3.5780349747915802E-2</v>
      </c>
      <c r="W110">
        <v>2.0576907645963802E-2</v>
      </c>
      <c r="X110">
        <v>4.1606085586343104E-3</v>
      </c>
      <c r="Y110">
        <v>0.17825715018371299</v>
      </c>
      <c r="Z110">
        <v>0.43229806417892602</v>
      </c>
      <c r="AA110">
        <v>0.76361903272337195</v>
      </c>
      <c r="AB110">
        <v>1.07828235700193</v>
      </c>
      <c r="AC110">
        <v>1.4295753310674599</v>
      </c>
      <c r="AD110">
        <v>1.73085591765083</v>
      </c>
      <c r="AE110">
        <v>1.97014096998675</v>
      </c>
      <c r="AF110">
        <v>2.1634873648845998</v>
      </c>
      <c r="AG110">
        <v>2.2977887777973298</v>
      </c>
      <c r="AH110">
        <v>2.4056825887161102</v>
      </c>
      <c r="AI110">
        <v>2.4501534617908001</v>
      </c>
      <c r="AJ110">
        <v>2.4693995242814002</v>
      </c>
      <c r="AK110">
        <v>2.4845677546479301</v>
      </c>
      <c r="AL110">
        <v>2.4685944384532998</v>
      </c>
      <c r="AM110">
        <v>2.4735647971543</v>
      </c>
      <c r="AN110" s="39">
        <v>2.5030103114388602</v>
      </c>
      <c r="AO110">
        <v>2.52676210405602</v>
      </c>
      <c r="AP110">
        <v>2.5494778997345802</v>
      </c>
      <c r="AQ110">
        <v>2.6519911461723802</v>
      </c>
      <c r="AR110">
        <v>2.73707560970362</v>
      </c>
      <c r="AS110">
        <v>2.7342685167227101</v>
      </c>
      <c r="AT110">
        <v>2.8228224545580902</v>
      </c>
      <c r="AU110">
        <v>2.8204467342506301</v>
      </c>
      <c r="AV110">
        <v>2.8425516771327399</v>
      </c>
      <c r="AW110">
        <v>2.7722528421165502</v>
      </c>
    </row>
    <row r="111" spans="2:49" x14ac:dyDescent="0.25">
      <c r="B111" t="s">
        <v>518</v>
      </c>
      <c r="C111" s="39">
        <v>0</v>
      </c>
      <c r="D111" s="39">
        <v>0</v>
      </c>
      <c r="E111" s="39">
        <v>0</v>
      </c>
      <c r="F111" s="39">
        <v>0</v>
      </c>
      <c r="G111" s="39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0</v>
      </c>
      <c r="T111" s="39">
        <v>0</v>
      </c>
      <c r="U111" s="39">
        <v>0</v>
      </c>
      <c r="V111" s="39">
        <v>-1.6265319999999699E-4</v>
      </c>
      <c r="W111" s="39">
        <v>-2.5580190000000101E-4</v>
      </c>
      <c r="X111" s="39">
        <v>-3.862432E-4</v>
      </c>
      <c r="Y111" s="39">
        <v>1.5528338E-3</v>
      </c>
      <c r="Z111" s="39">
        <v>7.5600150000000197E-4</v>
      </c>
      <c r="AA111" s="39">
        <v>8.23658799999998E-4</v>
      </c>
      <c r="AB111" s="39">
        <v>2.3371475999999902E-3</v>
      </c>
      <c r="AC111" s="39">
        <v>2.9543094999999902E-3</v>
      </c>
      <c r="AD111" s="39">
        <v>2.1078376999999998E-3</v>
      </c>
      <c r="AE111" s="39">
        <v>1.9474248E-3</v>
      </c>
      <c r="AF111" s="39">
        <v>1.8861202999999999E-3</v>
      </c>
      <c r="AG111" s="39">
        <v>2.0034300999999901E-3</v>
      </c>
      <c r="AH111" s="39">
        <v>2.0509265E-3</v>
      </c>
      <c r="AI111" s="39">
        <v>1.6341352E-3</v>
      </c>
      <c r="AJ111" s="39">
        <v>1.7081332E-3</v>
      </c>
      <c r="AK111" s="39">
        <v>1.659897E-3</v>
      </c>
      <c r="AL111" s="39">
        <v>1.7329793999999901E-3</v>
      </c>
      <c r="AM111" s="39">
        <v>1.8678268999999901E-3</v>
      </c>
      <c r="AN111" s="39">
        <v>1.7451232E-3</v>
      </c>
      <c r="AO111" s="39">
        <v>1.7464107999999999E-3</v>
      </c>
      <c r="AP111" s="39">
        <v>2.0155137999999999E-3</v>
      </c>
      <c r="AQ111" s="39">
        <v>1.9461957E-3</v>
      </c>
      <c r="AR111" s="39">
        <v>1.8292146E-3</v>
      </c>
      <c r="AS111" s="39">
        <v>2.3401768999999901E-3</v>
      </c>
      <c r="AT111" s="39">
        <v>2.2161895000000001E-3</v>
      </c>
      <c r="AU111" s="39">
        <v>2.26973819999999E-3</v>
      </c>
      <c r="AV111" s="39">
        <v>1.96656359999999E-3</v>
      </c>
      <c r="AW111" s="39">
        <v>2.0330531E-3</v>
      </c>
    </row>
    <row r="112" spans="2:49" x14ac:dyDescent="0.25">
      <c r="B112" t="s">
        <v>519</v>
      </c>
      <c r="C112" s="39">
        <v>0</v>
      </c>
      <c r="D112" s="39">
        <v>0</v>
      </c>
      <c r="E112" s="39">
        <v>0</v>
      </c>
      <c r="F112" s="39">
        <v>0</v>
      </c>
      <c r="G112" s="39">
        <v>0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0</v>
      </c>
      <c r="T112" s="39">
        <v>0</v>
      </c>
      <c r="U112" s="39">
        <v>0</v>
      </c>
      <c r="V112" s="39">
        <v>-1.6265320000000101E-4</v>
      </c>
      <c r="W112" s="39">
        <v>-2.5580189999999798E-4</v>
      </c>
      <c r="X112" s="39">
        <v>-3.862432E-4</v>
      </c>
      <c r="Y112" s="39">
        <v>1.5528338E-3</v>
      </c>
      <c r="Z112" s="39">
        <v>7.5600149999999905E-4</v>
      </c>
      <c r="AA112" s="39">
        <v>8.2365880000000104E-4</v>
      </c>
      <c r="AB112" s="39">
        <v>2.3371476000000001E-3</v>
      </c>
      <c r="AC112" s="39">
        <v>2.9543095999999898E-3</v>
      </c>
      <c r="AD112" s="39">
        <v>2.1078375999999898E-3</v>
      </c>
      <c r="AE112" s="39">
        <v>1.9474248E-3</v>
      </c>
      <c r="AF112" s="39">
        <v>1.8861202999999899E-3</v>
      </c>
      <c r="AG112" s="39">
        <v>2.0034301000000001E-3</v>
      </c>
      <c r="AH112" s="39">
        <v>2.0509265E-3</v>
      </c>
      <c r="AI112" s="39">
        <v>1.63413529999999E-3</v>
      </c>
      <c r="AJ112" s="39">
        <v>1.7081332E-3</v>
      </c>
      <c r="AK112" s="39">
        <v>1.65989689999999E-3</v>
      </c>
      <c r="AL112" s="39">
        <v>1.7329794000000001E-3</v>
      </c>
      <c r="AM112" s="39">
        <v>1.8678269999999901E-3</v>
      </c>
      <c r="AN112" s="39">
        <v>1.74512309999999E-3</v>
      </c>
      <c r="AO112" s="39">
        <v>1.7464106999999899E-3</v>
      </c>
      <c r="AP112" s="39">
        <v>2.0155138999999899E-3</v>
      </c>
      <c r="AQ112" s="39">
        <v>1.9461957E-3</v>
      </c>
      <c r="AR112" s="39">
        <v>1.8292146999999901E-3</v>
      </c>
      <c r="AS112" s="39">
        <v>2.3401770000000001E-3</v>
      </c>
      <c r="AT112" s="39">
        <v>2.2161895000000001E-3</v>
      </c>
      <c r="AU112" s="39">
        <v>2.26973819999999E-3</v>
      </c>
      <c r="AV112" s="39">
        <v>1.9665635999999999E-3</v>
      </c>
      <c r="AW112" s="39">
        <v>2.03305319999999E-3</v>
      </c>
    </row>
    <row r="113" spans="2:50" x14ac:dyDescent="0.25">
      <c r="B113" t="s">
        <v>520</v>
      </c>
      <c r="C113">
        <v>0</v>
      </c>
      <c r="D113" s="39">
        <v>0</v>
      </c>
      <c r="E113" s="39">
        <v>0</v>
      </c>
      <c r="F113" s="39">
        <v>0</v>
      </c>
      <c r="G113" s="39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0</v>
      </c>
      <c r="T113">
        <v>0</v>
      </c>
      <c r="U113" s="39">
        <v>0</v>
      </c>
      <c r="V113">
        <v>-9.0266422590823403E-2</v>
      </c>
      <c r="W113">
        <v>-0.134576517368723</v>
      </c>
      <c r="X113">
        <v>-9.8238012426832194E-2</v>
      </c>
      <c r="Y113">
        <v>-1.0912589312908201</v>
      </c>
      <c r="Z113">
        <v>-2.0679403080784802</v>
      </c>
      <c r="AA113">
        <v>-3.07654749424186</v>
      </c>
      <c r="AB113">
        <v>-4.1374302164169903</v>
      </c>
      <c r="AC113">
        <v>-5.3552839975612399</v>
      </c>
      <c r="AD113">
        <v>-6.4743661239537103</v>
      </c>
      <c r="AE113">
        <v>-7.5980156492289002</v>
      </c>
      <c r="AF113">
        <v>-8.5741944879676701</v>
      </c>
      <c r="AG113">
        <v>-9.2441799360604104</v>
      </c>
      <c r="AH113">
        <v>-9.9170242134729296</v>
      </c>
      <c r="AI113">
        <v>-10.416202824788099</v>
      </c>
      <c r="AJ113">
        <v>-10.9109329469558</v>
      </c>
      <c r="AK113">
        <v>-11.377330046538299</v>
      </c>
      <c r="AL113">
        <v>-11.733198856432001</v>
      </c>
      <c r="AM113">
        <v>-12.2256976249615</v>
      </c>
      <c r="AN113">
        <v>-12.969446683105399</v>
      </c>
      <c r="AO113">
        <v>-13.671762940711201</v>
      </c>
      <c r="AP113">
        <v>-14.3628113522274</v>
      </c>
      <c r="AQ113">
        <v>-15.1374781400442</v>
      </c>
      <c r="AR113">
        <v>-15.980162923406301</v>
      </c>
      <c r="AS113">
        <v>-16.6725509846706</v>
      </c>
      <c r="AT113">
        <v>-17.345621579638699</v>
      </c>
      <c r="AU113">
        <v>-17.975778968243699</v>
      </c>
      <c r="AV113">
        <v>-18.557863199292999</v>
      </c>
      <c r="AW113">
        <v>-18.957127734625502</v>
      </c>
    </row>
    <row r="114" spans="2:50" x14ac:dyDescent="0.25">
      <c r="B114" t="s">
        <v>521</v>
      </c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39">
        <v>0</v>
      </c>
      <c r="T114" s="39">
        <v>0</v>
      </c>
      <c r="U114" s="39">
        <v>0</v>
      </c>
      <c r="V114" s="39">
        <v>-1.0081059999999999E-2</v>
      </c>
      <c r="W114">
        <v>8.05726999999999E-2</v>
      </c>
      <c r="X114" s="39">
        <v>8.6595350000000196E-2</v>
      </c>
      <c r="Y114">
        <v>-3.6290209999999899E-2</v>
      </c>
      <c r="Z114">
        <v>-0.31933505000000001</v>
      </c>
      <c r="AA114">
        <v>-0.50974136000000003</v>
      </c>
      <c r="AB114">
        <v>-0.67742287999999995</v>
      </c>
      <c r="AC114">
        <v>-0.74539270999999896</v>
      </c>
      <c r="AD114">
        <v>-0.74996607999999998</v>
      </c>
      <c r="AE114">
        <v>-0.80795618999999996</v>
      </c>
      <c r="AF114">
        <v>-0.83197373999999902</v>
      </c>
      <c r="AG114">
        <v>-0.79678878999999903</v>
      </c>
      <c r="AH114">
        <v>-0.75378477999999904</v>
      </c>
      <c r="AI114">
        <v>-0.66554181000000001</v>
      </c>
      <c r="AJ114">
        <v>-0.62313872999999997</v>
      </c>
      <c r="AK114">
        <v>-0.59267735999999904</v>
      </c>
      <c r="AL114">
        <v>-0.56531078999999895</v>
      </c>
      <c r="AM114">
        <v>-0.55729820999999902</v>
      </c>
      <c r="AN114">
        <v>-0.65956159000000003</v>
      </c>
      <c r="AO114">
        <v>-0.73649479999999901</v>
      </c>
      <c r="AP114">
        <v>-0.83182087000000005</v>
      </c>
      <c r="AQ114">
        <v>-0.79417877000000003</v>
      </c>
      <c r="AR114">
        <v>-0.86322451</v>
      </c>
      <c r="AS114">
        <v>-0.97792113999999997</v>
      </c>
      <c r="AT114">
        <v>-0.89714855999999898</v>
      </c>
      <c r="AU114">
        <v>-0.95144627000000004</v>
      </c>
      <c r="AV114">
        <v>-0.88284090999999998</v>
      </c>
      <c r="AW114">
        <v>-0.92809653999999897</v>
      </c>
    </row>
    <row r="115" spans="2:50" x14ac:dyDescent="0.25">
      <c r="B115" s="40" t="s">
        <v>486</v>
      </c>
      <c r="C115">
        <v>96.864644472622402</v>
      </c>
      <c r="D115">
        <v>98.419837671387299</v>
      </c>
      <c r="E115">
        <v>100.02651021291101</v>
      </c>
      <c r="F115">
        <v>100.43957676114201</v>
      </c>
      <c r="G115">
        <v>95.411791652624203</v>
      </c>
      <c r="H115">
        <v>90.585442019205999</v>
      </c>
      <c r="I115">
        <v>89.300860223809707</v>
      </c>
      <c r="J115">
        <v>87.009480103991606</v>
      </c>
      <c r="K115">
        <v>83.706666841084001</v>
      </c>
      <c r="L115">
        <v>81.5971637986991</v>
      </c>
      <c r="M115">
        <v>80.833882898968696</v>
      </c>
      <c r="N115">
        <v>80.801041050264303</v>
      </c>
      <c r="O115">
        <v>78.878245796725807</v>
      </c>
      <c r="P115">
        <v>76.941949359072694</v>
      </c>
      <c r="Q115">
        <v>73.836163406698105</v>
      </c>
      <c r="R115">
        <v>71.737096390875905</v>
      </c>
      <c r="S115">
        <v>70.079669431762497</v>
      </c>
      <c r="T115">
        <v>69.084298615592104</v>
      </c>
      <c r="U115">
        <v>68.249952121799595</v>
      </c>
      <c r="V115">
        <v>67.290689520267406</v>
      </c>
      <c r="W115">
        <v>65.167442785204599</v>
      </c>
      <c r="X115">
        <v>62.699891229956201</v>
      </c>
      <c r="Y115">
        <v>59.945260866453403</v>
      </c>
      <c r="Z115">
        <v>57.2517902011489</v>
      </c>
      <c r="AA115">
        <v>54.5968463880168</v>
      </c>
      <c r="AB115">
        <v>51.678129595297101</v>
      </c>
      <c r="AC115">
        <v>48.861720724220497</v>
      </c>
      <c r="AD115">
        <v>46.175703158506103</v>
      </c>
      <c r="AE115">
        <v>43.579649659854901</v>
      </c>
      <c r="AF115">
        <v>41.049424027908003</v>
      </c>
      <c r="AG115">
        <v>38.923150662099303</v>
      </c>
      <c r="AH115">
        <v>36.863846869181899</v>
      </c>
      <c r="AI115">
        <v>34.7276272317864</v>
      </c>
      <c r="AJ115">
        <v>32.684550411838202</v>
      </c>
      <c r="AK115">
        <v>30.704908682785401</v>
      </c>
      <c r="AL115">
        <v>29.8267282981903</v>
      </c>
      <c r="AM115">
        <v>28.9351777021316</v>
      </c>
      <c r="AN115">
        <v>27.2543357358084</v>
      </c>
      <c r="AO115">
        <v>25.606626891936099</v>
      </c>
      <c r="AP115">
        <v>23.959366572192799</v>
      </c>
      <c r="AQ115">
        <v>22.3672131606295</v>
      </c>
      <c r="AR115">
        <v>20.747385807995201</v>
      </c>
      <c r="AS115">
        <v>20.227503050082401</v>
      </c>
      <c r="AT115">
        <v>19.746878978007999</v>
      </c>
      <c r="AU115">
        <v>19.265675323641101</v>
      </c>
      <c r="AV115">
        <v>18.810859549971099</v>
      </c>
      <c r="AW115">
        <v>18.3583876112796</v>
      </c>
      <c r="AX115">
        <v>9.0244863402317499</v>
      </c>
    </row>
    <row r="116" spans="2:50" x14ac:dyDescent="0.25">
      <c r="B116" t="s">
        <v>522</v>
      </c>
      <c r="C116">
        <v>0</v>
      </c>
      <c r="D116" s="39">
        <v>0</v>
      </c>
      <c r="E116" s="39">
        <v>0</v>
      </c>
      <c r="F116" s="39">
        <v>0</v>
      </c>
      <c r="G116" s="39">
        <v>0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39">
        <v>0</v>
      </c>
      <c r="T116" s="39">
        <v>0</v>
      </c>
      <c r="U116" s="39">
        <v>0</v>
      </c>
      <c r="V116" s="39">
        <v>8.8304755063717197E-2</v>
      </c>
      <c r="W116">
        <v>0.21372009984330601</v>
      </c>
      <c r="X116">
        <v>0.26968436746590502</v>
      </c>
      <c r="Y116">
        <v>0.98532058316027604</v>
      </c>
      <c r="Z116">
        <v>1.49568602125089</v>
      </c>
      <c r="AA116">
        <v>1.8739536383123701</v>
      </c>
      <c r="AB116">
        <v>2.0249670123655799</v>
      </c>
      <c r="AC116">
        <v>2.21638050164279</v>
      </c>
      <c r="AD116">
        <v>2.4063176757428399</v>
      </c>
      <c r="AE116">
        <v>2.6027600475790802</v>
      </c>
      <c r="AF116">
        <v>2.6857727251830599</v>
      </c>
      <c r="AG116" s="39">
        <v>2.5794906442325001</v>
      </c>
      <c r="AH116" s="39">
        <v>2.5329358672018598</v>
      </c>
      <c r="AI116">
        <v>2.47560428032302</v>
      </c>
      <c r="AJ116">
        <v>2.4590534126891899</v>
      </c>
      <c r="AK116">
        <v>2.4595784317775702</v>
      </c>
      <c r="AL116" s="39">
        <v>2.4094849410169101</v>
      </c>
      <c r="AM116">
        <v>2.4560401817614799</v>
      </c>
      <c r="AN116">
        <v>2.6103627129790499</v>
      </c>
      <c r="AO116">
        <v>2.71094467204433</v>
      </c>
      <c r="AP116">
        <v>2.7296632939713699</v>
      </c>
      <c r="AQ116">
        <v>2.85192343270639</v>
      </c>
      <c r="AR116">
        <v>2.9925960671624598</v>
      </c>
      <c r="AS116">
        <v>2.9292213278725399</v>
      </c>
      <c r="AT116">
        <v>2.9330571156150902</v>
      </c>
      <c r="AU116">
        <v>2.8790408010084199</v>
      </c>
      <c r="AV116">
        <v>2.8788981362044299</v>
      </c>
      <c r="AW116">
        <v>2.7547369580032099</v>
      </c>
    </row>
    <row r="117" spans="2:50" x14ac:dyDescent="0.25">
      <c r="B117" t="s">
        <v>523</v>
      </c>
      <c r="C117" s="39">
        <v>0</v>
      </c>
      <c r="D117" s="39">
        <v>0</v>
      </c>
      <c r="E117" s="39">
        <v>0</v>
      </c>
      <c r="F117" s="39">
        <v>0</v>
      </c>
      <c r="G117" s="39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0</v>
      </c>
      <c r="T117" s="39">
        <v>0</v>
      </c>
      <c r="U117" s="39">
        <v>0</v>
      </c>
      <c r="V117" s="39">
        <v>4.64386175484943E-2</v>
      </c>
      <c r="W117" s="39">
        <v>-1.1634553458184E-2</v>
      </c>
      <c r="X117">
        <v>-8.01525344670595E-2</v>
      </c>
      <c r="Y117">
        <v>0.66804493488652406</v>
      </c>
      <c r="Z117">
        <v>1.42047116012191</v>
      </c>
      <c r="AA117">
        <v>1.9847054315183099</v>
      </c>
      <c r="AB117">
        <v>2.1975902425613398</v>
      </c>
      <c r="AC117">
        <v>2.1972690073991101</v>
      </c>
      <c r="AD117">
        <v>2.2749281711366298</v>
      </c>
      <c r="AE117">
        <v>2.5425198774599198</v>
      </c>
      <c r="AF117">
        <v>2.6207397968419399</v>
      </c>
      <c r="AG117">
        <v>2.54437174295827</v>
      </c>
      <c r="AH117">
        <v>2.5017661892259699</v>
      </c>
      <c r="AI117">
        <v>2.2965510804984599</v>
      </c>
      <c r="AJ117">
        <v>2.1690057738777702</v>
      </c>
      <c r="AK117">
        <v>2.09259426179384</v>
      </c>
      <c r="AL117">
        <v>2.0121949614916699</v>
      </c>
      <c r="AM117">
        <v>1.9905361957930801</v>
      </c>
      <c r="AN117">
        <v>2.1882624728689399</v>
      </c>
      <c r="AO117">
        <v>2.3592995385691902</v>
      </c>
      <c r="AP117">
        <v>2.3824867560243201</v>
      </c>
      <c r="AQ117">
        <v>2.5430912416939102</v>
      </c>
      <c r="AR117">
        <v>2.7643529771948998</v>
      </c>
      <c r="AS117">
        <v>2.8203484416956299</v>
      </c>
      <c r="AT117">
        <v>2.8714393328967902</v>
      </c>
      <c r="AU117">
        <v>2.82812634523308</v>
      </c>
      <c r="AV117">
        <v>2.8729717755674899</v>
      </c>
      <c r="AW117">
        <v>2.6873803074645801</v>
      </c>
    </row>
    <row r="118" spans="2:50" x14ac:dyDescent="0.25">
      <c r="B118" t="s">
        <v>524</v>
      </c>
      <c r="C118">
        <v>0</v>
      </c>
      <c r="D118" s="39">
        <v>0</v>
      </c>
      <c r="E118" s="39">
        <v>0</v>
      </c>
      <c r="F118" s="39">
        <v>0</v>
      </c>
      <c r="G118" s="39">
        <v>0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39">
        <v>0</v>
      </c>
      <c r="T118">
        <v>0</v>
      </c>
      <c r="U118">
        <v>0</v>
      </c>
      <c r="V118">
        <v>0.70857075335255504</v>
      </c>
      <c r="W118">
        <v>0.63935440952391698</v>
      </c>
      <c r="X118">
        <v>-0.251785002652471</v>
      </c>
      <c r="Y118">
        <v>2.4041010759604</v>
      </c>
      <c r="Z118">
        <v>3.18302178010057</v>
      </c>
      <c r="AA118">
        <v>3.6655113216736699</v>
      </c>
      <c r="AB118">
        <v>3.4106398803998399</v>
      </c>
      <c r="AC118">
        <v>4.8897950502413403</v>
      </c>
      <c r="AD118">
        <v>5.4024359333732104</v>
      </c>
      <c r="AE118">
        <v>5.8661212710430899</v>
      </c>
      <c r="AF118">
        <v>5.8788602722882697</v>
      </c>
      <c r="AG118">
        <v>5.6044243087716596</v>
      </c>
      <c r="AH118">
        <v>6.4135836748486303</v>
      </c>
      <c r="AI118">
        <v>6.3547922533200696</v>
      </c>
      <c r="AJ118">
        <v>6.4270735177527101</v>
      </c>
      <c r="AK118">
        <v>6.4671220493746002</v>
      </c>
      <c r="AL118">
        <v>6.0816430556485503</v>
      </c>
      <c r="AM118" s="39">
        <v>6.5330783539701196</v>
      </c>
      <c r="AN118">
        <v>7.4350978508391501</v>
      </c>
      <c r="AO118">
        <v>7.5753596268400099</v>
      </c>
      <c r="AP118">
        <v>7.4897560232622702</v>
      </c>
      <c r="AQ118">
        <v>7.74568968092803</v>
      </c>
      <c r="AR118">
        <v>8.2033091109862699</v>
      </c>
      <c r="AS118">
        <v>7.5353042415084097</v>
      </c>
      <c r="AT118">
        <v>7.4742165263273996</v>
      </c>
      <c r="AU118">
        <v>7.3163360902244401</v>
      </c>
      <c r="AV118">
        <v>7.2322981741618602</v>
      </c>
      <c r="AW118" s="39">
        <v>6.8323580742918502</v>
      </c>
    </row>
    <row r="119" spans="2:50" x14ac:dyDescent="0.25">
      <c r="B119" t="s">
        <v>525</v>
      </c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0</v>
      </c>
      <c r="T119" s="39">
        <v>0</v>
      </c>
      <c r="U119" s="39">
        <v>0</v>
      </c>
      <c r="V119" s="39">
        <v>1.0433628907291399E-3</v>
      </c>
      <c r="W119" s="39">
        <v>8.3587692628217497E-2</v>
      </c>
      <c r="X119" s="39">
        <v>0.16779054925051201</v>
      </c>
      <c r="Y119">
        <v>0.105197578912852</v>
      </c>
      <c r="Z119">
        <v>3.30966869078297E-2</v>
      </c>
      <c r="AA119">
        <v>-5.6720052996672703E-2</v>
      </c>
      <c r="AB119">
        <v>-0.20128263333093399</v>
      </c>
      <c r="AC119">
        <v>-0.37824116136702102</v>
      </c>
      <c r="AD119" s="39">
        <v>-0.42135379848157101</v>
      </c>
      <c r="AE119" s="39">
        <v>-0.47472787528626198</v>
      </c>
      <c r="AF119" s="39">
        <v>-0.53580875596773703</v>
      </c>
      <c r="AG119" s="39">
        <v>-0.92284700485469795</v>
      </c>
      <c r="AH119">
        <v>-1.31240243406529</v>
      </c>
      <c r="AI119" s="39">
        <v>-1.4348515370079999</v>
      </c>
      <c r="AJ119" s="39">
        <v>-1.55617467023125</v>
      </c>
      <c r="AK119" s="39">
        <v>-1.67566356595928</v>
      </c>
      <c r="AL119" s="39">
        <v>-1.7920771329393701</v>
      </c>
      <c r="AM119" s="39">
        <v>-1.9089899156868999</v>
      </c>
      <c r="AN119" s="39">
        <v>-2.0345763554703802</v>
      </c>
      <c r="AO119">
        <v>-2.15835614332453</v>
      </c>
      <c r="AP119">
        <v>-2.2969196240005698</v>
      </c>
      <c r="AQ119">
        <v>-2.42484100951047</v>
      </c>
      <c r="AR119">
        <v>-2.55163566572848</v>
      </c>
      <c r="AS119">
        <v>-2.7100080307689902</v>
      </c>
      <c r="AT119">
        <v>-2.8566859873383899</v>
      </c>
      <c r="AU119">
        <v>-3.0135598912792601</v>
      </c>
      <c r="AV119">
        <v>-3.1551110608974402</v>
      </c>
      <c r="AW119">
        <v>-3.3027979996919798</v>
      </c>
    </row>
    <row r="120" spans="2:50" x14ac:dyDescent="0.25">
      <c r="B120" t="s">
        <v>526</v>
      </c>
      <c r="C120">
        <v>0</v>
      </c>
      <c r="D120" s="39">
        <v>0</v>
      </c>
      <c r="E120" s="39">
        <v>0</v>
      </c>
      <c r="F120" s="39">
        <v>0</v>
      </c>
      <c r="G120" s="39">
        <v>0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0</v>
      </c>
      <c r="T120" s="39">
        <v>0</v>
      </c>
      <c r="U120">
        <v>0</v>
      </c>
      <c r="V120" s="39">
        <v>0.16989243756424499</v>
      </c>
      <c r="W120" s="39">
        <v>-0.29295319304891698</v>
      </c>
      <c r="X120">
        <v>-0.97233054088725601</v>
      </c>
      <c r="Y120">
        <v>-0.60361713716610099</v>
      </c>
      <c r="Z120">
        <v>-0.54514119230543101</v>
      </c>
      <c r="AA120">
        <v>-0.57800180180594896</v>
      </c>
      <c r="AB120">
        <v>-0.95741703091307695</v>
      </c>
      <c r="AC120">
        <v>-0.99530103843109496</v>
      </c>
      <c r="AD120">
        <v>-1.2393041950672199</v>
      </c>
      <c r="AE120">
        <v>-1.20848700606625</v>
      </c>
      <c r="AF120">
        <v>-1.39454909925033</v>
      </c>
      <c r="AG120">
        <v>-1.73497014484104</v>
      </c>
      <c r="AH120">
        <v>-1.65443372890915</v>
      </c>
      <c r="AI120">
        <v>-1.9845781044431601</v>
      </c>
      <c r="AJ120">
        <v>-2.2472401932092301</v>
      </c>
      <c r="AK120">
        <v>-2.4906566841867401</v>
      </c>
      <c r="AL120">
        <v>-2.8004875326155698</v>
      </c>
      <c r="AM120">
        <v>-2.8744664589882598</v>
      </c>
      <c r="AN120">
        <v>-2.6927254391102098</v>
      </c>
      <c r="AO120">
        <v>-2.76296209484275</v>
      </c>
      <c r="AP120">
        <v>-2.9714323734002899</v>
      </c>
      <c r="AQ120">
        <v>-3.0725856764336301</v>
      </c>
      <c r="AR120">
        <v>-3.0134350744905101</v>
      </c>
      <c r="AS120">
        <v>-3.2332728592472</v>
      </c>
      <c r="AT120">
        <v>-3.3407866710721201</v>
      </c>
      <c r="AU120">
        <v>-3.4937320899473701</v>
      </c>
      <c r="AV120">
        <v>-3.6063955456518202</v>
      </c>
      <c r="AW120">
        <v>-3.9077000615292898</v>
      </c>
    </row>
    <row r="121" spans="2:50" x14ac:dyDescent="0.25">
      <c r="B121" t="s">
        <v>527</v>
      </c>
      <c r="C121" s="39">
        <v>0</v>
      </c>
      <c r="D121" s="39">
        <v>0</v>
      </c>
      <c r="E121" s="39">
        <v>0</v>
      </c>
      <c r="F121" s="39">
        <v>0</v>
      </c>
      <c r="G121" s="39">
        <v>0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39">
        <v>0</v>
      </c>
      <c r="T121" s="39">
        <v>0</v>
      </c>
      <c r="U121" s="39">
        <v>0</v>
      </c>
      <c r="V121" s="39">
        <v>-1.5829180000000099E-2</v>
      </c>
      <c r="W121" s="39">
        <v>-4.4383010000000001E-2</v>
      </c>
      <c r="X121">
        <v>-3.2206149999999802E-2</v>
      </c>
      <c r="Y121">
        <v>-0.100725869999999</v>
      </c>
      <c r="Z121">
        <v>-0.32740764</v>
      </c>
      <c r="AA121">
        <v>-0.52936363999999902</v>
      </c>
      <c r="AB121">
        <v>-0.60077921000000001</v>
      </c>
      <c r="AC121">
        <v>-0.60389052999999904</v>
      </c>
      <c r="AD121" s="39">
        <v>-0.64046252999999898</v>
      </c>
      <c r="AE121">
        <v>-0.69390202000000001</v>
      </c>
      <c r="AF121">
        <v>-0.720020839999999</v>
      </c>
      <c r="AG121">
        <v>-0.69769985999999995</v>
      </c>
      <c r="AH121">
        <v>-0.66491914999999902</v>
      </c>
      <c r="AI121">
        <v>-0.64623830000000004</v>
      </c>
      <c r="AJ121">
        <v>-0.62504990999999999</v>
      </c>
      <c r="AK121" s="39">
        <v>-0.60802033</v>
      </c>
      <c r="AL121">
        <v>-0.58202094999999998</v>
      </c>
      <c r="AM121" s="39">
        <v>-0.56006122999999997</v>
      </c>
      <c r="AN121" s="39">
        <v>-0.58612653999999897</v>
      </c>
      <c r="AO121">
        <v>-0.62980164999999999</v>
      </c>
      <c r="AP121">
        <v>-0.64903557000000001</v>
      </c>
      <c r="AQ121">
        <v>-0.64386065000000103</v>
      </c>
      <c r="AR121">
        <v>-0.67821242999999898</v>
      </c>
      <c r="AS121" s="39">
        <v>-0.70070208999999894</v>
      </c>
      <c r="AT121" s="39">
        <v>-0.65950046000000095</v>
      </c>
      <c r="AU121">
        <v>-0.63651183</v>
      </c>
      <c r="AV121">
        <v>-0.60810284999999997</v>
      </c>
      <c r="AW121">
        <v>-0.58543803999999899</v>
      </c>
    </row>
    <row r="122" spans="2:50" x14ac:dyDescent="0.25">
      <c r="B122" t="s">
        <v>528</v>
      </c>
      <c r="C122" s="39">
        <v>0</v>
      </c>
      <c r="D122" s="39">
        <v>0</v>
      </c>
      <c r="E122" s="39">
        <v>0</v>
      </c>
      <c r="F122" s="39">
        <v>0</v>
      </c>
      <c r="G122" s="39">
        <v>0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39">
        <v>0</v>
      </c>
      <c r="T122" s="39">
        <v>0</v>
      </c>
      <c r="U122" s="39">
        <v>0</v>
      </c>
      <c r="V122" s="39">
        <v>2.59241872720084E-2</v>
      </c>
      <c r="W122" s="39">
        <v>7.2485442031400199E-2</v>
      </c>
      <c r="X122">
        <v>5.2490917403957803E-2</v>
      </c>
      <c r="Y122">
        <v>0.16436004628881401</v>
      </c>
      <c r="Z122">
        <v>0.53484751796208896</v>
      </c>
      <c r="AA122">
        <v>0.86681891624353902</v>
      </c>
      <c r="AB122">
        <v>0.98318274161404096</v>
      </c>
      <c r="AC122">
        <v>0.98676995167217196</v>
      </c>
      <c r="AD122">
        <v>1.04533245325517</v>
      </c>
      <c r="AE122">
        <v>1.1316363344733</v>
      </c>
      <c r="AF122">
        <v>1.1731864612057601</v>
      </c>
      <c r="AG122">
        <v>1.1382704791312199</v>
      </c>
      <c r="AH122">
        <v>1.08393920201139</v>
      </c>
      <c r="AI122">
        <v>1.0518536382116901</v>
      </c>
      <c r="AJ122">
        <v>1.0160924346978599</v>
      </c>
      <c r="AK122">
        <v>0.98732686088878197</v>
      </c>
      <c r="AL122">
        <v>0.94431404156631804</v>
      </c>
      <c r="AM122">
        <v>0.90844913979526398</v>
      </c>
      <c r="AN122">
        <v>0.95112049664940401</v>
      </c>
      <c r="AO122">
        <v>1.02239129830348</v>
      </c>
      <c r="AP122">
        <v>1.0538600818480199</v>
      </c>
      <c r="AQ122">
        <v>1.04519787906032</v>
      </c>
      <c r="AR122">
        <v>1.1009454608626701</v>
      </c>
      <c r="AS122">
        <v>1.13737390642847</v>
      </c>
      <c r="AT122">
        <v>1.0700304266529901</v>
      </c>
      <c r="AU122">
        <v>1.0322734952456101</v>
      </c>
      <c r="AV122">
        <v>0.98570434805329499</v>
      </c>
      <c r="AW122">
        <v>0.94861179295189202</v>
      </c>
    </row>
    <row r="123" spans="2:50" x14ac:dyDescent="0.25">
      <c r="B123" t="s">
        <v>529</v>
      </c>
      <c r="C123" s="39">
        <v>0</v>
      </c>
      <c r="D123" s="39">
        <v>0</v>
      </c>
      <c r="E123" s="39">
        <v>0</v>
      </c>
      <c r="F123" s="39">
        <v>0</v>
      </c>
      <c r="G123" s="39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0</v>
      </c>
      <c r="T123" s="39">
        <v>0</v>
      </c>
      <c r="U123" s="39">
        <v>0</v>
      </c>
      <c r="V123">
        <v>3.6980418316368002E-2</v>
      </c>
      <c r="W123" s="39">
        <v>2.40146919201711E-2</v>
      </c>
      <c r="X123">
        <v>1.1416629935334601E-2</v>
      </c>
      <c r="Y123">
        <v>0.197831944845128</v>
      </c>
      <c r="Z123">
        <v>0.45899102914483902</v>
      </c>
      <c r="AA123">
        <v>0.79848881716020303</v>
      </c>
      <c r="AB123" s="39">
        <v>1.12186714885846</v>
      </c>
      <c r="AC123">
        <v>1.4827679890210701</v>
      </c>
      <c r="AD123">
        <v>1.7940944809066299</v>
      </c>
      <c r="AE123">
        <v>2.03966519427181</v>
      </c>
      <c r="AF123">
        <v>2.2392058750775501</v>
      </c>
      <c r="AG123">
        <v>2.3788712422709599</v>
      </c>
      <c r="AH123">
        <v>2.49091600358242</v>
      </c>
      <c r="AI123">
        <v>2.5397908530678501</v>
      </c>
      <c r="AJ123">
        <v>2.5627505452655299</v>
      </c>
      <c r="AK123">
        <v>2.5818099521051501</v>
      </c>
      <c r="AL123">
        <v>2.5691301241604898</v>
      </c>
      <c r="AM123">
        <v>2.5782292283181998</v>
      </c>
      <c r="AN123">
        <v>2.6113297267810598</v>
      </c>
      <c r="AO123">
        <v>2.6377233631232899</v>
      </c>
      <c r="AP123">
        <v>2.66227479200198</v>
      </c>
      <c r="AQ123">
        <v>2.7675310681801899</v>
      </c>
      <c r="AR123">
        <v>2.8547527923596001</v>
      </c>
      <c r="AS123">
        <v>2.8524967263232601</v>
      </c>
      <c r="AT123">
        <v>2.9418153149044501</v>
      </c>
      <c r="AU123">
        <v>2.9391421929019601</v>
      </c>
      <c r="AV123">
        <v>2.9610351294261998</v>
      </c>
      <c r="AW123">
        <v>2.8899001637350401</v>
      </c>
    </row>
    <row r="124" spans="2:50" x14ac:dyDescent="0.25">
      <c r="B124" t="s">
        <v>530</v>
      </c>
      <c r="C124" s="39">
        <v>0</v>
      </c>
      <c r="D124" s="39">
        <v>0</v>
      </c>
      <c r="E124" s="39">
        <v>0</v>
      </c>
      <c r="F124" s="39">
        <v>0</v>
      </c>
      <c r="G124" s="39">
        <v>0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39">
        <v>0</v>
      </c>
      <c r="T124" s="39">
        <v>0</v>
      </c>
      <c r="U124" s="39">
        <v>0</v>
      </c>
      <c r="V124">
        <v>-1.5919506923911499E-2</v>
      </c>
      <c r="W124" s="39">
        <v>-4.0952687014861301E-2</v>
      </c>
      <c r="X124">
        <v>-7.8809355471654005E-2</v>
      </c>
      <c r="Y124">
        <v>7.3161363902984805E-2</v>
      </c>
      <c r="Z124">
        <v>0.14732063715165999</v>
      </c>
      <c r="AA124">
        <v>0.22805012790194601</v>
      </c>
      <c r="AB124">
        <v>0.457188127836749</v>
      </c>
      <c r="AC124">
        <v>0.74748231535437504</v>
      </c>
      <c r="AD124">
        <v>0.95512342368479997</v>
      </c>
      <c r="AE124">
        <v>1.1472775052711199</v>
      </c>
      <c r="AF124">
        <v>1.3340746456249799</v>
      </c>
      <c r="AG124">
        <v>1.53257201533771</v>
      </c>
      <c r="AH124">
        <v>1.7360648195225299</v>
      </c>
      <c r="AI124">
        <v>1.89857374294704</v>
      </c>
      <c r="AJ124">
        <v>2.0686454168294501</v>
      </c>
      <c r="AK124">
        <v>2.2341543098925301</v>
      </c>
      <c r="AL124">
        <v>2.4072663471222699</v>
      </c>
      <c r="AM124">
        <v>2.5942301815460702</v>
      </c>
      <c r="AN124">
        <v>2.7692416288248798</v>
      </c>
      <c r="AO124">
        <v>2.9447405234372699</v>
      </c>
      <c r="AP124">
        <v>3.1476220332774698</v>
      </c>
      <c r="AQ124">
        <v>3.34393933861443</v>
      </c>
      <c r="AR124">
        <v>3.5288036823172502</v>
      </c>
      <c r="AS124">
        <v>3.76567276549852</v>
      </c>
      <c r="AT124">
        <v>3.99046988548834</v>
      </c>
      <c r="AU124">
        <v>4.2211616912119601</v>
      </c>
      <c r="AV124">
        <v>4.42148630165015</v>
      </c>
      <c r="AW124">
        <v>4.6288901505472797</v>
      </c>
    </row>
    <row r="125" spans="2:50" x14ac:dyDescent="0.25">
      <c r="B125" t="s">
        <v>531</v>
      </c>
      <c r="C125" s="39">
        <v>0</v>
      </c>
      <c r="D125" s="39">
        <v>0</v>
      </c>
      <c r="E125" s="39">
        <v>0</v>
      </c>
      <c r="F125" s="39">
        <v>0</v>
      </c>
      <c r="G125" s="39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0</v>
      </c>
      <c r="T125" s="39">
        <v>0</v>
      </c>
      <c r="U125" s="39">
        <v>0</v>
      </c>
      <c r="V125" s="39">
        <v>-1.62653200000001E-2</v>
      </c>
      <c r="W125">
        <v>-2.5580189999999801E-2</v>
      </c>
      <c r="X125">
        <v>-3.8624319999999997E-2</v>
      </c>
      <c r="Y125">
        <v>0.15528338</v>
      </c>
      <c r="Z125">
        <v>7.5600149999999894E-2</v>
      </c>
      <c r="AA125">
        <v>8.23658800000001E-2</v>
      </c>
      <c r="AB125">
        <v>0.23371475999999999</v>
      </c>
      <c r="AC125">
        <v>0.29543095999999902</v>
      </c>
      <c r="AD125">
        <v>0.21078375999999899</v>
      </c>
      <c r="AE125">
        <v>0.19474248</v>
      </c>
      <c r="AF125">
        <v>0.18861202999999899</v>
      </c>
      <c r="AG125">
        <v>0.20034300999999999</v>
      </c>
      <c r="AH125">
        <v>0.20509264999999999</v>
      </c>
      <c r="AI125">
        <v>0.163413529999999</v>
      </c>
      <c r="AJ125">
        <v>0.17081331999999999</v>
      </c>
      <c r="AK125">
        <v>0.165989689999999</v>
      </c>
      <c r="AL125">
        <v>0.17329794000000001</v>
      </c>
      <c r="AM125">
        <v>0.186782699999999</v>
      </c>
      <c r="AN125">
        <v>0.174512309999999</v>
      </c>
      <c r="AO125" s="39">
        <v>0.17464106999999901</v>
      </c>
      <c r="AP125" s="39">
        <v>0.201551389999999</v>
      </c>
      <c r="AQ125" s="39">
        <v>0.19461956999999999</v>
      </c>
      <c r="AR125">
        <v>0.182921469999999</v>
      </c>
      <c r="AS125">
        <v>0.2340177</v>
      </c>
      <c r="AT125" s="39">
        <v>0.22161895000000001</v>
      </c>
      <c r="AU125">
        <v>0.22697381999999899</v>
      </c>
      <c r="AV125">
        <v>0.19665636</v>
      </c>
      <c r="AW125">
        <v>0.20330531999999901</v>
      </c>
    </row>
    <row r="126" spans="2:50" x14ac:dyDescent="0.25">
      <c r="B126" t="s">
        <v>532</v>
      </c>
      <c r="C126">
        <v>0</v>
      </c>
      <c r="D126" s="39">
        <v>0</v>
      </c>
      <c r="E126" s="39">
        <v>0</v>
      </c>
      <c r="F126" s="39">
        <v>0</v>
      </c>
      <c r="G126" s="39">
        <v>0</v>
      </c>
      <c r="H126" s="39">
        <v>0</v>
      </c>
      <c r="I126" s="39">
        <v>0</v>
      </c>
      <c r="J126" s="39">
        <v>0</v>
      </c>
      <c r="K126" s="39">
        <v>0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39">
        <v>0</v>
      </c>
      <c r="T126">
        <v>0</v>
      </c>
      <c r="U126" s="39">
        <v>0</v>
      </c>
      <c r="V126">
        <v>-9.0266422590823403E-2</v>
      </c>
      <c r="W126">
        <v>-0.134576517368723</v>
      </c>
      <c r="X126">
        <v>-9.8238012426832194E-2</v>
      </c>
      <c r="Y126">
        <v>-1.0912589312908201</v>
      </c>
      <c r="Z126">
        <v>-2.0679403080784802</v>
      </c>
      <c r="AA126">
        <v>-3.07654749424186</v>
      </c>
      <c r="AB126">
        <v>-4.1374302164169903</v>
      </c>
      <c r="AC126">
        <v>-5.3552839975612399</v>
      </c>
      <c r="AD126">
        <v>-6.4743661239537103</v>
      </c>
      <c r="AE126">
        <v>-7.5980156492289002</v>
      </c>
      <c r="AF126">
        <v>-8.5741944879676701</v>
      </c>
      <c r="AG126">
        <v>-9.2441799360604104</v>
      </c>
      <c r="AH126">
        <v>-9.9170242134729296</v>
      </c>
      <c r="AI126">
        <v>-10.416202824788099</v>
      </c>
      <c r="AJ126">
        <v>-10.9109329469558</v>
      </c>
      <c r="AK126">
        <v>-11.377330046538299</v>
      </c>
      <c r="AL126">
        <v>-11.733198856432001</v>
      </c>
      <c r="AM126">
        <v>-12.2256976249615</v>
      </c>
      <c r="AN126">
        <v>-12.969446683105399</v>
      </c>
      <c r="AO126">
        <v>-13.671762940711201</v>
      </c>
      <c r="AP126">
        <v>-14.3628113522274</v>
      </c>
      <c r="AQ126">
        <v>-15.1374781400442</v>
      </c>
      <c r="AR126">
        <v>-15.980162923406301</v>
      </c>
      <c r="AS126">
        <v>-16.6725509846706</v>
      </c>
      <c r="AT126">
        <v>-17.345621579638699</v>
      </c>
      <c r="AU126">
        <v>-17.975778968243699</v>
      </c>
      <c r="AV126">
        <v>-18.557863199292999</v>
      </c>
      <c r="AW126">
        <v>-18.957127734625502</v>
      </c>
    </row>
    <row r="127" spans="2:50" x14ac:dyDescent="0.25">
      <c r="B127" t="s">
        <v>533</v>
      </c>
      <c r="C127" s="39">
        <v>0</v>
      </c>
      <c r="D127" s="39">
        <v>0</v>
      </c>
      <c r="E127" s="39">
        <v>0</v>
      </c>
      <c r="F127" s="39">
        <v>0</v>
      </c>
      <c r="G127" s="39">
        <v>0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39">
        <v>0</v>
      </c>
      <c r="T127" s="39">
        <v>0</v>
      </c>
      <c r="U127" s="39">
        <v>0</v>
      </c>
      <c r="V127" s="39">
        <v>-1.0081059999999999E-2</v>
      </c>
      <c r="W127">
        <v>8.05726999999999E-2</v>
      </c>
      <c r="X127" s="39">
        <v>8.6595350000000196E-2</v>
      </c>
      <c r="Y127">
        <v>-3.6290209999999899E-2</v>
      </c>
      <c r="Z127">
        <v>-0.31933505000000001</v>
      </c>
      <c r="AA127">
        <v>-0.50974136000000003</v>
      </c>
      <c r="AB127">
        <v>-0.67742287999999995</v>
      </c>
      <c r="AC127">
        <v>-0.74539270999999896</v>
      </c>
      <c r="AD127">
        <v>-0.74996607999999998</v>
      </c>
      <c r="AE127">
        <v>-0.80795618999999996</v>
      </c>
      <c r="AF127">
        <v>-0.83197373999999902</v>
      </c>
      <c r="AG127">
        <v>-0.79678878999999903</v>
      </c>
      <c r="AH127">
        <v>-0.75378477999999904</v>
      </c>
      <c r="AI127">
        <v>-0.66554181000000001</v>
      </c>
      <c r="AJ127">
        <v>-0.62313872999999997</v>
      </c>
      <c r="AK127">
        <v>-0.59267735999999904</v>
      </c>
      <c r="AL127">
        <v>-0.56531078999999895</v>
      </c>
      <c r="AM127">
        <v>-0.55729820999999902</v>
      </c>
      <c r="AN127">
        <v>-0.65956159000000003</v>
      </c>
      <c r="AO127">
        <v>-0.73649479999999901</v>
      </c>
      <c r="AP127">
        <v>-0.83182087000000005</v>
      </c>
      <c r="AQ127">
        <v>-0.79417877000000003</v>
      </c>
      <c r="AR127">
        <v>-0.86322451</v>
      </c>
      <c r="AS127">
        <v>-0.97792113999999997</v>
      </c>
      <c r="AT127">
        <v>-0.89714855999999898</v>
      </c>
      <c r="AU127">
        <v>-0.95144627000000004</v>
      </c>
      <c r="AV127">
        <v>-0.88284090999999998</v>
      </c>
      <c r="AW127">
        <v>-0.92809653999999897</v>
      </c>
    </row>
    <row r="128" spans="2:50" x14ac:dyDescent="0.25">
      <c r="B128" t="s">
        <v>200</v>
      </c>
      <c r="C128">
        <v>97.657933219076298</v>
      </c>
      <c r="D128">
        <v>99.225862925262007</v>
      </c>
      <c r="E128">
        <v>100</v>
      </c>
      <c r="F128">
        <v>104.010895004877</v>
      </c>
      <c r="G128">
        <v>104.378892247175</v>
      </c>
      <c r="H128">
        <v>100.766293521794</v>
      </c>
      <c r="I128">
        <v>103.29193395686799</v>
      </c>
      <c r="J128">
        <v>105.673105333995</v>
      </c>
      <c r="K128">
        <v>106.355153927807</v>
      </c>
      <c r="L128">
        <v>106.685839001441</v>
      </c>
      <c r="M128">
        <v>107.861635366239</v>
      </c>
      <c r="N128">
        <v>108.940491266897</v>
      </c>
      <c r="O128">
        <v>110.454148377677</v>
      </c>
      <c r="P128">
        <v>113.543831889545</v>
      </c>
      <c r="Q128">
        <v>116.128475334135</v>
      </c>
      <c r="R128">
        <v>118.620939077893</v>
      </c>
      <c r="S128">
        <v>119.740130608426</v>
      </c>
      <c r="T128">
        <v>121.25580352735101</v>
      </c>
      <c r="U128">
        <v>122.669182061745</v>
      </c>
      <c r="V128">
        <v>124.783128363991</v>
      </c>
      <c r="W128">
        <v>126.163788043568</v>
      </c>
      <c r="X128">
        <v>127.15613248014201</v>
      </c>
      <c r="Y128">
        <v>128.50814893105999</v>
      </c>
      <c r="Z128">
        <v>129.967581087215</v>
      </c>
      <c r="AA128">
        <v>131.318819305331</v>
      </c>
      <c r="AB128">
        <v>132.33153579275199</v>
      </c>
      <c r="AC128">
        <v>133.433081039521</v>
      </c>
      <c r="AD128">
        <v>134.55493396782501</v>
      </c>
      <c r="AE128">
        <v>135.617972197531</v>
      </c>
      <c r="AF128">
        <v>136.84983116601299</v>
      </c>
      <c r="AG128">
        <v>137.84223099143301</v>
      </c>
      <c r="AH128">
        <v>138.99880235092201</v>
      </c>
      <c r="AI128">
        <v>140.36729065242901</v>
      </c>
      <c r="AJ128">
        <v>141.831230054971</v>
      </c>
      <c r="AK128">
        <v>143.362354286401</v>
      </c>
      <c r="AL128">
        <v>144.92320877350099</v>
      </c>
      <c r="AM128">
        <v>146.73634043116499</v>
      </c>
      <c r="AN128">
        <v>148.74060332070701</v>
      </c>
      <c r="AO128">
        <v>150.92463614683899</v>
      </c>
      <c r="AP128">
        <v>153.05623988870801</v>
      </c>
      <c r="AQ128">
        <v>155.42738716772101</v>
      </c>
      <c r="AR128">
        <v>157.82747213432199</v>
      </c>
      <c r="AS128">
        <v>159.95314090282599</v>
      </c>
      <c r="AT128">
        <v>162.20712197595799</v>
      </c>
      <c r="AU128">
        <v>164.38548003916199</v>
      </c>
      <c r="AV128">
        <v>166.677349425355</v>
      </c>
      <c r="AW128">
        <v>168.87515354723601</v>
      </c>
      <c r="AX128">
        <v>178.52723229718001</v>
      </c>
    </row>
    <row r="129" spans="2:50" x14ac:dyDescent="0.25">
      <c r="B129" t="s">
        <v>534</v>
      </c>
      <c r="C129" s="39">
        <v>0</v>
      </c>
      <c r="D129" s="39">
        <v>0</v>
      </c>
      <c r="E129" s="39">
        <v>0</v>
      </c>
      <c r="F129" s="39">
        <v>0</v>
      </c>
      <c r="G129" s="39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0</v>
      </c>
      <c r="T129" s="39">
        <v>0</v>
      </c>
      <c r="U129" s="39">
        <v>0</v>
      </c>
      <c r="V129" s="39">
        <v>-0.50908465154988403</v>
      </c>
      <c r="W129">
        <v>-3.8085348438994</v>
      </c>
      <c r="X129">
        <v>-7.1797361273205897</v>
      </c>
      <c r="Y129">
        <v>-10.6002105083135</v>
      </c>
      <c r="Z129">
        <v>-14.2373600129651</v>
      </c>
      <c r="AA129">
        <v>-17.923869731112202</v>
      </c>
      <c r="AB129">
        <v>-22.047558031973001</v>
      </c>
      <c r="AC129">
        <v>-26.0414492322905</v>
      </c>
      <c r="AD129">
        <v>-29.7964836642082</v>
      </c>
      <c r="AE129">
        <v>-33.471988168822101</v>
      </c>
      <c r="AF129">
        <v>-37.1029877284031</v>
      </c>
      <c r="AG129">
        <v>-40.135013140484901</v>
      </c>
      <c r="AH129">
        <v>-43.127957815106598</v>
      </c>
      <c r="AI129">
        <v>-46.322914529660402</v>
      </c>
      <c r="AJ129">
        <v>-49.388707642497202</v>
      </c>
      <c r="AK129">
        <v>-52.371745282910403</v>
      </c>
      <c r="AL129">
        <v>-53.6610329082297</v>
      </c>
      <c r="AM129">
        <v>-54.985303603991198</v>
      </c>
      <c r="AN129">
        <v>-57.462867399118302</v>
      </c>
      <c r="AO129">
        <v>-59.915980244182698</v>
      </c>
      <c r="AP129">
        <v>-62.374047443088998</v>
      </c>
      <c r="AQ129">
        <v>-64.760910068438704</v>
      </c>
      <c r="AR129">
        <v>-67.196594405455002</v>
      </c>
      <c r="AS129">
        <v>-68.041656859678596</v>
      </c>
      <c r="AT129">
        <v>-68.836906817513594</v>
      </c>
      <c r="AU129">
        <v>-69.627410761856595</v>
      </c>
      <c r="AV129">
        <v>-70.370095431777898</v>
      </c>
      <c r="AW129">
        <v>-71.117646744971395</v>
      </c>
    </row>
    <row r="130" spans="2:50" x14ac:dyDescent="0.25">
      <c r="B130" t="s">
        <v>201</v>
      </c>
      <c r="C130">
        <v>96.838972254896007</v>
      </c>
      <c r="D130">
        <v>98.393753277901396</v>
      </c>
      <c r="E130">
        <v>100</v>
      </c>
      <c r="F130">
        <v>100.412957072431</v>
      </c>
      <c r="G130">
        <v>95.386504487195495</v>
      </c>
      <c r="H130">
        <v>90.561433990239095</v>
      </c>
      <c r="I130">
        <v>89.277192649956504</v>
      </c>
      <c r="J130">
        <v>86.986419818893197</v>
      </c>
      <c r="K130">
        <v>83.684481906756403</v>
      </c>
      <c r="L130">
        <v>81.5755379499046</v>
      </c>
      <c r="M130">
        <v>80.812459343937405</v>
      </c>
      <c r="N130">
        <v>80.779626199369503</v>
      </c>
      <c r="O130">
        <v>78.857340547850001</v>
      </c>
      <c r="P130">
        <v>76.921557290459901</v>
      </c>
      <c r="Q130">
        <v>73.816594470339695</v>
      </c>
      <c r="R130">
        <v>71.718083774171006</v>
      </c>
      <c r="S130">
        <v>70.061096086021706</v>
      </c>
      <c r="T130">
        <v>69.065989074838697</v>
      </c>
      <c r="U130">
        <v>68.231863709456505</v>
      </c>
      <c r="V130">
        <v>67.272855343084103</v>
      </c>
      <c r="W130">
        <v>65.150171336070997</v>
      </c>
      <c r="X130">
        <v>62.6832737606221</v>
      </c>
      <c r="Y130">
        <v>59.929373461951997</v>
      </c>
      <c r="Z130">
        <v>57.236616652210898</v>
      </c>
      <c r="AA130">
        <v>54.582376483798598</v>
      </c>
      <c r="AB130">
        <v>51.664433244044503</v>
      </c>
      <c r="AC130">
        <v>48.848770811073699</v>
      </c>
      <c r="AD130">
        <v>46.163465125613797</v>
      </c>
      <c r="AE130">
        <v>43.568099663872403</v>
      </c>
      <c r="AF130">
        <v>41.038544622352703</v>
      </c>
      <c r="AG130">
        <v>38.912834786747297</v>
      </c>
      <c r="AH130">
        <v>36.854076774962202</v>
      </c>
      <c r="AI130">
        <v>34.718423303848901</v>
      </c>
      <c r="AJ130">
        <v>32.675887964368002</v>
      </c>
      <c r="AK130">
        <v>30.6967709034618</v>
      </c>
      <c r="AL130">
        <v>29.818823264654998</v>
      </c>
      <c r="AM130">
        <v>28.9275089579168</v>
      </c>
      <c r="AN130">
        <v>27.247112468280701</v>
      </c>
      <c r="AO130">
        <v>25.599840319762201</v>
      </c>
      <c r="AP130">
        <v>23.9530165764995</v>
      </c>
      <c r="AQ130">
        <v>22.36128513633</v>
      </c>
      <c r="AR130">
        <v>20.7418870895658</v>
      </c>
      <c r="AS130">
        <v>20.222142117151801</v>
      </c>
      <c r="AT130">
        <v>19.741645425773299</v>
      </c>
      <c r="AU130">
        <v>19.260569305710099</v>
      </c>
      <c r="AV130">
        <v>18.805874072714499</v>
      </c>
      <c r="AW130">
        <v>18.353522053506399</v>
      </c>
      <c r="AX130">
        <v>9.0244863084901095</v>
      </c>
    </row>
    <row r="131" spans="2:50" x14ac:dyDescent="0.25">
      <c r="B131" t="s">
        <v>202</v>
      </c>
      <c r="C131">
        <v>651205.12405279896</v>
      </c>
      <c r="D131">
        <v>661660.432957732</v>
      </c>
      <c r="E131">
        <v>672283.60519999999</v>
      </c>
      <c r="F131">
        <v>690924.66559999995</v>
      </c>
      <c r="G131">
        <v>678581.71100000001</v>
      </c>
      <c r="H131">
        <v>619435.65870000003</v>
      </c>
      <c r="I131">
        <v>636180.69220000005</v>
      </c>
      <c r="J131">
        <v>653802.57869999995</v>
      </c>
      <c r="K131">
        <v>644454.95090000005</v>
      </c>
      <c r="L131">
        <v>636957.33299999998</v>
      </c>
      <c r="M131">
        <v>640329.71609999996</v>
      </c>
      <c r="N131">
        <v>649163.82010000001</v>
      </c>
      <c r="O131">
        <v>659683.12349999999</v>
      </c>
      <c r="P131">
        <v>687399.4203</v>
      </c>
      <c r="Q131">
        <v>700150.70160000003</v>
      </c>
      <c r="R131">
        <v>714944.25320000004</v>
      </c>
      <c r="S131">
        <v>717140.17680000002</v>
      </c>
      <c r="T131">
        <v>723600.20860000001</v>
      </c>
      <c r="U131">
        <v>732491.67989999999</v>
      </c>
      <c r="V131">
        <v>747977.74419999996</v>
      </c>
      <c r="W131">
        <v>765813.65989999997</v>
      </c>
      <c r="X131">
        <v>789072.73479999998</v>
      </c>
      <c r="Y131">
        <v>823400.33299999998</v>
      </c>
      <c r="Z131">
        <v>870580.66240000003</v>
      </c>
      <c r="AA131">
        <v>931217.40560000006</v>
      </c>
      <c r="AB131">
        <v>1005894.851</v>
      </c>
      <c r="AC131">
        <v>1099743.291</v>
      </c>
      <c r="AD131">
        <v>1105486.2379999999</v>
      </c>
      <c r="AE131">
        <v>1109678.3500000001</v>
      </c>
      <c r="AF131">
        <v>1113678.7930000001</v>
      </c>
      <c r="AG131">
        <v>1116257.236</v>
      </c>
      <c r="AH131">
        <v>1119240.2279999999</v>
      </c>
      <c r="AI131">
        <v>1123250.2080000001</v>
      </c>
      <c r="AJ131">
        <v>1127468.085</v>
      </c>
      <c r="AK131">
        <v>1131272.9569999999</v>
      </c>
      <c r="AL131">
        <v>1135009.3330000001</v>
      </c>
      <c r="AM131">
        <v>1139558.267</v>
      </c>
      <c r="AN131">
        <v>1144769.4280000001</v>
      </c>
      <c r="AO131">
        <v>1151184.284</v>
      </c>
      <c r="AP131">
        <v>1157019.719</v>
      </c>
      <c r="AQ131">
        <v>1164171.22</v>
      </c>
      <c r="AR131">
        <v>1171772.777</v>
      </c>
      <c r="AS131">
        <v>1177272.017</v>
      </c>
      <c r="AT131">
        <v>1183498.9339999999</v>
      </c>
      <c r="AU131">
        <v>1189145.6370000001</v>
      </c>
      <c r="AV131">
        <v>1195519.074</v>
      </c>
      <c r="AW131">
        <v>1200866.9950000001</v>
      </c>
    </row>
    <row r="132" spans="2:50" x14ac:dyDescent="0.25">
      <c r="B132" t="s">
        <v>203</v>
      </c>
      <c r="C132">
        <v>11699515.674308199</v>
      </c>
      <c r="D132">
        <v>11887355.182774801</v>
      </c>
      <c r="E132">
        <v>12078210.52</v>
      </c>
      <c r="F132">
        <v>12394208.23</v>
      </c>
      <c r="G132">
        <v>12130936.02</v>
      </c>
      <c r="H132">
        <v>11018218.310000001</v>
      </c>
      <c r="I132">
        <v>11233802.220000001</v>
      </c>
      <c r="J132">
        <v>11656711.98</v>
      </c>
      <c r="K132">
        <v>11446952.24</v>
      </c>
      <c r="L132">
        <v>11263843.59</v>
      </c>
      <c r="M132">
        <v>11300821.92</v>
      </c>
      <c r="N132">
        <v>11409654.07</v>
      </c>
      <c r="O132">
        <v>11619492.98</v>
      </c>
      <c r="P132">
        <v>12136393.41</v>
      </c>
      <c r="Q132">
        <v>12362443.25</v>
      </c>
      <c r="R132">
        <v>12640256.91</v>
      </c>
      <c r="S132">
        <v>12778783.210000001</v>
      </c>
      <c r="T132">
        <v>13072717.24</v>
      </c>
      <c r="U132">
        <v>13179904.310000001</v>
      </c>
      <c r="V132">
        <v>13504315.390000001</v>
      </c>
      <c r="W132">
        <v>13409036.609999999</v>
      </c>
      <c r="X132">
        <v>13265150.560000001</v>
      </c>
      <c r="Y132">
        <v>13251916.189999999</v>
      </c>
      <c r="Z132">
        <v>13260744.85</v>
      </c>
      <c r="AA132">
        <v>13241470.439999999</v>
      </c>
      <c r="AB132">
        <v>13178911.09</v>
      </c>
      <c r="AC132">
        <v>13175431.1</v>
      </c>
      <c r="AD132">
        <v>13218658.470000001</v>
      </c>
      <c r="AE132">
        <v>13228092.310000001</v>
      </c>
      <c r="AF132">
        <v>13236483.77</v>
      </c>
      <c r="AG132">
        <v>13228668.289999999</v>
      </c>
      <c r="AH132">
        <v>13267144.25</v>
      </c>
      <c r="AI132">
        <v>13282755.98</v>
      </c>
      <c r="AJ132">
        <v>13296874.390000001</v>
      </c>
      <c r="AK132">
        <v>13334454.779999999</v>
      </c>
      <c r="AL132">
        <v>13366579.16</v>
      </c>
      <c r="AM132">
        <v>13451540.91</v>
      </c>
      <c r="AN132">
        <v>13562616.32</v>
      </c>
      <c r="AO132">
        <v>13670704.51</v>
      </c>
      <c r="AP132">
        <v>13769325.74</v>
      </c>
      <c r="AQ132">
        <v>13917810.359999999</v>
      </c>
      <c r="AR132">
        <v>14059557.710000001</v>
      </c>
      <c r="AS132">
        <v>14164358.210000001</v>
      </c>
      <c r="AT132">
        <v>14299321.970000001</v>
      </c>
      <c r="AU132">
        <v>14422044.119999999</v>
      </c>
      <c r="AV132">
        <v>14549414.02</v>
      </c>
      <c r="AW132">
        <v>14688609.76</v>
      </c>
    </row>
    <row r="133" spans="2:50" x14ac:dyDescent="0.25">
      <c r="B133" t="s">
        <v>204</v>
      </c>
      <c r="C133">
        <v>12350720.798361</v>
      </c>
      <c r="D133">
        <v>12549015.615732601</v>
      </c>
      <c r="E133">
        <v>12750494.119999999</v>
      </c>
      <c r="F133">
        <v>13085132.9</v>
      </c>
      <c r="G133">
        <v>12809517.73</v>
      </c>
      <c r="H133">
        <v>11637653.970000001</v>
      </c>
      <c r="I133">
        <v>11869982.91</v>
      </c>
      <c r="J133">
        <v>12310514.560000001</v>
      </c>
      <c r="K133">
        <v>12091407.189999999</v>
      </c>
      <c r="L133">
        <v>11900800.92</v>
      </c>
      <c r="M133">
        <v>11941151.640000001</v>
      </c>
      <c r="N133">
        <v>12058817.890000001</v>
      </c>
      <c r="O133">
        <v>12279176.1</v>
      </c>
      <c r="P133">
        <v>12823792.83</v>
      </c>
      <c r="Q133">
        <v>13062593.949999999</v>
      </c>
      <c r="R133">
        <v>13355201.16</v>
      </c>
      <c r="S133">
        <v>13495923.390000001</v>
      </c>
      <c r="T133">
        <v>13796317.449999999</v>
      </c>
      <c r="U133">
        <v>13912395.99</v>
      </c>
      <c r="V133">
        <v>14252293.140000001</v>
      </c>
      <c r="W133">
        <v>14174850.27</v>
      </c>
      <c r="X133">
        <v>14054223.289999999</v>
      </c>
      <c r="Y133">
        <v>14075316.52</v>
      </c>
      <c r="Z133">
        <v>14131325.51</v>
      </c>
      <c r="AA133">
        <v>14172687.85</v>
      </c>
      <c r="AB133">
        <v>14184805.939999999</v>
      </c>
      <c r="AC133">
        <v>14275174.390000001</v>
      </c>
      <c r="AD133">
        <v>14324144.710000001</v>
      </c>
      <c r="AE133">
        <v>14337770.66</v>
      </c>
      <c r="AF133">
        <v>14350162.560000001</v>
      </c>
      <c r="AG133">
        <v>14344925.529999999</v>
      </c>
      <c r="AH133">
        <v>14386384.48</v>
      </c>
      <c r="AI133">
        <v>14406006.189999999</v>
      </c>
      <c r="AJ133">
        <v>14424342.470000001</v>
      </c>
      <c r="AK133">
        <v>14465727.73</v>
      </c>
      <c r="AL133">
        <v>14501588.5</v>
      </c>
      <c r="AM133">
        <v>14591099.18</v>
      </c>
      <c r="AN133">
        <v>14707385.75</v>
      </c>
      <c r="AO133">
        <v>14821888.789999999</v>
      </c>
      <c r="AP133">
        <v>14926345.460000001</v>
      </c>
      <c r="AQ133">
        <v>15081981.58</v>
      </c>
      <c r="AR133">
        <v>15231330.49</v>
      </c>
      <c r="AS133">
        <v>15341630.220000001</v>
      </c>
      <c r="AT133">
        <v>15482820.91</v>
      </c>
      <c r="AU133">
        <v>15611189.75</v>
      </c>
      <c r="AV133">
        <v>15744933.09</v>
      </c>
      <c r="AW133">
        <v>15889476.76</v>
      </c>
    </row>
    <row r="134" spans="2:50" x14ac:dyDescent="0.25">
      <c r="B134" t="s">
        <v>205</v>
      </c>
      <c r="C134">
        <v>144913116.15770999</v>
      </c>
      <c r="D134">
        <v>147239743.11109701</v>
      </c>
      <c r="E134">
        <v>149603724.80000001</v>
      </c>
      <c r="F134">
        <v>149947455.90000001</v>
      </c>
      <c r="G134">
        <v>144763121.30000001</v>
      </c>
      <c r="H134">
        <v>144388165.40000001</v>
      </c>
      <c r="I134">
        <v>142127095.90000001</v>
      </c>
      <c r="J134">
        <v>138635414.19999999</v>
      </c>
      <c r="K134">
        <v>134691374.09999999</v>
      </c>
      <c r="L134">
        <v>131875607.8</v>
      </c>
      <c r="M134">
        <v>129838946.2</v>
      </c>
      <c r="N134">
        <v>128539452.5</v>
      </c>
      <c r="O134">
        <v>128717131.59999999</v>
      </c>
      <c r="P134">
        <v>127225574.5</v>
      </c>
      <c r="Q134">
        <v>124383673.90000001</v>
      </c>
      <c r="R134">
        <v>122502981.09999999</v>
      </c>
      <c r="S134">
        <v>121186519.5</v>
      </c>
      <c r="T134">
        <v>118363480.7</v>
      </c>
      <c r="U134">
        <v>115537614.2</v>
      </c>
      <c r="V134">
        <v>111959643.7</v>
      </c>
      <c r="W134">
        <v>109019284</v>
      </c>
      <c r="X134">
        <v>105719232.2</v>
      </c>
      <c r="Y134">
        <v>101866193.7</v>
      </c>
      <c r="Z134">
        <v>97506067.170000002</v>
      </c>
      <c r="AA134">
        <v>92864536.650000006</v>
      </c>
      <c r="AB134">
        <v>87745581.200000003</v>
      </c>
      <c r="AC134">
        <v>82445304.950000003</v>
      </c>
      <c r="AD134">
        <v>76883561.780000001</v>
      </c>
      <c r="AE134">
        <v>71326772.680000007</v>
      </c>
      <c r="AF134">
        <v>65872049.939999998</v>
      </c>
      <c r="AG134">
        <v>61196370.829999998</v>
      </c>
      <c r="AH134">
        <v>56654997.859999999</v>
      </c>
      <c r="AI134">
        <v>52232263.299999997</v>
      </c>
      <c r="AJ134">
        <v>48063148.82</v>
      </c>
      <c r="AK134">
        <v>44076569.82</v>
      </c>
      <c r="AL134">
        <v>42009051.979999997</v>
      </c>
      <c r="AM134">
        <v>39972498.420000002</v>
      </c>
      <c r="AN134">
        <v>36411485</v>
      </c>
      <c r="AO134">
        <v>33005528.690000001</v>
      </c>
      <c r="AP134">
        <v>29738351.739999998</v>
      </c>
      <c r="AQ134">
        <v>26610881.859999999</v>
      </c>
      <c r="AR134">
        <v>23502869.469999999</v>
      </c>
      <c r="AS134">
        <v>22235939.18</v>
      </c>
      <c r="AT134">
        <v>21040271.140000001</v>
      </c>
      <c r="AU134">
        <v>19900765.969999999</v>
      </c>
      <c r="AV134">
        <v>18825248.969999999</v>
      </c>
      <c r="AW134">
        <v>17800285.18</v>
      </c>
    </row>
    <row r="135" spans="2:50" x14ac:dyDescent="0.25">
      <c r="B135" t="s">
        <v>206</v>
      </c>
      <c r="C135">
        <v>1098851.8998263199</v>
      </c>
      <c r="D135">
        <v>1116494.32251175</v>
      </c>
      <c r="E135">
        <v>1134420</v>
      </c>
      <c r="F135">
        <v>1125209.223</v>
      </c>
      <c r="G135">
        <v>1113441.7579999999</v>
      </c>
      <c r="H135">
        <v>1100713.487</v>
      </c>
      <c r="I135">
        <v>1094636.7779999999</v>
      </c>
      <c r="J135">
        <v>1088326.523</v>
      </c>
      <c r="K135">
        <v>1077973.0619999999</v>
      </c>
      <c r="L135">
        <v>1062964.004</v>
      </c>
      <c r="M135">
        <v>1048205.65</v>
      </c>
      <c r="N135">
        <v>1037893.943</v>
      </c>
      <c r="O135">
        <v>1036661.343</v>
      </c>
      <c r="P135">
        <v>1038579.948</v>
      </c>
      <c r="Q135">
        <v>1036913.222</v>
      </c>
      <c r="R135">
        <v>1022564.304</v>
      </c>
      <c r="S135">
        <v>1003731.955</v>
      </c>
      <c r="T135">
        <v>980140.15789999999</v>
      </c>
      <c r="U135">
        <v>957184.64899999998</v>
      </c>
      <c r="V135">
        <v>935501.77980000002</v>
      </c>
      <c r="W135">
        <v>917249.14670000004</v>
      </c>
      <c r="X135">
        <v>900882.96909999999</v>
      </c>
      <c r="Y135">
        <v>880903.0196</v>
      </c>
      <c r="Z135">
        <v>858696.16500000004</v>
      </c>
      <c r="AA135">
        <v>836026.88089999999</v>
      </c>
      <c r="AB135">
        <v>812725.56740000006</v>
      </c>
      <c r="AC135">
        <v>787308.59499999997</v>
      </c>
      <c r="AD135">
        <v>760749.65469999996</v>
      </c>
      <c r="AE135">
        <v>734668.201</v>
      </c>
      <c r="AF135">
        <v>709905.19149999996</v>
      </c>
      <c r="AG135">
        <v>686713.80220000003</v>
      </c>
      <c r="AH135">
        <v>664978.32700000005</v>
      </c>
      <c r="AI135">
        <v>644941.87009999994</v>
      </c>
      <c r="AJ135">
        <v>626540.98369999998</v>
      </c>
      <c r="AK135">
        <v>609632.32949999999</v>
      </c>
      <c r="AL135">
        <v>594000.37419999996</v>
      </c>
      <c r="AM135">
        <v>578336.16819999996</v>
      </c>
      <c r="AN135">
        <v>563193.99069999997</v>
      </c>
      <c r="AO135">
        <v>549033.85149999999</v>
      </c>
      <c r="AP135">
        <v>535913.09959999996</v>
      </c>
      <c r="AQ135">
        <v>523208.25170000002</v>
      </c>
      <c r="AR135">
        <v>511097.52549999999</v>
      </c>
      <c r="AS135">
        <v>499573.1434</v>
      </c>
      <c r="AT135">
        <v>487947.9731</v>
      </c>
      <c r="AU135">
        <v>476162.38630000001</v>
      </c>
      <c r="AV135">
        <v>464244.36719999998</v>
      </c>
      <c r="AW135">
        <v>452281.99530000001</v>
      </c>
    </row>
    <row r="136" spans="2:50" x14ac:dyDescent="0.25">
      <c r="B136" t="s">
        <v>207</v>
      </c>
      <c r="C136">
        <v>1098851.8998263199</v>
      </c>
      <c r="D136">
        <v>1116494.32251175</v>
      </c>
      <c r="E136">
        <v>1134420</v>
      </c>
      <c r="F136">
        <v>1125209.223</v>
      </c>
      <c r="G136">
        <v>1113441.7579999999</v>
      </c>
      <c r="H136">
        <v>1100713.487</v>
      </c>
      <c r="I136">
        <v>1094636.7779999999</v>
      </c>
      <c r="J136">
        <v>1088326.523</v>
      </c>
      <c r="K136">
        <v>1077973.0619999999</v>
      </c>
      <c r="L136">
        <v>1062964.004</v>
      </c>
      <c r="M136">
        <v>1048205.65</v>
      </c>
      <c r="N136">
        <v>1037893.943</v>
      </c>
      <c r="O136">
        <v>1036661.343</v>
      </c>
      <c r="P136">
        <v>1038579.948</v>
      </c>
      <c r="Q136">
        <v>1036913.222</v>
      </c>
      <c r="R136">
        <v>1022564.304</v>
      </c>
      <c r="S136">
        <v>1003731.955</v>
      </c>
      <c r="T136">
        <v>980140.15789999999</v>
      </c>
      <c r="U136">
        <v>957184.64899999998</v>
      </c>
      <c r="V136">
        <v>935501.77980000002</v>
      </c>
      <c r="W136">
        <v>917249.14670000004</v>
      </c>
      <c r="X136">
        <v>900882.96909999999</v>
      </c>
      <c r="Y136">
        <v>880903.0196</v>
      </c>
      <c r="Z136">
        <v>858696.16500000004</v>
      </c>
      <c r="AA136">
        <v>836026.88089999999</v>
      </c>
      <c r="AB136">
        <v>812725.56740000006</v>
      </c>
      <c r="AC136">
        <v>787308.59499999997</v>
      </c>
      <c r="AD136">
        <v>760749.65469999996</v>
      </c>
      <c r="AE136">
        <v>734668.201</v>
      </c>
      <c r="AF136">
        <v>709905.19149999996</v>
      </c>
      <c r="AG136">
        <v>686713.80220000003</v>
      </c>
      <c r="AH136">
        <v>664978.32700000005</v>
      </c>
      <c r="AI136">
        <v>644941.87009999994</v>
      </c>
      <c r="AJ136">
        <v>626540.98369999998</v>
      </c>
      <c r="AK136">
        <v>609632.32949999999</v>
      </c>
      <c r="AL136">
        <v>594000.37419999996</v>
      </c>
      <c r="AM136">
        <v>578336.16819999996</v>
      </c>
      <c r="AN136">
        <v>563193.99069999997</v>
      </c>
      <c r="AO136">
        <v>549033.85149999999</v>
      </c>
      <c r="AP136">
        <v>535913.09959999996</v>
      </c>
      <c r="AQ136">
        <v>523208.25170000002</v>
      </c>
      <c r="AR136">
        <v>511097.52549999999</v>
      </c>
      <c r="AS136">
        <v>499573.1434</v>
      </c>
      <c r="AT136">
        <v>487947.9731</v>
      </c>
      <c r="AU136">
        <v>476162.38630000001</v>
      </c>
      <c r="AV136">
        <v>464244.36719999998</v>
      </c>
      <c r="AW136">
        <v>452281.99530000001</v>
      </c>
    </row>
    <row r="137" spans="2:50" x14ac:dyDescent="0.25">
      <c r="B137" t="s">
        <v>208</v>
      </c>
      <c r="C137">
        <v>105875266.531468</v>
      </c>
      <c r="D137">
        <v>107575128.18195701</v>
      </c>
      <c r="E137">
        <v>109302281.7</v>
      </c>
      <c r="F137">
        <v>110376235.90000001</v>
      </c>
      <c r="G137">
        <v>106460120.5</v>
      </c>
      <c r="H137">
        <v>107138716</v>
      </c>
      <c r="I137">
        <v>105087648.2</v>
      </c>
      <c r="J137">
        <v>102510500.40000001</v>
      </c>
      <c r="K137">
        <v>100131241.2</v>
      </c>
      <c r="L137">
        <v>98495209.109999999</v>
      </c>
      <c r="M137">
        <v>97207143.719999999</v>
      </c>
      <c r="N137">
        <v>96360721.890000001</v>
      </c>
      <c r="O137">
        <v>95905764.680000007</v>
      </c>
      <c r="P137">
        <v>94374178.930000007</v>
      </c>
      <c r="Q137">
        <v>92588833.629999995</v>
      </c>
      <c r="R137">
        <v>91494224.549999997</v>
      </c>
      <c r="S137">
        <v>90760164.260000005</v>
      </c>
      <c r="T137">
        <v>89774711.200000003</v>
      </c>
      <c r="U137">
        <v>88411087.959999904</v>
      </c>
      <c r="V137">
        <v>86258708.870000005</v>
      </c>
      <c r="W137">
        <v>84174516.629999995</v>
      </c>
      <c r="X137">
        <v>81911318.379999995</v>
      </c>
      <c r="Y137">
        <v>79527109.560000002</v>
      </c>
      <c r="Z137">
        <v>76640845.810000002</v>
      </c>
      <c r="AA137">
        <v>73477484.409999996</v>
      </c>
      <c r="AB137">
        <v>69981279.599999994</v>
      </c>
      <c r="AC137">
        <v>66202847.140000001</v>
      </c>
      <c r="AD137">
        <v>62347687.399999999</v>
      </c>
      <c r="AE137">
        <v>58409119.890000001</v>
      </c>
      <c r="AF137">
        <v>54469415.299999997</v>
      </c>
      <c r="AG137">
        <v>50656356.25</v>
      </c>
      <c r="AH137">
        <v>46925238.979999997</v>
      </c>
      <c r="AI137">
        <v>43511771.93</v>
      </c>
      <c r="AJ137">
        <v>40276644.920000002</v>
      </c>
      <c r="AK137">
        <v>37168801.359999999</v>
      </c>
      <c r="AL137">
        <v>34275478.539999999</v>
      </c>
      <c r="AM137">
        <v>31471577.030000001</v>
      </c>
      <c r="AN137">
        <v>28923204.739999998</v>
      </c>
      <c r="AO137">
        <v>26501170.359999999</v>
      </c>
      <c r="AP137">
        <v>24177571.300000001</v>
      </c>
      <c r="AQ137">
        <v>21953572.289999999</v>
      </c>
      <c r="AR137">
        <v>19718981.940000001</v>
      </c>
      <c r="AS137">
        <v>18243108.600000001</v>
      </c>
      <c r="AT137">
        <v>16851181.100000001</v>
      </c>
      <c r="AU137">
        <v>15535336.82</v>
      </c>
      <c r="AV137">
        <v>14299620.039999999</v>
      </c>
      <c r="AW137">
        <v>13131848.619999999</v>
      </c>
    </row>
    <row r="138" spans="2:50" x14ac:dyDescent="0.25">
      <c r="B138" t="s">
        <v>209</v>
      </c>
      <c r="C138">
        <v>105875266.531468</v>
      </c>
      <c r="D138">
        <v>107575128.18195701</v>
      </c>
      <c r="E138">
        <v>109302281.7</v>
      </c>
      <c r="F138">
        <v>110376235.90000001</v>
      </c>
      <c r="G138">
        <v>106460120.5</v>
      </c>
      <c r="H138">
        <v>107138716</v>
      </c>
      <c r="I138">
        <v>105087648.2</v>
      </c>
      <c r="J138">
        <v>102510500.40000001</v>
      </c>
      <c r="K138">
        <v>100131241.2</v>
      </c>
      <c r="L138">
        <v>98495209.109999999</v>
      </c>
      <c r="M138">
        <v>97207143.719999999</v>
      </c>
      <c r="N138">
        <v>96360721.890000001</v>
      </c>
      <c r="O138">
        <v>95905764.680000007</v>
      </c>
      <c r="P138">
        <v>94374178.930000007</v>
      </c>
      <c r="Q138">
        <v>92588833.629999995</v>
      </c>
      <c r="R138">
        <v>91494224.549999997</v>
      </c>
      <c r="S138">
        <v>90760164.260000005</v>
      </c>
      <c r="T138">
        <v>89774711.200000003</v>
      </c>
      <c r="U138">
        <v>88411087.959999904</v>
      </c>
      <c r="V138">
        <v>86258708.870000005</v>
      </c>
      <c r="W138">
        <v>84174516.629999995</v>
      </c>
      <c r="X138">
        <v>81911318.379999995</v>
      </c>
      <c r="Y138">
        <v>79527109.560000002</v>
      </c>
      <c r="Z138">
        <v>76640845.810000002</v>
      </c>
      <c r="AA138">
        <v>73477484.409999996</v>
      </c>
      <c r="AB138">
        <v>69981279.599999994</v>
      </c>
      <c r="AC138">
        <v>66202847.140000001</v>
      </c>
      <c r="AD138">
        <v>62347687.399999999</v>
      </c>
      <c r="AE138">
        <v>58409119.890000001</v>
      </c>
      <c r="AF138">
        <v>54469415.299999997</v>
      </c>
      <c r="AG138">
        <v>50656356.25</v>
      </c>
      <c r="AH138">
        <v>46925238.979999997</v>
      </c>
      <c r="AI138">
        <v>43511771.93</v>
      </c>
      <c r="AJ138">
        <v>40276644.920000002</v>
      </c>
      <c r="AK138">
        <v>37168801.359999999</v>
      </c>
      <c r="AL138">
        <v>34275478.539999999</v>
      </c>
      <c r="AM138">
        <v>31471577.030000001</v>
      </c>
      <c r="AN138">
        <v>28923204.739999998</v>
      </c>
      <c r="AO138">
        <v>26501170.359999999</v>
      </c>
      <c r="AP138">
        <v>24177571.300000001</v>
      </c>
      <c r="AQ138">
        <v>21953572.289999999</v>
      </c>
      <c r="AR138">
        <v>19718981.940000001</v>
      </c>
      <c r="AS138">
        <v>18243108.600000001</v>
      </c>
      <c r="AT138">
        <v>16851181.100000001</v>
      </c>
      <c r="AU138">
        <v>15535336.82</v>
      </c>
      <c r="AV138">
        <v>14299620.039999999</v>
      </c>
      <c r="AW138">
        <v>13131848.619999999</v>
      </c>
    </row>
    <row r="139" spans="2:50" x14ac:dyDescent="0.25">
      <c r="B139" t="s">
        <v>210</v>
      </c>
      <c r="C139">
        <v>37938997.726415001</v>
      </c>
      <c r="D139">
        <v>38548120.6066292</v>
      </c>
      <c r="E139">
        <v>39167023.149999999</v>
      </c>
      <c r="F139">
        <v>38446010.700000003</v>
      </c>
      <c r="G139">
        <v>37189558.960000001</v>
      </c>
      <c r="H139">
        <v>36148735.899999999</v>
      </c>
      <c r="I139">
        <v>35944810.899999999</v>
      </c>
      <c r="J139">
        <v>35036587.259999998</v>
      </c>
      <c r="K139">
        <v>33482159.890000001</v>
      </c>
      <c r="L139">
        <v>32317434.699999999</v>
      </c>
      <c r="M139">
        <v>31583596.870000001</v>
      </c>
      <c r="N139">
        <v>31140836.699999999</v>
      </c>
      <c r="O139">
        <v>31774705.579999998</v>
      </c>
      <c r="P139">
        <v>31812815.670000002</v>
      </c>
      <c r="Q139">
        <v>30757927.050000001</v>
      </c>
      <c r="R139">
        <v>29986192.25</v>
      </c>
      <c r="S139">
        <v>29422623.32</v>
      </c>
      <c r="T139">
        <v>27608629.32</v>
      </c>
      <c r="U139">
        <v>26169341.579999998</v>
      </c>
      <c r="V139">
        <v>24765433.039999999</v>
      </c>
      <c r="W139">
        <v>23927518.190000001</v>
      </c>
      <c r="X139">
        <v>22907030.84</v>
      </c>
      <c r="Y139">
        <v>21458181.170000002</v>
      </c>
      <c r="Z139">
        <v>20006525.199999999</v>
      </c>
      <c r="AA139">
        <v>18551025.359999999</v>
      </c>
      <c r="AB139">
        <v>16951576.030000001</v>
      </c>
      <c r="AC139">
        <v>15455149.220000001</v>
      </c>
      <c r="AD139">
        <v>13775124.720000001</v>
      </c>
      <c r="AE139">
        <v>12182984.58</v>
      </c>
      <c r="AF139">
        <v>10692729.449999999</v>
      </c>
      <c r="AG139">
        <v>9853300.7770000007</v>
      </c>
      <c r="AH139">
        <v>9064780.5559999999</v>
      </c>
      <c r="AI139">
        <v>8075549.5020000003</v>
      </c>
      <c r="AJ139">
        <v>7159962.9210000001</v>
      </c>
      <c r="AK139">
        <v>6298136.1270000003</v>
      </c>
      <c r="AL139">
        <v>7139573.057</v>
      </c>
      <c r="AM139">
        <v>7922585.227</v>
      </c>
      <c r="AN139">
        <v>6925086.2680000002</v>
      </c>
      <c r="AO139">
        <v>5955324.4840000002</v>
      </c>
      <c r="AP139">
        <v>5024867.3430000003</v>
      </c>
      <c r="AQ139">
        <v>4134101.318</v>
      </c>
      <c r="AR139">
        <v>3272790.0019999999</v>
      </c>
      <c r="AS139">
        <v>3493257.4410000001</v>
      </c>
      <c r="AT139">
        <v>3701142.0649999999</v>
      </c>
      <c r="AU139">
        <v>3889266.7680000002</v>
      </c>
      <c r="AV139">
        <v>4061384.5649999999</v>
      </c>
      <c r="AW139">
        <v>4216154.568</v>
      </c>
    </row>
    <row r="140" spans="2:50" x14ac:dyDescent="0.25">
      <c r="B140" t="s">
        <v>211</v>
      </c>
      <c r="C140">
        <v>37938997.726415001</v>
      </c>
      <c r="D140">
        <v>38548120.6066292</v>
      </c>
      <c r="E140">
        <v>39167023.149999999</v>
      </c>
      <c r="F140">
        <v>38446010.700000003</v>
      </c>
      <c r="G140">
        <v>37189558.960000001</v>
      </c>
      <c r="H140">
        <v>36148735.899999999</v>
      </c>
      <c r="I140">
        <v>35944810.899999999</v>
      </c>
      <c r="J140">
        <v>35036587.259999998</v>
      </c>
      <c r="K140">
        <v>33482159.890000001</v>
      </c>
      <c r="L140">
        <v>32317434.699999999</v>
      </c>
      <c r="M140">
        <v>31583596.870000001</v>
      </c>
      <c r="N140">
        <v>31140836.699999999</v>
      </c>
      <c r="O140">
        <v>31774705.579999998</v>
      </c>
      <c r="P140">
        <v>31812815.670000002</v>
      </c>
      <c r="Q140">
        <v>30757927.050000001</v>
      </c>
      <c r="R140">
        <v>29986192.25</v>
      </c>
      <c r="S140">
        <v>29422623.32</v>
      </c>
      <c r="T140">
        <v>27608629.32</v>
      </c>
      <c r="U140">
        <v>26169341.579999998</v>
      </c>
      <c r="V140">
        <v>24765433.039999999</v>
      </c>
      <c r="W140">
        <v>23927518.190000001</v>
      </c>
      <c r="X140">
        <v>22907030.84</v>
      </c>
      <c r="Y140">
        <v>21458181.170000002</v>
      </c>
      <c r="Z140">
        <v>20006525.199999999</v>
      </c>
      <c r="AA140">
        <v>18551025.359999999</v>
      </c>
      <c r="AB140">
        <v>16951576.030000001</v>
      </c>
      <c r="AC140">
        <v>15455149.220000001</v>
      </c>
      <c r="AD140">
        <v>13775124.720000001</v>
      </c>
      <c r="AE140">
        <v>12182984.58</v>
      </c>
      <c r="AF140">
        <v>10692729.449999999</v>
      </c>
      <c r="AG140">
        <v>9853300.7770000007</v>
      </c>
      <c r="AH140">
        <v>9064780.5559999999</v>
      </c>
      <c r="AI140">
        <v>8075549.5020000003</v>
      </c>
      <c r="AJ140">
        <v>7159962.9210000001</v>
      </c>
      <c r="AK140">
        <v>6298136.1270000003</v>
      </c>
      <c r="AL140">
        <v>7139573.057</v>
      </c>
      <c r="AM140">
        <v>7922585.227</v>
      </c>
      <c r="AN140">
        <v>6925086.2680000002</v>
      </c>
      <c r="AO140">
        <v>5955324.4840000002</v>
      </c>
      <c r="AP140">
        <v>5024867.3430000003</v>
      </c>
      <c r="AQ140">
        <v>4134101.318</v>
      </c>
      <c r="AR140">
        <v>3272790.0019999999</v>
      </c>
      <c r="AS140">
        <v>3493257.4410000001</v>
      </c>
      <c r="AT140">
        <v>3701142.0649999999</v>
      </c>
      <c r="AU140">
        <v>3889266.7680000002</v>
      </c>
      <c r="AV140">
        <v>4061384.5649999999</v>
      </c>
      <c r="AW140">
        <v>4216154.568</v>
      </c>
    </row>
    <row r="141" spans="2:50" x14ac:dyDescent="0.25">
      <c r="B141" t="s">
        <v>212</v>
      </c>
      <c r="C141">
        <v>7249974.6999914004</v>
      </c>
      <c r="D141">
        <v>7366375.3888705196</v>
      </c>
      <c r="E141">
        <v>7487365.2489999998</v>
      </c>
      <c r="F141">
        <v>7682528.0920000002</v>
      </c>
      <c r="G141">
        <v>7309671.0779999997</v>
      </c>
      <c r="H141">
        <v>7637467.2599999998</v>
      </c>
      <c r="I141">
        <v>7833449.5930000003</v>
      </c>
      <c r="J141">
        <v>7387848.5460000001</v>
      </c>
      <c r="K141">
        <v>7075403.2580000004</v>
      </c>
      <c r="L141">
        <v>6840281.2470000004</v>
      </c>
      <c r="M141">
        <v>7264426.6179999998</v>
      </c>
      <c r="N141">
        <v>7680030.9790000003</v>
      </c>
      <c r="O141">
        <v>7915014.8269999996</v>
      </c>
      <c r="P141">
        <v>7940512.0710000005</v>
      </c>
      <c r="Q141">
        <v>7382456.3899999997</v>
      </c>
      <c r="R141">
        <v>7322333.2249999996</v>
      </c>
      <c r="S141">
        <v>7421126.0039999997</v>
      </c>
      <c r="T141">
        <v>7546109.1009999998</v>
      </c>
      <c r="U141">
        <v>7687429.4179999996</v>
      </c>
      <c r="V141">
        <v>7829417.1050000004</v>
      </c>
      <c r="W141">
        <v>7946371.9649999999</v>
      </c>
      <c r="X141">
        <v>8008536.7790000001</v>
      </c>
      <c r="Y141">
        <v>8012913.1960000005</v>
      </c>
      <c r="Z141">
        <v>7975028.0520000001</v>
      </c>
      <c r="AA141">
        <v>7928622.4570000004</v>
      </c>
      <c r="AB141">
        <v>7843562.727</v>
      </c>
      <c r="AC141">
        <v>7732126.3300000001</v>
      </c>
      <c r="AD141">
        <v>7582905.3150000004</v>
      </c>
      <c r="AE141">
        <v>7428240.4890000001</v>
      </c>
      <c r="AF141">
        <v>7264578.5580000002</v>
      </c>
      <c r="AG141">
        <v>7108722.9000000004</v>
      </c>
      <c r="AH141">
        <v>6937422.966</v>
      </c>
      <c r="AI141">
        <v>6791088.0120000001</v>
      </c>
      <c r="AJ141">
        <v>6638429.7300000004</v>
      </c>
      <c r="AK141">
        <v>6468604.2609999999</v>
      </c>
      <c r="AL141">
        <v>6338253.7640000004</v>
      </c>
      <c r="AM141">
        <v>6189136.4069999997</v>
      </c>
      <c r="AN141">
        <v>6010037.8669999996</v>
      </c>
      <c r="AO141">
        <v>5818218.3300000001</v>
      </c>
      <c r="AP141">
        <v>5599080.3619999997</v>
      </c>
      <c r="AQ141">
        <v>5363455.16</v>
      </c>
      <c r="AR141">
        <v>5092546.8810000001</v>
      </c>
      <c r="AS141">
        <v>4995797.4309999999</v>
      </c>
      <c r="AT141">
        <v>4897094.483</v>
      </c>
      <c r="AU141">
        <v>4788678.773</v>
      </c>
      <c r="AV141">
        <v>4680920.8080000002</v>
      </c>
      <c r="AW141">
        <v>4561971.3870000001</v>
      </c>
    </row>
    <row r="142" spans="2:50" x14ac:dyDescent="0.25">
      <c r="B142" t="s">
        <v>213</v>
      </c>
      <c r="C142">
        <v>11428306.3019633</v>
      </c>
      <c r="D142">
        <v>11611791.4562317</v>
      </c>
      <c r="E142">
        <v>11800890.689999999</v>
      </c>
      <c r="F142">
        <v>11967212.84</v>
      </c>
      <c r="G142">
        <v>11271642.09</v>
      </c>
      <c r="H142">
        <v>11403255.119999999</v>
      </c>
      <c r="I142">
        <v>11242352.32</v>
      </c>
      <c r="J142">
        <v>10897535.140000001</v>
      </c>
      <c r="K142">
        <v>10190547.76</v>
      </c>
      <c r="L142">
        <v>9894909.1970000006</v>
      </c>
      <c r="M142">
        <v>9976019.1329999994</v>
      </c>
      <c r="N142">
        <v>10108555.41</v>
      </c>
      <c r="O142">
        <v>9383631.2009999994</v>
      </c>
      <c r="P142">
        <v>8641695.9460000005</v>
      </c>
      <c r="Q142">
        <v>7765584.4359999998</v>
      </c>
      <c r="R142">
        <v>7216524.7769999998</v>
      </c>
      <c r="S142">
        <v>6972534.2170000002</v>
      </c>
      <c r="T142">
        <v>6842164.9009999996</v>
      </c>
      <c r="U142">
        <v>6813718.5789999999</v>
      </c>
      <c r="V142">
        <v>6786075.807</v>
      </c>
      <c r="W142">
        <v>5966111.4759999998</v>
      </c>
      <c r="X142">
        <v>5106847.8899999997</v>
      </c>
      <c r="Y142">
        <v>4387490.9790000003</v>
      </c>
      <c r="Z142">
        <v>3791663.8879999998</v>
      </c>
      <c r="AA142">
        <v>3308092.443</v>
      </c>
      <c r="AB142">
        <v>2902750.5520000001</v>
      </c>
      <c r="AC142">
        <v>2560822.443</v>
      </c>
      <c r="AD142">
        <v>2424639.9580000001</v>
      </c>
      <c r="AE142">
        <v>2331160.8739999998</v>
      </c>
      <c r="AF142">
        <v>2242833.7429999998</v>
      </c>
      <c r="AG142">
        <v>2191248.4569999999</v>
      </c>
      <c r="AH142">
        <v>2134945.1880000001</v>
      </c>
      <c r="AI142">
        <v>2065733.7239999999</v>
      </c>
      <c r="AJ142">
        <v>1998036.8829999999</v>
      </c>
      <c r="AK142">
        <v>1925294.013</v>
      </c>
      <c r="AL142">
        <v>1968397.0109999999</v>
      </c>
      <c r="AM142">
        <v>2007170.86</v>
      </c>
      <c r="AN142">
        <v>1916711.4569999999</v>
      </c>
      <c r="AO142">
        <v>1821983.67</v>
      </c>
      <c r="AP142">
        <v>1719285.416</v>
      </c>
      <c r="AQ142">
        <v>1612761.7560000001</v>
      </c>
      <c r="AR142">
        <v>1495791.4369999999</v>
      </c>
      <c r="AS142">
        <v>1501085.308</v>
      </c>
      <c r="AT142">
        <v>1505600.862</v>
      </c>
      <c r="AU142">
        <v>1507249.091</v>
      </c>
      <c r="AV142">
        <v>1508752.939</v>
      </c>
      <c r="AW142">
        <v>1507073.1540000001</v>
      </c>
    </row>
    <row r="143" spans="2:50" x14ac:dyDescent="0.25">
      <c r="B143" t="s">
        <v>214</v>
      </c>
      <c r="C143">
        <v>1153294.1412084801</v>
      </c>
      <c r="D143">
        <v>1171810.6516891399</v>
      </c>
      <c r="E143">
        <v>1190798.162</v>
      </c>
      <c r="F143">
        <v>1266880.879</v>
      </c>
      <c r="G143">
        <v>1187316.577</v>
      </c>
      <c r="H143">
        <v>1032684.437</v>
      </c>
      <c r="I143">
        <v>1114479.0889999999</v>
      </c>
      <c r="J143">
        <v>1082838.5889999999</v>
      </c>
      <c r="K143">
        <v>1025473.24</v>
      </c>
      <c r="L143">
        <v>1007452.616</v>
      </c>
      <c r="M143">
        <v>1040809.258</v>
      </c>
      <c r="N143">
        <v>1129201.284</v>
      </c>
      <c r="O143">
        <v>1074685.9680000001</v>
      </c>
      <c r="P143">
        <v>1009758.34</v>
      </c>
      <c r="Q143">
        <v>897383.53469999996</v>
      </c>
      <c r="R143">
        <v>833666.99289999995</v>
      </c>
      <c r="S143">
        <v>752343.48970000003</v>
      </c>
      <c r="T143">
        <v>690117.49699999997</v>
      </c>
      <c r="U143">
        <v>688219.15079999994</v>
      </c>
      <c r="V143">
        <v>697845.18370000005</v>
      </c>
      <c r="W143">
        <v>548097.55969999998</v>
      </c>
      <c r="X143">
        <v>425757.49489999999</v>
      </c>
      <c r="Y143">
        <v>335311.84879999998</v>
      </c>
      <c r="Z143">
        <v>269622.19799999997</v>
      </c>
      <c r="AA143">
        <v>220262.65640000001</v>
      </c>
      <c r="AB143">
        <v>181186.39629999999</v>
      </c>
      <c r="AC143">
        <v>150946.17550000001</v>
      </c>
      <c r="AD143">
        <v>139097.65160000001</v>
      </c>
      <c r="AE143">
        <v>130889.7132</v>
      </c>
      <c r="AF143">
        <v>123633.32090000001</v>
      </c>
      <c r="AG143">
        <v>119901.51210000001</v>
      </c>
      <c r="AH143">
        <v>116349.326</v>
      </c>
      <c r="AI143">
        <v>111978.95879999999</v>
      </c>
      <c r="AJ143">
        <v>107388.0194</v>
      </c>
      <c r="AK143">
        <v>102333.9905</v>
      </c>
      <c r="AL143">
        <v>107702.3943</v>
      </c>
      <c r="AM143">
        <v>112880.37699999999</v>
      </c>
      <c r="AN143">
        <v>106152.3383</v>
      </c>
      <c r="AO143">
        <v>99310.693079999997</v>
      </c>
      <c r="AP143">
        <v>92033.669750000001</v>
      </c>
      <c r="AQ143">
        <v>84653.208750000005</v>
      </c>
      <c r="AR143">
        <v>77171.964619999999</v>
      </c>
      <c r="AS143">
        <v>78545.811650000003</v>
      </c>
      <c r="AT143">
        <v>80051.383960000006</v>
      </c>
      <c r="AU143">
        <v>81337.279250000007</v>
      </c>
      <c r="AV143">
        <v>82674.846579999998</v>
      </c>
      <c r="AW143">
        <v>83508.967600000004</v>
      </c>
    </row>
    <row r="144" spans="2:50" x14ac:dyDescent="0.25">
      <c r="B144" t="s">
        <v>215</v>
      </c>
      <c r="C144">
        <v>6211298.5004764497</v>
      </c>
      <c r="D144">
        <v>6311022.9070030199</v>
      </c>
      <c r="E144">
        <v>6414338.9579999996</v>
      </c>
      <c r="F144">
        <v>6438423.7680000002</v>
      </c>
      <c r="G144">
        <v>5822204.2369999997</v>
      </c>
      <c r="H144">
        <v>5196709.0029999996</v>
      </c>
      <c r="I144">
        <v>4558054.75</v>
      </c>
      <c r="J144">
        <v>4786471.176</v>
      </c>
      <c r="K144">
        <v>4275769.3880000003</v>
      </c>
      <c r="L144">
        <v>4071133.031</v>
      </c>
      <c r="M144">
        <v>4137443.14</v>
      </c>
      <c r="N144">
        <v>4195890.1979999999</v>
      </c>
      <c r="O144">
        <v>3981459.5320000001</v>
      </c>
      <c r="P144">
        <v>3683091.639</v>
      </c>
      <c r="Q144">
        <v>3322728.7429999998</v>
      </c>
      <c r="R144">
        <v>3040927.3730000001</v>
      </c>
      <c r="S144">
        <v>2811738.3530000001</v>
      </c>
      <c r="T144">
        <v>2648380.3620000002</v>
      </c>
      <c r="U144">
        <v>2518096.1579999998</v>
      </c>
      <c r="V144">
        <v>2376458.676</v>
      </c>
      <c r="W144">
        <v>2030320.906</v>
      </c>
      <c r="X144">
        <v>1666927.4040000001</v>
      </c>
      <c r="Y144">
        <v>1481547.0060000001</v>
      </c>
      <c r="Z144">
        <v>1360597.7890000001</v>
      </c>
      <c r="AA144">
        <v>1279601.96</v>
      </c>
      <c r="AB144">
        <v>1226692.693</v>
      </c>
      <c r="AC144">
        <v>1199371.83</v>
      </c>
      <c r="AD144">
        <v>1146018.8019999999</v>
      </c>
      <c r="AE144">
        <v>1108595.537</v>
      </c>
      <c r="AF144">
        <v>1072367.0179999999</v>
      </c>
      <c r="AG144">
        <v>1051523.9680000001</v>
      </c>
      <c r="AH144">
        <v>1028140.527</v>
      </c>
      <c r="AI144">
        <v>997782.17099999997</v>
      </c>
      <c r="AJ144">
        <v>968132.70819999999</v>
      </c>
      <c r="AK144">
        <v>936317.71360000002</v>
      </c>
      <c r="AL144">
        <v>957812.49369999999</v>
      </c>
      <c r="AM144">
        <v>977941.10510000004</v>
      </c>
      <c r="AN144">
        <v>932123.64249999996</v>
      </c>
      <c r="AO144">
        <v>883459.66339999996</v>
      </c>
      <c r="AP144">
        <v>831317.73129999998</v>
      </c>
      <c r="AQ144">
        <v>778172.1226</v>
      </c>
      <c r="AR144">
        <v>721190.39659999998</v>
      </c>
      <c r="AS144">
        <v>722741.62879999995</v>
      </c>
      <c r="AT144">
        <v>724296.46979999996</v>
      </c>
      <c r="AU144">
        <v>724514.58600000001</v>
      </c>
      <c r="AV144">
        <v>724501.71259999997</v>
      </c>
      <c r="AW144">
        <v>722916.73549999995</v>
      </c>
    </row>
    <row r="145" spans="2:49" x14ac:dyDescent="0.25">
      <c r="B145" t="s">
        <v>216</v>
      </c>
      <c r="C145">
        <v>19068539.7330263</v>
      </c>
      <c r="D145">
        <v>19374691.306334</v>
      </c>
      <c r="E145">
        <v>19692663.129999999</v>
      </c>
      <c r="F145">
        <v>19844915.989999998</v>
      </c>
      <c r="G145">
        <v>18025993.870000001</v>
      </c>
      <c r="H145">
        <v>16028241.15</v>
      </c>
      <c r="I145">
        <v>14735143.210000001</v>
      </c>
      <c r="J145">
        <v>15738157.390000001</v>
      </c>
      <c r="K145">
        <v>14088580.189999999</v>
      </c>
      <c r="L145">
        <v>13461881.16</v>
      </c>
      <c r="M145">
        <v>13713578.93</v>
      </c>
      <c r="N145">
        <v>13893772.210000001</v>
      </c>
      <c r="O145">
        <v>13263991.43</v>
      </c>
      <c r="P145">
        <v>12316393.119999999</v>
      </c>
      <c r="Q145">
        <v>11121518.82</v>
      </c>
      <c r="R145">
        <v>10231297.41</v>
      </c>
      <c r="S145">
        <v>9537626.6689999998</v>
      </c>
      <c r="T145">
        <v>9266952.6229999997</v>
      </c>
      <c r="U145">
        <v>8949402.5629999898</v>
      </c>
      <c r="V145">
        <v>8639622.409</v>
      </c>
      <c r="W145">
        <v>7464034.7050000001</v>
      </c>
      <c r="X145">
        <v>6128957.7089999998</v>
      </c>
      <c r="Y145">
        <v>5390192.7019999996</v>
      </c>
      <c r="Z145">
        <v>4805963.8619999997</v>
      </c>
      <c r="AA145">
        <v>4312295.8660000004</v>
      </c>
      <c r="AB145">
        <v>3882459.7480000001</v>
      </c>
      <c r="AC145">
        <v>3531002.2540000002</v>
      </c>
      <c r="AD145">
        <v>3426375.122</v>
      </c>
      <c r="AE145">
        <v>3357145.2050000001</v>
      </c>
      <c r="AF145">
        <v>3289932.696</v>
      </c>
      <c r="AG145">
        <v>3237075.8810000001</v>
      </c>
      <c r="AH145">
        <v>3186145.165</v>
      </c>
      <c r="AI145">
        <v>3123461.3160000001</v>
      </c>
      <c r="AJ145">
        <v>3060221.6090000002</v>
      </c>
      <c r="AK145">
        <v>2995667.307</v>
      </c>
      <c r="AL145">
        <v>2978972.7769999998</v>
      </c>
      <c r="AM145">
        <v>2966392.9709999999</v>
      </c>
      <c r="AN145">
        <v>2881049.216</v>
      </c>
      <c r="AO145">
        <v>2780809.6779999998</v>
      </c>
      <c r="AP145">
        <v>2667837.486</v>
      </c>
      <c r="AQ145">
        <v>2556646.8190000001</v>
      </c>
      <c r="AR145">
        <v>2429252.0129999998</v>
      </c>
      <c r="AS145">
        <v>2405973.9980000001</v>
      </c>
      <c r="AT145">
        <v>2386556.7519999999</v>
      </c>
      <c r="AU145">
        <v>2361408.3810000001</v>
      </c>
      <c r="AV145">
        <v>2334436.412</v>
      </c>
      <c r="AW145">
        <v>2305688.1850000001</v>
      </c>
    </row>
    <row r="146" spans="2:49" x14ac:dyDescent="0.25">
      <c r="B146" t="s">
        <v>217</v>
      </c>
      <c r="C146">
        <v>14426006.8404216</v>
      </c>
      <c r="D146">
        <v>14657621.046468699</v>
      </c>
      <c r="E146">
        <v>14897820.91</v>
      </c>
      <c r="F146">
        <v>14858328.720000001</v>
      </c>
      <c r="G146">
        <v>13679929.609999999</v>
      </c>
      <c r="H146">
        <v>12719728.84</v>
      </c>
      <c r="I146">
        <v>11111394.939999999</v>
      </c>
      <c r="J146">
        <v>10016778.77</v>
      </c>
      <c r="K146">
        <v>9109310.9700000007</v>
      </c>
      <c r="L146">
        <v>8974513.9309999999</v>
      </c>
      <c r="M146">
        <v>8882983.3430000003</v>
      </c>
      <c r="N146">
        <v>9159878.2329999898</v>
      </c>
      <c r="O146">
        <v>8396605.2559999898</v>
      </c>
      <c r="P146">
        <v>7509704.8619999997</v>
      </c>
      <c r="Q146">
        <v>6732064.1449999996</v>
      </c>
      <c r="R146">
        <v>6062923.9060000004</v>
      </c>
      <c r="S146">
        <v>5639248.6500000004</v>
      </c>
      <c r="T146">
        <v>5322848.8140000002</v>
      </c>
      <c r="U146">
        <v>5028262.8550000004</v>
      </c>
      <c r="V146">
        <v>4705259.7580000004</v>
      </c>
      <c r="W146">
        <v>3848373.3840000001</v>
      </c>
      <c r="X146">
        <v>3004105.878</v>
      </c>
      <c r="Y146">
        <v>2544420.034</v>
      </c>
      <c r="Z146">
        <v>2214445.9679999999</v>
      </c>
      <c r="AA146">
        <v>1956871.9539999999</v>
      </c>
      <c r="AB146">
        <v>1746897.7439999999</v>
      </c>
      <c r="AC146">
        <v>1575597.0330000001</v>
      </c>
      <c r="AD146">
        <v>1516164.875</v>
      </c>
      <c r="AE146">
        <v>1479880.94</v>
      </c>
      <c r="AF146">
        <v>1446140.7220000001</v>
      </c>
      <c r="AG146">
        <v>1429348.0649999999</v>
      </c>
      <c r="AH146">
        <v>1409584.669</v>
      </c>
      <c r="AI146">
        <v>1382636.577</v>
      </c>
      <c r="AJ146">
        <v>1357167.892</v>
      </c>
      <c r="AK146">
        <v>1329007.541</v>
      </c>
      <c r="AL146">
        <v>1355361.2139999999</v>
      </c>
      <c r="AM146">
        <v>1380580.0859999999</v>
      </c>
      <c r="AN146">
        <v>1334553.7749999999</v>
      </c>
      <c r="AO146">
        <v>1283481.9110000001</v>
      </c>
      <c r="AP146">
        <v>1226640.9310000001</v>
      </c>
      <c r="AQ146">
        <v>1167321.875</v>
      </c>
      <c r="AR146">
        <v>1100931.9169999999</v>
      </c>
      <c r="AS146">
        <v>1105130.574</v>
      </c>
      <c r="AT146">
        <v>1109070.264</v>
      </c>
      <c r="AU146">
        <v>1111189.1429999999</v>
      </c>
      <c r="AV146">
        <v>1112701.0379999999</v>
      </c>
      <c r="AW146">
        <v>1112282.2690000001</v>
      </c>
    </row>
    <row r="147" spans="2:49" x14ac:dyDescent="0.25">
      <c r="B147" t="s">
        <v>218</v>
      </c>
      <c r="C147">
        <v>9279692.21316991</v>
      </c>
      <c r="D147">
        <v>9428680.6732538398</v>
      </c>
      <c r="E147">
        <v>9581386.1769999899</v>
      </c>
      <c r="F147">
        <v>9541422.6150000002</v>
      </c>
      <c r="G147">
        <v>9140449.2589999996</v>
      </c>
      <c r="H147">
        <v>8587443.8320000004</v>
      </c>
      <c r="I147">
        <v>8222025.4809999997</v>
      </c>
      <c r="J147">
        <v>7978039.9289999995</v>
      </c>
      <c r="K147">
        <v>7579174.0820000004</v>
      </c>
      <c r="L147">
        <v>7509703.4589999998</v>
      </c>
      <c r="M147">
        <v>7483050.1150000002</v>
      </c>
      <c r="N147">
        <v>7738944.341</v>
      </c>
      <c r="O147">
        <v>7569553.5839999998</v>
      </c>
      <c r="P147">
        <v>7312894.3890000004</v>
      </c>
      <c r="Q147">
        <v>6961805.9369999999</v>
      </c>
      <c r="R147">
        <v>6823587.1380000003</v>
      </c>
      <c r="S147">
        <v>6624390.0240000002</v>
      </c>
      <c r="T147">
        <v>6398726.3210000005</v>
      </c>
      <c r="U147">
        <v>6218609.2180000003</v>
      </c>
      <c r="V147">
        <v>6021184.0669999998</v>
      </c>
      <c r="W147">
        <v>5153206.7709999997</v>
      </c>
      <c r="X147">
        <v>4257430.3990000002</v>
      </c>
      <c r="Y147">
        <v>3614004.835</v>
      </c>
      <c r="Z147">
        <v>3125916.2480000001</v>
      </c>
      <c r="AA147">
        <v>2727896.1979999999</v>
      </c>
      <c r="AB147">
        <v>2397592.551</v>
      </c>
      <c r="AC147">
        <v>2123115.6889999998</v>
      </c>
      <c r="AD147">
        <v>2007600.8389999999</v>
      </c>
      <c r="AE147">
        <v>1918857.855</v>
      </c>
      <c r="AF147">
        <v>1835669.952</v>
      </c>
      <c r="AG147">
        <v>1793213.0330000001</v>
      </c>
      <c r="AH147">
        <v>1748884.5220000001</v>
      </c>
      <c r="AI147">
        <v>1685875.344</v>
      </c>
      <c r="AJ147">
        <v>1624654.487</v>
      </c>
      <c r="AK147">
        <v>1561615.0959999999</v>
      </c>
      <c r="AL147">
        <v>1639777.4129999999</v>
      </c>
      <c r="AM147">
        <v>1716533.936</v>
      </c>
      <c r="AN147">
        <v>1628379.564</v>
      </c>
      <c r="AO147">
        <v>1537456.987</v>
      </c>
      <c r="AP147">
        <v>1441316.5830000001</v>
      </c>
      <c r="AQ147">
        <v>1343944.56</v>
      </c>
      <c r="AR147">
        <v>1240160.9539999999</v>
      </c>
      <c r="AS147">
        <v>1264751.2649999999</v>
      </c>
      <c r="AT147">
        <v>1289276.737</v>
      </c>
      <c r="AU147">
        <v>1311701.4820000001</v>
      </c>
      <c r="AV147">
        <v>1334044.193</v>
      </c>
      <c r="AW147">
        <v>1353983.868</v>
      </c>
    </row>
    <row r="148" spans="2:49" x14ac:dyDescent="0.25">
      <c r="B148" t="s">
        <v>219</v>
      </c>
      <c r="C148">
        <v>10783636.5742715</v>
      </c>
      <c r="D148">
        <v>10956771.347537501</v>
      </c>
      <c r="E148">
        <v>11150239.23</v>
      </c>
      <c r="F148">
        <v>11153707.43</v>
      </c>
      <c r="G148">
        <v>11099304.57</v>
      </c>
      <c r="H148">
        <v>10298945.130000001</v>
      </c>
      <c r="I148">
        <v>10632374.539999999</v>
      </c>
      <c r="J148">
        <v>10710621.789999999</v>
      </c>
      <c r="K148">
        <v>10469130.619999999</v>
      </c>
      <c r="L148">
        <v>10417598.689999999</v>
      </c>
      <c r="M148">
        <v>10424084.35</v>
      </c>
      <c r="N148">
        <v>10722388.119999999</v>
      </c>
      <c r="O148">
        <v>10800412.6</v>
      </c>
      <c r="P148">
        <v>10944197.359999999</v>
      </c>
      <c r="Q148">
        <v>10895957.539999999</v>
      </c>
      <c r="R148">
        <v>11092785.32</v>
      </c>
      <c r="S148">
        <v>11095158.630000001</v>
      </c>
      <c r="T148">
        <v>10966880.07</v>
      </c>
      <c r="U148">
        <v>10951849.109999999</v>
      </c>
      <c r="V148">
        <v>10904822.6</v>
      </c>
      <c r="W148">
        <v>10644828.289999999</v>
      </c>
      <c r="X148">
        <v>10346291.189999999</v>
      </c>
      <c r="Y148">
        <v>10013391.460000001</v>
      </c>
      <c r="Z148">
        <v>9723293.8719999995</v>
      </c>
      <c r="AA148">
        <v>9437832.0099999998</v>
      </c>
      <c r="AB148">
        <v>9161370.5240000002</v>
      </c>
      <c r="AC148">
        <v>8886891.0830000006</v>
      </c>
      <c r="AD148">
        <v>8608237.8489999995</v>
      </c>
      <c r="AE148">
        <v>8338713.9620000003</v>
      </c>
      <c r="AF148">
        <v>8070916.4349999996</v>
      </c>
      <c r="AG148">
        <v>7878661.5889999997</v>
      </c>
      <c r="AH148">
        <v>7676364.091</v>
      </c>
      <c r="AI148">
        <v>7450235.983</v>
      </c>
      <c r="AJ148">
        <v>7217946.0049999999</v>
      </c>
      <c r="AK148">
        <v>6972271.4939999999</v>
      </c>
      <c r="AL148">
        <v>7022057.8190000001</v>
      </c>
      <c r="AM148">
        <v>7051311.2170000002</v>
      </c>
      <c r="AN148">
        <v>6765112.9539999999</v>
      </c>
      <c r="AO148">
        <v>6464176.5199999996</v>
      </c>
      <c r="AP148">
        <v>6139661.5530000003</v>
      </c>
      <c r="AQ148">
        <v>5795220.7510000002</v>
      </c>
      <c r="AR148">
        <v>5419384.6119999997</v>
      </c>
      <c r="AS148">
        <v>5394048.0290000001</v>
      </c>
      <c r="AT148">
        <v>5364496.7439999999</v>
      </c>
      <c r="AU148">
        <v>5326622.2439999999</v>
      </c>
      <c r="AV148">
        <v>5284838.7089999998</v>
      </c>
      <c r="AW148">
        <v>5232995.5149999997</v>
      </c>
    </row>
    <row r="149" spans="2:49" x14ac:dyDescent="0.25">
      <c r="B149" t="s">
        <v>220</v>
      </c>
      <c r="C149">
        <v>584010.86634464201</v>
      </c>
      <c r="D149">
        <v>593387.34970747295</v>
      </c>
      <c r="E149">
        <v>603045.05370000005</v>
      </c>
      <c r="F149">
        <v>618843.0281</v>
      </c>
      <c r="G149">
        <v>586451.70279999997</v>
      </c>
      <c r="H149">
        <v>506633.90649999998</v>
      </c>
      <c r="I149">
        <v>524470.45790000004</v>
      </c>
      <c r="J149">
        <v>525421.70559999999</v>
      </c>
      <c r="K149">
        <v>483139.11930000002</v>
      </c>
      <c r="L149">
        <v>451213.39270000003</v>
      </c>
      <c r="M149">
        <v>441647.37099999998</v>
      </c>
      <c r="N149">
        <v>463996.90789999999</v>
      </c>
      <c r="O149">
        <v>443019.34989999997</v>
      </c>
      <c r="P149">
        <v>425466.2022</v>
      </c>
      <c r="Q149">
        <v>395261.7487</v>
      </c>
      <c r="R149">
        <v>366013.81329999998</v>
      </c>
      <c r="S149">
        <v>351666.2647</v>
      </c>
      <c r="T149">
        <v>342587.71230000001</v>
      </c>
      <c r="U149">
        <v>339181.68969999999</v>
      </c>
      <c r="V149">
        <v>337996.35930000001</v>
      </c>
      <c r="W149">
        <v>287719.9008</v>
      </c>
      <c r="X149">
        <v>245526.42629999999</v>
      </c>
      <c r="Y149">
        <v>215338.7928</v>
      </c>
      <c r="Z149">
        <v>193552.99799999999</v>
      </c>
      <c r="AA149">
        <v>177026.0612</v>
      </c>
      <c r="AB149">
        <v>163643.32209999999</v>
      </c>
      <c r="AC149">
        <v>153005.78200000001</v>
      </c>
      <c r="AD149">
        <v>146392.1158</v>
      </c>
      <c r="AE149">
        <v>141286.54560000001</v>
      </c>
      <c r="AF149">
        <v>136337.3009</v>
      </c>
      <c r="AG149">
        <v>132548.5202</v>
      </c>
      <c r="AH149">
        <v>128703.1091</v>
      </c>
      <c r="AI149">
        <v>124615.3625</v>
      </c>
      <c r="AJ149">
        <v>120310.561</v>
      </c>
      <c r="AK149">
        <v>115682.67720000001</v>
      </c>
      <c r="AL149">
        <v>115149.0224</v>
      </c>
      <c r="AM149">
        <v>114357.2044</v>
      </c>
      <c r="AN149">
        <v>109192.97689999999</v>
      </c>
      <c r="AO149">
        <v>103854.17389999999</v>
      </c>
      <c r="AP149">
        <v>98141.260920000001</v>
      </c>
      <c r="AQ149">
        <v>92251.388550000003</v>
      </c>
      <c r="AR149">
        <v>85942.832389999996</v>
      </c>
      <c r="AS149">
        <v>84774.070980000004</v>
      </c>
      <c r="AT149">
        <v>83647.393840000004</v>
      </c>
      <c r="AU149">
        <v>82376.312890000001</v>
      </c>
      <c r="AV149">
        <v>81100.197</v>
      </c>
      <c r="AW149">
        <v>79649.145009999906</v>
      </c>
    </row>
    <row r="150" spans="2:49" x14ac:dyDescent="0.25">
      <c r="B150" t="s">
        <v>221</v>
      </c>
      <c r="C150">
        <v>22712835.5539211</v>
      </c>
      <c r="D150">
        <v>23077497.475414101</v>
      </c>
      <c r="E150">
        <v>23460046.260000002</v>
      </c>
      <c r="F150">
        <v>23545791.59</v>
      </c>
      <c r="G150">
        <v>19983728.129999999</v>
      </c>
      <c r="H150">
        <v>16626042.699999999</v>
      </c>
      <c r="I150">
        <v>17074045.469999999</v>
      </c>
      <c r="J150">
        <v>16674851.82</v>
      </c>
      <c r="K150">
        <v>15804673.93</v>
      </c>
      <c r="L150">
        <v>16456980.77</v>
      </c>
      <c r="M150">
        <v>16818908.73</v>
      </c>
      <c r="N150">
        <v>17149748.969999999</v>
      </c>
      <c r="O150">
        <v>14335408.050000001</v>
      </c>
      <c r="P150">
        <v>13012018.279999999</v>
      </c>
      <c r="Q150">
        <v>11892330.5</v>
      </c>
      <c r="R150">
        <v>10933335.890000001</v>
      </c>
      <c r="S150">
        <v>10302939.039999999</v>
      </c>
      <c r="T150">
        <v>10068898.630000001</v>
      </c>
      <c r="U150">
        <v>10004113.529999999</v>
      </c>
      <c r="V150">
        <v>10028712.57</v>
      </c>
      <c r="W150">
        <v>9179911.2689999994</v>
      </c>
      <c r="X150">
        <v>8240541.0729999999</v>
      </c>
      <c r="Y150">
        <v>7640597.8810000001</v>
      </c>
      <c r="Z150">
        <v>7206125.2810000004</v>
      </c>
      <c r="AA150">
        <v>6859448.591</v>
      </c>
      <c r="AB150">
        <v>6556774.0199999996</v>
      </c>
      <c r="AC150">
        <v>6309104.2359999996</v>
      </c>
      <c r="AD150">
        <v>6300498.1189999999</v>
      </c>
      <c r="AE150">
        <v>6334810.2640000004</v>
      </c>
      <c r="AF150">
        <v>6377327.4289999995</v>
      </c>
      <c r="AG150">
        <v>6436865.9210000001</v>
      </c>
      <c r="AH150">
        <v>6502019.2810000004</v>
      </c>
      <c r="AI150">
        <v>6563324.6490000002</v>
      </c>
      <c r="AJ150">
        <v>6631344.9529999997</v>
      </c>
      <c r="AK150">
        <v>6702122.2960000001</v>
      </c>
      <c r="AL150">
        <v>6809896.5760000004</v>
      </c>
      <c r="AM150">
        <v>6925783.8540000003</v>
      </c>
      <c r="AN150">
        <v>6973031.6689999998</v>
      </c>
      <c r="AO150">
        <v>7016492.6529999999</v>
      </c>
      <c r="AP150">
        <v>7051981.3899999997</v>
      </c>
      <c r="AQ150">
        <v>7089922.415</v>
      </c>
      <c r="AR150">
        <v>7123108.5199999996</v>
      </c>
      <c r="AS150">
        <v>7194417.7010000004</v>
      </c>
      <c r="AT150">
        <v>7271044.3030000003</v>
      </c>
      <c r="AU150">
        <v>7344119.1919999998</v>
      </c>
      <c r="AV150">
        <v>7417335.7369999997</v>
      </c>
      <c r="AW150">
        <v>7486044.9759999998</v>
      </c>
    </row>
    <row r="151" spans="2:49" x14ac:dyDescent="0.25">
      <c r="B151" t="s">
        <v>222</v>
      </c>
      <c r="C151">
        <v>611949.61832884501</v>
      </c>
      <c r="D151">
        <v>621774.66739182698</v>
      </c>
      <c r="E151">
        <v>631757.4608</v>
      </c>
      <c r="F151">
        <v>619921.91099999996</v>
      </c>
      <c r="G151">
        <v>558285.82259999996</v>
      </c>
      <c r="H151">
        <v>468679.15039999998</v>
      </c>
      <c r="I151">
        <v>502311.10230000003</v>
      </c>
      <c r="J151">
        <v>485595.12939999998</v>
      </c>
      <c r="K151">
        <v>437656.63339999999</v>
      </c>
      <c r="L151">
        <v>415209.50640000001</v>
      </c>
      <c r="M151">
        <v>413497.68060000002</v>
      </c>
      <c r="N151">
        <v>413713.69160000002</v>
      </c>
      <c r="O151">
        <v>383574.46299999999</v>
      </c>
      <c r="P151">
        <v>370917.6372</v>
      </c>
      <c r="Q151">
        <v>329910.28129999997</v>
      </c>
      <c r="R151">
        <v>303987.65549999999</v>
      </c>
      <c r="S151">
        <v>297048.57939999999</v>
      </c>
      <c r="T151">
        <v>290401.57980000001</v>
      </c>
      <c r="U151">
        <v>285158.00410000002</v>
      </c>
      <c r="V151">
        <v>283013.00719999999</v>
      </c>
      <c r="W151">
        <v>211652.89259999999</v>
      </c>
      <c r="X151">
        <v>157112.37210000001</v>
      </c>
      <c r="Y151">
        <v>118111.2645</v>
      </c>
      <c r="Z151">
        <v>92555.698560000004</v>
      </c>
      <c r="AA151">
        <v>74552.918810000003</v>
      </c>
      <c r="AB151">
        <v>61268.947950000002</v>
      </c>
      <c r="AC151">
        <v>51316.378349999999</v>
      </c>
      <c r="AD151">
        <v>46223.656540000004</v>
      </c>
      <c r="AE151">
        <v>42335.201289999997</v>
      </c>
      <c r="AF151">
        <v>38594.064330000001</v>
      </c>
      <c r="AG151">
        <v>37059.176599999999</v>
      </c>
      <c r="AH151">
        <v>35539.553760000003</v>
      </c>
      <c r="AI151">
        <v>32861.055240000002</v>
      </c>
      <c r="AJ151">
        <v>30185.707859999999</v>
      </c>
      <c r="AK151">
        <v>27470.180469999999</v>
      </c>
      <c r="AL151">
        <v>32611.960709999999</v>
      </c>
      <c r="AM151">
        <v>37863.066290000002</v>
      </c>
      <c r="AN151">
        <v>34116.263010000002</v>
      </c>
      <c r="AO151">
        <v>30289.969389999998</v>
      </c>
      <c r="AP151">
        <v>26334.718150000001</v>
      </c>
      <c r="AQ151">
        <v>22315.496019999999</v>
      </c>
      <c r="AR151">
        <v>18169.224050000001</v>
      </c>
      <c r="AS151">
        <v>20177.328369999999</v>
      </c>
      <c r="AT151">
        <v>22225.390810000001</v>
      </c>
      <c r="AU151">
        <v>24286.77594</v>
      </c>
      <c r="AV151">
        <v>26385.289939999999</v>
      </c>
      <c r="AW151">
        <v>28497.803929999998</v>
      </c>
    </row>
    <row r="152" spans="2:49" x14ac:dyDescent="0.25">
      <c r="B152" t="s">
        <v>223</v>
      </c>
      <c r="C152">
        <v>18604230.451297902</v>
      </c>
      <c r="D152">
        <v>18902927.3889024</v>
      </c>
      <c r="E152">
        <v>19209702.579999998</v>
      </c>
      <c r="F152">
        <v>19517636.870000001</v>
      </c>
      <c r="G152">
        <v>18325994.550000001</v>
      </c>
      <c r="H152">
        <v>16851602.890000001</v>
      </c>
      <c r="I152">
        <v>16972759.920000002</v>
      </c>
      <c r="J152">
        <v>16521222.060000001</v>
      </c>
      <c r="K152">
        <v>15620703.630000001</v>
      </c>
      <c r="L152">
        <v>15281184.5</v>
      </c>
      <c r="M152">
        <v>15311131.33</v>
      </c>
      <c r="N152">
        <v>15657072.539999999</v>
      </c>
      <c r="O152">
        <v>14859865.210000001</v>
      </c>
      <c r="P152">
        <v>14073744.289999999</v>
      </c>
      <c r="Q152">
        <v>13057363.810000001</v>
      </c>
      <c r="R152">
        <v>12743633.5</v>
      </c>
      <c r="S152">
        <v>12504341.76</v>
      </c>
      <c r="T152">
        <v>12397260.85</v>
      </c>
      <c r="U152">
        <v>12341589.189999999</v>
      </c>
      <c r="V152">
        <v>12344933.07</v>
      </c>
      <c r="W152">
        <v>10492340.66</v>
      </c>
      <c r="X152">
        <v>8821155.4979999997</v>
      </c>
      <c r="Y152">
        <v>7503206.8059999999</v>
      </c>
      <c r="Z152">
        <v>6491761.3820000002</v>
      </c>
      <c r="AA152">
        <v>5685330.8130000001</v>
      </c>
      <c r="AB152">
        <v>5014479.8849999998</v>
      </c>
      <c r="AC152">
        <v>4467410.9910000004</v>
      </c>
      <c r="AD152">
        <v>4255765.9460000005</v>
      </c>
      <c r="AE152">
        <v>4114250.429</v>
      </c>
      <c r="AF152">
        <v>3980631.344</v>
      </c>
      <c r="AG152">
        <v>3914081.7179999999</v>
      </c>
      <c r="AH152">
        <v>3846348.4619999998</v>
      </c>
      <c r="AI152">
        <v>3748878.713</v>
      </c>
      <c r="AJ152">
        <v>3651791.943</v>
      </c>
      <c r="AK152">
        <v>3547748.3130000001</v>
      </c>
      <c r="AL152">
        <v>3667233.3790000002</v>
      </c>
      <c r="AM152">
        <v>3786939.9079999998</v>
      </c>
      <c r="AN152">
        <v>3650496.145</v>
      </c>
      <c r="AO152">
        <v>3505745.341</v>
      </c>
      <c r="AP152">
        <v>3346061.7250000001</v>
      </c>
      <c r="AQ152">
        <v>3179604.3489999999</v>
      </c>
      <c r="AR152">
        <v>2996049.0869999998</v>
      </c>
      <c r="AS152">
        <v>3039511.9670000002</v>
      </c>
      <c r="AT152">
        <v>3084029.7820000001</v>
      </c>
      <c r="AU152">
        <v>3123962.9449999998</v>
      </c>
      <c r="AV152">
        <v>3163337.7650000001</v>
      </c>
      <c r="AW152">
        <v>3197143.0350000001</v>
      </c>
    </row>
    <row r="153" spans="2:49" x14ac:dyDescent="0.25">
      <c r="B153" t="s">
        <v>224</v>
      </c>
      <c r="C153">
        <v>583438.22926562198</v>
      </c>
      <c r="D153">
        <v>592805.51875492395</v>
      </c>
      <c r="E153">
        <v>602323.20449999999</v>
      </c>
      <c r="F153">
        <v>629706.71420000005</v>
      </c>
      <c r="G153">
        <v>616944.97019999998</v>
      </c>
      <c r="H153">
        <v>536172.95189999999</v>
      </c>
      <c r="I153">
        <v>534810.78670000006</v>
      </c>
      <c r="J153">
        <v>545050.19790000003</v>
      </c>
      <c r="K153">
        <v>520640.00030000001</v>
      </c>
      <c r="L153">
        <v>504876.73950000003</v>
      </c>
      <c r="M153">
        <v>469163.538</v>
      </c>
      <c r="N153">
        <v>428183.18479999999</v>
      </c>
      <c r="O153">
        <v>412314.4669</v>
      </c>
      <c r="P153">
        <v>410928.15700000001</v>
      </c>
      <c r="Q153">
        <v>394292.68979999999</v>
      </c>
      <c r="R153">
        <v>395374.20819999999</v>
      </c>
      <c r="S153">
        <v>397530.42589999997</v>
      </c>
      <c r="T153">
        <v>394318.14899999998</v>
      </c>
      <c r="U153">
        <v>383783.29300000001</v>
      </c>
      <c r="V153">
        <v>380572.35940000002</v>
      </c>
      <c r="W153">
        <v>371016.49680000002</v>
      </c>
      <c r="X153">
        <v>356644.37699999998</v>
      </c>
      <c r="Y153">
        <v>342443.9105</v>
      </c>
      <c r="Z153">
        <v>327982.70130000002</v>
      </c>
      <c r="AA153">
        <v>311832.02230000001</v>
      </c>
      <c r="AB153">
        <v>294315.50349999999</v>
      </c>
      <c r="AC153">
        <v>279754.22850000003</v>
      </c>
      <c r="AD153">
        <v>259530.0673</v>
      </c>
      <c r="AE153">
        <v>237683.5644</v>
      </c>
      <c r="AF153">
        <v>215194.97700000001</v>
      </c>
      <c r="AG153">
        <v>203567.20490000001</v>
      </c>
      <c r="AH153">
        <v>193139.82089999999</v>
      </c>
      <c r="AI153">
        <v>176021.16140000001</v>
      </c>
      <c r="AJ153">
        <v>159007.19</v>
      </c>
      <c r="AK153">
        <v>142633.88750000001</v>
      </c>
      <c r="AL153">
        <v>164295.66399999999</v>
      </c>
      <c r="AM153">
        <v>185988.49309999999</v>
      </c>
      <c r="AN153">
        <v>167489.5834</v>
      </c>
      <c r="AO153">
        <v>148385.88570000001</v>
      </c>
      <c r="AP153">
        <v>128583.9944</v>
      </c>
      <c r="AQ153">
        <v>109030.64939999999</v>
      </c>
      <c r="AR153">
        <v>88802.768960000001</v>
      </c>
      <c r="AS153">
        <v>97042.389009999999</v>
      </c>
      <c r="AT153">
        <v>105571.6728</v>
      </c>
      <c r="AU153">
        <v>113860.9589</v>
      </c>
      <c r="AV153">
        <v>122145.5071</v>
      </c>
      <c r="AW153">
        <v>130652.14509999999</v>
      </c>
    </row>
    <row r="154" spans="2:49" x14ac:dyDescent="0.25">
      <c r="B154" t="s">
        <v>225</v>
      </c>
      <c r="C154">
        <v>640997.091904014</v>
      </c>
      <c r="D154">
        <v>651288.50755091803</v>
      </c>
      <c r="E154">
        <v>661996.35600000003</v>
      </c>
      <c r="F154">
        <v>676339.24439999997</v>
      </c>
      <c r="G154">
        <v>640201.65509999997</v>
      </c>
      <c r="H154">
        <v>633584.77130000002</v>
      </c>
      <c r="I154">
        <v>647556.1912</v>
      </c>
      <c r="J154">
        <v>626678.12639999995</v>
      </c>
      <c r="K154">
        <v>595359.64489999996</v>
      </c>
      <c r="L154">
        <v>606176.72160000005</v>
      </c>
      <c r="M154">
        <v>623058.84649999999</v>
      </c>
      <c r="N154">
        <v>662760.70779999997</v>
      </c>
      <c r="O154">
        <v>705296.45559999999</v>
      </c>
      <c r="P154">
        <v>720701.96620000002</v>
      </c>
      <c r="Q154">
        <v>669539.95730000001</v>
      </c>
      <c r="R154">
        <v>685205.4227</v>
      </c>
      <c r="S154">
        <v>793527.1422</v>
      </c>
      <c r="T154">
        <v>854585.72549999994</v>
      </c>
      <c r="U154">
        <v>881381.60250000004</v>
      </c>
      <c r="V154">
        <v>899364.54469999997</v>
      </c>
      <c r="W154">
        <v>945521.99919999996</v>
      </c>
      <c r="X154">
        <v>988597.97180000006</v>
      </c>
      <c r="Y154">
        <v>1005604.7439999999</v>
      </c>
      <c r="Z154">
        <v>1018643.2439999999</v>
      </c>
      <c r="AA154">
        <v>1028342.7439999999</v>
      </c>
      <c r="AB154">
        <v>985893.34739999997</v>
      </c>
      <c r="AC154">
        <v>939663.44539999997</v>
      </c>
      <c r="AD154">
        <v>912512.60979999998</v>
      </c>
      <c r="AE154">
        <v>889756.62849999999</v>
      </c>
      <c r="AF154">
        <v>867356.06740000006</v>
      </c>
      <c r="AG154">
        <v>846198.49769999995</v>
      </c>
      <c r="AH154">
        <v>822927.73860000004</v>
      </c>
      <c r="AI154">
        <v>809455.29280000005</v>
      </c>
      <c r="AJ154">
        <v>797221.23060000001</v>
      </c>
      <c r="AK154">
        <v>783011.86869999999</v>
      </c>
      <c r="AL154">
        <v>772062.2953</v>
      </c>
      <c r="AM154">
        <v>759515.08609999996</v>
      </c>
      <c r="AN154">
        <v>733543.15460000001</v>
      </c>
      <c r="AO154">
        <v>705080.57250000001</v>
      </c>
      <c r="AP154">
        <v>674727.89199999999</v>
      </c>
      <c r="AQ154">
        <v>644131.3885</v>
      </c>
      <c r="AR154">
        <v>611330.68909999996</v>
      </c>
      <c r="AS154">
        <v>598717.6165</v>
      </c>
      <c r="AT154">
        <v>585946.33539999998</v>
      </c>
      <c r="AU154">
        <v>572326.45310000004</v>
      </c>
      <c r="AV154">
        <v>558702.58959999995</v>
      </c>
      <c r="AW154">
        <v>544008.56999999995</v>
      </c>
    </row>
    <row r="155" spans="2:49" x14ac:dyDescent="0.25">
      <c r="B155" t="s">
        <v>226</v>
      </c>
      <c r="C155">
        <v>2194958.1052306499</v>
      </c>
      <c r="D155">
        <v>2230198.86758945</v>
      </c>
      <c r="E155">
        <v>2254498.4279999998</v>
      </c>
      <c r="F155">
        <v>2243119.5490000001</v>
      </c>
      <c r="G155">
        <v>2234415.6570000001</v>
      </c>
      <c r="H155">
        <v>2230638.3130000001</v>
      </c>
      <c r="I155">
        <v>2237541.639</v>
      </c>
      <c r="J155">
        <v>2251792.8859999999</v>
      </c>
      <c r="K155">
        <v>2253812.375</v>
      </c>
      <c r="L155">
        <v>2252188.807</v>
      </c>
      <c r="M155">
        <v>2266935.2149999999</v>
      </c>
      <c r="N155">
        <v>2245841.9759999998</v>
      </c>
      <c r="O155">
        <v>2273666.8369999998</v>
      </c>
      <c r="P155">
        <v>2296140.4419999998</v>
      </c>
      <c r="Q155">
        <v>2324979.2880000002</v>
      </c>
      <c r="R155">
        <v>2354508.94</v>
      </c>
      <c r="S155">
        <v>2350703.3709999998</v>
      </c>
      <c r="T155">
        <v>2324686.969</v>
      </c>
      <c r="U155">
        <v>2315377.0720000002</v>
      </c>
      <c r="V155">
        <v>2299592.7420000001</v>
      </c>
      <c r="W155">
        <v>2180739.1970000002</v>
      </c>
      <c r="X155">
        <v>2060082.747</v>
      </c>
      <c r="Y155">
        <v>2035058.682</v>
      </c>
      <c r="Z155">
        <v>2009213.098</v>
      </c>
      <c r="AA155">
        <v>1983415.6140000001</v>
      </c>
      <c r="AB155">
        <v>1953822.18</v>
      </c>
      <c r="AC155">
        <v>1919650.628</v>
      </c>
      <c r="AD155">
        <v>1821295.345</v>
      </c>
      <c r="AE155">
        <v>1720726.422</v>
      </c>
      <c r="AF155">
        <v>1618853.6669999999</v>
      </c>
      <c r="AG155">
        <v>1522604.1159999999</v>
      </c>
      <c r="AH155">
        <v>1425289.298</v>
      </c>
      <c r="AI155">
        <v>1323019.1950000001</v>
      </c>
      <c r="AJ155">
        <v>1220886.4720000001</v>
      </c>
      <c r="AK155">
        <v>1118874.0490000001</v>
      </c>
      <c r="AL155">
        <v>1028081.546</v>
      </c>
      <c r="AM155">
        <v>935188.27170000004</v>
      </c>
      <c r="AN155">
        <v>848437.22109999997</v>
      </c>
      <c r="AO155">
        <v>763159.11419999995</v>
      </c>
      <c r="AP155">
        <v>678576.32259999996</v>
      </c>
      <c r="AQ155" s="39">
        <v>595822.73080000002</v>
      </c>
      <c r="AR155" s="39">
        <v>515071.98560000001</v>
      </c>
      <c r="AS155" s="39">
        <v>476263.55920000002</v>
      </c>
      <c r="AT155" s="39">
        <v>438438.39490000001</v>
      </c>
      <c r="AU155" s="39">
        <v>401083.14309999999</v>
      </c>
      <c r="AV155">
        <v>364820.6568</v>
      </c>
      <c r="AW155">
        <v>328246.65879999998</v>
      </c>
    </row>
    <row r="156" spans="2:49" x14ac:dyDescent="0.25">
      <c r="B156" t="s">
        <v>227</v>
      </c>
      <c r="C156">
        <v>48301536.741083004</v>
      </c>
      <c r="D156">
        <v>49077033.537035801</v>
      </c>
      <c r="E156">
        <v>49926550.890000001</v>
      </c>
      <c r="F156">
        <v>49624522.549999997</v>
      </c>
      <c r="G156">
        <v>48650497.439999998</v>
      </c>
      <c r="H156">
        <v>46901246.32</v>
      </c>
      <c r="I156">
        <v>46517392.759999998</v>
      </c>
      <c r="J156">
        <v>46224989.920000002</v>
      </c>
      <c r="K156">
        <v>45646791.130000003</v>
      </c>
      <c r="L156">
        <v>44800255.840000004</v>
      </c>
      <c r="M156">
        <v>44335405.619999997</v>
      </c>
      <c r="N156">
        <v>43805763.5</v>
      </c>
      <c r="O156">
        <v>43759845.189999998</v>
      </c>
      <c r="P156">
        <v>43925184.289999999</v>
      </c>
      <c r="Q156">
        <v>43333665.590000004</v>
      </c>
      <c r="R156">
        <v>42755653.380000003</v>
      </c>
      <c r="S156">
        <v>42304871.829999998</v>
      </c>
      <c r="T156">
        <v>42619226.619999997</v>
      </c>
      <c r="U156">
        <v>42918342.18</v>
      </c>
      <c r="V156">
        <v>43236484.969999999</v>
      </c>
      <c r="W156">
        <v>43130092.600000001</v>
      </c>
      <c r="X156">
        <v>42793815.579999998</v>
      </c>
      <c r="Y156">
        <v>41767262.789999999</v>
      </c>
      <c r="Z156">
        <v>40712775.560000002</v>
      </c>
      <c r="AA156">
        <v>39599623.07</v>
      </c>
      <c r="AB156">
        <v>38300527.07</v>
      </c>
      <c r="AC156">
        <v>37036546.600000001</v>
      </c>
      <c r="AD156">
        <v>34808698.82</v>
      </c>
      <c r="AE156">
        <v>32600733.370000001</v>
      </c>
      <c r="AF156">
        <v>30437886.989999998</v>
      </c>
      <c r="AG156">
        <v>28288885.289999999</v>
      </c>
      <c r="AH156">
        <v>26205295.809999999</v>
      </c>
      <c r="AI156">
        <v>23994678.239999998</v>
      </c>
      <c r="AJ156">
        <v>21825542.530000001</v>
      </c>
      <c r="AK156">
        <v>19685903.449999999</v>
      </c>
      <c r="AL156">
        <v>17628752.690000001</v>
      </c>
      <c r="AM156">
        <v>15638477.84</v>
      </c>
      <c r="AN156">
        <v>14262149.130000001</v>
      </c>
      <c r="AO156">
        <v>12914253.84</v>
      </c>
      <c r="AP156">
        <v>11550313.67</v>
      </c>
      <c r="AQ156">
        <v>10258506.27</v>
      </c>
      <c r="AR156">
        <v>8985087.8579999898</v>
      </c>
      <c r="AS156">
        <v>8424090.2719999999</v>
      </c>
      <c r="AT156">
        <v>7906423.966</v>
      </c>
      <c r="AU156">
        <v>7379635.0099999998</v>
      </c>
      <c r="AV156">
        <v>6885625.6639999999</v>
      </c>
      <c r="AW156">
        <v>6380780.7230000002</v>
      </c>
    </row>
    <row r="157" spans="2:49" x14ac:dyDescent="0.25">
      <c r="B157" t="s">
        <v>228</v>
      </c>
      <c r="C157">
        <v>9397840.0105028208</v>
      </c>
      <c r="D157">
        <v>9548725.3716889191</v>
      </c>
      <c r="E157">
        <v>9705874.77999999</v>
      </c>
      <c r="F157">
        <v>11057322.77</v>
      </c>
      <c r="G157">
        <v>9314802.7719999999</v>
      </c>
      <c r="H157">
        <v>6708297.2939999998</v>
      </c>
      <c r="I157">
        <v>7951245.3310000002</v>
      </c>
      <c r="J157">
        <v>6261925.4029999999</v>
      </c>
      <c r="K157">
        <v>7249697.9400000004</v>
      </c>
      <c r="L157">
        <v>6502748.7039999999</v>
      </c>
      <c r="M157">
        <v>6510791.6390000004</v>
      </c>
      <c r="N157">
        <v>6661892.1320000002</v>
      </c>
      <c r="O157">
        <v>6071324.3880000003</v>
      </c>
      <c r="P157">
        <v>6427358.517</v>
      </c>
      <c r="Q157">
        <v>6316474.733</v>
      </c>
      <c r="R157">
        <v>6420999.4859999996</v>
      </c>
      <c r="S157">
        <v>6427423.4239999996</v>
      </c>
      <c r="T157">
        <v>6344444.9749999996</v>
      </c>
      <c r="U157">
        <v>6412458.0609999998</v>
      </c>
      <c r="V157">
        <v>6471711.5300000003</v>
      </c>
      <c r="W157">
        <v>6481121.1780000003</v>
      </c>
      <c r="X157">
        <v>6464645.2079999996</v>
      </c>
      <c r="Y157">
        <v>6441444.6890000002</v>
      </c>
      <c r="Z157">
        <v>6405323.0439999998</v>
      </c>
      <c r="AA157">
        <v>6356560.3940000003</v>
      </c>
      <c r="AB157">
        <v>6111202.5580000002</v>
      </c>
      <c r="AC157">
        <v>5854134.5640000002</v>
      </c>
      <c r="AD157">
        <v>5667391.8779999996</v>
      </c>
      <c r="AE157">
        <v>5496372.7230000002</v>
      </c>
      <c r="AF157">
        <v>5334495.2110000001</v>
      </c>
      <c r="AG157">
        <v>5170088.6730000004</v>
      </c>
      <c r="AH157">
        <v>5009182.8870000001</v>
      </c>
      <c r="AI157">
        <v>4893477.2510000002</v>
      </c>
      <c r="AJ157">
        <v>4779884.818</v>
      </c>
      <c r="AK157">
        <v>4659146.3</v>
      </c>
      <c r="AL157">
        <v>4537099.6469999999</v>
      </c>
      <c r="AM157">
        <v>4409441.352</v>
      </c>
      <c r="AN157">
        <v>4275401.0449999999</v>
      </c>
      <c r="AO157">
        <v>4125119.8739999998</v>
      </c>
      <c r="AP157">
        <v>3959181.1329999999</v>
      </c>
      <c r="AQ157">
        <v>3784456.736</v>
      </c>
      <c r="AR157">
        <v>3592803.4619999998</v>
      </c>
      <c r="AS157">
        <v>3503486.1349999998</v>
      </c>
      <c r="AT157">
        <v>3415966.7179999999</v>
      </c>
      <c r="AU157">
        <v>3324702.04</v>
      </c>
      <c r="AV157">
        <v>3232816.2310000001</v>
      </c>
      <c r="AW157">
        <v>3135364.5060000001</v>
      </c>
    </row>
    <row r="158" spans="2:49" x14ac:dyDescent="0.25">
      <c r="B158" t="s">
        <v>229</v>
      </c>
      <c r="C158">
        <v>2784044.1169573502</v>
      </c>
      <c r="D158">
        <v>2828742.8457796802</v>
      </c>
      <c r="E158">
        <v>2875233.8760000002</v>
      </c>
      <c r="F158">
        <v>2980389.1340000001</v>
      </c>
      <c r="G158">
        <v>2961177.727</v>
      </c>
      <c r="H158">
        <v>2430829.696</v>
      </c>
      <c r="I158">
        <v>2456218.1749999998</v>
      </c>
      <c r="J158">
        <v>2565691.3670000001</v>
      </c>
      <c r="K158">
        <v>2503396.0469999998</v>
      </c>
      <c r="L158">
        <v>2431504.7609999999</v>
      </c>
      <c r="M158">
        <v>2425804.8530000001</v>
      </c>
      <c r="N158">
        <v>2552616.537</v>
      </c>
      <c r="O158">
        <v>2545542.2990000001</v>
      </c>
      <c r="P158">
        <v>2539119.415</v>
      </c>
      <c r="Q158">
        <v>2616523.1310000001</v>
      </c>
      <c r="R158">
        <v>2645965.9339999999</v>
      </c>
      <c r="S158">
        <v>2618858.4819999998</v>
      </c>
      <c r="T158">
        <v>2573145.6</v>
      </c>
      <c r="U158">
        <v>2545557.2140000002</v>
      </c>
      <c r="V158">
        <v>2518118.7850000001</v>
      </c>
      <c r="W158">
        <v>2487998.656</v>
      </c>
      <c r="X158">
        <v>2446118.27</v>
      </c>
      <c r="Y158">
        <v>2418717.8659999999</v>
      </c>
      <c r="Z158">
        <v>2387990.8739999998</v>
      </c>
      <c r="AA158">
        <v>2356526.9339999999</v>
      </c>
      <c r="AB158">
        <v>2325075.852</v>
      </c>
      <c r="AC158">
        <v>2294138.7280000001</v>
      </c>
      <c r="AD158">
        <v>2237024.463</v>
      </c>
      <c r="AE158">
        <v>2178527.9500000002</v>
      </c>
      <c r="AF158">
        <v>2118416.0410000002</v>
      </c>
      <c r="AG158">
        <v>2055503.676</v>
      </c>
      <c r="AH158">
        <v>1990868.753</v>
      </c>
      <c r="AI158">
        <v>1932995.503</v>
      </c>
      <c r="AJ158">
        <v>1872902.86</v>
      </c>
      <c r="AK158">
        <v>1808613.9950000001</v>
      </c>
      <c r="AL158">
        <v>1744306.68</v>
      </c>
      <c r="AM158">
        <v>1676540.456</v>
      </c>
      <c r="AN158">
        <v>1614959.047</v>
      </c>
      <c r="AO158">
        <v>1551307.324</v>
      </c>
      <c r="AP158">
        <v>1482294.25</v>
      </c>
      <c r="AQ158">
        <v>1410687.402</v>
      </c>
      <c r="AR158">
        <v>1332326.574</v>
      </c>
      <c r="AS158">
        <v>1292241.183</v>
      </c>
      <c r="AT158">
        <v>1252776.352</v>
      </c>
      <c r="AU158">
        <v>1211389.358</v>
      </c>
      <c r="AV158">
        <v>1170464.642</v>
      </c>
      <c r="AW158">
        <v>1127067.889</v>
      </c>
    </row>
    <row r="159" spans="2:49" x14ac:dyDescent="0.25">
      <c r="B159" t="s">
        <v>230</v>
      </c>
      <c r="C159">
        <v>20640520.667746101</v>
      </c>
      <c r="D159">
        <v>20971910.903432399</v>
      </c>
      <c r="E159">
        <v>21313932.760000002</v>
      </c>
      <c r="F159">
        <v>21745207.550000001</v>
      </c>
      <c r="G159">
        <v>21048057.640000001</v>
      </c>
      <c r="H159">
        <v>20251029.559999999</v>
      </c>
      <c r="I159">
        <v>20520705.170000002</v>
      </c>
      <c r="J159">
        <v>20229907.170000002</v>
      </c>
      <c r="K159">
        <v>19539432.25</v>
      </c>
      <c r="L159">
        <v>19382559.550000001</v>
      </c>
      <c r="M159">
        <v>19831216.91</v>
      </c>
      <c r="N159">
        <v>20894790.079999998</v>
      </c>
      <c r="O159">
        <v>20860589.420000002</v>
      </c>
      <c r="P159">
        <v>20058545.34</v>
      </c>
      <c r="Q159">
        <v>18489209.620000001</v>
      </c>
      <c r="R159">
        <v>17358310.829999998</v>
      </c>
      <c r="S159">
        <v>16486819.07</v>
      </c>
      <c r="T159">
        <v>16044892.109999999</v>
      </c>
      <c r="U159">
        <v>15641746.5</v>
      </c>
      <c r="V159">
        <v>15228857.83</v>
      </c>
      <c r="W159">
        <v>15731349.02</v>
      </c>
      <c r="X159">
        <v>16078330.550000001</v>
      </c>
      <c r="Y159">
        <v>15753539.49</v>
      </c>
      <c r="Z159">
        <v>15190864.58</v>
      </c>
      <c r="AA159">
        <v>14439470.640000001</v>
      </c>
      <c r="AB159">
        <v>13409618.17</v>
      </c>
      <c r="AC159">
        <v>12353240.41</v>
      </c>
      <c r="AD159">
        <v>11287060.189999999</v>
      </c>
      <c r="AE159">
        <v>10239719.57</v>
      </c>
      <c r="AF159">
        <v>9244692.4780000001</v>
      </c>
      <c r="AG159">
        <v>8641398.9440000001</v>
      </c>
      <c r="AH159">
        <v>8065609.6859999998</v>
      </c>
      <c r="AI159">
        <v>7376492.216</v>
      </c>
      <c r="AJ159">
        <v>6721921.6710000001</v>
      </c>
      <c r="AK159">
        <v>6096655.2869999995</v>
      </c>
      <c r="AL159">
        <v>6491525.8729999997</v>
      </c>
      <c r="AM159">
        <v>6821377.7740000002</v>
      </c>
      <c r="AN159">
        <v>6113660.8490000004</v>
      </c>
      <c r="AO159">
        <v>5437086.4560000002</v>
      </c>
      <c r="AP159">
        <v>4784070.9749999996</v>
      </c>
      <c r="AQ159">
        <v>4155576.2719999999</v>
      </c>
      <c r="AR159">
        <v>3544273.2889999999</v>
      </c>
      <c r="AS159">
        <v>3595823.57</v>
      </c>
      <c r="AT159">
        <v>3632785.875</v>
      </c>
      <c r="AU159">
        <v>3655215.8810000001</v>
      </c>
      <c r="AV159">
        <v>3666483.0959999999</v>
      </c>
      <c r="AW159">
        <v>3665152.6740000001</v>
      </c>
    </row>
    <row r="160" spans="2:49" x14ac:dyDescent="0.25">
      <c r="B160" t="s">
        <v>231</v>
      </c>
      <c r="C160">
        <v>261855678.291933</v>
      </c>
      <c r="D160">
        <v>266059855.90652901</v>
      </c>
      <c r="E160">
        <v>270446238.89999998</v>
      </c>
      <c r="F160">
        <v>271555149.19999999</v>
      </c>
      <c r="G160">
        <v>255260589.09999999</v>
      </c>
      <c r="H160">
        <v>235924481.5</v>
      </c>
      <c r="I160">
        <v>232395019.80000001</v>
      </c>
      <c r="J160">
        <v>225531694.5</v>
      </c>
      <c r="K160">
        <v>215404039.40000001</v>
      </c>
      <c r="L160">
        <v>209282892.90000001</v>
      </c>
      <c r="M160">
        <v>207976596.19999999</v>
      </c>
      <c r="N160">
        <v>209016321.5</v>
      </c>
      <c r="O160">
        <v>200298623.19999999</v>
      </c>
      <c r="P160">
        <v>192867484.69999999</v>
      </c>
      <c r="Q160">
        <v>182032290.90000001</v>
      </c>
      <c r="R160">
        <v>174538012.69999999</v>
      </c>
      <c r="S160">
        <v>168542301.69999999</v>
      </c>
      <c r="T160">
        <v>166758118.80000001</v>
      </c>
      <c r="U160">
        <v>165857808.30000001</v>
      </c>
      <c r="V160">
        <v>164945289.09999999</v>
      </c>
      <c r="W160">
        <v>158776105.5</v>
      </c>
      <c r="X160">
        <v>151520040.30000001</v>
      </c>
      <c r="Y160">
        <v>143433092.40000001</v>
      </c>
      <c r="Z160">
        <v>136082946.19999999</v>
      </c>
      <c r="AA160">
        <v>129195550.8</v>
      </c>
      <c r="AB160">
        <v>121673516.5</v>
      </c>
      <c r="AC160">
        <v>114697224.40000001</v>
      </c>
      <c r="AD160">
        <v>108587981.90000001</v>
      </c>
      <c r="AE160">
        <v>102898391.5</v>
      </c>
      <c r="AF160">
        <v>97392796.5</v>
      </c>
      <c r="AG160">
        <v>92873630.700000003</v>
      </c>
      <c r="AH160">
        <v>88463230.609999999</v>
      </c>
      <c r="AI160">
        <v>83623225.549999997</v>
      </c>
      <c r="AJ160">
        <v>78933901.409999996</v>
      </c>
      <c r="AK160">
        <v>74313467.469999999</v>
      </c>
      <c r="AL160">
        <v>72545363.099999994</v>
      </c>
      <c r="AM160">
        <v>70634793.560000002</v>
      </c>
      <c r="AN160">
        <v>66806756.780000001</v>
      </c>
      <c r="AO160">
        <v>62968808.619999997</v>
      </c>
      <c r="AP160">
        <v>59004068.219999999</v>
      </c>
      <c r="AQ160">
        <v>55086880.990000002</v>
      </c>
      <c r="AR160">
        <v>51036782.32</v>
      </c>
      <c r="AS160">
        <v>49943954.25</v>
      </c>
      <c r="AT160">
        <v>48918839.740000002</v>
      </c>
      <c r="AU160">
        <v>47847876.399999999</v>
      </c>
      <c r="AV160">
        <v>46821727.020000003</v>
      </c>
      <c r="AW160">
        <v>45744365.539999999</v>
      </c>
    </row>
    <row r="161" spans="2:49" x14ac:dyDescent="0.25">
      <c r="B161" t="s">
        <v>232</v>
      </c>
      <c r="C161">
        <v>5733144.4507061103</v>
      </c>
      <c r="D161">
        <v>5825191.9393003099</v>
      </c>
      <c r="E161">
        <v>5919233.7230000002</v>
      </c>
      <c r="F161">
        <v>5931789.5959999999</v>
      </c>
      <c r="G161">
        <v>5761820.8720000004</v>
      </c>
      <c r="H161">
        <v>5899059.4620000003</v>
      </c>
      <c r="I161">
        <v>5942729.6730000004</v>
      </c>
      <c r="J161">
        <v>5855333.2999999998</v>
      </c>
      <c r="K161">
        <v>5701255.4230000004</v>
      </c>
      <c r="L161">
        <v>5714382.7029999997</v>
      </c>
      <c r="M161">
        <v>5850570.5240000002</v>
      </c>
      <c r="N161">
        <v>6192216.6160000004</v>
      </c>
      <c r="O161">
        <v>6258659.193</v>
      </c>
      <c r="P161">
        <v>5997560.9280000003</v>
      </c>
      <c r="Q161">
        <v>5424774.9689999996</v>
      </c>
      <c r="R161">
        <v>5031619.841</v>
      </c>
      <c r="S161">
        <v>4756359.1579999998</v>
      </c>
      <c r="T161">
        <v>4570326.5060000001</v>
      </c>
      <c r="U161">
        <v>4400093.0860000001</v>
      </c>
      <c r="V161">
        <v>4236429.8509999998</v>
      </c>
      <c r="W161">
        <v>4441905.6610000003</v>
      </c>
      <c r="X161">
        <v>4539562.5259999996</v>
      </c>
      <c r="Y161">
        <v>4406295.6310000001</v>
      </c>
      <c r="Z161">
        <v>4201890.8779999996</v>
      </c>
      <c r="AA161">
        <v>3947886.219</v>
      </c>
      <c r="AB161">
        <v>3625115.3429999999</v>
      </c>
      <c r="AC161">
        <v>3303035.0649999999</v>
      </c>
      <c r="AD161">
        <v>2973131.4380000001</v>
      </c>
      <c r="AE161">
        <v>2650653.5019999999</v>
      </c>
      <c r="AF161">
        <v>2344415.9309999999</v>
      </c>
      <c r="AG161">
        <v>2169614.858</v>
      </c>
      <c r="AH161">
        <v>2004177.085</v>
      </c>
      <c r="AI161">
        <v>1796354.15</v>
      </c>
      <c r="AJ161">
        <v>1600453.4739999999</v>
      </c>
      <c r="AK161">
        <v>1414782.3470000001</v>
      </c>
      <c r="AL161">
        <v>1581022.936</v>
      </c>
      <c r="AM161">
        <v>1730240.909</v>
      </c>
      <c r="AN161">
        <v>1512550.2120000001</v>
      </c>
      <c r="AO161">
        <v>1306005.534</v>
      </c>
      <c r="AP161">
        <v>1108476.6640000001</v>
      </c>
      <c r="AQ161">
        <v>920485.02879999997</v>
      </c>
      <c r="AR161">
        <v>740249.07259999996</v>
      </c>
      <c r="AS161">
        <v>777464.81530000002</v>
      </c>
      <c r="AT161">
        <v>810234.75789999997</v>
      </c>
      <c r="AU161">
        <v>838796.84470000002</v>
      </c>
      <c r="AV161">
        <v>864012.64419999998</v>
      </c>
      <c r="AW161">
        <v>885605.67189999996</v>
      </c>
    </row>
    <row r="162" spans="2:49" x14ac:dyDescent="0.25">
      <c r="B162" t="s">
        <v>233</v>
      </c>
      <c r="C162">
        <v>746221.21464997705</v>
      </c>
      <c r="D162">
        <v>758202.03762327298</v>
      </c>
      <c r="E162">
        <v>770375.21660000004</v>
      </c>
      <c r="F162">
        <v>784568.08089999994</v>
      </c>
      <c r="G162">
        <v>645136.85719999997</v>
      </c>
      <c r="H162">
        <v>572096.73450000002</v>
      </c>
      <c r="I162">
        <v>364733.9743</v>
      </c>
      <c r="J162">
        <v>366938.97889999999</v>
      </c>
      <c r="K162">
        <v>338063.27500000002</v>
      </c>
      <c r="L162">
        <v>332604.48430000001</v>
      </c>
      <c r="M162">
        <v>334761.73349999997</v>
      </c>
      <c r="N162">
        <v>323159.69209999999</v>
      </c>
      <c r="O162">
        <v>272309.96279999998</v>
      </c>
      <c r="P162">
        <v>231994.90489999999</v>
      </c>
      <c r="Q162">
        <v>202399.34640000001</v>
      </c>
      <c r="R162">
        <v>179620.68979999999</v>
      </c>
      <c r="S162">
        <v>159853.64009999999</v>
      </c>
      <c r="T162">
        <v>150001.79509999999</v>
      </c>
      <c r="U162">
        <v>139987.66320000001</v>
      </c>
      <c r="V162">
        <v>131252.00899999999</v>
      </c>
      <c r="W162">
        <v>114204.1054</v>
      </c>
      <c r="X162">
        <v>94988.651880000005</v>
      </c>
      <c r="Y162">
        <v>86690.715660000002</v>
      </c>
      <c r="Z162">
        <v>80602.530540000007</v>
      </c>
      <c r="AA162">
        <v>75441.676009999996</v>
      </c>
      <c r="AB162">
        <v>70771.240139999994</v>
      </c>
      <c r="AC162">
        <v>67024.316040000005</v>
      </c>
      <c r="AD162">
        <v>66894.856889999995</v>
      </c>
      <c r="AE162">
        <v>67279.294330000004</v>
      </c>
      <c r="AF162">
        <v>67764.076130000001</v>
      </c>
      <c r="AG162">
        <v>68262.533779999998</v>
      </c>
      <c r="AH162">
        <v>68972.334629999998</v>
      </c>
      <c r="AI162">
        <v>69515.950750000004</v>
      </c>
      <c r="AJ162">
        <v>70114.819040000002</v>
      </c>
      <c r="AK162">
        <v>70848.526530000003</v>
      </c>
      <c r="AL162">
        <v>71539.990040000004</v>
      </c>
      <c r="AM162">
        <v>72552.348310000001</v>
      </c>
      <c r="AN162">
        <v>72955.176619999998</v>
      </c>
      <c r="AO162">
        <v>73124.150649999996</v>
      </c>
      <c r="AP162">
        <v>73146.530499999906</v>
      </c>
      <c r="AQ162">
        <v>73384.800659999906</v>
      </c>
      <c r="AR162">
        <v>73507.046100000007</v>
      </c>
      <c r="AS162">
        <v>73822.609630000006</v>
      </c>
      <c r="AT162">
        <v>74353.987909999996</v>
      </c>
      <c r="AU162">
        <v>74801.159100000004</v>
      </c>
      <c r="AV162">
        <v>75243.562839999999</v>
      </c>
      <c r="AW162">
        <v>75721.044940000007</v>
      </c>
    </row>
    <row r="163" spans="2:49" x14ac:dyDescent="0.25">
      <c r="B163" t="s">
        <v>234</v>
      </c>
      <c r="C163">
        <v>480333.66960581898</v>
      </c>
      <c r="D163">
        <v>488045.58203966799</v>
      </c>
      <c r="E163">
        <v>495881.31170000002</v>
      </c>
      <c r="F163">
        <v>500733.40970000002</v>
      </c>
      <c r="G163">
        <v>416797.05489999999</v>
      </c>
      <c r="H163">
        <v>384670.44410000002</v>
      </c>
      <c r="I163">
        <v>347177.74219999998</v>
      </c>
      <c r="J163">
        <v>310991.07179999998</v>
      </c>
      <c r="K163">
        <v>299676.67589999997</v>
      </c>
      <c r="L163">
        <v>320217.88449999999</v>
      </c>
      <c r="M163">
        <v>320157.92450000002</v>
      </c>
      <c r="N163">
        <v>319437.75390000001</v>
      </c>
      <c r="O163">
        <v>236144.85209999999</v>
      </c>
      <c r="P163">
        <v>180035.97560000001</v>
      </c>
      <c r="Q163">
        <v>151487.07339999999</v>
      </c>
      <c r="R163">
        <v>133204.13990000001</v>
      </c>
      <c r="S163">
        <v>118435.50079999999</v>
      </c>
      <c r="T163">
        <v>114728.42389999999</v>
      </c>
      <c r="U163">
        <v>112659.91989999999</v>
      </c>
      <c r="V163">
        <v>110201.30710000001</v>
      </c>
      <c r="W163">
        <v>107472.8692</v>
      </c>
      <c r="X163">
        <v>97555.099960000007</v>
      </c>
      <c r="Y163">
        <v>92049.575339999996</v>
      </c>
      <c r="Z163">
        <v>87671.87156</v>
      </c>
      <c r="AA163">
        <v>83915.435020000004</v>
      </c>
      <c r="AB163">
        <v>80454.730509999994</v>
      </c>
      <c r="AC163">
        <v>77483.916299999997</v>
      </c>
      <c r="AD163">
        <v>77607.805240000002</v>
      </c>
      <c r="AE163">
        <v>78455.206000000006</v>
      </c>
      <c r="AF163">
        <v>79462.91777</v>
      </c>
      <c r="AG163">
        <v>80576.715660000002</v>
      </c>
      <c r="AH163">
        <v>81728.60772</v>
      </c>
      <c r="AI163">
        <v>82903.285109999997</v>
      </c>
      <c r="AJ163">
        <v>84215.095839999994</v>
      </c>
      <c r="AK163">
        <v>85560.784480000002</v>
      </c>
      <c r="AL163">
        <v>86940.874469999995</v>
      </c>
      <c r="AM163">
        <v>88442.272729999997</v>
      </c>
      <c r="AN163">
        <v>89379.540410000001</v>
      </c>
      <c r="AO163">
        <v>90217.327239999999</v>
      </c>
      <c r="AP163">
        <v>90914.985709999906</v>
      </c>
      <c r="AQ163">
        <v>91624.421679999999</v>
      </c>
      <c r="AR163">
        <v>92212.689639999997</v>
      </c>
      <c r="AS163">
        <v>93114.706590000002</v>
      </c>
      <c r="AT163">
        <v>94092.97481</v>
      </c>
      <c r="AU163">
        <v>95021.908190000002</v>
      </c>
      <c r="AV163">
        <v>95959.060670000006</v>
      </c>
      <c r="AW163">
        <v>96825.606020000007</v>
      </c>
    </row>
    <row r="164" spans="2:49" x14ac:dyDescent="0.25">
      <c r="B164" t="s">
        <v>235</v>
      </c>
      <c r="C164">
        <v>1469582.3108926199</v>
      </c>
      <c r="D164">
        <v>1493176.93024387</v>
      </c>
      <c r="E164">
        <v>1517150.3689999999</v>
      </c>
      <c r="F164">
        <v>1533282.3959999999</v>
      </c>
      <c r="G164">
        <v>1320912.0460000001</v>
      </c>
      <c r="H164">
        <v>1267167.574</v>
      </c>
      <c r="I164">
        <v>968166.35840000003</v>
      </c>
      <c r="J164">
        <v>893021.75930000003</v>
      </c>
      <c r="K164">
        <v>889942.03639999998</v>
      </c>
      <c r="L164">
        <v>943013.26950000005</v>
      </c>
      <c r="M164">
        <v>943258.3811</v>
      </c>
      <c r="N164">
        <v>944935.00780000002</v>
      </c>
      <c r="O164">
        <v>718049.2402</v>
      </c>
      <c r="P164">
        <v>559161.90229999996</v>
      </c>
      <c r="Q164">
        <v>473611.74209999997</v>
      </c>
      <c r="R164">
        <v>426830.47619999998</v>
      </c>
      <c r="S164">
        <v>374708.47529999999</v>
      </c>
      <c r="T164">
        <v>356534.90100000001</v>
      </c>
      <c r="U164">
        <v>343918.3248</v>
      </c>
      <c r="V164">
        <v>329708.90120000002</v>
      </c>
      <c r="W164">
        <v>310834.30540000001</v>
      </c>
      <c r="X164">
        <v>274424.88339999999</v>
      </c>
      <c r="Y164">
        <v>253809.3805</v>
      </c>
      <c r="Z164">
        <v>237563.06630000001</v>
      </c>
      <c r="AA164">
        <v>223050.13819999999</v>
      </c>
      <c r="AB164">
        <v>209761.58979999999</v>
      </c>
      <c r="AC164">
        <v>198000.54300000001</v>
      </c>
      <c r="AD164">
        <v>197508.41380000001</v>
      </c>
      <c r="AE164">
        <v>198686.83050000001</v>
      </c>
      <c r="AF164">
        <v>200459.2775</v>
      </c>
      <c r="AG164">
        <v>202299.51740000001</v>
      </c>
      <c r="AH164">
        <v>204237.3296</v>
      </c>
      <c r="AI164">
        <v>206295.76519999999</v>
      </c>
      <c r="AJ164">
        <v>208600.69010000001</v>
      </c>
      <c r="AK164">
        <v>210985.1796</v>
      </c>
      <c r="AL164">
        <v>213519.04889999999</v>
      </c>
      <c r="AM164">
        <v>216278.26139999999</v>
      </c>
      <c r="AN164">
        <v>217405.3443</v>
      </c>
      <c r="AO164">
        <v>218273.86120000001</v>
      </c>
      <c r="AP164">
        <v>218752.44930000001</v>
      </c>
      <c r="AQ164">
        <v>219335.1243</v>
      </c>
      <c r="AR164">
        <v>219629.89970000001</v>
      </c>
      <c r="AS164">
        <v>220831.81909999999</v>
      </c>
      <c r="AT164">
        <v>222287.1311</v>
      </c>
      <c r="AU164">
        <v>223562.21729999999</v>
      </c>
      <c r="AV164">
        <v>224891.14259999999</v>
      </c>
      <c r="AW164">
        <v>225949.95420000001</v>
      </c>
    </row>
    <row r="165" spans="2:49" x14ac:dyDescent="0.25">
      <c r="B165" t="s">
        <v>236</v>
      </c>
      <c r="C165">
        <v>225722.47732836599</v>
      </c>
      <c r="D165">
        <v>229346.52471387701</v>
      </c>
      <c r="E165">
        <v>233028.7574</v>
      </c>
      <c r="F165">
        <v>236554.23269999999</v>
      </c>
      <c r="G165">
        <v>214091.6096</v>
      </c>
      <c r="H165">
        <v>203960.76519999999</v>
      </c>
      <c r="I165">
        <v>186503.5148</v>
      </c>
      <c r="J165">
        <v>180532.54749999999</v>
      </c>
      <c r="K165">
        <v>182710.73800000001</v>
      </c>
      <c r="L165">
        <v>194495.26430000001</v>
      </c>
      <c r="M165">
        <v>198149.35399999999</v>
      </c>
      <c r="N165">
        <v>202392.6127</v>
      </c>
      <c r="O165">
        <v>169114.3982</v>
      </c>
      <c r="P165">
        <v>147198.1182</v>
      </c>
      <c r="Q165">
        <v>135203.55040000001</v>
      </c>
      <c r="R165">
        <v>130976.10799999999</v>
      </c>
      <c r="S165">
        <v>123474.05</v>
      </c>
      <c r="T165">
        <v>119977.7911</v>
      </c>
      <c r="U165">
        <v>117896.5536</v>
      </c>
      <c r="V165">
        <v>115694.8829</v>
      </c>
      <c r="W165">
        <v>108385.3422</v>
      </c>
      <c r="X165">
        <v>98119.821119999906</v>
      </c>
      <c r="Y165">
        <v>92721.274340000004</v>
      </c>
      <c r="Z165">
        <v>88647.790160000004</v>
      </c>
      <c r="AA165">
        <v>84968.033439999999</v>
      </c>
      <c r="AB165">
        <v>81543.913409999906</v>
      </c>
      <c r="AC165">
        <v>78392.224109999996</v>
      </c>
      <c r="AD165">
        <v>78438.90986</v>
      </c>
      <c r="AE165">
        <v>79187.491429999995</v>
      </c>
      <c r="AF165">
        <v>80179.044080000007</v>
      </c>
      <c r="AG165">
        <v>81209.835300000006</v>
      </c>
      <c r="AH165">
        <v>82225.317309999999</v>
      </c>
      <c r="AI165">
        <v>83274.368170000002</v>
      </c>
      <c r="AJ165">
        <v>84518.250740000003</v>
      </c>
      <c r="AK165">
        <v>85832.925319999995</v>
      </c>
      <c r="AL165">
        <v>87193.579679999995</v>
      </c>
      <c r="AM165">
        <v>88647.414680000002</v>
      </c>
      <c r="AN165">
        <v>89632.141319999995</v>
      </c>
      <c r="AO165">
        <v>90488.540930000003</v>
      </c>
      <c r="AP165">
        <v>91224.261209999997</v>
      </c>
      <c r="AQ165">
        <v>91932.295370000007</v>
      </c>
      <c r="AR165">
        <v>92527.798450000002</v>
      </c>
      <c r="AS165">
        <v>93403.389079999906</v>
      </c>
      <c r="AT165">
        <v>94311.535499999998</v>
      </c>
      <c r="AU165">
        <v>95185.955929999996</v>
      </c>
      <c r="AV165">
        <v>96045.594729999997</v>
      </c>
      <c r="AW165">
        <v>96843.991890000005</v>
      </c>
    </row>
    <row r="166" spans="2:49" x14ac:dyDescent="0.25">
      <c r="B166" t="s">
        <v>237</v>
      </c>
      <c r="C166">
        <v>20679763.666016001</v>
      </c>
      <c r="D166">
        <v>21011783.9607329</v>
      </c>
      <c r="E166">
        <v>21361167.050000001</v>
      </c>
      <c r="F166">
        <v>21491985.23</v>
      </c>
      <c r="G166">
        <v>18169893.030000001</v>
      </c>
      <c r="H166">
        <v>15168619.369999999</v>
      </c>
      <c r="I166">
        <v>15548355.210000001</v>
      </c>
      <c r="J166">
        <v>15185035.82</v>
      </c>
      <c r="K166">
        <v>14456551.49</v>
      </c>
      <c r="L166">
        <v>15142893.49</v>
      </c>
      <c r="M166">
        <v>15512309.84</v>
      </c>
      <c r="N166">
        <v>15831308.68</v>
      </c>
      <c r="O166">
        <v>13042986.810000001</v>
      </c>
      <c r="P166">
        <v>11675486.789999999</v>
      </c>
      <c r="Q166">
        <v>10592778.9</v>
      </c>
      <c r="R166">
        <v>9695799.3530000001</v>
      </c>
      <c r="S166">
        <v>9081007.7210000008</v>
      </c>
      <c r="T166">
        <v>8912505.5399999898</v>
      </c>
      <c r="U166">
        <v>8902437.6600000001</v>
      </c>
      <c r="V166">
        <v>8977255.8420000002</v>
      </c>
      <c r="W166">
        <v>8355169.2910000002</v>
      </c>
      <c r="X166">
        <v>7606087.5949999997</v>
      </c>
      <c r="Y166">
        <v>7131852.9179999996</v>
      </c>
      <c r="Z166">
        <v>6785858.335</v>
      </c>
      <c r="AA166">
        <v>6506666.2800000003</v>
      </c>
      <c r="AB166">
        <v>6257462.4170000004</v>
      </c>
      <c r="AC166">
        <v>6052385.7719999999</v>
      </c>
      <c r="AD166">
        <v>6068027.2400000002</v>
      </c>
      <c r="AE166">
        <v>6122513.2790000001</v>
      </c>
      <c r="AF166">
        <v>6184676.0360000003</v>
      </c>
      <c r="AG166">
        <v>6252730.2649999997</v>
      </c>
      <c r="AH166">
        <v>6326356.159</v>
      </c>
      <c r="AI166">
        <v>6401811.6040000003</v>
      </c>
      <c r="AJ166">
        <v>6483597.841</v>
      </c>
      <c r="AK166">
        <v>6568156.375</v>
      </c>
      <c r="AL166">
        <v>6651444.4129999997</v>
      </c>
      <c r="AM166">
        <v>6742447.875</v>
      </c>
      <c r="AN166">
        <v>6809041.4079999998</v>
      </c>
      <c r="AO166">
        <v>6872067.5099999998</v>
      </c>
      <c r="AP166">
        <v>6927435.1840000004</v>
      </c>
      <c r="AQ166">
        <v>6985238.1880000001</v>
      </c>
      <c r="AR166">
        <v>7038571.0489999996</v>
      </c>
      <c r="AS166">
        <v>7101164.182</v>
      </c>
      <c r="AT166">
        <v>7169049.7570000002</v>
      </c>
      <c r="AU166">
        <v>7233477.4239999996</v>
      </c>
      <c r="AV166">
        <v>7298063.1040000003</v>
      </c>
      <c r="AW166">
        <v>7358250.0719999997</v>
      </c>
    </row>
    <row r="167" spans="2:49" x14ac:dyDescent="0.25">
      <c r="B167" t="s">
        <v>238</v>
      </c>
      <c r="C167">
        <v>2009388.6600685499</v>
      </c>
      <c r="D167">
        <v>2041650.04496113</v>
      </c>
      <c r="E167">
        <v>2074429.3970000001</v>
      </c>
      <c r="F167">
        <v>2143545.6230000001</v>
      </c>
      <c r="G167">
        <v>1717262.0490000001</v>
      </c>
      <c r="H167">
        <v>1629655.845</v>
      </c>
      <c r="I167">
        <v>1639711.983</v>
      </c>
      <c r="J167">
        <v>1516296.517</v>
      </c>
      <c r="K167">
        <v>1556172.2069999999</v>
      </c>
      <c r="L167">
        <v>1786995.33</v>
      </c>
      <c r="M167">
        <v>1862560.5290000001</v>
      </c>
      <c r="N167">
        <v>1872562.45</v>
      </c>
      <c r="O167">
        <v>1181724.676</v>
      </c>
      <c r="P167">
        <v>812136.98759999999</v>
      </c>
      <c r="Q167">
        <v>653079.73349999997</v>
      </c>
      <c r="R167">
        <v>587128.90780000004</v>
      </c>
      <c r="S167">
        <v>512787.12780000002</v>
      </c>
      <c r="T167">
        <v>505974.53080000001</v>
      </c>
      <c r="U167">
        <v>509602.04100000003</v>
      </c>
      <c r="V167">
        <v>517556.59340000001</v>
      </c>
      <c r="W167">
        <v>529857.15960000001</v>
      </c>
      <c r="X167">
        <v>515275.43979999999</v>
      </c>
      <c r="Y167">
        <v>492222.53039999999</v>
      </c>
      <c r="Z167">
        <v>469050.41460000002</v>
      </c>
      <c r="AA167">
        <v>446472.16310000001</v>
      </c>
      <c r="AB167">
        <v>422556.82909999997</v>
      </c>
      <c r="AC167">
        <v>401418.82449999999</v>
      </c>
      <c r="AD167">
        <v>402287.72249999997</v>
      </c>
      <c r="AE167">
        <v>408341.2022</v>
      </c>
      <c r="AF167">
        <v>415523.19919999997</v>
      </c>
      <c r="AG167">
        <v>423514.3051</v>
      </c>
      <c r="AH167">
        <v>432193.98050000001</v>
      </c>
      <c r="AI167">
        <v>441059.71970000002</v>
      </c>
      <c r="AJ167">
        <v>450558.62339999998</v>
      </c>
      <c r="AK167">
        <v>460452.24290000001</v>
      </c>
      <c r="AL167">
        <v>470389.815</v>
      </c>
      <c r="AM167">
        <v>481292.75199999998</v>
      </c>
      <c r="AN167">
        <v>492225.87</v>
      </c>
      <c r="AO167">
        <v>503448.0992</v>
      </c>
      <c r="AP167">
        <v>514464.83590000001</v>
      </c>
      <c r="AQ167">
        <v>525950.1581</v>
      </c>
      <c r="AR167">
        <v>537756.71649999998</v>
      </c>
      <c r="AS167">
        <v>549267.24699999997</v>
      </c>
      <c r="AT167">
        <v>561587.24620000005</v>
      </c>
      <c r="AU167">
        <v>573990.61419999995</v>
      </c>
      <c r="AV167">
        <v>586938.24190000002</v>
      </c>
      <c r="AW167">
        <v>599774.53980000003</v>
      </c>
    </row>
    <row r="168" spans="2:49" x14ac:dyDescent="0.25">
      <c r="B168" t="s">
        <v>239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</row>
    <row r="169" spans="2:49" x14ac:dyDescent="0.25">
      <c r="B169" t="s">
        <v>240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</row>
    <row r="170" spans="2:49" x14ac:dyDescent="0.25">
      <c r="B170" t="s">
        <v>241</v>
      </c>
      <c r="C170">
        <v>20174774.421468802</v>
      </c>
      <c r="D170">
        <v>20498686.950521201</v>
      </c>
      <c r="E170">
        <v>20827800</v>
      </c>
      <c r="F170">
        <v>19649332.57</v>
      </c>
      <c r="G170">
        <v>18366504.59</v>
      </c>
      <c r="H170">
        <v>16067283.85</v>
      </c>
      <c r="I170">
        <v>14951983.58</v>
      </c>
      <c r="J170">
        <v>14065228.949999999</v>
      </c>
      <c r="K170">
        <v>13083946.130000001</v>
      </c>
      <c r="L170">
        <v>11969460.84</v>
      </c>
      <c r="M170">
        <v>10905779.939999999</v>
      </c>
      <c r="N170">
        <v>9806179.1789999995</v>
      </c>
      <c r="O170">
        <v>8306671.6629999997</v>
      </c>
      <c r="P170">
        <v>7021049.3710000003</v>
      </c>
      <c r="Q170">
        <v>5801289.9210000001</v>
      </c>
      <c r="R170">
        <v>4399623.6430000002</v>
      </c>
      <c r="S170">
        <v>2947490.28</v>
      </c>
      <c r="T170">
        <v>2694711.375</v>
      </c>
      <c r="U170">
        <v>2547015.1260000002</v>
      </c>
      <c r="V170">
        <v>2407667.0329999998</v>
      </c>
      <c r="W170">
        <v>1666952.4620000001</v>
      </c>
      <c r="X170">
        <v>815871.80940000003</v>
      </c>
      <c r="Y170">
        <v>591649.65449999995</v>
      </c>
      <c r="Z170">
        <v>413391.41560000001</v>
      </c>
      <c r="AA170">
        <v>245699.79980000001</v>
      </c>
      <c r="AB170">
        <v>227392.14199999999</v>
      </c>
      <c r="AC170">
        <v>220559.26490000001</v>
      </c>
      <c r="AD170">
        <v>189161.61139999999</v>
      </c>
      <c r="AE170">
        <v>154415.9295</v>
      </c>
      <c r="AF170">
        <v>118212.83070000001</v>
      </c>
      <c r="AG170">
        <v>110380.9099</v>
      </c>
      <c r="AH170">
        <v>105034.63069999999</v>
      </c>
      <c r="AI170">
        <v>104373.92750000001</v>
      </c>
      <c r="AJ170">
        <v>104216.1934</v>
      </c>
      <c r="AK170">
        <v>104068.3009</v>
      </c>
      <c r="AL170">
        <v>104202.99490000001</v>
      </c>
      <c r="AM170">
        <v>104288.82120000001</v>
      </c>
      <c r="AN170">
        <v>104567.8336</v>
      </c>
      <c r="AO170">
        <v>104867.3882</v>
      </c>
      <c r="AP170">
        <v>105101.8835</v>
      </c>
      <c r="AQ170">
        <v>105298.9425</v>
      </c>
      <c r="AR170">
        <v>105462.1991</v>
      </c>
      <c r="AS170">
        <v>105754.85950000001</v>
      </c>
      <c r="AT170">
        <v>106082.75659999999</v>
      </c>
      <c r="AU170">
        <v>106346.3792</v>
      </c>
      <c r="AV170">
        <v>106602.9216</v>
      </c>
      <c r="AW170">
        <v>106770.2218</v>
      </c>
    </row>
    <row r="171" spans="2:49" x14ac:dyDescent="0.25">
      <c r="B171" t="s">
        <v>242</v>
      </c>
      <c r="C171">
        <v>16278956.881142</v>
      </c>
      <c r="D171">
        <v>16540320.799446501</v>
      </c>
      <c r="E171">
        <v>16805881</v>
      </c>
      <c r="F171">
        <v>16797516.379999999</v>
      </c>
      <c r="G171">
        <v>15827068.92</v>
      </c>
      <c r="H171">
        <v>15143186.859999999</v>
      </c>
      <c r="I171">
        <v>14645653.67</v>
      </c>
      <c r="J171">
        <v>12795086.82</v>
      </c>
      <c r="K171">
        <v>11138037.23</v>
      </c>
      <c r="L171">
        <v>9769034.7770000007</v>
      </c>
      <c r="M171">
        <v>8733342.2100000009</v>
      </c>
      <c r="N171">
        <v>7874359.983</v>
      </c>
      <c r="O171">
        <v>7144409.3250000002</v>
      </c>
      <c r="P171">
        <v>6400810.9929999998</v>
      </c>
      <c r="Q171">
        <v>5628969.7910000002</v>
      </c>
      <c r="R171">
        <v>4973958.2050000001</v>
      </c>
      <c r="S171">
        <v>4368809.1090000002</v>
      </c>
      <c r="T171">
        <v>5142656.0029999996</v>
      </c>
      <c r="U171">
        <v>5906013.193</v>
      </c>
      <c r="V171">
        <v>6624178.5269999998</v>
      </c>
      <c r="W171">
        <v>7416279.3810000001</v>
      </c>
      <c r="X171">
        <v>8101984.9720000001</v>
      </c>
      <c r="Y171">
        <v>7896829.7970000003</v>
      </c>
      <c r="Z171">
        <v>7678955.5609999998</v>
      </c>
      <c r="AA171">
        <v>7454060.9879999999</v>
      </c>
      <c r="AB171">
        <v>7201650.2769999998</v>
      </c>
      <c r="AC171">
        <v>6938887.3470000001</v>
      </c>
      <c r="AD171">
        <v>6726677.5959999999</v>
      </c>
      <c r="AE171">
        <v>6505202.2599999998</v>
      </c>
      <c r="AF171">
        <v>6271771.9680000003</v>
      </c>
      <c r="AG171">
        <v>6066751.6349999998</v>
      </c>
      <c r="AH171">
        <v>5849003.165</v>
      </c>
      <c r="AI171">
        <v>5641126.8959999997</v>
      </c>
      <c r="AJ171">
        <v>5426619.6529999999</v>
      </c>
      <c r="AK171">
        <v>5199457.3219999997</v>
      </c>
      <c r="AL171">
        <v>5032535.3959999997</v>
      </c>
      <c r="AM171">
        <v>4846031.1150000002</v>
      </c>
      <c r="AN171">
        <v>4610586.0149999997</v>
      </c>
      <c r="AO171">
        <v>4370324.7989999996</v>
      </c>
      <c r="AP171">
        <v>4118718.42</v>
      </c>
      <c r="AQ171">
        <v>3865937.9240000001</v>
      </c>
      <c r="AR171">
        <v>3594879.196</v>
      </c>
      <c r="AS171">
        <v>3136464.557</v>
      </c>
      <c r="AT171">
        <v>2715063.7960000001</v>
      </c>
      <c r="AU171">
        <v>2323043.4380000001</v>
      </c>
      <c r="AV171">
        <v>1963623.523</v>
      </c>
      <c r="AW171">
        <v>1631187.5630000001</v>
      </c>
    </row>
    <row r="172" spans="2:49" x14ac:dyDescent="0.25">
      <c r="B172" t="s">
        <v>243</v>
      </c>
      <c r="C172">
        <v>6501803.9853722304</v>
      </c>
      <c r="D172">
        <v>6606192.55142547</v>
      </c>
      <c r="E172">
        <v>6714977.4309999999</v>
      </c>
      <c r="F172">
        <v>6899743.5959999999</v>
      </c>
      <c r="G172">
        <v>6565224.3269999996</v>
      </c>
      <c r="H172">
        <v>6907355.0599999996</v>
      </c>
      <c r="I172">
        <v>7077266.4919999996</v>
      </c>
      <c r="J172">
        <v>6661970.523</v>
      </c>
      <c r="K172">
        <v>6381865.9730000002</v>
      </c>
      <c r="L172">
        <v>6187448.7000000002</v>
      </c>
      <c r="M172">
        <v>6595464.6909999996</v>
      </c>
      <c r="N172">
        <v>7016851.3720000004</v>
      </c>
      <c r="O172">
        <v>7254910.7560000001</v>
      </c>
      <c r="P172">
        <v>7276651.8059999999</v>
      </c>
      <c r="Q172">
        <v>6760956.0290000001</v>
      </c>
      <c r="R172">
        <v>6718891.2659999998</v>
      </c>
      <c r="S172">
        <v>6817114.7989999996</v>
      </c>
      <c r="T172">
        <v>6956670.0599999996</v>
      </c>
      <c r="U172">
        <v>7110798.5279999999</v>
      </c>
      <c r="V172">
        <v>7261372.5269999998</v>
      </c>
      <c r="W172">
        <v>7380829.2479999997</v>
      </c>
      <c r="X172">
        <v>7454101.4100000001</v>
      </c>
      <c r="Y172">
        <v>7486678.7000000002</v>
      </c>
      <c r="Z172">
        <v>7475255.8200000003</v>
      </c>
      <c r="AA172">
        <v>7454566.2769999998</v>
      </c>
      <c r="AB172">
        <v>7395806.1009999998</v>
      </c>
      <c r="AC172">
        <v>7309694.165</v>
      </c>
      <c r="AD172">
        <v>7195346.9170000004</v>
      </c>
      <c r="AE172">
        <v>7075234.0700000003</v>
      </c>
      <c r="AF172">
        <v>6945832.2079999996</v>
      </c>
      <c r="AG172">
        <v>6806840.5609999998</v>
      </c>
      <c r="AH172">
        <v>6651922.0549999997</v>
      </c>
      <c r="AI172">
        <v>6530328.1600000001</v>
      </c>
      <c r="AJ172">
        <v>6402122.8289999999</v>
      </c>
      <c r="AK172">
        <v>6256496.4359999998</v>
      </c>
      <c r="AL172">
        <v>6091522.9500000002</v>
      </c>
      <c r="AM172">
        <v>5908644.6380000003</v>
      </c>
      <c r="AN172">
        <v>5758863.9129999997</v>
      </c>
      <c r="AO172">
        <v>5596592.2230000002</v>
      </c>
      <c r="AP172">
        <v>5407758.1320000002</v>
      </c>
      <c r="AQ172">
        <v>5202609.6890000002</v>
      </c>
      <c r="AR172">
        <v>4962598.3310000002</v>
      </c>
      <c r="AS172">
        <v>4853705.9060000004</v>
      </c>
      <c r="AT172">
        <v>4742855.0429999996</v>
      </c>
      <c r="AU172">
        <v>4622544.2259999998</v>
      </c>
      <c r="AV172">
        <v>4502776.8990000002</v>
      </c>
      <c r="AW172">
        <v>4372090.068</v>
      </c>
    </row>
    <row r="173" spans="2:49" x14ac:dyDescent="0.25">
      <c r="B173" t="s">
        <v>244</v>
      </c>
      <c r="C173">
        <v>6377150.6112568304</v>
      </c>
      <c r="D173">
        <v>6479537.8270683698</v>
      </c>
      <c r="E173">
        <v>6586237.0690000001</v>
      </c>
      <c r="F173">
        <v>6719699.9280000003</v>
      </c>
      <c r="G173">
        <v>6331752.7470000004</v>
      </c>
      <c r="H173">
        <v>6599523.7309999997</v>
      </c>
      <c r="I173">
        <v>6478623.5839999998</v>
      </c>
      <c r="J173">
        <v>6229439.1490000002</v>
      </c>
      <c r="K173">
        <v>5832305.2889999999</v>
      </c>
      <c r="L173">
        <v>5733919.8219999997</v>
      </c>
      <c r="M173">
        <v>5834427.0800000001</v>
      </c>
      <c r="N173">
        <v>6022660.8370000003</v>
      </c>
      <c r="O173">
        <v>5323448.7419999996</v>
      </c>
      <c r="P173">
        <v>4583235.2120000003</v>
      </c>
      <c r="Q173">
        <v>3895065.39</v>
      </c>
      <c r="R173">
        <v>3480885.3679999998</v>
      </c>
      <c r="S173">
        <v>3215816.8309999998</v>
      </c>
      <c r="T173">
        <v>3201834.9890000001</v>
      </c>
      <c r="U173">
        <v>3258351.8530000001</v>
      </c>
      <c r="V173">
        <v>3301872.0240000002</v>
      </c>
      <c r="W173">
        <v>3155912.477</v>
      </c>
      <c r="X173">
        <v>2871868.7910000002</v>
      </c>
      <c r="Y173">
        <v>2605015.5299999998</v>
      </c>
      <c r="Z173">
        <v>2339875.13</v>
      </c>
      <c r="AA173">
        <v>2106534.79</v>
      </c>
      <c r="AB173">
        <v>1898392.736</v>
      </c>
      <c r="AC173">
        <v>1713624.6810000001</v>
      </c>
      <c r="AD173">
        <v>1664425.25</v>
      </c>
      <c r="AE173">
        <v>1640842.591</v>
      </c>
      <c r="AF173">
        <v>1619443.213</v>
      </c>
      <c r="AG173">
        <v>1598289.1440000001</v>
      </c>
      <c r="AH173">
        <v>1572238.946</v>
      </c>
      <c r="AI173">
        <v>1550519.683</v>
      </c>
      <c r="AJ173">
        <v>1528892.3389999999</v>
      </c>
      <c r="AK173">
        <v>1502243.638</v>
      </c>
      <c r="AL173">
        <v>1470536.47</v>
      </c>
      <c r="AM173">
        <v>1434386.9</v>
      </c>
      <c r="AN173">
        <v>1405016.2879999999</v>
      </c>
      <c r="AO173">
        <v>1371629.1869999999</v>
      </c>
      <c r="AP173">
        <v>1331236.3019999999</v>
      </c>
      <c r="AQ173">
        <v>1286894.754</v>
      </c>
      <c r="AR173">
        <v>1232950.3540000001</v>
      </c>
      <c r="AS173">
        <v>1211888.091</v>
      </c>
      <c r="AT173">
        <v>1189975.2679999999</v>
      </c>
      <c r="AU173">
        <v>1165499.395</v>
      </c>
      <c r="AV173">
        <v>1140620.054</v>
      </c>
      <c r="AW173">
        <v>1112887.459</v>
      </c>
    </row>
    <row r="174" spans="2:49" x14ac:dyDescent="0.25">
      <c r="B174" t="s">
        <v>245</v>
      </c>
      <c r="C174">
        <v>415184.68418409303</v>
      </c>
      <c r="D174">
        <v>421850.60858395998</v>
      </c>
      <c r="E174">
        <v>428797.26770000003</v>
      </c>
      <c r="F174">
        <v>460224.57459999999</v>
      </c>
      <c r="G174">
        <v>431600.7242</v>
      </c>
      <c r="H174">
        <v>392080.3259</v>
      </c>
      <c r="I174">
        <v>420510.16139999998</v>
      </c>
      <c r="J174">
        <v>403791.38410000002</v>
      </c>
      <c r="K174">
        <v>383081.23570000002</v>
      </c>
      <c r="L174">
        <v>383272.97769999999</v>
      </c>
      <c r="M174">
        <v>405915.34909999999</v>
      </c>
      <c r="N174">
        <v>459858.9436</v>
      </c>
      <c r="O174">
        <v>412996.73749999999</v>
      </c>
      <c r="P174">
        <v>355125.52710000001</v>
      </c>
      <c r="Q174">
        <v>294291.91110000003</v>
      </c>
      <c r="R174">
        <v>258210.2009</v>
      </c>
      <c r="S174">
        <v>217948.73730000001</v>
      </c>
      <c r="T174">
        <v>203426.62789999999</v>
      </c>
      <c r="U174">
        <v>208789.6208</v>
      </c>
      <c r="V174">
        <v>216666.3676</v>
      </c>
      <c r="W174">
        <v>192116.05</v>
      </c>
      <c r="X174">
        <v>163381.84270000001</v>
      </c>
      <c r="Y174">
        <v>139525.4374</v>
      </c>
      <c r="Z174">
        <v>118887.15300000001</v>
      </c>
      <c r="AA174">
        <v>101802.9106</v>
      </c>
      <c r="AB174">
        <v>87147.933099999995</v>
      </c>
      <c r="AC174">
        <v>75130.06121</v>
      </c>
      <c r="AD174">
        <v>71979.235610000003</v>
      </c>
      <c r="AE174">
        <v>70398.822</v>
      </c>
      <c r="AF174">
        <v>69199.616810000007</v>
      </c>
      <c r="AG174">
        <v>68178.679900000003</v>
      </c>
      <c r="AH174">
        <v>67160.295880000005</v>
      </c>
      <c r="AI174">
        <v>66639.469889999906</v>
      </c>
      <c r="AJ174">
        <v>65936.774619999997</v>
      </c>
      <c r="AK174">
        <v>64879.688929999997</v>
      </c>
      <c r="AL174">
        <v>63554.94915</v>
      </c>
      <c r="AM174">
        <v>62018.862939999999</v>
      </c>
      <c r="AN174">
        <v>60709.42856</v>
      </c>
      <c r="AO174">
        <v>59277.873440000003</v>
      </c>
      <c r="AP174">
        <v>57519.703739999997</v>
      </c>
      <c r="AQ174">
        <v>55631.70925</v>
      </c>
      <c r="AR174">
        <v>53607.837820000001</v>
      </c>
      <c r="AS174">
        <v>52626.542630000004</v>
      </c>
      <c r="AT174">
        <v>51714.458659999997</v>
      </c>
      <c r="AU174">
        <v>50634.249389999997</v>
      </c>
      <c r="AV174">
        <v>49562.266430000003</v>
      </c>
      <c r="AW174">
        <v>48160.303099999997</v>
      </c>
    </row>
    <row r="175" spans="2:49" x14ac:dyDescent="0.25">
      <c r="B175" t="s">
        <v>246</v>
      </c>
      <c r="C175">
        <v>4757556.1935294</v>
      </c>
      <c r="D175">
        <v>4833940.2970916703</v>
      </c>
      <c r="E175">
        <v>4913541.3090000004</v>
      </c>
      <c r="F175">
        <v>4947835.7910000002</v>
      </c>
      <c r="G175">
        <v>4475392.3140000002</v>
      </c>
      <c r="H175">
        <v>4057256.9920000001</v>
      </c>
      <c r="I175">
        <v>3406779.4</v>
      </c>
      <c r="J175">
        <v>3540564.3050000002</v>
      </c>
      <c r="K175">
        <v>3168606.406</v>
      </c>
      <c r="L175">
        <v>3036358.2609999999</v>
      </c>
      <c r="M175">
        <v>3100008.8420000002</v>
      </c>
      <c r="N175">
        <v>3168903.9470000002</v>
      </c>
      <c r="O175">
        <v>2903025.1120000002</v>
      </c>
      <c r="P175">
        <v>2563705.7089999998</v>
      </c>
      <c r="Q175">
        <v>2222007.8829999999</v>
      </c>
      <c r="R175">
        <v>1962711.673</v>
      </c>
      <c r="S175">
        <v>1743363.6410000001</v>
      </c>
      <c r="T175">
        <v>1629462.868</v>
      </c>
      <c r="U175">
        <v>1538493.5109999999</v>
      </c>
      <c r="V175">
        <v>1433678.8740000001</v>
      </c>
      <c r="W175">
        <v>1242795.7579999999</v>
      </c>
      <c r="X175">
        <v>1020500.982</v>
      </c>
      <c r="Y175">
        <v>931751.06039999996</v>
      </c>
      <c r="Z175">
        <v>876684.15229999996</v>
      </c>
      <c r="AA175">
        <v>842805.34889999998</v>
      </c>
      <c r="AB175">
        <v>824238.02610000002</v>
      </c>
      <c r="AC175">
        <v>820878.29390000005</v>
      </c>
      <c r="AD175">
        <v>802938.96889999998</v>
      </c>
      <c r="AE175">
        <v>795207.50870000001</v>
      </c>
      <c r="AF175">
        <v>788013.13659999997</v>
      </c>
      <c r="AG175">
        <v>780229.86419999995</v>
      </c>
      <c r="AH175">
        <v>770012.73210000002</v>
      </c>
      <c r="AI175">
        <v>760921.0821</v>
      </c>
      <c r="AJ175">
        <v>751945.42879999999</v>
      </c>
      <c r="AK175">
        <v>740846.15419999999</v>
      </c>
      <c r="AL175">
        <v>727737.59129999997</v>
      </c>
      <c r="AM175">
        <v>713182.30519999994</v>
      </c>
      <c r="AN175">
        <v>695575.57990000001</v>
      </c>
      <c r="AO175">
        <v>675098.67539999995</v>
      </c>
      <c r="AP175">
        <v>651487.67570000002</v>
      </c>
      <c r="AQ175">
        <v>626736.19909999997</v>
      </c>
      <c r="AR175">
        <v>598512.09600000002</v>
      </c>
      <c r="AS175">
        <v>587609.00809999998</v>
      </c>
      <c r="AT175">
        <v>576745.14850000001</v>
      </c>
      <c r="AU175">
        <v>564748.49910000002</v>
      </c>
      <c r="AV175">
        <v>552500.33810000005</v>
      </c>
      <c r="AW175">
        <v>538932.62479999999</v>
      </c>
    </row>
    <row r="176" spans="2:49" x14ac:dyDescent="0.25">
      <c r="B176" t="s">
        <v>247</v>
      </c>
      <c r="C176">
        <v>16503281.675133999</v>
      </c>
      <c r="D176">
        <v>16768247.200565999</v>
      </c>
      <c r="E176">
        <v>17044371.719999999</v>
      </c>
      <c r="F176">
        <v>17192091.699999999</v>
      </c>
      <c r="G176">
        <v>15678531.619999999</v>
      </c>
      <c r="H176">
        <v>14034281.890000001</v>
      </c>
      <c r="I176">
        <v>12903728.82</v>
      </c>
      <c r="J176">
        <v>13757830.5</v>
      </c>
      <c r="K176">
        <v>12314690.99</v>
      </c>
      <c r="L176">
        <v>11790551.380000001</v>
      </c>
      <c r="M176">
        <v>12041928.26</v>
      </c>
      <c r="N176">
        <v>12264451.82</v>
      </c>
      <c r="O176">
        <v>11588166.35</v>
      </c>
      <c r="P176">
        <v>10579690.23</v>
      </c>
      <c r="Q176">
        <v>9400440.2770000007</v>
      </c>
      <c r="R176">
        <v>8532397.0470000003</v>
      </c>
      <c r="S176">
        <v>7830968.7709999997</v>
      </c>
      <c r="T176">
        <v>7609782.3770000003</v>
      </c>
      <c r="U176">
        <v>7355706.6320000002</v>
      </c>
      <c r="V176">
        <v>7089865.642</v>
      </c>
      <c r="W176">
        <v>6196083.8159999996</v>
      </c>
      <c r="X176">
        <v>5108779.0039999997</v>
      </c>
      <c r="Y176">
        <v>4545734.727</v>
      </c>
      <c r="Z176">
        <v>4091162.8020000001</v>
      </c>
      <c r="AA176">
        <v>3700280.838</v>
      </c>
      <c r="AB176">
        <v>3354566.7379999999</v>
      </c>
      <c r="AC176">
        <v>3069630.8259999999</v>
      </c>
      <c r="AD176">
        <v>3002283.5830000001</v>
      </c>
      <c r="AE176">
        <v>2964645.875</v>
      </c>
      <c r="AF176">
        <v>2928118.7110000001</v>
      </c>
      <c r="AG176">
        <v>2889232.8059999999</v>
      </c>
      <c r="AH176">
        <v>2851159.8859999999</v>
      </c>
      <c r="AI176">
        <v>2810480.9950000001</v>
      </c>
      <c r="AJ176">
        <v>2768617.2110000001</v>
      </c>
      <c r="AK176">
        <v>2724788.94</v>
      </c>
      <c r="AL176">
        <v>2672222.0150000001</v>
      </c>
      <c r="AM176">
        <v>2622543.969</v>
      </c>
      <c r="AN176">
        <v>2565153.63</v>
      </c>
      <c r="AO176">
        <v>2493562.4950000001</v>
      </c>
      <c r="AP176">
        <v>2409818.5580000002</v>
      </c>
      <c r="AQ176">
        <v>2327155.7220000001</v>
      </c>
      <c r="AR176">
        <v>2229040.3670000001</v>
      </c>
      <c r="AS176">
        <v>2192348.3390000002</v>
      </c>
      <c r="AT176">
        <v>2159016.2949999999</v>
      </c>
      <c r="AU176">
        <v>2120213.3250000002</v>
      </c>
      <c r="AV176">
        <v>2079530.8540000001</v>
      </c>
      <c r="AW176">
        <v>2036897.9380000001</v>
      </c>
    </row>
    <row r="177" spans="2:49" x14ac:dyDescent="0.25">
      <c r="B177" t="s">
        <v>248</v>
      </c>
      <c r="C177">
        <v>11632594.838881901</v>
      </c>
      <c r="D177">
        <v>11819359.911689499</v>
      </c>
      <c r="E177">
        <v>12013990.58</v>
      </c>
      <c r="F177">
        <v>12004280.65</v>
      </c>
      <c r="G177">
        <v>11090248.359999999</v>
      </c>
      <c r="H177">
        <v>10428358.439999999</v>
      </c>
      <c r="I177">
        <v>8779460.5270000007</v>
      </c>
      <c r="J177">
        <v>7850330.2479999997</v>
      </c>
      <c r="K177">
        <v>7136177.898</v>
      </c>
      <c r="L177">
        <v>7043626.3250000002</v>
      </c>
      <c r="M177">
        <v>6991021.0470000003</v>
      </c>
      <c r="N177">
        <v>7255958.9879999999</v>
      </c>
      <c r="O177">
        <v>6517982.1129999999</v>
      </c>
      <c r="P177">
        <v>5647784.1770000001</v>
      </c>
      <c r="Q177">
        <v>4913776.7690000003</v>
      </c>
      <c r="R177">
        <v>4300380.0520000001</v>
      </c>
      <c r="S177">
        <v>3870900.4939999999</v>
      </c>
      <c r="T177">
        <v>3617762.9870000002</v>
      </c>
      <c r="U177">
        <v>3382714.7930000001</v>
      </c>
      <c r="V177">
        <v>3116143.577</v>
      </c>
      <c r="W177">
        <v>2556333.1349999998</v>
      </c>
      <c r="X177">
        <v>1977602.5589999999</v>
      </c>
      <c r="Y177">
        <v>1706458.5630000001</v>
      </c>
      <c r="Z177">
        <v>1510748.909</v>
      </c>
      <c r="AA177">
        <v>1355499.12</v>
      </c>
      <c r="AB177">
        <v>1226519.0009999999</v>
      </c>
      <c r="AC177">
        <v>1119817.3759999999</v>
      </c>
      <c r="AD177">
        <v>1095893.0249999999</v>
      </c>
      <c r="AE177">
        <v>1087943.6610000001</v>
      </c>
      <c r="AF177">
        <v>1081564.6340000001</v>
      </c>
      <c r="AG177">
        <v>1075688.882</v>
      </c>
      <c r="AH177">
        <v>1066872.4350000001</v>
      </c>
      <c r="AI177">
        <v>1059277.007</v>
      </c>
      <c r="AJ177">
        <v>1052457.2919999999</v>
      </c>
      <c r="AK177">
        <v>1043052.498</v>
      </c>
      <c r="AL177">
        <v>1031017.607</v>
      </c>
      <c r="AM177">
        <v>1017027.422</v>
      </c>
      <c r="AN177">
        <v>997901.34829999995</v>
      </c>
      <c r="AO177">
        <v>974225.59340000001</v>
      </c>
      <c r="AP177">
        <v>945645.76210000005</v>
      </c>
      <c r="AQ177">
        <v>914813.86959999998</v>
      </c>
      <c r="AR177">
        <v>877841.19819999998</v>
      </c>
      <c r="AS177">
        <v>866953.49930000002</v>
      </c>
      <c r="AT177">
        <v>855618.86040000001</v>
      </c>
      <c r="AU177">
        <v>842530.37289999996</v>
      </c>
      <c r="AV177">
        <v>828666.3358</v>
      </c>
      <c r="AW177">
        <v>812958.0993</v>
      </c>
    </row>
    <row r="178" spans="2:49" x14ac:dyDescent="0.25">
      <c r="B178" t="s">
        <v>249</v>
      </c>
      <c r="C178">
        <v>3166830.51938263</v>
      </c>
      <c r="D178">
        <v>3217675.0077116699</v>
      </c>
      <c r="E178">
        <v>3270660.8059999999</v>
      </c>
      <c r="F178">
        <v>3286482.8289999999</v>
      </c>
      <c r="G178">
        <v>3223338.3289999999</v>
      </c>
      <c r="H178">
        <v>3122500.3369999998</v>
      </c>
      <c r="I178">
        <v>3026708.977</v>
      </c>
      <c r="J178">
        <v>2941221.7280000001</v>
      </c>
      <c r="K178">
        <v>2799529.0920000002</v>
      </c>
      <c r="L178">
        <v>2795248.6329999999</v>
      </c>
      <c r="M178">
        <v>2826091.3369999998</v>
      </c>
      <c r="N178">
        <v>3008428.7850000001</v>
      </c>
      <c r="O178">
        <v>2934544.719</v>
      </c>
      <c r="P178">
        <v>2758748.048</v>
      </c>
      <c r="Q178">
        <v>2551412.736</v>
      </c>
      <c r="R178">
        <v>2454139.1039999998</v>
      </c>
      <c r="S178">
        <v>2335076.6230000001</v>
      </c>
      <c r="T178">
        <v>2294463.4589999998</v>
      </c>
      <c r="U178">
        <v>2274416.7969999998</v>
      </c>
      <c r="V178">
        <v>2243563.1009999998</v>
      </c>
      <c r="W178">
        <v>1973920.027</v>
      </c>
      <c r="X178">
        <v>1663956.199</v>
      </c>
      <c r="Y178">
        <v>1458315.2150000001</v>
      </c>
      <c r="Z178">
        <v>1296484.382</v>
      </c>
      <c r="AA178">
        <v>1160053.737</v>
      </c>
      <c r="AB178">
        <v>1042993.19</v>
      </c>
      <c r="AC178">
        <v>943096.47880000004</v>
      </c>
      <c r="AD178">
        <v>920801.46770000004</v>
      </c>
      <c r="AE178">
        <v>909628.82880000002</v>
      </c>
      <c r="AF178">
        <v>900360.16200000001</v>
      </c>
      <c r="AG178">
        <v>890242.84109999996</v>
      </c>
      <c r="AH178">
        <v>877895.37289999996</v>
      </c>
      <c r="AI178">
        <v>867484.47160000005</v>
      </c>
      <c r="AJ178">
        <v>857136.79740000004</v>
      </c>
      <c r="AK178">
        <v>844752.94469999999</v>
      </c>
      <c r="AL178">
        <v>829626.68079999997</v>
      </c>
      <c r="AM178">
        <v>812382.79240000003</v>
      </c>
      <c r="AN178">
        <v>795370.30550000002</v>
      </c>
      <c r="AO178">
        <v>775818.24930000002</v>
      </c>
      <c r="AP178">
        <v>752587.07109999994</v>
      </c>
      <c r="AQ178">
        <v>727898.66709999996</v>
      </c>
      <c r="AR178">
        <v>698501.79520000005</v>
      </c>
      <c r="AS178">
        <v>688076.39950000006</v>
      </c>
      <c r="AT178">
        <v>677256.82449999999</v>
      </c>
      <c r="AU178">
        <v>664856.55689999997</v>
      </c>
      <c r="AV178">
        <v>652029.95640000002</v>
      </c>
      <c r="AW178">
        <v>637479.26199999999</v>
      </c>
    </row>
    <row r="179" spans="2:49" x14ac:dyDescent="0.25">
      <c r="B179" t="s">
        <v>250</v>
      </c>
      <c r="C179">
        <v>6723975.7599636996</v>
      </c>
      <c r="D179">
        <v>6831931.3657214995</v>
      </c>
      <c r="E179">
        <v>6945604.1140000001</v>
      </c>
      <c r="F179">
        <v>7002066.7879999997</v>
      </c>
      <c r="G179">
        <v>7028431.0149999997</v>
      </c>
      <c r="H179">
        <v>6608006.5829999996</v>
      </c>
      <c r="I179">
        <v>6868285.8760000002</v>
      </c>
      <c r="J179">
        <v>6944066.4819999998</v>
      </c>
      <c r="K179">
        <v>6825060.7240000004</v>
      </c>
      <c r="L179">
        <v>6841342.5990000004</v>
      </c>
      <c r="M179">
        <v>6901947.3650000002</v>
      </c>
      <c r="N179">
        <v>7194635.8470000001</v>
      </c>
      <c r="O179">
        <v>7197959.2410000004</v>
      </c>
      <c r="P179">
        <v>7198576.8940000003</v>
      </c>
      <c r="Q179">
        <v>7077765.9960000003</v>
      </c>
      <c r="R179">
        <v>7134005.1919999998</v>
      </c>
      <c r="S179">
        <v>7069228.2230000002</v>
      </c>
      <c r="T179">
        <v>7081079.1119999997</v>
      </c>
      <c r="U179">
        <v>7182030.3219999997</v>
      </c>
      <c r="V179">
        <v>7265547.2400000002</v>
      </c>
      <c r="W179">
        <v>7251977.8600000003</v>
      </c>
      <c r="X179">
        <v>7191503.1900000004</v>
      </c>
      <c r="Y179">
        <v>7100681.4119999995</v>
      </c>
      <c r="Z179">
        <v>7008764.9280000003</v>
      </c>
      <c r="AA179">
        <v>6903852.5060000001</v>
      </c>
      <c r="AB179">
        <v>6791488.2879999997</v>
      </c>
      <c r="AC179">
        <v>6669176.2369999997</v>
      </c>
      <c r="AD179">
        <v>6574252.227</v>
      </c>
      <c r="AE179">
        <v>6482434.3710000003</v>
      </c>
      <c r="AF179">
        <v>6388568.0159999998</v>
      </c>
      <c r="AG179">
        <v>6279455.7319999998</v>
      </c>
      <c r="AH179">
        <v>6157754.2630000003</v>
      </c>
      <c r="AI179">
        <v>6055345.1600000001</v>
      </c>
      <c r="AJ179">
        <v>5944290.4730000002</v>
      </c>
      <c r="AK179">
        <v>5818172.2369999997</v>
      </c>
      <c r="AL179">
        <v>5678789.1880000001</v>
      </c>
      <c r="AM179">
        <v>5519604.6370000001</v>
      </c>
      <c r="AN179">
        <v>5391089.5480000004</v>
      </c>
      <c r="AO179">
        <v>5247463.1500000004</v>
      </c>
      <c r="AP179">
        <v>5080886.568</v>
      </c>
      <c r="AQ179">
        <v>4894142.7649999997</v>
      </c>
      <c r="AR179">
        <v>4676314.0039999997</v>
      </c>
      <c r="AS179">
        <v>4585721.0089999996</v>
      </c>
      <c r="AT179">
        <v>4491124.5719999997</v>
      </c>
      <c r="AU179">
        <v>4388874.4400000004</v>
      </c>
      <c r="AV179">
        <v>4282856.5420000004</v>
      </c>
      <c r="AW179">
        <v>4167661.5079999999</v>
      </c>
    </row>
    <row r="180" spans="2:49" x14ac:dyDescent="0.25">
      <c r="B180" t="s">
        <v>251</v>
      </c>
      <c r="C180">
        <v>312332.22295347298</v>
      </c>
      <c r="D180">
        <v>317346.817819711</v>
      </c>
      <c r="E180">
        <v>322572.6018</v>
      </c>
      <c r="F180">
        <v>334092.08500000002</v>
      </c>
      <c r="G180">
        <v>321391.97690000001</v>
      </c>
      <c r="H180">
        <v>280158.93150000001</v>
      </c>
      <c r="I180">
        <v>292514.55450000003</v>
      </c>
      <c r="J180">
        <v>296266.21919999999</v>
      </c>
      <c r="K180">
        <v>276716.3518</v>
      </c>
      <c r="L180">
        <v>261455.27919999999</v>
      </c>
      <c r="M180">
        <v>257141.32620000001</v>
      </c>
      <c r="N180">
        <v>270760.53909999999</v>
      </c>
      <c r="O180">
        <v>249065.13089999999</v>
      </c>
      <c r="P180">
        <v>230663.85190000001</v>
      </c>
      <c r="Q180">
        <v>209924.17800000001</v>
      </c>
      <c r="R180">
        <v>190944.00899999999</v>
      </c>
      <c r="S180">
        <v>179387.39670000001</v>
      </c>
      <c r="T180">
        <v>178259.3524</v>
      </c>
      <c r="U180">
        <v>180873.5753</v>
      </c>
      <c r="V180">
        <v>184383.13800000001</v>
      </c>
      <c r="W180">
        <v>173160.54380000001</v>
      </c>
      <c r="X180">
        <v>160144.99960000001</v>
      </c>
      <c r="Y180">
        <v>149276.26149999999</v>
      </c>
      <c r="Z180">
        <v>140452.44070000001</v>
      </c>
      <c r="AA180">
        <v>133262.06849999999</v>
      </c>
      <c r="AB180">
        <v>126943.89200000001</v>
      </c>
      <c r="AC180">
        <v>121703.66409999999</v>
      </c>
      <c r="AD180">
        <v>118389.8352</v>
      </c>
      <c r="AE180">
        <v>115923.81969999999</v>
      </c>
      <c r="AF180">
        <v>113484.53969999999</v>
      </c>
      <c r="AG180">
        <v>110871.1707</v>
      </c>
      <c r="AH180">
        <v>108170.3909</v>
      </c>
      <c r="AI180">
        <v>105855.4455</v>
      </c>
      <c r="AJ180">
        <v>103274.2184</v>
      </c>
      <c r="AK180">
        <v>100359.6502</v>
      </c>
      <c r="AL180">
        <v>97168.694950000005</v>
      </c>
      <c r="AM180">
        <v>93718.698999999906</v>
      </c>
      <c r="AN180">
        <v>90823.626130000004</v>
      </c>
      <c r="AO180">
        <v>87744.553249999997</v>
      </c>
      <c r="AP180">
        <v>84303.461949999997</v>
      </c>
      <c r="AQ180">
        <v>80657.103040000002</v>
      </c>
      <c r="AR180">
        <v>76599.409360000005</v>
      </c>
      <c r="AS180">
        <v>74520.946679999906</v>
      </c>
      <c r="AT180">
        <v>72484.483489999999</v>
      </c>
      <c r="AU180">
        <v>70322.442009999999</v>
      </c>
      <c r="AV180">
        <v>68157.25159</v>
      </c>
      <c r="AW180">
        <v>65839.20912</v>
      </c>
    </row>
    <row r="181" spans="2:49" x14ac:dyDescent="0.25">
      <c r="B181" t="s">
        <v>252</v>
      </c>
      <c r="C181">
        <v>7845653.0561234802</v>
      </c>
      <c r="D181">
        <v>7971617.5536879301</v>
      </c>
      <c r="E181">
        <v>8102887.0319999997</v>
      </c>
      <c r="F181">
        <v>8275499.1969999997</v>
      </c>
      <c r="G181">
        <v>7913683.5180000002</v>
      </c>
      <c r="H181">
        <v>7518858.8909999998</v>
      </c>
      <c r="I181">
        <v>7533242.7819999997</v>
      </c>
      <c r="J181">
        <v>7299437.4689999996</v>
      </c>
      <c r="K181">
        <v>6851395.1289999997</v>
      </c>
      <c r="L181">
        <v>6672927.8339999998</v>
      </c>
      <c r="M181">
        <v>6804758.7810000004</v>
      </c>
      <c r="N181">
        <v>7242101.6639999999</v>
      </c>
      <c r="O181">
        <v>6899554.4649999999</v>
      </c>
      <c r="P181">
        <v>6275418.9440000001</v>
      </c>
      <c r="Q181">
        <v>5597389.1849999996</v>
      </c>
      <c r="R181">
        <v>5253805.2350000003</v>
      </c>
      <c r="S181">
        <v>4924719.7070000004</v>
      </c>
      <c r="T181">
        <v>4951452.97</v>
      </c>
      <c r="U181">
        <v>5035939.4469999997</v>
      </c>
      <c r="V181">
        <v>5122752.3109999998</v>
      </c>
      <c r="W181">
        <v>4735918.5259999996</v>
      </c>
      <c r="X181">
        <v>4230561.4960000003</v>
      </c>
      <c r="Y181">
        <v>3792353.0619999999</v>
      </c>
      <c r="Z181">
        <v>3399358.1749999998</v>
      </c>
      <c r="AA181">
        <v>3060253.9720000001</v>
      </c>
      <c r="AB181">
        <v>2761334.3330000001</v>
      </c>
      <c r="AC181">
        <v>2506471.3769999999</v>
      </c>
      <c r="AD181">
        <v>2445363.8429999999</v>
      </c>
      <c r="AE181">
        <v>2420448.7310000001</v>
      </c>
      <c r="AF181">
        <v>2398305.4709999999</v>
      </c>
      <c r="AG181">
        <v>2375542.71</v>
      </c>
      <c r="AH181">
        <v>2349285.1850000001</v>
      </c>
      <c r="AI181">
        <v>2327373.852</v>
      </c>
      <c r="AJ181">
        <v>2303981.3020000001</v>
      </c>
      <c r="AK181">
        <v>2273778.8709999998</v>
      </c>
      <c r="AL181">
        <v>2234939.085</v>
      </c>
      <c r="AM181">
        <v>2192192.4369999999</v>
      </c>
      <c r="AN181">
        <v>2157746.682</v>
      </c>
      <c r="AO181">
        <v>2116528.3119999999</v>
      </c>
      <c r="AP181">
        <v>2063883.4310000001</v>
      </c>
      <c r="AQ181">
        <v>2005005.953</v>
      </c>
      <c r="AR181">
        <v>1931573.85</v>
      </c>
      <c r="AS181">
        <v>1907517.0220000001</v>
      </c>
      <c r="AT181">
        <v>1882721.0330000001</v>
      </c>
      <c r="AU181">
        <v>1853311.733</v>
      </c>
      <c r="AV181">
        <v>1822008.2830000001</v>
      </c>
      <c r="AW181">
        <v>1785469.922</v>
      </c>
    </row>
    <row r="182" spans="2:49" x14ac:dyDescent="0.25">
      <c r="B182" t="s">
        <v>253</v>
      </c>
      <c r="C182">
        <v>3.3990718667427999</v>
      </c>
      <c r="D182">
        <v>3.4536450650243098</v>
      </c>
      <c r="E182">
        <v>3.5105166080000001</v>
      </c>
      <c r="F182">
        <v>3.7210152299999999</v>
      </c>
      <c r="G182">
        <v>3.6475760739999998</v>
      </c>
      <c r="H182">
        <v>3.4005503359999998</v>
      </c>
      <c r="I182">
        <v>3.3556427499999999</v>
      </c>
      <c r="J182">
        <v>3.3537196570000001</v>
      </c>
      <c r="K182">
        <v>3.2119648330000001</v>
      </c>
      <c r="L182">
        <v>3.2080785500000002</v>
      </c>
      <c r="M182">
        <v>3.209821201</v>
      </c>
      <c r="N182">
        <v>3.2836249369999999</v>
      </c>
      <c r="O182">
        <v>3.4610227889999998</v>
      </c>
      <c r="P182">
        <v>3.5964602540000001</v>
      </c>
      <c r="Q182">
        <v>3.5929869060000001</v>
      </c>
      <c r="R182">
        <v>3.6980423779999998</v>
      </c>
      <c r="S182">
        <v>3.7594736530000001</v>
      </c>
      <c r="T182">
        <v>3.8732353850000001</v>
      </c>
      <c r="U182">
        <v>3.9104028780000002</v>
      </c>
      <c r="V182">
        <v>3.9942530540000001</v>
      </c>
      <c r="W182">
        <v>3.9528434730000002</v>
      </c>
      <c r="X182">
        <v>3.8911662680000001</v>
      </c>
      <c r="Y182">
        <v>3.9115138809999999</v>
      </c>
      <c r="Z182">
        <v>3.8947887410000002</v>
      </c>
      <c r="AA182">
        <v>3.8502963019999998</v>
      </c>
      <c r="AB182">
        <v>3.7769219110000001</v>
      </c>
      <c r="AC182">
        <v>3.7242222690000002</v>
      </c>
      <c r="AD182">
        <v>3.6654799119999999</v>
      </c>
      <c r="AE182">
        <v>3.5827202360000001</v>
      </c>
      <c r="AF182">
        <v>3.4881846040000002</v>
      </c>
      <c r="AG182">
        <v>3.387241097</v>
      </c>
      <c r="AH182">
        <v>3.297945629</v>
      </c>
      <c r="AI182">
        <v>3.205949521</v>
      </c>
      <c r="AJ182">
        <v>3.109582171</v>
      </c>
      <c r="AK182">
        <v>3.015421994</v>
      </c>
      <c r="AL182">
        <v>2.9104602069999999</v>
      </c>
      <c r="AM182">
        <v>2.8182932690000002</v>
      </c>
      <c r="AN182">
        <v>2.7477512960000001</v>
      </c>
      <c r="AO182">
        <v>2.6626179080000001</v>
      </c>
      <c r="AP182">
        <v>2.5642882650000001</v>
      </c>
      <c r="AQ182">
        <v>2.4711710409999998</v>
      </c>
      <c r="AR182">
        <v>2.3604755819999999</v>
      </c>
      <c r="AS182">
        <v>2.30379223</v>
      </c>
      <c r="AT182">
        <v>2.255187083</v>
      </c>
      <c r="AU182">
        <v>2.2000717970000001</v>
      </c>
      <c r="AV182">
        <v>2.1432007890000002</v>
      </c>
      <c r="AW182">
        <v>2.0874352100000002</v>
      </c>
    </row>
    <row r="183" spans="2:49" x14ac:dyDescent="0.25">
      <c r="B183" t="s">
        <v>254</v>
      </c>
      <c r="C183">
        <v>600391.80946004798</v>
      </c>
      <c r="D183">
        <v>610031.29416316305</v>
      </c>
      <c r="E183">
        <v>620076.74470000004</v>
      </c>
      <c r="F183">
        <v>634060.93969999999</v>
      </c>
      <c r="G183">
        <v>600222.44680000003</v>
      </c>
      <c r="H183">
        <v>596506.37990000006</v>
      </c>
      <c r="I183">
        <v>609304.15769999998</v>
      </c>
      <c r="J183">
        <v>589000.57579999999</v>
      </c>
      <c r="K183">
        <v>559661.24269999994</v>
      </c>
      <c r="L183">
        <v>570815.73589999997</v>
      </c>
      <c r="M183">
        <v>587176.07609999995</v>
      </c>
      <c r="N183">
        <v>625834.09019999998</v>
      </c>
      <c r="O183">
        <v>665780.17119999998</v>
      </c>
      <c r="P183">
        <v>678808.26839999994</v>
      </c>
      <c r="Q183">
        <v>628830.63580000005</v>
      </c>
      <c r="R183">
        <v>644297.55559999996</v>
      </c>
      <c r="S183">
        <v>746902.86719999998</v>
      </c>
      <c r="T183">
        <v>806709.75170000002</v>
      </c>
      <c r="U183">
        <v>834252.37970000005</v>
      </c>
      <c r="V183">
        <v>853115.10660000006</v>
      </c>
      <c r="W183">
        <v>898077.33900000004</v>
      </c>
      <c r="X183">
        <v>940605.96050000004</v>
      </c>
      <c r="Y183">
        <v>959673.81909999996</v>
      </c>
      <c r="Z183">
        <v>974595.79810000001</v>
      </c>
      <c r="AA183">
        <v>986241.94579999999</v>
      </c>
      <c r="AB183">
        <v>945552.30720000004</v>
      </c>
      <c r="AC183">
        <v>900970.94929999998</v>
      </c>
      <c r="AD183">
        <v>876766.5429</v>
      </c>
      <c r="AE183">
        <v>857020.10279999999</v>
      </c>
      <c r="AF183">
        <v>837649.16299999994</v>
      </c>
      <c r="AG183">
        <v>817916.28249999997</v>
      </c>
      <c r="AH183">
        <v>796080.66099999996</v>
      </c>
      <c r="AI183">
        <v>784916.56649999996</v>
      </c>
      <c r="AJ183">
        <v>774961.7513</v>
      </c>
      <c r="AK183">
        <v>763018.04110000003</v>
      </c>
      <c r="AL183">
        <v>748783.27740000002</v>
      </c>
      <c r="AM183">
        <v>733010.38740000001</v>
      </c>
      <c r="AN183">
        <v>709841.60600000003</v>
      </c>
      <c r="AO183">
        <v>684204.82790000003</v>
      </c>
      <c r="AP183">
        <v>656730.32869999995</v>
      </c>
      <c r="AQ183">
        <v>629011.18240000005</v>
      </c>
      <c r="AR183">
        <v>599112.49129999999</v>
      </c>
      <c r="AS183">
        <v>585362.2365</v>
      </c>
      <c r="AT183">
        <v>571463.7328</v>
      </c>
      <c r="AU183">
        <v>556748.06880000001</v>
      </c>
      <c r="AV183">
        <v>542035.19609999994</v>
      </c>
      <c r="AW183">
        <v>526290.13690000004</v>
      </c>
    </row>
    <row r="184" spans="2:49" x14ac:dyDescent="0.25">
      <c r="B184" t="s">
        <v>255</v>
      </c>
      <c r="C184">
        <v>2139866.37253871</v>
      </c>
      <c r="D184">
        <v>2174222.6193092102</v>
      </c>
      <c r="E184">
        <v>2197623.4360000002</v>
      </c>
      <c r="F184">
        <v>2183234.4939999999</v>
      </c>
      <c r="G184">
        <v>2173366.2259999998</v>
      </c>
      <c r="H184">
        <v>2169352.449</v>
      </c>
      <c r="I184">
        <v>2173371.4270000001</v>
      </c>
      <c r="J184">
        <v>2185540.7379999999</v>
      </c>
      <c r="K184">
        <v>2186188.1340000001</v>
      </c>
      <c r="L184">
        <v>2182795.2230000002</v>
      </c>
      <c r="M184">
        <v>2195673.943</v>
      </c>
      <c r="N184">
        <v>2173644.8620000002</v>
      </c>
      <c r="O184">
        <v>2202066.0279999999</v>
      </c>
      <c r="P184">
        <v>2221730.3620000002</v>
      </c>
      <c r="Q184">
        <v>2248627.3390000002</v>
      </c>
      <c r="R184">
        <v>2271087.1490000002</v>
      </c>
      <c r="S184">
        <v>2251581.9640000002</v>
      </c>
      <c r="T184">
        <v>2214988.02</v>
      </c>
      <c r="U184">
        <v>2198514.0060000001</v>
      </c>
      <c r="V184">
        <v>2179594.3870000001</v>
      </c>
      <c r="W184">
        <v>2043883.817</v>
      </c>
      <c r="X184">
        <v>1910405.1640000001</v>
      </c>
      <c r="Y184">
        <v>1880978.34</v>
      </c>
      <c r="Z184">
        <v>1851172.081</v>
      </c>
      <c r="AA184">
        <v>1821803.7290000001</v>
      </c>
      <c r="AB184">
        <v>1788986.507</v>
      </c>
      <c r="AC184">
        <v>1752185.192</v>
      </c>
      <c r="AD184">
        <v>1677093.0649999999</v>
      </c>
      <c r="AE184">
        <v>1598299.5619999999</v>
      </c>
      <c r="AF184">
        <v>1516574.8259999999</v>
      </c>
      <c r="AG184">
        <v>1433368.5889999999</v>
      </c>
      <c r="AH184">
        <v>1348225.1429999999</v>
      </c>
      <c r="AI184">
        <v>1259901.024</v>
      </c>
      <c r="AJ184">
        <v>1170324.2</v>
      </c>
      <c r="AK184">
        <v>1079490.3570000001</v>
      </c>
      <c r="AL184">
        <v>988896.49540000001</v>
      </c>
      <c r="AM184">
        <v>898372.16709999996</v>
      </c>
      <c r="AN184">
        <v>817029.10600000003</v>
      </c>
      <c r="AO184">
        <v>736799.74750000006</v>
      </c>
      <c r="AP184">
        <v>656938.87210000004</v>
      </c>
      <c r="AQ184">
        <v>578562.87360000005</v>
      </c>
      <c r="AR184">
        <v>501843.70319999999</v>
      </c>
      <c r="AS184">
        <v>461320.82870000001</v>
      </c>
      <c r="AT184">
        <v>421705.84029999998</v>
      </c>
      <c r="AU184">
        <v>382501.16940000001</v>
      </c>
      <c r="AV184">
        <v>344313.44579999999</v>
      </c>
      <c r="AW184">
        <v>305824.0049</v>
      </c>
    </row>
    <row r="185" spans="2:49" x14ac:dyDescent="0.25">
      <c r="B185" t="s">
        <v>256</v>
      </c>
      <c r="C185">
        <v>48247577.676067904</v>
      </c>
      <c r="D185">
        <v>49022208.141778298</v>
      </c>
      <c r="E185">
        <v>49870708.310000002</v>
      </c>
      <c r="F185">
        <v>49560612.689999998</v>
      </c>
      <c r="G185">
        <v>48580059.600000001</v>
      </c>
      <c r="H185">
        <v>46825610.049999997</v>
      </c>
      <c r="I185">
        <v>46434560.640000001</v>
      </c>
      <c r="J185">
        <v>46136038.009999998</v>
      </c>
      <c r="K185">
        <v>45552886.600000001</v>
      </c>
      <c r="L185">
        <v>44702106.219999999</v>
      </c>
      <c r="M185">
        <v>44234672.409999996</v>
      </c>
      <c r="N185">
        <v>43704862.520000003</v>
      </c>
      <c r="O185">
        <v>43649074.75</v>
      </c>
      <c r="P185">
        <v>43802681.670000002</v>
      </c>
      <c r="Q185">
        <v>43198671.25</v>
      </c>
      <c r="R185">
        <v>42606125.189999998</v>
      </c>
      <c r="S185">
        <v>42137442.390000001</v>
      </c>
      <c r="T185">
        <v>42374233.5</v>
      </c>
      <c r="U185">
        <v>42617309.460000001</v>
      </c>
      <c r="V185">
        <v>42897691.119999997</v>
      </c>
      <c r="W185">
        <v>42817906.789999999</v>
      </c>
      <c r="X185">
        <v>42511375.560000002</v>
      </c>
      <c r="Y185">
        <v>41484935.159999996</v>
      </c>
      <c r="Z185">
        <v>40431923.18</v>
      </c>
      <c r="AA185">
        <v>39321823.039999999</v>
      </c>
      <c r="AB185">
        <v>38027581.399999999</v>
      </c>
      <c r="AC185">
        <v>36768986.259999998</v>
      </c>
      <c r="AD185">
        <v>34568662.109999999</v>
      </c>
      <c r="AE185">
        <v>32387116.66</v>
      </c>
      <c r="AF185">
        <v>30249437.890000001</v>
      </c>
      <c r="AG185">
        <v>28114191.309999999</v>
      </c>
      <c r="AH185">
        <v>26043385.239999998</v>
      </c>
      <c r="AI185">
        <v>23849288.510000002</v>
      </c>
      <c r="AJ185">
        <v>21695936.609999999</v>
      </c>
      <c r="AK185">
        <v>19571463.68</v>
      </c>
      <c r="AL185">
        <v>17496498.82</v>
      </c>
      <c r="AM185">
        <v>15488927.189999999</v>
      </c>
      <c r="AN185">
        <v>14123011.52</v>
      </c>
      <c r="AO185">
        <v>12786978.810000001</v>
      </c>
      <c r="AP185">
        <v>11436752.779999999</v>
      </c>
      <c r="AQ185">
        <v>10159691.75</v>
      </c>
      <c r="AR185">
        <v>8902528.7890000008</v>
      </c>
      <c r="AS185">
        <v>8329445.8449999997</v>
      </c>
      <c r="AT185">
        <v>7798735.6409999998</v>
      </c>
      <c r="AU185">
        <v>7258556.3190000001</v>
      </c>
      <c r="AV185">
        <v>6750242.9900000002</v>
      </c>
      <c r="AW185">
        <v>6230953.6710000001</v>
      </c>
    </row>
    <row r="186" spans="2:49" x14ac:dyDescent="0.25">
      <c r="B186" t="s">
        <v>257</v>
      </c>
      <c r="C186">
        <v>9181601.5739378203</v>
      </c>
      <c r="D186">
        <v>9329015.1570805702</v>
      </c>
      <c r="E186">
        <v>9482637.0470000003</v>
      </c>
      <c r="F186">
        <v>10806402.65</v>
      </c>
      <c r="G186">
        <v>9103621.1649999898</v>
      </c>
      <c r="H186">
        <v>6566184.6909999996</v>
      </c>
      <c r="I186">
        <v>7781124.8130000001</v>
      </c>
      <c r="J186">
        <v>6125443.5190000003</v>
      </c>
      <c r="K186">
        <v>7092120.8200000003</v>
      </c>
      <c r="L186">
        <v>6365402.1399999997</v>
      </c>
      <c r="M186">
        <v>6400472.4220000003</v>
      </c>
      <c r="N186">
        <v>6572776.5269999998</v>
      </c>
      <c r="O186">
        <v>6003909.1519999998</v>
      </c>
      <c r="P186">
        <v>6363098.4620000003</v>
      </c>
      <c r="Q186">
        <v>6258647.3480000002</v>
      </c>
      <c r="R186">
        <v>6363499.773</v>
      </c>
      <c r="S186">
        <v>6370146.0130000003</v>
      </c>
      <c r="T186">
        <v>6289082.949</v>
      </c>
      <c r="U186">
        <v>6357565.4720000001</v>
      </c>
      <c r="V186">
        <v>6417162.1890000002</v>
      </c>
      <c r="W186">
        <v>6426729.8119999999</v>
      </c>
      <c r="X186">
        <v>6411029.8789999997</v>
      </c>
      <c r="Y186">
        <v>6389097.5820000004</v>
      </c>
      <c r="Z186">
        <v>6354144.2939999998</v>
      </c>
      <c r="AA186">
        <v>6306638.4160000002</v>
      </c>
      <c r="AB186">
        <v>6069025.284</v>
      </c>
      <c r="AC186">
        <v>5817881.6600000001</v>
      </c>
      <c r="AD186">
        <v>5634427.5180000002</v>
      </c>
      <c r="AE186">
        <v>5465944.4579999996</v>
      </c>
      <c r="AF186">
        <v>5306335.4919999996</v>
      </c>
      <c r="AG186">
        <v>5143263.1830000002</v>
      </c>
      <c r="AH186">
        <v>4983694.2470000004</v>
      </c>
      <c r="AI186">
        <v>4869363.0999999996</v>
      </c>
      <c r="AJ186">
        <v>4757046.3530000001</v>
      </c>
      <c r="AK186">
        <v>4637634.9720000001</v>
      </c>
      <c r="AL186">
        <v>4513526.78</v>
      </c>
      <c r="AM186">
        <v>4384553.5719999997</v>
      </c>
      <c r="AN186">
        <v>4252916.7659999998</v>
      </c>
      <c r="AO186">
        <v>4104598.602</v>
      </c>
      <c r="AP186">
        <v>3940599.4649999999</v>
      </c>
      <c r="AQ186">
        <v>3767869.0109999999</v>
      </c>
      <c r="AR186">
        <v>3578353.7740000002</v>
      </c>
      <c r="AS186">
        <v>3488161.2579999999</v>
      </c>
      <c r="AT186">
        <v>3400164.8080000002</v>
      </c>
      <c r="AU186">
        <v>3308572.8289999999</v>
      </c>
      <c r="AV186">
        <v>3216432.6970000002</v>
      </c>
      <c r="AW186">
        <v>3118799.085</v>
      </c>
    </row>
    <row r="187" spans="2:49" x14ac:dyDescent="0.25">
      <c r="B187" t="s">
        <v>258</v>
      </c>
      <c r="C187">
        <v>2568505.4482754301</v>
      </c>
      <c r="D187">
        <v>2609743.6340541099</v>
      </c>
      <c r="E187">
        <v>2652718.5619999999</v>
      </c>
      <c r="F187">
        <v>2752650.3769999999</v>
      </c>
      <c r="G187">
        <v>2735059.7760000001</v>
      </c>
      <c r="H187">
        <v>2256829.3659999999</v>
      </c>
      <c r="I187">
        <v>2327769.5</v>
      </c>
      <c r="J187">
        <v>2435982.9709999999</v>
      </c>
      <c r="K187">
        <v>2376407.6409999998</v>
      </c>
      <c r="L187">
        <v>2311185.7220000001</v>
      </c>
      <c r="M187">
        <v>2310286.1320000002</v>
      </c>
      <c r="N187">
        <v>2440050.5070000002</v>
      </c>
      <c r="O187">
        <v>2443903.7149999999</v>
      </c>
      <c r="P187">
        <v>2443240.7259999998</v>
      </c>
      <c r="Q187">
        <v>2520669.8829999999</v>
      </c>
      <c r="R187">
        <v>2558014.02</v>
      </c>
      <c r="S187">
        <v>2539726.5699999998</v>
      </c>
      <c r="T187">
        <v>2505769.716</v>
      </c>
      <c r="U187">
        <v>2488304.3990000002</v>
      </c>
      <c r="V187">
        <v>2469590.094</v>
      </c>
      <c r="W187">
        <v>2446705.318</v>
      </c>
      <c r="X187">
        <v>2411499.9029999999</v>
      </c>
      <c r="Y187">
        <v>2386010.0690000001</v>
      </c>
      <c r="Z187">
        <v>2356271.5320000001</v>
      </c>
      <c r="AA187">
        <v>2325625.9610000001</v>
      </c>
      <c r="AB187">
        <v>2294925.9219999998</v>
      </c>
      <c r="AC187">
        <v>2264642.7009999999</v>
      </c>
      <c r="AD187">
        <v>2208862.1370000001</v>
      </c>
      <c r="AE187">
        <v>2151702.406</v>
      </c>
      <c r="AF187">
        <v>2092966.318</v>
      </c>
      <c r="AG187">
        <v>2030730.844</v>
      </c>
      <c r="AH187">
        <v>1966877.0330000001</v>
      </c>
      <c r="AI187">
        <v>1910301.2849999999</v>
      </c>
      <c r="AJ187">
        <v>1851502.517</v>
      </c>
      <c r="AK187">
        <v>1788568.202</v>
      </c>
      <c r="AL187">
        <v>1722367.7320000001</v>
      </c>
      <c r="AM187">
        <v>1653407.9140000001</v>
      </c>
      <c r="AN187">
        <v>1594448.165</v>
      </c>
      <c r="AO187">
        <v>1532983.2050000001</v>
      </c>
      <c r="AP187">
        <v>1466057.5049999999</v>
      </c>
      <c r="AQ187">
        <v>1396484.9569999999</v>
      </c>
      <c r="AR187">
        <v>1320180.9879999999</v>
      </c>
      <c r="AS187">
        <v>1279505.959</v>
      </c>
      <c r="AT187">
        <v>1239776.0090000001</v>
      </c>
      <c r="AU187">
        <v>1198256.004</v>
      </c>
      <c r="AV187">
        <v>1157257.733</v>
      </c>
      <c r="AW187">
        <v>1113854.8529999999</v>
      </c>
    </row>
    <row r="188" spans="2:49" x14ac:dyDescent="0.25">
      <c r="B188" t="s">
        <v>259</v>
      </c>
      <c r="C188">
        <v>12693844.6626458</v>
      </c>
      <c r="D188">
        <v>12897648.444645001</v>
      </c>
      <c r="E188">
        <v>13110035.4</v>
      </c>
      <c r="F188">
        <v>13103257.52</v>
      </c>
      <c r="G188">
        <v>12312282.380000001</v>
      </c>
      <c r="H188">
        <v>11730277.050000001</v>
      </c>
      <c r="I188">
        <v>11389640.380000001</v>
      </c>
      <c r="J188">
        <v>10785613.07</v>
      </c>
      <c r="K188">
        <v>10154901.99</v>
      </c>
      <c r="L188">
        <v>9824589.9839999899</v>
      </c>
      <c r="M188">
        <v>9699501.8320000004</v>
      </c>
      <c r="N188">
        <v>9743740.102</v>
      </c>
      <c r="O188">
        <v>9127372.8660000004</v>
      </c>
      <c r="P188">
        <v>8484879.8300000001</v>
      </c>
      <c r="Q188">
        <v>7941280.0999999996</v>
      </c>
      <c r="R188">
        <v>7494219.8839999996</v>
      </c>
      <c r="S188">
        <v>7021205.7230000002</v>
      </c>
      <c r="T188">
        <v>7008664.6490000002</v>
      </c>
      <c r="U188">
        <v>7016309.682</v>
      </c>
      <c r="V188">
        <v>6949234.2560000001</v>
      </c>
      <c r="W188">
        <v>5784222.3770000003</v>
      </c>
      <c r="X188">
        <v>4887975.1129999999</v>
      </c>
      <c r="Y188">
        <v>4297911.5269999998</v>
      </c>
      <c r="Z188">
        <v>3825931.0469999998</v>
      </c>
      <c r="AA188">
        <v>3440700.7059999998</v>
      </c>
      <c r="AB188">
        <v>3163254.03</v>
      </c>
      <c r="AC188">
        <v>2923768.7829999998</v>
      </c>
      <c r="AD188">
        <v>2855357.659</v>
      </c>
      <c r="AE188">
        <v>2797089.7409999999</v>
      </c>
      <c r="AF188">
        <v>2732999.4029999999</v>
      </c>
      <c r="AG188">
        <v>2672108.4730000002</v>
      </c>
      <c r="AH188">
        <v>2603679.9679999999</v>
      </c>
      <c r="AI188">
        <v>2531608.8939999999</v>
      </c>
      <c r="AJ188">
        <v>2455902.0109999999</v>
      </c>
      <c r="AK188">
        <v>2373732.2259999998</v>
      </c>
      <c r="AL188">
        <v>2308790.2549999999</v>
      </c>
      <c r="AM188">
        <v>2236172.3739999998</v>
      </c>
      <c r="AN188">
        <v>2150490.5989999999</v>
      </c>
      <c r="AO188">
        <v>2057735.57</v>
      </c>
      <c r="AP188">
        <v>1958612.368</v>
      </c>
      <c r="AQ188">
        <v>1853610.524</v>
      </c>
      <c r="AR188">
        <v>1738510.111</v>
      </c>
      <c r="AS188">
        <v>1689469.257</v>
      </c>
      <c r="AT188">
        <v>1639827.5430000001</v>
      </c>
      <c r="AU188">
        <v>1588025.7439999999</v>
      </c>
      <c r="AV188">
        <v>1534336.6</v>
      </c>
      <c r="AW188">
        <v>1478427.1359999999</v>
      </c>
    </row>
    <row r="189" spans="2:49" x14ac:dyDescent="0.25">
      <c r="B189" t="s">
        <v>260</v>
      </c>
      <c r="C189">
        <v>1234344.16589374</v>
      </c>
      <c r="D189">
        <v>1254161.9607370901</v>
      </c>
      <c r="E189">
        <v>1274814.3799999999</v>
      </c>
      <c r="F189">
        <v>1225455.2490000001</v>
      </c>
      <c r="G189">
        <v>1125690.7279999999</v>
      </c>
      <c r="H189">
        <v>1126503.929</v>
      </c>
      <c r="I189">
        <v>1049677.01</v>
      </c>
      <c r="J189">
        <v>963799.5527</v>
      </c>
      <c r="K189">
        <v>897096.10010000004</v>
      </c>
      <c r="L189">
        <v>859234.20570000005</v>
      </c>
      <c r="M189">
        <v>826967.25989999995</v>
      </c>
      <c r="N189">
        <v>806920.05350000004</v>
      </c>
      <c r="O189">
        <v>735850.98089999997</v>
      </c>
      <c r="P189">
        <v>670292.82310000004</v>
      </c>
      <c r="Q189">
        <v>621523.75619999995</v>
      </c>
      <c r="R189">
        <v>580053.49769999995</v>
      </c>
      <c r="S189">
        <v>536678.69990000001</v>
      </c>
      <c r="T189">
        <v>536680.0612</v>
      </c>
      <c r="U189">
        <v>539110.14670000004</v>
      </c>
      <c r="V189">
        <v>533807.1298</v>
      </c>
      <c r="W189">
        <v>402057.10859999998</v>
      </c>
      <c r="X189">
        <v>315143.62060000002</v>
      </c>
      <c r="Y189">
        <v>264955.33649999998</v>
      </c>
      <c r="Z189">
        <v>227762.06589999999</v>
      </c>
      <c r="AA189">
        <v>199315.30369999999</v>
      </c>
      <c r="AB189">
        <v>180479.54139999999</v>
      </c>
      <c r="AC189">
        <v>164906.73790000001</v>
      </c>
      <c r="AD189">
        <v>161352.125</v>
      </c>
      <c r="AE189">
        <v>158695.87599999999</v>
      </c>
      <c r="AF189">
        <v>155666.12419999999</v>
      </c>
      <c r="AG189">
        <v>152974.88</v>
      </c>
      <c r="AH189">
        <v>149798.23300000001</v>
      </c>
      <c r="AI189">
        <v>146120.36360000001</v>
      </c>
      <c r="AJ189">
        <v>142262.35310000001</v>
      </c>
      <c r="AK189">
        <v>137969.59880000001</v>
      </c>
      <c r="AL189">
        <v>135241.96919999999</v>
      </c>
      <c r="AM189">
        <v>132088.90770000001</v>
      </c>
      <c r="AN189">
        <v>127384.28</v>
      </c>
      <c r="AO189">
        <v>122180.7913</v>
      </c>
      <c r="AP189">
        <v>116556.40459999999</v>
      </c>
      <c r="AQ189">
        <v>110575.0487</v>
      </c>
      <c r="AR189">
        <v>103893.81299999999</v>
      </c>
      <c r="AS189">
        <v>101588.38770000001</v>
      </c>
      <c r="AT189">
        <v>99232.329809999996</v>
      </c>
      <c r="AU189">
        <v>96707.539350000006</v>
      </c>
      <c r="AV189">
        <v>94007.987640000007</v>
      </c>
      <c r="AW189">
        <v>91137.188869999998</v>
      </c>
    </row>
    <row r="190" spans="2:49" x14ac:dyDescent="0.25">
      <c r="B190" t="s">
        <v>261</v>
      </c>
      <c r="C190">
        <v>16278955.912495499</v>
      </c>
      <c r="D190">
        <v>16540319.8152481</v>
      </c>
      <c r="E190">
        <v>16805880</v>
      </c>
      <c r="F190">
        <v>16797515.399999999</v>
      </c>
      <c r="G190">
        <v>15827068</v>
      </c>
      <c r="H190">
        <v>15143185.99</v>
      </c>
      <c r="I190">
        <v>14645652.83</v>
      </c>
      <c r="J190">
        <v>12795086.02</v>
      </c>
      <c r="K190">
        <v>11138036.48</v>
      </c>
      <c r="L190">
        <v>9769034.0629999898</v>
      </c>
      <c r="M190">
        <v>8733341.5209999997</v>
      </c>
      <c r="N190">
        <v>7874359.3130000001</v>
      </c>
      <c r="O190">
        <v>7144408.6670000004</v>
      </c>
      <c r="P190">
        <v>6400810.3509999998</v>
      </c>
      <c r="Q190">
        <v>5628969.1689999998</v>
      </c>
      <c r="R190">
        <v>4973957.5959999999</v>
      </c>
      <c r="S190">
        <v>4368808.5209999997</v>
      </c>
      <c r="T190">
        <v>5142655.4440000001</v>
      </c>
      <c r="U190">
        <v>5906012.6629999997</v>
      </c>
      <c r="V190">
        <v>6624178.0300000003</v>
      </c>
      <c r="W190">
        <v>7416278.9160000002</v>
      </c>
      <c r="X190">
        <v>8101984.5410000002</v>
      </c>
      <c r="Y190">
        <v>7896829.4009999996</v>
      </c>
      <c r="Z190">
        <v>7678955.1979999999</v>
      </c>
      <c r="AA190">
        <v>7454060.6560000004</v>
      </c>
      <c r="AB190">
        <v>7201649.9759999998</v>
      </c>
      <c r="AC190">
        <v>6938887.0750000002</v>
      </c>
      <c r="AD190">
        <v>6726677.3559999997</v>
      </c>
      <c r="AE190">
        <v>6505202.0499999998</v>
      </c>
      <c r="AF190">
        <v>6271771.7860000003</v>
      </c>
      <c r="AG190">
        <v>6066751.4689999996</v>
      </c>
      <c r="AH190">
        <v>5849003.0149999997</v>
      </c>
      <c r="AI190">
        <v>5641126.7640000004</v>
      </c>
      <c r="AJ190">
        <v>5426619.5379999997</v>
      </c>
      <c r="AK190">
        <v>5199457.2220000001</v>
      </c>
      <c r="AL190">
        <v>5032535.284</v>
      </c>
      <c r="AM190">
        <v>4846030.9919999996</v>
      </c>
      <c r="AN190">
        <v>4610585.91</v>
      </c>
      <c r="AO190">
        <v>4370324.71</v>
      </c>
      <c r="AP190">
        <v>4118718.3470000001</v>
      </c>
      <c r="AQ190">
        <v>3865937.8659999999</v>
      </c>
      <c r="AR190">
        <v>3594879.1519999998</v>
      </c>
      <c r="AS190">
        <v>3136464.5090000001</v>
      </c>
      <c r="AT190">
        <v>2715063.7450000001</v>
      </c>
      <c r="AU190">
        <v>2323043.3840000001</v>
      </c>
      <c r="AV190">
        <v>1963623.466</v>
      </c>
      <c r="AW190">
        <v>1631187.504</v>
      </c>
    </row>
    <row r="191" spans="2:49" x14ac:dyDescent="0.25">
      <c r="B191" t="s">
        <v>262</v>
      </c>
      <c r="C191">
        <v>4315668.6239754204</v>
      </c>
      <c r="D191">
        <v>4384958.0796759203</v>
      </c>
      <c r="E191">
        <v>4455360</v>
      </c>
      <c r="F191">
        <v>4295415.3679999998</v>
      </c>
      <c r="G191">
        <v>4114074.1370000001</v>
      </c>
      <c r="H191">
        <v>3688824.67</v>
      </c>
      <c r="I191">
        <v>3518401.4410000001</v>
      </c>
      <c r="J191">
        <v>3392226.909</v>
      </c>
      <c r="K191">
        <v>3234138.94</v>
      </c>
      <c r="L191">
        <v>3032267.6680000001</v>
      </c>
      <c r="M191">
        <v>2831488.27</v>
      </c>
      <c r="N191">
        <v>2609250.673</v>
      </c>
      <c r="O191">
        <v>2288015.9309999999</v>
      </c>
      <c r="P191">
        <v>2026026.4620000001</v>
      </c>
      <c r="Q191">
        <v>1788810.16</v>
      </c>
      <c r="R191">
        <v>1502657.9469999999</v>
      </c>
      <c r="S191">
        <v>1204481.0149999999</v>
      </c>
      <c r="T191">
        <v>1595667.554</v>
      </c>
      <c r="U191">
        <v>2064837.66</v>
      </c>
      <c r="V191">
        <v>2523538.773</v>
      </c>
      <c r="W191">
        <v>2123212.1660000002</v>
      </c>
      <c r="X191">
        <v>1593963.4779999999</v>
      </c>
      <c r="Y191">
        <v>1200810.159</v>
      </c>
      <c r="Z191">
        <v>839509.17429999996</v>
      </c>
      <c r="AA191">
        <v>503162.60720000003</v>
      </c>
      <c r="AB191">
        <v>351494.0539</v>
      </c>
      <c r="AC191">
        <v>222417.68</v>
      </c>
      <c r="AD191">
        <v>209067.4074</v>
      </c>
      <c r="AE191">
        <v>204698.75899999999</v>
      </c>
      <c r="AF191">
        <v>200788.48980000001</v>
      </c>
      <c r="AG191">
        <v>187065.95269999999</v>
      </c>
      <c r="AH191">
        <v>172552.01010000001</v>
      </c>
      <c r="AI191">
        <v>138195.31529999999</v>
      </c>
      <c r="AJ191">
        <v>103519.8645</v>
      </c>
      <c r="AK191">
        <v>70452.039650000006</v>
      </c>
      <c r="AL191">
        <v>68668.734670000005</v>
      </c>
      <c r="AM191">
        <v>69018.421319999994</v>
      </c>
      <c r="AN191">
        <v>65121.154159999998</v>
      </c>
      <c r="AO191">
        <v>60714.377469999999</v>
      </c>
      <c r="AP191">
        <v>56184.120470000002</v>
      </c>
      <c r="AQ191">
        <v>51624.224399999999</v>
      </c>
      <c r="AR191">
        <v>46978.392010000003</v>
      </c>
      <c r="AS191">
        <v>45504.74497</v>
      </c>
      <c r="AT191">
        <v>44194.62947</v>
      </c>
      <c r="AU191">
        <v>42825.786529999998</v>
      </c>
      <c r="AV191">
        <v>41431.092380000002</v>
      </c>
      <c r="AW191">
        <v>39949.288269999997</v>
      </c>
    </row>
    <row r="192" spans="2:49" x14ac:dyDescent="0.25">
      <c r="B192" t="s">
        <v>263</v>
      </c>
      <c r="C192">
        <v>4315668.6239754204</v>
      </c>
      <c r="D192">
        <v>4384958.0796759203</v>
      </c>
      <c r="E192">
        <v>4455360</v>
      </c>
      <c r="F192">
        <v>4295415.3679999998</v>
      </c>
      <c r="G192">
        <v>4114074.1370000001</v>
      </c>
      <c r="H192">
        <v>3688824.67</v>
      </c>
      <c r="I192">
        <v>3518401.4410000001</v>
      </c>
      <c r="J192">
        <v>3392226.909</v>
      </c>
      <c r="K192">
        <v>3234138.94</v>
      </c>
      <c r="L192">
        <v>3032267.6680000001</v>
      </c>
      <c r="M192">
        <v>2831488.27</v>
      </c>
      <c r="N192">
        <v>2609250.673</v>
      </c>
      <c r="O192">
        <v>2288015.9309999999</v>
      </c>
      <c r="P192">
        <v>2026026.4620000001</v>
      </c>
      <c r="Q192">
        <v>1788810.16</v>
      </c>
      <c r="R192">
        <v>1502657.9469999999</v>
      </c>
      <c r="S192">
        <v>1204481.0149999999</v>
      </c>
      <c r="T192">
        <v>1595667.554</v>
      </c>
      <c r="U192">
        <v>2064837.66</v>
      </c>
      <c r="V192">
        <v>2523538.773</v>
      </c>
      <c r="W192">
        <v>2123212.1660000002</v>
      </c>
      <c r="X192">
        <v>1593963.4779999999</v>
      </c>
      <c r="Y192">
        <v>1200810.159</v>
      </c>
      <c r="Z192">
        <v>839509.17429999996</v>
      </c>
      <c r="AA192">
        <v>503162.60720000003</v>
      </c>
      <c r="AB192">
        <v>351494.0539</v>
      </c>
      <c r="AC192">
        <v>222417.68</v>
      </c>
      <c r="AD192">
        <v>209067.4074</v>
      </c>
      <c r="AE192">
        <v>204698.75899999999</v>
      </c>
      <c r="AF192">
        <v>200788.48980000001</v>
      </c>
      <c r="AG192">
        <v>187065.95269999999</v>
      </c>
      <c r="AH192">
        <v>172552.01010000001</v>
      </c>
      <c r="AI192">
        <v>138195.31529999999</v>
      </c>
      <c r="AJ192">
        <v>103519.8645</v>
      </c>
      <c r="AK192">
        <v>70452.039650000006</v>
      </c>
      <c r="AL192">
        <v>68668.734670000005</v>
      </c>
      <c r="AM192">
        <v>69018.421319999994</v>
      </c>
      <c r="AN192">
        <v>65121.154159999998</v>
      </c>
      <c r="AO192">
        <v>60714.377469999999</v>
      </c>
      <c r="AP192">
        <v>56184.120470000002</v>
      </c>
      <c r="AQ192">
        <v>51624.224399999999</v>
      </c>
      <c r="AR192">
        <v>46978.392010000003</v>
      </c>
      <c r="AS192">
        <v>45504.74497</v>
      </c>
      <c r="AT192">
        <v>44194.62947</v>
      </c>
      <c r="AU192">
        <v>42825.786529999998</v>
      </c>
      <c r="AV192">
        <v>41431.092380000002</v>
      </c>
      <c r="AW192">
        <v>39949.288269999997</v>
      </c>
    </row>
    <row r="193" spans="2:49" x14ac:dyDescent="0.25">
      <c r="B193" t="s">
        <v>264</v>
      </c>
      <c r="C193">
        <v>8232235.5397947598</v>
      </c>
      <c r="D193">
        <v>8364406.7441781899</v>
      </c>
      <c r="E193">
        <v>8498700</v>
      </c>
      <c r="F193">
        <v>8391073.6089999899</v>
      </c>
      <c r="G193">
        <v>8273756.2630000003</v>
      </c>
      <c r="H193">
        <v>7641068.165</v>
      </c>
      <c r="I193">
        <v>7506699.2680000002</v>
      </c>
      <c r="J193">
        <v>7454312.25</v>
      </c>
      <c r="K193">
        <v>7319503.3609999996</v>
      </c>
      <c r="L193">
        <v>7067626.5360000003</v>
      </c>
      <c r="M193">
        <v>6796549.8080000002</v>
      </c>
      <c r="N193">
        <v>6449756.716</v>
      </c>
      <c r="O193">
        <v>6767421.1830000002</v>
      </c>
      <c r="P193">
        <v>7340037.699</v>
      </c>
      <c r="Q193">
        <v>8080324.8389999997</v>
      </c>
      <c r="R193">
        <v>8678812.7129999995</v>
      </c>
      <c r="S193">
        <v>9248801.2520000003</v>
      </c>
      <c r="T193">
        <v>8514588.5179999899</v>
      </c>
      <c r="U193">
        <v>7732017.3059999999</v>
      </c>
      <c r="V193">
        <v>6898259.6529999999</v>
      </c>
      <c r="W193">
        <v>7796411.9199999999</v>
      </c>
      <c r="X193">
        <v>8670252.3680000007</v>
      </c>
      <c r="Y193">
        <v>8145711.051</v>
      </c>
      <c r="Z193">
        <v>7501263.4139999999</v>
      </c>
      <c r="AA193">
        <v>6880671.0099999998</v>
      </c>
      <c r="AB193">
        <v>5650745.9840000002</v>
      </c>
      <c r="AC193">
        <v>4516081.07</v>
      </c>
      <c r="AD193">
        <v>3825068.4619999998</v>
      </c>
      <c r="AE193">
        <v>3229103.8250000002</v>
      </c>
      <c r="AF193">
        <v>2683749.8029999998</v>
      </c>
      <c r="AG193">
        <v>2230453.5980000002</v>
      </c>
      <c r="AH193">
        <v>1825294.841</v>
      </c>
      <c r="AI193">
        <v>1319821.6869999999</v>
      </c>
      <c r="AJ193">
        <v>882531.12430000002</v>
      </c>
      <c r="AK193">
        <v>516884.49400000001</v>
      </c>
      <c r="AL193">
        <v>374031.2598</v>
      </c>
      <c r="AM193">
        <v>171478.80710000001</v>
      </c>
      <c r="AN193">
        <v>137615.8743</v>
      </c>
      <c r="AO193">
        <v>118545.4562</v>
      </c>
      <c r="AP193">
        <v>100930.32120000001</v>
      </c>
      <c r="AQ193">
        <v>83682.254140000005</v>
      </c>
      <c r="AR193">
        <v>66683.969500000007</v>
      </c>
      <c r="AS193">
        <v>72797.027730000002</v>
      </c>
      <c r="AT193">
        <v>78808.282800000001</v>
      </c>
      <c r="AU193">
        <v>84627.882519999999</v>
      </c>
      <c r="AV193">
        <v>90314.020640000002</v>
      </c>
      <c r="AW193">
        <v>95777.242469999997</v>
      </c>
    </row>
    <row r="194" spans="2:49" x14ac:dyDescent="0.25">
      <c r="B194" t="s">
        <v>265</v>
      </c>
      <c r="C194">
        <v>20174774.421468802</v>
      </c>
      <c r="D194">
        <v>20498686.950521201</v>
      </c>
      <c r="E194">
        <v>20827800</v>
      </c>
      <c r="F194">
        <v>19649332.57</v>
      </c>
      <c r="G194">
        <v>18366504.59</v>
      </c>
      <c r="H194">
        <v>16067283.85</v>
      </c>
      <c r="I194">
        <v>14951983.58</v>
      </c>
      <c r="J194">
        <v>14065228.949999999</v>
      </c>
      <c r="K194">
        <v>13083946.130000001</v>
      </c>
      <c r="L194">
        <v>11969460.84</v>
      </c>
      <c r="M194">
        <v>10905779.939999999</v>
      </c>
      <c r="N194">
        <v>9806179.1789999995</v>
      </c>
      <c r="O194">
        <v>8306671.6629999997</v>
      </c>
      <c r="P194">
        <v>7021049.3710000003</v>
      </c>
      <c r="Q194">
        <v>5801289.9210000001</v>
      </c>
      <c r="R194">
        <v>4399623.6430000002</v>
      </c>
      <c r="S194">
        <v>2947490.28</v>
      </c>
      <c r="T194">
        <v>2694711.375</v>
      </c>
      <c r="U194">
        <v>2547015.1260000002</v>
      </c>
      <c r="V194">
        <v>2407667.0329999998</v>
      </c>
      <c r="W194">
        <v>1666952.4620000001</v>
      </c>
      <c r="X194">
        <v>815871.80940000003</v>
      </c>
      <c r="Y194">
        <v>591649.65449999995</v>
      </c>
      <c r="Z194">
        <v>413391.41560000001</v>
      </c>
      <c r="AA194">
        <v>245699.79980000001</v>
      </c>
      <c r="AB194">
        <v>227392.14199999999</v>
      </c>
      <c r="AC194">
        <v>220559.26490000001</v>
      </c>
      <c r="AD194">
        <v>189161.61139999999</v>
      </c>
      <c r="AE194">
        <v>154415.9295</v>
      </c>
      <c r="AF194">
        <v>118212.83070000001</v>
      </c>
      <c r="AG194">
        <v>110380.9099</v>
      </c>
      <c r="AH194">
        <v>105034.63069999999</v>
      </c>
      <c r="AI194">
        <v>104373.92750000001</v>
      </c>
      <c r="AJ194">
        <v>104216.1934</v>
      </c>
      <c r="AK194">
        <v>104068.3009</v>
      </c>
      <c r="AL194">
        <v>104202.99490000001</v>
      </c>
      <c r="AM194">
        <v>104288.82120000001</v>
      </c>
      <c r="AN194">
        <v>104567.8336</v>
      </c>
      <c r="AO194">
        <v>104867.3882</v>
      </c>
      <c r="AP194">
        <v>105101.8835</v>
      </c>
      <c r="AQ194">
        <v>105298.9425</v>
      </c>
      <c r="AR194">
        <v>105462.1991</v>
      </c>
      <c r="AS194">
        <v>105754.85950000001</v>
      </c>
      <c r="AT194">
        <v>106082.75659999999</v>
      </c>
      <c r="AU194">
        <v>106346.3792</v>
      </c>
      <c r="AV194">
        <v>106602.9216</v>
      </c>
      <c r="AW194">
        <v>106770.2218</v>
      </c>
    </row>
    <row r="195" spans="2:49" x14ac:dyDescent="0.25">
      <c r="B195" t="s">
        <v>266</v>
      </c>
      <c r="C195">
        <v>463787.91773491597</v>
      </c>
      <c r="D195">
        <v>471234.182770602</v>
      </c>
      <c r="E195">
        <v>478800</v>
      </c>
      <c r="F195">
        <v>477800.42950000003</v>
      </c>
      <c r="G195">
        <v>460294.93670000002</v>
      </c>
      <c r="H195">
        <v>435826.16759999999</v>
      </c>
      <c r="I195">
        <v>441221.2071</v>
      </c>
      <c r="J195">
        <v>458089.13709999999</v>
      </c>
      <c r="K195">
        <v>458466.14789999998</v>
      </c>
      <c r="L195">
        <v>467747.79440000001</v>
      </c>
      <c r="M195">
        <v>488908.78610000003</v>
      </c>
      <c r="N195">
        <v>519517.36139999999</v>
      </c>
      <c r="O195">
        <v>497645.3751</v>
      </c>
      <c r="P195">
        <v>463627.01730000001</v>
      </c>
      <c r="Q195">
        <v>409070.34370000003</v>
      </c>
      <c r="R195">
        <v>364305.114</v>
      </c>
      <c r="S195">
        <v>326465.46189999999</v>
      </c>
      <c r="T195">
        <v>303540.18699999998</v>
      </c>
      <c r="U195">
        <v>283556.59250000003</v>
      </c>
      <c r="V195">
        <v>265171.87199999997</v>
      </c>
      <c r="W195">
        <v>230535.02299999999</v>
      </c>
      <c r="X195">
        <v>200980.3567</v>
      </c>
      <c r="Y195">
        <v>171197.13810000001</v>
      </c>
      <c r="Z195">
        <v>144615.4601</v>
      </c>
      <c r="AA195">
        <v>120464.85709999999</v>
      </c>
      <c r="AB195">
        <v>97984.861709999997</v>
      </c>
      <c r="AC195">
        <v>78405.115770000004</v>
      </c>
      <c r="AD195">
        <v>71441.785319999995</v>
      </c>
      <c r="AE195">
        <v>64629.94311</v>
      </c>
      <c r="AF195">
        <v>57999.471019999997</v>
      </c>
      <c r="AG195">
        <v>50866.604829999997</v>
      </c>
      <c r="AH195">
        <v>44408.026149999998</v>
      </c>
      <c r="AI195">
        <v>38742.856899999999</v>
      </c>
      <c r="AJ195">
        <v>33583.832300000002</v>
      </c>
      <c r="AK195">
        <v>28849.238979999998</v>
      </c>
      <c r="AL195">
        <v>25551.557079999999</v>
      </c>
      <c r="AM195">
        <v>20315.22351</v>
      </c>
      <c r="AN195">
        <v>19717.791539999998</v>
      </c>
      <c r="AO195">
        <v>18678.405299999999</v>
      </c>
      <c r="AP195">
        <v>17215.747780000002</v>
      </c>
      <c r="AQ195">
        <v>15371.271479999999</v>
      </c>
      <c r="AR195">
        <v>13133.02685</v>
      </c>
      <c r="AS195">
        <v>11348.403350000001</v>
      </c>
      <c r="AT195">
        <v>9155.6368590000002</v>
      </c>
      <c r="AU195">
        <v>6577.0245329999998</v>
      </c>
      <c r="AV195">
        <v>3654.7806599999999</v>
      </c>
      <c r="AW195">
        <v>2047.343347</v>
      </c>
    </row>
    <row r="196" spans="2:49" x14ac:dyDescent="0.25">
      <c r="B196" s="274" t="s">
        <v>267</v>
      </c>
      <c r="C196">
        <v>748170.71461916296</v>
      </c>
      <c r="D196">
        <v>760182.83744504896</v>
      </c>
      <c r="E196">
        <v>772387.81880000001</v>
      </c>
      <c r="F196">
        <v>782784.49620000005</v>
      </c>
      <c r="G196">
        <v>744446.75100000005</v>
      </c>
      <c r="H196">
        <v>730112.1997</v>
      </c>
      <c r="I196">
        <v>756183.10109999997</v>
      </c>
      <c r="J196">
        <v>725878.02260000003</v>
      </c>
      <c r="K196">
        <v>693537.28460000001</v>
      </c>
      <c r="L196">
        <v>652832.54639999999</v>
      </c>
      <c r="M196">
        <v>668961.92700000003</v>
      </c>
      <c r="N196">
        <v>663179.60710000002</v>
      </c>
      <c r="O196">
        <v>660104.07019999996</v>
      </c>
      <c r="P196">
        <v>663860.26489999995</v>
      </c>
      <c r="Q196">
        <v>621500.36069999996</v>
      </c>
      <c r="R196">
        <v>603441.95889999997</v>
      </c>
      <c r="S196">
        <v>604011.20570000005</v>
      </c>
      <c r="T196">
        <v>589439.04059999995</v>
      </c>
      <c r="U196">
        <v>576630.88919999998</v>
      </c>
      <c r="V196">
        <v>568044.57759999996</v>
      </c>
      <c r="W196">
        <v>565542.71629999997</v>
      </c>
      <c r="X196">
        <v>554435.36869999999</v>
      </c>
      <c r="Y196">
        <v>526234.49540000001</v>
      </c>
      <c r="Z196">
        <v>499772.23180000001</v>
      </c>
      <c r="AA196">
        <v>474056.17969999998</v>
      </c>
      <c r="AB196">
        <v>447756.62579999998</v>
      </c>
      <c r="AC196">
        <v>422432.16499999998</v>
      </c>
      <c r="AD196">
        <v>387558.39720000001</v>
      </c>
      <c r="AE196">
        <v>353006.4191</v>
      </c>
      <c r="AF196">
        <v>318746.34950000001</v>
      </c>
      <c r="AG196">
        <v>301882.33919999999</v>
      </c>
      <c r="AH196">
        <v>285500.91080000001</v>
      </c>
      <c r="AI196">
        <v>260759.85219999999</v>
      </c>
      <c r="AJ196">
        <v>236306.90150000001</v>
      </c>
      <c r="AK196">
        <v>212107.8253</v>
      </c>
      <c r="AL196">
        <v>246730.8138</v>
      </c>
      <c r="AM196">
        <v>280491.76890000002</v>
      </c>
      <c r="AN196">
        <v>251173.9534</v>
      </c>
      <c r="AO196">
        <v>221626.1073</v>
      </c>
      <c r="AP196">
        <v>191322.2298</v>
      </c>
      <c r="AQ196">
        <v>160845.47070000001</v>
      </c>
      <c r="AR196">
        <v>129948.54949999999</v>
      </c>
      <c r="AS196">
        <v>142091.5257</v>
      </c>
      <c r="AT196">
        <v>154239.43950000001</v>
      </c>
      <c r="AU196">
        <v>166134.54680000001</v>
      </c>
      <c r="AV196">
        <v>178143.90969999999</v>
      </c>
      <c r="AW196">
        <v>189881.31890000001</v>
      </c>
    </row>
    <row r="197" spans="2:49" x14ac:dyDescent="0.25">
      <c r="B197" s="274" t="s">
        <v>268</v>
      </c>
      <c r="C197">
        <v>5051155.6907064496</v>
      </c>
      <c r="D197">
        <v>5132253.62916335</v>
      </c>
      <c r="E197">
        <v>5214653.6210000003</v>
      </c>
      <c r="F197">
        <v>5247512.9119999995</v>
      </c>
      <c r="G197">
        <v>4939889.341</v>
      </c>
      <c r="H197">
        <v>4803731.3899999997</v>
      </c>
      <c r="I197">
        <v>4763728.7390000001</v>
      </c>
      <c r="J197">
        <v>4668095.9919999996</v>
      </c>
      <c r="K197">
        <v>4358242.4670000002</v>
      </c>
      <c r="L197">
        <v>4160989.375</v>
      </c>
      <c r="M197">
        <v>4141592.0529999998</v>
      </c>
      <c r="N197">
        <v>4085894.571</v>
      </c>
      <c r="O197">
        <v>4060182.4589999998</v>
      </c>
      <c r="P197">
        <v>4058460.733</v>
      </c>
      <c r="Q197">
        <v>3870519.0469999998</v>
      </c>
      <c r="R197">
        <v>3735639.4079999998</v>
      </c>
      <c r="S197">
        <v>3756717.3859999999</v>
      </c>
      <c r="T197">
        <v>3640329.912</v>
      </c>
      <c r="U197">
        <v>3555366.7259999998</v>
      </c>
      <c r="V197">
        <v>3484203.7829999998</v>
      </c>
      <c r="W197">
        <v>2810198.9989999998</v>
      </c>
      <c r="X197">
        <v>2234979.0989999999</v>
      </c>
      <c r="Y197">
        <v>1782475.449</v>
      </c>
      <c r="Z197">
        <v>1451788.7579999999</v>
      </c>
      <c r="AA197">
        <v>1201557.6529999999</v>
      </c>
      <c r="AB197">
        <v>1004357.816</v>
      </c>
      <c r="AC197">
        <v>847197.76240000001</v>
      </c>
      <c r="AD197">
        <v>760214.70750000002</v>
      </c>
      <c r="AE197">
        <v>690318.28269999998</v>
      </c>
      <c r="AF197">
        <v>623390.53</v>
      </c>
      <c r="AG197">
        <v>592959.31240000005</v>
      </c>
      <c r="AH197">
        <v>562706.24269999994</v>
      </c>
      <c r="AI197">
        <v>515214.04139999999</v>
      </c>
      <c r="AJ197">
        <v>469144.54340000002</v>
      </c>
      <c r="AK197">
        <v>423050.37540000002</v>
      </c>
      <c r="AL197">
        <v>497860.54149999999</v>
      </c>
      <c r="AM197">
        <v>572783.95959999994</v>
      </c>
      <c r="AN197">
        <v>511695.16950000002</v>
      </c>
      <c r="AO197">
        <v>450354.4828</v>
      </c>
      <c r="AP197">
        <v>388049.11410000001</v>
      </c>
      <c r="AQ197">
        <v>325867.00170000002</v>
      </c>
      <c r="AR197">
        <v>262841.08319999999</v>
      </c>
      <c r="AS197">
        <v>289197.2169</v>
      </c>
      <c r="AT197">
        <v>315625.59330000001</v>
      </c>
      <c r="AU197">
        <v>341749.6961</v>
      </c>
      <c r="AV197">
        <v>368132.88520000002</v>
      </c>
      <c r="AW197">
        <v>394185.69500000001</v>
      </c>
    </row>
    <row r="198" spans="2:49" x14ac:dyDescent="0.25">
      <c r="B198" s="274" t="s">
        <v>269</v>
      </c>
      <c r="C198">
        <v>738109.45702439197</v>
      </c>
      <c r="D198">
        <v>749960.04310518701</v>
      </c>
      <c r="E198">
        <v>762000.89419999998</v>
      </c>
      <c r="F198">
        <v>806656.30420000001</v>
      </c>
      <c r="G198">
        <v>755715.85329999996</v>
      </c>
      <c r="H198">
        <v>640604.11109999998</v>
      </c>
      <c r="I198">
        <v>693968.92760000005</v>
      </c>
      <c r="J198">
        <v>679047.20499999996</v>
      </c>
      <c r="K198">
        <v>642392.00459999999</v>
      </c>
      <c r="L198">
        <v>624179.63840000005</v>
      </c>
      <c r="M198">
        <v>634893.90910000005</v>
      </c>
      <c r="N198">
        <v>669342.34030000004</v>
      </c>
      <c r="O198">
        <v>661689.23010000004</v>
      </c>
      <c r="P198">
        <v>654632.81319999998</v>
      </c>
      <c r="Q198">
        <v>603091.62360000005</v>
      </c>
      <c r="R198">
        <v>575456.79200000002</v>
      </c>
      <c r="S198">
        <v>534394.7524</v>
      </c>
      <c r="T198">
        <v>486690.86910000001</v>
      </c>
      <c r="U198">
        <v>479429.53</v>
      </c>
      <c r="V198">
        <v>481178.8161</v>
      </c>
      <c r="W198">
        <v>355981.5097</v>
      </c>
      <c r="X198">
        <v>262375.65220000001</v>
      </c>
      <c r="Y198">
        <v>195786.41140000001</v>
      </c>
      <c r="Z198">
        <v>150735.04509999999</v>
      </c>
      <c r="AA198">
        <v>118459.7457</v>
      </c>
      <c r="AB198">
        <v>94038.463229999994</v>
      </c>
      <c r="AC198">
        <v>75816.114270000005</v>
      </c>
      <c r="AD198">
        <v>67118.415959999998</v>
      </c>
      <c r="AE198">
        <v>60490.891210000002</v>
      </c>
      <c r="AF198">
        <v>54433.704109999999</v>
      </c>
      <c r="AG198">
        <v>51722.83221</v>
      </c>
      <c r="AH198">
        <v>49189.03011</v>
      </c>
      <c r="AI198">
        <v>45339.488920000003</v>
      </c>
      <c r="AJ198">
        <v>41451.244769999998</v>
      </c>
      <c r="AK198">
        <v>37454.30156</v>
      </c>
      <c r="AL198">
        <v>44147.445169999999</v>
      </c>
      <c r="AM198">
        <v>50861.514089999997</v>
      </c>
      <c r="AN198">
        <v>45442.909699999997</v>
      </c>
      <c r="AO198">
        <v>40032.819640000002</v>
      </c>
      <c r="AP198">
        <v>34513.966009999996</v>
      </c>
      <c r="AQ198">
        <v>29021.499500000002</v>
      </c>
      <c r="AR198">
        <v>23564.126799999998</v>
      </c>
      <c r="AS198">
        <v>25919.26902</v>
      </c>
      <c r="AT198">
        <v>28336.925299999999</v>
      </c>
      <c r="AU198">
        <v>30703.029859999999</v>
      </c>
      <c r="AV198">
        <v>33112.580150000002</v>
      </c>
      <c r="AW198">
        <v>35348.664490000003</v>
      </c>
    </row>
    <row r="199" spans="2:49" x14ac:dyDescent="0.25">
      <c r="B199" s="274" t="s">
        <v>270</v>
      </c>
      <c r="C199">
        <v>1453742.3069470399</v>
      </c>
      <c r="D199">
        <v>1477082.6099113501</v>
      </c>
      <c r="E199">
        <v>1500797.649</v>
      </c>
      <c r="F199">
        <v>1490587.977</v>
      </c>
      <c r="G199">
        <v>1346811.923</v>
      </c>
      <c r="H199">
        <v>1139452.0109999999</v>
      </c>
      <c r="I199">
        <v>1151275.3500000001</v>
      </c>
      <c r="J199">
        <v>1245906.8700000001</v>
      </c>
      <c r="K199">
        <v>1107162.9820000001</v>
      </c>
      <c r="L199">
        <v>1034774.7709999999</v>
      </c>
      <c r="M199">
        <v>1037434.298</v>
      </c>
      <c r="N199">
        <v>1026986.251</v>
      </c>
      <c r="O199">
        <v>1078434.42</v>
      </c>
      <c r="P199">
        <v>1119385.93</v>
      </c>
      <c r="Q199">
        <v>1100720.8600000001</v>
      </c>
      <c r="R199">
        <v>1078215.7</v>
      </c>
      <c r="S199">
        <v>1068374.7120000001</v>
      </c>
      <c r="T199">
        <v>1018917.4939999999</v>
      </c>
      <c r="U199">
        <v>979602.64639999997</v>
      </c>
      <c r="V199">
        <v>942779.80229999998</v>
      </c>
      <c r="W199">
        <v>787525.14729999995</v>
      </c>
      <c r="X199">
        <v>646426.42200000002</v>
      </c>
      <c r="Y199">
        <v>549795.946</v>
      </c>
      <c r="Z199">
        <v>483913.63699999999</v>
      </c>
      <c r="AA199">
        <v>436796.6116</v>
      </c>
      <c r="AB199">
        <v>402454.66700000002</v>
      </c>
      <c r="AC199">
        <v>378493.53600000002</v>
      </c>
      <c r="AD199">
        <v>343079.83279999997</v>
      </c>
      <c r="AE199">
        <v>313388.02789999999</v>
      </c>
      <c r="AF199">
        <v>284353.8812</v>
      </c>
      <c r="AG199">
        <v>271294.10340000002</v>
      </c>
      <c r="AH199">
        <v>258127.79490000001</v>
      </c>
      <c r="AI199">
        <v>236861.0889</v>
      </c>
      <c r="AJ199">
        <v>216187.2795</v>
      </c>
      <c r="AK199">
        <v>195471.5594</v>
      </c>
      <c r="AL199">
        <v>230074.90239999999</v>
      </c>
      <c r="AM199">
        <v>264758.8</v>
      </c>
      <c r="AN199">
        <v>236548.0626</v>
      </c>
      <c r="AO199">
        <v>208360.98800000001</v>
      </c>
      <c r="AP199">
        <v>179830.05559999999</v>
      </c>
      <c r="AQ199">
        <v>151435.9235</v>
      </c>
      <c r="AR199">
        <v>122678.3006</v>
      </c>
      <c r="AS199">
        <v>135132.6207</v>
      </c>
      <c r="AT199">
        <v>147551.32130000001</v>
      </c>
      <c r="AU199">
        <v>159766.08689999999</v>
      </c>
      <c r="AV199">
        <v>172001.37450000001</v>
      </c>
      <c r="AW199">
        <v>183984.11069999999</v>
      </c>
    </row>
    <row r="200" spans="2:49" x14ac:dyDescent="0.25">
      <c r="B200" s="274" t="s">
        <v>271</v>
      </c>
      <c r="C200">
        <v>1819036.8432423901</v>
      </c>
      <c r="D200">
        <v>1848242.0681447799</v>
      </c>
      <c r="E200">
        <v>1877916.192</v>
      </c>
      <c r="F200">
        <v>1868256.2109999999</v>
      </c>
      <c r="G200">
        <v>1702325.3929999999</v>
      </c>
      <c r="H200">
        <v>1421862.5209999999</v>
      </c>
      <c r="I200">
        <v>1466680.415</v>
      </c>
      <c r="J200">
        <v>1613387.91</v>
      </c>
      <c r="K200">
        <v>1435825.923</v>
      </c>
      <c r="L200">
        <v>1338725.2990000001</v>
      </c>
      <c r="M200">
        <v>1336888.933</v>
      </c>
      <c r="N200">
        <v>1306160.696</v>
      </c>
      <c r="O200">
        <v>1403515.1089999999</v>
      </c>
      <c r="P200">
        <v>1504707.9779999999</v>
      </c>
      <c r="Q200">
        <v>1518679.1939999999</v>
      </c>
      <c r="R200">
        <v>1519279.669</v>
      </c>
      <c r="S200">
        <v>1546804.2579999999</v>
      </c>
      <c r="T200">
        <v>1507168.4509999999</v>
      </c>
      <c r="U200">
        <v>1453708.2679999999</v>
      </c>
      <c r="V200">
        <v>1418504.7579999999</v>
      </c>
      <c r="W200">
        <v>1153746.784</v>
      </c>
      <c r="X200">
        <v>925190.05390000006</v>
      </c>
      <c r="Y200">
        <v>757767.25910000002</v>
      </c>
      <c r="Z200">
        <v>634198.52949999995</v>
      </c>
      <c r="AA200">
        <v>536573.35140000004</v>
      </c>
      <c r="AB200">
        <v>457121.77029999997</v>
      </c>
      <c r="AC200">
        <v>394347.11129999999</v>
      </c>
      <c r="AD200">
        <v>357196.68180000002</v>
      </c>
      <c r="AE200">
        <v>325220.0356</v>
      </c>
      <c r="AF200">
        <v>294049.90870000003</v>
      </c>
      <c r="AG200">
        <v>279580.5417</v>
      </c>
      <c r="AH200">
        <v>266012.94439999998</v>
      </c>
      <c r="AI200">
        <v>243464.37059999999</v>
      </c>
      <c r="AJ200">
        <v>221489.57870000001</v>
      </c>
      <c r="AK200">
        <v>200029.8412</v>
      </c>
      <c r="AL200">
        <v>235210.7721</v>
      </c>
      <c r="AM200">
        <v>271296.65330000001</v>
      </c>
      <c r="AN200">
        <v>242940.40919999999</v>
      </c>
      <c r="AO200">
        <v>214123.03289999999</v>
      </c>
      <c r="AP200">
        <v>184872.3976</v>
      </c>
      <c r="AQ200">
        <v>156106.2971</v>
      </c>
      <c r="AR200">
        <v>126704.6001</v>
      </c>
      <c r="AS200">
        <v>139803.0502</v>
      </c>
      <c r="AT200">
        <v>153186.4682</v>
      </c>
      <c r="AU200">
        <v>166393.89670000001</v>
      </c>
      <c r="AV200">
        <v>179661.99559999999</v>
      </c>
      <c r="AW200">
        <v>193069.20129999999</v>
      </c>
    </row>
    <row r="201" spans="2:49" x14ac:dyDescent="0.25">
      <c r="B201" s="274" t="s">
        <v>272</v>
      </c>
      <c r="C201">
        <v>2313078.33193391</v>
      </c>
      <c r="D201">
        <v>2350215.5527395001</v>
      </c>
      <c r="E201">
        <v>2387949.0240000002</v>
      </c>
      <c r="F201">
        <v>2353314.662</v>
      </c>
      <c r="G201">
        <v>2172884.199</v>
      </c>
      <c r="H201">
        <v>1906699.9569999999</v>
      </c>
      <c r="I201">
        <v>1984756.676</v>
      </c>
      <c r="J201">
        <v>1855457.4480000001</v>
      </c>
      <c r="K201">
        <v>1673456.395</v>
      </c>
      <c r="L201">
        <v>1610669.7220000001</v>
      </c>
      <c r="M201">
        <v>1571804.372</v>
      </c>
      <c r="N201">
        <v>1584481.4909999999</v>
      </c>
      <c r="O201">
        <v>1642478.291</v>
      </c>
      <c r="P201">
        <v>1681884.71</v>
      </c>
      <c r="Q201">
        <v>1666800.3030000001</v>
      </c>
      <c r="R201">
        <v>1629339.7150000001</v>
      </c>
      <c r="S201">
        <v>1649912.655</v>
      </c>
      <c r="T201">
        <v>1590357.4029999999</v>
      </c>
      <c r="U201">
        <v>1532888.1429999999</v>
      </c>
      <c r="V201">
        <v>1478914.8740000001</v>
      </c>
      <c r="W201">
        <v>1184567.3799999999</v>
      </c>
      <c r="X201">
        <v>928948.21990000003</v>
      </c>
      <c r="Y201">
        <v>745911.89540000004</v>
      </c>
      <c r="Z201">
        <v>616025.18720000004</v>
      </c>
      <c r="AA201">
        <v>517457.3982</v>
      </c>
      <c r="AB201">
        <v>439924.01240000001</v>
      </c>
      <c r="AC201">
        <v>378295.74060000002</v>
      </c>
      <c r="AD201">
        <v>342664.0441</v>
      </c>
      <c r="AE201">
        <v>313482.07319999998</v>
      </c>
      <c r="AF201">
        <v>285113.1703</v>
      </c>
      <c r="AG201">
        <v>273082.46710000001</v>
      </c>
      <c r="AH201">
        <v>260983.6262</v>
      </c>
      <c r="AI201">
        <v>240456.2843</v>
      </c>
      <c r="AJ201">
        <v>220495.50450000001</v>
      </c>
      <c r="AK201">
        <v>200394.2586</v>
      </c>
      <c r="AL201">
        <v>237402.73199999999</v>
      </c>
      <c r="AM201">
        <v>275110.39110000001</v>
      </c>
      <c r="AN201">
        <v>247272.886</v>
      </c>
      <c r="AO201">
        <v>219038.99050000001</v>
      </c>
      <c r="AP201">
        <v>190080.1833</v>
      </c>
      <c r="AQ201">
        <v>160883.58410000001</v>
      </c>
      <c r="AR201">
        <v>130878.02899999999</v>
      </c>
      <c r="AS201">
        <v>145062.36840000001</v>
      </c>
      <c r="AT201">
        <v>159358.429</v>
      </c>
      <c r="AU201">
        <v>173636.86240000001</v>
      </c>
      <c r="AV201">
        <v>188075.64110000001</v>
      </c>
      <c r="AW201">
        <v>202498.5637</v>
      </c>
    </row>
    <row r="202" spans="2:49" x14ac:dyDescent="0.25">
      <c r="B202" s="274" t="s">
        <v>273</v>
      </c>
      <c r="C202">
        <v>4643279.3828946501</v>
      </c>
      <c r="D202">
        <v>4717828.7352982899</v>
      </c>
      <c r="E202">
        <v>4793575.0020000003</v>
      </c>
      <c r="F202">
        <v>4721657.3899999997</v>
      </c>
      <c r="G202">
        <v>4596198.8839999996</v>
      </c>
      <c r="H202">
        <v>4197775.9210000001</v>
      </c>
      <c r="I202">
        <v>4227150.1459999997</v>
      </c>
      <c r="J202">
        <v>4143796.4410000001</v>
      </c>
      <c r="K202">
        <v>3889702.9539999999</v>
      </c>
      <c r="L202">
        <v>3771441.557</v>
      </c>
      <c r="M202">
        <v>3713700.3969999999</v>
      </c>
      <c r="N202">
        <v>3785580.548</v>
      </c>
      <c r="O202">
        <v>3916959.625</v>
      </c>
      <c r="P202">
        <v>3994984.4389999998</v>
      </c>
      <c r="Q202">
        <v>3936781.4589999998</v>
      </c>
      <c r="R202">
        <v>3942617.557</v>
      </c>
      <c r="S202">
        <v>3914604.926</v>
      </c>
      <c r="T202">
        <v>3747727.9610000001</v>
      </c>
      <c r="U202">
        <v>3600274.0959999999</v>
      </c>
      <c r="V202">
        <v>3447912.0649999999</v>
      </c>
      <c r="W202">
        <v>2868452.4389999998</v>
      </c>
      <c r="X202">
        <v>2319049.3160000001</v>
      </c>
      <c r="Y202">
        <v>1901880.2390000001</v>
      </c>
      <c r="Z202">
        <v>1591868.8</v>
      </c>
      <c r="AA202">
        <v>1344792.3230000001</v>
      </c>
      <c r="AB202">
        <v>1144837.7709999999</v>
      </c>
      <c r="AC202">
        <v>982018.66749999998</v>
      </c>
      <c r="AD202">
        <v>889290.95739999996</v>
      </c>
      <c r="AE202">
        <v>810542.19519999996</v>
      </c>
      <c r="AF202">
        <v>734850.51240000001</v>
      </c>
      <c r="AG202">
        <v>700670.67480000004</v>
      </c>
      <c r="AH202">
        <v>666751.81940000004</v>
      </c>
      <c r="AI202">
        <v>612095.10739999998</v>
      </c>
      <c r="AJ202">
        <v>558917</v>
      </c>
      <c r="AK202">
        <v>505876.97129999998</v>
      </c>
      <c r="AL202">
        <v>596631.68299999996</v>
      </c>
      <c r="AM202">
        <v>687872.88190000004</v>
      </c>
      <c r="AN202">
        <v>615603.91410000005</v>
      </c>
      <c r="AO202">
        <v>543364.87659999996</v>
      </c>
      <c r="AP202">
        <v>469977.06290000002</v>
      </c>
      <c r="AQ202">
        <v>396710.76870000002</v>
      </c>
      <c r="AR202">
        <v>322029.25939999998</v>
      </c>
      <c r="AS202">
        <v>355843.04680000001</v>
      </c>
      <c r="AT202">
        <v>389732.78100000002</v>
      </c>
      <c r="AU202">
        <v>423282.70770000003</v>
      </c>
      <c r="AV202">
        <v>457123.09350000002</v>
      </c>
      <c r="AW202">
        <v>490554.65179999999</v>
      </c>
    </row>
    <row r="203" spans="2:49" x14ac:dyDescent="0.25">
      <c r="B203" s="274" t="s">
        <v>274</v>
      </c>
      <c r="C203">
        <v>3833938.33697946</v>
      </c>
      <c r="D203">
        <v>3895493.45710216</v>
      </c>
      <c r="E203">
        <v>3971606.355</v>
      </c>
      <c r="F203">
        <v>3915086.409</v>
      </c>
      <c r="G203">
        <v>3856781.9440000001</v>
      </c>
      <c r="H203">
        <v>3486977.7820000001</v>
      </c>
      <c r="I203">
        <v>3577585.1460000002</v>
      </c>
      <c r="J203">
        <v>3586022.7570000002</v>
      </c>
      <c r="K203">
        <v>3461359.1540000001</v>
      </c>
      <c r="L203">
        <v>3381760.8250000002</v>
      </c>
      <c r="M203">
        <v>3323987.628</v>
      </c>
      <c r="N203">
        <v>3325359.6639999999</v>
      </c>
      <c r="O203">
        <v>3433338.9580000001</v>
      </c>
      <c r="P203">
        <v>3598422.344</v>
      </c>
      <c r="Q203">
        <v>3682987.9920000001</v>
      </c>
      <c r="R203">
        <v>3827804.0180000002</v>
      </c>
      <c r="S203">
        <v>3902456.36</v>
      </c>
      <c r="T203">
        <v>3765823.1660000002</v>
      </c>
      <c r="U203">
        <v>3651922.2390000001</v>
      </c>
      <c r="V203">
        <v>3523580.4810000001</v>
      </c>
      <c r="W203">
        <v>3284465.0890000002</v>
      </c>
      <c r="X203">
        <v>3056668.1749999998</v>
      </c>
      <c r="Y203">
        <v>2819988.7779999999</v>
      </c>
      <c r="Z203">
        <v>2625881.1549999998</v>
      </c>
      <c r="AA203">
        <v>2449011.4700000002</v>
      </c>
      <c r="AB203">
        <v>2288338.3229999999</v>
      </c>
      <c r="AC203">
        <v>2139322.622</v>
      </c>
      <c r="AD203">
        <v>1955546.7109999999</v>
      </c>
      <c r="AE203">
        <v>1777092.0989999999</v>
      </c>
      <c r="AF203">
        <v>1602169.375</v>
      </c>
      <c r="AG203">
        <v>1517996.0220000001</v>
      </c>
      <c r="AH203">
        <v>1436384.5109999999</v>
      </c>
      <c r="AI203">
        <v>1311616.4550000001</v>
      </c>
      <c r="AJ203">
        <v>1189137.28</v>
      </c>
      <c r="AK203">
        <v>1068266.3319999999</v>
      </c>
      <c r="AL203">
        <v>1256075.051</v>
      </c>
      <c r="AM203">
        <v>1443059.165</v>
      </c>
      <c r="AN203">
        <v>1284391.264</v>
      </c>
      <c r="AO203">
        <v>1126224.8289999999</v>
      </c>
      <c r="AP203">
        <v>967550.72320000001</v>
      </c>
      <c r="AQ203">
        <v>809145.69059999997</v>
      </c>
      <c r="AR203">
        <v>650542.80909999995</v>
      </c>
      <c r="AS203">
        <v>714923.63130000001</v>
      </c>
      <c r="AT203">
        <v>779060.6372</v>
      </c>
      <c r="AU203">
        <v>842561.84779999999</v>
      </c>
      <c r="AV203">
        <v>905936.57239999995</v>
      </c>
      <c r="AW203">
        <v>968490.01540000003</v>
      </c>
    </row>
    <row r="204" spans="2:49" x14ac:dyDescent="0.25">
      <c r="B204" s="274" t="s">
        <v>275</v>
      </c>
      <c r="C204">
        <v>271678.64339116903</v>
      </c>
      <c r="D204">
        <v>276040.53188776103</v>
      </c>
      <c r="E204">
        <v>280472.45189999999</v>
      </c>
      <c r="F204">
        <v>284750.94309999997</v>
      </c>
      <c r="G204">
        <v>265059.72590000002</v>
      </c>
      <c r="H204">
        <v>226474.97500000001</v>
      </c>
      <c r="I204">
        <v>231955.90340000001</v>
      </c>
      <c r="J204">
        <v>229155.48639999999</v>
      </c>
      <c r="K204">
        <v>206422.76740000001</v>
      </c>
      <c r="L204">
        <v>189758.11350000001</v>
      </c>
      <c r="M204">
        <v>184506.0447</v>
      </c>
      <c r="N204">
        <v>193236.3689</v>
      </c>
      <c r="O204">
        <v>193954.21900000001</v>
      </c>
      <c r="P204">
        <v>194802.35029999999</v>
      </c>
      <c r="Q204">
        <v>185337.57070000001</v>
      </c>
      <c r="R204">
        <v>175069.80429999999</v>
      </c>
      <c r="S204">
        <v>172278.86799999999</v>
      </c>
      <c r="T204">
        <v>164328.35990000001</v>
      </c>
      <c r="U204">
        <v>158308.11439999999</v>
      </c>
      <c r="V204">
        <v>153613.2213</v>
      </c>
      <c r="W204">
        <v>114559.357</v>
      </c>
      <c r="X204">
        <v>85381.426779999994</v>
      </c>
      <c r="Y204">
        <v>66062.531260000003</v>
      </c>
      <c r="Z204">
        <v>53100.557370000002</v>
      </c>
      <c r="AA204">
        <v>43763.99267</v>
      </c>
      <c r="AB204">
        <v>36699.430059999999</v>
      </c>
      <c r="AC204">
        <v>31302.117880000002</v>
      </c>
      <c r="AD204">
        <v>28002.280599999998</v>
      </c>
      <c r="AE204">
        <v>25362.725930000001</v>
      </c>
      <c r="AF204">
        <v>22852.761210000001</v>
      </c>
      <c r="AG204">
        <v>21677.349539999999</v>
      </c>
      <c r="AH204">
        <v>20532.718209999999</v>
      </c>
      <c r="AI204">
        <v>18759.916990000002</v>
      </c>
      <c r="AJ204">
        <v>17036.342670000002</v>
      </c>
      <c r="AK204">
        <v>15323.026970000001</v>
      </c>
      <c r="AL204">
        <v>17980.327420000001</v>
      </c>
      <c r="AM204">
        <v>20638.505369999999</v>
      </c>
      <c r="AN204">
        <v>18369.350760000001</v>
      </c>
      <c r="AO204">
        <v>16109.620639999999</v>
      </c>
      <c r="AP204">
        <v>13837.79897</v>
      </c>
      <c r="AQ204">
        <v>11594.28551</v>
      </c>
      <c r="AR204">
        <v>9343.4230349999998</v>
      </c>
      <c r="AS204">
        <v>10253.124299999999</v>
      </c>
      <c r="AT204">
        <v>11162.91035</v>
      </c>
      <c r="AU204">
        <v>12053.87088</v>
      </c>
      <c r="AV204">
        <v>12942.94541</v>
      </c>
      <c r="AW204">
        <v>13809.9359</v>
      </c>
    </row>
    <row r="205" spans="2:49" x14ac:dyDescent="0.25">
      <c r="B205" s="274" t="s">
        <v>276</v>
      </c>
      <c r="C205">
        <v>2033071.8879050901</v>
      </c>
      <c r="D205">
        <v>2065713.51468114</v>
      </c>
      <c r="E205">
        <v>2098879.213</v>
      </c>
      <c r="F205">
        <v>2053806.358</v>
      </c>
      <c r="G205">
        <v>1813835.0989999999</v>
      </c>
      <c r="H205">
        <v>1457423.325</v>
      </c>
      <c r="I205">
        <v>1525690.263</v>
      </c>
      <c r="J205">
        <v>1489816</v>
      </c>
      <c r="K205">
        <v>1348122.4410000001</v>
      </c>
      <c r="L205">
        <v>1314087.2819999999</v>
      </c>
      <c r="M205">
        <v>1306598.8910000001</v>
      </c>
      <c r="N205">
        <v>1318440.2860000001</v>
      </c>
      <c r="O205">
        <v>1292421.2420000001</v>
      </c>
      <c r="P205">
        <v>1336531.4950000001</v>
      </c>
      <c r="Q205">
        <v>1299551.601</v>
      </c>
      <c r="R205">
        <v>1237536.5330000001</v>
      </c>
      <c r="S205">
        <v>1221931.32</v>
      </c>
      <c r="T205">
        <v>1156393.0930000001</v>
      </c>
      <c r="U205">
        <v>1101675.8689999999</v>
      </c>
      <c r="V205">
        <v>1051456.73</v>
      </c>
      <c r="W205">
        <v>824741.97829999996</v>
      </c>
      <c r="X205">
        <v>634453.47809999995</v>
      </c>
      <c r="Y205">
        <v>508744.96269999997</v>
      </c>
      <c r="Z205">
        <v>420266.94530000002</v>
      </c>
      <c r="AA205">
        <v>352782.31140000001</v>
      </c>
      <c r="AB205">
        <v>299311.60249999998</v>
      </c>
      <c r="AC205">
        <v>256718.46400000001</v>
      </c>
      <c r="AD205">
        <v>232470.8787</v>
      </c>
      <c r="AE205">
        <v>212296.98550000001</v>
      </c>
      <c r="AF205">
        <v>192651.3933</v>
      </c>
      <c r="AG205">
        <v>184135.65640000001</v>
      </c>
      <c r="AH205">
        <v>175663.12220000001</v>
      </c>
      <c r="AI205">
        <v>161513.0453</v>
      </c>
      <c r="AJ205">
        <v>147747.1128</v>
      </c>
      <c r="AK205">
        <v>133965.92129999999</v>
      </c>
      <c r="AL205">
        <v>158452.16320000001</v>
      </c>
      <c r="AM205">
        <v>183335.97940000001</v>
      </c>
      <c r="AN205">
        <v>163990.26130000001</v>
      </c>
      <c r="AO205">
        <v>144425.14309999999</v>
      </c>
      <c r="AP205">
        <v>124546.2069</v>
      </c>
      <c r="AQ205">
        <v>104684.2271</v>
      </c>
      <c r="AR205">
        <v>84537.470849999998</v>
      </c>
      <c r="AS205">
        <v>93253.518729999996</v>
      </c>
      <c r="AT205">
        <v>101994.5465</v>
      </c>
      <c r="AU205">
        <v>110641.7675</v>
      </c>
      <c r="AV205">
        <v>119272.63280000001</v>
      </c>
      <c r="AW205">
        <v>127794.9048</v>
      </c>
    </row>
    <row r="206" spans="2:49" x14ac:dyDescent="0.25">
      <c r="B206" s="274" t="s">
        <v>277</v>
      </c>
      <c r="C206">
        <v>611949.61832884501</v>
      </c>
      <c r="D206">
        <v>621774.66739182698</v>
      </c>
      <c r="E206">
        <v>631757.4608</v>
      </c>
      <c r="F206">
        <v>619921.91099999996</v>
      </c>
      <c r="G206">
        <v>558285.82259999996</v>
      </c>
      <c r="H206">
        <v>468679.15039999998</v>
      </c>
      <c r="I206">
        <v>502311.10230000003</v>
      </c>
      <c r="J206">
        <v>485595.12939999998</v>
      </c>
      <c r="K206">
        <v>437656.63339999999</v>
      </c>
      <c r="L206">
        <v>415209.50640000001</v>
      </c>
      <c r="M206">
        <v>413497.68060000002</v>
      </c>
      <c r="N206">
        <v>413713.69160000002</v>
      </c>
      <c r="O206">
        <v>383574.46299999999</v>
      </c>
      <c r="P206">
        <v>370917.6372</v>
      </c>
      <c r="Q206">
        <v>329910.28129999997</v>
      </c>
      <c r="R206">
        <v>303987.65549999999</v>
      </c>
      <c r="S206">
        <v>297048.57939999999</v>
      </c>
      <c r="T206">
        <v>290401.57980000001</v>
      </c>
      <c r="U206">
        <v>285158.00410000002</v>
      </c>
      <c r="V206">
        <v>283013.00719999999</v>
      </c>
      <c r="W206">
        <v>211652.89259999999</v>
      </c>
      <c r="X206">
        <v>157112.37210000001</v>
      </c>
      <c r="Y206">
        <v>118111.2645</v>
      </c>
      <c r="Z206">
        <v>92555.698560000004</v>
      </c>
      <c r="AA206">
        <v>74552.918810000003</v>
      </c>
      <c r="AB206">
        <v>61268.947950000002</v>
      </c>
      <c r="AC206">
        <v>51316.378349999999</v>
      </c>
      <c r="AD206">
        <v>46223.656540000004</v>
      </c>
      <c r="AE206">
        <v>42335.201289999997</v>
      </c>
      <c r="AF206">
        <v>38594.064330000001</v>
      </c>
      <c r="AG206">
        <v>37059.176599999999</v>
      </c>
      <c r="AH206">
        <v>35539.553760000003</v>
      </c>
      <c r="AI206">
        <v>32861.055240000002</v>
      </c>
      <c r="AJ206">
        <v>30185.707859999999</v>
      </c>
      <c r="AK206">
        <v>27470.180469999999</v>
      </c>
      <c r="AL206">
        <v>32611.960709999999</v>
      </c>
      <c r="AM206">
        <v>37863.066290000002</v>
      </c>
      <c r="AN206">
        <v>34116.263010000002</v>
      </c>
      <c r="AO206">
        <v>30289.969389999998</v>
      </c>
      <c r="AP206">
        <v>26334.718150000001</v>
      </c>
      <c r="AQ206">
        <v>22315.496019999999</v>
      </c>
      <c r="AR206">
        <v>18169.224050000001</v>
      </c>
      <c r="AS206">
        <v>20177.328369999999</v>
      </c>
      <c r="AT206">
        <v>22225.390810000001</v>
      </c>
      <c r="AU206">
        <v>24286.77594</v>
      </c>
      <c r="AV206">
        <v>26385.289939999999</v>
      </c>
      <c r="AW206">
        <v>28497.803929999998</v>
      </c>
    </row>
    <row r="207" spans="2:49" x14ac:dyDescent="0.25">
      <c r="B207" s="274" t="s">
        <v>278</v>
      </c>
      <c r="C207">
        <v>8749188.7351059392</v>
      </c>
      <c r="D207">
        <v>8889659.7902533505</v>
      </c>
      <c r="E207">
        <v>9032386.1539999899</v>
      </c>
      <c r="F207">
        <v>9098592.0519999899</v>
      </c>
      <c r="G207">
        <v>8695048.9869999997</v>
      </c>
      <c r="H207">
        <v>7703088.1579999998</v>
      </c>
      <c r="I207">
        <v>7799805.1509999996</v>
      </c>
      <c r="J207">
        <v>7705488.0710000005</v>
      </c>
      <c r="K207">
        <v>7213136.29</v>
      </c>
      <c r="L207">
        <v>6821261.3320000004</v>
      </c>
      <c r="M207">
        <v>6643812.023</v>
      </c>
      <c r="N207">
        <v>6542408.4249999998</v>
      </c>
      <c r="O207">
        <v>6778586.0640000002</v>
      </c>
      <c r="P207">
        <v>6986188.3619999997</v>
      </c>
      <c r="Q207">
        <v>6806894.8969999999</v>
      </c>
      <c r="R207">
        <v>6902699.3530000001</v>
      </c>
      <c r="S207">
        <v>7066834.9270000001</v>
      </c>
      <c r="T207">
        <v>6939833.3459999999</v>
      </c>
      <c r="U207">
        <v>6796047.6979999999</v>
      </c>
      <c r="V207">
        <v>6704624.1679999996</v>
      </c>
      <c r="W207">
        <v>5226564.9790000003</v>
      </c>
      <c r="X207">
        <v>4075318.5630000001</v>
      </c>
      <c r="Y207">
        <v>3218631.213</v>
      </c>
      <c r="Z207">
        <v>2623352.7919999999</v>
      </c>
      <c r="AA207">
        <v>2178604.6770000001</v>
      </c>
      <c r="AB207">
        <v>1830588.723</v>
      </c>
      <c r="AC207">
        <v>1559520.79</v>
      </c>
      <c r="AD207">
        <v>1408114.38</v>
      </c>
      <c r="AE207">
        <v>1285460.496</v>
      </c>
      <c r="AF207">
        <v>1166802.6740000001</v>
      </c>
      <c r="AG207">
        <v>1115024.703</v>
      </c>
      <c r="AH207">
        <v>1064869.2960000001</v>
      </c>
      <c r="AI207">
        <v>980445.14130000002</v>
      </c>
      <c r="AJ207">
        <v>897252.01760000002</v>
      </c>
      <c r="AK207">
        <v>813517.19889999996</v>
      </c>
      <c r="AL207">
        <v>961904.47849999997</v>
      </c>
      <c r="AM207">
        <v>1113454.719</v>
      </c>
      <c r="AN207">
        <v>1000523.593</v>
      </c>
      <c r="AO207">
        <v>885768.92980000004</v>
      </c>
      <c r="AP207">
        <v>767713.45730000001</v>
      </c>
      <c r="AQ207">
        <v>648648.23860000004</v>
      </c>
      <c r="AR207">
        <v>526718.52060000005</v>
      </c>
      <c r="AS207">
        <v>582727.69869999995</v>
      </c>
      <c r="AT207">
        <v>639721.5024</v>
      </c>
      <c r="AU207">
        <v>696660.59790000005</v>
      </c>
      <c r="AV207">
        <v>754391.24010000005</v>
      </c>
      <c r="AW207">
        <v>811898.57350000006</v>
      </c>
    </row>
    <row r="208" spans="2:49" x14ac:dyDescent="0.25">
      <c r="B208" s="274" t="s">
        <v>279</v>
      </c>
      <c r="C208">
        <v>583434.83019375498</v>
      </c>
      <c r="D208">
        <v>592802.06510985899</v>
      </c>
      <c r="E208">
        <v>602319.69400000002</v>
      </c>
      <c r="F208">
        <v>629702.99320000003</v>
      </c>
      <c r="G208">
        <v>616941.32270000002</v>
      </c>
      <c r="H208">
        <v>536169.5514</v>
      </c>
      <c r="I208">
        <v>534807.43099999998</v>
      </c>
      <c r="J208">
        <v>545046.84420000005</v>
      </c>
      <c r="K208">
        <v>520636.78840000002</v>
      </c>
      <c r="L208">
        <v>504873.53139999998</v>
      </c>
      <c r="M208">
        <v>469160.32819999999</v>
      </c>
      <c r="N208">
        <v>428179.90120000002</v>
      </c>
      <c r="O208">
        <v>412311.00579999998</v>
      </c>
      <c r="P208">
        <v>410924.56050000002</v>
      </c>
      <c r="Q208">
        <v>394289.0969</v>
      </c>
      <c r="R208">
        <v>395370.51020000002</v>
      </c>
      <c r="S208">
        <v>397526.66639999999</v>
      </c>
      <c r="T208">
        <v>394314.2758</v>
      </c>
      <c r="U208">
        <v>383779.38260000001</v>
      </c>
      <c r="V208">
        <v>380568.3652</v>
      </c>
      <c r="W208">
        <v>371012.54399999999</v>
      </c>
      <c r="X208">
        <v>356640.48590000003</v>
      </c>
      <c r="Y208">
        <v>342439.99900000001</v>
      </c>
      <c r="Z208">
        <v>327978.80650000001</v>
      </c>
      <c r="AA208">
        <v>311828.17200000002</v>
      </c>
      <c r="AB208">
        <v>294311.72659999999</v>
      </c>
      <c r="AC208">
        <v>279750.50429999997</v>
      </c>
      <c r="AD208">
        <v>259526.40179999999</v>
      </c>
      <c r="AE208">
        <v>237679.9817</v>
      </c>
      <c r="AF208">
        <v>215191.48879999999</v>
      </c>
      <c r="AG208">
        <v>203563.81770000001</v>
      </c>
      <c r="AH208">
        <v>193136.52290000001</v>
      </c>
      <c r="AI208">
        <v>176017.95540000001</v>
      </c>
      <c r="AJ208">
        <v>159004.08050000001</v>
      </c>
      <c r="AK208">
        <v>142630.87210000001</v>
      </c>
      <c r="AL208">
        <v>164292.7536</v>
      </c>
      <c r="AM208">
        <v>185985.67480000001</v>
      </c>
      <c r="AN208">
        <v>167486.8357</v>
      </c>
      <c r="AO208">
        <v>148383.2231</v>
      </c>
      <c r="AP208">
        <v>128581.4301</v>
      </c>
      <c r="AQ208">
        <v>109028.17819999999</v>
      </c>
      <c r="AR208">
        <v>88800.408479999998</v>
      </c>
      <c r="AS208">
        <v>97040.085219999906</v>
      </c>
      <c r="AT208">
        <v>105569.4176</v>
      </c>
      <c r="AU208">
        <v>113858.7588</v>
      </c>
      <c r="AV208">
        <v>122143.3639</v>
      </c>
      <c r="AW208">
        <v>130650.0576</v>
      </c>
    </row>
    <row r="209" spans="2:49" x14ac:dyDescent="0.25">
      <c r="B209" s="274" t="s">
        <v>280</v>
      </c>
      <c r="C209">
        <v>40605.282443966003</v>
      </c>
      <c r="D209">
        <v>41257.2133877546</v>
      </c>
      <c r="E209">
        <v>41919.611290000001</v>
      </c>
      <c r="F209">
        <v>42278.30472</v>
      </c>
      <c r="G209">
        <v>39979.208279999999</v>
      </c>
      <c r="H209">
        <v>37078.391459999999</v>
      </c>
      <c r="I209">
        <v>38252.033490000002</v>
      </c>
      <c r="J209">
        <v>37677.550519999997</v>
      </c>
      <c r="K209">
        <v>35698.402249999999</v>
      </c>
      <c r="L209">
        <v>35360.985719999997</v>
      </c>
      <c r="M209">
        <v>35882.770400000001</v>
      </c>
      <c r="N209">
        <v>36926.617660000004</v>
      </c>
      <c r="O209">
        <v>39516.284399999997</v>
      </c>
      <c r="P209">
        <v>41893.697769999999</v>
      </c>
      <c r="Q209">
        <v>40709.32144</v>
      </c>
      <c r="R209">
        <v>40907.867169999998</v>
      </c>
      <c r="S209">
        <v>46624.27506</v>
      </c>
      <c r="T209">
        <v>47875.973839999999</v>
      </c>
      <c r="U209">
        <v>47129.222860000002</v>
      </c>
      <c r="V209">
        <v>46249.438170000001</v>
      </c>
      <c r="W209">
        <v>47444.660239999997</v>
      </c>
      <c r="X209">
        <v>47992.011319999998</v>
      </c>
      <c r="Y209">
        <v>45930.92441</v>
      </c>
      <c r="Z209">
        <v>44047.446250000001</v>
      </c>
      <c r="AA209">
        <v>42100.798620000001</v>
      </c>
      <c r="AB209">
        <v>40341.040229999999</v>
      </c>
      <c r="AC209">
        <v>38692.496099999997</v>
      </c>
      <c r="AD209">
        <v>35746.066859999999</v>
      </c>
      <c r="AE209">
        <v>32736.525750000001</v>
      </c>
      <c r="AF209">
        <v>29706.904399999999</v>
      </c>
      <c r="AG209">
        <v>28282.21515</v>
      </c>
      <c r="AH209">
        <v>26847.07762</v>
      </c>
      <c r="AI209">
        <v>24538.726279999999</v>
      </c>
      <c r="AJ209">
        <v>22259.479309999999</v>
      </c>
      <c r="AK209">
        <v>19993.827570000001</v>
      </c>
      <c r="AL209">
        <v>23279.017970000001</v>
      </c>
      <c r="AM209">
        <v>26504.698649999998</v>
      </c>
      <c r="AN209">
        <v>23701.548569999999</v>
      </c>
      <c r="AO209">
        <v>20875.744650000001</v>
      </c>
      <c r="AP209">
        <v>17997.563289999998</v>
      </c>
      <c r="AQ209">
        <v>15120.206120000001</v>
      </c>
      <c r="AR209">
        <v>12218.19779</v>
      </c>
      <c r="AS209">
        <v>13355.38</v>
      </c>
      <c r="AT209">
        <v>14482.60262</v>
      </c>
      <c r="AU209">
        <v>15578.3843</v>
      </c>
      <c r="AV209">
        <v>16667.393479999999</v>
      </c>
      <c r="AW209">
        <v>17718.433079999999</v>
      </c>
    </row>
    <row r="210" spans="2:49" x14ac:dyDescent="0.25">
      <c r="B210" s="274" t="s">
        <v>281</v>
      </c>
      <c r="C210">
        <v>55091.732691944802</v>
      </c>
      <c r="D210">
        <v>55976.248280239903</v>
      </c>
      <c r="E210">
        <v>56874.991609999997</v>
      </c>
      <c r="F210">
        <v>59885.055180000003</v>
      </c>
      <c r="G210">
        <v>61049.430540000001</v>
      </c>
      <c r="H210">
        <v>61285.864500000003</v>
      </c>
      <c r="I210">
        <v>64170.211900000002</v>
      </c>
      <c r="J210">
        <v>66252.148379999999</v>
      </c>
      <c r="K210">
        <v>67624.240770000004</v>
      </c>
      <c r="L210">
        <v>69393.583719999995</v>
      </c>
      <c r="M210">
        <v>71261.271670000002</v>
      </c>
      <c r="N210">
        <v>72197.114400000006</v>
      </c>
      <c r="O210">
        <v>71600.809460000004</v>
      </c>
      <c r="P210">
        <v>74410.080440000005</v>
      </c>
      <c r="Q210">
        <v>76351.948210000002</v>
      </c>
      <c r="R210">
        <v>83421.790779999996</v>
      </c>
      <c r="S210">
        <v>99121.406929999997</v>
      </c>
      <c r="T210">
        <v>109698.9486</v>
      </c>
      <c r="U210">
        <v>116863.0667</v>
      </c>
      <c r="V210">
        <v>119998.355</v>
      </c>
      <c r="W210">
        <v>136855.38</v>
      </c>
      <c r="X210">
        <v>149677.58379999999</v>
      </c>
      <c r="Y210">
        <v>154080.342</v>
      </c>
      <c r="Z210">
        <v>158041.0165</v>
      </c>
      <c r="AA210">
        <v>161611.8854</v>
      </c>
      <c r="AB210">
        <v>164835.6735</v>
      </c>
      <c r="AC210">
        <v>167465.43590000001</v>
      </c>
      <c r="AD210">
        <v>144202.27960000001</v>
      </c>
      <c r="AE210">
        <v>122426.85980000001</v>
      </c>
      <c r="AF210">
        <v>102278.8409</v>
      </c>
      <c r="AG210">
        <v>89235.52738</v>
      </c>
      <c r="AH210">
        <v>77064.155660000004</v>
      </c>
      <c r="AI210">
        <v>63118.170700000002</v>
      </c>
      <c r="AJ210">
        <v>50562.271670000002</v>
      </c>
      <c r="AK210">
        <v>39383.692260000003</v>
      </c>
      <c r="AL210">
        <v>39185.050340000002</v>
      </c>
      <c r="AM210">
        <v>36816.104590000003</v>
      </c>
      <c r="AN210">
        <v>31408.11507</v>
      </c>
      <c r="AO210">
        <v>26359.366720000002</v>
      </c>
      <c r="AP210">
        <v>21637.45046</v>
      </c>
      <c r="AQ210">
        <v>17259.857179999999</v>
      </c>
      <c r="AR210">
        <v>13228.28241</v>
      </c>
      <c r="AS210">
        <v>14942.7305</v>
      </c>
      <c r="AT210">
        <v>16732.554619999999</v>
      </c>
      <c r="AU210">
        <v>18581.97363</v>
      </c>
      <c r="AV210">
        <v>20507.21099</v>
      </c>
      <c r="AW210">
        <v>22422.653849999999</v>
      </c>
    </row>
    <row r="211" spans="2:49" x14ac:dyDescent="0.25">
      <c r="B211" s="274" t="s">
        <v>282</v>
      </c>
      <c r="C211">
        <v>53959.065015136701</v>
      </c>
      <c r="D211">
        <v>54825.395257508797</v>
      </c>
      <c r="E211">
        <v>55842.575900000003</v>
      </c>
      <c r="F211">
        <v>63909.85527</v>
      </c>
      <c r="G211">
        <v>70437.844320000004</v>
      </c>
      <c r="H211">
        <v>75636.268360000002</v>
      </c>
      <c r="I211">
        <v>82832.125</v>
      </c>
      <c r="J211">
        <v>88951.909039999999</v>
      </c>
      <c r="K211">
        <v>93904.528869999995</v>
      </c>
      <c r="L211">
        <v>98149.622069999998</v>
      </c>
      <c r="M211">
        <v>100733.2092</v>
      </c>
      <c r="N211">
        <v>100900.97930000001</v>
      </c>
      <c r="O211">
        <v>110770.43700000001</v>
      </c>
      <c r="P211">
        <v>122502.62390000001</v>
      </c>
      <c r="Q211">
        <v>134994.33730000001</v>
      </c>
      <c r="R211">
        <v>149528.1931</v>
      </c>
      <c r="S211">
        <v>167429.4393</v>
      </c>
      <c r="T211">
        <v>244993.12729999999</v>
      </c>
      <c r="U211">
        <v>301032.71669999999</v>
      </c>
      <c r="V211">
        <v>338793.85100000002</v>
      </c>
      <c r="W211">
        <v>312185.80579999997</v>
      </c>
      <c r="X211">
        <v>282440.01429999998</v>
      </c>
      <c r="Y211">
        <v>282327.63459999999</v>
      </c>
      <c r="Z211">
        <v>280852.38370000001</v>
      </c>
      <c r="AA211">
        <v>277800.02980000002</v>
      </c>
      <c r="AB211">
        <v>272945.674</v>
      </c>
      <c r="AC211">
        <v>267560.34159999999</v>
      </c>
      <c r="AD211">
        <v>240036.70319999999</v>
      </c>
      <c r="AE211">
        <v>213616.70499999999</v>
      </c>
      <c r="AF211">
        <v>188449.09659999999</v>
      </c>
      <c r="AG211">
        <v>174693.98869999999</v>
      </c>
      <c r="AH211">
        <v>161910.5667</v>
      </c>
      <c r="AI211">
        <v>145389.72409999999</v>
      </c>
      <c r="AJ211">
        <v>129605.9227</v>
      </c>
      <c r="AK211">
        <v>114439.77559999999</v>
      </c>
      <c r="AL211">
        <v>132253.8744</v>
      </c>
      <c r="AM211">
        <v>149550.64249999999</v>
      </c>
      <c r="AN211">
        <v>139137.6096</v>
      </c>
      <c r="AO211">
        <v>127275.0275</v>
      </c>
      <c r="AP211">
        <v>113560.89260000001</v>
      </c>
      <c r="AQ211">
        <v>98814.516470000002</v>
      </c>
      <c r="AR211">
        <v>82559.068339999998</v>
      </c>
      <c r="AS211">
        <v>94644.426600000006</v>
      </c>
      <c r="AT211">
        <v>107688.325</v>
      </c>
      <c r="AU211">
        <v>121078.69040000001</v>
      </c>
      <c r="AV211">
        <v>135382.6735</v>
      </c>
      <c r="AW211">
        <v>149827.05160000001</v>
      </c>
    </row>
    <row r="212" spans="2:49" x14ac:dyDescent="0.25">
      <c r="B212" s="274" t="s">
        <v>283</v>
      </c>
      <c r="C212">
        <v>216238.436565001</v>
      </c>
      <c r="D212">
        <v>219710.21460835601</v>
      </c>
      <c r="E212">
        <v>223237.73319999999</v>
      </c>
      <c r="F212">
        <v>250920.11979999999</v>
      </c>
      <c r="G212">
        <v>211181.60699999999</v>
      </c>
      <c r="H212">
        <v>142112.60269999999</v>
      </c>
      <c r="I212">
        <v>170120.51850000001</v>
      </c>
      <c r="J212">
        <v>136481.8841</v>
      </c>
      <c r="K212">
        <v>157577.12</v>
      </c>
      <c r="L212">
        <v>137346.56419999999</v>
      </c>
      <c r="M212">
        <v>110319.2167</v>
      </c>
      <c r="N212">
        <v>89115.605859999996</v>
      </c>
      <c r="O212">
        <v>67415.236690000005</v>
      </c>
      <c r="P212">
        <v>64260.05472</v>
      </c>
      <c r="Q212">
        <v>57827.3851</v>
      </c>
      <c r="R212">
        <v>57499.71355</v>
      </c>
      <c r="S212">
        <v>57277.411899999999</v>
      </c>
      <c r="T212">
        <v>55362.026409999999</v>
      </c>
      <c r="U212">
        <v>54892.588150000003</v>
      </c>
      <c r="V212">
        <v>54549.341619999999</v>
      </c>
      <c r="W212">
        <v>54391.366309999998</v>
      </c>
      <c r="X212">
        <v>53615.328560000002</v>
      </c>
      <c r="Y212">
        <v>52347.107080000002</v>
      </c>
      <c r="Z212">
        <v>51178.749730000003</v>
      </c>
      <c r="AA212">
        <v>49921.978150000003</v>
      </c>
      <c r="AB212">
        <v>42177.274270000002</v>
      </c>
      <c r="AC212">
        <v>36252.904219999997</v>
      </c>
      <c r="AD212">
        <v>32964.359819999998</v>
      </c>
      <c r="AE212">
        <v>30428.26514</v>
      </c>
      <c r="AF212">
        <v>28159.719550000002</v>
      </c>
      <c r="AG212">
        <v>26825.489799999999</v>
      </c>
      <c r="AH212">
        <v>25488.63968</v>
      </c>
      <c r="AI212">
        <v>24114.151259999999</v>
      </c>
      <c r="AJ212">
        <v>22838.46429</v>
      </c>
      <c r="AK212">
        <v>21511.327450000001</v>
      </c>
      <c r="AL212">
        <v>23572.86781</v>
      </c>
      <c r="AM212">
        <v>24887.779070000001</v>
      </c>
      <c r="AN212">
        <v>22484.278600000001</v>
      </c>
      <c r="AO212">
        <v>20521.271219999999</v>
      </c>
      <c r="AP212">
        <v>18581.667969999999</v>
      </c>
      <c r="AQ212">
        <v>16587.725559999999</v>
      </c>
      <c r="AR212">
        <v>14449.68795</v>
      </c>
      <c r="AS212">
        <v>15324.87689</v>
      </c>
      <c r="AT212">
        <v>15801.909809999999</v>
      </c>
      <c r="AU212">
        <v>16129.210660000001</v>
      </c>
      <c r="AV212">
        <v>16383.53357</v>
      </c>
      <c r="AW212">
        <v>16565.420959999999</v>
      </c>
    </row>
    <row r="213" spans="2:49" x14ac:dyDescent="0.25">
      <c r="B213" s="274" t="s">
        <v>284</v>
      </c>
      <c r="C213">
        <v>215538.66868192199</v>
      </c>
      <c r="D213">
        <v>218999.21172556799</v>
      </c>
      <c r="E213">
        <v>222515.3149</v>
      </c>
      <c r="F213">
        <v>227738.7561</v>
      </c>
      <c r="G213">
        <v>226117.95110000001</v>
      </c>
      <c r="H213">
        <v>174000.3302</v>
      </c>
      <c r="I213">
        <v>128448.6758</v>
      </c>
      <c r="J213">
        <v>129708.39629999999</v>
      </c>
      <c r="K213">
        <v>126988.4063</v>
      </c>
      <c r="L213">
        <v>120319.0384</v>
      </c>
      <c r="M213">
        <v>115518.7209</v>
      </c>
      <c r="N213">
        <v>112566.02959999999</v>
      </c>
      <c r="O213">
        <v>101638.5843</v>
      </c>
      <c r="P213">
        <v>95878.688559999995</v>
      </c>
      <c r="Q213">
        <v>95853.247289999999</v>
      </c>
      <c r="R213">
        <v>87951.913530000005</v>
      </c>
      <c r="S213">
        <v>79131.912259999997</v>
      </c>
      <c r="T213">
        <v>67375.883889999997</v>
      </c>
      <c r="U213">
        <v>57252.815320000002</v>
      </c>
      <c r="V213">
        <v>48528.691290000002</v>
      </c>
      <c r="W213">
        <v>41293.338239999997</v>
      </c>
      <c r="X213">
        <v>34618.366909999997</v>
      </c>
      <c r="Y213">
        <v>32707.797119999999</v>
      </c>
      <c r="Z213">
        <v>31719.342489999999</v>
      </c>
      <c r="AA213">
        <v>30900.972839999999</v>
      </c>
      <c r="AB213">
        <v>30149.93015</v>
      </c>
      <c r="AC213">
        <v>29496.027020000001</v>
      </c>
      <c r="AD213">
        <v>28162.32618</v>
      </c>
      <c r="AE213">
        <v>26825.543580000001</v>
      </c>
      <c r="AF213">
        <v>25449.72219</v>
      </c>
      <c r="AG213">
        <v>24772.831770000001</v>
      </c>
      <c r="AH213">
        <v>23991.719280000001</v>
      </c>
      <c r="AI213">
        <v>22694.218349999999</v>
      </c>
      <c r="AJ213">
        <v>21400.3423</v>
      </c>
      <c r="AK213">
        <v>20045.793559999998</v>
      </c>
      <c r="AL213">
        <v>21938.948090000002</v>
      </c>
      <c r="AM213">
        <v>23132.54221</v>
      </c>
      <c r="AN213">
        <v>20510.881730000001</v>
      </c>
      <c r="AO213">
        <v>18324.119190000001</v>
      </c>
      <c r="AP213">
        <v>16236.74482</v>
      </c>
      <c r="AQ213">
        <v>14202.444100000001</v>
      </c>
      <c r="AR213">
        <v>12145.586810000001</v>
      </c>
      <c r="AS213">
        <v>12735.22407</v>
      </c>
      <c r="AT213">
        <v>13000.343510000001</v>
      </c>
      <c r="AU213">
        <v>13133.354139999999</v>
      </c>
      <c r="AV213">
        <v>13206.908719999999</v>
      </c>
      <c r="AW213">
        <v>13213.035900000001</v>
      </c>
    </row>
    <row r="214" spans="2:49" x14ac:dyDescent="0.25">
      <c r="B214" s="274" t="s">
        <v>285</v>
      </c>
      <c r="C214">
        <v>7946676.0051002903</v>
      </c>
      <c r="D214">
        <v>8074262.4587873695</v>
      </c>
      <c r="E214">
        <v>8203897.3540000003</v>
      </c>
      <c r="F214">
        <v>8641950.0289999899</v>
      </c>
      <c r="G214">
        <v>8735775.2650000006</v>
      </c>
      <c r="H214">
        <v>8520752.5150000006</v>
      </c>
      <c r="I214">
        <v>9131064.7929999996</v>
      </c>
      <c r="J214">
        <v>9444294.0969999898</v>
      </c>
      <c r="K214">
        <v>9384530.2550000008</v>
      </c>
      <c r="L214">
        <v>9557969.5659999996</v>
      </c>
      <c r="M214">
        <v>10131715.08</v>
      </c>
      <c r="N214">
        <v>11151049.98</v>
      </c>
      <c r="O214">
        <v>11733216.560000001</v>
      </c>
      <c r="P214">
        <v>11573665.51</v>
      </c>
      <c r="Q214">
        <v>10547929.52</v>
      </c>
      <c r="R214">
        <v>9864090.9480000008</v>
      </c>
      <c r="S214">
        <v>9465613.3430000003</v>
      </c>
      <c r="T214">
        <v>9036227.4639999997</v>
      </c>
      <c r="U214">
        <v>8625436.8200000003</v>
      </c>
      <c r="V214">
        <v>8279623.5719999997</v>
      </c>
      <c r="W214">
        <v>9947126.648</v>
      </c>
      <c r="X214">
        <v>11190355.439999999</v>
      </c>
      <c r="Y214">
        <v>11455627.970000001</v>
      </c>
      <c r="Z214">
        <v>11364933.539999999</v>
      </c>
      <c r="AA214">
        <v>10998769.93</v>
      </c>
      <c r="AB214">
        <v>10246364.140000001</v>
      </c>
      <c r="AC214">
        <v>9429471.6309999898</v>
      </c>
      <c r="AD214">
        <v>8431702.5309999995</v>
      </c>
      <c r="AE214">
        <v>7442629.8300000001</v>
      </c>
      <c r="AF214">
        <v>6511693.0750000002</v>
      </c>
      <c r="AG214">
        <v>5969290.4709999999</v>
      </c>
      <c r="AH214">
        <v>5461929.7180000003</v>
      </c>
      <c r="AI214">
        <v>4844883.3210000005</v>
      </c>
      <c r="AJ214">
        <v>4266019.66</v>
      </c>
      <c r="AK214">
        <v>3722923.0610000002</v>
      </c>
      <c r="AL214">
        <v>4182735.6179999998</v>
      </c>
      <c r="AM214">
        <v>4585205.4000000004</v>
      </c>
      <c r="AN214">
        <v>3963170.25</v>
      </c>
      <c r="AO214">
        <v>3379350.8870000001</v>
      </c>
      <c r="AP214">
        <v>2825458.6069999998</v>
      </c>
      <c r="AQ214">
        <v>2301965.7480000001</v>
      </c>
      <c r="AR214">
        <v>1805763.1780000001</v>
      </c>
      <c r="AS214">
        <v>1906354.3130000001</v>
      </c>
      <c r="AT214">
        <v>1992958.3319999999</v>
      </c>
      <c r="AU214">
        <v>2067190.1370000001</v>
      </c>
      <c r="AV214">
        <v>2132146.4959999998</v>
      </c>
      <c r="AW214">
        <v>2186725.5380000002</v>
      </c>
    </row>
    <row r="215" spans="2:49" x14ac:dyDescent="0.25">
      <c r="B215" s="274" t="s">
        <v>286</v>
      </c>
      <c r="C215">
        <v>4498800.2848123703</v>
      </c>
      <c r="D215">
        <v>4571029.97856321</v>
      </c>
      <c r="E215">
        <v>4644419.3430000003</v>
      </c>
      <c r="F215">
        <v>4706334.3470000001</v>
      </c>
      <c r="G215">
        <v>4636130.1440000003</v>
      </c>
      <c r="H215">
        <v>4772555.5329999998</v>
      </c>
      <c r="I215">
        <v>4893052.6629999997</v>
      </c>
      <c r="J215">
        <v>4891533.7470000004</v>
      </c>
      <c r="K215">
        <v>4804159.3229999999</v>
      </c>
      <c r="L215">
        <v>4855148.4970000004</v>
      </c>
      <c r="M215">
        <v>5023603.2649999997</v>
      </c>
      <c r="N215">
        <v>5385296.5630000001</v>
      </c>
      <c r="O215">
        <v>5522808.2120000003</v>
      </c>
      <c r="P215">
        <v>5327268.1050000004</v>
      </c>
      <c r="Q215">
        <v>4803251.2130000005</v>
      </c>
      <c r="R215">
        <v>4451566.3439999996</v>
      </c>
      <c r="S215">
        <v>4219680.4579999996</v>
      </c>
      <c r="T215">
        <v>4033646.4440000001</v>
      </c>
      <c r="U215">
        <v>3860982.9389999998</v>
      </c>
      <c r="V215">
        <v>3702622.7209999999</v>
      </c>
      <c r="W215">
        <v>4039848.5529999998</v>
      </c>
      <c r="X215">
        <v>4224418.9050000003</v>
      </c>
      <c r="Y215">
        <v>4141340.2949999999</v>
      </c>
      <c r="Z215">
        <v>3974128.8119999999</v>
      </c>
      <c r="AA215">
        <v>3748570.9160000002</v>
      </c>
      <c r="AB215">
        <v>3444635.801</v>
      </c>
      <c r="AC215">
        <v>3138128.327</v>
      </c>
      <c r="AD215">
        <v>2811779.3130000001</v>
      </c>
      <c r="AE215">
        <v>2491957.6260000002</v>
      </c>
      <c r="AF215">
        <v>2188749.807</v>
      </c>
      <c r="AG215">
        <v>2016639.9779999999</v>
      </c>
      <c r="AH215">
        <v>1854378.852</v>
      </c>
      <c r="AI215">
        <v>1650233.787</v>
      </c>
      <c r="AJ215">
        <v>1458191.121</v>
      </c>
      <c r="AK215">
        <v>1276812.7479999999</v>
      </c>
      <c r="AL215">
        <v>1445780.9669999999</v>
      </c>
      <c r="AM215">
        <v>1598152.0009999999</v>
      </c>
      <c r="AN215">
        <v>1385165.932</v>
      </c>
      <c r="AO215">
        <v>1183824.743</v>
      </c>
      <c r="AP215">
        <v>991920.25970000005</v>
      </c>
      <c r="AQ215">
        <v>809909.98019999999</v>
      </c>
      <c r="AR215">
        <v>636355.25959999999</v>
      </c>
      <c r="AS215">
        <v>675876.4277</v>
      </c>
      <c r="AT215">
        <v>711002.42810000002</v>
      </c>
      <c r="AU215">
        <v>742089.30530000001</v>
      </c>
      <c r="AV215">
        <v>770004.65650000004</v>
      </c>
      <c r="AW215">
        <v>794468.48309999995</v>
      </c>
    </row>
    <row r="216" spans="2:49" x14ac:dyDescent="0.25">
      <c r="B216" s="274" t="s">
        <v>287</v>
      </c>
      <c r="C216">
        <v>0.96864644472622397</v>
      </c>
      <c r="D216">
        <v>0.984198376713873</v>
      </c>
      <c r="E216">
        <v>1</v>
      </c>
      <c r="F216">
        <v>0.97837543179999997</v>
      </c>
      <c r="G216">
        <v>0.92144001630000005</v>
      </c>
      <c r="H216">
        <v>0.87005349949999999</v>
      </c>
      <c r="I216">
        <v>0.83656651650000002</v>
      </c>
      <c r="J216">
        <v>0.79457798769999999</v>
      </c>
      <c r="K216">
        <v>0.75006282049999995</v>
      </c>
      <c r="L216">
        <v>0.71461027610000005</v>
      </c>
      <c r="M216">
        <v>0.688383992</v>
      </c>
      <c r="N216">
        <v>0.66997340849999998</v>
      </c>
      <c r="O216">
        <v>0.6579909666</v>
      </c>
      <c r="P216">
        <v>0.64233122890000005</v>
      </c>
      <c r="Q216">
        <v>0.62175362639999998</v>
      </c>
      <c r="R216">
        <v>0.6094895374</v>
      </c>
      <c r="S216">
        <v>0.58826066450000003</v>
      </c>
      <c r="T216">
        <v>0.5587005478</v>
      </c>
      <c r="U216">
        <v>0.53032900189999999</v>
      </c>
      <c r="V216">
        <v>0.49699745319999999</v>
      </c>
      <c r="W216">
        <v>0.46535029770000003</v>
      </c>
      <c r="X216">
        <v>0.43092063219999999</v>
      </c>
      <c r="Y216">
        <v>0.39551544579999998</v>
      </c>
      <c r="Z216">
        <v>0.36240780210000001</v>
      </c>
      <c r="AA216">
        <v>0.33121277119999998</v>
      </c>
      <c r="AB216">
        <v>0.30058520960000001</v>
      </c>
      <c r="AC216">
        <v>0.27215456710000002</v>
      </c>
      <c r="AD216">
        <v>0.24004242889999999</v>
      </c>
      <c r="AE216">
        <v>0.21000819430000001</v>
      </c>
      <c r="AF216">
        <v>0.18183437020000001</v>
      </c>
      <c r="AG216">
        <v>0.1654957665</v>
      </c>
      <c r="AH216">
        <v>0.1502460702</v>
      </c>
      <c r="AI216">
        <v>0.1319695595</v>
      </c>
      <c r="AJ216">
        <v>0.11501987650000001</v>
      </c>
      <c r="AK216">
        <v>9.9222202300000006E-2</v>
      </c>
      <c r="AL216">
        <v>0.1120464511</v>
      </c>
      <c r="AM216">
        <v>0.12344610609999999</v>
      </c>
      <c r="AN216">
        <v>0.10547573490000001</v>
      </c>
      <c r="AO216">
        <v>8.8695033500000006E-2</v>
      </c>
      <c r="AP216">
        <v>7.2975086199999997E-2</v>
      </c>
      <c r="AQ216">
        <v>5.8354284999999999E-2</v>
      </c>
      <c r="AR216">
        <v>4.4686729799999998E-2</v>
      </c>
      <c r="AS216">
        <v>4.7842182400000002E-2</v>
      </c>
      <c r="AT216">
        <v>5.0918669499999999E-2</v>
      </c>
      <c r="AU216" s="39">
        <v>5.3798165199999998E-2</v>
      </c>
      <c r="AV216">
        <v>5.6508160299999999E-2</v>
      </c>
      <c r="AW216">
        <v>5.9022488300000002E-2</v>
      </c>
    </row>
    <row r="217" spans="2:49" x14ac:dyDescent="0.25">
      <c r="B217" s="275" t="s">
        <v>288</v>
      </c>
      <c r="C217">
        <v>8232235.5397947598</v>
      </c>
      <c r="D217">
        <v>8364406.7441781899</v>
      </c>
      <c r="E217">
        <v>8498700</v>
      </c>
      <c r="F217">
        <v>8391073.6089999899</v>
      </c>
      <c r="G217">
        <v>8273756.2630000003</v>
      </c>
      <c r="H217">
        <v>7641068.165</v>
      </c>
      <c r="I217">
        <v>7506699.2680000002</v>
      </c>
      <c r="J217">
        <v>7454312.25</v>
      </c>
      <c r="K217">
        <v>7319503.3609999996</v>
      </c>
      <c r="L217">
        <v>7067626.5360000003</v>
      </c>
      <c r="M217">
        <v>6796549.8080000002</v>
      </c>
      <c r="N217">
        <v>6449756.716</v>
      </c>
      <c r="O217">
        <v>6767421.1830000002</v>
      </c>
      <c r="P217">
        <v>7340037.699</v>
      </c>
      <c r="Q217">
        <v>8080324.8389999997</v>
      </c>
      <c r="R217">
        <v>8678812.7129999995</v>
      </c>
      <c r="S217">
        <v>9248801.2520000003</v>
      </c>
      <c r="T217">
        <v>8514588.5179999899</v>
      </c>
      <c r="U217">
        <v>7732017.3059999999</v>
      </c>
      <c r="V217">
        <v>6898259.6529999999</v>
      </c>
      <c r="W217">
        <v>7796411.9199999999</v>
      </c>
      <c r="X217">
        <v>8670252.3680000007</v>
      </c>
      <c r="Y217">
        <v>8145711.051</v>
      </c>
      <c r="Z217">
        <v>7501263.4139999999</v>
      </c>
      <c r="AA217">
        <v>6880671.0099999998</v>
      </c>
      <c r="AB217">
        <v>5650745.9840000002</v>
      </c>
      <c r="AC217">
        <v>4516081.07</v>
      </c>
      <c r="AD217">
        <v>3825068.4619999998</v>
      </c>
      <c r="AE217">
        <v>3229103.8250000002</v>
      </c>
      <c r="AF217">
        <v>2683749.8029999998</v>
      </c>
      <c r="AG217">
        <v>2230453.5980000002</v>
      </c>
      <c r="AH217">
        <v>1825294.841</v>
      </c>
      <c r="AI217">
        <v>1319821.6869999999</v>
      </c>
      <c r="AJ217">
        <v>882531.12430000002</v>
      </c>
      <c r="AK217">
        <v>516884.49400000001</v>
      </c>
      <c r="AL217">
        <v>374031.2598</v>
      </c>
      <c r="AM217">
        <v>171478.80710000001</v>
      </c>
      <c r="AN217">
        <v>137615.8743</v>
      </c>
      <c r="AO217">
        <v>118545.4562</v>
      </c>
      <c r="AP217">
        <v>100930.32120000001</v>
      </c>
      <c r="AQ217">
        <v>83682.254140000005</v>
      </c>
      <c r="AR217">
        <v>66683.969500000007</v>
      </c>
      <c r="AS217">
        <v>72797.027730000002</v>
      </c>
      <c r="AT217">
        <v>78808.282800000001</v>
      </c>
      <c r="AU217">
        <v>84627.882519999999</v>
      </c>
      <c r="AV217">
        <v>90314.020640000002</v>
      </c>
      <c r="AW217">
        <v>95777.242469999997</v>
      </c>
    </row>
    <row r="218" spans="2:49" x14ac:dyDescent="0.25">
      <c r="B218" s="274" t="s">
        <v>289</v>
      </c>
      <c r="C218">
        <v>463787.91773491597</v>
      </c>
      <c r="D218">
        <v>471234.182770602</v>
      </c>
      <c r="E218">
        <v>478800</v>
      </c>
      <c r="F218">
        <v>477800.42950000003</v>
      </c>
      <c r="G218">
        <v>460294.93670000002</v>
      </c>
      <c r="H218">
        <v>435826.16759999999</v>
      </c>
      <c r="I218">
        <v>441221.2071</v>
      </c>
      <c r="J218">
        <v>458089.13709999999</v>
      </c>
      <c r="K218">
        <v>458466.14789999998</v>
      </c>
      <c r="L218">
        <v>467747.79440000001</v>
      </c>
      <c r="M218">
        <v>488908.78610000003</v>
      </c>
      <c r="N218">
        <v>519517.36139999999</v>
      </c>
      <c r="O218">
        <v>497645.3751</v>
      </c>
      <c r="P218">
        <v>463627.01730000001</v>
      </c>
      <c r="Q218">
        <v>409070.34370000003</v>
      </c>
      <c r="R218">
        <v>364305.114</v>
      </c>
      <c r="S218">
        <v>326465.46189999999</v>
      </c>
      <c r="T218">
        <v>303540.18699999998</v>
      </c>
      <c r="U218">
        <v>283556.59250000003</v>
      </c>
      <c r="V218">
        <v>265171.87199999997</v>
      </c>
      <c r="W218">
        <v>230535.02299999999</v>
      </c>
      <c r="X218">
        <v>200980.3567</v>
      </c>
      <c r="Y218">
        <v>171197.13810000001</v>
      </c>
      <c r="Z218">
        <v>144615.4601</v>
      </c>
      <c r="AA218">
        <v>120464.85709999999</v>
      </c>
      <c r="AB218">
        <v>97984.861709999997</v>
      </c>
      <c r="AC218">
        <v>78405.115770000004</v>
      </c>
      <c r="AD218">
        <v>71441.785319999995</v>
      </c>
      <c r="AE218">
        <v>64629.94311</v>
      </c>
      <c r="AF218">
        <v>57999.471019999997</v>
      </c>
      <c r="AG218">
        <v>50866.604829999997</v>
      </c>
      <c r="AH218">
        <v>44408.026149999998</v>
      </c>
      <c r="AI218">
        <v>38742.856899999999</v>
      </c>
      <c r="AJ218">
        <v>33583.832300000002</v>
      </c>
      <c r="AK218">
        <v>28849.238979999998</v>
      </c>
      <c r="AL218">
        <v>25551.557079999999</v>
      </c>
      <c r="AM218">
        <v>20315.22351</v>
      </c>
      <c r="AN218">
        <v>19717.791539999998</v>
      </c>
      <c r="AO218">
        <v>18678.405299999999</v>
      </c>
      <c r="AP218">
        <v>17215.747780000002</v>
      </c>
      <c r="AQ218">
        <v>15371.271479999999</v>
      </c>
      <c r="AR218">
        <v>13133.02685</v>
      </c>
      <c r="AS218">
        <v>11348.403350000001</v>
      </c>
      <c r="AT218">
        <v>9155.6368590000002</v>
      </c>
      <c r="AU218">
        <v>6577.0245329999998</v>
      </c>
      <c r="AV218">
        <v>3654.7806599999999</v>
      </c>
      <c r="AW218">
        <v>2047.343347</v>
      </c>
    </row>
    <row r="219" spans="2:49" x14ac:dyDescent="0.25">
      <c r="B219" t="s">
        <v>290</v>
      </c>
      <c r="C219">
        <v>247860837.32111701</v>
      </c>
      <c r="D219">
        <v>251840323.237167</v>
      </c>
      <c r="E219">
        <v>255969343.69999999</v>
      </c>
      <c r="F219">
        <v>257059656.5</v>
      </c>
      <c r="G219">
        <v>241162047.30000001</v>
      </c>
      <c r="H219">
        <v>223416532.80000001</v>
      </c>
      <c r="I219">
        <v>219247702.19999999</v>
      </c>
      <c r="J219">
        <v>212202203.80000001</v>
      </c>
      <c r="K219">
        <v>202503895.5</v>
      </c>
      <c r="L219">
        <v>196460046.80000001</v>
      </c>
      <c r="M219">
        <v>195147298.69999999</v>
      </c>
      <c r="N219">
        <v>195934174.09999999</v>
      </c>
      <c r="O219">
        <v>187337145.80000001</v>
      </c>
      <c r="P219">
        <v>179670469.30000001</v>
      </c>
      <c r="Q219">
        <v>168906248.30000001</v>
      </c>
      <c r="R219">
        <v>161414343.09999999</v>
      </c>
      <c r="S219">
        <v>155482181.40000001</v>
      </c>
      <c r="T219">
        <v>153836372.5</v>
      </c>
      <c r="U219">
        <v>152930331.80000001</v>
      </c>
      <c r="V219">
        <v>152001929.59999999</v>
      </c>
      <c r="W219">
        <v>146049210.30000001</v>
      </c>
      <c r="X219">
        <v>139054783.30000001</v>
      </c>
      <c r="Y219">
        <v>131260429.40000001</v>
      </c>
      <c r="Z219">
        <v>124148285.5</v>
      </c>
      <c r="AA219">
        <v>117492833.5</v>
      </c>
      <c r="AB219">
        <v>110202734</v>
      </c>
      <c r="AC219">
        <v>103454249.5</v>
      </c>
      <c r="AD219">
        <v>97586356.079999998</v>
      </c>
      <c r="AE219">
        <v>92133353.870000005</v>
      </c>
      <c r="AF219">
        <v>86863234.650000006</v>
      </c>
      <c r="AG219">
        <v>82504328.5</v>
      </c>
      <c r="AH219">
        <v>78256790.540000007</v>
      </c>
      <c r="AI219">
        <v>73601919.329999998</v>
      </c>
      <c r="AJ219">
        <v>69105306.769999996</v>
      </c>
      <c r="AK219">
        <v>64689121.68</v>
      </c>
      <c r="AL219">
        <v>62833381.780000001</v>
      </c>
      <c r="AM219">
        <v>60851509.439999998</v>
      </c>
      <c r="AN219">
        <v>57267660.340000004</v>
      </c>
      <c r="AO219">
        <v>53684307.049999997</v>
      </c>
      <c r="AP219">
        <v>49996368.119999997</v>
      </c>
      <c r="AQ219">
        <v>46371606.759999998</v>
      </c>
      <c r="AR219">
        <v>42640414.799999997</v>
      </c>
      <c r="AS219">
        <v>41539761.340000004</v>
      </c>
      <c r="AT219">
        <v>40507779.780000001</v>
      </c>
      <c r="AU219">
        <v>39438405.329999998</v>
      </c>
      <c r="AV219">
        <v>38416186.030000001</v>
      </c>
      <c r="AW219">
        <v>37353171.049999997</v>
      </c>
    </row>
    <row r="220" spans="2:49" x14ac:dyDescent="0.25">
      <c r="B220" t="s">
        <v>291</v>
      </c>
      <c r="C220">
        <v>41023493.601484403</v>
      </c>
      <c r="D220">
        <v>41682139.060681202</v>
      </c>
      <c r="E220">
        <v>42351359.289999999</v>
      </c>
      <c r="F220">
        <v>41384228.149999999</v>
      </c>
      <c r="G220">
        <v>36270260.909999996</v>
      </c>
      <c r="H220">
        <v>31577563.670000002</v>
      </c>
      <c r="I220">
        <v>29956428.93</v>
      </c>
      <c r="J220">
        <v>28370924.969999999</v>
      </c>
      <c r="K220">
        <v>26885320.420000002</v>
      </c>
      <c r="L220">
        <v>26779327.300000001</v>
      </c>
      <c r="M220">
        <v>26141233.27</v>
      </c>
      <c r="N220">
        <v>25325277.940000001</v>
      </c>
      <c r="O220">
        <v>20168018.760000002</v>
      </c>
      <c r="P220">
        <v>16802705.449999999</v>
      </c>
      <c r="Q220">
        <v>14260892.189999999</v>
      </c>
      <c r="R220">
        <v>11998502.210000001</v>
      </c>
      <c r="S220">
        <v>9849236.5449999999</v>
      </c>
      <c r="T220">
        <v>9400010.284</v>
      </c>
      <c r="U220">
        <v>9183203.0199999996</v>
      </c>
      <c r="V220">
        <v>9023237.6009999998</v>
      </c>
      <c r="W220">
        <v>7667164.3509999998</v>
      </c>
      <c r="X220">
        <v>6036396.1160000004</v>
      </c>
      <c r="Y220">
        <v>5320048.4539999999</v>
      </c>
      <c r="Z220">
        <v>4767141.8810000001</v>
      </c>
      <c r="AA220">
        <v>4289448.7249999996</v>
      </c>
      <c r="AB220">
        <v>3995537.49</v>
      </c>
      <c r="AC220">
        <v>3756936.9130000002</v>
      </c>
      <c r="AD220">
        <v>3724319.324</v>
      </c>
      <c r="AE220">
        <v>3732070.8169999998</v>
      </c>
      <c r="AF220">
        <v>3747588.486</v>
      </c>
      <c r="AG220">
        <v>3798608.3130000001</v>
      </c>
      <c r="AH220">
        <v>3853714.6979999999</v>
      </c>
      <c r="AI220">
        <v>3912617.341</v>
      </c>
      <c r="AJ220">
        <v>3980713.1359999999</v>
      </c>
      <c r="AK220">
        <v>4052273.548</v>
      </c>
      <c r="AL220">
        <v>4124465.3670000001</v>
      </c>
      <c r="AM220">
        <v>4204031.9129999997</v>
      </c>
      <c r="AN220">
        <v>4258275.932</v>
      </c>
      <c r="AO220">
        <v>4306825.3629999999</v>
      </c>
      <c r="AP220">
        <v>4348853.7120000003</v>
      </c>
      <c r="AQ220">
        <v>4392371.6519999998</v>
      </c>
      <c r="AR220">
        <v>4431087.523</v>
      </c>
      <c r="AS220">
        <v>4483266.4359999998</v>
      </c>
      <c r="AT220">
        <v>4539645.0820000004</v>
      </c>
      <c r="AU220">
        <v>4593660.9809999997</v>
      </c>
      <c r="AV220">
        <v>4647569.9369999999</v>
      </c>
      <c r="AW220">
        <v>4698352.1359999999</v>
      </c>
    </row>
    <row r="221" spans="2:49" x14ac:dyDescent="0.25">
      <c r="B221" t="s">
        <v>292</v>
      </c>
      <c r="C221">
        <v>156021257.172526</v>
      </c>
      <c r="D221">
        <v>158526228.92293701</v>
      </c>
      <c r="E221">
        <v>161156924.5</v>
      </c>
      <c r="F221">
        <v>162777418.19999999</v>
      </c>
      <c r="G221">
        <v>153893156.5</v>
      </c>
      <c r="H221">
        <v>144676134.59999999</v>
      </c>
      <c r="I221">
        <v>141125111.80000001</v>
      </c>
      <c r="J221">
        <v>135666111.90000001</v>
      </c>
      <c r="K221">
        <v>129576054.2</v>
      </c>
      <c r="L221">
        <v>124766567.5</v>
      </c>
      <c r="M221">
        <v>123942870.90000001</v>
      </c>
      <c r="N221">
        <v>124606587.5</v>
      </c>
      <c r="O221">
        <v>119702528.8</v>
      </c>
      <c r="P221">
        <v>114713689.90000001</v>
      </c>
      <c r="Q221">
        <v>107991250.3</v>
      </c>
      <c r="R221">
        <v>103462756.7</v>
      </c>
      <c r="S221">
        <v>99614677.689999998</v>
      </c>
      <c r="T221">
        <v>100422187.8</v>
      </c>
      <c r="U221">
        <v>101692344.2</v>
      </c>
      <c r="V221">
        <v>102759753.3</v>
      </c>
      <c r="W221">
        <v>99239669.439999998</v>
      </c>
      <c r="X221">
        <v>94929909.319999903</v>
      </c>
      <c r="Y221">
        <v>90698459.140000001</v>
      </c>
      <c r="Z221">
        <v>86843642.260000005</v>
      </c>
      <c r="AA221">
        <v>83265001.030000001</v>
      </c>
      <c r="AB221">
        <v>79672104.709999904</v>
      </c>
      <c r="AC221">
        <v>76309878.870000005</v>
      </c>
      <c r="AD221">
        <v>73093435.939999998</v>
      </c>
      <c r="AE221">
        <v>70053626.609999999</v>
      </c>
      <c r="AF221">
        <v>67046906.210000001</v>
      </c>
      <c r="AG221">
        <v>64041549.740000002</v>
      </c>
      <c r="AH221">
        <v>61043302.899999999</v>
      </c>
      <c r="AI221">
        <v>58014152.829999998</v>
      </c>
      <c r="AJ221">
        <v>55006130.43</v>
      </c>
      <c r="AK221">
        <v>51954020.689999998</v>
      </c>
      <c r="AL221">
        <v>48999910.68</v>
      </c>
      <c r="AM221">
        <v>46046882.979999997</v>
      </c>
      <c r="AN221">
        <v>43713321.159999996</v>
      </c>
      <c r="AO221">
        <v>41325994.219999999</v>
      </c>
      <c r="AP221">
        <v>38810627.439999998</v>
      </c>
      <c r="AQ221">
        <v>36317666.880000003</v>
      </c>
      <c r="AR221">
        <v>33697272.409999996</v>
      </c>
      <c r="AS221">
        <v>32192331.98</v>
      </c>
      <c r="AT221">
        <v>30768533.82</v>
      </c>
      <c r="AU221">
        <v>29328342.09</v>
      </c>
      <c r="AV221">
        <v>27945725.25</v>
      </c>
      <c r="AW221">
        <v>26539657.550000001</v>
      </c>
    </row>
    <row r="222" spans="2:49" x14ac:dyDescent="0.25">
      <c r="B222" t="s">
        <v>293</v>
      </c>
      <c r="C222">
        <v>50816086.547106199</v>
      </c>
      <c r="D222">
        <v>51631955.253548898</v>
      </c>
      <c r="E222">
        <v>52461059.960000001</v>
      </c>
      <c r="F222">
        <v>52898010.170000002</v>
      </c>
      <c r="G222">
        <v>50998629.890000001</v>
      </c>
      <c r="H222">
        <v>47162834.520000003</v>
      </c>
      <c r="I222">
        <v>48166161.479999997</v>
      </c>
      <c r="J222">
        <v>48165166.950000003</v>
      </c>
      <c r="K222">
        <v>46042520.869999997</v>
      </c>
      <c r="L222">
        <v>44914151.979999997</v>
      </c>
      <c r="M222">
        <v>45063194.490000002</v>
      </c>
      <c r="N222">
        <v>46002308.729999997</v>
      </c>
      <c r="O222">
        <v>47466598.32</v>
      </c>
      <c r="P222">
        <v>48154073.950000003</v>
      </c>
      <c r="Q222">
        <v>46654105.780000001</v>
      </c>
      <c r="R222">
        <v>45953084.189999998</v>
      </c>
      <c r="S222">
        <v>46018267.109999999</v>
      </c>
      <c r="T222">
        <v>44014174.509999998</v>
      </c>
      <c r="U222">
        <v>42054784.600000001</v>
      </c>
      <c r="V222">
        <v>40218938.630000003</v>
      </c>
      <c r="W222">
        <v>39142376.560000002</v>
      </c>
      <c r="X222">
        <v>38088477.899999999</v>
      </c>
      <c r="Y222">
        <v>35241921.829999998</v>
      </c>
      <c r="Z222">
        <v>32537501.41</v>
      </c>
      <c r="AA222">
        <v>29938383.780000001</v>
      </c>
      <c r="AB222">
        <v>26535091.82</v>
      </c>
      <c r="AC222">
        <v>23387433.68</v>
      </c>
      <c r="AD222">
        <v>20768600.809999999</v>
      </c>
      <c r="AE222">
        <v>18347656.440000001</v>
      </c>
      <c r="AF222">
        <v>16068739.949999999</v>
      </c>
      <c r="AG222">
        <v>14664170.449999999</v>
      </c>
      <c r="AH222">
        <v>13359772.939999999</v>
      </c>
      <c r="AI222">
        <v>11675149.16</v>
      </c>
      <c r="AJ222">
        <v>10118463.210000001</v>
      </c>
      <c r="AK222">
        <v>8682827.4340000004</v>
      </c>
      <c r="AL222">
        <v>9709005.7310000006</v>
      </c>
      <c r="AM222">
        <v>10600594.550000001</v>
      </c>
      <c r="AN222">
        <v>9296063.2520000003</v>
      </c>
      <c r="AO222">
        <v>8051487.466</v>
      </c>
      <c r="AP222">
        <v>6836886.9699999997</v>
      </c>
      <c r="AQ222">
        <v>5661568.2240000004</v>
      </c>
      <c r="AR222">
        <v>4512054.8669999996</v>
      </c>
      <c r="AS222">
        <v>4864162.9230000004</v>
      </c>
      <c r="AT222">
        <v>5199600.8810000001</v>
      </c>
      <c r="AU222">
        <v>5516402.2539999997</v>
      </c>
      <c r="AV222">
        <v>5822890.8399999999</v>
      </c>
      <c r="AW222">
        <v>6115161.3720000004</v>
      </c>
    </row>
    <row r="223" spans="2:49" x14ac:dyDescent="0.25">
      <c r="B223" t="s">
        <v>294</v>
      </c>
      <c r="C223">
        <v>392773953.478827</v>
      </c>
      <c r="D223">
        <v>399080066.34826499</v>
      </c>
      <c r="E223">
        <v>405573068.60000002</v>
      </c>
      <c r="F223">
        <v>407007112.39999998</v>
      </c>
      <c r="G223">
        <v>385925168.60000002</v>
      </c>
      <c r="H223">
        <v>367804698.19999999</v>
      </c>
      <c r="I223">
        <v>361374798.10000002</v>
      </c>
      <c r="J223">
        <v>350837618</v>
      </c>
      <c r="K223">
        <v>337195269.69999999</v>
      </c>
      <c r="L223">
        <v>328335654.60000002</v>
      </c>
      <c r="M223">
        <v>324986244.89999998</v>
      </c>
      <c r="N223">
        <v>324473626.69999999</v>
      </c>
      <c r="O223">
        <v>316054277.39999998</v>
      </c>
      <c r="P223">
        <v>306896043.80000001</v>
      </c>
      <c r="Q223">
        <v>293289922.19999999</v>
      </c>
      <c r="R223">
        <v>283917324.19999999</v>
      </c>
      <c r="S223">
        <v>276668700.89999998</v>
      </c>
      <c r="T223">
        <v>272199853.19999999</v>
      </c>
      <c r="U223">
        <v>268467946</v>
      </c>
      <c r="V223">
        <v>263961573.19999999</v>
      </c>
      <c r="W223">
        <v>255068494.30000001</v>
      </c>
      <c r="X223">
        <v>244774015.5</v>
      </c>
      <c r="Y223">
        <v>233126623.19999999</v>
      </c>
      <c r="Z223">
        <v>221654352.69999999</v>
      </c>
      <c r="AA223">
        <v>210357370.19999999</v>
      </c>
      <c r="AB223">
        <v>197948315.19999999</v>
      </c>
      <c r="AC223">
        <v>185899554.40000001</v>
      </c>
      <c r="AD223">
        <v>174469917.90000001</v>
      </c>
      <c r="AE223">
        <v>163460126.5</v>
      </c>
      <c r="AF223">
        <v>152735284.59999999</v>
      </c>
      <c r="AG223">
        <v>143700699.30000001</v>
      </c>
      <c r="AH223">
        <v>134911788.40000001</v>
      </c>
      <c r="AI223">
        <v>125834182.59999999</v>
      </c>
      <c r="AJ223">
        <v>117168455.59999999</v>
      </c>
      <c r="AK223">
        <v>108765691.5</v>
      </c>
      <c r="AL223">
        <v>104842433.8</v>
      </c>
      <c r="AM223">
        <v>100824007.90000001</v>
      </c>
      <c r="AN223">
        <v>93679145.340000004</v>
      </c>
      <c r="AO223">
        <v>86689835.739999995</v>
      </c>
      <c r="AP223">
        <v>79734719.870000005</v>
      </c>
      <c r="AQ223">
        <v>72982488.620000005</v>
      </c>
      <c r="AR223">
        <v>66143284.270000003</v>
      </c>
      <c r="AS223">
        <v>63775700.530000001</v>
      </c>
      <c r="AT223">
        <v>61548050.920000002</v>
      </c>
      <c r="AU223">
        <v>59339171.299999997</v>
      </c>
      <c r="AV223">
        <v>57241435</v>
      </c>
      <c r="AW223">
        <v>55153456.229999997</v>
      </c>
    </row>
    <row r="224" spans="2:49" x14ac:dyDescent="0.25">
      <c r="B224" t="s">
        <v>295</v>
      </c>
      <c r="C224">
        <v>42122345.501310699</v>
      </c>
      <c r="D224">
        <v>42798633.383193001</v>
      </c>
      <c r="E224">
        <v>43485779.289999999</v>
      </c>
      <c r="F224">
        <v>42509437.369999997</v>
      </c>
      <c r="G224">
        <v>37383702.659999996</v>
      </c>
      <c r="H224">
        <v>32678277.149999999</v>
      </c>
      <c r="I224">
        <v>31051065.710000001</v>
      </c>
      <c r="J224">
        <v>29459251.489999998</v>
      </c>
      <c r="K224">
        <v>27963293.48</v>
      </c>
      <c r="L224">
        <v>27842291.300000001</v>
      </c>
      <c r="M224">
        <v>27189438.920000002</v>
      </c>
      <c r="N224">
        <v>26363171.879999999</v>
      </c>
      <c r="O224">
        <v>21204680.100000001</v>
      </c>
      <c r="P224">
        <v>17841285.399999999</v>
      </c>
      <c r="Q224">
        <v>15297805.41</v>
      </c>
      <c r="R224">
        <v>13021066.52</v>
      </c>
      <c r="S224">
        <v>10852968.5</v>
      </c>
      <c r="T224">
        <v>10380150.439999999</v>
      </c>
      <c r="U224">
        <v>10140387.67</v>
      </c>
      <c r="V224">
        <v>9958739.3809999898</v>
      </c>
      <c r="W224">
        <v>8584413.4979999997</v>
      </c>
      <c r="X224">
        <v>6937279.085</v>
      </c>
      <c r="Y224">
        <v>6200951.4740000004</v>
      </c>
      <c r="Z224">
        <v>5625838.0460000001</v>
      </c>
      <c r="AA224">
        <v>5125475.6059999997</v>
      </c>
      <c r="AB224">
        <v>4808263.0580000002</v>
      </c>
      <c r="AC224">
        <v>4544245.5080000004</v>
      </c>
      <c r="AD224">
        <v>4485068.9790000003</v>
      </c>
      <c r="AE224">
        <v>4466739.0180000002</v>
      </c>
      <c r="AF224">
        <v>4457493.6770000001</v>
      </c>
      <c r="AG224">
        <v>4485322.1150000002</v>
      </c>
      <c r="AH224">
        <v>4518693.0250000004</v>
      </c>
      <c r="AI224">
        <v>4557559.2110000001</v>
      </c>
      <c r="AJ224">
        <v>4607254.12</v>
      </c>
      <c r="AK224">
        <v>4661905.8779999996</v>
      </c>
      <c r="AL224">
        <v>4718465.7419999996</v>
      </c>
      <c r="AM224">
        <v>4782368.0810000002</v>
      </c>
      <c r="AN224">
        <v>4821469.9230000004</v>
      </c>
      <c r="AO224">
        <v>4855859.2139999997</v>
      </c>
      <c r="AP224">
        <v>4884766.8119999999</v>
      </c>
      <c r="AQ224">
        <v>4915579.9040000001</v>
      </c>
      <c r="AR224">
        <v>4942185.0480000004</v>
      </c>
      <c r="AS224">
        <v>4982839.5789999999</v>
      </c>
      <c r="AT224">
        <v>5027593.0549999997</v>
      </c>
      <c r="AU224">
        <v>5069823.3679999998</v>
      </c>
      <c r="AV224">
        <v>5111814.3039999995</v>
      </c>
      <c r="AW224">
        <v>5150634.1320000002</v>
      </c>
    </row>
    <row r="225" spans="2:49" x14ac:dyDescent="0.25">
      <c r="B225" t="s">
        <v>296</v>
      </c>
      <c r="C225">
        <v>261896523.70399499</v>
      </c>
      <c r="D225">
        <v>266101357.10489401</v>
      </c>
      <c r="E225">
        <v>270459206.19999999</v>
      </c>
      <c r="F225">
        <v>273153654.10000002</v>
      </c>
      <c r="G225">
        <v>260353277.09999999</v>
      </c>
      <c r="H225">
        <v>251814850.59999999</v>
      </c>
      <c r="I225">
        <v>246212760</v>
      </c>
      <c r="J225">
        <v>238176612.30000001</v>
      </c>
      <c r="K225">
        <v>229707295.40000001</v>
      </c>
      <c r="L225">
        <v>223261776.59999999</v>
      </c>
      <c r="M225">
        <v>221150014.69999999</v>
      </c>
      <c r="N225">
        <v>220967309.40000001</v>
      </c>
      <c r="O225">
        <v>215608293.40000001</v>
      </c>
      <c r="P225">
        <v>209087868.80000001</v>
      </c>
      <c r="Q225">
        <v>200580084</v>
      </c>
      <c r="R225">
        <v>194956981.30000001</v>
      </c>
      <c r="S225">
        <v>190374842</v>
      </c>
      <c r="T225">
        <v>190196899</v>
      </c>
      <c r="U225">
        <v>190103432.19999999</v>
      </c>
      <c r="V225">
        <v>189018462.19999999</v>
      </c>
      <c r="W225">
        <v>183414186.09999999</v>
      </c>
      <c r="X225">
        <v>176841227.69999999</v>
      </c>
      <c r="Y225">
        <v>170225568.69999999</v>
      </c>
      <c r="Z225">
        <v>163484488.09999999</v>
      </c>
      <c r="AA225">
        <v>156742485.40000001</v>
      </c>
      <c r="AB225">
        <v>149653384.30000001</v>
      </c>
      <c r="AC225">
        <v>142512726</v>
      </c>
      <c r="AD225">
        <v>135441123.30000001</v>
      </c>
      <c r="AE225">
        <v>128462746.5</v>
      </c>
      <c r="AF225">
        <v>121516321.5</v>
      </c>
      <c r="AG225">
        <v>114697906</v>
      </c>
      <c r="AH225">
        <v>107968541.90000001</v>
      </c>
      <c r="AI225">
        <v>101525924.8</v>
      </c>
      <c r="AJ225">
        <v>95282775.349999994</v>
      </c>
      <c r="AK225">
        <v>89122822.049999997</v>
      </c>
      <c r="AL225">
        <v>83275389.230000004</v>
      </c>
      <c r="AM225">
        <v>77518460.010000005</v>
      </c>
      <c r="AN225">
        <v>72636525.900000006</v>
      </c>
      <c r="AO225">
        <v>67827164.579999998</v>
      </c>
      <c r="AP225">
        <v>62988198.740000002</v>
      </c>
      <c r="AQ225">
        <v>58271239.18</v>
      </c>
      <c r="AR225">
        <v>53416254.350000001</v>
      </c>
      <c r="AS225">
        <v>50435440.579999998</v>
      </c>
      <c r="AT225">
        <v>47619714.920000002</v>
      </c>
      <c r="AU225">
        <v>44863678.909999996</v>
      </c>
      <c r="AV225">
        <v>42245345.289999999</v>
      </c>
      <c r="AW225">
        <v>39671506.159999996</v>
      </c>
    </row>
    <row r="226" spans="2:49" x14ac:dyDescent="0.25">
      <c r="B226" t="s">
        <v>297</v>
      </c>
      <c r="C226">
        <v>88755084.273521304</v>
      </c>
      <c r="D226">
        <v>90180075.860178098</v>
      </c>
      <c r="E226">
        <v>91628083.120000005</v>
      </c>
      <c r="F226">
        <v>91344020.870000005</v>
      </c>
      <c r="G226">
        <v>88188188.849999994</v>
      </c>
      <c r="H226">
        <v>83311570.430000007</v>
      </c>
      <c r="I226">
        <v>84110972.379999995</v>
      </c>
      <c r="J226">
        <v>83201754.209999904</v>
      </c>
      <c r="K226">
        <v>79524680.760000005</v>
      </c>
      <c r="L226">
        <v>77231586.680000007</v>
      </c>
      <c r="M226">
        <v>76646791.359999999</v>
      </c>
      <c r="N226">
        <v>77143145.430000007</v>
      </c>
      <c r="O226">
        <v>79241303.900000006</v>
      </c>
      <c r="P226">
        <v>79966889.609999999</v>
      </c>
      <c r="Q226">
        <v>77412032.819999903</v>
      </c>
      <c r="R226">
        <v>75939276.439999998</v>
      </c>
      <c r="S226">
        <v>75440890.439999998</v>
      </c>
      <c r="T226">
        <v>71622803.829999998</v>
      </c>
      <c r="U226">
        <v>68224126.189999998</v>
      </c>
      <c r="V226">
        <v>64984371.670000002</v>
      </c>
      <c r="W226">
        <v>63069894.740000002</v>
      </c>
      <c r="X226">
        <v>60995508.740000002</v>
      </c>
      <c r="Y226">
        <v>56700103</v>
      </c>
      <c r="Z226">
        <v>52544026.609999999</v>
      </c>
      <c r="AA226">
        <v>48489409.149999999</v>
      </c>
      <c r="AB226">
        <v>43486667.850000001</v>
      </c>
      <c r="AC226">
        <v>38842582.899999999</v>
      </c>
      <c r="AD226">
        <v>34543725.530000001</v>
      </c>
      <c r="AE226">
        <v>30530641.030000001</v>
      </c>
      <c r="AF226">
        <v>26761469.399999999</v>
      </c>
      <c r="AG226">
        <v>24517471.23</v>
      </c>
      <c r="AH226">
        <v>22424553.489999998</v>
      </c>
      <c r="AI226">
        <v>19750698.66</v>
      </c>
      <c r="AJ226">
        <v>17278426.129999999</v>
      </c>
      <c r="AK226">
        <v>14980963.560000001</v>
      </c>
      <c r="AL226">
        <v>16848578.789999999</v>
      </c>
      <c r="AM226">
        <v>18523179.77</v>
      </c>
      <c r="AN226">
        <v>16221149.52</v>
      </c>
      <c r="AO226">
        <v>14006811.949999999</v>
      </c>
      <c r="AP226">
        <v>11861754.310000001</v>
      </c>
      <c r="AQ226">
        <v>9795669.5419999994</v>
      </c>
      <c r="AR226">
        <v>7784844.8689999999</v>
      </c>
      <c r="AS226">
        <v>8357420.3650000002</v>
      </c>
      <c r="AT226">
        <v>8900742.9470000006</v>
      </c>
      <c r="AU226">
        <v>9405669.0219999999</v>
      </c>
      <c r="AV226">
        <v>9884275.40499999</v>
      </c>
      <c r="AW226">
        <v>10331315.939999999</v>
      </c>
    </row>
    <row r="227" spans="2:49" x14ac:dyDescent="0.25">
      <c r="B227" t="s">
        <v>298</v>
      </c>
      <c r="C227">
        <v>419119515.24800497</v>
      </c>
      <c r="D227">
        <v>425848614.63336003</v>
      </c>
      <c r="E227">
        <v>432800457.80000001</v>
      </c>
      <c r="F227">
        <v>434587737.89999998</v>
      </c>
      <c r="G227">
        <v>412833228.10000002</v>
      </c>
      <c r="H227">
        <v>391950300.89999998</v>
      </c>
      <c r="I227">
        <v>386392098.5</v>
      </c>
      <c r="J227">
        <v>376477623.19999999</v>
      </c>
      <c r="K227">
        <v>362186820.80000001</v>
      </c>
      <c r="L227">
        <v>353059301.69999999</v>
      </c>
      <c r="M227">
        <v>349756694</v>
      </c>
      <c r="N227">
        <v>349614592</v>
      </c>
      <c r="O227">
        <v>341294930.89999998</v>
      </c>
      <c r="P227">
        <v>332916852.10000002</v>
      </c>
      <c r="Q227">
        <v>319478558.80000001</v>
      </c>
      <c r="R227">
        <v>310396194.89999998</v>
      </c>
      <c r="S227">
        <v>303224744.60000002</v>
      </c>
      <c r="T227">
        <v>298917916.89999998</v>
      </c>
      <c r="U227">
        <v>295307818.5</v>
      </c>
      <c r="V227">
        <v>291157225.89999998</v>
      </c>
      <c r="W227">
        <v>281970239.80000001</v>
      </c>
      <c r="X227">
        <v>271293495.80000001</v>
      </c>
      <c r="Y227">
        <v>259374602.69999999</v>
      </c>
      <c r="Z227">
        <v>247720338.90000001</v>
      </c>
      <c r="AA227">
        <v>236232775.30000001</v>
      </c>
      <c r="AB227">
        <v>223603903.59999999</v>
      </c>
      <c r="AC227">
        <v>211417703.69999999</v>
      </c>
      <c r="AD227">
        <v>199795688.40000001</v>
      </c>
      <c r="AE227">
        <v>188562934.80000001</v>
      </c>
      <c r="AF227">
        <v>177615009</v>
      </c>
      <c r="AG227">
        <v>168414927.09999999</v>
      </c>
      <c r="AH227">
        <v>159504613</v>
      </c>
      <c r="AI227">
        <v>150261495</v>
      </c>
      <c r="AJ227">
        <v>141421392.69999999</v>
      </c>
      <c r="AK227">
        <v>132855765</v>
      </c>
      <c r="AL227">
        <v>129056003.59999999</v>
      </c>
      <c r="AM227">
        <v>125198391.2</v>
      </c>
      <c r="AN227">
        <v>117925627.5</v>
      </c>
      <c r="AO227">
        <v>110796226.09999999</v>
      </c>
      <c r="AP227">
        <v>103668765.40000001</v>
      </c>
      <c r="AQ227">
        <v>96779744.439999998</v>
      </c>
      <c r="AR227">
        <v>89770982.280000001</v>
      </c>
      <c r="AS227">
        <v>87521523.659999996</v>
      </c>
      <c r="AT227">
        <v>85441931.780000001</v>
      </c>
      <c r="AU227">
        <v>83359832.129999995</v>
      </c>
      <c r="AV227">
        <v>81391909.079999998</v>
      </c>
      <c r="AW227">
        <v>79434127.469999999</v>
      </c>
    </row>
    <row r="228" spans="2:49" x14ac:dyDescent="0.25">
      <c r="B228" t="s">
        <v>299</v>
      </c>
      <c r="C228">
        <v>255.88316116441601</v>
      </c>
      <c r="D228">
        <v>259.991448084664</v>
      </c>
      <c r="E228">
        <v>264.9907771</v>
      </c>
      <c r="F228">
        <v>273.10239510000002</v>
      </c>
      <c r="G228">
        <v>273.38776969999998</v>
      </c>
      <c r="H228">
        <v>262.7542904</v>
      </c>
      <c r="I228">
        <v>270.41807510000001</v>
      </c>
      <c r="J228">
        <v>271.5363529</v>
      </c>
      <c r="K228">
        <v>268.34014139999999</v>
      </c>
      <c r="L228">
        <v>264.92781439999999</v>
      </c>
      <c r="M228">
        <v>263.85613749999999</v>
      </c>
      <c r="N228">
        <v>262.39052140000001</v>
      </c>
      <c r="O228">
        <v>253.63477950000001</v>
      </c>
      <c r="P228">
        <v>248.75638900000001</v>
      </c>
      <c r="Q228">
        <v>243.11337030000001</v>
      </c>
      <c r="R228">
        <v>235.88141039999999</v>
      </c>
      <c r="S228">
        <v>229.6299224</v>
      </c>
      <c r="T228">
        <v>227.13159640000001</v>
      </c>
      <c r="U228">
        <v>225.44046320000001</v>
      </c>
      <c r="V228">
        <v>222.38628259999999</v>
      </c>
      <c r="W228">
        <v>233.56064309999999</v>
      </c>
      <c r="X228">
        <v>242.98234450000001</v>
      </c>
      <c r="Y228">
        <v>236.58607359999999</v>
      </c>
      <c r="Z228">
        <v>230.05864589999999</v>
      </c>
      <c r="AA228">
        <v>223.4663923</v>
      </c>
      <c r="AB228">
        <v>215.22400819999999</v>
      </c>
      <c r="AC228">
        <v>207.13021610000001</v>
      </c>
      <c r="AD228">
        <v>206.1975199</v>
      </c>
      <c r="AE228">
        <v>205.24508410000001</v>
      </c>
      <c r="AF228">
        <v>204.3090464</v>
      </c>
      <c r="AG228">
        <v>191.0637965</v>
      </c>
      <c r="AH228">
        <v>178.19407960000001</v>
      </c>
      <c r="AI228">
        <v>175.7722934</v>
      </c>
      <c r="AJ228">
        <v>173.3403232</v>
      </c>
      <c r="AK228">
        <v>170.9322593</v>
      </c>
      <c r="AL228">
        <v>168.46052270000001</v>
      </c>
      <c r="AM228">
        <v>166.19730609999999</v>
      </c>
      <c r="AN228">
        <v>162.01267609999999</v>
      </c>
      <c r="AO228">
        <v>157.9936419</v>
      </c>
      <c r="AP228">
        <v>153.99496360000001</v>
      </c>
      <c r="AQ228">
        <v>150.1835399</v>
      </c>
      <c r="AR228">
        <v>146.44426129999999</v>
      </c>
      <c r="AS228">
        <v>142.3527124</v>
      </c>
      <c r="AT228">
        <v>138.43611920000001</v>
      </c>
      <c r="AU228">
        <v>134.50258020000001</v>
      </c>
      <c r="AV228">
        <v>130.70445190000001</v>
      </c>
      <c r="AW228">
        <v>126.86752730000001</v>
      </c>
    </row>
    <row r="229" spans="2:49" x14ac:dyDescent="0.25">
      <c r="B229" t="s">
        <v>300</v>
      </c>
      <c r="C229">
        <v>5.5705789795526002</v>
      </c>
      <c r="D229">
        <v>5.6600164269241402</v>
      </c>
      <c r="E229">
        <v>5.7508898210000003</v>
      </c>
      <c r="F229">
        <v>5.8007197289999999</v>
      </c>
      <c r="G229">
        <v>4.8390968609999998</v>
      </c>
      <c r="H229">
        <v>4.2365763090000002</v>
      </c>
      <c r="I229">
        <v>4.1081357269999996</v>
      </c>
      <c r="J229">
        <v>3.9313902559999998</v>
      </c>
      <c r="K229">
        <v>3.8019329590000002</v>
      </c>
      <c r="L229">
        <v>4.0491606789999999</v>
      </c>
      <c r="M229">
        <v>4.1507438460000001</v>
      </c>
      <c r="N229">
        <v>4.218291958</v>
      </c>
      <c r="O229">
        <v>3.3034520199999999</v>
      </c>
      <c r="P229">
        <v>2.7841550329999998</v>
      </c>
      <c r="Q229">
        <v>2.4530979660000001</v>
      </c>
      <c r="R229">
        <v>2.233237028</v>
      </c>
      <c r="S229">
        <v>2.0528116330000001</v>
      </c>
      <c r="T229">
        <v>1.996005144</v>
      </c>
      <c r="U229">
        <v>1.9712402710000001</v>
      </c>
      <c r="V229">
        <v>1.6733397619999999</v>
      </c>
      <c r="W229">
        <v>1.2805146000000001</v>
      </c>
      <c r="X229">
        <v>0.9218216186</v>
      </c>
      <c r="Y229">
        <v>0.68834628470000003</v>
      </c>
      <c r="Z229">
        <v>0.52848121579999996</v>
      </c>
      <c r="AA229">
        <v>0.41613933320000002</v>
      </c>
      <c r="AB229">
        <v>0.33401765290000002</v>
      </c>
      <c r="AC229">
        <v>0.27431631870000001</v>
      </c>
      <c r="AD229">
        <v>0.2439873548</v>
      </c>
      <c r="AE229">
        <v>0.22207170409999999</v>
      </c>
      <c r="AF229">
        <v>0.20450011009999999</v>
      </c>
      <c r="AG229">
        <v>0.19014698360000001</v>
      </c>
      <c r="AH229">
        <v>0.17828128630000001</v>
      </c>
      <c r="AI229">
        <v>0.16823908579999999</v>
      </c>
      <c r="AJ229">
        <v>0.15989968700000001</v>
      </c>
      <c r="AK229">
        <v>0.15279628610000001</v>
      </c>
      <c r="AL229">
        <v>0.14655162999999999</v>
      </c>
      <c r="AM229">
        <v>0.14131942789999999</v>
      </c>
      <c r="AN229">
        <v>0.13579971869999999</v>
      </c>
      <c r="AO229">
        <v>0.13076115250000001</v>
      </c>
      <c r="AP229">
        <v>0.12599890059999999</v>
      </c>
      <c r="AQ229">
        <v>0.1217831237</v>
      </c>
      <c r="AR229">
        <v>0.1178376734</v>
      </c>
      <c r="AS229">
        <v>0.1145124629</v>
      </c>
      <c r="AT229">
        <v>0.1116279536</v>
      </c>
      <c r="AU229">
        <v>0.1088811521</v>
      </c>
      <c r="AV229">
        <v>0.10636314130000001</v>
      </c>
      <c r="AW229">
        <v>0.1039220793</v>
      </c>
    </row>
    <row r="230" spans="2:49" x14ac:dyDescent="0.25">
      <c r="B230" t="s">
        <v>301</v>
      </c>
      <c r="C230">
        <v>5.5705789795526002</v>
      </c>
      <c r="D230">
        <v>5.6600164269241402</v>
      </c>
      <c r="E230">
        <v>5.7508898210000003</v>
      </c>
      <c r="F230">
        <v>5.8007197289999999</v>
      </c>
      <c r="G230">
        <v>4.8390968609999998</v>
      </c>
      <c r="H230">
        <v>4.2365763090000002</v>
      </c>
      <c r="I230">
        <v>4.1081357269999996</v>
      </c>
      <c r="J230">
        <v>3.9313902559999998</v>
      </c>
      <c r="K230">
        <v>3.8019329590000002</v>
      </c>
      <c r="L230">
        <v>4.0491606789999999</v>
      </c>
      <c r="M230">
        <v>4.1507438460000001</v>
      </c>
      <c r="N230">
        <v>4.218291958</v>
      </c>
      <c r="O230">
        <v>3.3034520199999999</v>
      </c>
      <c r="P230">
        <v>2.7841550329999998</v>
      </c>
      <c r="Q230">
        <v>2.4530979660000001</v>
      </c>
      <c r="R230">
        <v>2.233237028</v>
      </c>
      <c r="S230">
        <v>2.0528116330000001</v>
      </c>
      <c r="T230">
        <v>1.996005144</v>
      </c>
      <c r="U230">
        <v>1.9712402710000001</v>
      </c>
      <c r="V230">
        <v>1.6733397619999999</v>
      </c>
      <c r="W230">
        <v>1.2805146000000001</v>
      </c>
      <c r="X230">
        <v>0.9218216186</v>
      </c>
      <c r="Y230">
        <v>0.68834628470000003</v>
      </c>
      <c r="Z230">
        <v>0.52848121579999996</v>
      </c>
      <c r="AA230">
        <v>0.41613933320000002</v>
      </c>
      <c r="AB230">
        <v>0.33401765290000002</v>
      </c>
      <c r="AC230">
        <v>0.27431631870000001</v>
      </c>
      <c r="AD230">
        <v>0.2439873548</v>
      </c>
      <c r="AE230">
        <v>0.22207170409999999</v>
      </c>
      <c r="AF230">
        <v>0.20450011009999999</v>
      </c>
      <c r="AG230">
        <v>0.19014698360000001</v>
      </c>
      <c r="AH230">
        <v>0.17828128630000001</v>
      </c>
      <c r="AI230">
        <v>0.16823908579999999</v>
      </c>
      <c r="AJ230">
        <v>0.15989968700000001</v>
      </c>
      <c r="AK230">
        <v>0.15279628610000001</v>
      </c>
      <c r="AL230">
        <v>0.14655162999999999</v>
      </c>
      <c r="AM230">
        <v>0.14131942789999999</v>
      </c>
      <c r="AN230">
        <v>0.13579971869999999</v>
      </c>
      <c r="AO230">
        <v>0.13076115250000001</v>
      </c>
      <c r="AP230">
        <v>0.12599890059999999</v>
      </c>
      <c r="AQ230">
        <v>0.1217831237</v>
      </c>
      <c r="AR230">
        <v>0.1178376734</v>
      </c>
      <c r="AS230">
        <v>0.1145124629</v>
      </c>
      <c r="AT230">
        <v>0.1116279536</v>
      </c>
      <c r="AU230">
        <v>0.1088811521</v>
      </c>
      <c r="AV230">
        <v>0.10636314130000001</v>
      </c>
      <c r="AW230">
        <v>0.1039220793</v>
      </c>
    </row>
    <row r="231" spans="2:49" x14ac:dyDescent="0.25">
      <c r="B231" t="s">
        <v>302</v>
      </c>
      <c r="C231">
        <v>82.165927612137295</v>
      </c>
      <c r="D231">
        <v>83.485128157272499</v>
      </c>
      <c r="E231">
        <v>84.844877019999998</v>
      </c>
      <c r="F231">
        <v>85.764368300000001</v>
      </c>
      <c r="G231">
        <v>81.726536999999894</v>
      </c>
      <c r="H231">
        <v>79.08314609</v>
      </c>
      <c r="I231">
        <v>77.353987309999894</v>
      </c>
      <c r="J231">
        <v>74.874316260000001</v>
      </c>
      <c r="K231">
        <v>72.252303609999998</v>
      </c>
      <c r="L231">
        <v>70.285156909999998</v>
      </c>
      <c r="M231">
        <v>69.719873960000001</v>
      </c>
      <c r="N231">
        <v>69.780198580000004</v>
      </c>
      <c r="O231">
        <v>68.16460343</v>
      </c>
      <c r="P231">
        <v>66.166086899999996</v>
      </c>
      <c r="Q231">
        <v>63.51292669</v>
      </c>
      <c r="R231">
        <v>61.80621146</v>
      </c>
      <c r="S231">
        <v>60.437144009999997</v>
      </c>
      <c r="T231">
        <v>60.235069619999997</v>
      </c>
      <c r="U231">
        <v>60.041424970000001</v>
      </c>
      <c r="V231">
        <v>59.540199919999999</v>
      </c>
      <c r="W231">
        <v>57.834879479999998</v>
      </c>
      <c r="X231">
        <v>55.861248199999999</v>
      </c>
      <c r="Y231">
        <v>53.86634188</v>
      </c>
      <c r="Z231">
        <v>51.828187419999999</v>
      </c>
      <c r="AA231">
        <v>49.786139319999997</v>
      </c>
      <c r="AB231">
        <v>47.576011880000003</v>
      </c>
      <c r="AC231">
        <v>45.346376079999999</v>
      </c>
      <c r="AD231">
        <v>43.100619709999997</v>
      </c>
      <c r="AE231">
        <v>40.884150869999999</v>
      </c>
      <c r="AF231">
        <v>38.678501359999998</v>
      </c>
      <c r="AG231">
        <v>36.514938049999998</v>
      </c>
      <c r="AH231">
        <v>34.380063270000001</v>
      </c>
      <c r="AI231">
        <v>32.340374850000003</v>
      </c>
      <c r="AJ231">
        <v>30.363679609999998</v>
      </c>
      <c r="AK231">
        <v>28.412258269999999</v>
      </c>
      <c r="AL231">
        <v>26.547309909999999</v>
      </c>
      <c r="AM231">
        <v>24.710723900000001</v>
      </c>
      <c r="AN231">
        <v>23.160386819999999</v>
      </c>
      <c r="AO231">
        <v>21.632237360000001</v>
      </c>
      <c r="AP231">
        <v>20.093342209999999</v>
      </c>
      <c r="AQ231">
        <v>18.592956040000001</v>
      </c>
      <c r="AR231">
        <v>17.04823627</v>
      </c>
      <c r="AS231">
        <v>16.112613329999999</v>
      </c>
      <c r="AT231">
        <v>15.228284560000001</v>
      </c>
      <c r="AU231">
        <v>14.36119216</v>
      </c>
      <c r="AV231">
        <v>13.536712189999999</v>
      </c>
      <c r="AW231">
        <v>12.724717869999999</v>
      </c>
    </row>
    <row r="232" spans="2:49" x14ac:dyDescent="0.25">
      <c r="B232" t="s">
        <v>303</v>
      </c>
      <c r="C232">
        <v>0.67805251130835598</v>
      </c>
      <c r="D232">
        <v>0.68893886369971102</v>
      </c>
      <c r="E232">
        <v>0.66746566279999997</v>
      </c>
      <c r="F232">
        <v>1.0115171759999999</v>
      </c>
      <c r="G232">
        <v>1.286602413</v>
      </c>
      <c r="H232">
        <v>1.558950654</v>
      </c>
      <c r="I232">
        <v>1.833618446</v>
      </c>
      <c r="J232">
        <v>2.0856117109999999</v>
      </c>
      <c r="K232">
        <v>2.3157170370000002</v>
      </c>
      <c r="L232">
        <v>2.5504110249999998</v>
      </c>
      <c r="M232">
        <v>2.827808643</v>
      </c>
      <c r="N232">
        <v>3.1307536950000001</v>
      </c>
      <c r="O232">
        <v>3.117234888</v>
      </c>
      <c r="P232">
        <v>3.0866288989999999</v>
      </c>
      <c r="Q232">
        <v>3.0249618169999999</v>
      </c>
      <c r="R232">
        <v>3.0081396859999998</v>
      </c>
      <c r="S232">
        <v>3.0089107240000001</v>
      </c>
      <c r="T232">
        <v>3.1532869290000001</v>
      </c>
      <c r="U232">
        <v>3.2914088229999998</v>
      </c>
      <c r="V232">
        <v>3.4055642439999998</v>
      </c>
      <c r="W232">
        <v>3.3937348059999999</v>
      </c>
      <c r="X232">
        <v>3.3672143829999999</v>
      </c>
      <c r="Y232">
        <v>3.4303817959999998</v>
      </c>
      <c r="Z232">
        <v>3.4947400000000002</v>
      </c>
      <c r="AA232">
        <v>3.563222294</v>
      </c>
      <c r="AB232">
        <v>3.6123427750000001</v>
      </c>
      <c r="AC232">
        <v>3.662772184</v>
      </c>
      <c r="AD232">
        <v>3.8521083960000002</v>
      </c>
      <c r="AE232">
        <v>4.0527446510000003</v>
      </c>
      <c r="AF232">
        <v>4.2654927530000002</v>
      </c>
      <c r="AG232">
        <v>4.4782511420000004</v>
      </c>
      <c r="AH232">
        <v>4.7107943690000003</v>
      </c>
      <c r="AI232">
        <v>4.7893555360000004</v>
      </c>
      <c r="AJ232">
        <v>4.8915326459999999</v>
      </c>
      <c r="AK232">
        <v>5.0174636530000001</v>
      </c>
      <c r="AL232">
        <v>5.1604738040000004</v>
      </c>
      <c r="AM232">
        <v>5.3460693279999996</v>
      </c>
      <c r="AN232">
        <v>5.3942440219999996</v>
      </c>
      <c r="AO232">
        <v>5.4674852830000003</v>
      </c>
      <c r="AP232">
        <v>5.5646495040000001</v>
      </c>
      <c r="AQ232">
        <v>5.7097877649999997</v>
      </c>
      <c r="AR232">
        <v>5.8939018189999999</v>
      </c>
      <c r="AS232">
        <v>5.7238664979999996</v>
      </c>
      <c r="AT232">
        <v>5.5711963210000004</v>
      </c>
      <c r="AU232">
        <v>5.4248967539999997</v>
      </c>
      <c r="AV232">
        <v>5.2958924029999999</v>
      </c>
      <c r="AW232">
        <v>5.1744039160000002</v>
      </c>
    </row>
    <row r="233" spans="2:49" x14ac:dyDescent="0.25">
      <c r="B233" t="s">
        <v>304</v>
      </c>
      <c r="C233">
        <v>82.165927612137295</v>
      </c>
      <c r="D233">
        <v>83.485128157272499</v>
      </c>
      <c r="E233">
        <v>84.844877019999998</v>
      </c>
      <c r="F233">
        <v>85.764368300000001</v>
      </c>
      <c r="G233">
        <v>81.726536999999894</v>
      </c>
      <c r="H233">
        <v>79.08314609</v>
      </c>
      <c r="I233">
        <v>77.353987309999894</v>
      </c>
      <c r="J233">
        <v>74.874316260000001</v>
      </c>
      <c r="K233">
        <v>72.252303609999998</v>
      </c>
      <c r="L233">
        <v>70.285156909999998</v>
      </c>
      <c r="M233">
        <v>69.719873960000001</v>
      </c>
      <c r="N233">
        <v>69.780198580000004</v>
      </c>
      <c r="O233">
        <v>68.16460343</v>
      </c>
      <c r="P233">
        <v>66.166086899999996</v>
      </c>
      <c r="Q233">
        <v>63.51292669</v>
      </c>
      <c r="R233">
        <v>61.80621146</v>
      </c>
      <c r="S233">
        <v>60.437144009999997</v>
      </c>
      <c r="T233">
        <v>60.235069619999997</v>
      </c>
      <c r="U233">
        <v>60.041424970000001</v>
      </c>
      <c r="V233">
        <v>59.540199919999999</v>
      </c>
      <c r="W233">
        <v>57.834879479999998</v>
      </c>
      <c r="X233">
        <v>55.861248199999999</v>
      </c>
      <c r="Y233">
        <v>53.86634188</v>
      </c>
      <c r="Z233">
        <v>51.828187419999999</v>
      </c>
      <c r="AA233">
        <v>49.786139319999997</v>
      </c>
      <c r="AB233">
        <v>47.576011880000003</v>
      </c>
      <c r="AC233">
        <v>45.346376079999999</v>
      </c>
      <c r="AD233">
        <v>43.100619709999997</v>
      </c>
      <c r="AE233">
        <v>40.884150869999999</v>
      </c>
      <c r="AF233">
        <v>38.678501359999998</v>
      </c>
      <c r="AG233">
        <v>36.514938049999998</v>
      </c>
      <c r="AH233">
        <v>34.380063270000001</v>
      </c>
      <c r="AI233">
        <v>32.340374850000003</v>
      </c>
      <c r="AJ233">
        <v>30.363679609999998</v>
      </c>
      <c r="AK233">
        <v>28.412258269999999</v>
      </c>
      <c r="AL233">
        <v>26.547309909999999</v>
      </c>
      <c r="AM233">
        <v>24.710723900000001</v>
      </c>
      <c r="AN233">
        <v>23.160386819999999</v>
      </c>
      <c r="AO233">
        <v>21.632237360000001</v>
      </c>
      <c r="AP233">
        <v>20.093342209999999</v>
      </c>
      <c r="AQ233">
        <v>18.592956040000001</v>
      </c>
      <c r="AR233">
        <v>17.04823627</v>
      </c>
      <c r="AS233">
        <v>16.112613329999999</v>
      </c>
      <c r="AT233">
        <v>15.228284560000001</v>
      </c>
      <c r="AU233">
        <v>14.36119216</v>
      </c>
      <c r="AV233">
        <v>13.536712189999999</v>
      </c>
      <c r="AW233">
        <v>12.724717869999999</v>
      </c>
    </row>
    <row r="234" spans="2:49" x14ac:dyDescent="0.25">
      <c r="B234" t="s">
        <v>305</v>
      </c>
      <c r="C234">
        <v>0.67805251130835598</v>
      </c>
      <c r="D234">
        <v>0.68893886369971102</v>
      </c>
      <c r="E234">
        <v>0.66746566279999997</v>
      </c>
      <c r="F234">
        <v>1.0115171759999999</v>
      </c>
      <c r="G234">
        <v>1.286602413</v>
      </c>
      <c r="H234">
        <v>1.558950654</v>
      </c>
      <c r="I234">
        <v>1.833618446</v>
      </c>
      <c r="J234">
        <v>2.0856117109999999</v>
      </c>
      <c r="K234">
        <v>2.3157170370000002</v>
      </c>
      <c r="L234">
        <v>2.5504110249999998</v>
      </c>
      <c r="M234">
        <v>2.827808643</v>
      </c>
      <c r="N234">
        <v>3.1307536950000001</v>
      </c>
      <c r="O234">
        <v>3.117234888</v>
      </c>
      <c r="P234">
        <v>3.0866288989999999</v>
      </c>
      <c r="Q234">
        <v>3.0249618169999999</v>
      </c>
      <c r="R234">
        <v>3.0081396859999998</v>
      </c>
      <c r="S234">
        <v>3.0089107240000001</v>
      </c>
      <c r="T234">
        <v>3.1532869290000001</v>
      </c>
      <c r="U234">
        <v>3.2914088229999998</v>
      </c>
      <c r="V234">
        <v>3.4055642439999998</v>
      </c>
      <c r="W234">
        <v>3.3937348059999999</v>
      </c>
      <c r="X234">
        <v>3.3672143829999999</v>
      </c>
      <c r="Y234">
        <v>3.4303817959999998</v>
      </c>
      <c r="Z234">
        <v>3.4947400000000002</v>
      </c>
      <c r="AA234">
        <v>3.563222294</v>
      </c>
      <c r="AB234">
        <v>3.6123427750000001</v>
      </c>
      <c r="AC234">
        <v>3.662772184</v>
      </c>
      <c r="AD234">
        <v>3.8521083960000002</v>
      </c>
      <c r="AE234">
        <v>4.0527446510000003</v>
      </c>
      <c r="AF234">
        <v>4.2654927530000002</v>
      </c>
      <c r="AG234">
        <v>4.4782511420000004</v>
      </c>
      <c r="AH234">
        <v>4.7107943690000003</v>
      </c>
      <c r="AI234">
        <v>4.7893555360000004</v>
      </c>
      <c r="AJ234">
        <v>4.8915326459999999</v>
      </c>
      <c r="AK234">
        <v>5.0174636530000001</v>
      </c>
      <c r="AL234">
        <v>5.1604738040000004</v>
      </c>
      <c r="AM234">
        <v>5.3460693279999996</v>
      </c>
      <c r="AN234">
        <v>5.3942440219999996</v>
      </c>
      <c r="AO234">
        <v>5.4674852830000003</v>
      </c>
      <c r="AP234">
        <v>5.5646495040000001</v>
      </c>
      <c r="AQ234">
        <v>5.7097877649999997</v>
      </c>
      <c r="AR234">
        <v>5.8939018189999999</v>
      </c>
      <c r="AS234">
        <v>5.7238664979999996</v>
      </c>
      <c r="AT234">
        <v>5.5711963210000004</v>
      </c>
      <c r="AU234">
        <v>5.4248967539999997</v>
      </c>
      <c r="AV234">
        <v>5.2958924029999999</v>
      </c>
      <c r="AW234">
        <v>5.1744039160000002</v>
      </c>
    </row>
    <row r="235" spans="2:49" x14ac:dyDescent="0.25">
      <c r="B235" t="s">
        <v>306</v>
      </c>
      <c r="C235">
        <v>114.221490567207</v>
      </c>
      <c r="D235">
        <v>116.055353544252</v>
      </c>
      <c r="E235">
        <v>118.47247350000001</v>
      </c>
      <c r="F235">
        <v>123.6502129</v>
      </c>
      <c r="G235">
        <v>128.44727349999999</v>
      </c>
      <c r="H235">
        <v>122.66661430000001</v>
      </c>
      <c r="I235">
        <v>129.41387800000001</v>
      </c>
      <c r="J235">
        <v>131.55897870000001</v>
      </c>
      <c r="K235">
        <v>131.27344819999999</v>
      </c>
      <c r="L235">
        <v>129.17674310000001</v>
      </c>
      <c r="M235">
        <v>127.100859</v>
      </c>
      <c r="N235">
        <v>123.4866561</v>
      </c>
      <c r="O235">
        <v>116.3438551</v>
      </c>
      <c r="P235">
        <v>113.42024619999999</v>
      </c>
      <c r="Q235">
        <v>112.0652607</v>
      </c>
      <c r="R235">
        <v>107.76709270000001</v>
      </c>
      <c r="S235">
        <v>103.44776899999999</v>
      </c>
      <c r="T235">
        <v>101.1234525</v>
      </c>
      <c r="U235">
        <v>99.169627009999999</v>
      </c>
      <c r="V235">
        <v>96.085453999999999</v>
      </c>
      <c r="W235">
        <v>108.7050972</v>
      </c>
      <c r="X235">
        <v>120.1047078</v>
      </c>
      <c r="Y235">
        <v>116.374399</v>
      </c>
      <c r="Z235">
        <v>112.5009668</v>
      </c>
      <c r="AA235">
        <v>108.64381830000001</v>
      </c>
      <c r="AB235">
        <v>104.45078100000001</v>
      </c>
      <c r="AC235">
        <v>100.3707539</v>
      </c>
      <c r="AD235">
        <v>101.0332123</v>
      </c>
      <c r="AE235">
        <v>101.57938350000001</v>
      </c>
      <c r="AF235">
        <v>102.0399529</v>
      </c>
      <c r="AG235">
        <v>92.719422600000001</v>
      </c>
      <c r="AH235">
        <v>83.772687489999996</v>
      </c>
      <c r="AI235">
        <v>83.463596100000004</v>
      </c>
      <c r="AJ235">
        <v>83.037787179999995</v>
      </c>
      <c r="AK235">
        <v>82.5753694</v>
      </c>
      <c r="AL235">
        <v>82.362553210000002</v>
      </c>
      <c r="AM235">
        <v>82.091423899999995</v>
      </c>
      <c r="AN235">
        <v>78.773644009999998</v>
      </c>
      <c r="AO235">
        <v>75.561853799999994</v>
      </c>
      <c r="AP235">
        <v>72.371261820000001</v>
      </c>
      <c r="AQ235">
        <v>69.241927689999997</v>
      </c>
      <c r="AR235">
        <v>66.177270089999894</v>
      </c>
      <c r="AS235">
        <v>62.820939750000001</v>
      </c>
      <c r="AT235">
        <v>59.547143949999999</v>
      </c>
      <c r="AU235">
        <v>56.275956110000003</v>
      </c>
      <c r="AV235">
        <v>53.067386569999996</v>
      </c>
      <c r="AW235">
        <v>49.847266410000003</v>
      </c>
    </row>
    <row r="236" spans="2:49" x14ac:dyDescent="0.25">
      <c r="B236" t="s">
        <v>307</v>
      </c>
      <c r="C236">
        <v>1.2736350545564401</v>
      </c>
      <c r="D236">
        <v>1.2940836773262701</v>
      </c>
      <c r="E236">
        <v>1.3210359490000001</v>
      </c>
      <c r="F236">
        <v>1.30438539</v>
      </c>
      <c r="G236">
        <v>1.2819128930000001</v>
      </c>
      <c r="H236">
        <v>1.158221052</v>
      </c>
      <c r="I236">
        <v>1.1560761340000001</v>
      </c>
      <c r="J236">
        <v>1.0874709060000001</v>
      </c>
      <c r="K236">
        <v>1.0042553700000001</v>
      </c>
      <c r="L236">
        <v>0.91478708870000003</v>
      </c>
      <c r="M236">
        <v>0.83342650809999996</v>
      </c>
      <c r="N236">
        <v>0.74998085739999998</v>
      </c>
      <c r="O236">
        <v>0.64827673090000004</v>
      </c>
      <c r="P236">
        <v>0.57117314929999996</v>
      </c>
      <c r="Q236">
        <v>0.49987066559999999</v>
      </c>
      <c r="R236">
        <v>0.41392289500000001</v>
      </c>
      <c r="S236">
        <v>0.32803670260000001</v>
      </c>
      <c r="T236">
        <v>0.46470480079999998</v>
      </c>
      <c r="U236">
        <v>0.60505382910000005</v>
      </c>
      <c r="V236">
        <v>0.73911942109999995</v>
      </c>
      <c r="W236">
        <v>0.54306208359999997</v>
      </c>
      <c r="X236">
        <v>0.35610532919999999</v>
      </c>
      <c r="Y236">
        <v>0.29985844740000001</v>
      </c>
      <c r="Z236">
        <v>0.23011459279999999</v>
      </c>
      <c r="AA236">
        <v>0.14894401630000001</v>
      </c>
      <c r="AB236">
        <v>0.10552367930000001</v>
      </c>
      <c r="AC236">
        <v>6.5857398100000006E-2</v>
      </c>
      <c r="AD236">
        <v>6.6646080100000005E-2</v>
      </c>
      <c r="AE236">
        <v>6.7382267699999998E-2</v>
      </c>
      <c r="AF236">
        <v>6.8086370199999996E-2</v>
      </c>
      <c r="AG236">
        <v>6.2243034599999997E-2</v>
      </c>
      <c r="AH236">
        <v>5.6587221100000001E-2</v>
      </c>
      <c r="AI236">
        <v>4.5785357499999998E-2</v>
      </c>
      <c r="AJ236">
        <v>3.50198392E-2</v>
      </c>
      <c r="AK236">
        <v>2.43579513E-2</v>
      </c>
      <c r="AL236">
        <v>1.8292480199999999E-2</v>
      </c>
      <c r="AM236">
        <v>1.1631278700000001E-2</v>
      </c>
      <c r="AN236">
        <v>1.05876224E-2</v>
      </c>
      <c r="AO236">
        <v>9.6038506999999995E-3</v>
      </c>
      <c r="AP236">
        <v>8.6679244699999995E-3</v>
      </c>
      <c r="AQ236" s="39">
        <v>7.7843138200000004E-3</v>
      </c>
      <c r="AR236" s="39">
        <v>6.9524497999999997E-3</v>
      </c>
      <c r="AS236" s="39">
        <v>6.8931417699999997E-3</v>
      </c>
      <c r="AT236" s="39">
        <v>6.8381188000000001E-3</v>
      </c>
      <c r="AU236" s="39">
        <v>6.7783733700000001E-3</v>
      </c>
      <c r="AV236" s="39">
        <v>6.7207680100000002E-3</v>
      </c>
      <c r="AW236" s="39">
        <v>6.6557382199999996E-3</v>
      </c>
    </row>
    <row r="237" spans="2:49" x14ac:dyDescent="0.25">
      <c r="B237" t="s">
        <v>308</v>
      </c>
      <c r="C237">
        <v>3.4574974609126801</v>
      </c>
      <c r="D237">
        <v>3.51300870100687</v>
      </c>
      <c r="E237">
        <v>3.586175195</v>
      </c>
      <c r="F237">
        <v>3.722866083</v>
      </c>
      <c r="G237">
        <v>3.8468066169999999</v>
      </c>
      <c r="H237">
        <v>3.654437385</v>
      </c>
      <c r="I237">
        <v>3.8354889609999998</v>
      </c>
      <c r="J237">
        <v>3.9733493439999998</v>
      </c>
      <c r="K237">
        <v>4.0464457280000001</v>
      </c>
      <c r="L237">
        <v>4.0694330540000001</v>
      </c>
      <c r="M237">
        <v>4.097125911</v>
      </c>
      <c r="N237">
        <v>4.077602175</v>
      </c>
      <c r="O237">
        <v>4.2920106359999997</v>
      </c>
      <c r="P237">
        <v>4.6563381120000003</v>
      </c>
      <c r="Q237">
        <v>5.1041479580000004</v>
      </c>
      <c r="R237">
        <v>5.432574679</v>
      </c>
      <c r="S237">
        <v>5.7616660499999997</v>
      </c>
      <c r="T237">
        <v>5.4556760449999997</v>
      </c>
      <c r="U237">
        <v>5.1703700829999999</v>
      </c>
      <c r="V237">
        <v>4.828386568</v>
      </c>
      <c r="W237">
        <v>5.6530197820000003</v>
      </c>
      <c r="X237">
        <v>6.330593693</v>
      </c>
      <c r="Y237">
        <v>6.1154394300000003</v>
      </c>
      <c r="Z237">
        <v>5.8943602879999997</v>
      </c>
      <c r="AA237">
        <v>5.6757081850000004</v>
      </c>
      <c r="AB237">
        <v>4.8113092440000003</v>
      </c>
      <c r="AC237">
        <v>4.0130311289999998</v>
      </c>
      <c r="AD237">
        <v>3.8018005860000001</v>
      </c>
      <c r="AE237">
        <v>3.5776595969999998</v>
      </c>
      <c r="AF237">
        <v>3.3419110480000001</v>
      </c>
      <c r="AG237">
        <v>2.8091213829999999</v>
      </c>
      <c r="AH237">
        <v>2.331652756</v>
      </c>
      <c r="AI237">
        <v>1.8521941790000001</v>
      </c>
      <c r="AJ237">
        <v>1.3719883129999999</v>
      </c>
      <c r="AK237">
        <v>0.89394259080000005</v>
      </c>
      <c r="AL237">
        <v>0.4077740091</v>
      </c>
      <c r="AM237">
        <v>0.1020235956</v>
      </c>
      <c r="AN237">
        <v>0.10114338439999999</v>
      </c>
      <c r="AO237">
        <v>0.10031804499999999</v>
      </c>
      <c r="AP237">
        <v>9.9437541000000004E-2</v>
      </c>
      <c r="AQ237">
        <v>9.8553645600000003E-2</v>
      </c>
      <c r="AR237">
        <v>9.7671798099999999E-2</v>
      </c>
      <c r="AS237">
        <v>9.6825409200000004E-2</v>
      </c>
      <c r="AT237">
        <v>9.6039430800000006E-2</v>
      </c>
      <c r="AU237">
        <v>9.5187347300000003E-2</v>
      </c>
      <c r="AV237">
        <v>9.4365541900000002E-2</v>
      </c>
      <c r="AW237">
        <v>9.3439726400000006E-2</v>
      </c>
    </row>
    <row r="238" spans="2:49" x14ac:dyDescent="0.25">
      <c r="B238" t="s">
        <v>309</v>
      </c>
      <c r="C238">
        <v>5.0750954082325404</v>
      </c>
      <c r="D238">
        <v>5.1565777065978304</v>
      </c>
      <c r="E238">
        <v>5.2639753090000001</v>
      </c>
      <c r="F238">
        <v>5.0515484759999998</v>
      </c>
      <c r="G238">
        <v>4.8249909860000004</v>
      </c>
      <c r="H238">
        <v>4.2369060789999997</v>
      </c>
      <c r="I238">
        <v>4.1102024119999996</v>
      </c>
      <c r="J238">
        <v>4.0133163759999997</v>
      </c>
      <c r="K238">
        <v>3.8524382529999999</v>
      </c>
      <c r="L238">
        <v>3.6519169279999999</v>
      </c>
      <c r="M238">
        <v>3.4657841309999999</v>
      </c>
      <c r="N238">
        <v>3.2514280690000001</v>
      </c>
      <c r="O238">
        <v>2.7084061730000002</v>
      </c>
      <c r="P238">
        <v>2.2709708630000001</v>
      </c>
      <c r="Q238">
        <v>1.8529529490000001</v>
      </c>
      <c r="R238">
        <v>1.377836367</v>
      </c>
      <c r="S238">
        <v>0.90408457389999997</v>
      </c>
      <c r="T238">
        <v>0.85619900270000004</v>
      </c>
      <c r="U238">
        <v>0.81148929810000003</v>
      </c>
      <c r="V238">
        <v>0.75781517499999995</v>
      </c>
      <c r="W238">
        <v>0.32837249590000001</v>
      </c>
      <c r="X238">
        <v>6.4110887399999997E-2</v>
      </c>
      <c r="Y238">
        <v>4.8338451999999997E-2</v>
      </c>
      <c r="Z238">
        <v>3.3396531799999997E-2</v>
      </c>
      <c r="AA238">
        <v>1.93628445E-2</v>
      </c>
      <c r="AB238">
        <v>1.85920025E-2</v>
      </c>
      <c r="AC238">
        <v>1.7847960699999998E-2</v>
      </c>
      <c r="AD238">
        <v>1.50565083E-2</v>
      </c>
      <c r="AE238">
        <v>1.2185150400000001E-2</v>
      </c>
      <c r="AF238">
        <v>9.2416871199999997E-3</v>
      </c>
      <c r="AG238">
        <v>8.4334145199999998E-3</v>
      </c>
      <c r="AH238">
        <v>7.6538956300000001E-3</v>
      </c>
      <c r="AI238">
        <v>7.5774785000000001E-3</v>
      </c>
      <c r="AJ238">
        <v>7.4916145999999999E-3</v>
      </c>
      <c r="AK238">
        <v>7.40365854E-3</v>
      </c>
      <c r="AL238">
        <v>7.3400097100000004E-3</v>
      </c>
      <c r="AM238">
        <v>7.2721509600000003E-3</v>
      </c>
      <c r="AN238">
        <v>7.2074391E-3</v>
      </c>
      <c r="AO238">
        <v>7.1466715299999999E-3</v>
      </c>
      <c r="AP238">
        <v>7.0820081400000002E-3</v>
      </c>
      <c r="AQ238">
        <v>7.01713845E-3</v>
      </c>
      <c r="AR238">
        <v>6.9524497999999997E-3</v>
      </c>
      <c r="AS238">
        <v>6.8931417699999997E-3</v>
      </c>
      <c r="AT238">
        <v>6.8381188000000001E-3</v>
      </c>
      <c r="AU238">
        <v>6.7783733700000001E-3</v>
      </c>
      <c r="AV238">
        <v>6.7207680100000002E-3</v>
      </c>
      <c r="AW238">
        <v>6.6557382199999996E-3</v>
      </c>
    </row>
    <row r="239" spans="2:49" x14ac:dyDescent="0.25">
      <c r="B239" t="s">
        <v>310</v>
      </c>
      <c r="C239">
        <v>0.35516190417563898</v>
      </c>
      <c r="D239">
        <v>0.36086414342755202</v>
      </c>
      <c r="E239">
        <v>0.36837997</v>
      </c>
      <c r="F239">
        <v>0.78000729000000002</v>
      </c>
      <c r="G239">
        <v>1.1705785500000001</v>
      </c>
      <c r="H239">
        <v>1.4139859939999999</v>
      </c>
      <c r="I239">
        <v>1.752820861</v>
      </c>
      <c r="J239">
        <v>2.0699934120000001</v>
      </c>
      <c r="K239">
        <v>2.309791583</v>
      </c>
      <c r="L239">
        <v>2.4593193480000002</v>
      </c>
      <c r="M239">
        <v>2.5351844670000001</v>
      </c>
      <c r="N239">
        <v>2.4897205549999999</v>
      </c>
      <c r="O239">
        <v>2.6490549510000001</v>
      </c>
      <c r="P239">
        <v>2.9020769130000001</v>
      </c>
      <c r="Q239">
        <v>3.2096787830000002</v>
      </c>
      <c r="R239">
        <v>3.4444913389999998</v>
      </c>
      <c r="S239">
        <v>3.6813524549999999</v>
      </c>
      <c r="T239">
        <v>3.8238661129999998</v>
      </c>
      <c r="U239">
        <v>3.9779037939999999</v>
      </c>
      <c r="V239">
        <v>4.0821844660000002</v>
      </c>
      <c r="W239">
        <v>4.7668471610000003</v>
      </c>
      <c r="X239">
        <v>5.4056756359999998</v>
      </c>
      <c r="Y239">
        <v>5.6018032289999997</v>
      </c>
      <c r="Z239">
        <v>5.7682249130000001</v>
      </c>
      <c r="AA239">
        <v>5.9122401699999996</v>
      </c>
      <c r="AB239">
        <v>6.0482364779999997</v>
      </c>
      <c r="AC239">
        <v>6.1629952230000002</v>
      </c>
      <c r="AD239">
        <v>7.0622754719999996</v>
      </c>
      <c r="AE239">
        <v>7.9779966790000003</v>
      </c>
      <c r="AF239">
        <v>8.9115572360000002</v>
      </c>
      <c r="AG239">
        <v>8.8705519420000005</v>
      </c>
      <c r="AH239">
        <v>8.7212872099999998</v>
      </c>
      <c r="AI239">
        <v>9.1819319729999904</v>
      </c>
      <c r="AJ239">
        <v>9.6198239430000001</v>
      </c>
      <c r="AK239">
        <v>10.042874769999999</v>
      </c>
      <c r="AL239">
        <v>10.457651480000001</v>
      </c>
      <c r="AM239">
        <v>10.85781624</v>
      </c>
      <c r="AN239">
        <v>11.350633719999999</v>
      </c>
      <c r="AO239">
        <v>11.84066114</v>
      </c>
      <c r="AP239">
        <v>12.315202660000001</v>
      </c>
      <c r="AQ239">
        <v>12.77998369</v>
      </c>
      <c r="AR239">
        <v>13.235656369999999</v>
      </c>
      <c r="AS239">
        <v>13.729337409999999</v>
      </c>
      <c r="AT239">
        <v>14.222638030000001</v>
      </c>
      <c r="AU239">
        <v>14.69713351</v>
      </c>
      <c r="AV239">
        <v>15.16702931</v>
      </c>
      <c r="AW239">
        <v>15.61043198</v>
      </c>
    </row>
    <row r="240" spans="2:49" x14ac:dyDescent="0.25">
      <c r="B240" t="s">
        <v>311</v>
      </c>
      <c r="C240">
        <v>7.99114284395189E-2</v>
      </c>
      <c r="D240">
        <v>8.1194432271199296E-2</v>
      </c>
      <c r="E240">
        <v>8.2885493300000002E-2</v>
      </c>
      <c r="F240">
        <v>0.1124684319</v>
      </c>
      <c r="G240">
        <v>0.1518638111</v>
      </c>
      <c r="H240">
        <v>0.18848232379999999</v>
      </c>
      <c r="I240">
        <v>0.25838272829999998</v>
      </c>
      <c r="J240">
        <v>0.3543872334</v>
      </c>
      <c r="K240">
        <v>0.47681331179999997</v>
      </c>
      <c r="L240">
        <v>0.63237527950000005</v>
      </c>
      <c r="M240">
        <v>0.83834594419999997</v>
      </c>
      <c r="N240">
        <v>1.0972326160000001</v>
      </c>
      <c r="O240">
        <v>1.1674521019999999</v>
      </c>
      <c r="P240">
        <v>1.2789601779999999</v>
      </c>
      <c r="Q240">
        <v>1.4145219</v>
      </c>
      <c r="R240">
        <v>1.518004997</v>
      </c>
      <c r="S240">
        <v>1.6223909059999999</v>
      </c>
      <c r="T240">
        <v>1.662036214</v>
      </c>
      <c r="U240">
        <v>1.706935954</v>
      </c>
      <c r="V240">
        <v>1.730892466</v>
      </c>
      <c r="W240">
        <v>2.3241472270000001</v>
      </c>
      <c r="X240">
        <v>2.923711908</v>
      </c>
      <c r="Y240">
        <v>3.4626524600000002</v>
      </c>
      <c r="Z240">
        <v>3.957453186</v>
      </c>
      <c r="AA240">
        <v>4.41225194</v>
      </c>
      <c r="AB240">
        <v>4.8552228639999999</v>
      </c>
      <c r="AC240">
        <v>5.2552931989999996</v>
      </c>
      <c r="AD240">
        <v>5.6292967249999997</v>
      </c>
      <c r="AE240">
        <v>6.0078380200000003</v>
      </c>
      <c r="AF240">
        <v>6.3923758849999999</v>
      </c>
      <c r="AG240">
        <v>6.1357604859999997</v>
      </c>
      <c r="AH240">
        <v>5.8433310020000002</v>
      </c>
      <c r="AI240">
        <v>6.1145961690000004</v>
      </c>
      <c r="AJ240">
        <v>6.3714345769999996</v>
      </c>
      <c r="AK240">
        <v>6.6191790780000002</v>
      </c>
      <c r="AL240">
        <v>6.863381403</v>
      </c>
      <c r="AM240">
        <v>7.0984711709999999</v>
      </c>
      <c r="AN240">
        <v>7.393511052</v>
      </c>
      <c r="AO240">
        <v>7.6871254269999998</v>
      </c>
      <c r="AP240">
        <v>7.9710598140000002</v>
      </c>
      <c r="AQ240">
        <v>8.249047354</v>
      </c>
      <c r="AR240">
        <v>8.5215110149999997</v>
      </c>
      <c r="AS240">
        <v>8.8187538950000004</v>
      </c>
      <c r="AT240">
        <v>9.1160410209999903</v>
      </c>
      <c r="AU240">
        <v>9.4015533990000009</v>
      </c>
      <c r="AV240">
        <v>9.6843981849999903</v>
      </c>
      <c r="AW240">
        <v>9.9506049349999994</v>
      </c>
    </row>
    <row r="241" spans="2:49" x14ac:dyDescent="0.25">
      <c r="B241" t="s">
        <v>312</v>
      </c>
      <c r="C241">
        <v>4.4799793836545803</v>
      </c>
      <c r="D241">
        <v>4.5519069017495504</v>
      </c>
      <c r="E241">
        <v>4.6467108430000001</v>
      </c>
      <c r="F241">
        <v>4.5889113779999997</v>
      </c>
      <c r="G241">
        <v>4.5101290269999996</v>
      </c>
      <c r="H241">
        <v>4.0747930209999996</v>
      </c>
      <c r="I241">
        <v>4.0667188579999998</v>
      </c>
      <c r="J241">
        <v>3.97957216</v>
      </c>
      <c r="K241">
        <v>3.827492055</v>
      </c>
      <c r="L241">
        <v>3.634895261</v>
      </c>
      <c r="M241">
        <v>3.4558512970000002</v>
      </c>
      <c r="N241">
        <v>3.2481480450000002</v>
      </c>
      <c r="O241">
        <v>3.4606347749999999</v>
      </c>
      <c r="P241">
        <v>3.7962168580000002</v>
      </c>
      <c r="Q241">
        <v>4.2041546280000004</v>
      </c>
      <c r="R241">
        <v>4.5176746809999999</v>
      </c>
      <c r="S241">
        <v>4.834680187</v>
      </c>
      <c r="T241">
        <v>5.0013528770000004</v>
      </c>
      <c r="U241">
        <v>5.1835618969999997</v>
      </c>
      <c r="V241">
        <v>5.3015315440000004</v>
      </c>
      <c r="W241">
        <v>5.1943991880000002</v>
      </c>
      <c r="X241">
        <v>4.9447986459999997</v>
      </c>
      <c r="Y241">
        <v>4.8611857570000003</v>
      </c>
      <c r="Z241">
        <v>4.7672024669999997</v>
      </c>
      <c r="AA241">
        <v>4.6694363440000002</v>
      </c>
      <c r="AB241">
        <v>4.5675950849999998</v>
      </c>
      <c r="AC241">
        <v>4.4651981259999998</v>
      </c>
      <c r="AD241">
        <v>4.3878569770000002</v>
      </c>
      <c r="AE241">
        <v>4.3047741640000003</v>
      </c>
      <c r="AF241">
        <v>4.217455051</v>
      </c>
      <c r="AG241">
        <v>3.7753598080000002</v>
      </c>
      <c r="AH241">
        <v>3.3598839069999999</v>
      </c>
      <c r="AI241">
        <v>3.3048983619999999</v>
      </c>
      <c r="AJ241">
        <v>3.2462156430000002</v>
      </c>
      <c r="AK241">
        <v>3.1870832920000001</v>
      </c>
      <c r="AL241">
        <v>3.1373289180000001</v>
      </c>
      <c r="AM241">
        <v>3.0861382019999999</v>
      </c>
      <c r="AN241">
        <v>3.06386447</v>
      </c>
      <c r="AO241">
        <v>3.0431804910000002</v>
      </c>
      <c r="AP241">
        <v>3.020750595</v>
      </c>
      <c r="AQ241">
        <v>2.998142654</v>
      </c>
      <c r="AR241">
        <v>2.9755219020000001</v>
      </c>
      <c r="AS241">
        <v>2.9621820259999998</v>
      </c>
      <c r="AT241">
        <v>2.9504927250000001</v>
      </c>
      <c r="AU241">
        <v>2.9365739610000001</v>
      </c>
      <c r="AV241">
        <v>2.9233857589999999</v>
      </c>
      <c r="AW241">
        <v>2.9067620289999998</v>
      </c>
    </row>
    <row r="242" spans="2:49" x14ac:dyDescent="0.25">
      <c r="B242" t="s">
        <v>313</v>
      </c>
      <c r="C242">
        <v>1.4169855567767899</v>
      </c>
      <c r="D242">
        <v>1.4397357182278101</v>
      </c>
      <c r="E242">
        <v>1.4697215290000001</v>
      </c>
      <c r="F242">
        <v>1.7260936469999999</v>
      </c>
      <c r="G242">
        <v>2.0175067389999999</v>
      </c>
      <c r="H242">
        <v>2.1677329259999998</v>
      </c>
      <c r="I242">
        <v>2.57287205</v>
      </c>
      <c r="J242">
        <v>2.8653646570000002</v>
      </c>
      <c r="K242">
        <v>3.1310932419999999</v>
      </c>
      <c r="L242">
        <v>3.3731648160000001</v>
      </c>
      <c r="M242">
        <v>3.6328069269999999</v>
      </c>
      <c r="N242">
        <v>3.8626804699999999</v>
      </c>
      <c r="O242">
        <v>3.5195574779999999</v>
      </c>
      <c r="P242">
        <v>3.3076805180000002</v>
      </c>
      <c r="Q242">
        <v>3.138712334</v>
      </c>
      <c r="R242">
        <v>2.8857033740000002</v>
      </c>
      <c r="S242">
        <v>2.633864424</v>
      </c>
      <c r="T242">
        <v>2.7477100229999998</v>
      </c>
      <c r="U242">
        <v>2.8705582700000001</v>
      </c>
      <c r="V242">
        <v>2.9581091239999999</v>
      </c>
      <c r="W242">
        <v>3.0065843289999998</v>
      </c>
      <c r="X242">
        <v>2.6875879839999999</v>
      </c>
      <c r="Y242">
        <v>2.5558014550000001</v>
      </c>
      <c r="Z242">
        <v>2.4241943930000001</v>
      </c>
      <c r="AA242">
        <v>2.2962875249999999</v>
      </c>
      <c r="AB242">
        <v>2.1828669590000001</v>
      </c>
      <c r="AC242">
        <v>2.074482723</v>
      </c>
      <c r="AD242">
        <v>2.1796982589999998</v>
      </c>
      <c r="AE242">
        <v>2.2809795030000002</v>
      </c>
      <c r="AF242">
        <v>2.3787723679999999</v>
      </c>
      <c r="AG242">
        <v>2.2354410069999999</v>
      </c>
      <c r="AH242">
        <v>2.0843223370000001</v>
      </c>
      <c r="AI242">
        <v>2.1374145050000002</v>
      </c>
      <c r="AJ242">
        <v>2.1819361050000001</v>
      </c>
      <c r="AK242">
        <v>2.2199810150000001</v>
      </c>
      <c r="AL242">
        <v>2.253473488</v>
      </c>
      <c r="AM242">
        <v>2.281987462</v>
      </c>
      <c r="AN242">
        <v>2.2795568149999998</v>
      </c>
      <c r="AO242">
        <v>2.27795024</v>
      </c>
      <c r="AP242">
        <v>2.2746815840000001</v>
      </c>
      <c r="AQ242">
        <v>2.2709192950000001</v>
      </c>
      <c r="AR242">
        <v>2.2667912120000002</v>
      </c>
      <c r="AS242">
        <v>2.250756821</v>
      </c>
      <c r="AT242">
        <v>2.236047181</v>
      </c>
      <c r="AU242">
        <v>2.2197191909999998</v>
      </c>
      <c r="AV242">
        <v>2.2040171649999998</v>
      </c>
      <c r="AW242">
        <v>2.1858035509999998</v>
      </c>
    </row>
    <row r="243" spans="2:49" x14ac:dyDescent="0.25">
      <c r="B243" t="s">
        <v>314</v>
      </c>
      <c r="C243">
        <v>114.221490567207</v>
      </c>
      <c r="D243">
        <v>116.055353544252</v>
      </c>
      <c r="E243">
        <v>118.47247350000001</v>
      </c>
      <c r="F243">
        <v>123.6502129</v>
      </c>
      <c r="G243">
        <v>128.44727349999999</v>
      </c>
      <c r="H243">
        <v>122.66661430000001</v>
      </c>
      <c r="I243">
        <v>129.41387800000001</v>
      </c>
      <c r="J243">
        <v>131.55897870000001</v>
      </c>
      <c r="K243">
        <v>131.27344819999999</v>
      </c>
      <c r="L243">
        <v>129.17674310000001</v>
      </c>
      <c r="M243">
        <v>127.100859</v>
      </c>
      <c r="N243">
        <v>123.4866561</v>
      </c>
      <c r="O243">
        <v>116.3438551</v>
      </c>
      <c r="P243">
        <v>113.42024619999999</v>
      </c>
      <c r="Q243">
        <v>112.0652607</v>
      </c>
      <c r="R243">
        <v>107.76709270000001</v>
      </c>
      <c r="S243">
        <v>103.44776899999999</v>
      </c>
      <c r="T243">
        <v>101.1234525</v>
      </c>
      <c r="U243">
        <v>99.169627009999999</v>
      </c>
      <c r="V243">
        <v>96.085453999999999</v>
      </c>
      <c r="W243">
        <v>108.7050972</v>
      </c>
      <c r="X243">
        <v>120.1047078</v>
      </c>
      <c r="Y243">
        <v>116.374399</v>
      </c>
      <c r="Z243">
        <v>112.5009668</v>
      </c>
      <c r="AA243">
        <v>108.64381830000001</v>
      </c>
      <c r="AB243">
        <v>104.45078100000001</v>
      </c>
      <c r="AC243">
        <v>100.3707539</v>
      </c>
      <c r="AD243">
        <v>101.0332123</v>
      </c>
      <c r="AE243">
        <v>101.57938350000001</v>
      </c>
      <c r="AF243">
        <v>102.0399529</v>
      </c>
      <c r="AG243">
        <v>92.719422600000001</v>
      </c>
      <c r="AH243">
        <v>83.772687489999996</v>
      </c>
      <c r="AI243">
        <v>83.463596100000004</v>
      </c>
      <c r="AJ243">
        <v>83.037787179999995</v>
      </c>
      <c r="AK243">
        <v>82.5753694</v>
      </c>
      <c r="AL243">
        <v>82.362553210000002</v>
      </c>
      <c r="AM243">
        <v>82.091423899999995</v>
      </c>
      <c r="AN243">
        <v>78.773644009999998</v>
      </c>
      <c r="AO243">
        <v>75.561853799999994</v>
      </c>
      <c r="AP243">
        <v>72.371261820000001</v>
      </c>
      <c r="AQ243">
        <v>69.241927689999997</v>
      </c>
      <c r="AR243">
        <v>66.177270089999894</v>
      </c>
      <c r="AS243">
        <v>62.820939750000001</v>
      </c>
      <c r="AT243">
        <v>59.547143949999999</v>
      </c>
      <c r="AU243">
        <v>56.275956110000003</v>
      </c>
      <c r="AV243">
        <v>53.067386569999996</v>
      </c>
      <c r="AW243">
        <v>49.847266410000003</v>
      </c>
    </row>
    <row r="244" spans="2:49" x14ac:dyDescent="0.25">
      <c r="B244" t="s">
        <v>315</v>
      </c>
      <c r="C244">
        <v>1.2736350545564401</v>
      </c>
      <c r="D244">
        <v>1.2940836773262701</v>
      </c>
      <c r="E244">
        <v>1.3210359490000001</v>
      </c>
      <c r="F244">
        <v>1.30438539</v>
      </c>
      <c r="G244">
        <v>1.2819128930000001</v>
      </c>
      <c r="H244">
        <v>1.158221052</v>
      </c>
      <c r="I244">
        <v>1.1560761340000001</v>
      </c>
      <c r="J244">
        <v>1.0874709060000001</v>
      </c>
      <c r="K244">
        <v>1.0042553700000001</v>
      </c>
      <c r="L244">
        <v>0.91478708870000003</v>
      </c>
      <c r="M244">
        <v>0.83342650809999996</v>
      </c>
      <c r="N244">
        <v>0.74998085739999998</v>
      </c>
      <c r="O244">
        <v>0.64827673090000004</v>
      </c>
      <c r="P244">
        <v>0.57117314929999996</v>
      </c>
      <c r="Q244">
        <v>0.49987066559999999</v>
      </c>
      <c r="R244">
        <v>0.41392289500000001</v>
      </c>
      <c r="S244">
        <v>0.32803670260000001</v>
      </c>
      <c r="T244">
        <v>0.46470480079999998</v>
      </c>
      <c r="U244">
        <v>0.60505382910000005</v>
      </c>
      <c r="V244">
        <v>0.73911942109999995</v>
      </c>
      <c r="W244">
        <v>0.54306208359999997</v>
      </c>
      <c r="X244">
        <v>0.35610532919999999</v>
      </c>
      <c r="Y244">
        <v>0.29985844740000001</v>
      </c>
      <c r="Z244">
        <v>0.23011459279999999</v>
      </c>
      <c r="AA244">
        <v>0.14894401630000001</v>
      </c>
      <c r="AB244">
        <v>0.10552367930000001</v>
      </c>
      <c r="AC244">
        <v>6.5857398100000006E-2</v>
      </c>
      <c r="AD244">
        <v>6.6646080100000005E-2</v>
      </c>
      <c r="AE244">
        <v>6.7382267699999998E-2</v>
      </c>
      <c r="AF244">
        <v>6.8086370199999996E-2</v>
      </c>
      <c r="AG244">
        <v>6.2243034599999997E-2</v>
      </c>
      <c r="AH244">
        <v>5.6587221100000001E-2</v>
      </c>
      <c r="AI244">
        <v>4.5785357499999998E-2</v>
      </c>
      <c r="AJ244">
        <v>3.50198392E-2</v>
      </c>
      <c r="AK244">
        <v>2.43579513E-2</v>
      </c>
      <c r="AL244">
        <v>1.8292480199999999E-2</v>
      </c>
      <c r="AM244">
        <v>1.1631278700000001E-2</v>
      </c>
      <c r="AN244">
        <v>1.05876224E-2</v>
      </c>
      <c r="AO244">
        <v>9.6038506999999995E-3</v>
      </c>
      <c r="AP244">
        <v>8.6679244699999995E-3</v>
      </c>
      <c r="AQ244" s="39">
        <v>7.7843138200000004E-3</v>
      </c>
      <c r="AR244" s="39">
        <v>6.9524497999999997E-3</v>
      </c>
      <c r="AS244" s="39">
        <v>6.8931417699999997E-3</v>
      </c>
      <c r="AT244" s="39">
        <v>6.8381188000000001E-3</v>
      </c>
      <c r="AU244" s="39">
        <v>6.7783733700000001E-3</v>
      </c>
      <c r="AV244" s="39">
        <v>6.7207680100000002E-3</v>
      </c>
      <c r="AW244" s="39">
        <v>6.6557382199999996E-3</v>
      </c>
    </row>
    <row r="245" spans="2:49" x14ac:dyDescent="0.25">
      <c r="B245" t="s">
        <v>316</v>
      </c>
      <c r="C245">
        <v>3.4574974609126801</v>
      </c>
      <c r="D245">
        <v>3.51300870100687</v>
      </c>
      <c r="E245">
        <v>3.586175195</v>
      </c>
      <c r="F245">
        <v>3.722866083</v>
      </c>
      <c r="G245">
        <v>3.8468066169999999</v>
      </c>
      <c r="H245">
        <v>3.654437385</v>
      </c>
      <c r="I245">
        <v>3.8354889609999998</v>
      </c>
      <c r="J245">
        <v>3.9733493439999998</v>
      </c>
      <c r="K245">
        <v>4.0464457280000001</v>
      </c>
      <c r="L245">
        <v>4.0694330540000001</v>
      </c>
      <c r="M245">
        <v>4.097125911</v>
      </c>
      <c r="N245">
        <v>4.077602175</v>
      </c>
      <c r="O245">
        <v>4.2920106359999997</v>
      </c>
      <c r="P245">
        <v>4.6563381120000003</v>
      </c>
      <c r="Q245">
        <v>5.1041479580000004</v>
      </c>
      <c r="R245">
        <v>5.432574679</v>
      </c>
      <c r="S245">
        <v>5.7616660499999997</v>
      </c>
      <c r="T245">
        <v>5.4556760449999997</v>
      </c>
      <c r="U245">
        <v>5.1703700829999999</v>
      </c>
      <c r="V245">
        <v>4.828386568</v>
      </c>
      <c r="W245">
        <v>5.6530197820000003</v>
      </c>
      <c r="X245">
        <v>6.330593693</v>
      </c>
      <c r="Y245">
        <v>6.1154394300000003</v>
      </c>
      <c r="Z245">
        <v>5.8943602879999997</v>
      </c>
      <c r="AA245">
        <v>5.6757081850000004</v>
      </c>
      <c r="AB245">
        <v>4.8113092440000003</v>
      </c>
      <c r="AC245">
        <v>4.0130311289999998</v>
      </c>
      <c r="AD245">
        <v>3.8018005860000001</v>
      </c>
      <c r="AE245">
        <v>3.5776595969999998</v>
      </c>
      <c r="AF245">
        <v>3.3419110480000001</v>
      </c>
      <c r="AG245">
        <v>2.8091213829999999</v>
      </c>
      <c r="AH245">
        <v>2.331652756</v>
      </c>
      <c r="AI245">
        <v>1.8521941790000001</v>
      </c>
      <c r="AJ245">
        <v>1.3719883129999999</v>
      </c>
      <c r="AK245">
        <v>0.89394259080000005</v>
      </c>
      <c r="AL245">
        <v>0.4077740091</v>
      </c>
      <c r="AM245">
        <v>0.1020235956</v>
      </c>
      <c r="AN245">
        <v>0.10114338439999999</v>
      </c>
      <c r="AO245">
        <v>0.10031804499999999</v>
      </c>
      <c r="AP245">
        <v>9.9437541000000004E-2</v>
      </c>
      <c r="AQ245">
        <v>9.8553645600000003E-2</v>
      </c>
      <c r="AR245">
        <v>9.7671798099999999E-2</v>
      </c>
      <c r="AS245">
        <v>9.6825409200000004E-2</v>
      </c>
      <c r="AT245">
        <v>9.6039430800000006E-2</v>
      </c>
      <c r="AU245">
        <v>9.5187347300000003E-2</v>
      </c>
      <c r="AV245">
        <v>9.4365541900000002E-2</v>
      </c>
      <c r="AW245">
        <v>9.3439726400000006E-2</v>
      </c>
    </row>
    <row r="246" spans="2:49" x14ac:dyDescent="0.25">
      <c r="B246" t="s">
        <v>317</v>
      </c>
      <c r="C246">
        <v>5.0750954082325404</v>
      </c>
      <c r="D246">
        <v>5.1565777065978304</v>
      </c>
      <c r="E246">
        <v>5.2639753090000001</v>
      </c>
      <c r="F246">
        <v>5.0515484759999998</v>
      </c>
      <c r="G246">
        <v>4.8249909860000004</v>
      </c>
      <c r="H246">
        <v>4.2369060789999997</v>
      </c>
      <c r="I246">
        <v>4.1102024119999996</v>
      </c>
      <c r="J246">
        <v>4.0133163759999997</v>
      </c>
      <c r="K246">
        <v>3.8524382529999999</v>
      </c>
      <c r="L246">
        <v>3.6519169279999999</v>
      </c>
      <c r="M246">
        <v>3.4657841309999999</v>
      </c>
      <c r="N246">
        <v>3.2514280690000001</v>
      </c>
      <c r="O246">
        <v>2.7084061730000002</v>
      </c>
      <c r="P246">
        <v>2.2709708630000001</v>
      </c>
      <c r="Q246">
        <v>1.8529529490000001</v>
      </c>
      <c r="R246">
        <v>1.377836367</v>
      </c>
      <c r="S246">
        <v>0.90408457389999997</v>
      </c>
      <c r="T246">
        <v>0.85619900270000004</v>
      </c>
      <c r="U246">
        <v>0.81148929810000003</v>
      </c>
      <c r="V246">
        <v>0.75781517499999995</v>
      </c>
      <c r="W246">
        <v>0.32837249590000001</v>
      </c>
      <c r="X246">
        <v>6.4110887399999997E-2</v>
      </c>
      <c r="Y246">
        <v>4.8338451999999997E-2</v>
      </c>
      <c r="Z246">
        <v>3.3396531799999997E-2</v>
      </c>
      <c r="AA246">
        <v>1.93628445E-2</v>
      </c>
      <c r="AB246">
        <v>1.85920025E-2</v>
      </c>
      <c r="AC246">
        <v>1.7847960699999998E-2</v>
      </c>
      <c r="AD246">
        <v>1.50565083E-2</v>
      </c>
      <c r="AE246">
        <v>1.2185150400000001E-2</v>
      </c>
      <c r="AF246">
        <v>9.2416871199999997E-3</v>
      </c>
      <c r="AG246">
        <v>8.4334145199999998E-3</v>
      </c>
      <c r="AH246">
        <v>7.6538956300000001E-3</v>
      </c>
      <c r="AI246">
        <v>7.5774785000000001E-3</v>
      </c>
      <c r="AJ246">
        <v>7.4916145999999999E-3</v>
      </c>
      <c r="AK246">
        <v>7.40365854E-3</v>
      </c>
      <c r="AL246">
        <v>7.3400097100000004E-3</v>
      </c>
      <c r="AM246">
        <v>7.2721509600000003E-3</v>
      </c>
      <c r="AN246">
        <v>7.2074391E-3</v>
      </c>
      <c r="AO246">
        <v>7.1466715299999999E-3</v>
      </c>
      <c r="AP246">
        <v>7.0820081400000002E-3</v>
      </c>
      <c r="AQ246">
        <v>7.01713845E-3</v>
      </c>
      <c r="AR246">
        <v>6.9524497999999997E-3</v>
      </c>
      <c r="AS246">
        <v>6.8931417699999997E-3</v>
      </c>
      <c r="AT246">
        <v>6.8381188000000001E-3</v>
      </c>
      <c r="AU246">
        <v>6.7783733700000001E-3</v>
      </c>
      <c r="AV246">
        <v>6.7207680100000002E-3</v>
      </c>
      <c r="AW246">
        <v>6.6557382199999996E-3</v>
      </c>
    </row>
    <row r="247" spans="2:49" x14ac:dyDescent="0.25">
      <c r="B247" t="s">
        <v>318</v>
      </c>
      <c r="C247">
        <v>0.35516190417563898</v>
      </c>
      <c r="D247">
        <v>0.36086414342755202</v>
      </c>
      <c r="E247">
        <v>0.36837997</v>
      </c>
      <c r="F247">
        <v>0.78000729000000002</v>
      </c>
      <c r="G247">
        <v>1.1705785500000001</v>
      </c>
      <c r="H247">
        <v>1.4139859939999999</v>
      </c>
      <c r="I247">
        <v>1.752820861</v>
      </c>
      <c r="J247">
        <v>2.0699934120000001</v>
      </c>
      <c r="K247">
        <v>2.309791583</v>
      </c>
      <c r="L247">
        <v>2.4593193480000002</v>
      </c>
      <c r="M247">
        <v>2.5351844670000001</v>
      </c>
      <c r="N247">
        <v>2.4897205549999999</v>
      </c>
      <c r="O247">
        <v>2.6490549510000001</v>
      </c>
      <c r="P247">
        <v>2.9020769130000001</v>
      </c>
      <c r="Q247">
        <v>3.2096787830000002</v>
      </c>
      <c r="R247">
        <v>3.4444913389999998</v>
      </c>
      <c r="S247">
        <v>3.6813524549999999</v>
      </c>
      <c r="T247">
        <v>3.8238661129999998</v>
      </c>
      <c r="U247">
        <v>3.9779037939999999</v>
      </c>
      <c r="V247">
        <v>4.0821844660000002</v>
      </c>
      <c r="W247">
        <v>4.7668471610000003</v>
      </c>
      <c r="X247">
        <v>5.4056756359999998</v>
      </c>
      <c r="Y247">
        <v>5.6018032289999997</v>
      </c>
      <c r="Z247">
        <v>5.7682249130000001</v>
      </c>
      <c r="AA247">
        <v>5.9122401699999996</v>
      </c>
      <c r="AB247">
        <v>6.0482364779999997</v>
      </c>
      <c r="AC247">
        <v>6.1629952230000002</v>
      </c>
      <c r="AD247">
        <v>7.0622754719999996</v>
      </c>
      <c r="AE247">
        <v>7.9779966790000003</v>
      </c>
      <c r="AF247">
        <v>8.9115572360000002</v>
      </c>
      <c r="AG247">
        <v>8.8705519420000005</v>
      </c>
      <c r="AH247">
        <v>8.7212872099999998</v>
      </c>
      <c r="AI247">
        <v>9.1819319729999904</v>
      </c>
      <c r="AJ247">
        <v>9.6198239430000001</v>
      </c>
      <c r="AK247">
        <v>10.042874769999999</v>
      </c>
      <c r="AL247">
        <v>10.457651480000001</v>
      </c>
      <c r="AM247">
        <v>10.85781624</v>
      </c>
      <c r="AN247">
        <v>11.350633719999999</v>
      </c>
      <c r="AO247">
        <v>11.84066114</v>
      </c>
      <c r="AP247">
        <v>12.315202660000001</v>
      </c>
      <c r="AQ247">
        <v>12.77998369</v>
      </c>
      <c r="AR247">
        <v>13.235656369999999</v>
      </c>
      <c r="AS247">
        <v>13.729337409999999</v>
      </c>
      <c r="AT247">
        <v>14.222638030000001</v>
      </c>
      <c r="AU247">
        <v>14.69713351</v>
      </c>
      <c r="AV247">
        <v>15.16702931</v>
      </c>
      <c r="AW247">
        <v>15.61043198</v>
      </c>
    </row>
    <row r="248" spans="2:49" x14ac:dyDescent="0.25">
      <c r="B248" t="s">
        <v>319</v>
      </c>
      <c r="C248">
        <v>7.99114284395189E-2</v>
      </c>
      <c r="D248">
        <v>8.1194432271199296E-2</v>
      </c>
      <c r="E248">
        <v>8.2885493300000002E-2</v>
      </c>
      <c r="F248">
        <v>0.1124684319</v>
      </c>
      <c r="G248">
        <v>0.1518638111</v>
      </c>
      <c r="H248">
        <v>0.18848232379999999</v>
      </c>
      <c r="I248">
        <v>0.25838272829999998</v>
      </c>
      <c r="J248">
        <v>0.3543872334</v>
      </c>
      <c r="K248">
        <v>0.47681331179999997</v>
      </c>
      <c r="L248">
        <v>0.63237527950000005</v>
      </c>
      <c r="M248">
        <v>0.83834594419999997</v>
      </c>
      <c r="N248">
        <v>1.0972326160000001</v>
      </c>
      <c r="O248">
        <v>1.1674521019999999</v>
      </c>
      <c r="P248">
        <v>1.2789601779999999</v>
      </c>
      <c r="Q248">
        <v>1.4145219</v>
      </c>
      <c r="R248">
        <v>1.518004997</v>
      </c>
      <c r="S248">
        <v>1.6223909059999999</v>
      </c>
      <c r="T248">
        <v>1.662036214</v>
      </c>
      <c r="U248">
        <v>1.706935954</v>
      </c>
      <c r="V248">
        <v>1.730892466</v>
      </c>
      <c r="W248">
        <v>2.3241472270000001</v>
      </c>
      <c r="X248">
        <v>2.923711908</v>
      </c>
      <c r="Y248">
        <v>3.4626524600000002</v>
      </c>
      <c r="Z248">
        <v>3.957453186</v>
      </c>
      <c r="AA248">
        <v>4.41225194</v>
      </c>
      <c r="AB248">
        <v>4.8552228639999999</v>
      </c>
      <c r="AC248">
        <v>5.2552931989999996</v>
      </c>
      <c r="AD248">
        <v>5.6292967249999997</v>
      </c>
      <c r="AE248">
        <v>6.0078380200000003</v>
      </c>
      <c r="AF248">
        <v>6.3923758849999999</v>
      </c>
      <c r="AG248">
        <v>6.1357604859999997</v>
      </c>
      <c r="AH248">
        <v>5.8433310020000002</v>
      </c>
      <c r="AI248">
        <v>6.1145961690000004</v>
      </c>
      <c r="AJ248">
        <v>6.3714345769999996</v>
      </c>
      <c r="AK248">
        <v>6.6191790780000002</v>
      </c>
      <c r="AL248">
        <v>6.863381403</v>
      </c>
      <c r="AM248">
        <v>7.0984711709999999</v>
      </c>
      <c r="AN248">
        <v>7.393511052</v>
      </c>
      <c r="AO248">
        <v>7.6871254269999998</v>
      </c>
      <c r="AP248">
        <v>7.9710598140000002</v>
      </c>
      <c r="AQ248">
        <v>8.249047354</v>
      </c>
      <c r="AR248">
        <v>8.5215110149999997</v>
      </c>
      <c r="AS248">
        <v>8.8187538950000004</v>
      </c>
      <c r="AT248">
        <v>9.1160410209999903</v>
      </c>
      <c r="AU248">
        <v>9.4015533990000009</v>
      </c>
      <c r="AV248">
        <v>9.6843981849999903</v>
      </c>
      <c r="AW248">
        <v>9.9506049349999994</v>
      </c>
    </row>
    <row r="249" spans="2:49" x14ac:dyDescent="0.25">
      <c r="B249" t="s">
        <v>320</v>
      </c>
      <c r="C249">
        <v>4.4799793836545803</v>
      </c>
      <c r="D249">
        <v>4.5519069017495504</v>
      </c>
      <c r="E249">
        <v>4.6467108430000001</v>
      </c>
      <c r="F249">
        <v>4.5889113779999997</v>
      </c>
      <c r="G249">
        <v>4.5101290269999996</v>
      </c>
      <c r="H249">
        <v>4.0747930209999996</v>
      </c>
      <c r="I249">
        <v>4.0667188579999998</v>
      </c>
      <c r="J249">
        <v>3.97957216</v>
      </c>
      <c r="K249">
        <v>3.827492055</v>
      </c>
      <c r="L249">
        <v>3.634895261</v>
      </c>
      <c r="M249">
        <v>3.4558512970000002</v>
      </c>
      <c r="N249">
        <v>3.2481480450000002</v>
      </c>
      <c r="O249">
        <v>3.4606347749999999</v>
      </c>
      <c r="P249">
        <v>3.7962168580000002</v>
      </c>
      <c r="Q249">
        <v>4.2041546280000004</v>
      </c>
      <c r="R249">
        <v>4.5176746809999999</v>
      </c>
      <c r="S249">
        <v>4.834680187</v>
      </c>
      <c r="T249">
        <v>5.0013528770000004</v>
      </c>
      <c r="U249">
        <v>5.1835618969999997</v>
      </c>
      <c r="V249">
        <v>5.3015315440000004</v>
      </c>
      <c r="W249">
        <v>5.1943991880000002</v>
      </c>
      <c r="X249">
        <v>4.9447986459999997</v>
      </c>
      <c r="Y249">
        <v>4.8611857570000003</v>
      </c>
      <c r="Z249">
        <v>4.7672024669999997</v>
      </c>
      <c r="AA249">
        <v>4.6694363440000002</v>
      </c>
      <c r="AB249">
        <v>4.5675950849999998</v>
      </c>
      <c r="AC249">
        <v>4.4651981259999998</v>
      </c>
      <c r="AD249">
        <v>4.3878569770000002</v>
      </c>
      <c r="AE249">
        <v>4.3047741640000003</v>
      </c>
      <c r="AF249">
        <v>4.217455051</v>
      </c>
      <c r="AG249">
        <v>3.7753598080000002</v>
      </c>
      <c r="AH249">
        <v>3.3598839069999999</v>
      </c>
      <c r="AI249">
        <v>3.3048983619999999</v>
      </c>
      <c r="AJ249">
        <v>3.2462156430000002</v>
      </c>
      <c r="AK249">
        <v>3.1870832920000001</v>
      </c>
      <c r="AL249">
        <v>3.1373289180000001</v>
      </c>
      <c r="AM249">
        <v>3.0861382019999999</v>
      </c>
      <c r="AN249">
        <v>3.06386447</v>
      </c>
      <c r="AO249">
        <v>3.0431804910000002</v>
      </c>
      <c r="AP249">
        <v>3.020750595</v>
      </c>
      <c r="AQ249">
        <v>2.998142654</v>
      </c>
      <c r="AR249">
        <v>2.9755219020000001</v>
      </c>
      <c r="AS249">
        <v>2.9621820259999998</v>
      </c>
      <c r="AT249">
        <v>2.9504927250000001</v>
      </c>
      <c r="AU249">
        <v>2.9365739610000001</v>
      </c>
      <c r="AV249">
        <v>2.9233857589999999</v>
      </c>
      <c r="AW249">
        <v>2.9067620289999998</v>
      </c>
    </row>
    <row r="250" spans="2:49" x14ac:dyDescent="0.25">
      <c r="B250" t="s">
        <v>321</v>
      </c>
      <c r="C250">
        <v>1.4169855567767899</v>
      </c>
      <c r="D250">
        <v>1.4397357182278101</v>
      </c>
      <c r="E250">
        <v>1.4697215290000001</v>
      </c>
      <c r="F250">
        <v>1.7260936469999999</v>
      </c>
      <c r="G250">
        <v>2.0175067389999999</v>
      </c>
      <c r="H250">
        <v>2.1677329259999998</v>
      </c>
      <c r="I250">
        <v>2.57287205</v>
      </c>
      <c r="J250">
        <v>2.8653646570000002</v>
      </c>
      <c r="K250">
        <v>3.1310932419999999</v>
      </c>
      <c r="L250">
        <v>3.3731648160000001</v>
      </c>
      <c r="M250">
        <v>3.6328069269999999</v>
      </c>
      <c r="N250">
        <v>3.8626804699999999</v>
      </c>
      <c r="O250">
        <v>3.5195574779999999</v>
      </c>
      <c r="P250">
        <v>3.3076805180000002</v>
      </c>
      <c r="Q250">
        <v>3.138712334</v>
      </c>
      <c r="R250">
        <v>2.8857033740000002</v>
      </c>
      <c r="S250">
        <v>2.633864424</v>
      </c>
      <c r="T250">
        <v>2.7477100229999998</v>
      </c>
      <c r="U250">
        <v>2.8705582700000001</v>
      </c>
      <c r="V250">
        <v>2.9581091239999999</v>
      </c>
      <c r="W250">
        <v>3.0065843289999998</v>
      </c>
      <c r="X250">
        <v>2.6875879839999999</v>
      </c>
      <c r="Y250">
        <v>2.5558014550000001</v>
      </c>
      <c r="Z250">
        <v>2.4241943930000001</v>
      </c>
      <c r="AA250">
        <v>2.2962875249999999</v>
      </c>
      <c r="AB250">
        <v>2.1828669590000001</v>
      </c>
      <c r="AC250">
        <v>2.074482723</v>
      </c>
      <c r="AD250">
        <v>2.1796982589999998</v>
      </c>
      <c r="AE250">
        <v>2.2809795030000002</v>
      </c>
      <c r="AF250">
        <v>2.3787723679999999</v>
      </c>
      <c r="AG250">
        <v>2.2354410069999999</v>
      </c>
      <c r="AH250">
        <v>2.0843223370000001</v>
      </c>
      <c r="AI250">
        <v>2.1374145050000002</v>
      </c>
      <c r="AJ250">
        <v>2.1819361050000001</v>
      </c>
      <c r="AK250">
        <v>2.2199810150000001</v>
      </c>
      <c r="AL250">
        <v>2.253473488</v>
      </c>
      <c r="AM250">
        <v>2.281987462</v>
      </c>
      <c r="AN250">
        <v>2.2795568149999998</v>
      </c>
      <c r="AO250">
        <v>2.27795024</v>
      </c>
      <c r="AP250">
        <v>2.2746815840000001</v>
      </c>
      <c r="AQ250">
        <v>2.2709192950000001</v>
      </c>
      <c r="AR250">
        <v>2.2667912120000002</v>
      </c>
      <c r="AS250">
        <v>2.250756821</v>
      </c>
      <c r="AT250">
        <v>2.236047181</v>
      </c>
      <c r="AU250">
        <v>2.2197191909999998</v>
      </c>
      <c r="AV250">
        <v>2.2040171649999998</v>
      </c>
      <c r="AW250">
        <v>2.1858035509999998</v>
      </c>
    </row>
    <row r="251" spans="2:49" x14ac:dyDescent="0.25">
      <c r="B251" t="s">
        <v>322</v>
      </c>
      <c r="C251">
        <v>34.067295461021303</v>
      </c>
      <c r="D251">
        <v>34.614256909026899</v>
      </c>
      <c r="E251">
        <v>35.359287170000002</v>
      </c>
      <c r="F251">
        <v>35.285469089999999</v>
      </c>
      <c r="G251">
        <v>33.992691839999999</v>
      </c>
      <c r="H251">
        <v>32.185677980000001</v>
      </c>
      <c r="I251">
        <v>32.58410061</v>
      </c>
      <c r="J251">
        <v>32.256835279999997</v>
      </c>
      <c r="K251">
        <v>30.784446630000001</v>
      </c>
      <c r="L251">
        <v>29.9515609</v>
      </c>
      <c r="M251">
        <v>29.85739959</v>
      </c>
      <c r="N251">
        <v>30.260420450000002</v>
      </c>
      <c r="O251">
        <v>30.964744759999999</v>
      </c>
      <c r="P251">
        <v>30.97186718</v>
      </c>
      <c r="Q251">
        <v>29.510197439999999</v>
      </c>
      <c r="R251">
        <v>28.574227140000001</v>
      </c>
      <c r="S251">
        <v>28.0672383</v>
      </c>
      <c r="T251">
        <v>26.747603300000002</v>
      </c>
      <c r="U251">
        <v>25.62705498</v>
      </c>
      <c r="V251">
        <v>24.596643199999999</v>
      </c>
      <c r="W251">
        <v>23.368721879999999</v>
      </c>
      <c r="X251">
        <v>22.093092899999998</v>
      </c>
      <c r="Y251">
        <v>20.475125169999998</v>
      </c>
      <c r="Z251">
        <v>18.970498970000001</v>
      </c>
      <c r="AA251">
        <v>17.502255649999999</v>
      </c>
      <c r="AB251">
        <v>15.89589726</v>
      </c>
      <c r="AC251">
        <v>14.40391383</v>
      </c>
      <c r="AD251">
        <v>12.892236090000001</v>
      </c>
      <c r="AE251">
        <v>11.460113290000001</v>
      </c>
      <c r="AF251">
        <v>10.108642619999999</v>
      </c>
      <c r="AG251">
        <v>9.3522423850000003</v>
      </c>
      <c r="AH251">
        <v>8.6397599120000006</v>
      </c>
      <c r="AI251">
        <v>7.7287148349999999</v>
      </c>
      <c r="AJ251">
        <v>6.8739555149999996</v>
      </c>
      <c r="AK251">
        <v>6.0627862260000001</v>
      </c>
      <c r="AL251">
        <v>6.8934151180000001</v>
      </c>
      <c r="AM251">
        <v>7.6653838529999998</v>
      </c>
      <c r="AN251">
        <v>6.7212002430000002</v>
      </c>
      <c r="AO251">
        <v>5.8066048639999996</v>
      </c>
      <c r="AP251">
        <v>4.9194921799999998</v>
      </c>
      <c r="AQ251">
        <v>4.0644225079999998</v>
      </c>
      <c r="AR251">
        <v>3.2315638180000001</v>
      </c>
      <c r="AS251">
        <v>3.464208234</v>
      </c>
      <c r="AT251">
        <v>3.6840516700000001</v>
      </c>
      <c r="AU251">
        <v>3.887372316</v>
      </c>
      <c r="AV251">
        <v>4.0792410270000001</v>
      </c>
      <c r="AW251">
        <v>4.2602682429999996</v>
      </c>
    </row>
    <row r="252" spans="2:49" x14ac:dyDescent="0.25">
      <c r="B252" t="s">
        <v>323</v>
      </c>
      <c r="C252">
        <v>1.54983431156195</v>
      </c>
      <c r="D252">
        <v>1.57471740274219</v>
      </c>
      <c r="E252">
        <v>1.6086113019999999</v>
      </c>
      <c r="F252">
        <v>2.6331823440000002</v>
      </c>
      <c r="G252">
        <v>3.5221763859999999</v>
      </c>
      <c r="H252">
        <v>4.2528422130000001</v>
      </c>
      <c r="I252">
        <v>5.2049118549999998</v>
      </c>
      <c r="J252">
        <v>5.9858570440000003</v>
      </c>
      <c r="K252">
        <v>6.4344616080000003</v>
      </c>
      <c r="L252">
        <v>6.8600655250000004</v>
      </c>
      <c r="M252">
        <v>7.2928950730000004</v>
      </c>
      <c r="N252">
        <v>7.6515735879999998</v>
      </c>
      <c r="O252">
        <v>7.972881332</v>
      </c>
      <c r="P252">
        <v>8.1195077869999999</v>
      </c>
      <c r="Q252">
        <v>7.8757711019999999</v>
      </c>
      <c r="R252">
        <v>7.7624678170000001</v>
      </c>
      <c r="S252">
        <v>7.7602649560000003</v>
      </c>
      <c r="T252">
        <v>7.9157729909999999</v>
      </c>
      <c r="U252">
        <v>8.1403051840000007</v>
      </c>
      <c r="V252">
        <v>8.7073717209999995</v>
      </c>
      <c r="W252">
        <v>8.6242967650000004</v>
      </c>
      <c r="X252">
        <v>8.7965743249999999</v>
      </c>
      <c r="Y252">
        <v>8.7359578219999996</v>
      </c>
      <c r="Z252">
        <v>8.6936005089999995</v>
      </c>
      <c r="AA252">
        <v>8.6407837740000009</v>
      </c>
      <c r="AB252">
        <v>8.5496918389999994</v>
      </c>
      <c r="AC252">
        <v>8.4591340440000007</v>
      </c>
      <c r="AD252">
        <v>8.8041876509999994</v>
      </c>
      <c r="AE252">
        <v>9.1399544939999995</v>
      </c>
      <c r="AF252">
        <v>9.4729674989999904</v>
      </c>
      <c r="AG252">
        <v>9.4081917419999996</v>
      </c>
      <c r="AH252">
        <v>9.3497584949999997</v>
      </c>
      <c r="AI252">
        <v>9.3440367949999903</v>
      </c>
      <c r="AJ252">
        <v>9.3525675449999994</v>
      </c>
      <c r="AK252">
        <v>9.3685380939999998</v>
      </c>
      <c r="AL252">
        <v>8.2667475180000007</v>
      </c>
      <c r="AM252">
        <v>7.2414022649999996</v>
      </c>
      <c r="AN252">
        <v>7.7521371559999999</v>
      </c>
      <c r="AO252">
        <v>8.2501767229999903</v>
      </c>
      <c r="AP252">
        <v>8.7369753269999997</v>
      </c>
      <c r="AQ252">
        <v>9.2225734890000002</v>
      </c>
      <c r="AR252">
        <v>9.7036500199999995</v>
      </c>
      <c r="AS252">
        <v>9.1318310230000002</v>
      </c>
      <c r="AT252">
        <v>8.5909709490000008</v>
      </c>
      <c r="AU252">
        <v>8.0739942439999997</v>
      </c>
      <c r="AV252">
        <v>7.5846835749999997</v>
      </c>
      <c r="AW252">
        <v>7.1187187549999997</v>
      </c>
    </row>
    <row r="253" spans="2:49" x14ac:dyDescent="0.25">
      <c r="B253" t="s">
        <v>324</v>
      </c>
      <c r="C253">
        <v>0.19372928894524399</v>
      </c>
      <c r="D253">
        <v>0.196839675342774</v>
      </c>
      <c r="E253">
        <v>0.20107641270000001</v>
      </c>
      <c r="F253">
        <v>0.1940222311</v>
      </c>
      <c r="G253">
        <v>0.18073369510000001</v>
      </c>
      <c r="H253">
        <v>0.16546807099999999</v>
      </c>
      <c r="I253">
        <v>0.16197770889999999</v>
      </c>
      <c r="J253">
        <v>0.1548301054</v>
      </c>
      <c r="K253">
        <v>0.14266558870000001</v>
      </c>
      <c r="L253">
        <v>0.1340078532</v>
      </c>
      <c r="M253">
        <v>0.1289593651</v>
      </c>
      <c r="N253">
        <v>0.126162897</v>
      </c>
      <c r="O253">
        <v>0.1968463976</v>
      </c>
      <c r="P253">
        <v>0.26544411070000001</v>
      </c>
      <c r="Q253">
        <v>0.31899669580000001</v>
      </c>
      <c r="R253">
        <v>0.37361138500000002</v>
      </c>
      <c r="S253">
        <v>0.43131102980000002</v>
      </c>
      <c r="T253">
        <v>0.66939360349999999</v>
      </c>
      <c r="U253">
        <v>0.91769333620000004</v>
      </c>
      <c r="V253">
        <v>1.2027047749999999</v>
      </c>
      <c r="W253">
        <v>1.1846809949999999</v>
      </c>
      <c r="X253">
        <v>1.1954554529999999</v>
      </c>
      <c r="Y253">
        <v>1.531484445</v>
      </c>
      <c r="Z253">
        <v>1.8487177459999999</v>
      </c>
      <c r="AA253">
        <v>2.1418590279999998</v>
      </c>
      <c r="AB253">
        <v>2.3435204089999999</v>
      </c>
      <c r="AC253">
        <v>2.5138025000000002</v>
      </c>
      <c r="AD253">
        <v>2.6125903180000001</v>
      </c>
      <c r="AE253">
        <v>2.7080523510000001</v>
      </c>
      <c r="AF253">
        <v>2.8027490140000002</v>
      </c>
      <c r="AG253">
        <v>2.8205724129999998</v>
      </c>
      <c r="AH253">
        <v>2.8352758300000001</v>
      </c>
      <c r="AI253">
        <v>3.0683571939999998</v>
      </c>
      <c r="AJ253">
        <v>3.2949404090000001</v>
      </c>
      <c r="AK253">
        <v>3.513787695</v>
      </c>
      <c r="AL253">
        <v>3.4682146669999998</v>
      </c>
      <c r="AM253">
        <v>3.4259734449999999</v>
      </c>
      <c r="AN253">
        <v>3.480626129</v>
      </c>
      <c r="AO253">
        <v>3.5350369119999998</v>
      </c>
      <c r="AP253">
        <v>3.5894716830000002</v>
      </c>
      <c r="AQ253">
        <v>3.6496565730000001</v>
      </c>
      <c r="AR253">
        <v>3.7123199570000001</v>
      </c>
      <c r="AS253">
        <v>3.866740284</v>
      </c>
      <c r="AT253">
        <v>4.0135133920000001</v>
      </c>
      <c r="AU253">
        <v>4.1486220239999998</v>
      </c>
      <c r="AV253">
        <v>4.2768514260000003</v>
      </c>
      <c r="AW253">
        <v>4.3952708139999999</v>
      </c>
    </row>
    <row r="254" spans="2:49" x14ac:dyDescent="0.25">
      <c r="B254" t="s">
        <v>325</v>
      </c>
      <c r="C254">
        <v>0.71679836909740502</v>
      </c>
      <c r="D254">
        <v>0.72830679876826598</v>
      </c>
      <c r="E254">
        <v>0.74398272700000001</v>
      </c>
      <c r="F254">
        <v>0.74183716580000003</v>
      </c>
      <c r="G254">
        <v>0.71408776190000001</v>
      </c>
      <c r="H254">
        <v>0.67558816919999998</v>
      </c>
      <c r="I254">
        <v>0.6834054732</v>
      </c>
      <c r="J254">
        <v>0.68386847240000004</v>
      </c>
      <c r="K254">
        <v>0.66011460379999998</v>
      </c>
      <c r="L254">
        <v>0.64999923130000004</v>
      </c>
      <c r="M254">
        <v>0.65618766480000001</v>
      </c>
      <c r="N254">
        <v>0.67393803819999998</v>
      </c>
      <c r="O254">
        <v>0.95716474100000004</v>
      </c>
      <c r="P254">
        <v>1.209012236</v>
      </c>
      <c r="Q254">
        <v>1.3762058269999999</v>
      </c>
      <c r="R254">
        <v>1.5344096949999999</v>
      </c>
      <c r="S254">
        <v>1.6901653089999999</v>
      </c>
      <c r="T254">
        <v>1.735595091</v>
      </c>
      <c r="U254">
        <v>1.7955676199999999</v>
      </c>
      <c r="V254">
        <v>1.8906098140000001</v>
      </c>
      <c r="W254">
        <v>1.5033218189999999</v>
      </c>
      <c r="X254">
        <v>1.2098640060000001</v>
      </c>
      <c r="Y254">
        <v>1.2830213989999999</v>
      </c>
      <c r="Z254">
        <v>1.352581456</v>
      </c>
      <c r="AA254">
        <v>1.414168203</v>
      </c>
      <c r="AB254">
        <v>1.4853385379999999</v>
      </c>
      <c r="AC254">
        <v>1.5439422279999999</v>
      </c>
      <c r="AD254">
        <v>1.568940483</v>
      </c>
      <c r="AE254">
        <v>1.593121928</v>
      </c>
      <c r="AF254">
        <v>1.617741026</v>
      </c>
      <c r="AG254">
        <v>1.57816321</v>
      </c>
      <c r="AH254">
        <v>1.540594003</v>
      </c>
      <c r="AI254">
        <v>1.484808404</v>
      </c>
      <c r="AJ254">
        <v>1.434042185</v>
      </c>
      <c r="AK254">
        <v>1.386734025</v>
      </c>
      <c r="AL254">
        <v>1.219053516</v>
      </c>
      <c r="AM254">
        <v>1.061594546</v>
      </c>
      <c r="AN254">
        <v>1.083803506</v>
      </c>
      <c r="AO254">
        <v>1.105403758</v>
      </c>
      <c r="AP254">
        <v>1.126496911</v>
      </c>
      <c r="AQ254">
        <v>1.1485375550000001</v>
      </c>
      <c r="AR254">
        <v>1.1707302879999999</v>
      </c>
      <c r="AS254">
        <v>1.0873836589999999</v>
      </c>
      <c r="AT254">
        <v>1.007847484</v>
      </c>
      <c r="AU254">
        <v>0.93113006450000002</v>
      </c>
      <c r="AV254">
        <v>0.85786874790000001</v>
      </c>
      <c r="AW254">
        <v>0.78746156479999996</v>
      </c>
    </row>
    <row r="255" spans="2:49" x14ac:dyDescent="0.25">
      <c r="B255" t="s">
        <v>326</v>
      </c>
      <c r="C255">
        <v>0.19372928894524399</v>
      </c>
      <c r="D255">
        <v>0.196839675342774</v>
      </c>
      <c r="E255">
        <v>0.20107641270000001</v>
      </c>
      <c r="F255">
        <v>0.20631517120000001</v>
      </c>
      <c r="G255">
        <v>0.20436121130000001</v>
      </c>
      <c r="H255">
        <v>0.1989542473</v>
      </c>
      <c r="I255">
        <v>0.20709705959999999</v>
      </c>
      <c r="J255">
        <v>0.2105008048</v>
      </c>
      <c r="K255">
        <v>0.20625156589999999</v>
      </c>
      <c r="L255">
        <v>0.20600982910000001</v>
      </c>
      <c r="M255">
        <v>0.2108095341</v>
      </c>
      <c r="N255">
        <v>0.21930507660000001</v>
      </c>
      <c r="O255">
        <v>0.26164784009999997</v>
      </c>
      <c r="P255">
        <v>0.29938656460000002</v>
      </c>
      <c r="Q255">
        <v>0.32157457</v>
      </c>
      <c r="R255">
        <v>0.34694937219999999</v>
      </c>
      <c r="S255">
        <v>0.37614345840000002</v>
      </c>
      <c r="T255">
        <v>0.44529717499999999</v>
      </c>
      <c r="U255">
        <v>0.5195101016</v>
      </c>
      <c r="V255">
        <v>0.62622009229999998</v>
      </c>
      <c r="W255">
        <v>0.74746721009999995</v>
      </c>
      <c r="X255">
        <v>0.8762405928</v>
      </c>
      <c r="Y255">
        <v>0.95881707540000005</v>
      </c>
      <c r="Z255">
        <v>1.0378068789999999</v>
      </c>
      <c r="AA255">
        <v>1.1100196470000001</v>
      </c>
      <c r="AB255">
        <v>1.1662235569999999</v>
      </c>
      <c r="AC255">
        <v>1.213385924</v>
      </c>
      <c r="AD255">
        <v>1.347051574</v>
      </c>
      <c r="AE255">
        <v>1.4751320050000001</v>
      </c>
      <c r="AF255">
        <v>1.5993223729999999</v>
      </c>
      <c r="AG255">
        <v>1.664549641</v>
      </c>
      <c r="AH255">
        <v>1.724628694</v>
      </c>
      <c r="AI255">
        <v>1.7749475450000001</v>
      </c>
      <c r="AJ255">
        <v>1.8255525640000001</v>
      </c>
      <c r="AK255">
        <v>1.8752918709999999</v>
      </c>
      <c r="AL255">
        <v>1.7604054440000001</v>
      </c>
      <c r="AM255">
        <v>1.6534336039999999</v>
      </c>
      <c r="AN255">
        <v>1.7061357180000001</v>
      </c>
      <c r="AO255">
        <v>1.7579105770000001</v>
      </c>
      <c r="AP255">
        <v>1.8089461449999999</v>
      </c>
      <c r="AQ255">
        <v>1.8618769690000001</v>
      </c>
      <c r="AR255">
        <v>1.9153591510000001</v>
      </c>
      <c r="AS255">
        <v>1.863293442</v>
      </c>
      <c r="AT255">
        <v>1.814031779</v>
      </c>
      <c r="AU255">
        <v>1.7657077459999999</v>
      </c>
      <c r="AV255">
        <v>1.7199016030000001</v>
      </c>
      <c r="AW255">
        <v>1.6753616849999999</v>
      </c>
    </row>
    <row r="256" spans="2:49" x14ac:dyDescent="0.25">
      <c r="B256" t="s">
        <v>327</v>
      </c>
      <c r="C256">
        <v>0.38745857789048899</v>
      </c>
      <c r="D256">
        <v>0.39367935068554899</v>
      </c>
      <c r="E256">
        <v>0.40215282540000002</v>
      </c>
      <c r="F256">
        <v>0.528470247</v>
      </c>
      <c r="G256">
        <v>0.67042040849999995</v>
      </c>
      <c r="H256">
        <v>0.83591352890000004</v>
      </c>
      <c r="I256">
        <v>1.114400898</v>
      </c>
      <c r="J256">
        <v>1.4507101929999999</v>
      </c>
      <c r="K256">
        <v>1.820470045</v>
      </c>
      <c r="L256">
        <v>2.3288075789999998</v>
      </c>
      <c r="M256">
        <v>3.0520756489999998</v>
      </c>
      <c r="N256">
        <v>4.0664282299999996</v>
      </c>
      <c r="O256">
        <v>3.9069562269999998</v>
      </c>
      <c r="P256">
        <v>3.650637519</v>
      </c>
      <c r="Q256">
        <v>3.2303383480000001</v>
      </c>
      <c r="R256">
        <v>2.884855714</v>
      </c>
      <c r="S256">
        <v>2.5920887079999999</v>
      </c>
      <c r="T256">
        <v>3.0985749440000001</v>
      </c>
      <c r="U256">
        <v>3.6407577670000002</v>
      </c>
      <c r="V256">
        <v>4.2601363450000003</v>
      </c>
      <c r="W256">
        <v>5.1014959949999996</v>
      </c>
      <c r="X256">
        <v>5.8435411479999999</v>
      </c>
      <c r="Y256">
        <v>6.2971194539999997</v>
      </c>
      <c r="Z256">
        <v>6.7281185490000004</v>
      </c>
      <c r="AA256">
        <v>7.1137557720000002</v>
      </c>
      <c r="AB256">
        <v>7.2208369030000004</v>
      </c>
      <c r="AC256">
        <v>7.2871133549999998</v>
      </c>
      <c r="AD256">
        <v>7.5999554680000001</v>
      </c>
      <c r="AE256">
        <v>7.9015439430000001</v>
      </c>
      <c r="AF256">
        <v>8.1997771050000008</v>
      </c>
      <c r="AG256">
        <v>8.4404072689999996</v>
      </c>
      <c r="AH256">
        <v>8.657517919</v>
      </c>
      <c r="AI256">
        <v>8.9654650809999996</v>
      </c>
      <c r="AJ256">
        <v>9.2724557930000007</v>
      </c>
      <c r="AK256">
        <v>9.5724113890000009</v>
      </c>
      <c r="AL256">
        <v>9.4905560639999997</v>
      </c>
      <c r="AM256">
        <v>9.4146417769999999</v>
      </c>
      <c r="AN256">
        <v>9.5981942510000007</v>
      </c>
      <c r="AO256">
        <v>9.7801856459999996</v>
      </c>
      <c r="AP256">
        <v>9.9614467540000007</v>
      </c>
      <c r="AQ256">
        <v>10.1585701</v>
      </c>
      <c r="AR256">
        <v>10.362335010000001</v>
      </c>
      <c r="AS256">
        <v>10.29568184</v>
      </c>
      <c r="AT256">
        <v>10.23251649</v>
      </c>
      <c r="AU256">
        <v>10.161103499999999</v>
      </c>
      <c r="AV256">
        <v>10.092913749999999</v>
      </c>
      <c r="AW256">
        <v>10.019782279999999</v>
      </c>
    </row>
    <row r="257" spans="2:49" x14ac:dyDescent="0.25">
      <c r="B257" t="s">
        <v>328</v>
      </c>
      <c r="C257">
        <v>34.067295461021303</v>
      </c>
      <c r="D257">
        <v>34.614256909026899</v>
      </c>
      <c r="E257">
        <v>35.359287170000002</v>
      </c>
      <c r="F257">
        <v>35.285469089999999</v>
      </c>
      <c r="G257">
        <v>33.992691839999999</v>
      </c>
      <c r="H257">
        <v>32.185677980000001</v>
      </c>
      <c r="I257">
        <v>32.58410061</v>
      </c>
      <c r="J257">
        <v>32.256835279999997</v>
      </c>
      <c r="K257">
        <v>30.784446630000001</v>
      </c>
      <c r="L257">
        <v>29.9515609</v>
      </c>
      <c r="M257">
        <v>29.85739959</v>
      </c>
      <c r="N257">
        <v>30.260420450000002</v>
      </c>
      <c r="O257">
        <v>30.964744759999999</v>
      </c>
      <c r="P257">
        <v>30.97186718</v>
      </c>
      <c r="Q257">
        <v>29.510197439999999</v>
      </c>
      <c r="R257">
        <v>28.574227140000001</v>
      </c>
      <c r="S257">
        <v>28.0672383</v>
      </c>
      <c r="T257">
        <v>26.747603300000002</v>
      </c>
      <c r="U257">
        <v>25.62705498</v>
      </c>
      <c r="V257">
        <v>24.596643199999999</v>
      </c>
      <c r="W257">
        <v>23.368721879999999</v>
      </c>
      <c r="X257">
        <v>22.093092899999998</v>
      </c>
      <c r="Y257">
        <v>20.475125169999998</v>
      </c>
      <c r="Z257">
        <v>18.970498970000001</v>
      </c>
      <c r="AA257">
        <v>17.502255649999999</v>
      </c>
      <c r="AB257">
        <v>15.89589726</v>
      </c>
      <c r="AC257">
        <v>14.40391383</v>
      </c>
      <c r="AD257">
        <v>12.892236090000001</v>
      </c>
      <c r="AE257">
        <v>11.460113290000001</v>
      </c>
      <c r="AF257">
        <v>10.108642619999999</v>
      </c>
      <c r="AG257">
        <v>9.3522423850000003</v>
      </c>
      <c r="AH257">
        <v>8.6397599120000006</v>
      </c>
      <c r="AI257">
        <v>7.7287148349999999</v>
      </c>
      <c r="AJ257">
        <v>6.8739555149999996</v>
      </c>
      <c r="AK257">
        <v>6.0627862260000001</v>
      </c>
      <c r="AL257">
        <v>6.8934151180000001</v>
      </c>
      <c r="AM257">
        <v>7.6653838529999998</v>
      </c>
      <c r="AN257">
        <v>6.7212002430000002</v>
      </c>
      <c r="AO257">
        <v>5.8066048639999996</v>
      </c>
      <c r="AP257">
        <v>4.9194921799999998</v>
      </c>
      <c r="AQ257">
        <v>4.0644225079999998</v>
      </c>
      <c r="AR257">
        <v>3.2315638180000001</v>
      </c>
      <c r="AS257">
        <v>3.464208234</v>
      </c>
      <c r="AT257">
        <v>3.6840516700000001</v>
      </c>
      <c r="AU257">
        <v>3.887372316</v>
      </c>
      <c r="AV257">
        <v>4.0792410270000001</v>
      </c>
      <c r="AW257">
        <v>4.2602682429999996</v>
      </c>
    </row>
    <row r="258" spans="2:49" x14ac:dyDescent="0.25">
      <c r="B258" t="s">
        <v>329</v>
      </c>
      <c r="C258">
        <v>1.54983431156195</v>
      </c>
      <c r="D258">
        <v>1.57471740274219</v>
      </c>
      <c r="E258">
        <v>1.6086113019999999</v>
      </c>
      <c r="F258">
        <v>2.6331823440000002</v>
      </c>
      <c r="G258">
        <v>3.5221763859999999</v>
      </c>
      <c r="H258">
        <v>4.2528422130000001</v>
      </c>
      <c r="I258">
        <v>5.2049118549999998</v>
      </c>
      <c r="J258">
        <v>5.9858570440000003</v>
      </c>
      <c r="K258">
        <v>6.4344616080000003</v>
      </c>
      <c r="L258">
        <v>6.8600655250000004</v>
      </c>
      <c r="M258">
        <v>7.2928950730000004</v>
      </c>
      <c r="N258">
        <v>7.6515735879999998</v>
      </c>
      <c r="O258">
        <v>7.972881332</v>
      </c>
      <c r="P258">
        <v>8.1195077869999999</v>
      </c>
      <c r="Q258">
        <v>7.8757711019999999</v>
      </c>
      <c r="R258">
        <v>7.7624678170000001</v>
      </c>
      <c r="S258">
        <v>7.7602649560000003</v>
      </c>
      <c r="T258">
        <v>7.9157729909999999</v>
      </c>
      <c r="U258">
        <v>8.1403051840000007</v>
      </c>
      <c r="V258">
        <v>8.7073717209999995</v>
      </c>
      <c r="W258">
        <v>8.6242967650000004</v>
      </c>
      <c r="X258">
        <v>8.7965743249999999</v>
      </c>
      <c r="Y258">
        <v>8.7359578219999996</v>
      </c>
      <c r="Z258">
        <v>8.6936005089999995</v>
      </c>
      <c r="AA258">
        <v>8.6407837740000009</v>
      </c>
      <c r="AB258">
        <v>8.5496918389999994</v>
      </c>
      <c r="AC258">
        <v>8.4591340440000007</v>
      </c>
      <c r="AD258">
        <v>8.8041876509999994</v>
      </c>
      <c r="AE258">
        <v>9.1399544939999995</v>
      </c>
      <c r="AF258">
        <v>9.4729674989999904</v>
      </c>
      <c r="AG258">
        <v>9.4081917419999996</v>
      </c>
      <c r="AH258">
        <v>9.3497584949999997</v>
      </c>
      <c r="AI258">
        <v>9.3440367949999903</v>
      </c>
      <c r="AJ258">
        <v>9.3525675449999994</v>
      </c>
      <c r="AK258">
        <v>9.3685380939999998</v>
      </c>
      <c r="AL258">
        <v>8.2667475180000007</v>
      </c>
      <c r="AM258">
        <v>7.2414022649999996</v>
      </c>
      <c r="AN258">
        <v>7.7521371559999999</v>
      </c>
      <c r="AO258">
        <v>8.2501767229999903</v>
      </c>
      <c r="AP258">
        <v>8.7369753269999997</v>
      </c>
      <c r="AQ258">
        <v>9.2225734890000002</v>
      </c>
      <c r="AR258">
        <v>9.7036500199999995</v>
      </c>
      <c r="AS258">
        <v>9.1318310230000002</v>
      </c>
      <c r="AT258">
        <v>8.5909709490000008</v>
      </c>
      <c r="AU258">
        <v>8.0739942439999997</v>
      </c>
      <c r="AV258">
        <v>7.5846835749999997</v>
      </c>
      <c r="AW258">
        <v>7.1187187549999997</v>
      </c>
    </row>
    <row r="259" spans="2:49" x14ac:dyDescent="0.25">
      <c r="B259" t="s">
        <v>330</v>
      </c>
      <c r="C259">
        <v>0.19372928894524399</v>
      </c>
      <c r="D259">
        <v>0.196839675342774</v>
      </c>
      <c r="E259">
        <v>0.20107641270000001</v>
      </c>
      <c r="F259">
        <v>0.1940222311</v>
      </c>
      <c r="G259">
        <v>0.18073369510000001</v>
      </c>
      <c r="H259">
        <v>0.16546807099999999</v>
      </c>
      <c r="I259">
        <v>0.16197770889999999</v>
      </c>
      <c r="J259">
        <v>0.1548301054</v>
      </c>
      <c r="K259">
        <v>0.14266558870000001</v>
      </c>
      <c r="L259">
        <v>0.1340078532</v>
      </c>
      <c r="M259">
        <v>0.1289593651</v>
      </c>
      <c r="N259">
        <v>0.126162897</v>
      </c>
      <c r="O259">
        <v>0.1968463976</v>
      </c>
      <c r="P259">
        <v>0.26544411070000001</v>
      </c>
      <c r="Q259">
        <v>0.31899669580000001</v>
      </c>
      <c r="R259">
        <v>0.37361138500000002</v>
      </c>
      <c r="S259">
        <v>0.43131102980000002</v>
      </c>
      <c r="T259">
        <v>0.66939360349999999</v>
      </c>
      <c r="U259">
        <v>0.91769333620000004</v>
      </c>
      <c r="V259">
        <v>1.2027047749999999</v>
      </c>
      <c r="W259">
        <v>1.1846809949999999</v>
      </c>
      <c r="X259">
        <v>1.1954554529999999</v>
      </c>
      <c r="Y259">
        <v>1.531484445</v>
      </c>
      <c r="Z259">
        <v>1.8487177459999999</v>
      </c>
      <c r="AA259">
        <v>2.1418590279999998</v>
      </c>
      <c r="AB259">
        <v>2.3435204089999999</v>
      </c>
      <c r="AC259">
        <v>2.5138025000000002</v>
      </c>
      <c r="AD259">
        <v>2.6125903180000001</v>
      </c>
      <c r="AE259">
        <v>2.7080523510000001</v>
      </c>
      <c r="AF259">
        <v>2.8027490140000002</v>
      </c>
      <c r="AG259">
        <v>2.8205724129999998</v>
      </c>
      <c r="AH259">
        <v>2.8352758300000001</v>
      </c>
      <c r="AI259">
        <v>3.0683571939999998</v>
      </c>
      <c r="AJ259">
        <v>3.2949404090000001</v>
      </c>
      <c r="AK259">
        <v>3.513787695</v>
      </c>
      <c r="AL259">
        <v>3.4682146669999998</v>
      </c>
      <c r="AM259">
        <v>3.4259734449999999</v>
      </c>
      <c r="AN259">
        <v>3.480626129</v>
      </c>
      <c r="AO259">
        <v>3.5350369119999998</v>
      </c>
      <c r="AP259">
        <v>3.5894716830000002</v>
      </c>
      <c r="AQ259">
        <v>3.6496565730000001</v>
      </c>
      <c r="AR259">
        <v>3.7123199570000001</v>
      </c>
      <c r="AS259">
        <v>3.866740284</v>
      </c>
      <c r="AT259">
        <v>4.0135133920000001</v>
      </c>
      <c r="AU259">
        <v>4.1486220239999998</v>
      </c>
      <c r="AV259">
        <v>4.2768514260000003</v>
      </c>
      <c r="AW259">
        <v>4.3952708139999999</v>
      </c>
    </row>
    <row r="260" spans="2:49" x14ac:dyDescent="0.25">
      <c r="B260" t="s">
        <v>331</v>
      </c>
      <c r="C260">
        <v>0.71679836909740502</v>
      </c>
      <c r="D260">
        <v>0.72830679876826598</v>
      </c>
      <c r="E260">
        <v>0.74398272700000001</v>
      </c>
      <c r="F260">
        <v>0.74183716580000003</v>
      </c>
      <c r="G260">
        <v>0.71408776190000001</v>
      </c>
      <c r="H260">
        <v>0.67558816919999998</v>
      </c>
      <c r="I260">
        <v>0.6834054732</v>
      </c>
      <c r="J260">
        <v>0.68386847240000004</v>
      </c>
      <c r="K260">
        <v>0.66011460379999998</v>
      </c>
      <c r="L260">
        <v>0.64999923130000004</v>
      </c>
      <c r="M260">
        <v>0.65618766480000001</v>
      </c>
      <c r="N260">
        <v>0.67393803819999998</v>
      </c>
      <c r="O260">
        <v>0.95716474100000004</v>
      </c>
      <c r="P260">
        <v>1.209012236</v>
      </c>
      <c r="Q260">
        <v>1.3762058269999999</v>
      </c>
      <c r="R260">
        <v>1.5344096949999999</v>
      </c>
      <c r="S260">
        <v>1.6901653089999999</v>
      </c>
      <c r="T260">
        <v>1.735595091</v>
      </c>
      <c r="U260">
        <v>1.7955676199999999</v>
      </c>
      <c r="V260">
        <v>1.8906098140000001</v>
      </c>
      <c r="W260">
        <v>1.5033218189999999</v>
      </c>
      <c r="X260">
        <v>1.2098640060000001</v>
      </c>
      <c r="Y260">
        <v>1.2830213989999999</v>
      </c>
      <c r="Z260">
        <v>1.352581456</v>
      </c>
      <c r="AA260">
        <v>1.414168203</v>
      </c>
      <c r="AB260">
        <v>1.4853385379999999</v>
      </c>
      <c r="AC260">
        <v>1.5439422279999999</v>
      </c>
      <c r="AD260">
        <v>1.568940483</v>
      </c>
      <c r="AE260">
        <v>1.593121928</v>
      </c>
      <c r="AF260">
        <v>1.617741026</v>
      </c>
      <c r="AG260">
        <v>1.57816321</v>
      </c>
      <c r="AH260">
        <v>1.540594003</v>
      </c>
      <c r="AI260">
        <v>1.484808404</v>
      </c>
      <c r="AJ260">
        <v>1.434042185</v>
      </c>
      <c r="AK260">
        <v>1.386734025</v>
      </c>
      <c r="AL260">
        <v>1.219053516</v>
      </c>
      <c r="AM260">
        <v>1.061594546</v>
      </c>
      <c r="AN260">
        <v>1.083803506</v>
      </c>
      <c r="AO260">
        <v>1.105403758</v>
      </c>
      <c r="AP260">
        <v>1.126496911</v>
      </c>
      <c r="AQ260">
        <v>1.1485375550000001</v>
      </c>
      <c r="AR260">
        <v>1.1707302879999999</v>
      </c>
      <c r="AS260">
        <v>1.0873836589999999</v>
      </c>
      <c r="AT260">
        <v>1.007847484</v>
      </c>
      <c r="AU260">
        <v>0.93113006450000002</v>
      </c>
      <c r="AV260">
        <v>0.85786874790000001</v>
      </c>
      <c r="AW260">
        <v>0.78746156479999996</v>
      </c>
    </row>
    <row r="261" spans="2:49" x14ac:dyDescent="0.25">
      <c r="B261" t="s">
        <v>332</v>
      </c>
      <c r="C261">
        <v>0.19372928894524399</v>
      </c>
      <c r="D261">
        <v>0.196839675342774</v>
      </c>
      <c r="E261">
        <v>0.20107641270000001</v>
      </c>
      <c r="F261">
        <v>0.20631517120000001</v>
      </c>
      <c r="G261">
        <v>0.20436121130000001</v>
      </c>
      <c r="H261">
        <v>0.1989542473</v>
      </c>
      <c r="I261">
        <v>0.20709705959999999</v>
      </c>
      <c r="J261">
        <v>0.2105008048</v>
      </c>
      <c r="K261">
        <v>0.20625156589999999</v>
      </c>
      <c r="L261">
        <v>0.20600982910000001</v>
      </c>
      <c r="M261">
        <v>0.2108095341</v>
      </c>
      <c r="N261">
        <v>0.21930507660000001</v>
      </c>
      <c r="O261">
        <v>0.26164784009999997</v>
      </c>
      <c r="P261">
        <v>0.29938656460000002</v>
      </c>
      <c r="Q261">
        <v>0.32157457</v>
      </c>
      <c r="R261">
        <v>0.34694937219999999</v>
      </c>
      <c r="S261">
        <v>0.37614345840000002</v>
      </c>
      <c r="T261">
        <v>0.44529717499999999</v>
      </c>
      <c r="U261">
        <v>0.5195101016</v>
      </c>
      <c r="V261">
        <v>0.62622009229999998</v>
      </c>
      <c r="W261">
        <v>0.74746721009999995</v>
      </c>
      <c r="X261">
        <v>0.8762405928</v>
      </c>
      <c r="Y261">
        <v>0.95881707540000005</v>
      </c>
      <c r="Z261">
        <v>1.0378068789999999</v>
      </c>
      <c r="AA261">
        <v>1.1100196470000001</v>
      </c>
      <c r="AB261">
        <v>1.1662235569999999</v>
      </c>
      <c r="AC261">
        <v>1.213385924</v>
      </c>
      <c r="AD261">
        <v>1.347051574</v>
      </c>
      <c r="AE261">
        <v>1.4751320050000001</v>
      </c>
      <c r="AF261">
        <v>1.5993223729999999</v>
      </c>
      <c r="AG261">
        <v>1.664549641</v>
      </c>
      <c r="AH261">
        <v>1.724628694</v>
      </c>
      <c r="AI261">
        <v>1.7749475450000001</v>
      </c>
      <c r="AJ261">
        <v>1.8255525640000001</v>
      </c>
      <c r="AK261">
        <v>1.8752918709999999</v>
      </c>
      <c r="AL261">
        <v>1.7604054440000001</v>
      </c>
      <c r="AM261">
        <v>1.6534336039999999</v>
      </c>
      <c r="AN261">
        <v>1.7061357180000001</v>
      </c>
      <c r="AO261">
        <v>1.7579105770000001</v>
      </c>
      <c r="AP261">
        <v>1.8089461449999999</v>
      </c>
      <c r="AQ261">
        <v>1.8618769690000001</v>
      </c>
      <c r="AR261">
        <v>1.9153591510000001</v>
      </c>
      <c r="AS261">
        <v>1.863293442</v>
      </c>
      <c r="AT261">
        <v>1.814031779</v>
      </c>
      <c r="AU261">
        <v>1.7657077459999999</v>
      </c>
      <c r="AV261">
        <v>1.7199016030000001</v>
      </c>
      <c r="AW261">
        <v>1.6753616849999999</v>
      </c>
    </row>
    <row r="262" spans="2:49" x14ac:dyDescent="0.25">
      <c r="B262" t="s">
        <v>333</v>
      </c>
      <c r="C262">
        <v>0.38745857789048899</v>
      </c>
      <c r="D262">
        <v>0.39367935068554899</v>
      </c>
      <c r="E262">
        <v>0.40215282540000002</v>
      </c>
      <c r="F262">
        <v>0.528470247</v>
      </c>
      <c r="G262">
        <v>0.67042040849999995</v>
      </c>
      <c r="H262">
        <v>0.83591352890000004</v>
      </c>
      <c r="I262">
        <v>1.114400898</v>
      </c>
      <c r="J262">
        <v>1.4507101929999999</v>
      </c>
      <c r="K262">
        <v>1.820470045</v>
      </c>
      <c r="L262">
        <v>2.3288075789999998</v>
      </c>
      <c r="M262">
        <v>3.0520756489999998</v>
      </c>
      <c r="N262">
        <v>4.0664282299999996</v>
      </c>
      <c r="O262">
        <v>3.9069562269999998</v>
      </c>
      <c r="P262">
        <v>3.650637519</v>
      </c>
      <c r="Q262">
        <v>3.2303383480000001</v>
      </c>
      <c r="R262">
        <v>2.884855714</v>
      </c>
      <c r="S262">
        <v>2.5920887079999999</v>
      </c>
      <c r="T262">
        <v>3.0985749440000001</v>
      </c>
      <c r="U262">
        <v>3.6407577670000002</v>
      </c>
      <c r="V262">
        <v>4.2601363450000003</v>
      </c>
      <c r="W262">
        <v>5.1014959949999996</v>
      </c>
      <c r="X262">
        <v>5.8435411479999999</v>
      </c>
      <c r="Y262">
        <v>6.2971194539999997</v>
      </c>
      <c r="Z262">
        <v>6.7281185490000004</v>
      </c>
      <c r="AA262">
        <v>7.1137557720000002</v>
      </c>
      <c r="AB262">
        <v>7.2208369030000004</v>
      </c>
      <c r="AC262">
        <v>7.2871133549999998</v>
      </c>
      <c r="AD262">
        <v>7.5999554680000001</v>
      </c>
      <c r="AE262">
        <v>7.9015439430000001</v>
      </c>
      <c r="AF262">
        <v>8.1997771050000008</v>
      </c>
      <c r="AG262">
        <v>8.4404072689999996</v>
      </c>
      <c r="AH262">
        <v>8.657517919</v>
      </c>
      <c r="AI262">
        <v>8.9654650809999996</v>
      </c>
      <c r="AJ262">
        <v>9.2724557930000007</v>
      </c>
      <c r="AK262">
        <v>9.5724113890000009</v>
      </c>
      <c r="AL262">
        <v>9.4905560639999997</v>
      </c>
      <c r="AM262">
        <v>9.4146417769999999</v>
      </c>
      <c r="AN262">
        <v>9.5981942510000007</v>
      </c>
      <c r="AO262">
        <v>9.7801856459999996</v>
      </c>
      <c r="AP262">
        <v>9.9614467540000007</v>
      </c>
      <c r="AQ262">
        <v>10.1585701</v>
      </c>
      <c r="AR262">
        <v>10.362335010000001</v>
      </c>
      <c r="AS262">
        <v>10.29568184</v>
      </c>
      <c r="AT262">
        <v>10.23251649</v>
      </c>
      <c r="AU262">
        <v>10.161103499999999</v>
      </c>
      <c r="AV262">
        <v>10.092913749999999</v>
      </c>
      <c r="AW262">
        <v>10.019782279999999</v>
      </c>
    </row>
    <row r="263" spans="2:49" x14ac:dyDescent="0.25">
      <c r="B263" t="s">
        <v>334</v>
      </c>
      <c r="C263">
        <v>1.1905732046364299</v>
      </c>
      <c r="D263">
        <v>1.2096882425386799</v>
      </c>
      <c r="E263">
        <v>1.232118203</v>
      </c>
      <c r="F263">
        <v>1.2389433459999999</v>
      </c>
      <c r="G263">
        <v>1.145084083</v>
      </c>
      <c r="H263">
        <v>0.92897273049999995</v>
      </c>
      <c r="I263">
        <v>1.0125508569999999</v>
      </c>
      <c r="J263">
        <v>1.036780169</v>
      </c>
      <c r="K263">
        <v>0.9804355333</v>
      </c>
      <c r="L263">
        <v>0.97758831629999998</v>
      </c>
      <c r="M263">
        <v>0.98393610649999996</v>
      </c>
      <c r="N263">
        <v>0.99367436050000002</v>
      </c>
      <c r="O263">
        <v>0.9397457092</v>
      </c>
      <c r="P263">
        <v>0.95608964910000005</v>
      </c>
      <c r="Q263">
        <v>0.9372395187</v>
      </c>
      <c r="R263">
        <v>0.88867027580000002</v>
      </c>
      <c r="S263">
        <v>0.86713006250000002</v>
      </c>
      <c r="T263">
        <v>0.86360601839999995</v>
      </c>
      <c r="U263">
        <v>0.87257856720000004</v>
      </c>
      <c r="V263">
        <v>0.89152474189999997</v>
      </c>
      <c r="W263">
        <v>0.88142779599999999</v>
      </c>
      <c r="X263">
        <v>0.86648179609999998</v>
      </c>
      <c r="Y263">
        <v>0.85523689869999997</v>
      </c>
      <c r="Z263">
        <v>0.84891088579999996</v>
      </c>
      <c r="AA263">
        <v>0.84419120010000004</v>
      </c>
      <c r="AB263">
        <v>0.838601343</v>
      </c>
      <c r="AC263">
        <v>0.83458198719999999</v>
      </c>
      <c r="AD263">
        <v>0.83890180889999999</v>
      </c>
      <c r="AE263">
        <v>0.84420210389999994</v>
      </c>
      <c r="AF263">
        <v>0.84967222399999998</v>
      </c>
      <c r="AG263">
        <v>0.85509144240000001</v>
      </c>
      <c r="AH263">
        <v>0.86175841519999996</v>
      </c>
      <c r="AI263">
        <v>0.86915431970000001</v>
      </c>
      <c r="AJ263">
        <v>0.8762770943</v>
      </c>
      <c r="AK263">
        <v>0.88340769669999997</v>
      </c>
      <c r="AL263">
        <v>0.89019133719999999</v>
      </c>
      <c r="AM263" s="39">
        <v>0.89747945809999996</v>
      </c>
      <c r="AN263" s="39">
        <v>0.90423284559999995</v>
      </c>
      <c r="AO263" s="39">
        <v>0.9114153787</v>
      </c>
      <c r="AP263" s="39">
        <v>0.91804660439999997</v>
      </c>
      <c r="AQ263" s="39">
        <v>0.92509806949999995</v>
      </c>
      <c r="AR263" s="39">
        <v>0.93214496899999999</v>
      </c>
      <c r="AS263" s="39">
        <v>0.93852309430000003</v>
      </c>
      <c r="AT263" s="39">
        <v>0.94553007680000001</v>
      </c>
      <c r="AU263" s="39">
        <v>0.95218116919999995</v>
      </c>
      <c r="AV263">
        <v>0.95904342279999999</v>
      </c>
      <c r="AW263">
        <v>0.96544582349999997</v>
      </c>
    </row>
    <row r="264" spans="2:49" x14ac:dyDescent="0.25">
      <c r="B264" t="s">
        <v>335</v>
      </c>
      <c r="C264">
        <v>1.7112081308179601</v>
      </c>
      <c r="D264">
        <v>1.7386821308642</v>
      </c>
      <c r="E264">
        <v>1.7669629</v>
      </c>
      <c r="F264">
        <v>1.7888737859999999</v>
      </c>
      <c r="G264">
        <v>1.8071698979999999</v>
      </c>
      <c r="H264">
        <v>1.7000213200000001</v>
      </c>
      <c r="I264">
        <v>1.7756178389999999</v>
      </c>
      <c r="J264">
        <v>1.8071789629999999</v>
      </c>
      <c r="K264">
        <v>1.788141419</v>
      </c>
      <c r="L264">
        <v>1.799435238</v>
      </c>
      <c r="M264">
        <v>1.819248266</v>
      </c>
      <c r="N264">
        <v>1.8961328959999999</v>
      </c>
      <c r="O264">
        <v>1.894318765</v>
      </c>
      <c r="P264">
        <v>1.8984127159999999</v>
      </c>
      <c r="Q264">
        <v>1.8741348330000001</v>
      </c>
      <c r="R264">
        <v>1.8920014999999999</v>
      </c>
      <c r="S264">
        <v>1.8773317759999999</v>
      </c>
      <c r="T264">
        <v>1.885524628</v>
      </c>
      <c r="U264">
        <v>1.9171234580000001</v>
      </c>
      <c r="V264">
        <v>1.9571456359999999</v>
      </c>
      <c r="W264">
        <v>1.9930755520000001</v>
      </c>
      <c r="X264">
        <v>2.018526526</v>
      </c>
      <c r="Y264">
        <v>2.0358646729999998</v>
      </c>
      <c r="Z264">
        <v>2.0528646959999999</v>
      </c>
      <c r="AA264">
        <v>2.065995944</v>
      </c>
      <c r="AB264">
        <v>2.076909492</v>
      </c>
      <c r="AC264">
        <v>2.0854709329999999</v>
      </c>
      <c r="AD264">
        <v>2.0986282209999998</v>
      </c>
      <c r="AE264">
        <v>2.1137371869999999</v>
      </c>
      <c r="AF264">
        <v>2.1318283120000001</v>
      </c>
      <c r="AG264">
        <v>2.1482931189999999</v>
      </c>
      <c r="AH264">
        <v>2.1658767189999999</v>
      </c>
      <c r="AI264">
        <v>2.1861358420000001</v>
      </c>
      <c r="AJ264">
        <v>2.2081044740000002</v>
      </c>
      <c r="AK264">
        <v>2.231020827</v>
      </c>
      <c r="AL264">
        <v>2.2548291310000002</v>
      </c>
      <c r="AM264">
        <v>2.2794647330000002</v>
      </c>
      <c r="AN264">
        <v>2.3053769430000002</v>
      </c>
      <c r="AO264">
        <v>2.332452795</v>
      </c>
      <c r="AP264">
        <v>2.3590142439999999</v>
      </c>
      <c r="AQ264">
        <v>2.3860674820000001</v>
      </c>
      <c r="AR264">
        <v>2.413201575</v>
      </c>
      <c r="AS264">
        <v>2.438670745</v>
      </c>
      <c r="AT264">
        <v>2.4644730990000001</v>
      </c>
      <c r="AU264">
        <v>2.4901091740000001</v>
      </c>
      <c r="AV264">
        <v>2.5164713660000002</v>
      </c>
      <c r="AW264">
        <v>2.542188721</v>
      </c>
    </row>
    <row r="265" spans="2:49" x14ac:dyDescent="0.25">
      <c r="B265" t="s">
        <v>336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337</v>
      </c>
      <c r="C266">
        <v>1.5692072404564801</v>
      </c>
      <c r="D266">
        <v>1.5944013702764701</v>
      </c>
      <c r="E266">
        <v>1.6256681239999999</v>
      </c>
      <c r="F266">
        <v>1.6521256470000001</v>
      </c>
      <c r="G266">
        <v>1.678284667</v>
      </c>
      <c r="H266">
        <v>1.563700238</v>
      </c>
      <c r="I266">
        <v>1.6540962589999999</v>
      </c>
      <c r="J266">
        <v>1.709753112</v>
      </c>
      <c r="K266">
        <v>1.7018398079999999</v>
      </c>
      <c r="L266">
        <v>1.7141001739999999</v>
      </c>
      <c r="M266">
        <v>1.7365628239999999</v>
      </c>
      <c r="N266">
        <v>1.790196189</v>
      </c>
      <c r="O266">
        <v>1.8559426139999999</v>
      </c>
      <c r="P266">
        <v>1.953947783</v>
      </c>
      <c r="Q266">
        <v>2.0093218720000001</v>
      </c>
      <c r="R266">
        <v>2.097648596</v>
      </c>
      <c r="S266">
        <v>2.148056773</v>
      </c>
      <c r="T266">
        <v>2.1602304339999998</v>
      </c>
      <c r="U266">
        <v>2.1893607770000001</v>
      </c>
      <c r="V266">
        <v>2.237317869</v>
      </c>
      <c r="W266">
        <v>2.1585765370000001</v>
      </c>
      <c r="X266">
        <v>2.101401831</v>
      </c>
      <c r="Y266">
        <v>2.055086271</v>
      </c>
      <c r="Z266">
        <v>2.0323803840000001</v>
      </c>
      <c r="AA266">
        <v>2.0176194729999999</v>
      </c>
      <c r="AB266">
        <v>2.0068515640000002</v>
      </c>
      <c r="AC266">
        <v>2.0002905790000001</v>
      </c>
      <c r="AD266">
        <v>2.0098833209999998</v>
      </c>
      <c r="AE266">
        <v>2.023675463</v>
      </c>
      <c r="AF266">
        <v>2.0408832870000002</v>
      </c>
      <c r="AG266">
        <v>2.056487583</v>
      </c>
      <c r="AH266">
        <v>2.073284068</v>
      </c>
      <c r="AI266">
        <v>2.0921459910000002</v>
      </c>
      <c r="AJ266">
        <v>2.1123411010000002</v>
      </c>
      <c r="AK266">
        <v>2.133379863</v>
      </c>
      <c r="AL266">
        <v>2.154501964</v>
      </c>
      <c r="AM266">
        <v>2.1763379550000002</v>
      </c>
      <c r="AN266">
        <v>2.2018166570000002</v>
      </c>
      <c r="AO266">
        <v>2.2284120160000001</v>
      </c>
      <c r="AP266">
        <v>2.254376165</v>
      </c>
      <c r="AQ266">
        <v>2.2808007780000001</v>
      </c>
      <c r="AR266">
        <v>2.3074049410000002</v>
      </c>
      <c r="AS266">
        <v>2.3311155760000002</v>
      </c>
      <c r="AT266">
        <v>2.3553508999999999</v>
      </c>
      <c r="AU266" s="39">
        <v>2.3794662999999998</v>
      </c>
      <c r="AV266">
        <v>2.4043918660000001</v>
      </c>
      <c r="AW266">
        <v>2.4286890190000001</v>
      </c>
    </row>
    <row r="267" spans="2:49" x14ac:dyDescent="0.25">
      <c r="B267" t="s">
        <v>338</v>
      </c>
      <c r="C267">
        <v>0.99151022292981705</v>
      </c>
      <c r="D267">
        <v>0.99151022292981705</v>
      </c>
      <c r="E267">
        <v>0.99190344200000002</v>
      </c>
      <c r="F267">
        <v>0.98791872989999996</v>
      </c>
      <c r="G267">
        <v>0.98396980140000001</v>
      </c>
      <c r="H267">
        <v>0.98000831889999995</v>
      </c>
      <c r="I267">
        <v>0.97610745060000004</v>
      </c>
      <c r="J267">
        <v>0.97222197330000004</v>
      </c>
      <c r="K267">
        <v>0.96834191810000003</v>
      </c>
      <c r="L267">
        <v>0.96448930820000001</v>
      </c>
      <c r="M267">
        <v>0.96064354490000003</v>
      </c>
      <c r="N267">
        <v>0.95684028570000002</v>
      </c>
      <c r="O267">
        <v>0.95616821480000003</v>
      </c>
      <c r="P267">
        <v>0.95546459589999999</v>
      </c>
      <c r="Q267">
        <v>0.95470973010000004</v>
      </c>
      <c r="R267">
        <v>0.95391487720000001</v>
      </c>
      <c r="S267">
        <v>0.95303340169999995</v>
      </c>
      <c r="T267">
        <v>0.95056961819999997</v>
      </c>
      <c r="U267">
        <v>0.94820647599999996</v>
      </c>
      <c r="V267">
        <v>0.94593897090000001</v>
      </c>
      <c r="W267">
        <v>0.94444273479999996</v>
      </c>
      <c r="X267">
        <v>0.94284441529999996</v>
      </c>
      <c r="Y267">
        <v>0.93987885520000003</v>
      </c>
      <c r="Z267">
        <v>0.93664793609999997</v>
      </c>
      <c r="AA267">
        <v>0.93310781379999996</v>
      </c>
      <c r="AB267">
        <v>0.9294336889</v>
      </c>
      <c r="AC267">
        <v>0.92539540990000002</v>
      </c>
      <c r="AD267">
        <v>0.91823798619999997</v>
      </c>
      <c r="AE267">
        <v>0.91029134919999999</v>
      </c>
      <c r="AF267">
        <v>0.90141959500000002</v>
      </c>
      <c r="AG267">
        <v>0.89181372299999995</v>
      </c>
      <c r="AH267">
        <v>0.88095598109999995</v>
      </c>
      <c r="AI267">
        <v>0.872930659</v>
      </c>
      <c r="AJ267">
        <v>0.86374607800000003</v>
      </c>
      <c r="AK267">
        <v>0.853131584</v>
      </c>
      <c r="AL267">
        <v>0.84127938459999996</v>
      </c>
      <c r="AM267">
        <v>0.82721344900000005</v>
      </c>
      <c r="AN267">
        <v>0.81734167430000004</v>
      </c>
      <c r="AO267">
        <v>0.80593351589999995</v>
      </c>
      <c r="AP267">
        <v>0.79260037699999997</v>
      </c>
      <c r="AQ267">
        <v>0.77674503650000004</v>
      </c>
      <c r="AR267">
        <v>0.75765005080000003</v>
      </c>
      <c r="AS267">
        <v>0.75509371169999995</v>
      </c>
      <c r="AT267">
        <v>0.75219139970000004</v>
      </c>
      <c r="AU267">
        <v>0.74892899089999998</v>
      </c>
      <c r="AV267">
        <v>0.74518684670000002</v>
      </c>
      <c r="AW267">
        <v>0.74090969770000004</v>
      </c>
    </row>
    <row r="268" spans="2:49" x14ac:dyDescent="0.25">
      <c r="B268" t="s">
        <v>339</v>
      </c>
      <c r="C268">
        <v>8.4897770701825997E-3</v>
      </c>
      <c r="D268">
        <v>8.4897770701825997E-3</v>
      </c>
      <c r="E268">
        <v>8.0965578899999998E-3</v>
      </c>
      <c r="F268">
        <v>1.20812699E-2</v>
      </c>
      <c r="G268">
        <v>1.60301994E-2</v>
      </c>
      <c r="H268">
        <v>1.9991680899999999E-2</v>
      </c>
      <c r="I268">
        <v>2.3892539000000001E-2</v>
      </c>
      <c r="J268">
        <v>2.7778025500000001E-2</v>
      </c>
      <c r="K268">
        <v>3.16580817E-2</v>
      </c>
      <c r="L268">
        <v>3.5510691800000001E-2</v>
      </c>
      <c r="M268">
        <v>3.9356455200000001E-2</v>
      </c>
      <c r="N268">
        <v>4.3159714299999999E-2</v>
      </c>
      <c r="O268">
        <v>4.3831784800000002E-2</v>
      </c>
      <c r="P268">
        <v>4.4535401799999999E-2</v>
      </c>
      <c r="Q268">
        <v>4.5290272600000001E-2</v>
      </c>
      <c r="R268">
        <v>4.6085122200000002E-2</v>
      </c>
      <c r="S268">
        <v>4.69665981E-2</v>
      </c>
      <c r="T268">
        <v>4.9430381000000002E-2</v>
      </c>
      <c r="U268">
        <v>5.1793511600000001E-2</v>
      </c>
      <c r="V268">
        <v>5.40610854E-2</v>
      </c>
      <c r="W268">
        <v>5.55572571E-2</v>
      </c>
      <c r="X268">
        <v>5.7155584699999998E-2</v>
      </c>
      <c r="Y268">
        <v>6.0121144299999998E-2</v>
      </c>
      <c r="Z268">
        <v>6.3352064E-2</v>
      </c>
      <c r="AA268">
        <v>6.6892186100000001E-2</v>
      </c>
      <c r="AB268">
        <v>7.0566311100000001E-2</v>
      </c>
      <c r="AC268">
        <v>7.4604590100000007E-2</v>
      </c>
      <c r="AD268">
        <v>8.1762013699999997E-2</v>
      </c>
      <c r="AE268">
        <v>8.9708650700000003E-2</v>
      </c>
      <c r="AF268">
        <v>9.8580404900000002E-2</v>
      </c>
      <c r="AG268">
        <v>0.108186277</v>
      </c>
      <c r="AH268">
        <v>0.11904401890000001</v>
      </c>
      <c r="AI268">
        <v>0.12706934040000001</v>
      </c>
      <c r="AJ268">
        <v>0.136253922</v>
      </c>
      <c r="AK268">
        <v>0.14686841610000001</v>
      </c>
      <c r="AL268">
        <v>0.15872061539999999</v>
      </c>
      <c r="AM268">
        <v>0.17278655079999999</v>
      </c>
      <c r="AN268">
        <v>0.18265832539999999</v>
      </c>
      <c r="AO268">
        <v>0.19406648379999999</v>
      </c>
      <c r="AP268">
        <v>0.20739962270000001</v>
      </c>
      <c r="AQ268">
        <v>0.22325496340000001</v>
      </c>
      <c r="AR268">
        <v>0.24234994879999999</v>
      </c>
      <c r="AS268">
        <v>0.24490628819999999</v>
      </c>
      <c r="AT268">
        <v>0.24780860020000001</v>
      </c>
      <c r="AU268">
        <v>0.25107100900000001</v>
      </c>
      <c r="AV268">
        <v>0.25481315329999998</v>
      </c>
      <c r="AW268">
        <v>0.25909030220000001</v>
      </c>
    </row>
    <row r="269" spans="2:49" x14ac:dyDescent="0.25">
      <c r="B269" t="s">
        <v>340</v>
      </c>
      <c r="C269">
        <v>0.79896379760487002</v>
      </c>
      <c r="D269">
        <v>0.79896379760486902</v>
      </c>
      <c r="E269">
        <v>0.79896379760000003</v>
      </c>
      <c r="F269">
        <v>0.79638418200000005</v>
      </c>
      <c r="G269">
        <v>0.79381289450000003</v>
      </c>
      <c r="H269">
        <v>0.79124991410000001</v>
      </c>
      <c r="I269">
        <v>0.78869520370000001</v>
      </c>
      <c r="J269">
        <v>0.78614874010000002</v>
      </c>
      <c r="K269">
        <v>0.78361049780000003</v>
      </c>
      <c r="L269">
        <v>0.78108045280000005</v>
      </c>
      <c r="M269">
        <v>0.77855857689999997</v>
      </c>
      <c r="N269">
        <v>0.77604484419999997</v>
      </c>
      <c r="O269">
        <v>0.76081534510000004</v>
      </c>
      <c r="P269">
        <v>0.74503571820000003</v>
      </c>
      <c r="Q269">
        <v>0.72867560350000005</v>
      </c>
      <c r="R269">
        <v>0.71170238019999998</v>
      </c>
      <c r="S269">
        <v>0.69408091299999997</v>
      </c>
      <c r="T269">
        <v>0.68529516469999996</v>
      </c>
      <c r="U269">
        <v>0.67645426649999996</v>
      </c>
      <c r="V269">
        <v>0.66755769070000004</v>
      </c>
      <c r="W269">
        <v>0.65988738020000004</v>
      </c>
      <c r="X269">
        <v>0.65271343579999996</v>
      </c>
      <c r="Y269">
        <v>0.64104038590000001</v>
      </c>
      <c r="Z269">
        <v>0.62990081229999995</v>
      </c>
      <c r="AA269">
        <v>0.61925895220000005</v>
      </c>
      <c r="AB269">
        <v>0.61265958060000003</v>
      </c>
      <c r="AC269">
        <v>0.60635273040000004</v>
      </c>
      <c r="AD269">
        <v>0.59092085149999996</v>
      </c>
      <c r="AE269">
        <v>0.57571876349999995</v>
      </c>
      <c r="AF269">
        <v>0.56074137170000005</v>
      </c>
      <c r="AG269">
        <v>0.54706795969999999</v>
      </c>
      <c r="AH269">
        <v>0.53372519029999999</v>
      </c>
      <c r="AI269">
        <v>0.52542073590000005</v>
      </c>
      <c r="AJ269">
        <v>0.51735299320000006</v>
      </c>
      <c r="AK269">
        <v>0.50951198419999999</v>
      </c>
      <c r="AL269">
        <v>0.50156865979999998</v>
      </c>
      <c r="AM269">
        <v>0.4938431398</v>
      </c>
      <c r="AN269">
        <v>0.47619586250000001</v>
      </c>
      <c r="AO269">
        <v>0.4588287694</v>
      </c>
      <c r="AP269">
        <v>0.44173524019999999</v>
      </c>
      <c r="AQ269">
        <v>0.42490886189999999</v>
      </c>
      <c r="AR269">
        <v>0.40834342000000001</v>
      </c>
      <c r="AS269">
        <v>0.3888559405</v>
      </c>
      <c r="AT269">
        <v>0.36955859390000001</v>
      </c>
      <c r="AU269">
        <v>0.35044861129999999</v>
      </c>
      <c r="AV269">
        <v>0.33152327700000001</v>
      </c>
      <c r="AW269">
        <v>0.31277992760000001</v>
      </c>
    </row>
    <row r="270" spans="2:49" x14ac:dyDescent="0.25">
      <c r="B270" t="s">
        <v>341</v>
      </c>
      <c r="C270">
        <v>1.02537481030392E-2</v>
      </c>
      <c r="D270">
        <v>1.02537481030392E-2</v>
      </c>
      <c r="E270">
        <v>1.02537481E-2</v>
      </c>
      <c r="F270">
        <v>9.6835705400000003E-3</v>
      </c>
      <c r="G270">
        <v>9.1450986900000007E-3</v>
      </c>
      <c r="H270">
        <v>8.6365695599999997E-3</v>
      </c>
      <c r="I270">
        <v>8.1563180200000009E-3</v>
      </c>
      <c r="J270">
        <v>7.7027717000000004E-3</v>
      </c>
      <c r="K270">
        <v>7.2744456100000002E-3</v>
      </c>
      <c r="L270">
        <v>6.8699373499999999E-3</v>
      </c>
      <c r="M270">
        <v>6.4879224899999999E-3</v>
      </c>
      <c r="N270">
        <v>6.1271502400000004E-3</v>
      </c>
      <c r="O270">
        <v>5.5291148899999998E-3</v>
      </c>
      <c r="P270">
        <v>4.9094769999999998E-3</v>
      </c>
      <c r="Q270">
        <v>4.2670445199999999E-3</v>
      </c>
      <c r="R270">
        <v>3.6005361200000001E-3</v>
      </c>
      <c r="S270">
        <v>2.9085724800000001E-3</v>
      </c>
      <c r="T270">
        <v>4.1074832700000001E-3</v>
      </c>
      <c r="U270">
        <v>5.3139199799999998E-3</v>
      </c>
      <c r="V270">
        <v>6.5279536399999996E-3</v>
      </c>
      <c r="W270">
        <v>5.0002388499999998E-3</v>
      </c>
      <c r="X270">
        <v>3.5713869499999999E-3</v>
      </c>
      <c r="Y270">
        <v>2.7283981399999998E-3</v>
      </c>
      <c r="Z270">
        <v>1.9239348E-3</v>
      </c>
      <c r="AA270">
        <v>1.1554149000000001E-3</v>
      </c>
      <c r="AB270">
        <v>8.3973103899999998E-4</v>
      </c>
      <c r="AC270">
        <v>5.38040067E-4</v>
      </c>
      <c r="AD270">
        <v>5.28253573E-4</v>
      </c>
      <c r="AE270">
        <v>5.1861280600000003E-4</v>
      </c>
      <c r="AF270">
        <v>5.0911453499999999E-4</v>
      </c>
      <c r="AG270">
        <v>5.0042206200000001E-4</v>
      </c>
      <c r="AH270">
        <v>4.9193978499999995E-4</v>
      </c>
      <c r="AI270" s="39">
        <v>3.9385142300000001E-4</v>
      </c>
      <c r="AJ270" s="39">
        <v>2.9855899600000001E-4</v>
      </c>
      <c r="AK270" s="39">
        <v>2.0594464099999999E-4</v>
      </c>
      <c r="AL270" s="39">
        <v>2.1355590699999999E-4</v>
      </c>
      <c r="AM270" s="39">
        <v>2.20958473E-4</v>
      </c>
      <c r="AN270" s="39">
        <v>2.1204071799999999E-4</v>
      </c>
      <c r="AO270" s="39">
        <v>2.0326455000000001E-4</v>
      </c>
      <c r="AP270" s="39">
        <v>1.94626622E-4</v>
      </c>
      <c r="AQ270" s="39">
        <v>1.8612369499999999E-4</v>
      </c>
      <c r="AR270" s="39">
        <v>1.77752627E-4</v>
      </c>
      <c r="AS270" s="39">
        <v>1.7688123900000001E-4</v>
      </c>
      <c r="AT270" s="39">
        <v>1.7601835300000001E-4</v>
      </c>
      <c r="AU270" s="39">
        <v>1.75163845E-4</v>
      </c>
      <c r="AV270" s="39">
        <v>1.7431759299999999E-4</v>
      </c>
      <c r="AW270" s="39">
        <v>1.7347947899999999E-4</v>
      </c>
    </row>
    <row r="271" spans="2:49" x14ac:dyDescent="0.25">
      <c r="B271" t="s">
        <v>342</v>
      </c>
      <c r="C271">
        <v>4.0949078402655603E-2</v>
      </c>
      <c r="D271">
        <v>4.0949078402655603E-2</v>
      </c>
      <c r="E271">
        <v>4.0949078399999998E-2</v>
      </c>
      <c r="F271">
        <v>4.08762326E-2</v>
      </c>
      <c r="G271">
        <v>4.0803516300000002E-2</v>
      </c>
      <c r="H271">
        <v>4.0730929700000001E-2</v>
      </c>
      <c r="I271">
        <v>4.06584719E-2</v>
      </c>
      <c r="J271">
        <v>4.0586142899999997E-2</v>
      </c>
      <c r="K271">
        <v>4.0513942599999998E-2</v>
      </c>
      <c r="L271">
        <v>4.0441870900000003E-2</v>
      </c>
      <c r="M271">
        <v>4.0369927299999997E-2</v>
      </c>
      <c r="N271">
        <v>4.0298111800000001E-2</v>
      </c>
      <c r="O271">
        <v>4.42463061E-2</v>
      </c>
      <c r="P271">
        <v>4.8337119200000001E-2</v>
      </c>
      <c r="Q271">
        <v>5.2578420399999999E-2</v>
      </c>
      <c r="R271">
        <v>5.6978670100000003E-2</v>
      </c>
      <c r="S271">
        <v>6.1546973300000002E-2</v>
      </c>
      <c r="T271">
        <v>5.87435818E-2</v>
      </c>
      <c r="U271">
        <v>5.5922592700000003E-2</v>
      </c>
      <c r="V271">
        <v>5.3083839100000002E-2</v>
      </c>
      <c r="W271">
        <v>5.9695648300000001E-2</v>
      </c>
      <c r="X271">
        <v>6.5879587700000006E-2</v>
      </c>
      <c r="Y271">
        <v>6.43412971E-2</v>
      </c>
      <c r="Z271">
        <v>6.2873308599999997E-2</v>
      </c>
      <c r="AA271">
        <v>6.1470909599999998E-2</v>
      </c>
      <c r="AB271">
        <v>5.3366594199999999E-2</v>
      </c>
      <c r="AC271">
        <v>4.5621507899999997E-2</v>
      </c>
      <c r="AD271">
        <v>4.2043330199999999E-2</v>
      </c>
      <c r="AE271">
        <v>3.8518433999999997E-2</v>
      </c>
      <c r="AF271">
        <v>3.5045637900000003E-2</v>
      </c>
      <c r="AG271">
        <v>3.19208952E-2</v>
      </c>
      <c r="AH271">
        <v>2.8871713199999999E-2</v>
      </c>
      <c r="AI271">
        <v>2.2632261599999998E-2</v>
      </c>
      <c r="AJ271">
        <v>1.6570660800000001E-2</v>
      </c>
      <c r="AK271">
        <v>1.06794135E-2</v>
      </c>
      <c r="AL271">
        <v>6.52863665E-3</v>
      </c>
      <c r="AM271">
        <v>2.49167338E-3</v>
      </c>
      <c r="AN271">
        <v>2.4722737600000001E-3</v>
      </c>
      <c r="AO271">
        <v>2.4531821399999998E-3</v>
      </c>
      <c r="AP271">
        <v>2.43439126E-3</v>
      </c>
      <c r="AQ271">
        <v>2.4158940499999998E-3</v>
      </c>
      <c r="AR271">
        <v>2.3976836900000001E-3</v>
      </c>
      <c r="AS271">
        <v>2.3857468399999999E-3</v>
      </c>
      <c r="AT271">
        <v>2.3739264600000001E-3</v>
      </c>
      <c r="AU271">
        <v>2.3622208400000001E-3</v>
      </c>
      <c r="AV271">
        <v>2.35062833E-3</v>
      </c>
      <c r="AW271">
        <v>2.3391472899999999E-3</v>
      </c>
    </row>
    <row r="272" spans="2:49" x14ac:dyDescent="0.25">
      <c r="B272" t="s">
        <v>343</v>
      </c>
      <c r="C272">
        <v>4.0858446639591303E-2</v>
      </c>
      <c r="D272">
        <v>4.0858446639591303E-2</v>
      </c>
      <c r="E272">
        <v>4.0858446600000001E-2</v>
      </c>
      <c r="F272">
        <v>3.7501973199999997E-2</v>
      </c>
      <c r="G272">
        <v>3.44212302E-2</v>
      </c>
      <c r="H272">
        <v>3.1593566699999999E-2</v>
      </c>
      <c r="I272">
        <v>2.89981923E-2</v>
      </c>
      <c r="J272">
        <v>2.6616024799999999E-2</v>
      </c>
      <c r="K272">
        <v>2.4429549500000002E-2</v>
      </c>
      <c r="L272">
        <v>2.2422690700000001E-2</v>
      </c>
      <c r="M272">
        <v>2.0580693000000001E-2</v>
      </c>
      <c r="N272">
        <v>1.88900132E-2</v>
      </c>
      <c r="O272">
        <v>1.6445307100000001E-2</v>
      </c>
      <c r="P272">
        <v>1.3912292099999999E-2</v>
      </c>
      <c r="Q272">
        <v>1.12860952E-2</v>
      </c>
      <c r="R272">
        <v>8.5614784199999905E-3</v>
      </c>
      <c r="S272">
        <v>5.7328033000000004E-3</v>
      </c>
      <c r="T272">
        <v>5.4684210300000001E-3</v>
      </c>
      <c r="U272">
        <v>5.2023791600000003E-3</v>
      </c>
      <c r="V272">
        <v>4.9346619600000004E-3</v>
      </c>
      <c r="W272">
        <v>3.1081956E-3</v>
      </c>
      <c r="X272">
        <v>1.3999252299999999E-3</v>
      </c>
      <c r="Y272">
        <v>1.06336857E-3</v>
      </c>
      <c r="Z272">
        <v>7.4219290899999997E-4</v>
      </c>
      <c r="AA272">
        <v>4.3536738099999998E-4</v>
      </c>
      <c r="AB272">
        <v>4.2549971799999998E-4</v>
      </c>
      <c r="AC272">
        <v>4.1606944599999998E-4</v>
      </c>
      <c r="AD272">
        <v>3.4412369499999999E-4</v>
      </c>
      <c r="AE272">
        <v>2.7324926500000001E-4</v>
      </c>
      <c r="AF272">
        <v>2.03422402E-4</v>
      </c>
      <c r="AG272">
        <v>2.0093277700000001E-4</v>
      </c>
      <c r="AH272">
        <v>1.9850335500000001E-4</v>
      </c>
      <c r="AI272">
        <v>1.95633357E-4</v>
      </c>
      <c r="AJ272">
        <v>1.9284516599999999E-4</v>
      </c>
      <c r="AK272">
        <v>1.9013533299999999E-4</v>
      </c>
      <c r="AL272">
        <v>1.8749236000000001E-4</v>
      </c>
      <c r="AM272">
        <v>1.84921856E-4</v>
      </c>
      <c r="AN272">
        <v>1.8344211599999999E-4</v>
      </c>
      <c r="AO272">
        <v>1.8198586900000001E-4</v>
      </c>
      <c r="AP272">
        <v>1.8055256200000001E-4</v>
      </c>
      <c r="AQ272">
        <v>1.79141655E-4</v>
      </c>
      <c r="AR272">
        <v>1.77752627E-4</v>
      </c>
      <c r="AS272">
        <v>1.7688123900000001E-4</v>
      </c>
      <c r="AT272" s="39">
        <v>1.7601835300000001E-4</v>
      </c>
      <c r="AU272" s="39">
        <v>1.75163845E-4</v>
      </c>
      <c r="AV272" s="39">
        <v>1.7431759299999999E-4</v>
      </c>
      <c r="AW272" s="39">
        <v>1.7347947899999999E-4</v>
      </c>
    </row>
    <row r="273" spans="2:49" x14ac:dyDescent="0.25">
      <c r="B273" t="s">
        <v>344</v>
      </c>
      <c r="C273">
        <v>8.2546962733871607E-3</v>
      </c>
      <c r="D273">
        <v>8.2546962733871607E-3</v>
      </c>
      <c r="E273">
        <v>8.2546962700000004E-3</v>
      </c>
      <c r="F273">
        <v>1.7081659799999999E-2</v>
      </c>
      <c r="G273">
        <v>2.5176000800000001E-2</v>
      </c>
      <c r="H273">
        <v>3.2493267700000002E-2</v>
      </c>
      <c r="I273">
        <v>3.8964705000000002E-2</v>
      </c>
      <c r="J273">
        <v>4.4490436100000003E-2</v>
      </c>
      <c r="K273">
        <v>4.8930383399999999E-2</v>
      </c>
      <c r="L273">
        <v>5.2092196299999997E-2</v>
      </c>
      <c r="M273">
        <v>5.37152194E-2</v>
      </c>
      <c r="N273">
        <v>5.3449221300000002E-2</v>
      </c>
      <c r="O273">
        <v>5.9116927700000002E-2</v>
      </c>
      <c r="P273">
        <v>6.4989365800000004E-2</v>
      </c>
      <c r="Q273">
        <v>7.1077832499999896E-2</v>
      </c>
      <c r="R273">
        <v>7.7394472800000003E-2</v>
      </c>
      <c r="S273">
        <v>8.39523571E-2</v>
      </c>
      <c r="T273">
        <v>8.8113603099999896E-2</v>
      </c>
      <c r="U273">
        <v>9.2300970699999998E-2</v>
      </c>
      <c r="V273">
        <v>9.6514705500000006E-2</v>
      </c>
      <c r="W273">
        <v>0.1022658845</v>
      </c>
      <c r="X273">
        <v>0.10764488749999999</v>
      </c>
      <c r="Y273">
        <v>0.1123420339</v>
      </c>
      <c r="Z273">
        <v>0.1168245171</v>
      </c>
      <c r="AA273">
        <v>0.1211067222</v>
      </c>
      <c r="AB273">
        <v>0.12605079220000001</v>
      </c>
      <c r="AC273">
        <v>0.1307757131</v>
      </c>
      <c r="AD273">
        <v>0.14685868569999999</v>
      </c>
      <c r="AE273">
        <v>0.16270217209999999</v>
      </c>
      <c r="AF273">
        <v>0.1783114821</v>
      </c>
      <c r="AG273">
        <v>0.19204719770000001</v>
      </c>
      <c r="AH273">
        <v>0.20545076379999999</v>
      </c>
      <c r="AI273">
        <v>0.21523994420000001</v>
      </c>
      <c r="AJ273">
        <v>0.22475009109999999</v>
      </c>
      <c r="AK273">
        <v>0.23399296759999999</v>
      </c>
      <c r="AL273">
        <v>0.2422639781</v>
      </c>
      <c r="AM273">
        <v>0.25030819869999998</v>
      </c>
      <c r="AN273">
        <v>0.2616178254</v>
      </c>
      <c r="AO273">
        <v>0.27274789020000001</v>
      </c>
      <c r="AP273">
        <v>0.28370263579999999</v>
      </c>
      <c r="AQ273">
        <v>0.29448617220000001</v>
      </c>
      <c r="AR273">
        <v>0.30510248200000001</v>
      </c>
      <c r="AS273">
        <v>0.31733182840000002</v>
      </c>
      <c r="AT273">
        <v>0.329441857</v>
      </c>
      <c r="AU273">
        <v>0.34143430559999999</v>
      </c>
      <c r="AV273">
        <v>0.35331087839999997</v>
      </c>
      <c r="AW273">
        <v>0.36507324670000002</v>
      </c>
    </row>
    <row r="274" spans="2:49" x14ac:dyDescent="0.25">
      <c r="B274" t="s">
        <v>345</v>
      </c>
      <c r="C274">
        <v>1.85730666151211E-3</v>
      </c>
      <c r="D274">
        <v>1.85730666151211E-3</v>
      </c>
      <c r="E274">
        <v>1.8573066599999999E-3</v>
      </c>
      <c r="F274">
        <v>2.4629865900000002E-3</v>
      </c>
      <c r="G274">
        <v>3.26618272E-3</v>
      </c>
      <c r="H274">
        <v>4.3313064200000001E-3</v>
      </c>
      <c r="I274">
        <v>5.7437739400000003E-3</v>
      </c>
      <c r="J274">
        <v>7.6168563900000002E-3</v>
      </c>
      <c r="K274">
        <v>1.0100763400000001E-2</v>
      </c>
      <c r="L274">
        <v>1.3394688700000001E-2</v>
      </c>
      <c r="M274">
        <v>1.7762784899999998E-2</v>
      </c>
      <c r="N274">
        <v>2.35553459E-2</v>
      </c>
      <c r="O274">
        <v>2.6053133199999998E-2</v>
      </c>
      <c r="P274">
        <v>2.86411468E-2</v>
      </c>
      <c r="Q274">
        <v>3.1324365299999997E-2</v>
      </c>
      <c r="R274">
        <v>3.4108141100000003E-2</v>
      </c>
      <c r="S274">
        <v>3.6998234300000002E-2</v>
      </c>
      <c r="T274">
        <v>3.8298411900000003E-2</v>
      </c>
      <c r="U274">
        <v>3.9606751099999997E-2</v>
      </c>
      <c r="V274">
        <v>4.0923328699999997E-2</v>
      </c>
      <c r="W274">
        <v>4.98612529E-2</v>
      </c>
      <c r="X274">
        <v>5.8220777699999997E-2</v>
      </c>
      <c r="Y274">
        <v>6.9442178500000007E-2</v>
      </c>
      <c r="Z274">
        <v>8.0150750800000004E-2</v>
      </c>
      <c r="AA274">
        <v>9.0380863199999995E-2</v>
      </c>
      <c r="AB274">
        <v>0.1011872949</v>
      </c>
      <c r="AC274">
        <v>0.1115147247</v>
      </c>
      <c r="AD274">
        <v>0.11706016299999999</v>
      </c>
      <c r="AE274">
        <v>0.1225230261</v>
      </c>
      <c r="AF274">
        <v>0.12790514480000001</v>
      </c>
      <c r="AG274">
        <v>0.13283904029999999</v>
      </c>
      <c r="AH274">
        <v>0.13765362710000001</v>
      </c>
      <c r="AI274">
        <v>0.1433364288</v>
      </c>
      <c r="AJ274">
        <v>0.1488572463</v>
      </c>
      <c r="AK274">
        <v>0.15422290829999999</v>
      </c>
      <c r="AL274">
        <v>0.15899842189999999</v>
      </c>
      <c r="AM274">
        <v>0.16364299169999999</v>
      </c>
      <c r="AN274">
        <v>0.17041112689999999</v>
      </c>
      <c r="AO274">
        <v>0.17707180510000001</v>
      </c>
      <c r="AP274">
        <v>0.18362756520000001</v>
      </c>
      <c r="AQ274">
        <v>0.19008086690000001</v>
      </c>
      <c r="AR274">
        <v>0.19643409349999999</v>
      </c>
      <c r="AS274">
        <v>0.20383148970000001</v>
      </c>
      <c r="AT274">
        <v>0.211156712</v>
      </c>
      <c r="AU274">
        <v>0.21841081139999999</v>
      </c>
      <c r="AV274">
        <v>0.22559481880000001</v>
      </c>
      <c r="AW274">
        <v>0.23270974520000001</v>
      </c>
    </row>
    <row r="275" spans="2:49" x14ac:dyDescent="0.25">
      <c r="B275" t="s">
        <v>346</v>
      </c>
      <c r="C275">
        <v>9.2848272947954696E-2</v>
      </c>
      <c r="D275">
        <v>9.2848272947954599E-2</v>
      </c>
      <c r="E275">
        <v>9.2848272900000001E-2</v>
      </c>
      <c r="F275">
        <v>8.9289129100000003E-2</v>
      </c>
      <c r="G275">
        <v>8.5866417400000006E-2</v>
      </c>
      <c r="H275">
        <v>8.2574908799999999E-2</v>
      </c>
      <c r="I275">
        <v>7.94095727E-2</v>
      </c>
      <c r="J275">
        <v>7.6365573000000006E-2</v>
      </c>
      <c r="K275">
        <v>7.34382586E-2</v>
      </c>
      <c r="L275">
        <v>7.0623156899999998E-2</v>
      </c>
      <c r="M275">
        <v>6.7915966199999997E-2</v>
      </c>
      <c r="N275">
        <v>6.5312550100000005E-2</v>
      </c>
      <c r="O275">
        <v>7.2238232900000005E-2</v>
      </c>
      <c r="P275">
        <v>7.9414088800000004E-2</v>
      </c>
      <c r="Q275">
        <v>8.6853922E-2</v>
      </c>
      <c r="R275">
        <v>9.4572572899999999E-2</v>
      </c>
      <c r="S275">
        <v>0.10258601320000001</v>
      </c>
      <c r="T275">
        <v>0.1071638979</v>
      </c>
      <c r="U275">
        <v>0.1117705193</v>
      </c>
      <c r="V275">
        <v>0.116406148</v>
      </c>
      <c r="W275">
        <v>0.103678248</v>
      </c>
      <c r="X275">
        <v>9.1774007300000002E-2</v>
      </c>
      <c r="Y275">
        <v>9.1026466900000005E-2</v>
      </c>
      <c r="Z275">
        <v>9.0313090700000001E-2</v>
      </c>
      <c r="AA275">
        <v>8.9631587700000001E-2</v>
      </c>
      <c r="AB275">
        <v>8.9390323300000005E-2</v>
      </c>
      <c r="AC275">
        <v>8.9159753199999997E-2</v>
      </c>
      <c r="AD275">
        <v>8.5843230899999998E-2</v>
      </c>
      <c r="AE275">
        <v>8.25760938E-2</v>
      </c>
      <c r="AF275">
        <v>7.9357247000000006E-2</v>
      </c>
      <c r="AG275">
        <v>7.6870566700000004E-2</v>
      </c>
      <c r="AH275">
        <v>7.4444017900000006E-2</v>
      </c>
      <c r="AI275">
        <v>7.2839212299999997E-2</v>
      </c>
      <c r="AJ275">
        <v>7.1280150299999998E-2</v>
      </c>
      <c r="AK275">
        <v>6.97649038E-2</v>
      </c>
      <c r="AL275">
        <v>6.8256300199999995E-2</v>
      </c>
      <c r="AM275">
        <v>6.6789062199999999E-2</v>
      </c>
      <c r="AN275">
        <v>6.6337438700000001E-2</v>
      </c>
      <c r="AO275">
        <v>6.5892985700000004E-2</v>
      </c>
      <c r="AP275">
        <v>6.5455533600000004E-2</v>
      </c>
      <c r="AQ275">
        <v>6.5024918299999998E-2</v>
      </c>
      <c r="AR275">
        <v>6.4600980799999999E-2</v>
      </c>
      <c r="AS275">
        <v>6.4519922899999999E-2</v>
      </c>
      <c r="AT275">
        <v>6.4439655900000004E-2</v>
      </c>
      <c r="AU275">
        <v>6.4360168199999998E-2</v>
      </c>
      <c r="AV275">
        <v>6.4281448500000005E-2</v>
      </c>
      <c r="AW275">
        <v>6.4203485800000001E-2</v>
      </c>
    </row>
    <row r="276" spans="2:49" x14ac:dyDescent="0.25">
      <c r="B276" t="s">
        <v>347</v>
      </c>
      <c r="C276">
        <v>6.0146533669896496E-3</v>
      </c>
      <c r="D276">
        <v>6.0146533669896496E-3</v>
      </c>
      <c r="E276">
        <v>6.0146533700000003E-3</v>
      </c>
      <c r="F276">
        <v>6.72026664E-3</v>
      </c>
      <c r="G276">
        <v>7.5086594100000001E-3</v>
      </c>
      <c r="H276">
        <v>8.3895431000000006E-3</v>
      </c>
      <c r="I276">
        <v>9.3737682099999907E-3</v>
      </c>
      <c r="J276">
        <v>1.04734584E-2</v>
      </c>
      <c r="K276">
        <v>1.17021594E-2</v>
      </c>
      <c r="L276">
        <v>1.30750064E-2</v>
      </c>
      <c r="M276">
        <v>1.4608909999999999E-2</v>
      </c>
      <c r="N276">
        <v>1.63227645E-2</v>
      </c>
      <c r="O276">
        <v>1.55556345E-2</v>
      </c>
      <c r="P276">
        <v>1.4760793899999999E-2</v>
      </c>
      <c r="Q276">
        <v>1.39367135E-2</v>
      </c>
      <c r="R276">
        <v>1.30817498E-2</v>
      </c>
      <c r="S276">
        <v>1.21941333E-2</v>
      </c>
      <c r="T276">
        <v>1.2809436299999999E-2</v>
      </c>
      <c r="U276">
        <v>1.34286018E-2</v>
      </c>
      <c r="V276">
        <v>1.4051666000000001E-2</v>
      </c>
      <c r="W276">
        <v>1.65031504E-2</v>
      </c>
      <c r="X276">
        <v>1.87959919E-2</v>
      </c>
      <c r="Y276">
        <v>1.80158661E-2</v>
      </c>
      <c r="Z276">
        <v>1.7271392999999999E-2</v>
      </c>
      <c r="AA276">
        <v>1.65601828E-2</v>
      </c>
      <c r="AB276">
        <v>1.6080183800000002E-2</v>
      </c>
      <c r="AC276">
        <v>1.5621461099999999E-2</v>
      </c>
      <c r="AD276">
        <v>1.64013613E-2</v>
      </c>
      <c r="AE276">
        <v>1.7169648199999998E-2</v>
      </c>
      <c r="AF276">
        <v>1.7926579500000001E-2</v>
      </c>
      <c r="AG276">
        <v>1.85529857E-2</v>
      </c>
      <c r="AH276">
        <v>1.91642445E-2</v>
      </c>
      <c r="AI276">
        <v>1.9941932999999998E-2</v>
      </c>
      <c r="AJ276">
        <v>2.0697454000000001E-2</v>
      </c>
      <c r="AK276">
        <v>2.1431742E-2</v>
      </c>
      <c r="AL276">
        <v>2.19829551E-2</v>
      </c>
      <c r="AM276">
        <v>2.2519053899999999E-2</v>
      </c>
      <c r="AN276">
        <v>2.25699899E-2</v>
      </c>
      <c r="AO276">
        <v>2.26201171E-2</v>
      </c>
      <c r="AP276">
        <v>2.2669454799999999E-2</v>
      </c>
      <c r="AQ276">
        <v>2.27180214E-2</v>
      </c>
      <c r="AR276">
        <v>2.2765834799999999E-2</v>
      </c>
      <c r="AS276">
        <v>2.2721309200000001E-2</v>
      </c>
      <c r="AT276">
        <v>2.2677217999999999E-2</v>
      </c>
      <c r="AU276">
        <v>2.2633555E-2</v>
      </c>
      <c r="AV276">
        <v>2.2590313800000001E-2</v>
      </c>
      <c r="AW276">
        <v>2.2547488399999999E-2</v>
      </c>
    </row>
    <row r="277" spans="2:49" x14ac:dyDescent="0.25">
      <c r="B277" t="s">
        <v>348</v>
      </c>
      <c r="C277">
        <v>0.92287069498865704</v>
      </c>
      <c r="D277">
        <v>0.92287069498865704</v>
      </c>
      <c r="E277">
        <v>0.92286466349999996</v>
      </c>
      <c r="F277">
        <v>0.89637206790000001</v>
      </c>
      <c r="G277">
        <v>0.87083380870000004</v>
      </c>
      <c r="H277">
        <v>0.84567181810000003</v>
      </c>
      <c r="I277">
        <v>0.82160237209999998</v>
      </c>
      <c r="J277">
        <v>0.79829080730000002</v>
      </c>
      <c r="K277">
        <v>0.77570055140000005</v>
      </c>
      <c r="L277">
        <v>0.75374042360000004</v>
      </c>
      <c r="M277">
        <v>0.73224533719999996</v>
      </c>
      <c r="N277">
        <v>0.71138168599999996</v>
      </c>
      <c r="O277">
        <v>0.70855073440000005</v>
      </c>
      <c r="P277">
        <v>0.70620256699999995</v>
      </c>
      <c r="Q277">
        <v>0.70423155569999996</v>
      </c>
      <c r="R277">
        <v>0.70232866270000005</v>
      </c>
      <c r="S277">
        <v>0.69999097450000003</v>
      </c>
      <c r="T277">
        <v>0.67393403470000002</v>
      </c>
      <c r="U277">
        <v>0.64727640230000005</v>
      </c>
      <c r="V277">
        <v>0.61411901020000004</v>
      </c>
      <c r="W277">
        <v>0.59532431689999998</v>
      </c>
      <c r="X277">
        <v>0.57164694370000002</v>
      </c>
      <c r="Y277">
        <v>0.54251828170000005</v>
      </c>
      <c r="Z277">
        <v>0.51429930950000002</v>
      </c>
      <c r="AA277">
        <v>0.48685645329999999</v>
      </c>
      <c r="AB277">
        <v>0.46152736309999998</v>
      </c>
      <c r="AC277">
        <v>0.43731187830000001</v>
      </c>
      <c r="AD277">
        <v>0.40342343079999998</v>
      </c>
      <c r="AE277">
        <v>0.37023368400000001</v>
      </c>
      <c r="AF277">
        <v>0.33773886079999998</v>
      </c>
      <c r="AG277">
        <v>0.32187795990000001</v>
      </c>
      <c r="AH277">
        <v>0.30664415410000001</v>
      </c>
      <c r="AI277">
        <v>0.28404082790000001</v>
      </c>
      <c r="AJ277">
        <v>0.26212050059999997</v>
      </c>
      <c r="AK277">
        <v>0.24085925389999999</v>
      </c>
      <c r="AL277">
        <v>0.27149676160000003</v>
      </c>
      <c r="AM277">
        <v>0.3012287843</v>
      </c>
      <c r="AN277">
        <v>0.27379194759999997</v>
      </c>
      <c r="AO277">
        <v>0.24705760239999999</v>
      </c>
      <c r="AP277">
        <v>0.2209567026</v>
      </c>
      <c r="AQ277">
        <v>0.1954470405</v>
      </c>
      <c r="AR277">
        <v>0.17049865880000001</v>
      </c>
      <c r="AS277">
        <v>0.18055949860000001</v>
      </c>
      <c r="AT277">
        <v>0.19035237839999999</v>
      </c>
      <c r="AU277">
        <v>0.19989868</v>
      </c>
      <c r="AV277">
        <v>0.2091983207</v>
      </c>
      <c r="AW277">
        <v>0.21823874879999999</v>
      </c>
    </row>
    <row r="278" spans="2:49" x14ac:dyDescent="0.25">
      <c r="B278" t="s">
        <v>349</v>
      </c>
      <c r="C278">
        <v>4.1245617653124303E-2</v>
      </c>
      <c r="D278">
        <v>4.1245617653124303E-2</v>
      </c>
      <c r="E278">
        <v>4.1248844399999998E-2</v>
      </c>
      <c r="F278">
        <v>6.5665715799999996E-2</v>
      </c>
      <c r="G278">
        <v>8.8356858299999896E-2</v>
      </c>
      <c r="H278">
        <v>0.109504819</v>
      </c>
      <c r="I278">
        <v>0.1283385719</v>
      </c>
      <c r="J278">
        <v>0.14473887520000001</v>
      </c>
      <c r="K278">
        <v>0.15828431500000001</v>
      </c>
      <c r="L278">
        <v>0.16846371439999999</v>
      </c>
      <c r="M278">
        <v>0.1746436905</v>
      </c>
      <c r="N278">
        <v>0.17575317779999999</v>
      </c>
      <c r="O278">
        <v>0.17772473180000001</v>
      </c>
      <c r="P278">
        <v>0.17940091890000001</v>
      </c>
      <c r="Q278">
        <v>0.18084516389999999</v>
      </c>
      <c r="R278">
        <v>0.18224582919999999</v>
      </c>
      <c r="S278">
        <v>0.18391108549999999</v>
      </c>
      <c r="T278">
        <v>0.18866003919999999</v>
      </c>
      <c r="U278">
        <v>0.19352243669999999</v>
      </c>
      <c r="V278">
        <v>0.20345542650000001</v>
      </c>
      <c r="W278">
        <v>0.20497607430000001</v>
      </c>
      <c r="X278">
        <v>0.2114900472</v>
      </c>
      <c r="Y278">
        <v>0.21373441330000001</v>
      </c>
      <c r="Z278">
        <v>0.21597227690000001</v>
      </c>
      <c r="AA278">
        <v>0.21831555499999999</v>
      </c>
      <c r="AB278">
        <v>0.222945012</v>
      </c>
      <c r="AC278">
        <v>0.22777110950000001</v>
      </c>
      <c r="AD278">
        <v>0.24074219490000001</v>
      </c>
      <c r="AE278">
        <v>0.2534877861</v>
      </c>
      <c r="AF278">
        <v>0.26597395909999999</v>
      </c>
      <c r="AG278">
        <v>0.26791936830000002</v>
      </c>
      <c r="AH278">
        <v>0.26994840650000002</v>
      </c>
      <c r="AI278">
        <v>0.2724846132</v>
      </c>
      <c r="AJ278">
        <v>0.27494021899999999</v>
      </c>
      <c r="AK278">
        <v>0.2773408544</v>
      </c>
      <c r="AL278">
        <v>0.24952139440000001</v>
      </c>
      <c r="AM278">
        <v>0.2225951222</v>
      </c>
      <c r="AN278">
        <v>0.23896263609999999</v>
      </c>
      <c r="AO278">
        <v>0.25490506410000002</v>
      </c>
      <c r="AP278">
        <v>0.27044992220000003</v>
      </c>
      <c r="AQ278">
        <v>0.28551366099999997</v>
      </c>
      <c r="AR278">
        <v>0.30017398670000001</v>
      </c>
      <c r="AS278">
        <v>0.2856748388</v>
      </c>
      <c r="AT278">
        <v>0.27162978230000001</v>
      </c>
      <c r="AU278">
        <v>0.25810616749999998</v>
      </c>
      <c r="AV278">
        <v>0.2450114897</v>
      </c>
      <c r="AW278">
        <v>0.23240833299999999</v>
      </c>
    </row>
    <row r="279" spans="2:49" x14ac:dyDescent="0.25">
      <c r="B279" t="s">
        <v>350</v>
      </c>
      <c r="C279">
        <v>5.1557022066405396E-3</v>
      </c>
      <c r="D279">
        <v>5.1557022066405396E-3</v>
      </c>
      <c r="E279">
        <v>5.1561055499999998E-3</v>
      </c>
      <c r="F279">
        <v>4.83848326E-3</v>
      </c>
      <c r="G279">
        <v>4.5338619499999998E-3</v>
      </c>
      <c r="H279">
        <v>4.2605745200000001E-3</v>
      </c>
      <c r="I279">
        <v>3.9939173599999999E-3</v>
      </c>
      <c r="J279">
        <v>3.7438139799999999E-3</v>
      </c>
      <c r="K279">
        <v>3.5094971999999999E-3</v>
      </c>
      <c r="L279">
        <v>3.2908520500000002E-3</v>
      </c>
      <c r="M279">
        <v>3.08820286E-3</v>
      </c>
      <c r="N279">
        <v>2.8979045700000001E-3</v>
      </c>
      <c r="O279">
        <v>4.3879335199999998E-3</v>
      </c>
      <c r="P279">
        <v>5.8650005200000001E-3</v>
      </c>
      <c r="Q279">
        <v>7.3248712999999998E-3</v>
      </c>
      <c r="R279">
        <v>8.7715811799999998E-3</v>
      </c>
      <c r="S279">
        <v>1.0221671599999999E-2</v>
      </c>
      <c r="T279">
        <v>1.5953947100000001E-2</v>
      </c>
      <c r="U279">
        <v>2.1816657600000001E-2</v>
      </c>
      <c r="V279">
        <v>2.81022587E-2</v>
      </c>
      <c r="W279">
        <v>2.81566447E-2</v>
      </c>
      <c r="X279">
        <v>2.8741521499999999E-2</v>
      </c>
      <c r="Y279">
        <v>3.7469380699999999E-2</v>
      </c>
      <c r="Z279">
        <v>4.5927090900000002E-2</v>
      </c>
      <c r="AA279">
        <v>5.4115593500000003E-2</v>
      </c>
      <c r="AB279">
        <v>6.1110528400000003E-2</v>
      </c>
      <c r="AC279">
        <v>6.7686784599999994E-2</v>
      </c>
      <c r="AD279">
        <v>7.1438814399999995E-2</v>
      </c>
      <c r="AE279">
        <v>7.5105209300000003E-2</v>
      </c>
      <c r="AF279">
        <v>7.8693213200000001E-2</v>
      </c>
      <c r="AG279">
        <v>8.0322127800000004E-2</v>
      </c>
      <c r="AH279">
        <v>8.1860744599999896E-2</v>
      </c>
      <c r="AI279">
        <v>8.9477400600000007E-2</v>
      </c>
      <c r="AJ279">
        <v>9.6862346500000002E-2</v>
      </c>
      <c r="AK279">
        <v>0.10402016529999999</v>
      </c>
      <c r="AL279">
        <v>0.1046837051</v>
      </c>
      <c r="AM279">
        <v>0.1053117821</v>
      </c>
      <c r="AN279">
        <v>0.1072916511</v>
      </c>
      <c r="AO279">
        <v>0.1092217586</v>
      </c>
      <c r="AP279">
        <v>0.1111108022</v>
      </c>
      <c r="AQ279">
        <v>0.1129865553</v>
      </c>
      <c r="AR279">
        <v>0.1148373941</v>
      </c>
      <c r="AS279">
        <v>0.1209648322</v>
      </c>
      <c r="AT279">
        <v>0.1268994826</v>
      </c>
      <c r="AU279">
        <v>0.13262146320000001</v>
      </c>
      <c r="AV279">
        <v>0.1381570805</v>
      </c>
      <c r="AW279">
        <v>0.14349458070000001</v>
      </c>
    </row>
    <row r="280" spans="2:49" x14ac:dyDescent="0.25">
      <c r="B280" t="s">
        <v>351</v>
      </c>
      <c r="C280">
        <v>1.5260878531656001E-2</v>
      </c>
      <c r="D280">
        <v>1.5260878531656001E-2</v>
      </c>
      <c r="E280">
        <v>1.52620724E-2</v>
      </c>
      <c r="F280">
        <v>1.47998162E-2</v>
      </c>
      <c r="G280">
        <v>1.4330810100000001E-2</v>
      </c>
      <c r="H280">
        <v>1.39163706E-2</v>
      </c>
      <c r="I280">
        <v>1.34806944E-2</v>
      </c>
      <c r="J280">
        <v>1.30581851E-2</v>
      </c>
      <c r="K280">
        <v>1.2649367999999999E-2</v>
      </c>
      <c r="L280">
        <v>1.22570979E-2</v>
      </c>
      <c r="M280">
        <v>1.18861303E-2</v>
      </c>
      <c r="N280">
        <v>1.15258805E-2</v>
      </c>
      <c r="O280">
        <v>1.64136005E-2</v>
      </c>
      <c r="P280">
        <v>2.12555327E-2</v>
      </c>
      <c r="Q280">
        <v>2.6038598699999999E-2</v>
      </c>
      <c r="R280">
        <v>3.0778185699999999E-2</v>
      </c>
      <c r="S280">
        <v>3.5531917900000001E-2</v>
      </c>
      <c r="T280">
        <v>3.6989343000000001E-2</v>
      </c>
      <c r="U280">
        <v>3.84809417E-2</v>
      </c>
      <c r="V280">
        <v>4.01492736E-2</v>
      </c>
      <c r="W280">
        <v>3.2528979700000002E-2</v>
      </c>
      <c r="X280">
        <v>2.6562350500000002E-2</v>
      </c>
      <c r="Y280">
        <v>2.8753781700000001E-2</v>
      </c>
      <c r="Z280">
        <v>3.08749761E-2</v>
      </c>
      <c r="AA280">
        <v>3.2932856900000002E-2</v>
      </c>
      <c r="AB280">
        <v>3.5712922299999998E-2</v>
      </c>
      <c r="AC280">
        <v>3.8345315800000002E-2</v>
      </c>
      <c r="AD280">
        <v>3.9748104300000003E-2</v>
      </c>
      <c r="AE280">
        <v>4.1120295100000002E-2</v>
      </c>
      <c r="AF280">
        <v>4.2463150900000003E-2</v>
      </c>
      <c r="AG280">
        <v>4.2119223999999997E-2</v>
      </c>
      <c r="AH280">
        <v>4.1790937700000003E-2</v>
      </c>
      <c r="AI280">
        <v>4.0792355699999998E-2</v>
      </c>
      <c r="AJ280">
        <v>3.9825470600000003E-2</v>
      </c>
      <c r="AK280">
        <v>3.8888454000000003E-2</v>
      </c>
      <c r="AL280">
        <v>3.4701992199999997E-2</v>
      </c>
      <c r="AM280">
        <v>3.0640208700000001E-2</v>
      </c>
      <c r="AN280">
        <v>3.1493407500000001E-2</v>
      </c>
      <c r="AO280">
        <v>3.2323919700000002E-2</v>
      </c>
      <c r="AP280">
        <v>3.3134303499999997E-2</v>
      </c>
      <c r="AQ280">
        <v>3.3922138999999997E-2</v>
      </c>
      <c r="AR280">
        <v>3.4690153699999997E-2</v>
      </c>
      <c r="AS280">
        <v>3.2426588499999999E-2</v>
      </c>
      <c r="AT280">
        <v>3.0229944500000001E-2</v>
      </c>
      <c r="AU280">
        <v>2.8102233399999999E-2</v>
      </c>
      <c r="AV280">
        <v>2.6038352000000001E-2</v>
      </c>
      <c r="AW280">
        <v>2.4041186400000001E-2</v>
      </c>
    </row>
    <row r="281" spans="2:49" x14ac:dyDescent="0.25">
      <c r="B281" t="s">
        <v>352</v>
      </c>
      <c r="C281">
        <v>5.1557022066405396E-3</v>
      </c>
      <c r="D281">
        <v>5.1557022066405396E-3</v>
      </c>
      <c r="E281">
        <v>5.1561055499999998E-3</v>
      </c>
      <c r="F281">
        <v>5.1450418600000004E-3</v>
      </c>
      <c r="G281">
        <v>5.1265787500000002E-3</v>
      </c>
      <c r="H281">
        <v>5.1227973499999996E-3</v>
      </c>
      <c r="I281">
        <v>5.1064343900000001E-3</v>
      </c>
      <c r="J281">
        <v>5.08993942E-3</v>
      </c>
      <c r="K281">
        <v>5.0736782299999998E-3</v>
      </c>
      <c r="L281">
        <v>5.0590159599999997E-3</v>
      </c>
      <c r="M281">
        <v>5.04827708E-3</v>
      </c>
      <c r="N281">
        <v>5.0373382199999997E-3</v>
      </c>
      <c r="O281">
        <v>5.8324325E-3</v>
      </c>
      <c r="P281">
        <v>6.6149606900000003E-3</v>
      </c>
      <c r="Q281">
        <v>7.3840650100000004E-3</v>
      </c>
      <c r="R281">
        <v>8.1456152199999906E-3</v>
      </c>
      <c r="S281">
        <v>8.9142512699999996E-3</v>
      </c>
      <c r="T281">
        <v>1.0612959999999999E-2</v>
      </c>
      <c r="U281">
        <v>1.23505027E-2</v>
      </c>
      <c r="V281">
        <v>1.46321852E-2</v>
      </c>
      <c r="W281">
        <v>1.7765262300000001E-2</v>
      </c>
      <c r="X281">
        <v>2.1066855999999998E-2</v>
      </c>
      <c r="Y281">
        <v>2.34584701E-2</v>
      </c>
      <c r="Z281">
        <v>2.5781897200000001E-2</v>
      </c>
      <c r="AA281">
        <v>2.80454368E-2</v>
      </c>
      <c r="AB281">
        <v>3.04108885E-2</v>
      </c>
      <c r="AC281">
        <v>3.2671696299999997E-2</v>
      </c>
      <c r="AD281">
        <v>3.6833852899999998E-2</v>
      </c>
      <c r="AE281">
        <v>4.0911357500000002E-2</v>
      </c>
      <c r="AF281">
        <v>4.4904419199999997E-2</v>
      </c>
      <c r="AG281">
        <v>4.7401785600000003E-2</v>
      </c>
      <c r="AH281">
        <v>4.9793881599999999E-2</v>
      </c>
      <c r="AI281">
        <v>5.1759844899999997E-2</v>
      </c>
      <c r="AJ281">
        <v>5.36663135E-2</v>
      </c>
      <c r="AK281">
        <v>5.5515070200000002E-2</v>
      </c>
      <c r="AL281">
        <v>5.3135627999999997E-2</v>
      </c>
      <c r="AM281">
        <v>5.0825274099999998E-2</v>
      </c>
      <c r="AN281">
        <v>5.2592295599999998E-2</v>
      </c>
      <c r="AO281">
        <v>5.43140254E-2</v>
      </c>
      <c r="AP281">
        <v>5.5995275900000002E-2</v>
      </c>
      <c r="AQ281">
        <v>5.76402357E-2</v>
      </c>
      <c r="AR281">
        <v>5.9249971999999998E-2</v>
      </c>
      <c r="AS281">
        <v>5.8290177800000002E-2</v>
      </c>
      <c r="AT281">
        <v>5.7356154499999999E-2</v>
      </c>
      <c r="AU281">
        <v>5.6445427800000003E-2</v>
      </c>
      <c r="AV281">
        <v>5.5558765199999999E-2</v>
      </c>
      <c r="AW281">
        <v>5.4696361800000003E-2</v>
      </c>
    </row>
    <row r="282" spans="2:49" x14ac:dyDescent="0.25">
      <c r="B282" t="s">
        <v>353</v>
      </c>
      <c r="C282">
        <v>1.0311404413280999E-2</v>
      </c>
      <c r="D282">
        <v>1.0311404413280999E-2</v>
      </c>
      <c r="E282">
        <v>1.03122111E-2</v>
      </c>
      <c r="F282">
        <v>1.31788735E-2</v>
      </c>
      <c r="G282">
        <v>1.6818079100000001E-2</v>
      </c>
      <c r="H282">
        <v>2.152362E-2</v>
      </c>
      <c r="I282">
        <v>2.7478010000000001E-2</v>
      </c>
      <c r="J282">
        <v>3.5078378899999998E-2</v>
      </c>
      <c r="K282">
        <v>4.47825897E-2</v>
      </c>
      <c r="L282">
        <v>5.7188896199999999E-2</v>
      </c>
      <c r="M282">
        <v>7.3088362000000004E-2</v>
      </c>
      <c r="N282">
        <v>9.3404013600000002E-2</v>
      </c>
      <c r="O282">
        <v>8.7090565999999994E-2</v>
      </c>
      <c r="P282">
        <v>8.0661013300000001E-2</v>
      </c>
      <c r="Q282">
        <v>7.4175729600000004E-2</v>
      </c>
      <c r="R282">
        <v>6.7730125799999999E-2</v>
      </c>
      <c r="S282">
        <v>6.14300994E-2</v>
      </c>
      <c r="T282">
        <v>7.3849676000000003E-2</v>
      </c>
      <c r="U282">
        <v>8.6553059000000002E-2</v>
      </c>
      <c r="V282">
        <v>9.9541846200000006E-2</v>
      </c>
      <c r="W282">
        <v>0.1212486827</v>
      </c>
      <c r="X282">
        <v>0.14049228120000001</v>
      </c>
      <c r="Y282">
        <v>0.1540656628</v>
      </c>
      <c r="Z282">
        <v>0.16714445080000001</v>
      </c>
      <c r="AA282">
        <v>0.17973410510000001</v>
      </c>
      <c r="AB282">
        <v>0.1882932859</v>
      </c>
      <c r="AC282">
        <v>0.19621321580000001</v>
      </c>
      <c r="AD282">
        <v>0.20781360330000001</v>
      </c>
      <c r="AE282">
        <v>0.21914166879999999</v>
      </c>
      <c r="AF282">
        <v>0.2302263974</v>
      </c>
      <c r="AG282">
        <v>0.24035953409999999</v>
      </c>
      <c r="AH282">
        <v>0.24996187519999999</v>
      </c>
      <c r="AI282">
        <v>0.26144495559999997</v>
      </c>
      <c r="AJ282">
        <v>0.27258514989999999</v>
      </c>
      <c r="AK282">
        <v>0.28337620299999999</v>
      </c>
      <c r="AL282">
        <v>0.2864605187</v>
      </c>
      <c r="AM282">
        <v>0.28939882909999998</v>
      </c>
      <c r="AN282">
        <v>0.29586806240000002</v>
      </c>
      <c r="AO282">
        <v>0.30217762999999997</v>
      </c>
      <c r="AP282">
        <v>0.30835299389999998</v>
      </c>
      <c r="AQ282">
        <v>0.31449036879999998</v>
      </c>
      <c r="AR282">
        <v>0.32054983479999999</v>
      </c>
      <c r="AS282">
        <v>0.32208406420000002</v>
      </c>
      <c r="AT282">
        <v>0.3235322578</v>
      </c>
      <c r="AU282">
        <v>0.3248260281</v>
      </c>
      <c r="AV282">
        <v>0.326035992</v>
      </c>
      <c r="AW282">
        <v>0.32712078929999999</v>
      </c>
    </row>
    <row r="283" spans="2:49" x14ac:dyDescent="0.25">
      <c r="B283" t="s">
        <v>354</v>
      </c>
      <c r="C283">
        <v>0.99132434052165697</v>
      </c>
      <c r="D283">
        <v>0.99132434052165697</v>
      </c>
      <c r="E283">
        <v>0.99172610110000003</v>
      </c>
      <c r="F283">
        <v>0.98765496870000002</v>
      </c>
      <c r="G283">
        <v>0.98360054860000001</v>
      </c>
      <c r="H283">
        <v>0.9795627724</v>
      </c>
      <c r="I283">
        <v>0.97554157159999999</v>
      </c>
      <c r="J283">
        <v>0.97153687820000001</v>
      </c>
      <c r="K283">
        <v>0.96754862450000001</v>
      </c>
      <c r="L283">
        <v>0.96357674289999995</v>
      </c>
      <c r="M283">
        <v>0.95962116630000005</v>
      </c>
      <c r="N283">
        <v>0.95568182779999999</v>
      </c>
      <c r="O283">
        <v>0.95496875280000004</v>
      </c>
      <c r="P283">
        <v>0.95421036339999998</v>
      </c>
      <c r="Q283">
        <v>0.95340219859999997</v>
      </c>
      <c r="R283">
        <v>0.95253919170000001</v>
      </c>
      <c r="S283">
        <v>0.95161556420000004</v>
      </c>
      <c r="T283">
        <v>0.94906409849999995</v>
      </c>
      <c r="U283">
        <v>0.9465953882</v>
      </c>
      <c r="V283">
        <v>0.93768761050000005</v>
      </c>
      <c r="W283">
        <v>0.92924672129999997</v>
      </c>
      <c r="X283">
        <v>0.92029612780000003</v>
      </c>
      <c r="Y283">
        <v>0.90972838060000005</v>
      </c>
      <c r="Z283">
        <v>0.89853742390000002</v>
      </c>
      <c r="AA283">
        <v>0.88667663990000001</v>
      </c>
      <c r="AB283">
        <v>0.8741107535</v>
      </c>
      <c r="AC283">
        <v>0.86067615340000003</v>
      </c>
      <c r="AD283">
        <v>0.84384192469999997</v>
      </c>
      <c r="AE283">
        <v>0.82584308900000003</v>
      </c>
      <c r="AF283">
        <v>0.80652968859999996</v>
      </c>
      <c r="AG283">
        <v>0.78610410809999998</v>
      </c>
      <c r="AH283">
        <v>0.76414178489999995</v>
      </c>
      <c r="AI283">
        <v>0.74408438290000001</v>
      </c>
      <c r="AJ283">
        <v>0.72261040730000003</v>
      </c>
      <c r="AK283">
        <v>0.6994330728</v>
      </c>
      <c r="AL283">
        <v>0.67492606929999999</v>
      </c>
      <c r="AM283">
        <v>0.64831805099999995</v>
      </c>
      <c r="AN283">
        <v>0.62562562529999999</v>
      </c>
      <c r="AO283">
        <v>0.60145669840000004</v>
      </c>
      <c r="AP283">
        <v>0.57540430600000003</v>
      </c>
      <c r="AQ283">
        <v>0.54753559839999999</v>
      </c>
      <c r="AR283">
        <v>0.51689857110000004</v>
      </c>
      <c r="AS283">
        <v>0.50119909689999997</v>
      </c>
      <c r="AT283">
        <v>0.48535307659999999</v>
      </c>
      <c r="AU283">
        <v>0.46907095069999999</v>
      </c>
      <c r="AV283">
        <v>0.45261410229999999</v>
      </c>
      <c r="AW283">
        <v>0.43566384400000002</v>
      </c>
    </row>
    <row r="284" spans="2:49" x14ac:dyDescent="0.25">
      <c r="B284" t="s">
        <v>355</v>
      </c>
      <c r="C284">
        <v>0.91950930808135101</v>
      </c>
      <c r="D284">
        <v>0.91950930808135101</v>
      </c>
      <c r="E284">
        <v>0.91950930809999998</v>
      </c>
      <c r="F284">
        <v>0.8919190991</v>
      </c>
      <c r="G284">
        <v>0.86515674440000001</v>
      </c>
      <c r="H284">
        <v>0.83919740369999996</v>
      </c>
      <c r="I284">
        <v>0.81401698249999999</v>
      </c>
      <c r="J284">
        <v>0.78959210879999997</v>
      </c>
      <c r="K284">
        <v>0.7659001124</v>
      </c>
      <c r="L284">
        <v>0.74291900280000001</v>
      </c>
      <c r="M284">
        <v>0.72062744980000004</v>
      </c>
      <c r="N284">
        <v>0.69900476280000001</v>
      </c>
      <c r="O284">
        <v>0.69597279410000001</v>
      </c>
      <c r="P284">
        <v>0.69294627289999999</v>
      </c>
      <c r="Q284">
        <v>0.68992518449999996</v>
      </c>
      <c r="R284">
        <v>0.68690951440000003</v>
      </c>
      <c r="S284">
        <v>0.68389924790000001</v>
      </c>
      <c r="T284">
        <v>0.65623505380000002</v>
      </c>
      <c r="U284">
        <v>0.62790966989999997</v>
      </c>
      <c r="V284">
        <v>0.59283361050000005</v>
      </c>
      <c r="W284">
        <v>0.57344033910000003</v>
      </c>
      <c r="X284">
        <v>0.54885388079999997</v>
      </c>
      <c r="Y284">
        <v>0.51829840220000001</v>
      </c>
      <c r="Z284">
        <v>0.48847240219999999</v>
      </c>
      <c r="AA284">
        <v>0.45929305539999998</v>
      </c>
      <c r="AB284">
        <v>0.4317922421</v>
      </c>
      <c r="AC284">
        <v>0.405280315</v>
      </c>
      <c r="AD284">
        <v>0.36872985829999999</v>
      </c>
      <c r="AE284">
        <v>0.33278654260000001</v>
      </c>
      <c r="AF284">
        <v>0.29748310210000001</v>
      </c>
      <c r="AG284">
        <v>0.27969464710000003</v>
      </c>
      <c r="AH284">
        <v>0.26249697150000001</v>
      </c>
      <c r="AI284">
        <v>0.23752223049999999</v>
      </c>
      <c r="AJ284">
        <v>0.21326662230000001</v>
      </c>
      <c r="AK284">
        <v>0.18968341859999999</v>
      </c>
      <c r="AL284">
        <v>0.22082637059999999</v>
      </c>
      <c r="AM284">
        <v>0.25113017900000001</v>
      </c>
      <c r="AN284">
        <v>0.2209139326</v>
      </c>
      <c r="AO284">
        <v>0.1913834891</v>
      </c>
      <c r="AP284">
        <v>0.1625140867</v>
      </c>
      <c r="AQ284">
        <v>0.1343220997</v>
      </c>
      <c r="AR284">
        <v>0.10673992710000001</v>
      </c>
      <c r="AS284">
        <v>0.11610093790000001</v>
      </c>
      <c r="AT284">
        <v>0.12520498369999999</v>
      </c>
      <c r="AU284">
        <v>0.1340278017</v>
      </c>
      <c r="AV284">
        <v>0.14260425039999999</v>
      </c>
      <c r="AW284">
        <v>0.1509142175</v>
      </c>
    </row>
    <row r="285" spans="2:49" x14ac:dyDescent="0.25">
      <c r="B285" t="s">
        <v>476</v>
      </c>
      <c r="C285">
        <v>383714635.27038902</v>
      </c>
      <c r="D285">
        <v>389875297.85567099</v>
      </c>
      <c r="E285">
        <v>396134871.89999998</v>
      </c>
      <c r="F285">
        <v>414122551.69999999</v>
      </c>
      <c r="G285">
        <v>424483035.89999998</v>
      </c>
      <c r="H285">
        <v>438999248.10000002</v>
      </c>
      <c r="I285">
        <v>452154680.89999998</v>
      </c>
      <c r="J285">
        <v>470991887.39999998</v>
      </c>
      <c r="K285">
        <v>492571018.30000001</v>
      </c>
      <c r="L285">
        <v>517134072.5</v>
      </c>
      <c r="M285">
        <v>546625152.89999998</v>
      </c>
      <c r="N285">
        <v>573769245.20000005</v>
      </c>
      <c r="O285">
        <v>577393490</v>
      </c>
      <c r="P285">
        <v>576432474.39999998</v>
      </c>
      <c r="Q285">
        <v>573772555.60000002</v>
      </c>
      <c r="R285">
        <v>572991206.10000002</v>
      </c>
      <c r="S285">
        <v>578670093.10000002</v>
      </c>
      <c r="T285">
        <v>581677424.89999998</v>
      </c>
      <c r="U285">
        <v>583051260.70000005</v>
      </c>
      <c r="V285">
        <v>584326130.29999995</v>
      </c>
      <c r="W285">
        <v>583989832.70000005</v>
      </c>
      <c r="X285">
        <v>582097614.79999995</v>
      </c>
      <c r="Y285">
        <v>578546727.10000002</v>
      </c>
      <c r="Z285">
        <v>573914253.39999998</v>
      </c>
      <c r="AA285">
        <v>568680772.60000002</v>
      </c>
      <c r="AB285">
        <v>562548769.79999995</v>
      </c>
      <c r="AC285">
        <v>555744998.89999998</v>
      </c>
      <c r="AD285">
        <v>552155072.5</v>
      </c>
      <c r="AE285">
        <v>548933815.89999998</v>
      </c>
      <c r="AF285">
        <v>546053088.60000002</v>
      </c>
      <c r="AG285">
        <v>543478669</v>
      </c>
      <c r="AH285">
        <v>541133837.60000002</v>
      </c>
      <c r="AI285">
        <v>538945497.29999995</v>
      </c>
      <c r="AJ285">
        <v>537248228.5</v>
      </c>
      <c r="AK285">
        <v>535799535.19999999</v>
      </c>
      <c r="AL285">
        <v>534532437.39999998</v>
      </c>
      <c r="AM285">
        <v>533414669.69999999</v>
      </c>
      <c r="AN285">
        <v>532483660.30000001</v>
      </c>
      <c r="AO285">
        <v>531722961.10000002</v>
      </c>
      <c r="AP285">
        <v>531067732.89999998</v>
      </c>
      <c r="AQ285">
        <v>530559232.69999999</v>
      </c>
      <c r="AR285">
        <v>528981350.60000002</v>
      </c>
      <c r="AS285">
        <v>527795593.30000001</v>
      </c>
      <c r="AT285">
        <v>526805503.60000002</v>
      </c>
      <c r="AU285">
        <v>525928713.39999998</v>
      </c>
      <c r="AV285">
        <v>525188901.80000001</v>
      </c>
      <c r="AW285">
        <v>523893996.19999999</v>
      </c>
    </row>
    <row r="286" spans="2:49" x14ac:dyDescent="0.25">
      <c r="B286" t="s">
        <v>477</v>
      </c>
      <c r="C286">
        <v>13020.598862561899</v>
      </c>
      <c r="D286">
        <v>13229.6487889324</v>
      </c>
      <c r="E286">
        <v>13442.05508</v>
      </c>
      <c r="F286">
        <v>13725.29794</v>
      </c>
      <c r="G286">
        <v>14101.09937</v>
      </c>
      <c r="H286">
        <v>13577.16942</v>
      </c>
      <c r="I286">
        <v>13056.794599999999</v>
      </c>
      <c r="J286">
        <v>13319.90432</v>
      </c>
      <c r="K286">
        <v>13518.072700000001</v>
      </c>
      <c r="L286">
        <v>13372.97279</v>
      </c>
      <c r="M286">
        <v>13524.236269999999</v>
      </c>
      <c r="N286">
        <v>13889.918030000001</v>
      </c>
      <c r="O286">
        <v>14084.75899</v>
      </c>
      <c r="P286">
        <v>14301.911630000001</v>
      </c>
      <c r="Q286">
        <v>14637.991410000001</v>
      </c>
      <c r="R286">
        <v>14981.466350000001</v>
      </c>
      <c r="S286">
        <v>14654.316650000001</v>
      </c>
      <c r="T286">
        <v>14142.151</v>
      </c>
      <c r="U286">
        <v>13932.44472</v>
      </c>
      <c r="V286">
        <v>13834.190490000001</v>
      </c>
      <c r="W286">
        <v>13669.95333</v>
      </c>
      <c r="X286">
        <v>13416.55767</v>
      </c>
      <c r="Y286">
        <v>13256.42389</v>
      </c>
      <c r="Z286">
        <v>13092.70781</v>
      </c>
      <c r="AA286">
        <v>12930.92426</v>
      </c>
      <c r="AB286">
        <v>12754.47056</v>
      </c>
      <c r="AC286">
        <v>12544.47624</v>
      </c>
      <c r="AD286">
        <v>12071.322260000001</v>
      </c>
      <c r="AE286">
        <v>11626.294669999999</v>
      </c>
      <c r="AF286">
        <v>11206.16087</v>
      </c>
      <c r="AG286">
        <v>10804.199360000001</v>
      </c>
      <c r="AH286">
        <v>10423.20336</v>
      </c>
      <c r="AI286">
        <v>10079.17426</v>
      </c>
      <c r="AJ286">
        <v>9762.1967810000006</v>
      </c>
      <c r="AK286">
        <v>9457.9507840000006</v>
      </c>
      <c r="AL286">
        <v>9167.38629699999</v>
      </c>
      <c r="AM286">
        <v>8892.3732770000006</v>
      </c>
      <c r="AN286">
        <v>8641.9611110000005</v>
      </c>
      <c r="AO286">
        <v>8414.5740729999998</v>
      </c>
      <c r="AP286">
        <v>8188.6159699999998</v>
      </c>
      <c r="AQ286">
        <v>7988.3127400000003</v>
      </c>
      <c r="AR286">
        <v>7793.7378060000001</v>
      </c>
      <c r="AS286">
        <v>7583.8453099999997</v>
      </c>
      <c r="AT286">
        <v>7384.6109939999997</v>
      </c>
      <c r="AU286">
        <v>7177.568972</v>
      </c>
      <c r="AV286">
        <v>6988.5290720000003</v>
      </c>
      <c r="AW286">
        <v>6789.6752710000001</v>
      </c>
    </row>
    <row r="287" spans="2:49" x14ac:dyDescent="0.25">
      <c r="B287" t="s">
        <v>478</v>
      </c>
      <c r="C287">
        <v>158336.21117690401</v>
      </c>
      <c r="D287">
        <v>160878.35026264799</v>
      </c>
      <c r="E287">
        <v>163461.30420000001</v>
      </c>
      <c r="F287">
        <v>173142.19940000001</v>
      </c>
      <c r="G287">
        <v>180760.5914</v>
      </c>
      <c r="H287">
        <v>188161.81709999999</v>
      </c>
      <c r="I287">
        <v>195355.6911</v>
      </c>
      <c r="J287">
        <v>204960.76800000001</v>
      </c>
      <c r="K287">
        <v>219838.43520000001</v>
      </c>
      <c r="L287">
        <v>235229.31099999999</v>
      </c>
      <c r="M287">
        <v>251712.63449999999</v>
      </c>
      <c r="N287">
        <v>274171.43839999998</v>
      </c>
      <c r="O287">
        <v>274748.56439999997</v>
      </c>
      <c r="P287">
        <v>271037.65789999999</v>
      </c>
      <c r="Q287">
        <v>267501.01380000002</v>
      </c>
      <c r="R287">
        <v>267020.47970000003</v>
      </c>
      <c r="S287">
        <v>270480.81270000001</v>
      </c>
      <c r="T287">
        <v>274207.65850000002</v>
      </c>
      <c r="U287">
        <v>274376.98190000001</v>
      </c>
      <c r="V287">
        <v>274110.26390000002</v>
      </c>
      <c r="W287">
        <v>265686.0526</v>
      </c>
      <c r="X287">
        <v>255852.41889999999</v>
      </c>
      <c r="Y287">
        <v>255179.57930000001</v>
      </c>
      <c r="Z287">
        <v>252900.2323</v>
      </c>
      <c r="AA287">
        <v>249676.39430000001</v>
      </c>
      <c r="AB287">
        <v>245481.0895</v>
      </c>
      <c r="AC287">
        <v>240732.96479999999</v>
      </c>
      <c r="AD287">
        <v>237105.91709999999</v>
      </c>
      <c r="AE287">
        <v>234142.0471</v>
      </c>
      <c r="AF287">
        <v>231539.06890000001</v>
      </c>
      <c r="AG287">
        <v>229600.07320000001</v>
      </c>
      <c r="AH287">
        <v>227942.9584</v>
      </c>
      <c r="AI287">
        <v>226040.50959999999</v>
      </c>
      <c r="AJ287">
        <v>224729.9552</v>
      </c>
      <c r="AK287">
        <v>223766.9105</v>
      </c>
      <c r="AL287">
        <v>222929.87160000001</v>
      </c>
      <c r="AM287">
        <v>222144.6893</v>
      </c>
      <c r="AN287">
        <v>221734.0275</v>
      </c>
      <c r="AO287">
        <v>221219.23540000001</v>
      </c>
      <c r="AP287">
        <v>220804.77129999999</v>
      </c>
      <c r="AQ287">
        <v>220339.20329999999</v>
      </c>
      <c r="AR287">
        <v>218200.0827</v>
      </c>
      <c r="AS287">
        <v>217416.6017</v>
      </c>
      <c r="AT287">
        <v>216636.91880000001</v>
      </c>
      <c r="AU287">
        <v>215980.9014</v>
      </c>
      <c r="AV287">
        <v>215311.9816</v>
      </c>
      <c r="AW287">
        <v>215755.5797</v>
      </c>
    </row>
    <row r="288" spans="2:49" x14ac:dyDescent="0.25">
      <c r="B288" t="s">
        <v>479</v>
      </c>
      <c r="C288">
        <v>516755.579312385</v>
      </c>
      <c r="D288">
        <v>525052.257287574</v>
      </c>
      <c r="E288">
        <v>533482.14110000001</v>
      </c>
      <c r="F288">
        <v>549339.01309999998</v>
      </c>
      <c r="G288">
        <v>553773.31869999995</v>
      </c>
      <c r="H288">
        <v>564725.70849999995</v>
      </c>
      <c r="I288">
        <v>573198.96440000006</v>
      </c>
      <c r="J288">
        <v>588392.95420000004</v>
      </c>
      <c r="K288">
        <v>603288.08880000003</v>
      </c>
      <c r="L288">
        <v>621711.88509999996</v>
      </c>
      <c r="M288">
        <v>646056.07720000006</v>
      </c>
      <c r="N288">
        <v>670997.83319999999</v>
      </c>
      <c r="O288">
        <v>674174.17929999996</v>
      </c>
      <c r="P288">
        <v>673574.7193</v>
      </c>
      <c r="Q288">
        <v>670268.98010000004</v>
      </c>
      <c r="R288">
        <v>667526.47889999999</v>
      </c>
      <c r="S288">
        <v>671592.70319999999</v>
      </c>
      <c r="T288">
        <v>673334.02749999997</v>
      </c>
      <c r="U288">
        <v>675284.73719999997</v>
      </c>
      <c r="V288">
        <v>677414.27789999999</v>
      </c>
      <c r="W288">
        <v>683252.91379999998</v>
      </c>
      <c r="X288">
        <v>687799.76430000004</v>
      </c>
      <c r="Y288">
        <v>687588.3554</v>
      </c>
      <c r="Z288">
        <v>686876.69579999999</v>
      </c>
      <c r="AA288">
        <v>685878.47779999999</v>
      </c>
      <c r="AB288">
        <v>684139.88340000005</v>
      </c>
      <c r="AC288">
        <v>681675.93900000001</v>
      </c>
      <c r="AD288">
        <v>681176.80310000002</v>
      </c>
      <c r="AE288">
        <v>680723.18160000001</v>
      </c>
      <c r="AF288">
        <v>680503.47100000002</v>
      </c>
      <c r="AG288">
        <v>680239.91040000005</v>
      </c>
      <c r="AH288">
        <v>680103.52969999996</v>
      </c>
      <c r="AI288">
        <v>680379.11170000001</v>
      </c>
      <c r="AJ288">
        <v>680967.35820000002</v>
      </c>
      <c r="AK288">
        <v>681673.83400000003</v>
      </c>
      <c r="AL288">
        <v>682562.02280000004</v>
      </c>
      <c r="AM288">
        <v>683638.62879999995</v>
      </c>
      <c r="AN288">
        <v>684722.30839999998</v>
      </c>
      <c r="AO288">
        <v>686149.70629999996</v>
      </c>
      <c r="AP288">
        <v>687664.66680000001</v>
      </c>
      <c r="AQ288">
        <v>689449.15399999998</v>
      </c>
      <c r="AR288">
        <v>690761.49679999996</v>
      </c>
      <c r="AS288">
        <v>691674.60270000005</v>
      </c>
      <c r="AT288">
        <v>692892.76619999995</v>
      </c>
      <c r="AU288">
        <v>694193.95479999995</v>
      </c>
      <c r="AV288">
        <v>695721.19279999996</v>
      </c>
      <c r="AW288">
        <v>695494.74439999997</v>
      </c>
    </row>
    <row r="289" spans="2:49" x14ac:dyDescent="0.25">
      <c r="B289" t="s">
        <v>480</v>
      </c>
      <c r="C289">
        <v>82711.5521017555</v>
      </c>
      <c r="D289">
        <v>84039.512824558697</v>
      </c>
      <c r="E289">
        <v>85388.792730000001</v>
      </c>
      <c r="F289">
        <v>92860.319959999906</v>
      </c>
      <c r="G289">
        <v>95363.862510000006</v>
      </c>
      <c r="H289">
        <v>100650.7597</v>
      </c>
      <c r="I289">
        <v>103987.973</v>
      </c>
      <c r="J289">
        <v>112093.5337</v>
      </c>
      <c r="K289">
        <v>117529.60030000001</v>
      </c>
      <c r="L289">
        <v>123386.47900000001</v>
      </c>
      <c r="M289">
        <v>131620.80720000001</v>
      </c>
      <c r="N289">
        <v>134862.33199999999</v>
      </c>
      <c r="O289">
        <v>131011.35860000001</v>
      </c>
      <c r="P289">
        <v>130954.6833</v>
      </c>
      <c r="Q289">
        <v>134519.98060000001</v>
      </c>
      <c r="R289">
        <v>133193.00099999999</v>
      </c>
      <c r="S289">
        <v>133069.53649999999</v>
      </c>
      <c r="T289">
        <v>132346.1692</v>
      </c>
      <c r="U289">
        <v>132808.48060000001</v>
      </c>
      <c r="V289">
        <v>133661.67439999999</v>
      </c>
      <c r="W289">
        <v>144441.78030000001</v>
      </c>
      <c r="X289">
        <v>155964.2408</v>
      </c>
      <c r="Y289">
        <v>159178.177</v>
      </c>
      <c r="Z289">
        <v>162916.96030000001</v>
      </c>
      <c r="AA289">
        <v>166922.09160000001</v>
      </c>
      <c r="AB289">
        <v>171259.14050000001</v>
      </c>
      <c r="AC289">
        <v>175763.95019999999</v>
      </c>
      <c r="AD289">
        <v>178305.3126</v>
      </c>
      <c r="AE289">
        <v>180837.43239999999</v>
      </c>
      <c r="AF289">
        <v>183418.5209</v>
      </c>
      <c r="AG289">
        <v>185964.7212</v>
      </c>
      <c r="AH289">
        <v>188562.32260000001</v>
      </c>
      <c r="AI289">
        <v>191272.74840000001</v>
      </c>
      <c r="AJ289">
        <v>193992.5485</v>
      </c>
      <c r="AK289">
        <v>196690.2885</v>
      </c>
      <c r="AL289">
        <v>199416.6955</v>
      </c>
      <c r="AM289">
        <v>202179.11120000001</v>
      </c>
      <c r="AN289">
        <v>204871.448</v>
      </c>
      <c r="AO289">
        <v>207663.63380000001</v>
      </c>
      <c r="AP289">
        <v>210447.101</v>
      </c>
      <c r="AQ289">
        <v>213330.94699999999</v>
      </c>
      <c r="AR289">
        <v>216446.1458</v>
      </c>
      <c r="AS289">
        <v>219263.13089999999</v>
      </c>
      <c r="AT289">
        <v>222113.85639999999</v>
      </c>
      <c r="AU289">
        <v>224920.50229999999</v>
      </c>
      <c r="AV289">
        <v>227814.89850000001</v>
      </c>
      <c r="AW289">
        <v>230586.0227</v>
      </c>
    </row>
    <row r="290" spans="2:49" x14ac:dyDescent="0.25">
      <c r="B290" t="s">
        <v>481</v>
      </c>
      <c r="C290">
        <v>45689.201708803201</v>
      </c>
      <c r="D290">
        <v>46422.756620829103</v>
      </c>
      <c r="E290">
        <v>47168.088080000001</v>
      </c>
      <c r="F290">
        <v>48529.868210000001</v>
      </c>
      <c r="G290">
        <v>48274.848400000003</v>
      </c>
      <c r="H290">
        <v>49325.091469999999</v>
      </c>
      <c r="I290">
        <v>49964.204640000004</v>
      </c>
      <c r="J290">
        <v>51405.192300000002</v>
      </c>
      <c r="K290">
        <v>51866.035609999999</v>
      </c>
      <c r="L290">
        <v>52919.540990000001</v>
      </c>
      <c r="M290">
        <v>54863.570959999997</v>
      </c>
      <c r="N290">
        <v>55892.3802</v>
      </c>
      <c r="O290">
        <v>56055.942600000002</v>
      </c>
      <c r="P290">
        <v>56459.682260000001</v>
      </c>
      <c r="Q290">
        <v>56629.475539999999</v>
      </c>
      <c r="R290">
        <v>56182.398609999997</v>
      </c>
      <c r="S290">
        <v>56227.43851</v>
      </c>
      <c r="T290">
        <v>55973.353640000001</v>
      </c>
      <c r="U290">
        <v>56231.588620000002</v>
      </c>
      <c r="V290">
        <v>56585.808980000002</v>
      </c>
      <c r="W290">
        <v>54261.860500000003</v>
      </c>
      <c r="X290">
        <v>51962.744570000003</v>
      </c>
      <c r="Y290">
        <v>53517.651299999998</v>
      </c>
      <c r="Z290">
        <v>55275.764869999999</v>
      </c>
      <c r="AA290">
        <v>57184.714019999999</v>
      </c>
      <c r="AB290">
        <v>59193.990440000001</v>
      </c>
      <c r="AC290">
        <v>61244.567759999998</v>
      </c>
      <c r="AD290">
        <v>61786.619359999997</v>
      </c>
      <c r="AE290">
        <v>62229.943529999997</v>
      </c>
      <c r="AF290">
        <v>62650.229650000001</v>
      </c>
      <c r="AG290">
        <v>62954.855029999999</v>
      </c>
      <c r="AH290">
        <v>63229.953549999998</v>
      </c>
      <c r="AI290">
        <v>63621.252399999998</v>
      </c>
      <c r="AJ290">
        <v>63962.956330000001</v>
      </c>
      <c r="AK290">
        <v>64264.466439999997</v>
      </c>
      <c r="AL290">
        <v>64571.8966</v>
      </c>
      <c r="AM290">
        <v>64897.96804</v>
      </c>
      <c r="AN290">
        <v>65175.138650000001</v>
      </c>
      <c r="AO290">
        <v>65520.062810000003</v>
      </c>
      <c r="AP290">
        <v>65862.987640000007</v>
      </c>
      <c r="AQ290">
        <v>66251.482799999998</v>
      </c>
      <c r="AR290">
        <v>66826.069680000001</v>
      </c>
      <c r="AS290">
        <v>67134.076140000005</v>
      </c>
      <c r="AT290">
        <v>67489.509510000004</v>
      </c>
      <c r="AU290">
        <v>67841.989350000003</v>
      </c>
      <c r="AV290">
        <v>68228.559479999996</v>
      </c>
      <c r="AW290">
        <v>68132.733470000006</v>
      </c>
    </row>
    <row r="291" spans="2:49" x14ac:dyDescent="0.25">
      <c r="B291" t="s">
        <v>482</v>
      </c>
      <c r="C291">
        <v>562444.78102118801</v>
      </c>
      <c r="D291">
        <v>571475.01390840299</v>
      </c>
      <c r="E291">
        <v>580650.23010000004</v>
      </c>
      <c r="F291">
        <v>597868.86699999997</v>
      </c>
      <c r="G291">
        <v>602044.19099999999</v>
      </c>
      <c r="H291">
        <v>614046.65949999995</v>
      </c>
      <c r="I291">
        <v>623158.87340000004</v>
      </c>
      <c r="J291">
        <v>639793.61450000003</v>
      </c>
      <c r="K291">
        <v>655143.25730000006</v>
      </c>
      <c r="L291">
        <v>674617.79680000001</v>
      </c>
      <c r="M291">
        <v>700905.35</v>
      </c>
      <c r="N291">
        <v>726865.67020000005</v>
      </c>
      <c r="O291">
        <v>730205.38199999998</v>
      </c>
      <c r="P291">
        <v>730007.98129999998</v>
      </c>
      <c r="Q291">
        <v>726870.51749999996</v>
      </c>
      <c r="R291">
        <v>723680.68180000002</v>
      </c>
      <c r="S291">
        <v>727791.06279999996</v>
      </c>
      <c r="T291">
        <v>730736.94160000002</v>
      </c>
      <c r="U291">
        <v>732950.14020000002</v>
      </c>
      <c r="V291">
        <v>735438.5135</v>
      </c>
      <c r="W291">
        <v>739633.21149999998</v>
      </c>
      <c r="X291">
        <v>742567.46239999996</v>
      </c>
      <c r="Y291">
        <v>744638.57559999998</v>
      </c>
      <c r="Z291">
        <v>746407.98930000002</v>
      </c>
      <c r="AA291">
        <v>748038.99199999997</v>
      </c>
      <c r="AB291">
        <v>749023.22560000001</v>
      </c>
      <c r="AC291">
        <v>749316.30960000004</v>
      </c>
      <c r="AD291">
        <v>750106.73809999996</v>
      </c>
      <c r="AE291">
        <v>750845.06099999999</v>
      </c>
      <c r="AF291">
        <v>751797.75230000005</v>
      </c>
      <c r="AG291">
        <v>752590.71200000006</v>
      </c>
      <c r="AH291">
        <v>753483.68290000001</v>
      </c>
      <c r="AI291">
        <v>754913.22919999994</v>
      </c>
      <c r="AJ291">
        <v>756612.4571</v>
      </c>
      <c r="AK291">
        <v>758393.86529999995</v>
      </c>
      <c r="AL291">
        <v>760369.07700000005</v>
      </c>
      <c r="AM291">
        <v>762558.41899999999</v>
      </c>
      <c r="AN291">
        <v>764708.87060000002</v>
      </c>
      <c r="AO291">
        <v>767282.78670000006</v>
      </c>
      <c r="AP291">
        <v>769948.54760000005</v>
      </c>
      <c r="AQ291">
        <v>772941.10490000003</v>
      </c>
      <c r="AR291">
        <v>775644.93240000005</v>
      </c>
      <c r="AS291">
        <v>777672.09779999999</v>
      </c>
      <c r="AT291">
        <v>780064.09750000003</v>
      </c>
      <c r="AU291">
        <v>782542.36930000002</v>
      </c>
      <c r="AV291">
        <v>785292.1912</v>
      </c>
      <c r="AW291">
        <v>785746.22970000003</v>
      </c>
    </row>
    <row r="292" spans="2:49" x14ac:dyDescent="0.25">
      <c r="B292" t="s">
        <v>483</v>
      </c>
      <c r="C292">
        <v>241047.76327865999</v>
      </c>
      <c r="D292">
        <v>244917.86308720699</v>
      </c>
      <c r="E292">
        <v>248850.0986</v>
      </c>
      <c r="F292">
        <v>265981.65950000001</v>
      </c>
      <c r="G292">
        <v>276094.31880000001</v>
      </c>
      <c r="H292">
        <v>288774.80589999998</v>
      </c>
      <c r="I292">
        <v>299303.70010000002</v>
      </c>
      <c r="J292">
        <v>316985.5858</v>
      </c>
      <c r="K292">
        <v>337275.06920000003</v>
      </c>
      <c r="L292">
        <v>358502.25060000003</v>
      </c>
      <c r="M292">
        <v>383211.65480000002</v>
      </c>
      <c r="N292">
        <v>408732.6814</v>
      </c>
      <c r="O292">
        <v>405418.14</v>
      </c>
      <c r="P292">
        <v>401646.10920000001</v>
      </c>
      <c r="Q292">
        <v>401603.8542</v>
      </c>
      <c r="R292">
        <v>399795.28730000003</v>
      </c>
      <c r="S292">
        <v>403120.15490000002</v>
      </c>
      <c r="T292">
        <v>406104.03470000002</v>
      </c>
      <c r="U292">
        <v>406734.6029</v>
      </c>
      <c r="V292">
        <v>407317.99190000002</v>
      </c>
      <c r="W292">
        <v>409131.054</v>
      </c>
      <c r="X292">
        <v>410195.55170000001</v>
      </c>
      <c r="Y292">
        <v>412700.84419999999</v>
      </c>
      <c r="Z292">
        <v>414103.56310000003</v>
      </c>
      <c r="AA292">
        <v>414813.3665</v>
      </c>
      <c r="AB292">
        <v>414863.86339999997</v>
      </c>
      <c r="AC292">
        <v>414517.51150000002</v>
      </c>
      <c r="AD292">
        <v>413392.93290000001</v>
      </c>
      <c r="AE292">
        <v>412927.22889999999</v>
      </c>
      <c r="AF292">
        <v>412872.79</v>
      </c>
      <c r="AG292">
        <v>413451.8028</v>
      </c>
      <c r="AH292">
        <v>414364.65179999999</v>
      </c>
      <c r="AI292">
        <v>415142.06589999999</v>
      </c>
      <c r="AJ292">
        <v>416523.42249999999</v>
      </c>
      <c r="AK292">
        <v>418231.95520000003</v>
      </c>
      <c r="AL292">
        <v>420095.27730000002</v>
      </c>
      <c r="AM292">
        <v>422046.25170000002</v>
      </c>
      <c r="AN292">
        <v>424303.64399999997</v>
      </c>
      <c r="AO292">
        <v>426555.35340000002</v>
      </c>
      <c r="AP292">
        <v>428899.14020000002</v>
      </c>
      <c r="AQ292">
        <v>431290.90659999999</v>
      </c>
      <c r="AR292">
        <v>432229.85389999999</v>
      </c>
      <c r="AS292">
        <v>434237.22519999999</v>
      </c>
      <c r="AT292">
        <v>436281.81880000001</v>
      </c>
      <c r="AU292">
        <v>438407.02929999999</v>
      </c>
      <c r="AV292">
        <v>440606.01890000002</v>
      </c>
      <c r="AW292">
        <v>443796.8749</v>
      </c>
    </row>
    <row r="293" spans="2:49" x14ac:dyDescent="0.25">
      <c r="B293" t="s">
        <v>535</v>
      </c>
      <c r="C293">
        <v>383714635.27038902</v>
      </c>
      <c r="D293">
        <v>389875297.85567099</v>
      </c>
      <c r="E293">
        <v>396134871.89999998</v>
      </c>
      <c r="F293">
        <v>414122551.69999999</v>
      </c>
      <c r="G293">
        <v>424483035.89999998</v>
      </c>
      <c r="H293">
        <v>438999248.10000002</v>
      </c>
      <c r="I293">
        <v>452154680.89999998</v>
      </c>
      <c r="J293">
        <v>470991887.39999998</v>
      </c>
      <c r="K293">
        <v>492571018.30000001</v>
      </c>
      <c r="L293">
        <v>517134072.5</v>
      </c>
      <c r="M293">
        <v>546625152.89999998</v>
      </c>
      <c r="N293">
        <v>573769245.20000005</v>
      </c>
      <c r="O293">
        <v>577393490</v>
      </c>
      <c r="P293">
        <v>576432474.39999998</v>
      </c>
      <c r="Q293">
        <v>573772555.60000002</v>
      </c>
      <c r="R293">
        <v>572991206.10000002</v>
      </c>
      <c r="S293">
        <v>578670093.10000002</v>
      </c>
      <c r="T293">
        <v>581677424.89999998</v>
      </c>
      <c r="U293">
        <v>583051260.70000005</v>
      </c>
      <c r="V293">
        <v>584292515.60000002</v>
      </c>
      <c r="W293">
        <v>585671608.70000005</v>
      </c>
      <c r="X293">
        <v>586885230.20000005</v>
      </c>
      <c r="Y293">
        <v>587557981</v>
      </c>
      <c r="Z293">
        <v>588072731</v>
      </c>
      <c r="AA293">
        <v>588656985.60000002</v>
      </c>
      <c r="AB293">
        <v>589253248.10000002</v>
      </c>
      <c r="AC293">
        <v>589887669.5</v>
      </c>
      <c r="AD293">
        <v>592342460.70000005</v>
      </c>
      <c r="AE293">
        <v>597229771.29999995</v>
      </c>
      <c r="AF293">
        <v>601878094.39999998</v>
      </c>
      <c r="AG293">
        <v>606506023.60000002</v>
      </c>
      <c r="AH293">
        <v>612950279.70000005</v>
      </c>
      <c r="AI293">
        <v>617044552.89999998</v>
      </c>
      <c r="AJ293">
        <v>621784028.5</v>
      </c>
      <c r="AK293">
        <v>626816804.20000005</v>
      </c>
      <c r="AL293">
        <v>632061604.70000005</v>
      </c>
      <c r="AM293">
        <v>637515681.5</v>
      </c>
      <c r="AN293">
        <v>642035968.70000005</v>
      </c>
      <c r="AO293">
        <v>645954320.5</v>
      </c>
      <c r="AP293">
        <v>649680738.29999995</v>
      </c>
      <c r="AQ293">
        <v>653351935.20000005</v>
      </c>
      <c r="AR293">
        <v>657007880.79999995</v>
      </c>
      <c r="AS293">
        <v>660134565.39999998</v>
      </c>
      <c r="AT293">
        <v>662860696</v>
      </c>
      <c r="AU293">
        <v>665363656.20000005</v>
      </c>
      <c r="AV293">
        <v>667738563.5</v>
      </c>
      <c r="AW293">
        <v>670045928.79999995</v>
      </c>
    </row>
    <row r="294" spans="2:49" x14ac:dyDescent="0.25">
      <c r="B294" t="s">
        <v>536</v>
      </c>
      <c r="C294">
        <v>13020.598862561899</v>
      </c>
      <c r="D294">
        <v>13229.6487889324</v>
      </c>
      <c r="E294">
        <v>13442.05508</v>
      </c>
      <c r="F294">
        <v>13725.29794</v>
      </c>
      <c r="G294">
        <v>14101.09937</v>
      </c>
      <c r="H294">
        <v>13577.16942</v>
      </c>
      <c r="I294">
        <v>13056.794599999999</v>
      </c>
      <c r="J294">
        <v>13319.90432</v>
      </c>
      <c r="K294">
        <v>13518.072700000001</v>
      </c>
      <c r="L294">
        <v>13372.97279</v>
      </c>
      <c r="M294">
        <v>13524.236269999999</v>
      </c>
      <c r="N294">
        <v>13889.918030000001</v>
      </c>
      <c r="O294">
        <v>14084.75899</v>
      </c>
      <c r="P294">
        <v>14301.911630000001</v>
      </c>
      <c r="Q294">
        <v>14637.991410000001</v>
      </c>
      <c r="R294">
        <v>14981.466350000001</v>
      </c>
      <c r="S294">
        <v>14654.316650000001</v>
      </c>
      <c r="T294">
        <v>14142.151</v>
      </c>
      <c r="U294">
        <v>13932.44472</v>
      </c>
      <c r="V294">
        <v>13826.822770000001</v>
      </c>
      <c r="W294">
        <v>14054.724920000001</v>
      </c>
      <c r="X294">
        <v>14198.40562</v>
      </c>
      <c r="Y294">
        <v>14344.294900000001</v>
      </c>
      <c r="Z294">
        <v>14441.42792</v>
      </c>
      <c r="AA294">
        <v>14590.50476</v>
      </c>
      <c r="AB294">
        <v>14757.45376</v>
      </c>
      <c r="AC294">
        <v>14927.25404</v>
      </c>
      <c r="AD294">
        <v>15092.16784</v>
      </c>
      <c r="AE294">
        <v>15247.10989</v>
      </c>
      <c r="AF294">
        <v>15426.2371</v>
      </c>
      <c r="AG294">
        <v>15633.67704</v>
      </c>
      <c r="AH294">
        <v>15875.908939999999</v>
      </c>
      <c r="AI294">
        <v>16159.170410000001</v>
      </c>
      <c r="AJ294">
        <v>16464.484779999999</v>
      </c>
      <c r="AK294">
        <v>16767.137890000002</v>
      </c>
      <c r="AL294">
        <v>17082.963090000001</v>
      </c>
      <c r="AM294">
        <v>17417.9663</v>
      </c>
      <c r="AN294">
        <v>17776.993600000002</v>
      </c>
      <c r="AO294">
        <v>18164.85282</v>
      </c>
      <c r="AP294">
        <v>18585.114259999998</v>
      </c>
      <c r="AQ294">
        <v>19022.503560000001</v>
      </c>
      <c r="AR294">
        <v>19469.149649999999</v>
      </c>
      <c r="AS294">
        <v>19918.14546</v>
      </c>
      <c r="AT294">
        <v>20377.724699999999</v>
      </c>
      <c r="AU294">
        <v>20845.44269</v>
      </c>
      <c r="AV294">
        <v>21318.379980000002</v>
      </c>
      <c r="AW294">
        <v>21803.323700000001</v>
      </c>
    </row>
    <row r="295" spans="2:49" x14ac:dyDescent="0.25">
      <c r="B295" t="s">
        <v>537</v>
      </c>
      <c r="C295">
        <v>158336.21117690401</v>
      </c>
      <c r="D295">
        <v>160878.35026264799</v>
      </c>
      <c r="E295">
        <v>163461.30420000001</v>
      </c>
      <c r="F295">
        <v>173142.19940000001</v>
      </c>
      <c r="G295">
        <v>180760.5914</v>
      </c>
      <c r="H295">
        <v>188161.81709999999</v>
      </c>
      <c r="I295">
        <v>195355.6911</v>
      </c>
      <c r="J295">
        <v>204960.76800000001</v>
      </c>
      <c r="K295">
        <v>219838.43520000001</v>
      </c>
      <c r="L295">
        <v>235229.31099999999</v>
      </c>
      <c r="M295">
        <v>251712.63449999999</v>
      </c>
      <c r="N295">
        <v>274171.43839999998</v>
      </c>
      <c r="O295">
        <v>274748.56439999997</v>
      </c>
      <c r="P295">
        <v>271037.65789999999</v>
      </c>
      <c r="Q295">
        <v>267501.01380000002</v>
      </c>
      <c r="R295">
        <v>267020.47970000003</v>
      </c>
      <c r="S295">
        <v>270480.81270000001</v>
      </c>
      <c r="T295">
        <v>274207.65850000002</v>
      </c>
      <c r="U295">
        <v>274376.98190000001</v>
      </c>
      <c r="V295">
        <v>274120.91440000001</v>
      </c>
      <c r="W295">
        <v>274686.85369999998</v>
      </c>
      <c r="X295">
        <v>275249.23340000003</v>
      </c>
      <c r="Y295">
        <v>275433.7267</v>
      </c>
      <c r="Z295">
        <v>275546.74690000003</v>
      </c>
      <c r="AA295">
        <v>275708.40120000002</v>
      </c>
      <c r="AB295">
        <v>275858.53989999997</v>
      </c>
      <c r="AC295">
        <v>276033.16450000001</v>
      </c>
      <c r="AD295">
        <v>273893.05489999999</v>
      </c>
      <c r="AE295">
        <v>275110.33299999998</v>
      </c>
      <c r="AF295">
        <v>275478.94089999999</v>
      </c>
      <c r="AG295">
        <v>275894.62270000001</v>
      </c>
      <c r="AH295">
        <v>278557.13160000002</v>
      </c>
      <c r="AI295">
        <v>277885.16350000002</v>
      </c>
      <c r="AJ295">
        <v>277943.35190000001</v>
      </c>
      <c r="AK295">
        <v>278322.56579999998</v>
      </c>
      <c r="AL295">
        <v>278798.46999999997</v>
      </c>
      <c r="AM295">
        <v>279344.84899999999</v>
      </c>
      <c r="AN295">
        <v>281952.41210000002</v>
      </c>
      <c r="AO295">
        <v>283613.9031</v>
      </c>
      <c r="AP295">
        <v>284922.62190000003</v>
      </c>
      <c r="AQ295">
        <v>286063.22979999997</v>
      </c>
      <c r="AR295">
        <v>287153.18920000002</v>
      </c>
      <c r="AS295">
        <v>289296.54950000002</v>
      </c>
      <c r="AT295">
        <v>290938.67930000002</v>
      </c>
      <c r="AU295">
        <v>292391.80650000001</v>
      </c>
      <c r="AV295">
        <v>293714.1556</v>
      </c>
      <c r="AW295">
        <v>294984.9852</v>
      </c>
    </row>
    <row r="296" spans="2:49" x14ac:dyDescent="0.25">
      <c r="B296" t="s">
        <v>538</v>
      </c>
      <c r="C296">
        <v>516755.579312385</v>
      </c>
      <c r="D296">
        <v>525052.257287574</v>
      </c>
      <c r="E296">
        <v>533482.14110000001</v>
      </c>
      <c r="F296">
        <v>549339.01309999998</v>
      </c>
      <c r="G296">
        <v>553773.31869999995</v>
      </c>
      <c r="H296">
        <v>564725.70849999995</v>
      </c>
      <c r="I296">
        <v>573198.96440000006</v>
      </c>
      <c r="J296">
        <v>588392.95420000004</v>
      </c>
      <c r="K296">
        <v>603288.08880000003</v>
      </c>
      <c r="L296">
        <v>621711.88509999996</v>
      </c>
      <c r="M296">
        <v>646056.07720000006</v>
      </c>
      <c r="N296">
        <v>670997.83319999999</v>
      </c>
      <c r="O296">
        <v>674174.17929999996</v>
      </c>
      <c r="P296">
        <v>673574.7193</v>
      </c>
      <c r="Q296">
        <v>670268.98010000004</v>
      </c>
      <c r="R296">
        <v>667526.47889999999</v>
      </c>
      <c r="S296">
        <v>671592.70319999999</v>
      </c>
      <c r="T296">
        <v>673334.02749999997</v>
      </c>
      <c r="U296">
        <v>675284.73719999997</v>
      </c>
      <c r="V296">
        <v>677355.40179999999</v>
      </c>
      <c r="W296">
        <v>679015.22719999996</v>
      </c>
      <c r="X296">
        <v>680427.41509999998</v>
      </c>
      <c r="Y296">
        <v>681306.11860000005</v>
      </c>
      <c r="Z296">
        <v>681999.65689999994</v>
      </c>
      <c r="AA296">
        <v>682761.69499999995</v>
      </c>
      <c r="AB296">
        <v>683550.57479999994</v>
      </c>
      <c r="AC296">
        <v>684378.73069999996</v>
      </c>
      <c r="AD296">
        <v>684328.30850000004</v>
      </c>
      <c r="AE296">
        <v>685339.30969999998</v>
      </c>
      <c r="AF296">
        <v>686546.01249999995</v>
      </c>
      <c r="AG296">
        <v>687602.75410000002</v>
      </c>
      <c r="AH296">
        <v>689547.81550000003</v>
      </c>
      <c r="AI296">
        <v>690629.34409999999</v>
      </c>
      <c r="AJ296">
        <v>692024.02560000005</v>
      </c>
      <c r="AK296">
        <v>693516.00540000002</v>
      </c>
      <c r="AL296">
        <v>695150.16639999999</v>
      </c>
      <c r="AM296">
        <v>696936.7487</v>
      </c>
      <c r="AN296">
        <v>699578.33169999998</v>
      </c>
      <c r="AO296">
        <v>702053.67020000005</v>
      </c>
      <c r="AP296">
        <v>704500.95070000004</v>
      </c>
      <c r="AQ296">
        <v>706975.71070000005</v>
      </c>
      <c r="AR296">
        <v>709446.24</v>
      </c>
      <c r="AS296">
        <v>712237.17949999997</v>
      </c>
      <c r="AT296">
        <v>714841.34900000005</v>
      </c>
      <c r="AU296">
        <v>717273.45079999999</v>
      </c>
      <c r="AV296">
        <v>719623.647</v>
      </c>
      <c r="AW296">
        <v>721917.48620000004</v>
      </c>
    </row>
    <row r="297" spans="2:49" x14ac:dyDescent="0.25">
      <c r="B297" t="s">
        <v>539</v>
      </c>
      <c r="C297">
        <v>82711.5521017555</v>
      </c>
      <c r="D297">
        <v>84039.512824558697</v>
      </c>
      <c r="E297">
        <v>85388.792730000001</v>
      </c>
      <c r="F297">
        <v>92860.319959999906</v>
      </c>
      <c r="G297">
        <v>95363.862510000006</v>
      </c>
      <c r="H297">
        <v>100650.7597</v>
      </c>
      <c r="I297">
        <v>103987.973</v>
      </c>
      <c r="J297">
        <v>112093.5337</v>
      </c>
      <c r="K297">
        <v>117529.60030000001</v>
      </c>
      <c r="L297">
        <v>123386.47900000001</v>
      </c>
      <c r="M297">
        <v>131620.80720000001</v>
      </c>
      <c r="N297">
        <v>134862.33199999999</v>
      </c>
      <c r="O297">
        <v>131011.35860000001</v>
      </c>
      <c r="P297">
        <v>130954.6833</v>
      </c>
      <c r="Q297">
        <v>134519.98060000001</v>
      </c>
      <c r="R297">
        <v>133193.00099999999</v>
      </c>
      <c r="S297">
        <v>133069.53649999999</v>
      </c>
      <c r="T297">
        <v>132346.1692</v>
      </c>
      <c r="U297">
        <v>132808.48060000001</v>
      </c>
      <c r="V297">
        <v>133654.6127</v>
      </c>
      <c r="W297">
        <v>133942.7782</v>
      </c>
      <c r="X297">
        <v>134055.1</v>
      </c>
      <c r="Y297">
        <v>134297.3125</v>
      </c>
      <c r="Z297">
        <v>134488.67449999999</v>
      </c>
      <c r="AA297">
        <v>134784.7035</v>
      </c>
      <c r="AB297">
        <v>135121.10759999999</v>
      </c>
      <c r="AC297">
        <v>135459.0024</v>
      </c>
      <c r="AD297">
        <v>136486.0203</v>
      </c>
      <c r="AE297">
        <v>136434.10649999999</v>
      </c>
      <c r="AF297">
        <v>136725.639</v>
      </c>
      <c r="AG297">
        <v>137014.24969999999</v>
      </c>
      <c r="AH297">
        <v>136678.31709999999</v>
      </c>
      <c r="AI297">
        <v>137459.06419999999</v>
      </c>
      <c r="AJ297">
        <v>138002.25450000001</v>
      </c>
      <c r="AK297">
        <v>138429.486</v>
      </c>
      <c r="AL297">
        <v>138837.01670000001</v>
      </c>
      <c r="AM297">
        <v>139244.73439999999</v>
      </c>
      <c r="AN297">
        <v>139043.8725</v>
      </c>
      <c r="AO297">
        <v>139193.18549999999</v>
      </c>
      <c r="AP297">
        <v>139501.58410000001</v>
      </c>
      <c r="AQ297">
        <v>139889.12359999999</v>
      </c>
      <c r="AR297">
        <v>140296.8432</v>
      </c>
      <c r="AS297">
        <v>140353.073</v>
      </c>
      <c r="AT297">
        <v>140579.9785</v>
      </c>
      <c r="AU297">
        <v>140864.0796</v>
      </c>
      <c r="AV297">
        <v>141185.8738</v>
      </c>
      <c r="AW297">
        <v>141533.1165</v>
      </c>
    </row>
    <row r="298" spans="2:49" x14ac:dyDescent="0.25">
      <c r="B298" t="s">
        <v>540</v>
      </c>
      <c r="C298">
        <v>45689.201708803201</v>
      </c>
      <c r="D298">
        <v>46422.756620829103</v>
      </c>
      <c r="E298">
        <v>47168.088080000001</v>
      </c>
      <c r="F298">
        <v>48529.868210000001</v>
      </c>
      <c r="G298">
        <v>48274.848400000003</v>
      </c>
      <c r="H298">
        <v>49325.091469999999</v>
      </c>
      <c r="I298">
        <v>49964.204640000004</v>
      </c>
      <c r="J298">
        <v>51405.192300000002</v>
      </c>
      <c r="K298">
        <v>51866.035609999999</v>
      </c>
      <c r="L298">
        <v>52919.540990000001</v>
      </c>
      <c r="M298">
        <v>54863.570959999997</v>
      </c>
      <c r="N298">
        <v>55892.3802</v>
      </c>
      <c r="O298">
        <v>56055.942600000002</v>
      </c>
      <c r="P298">
        <v>56459.682260000001</v>
      </c>
      <c r="Q298">
        <v>56629.475539999999</v>
      </c>
      <c r="R298">
        <v>56182.398609999997</v>
      </c>
      <c r="S298">
        <v>56227.43851</v>
      </c>
      <c r="T298">
        <v>55973.353640000001</v>
      </c>
      <c r="U298">
        <v>56231.588620000002</v>
      </c>
      <c r="V298">
        <v>56576.405480000001</v>
      </c>
      <c r="W298">
        <v>56727.846429999998</v>
      </c>
      <c r="X298">
        <v>56844.829230000003</v>
      </c>
      <c r="Y298">
        <v>56942.973189999997</v>
      </c>
      <c r="Z298">
        <v>57026.115709999998</v>
      </c>
      <c r="AA298">
        <v>57112.11982</v>
      </c>
      <c r="AB298">
        <v>57203.535689999997</v>
      </c>
      <c r="AC298">
        <v>57296.981540000001</v>
      </c>
      <c r="AD298">
        <v>57630.971030000001</v>
      </c>
      <c r="AE298">
        <v>57583.604599999999</v>
      </c>
      <c r="AF298">
        <v>57701.693509999997</v>
      </c>
      <c r="AG298">
        <v>57788.235260000001</v>
      </c>
      <c r="AH298">
        <v>57648.594689999998</v>
      </c>
      <c r="AI298">
        <v>57911.719409999998</v>
      </c>
      <c r="AJ298">
        <v>58102.345000000001</v>
      </c>
      <c r="AK298">
        <v>58256.158940000001</v>
      </c>
      <c r="AL298">
        <v>58415.077749999997</v>
      </c>
      <c r="AM298">
        <v>58584.894079999998</v>
      </c>
      <c r="AN298">
        <v>58553.283239999997</v>
      </c>
      <c r="AO298">
        <v>58647.893230000001</v>
      </c>
      <c r="AP298">
        <v>58794.373160000003</v>
      </c>
      <c r="AQ298">
        <v>58971.963230000001</v>
      </c>
      <c r="AR298">
        <v>59157.118629999997</v>
      </c>
      <c r="AS298">
        <v>59222.19369</v>
      </c>
      <c r="AT298">
        <v>59339.65481</v>
      </c>
      <c r="AU298">
        <v>59461.754699999998</v>
      </c>
      <c r="AV298">
        <v>59592.680610000003</v>
      </c>
      <c r="AW298">
        <v>59723.951159999997</v>
      </c>
    </row>
    <row r="299" spans="2:49" x14ac:dyDescent="0.25">
      <c r="B299" t="s">
        <v>541</v>
      </c>
      <c r="C299">
        <v>562444.78102118801</v>
      </c>
      <c r="D299">
        <v>571475.01390840299</v>
      </c>
      <c r="E299">
        <v>580650.23010000004</v>
      </c>
      <c r="F299">
        <v>597868.86699999997</v>
      </c>
      <c r="G299">
        <v>602044.19099999999</v>
      </c>
      <c r="H299">
        <v>614046.65949999995</v>
      </c>
      <c r="I299">
        <v>623158.87340000004</v>
      </c>
      <c r="J299">
        <v>639793.61450000003</v>
      </c>
      <c r="K299">
        <v>655143.25730000006</v>
      </c>
      <c r="L299">
        <v>674617.79680000001</v>
      </c>
      <c r="M299">
        <v>700905.35</v>
      </c>
      <c r="N299">
        <v>726865.67020000005</v>
      </c>
      <c r="O299">
        <v>730205.38199999998</v>
      </c>
      <c r="P299">
        <v>730007.98129999998</v>
      </c>
      <c r="Q299">
        <v>726870.51749999996</v>
      </c>
      <c r="R299">
        <v>723680.68180000002</v>
      </c>
      <c r="S299">
        <v>727791.06279999996</v>
      </c>
      <c r="T299">
        <v>730736.94160000002</v>
      </c>
      <c r="U299">
        <v>732950.14020000002</v>
      </c>
      <c r="V299">
        <v>735370.11289999995</v>
      </c>
      <c r="W299">
        <v>737184.92760000005</v>
      </c>
      <c r="X299">
        <v>738717.09499999997</v>
      </c>
      <c r="Y299">
        <v>739695.85179999995</v>
      </c>
      <c r="Z299">
        <v>740474.04960000003</v>
      </c>
      <c r="AA299">
        <v>741323.74979999999</v>
      </c>
      <c r="AB299">
        <v>742205.76529999997</v>
      </c>
      <c r="AC299">
        <v>743129.16839999997</v>
      </c>
      <c r="AD299">
        <v>743412.37199999997</v>
      </c>
      <c r="AE299">
        <v>744377.75309999997</v>
      </c>
      <c r="AF299">
        <v>745705.13699999999</v>
      </c>
      <c r="AG299">
        <v>746850.65910000005</v>
      </c>
      <c r="AH299">
        <v>748658.88020000001</v>
      </c>
      <c r="AI299">
        <v>750005.92709999997</v>
      </c>
      <c r="AJ299">
        <v>751594.29330000002</v>
      </c>
      <c r="AK299">
        <v>753243.30119999999</v>
      </c>
      <c r="AL299">
        <v>755039.88619999995</v>
      </c>
      <c r="AM299">
        <v>757000.11029999994</v>
      </c>
      <c r="AN299">
        <v>759614.68279999995</v>
      </c>
      <c r="AO299">
        <v>762189.5588</v>
      </c>
      <c r="AP299">
        <v>764788.36640000006</v>
      </c>
      <c r="AQ299">
        <v>767445.89809999999</v>
      </c>
      <c r="AR299">
        <v>770106.77399999998</v>
      </c>
      <c r="AS299">
        <v>772968.1557</v>
      </c>
      <c r="AT299">
        <v>775695.03269999998</v>
      </c>
      <c r="AU299">
        <v>778254.18</v>
      </c>
      <c r="AV299">
        <v>780740.12250000006</v>
      </c>
      <c r="AW299">
        <v>783169.94799999997</v>
      </c>
    </row>
    <row r="300" spans="2:49" x14ac:dyDescent="0.25">
      <c r="B300" t="s">
        <v>542</v>
      </c>
      <c r="C300">
        <v>241047.76327865999</v>
      </c>
      <c r="D300">
        <v>244917.86308720699</v>
      </c>
      <c r="E300">
        <v>248850.0986</v>
      </c>
      <c r="F300">
        <v>265981.65950000001</v>
      </c>
      <c r="G300">
        <v>276094.31880000001</v>
      </c>
      <c r="H300">
        <v>288774.80589999998</v>
      </c>
      <c r="I300">
        <v>299303.70010000002</v>
      </c>
      <c r="J300">
        <v>316985.5858</v>
      </c>
      <c r="K300">
        <v>337275.06920000003</v>
      </c>
      <c r="L300">
        <v>358502.25060000003</v>
      </c>
      <c r="M300">
        <v>383211.65480000002</v>
      </c>
      <c r="N300">
        <v>408732.6814</v>
      </c>
      <c r="O300">
        <v>405418.14</v>
      </c>
      <c r="P300">
        <v>401646.10920000001</v>
      </c>
      <c r="Q300">
        <v>401603.8542</v>
      </c>
      <c r="R300">
        <v>399795.28730000003</v>
      </c>
      <c r="S300">
        <v>403120.15490000002</v>
      </c>
      <c r="T300">
        <v>406104.03470000002</v>
      </c>
      <c r="U300">
        <v>406734.6029</v>
      </c>
      <c r="V300">
        <v>407321.63689999998</v>
      </c>
      <c r="W300">
        <v>408174.79070000001</v>
      </c>
      <c r="X300">
        <v>408848.67560000002</v>
      </c>
      <c r="Y300">
        <v>409274.84820000001</v>
      </c>
      <c r="Z300">
        <v>409578.84519999998</v>
      </c>
      <c r="AA300">
        <v>410035.90139999997</v>
      </c>
      <c r="AB300">
        <v>410521.73060000001</v>
      </c>
      <c r="AC300">
        <v>411033.52130000002</v>
      </c>
      <c r="AD300">
        <v>409911.00630000001</v>
      </c>
      <c r="AE300">
        <v>411073.98420000001</v>
      </c>
      <c r="AF300">
        <v>411733.34110000002</v>
      </c>
      <c r="AG300">
        <v>412436.81199999998</v>
      </c>
      <c r="AH300">
        <v>414754.05099999998</v>
      </c>
      <c r="AI300">
        <v>414859.6876</v>
      </c>
      <c r="AJ300">
        <v>415459.723</v>
      </c>
      <c r="AK300">
        <v>416265.08860000002</v>
      </c>
      <c r="AL300">
        <v>417147.42099999997</v>
      </c>
      <c r="AM300">
        <v>418100.35869999998</v>
      </c>
      <c r="AN300">
        <v>420498.87479999999</v>
      </c>
      <c r="AO300">
        <v>422306.46289999998</v>
      </c>
      <c r="AP300">
        <v>423921.39809999999</v>
      </c>
      <c r="AQ300">
        <v>425447.66519999999</v>
      </c>
      <c r="AR300">
        <v>426943.53210000001</v>
      </c>
      <c r="AS300">
        <v>429138.17580000003</v>
      </c>
      <c r="AT300">
        <v>431004.21110000001</v>
      </c>
      <c r="AU300">
        <v>432738.951</v>
      </c>
      <c r="AV300">
        <v>434380.89559999999</v>
      </c>
      <c r="AW300">
        <v>435996.87089999998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0070C0"/>
  </sheetPr>
  <dimension ref="A1:BV376"/>
  <sheetViews>
    <sheetView topLeftCell="A34" zoomScale="80" zoomScaleNormal="80" workbookViewId="0">
      <selection activeCell="E34" sqref="E34"/>
    </sheetView>
  </sheetViews>
  <sheetFormatPr baseColWidth="10" defaultRowHeight="15" x14ac:dyDescent="0.25"/>
  <cols>
    <col min="1" max="2" width="29.85546875" customWidth="1"/>
    <col min="6" max="7" width="11.42578125" customWidth="1"/>
    <col min="9" max="9" width="13.140625" customWidth="1"/>
    <col min="10" max="12" width="11.42578125" style="3"/>
    <col min="13" max="13" width="11.42578125" style="3" customWidth="1"/>
    <col min="14" max="15" width="11.42578125" style="3"/>
    <col min="16" max="16" width="13.42578125" style="3" customWidth="1"/>
    <col min="17" max="19" width="11.42578125" style="3"/>
    <col min="20" max="20" width="11.42578125" style="3" customWidth="1"/>
    <col min="21" max="74" width="11.42578125" style="3"/>
  </cols>
  <sheetData>
    <row r="1" spans="1:28" ht="23.25" x14ac:dyDescent="0.35">
      <c r="A1" s="1" t="s">
        <v>86</v>
      </c>
      <c r="B1" s="46"/>
      <c r="C1" s="3"/>
      <c r="D1" s="3"/>
      <c r="E1" s="3"/>
      <c r="F1" s="3"/>
      <c r="G1" s="3"/>
      <c r="H1" s="3"/>
      <c r="I1" s="3"/>
    </row>
    <row r="2" spans="1:28" ht="18.75" x14ac:dyDescent="0.3">
      <c r="A2" s="41"/>
      <c r="B2" s="41"/>
      <c r="C2" s="3"/>
      <c r="D2" s="3"/>
      <c r="E2" s="3"/>
      <c r="F2" s="3"/>
      <c r="G2" s="3"/>
      <c r="H2" s="3"/>
      <c r="I2" s="3"/>
      <c r="R2" s="41"/>
      <c r="V2" s="45"/>
      <c r="W2" s="45"/>
    </row>
    <row r="3" spans="1:28" ht="23.25" x14ac:dyDescent="0.35">
      <c r="A3" s="161" t="str">
        <f>Résultats!B1</f>
        <v>SNBC3</v>
      </c>
      <c r="B3" s="161"/>
      <c r="C3" s="3"/>
      <c r="D3" s="3"/>
      <c r="E3" s="3"/>
      <c r="F3" s="3"/>
      <c r="G3" s="3"/>
      <c r="H3" s="3"/>
      <c r="I3" s="3"/>
      <c r="R3" s="41"/>
      <c r="V3" s="45"/>
      <c r="W3" s="45"/>
    </row>
    <row r="4" spans="1:28" x14ac:dyDescent="0.25">
      <c r="A4" s="3"/>
      <c r="B4" s="3"/>
      <c r="C4" s="43"/>
      <c r="D4" s="43"/>
      <c r="E4" s="43"/>
      <c r="F4" s="43"/>
      <c r="G4" s="44"/>
      <c r="H4" s="3"/>
      <c r="I4" s="3"/>
      <c r="J4" s="44"/>
      <c r="K4" s="44"/>
      <c r="L4" s="44"/>
      <c r="M4" s="44"/>
      <c r="O4" s="42"/>
      <c r="Q4" s="44"/>
      <c r="R4" s="44"/>
      <c r="S4" s="44"/>
      <c r="T4" s="44"/>
      <c r="X4" s="44"/>
      <c r="Y4" s="44"/>
      <c r="Z4" s="44"/>
      <c r="AA4" s="44"/>
    </row>
    <row r="5" spans="1:28" ht="21" x14ac:dyDescent="0.35">
      <c r="A5" s="145">
        <v>2015</v>
      </c>
      <c r="B5" s="186"/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93" t="s">
        <v>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1:28" x14ac:dyDescent="0.25">
      <c r="A6" s="162" t="s">
        <v>18</v>
      </c>
      <c r="B6" s="187"/>
      <c r="C6" s="36">
        <f>C7+C8</f>
        <v>0</v>
      </c>
      <c r="D6" s="36">
        <f>D7+D8</f>
        <v>130.47321819092383</v>
      </c>
      <c r="E6" s="36">
        <f>E7+E8</f>
        <v>0.63621368223549379</v>
      </c>
      <c r="F6" s="36">
        <f>F7+F8</f>
        <v>0.41171988514734337</v>
      </c>
      <c r="G6" s="36">
        <f>G7+G8</f>
        <v>0</v>
      </c>
      <c r="H6" s="163">
        <f t="shared" ref="H6:H15" si="0">SUM(C6:G6)</f>
        <v>131.52115175830667</v>
      </c>
      <c r="I6" s="166"/>
      <c r="J6" s="166"/>
      <c r="K6" s="166" t="s">
        <v>89</v>
      </c>
      <c r="L6" s="166"/>
      <c r="M6" s="166"/>
      <c r="N6" s="38"/>
      <c r="O6" s="206"/>
      <c r="P6" s="206"/>
      <c r="Q6" s="206"/>
      <c r="R6" s="206"/>
      <c r="S6" s="206"/>
      <c r="T6" s="207"/>
      <c r="U6" s="38"/>
      <c r="V6" s="45"/>
      <c r="W6" s="82"/>
      <c r="X6" s="208"/>
      <c r="Y6" s="208"/>
      <c r="Z6" s="208"/>
      <c r="AA6" s="208"/>
      <c r="AB6" s="208"/>
    </row>
    <row r="7" spans="1:28" x14ac:dyDescent="0.25">
      <c r="A7" s="148" t="s">
        <v>19</v>
      </c>
      <c r="B7" s="35"/>
      <c r="C7" s="16">
        <v>0</v>
      </c>
      <c r="D7" s="16">
        <f>'T energie usages'!I12*3.2*Résultats!L283</f>
        <v>74.956049684723808</v>
      </c>
      <c r="E7" s="16">
        <f>'T energie usages'!J12/'T energie usages'!J$20*(Résultats!N$192+Résultats!N$193+Résultats!N$194)/1000000</f>
        <v>1.1536832019993315E-2</v>
      </c>
      <c r="F7" s="16">
        <f>'T energie usages'!K12*2.394*Résultats!L284</f>
        <v>1.3538327343332602E-5</v>
      </c>
      <c r="G7" s="16">
        <v>0</v>
      </c>
      <c r="H7" s="95">
        <f t="shared" si="0"/>
        <v>74.967600055071145</v>
      </c>
      <c r="I7" s="166"/>
      <c r="J7" s="166"/>
      <c r="K7" s="194"/>
      <c r="L7" s="195">
        <v>2020</v>
      </c>
      <c r="M7" s="195">
        <v>2030</v>
      </c>
      <c r="N7" s="196">
        <v>2050</v>
      </c>
      <c r="O7" s="206"/>
      <c r="P7" s="206"/>
      <c r="Q7" s="206"/>
      <c r="R7" s="206"/>
      <c r="S7" s="206"/>
      <c r="T7" s="207"/>
      <c r="U7" s="38"/>
      <c r="V7" s="45"/>
      <c r="W7" s="30"/>
      <c r="X7" s="208"/>
      <c r="Y7" s="208"/>
      <c r="Z7" s="208"/>
      <c r="AA7" s="208"/>
      <c r="AB7" s="208"/>
    </row>
    <row r="8" spans="1:28" x14ac:dyDescent="0.25">
      <c r="A8" s="149" t="s">
        <v>20</v>
      </c>
      <c r="B8" s="35"/>
      <c r="C8" s="16">
        <v>0</v>
      </c>
      <c r="D8" s="16">
        <f>(Résultats!N$183+Résultats!N$184+Résultats!N$185+Résultats!N$186+Résultats!N$187)/1000000</f>
        <v>55.517168506200008</v>
      </c>
      <c r="E8" s="16">
        <f>'T energie usages'!J13/'T energie usages'!J$20*(Résultats!N$192+Résultats!N$193+Résultats!N$194)/1000000</f>
        <v>0.62467685021550046</v>
      </c>
      <c r="F8" s="16">
        <f>(Résultats!N$209+Résultats!N$210+Résultats!N$211+Résultats!N$212+Résultats!N$213)/1000000</f>
        <v>0.41170634682000001</v>
      </c>
      <c r="G8" s="16">
        <v>0</v>
      </c>
      <c r="H8" s="95">
        <f t="shared" si="0"/>
        <v>56.553551703235506</v>
      </c>
      <c r="I8" s="166"/>
      <c r="J8" s="166"/>
      <c r="K8" s="197" t="s">
        <v>18</v>
      </c>
      <c r="L8" s="45">
        <f>H19</f>
        <v>126.17221352410566</v>
      </c>
      <c r="M8" s="45">
        <f>H45</f>
        <v>99.728356334074732</v>
      </c>
      <c r="N8" s="86">
        <f>H71</f>
        <v>19.73624789952375</v>
      </c>
      <c r="O8" s="206"/>
      <c r="P8" s="206"/>
      <c r="Q8" s="206"/>
      <c r="R8" s="206"/>
      <c r="S8" s="206"/>
      <c r="T8" s="207"/>
      <c r="U8" s="38"/>
      <c r="V8" s="45"/>
      <c r="W8" s="30"/>
      <c r="X8" s="208"/>
      <c r="Y8" s="208"/>
      <c r="Z8" s="208"/>
      <c r="AA8" s="208"/>
      <c r="AB8" s="208"/>
    </row>
    <row r="9" spans="1:28" x14ac:dyDescent="0.25">
      <c r="A9" s="162" t="s">
        <v>21</v>
      </c>
      <c r="B9" s="187"/>
      <c r="C9" s="36">
        <f>Résultats!N$135/1000000</f>
        <v>1.037893943</v>
      </c>
      <c r="D9" s="36">
        <f>'T energie usages'!I14*3.2*Résultats!L283</f>
        <v>22.142034384426275</v>
      </c>
      <c r="E9" s="36">
        <f>'T energie usages'!J14/'T energie usages'!J$20*(Résultats!N$192+Résultats!N$193+Résultats!N$194)/1000000</f>
        <v>6.9276400186779528</v>
      </c>
      <c r="F9" s="36">
        <f>('T energie usages'!K14-8)*2.394*Résultats!L284</f>
        <v>22.193917876002761</v>
      </c>
      <c r="G9" s="36">
        <v>0</v>
      </c>
      <c r="H9" s="163">
        <f t="shared" si="0"/>
        <v>52.301486222106988</v>
      </c>
      <c r="I9" s="166"/>
      <c r="J9" s="166"/>
      <c r="K9" s="197" t="s">
        <v>87</v>
      </c>
      <c r="L9" s="45">
        <f>H22</f>
        <v>45.369653327088756</v>
      </c>
      <c r="M9" s="45">
        <f>H48</f>
        <v>26.972347600893272</v>
      </c>
      <c r="N9" s="86">
        <f>H74</f>
        <v>7.5004547264273018</v>
      </c>
      <c r="O9" s="206"/>
      <c r="P9" s="206"/>
      <c r="Q9" s="206"/>
      <c r="R9" s="206"/>
      <c r="S9" s="206"/>
      <c r="T9" s="207"/>
      <c r="U9" s="38"/>
      <c r="V9" s="45"/>
      <c r="W9" s="82"/>
      <c r="X9" s="208"/>
      <c r="Y9" s="208"/>
      <c r="Z9" s="208"/>
      <c r="AA9" s="208"/>
      <c r="AB9" s="208"/>
    </row>
    <row r="10" spans="1:28" x14ac:dyDescent="0.25">
      <c r="A10" s="162" t="s">
        <v>22</v>
      </c>
      <c r="B10" s="187"/>
      <c r="C10" s="36">
        <f>(Résultats!N$168+Résultats!N$169)/1000000</f>
        <v>0</v>
      </c>
      <c r="D10" s="36">
        <f>(Résultats!N$188+Résultats!N$189)/1000000</f>
        <v>10.550660155500001</v>
      </c>
      <c r="E10" s="36">
        <f>'T energie usages'!J15/'T energie usages'!J$20*(Résultats!N$192+Résultats!N$193+Résultats!N$194)/1000000</f>
        <v>5.7026524470640041</v>
      </c>
      <c r="F10" s="36">
        <f>(Résultats!N$214+Résultats!N$215)/1000000</f>
        <v>16.536346543000001</v>
      </c>
      <c r="G10" s="36">
        <v>0</v>
      </c>
      <c r="H10" s="163">
        <f t="shared" si="0"/>
        <v>32.789659145564002</v>
      </c>
      <c r="I10" s="166"/>
      <c r="J10" s="166"/>
      <c r="K10" s="157" t="s">
        <v>22</v>
      </c>
      <c r="L10" s="45">
        <f>H23</f>
        <v>25.298451492973619</v>
      </c>
      <c r="M10" s="45">
        <f>H49</f>
        <v>16.614501591328043</v>
      </c>
      <c r="N10" s="86">
        <f>H75</f>
        <v>4.5861204200763899</v>
      </c>
      <c r="O10" s="206"/>
      <c r="P10" s="206"/>
      <c r="Q10" s="206"/>
      <c r="R10" s="206"/>
      <c r="S10" s="206"/>
      <c r="T10" s="207"/>
      <c r="U10" s="38"/>
      <c r="V10" s="45"/>
      <c r="W10" s="82"/>
      <c r="X10" s="208"/>
      <c r="Y10" s="208"/>
      <c r="Z10" s="208"/>
      <c r="AA10" s="208"/>
      <c r="AB10" s="208"/>
    </row>
    <row r="11" spans="1:28" x14ac:dyDescent="0.25">
      <c r="A11" s="162" t="s">
        <v>23</v>
      </c>
      <c r="B11" s="187"/>
      <c r="C11" s="36">
        <f>C12+C13</f>
        <v>19.4937961965</v>
      </c>
      <c r="D11" s="36">
        <f>D12+D13</f>
        <v>61.778976009324936</v>
      </c>
      <c r="E11" s="36">
        <f>E12+E13</f>
        <v>5.59868042002255</v>
      </c>
      <c r="F11" s="36">
        <f>F12+F13</f>
        <v>25.86248187247341</v>
      </c>
      <c r="G11" s="36">
        <f>G12+G13</f>
        <v>12.05881789</v>
      </c>
      <c r="H11" s="163">
        <f t="shared" si="0"/>
        <v>124.79275238832089</v>
      </c>
      <c r="I11" s="166"/>
      <c r="J11" s="166"/>
      <c r="K11" s="198" t="s">
        <v>88</v>
      </c>
      <c r="L11" s="199">
        <f>H24</f>
        <v>96.299836056081389</v>
      </c>
      <c r="M11" s="199">
        <f>H50</f>
        <v>62.132731171059064</v>
      </c>
      <c r="N11" s="89">
        <f>H76</f>
        <v>45.406093069299793</v>
      </c>
      <c r="O11" s="206"/>
      <c r="P11" s="206"/>
      <c r="Q11" s="206"/>
      <c r="R11" s="206"/>
      <c r="S11" s="206"/>
      <c r="T11" s="207"/>
      <c r="U11" s="38"/>
      <c r="V11" s="45"/>
      <c r="W11" s="82"/>
      <c r="X11" s="208"/>
      <c r="Y11" s="208"/>
      <c r="Z11" s="208"/>
      <c r="AA11" s="208"/>
      <c r="AB11" s="208"/>
    </row>
    <row r="12" spans="1:28" x14ac:dyDescent="0.25">
      <c r="A12" s="149" t="s">
        <v>24</v>
      </c>
      <c r="B12" s="35"/>
      <c r="C12" s="16">
        <f>(Résultats!N$162+Résultats!N$163+Résultats!N$164+Résultats!N$165+Résultats!N$166+Résultats!N$167)/1000000</f>
        <v>19.4937961965</v>
      </c>
      <c r="D12" s="16">
        <f>(Résultats!N$171+Résultats!N$173+Résultats!N$174+Résultats!N$175+Résultats!N$176+Résultats!N$177+Résultats!N$178+Résultats!N$179+Résultats!N$180+Résultats!N$181+Résultats!N$182)/1000000</f>
        <v>54.762124637324938</v>
      </c>
      <c r="E12" s="16">
        <f>'T energie usages'!J17/'T energie usages'!J$20*(Résultats!N$192+Résultats!N$193+Résultats!N$194)/1000000</f>
        <v>5.4415964845859373</v>
      </c>
      <c r="F12" s="16">
        <f>(Résultats!N$197+Résultats!N$198+Résultats!N$199+Résultats!N$200+Résultats!N$201+Résultats!N$202+Résultats!N$203+Résultats!N$204+Résultats!N$205+Résultats!N$206+Résultats!N$207+Résultats!N$208+Résultats!N$216+Résultats!N$218)/1000000</f>
        <v>25.199302265373408</v>
      </c>
      <c r="G12" s="16">
        <f>Résultats!N$133/1000000</f>
        <v>12.05881789</v>
      </c>
      <c r="H12" s="95">
        <f t="shared" si="0"/>
        <v>116.95563747378429</v>
      </c>
      <c r="I12" s="166"/>
      <c r="J12" s="166"/>
      <c r="K12" s="200" t="s">
        <v>1</v>
      </c>
      <c r="L12" s="188">
        <f>SUM(L8:L11)</f>
        <v>293.1401544002494</v>
      </c>
      <c r="M12" s="188">
        <f t="shared" ref="M12:N12" si="1">SUM(M8:M11)</f>
        <v>205.44793669735509</v>
      </c>
      <c r="N12" s="188">
        <f t="shared" si="1"/>
        <v>77.228916115327237</v>
      </c>
      <c r="O12" s="206"/>
      <c r="P12" s="206"/>
      <c r="Q12" s="206"/>
      <c r="R12" s="206"/>
      <c r="S12" s="206"/>
      <c r="T12" s="207"/>
      <c r="U12" s="38"/>
      <c r="V12" s="45"/>
      <c r="W12" s="30"/>
      <c r="X12" s="208"/>
      <c r="Y12" s="208"/>
      <c r="Z12" s="208"/>
      <c r="AA12" s="208"/>
      <c r="AB12" s="208"/>
    </row>
    <row r="13" spans="1:28" x14ac:dyDescent="0.25">
      <c r="A13" s="149" t="s">
        <v>25</v>
      </c>
      <c r="B13" s="35"/>
      <c r="C13" s="16">
        <v>0</v>
      </c>
      <c r="D13" s="16">
        <f>(Résultats!N$172)/1000000</f>
        <v>7.0168513720000005</v>
      </c>
      <c r="E13" s="16">
        <f>'T energie usages'!J19/'T energie usages'!J$20*(Résultats!N$192+Résultats!N$193+Résultats!N$194)/1000000</f>
        <v>0.15708393543661239</v>
      </c>
      <c r="F13" s="16">
        <f>(Résultats!N$196)/1000000</f>
        <v>0.66317960710000001</v>
      </c>
      <c r="G13" s="16">
        <v>0</v>
      </c>
      <c r="H13" s="95">
        <f t="shared" si="0"/>
        <v>7.8371149145366132</v>
      </c>
      <c r="I13" s="166"/>
      <c r="J13" s="166"/>
      <c r="K13" s="166"/>
      <c r="L13" s="166"/>
      <c r="M13" s="166"/>
      <c r="N13" s="38"/>
      <c r="O13" s="206"/>
      <c r="P13" s="206"/>
      <c r="Q13" s="206"/>
      <c r="R13" s="206"/>
      <c r="S13" s="206"/>
      <c r="T13" s="207"/>
      <c r="U13" s="38"/>
      <c r="V13" s="45"/>
      <c r="W13" s="30"/>
      <c r="X13" s="208"/>
      <c r="Y13" s="208"/>
      <c r="Z13" s="208"/>
      <c r="AA13" s="208"/>
      <c r="AB13" s="208"/>
    </row>
    <row r="14" spans="1:28" x14ac:dyDescent="0.25">
      <c r="A14" s="48" t="s">
        <v>41</v>
      </c>
      <c r="B14" s="37"/>
      <c r="C14" s="37">
        <f>SUM(C9:C11)+C6</f>
        <v>20.5316901395</v>
      </c>
      <c r="D14" s="37">
        <f>SUM(D9:D11)+D6</f>
        <v>224.94488874017503</v>
      </c>
      <c r="E14" s="37">
        <f>SUM(E9:E11)+E6</f>
        <v>18.865186567999999</v>
      </c>
      <c r="F14" s="37">
        <f>SUM(F9:F11)+F6</f>
        <v>65.004466176623524</v>
      </c>
      <c r="G14" s="37">
        <f>SUM(G9:G11)+G6</f>
        <v>12.05881789</v>
      </c>
      <c r="H14" s="167">
        <f t="shared" si="0"/>
        <v>341.40504951429853</v>
      </c>
      <c r="I14" s="166"/>
      <c r="J14" s="166"/>
      <c r="K14" s="166"/>
      <c r="L14" s="166"/>
      <c r="M14" s="166"/>
      <c r="N14" s="38"/>
      <c r="O14" s="206"/>
      <c r="P14" s="206"/>
      <c r="Q14" s="206"/>
      <c r="R14" s="206"/>
      <c r="S14" s="206"/>
      <c r="T14" s="207"/>
      <c r="U14" s="38"/>
      <c r="V14" s="45"/>
      <c r="W14" s="80"/>
      <c r="X14" s="208"/>
      <c r="Y14" s="208"/>
      <c r="Z14" s="208"/>
      <c r="AA14" s="208"/>
      <c r="AB14" s="208"/>
    </row>
    <row r="15" spans="1:28" x14ac:dyDescent="0.25">
      <c r="A15" s="164" t="s">
        <v>43</v>
      </c>
      <c r="B15" s="164"/>
      <c r="C15" s="165">
        <f>(Résultats!N$135+Résultats!N$162+Résultats!N$163+Résultats!N$164+Résultats!N$165+Résultats!N$166+Résultats!N$167+Résultats!N$168+Résultats!N$169)/1000000</f>
        <v>20.5316901395</v>
      </c>
      <c r="D15" s="165">
        <f>(Résultats!N$137+Résultats!N$171+Résultats!N$172+Résultats!N$173+Résultats!N$174+Résultats!N$175+Résultats!N$176+Résultats!N$177+Résultats!N$178+Résultats!N$179+Résultats!N$180+Résultats!N$181+Résultats!N$182+Résultats!N$183+Résultats!N$184+Résultats!N$185+Résultats!N$186+Résultats!N$187+Résultats!N$188+Résultats!N$189)/1000000</f>
        <v>224.20752656102493</v>
      </c>
      <c r="E15" s="165">
        <f>(Résultats!N$192+Résultats!N$193+Résultats!N$194)/1000000</f>
        <v>18.865186567999999</v>
      </c>
      <c r="F15" s="165">
        <f>(Résultats!N$139+Résultats!N$196+Résultats!N$197+Résultats!N$198+Résultats!N$199+Résultats!N$200+Résultats!N$201+Résultats!N$202+Résultats!N$203+Résultats!N$204+Résultats!N$205+Résultats!N$206+Résultats!N$207+Résultats!N$208+Résultats!N$209+Résultats!N$210+Résultats!N$211+Résultats!N$212+Résultats!N$213+Résultats!N$214+Résultats!N$215+Résultats!N$216+Résultats!N$218)/1000000</f>
        <v>73.95137146229338</v>
      </c>
      <c r="G15" s="165">
        <f>Résultats!N$133/1000000</f>
        <v>12.05881789</v>
      </c>
      <c r="H15" s="188">
        <f t="shared" si="0"/>
        <v>349.61459262081831</v>
      </c>
      <c r="I15" s="166"/>
      <c r="J15" s="166"/>
      <c r="K15" s="166"/>
      <c r="L15" s="166"/>
      <c r="M15" s="207"/>
      <c r="N15" s="45"/>
      <c r="O15" s="166"/>
      <c r="P15" s="166"/>
      <c r="Q15" s="166"/>
      <c r="R15" s="166"/>
      <c r="S15" s="207"/>
      <c r="T15" s="207"/>
      <c r="U15" s="45"/>
      <c r="V15" s="45"/>
      <c r="W15" s="79"/>
      <c r="X15" s="208"/>
      <c r="Y15" s="208"/>
      <c r="Z15" s="208"/>
      <c r="AA15" s="208"/>
      <c r="AB15" s="208"/>
    </row>
    <row r="16" spans="1:28" x14ac:dyDescent="0.25">
      <c r="A16" s="164"/>
      <c r="B16" s="164"/>
      <c r="C16" s="189"/>
      <c r="D16" s="189"/>
      <c r="E16" s="189"/>
      <c r="F16" s="189"/>
      <c r="G16" s="189"/>
      <c r="H16" s="165">
        <f>Résultats!N227/1000000</f>
        <v>349.61459200000002</v>
      </c>
      <c r="I16" s="166"/>
      <c r="J16" s="166"/>
      <c r="K16" s="166"/>
      <c r="L16" s="166"/>
      <c r="M16" s="207"/>
      <c r="N16" s="209"/>
      <c r="O16" s="166"/>
      <c r="P16" s="166"/>
      <c r="Q16" s="166"/>
      <c r="R16" s="166"/>
      <c r="S16" s="207"/>
      <c r="T16" s="207"/>
      <c r="U16" s="209"/>
      <c r="V16" s="209"/>
      <c r="W16" s="210"/>
      <c r="X16" s="208"/>
      <c r="Y16" s="208"/>
      <c r="Z16" s="208"/>
      <c r="AA16" s="208"/>
      <c r="AB16" s="208"/>
    </row>
    <row r="17" spans="1:28" x14ac:dyDescent="0.25">
      <c r="A17" s="3"/>
      <c r="B17" s="3"/>
      <c r="C17" s="75"/>
      <c r="D17" s="75"/>
      <c r="E17" s="75"/>
      <c r="F17" s="75"/>
      <c r="G17" s="75"/>
      <c r="H17" s="45"/>
      <c r="I17" s="166"/>
      <c r="J17" s="166"/>
      <c r="K17" s="166"/>
      <c r="L17" s="166"/>
      <c r="M17" s="207"/>
      <c r="O17" s="166"/>
      <c r="P17" s="166"/>
      <c r="Q17" s="166"/>
      <c r="R17" s="166"/>
      <c r="S17" s="207"/>
      <c r="T17" s="207"/>
      <c r="X17" s="208"/>
      <c r="Y17" s="208"/>
      <c r="Z17" s="208"/>
      <c r="AA17" s="208"/>
      <c r="AB17" s="208"/>
    </row>
    <row r="18" spans="1:28" ht="21" x14ac:dyDescent="0.35">
      <c r="A18" s="145">
        <v>2020</v>
      </c>
      <c r="B18" s="186"/>
      <c r="C18" s="27" t="s">
        <v>36</v>
      </c>
      <c r="D18" s="27" t="s">
        <v>37</v>
      </c>
      <c r="E18" s="27" t="s">
        <v>38</v>
      </c>
      <c r="F18" s="27" t="s">
        <v>39</v>
      </c>
      <c r="G18" s="27" t="s">
        <v>40</v>
      </c>
      <c r="H18" s="190" t="s">
        <v>1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W18" s="19"/>
      <c r="X18" s="19"/>
      <c r="Y18" s="19"/>
      <c r="Z18" s="19"/>
      <c r="AA18" s="19"/>
      <c r="AB18" s="208"/>
    </row>
    <row r="19" spans="1:28" x14ac:dyDescent="0.25">
      <c r="A19" s="162" t="s">
        <v>18</v>
      </c>
      <c r="B19" s="187"/>
      <c r="C19" s="36">
        <f>C20+C21</f>
        <v>0</v>
      </c>
      <c r="D19" s="36">
        <f>D20+D21</f>
        <v>125.132941268987</v>
      </c>
      <c r="E19" s="36">
        <f>E20+E21</f>
        <v>0.5896708550882177</v>
      </c>
      <c r="F19" s="36">
        <f>F20+F21</f>
        <v>0.44960140003045146</v>
      </c>
      <c r="G19" s="36">
        <f>G20+G21</f>
        <v>0</v>
      </c>
      <c r="H19" s="163">
        <f>SUM(C19:G19)</f>
        <v>126.17221352410566</v>
      </c>
      <c r="I19" s="166"/>
      <c r="J19" s="166"/>
      <c r="K19" s="166"/>
      <c r="L19" s="166"/>
      <c r="M19" s="166"/>
      <c r="N19" s="38"/>
      <c r="O19" s="206"/>
      <c r="P19" s="206"/>
      <c r="Q19" s="206"/>
      <c r="R19" s="206"/>
      <c r="S19" s="206"/>
      <c r="T19" s="207"/>
      <c r="U19" s="75"/>
      <c r="W19" s="82"/>
      <c r="X19" s="208"/>
      <c r="Y19" s="208"/>
      <c r="Z19" s="208"/>
      <c r="AA19" s="208"/>
      <c r="AB19" s="208"/>
    </row>
    <row r="20" spans="1:28" x14ac:dyDescent="0.25">
      <c r="A20" s="148" t="s">
        <v>19</v>
      </c>
      <c r="B20" s="35"/>
      <c r="C20" s="16">
        <v>0</v>
      </c>
      <c r="D20" s="16">
        <f>'T energie usages'!I25*3.2*Résultats!S283</f>
        <v>71.087141464786995</v>
      </c>
      <c r="E20" s="16">
        <f>'T energie usages'!J25/'T energie usages'!J$33*(Résultats!S$192+Résultats!S$193+Résultats!S$194)/1000000</f>
        <v>3.3709110517325044E-2</v>
      </c>
      <c r="F20" s="16">
        <f>'T energie usages'!K25*2.394*Résultats!S284</f>
        <v>1.6954580451429435E-5</v>
      </c>
      <c r="G20" s="16">
        <v>0</v>
      </c>
      <c r="H20" s="95">
        <f>SUM(C20:G20)</f>
        <v>71.120867529884762</v>
      </c>
      <c r="I20" s="166"/>
      <c r="J20" s="166"/>
      <c r="K20" s="166"/>
      <c r="L20" s="166"/>
      <c r="M20" s="166"/>
      <c r="N20" s="38"/>
      <c r="O20" s="206"/>
      <c r="P20" s="206"/>
      <c r="Q20" s="206"/>
      <c r="R20" s="206"/>
      <c r="S20" s="206"/>
      <c r="T20" s="207"/>
      <c r="U20" s="16"/>
      <c r="W20" s="30"/>
      <c r="X20" s="208"/>
      <c r="Y20" s="208"/>
      <c r="Z20" s="208"/>
      <c r="AA20" s="208"/>
      <c r="AB20" s="208"/>
    </row>
    <row r="21" spans="1:28" x14ac:dyDescent="0.25">
      <c r="A21" s="149" t="s">
        <v>20</v>
      </c>
      <c r="B21" s="35"/>
      <c r="C21" s="16">
        <v>0</v>
      </c>
      <c r="D21" s="16">
        <f>(Résultats!S$183+Résultats!S$184+Résultats!S$185+Résultats!S$186+Résultats!S$187)/1000000</f>
        <v>54.045799804200001</v>
      </c>
      <c r="E21" s="16">
        <f>'T energie usages'!J26/'T energie usages'!J$33*(Résultats!S$192+Résultats!S$193+Résultats!S$194)/1000000</f>
        <v>0.55596174457089265</v>
      </c>
      <c r="F21" s="16">
        <f>(Résultats!S$209+Résultats!S$210+Résultats!S$211+Résultats!S$212+Résultats!S$213)/1000000</f>
        <v>0.44958444545000004</v>
      </c>
      <c r="G21" s="16">
        <v>0</v>
      </c>
      <c r="H21" s="95">
        <f>SUM(C21:G21)</f>
        <v>55.051345994220895</v>
      </c>
      <c r="I21" s="166"/>
      <c r="J21" s="166"/>
      <c r="K21" s="166"/>
      <c r="L21" s="166"/>
      <c r="M21" s="166"/>
      <c r="N21" s="38"/>
      <c r="O21" s="206"/>
      <c r="P21" s="206"/>
      <c r="Q21" s="206"/>
      <c r="R21" s="206"/>
      <c r="S21" s="206"/>
      <c r="T21" s="207"/>
      <c r="U21" s="16"/>
      <c r="W21" s="30"/>
      <c r="X21" s="208"/>
      <c r="Y21" s="208"/>
      <c r="Z21" s="208"/>
      <c r="AA21" s="208"/>
      <c r="AB21" s="208"/>
    </row>
    <row r="22" spans="1:28" x14ac:dyDescent="0.25">
      <c r="A22" s="162" t="s">
        <v>21</v>
      </c>
      <c r="B22" s="187"/>
      <c r="C22" s="36">
        <f>Résultats!S$135/1000000</f>
        <v>1.0037319549999999</v>
      </c>
      <c r="D22" s="36">
        <f>'T energie usages'!I27*3.2*Résultats!S283</f>
        <v>19.618209384780986</v>
      </c>
      <c r="E22" s="36">
        <f>'T energie usages'!J27/'T energie usages'!J$33*(Résultats!S$192+Résultats!S$193+Résultats!S$194)/1000000</f>
        <v>5.3548830292910976</v>
      </c>
      <c r="F22" s="36">
        <f>('T energie usages'!K27-8)*2.394*Résultats!S284</f>
        <v>19.392828958016668</v>
      </c>
      <c r="G22" s="36">
        <v>0</v>
      </c>
      <c r="H22" s="163">
        <f>SUM(C22:G22)</f>
        <v>45.369653327088756</v>
      </c>
      <c r="I22" s="166"/>
      <c r="J22" s="166"/>
      <c r="K22" s="166"/>
      <c r="L22" s="166"/>
      <c r="M22" s="166"/>
      <c r="N22" s="38"/>
      <c r="O22" s="206"/>
      <c r="P22" s="206"/>
      <c r="Q22" s="206"/>
      <c r="R22" s="206"/>
      <c r="S22" s="206"/>
      <c r="T22" s="207"/>
      <c r="U22" s="75"/>
      <c r="W22" s="82"/>
      <c r="X22" s="208"/>
      <c r="Y22" s="208"/>
      <c r="Z22" s="208"/>
      <c r="AA22" s="208"/>
      <c r="AB22" s="208"/>
    </row>
    <row r="23" spans="1:28" x14ac:dyDescent="0.25">
      <c r="A23" s="162" t="s">
        <v>22</v>
      </c>
      <c r="B23" s="187"/>
      <c r="C23" s="36">
        <f>(Résultats!S$168+Résultats!S$169)/1000000</f>
        <v>0</v>
      </c>
      <c r="D23" s="36">
        <f>(Résultats!S$188+Résultats!S$189)/1000000</f>
        <v>7.5578844229000008</v>
      </c>
      <c r="E23" s="36">
        <f>'T energie usages'!J28/'T energie usages'!J$33*(Résultats!S$192+Résultats!S$193+Résultats!S$194)/1000000</f>
        <v>4.0552732690736173</v>
      </c>
      <c r="F23" s="36">
        <f>(Résultats!S$214+Résultats!S$215)/1000000</f>
        <v>13.685293800999998</v>
      </c>
      <c r="G23" s="36">
        <v>0</v>
      </c>
      <c r="H23" s="163">
        <f t="shared" ref="H23:H28" si="2">SUM(C23:G23)</f>
        <v>25.298451492973619</v>
      </c>
      <c r="I23" s="166"/>
      <c r="J23" s="166"/>
      <c r="K23" s="166"/>
      <c r="L23" s="166"/>
      <c r="M23" s="166"/>
      <c r="N23" s="38"/>
      <c r="O23" s="206"/>
      <c r="P23" s="206"/>
      <c r="Q23" s="206"/>
      <c r="R23" s="206"/>
      <c r="S23" s="206"/>
      <c r="T23" s="207"/>
      <c r="U23" s="75"/>
      <c r="W23" s="82"/>
      <c r="X23" s="208"/>
      <c r="Y23" s="208"/>
      <c r="Z23" s="208"/>
      <c r="AA23" s="208"/>
      <c r="AB23" s="208"/>
    </row>
    <row r="24" spans="1:28" x14ac:dyDescent="0.25">
      <c r="A24" s="162" t="s">
        <v>23</v>
      </c>
      <c r="B24" s="187"/>
      <c r="C24" s="36">
        <f>C25+C26</f>
        <v>10.370266515000003</v>
      </c>
      <c r="D24" s="36">
        <f>D25+D26</f>
        <v>42.573338091473651</v>
      </c>
      <c r="E24" s="36">
        <f>E25+E26</f>
        <v>3.4009453935470653</v>
      </c>
      <c r="F24" s="36">
        <f>F25+F26</f>
        <v>26.459362666060667</v>
      </c>
      <c r="G24" s="36">
        <f>G25+G26</f>
        <v>13.49592339</v>
      </c>
      <c r="H24" s="163">
        <f t="shared" si="2"/>
        <v>96.299836056081389</v>
      </c>
      <c r="I24" s="166"/>
      <c r="J24" s="166"/>
      <c r="K24" s="166"/>
      <c r="L24" s="166"/>
      <c r="M24" s="166"/>
      <c r="N24" s="38"/>
      <c r="O24" s="206"/>
      <c r="P24" s="206"/>
      <c r="Q24" s="206"/>
      <c r="R24" s="206"/>
      <c r="S24" s="206"/>
      <c r="T24" s="207"/>
      <c r="U24" s="75"/>
      <c r="W24" s="82"/>
      <c r="X24" s="208"/>
      <c r="Y24" s="208"/>
      <c r="Z24" s="208"/>
      <c r="AA24" s="208"/>
      <c r="AB24" s="208"/>
    </row>
    <row r="25" spans="1:28" x14ac:dyDescent="0.25">
      <c r="A25" s="149" t="s">
        <v>24</v>
      </c>
      <c r="B25" s="35"/>
      <c r="C25" s="16">
        <f>(Résultats!S$162+Résultats!S$163+Résultats!S$164+Résultats!S$165+Résultats!S$166+Résultats!S$167)/1000000</f>
        <v>10.370266515000003</v>
      </c>
      <c r="D25" s="16">
        <f>(Résultats!S$171+Résultats!S$173+Résultats!S$174+Résultats!S$175+Résultats!S$176+Résultats!S$177+Résultats!S$178+Résultats!S$179+Résultats!S$180+Résultats!S$181+Résultats!S$182)/1000000</f>
        <v>35.756223292473649</v>
      </c>
      <c r="E25" s="16">
        <f>'T energie usages'!J30/'T energie usages'!J$33*(Résultats!S$192+Résultats!S$193+Résultats!S$194)/1000000</f>
        <v>3.2878665440813988</v>
      </c>
      <c r="F25" s="16">
        <f>(Résultats!S$197+Résultats!S$198+Résultats!S$199+Résultats!S$200+Résultats!S$201+Résultats!S$202+Résultats!S$203+Résultats!S$204+Résultats!S$205+Résultats!S$206+Résultats!S$207+Résultats!S$208+Résultats!S$216+Résultats!S$218)/1000000</f>
        <v>25.855351460360666</v>
      </c>
      <c r="G25" s="16">
        <f>Résultats!S$133/1000000</f>
        <v>13.49592339</v>
      </c>
      <c r="H25" s="95">
        <f t="shared" si="2"/>
        <v>88.76563120191571</v>
      </c>
      <c r="I25" s="166"/>
      <c r="J25" s="166"/>
      <c r="K25" s="166"/>
      <c r="L25" s="166"/>
      <c r="M25" s="166"/>
      <c r="N25" s="38"/>
      <c r="O25" s="206"/>
      <c r="P25" s="206"/>
      <c r="Q25" s="206"/>
      <c r="R25" s="206"/>
      <c r="S25" s="206"/>
      <c r="T25" s="207"/>
      <c r="U25" s="16"/>
      <c r="W25" s="30"/>
      <c r="X25" s="208"/>
      <c r="Y25" s="208"/>
      <c r="Z25" s="208"/>
      <c r="AA25" s="208"/>
      <c r="AB25" s="208"/>
    </row>
    <row r="26" spans="1:28" x14ac:dyDescent="0.25">
      <c r="A26" s="149" t="s">
        <v>25</v>
      </c>
      <c r="B26" s="35"/>
      <c r="C26" s="16">
        <v>0</v>
      </c>
      <c r="D26" s="16">
        <f>(Résultats!S$172)/1000000</f>
        <v>6.8171147989999996</v>
      </c>
      <c r="E26" s="16">
        <f>'T energie usages'!J32/'T energie usages'!J$33*(Résultats!S$192+Résultats!S$193+Résultats!S$194)/1000000</f>
        <v>0.11307884946566664</v>
      </c>
      <c r="F26" s="16">
        <f>(Résultats!S$196)/1000000</f>
        <v>0.6040112057</v>
      </c>
      <c r="G26" s="16">
        <v>0</v>
      </c>
      <c r="H26" s="95">
        <f t="shared" si="2"/>
        <v>7.5342048541656661</v>
      </c>
      <c r="I26" s="166"/>
      <c r="J26" s="166"/>
      <c r="K26" s="166"/>
      <c r="L26" s="166"/>
      <c r="M26" s="166"/>
      <c r="N26" s="38"/>
      <c r="O26" s="206"/>
      <c r="P26" s="206"/>
      <c r="Q26" s="206"/>
      <c r="R26" s="206"/>
      <c r="S26" s="206"/>
      <c r="T26" s="207"/>
      <c r="U26" s="16"/>
      <c r="W26" s="30"/>
      <c r="X26" s="208"/>
      <c r="Y26" s="208"/>
      <c r="Z26" s="208"/>
      <c r="AA26" s="208"/>
      <c r="AB26" s="208"/>
    </row>
    <row r="27" spans="1:28" x14ac:dyDescent="0.25">
      <c r="A27" s="48" t="s">
        <v>41</v>
      </c>
      <c r="B27" s="37"/>
      <c r="C27" s="37">
        <f>SUM(C22:C24)+C19</f>
        <v>11.373998470000002</v>
      </c>
      <c r="D27" s="37">
        <f>SUM(D22:D24)+D19</f>
        <v>194.88237316814164</v>
      </c>
      <c r="E27" s="37">
        <f>SUM(E22:E24)+E19</f>
        <v>13.400772546999997</v>
      </c>
      <c r="F27" s="37">
        <f>SUM(F22:F24)+F19</f>
        <v>59.987086825107788</v>
      </c>
      <c r="G27" s="37">
        <f>SUM(G22:G24)+G19</f>
        <v>13.49592339</v>
      </c>
      <c r="H27" s="167">
        <f t="shared" si="2"/>
        <v>293.1401544002494</v>
      </c>
      <c r="I27" s="166"/>
      <c r="J27" s="166"/>
      <c r="K27" s="166"/>
      <c r="L27" s="166"/>
      <c r="M27" s="166"/>
      <c r="N27" s="38"/>
      <c r="O27" s="206"/>
      <c r="P27" s="206"/>
      <c r="Q27" s="206"/>
      <c r="R27" s="206"/>
      <c r="S27" s="206"/>
      <c r="T27" s="207"/>
      <c r="U27" s="79"/>
      <c r="W27" s="80"/>
      <c r="X27" s="208"/>
      <c r="Y27" s="208"/>
      <c r="Z27" s="208"/>
      <c r="AA27" s="208"/>
      <c r="AB27" s="208"/>
    </row>
    <row r="28" spans="1:28" x14ac:dyDescent="0.25">
      <c r="A28" s="164" t="s">
        <v>43</v>
      </c>
      <c r="B28" s="164"/>
      <c r="C28" s="165">
        <f>(Résultats!S$135+Résultats!S$162+Résultats!S$163+Résultats!S$164+Résultats!S$165+Résultats!S$166+Résultats!S$167+Résultats!S$168+Résultats!S$169)/1000000</f>
        <v>11.373998470000002</v>
      </c>
      <c r="D28" s="165">
        <f>(Résultats!S$137+Résultats!S$171+Résultats!S$172+Résultats!S$173+Résultats!S$174+Résultats!S$175+Résultats!S$176+Résultats!S$177+Résultats!S$178+Résultats!S$179+Résultats!S$180+Résultats!S$181+Résultats!S$182+Résultats!S$183+Résultats!S$184+Résultats!S$185+Résultats!S$186+Résultats!S$187+Résultats!S$188+Résultats!S$189)/1000000</f>
        <v>194.9371865785736</v>
      </c>
      <c r="E28" s="165">
        <f>(Résultats!S$192+Résultats!S$193+Résultats!S$194)/1000000</f>
        <v>13.400772547000001</v>
      </c>
      <c r="F28" s="165">
        <f>(Résultats!S$139+Résultats!S$196+Résultats!S$197+Résultats!S$198+Résultats!S$199+Résultats!S$200+Résultats!S$201+Résultats!S$202+Résultats!S$203+Résultats!S$204+Résultats!S$205+Résultats!S$206+Résultats!S$207+Résultats!S$208+Résultats!S$209+Résultats!S$210+Résultats!S$211+Résultats!S$212+Résultats!S$213+Résultats!S$214+Résultats!S$215+Résultats!S$216+Résultats!S$218)/1000000</f>
        <v>70.01686423251067</v>
      </c>
      <c r="G28" s="165">
        <f>Résultats!S$133/1000000</f>
        <v>13.49592339</v>
      </c>
      <c r="H28" s="188">
        <f t="shared" si="2"/>
        <v>303.22474521808425</v>
      </c>
      <c r="I28" s="166"/>
      <c r="J28" s="166"/>
      <c r="K28" s="166"/>
      <c r="L28" s="166"/>
      <c r="M28" s="166"/>
      <c r="N28" s="45"/>
      <c r="O28" s="166"/>
      <c r="P28" s="166"/>
      <c r="Q28" s="166"/>
      <c r="R28" s="166"/>
      <c r="S28" s="166"/>
      <c r="T28" s="207"/>
      <c r="U28" s="45"/>
      <c r="V28" s="45"/>
      <c r="W28" s="45"/>
      <c r="X28" s="208"/>
      <c r="Y28" s="208"/>
      <c r="Z28" s="208"/>
      <c r="AA28" s="208"/>
      <c r="AB28" s="208"/>
    </row>
    <row r="29" spans="1:28" x14ac:dyDescent="0.25">
      <c r="A29" s="164"/>
      <c r="B29" s="164"/>
      <c r="C29" s="189"/>
      <c r="D29" s="189"/>
      <c r="E29" s="189"/>
      <c r="F29" s="189"/>
      <c r="G29" s="189"/>
      <c r="H29" s="165">
        <f>Résultats!S227/1000000</f>
        <v>303.22474460000001</v>
      </c>
      <c r="I29" s="166"/>
      <c r="J29" s="166"/>
      <c r="K29" s="166"/>
      <c r="L29" s="166"/>
      <c r="M29" s="166"/>
      <c r="N29" s="45"/>
      <c r="O29" s="166"/>
      <c r="P29" s="166"/>
      <c r="Q29" s="166"/>
      <c r="R29" s="166"/>
      <c r="S29" s="166"/>
      <c r="T29" s="207"/>
      <c r="U29" s="45"/>
      <c r="V29" s="45"/>
      <c r="W29" s="45"/>
      <c r="X29" s="208"/>
      <c r="Y29" s="208"/>
      <c r="Z29" s="208"/>
      <c r="AA29" s="208"/>
      <c r="AB29" s="208"/>
    </row>
    <row r="30" spans="1:28" x14ac:dyDescent="0.25">
      <c r="A30" s="3"/>
      <c r="B30" s="3"/>
      <c r="C30" s="191"/>
      <c r="D30" s="191"/>
      <c r="E30" s="191"/>
      <c r="F30" s="191"/>
      <c r="G30" s="75"/>
      <c r="H30" s="45"/>
      <c r="I30" s="166"/>
      <c r="J30" s="166"/>
      <c r="K30" s="166"/>
      <c r="L30" s="166"/>
      <c r="N30" s="45"/>
      <c r="O30" s="166"/>
      <c r="P30" s="166"/>
      <c r="Q30" s="166"/>
      <c r="R30" s="166"/>
      <c r="S30" s="166"/>
      <c r="T30" s="207"/>
      <c r="U30" s="45"/>
      <c r="V30" s="45"/>
      <c r="W30" s="45"/>
      <c r="X30" s="208"/>
      <c r="Y30" s="208"/>
      <c r="Z30" s="208"/>
      <c r="AA30" s="208"/>
      <c r="AB30" s="208"/>
    </row>
    <row r="31" spans="1:28" ht="21" x14ac:dyDescent="0.35">
      <c r="A31" s="145">
        <v>2025</v>
      </c>
      <c r="B31" s="186"/>
      <c r="C31" s="27" t="s">
        <v>36</v>
      </c>
      <c r="D31" s="27" t="s">
        <v>37</v>
      </c>
      <c r="E31" s="27" t="s">
        <v>38</v>
      </c>
      <c r="F31" s="27" t="s">
        <v>39</v>
      </c>
      <c r="G31" s="27" t="s">
        <v>40</v>
      </c>
      <c r="H31" s="190" t="s">
        <v>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45"/>
      <c r="W31" s="19"/>
      <c r="X31" s="19"/>
      <c r="Y31" s="19"/>
      <c r="Z31" s="19"/>
      <c r="AA31" s="19"/>
      <c r="AB31" s="208"/>
    </row>
    <row r="32" spans="1:28" x14ac:dyDescent="0.25">
      <c r="A32" s="162" t="s">
        <v>18</v>
      </c>
      <c r="B32" s="187"/>
      <c r="C32" s="36">
        <f>C33+C34</f>
        <v>0</v>
      </c>
      <c r="D32" s="36">
        <f>D33+D34</f>
        <v>118.52950008143635</v>
      </c>
      <c r="E32" s="36">
        <f>E33+E34</f>
        <v>0.56789434940456684</v>
      </c>
      <c r="F32" s="36">
        <f>F33+F34</f>
        <v>0.56836947291526918</v>
      </c>
      <c r="G32" s="36">
        <f>G33+G34</f>
        <v>0</v>
      </c>
      <c r="H32" s="163">
        <f>SUM(C32:G32)</f>
        <v>119.66576390375619</v>
      </c>
      <c r="I32" s="166"/>
      <c r="J32" s="166"/>
      <c r="K32" s="166"/>
      <c r="L32" s="166"/>
      <c r="M32" s="166"/>
      <c r="N32" s="38"/>
      <c r="O32" s="206"/>
      <c r="P32" s="206"/>
      <c r="Q32" s="206"/>
      <c r="R32" s="206"/>
      <c r="S32" s="206"/>
      <c r="T32" s="207"/>
      <c r="U32" s="75"/>
      <c r="V32" s="45"/>
      <c r="W32" s="82"/>
      <c r="X32" s="208"/>
      <c r="Y32" s="208"/>
      <c r="Z32" s="208"/>
      <c r="AA32" s="208"/>
      <c r="AB32" s="208"/>
    </row>
    <row r="33" spans="1:28" x14ac:dyDescent="0.25">
      <c r="A33" s="148" t="s">
        <v>19</v>
      </c>
      <c r="B33" s="35"/>
      <c r="C33" s="16">
        <v>0</v>
      </c>
      <c r="D33" s="16">
        <f>'T energie usages'!I64*3.2*Résultats!X283</f>
        <v>64.344583614936354</v>
      </c>
      <c r="E33" s="16">
        <f>'T energie usages'!J64/'T energie usages'!J$72*(Résultats!X$192+Résultats!X$193+Résultats!X$194)/1000000</f>
        <v>7.8519349748436232E-2</v>
      </c>
      <c r="F33" s="16">
        <f>'T energie usages'!K64*2.394*Résultats!X284</f>
        <v>2.6168025269104081E-5</v>
      </c>
      <c r="G33" s="16">
        <v>0</v>
      </c>
      <c r="H33" s="95">
        <f>SUM(C33:G33)</f>
        <v>64.423129132710059</v>
      </c>
      <c r="I33" s="166"/>
      <c r="J33" s="166"/>
      <c r="K33" s="166"/>
      <c r="L33" s="166"/>
      <c r="M33" s="166"/>
      <c r="N33" s="38"/>
      <c r="O33" s="206"/>
      <c r="P33" s="206"/>
      <c r="Q33" s="206"/>
      <c r="R33" s="206"/>
      <c r="S33" s="206"/>
      <c r="T33" s="207"/>
      <c r="U33" s="16"/>
      <c r="V33" s="45"/>
      <c r="W33" s="30"/>
      <c r="X33" s="208"/>
      <c r="Y33" s="208"/>
      <c r="Z33" s="208"/>
      <c r="AA33" s="208"/>
      <c r="AB33" s="208"/>
    </row>
    <row r="34" spans="1:28" x14ac:dyDescent="0.25">
      <c r="A34" s="149" t="s">
        <v>20</v>
      </c>
      <c r="B34" s="35"/>
      <c r="C34" s="16">
        <v>0</v>
      </c>
      <c r="D34" s="16">
        <f>(Résultats!X$183+Résultats!X$184+Résultats!X$185+Résultats!X$186+Résultats!X$187)/1000000</f>
        <v>54.184916466499999</v>
      </c>
      <c r="E34" s="16">
        <f>'T energie usages'!J65/'T energie usages'!J$72*(Résultats!X$192+Résultats!X$193+Résultats!X$194)/1000000</f>
        <v>0.48937499965613057</v>
      </c>
      <c r="F34" s="16">
        <f>(Résultats!X$209+Résultats!X$210+Résultats!X$211+Résultats!X$212+Résultats!X$213)/1000000</f>
        <v>0.56834330489000007</v>
      </c>
      <c r="G34" s="16">
        <v>0</v>
      </c>
      <c r="H34" s="95">
        <f>SUM(C34:G34)</f>
        <v>55.242634771046127</v>
      </c>
      <c r="I34" s="166"/>
      <c r="J34" s="166"/>
      <c r="K34" s="166"/>
      <c r="L34" s="166"/>
      <c r="M34" s="166"/>
      <c r="N34" s="38"/>
      <c r="O34" s="206"/>
      <c r="P34" s="206"/>
      <c r="Q34" s="206"/>
      <c r="R34" s="206"/>
      <c r="S34" s="206"/>
      <c r="T34" s="207"/>
      <c r="U34" s="16"/>
      <c r="V34" s="45"/>
      <c r="W34" s="30"/>
      <c r="X34" s="208"/>
      <c r="Y34" s="208"/>
      <c r="Z34" s="208"/>
      <c r="AA34" s="208"/>
      <c r="AB34" s="208"/>
    </row>
    <row r="35" spans="1:28" x14ac:dyDescent="0.25">
      <c r="A35" s="162" t="s">
        <v>21</v>
      </c>
      <c r="B35" s="187"/>
      <c r="C35" s="36">
        <f>Résultats!X$135/1000000</f>
        <v>0.90088296909999999</v>
      </c>
      <c r="D35" s="36">
        <f>'T energie usages'!I66*3.2*Résultats!X283</f>
        <v>17.517265514066128</v>
      </c>
      <c r="E35" s="36">
        <f>'T energie usages'!J66/'T energie usages'!J$72*(Résultats!X$192+Résultats!X$193+Résultats!X$194)/1000000</f>
        <v>4.1314449823746298</v>
      </c>
      <c r="F35" s="36">
        <f>('T energie usages'!K66-8)*2.394*Résultats!X284</f>
        <v>14.862692345814562</v>
      </c>
      <c r="G35" s="36">
        <v>0</v>
      </c>
      <c r="H35" s="163">
        <f>SUM(C35:G35)</f>
        <v>37.412285811355318</v>
      </c>
      <c r="I35" s="166"/>
      <c r="J35" s="166"/>
      <c r="K35" s="166"/>
      <c r="L35" s="166"/>
      <c r="M35" s="166"/>
      <c r="N35" s="38"/>
      <c r="O35" s="206"/>
      <c r="P35" s="206"/>
      <c r="Q35" s="206"/>
      <c r="R35" s="206"/>
      <c r="S35" s="206"/>
      <c r="T35" s="207"/>
      <c r="U35" s="75"/>
      <c r="V35" s="45"/>
      <c r="W35" s="82"/>
      <c r="X35" s="208"/>
      <c r="Y35" s="208"/>
      <c r="Z35" s="208"/>
      <c r="AA35" s="208"/>
      <c r="AB35" s="208"/>
    </row>
    <row r="36" spans="1:28" x14ac:dyDescent="0.25">
      <c r="A36" s="162" t="s">
        <v>22</v>
      </c>
      <c r="B36" s="187"/>
      <c r="C36" s="36">
        <f>(Résultats!X$168+Résultats!X$169)/1000000</f>
        <v>0</v>
      </c>
      <c r="D36" s="36">
        <f>(Résultats!X$188+Résultats!X$189)/1000000</f>
        <v>5.2031187336000002</v>
      </c>
      <c r="E36" s="36">
        <f>'T energie usages'!J67/'T energie usages'!J$72*(Résultats!X$192+Résultats!X$193+Résultats!X$194)/1000000</f>
        <v>2.9259306218594356</v>
      </c>
      <c r="F36" s="36">
        <f>(Résultats!X$214+Résultats!X$215)/1000000</f>
        <v>15.414774345</v>
      </c>
      <c r="G36" s="36">
        <v>0</v>
      </c>
      <c r="H36" s="163">
        <f t="shared" ref="H36:H41" si="3">SUM(C36:G36)</f>
        <v>23.543823700459434</v>
      </c>
      <c r="I36" s="166"/>
      <c r="J36" s="166"/>
      <c r="K36" s="166"/>
      <c r="L36" s="166"/>
      <c r="M36" s="166"/>
      <c r="N36" s="38"/>
      <c r="O36" s="206"/>
      <c r="P36" s="206"/>
      <c r="Q36" s="206"/>
      <c r="R36" s="206"/>
      <c r="S36" s="206"/>
      <c r="T36" s="207"/>
      <c r="U36" s="75"/>
      <c r="V36" s="45"/>
      <c r="W36" s="82"/>
      <c r="X36" s="208"/>
      <c r="Y36" s="208"/>
      <c r="Z36" s="208"/>
      <c r="AA36" s="208"/>
      <c r="AB36" s="208"/>
    </row>
    <row r="37" spans="1:28" x14ac:dyDescent="0.25">
      <c r="A37" s="162" t="s">
        <v>23</v>
      </c>
      <c r="B37" s="187"/>
      <c r="C37" s="36">
        <f>C38+C39</f>
        <v>8.6864514911599997</v>
      </c>
      <c r="D37" s="36">
        <f>D38+D39</f>
        <v>39.944389336466273</v>
      </c>
      <c r="E37" s="36">
        <f>E38+E39</f>
        <v>3.4548177017613702</v>
      </c>
      <c r="F37" s="36">
        <f>F38+F39</f>
        <v>16.437959420200631</v>
      </c>
      <c r="G37" s="36">
        <f>G38+G39</f>
        <v>14.054223289999999</v>
      </c>
      <c r="H37" s="163">
        <f t="shared" si="3"/>
        <v>82.577841239588267</v>
      </c>
      <c r="I37" s="166"/>
      <c r="J37" s="166"/>
      <c r="K37" s="166"/>
      <c r="L37" s="166"/>
      <c r="M37" s="166"/>
      <c r="N37" s="38"/>
      <c r="O37" s="206"/>
      <c r="P37" s="206"/>
      <c r="Q37" s="206"/>
      <c r="R37" s="206"/>
      <c r="S37" s="206"/>
      <c r="T37" s="207"/>
      <c r="U37" s="75"/>
      <c r="V37" s="45"/>
      <c r="W37" s="82"/>
      <c r="X37" s="208"/>
      <c r="Y37" s="208"/>
      <c r="Z37" s="208"/>
      <c r="AA37" s="208"/>
      <c r="AB37" s="208"/>
    </row>
    <row r="38" spans="1:28" x14ac:dyDescent="0.25">
      <c r="A38" s="149" t="s">
        <v>24</v>
      </c>
      <c r="B38" s="35"/>
      <c r="C38" s="16">
        <f>(Résultats!X$162+Résultats!X$163+Résultats!X$164+Résultats!X$165+Résultats!X$166+Résultats!X$167)/1000000</f>
        <v>8.6864514911599997</v>
      </c>
      <c r="D38" s="16">
        <f>(Résultats!X$171+Résultats!X$173+Résultats!X$174+Résultats!X$175+Résultats!X$176+Résultats!X$177+Résultats!X$178+Résultats!X$179+Résultats!X$180+Résultats!X$181+Résultats!X$182)/1000000</f>
        <v>32.490287926466273</v>
      </c>
      <c r="E38" s="16">
        <f>'T energie usages'!J69/'T energie usages'!J$72*(Résultats!X$192+Résultats!X$193+Résultats!X$194)/1000000</f>
        <v>3.3630594219419012</v>
      </c>
      <c r="F38" s="16">
        <f>(Résultats!X$197+Résultats!X$198+Résultats!X$199+Résultats!X$200+Résultats!X$201+Résultats!X$202+Résultats!X$203+Résultats!X$204+Résultats!X$205+Résultats!X$206+Résultats!X$207+Résultats!X$208+Résultats!X$216+Résultats!X$218)/1000000</f>
        <v>15.883524051500631</v>
      </c>
      <c r="G38" s="16">
        <f>Résultats!X$133/1000000</f>
        <v>14.054223289999999</v>
      </c>
      <c r="H38" s="95">
        <f t="shared" si="3"/>
        <v>74.477546181068803</v>
      </c>
      <c r="I38" s="166"/>
      <c r="J38" s="166"/>
      <c r="K38" s="166"/>
      <c r="L38" s="166"/>
      <c r="M38" s="166"/>
      <c r="N38" s="38"/>
      <c r="O38" s="206"/>
      <c r="P38" s="206"/>
      <c r="Q38" s="206"/>
      <c r="R38" s="206"/>
      <c r="S38" s="206"/>
      <c r="T38" s="207"/>
      <c r="U38" s="16"/>
      <c r="V38" s="45"/>
      <c r="W38" s="30"/>
      <c r="X38" s="208"/>
      <c r="Y38" s="208"/>
      <c r="Z38" s="208"/>
      <c r="AA38" s="208"/>
      <c r="AB38" s="208"/>
    </row>
    <row r="39" spans="1:28" x14ac:dyDescent="0.25">
      <c r="A39" s="149" t="s">
        <v>25</v>
      </c>
      <c r="B39" s="35"/>
      <c r="C39" s="16">
        <v>0</v>
      </c>
      <c r="D39" s="16">
        <f>(Résultats!X$172)/1000000</f>
        <v>7.4541014099999998</v>
      </c>
      <c r="E39" s="16">
        <f>'T energie usages'!J71/'T energie usages'!J$72*(Résultats!X$192+Résultats!X$193+Résultats!X$194)/1000000</f>
        <v>9.1758279819468991E-2</v>
      </c>
      <c r="F39" s="16">
        <f>(Résultats!X$196)/1000000</f>
        <v>0.55443536869999999</v>
      </c>
      <c r="G39" s="16">
        <v>0</v>
      </c>
      <c r="H39" s="95">
        <f t="shared" si="3"/>
        <v>8.1002950585194693</v>
      </c>
      <c r="I39" s="166"/>
      <c r="J39" s="166"/>
      <c r="K39" s="166"/>
      <c r="L39" s="166"/>
      <c r="M39" s="166"/>
      <c r="N39" s="38"/>
      <c r="O39" s="206"/>
      <c r="P39" s="206"/>
      <c r="Q39" s="206"/>
      <c r="R39" s="206"/>
      <c r="S39" s="206"/>
      <c r="T39" s="207"/>
      <c r="U39" s="16"/>
      <c r="V39" s="45"/>
      <c r="W39" s="30"/>
      <c r="X39" s="208"/>
      <c r="Y39" s="208"/>
      <c r="Z39" s="208"/>
      <c r="AA39" s="208"/>
      <c r="AB39" s="208"/>
    </row>
    <row r="40" spans="1:28" x14ac:dyDescent="0.25">
      <c r="A40" s="48" t="s">
        <v>41</v>
      </c>
      <c r="B40" s="37"/>
      <c r="C40" s="37">
        <f>SUM(C35:C37)+C32</f>
        <v>9.5873344602599992</v>
      </c>
      <c r="D40" s="37">
        <f>SUM(D35:D37)+D32</f>
        <v>181.19427366556874</v>
      </c>
      <c r="E40" s="37">
        <f>SUM(E35:E37)+E32</f>
        <v>11.080087655400002</v>
      </c>
      <c r="F40" s="37">
        <f>SUM(F35:F37)+F32</f>
        <v>47.283795583930463</v>
      </c>
      <c r="G40" s="37">
        <f>SUM(G35:G37)+G32</f>
        <v>14.054223289999999</v>
      </c>
      <c r="H40" s="167">
        <f t="shared" si="3"/>
        <v>263.1997146551592</v>
      </c>
      <c r="I40" s="166"/>
      <c r="J40" s="166"/>
      <c r="K40" s="166"/>
      <c r="L40" s="166"/>
      <c r="M40" s="166"/>
      <c r="N40" s="38"/>
      <c r="O40" s="206"/>
      <c r="P40" s="206"/>
      <c r="Q40" s="206"/>
      <c r="R40" s="206"/>
      <c r="S40" s="206"/>
      <c r="T40" s="207"/>
      <c r="U40" s="79"/>
      <c r="V40" s="45"/>
      <c r="W40" s="80"/>
      <c r="X40" s="208"/>
      <c r="Y40" s="208"/>
      <c r="Z40" s="208"/>
      <c r="AA40" s="208"/>
      <c r="AB40" s="208"/>
    </row>
    <row r="41" spans="1:28" x14ac:dyDescent="0.25">
      <c r="A41" s="164" t="s">
        <v>43</v>
      </c>
      <c r="B41" s="164"/>
      <c r="C41" s="165">
        <f>(Résultats!X$135+Résultats!X$162+Résultats!X$163+Résultats!X$164+Résultats!X$165+Résultats!X$166+Résultats!X$167+Résultats!X$168+Résultats!X$169)/1000000</f>
        <v>9.5873344602599992</v>
      </c>
      <c r="D41" s="165">
        <f>+(Résultats!X$137+Résultats!X$171+Résultats!X$172+Résultats!X$173+Résultats!X$174+Résultats!X$175+Résultats!X$176+Résultats!X$177+Résultats!X$178+Résultats!X$179+Résultats!X$180+Résultats!X$181+Résultats!X$182+Résultats!X$183+Résultats!X$184+Résultats!X$185+Résultats!X$186+Résultats!X$187+Résultats!X$188+Résultats!X$189)/1000000</f>
        <v>181.24374291656625</v>
      </c>
      <c r="E41" s="165">
        <f>(Résultats!X$192+Résultats!X$193+Résultats!X$194)/1000000</f>
        <v>11.0800876554</v>
      </c>
      <c r="F41" s="165">
        <f>(Résultats!X$139+Résultats!X$196+Résultats!X$197+Résultats!X$198+Résultats!X$199+Résultats!X$200+Résultats!X$201+Résultats!X$202+Résultats!X$203+Résultats!X$204+Résultats!X$205+Résultats!X$206+Résultats!X$207+Résultats!X$208+Résultats!X$209+Résultats!X$210+Résultats!X$211+Résultats!X$212+Résultats!X$213+Résultats!X$214+Résultats!X$215+Résultats!X$216+Résultats!X$218)/1000000</f>
        <v>55.328107910090651</v>
      </c>
      <c r="G41" s="165">
        <f>Résultats!X$133/1000000</f>
        <v>14.054223289999999</v>
      </c>
      <c r="H41" s="188">
        <f t="shared" si="3"/>
        <v>271.2934962323169</v>
      </c>
      <c r="I41" s="166"/>
      <c r="J41" s="166"/>
      <c r="K41" s="166"/>
      <c r="L41" s="166"/>
      <c r="M41" s="207"/>
      <c r="N41" s="45"/>
      <c r="O41" s="166"/>
      <c r="P41" s="166"/>
      <c r="Q41" s="166"/>
      <c r="R41" s="166"/>
      <c r="S41" s="207"/>
      <c r="T41" s="207"/>
      <c r="U41" s="45"/>
      <c r="V41" s="45"/>
      <c r="W41" s="45"/>
      <c r="X41" s="208"/>
      <c r="Y41" s="208"/>
      <c r="Z41" s="208"/>
      <c r="AA41" s="208"/>
      <c r="AB41" s="208"/>
    </row>
    <row r="42" spans="1:28" x14ac:dyDescent="0.25">
      <c r="A42" s="164"/>
      <c r="B42" s="164"/>
      <c r="C42" s="189"/>
      <c r="D42" s="189"/>
      <c r="E42" s="189"/>
      <c r="F42" s="189"/>
      <c r="G42" s="189"/>
      <c r="H42" s="165">
        <f>Résultats!X227/1000000</f>
        <v>271.29349580000002</v>
      </c>
      <c r="I42" s="166"/>
      <c r="J42" s="166"/>
      <c r="K42" s="166"/>
      <c r="L42" s="166"/>
      <c r="M42" s="207"/>
      <c r="N42" s="45"/>
      <c r="O42" s="166"/>
      <c r="P42" s="166"/>
      <c r="Q42" s="166"/>
      <c r="R42" s="166"/>
      <c r="S42" s="207"/>
      <c r="T42" s="207"/>
      <c r="U42" s="45"/>
      <c r="V42" s="45"/>
      <c r="W42" s="45"/>
      <c r="X42" s="208"/>
      <c r="Y42" s="208"/>
      <c r="Z42" s="208"/>
      <c r="AA42" s="208"/>
      <c r="AB42" s="208"/>
    </row>
    <row r="43" spans="1:28" x14ac:dyDescent="0.25">
      <c r="A43" s="3"/>
      <c r="B43" s="3"/>
      <c r="C43" s="75"/>
      <c r="D43" s="75"/>
      <c r="E43" s="75"/>
      <c r="F43" s="75"/>
      <c r="G43" s="75"/>
      <c r="H43" s="45"/>
      <c r="I43" s="166"/>
      <c r="J43" s="166"/>
      <c r="K43" s="166"/>
      <c r="L43" s="166"/>
      <c r="M43" s="207"/>
      <c r="N43" s="45"/>
      <c r="O43" s="166"/>
      <c r="P43" s="166"/>
      <c r="Q43" s="166"/>
      <c r="R43" s="166"/>
      <c r="S43" s="207"/>
      <c r="T43" s="207"/>
      <c r="U43" s="45"/>
      <c r="V43" s="45"/>
      <c r="W43" s="79"/>
      <c r="X43" s="208"/>
      <c r="Y43" s="208"/>
      <c r="Z43" s="208"/>
      <c r="AA43" s="208"/>
      <c r="AB43" s="208"/>
    </row>
    <row r="44" spans="1:28" ht="21" x14ac:dyDescent="0.35">
      <c r="A44" s="145">
        <v>2030</v>
      </c>
      <c r="B44" s="186"/>
      <c r="C44" s="27" t="s">
        <v>36</v>
      </c>
      <c r="D44" s="27" t="s">
        <v>37</v>
      </c>
      <c r="E44" s="27" t="s">
        <v>38</v>
      </c>
      <c r="F44" s="27" t="s">
        <v>39</v>
      </c>
      <c r="G44" s="27" t="s">
        <v>40</v>
      </c>
      <c r="H44" s="190" t="s">
        <v>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W44" s="19"/>
      <c r="X44" s="19"/>
      <c r="Y44" s="19"/>
      <c r="Z44" s="19"/>
      <c r="AA44" s="19"/>
      <c r="AB44" s="208"/>
    </row>
    <row r="45" spans="1:28" x14ac:dyDescent="0.25">
      <c r="A45" s="162" t="s">
        <v>18</v>
      </c>
      <c r="B45" s="187"/>
      <c r="C45" s="36">
        <f>C46+C47</f>
        <v>0</v>
      </c>
      <c r="D45" s="36">
        <f>D46+D47</f>
        <v>98.790132084686832</v>
      </c>
      <c r="E45" s="36">
        <f>E46+E47</f>
        <v>0.39873323285498236</v>
      </c>
      <c r="F45" s="36">
        <f>F46+F47</f>
        <v>0.53949101653292186</v>
      </c>
      <c r="G45" s="36">
        <f>G46+G47</f>
        <v>0</v>
      </c>
      <c r="H45" s="163">
        <f>SUM(C45:G45)</f>
        <v>99.728356334074732</v>
      </c>
      <c r="I45" s="166"/>
      <c r="J45" s="166"/>
      <c r="K45" s="166"/>
      <c r="L45" s="166"/>
      <c r="M45" s="166"/>
      <c r="N45" s="38"/>
      <c r="O45" s="206"/>
      <c r="P45" s="206"/>
      <c r="Q45" s="206"/>
      <c r="R45" s="206"/>
      <c r="S45" s="206"/>
      <c r="T45" s="207"/>
      <c r="U45" s="75"/>
      <c r="W45" s="82"/>
      <c r="X45" s="208"/>
      <c r="Y45" s="208"/>
      <c r="Z45" s="208"/>
      <c r="AA45" s="208"/>
      <c r="AB45" s="208"/>
    </row>
    <row r="46" spans="1:28" x14ac:dyDescent="0.25">
      <c r="A46" s="148" t="s">
        <v>19</v>
      </c>
      <c r="B46" s="35"/>
      <c r="C46" s="16">
        <v>0</v>
      </c>
      <c r="D46" s="16">
        <f>'T energie usages'!I77*3.2*Résultats!AC283</f>
        <v>51.285465322386841</v>
      </c>
      <c r="E46" s="16">
        <f>'T energie usages'!J77/'T energie usages'!J$85*(Résultats!AC$192+Résultats!AC$193+Résultats!AC$194)/1000000</f>
        <v>9.4702449799596314E-2</v>
      </c>
      <c r="F46" s="16">
        <f>'T energie usages'!K77*2.394*Résultats!AC284</f>
        <v>2.3811692921872007E-5</v>
      </c>
      <c r="G46" s="16">
        <v>0</v>
      </c>
      <c r="H46" s="95">
        <f>SUM(C46:G46)</f>
        <v>51.380191583879359</v>
      </c>
      <c r="I46" s="166"/>
      <c r="J46" s="166"/>
      <c r="K46" s="166"/>
      <c r="L46" s="166"/>
      <c r="M46" s="166"/>
      <c r="N46" s="38"/>
      <c r="O46" s="206"/>
      <c r="P46" s="206"/>
      <c r="Q46" s="206"/>
      <c r="R46" s="206"/>
      <c r="S46" s="206"/>
      <c r="T46" s="207"/>
      <c r="U46" s="16"/>
      <c r="W46" s="30"/>
      <c r="X46" s="208"/>
      <c r="Y46" s="208"/>
      <c r="Z46" s="208"/>
      <c r="AA46" s="208"/>
      <c r="AB46" s="208"/>
    </row>
    <row r="47" spans="1:28" x14ac:dyDescent="0.25">
      <c r="A47" s="149" t="s">
        <v>20</v>
      </c>
      <c r="B47" s="35"/>
      <c r="C47" s="16">
        <v>0</v>
      </c>
      <c r="D47" s="16">
        <f>(Résultats!AC$183+Résultats!AC$184+Résultats!AC$185+Résultats!AC$186+Résultats!AC$187)/1000000</f>
        <v>47.504666762299991</v>
      </c>
      <c r="E47" s="16">
        <f>'T energie usages'!J78/'T energie usages'!J$85*(Résultats!AC$192+Résultats!AC$193+Résultats!AC$194)/1000000</f>
        <v>0.30403078305538606</v>
      </c>
      <c r="F47" s="16">
        <f>(Résultats!AC$209+Résultats!AC$210+Résultats!AC$211+Résultats!AC$212+Résultats!AC$213)/1000000</f>
        <v>0.53946720483999999</v>
      </c>
      <c r="G47" s="16">
        <v>0</v>
      </c>
      <c r="H47" s="95">
        <f>SUM(C47:G47)</f>
        <v>48.34816475019538</v>
      </c>
      <c r="I47" s="166"/>
      <c r="J47" s="166"/>
      <c r="K47" s="166"/>
      <c r="L47" s="166"/>
      <c r="M47" s="166"/>
      <c r="N47" s="38"/>
      <c r="O47" s="206"/>
      <c r="P47" s="206"/>
      <c r="Q47" s="206"/>
      <c r="R47" s="206"/>
      <c r="S47" s="206"/>
      <c r="T47" s="207"/>
      <c r="U47" s="16"/>
      <c r="W47" s="30"/>
      <c r="X47" s="208"/>
      <c r="Y47" s="208"/>
      <c r="Z47" s="208"/>
      <c r="AA47" s="208"/>
      <c r="AB47" s="208"/>
    </row>
    <row r="48" spans="1:28" x14ac:dyDescent="0.25">
      <c r="A48" s="162" t="s">
        <v>21</v>
      </c>
      <c r="B48" s="187"/>
      <c r="C48" s="36">
        <f>Résultats!AC$135/1000000</f>
        <v>0.78730859499999994</v>
      </c>
      <c r="D48" s="36">
        <f>'T energie usages'!I79*3.2*Résultats!AC283</f>
        <v>14.877399473974245</v>
      </c>
      <c r="E48" s="36">
        <f>'T energie usages'!J79/'T energie usages'!J$85*(Résultats!AC$192+Résultats!AC$193+Résultats!AC$194)/1000000</f>
        <v>1.7822990772647329</v>
      </c>
      <c r="F48" s="36">
        <f>('T energie usages'!K79-8)*2.394*Résultats!AC284</f>
        <v>9.5253404546542964</v>
      </c>
      <c r="G48" s="36">
        <v>0</v>
      </c>
      <c r="H48" s="163">
        <f>SUM(C48:G48)</f>
        <v>26.972347600893272</v>
      </c>
      <c r="I48" s="166"/>
      <c r="J48" s="166"/>
      <c r="K48" s="166"/>
      <c r="L48" s="166"/>
      <c r="M48" s="166"/>
      <c r="N48" s="38"/>
      <c r="O48" s="206"/>
      <c r="P48" s="206"/>
      <c r="Q48" s="206"/>
      <c r="R48" s="206"/>
      <c r="S48" s="206"/>
      <c r="T48" s="207"/>
      <c r="U48" s="75"/>
      <c r="W48" s="82"/>
      <c r="X48" s="208"/>
      <c r="Y48" s="208"/>
      <c r="Z48" s="208"/>
      <c r="AA48" s="208"/>
      <c r="AB48" s="208"/>
    </row>
    <row r="49" spans="1:28" x14ac:dyDescent="0.25">
      <c r="A49" s="162" t="s">
        <v>22</v>
      </c>
      <c r="B49" s="187"/>
      <c r="C49" s="36">
        <f>(Résultats!AC$168+Résultats!AC$169)/1000000</f>
        <v>0</v>
      </c>
      <c r="D49" s="36">
        <f>(Résultats!AC$188+Résultats!AC$189)/1000000</f>
        <v>3.0886755208999999</v>
      </c>
      <c r="E49" s="36">
        <f>'T energie usages'!J80/'T energie usages'!J$85*(Résultats!AC$192+Résultats!AC$193+Résultats!AC$194)/1000000</f>
        <v>0.95822611242805134</v>
      </c>
      <c r="F49" s="36">
        <f>(Résultats!AC$214+Résultats!AC$215)/1000000</f>
        <v>12.56759995799999</v>
      </c>
      <c r="G49" s="36">
        <v>0</v>
      </c>
      <c r="H49" s="163">
        <f t="shared" ref="H49:H54" si="4">SUM(C49:G49)</f>
        <v>16.614501591328043</v>
      </c>
      <c r="I49" s="166"/>
      <c r="J49" s="166"/>
      <c r="K49" s="166"/>
      <c r="L49" s="166"/>
      <c r="M49" s="166"/>
      <c r="N49" s="38"/>
      <c r="O49" s="206"/>
      <c r="P49" s="206"/>
      <c r="Q49" s="206"/>
      <c r="R49" s="206"/>
      <c r="S49" s="206"/>
      <c r="T49" s="207"/>
      <c r="U49" s="75"/>
      <c r="W49" s="82"/>
      <c r="X49" s="208"/>
      <c r="Y49" s="208"/>
      <c r="Z49" s="208"/>
      <c r="AA49" s="208"/>
      <c r="AB49" s="208"/>
    </row>
    <row r="50" spans="1:28" x14ac:dyDescent="0.25">
      <c r="A50" s="162" t="s">
        <v>23</v>
      </c>
      <c r="B50" s="187"/>
      <c r="C50" s="36">
        <f>C51+C52</f>
        <v>6.8747055959500001</v>
      </c>
      <c r="D50" s="36">
        <f>D51+D52</f>
        <v>31.288114231232271</v>
      </c>
      <c r="E50" s="36">
        <f>E51+E52</f>
        <v>1.819799592352233</v>
      </c>
      <c r="F50" s="36">
        <f>F51+F52</f>
        <v>7.8749373615245659</v>
      </c>
      <c r="G50" s="36">
        <f>G51+G52</f>
        <v>14.27517439</v>
      </c>
      <c r="H50" s="163">
        <f t="shared" si="4"/>
        <v>62.132731171059064</v>
      </c>
      <c r="I50" s="166"/>
      <c r="J50" s="166"/>
      <c r="K50" s="166"/>
      <c r="L50" s="166"/>
      <c r="M50" s="166"/>
      <c r="N50" s="38"/>
      <c r="O50" s="206"/>
      <c r="P50" s="206"/>
      <c r="Q50" s="206"/>
      <c r="R50" s="206"/>
      <c r="S50" s="206"/>
      <c r="T50" s="207"/>
      <c r="U50" s="75"/>
      <c r="W50" s="82"/>
      <c r="X50" s="208"/>
      <c r="Y50" s="208"/>
      <c r="Z50" s="208"/>
      <c r="AA50" s="208"/>
      <c r="AB50" s="208"/>
    </row>
    <row r="51" spans="1:28" x14ac:dyDescent="0.25">
      <c r="A51" s="149" t="s">
        <v>24</v>
      </c>
      <c r="B51" s="35"/>
      <c r="C51" s="16">
        <f>(Résultats!AC$162+Résultats!AC$163+Résultats!AC$164+Résultats!AC$165+Résultats!AC$166+Résultats!AC$167)/1000000</f>
        <v>6.8747055959500001</v>
      </c>
      <c r="D51" s="16">
        <f>(Résultats!AC$171+Résultats!AC$173+Résultats!AC$174+Résultats!AC$175+Résultats!AC$176+Résultats!AC$177+Résultats!AC$178+Résultats!AC$179+Résultats!AC$180+Résultats!AC$181+Résultats!AC$182)/1000000</f>
        <v>23.978420066232271</v>
      </c>
      <c r="E51" s="16">
        <f>'T energie usages'!J82/'T energie usages'!J$85*(Résultats!AC$192+Résultats!AC$193+Résultats!AC$194)/1000000</f>
        <v>1.7799039512894241</v>
      </c>
      <c r="F51" s="16">
        <f>(Résultats!AC$197+Résultats!AC$198+Résultats!AC$199+Résultats!AC$200+Résultats!AC$201+Résultats!AC$202+Résultats!AC$203+Résultats!AC$204+Résultats!AC$205+Résultats!AC$206+Résultats!AC$207+Résultats!AC$208+Résultats!AC$216+Résultats!AC$218)/1000000</f>
        <v>7.4525051965245659</v>
      </c>
      <c r="G51" s="16">
        <f>Résultats!AC$133/1000000</f>
        <v>14.27517439</v>
      </c>
      <c r="H51" s="95">
        <f t="shared" si="4"/>
        <v>54.360709199996265</v>
      </c>
      <c r="I51" s="166"/>
      <c r="J51" s="166"/>
      <c r="K51" s="166"/>
      <c r="L51" s="166"/>
      <c r="M51" s="166"/>
      <c r="N51" s="38"/>
      <c r="O51" s="206"/>
      <c r="P51" s="206"/>
      <c r="Q51" s="206"/>
      <c r="R51" s="206"/>
      <c r="S51" s="206"/>
      <c r="T51" s="207"/>
      <c r="U51" s="16"/>
      <c r="W51" s="30"/>
      <c r="X51" s="208"/>
      <c r="Y51" s="208"/>
      <c r="Z51" s="208"/>
      <c r="AA51" s="208"/>
      <c r="AB51" s="208"/>
    </row>
    <row r="52" spans="1:28" x14ac:dyDescent="0.25">
      <c r="A52" s="149" t="s">
        <v>25</v>
      </c>
      <c r="B52" s="35"/>
      <c r="C52" s="16">
        <v>0</v>
      </c>
      <c r="D52" s="16">
        <f>(Résultats!AC$172)/1000000</f>
        <v>7.3096941649999998</v>
      </c>
      <c r="E52" s="16">
        <f>'T energie usages'!J84/'T energie usages'!J$85*(Résultats!AC$192+Résultats!AC$193+Résultats!AC$194)/1000000</f>
        <v>3.9895641062808851E-2</v>
      </c>
      <c r="F52" s="16">
        <f>(Résultats!AC$196)/1000000</f>
        <v>0.42243216499999997</v>
      </c>
      <c r="G52" s="16">
        <v>0</v>
      </c>
      <c r="H52" s="95">
        <f t="shared" si="4"/>
        <v>7.7720219710628085</v>
      </c>
      <c r="I52" s="166"/>
      <c r="J52" s="166"/>
      <c r="K52" s="166"/>
      <c r="L52" s="166"/>
      <c r="M52" s="166"/>
      <c r="N52" s="38"/>
      <c r="O52" s="206"/>
      <c r="P52" s="206"/>
      <c r="Q52" s="206"/>
      <c r="R52" s="206"/>
      <c r="S52" s="206"/>
      <c r="T52" s="207"/>
      <c r="U52" s="16"/>
      <c r="W52" s="30"/>
      <c r="X52" s="208"/>
      <c r="Y52" s="208"/>
      <c r="Z52" s="208"/>
      <c r="AA52" s="208"/>
      <c r="AB52" s="208"/>
    </row>
    <row r="53" spans="1:28" x14ac:dyDescent="0.25">
      <c r="A53" s="48" t="s">
        <v>41</v>
      </c>
      <c r="B53" s="37"/>
      <c r="C53" s="37">
        <f>SUM(C48:C50)+C45</f>
        <v>7.6620141909499999</v>
      </c>
      <c r="D53" s="37">
        <f>SUM(D48:D50)+D45</f>
        <v>148.04432131079335</v>
      </c>
      <c r="E53" s="37">
        <f>SUM(E48:E50)+E45</f>
        <v>4.9590580148999992</v>
      </c>
      <c r="F53" s="37">
        <f>SUM(F48:F50)+F45</f>
        <v>30.507368790711773</v>
      </c>
      <c r="G53" s="37">
        <f>SUM(G48:G50)+G45</f>
        <v>14.27517439</v>
      </c>
      <c r="H53" s="167">
        <f t="shared" si="4"/>
        <v>205.44793669735512</v>
      </c>
      <c r="I53" s="166"/>
      <c r="J53" s="166"/>
      <c r="K53" s="166"/>
      <c r="L53" s="166"/>
      <c r="M53" s="166"/>
      <c r="N53" s="38"/>
      <c r="O53" s="206"/>
      <c r="P53" s="206"/>
      <c r="Q53" s="206"/>
      <c r="R53" s="206"/>
      <c r="S53" s="206"/>
      <c r="T53" s="207"/>
      <c r="U53" s="79"/>
      <c r="W53" s="80"/>
      <c r="X53" s="208"/>
      <c r="Y53" s="208"/>
      <c r="Z53" s="208"/>
      <c r="AA53" s="208"/>
      <c r="AB53" s="208"/>
    </row>
    <row r="54" spans="1:28" x14ac:dyDescent="0.25">
      <c r="A54" s="164" t="s">
        <v>43</v>
      </c>
      <c r="B54" s="164"/>
      <c r="C54" s="165">
        <f>(Résultats!AC$135+Résultats!AC$162+Résultats!AC$163+Résultats!AC$164+Résultats!AC$165+Résultats!AC$166+Résultats!AC$167+Résultats!AC$168+Résultats!AC$169)/1000000</f>
        <v>7.6620141909499999</v>
      </c>
      <c r="D54" s="165">
        <f>(Résultats!AC$137+Résultats!AC$171+Résultats!AC$172+Résultats!AC$173+Résultats!AC$174+Résultats!AC$175+Résultats!AC$176+Résultats!AC$177+Résultats!AC$178+Résultats!AC$179+Résultats!AC$180+Résultats!AC$181+Résultats!AC$182+Résultats!AC$183+Résultats!AC$184+Résultats!AC$185+Résultats!AC$186+Résultats!AC$187+Résultats!AC$188+Résultats!AC$189)/1000000</f>
        <v>148.08430365443229</v>
      </c>
      <c r="E54" s="165">
        <f>(Résultats!AC$192+Résultats!AC$193+Résultats!AC$194)/1000000</f>
        <v>4.9590580149000001</v>
      </c>
      <c r="F54" s="165">
        <f>(Résultats!AC$139+Résultats!AC$196+Résultats!AC$197+Résultats!AC$198+Résultats!AC$199+Résultats!AC$200+Résultats!AC$201+Résultats!AC$202+Résultats!AC$203+Résultats!AC$204+Résultats!AC$205+Résultats!AC$206+Résultats!AC$207+Résultats!AC$208+Résultats!AC$209+Résultats!AC$210+Résultats!AC$211+Résultats!AC$212+Résultats!AC$213+Résultats!AC$214+Résultats!AC$215+Résultats!AC$216+Résultats!AC$218)/1000000</f>
        <v>36.437153744364558</v>
      </c>
      <c r="G54" s="165">
        <f>Résultats!AC$133/1000000</f>
        <v>14.27517439</v>
      </c>
      <c r="H54" s="188">
        <f t="shared" si="4"/>
        <v>211.41770399464684</v>
      </c>
      <c r="I54" s="166"/>
      <c r="J54" s="166"/>
      <c r="K54" s="166"/>
      <c r="L54" s="166"/>
      <c r="M54" s="207"/>
      <c r="O54" s="166"/>
      <c r="P54" s="166"/>
      <c r="Q54" s="166"/>
      <c r="R54" s="166"/>
      <c r="S54" s="207"/>
      <c r="T54" s="207"/>
      <c r="X54" s="208"/>
      <c r="Y54" s="208"/>
      <c r="Z54" s="208"/>
      <c r="AA54" s="208"/>
      <c r="AB54" s="208"/>
    </row>
    <row r="55" spans="1:28" x14ac:dyDescent="0.25">
      <c r="A55" s="164"/>
      <c r="B55" s="164"/>
      <c r="C55" s="189"/>
      <c r="D55" s="189"/>
      <c r="E55" s="189"/>
      <c r="F55" s="189"/>
      <c r="G55" s="189"/>
      <c r="H55" s="165">
        <f>Résultats!AC227/1000000</f>
        <v>211.41770369999998</v>
      </c>
      <c r="I55" s="166"/>
      <c r="J55" s="166"/>
      <c r="K55" s="166"/>
      <c r="L55" s="166"/>
      <c r="M55" s="207"/>
      <c r="O55" s="166"/>
      <c r="P55" s="166"/>
      <c r="Q55" s="166"/>
      <c r="R55" s="166"/>
      <c r="S55" s="207"/>
      <c r="T55" s="207"/>
      <c r="W55" s="79"/>
      <c r="X55" s="208"/>
      <c r="Y55" s="208"/>
      <c r="Z55" s="208"/>
      <c r="AA55" s="208"/>
      <c r="AB55" s="208"/>
    </row>
    <row r="56" spans="1:28" x14ac:dyDescent="0.25">
      <c r="A56" s="3"/>
      <c r="B56" s="3"/>
      <c r="C56" s="75"/>
      <c r="D56" s="75"/>
      <c r="E56" s="75"/>
      <c r="F56" s="75"/>
      <c r="G56" s="75"/>
      <c r="H56" s="45"/>
      <c r="I56" s="166"/>
      <c r="J56" s="166"/>
      <c r="K56" s="166"/>
      <c r="L56" s="166"/>
      <c r="M56" s="207"/>
      <c r="O56" s="166"/>
      <c r="P56" s="166"/>
      <c r="Q56" s="166"/>
      <c r="R56" s="166"/>
      <c r="S56" s="207"/>
      <c r="T56" s="207"/>
      <c r="W56" s="210"/>
      <c r="X56" s="208"/>
      <c r="Y56" s="208"/>
      <c r="Z56" s="208"/>
      <c r="AA56" s="208"/>
      <c r="AB56" s="208"/>
    </row>
    <row r="57" spans="1:28" ht="21" x14ac:dyDescent="0.35">
      <c r="A57" s="145">
        <v>2035</v>
      </c>
      <c r="B57" s="186"/>
      <c r="C57" s="27" t="s">
        <v>36</v>
      </c>
      <c r="D57" s="27" t="s">
        <v>37</v>
      </c>
      <c r="E57" s="27" t="s">
        <v>38</v>
      </c>
      <c r="F57" s="27" t="s">
        <v>39</v>
      </c>
      <c r="G57" s="27" t="s">
        <v>40</v>
      </c>
      <c r="H57" s="190" t="s">
        <v>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W57" s="19"/>
      <c r="X57" s="19"/>
      <c r="Y57" s="19"/>
      <c r="Z57" s="19"/>
      <c r="AA57" s="19"/>
      <c r="AB57" s="208"/>
    </row>
    <row r="58" spans="1:28" x14ac:dyDescent="0.25">
      <c r="A58" s="162" t="s">
        <v>18</v>
      </c>
      <c r="B58" s="187"/>
      <c r="C58" s="36">
        <f>C59+C60</f>
        <v>0</v>
      </c>
      <c r="D58" s="36">
        <f>D59+D60</f>
        <v>70.609957549692552</v>
      </c>
      <c r="E58" s="36">
        <f>E59+E60</f>
        <v>0.28263512334264129</v>
      </c>
      <c r="F58" s="36">
        <f>F59+F60</f>
        <v>0.31531526991191633</v>
      </c>
      <c r="G58" s="36">
        <f>G59+G60</f>
        <v>0</v>
      </c>
      <c r="H58" s="163">
        <f t="shared" ref="H58:H67" si="5">SUM(C58:G58)</f>
        <v>71.207907942947116</v>
      </c>
      <c r="I58" s="166"/>
      <c r="J58" s="166"/>
      <c r="K58" s="166"/>
      <c r="L58" s="166"/>
      <c r="M58" s="166"/>
      <c r="N58" s="38"/>
      <c r="O58" s="166"/>
      <c r="P58" s="166"/>
      <c r="Q58" s="166"/>
      <c r="R58" s="166"/>
      <c r="S58" s="166"/>
      <c r="T58" s="207"/>
      <c r="U58" s="75"/>
      <c r="W58" s="82"/>
      <c r="X58" s="208"/>
      <c r="Y58" s="208"/>
      <c r="Z58" s="208"/>
      <c r="AA58" s="208"/>
      <c r="AB58" s="208"/>
    </row>
    <row r="59" spans="1:28" x14ac:dyDescent="0.25">
      <c r="A59" s="148" t="s">
        <v>19</v>
      </c>
      <c r="B59" s="35"/>
      <c r="C59" s="16">
        <v>0</v>
      </c>
      <c r="D59" s="16">
        <f>'T energie usages'!I90*3.2*Résultats!AH283</f>
        <v>35.471695225692542</v>
      </c>
      <c r="E59" s="16">
        <f>'T energie usages'!J90/'T energie usages'!J$98*(Résultats!AH$192+Résultats!AH$193+Résultats!AH$194)/1000000</f>
        <v>8.8991806229333184E-2</v>
      </c>
      <c r="F59" s="16">
        <f>'T energie usages'!K90*2.394*Résultats!AH284</f>
        <v>1.3110971916251344E-5</v>
      </c>
      <c r="G59" s="16">
        <v>0</v>
      </c>
      <c r="H59" s="95">
        <f t="shared" si="5"/>
        <v>35.560700142893786</v>
      </c>
      <c r="I59" s="166"/>
      <c r="J59" s="166"/>
      <c r="K59" s="166"/>
      <c r="L59" s="166"/>
      <c r="M59" s="166"/>
      <c r="N59" s="38"/>
      <c r="O59" s="166"/>
      <c r="P59" s="166"/>
      <c r="Q59" s="166"/>
      <c r="R59" s="166"/>
      <c r="S59" s="166"/>
      <c r="T59" s="207"/>
      <c r="U59" s="16"/>
      <c r="W59" s="30"/>
      <c r="X59" s="208"/>
      <c r="Y59" s="208"/>
      <c r="Z59" s="208"/>
      <c r="AA59" s="208"/>
      <c r="AB59" s="208"/>
    </row>
    <row r="60" spans="1:28" x14ac:dyDescent="0.25">
      <c r="A60" s="149" t="s">
        <v>20</v>
      </c>
      <c r="B60" s="35"/>
      <c r="C60" s="16">
        <v>0</v>
      </c>
      <c r="D60" s="16">
        <f>(Résultats!AH$183+Résultats!AH$184+Résultats!AH$185+Résultats!AH$186+Résultats!AH$187)/1000000</f>
        <v>35.138262324000003</v>
      </c>
      <c r="E60" s="16">
        <f>'T energie usages'!J91/'T energie usages'!J$98*(Résultats!AH$192+Résultats!AH$193+Résultats!AH$194)/1000000</f>
        <v>0.19364331711330812</v>
      </c>
      <c r="F60" s="16">
        <f>(Résultats!AH$209+Résultats!AH$210+Résultats!AH$211+Résultats!AH$212+Résultats!AH$213)/1000000</f>
        <v>0.31530215894000008</v>
      </c>
      <c r="G60" s="16">
        <v>0</v>
      </c>
      <c r="H60" s="95">
        <f t="shared" si="5"/>
        <v>35.647207800053309</v>
      </c>
      <c r="I60" s="166"/>
      <c r="J60" s="166"/>
      <c r="K60" s="166"/>
      <c r="L60" s="166"/>
      <c r="M60" s="166"/>
      <c r="N60" s="38"/>
      <c r="O60" s="166"/>
      <c r="P60" s="166"/>
      <c r="Q60" s="166"/>
      <c r="R60" s="166"/>
      <c r="S60" s="166"/>
      <c r="T60" s="207"/>
      <c r="U60" s="16"/>
      <c r="W60" s="30"/>
      <c r="X60" s="208"/>
      <c r="Y60" s="208"/>
      <c r="Z60" s="208"/>
      <c r="AA60" s="208"/>
      <c r="AB60" s="208"/>
    </row>
    <row r="61" spans="1:28" x14ac:dyDescent="0.25">
      <c r="A61" s="162" t="s">
        <v>21</v>
      </c>
      <c r="B61" s="187"/>
      <c r="C61" s="36">
        <f>Résultats!AH$135/1000000</f>
        <v>0.66497832700000004</v>
      </c>
      <c r="D61" s="36">
        <f>'T energie usages'!I92*3.2*Résultats!AH283</f>
        <v>11.425203872818285</v>
      </c>
      <c r="E61" s="36">
        <f>'T energie usages'!J92/'T energie usages'!J$98*(Résultats!AH$192+Résultats!AH$193+Résultats!AH$194)/1000000</f>
        <v>0.70042847545918407</v>
      </c>
      <c r="F61" s="36">
        <f>('T energie usages'!K92-8)*2.394*Résultats!AH284</f>
        <v>5.230718059941001</v>
      </c>
      <c r="G61" s="36">
        <v>0</v>
      </c>
      <c r="H61" s="163">
        <f t="shared" si="5"/>
        <v>18.021328735218468</v>
      </c>
      <c r="I61" s="166"/>
      <c r="J61" s="166"/>
      <c r="K61" s="166"/>
      <c r="L61" s="166"/>
      <c r="M61" s="166"/>
      <c r="N61" s="38"/>
      <c r="O61" s="166"/>
      <c r="P61" s="166"/>
      <c r="Q61" s="166"/>
      <c r="R61" s="166"/>
      <c r="S61" s="166"/>
      <c r="T61" s="207"/>
      <c r="U61" s="75"/>
      <c r="W61" s="82"/>
      <c r="X61" s="208"/>
      <c r="Y61" s="208"/>
      <c r="Z61" s="208"/>
      <c r="AA61" s="208"/>
      <c r="AB61" s="208"/>
    </row>
    <row r="62" spans="1:28" x14ac:dyDescent="0.25">
      <c r="A62" s="162" t="s">
        <v>22</v>
      </c>
      <c r="B62" s="187"/>
      <c r="C62" s="36">
        <f>(Résultats!AH$168+Résultats!AH$169)/1000000</f>
        <v>0</v>
      </c>
      <c r="D62" s="36">
        <f>(Résultats!AH$188+Résultats!AH$189)/1000000</f>
        <v>2.7534782010000001</v>
      </c>
      <c r="E62" s="36">
        <f>'T energie usages'!J93/'T energie usages'!J$98*(Résultats!AH$192+Résultats!AH$193+Résultats!AH$194)/1000000</f>
        <v>0.37843095614858491</v>
      </c>
      <c r="F62" s="36">
        <f>(Résultats!AH$214+Résultats!AH$215)/1000000</f>
        <v>7.3163085700000003</v>
      </c>
      <c r="G62" s="36">
        <v>0</v>
      </c>
      <c r="H62" s="163">
        <f t="shared" si="5"/>
        <v>10.448217727148585</v>
      </c>
      <c r="I62" s="166"/>
      <c r="J62" s="166"/>
      <c r="K62" s="166"/>
      <c r="L62" s="166"/>
      <c r="M62" s="166"/>
      <c r="N62" s="38"/>
      <c r="O62" s="166"/>
      <c r="P62" s="166"/>
      <c r="Q62" s="166"/>
      <c r="R62" s="166"/>
      <c r="S62" s="166"/>
      <c r="T62" s="207"/>
      <c r="U62" s="75"/>
      <c r="W62" s="82"/>
      <c r="X62" s="208"/>
      <c r="Y62" s="208"/>
      <c r="Z62" s="208"/>
      <c r="AA62" s="208"/>
      <c r="AB62" s="208"/>
    </row>
    <row r="63" spans="1:28" x14ac:dyDescent="0.25">
      <c r="A63" s="162" t="s">
        <v>23</v>
      </c>
      <c r="B63" s="187"/>
      <c r="C63" s="36">
        <f>C64+C65</f>
        <v>7.1957137287599995</v>
      </c>
      <c r="D63" s="36">
        <f>D64+D65</f>
        <v>28.321478024725632</v>
      </c>
      <c r="E63" s="36">
        <f>E64+E65</f>
        <v>0.74138692684958984</v>
      </c>
      <c r="F63" s="36">
        <f>F64+F65</f>
        <v>5.3198062689760706</v>
      </c>
      <c r="G63" s="36">
        <f>G64+G65</f>
        <v>14.38638448</v>
      </c>
      <c r="H63" s="163">
        <f t="shared" si="5"/>
        <v>55.964769429311303</v>
      </c>
      <c r="I63" s="166"/>
      <c r="J63" s="166"/>
      <c r="K63" s="166"/>
      <c r="L63" s="166"/>
      <c r="M63" s="166"/>
      <c r="N63" s="38"/>
      <c r="O63" s="166"/>
      <c r="P63" s="166"/>
      <c r="Q63" s="166"/>
      <c r="R63" s="166"/>
      <c r="S63" s="166"/>
      <c r="T63" s="207"/>
      <c r="U63" s="75"/>
      <c r="W63" s="82"/>
      <c r="X63" s="208"/>
      <c r="Y63" s="208"/>
      <c r="Z63" s="208"/>
      <c r="AA63" s="208"/>
      <c r="AB63" s="208"/>
    </row>
    <row r="64" spans="1:28" x14ac:dyDescent="0.25">
      <c r="A64" s="149" t="s">
        <v>24</v>
      </c>
      <c r="B64" s="35"/>
      <c r="C64" s="75">
        <f>(Résultats!AH$162+Résultats!AH$163+Résultats!AH$164+Résultats!AH$165+Résultats!AH$166+Résultats!AH$167)/1000000</f>
        <v>7.1957137287599995</v>
      </c>
      <c r="D64" s="16">
        <f>(Résultats!AH$171+Résultats!AH$173+Résultats!AH$174+Résultats!AH$175+Résultats!AH$176+Résultats!AH$177+Résultats!AH$178+Résultats!AH$179+Résultats!AH$180+Résultats!AH$181+Résultats!AH$182)/1000000</f>
        <v>21.669555969725632</v>
      </c>
      <c r="E64" s="16">
        <f>'T energie usages'!J95/'T energie usages'!J$98*(Résultats!AH$192+Résultats!AH$193+Résultats!AH$194)/1000000</f>
        <v>0.7248055144082225</v>
      </c>
      <c r="F64" s="16">
        <f>(Résultats!AH$197+Résultats!AH$198+Résultats!AH$199+Résultats!AH$200+Résultats!AH$201+Résultats!AH$202+Résultats!AH$203+Résultats!AH$204+Résultats!AH$205+Résultats!AH$206+Résultats!AH$207+Résultats!AH$208+Résultats!AH$216+Résultats!AH$218)/1000000</f>
        <v>5.0343053581760708</v>
      </c>
      <c r="G64" s="16">
        <f>Résultats!AH$133/1000000</f>
        <v>14.38638448</v>
      </c>
      <c r="H64" s="95">
        <f t="shared" si="5"/>
        <v>49.010765051069924</v>
      </c>
      <c r="I64" s="166"/>
      <c r="K64" s="166"/>
      <c r="L64" s="166"/>
      <c r="M64" s="166"/>
      <c r="N64" s="38"/>
      <c r="O64" s="166"/>
      <c r="P64" s="166"/>
      <c r="Q64" s="166"/>
      <c r="R64" s="166"/>
      <c r="S64" s="166"/>
      <c r="T64" s="207"/>
      <c r="U64" s="16"/>
      <c r="W64" s="30"/>
      <c r="X64" s="208"/>
      <c r="Y64" s="208"/>
      <c r="Z64" s="208"/>
      <c r="AA64" s="208"/>
      <c r="AB64" s="208"/>
    </row>
    <row r="65" spans="1:28" x14ac:dyDescent="0.25">
      <c r="A65" s="149" t="s">
        <v>25</v>
      </c>
      <c r="B65" s="35"/>
      <c r="C65" s="16">
        <v>0</v>
      </c>
      <c r="D65" s="16">
        <f>(Résultats!AH$172)/1000000</f>
        <v>6.651922055</v>
      </c>
      <c r="E65" s="16">
        <f>'T energie usages'!J97/'T energie usages'!J$98*(Résultats!AH$192+Résultats!AH$193+Résultats!AH$194)/1000000</f>
        <v>1.6581412441367335E-2</v>
      </c>
      <c r="F65" s="16">
        <f>(Résultats!AH$196)/1000000</f>
        <v>0.28550091080000001</v>
      </c>
      <c r="G65" s="16">
        <v>0</v>
      </c>
      <c r="H65" s="95">
        <f t="shared" si="5"/>
        <v>6.9540043782413674</v>
      </c>
      <c r="I65" s="166"/>
      <c r="K65" s="166"/>
      <c r="L65" s="166"/>
      <c r="M65" s="166"/>
      <c r="N65" s="38"/>
      <c r="O65" s="166"/>
      <c r="P65" s="166"/>
      <c r="Q65" s="166"/>
      <c r="R65" s="166"/>
      <c r="S65" s="166"/>
      <c r="T65" s="207"/>
      <c r="U65" s="16"/>
      <c r="W65" s="30"/>
      <c r="X65" s="208"/>
      <c r="Y65" s="208"/>
      <c r="Z65" s="208"/>
      <c r="AA65" s="208"/>
      <c r="AB65" s="208"/>
    </row>
    <row r="66" spans="1:28" x14ac:dyDescent="0.25">
      <c r="A66" s="48" t="s">
        <v>41</v>
      </c>
      <c r="B66" s="37"/>
      <c r="C66" s="37">
        <f>SUM(C61:C63)+C58</f>
        <v>7.8606920557599995</v>
      </c>
      <c r="D66" s="37">
        <f>SUM(D61:D63)+D58</f>
        <v>113.11011764823647</v>
      </c>
      <c r="E66" s="37">
        <f>SUM(E61:E63)+E58</f>
        <v>2.1028814818000003</v>
      </c>
      <c r="F66" s="37">
        <f>SUM(F61:F63)+F58</f>
        <v>18.182148168828988</v>
      </c>
      <c r="G66" s="37">
        <f>SUM(G61:G63)+G58</f>
        <v>14.38638448</v>
      </c>
      <c r="H66" s="167">
        <f t="shared" si="5"/>
        <v>155.64222383462544</v>
      </c>
      <c r="I66" s="79"/>
      <c r="J66" s="211"/>
      <c r="K66" s="166"/>
      <c r="L66" s="166"/>
      <c r="M66" s="166"/>
      <c r="N66" s="38"/>
      <c r="O66" s="166"/>
      <c r="P66" s="166"/>
      <c r="Q66" s="166"/>
      <c r="R66" s="166"/>
      <c r="S66" s="166"/>
      <c r="T66" s="207"/>
      <c r="U66" s="79"/>
      <c r="W66" s="80"/>
      <c r="X66" s="208"/>
      <c r="Y66" s="208"/>
      <c r="Z66" s="208"/>
      <c r="AA66" s="208"/>
      <c r="AB66" s="208"/>
    </row>
    <row r="67" spans="1:28" x14ac:dyDescent="0.25">
      <c r="A67" s="164" t="s">
        <v>43</v>
      </c>
      <c r="B67" s="164"/>
      <c r="C67" s="165">
        <f>(Résultats!AH$135+Résultats!AH$162+Résultats!AH$163+Résultats!AH$164+Résultats!AH$165+Résultats!AH$166+Résultats!AH$167+Résultats!AH$168+Résultats!AH$169)/1000000</f>
        <v>7.8606920557599995</v>
      </c>
      <c r="D67" s="165">
        <f>(Résultats!AH$137+Résultats!AH$171+Résultats!AH$172+Résultats!AH$173+Résultats!AH$174+Résultats!AH$175+Résultats!AH$176+Résultats!AH$177+Résultats!AH$178+Résultats!AH$179+Résultats!AH$180+Résultats!AH$181+Résultats!AH$182+Résultats!AH$183+Résultats!AH$184+Résultats!AH$185+Résultats!AH$186+Résultats!AH$187+Résultats!AH$188+Résultats!AH$189)/1000000</f>
        <v>113.13845752972563</v>
      </c>
      <c r="E67" s="165">
        <f>(Résultats!AH$192+Résultats!AH$193+Résultats!AH$194)/1000000</f>
        <v>2.1028814818000003</v>
      </c>
      <c r="F67" s="165">
        <f>(Résultats!AH$139+Résultats!AH$196+Résultats!AH$197+Résultats!AH$198+Résultats!AH$199+Résultats!AH$200+Résultats!AH$201+Résultats!AH$202+Résultats!AH$203+Résultats!AH$204+Résultats!AH$205+Résultats!AH$206+Résultats!AH$207+Résultats!AH$208+Résultats!AH$209+Résultats!AH$210+Résultats!AH$211+Résultats!AH$212+Résultats!AH$213+Résultats!AH$214+Résultats!AH$215+Résultats!AH$216+Résultats!AH$218)/1000000</f>
        <v>22.016197553916061</v>
      </c>
      <c r="G67" s="165">
        <f>Résultats!AH$133/1000000</f>
        <v>14.38638448</v>
      </c>
      <c r="H67" s="188">
        <f t="shared" si="5"/>
        <v>159.5046131012017</v>
      </c>
      <c r="I67" s="45"/>
      <c r="K67" s="45"/>
      <c r="L67" s="166"/>
    </row>
    <row r="68" spans="1:28" x14ac:dyDescent="0.25">
      <c r="A68" s="164"/>
      <c r="B68" s="164"/>
      <c r="C68" s="165"/>
      <c r="D68" s="165"/>
      <c r="E68" s="165"/>
      <c r="F68" s="165"/>
      <c r="G68" s="165"/>
      <c r="H68" s="165">
        <f>Résultats!AH227/1000000</f>
        <v>159.50461300000001</v>
      </c>
      <c r="I68" s="45"/>
      <c r="K68" s="45"/>
      <c r="L68" s="166"/>
    </row>
    <row r="69" spans="1:28" x14ac:dyDescent="0.25">
      <c r="A69" s="3"/>
      <c r="B69" s="3"/>
      <c r="C69" s="45"/>
      <c r="D69" s="45"/>
      <c r="E69" s="45"/>
      <c r="F69" s="45"/>
      <c r="G69" s="45"/>
      <c r="H69" s="45"/>
      <c r="I69" s="45"/>
      <c r="K69" s="45"/>
      <c r="L69" s="166"/>
    </row>
    <row r="70" spans="1:28" ht="21" x14ac:dyDescent="0.35">
      <c r="A70" s="145">
        <v>2050</v>
      </c>
      <c r="B70" s="186"/>
      <c r="C70" s="27" t="s">
        <v>36</v>
      </c>
      <c r="D70" s="27" t="s">
        <v>37</v>
      </c>
      <c r="E70" s="27" t="s">
        <v>38</v>
      </c>
      <c r="F70" s="27" t="s">
        <v>39</v>
      </c>
      <c r="G70" s="27" t="s">
        <v>40</v>
      </c>
      <c r="H70" s="190" t="s">
        <v>1</v>
      </c>
      <c r="I70" s="3"/>
    </row>
    <row r="71" spans="1:28" x14ac:dyDescent="0.25">
      <c r="A71" s="162" t="s">
        <v>18</v>
      </c>
      <c r="B71" s="187"/>
      <c r="C71" s="36">
        <f>C72+C73</f>
        <v>5.8788602722882695E-6</v>
      </c>
      <c r="D71" s="36">
        <f>D72+D73</f>
        <v>19.456873444488139</v>
      </c>
      <c r="E71" s="36">
        <f>E72+E73</f>
        <v>5.9618915891928546E-2</v>
      </c>
      <c r="F71" s="36">
        <f>F72+F73</f>
        <v>0.21974966028341281</v>
      </c>
      <c r="G71" s="36">
        <f>G72+G73</f>
        <v>0</v>
      </c>
      <c r="H71" s="163">
        <f t="shared" ref="H71:H80" si="6">SUM(C71:G71)</f>
        <v>19.73624789952375</v>
      </c>
      <c r="I71" s="3"/>
    </row>
    <row r="72" spans="1:28" x14ac:dyDescent="0.25">
      <c r="A72" s="148" t="s">
        <v>19</v>
      </c>
      <c r="B72" s="35"/>
      <c r="C72" s="16">
        <f>Résultats!AF$118/1000000</f>
        <v>5.8788602722882695E-6</v>
      </c>
      <c r="D72" s="16">
        <f>'T energie usages'!I116*3.2*Résultats!AW283</f>
        <v>8.1611516936881383</v>
      </c>
      <c r="E72" s="16">
        <f>'T energie usages'!J116/'T energie usages'!J$124*(Résultats!AW$192+Résultats!AW$193+Résultats!AW$194)/1000000</f>
        <v>2.0970096886934735E-2</v>
      </c>
      <c r="F72" s="16">
        <f>'T energie usages'!K116*2.394*Résultats!AW284</f>
        <v>3.0648934128305068E-6</v>
      </c>
      <c r="G72" s="16">
        <v>0</v>
      </c>
      <c r="H72" s="95">
        <f t="shared" si="6"/>
        <v>8.1821307343287568</v>
      </c>
      <c r="I72" s="3"/>
    </row>
    <row r="73" spans="1:28" x14ac:dyDescent="0.25">
      <c r="A73" s="149" t="s">
        <v>20</v>
      </c>
      <c r="B73" s="35"/>
      <c r="C73" s="16">
        <v>0</v>
      </c>
      <c r="D73" s="16">
        <f>(Résultats!AW$183+Résultats!AW$184+Résultats!AW$185+Résultats!AW$186+Résultats!AW$187)/1000000</f>
        <v>11.2957217508</v>
      </c>
      <c r="E73" s="16">
        <f>'T energie usages'!J117/'T energie usages'!J$124*(Résultats!AW$192+Résultats!AW$193+Résultats!AW$194)/1000000</f>
        <v>3.8648819004993812E-2</v>
      </c>
      <c r="F73" s="192">
        <f>(Résultats!AW$209+Résultats!AW$210+Résultats!AW$211+Résultats!AW$212+Résultats!AW$213)/1000000</f>
        <v>0.21974659538999997</v>
      </c>
      <c r="G73" s="16">
        <v>0</v>
      </c>
      <c r="H73" s="95">
        <f t="shared" si="6"/>
        <v>11.554117165194993</v>
      </c>
      <c r="I73" s="3"/>
    </row>
    <row r="74" spans="1:28" x14ac:dyDescent="0.25">
      <c r="A74" s="162" t="s">
        <v>21</v>
      </c>
      <c r="B74" s="187"/>
      <c r="C74" s="36">
        <f>Résultats!AW$135/1000000</f>
        <v>0.45228199530000002</v>
      </c>
      <c r="D74" s="36">
        <f>'T energie usages'!I118*3.2*Résultats!AW283</f>
        <v>4.9627661171261828</v>
      </c>
      <c r="E74" s="36">
        <f>'T energie usages'!J118/'T energie usages'!J$124*(Résultats!AW$192+Résultats!AW$193+Résultats!AW$194)/1000000</f>
        <v>6.6541605236587392E-2</v>
      </c>
      <c r="F74" s="36">
        <f>('T energie usages'!K118-8)*2.394*Résultats!AW284</f>
        <v>2.0188650087645317</v>
      </c>
      <c r="G74" s="36">
        <v>0</v>
      </c>
      <c r="H74" s="163">
        <f t="shared" si="6"/>
        <v>7.5004547264273018</v>
      </c>
      <c r="I74" s="3"/>
    </row>
    <row r="75" spans="1:28" x14ac:dyDescent="0.25">
      <c r="A75" s="162" t="s">
        <v>22</v>
      </c>
      <c r="B75" s="187"/>
      <c r="C75" s="36">
        <f>(Résultats!AW$168+Résultats!AW$169)/1000000</f>
        <v>0</v>
      </c>
      <c r="D75" s="36">
        <f>(Résultats!AW$188+Résultats!AW$189)/1000000</f>
        <v>1.56956432487</v>
      </c>
      <c r="E75" s="36">
        <f>'T energie usages'!J119/'T energie usages'!J$124*(Résultats!AW$192+Résultats!AW$193+Résultats!AW$194)/1000000</f>
        <v>3.5362074106389724E-2</v>
      </c>
      <c r="F75" s="36">
        <f>(Résultats!AW$214+Résultats!AW$215)/1000000</f>
        <v>2.9811940210999999</v>
      </c>
      <c r="G75" s="36">
        <v>0</v>
      </c>
      <c r="H75" s="163">
        <f t="shared" si="6"/>
        <v>4.5861204200763899</v>
      </c>
      <c r="I75" s="3"/>
    </row>
    <row r="76" spans="1:28" x14ac:dyDescent="0.25">
      <c r="A76" s="162" t="s">
        <v>23</v>
      </c>
      <c r="B76" s="187"/>
      <c r="C76" s="36">
        <f>C77+C78</f>
        <v>8.4533652088500002</v>
      </c>
      <c r="D76" s="36">
        <f>D77+D78</f>
        <v>17.20956604375521</v>
      </c>
      <c r="E76" s="36">
        <f>E77+E78</f>
        <v>8.0974157305094344E-2</v>
      </c>
      <c r="F76" s="36">
        <f>F77+F78</f>
        <v>3.7727108993894878</v>
      </c>
      <c r="G76" s="36">
        <f>G77+G78</f>
        <v>15.889476759999999</v>
      </c>
      <c r="H76" s="163">
        <f t="shared" si="6"/>
        <v>45.406093069299793</v>
      </c>
      <c r="I76" s="3"/>
    </row>
    <row r="77" spans="1:28" x14ac:dyDescent="0.25">
      <c r="A77" s="149" t="s">
        <v>24</v>
      </c>
      <c r="B77" s="35"/>
      <c r="C77" s="16">
        <f>(Résultats!AW$162+Résultats!AW$163+Résultats!AW$164+Résultats!AW$165+Résultats!AW$166+Résultats!AW$167)/1000000</f>
        <v>8.4533652088500002</v>
      </c>
      <c r="D77" s="16">
        <f>(Résultats!AW$171+Résultats!AW$173+Résultats!AW$174+Résultats!AW$175+Résultats!AW$176+Résultats!AW$177+Résultats!AW$178+Résultats!AW$179+Résultats!AW$180+Résultats!AW$181+Résultats!AW$182)/1000000</f>
        <v>12.837475975755211</v>
      </c>
      <c r="E77" s="16">
        <f>'T energie usages'!J121/'T energie usages'!J$124*(Résultats!AW$192+Résultats!AW$193+Résultats!AW$194)/1000000</f>
        <v>7.9035433757759677E-2</v>
      </c>
      <c r="F77" s="16">
        <f>(Résultats!AW$197+Résultats!AW$198+Résultats!AW$199+Résultats!AW$200+Résultats!AW$201+Résultats!AW$202+Résultats!AW$203+Résultats!AW$204+Résultats!AW$205+Résultats!AW$206+Résultats!AW$207+Résultats!AW$208+Résultats!AW$216+Résultats!AW$218)/1000000</f>
        <v>3.5828295804894879</v>
      </c>
      <c r="G77" s="16">
        <f>Résultats!AW$133/1000000</f>
        <v>15.889476759999999</v>
      </c>
      <c r="H77" s="95">
        <f t="shared" si="6"/>
        <v>40.842182958852462</v>
      </c>
      <c r="I77" s="3"/>
    </row>
    <row r="78" spans="1:28" x14ac:dyDescent="0.25">
      <c r="A78" s="149" t="s">
        <v>25</v>
      </c>
      <c r="B78" s="35"/>
      <c r="C78" s="16">
        <v>0</v>
      </c>
      <c r="D78" s="16">
        <f>(Résultats!AW$172)/1000000</f>
        <v>4.3720900680000003</v>
      </c>
      <c r="E78" s="16">
        <f>'T energie usages'!J123/'T energie usages'!J$124*(Résultats!AW$192+Résultats!AW$193+Résultats!AW$194)/1000000</f>
        <v>1.9387235473346726E-3</v>
      </c>
      <c r="F78" s="16">
        <f>(Résultats!AW$196)/1000000</f>
        <v>0.18988131890000001</v>
      </c>
      <c r="G78" s="16">
        <v>0</v>
      </c>
      <c r="H78" s="95">
        <f t="shared" si="6"/>
        <v>4.5639101104473356</v>
      </c>
      <c r="I78" s="3"/>
    </row>
    <row r="79" spans="1:28" x14ac:dyDescent="0.25">
      <c r="A79" s="48" t="s">
        <v>41</v>
      </c>
      <c r="B79" s="37"/>
      <c r="C79" s="37">
        <f>SUM(C74:C76)+C71</f>
        <v>8.9056530830102716</v>
      </c>
      <c r="D79" s="37">
        <f>SUM(D74:D76)+D71</f>
        <v>43.198769930239536</v>
      </c>
      <c r="E79" s="37">
        <f>SUM(E74:E76)+E71</f>
        <v>0.24249675254</v>
      </c>
      <c r="F79" s="37">
        <f>SUM(F74:F76)+F71</f>
        <v>8.9925195895374319</v>
      </c>
      <c r="G79" s="37">
        <f>SUM(G74:G76)+G71</f>
        <v>15.889476759999999</v>
      </c>
      <c r="H79" s="167">
        <f t="shared" si="6"/>
        <v>77.228916115327237</v>
      </c>
      <c r="I79" s="3"/>
    </row>
    <row r="80" spans="1:28" x14ac:dyDescent="0.25">
      <c r="A80" s="164" t="s">
        <v>43</v>
      </c>
      <c r="B80" s="164"/>
      <c r="C80" s="165">
        <f>(Résultats!AW$135+Résultats!AW$162+Résultats!AW$163+Résultats!AW$164+Résultats!AW$165+Résultats!AW$166+Résultats!AW$167+Résultats!AW$168+Résultats!AW$169)/1000000</f>
        <v>8.9056472041499983</v>
      </c>
      <c r="D80" s="165">
        <f>(Résultats!AW$137+Résultats!AW$171+Résultats!AW$172+Résultats!AW$173+Résultats!AW$174+Résultats!AW$175+Résultats!AW$176+Résultats!AW$177+Résultats!AW$178+Résultats!AW$179+Résultats!AW$180+Résultats!AW$181+Résultats!AW$182+Résultats!AW$183+Résultats!AW$184+Résultats!AW$185+Résultats!AW$186+Résultats!AW$187+Résultats!AW$188+Résultats!AW$189)/1000000</f>
        <v>43.206700739425209</v>
      </c>
      <c r="E80" s="165">
        <f>(Résultats!AW$192+Résultats!AW$193+Résultats!AW$194)/1000000</f>
        <v>0.24249675254</v>
      </c>
      <c r="F80" s="165">
        <f>(Résultats!AW$139+Résultats!AW$196+Résultats!AW$197+Résultats!AW$198+Résultats!AW$199+Résultats!AW$200+Résultats!AW$201+Résultats!AW$202+Résultats!AW$203+Résultats!AW$204+Résultats!AW$205+Résultats!AW$206+Résultats!AW$207+Résultats!AW$208+Résultats!AW$209+Résultats!AW$210+Résultats!AW$211+Résultats!AW$212+Résultats!AW$213+Résultats!AW$214+Résultats!AW$215+Résultats!AW$216+Résultats!AW$218)/1000000</f>
        <v>11.189806083879489</v>
      </c>
      <c r="G80" s="165">
        <f>Résultats!AW133/1000000</f>
        <v>15.889476759999999</v>
      </c>
      <c r="H80" s="188">
        <f t="shared" si="6"/>
        <v>79.434127539994691</v>
      </c>
      <c r="I80" s="47"/>
    </row>
    <row r="81" spans="1:9" x14ac:dyDescent="0.25">
      <c r="A81" s="164"/>
      <c r="B81" s="164"/>
      <c r="C81" s="165"/>
      <c r="D81" s="165"/>
      <c r="E81" s="165"/>
      <c r="F81" s="165"/>
      <c r="G81" s="165"/>
      <c r="H81" s="165">
        <f>Résultats!AW227/1000000</f>
        <v>79.434127469999993</v>
      </c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s="3" customFormat="1" x14ac:dyDescent="0.25"/>
    <row r="85" spans="1:9" s="3" customFormat="1" x14ac:dyDescent="0.25">
      <c r="G85" s="45"/>
    </row>
    <row r="86" spans="1:9" s="3" customFormat="1" x14ac:dyDescent="0.25">
      <c r="H86" s="47"/>
    </row>
    <row r="87" spans="1:9" s="3" customFormat="1" x14ac:dyDescent="0.25">
      <c r="C87" s="45"/>
      <c r="H87" s="47"/>
    </row>
    <row r="88" spans="1:9" s="3" customFormat="1" x14ac:dyDescent="0.25">
      <c r="C88" s="45"/>
      <c r="H88" s="47"/>
    </row>
    <row r="89" spans="1:9" s="3" customFormat="1" x14ac:dyDescent="0.25">
      <c r="C89" s="45"/>
      <c r="H89" s="47"/>
    </row>
    <row r="90" spans="1:9" s="3" customFormat="1" x14ac:dyDescent="0.25">
      <c r="C90" s="45"/>
      <c r="H90" s="47"/>
    </row>
    <row r="91" spans="1:9" s="3" customFormat="1" x14ac:dyDescent="0.25">
      <c r="C91" s="45"/>
      <c r="H91" s="47"/>
    </row>
    <row r="92" spans="1:9" s="3" customFormat="1" x14ac:dyDescent="0.25">
      <c r="C92" s="45"/>
    </row>
    <row r="93" spans="1:9" s="3" customFormat="1" x14ac:dyDescent="0.25">
      <c r="C93" s="45"/>
    </row>
    <row r="94" spans="1:9" s="3" customFormat="1" x14ac:dyDescent="0.25">
      <c r="C94" s="45"/>
    </row>
    <row r="95" spans="1:9" s="3" customFormat="1" x14ac:dyDescent="0.25">
      <c r="C95" s="45"/>
    </row>
    <row r="96" spans="1:9" s="3" customFormat="1" x14ac:dyDescent="0.25">
      <c r="C96" s="45"/>
    </row>
    <row r="97" spans="3:5" s="3" customFormat="1" x14ac:dyDescent="0.25">
      <c r="C97" s="45"/>
    </row>
    <row r="98" spans="3:5" s="3" customFormat="1" x14ac:dyDescent="0.25">
      <c r="C98" s="45"/>
    </row>
    <row r="99" spans="3:5" s="3" customFormat="1" x14ac:dyDescent="0.25">
      <c r="C99" s="45"/>
    </row>
    <row r="100" spans="3:5" s="3" customFormat="1" x14ac:dyDescent="0.25">
      <c r="C100" s="45"/>
    </row>
    <row r="101" spans="3:5" s="3" customFormat="1" x14ac:dyDescent="0.25">
      <c r="C101" s="45"/>
    </row>
    <row r="102" spans="3:5" s="3" customFormat="1" x14ac:dyDescent="0.25">
      <c r="C102" s="45"/>
    </row>
    <row r="103" spans="3:5" s="3" customFormat="1" x14ac:dyDescent="0.25"/>
    <row r="104" spans="3:5" s="3" customFormat="1" x14ac:dyDescent="0.25">
      <c r="C104" s="45"/>
    </row>
    <row r="105" spans="3:5" s="3" customFormat="1" x14ac:dyDescent="0.25">
      <c r="C105" s="45"/>
    </row>
    <row r="106" spans="3:5" s="3" customFormat="1" x14ac:dyDescent="0.25">
      <c r="C106" s="45"/>
    </row>
    <row r="107" spans="3:5" s="3" customFormat="1" x14ac:dyDescent="0.25">
      <c r="C107" s="45"/>
    </row>
    <row r="108" spans="3:5" s="3" customFormat="1" x14ac:dyDescent="0.25">
      <c r="C108" s="45"/>
    </row>
    <row r="109" spans="3:5" s="3" customFormat="1" x14ac:dyDescent="0.25">
      <c r="C109" s="45"/>
    </row>
    <row r="110" spans="3:5" s="3" customFormat="1" x14ac:dyDescent="0.25">
      <c r="C110" s="45"/>
    </row>
    <row r="111" spans="3:5" s="3" customFormat="1" x14ac:dyDescent="0.25">
      <c r="C111" s="45"/>
    </row>
    <row r="112" spans="3:5" s="3" customFormat="1" x14ac:dyDescent="0.25">
      <c r="C112" s="45"/>
      <c r="D112" s="212"/>
      <c r="E112" s="212"/>
    </row>
    <row r="113" spans="3:3" s="3" customFormat="1" x14ac:dyDescent="0.25">
      <c r="C113" s="45"/>
    </row>
    <row r="114" spans="3:3" s="3" customFormat="1" x14ac:dyDescent="0.25">
      <c r="C114" s="45"/>
    </row>
    <row r="115" spans="3:3" s="3" customFormat="1" x14ac:dyDescent="0.25">
      <c r="C115" s="45"/>
    </row>
    <row r="116" spans="3:3" s="3" customFormat="1" x14ac:dyDescent="0.25">
      <c r="C116" s="45"/>
    </row>
    <row r="117" spans="3:3" s="3" customFormat="1" x14ac:dyDescent="0.25">
      <c r="C117" s="45"/>
    </row>
    <row r="118" spans="3:3" s="3" customFormat="1" x14ac:dyDescent="0.25">
      <c r="C118" s="45"/>
    </row>
    <row r="119" spans="3:3" s="3" customFormat="1" x14ac:dyDescent="0.25">
      <c r="C119" s="45"/>
    </row>
    <row r="120" spans="3:3" s="3" customFormat="1" x14ac:dyDescent="0.25">
      <c r="C120" s="45"/>
    </row>
    <row r="121" spans="3:3" s="3" customFormat="1" x14ac:dyDescent="0.25">
      <c r="C121" s="45"/>
    </row>
    <row r="122" spans="3:3" s="3" customFormat="1" x14ac:dyDescent="0.25"/>
    <row r="123" spans="3:3" s="3" customFormat="1" x14ac:dyDescent="0.25"/>
    <row r="124" spans="3:3" s="3" customFormat="1" x14ac:dyDescent="0.25"/>
    <row r="125" spans="3:3" s="3" customFormat="1" x14ac:dyDescent="0.25"/>
    <row r="126" spans="3:3" s="3" customFormat="1" x14ac:dyDescent="0.25"/>
    <row r="127" spans="3:3" s="3" customFormat="1" x14ac:dyDescent="0.25"/>
    <row r="128" spans="3:3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6">
    <tabColor rgb="FF0070C0"/>
  </sheetPr>
  <dimension ref="A1:BD32"/>
  <sheetViews>
    <sheetView topLeftCell="A2" zoomScale="80" zoomScaleNormal="80" workbookViewId="0">
      <selection activeCell="E2" sqref="E2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6" width="13.5703125" hidden="1" customWidth="1"/>
    <col min="7" max="8" width="7.140625" customWidth="1"/>
    <col min="9" max="18" width="7.140625" bestFit="1" customWidth="1"/>
    <col min="19" max="19" width="7.85546875" customWidth="1"/>
    <col min="20" max="22" width="7.140625" bestFit="1" customWidth="1"/>
    <col min="23" max="23" width="7.85546875" customWidth="1"/>
    <col min="30" max="30" width="19.7109375" hidden="1" customWidth="1"/>
    <col min="31" max="31" width="21.5703125" hidden="1" customWidth="1"/>
    <col min="32" max="34" width="13.5703125" hidden="1" customWidth="1"/>
    <col min="35" max="46" width="7.140625" hidden="1" customWidth="1"/>
    <col min="47" max="47" width="7.85546875" customWidth="1"/>
    <col min="48" max="50" width="7.140625" bestFit="1" customWidth="1"/>
    <col min="51" max="51" width="7.85546875" customWidth="1"/>
  </cols>
  <sheetData>
    <row r="1" spans="1:56" s="3" customFormat="1" ht="23.25" x14ac:dyDescent="0.35">
      <c r="A1" s="46" t="s">
        <v>99</v>
      </c>
      <c r="AC1" s="46" t="s">
        <v>99</v>
      </c>
    </row>
    <row r="2" spans="1:56" s="3" customFormat="1" ht="23.25" x14ac:dyDescent="0.35">
      <c r="A2" s="46"/>
      <c r="D2" s="7"/>
      <c r="E2" s="235">
        <f>'T energie vecteurs'!E5</f>
        <v>4</v>
      </c>
      <c r="F2" s="235">
        <f>E2+9</f>
        <v>13</v>
      </c>
      <c r="G2" s="235">
        <f>F2+3</f>
        <v>16</v>
      </c>
      <c r="H2" s="235">
        <f t="shared" ref="H2:S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>S2+5</f>
        <v>33</v>
      </c>
      <c r="U2" s="235">
        <f>T2+5</f>
        <v>38</v>
      </c>
      <c r="V2" s="235">
        <f>U2+5</f>
        <v>43</v>
      </c>
      <c r="W2" s="235">
        <f>V2+5</f>
        <v>48</v>
      </c>
      <c r="AC2" s="46"/>
      <c r="AF2" s="7"/>
      <c r="AG2" s="235">
        <v>3</v>
      </c>
      <c r="AH2" s="235">
        <v>12</v>
      </c>
      <c r="AI2" s="235">
        <v>15</v>
      </c>
      <c r="AJ2" s="235">
        <v>16</v>
      </c>
      <c r="AK2" s="235">
        <v>17</v>
      </c>
      <c r="AL2" s="235">
        <v>18</v>
      </c>
      <c r="AM2" s="235">
        <v>19</v>
      </c>
      <c r="AN2" s="235">
        <v>20</v>
      </c>
      <c r="AO2" s="235">
        <v>21</v>
      </c>
      <c r="AP2" s="235">
        <v>22</v>
      </c>
      <c r="AQ2" s="235">
        <v>23</v>
      </c>
      <c r="AR2" s="235">
        <v>24</v>
      </c>
      <c r="AS2" s="235">
        <v>25</v>
      </c>
      <c r="AT2" s="235">
        <v>26</v>
      </c>
      <c r="AU2" s="235">
        <v>27</v>
      </c>
      <c r="AV2" s="235">
        <v>32</v>
      </c>
      <c r="AW2" s="235">
        <v>37</v>
      </c>
      <c r="AX2" s="235">
        <v>42</v>
      </c>
      <c r="AY2" s="235">
        <v>47</v>
      </c>
    </row>
    <row r="3" spans="1:56" ht="23.25" x14ac:dyDescent="0.35">
      <c r="A3" s="228"/>
      <c r="B3" s="3"/>
      <c r="C3" s="42"/>
      <c r="D3" s="11"/>
      <c r="E3" s="238">
        <v>2006</v>
      </c>
      <c r="F3" s="49">
        <v>2015</v>
      </c>
      <c r="G3" s="20">
        <v>2018</v>
      </c>
      <c r="H3" s="4">
        <v>2019</v>
      </c>
      <c r="I3" s="190">
        <v>2020</v>
      </c>
      <c r="J3" s="91">
        <v>2021</v>
      </c>
      <c r="K3" s="27">
        <v>2022</v>
      </c>
      <c r="L3" s="4">
        <v>2023</v>
      </c>
      <c r="M3" s="27">
        <v>2024</v>
      </c>
      <c r="N3" s="83">
        <v>2025</v>
      </c>
      <c r="O3" s="91">
        <v>2026</v>
      </c>
      <c r="P3" s="4">
        <v>2027</v>
      </c>
      <c r="Q3" s="27">
        <v>2028</v>
      </c>
      <c r="R3" s="27">
        <v>2029</v>
      </c>
      <c r="S3" s="83">
        <v>2030</v>
      </c>
      <c r="T3" s="93">
        <v>2035</v>
      </c>
      <c r="U3" s="93">
        <v>2040</v>
      </c>
      <c r="V3" s="4">
        <v>2045</v>
      </c>
      <c r="W3" s="93">
        <v>2050</v>
      </c>
      <c r="X3" s="3"/>
      <c r="AC3" s="228"/>
      <c r="AD3" s="3"/>
      <c r="AE3" s="42"/>
      <c r="AF3" s="11"/>
      <c r="AG3" s="238">
        <v>2006</v>
      </c>
      <c r="AH3" s="49">
        <v>2015</v>
      </c>
      <c r="AI3" s="20">
        <v>2018</v>
      </c>
      <c r="AJ3" s="4">
        <v>2019</v>
      </c>
      <c r="AK3" s="190">
        <v>2020</v>
      </c>
      <c r="AL3" s="91">
        <v>2021</v>
      </c>
      <c r="AM3" s="27">
        <v>2022</v>
      </c>
      <c r="AN3" s="4">
        <v>2023</v>
      </c>
      <c r="AO3" s="27">
        <v>2024</v>
      </c>
      <c r="AP3" s="83">
        <v>2025</v>
      </c>
      <c r="AQ3" s="91">
        <v>2026</v>
      </c>
      <c r="AR3" s="4">
        <v>2027</v>
      </c>
      <c r="AS3" s="27">
        <v>2028</v>
      </c>
      <c r="AT3" s="27">
        <v>2029</v>
      </c>
      <c r="AU3" s="83">
        <v>2030</v>
      </c>
      <c r="AV3" s="93">
        <v>2035</v>
      </c>
      <c r="AW3" s="93">
        <v>2040</v>
      </c>
      <c r="AX3" s="4">
        <v>2045</v>
      </c>
      <c r="AY3" s="93">
        <v>2050</v>
      </c>
      <c r="AZ3" s="3"/>
    </row>
    <row r="4" spans="1:56" ht="23.25" x14ac:dyDescent="0.35">
      <c r="A4" s="161" t="str">
        <f>Résultats!B1</f>
        <v>SNBC3</v>
      </c>
      <c r="B4" s="229" t="s">
        <v>100</v>
      </c>
      <c r="C4" s="5" t="s">
        <v>92</v>
      </c>
      <c r="D4" s="12" t="s">
        <v>190</v>
      </c>
      <c r="E4" s="18">
        <f>VLOOKUP($D4,Résultats!$B$2:$AX$212,E$2,FALSE)</f>
        <v>2393165780</v>
      </c>
      <c r="F4" s="18">
        <f>VLOOKUP($D4,Résultats!$B$2:$AX$212,F$2,FALSE)</f>
        <v>2623669000</v>
      </c>
      <c r="G4" s="106">
        <f>VLOOKUP($D4,Résultats!$B$2:$AX$212,G$2,FALSE)/1000000</f>
        <v>2715.6825130000002</v>
      </c>
      <c r="H4" s="18">
        <f>VLOOKUP($D4,Résultats!$B$2:$AX$212,H$2,FALSE)/1000000</f>
        <v>2745.4671250000001</v>
      </c>
      <c r="I4" s="114">
        <f>VLOOKUP($D4,Résultats!$B$2:$AX$212,I$2,FALSE)/1000000</f>
        <v>2775.1517399999998</v>
      </c>
      <c r="J4" s="106">
        <f>VLOOKUP($D4,Résultats!$B$2:$AX$212,J$2,FALSE)/1000000</f>
        <v>2804.2295709999999</v>
      </c>
      <c r="K4" s="18">
        <f>VLOOKUP($D4,Résultats!$B$2:$AX$212,K$2,FALSE)/1000000</f>
        <v>2833.057577</v>
      </c>
      <c r="L4" s="18">
        <f>VLOOKUP($D4,Résultats!$B$2:$AX$212,L$2,FALSE)/1000000</f>
        <v>2863.7831890000002</v>
      </c>
      <c r="M4" s="18">
        <f>VLOOKUP($D4,Résultats!$B$2:$AX$212,M$2,FALSE)/1000000</f>
        <v>2893.2943919999998</v>
      </c>
      <c r="N4" s="107">
        <f>VLOOKUP($D4,Résultats!$B$2:$AX$212,N$2,FALSE)/1000000</f>
        <v>2920.6834960000001</v>
      </c>
      <c r="O4" s="106">
        <f>VLOOKUP($D4,Résultats!$B$2:$AX$212,O$2,FALSE)/1000000</f>
        <v>2946.0163050000001</v>
      </c>
      <c r="P4" s="18">
        <f>VLOOKUP($D4,Résultats!$B$2:$AX$212,P$2,FALSE)/1000000</f>
        <v>2969.1923109999998</v>
      </c>
      <c r="Q4" s="18">
        <f>VLOOKUP($D4,Résultats!$B$2:$AX$212,Q$2,FALSE)/1000000</f>
        <v>2990.3332730000002</v>
      </c>
      <c r="R4" s="18">
        <f>VLOOKUP($D4,Résultats!$B$2:$AX$212,R$2,FALSE)/1000000</f>
        <v>3009.2612450000001</v>
      </c>
      <c r="S4" s="107">
        <f>VLOOKUP($D4,Résultats!$B$2:$AX$212,S$2,FALSE)/1000000</f>
        <v>3025.8887220000001</v>
      </c>
      <c r="T4" s="114">
        <f>VLOOKUP($D4,Résultats!$B$2:$AX$212,T$2,FALSE)/1000000</f>
        <v>3096.9837219999999</v>
      </c>
      <c r="U4" s="114">
        <f>VLOOKUP($D4,Résultats!$B$2:$AX$212,U$2,FALSE)/1000000</f>
        <v>3145.2756850000001</v>
      </c>
      <c r="V4" s="18">
        <f>VLOOKUP($D4,Résultats!$B$2:$AX$212,V$2,FALSE)/1000000</f>
        <v>3179.3241320000002</v>
      </c>
      <c r="W4" s="114">
        <f>VLOOKUP($D4,Résultats!$B$2:$AX$212,W$2,FALSE)/1000000</f>
        <v>3207.035723</v>
      </c>
      <c r="X4" s="3"/>
      <c r="AC4" s="161" t="s">
        <v>464</v>
      </c>
      <c r="AD4" s="229" t="s">
        <v>100</v>
      </c>
      <c r="AE4" s="5" t="s">
        <v>92</v>
      </c>
      <c r="AF4" s="12" t="s">
        <v>190</v>
      </c>
      <c r="AG4" s="18">
        <v>2355349875.8831902</v>
      </c>
      <c r="AH4" s="18">
        <v>2596998398</v>
      </c>
      <c r="AI4" s="106">
        <v>2655.7572249999998</v>
      </c>
      <c r="AJ4" s="18">
        <v>2671.9482079999998</v>
      </c>
      <c r="AK4" s="114">
        <v>2688.2378990000002</v>
      </c>
      <c r="AL4" s="106">
        <v>2704.626902</v>
      </c>
      <c r="AM4" s="18">
        <v>2721.2510619999998</v>
      </c>
      <c r="AN4" s="18">
        <v>2733.314965</v>
      </c>
      <c r="AO4" s="18">
        <v>2745.2011419999999</v>
      </c>
      <c r="AP4" s="107">
        <v>2756.950288</v>
      </c>
      <c r="AQ4" s="106">
        <v>2768.561725</v>
      </c>
      <c r="AR4" s="18">
        <v>2779.993097</v>
      </c>
      <c r="AS4" s="18">
        <v>2791.5774529999999</v>
      </c>
      <c r="AT4" s="18">
        <v>2802.855591</v>
      </c>
      <c r="AU4" s="107">
        <v>2814.3284440000002</v>
      </c>
      <c r="AV4" s="114">
        <v>2869.6227979999999</v>
      </c>
      <c r="AW4" s="114">
        <v>2921.4190490000001</v>
      </c>
      <c r="AX4" s="18">
        <v>2966.1644070000002</v>
      </c>
      <c r="AY4" s="114">
        <v>3002.7028059999998</v>
      </c>
      <c r="AZ4" s="3"/>
    </row>
    <row r="5" spans="1:56" x14ac:dyDescent="0.25">
      <c r="A5" s="3"/>
      <c r="B5" s="230"/>
      <c r="C5" s="35" t="s">
        <v>27</v>
      </c>
      <c r="D5" s="13" t="s">
        <v>191</v>
      </c>
      <c r="E5" s="25">
        <f>VLOOKUP($D5,Résultats!$B$2:$AX$212,E$2,FALSE)</f>
        <v>661127</v>
      </c>
      <c r="F5" s="25">
        <f>VLOOKUP($D5,Résultats!$B$2:$AX$212,F$2,FALSE)</f>
        <v>13797730.58</v>
      </c>
      <c r="G5" s="101">
        <f>VLOOKUP($D5,Résultats!$B$2:$AX$212,G$2,FALSE)/1000000</f>
        <v>19.603465829999998</v>
      </c>
      <c r="H5" s="25">
        <f>VLOOKUP($D5,Résultats!$B$2:$AX$212,H$2,FALSE)/1000000</f>
        <v>23.557522479999999</v>
      </c>
      <c r="I5" s="102">
        <f>VLOOKUP($D5,Résultats!$B$2:$AX$212,I$2,FALSE)/1000000</f>
        <v>28.47120056</v>
      </c>
      <c r="J5" s="101">
        <f>VLOOKUP($D5,Résultats!$B$2:$AX$212,J$2,FALSE)/1000000</f>
        <v>34.518834909999995</v>
      </c>
      <c r="K5" s="25">
        <f>VLOOKUP($D5,Résultats!$B$2:$AX$212,K$2,FALSE)/1000000</f>
        <v>41.297402490000003</v>
      </c>
      <c r="L5" s="25">
        <f>VLOOKUP($D5,Résultats!$B$2:$AX$212,L$2,FALSE)/1000000</f>
        <v>48.572897420000004</v>
      </c>
      <c r="M5" s="25">
        <f>VLOOKUP($D5,Résultats!$B$2:$AX$212,M$2,FALSE)/1000000</f>
        <v>55.920526750000001</v>
      </c>
      <c r="N5" s="102">
        <f>VLOOKUP($D5,Résultats!$B$2:$AX$212,N$2,FALSE)/1000000</f>
        <v>63.556984280000002</v>
      </c>
      <c r="O5" s="101">
        <f>VLOOKUP($D5,Résultats!$B$2:$AX$212,O$2,FALSE)/1000000</f>
        <v>73.529063209999904</v>
      </c>
      <c r="P5" s="25">
        <f>VLOOKUP($D5,Résultats!$B$2:$AX$212,P$2,FALSE)/1000000</f>
        <v>86.247422299999997</v>
      </c>
      <c r="Q5" s="25">
        <f>VLOOKUP($D5,Résultats!$B$2:$AX$212,Q$2,FALSE)/1000000</f>
        <v>100.6464239</v>
      </c>
      <c r="R5" s="25">
        <f>VLOOKUP($D5,Résultats!$B$2:$AX$212,R$2,FALSE)/1000000</f>
        <v>116.4826522</v>
      </c>
      <c r="S5" s="102">
        <f>VLOOKUP($D5,Résultats!$B$2:$AX$212,S$2,FALSE)/1000000</f>
        <v>133.89797569999999</v>
      </c>
      <c r="T5" s="105">
        <f>VLOOKUP($D5,Résultats!$B$2:$AX$212,T$2,FALSE)/1000000</f>
        <v>232.95961990000001</v>
      </c>
      <c r="U5" s="105">
        <f>VLOOKUP($D5,Résultats!$B$2:$AX$212,U$2,FALSE)/1000000</f>
        <v>341.28559969999998</v>
      </c>
      <c r="V5" s="25">
        <f>VLOOKUP($D5,Résultats!$B$2:$AX$212,V$2,FALSE)/1000000</f>
        <v>465.70817439999996</v>
      </c>
      <c r="W5" s="105">
        <f>VLOOKUP($D5,Résultats!$B$2:$AX$212,W$2,FALSE)/1000000</f>
        <v>607.51421240000002</v>
      </c>
      <c r="X5" s="3"/>
      <c r="AC5" s="3"/>
      <c r="AD5" s="230"/>
      <c r="AE5" s="35" t="s">
        <v>27</v>
      </c>
      <c r="AF5" s="13" t="s">
        <v>191</v>
      </c>
      <c r="AG5" s="25">
        <v>650680.12020171306</v>
      </c>
      <c r="AH5" s="25">
        <v>43187152.149999999</v>
      </c>
      <c r="AI5" s="101">
        <v>50.412683960000003</v>
      </c>
      <c r="AJ5" s="25">
        <v>52.585453389999998</v>
      </c>
      <c r="AK5" s="102">
        <v>55.248827470000002</v>
      </c>
      <c r="AL5" s="101">
        <v>58.446187070000001</v>
      </c>
      <c r="AM5" s="25">
        <v>61.862481409999994</v>
      </c>
      <c r="AN5" s="25">
        <v>65.420231920000006</v>
      </c>
      <c r="AO5" s="25">
        <v>69.449230379999989</v>
      </c>
      <c r="AP5" s="102">
        <v>74.034006009999999</v>
      </c>
      <c r="AQ5" s="101">
        <v>79.004304869999999</v>
      </c>
      <c r="AR5" s="25">
        <v>83.804995500000004</v>
      </c>
      <c r="AS5" s="25">
        <v>87.363160239999999</v>
      </c>
      <c r="AT5" s="25">
        <v>89.222456459999904</v>
      </c>
      <c r="AU5" s="102">
        <v>90.697099290000011</v>
      </c>
      <c r="AV5" s="105">
        <v>97.114109620000008</v>
      </c>
      <c r="AW5" s="105">
        <v>103.08508359999999</v>
      </c>
      <c r="AX5" s="25">
        <v>108.2989291</v>
      </c>
      <c r="AY5" s="105">
        <v>112.66037159999999</v>
      </c>
      <c r="AZ5" s="3"/>
    </row>
    <row r="6" spans="1:56" x14ac:dyDescent="0.25">
      <c r="A6" s="3"/>
      <c r="B6" s="230"/>
      <c r="C6" s="35" t="s">
        <v>28</v>
      </c>
      <c r="D6" s="13" t="s">
        <v>192</v>
      </c>
      <c r="E6" s="25">
        <f>VLOOKUP($D6,Résultats!$B$2:$AX$212,E$2,FALSE)</f>
        <v>42391824</v>
      </c>
      <c r="F6" s="25">
        <f>VLOOKUP($D6,Résultats!$B$2:$AX$212,F$2,FALSE)</f>
        <v>96971647.909999996</v>
      </c>
      <c r="G6" s="101">
        <f>VLOOKUP($D6,Résultats!$B$2:$AX$212,G$2,FALSE)/1000000</f>
        <v>116.9299802</v>
      </c>
      <c r="H6" s="25">
        <f>VLOOKUP($D6,Résultats!$B$2:$AX$212,H$2,FALSE)/1000000</f>
        <v>131.0626508</v>
      </c>
      <c r="I6" s="102">
        <f>VLOOKUP($D6,Résultats!$B$2:$AX$212,I$2,FALSE)/1000000</f>
        <v>147.39183890000001</v>
      </c>
      <c r="J6" s="101">
        <f>VLOOKUP($D6,Résultats!$B$2:$AX$212,J$2,FALSE)/1000000</f>
        <v>167.3254072</v>
      </c>
      <c r="K6" s="25">
        <f>VLOOKUP($D6,Résultats!$B$2:$AX$212,K$2,FALSE)/1000000</f>
        <v>187.5289018</v>
      </c>
      <c r="L6" s="25">
        <f>VLOOKUP($D6,Résultats!$B$2:$AX$212,L$2,FALSE)/1000000</f>
        <v>208.21475169999999</v>
      </c>
      <c r="M6" s="25">
        <f>VLOOKUP($D6,Résultats!$B$2:$AX$212,M$2,FALSE)/1000000</f>
        <v>227.74833859999998</v>
      </c>
      <c r="N6" s="102">
        <f>VLOOKUP($D6,Résultats!$B$2:$AX$212,N$2,FALSE)/1000000</f>
        <v>247.23357719999998</v>
      </c>
      <c r="O6" s="101">
        <f>VLOOKUP($D6,Résultats!$B$2:$AX$212,O$2,FALSE)/1000000</f>
        <v>271.3022239</v>
      </c>
      <c r="P6" s="25">
        <f>VLOOKUP($D6,Résultats!$B$2:$AX$212,P$2,FALSE)/1000000</f>
        <v>298.75349949999998</v>
      </c>
      <c r="Q6" s="25">
        <f>VLOOKUP($D6,Résultats!$B$2:$AX$212,Q$2,FALSE)/1000000</f>
        <v>327.41133719999999</v>
      </c>
      <c r="R6" s="25">
        <f>VLOOKUP($D6,Résultats!$B$2:$AX$212,R$2,FALSE)/1000000</f>
        <v>356.47905900000001</v>
      </c>
      <c r="S6" s="102">
        <f>VLOOKUP($D6,Résultats!$B$2:$AX$212,S$2,FALSE)/1000000</f>
        <v>385.96489230000003</v>
      </c>
      <c r="T6" s="105">
        <f>VLOOKUP($D6,Résultats!$B$2:$AX$212,T$2,FALSE)/1000000</f>
        <v>519.15669679999996</v>
      </c>
      <c r="U6" s="105">
        <f>VLOOKUP($D6,Résultats!$B$2:$AX$212,U$2,FALSE)/1000000</f>
        <v>620.6438971</v>
      </c>
      <c r="V6" s="25">
        <f>VLOOKUP($D6,Résultats!$B$2:$AX$212,V$2,FALSE)/1000000</f>
        <v>701.11037939999994</v>
      </c>
      <c r="W6" s="105">
        <f>VLOOKUP($D6,Résultats!$B$2:$AX$212,W$2,FALSE)/1000000</f>
        <v>763.58649709999997</v>
      </c>
      <c r="X6" s="3"/>
      <c r="AC6" s="3"/>
      <c r="AD6" s="230"/>
      <c r="AE6" s="35" t="s">
        <v>28</v>
      </c>
      <c r="AF6" s="13" t="s">
        <v>192</v>
      </c>
      <c r="AG6" s="25">
        <v>41721964.366740197</v>
      </c>
      <c r="AH6" s="25">
        <v>181120567.69999999</v>
      </c>
      <c r="AI6" s="101">
        <v>215.590058</v>
      </c>
      <c r="AJ6" s="25">
        <v>228.76262990000001</v>
      </c>
      <c r="AK6" s="102">
        <v>245.54528809999999</v>
      </c>
      <c r="AL6" s="101">
        <v>266.69365629999999</v>
      </c>
      <c r="AM6" s="25">
        <v>288.86536289999998</v>
      </c>
      <c r="AN6" s="25">
        <v>307.95133449999997</v>
      </c>
      <c r="AO6" s="25">
        <v>327.0308915</v>
      </c>
      <c r="AP6" s="102">
        <v>345.91796049999999</v>
      </c>
      <c r="AQ6" s="101">
        <v>364.40862630000004</v>
      </c>
      <c r="AR6" s="25">
        <v>382.0194525</v>
      </c>
      <c r="AS6" s="25">
        <v>398.17266369999999</v>
      </c>
      <c r="AT6" s="25">
        <v>412.14001530000002</v>
      </c>
      <c r="AU6" s="102">
        <v>424.70792360000002</v>
      </c>
      <c r="AV6" s="105">
        <v>482.66274469999996</v>
      </c>
      <c r="AW6" s="105">
        <v>537.15071260000002</v>
      </c>
      <c r="AX6" s="25">
        <v>585.07997970000008</v>
      </c>
      <c r="AY6" s="105">
        <v>625.4614967</v>
      </c>
      <c r="AZ6" s="3"/>
    </row>
    <row r="7" spans="1:56" x14ac:dyDescent="0.25">
      <c r="A7" s="3"/>
      <c r="B7" s="230"/>
      <c r="C7" s="35" t="s">
        <v>29</v>
      </c>
      <c r="D7" s="13" t="s">
        <v>193</v>
      </c>
      <c r="E7" s="25">
        <f>VLOOKUP($D7,Résultats!$B$2:$AX$212,E$2,FALSE)</f>
        <v>300942006</v>
      </c>
      <c r="F7" s="25">
        <f>VLOOKUP($D7,Résultats!$B$2:$AX$212,F$2,FALSE)</f>
        <v>540259264.39999998</v>
      </c>
      <c r="G7" s="101">
        <f>VLOOKUP($D7,Résultats!$B$2:$AX$212,G$2,FALSE)/1000000</f>
        <v>594.65949350000005</v>
      </c>
      <c r="H7" s="25">
        <f>VLOOKUP($D7,Résultats!$B$2:$AX$212,H$2,FALSE)/1000000</f>
        <v>618.9724177999999</v>
      </c>
      <c r="I7" s="102">
        <f>VLOOKUP($D7,Résultats!$B$2:$AX$212,I$2,FALSE)/1000000</f>
        <v>644.58656089999999</v>
      </c>
      <c r="J7" s="101">
        <f>VLOOKUP($D7,Résultats!$B$2:$AX$212,J$2,FALSE)/1000000</f>
        <v>671.50345760000005</v>
      </c>
      <c r="K7" s="25">
        <f>VLOOKUP($D7,Résultats!$B$2:$AX$212,K$2,FALSE)/1000000</f>
        <v>696.72003949999998</v>
      </c>
      <c r="L7" s="25">
        <f>VLOOKUP($D7,Résultats!$B$2:$AX$212,L$2,FALSE)/1000000</f>
        <v>721.07234400000004</v>
      </c>
      <c r="M7" s="25">
        <f>VLOOKUP($D7,Résultats!$B$2:$AX$212,M$2,FALSE)/1000000</f>
        <v>742.1751142999999</v>
      </c>
      <c r="N7" s="102">
        <f>VLOOKUP($D7,Résultats!$B$2:$AX$212,N$2,FALSE)/1000000</f>
        <v>760.5261117</v>
      </c>
      <c r="O7" s="101">
        <f>VLOOKUP($D7,Résultats!$B$2:$AX$212,O$2,FALSE)/1000000</f>
        <v>778.49449920000006</v>
      </c>
      <c r="P7" s="25">
        <f>VLOOKUP($D7,Résultats!$B$2:$AX$212,P$2,FALSE)/1000000</f>
        <v>794.82480079999993</v>
      </c>
      <c r="Q7" s="25">
        <f>VLOOKUP($D7,Résultats!$B$2:$AX$212,Q$2,FALSE)/1000000</f>
        <v>809.02264460000004</v>
      </c>
      <c r="R7" s="25">
        <f>VLOOKUP($D7,Résultats!$B$2:$AX$212,R$2,FALSE)/1000000</f>
        <v>821.27073710000002</v>
      </c>
      <c r="S7" s="102">
        <f>VLOOKUP($D7,Résultats!$B$2:$AX$212,S$2,FALSE)/1000000</f>
        <v>832.36909520000006</v>
      </c>
      <c r="T7" s="105">
        <f>VLOOKUP($D7,Résultats!$B$2:$AX$212,T$2,FALSE)/1000000</f>
        <v>867.50546810000003</v>
      </c>
      <c r="U7" s="105">
        <f>VLOOKUP($D7,Résultats!$B$2:$AX$212,U$2,FALSE)/1000000</f>
        <v>862.63082470000006</v>
      </c>
      <c r="V7" s="25">
        <f>VLOOKUP($D7,Résultats!$B$2:$AX$212,V$2,FALSE)/1000000</f>
        <v>831.91374619999999</v>
      </c>
      <c r="W7" s="105">
        <f>VLOOKUP($D7,Résultats!$B$2:$AX$212,W$2,FALSE)/1000000</f>
        <v>788.55440179999994</v>
      </c>
      <c r="X7" s="3"/>
      <c r="AC7" s="3"/>
      <c r="AD7" s="230"/>
      <c r="AE7" s="35" t="s">
        <v>29</v>
      </c>
      <c r="AF7" s="13" t="s">
        <v>193</v>
      </c>
      <c r="AG7" s="25">
        <v>296186633.79021603</v>
      </c>
      <c r="AH7" s="25">
        <v>569035477.39999998</v>
      </c>
      <c r="AI7" s="101">
        <v>632.75076910000007</v>
      </c>
      <c r="AJ7" s="25">
        <v>645.57478270000001</v>
      </c>
      <c r="AK7" s="102">
        <v>657.42506470000001</v>
      </c>
      <c r="AL7" s="101">
        <v>667.32190209999999</v>
      </c>
      <c r="AM7" s="25">
        <v>679.26979920000008</v>
      </c>
      <c r="AN7" s="25">
        <v>692.50705210000001</v>
      </c>
      <c r="AO7" s="25">
        <v>704.80679639999994</v>
      </c>
      <c r="AP7" s="102">
        <v>715.45919620000006</v>
      </c>
      <c r="AQ7" s="101">
        <v>724.50526070000001</v>
      </c>
      <c r="AR7" s="25">
        <v>732.1551892</v>
      </c>
      <c r="AS7" s="25">
        <v>738.47130540000001</v>
      </c>
      <c r="AT7" s="25">
        <v>743.1869147000001</v>
      </c>
      <c r="AU7" s="102">
        <v>744.57653449999998</v>
      </c>
      <c r="AV7" s="105">
        <v>744.73285629999998</v>
      </c>
      <c r="AW7" s="105">
        <v>744.52864450000004</v>
      </c>
      <c r="AX7" s="25">
        <v>744.18700850000005</v>
      </c>
      <c r="AY7" s="105">
        <v>743.80258720000006</v>
      </c>
      <c r="AZ7" s="3"/>
    </row>
    <row r="8" spans="1:56" x14ac:dyDescent="0.25">
      <c r="A8" s="3"/>
      <c r="B8" s="230"/>
      <c r="C8" s="35" t="s">
        <v>30</v>
      </c>
      <c r="D8" s="13" t="s">
        <v>194</v>
      </c>
      <c r="E8" s="25">
        <f>VLOOKUP($D8,Résultats!$B$2:$AX$212,E$2,FALSE)</f>
        <v>661409532</v>
      </c>
      <c r="F8" s="25">
        <f>VLOOKUP($D8,Résultats!$B$2:$AX$212,F$2,FALSE)</f>
        <v>819185852</v>
      </c>
      <c r="G8" s="101">
        <f>VLOOKUP($D8,Résultats!$B$2:$AX$212,G$2,FALSE)/1000000</f>
        <v>856.73278600000003</v>
      </c>
      <c r="H8" s="25">
        <f>VLOOKUP($D8,Résultats!$B$2:$AX$212,H$2,FALSE)/1000000</f>
        <v>867.07660639999995</v>
      </c>
      <c r="I8" s="102">
        <f>VLOOKUP($D8,Résultats!$B$2:$AX$212,I$2,FALSE)/1000000</f>
        <v>876.97689869999999</v>
      </c>
      <c r="J8" s="101">
        <f>VLOOKUP($D8,Résultats!$B$2:$AX$212,J$2,FALSE)/1000000</f>
        <v>884.56618229999992</v>
      </c>
      <c r="K8" s="25">
        <f>VLOOKUP($D8,Résultats!$B$2:$AX$212,K$2,FALSE)/1000000</f>
        <v>891.16110209999999</v>
      </c>
      <c r="L8" s="25">
        <f>VLOOKUP($D8,Résultats!$B$2:$AX$212,L$2,FALSE)/1000000</f>
        <v>897.56269899999995</v>
      </c>
      <c r="M8" s="25">
        <f>VLOOKUP($D8,Résultats!$B$2:$AX$212,M$2,FALSE)/1000000</f>
        <v>902.74198309999997</v>
      </c>
      <c r="N8" s="102">
        <f>VLOOKUP($D8,Résultats!$B$2:$AX$212,N$2,FALSE)/1000000</f>
        <v>905.65111309999998</v>
      </c>
      <c r="O8" s="101">
        <f>VLOOKUP($D8,Résultats!$B$2:$AX$212,O$2,FALSE)/1000000</f>
        <v>903.23948499999995</v>
      </c>
      <c r="P8" s="25">
        <f>VLOOKUP($D8,Résultats!$B$2:$AX$212,P$2,FALSE)/1000000</f>
        <v>895.97512210000002</v>
      </c>
      <c r="Q8" s="25">
        <f>VLOOKUP($D8,Résultats!$B$2:$AX$212,Q$2,FALSE)/1000000</f>
        <v>885.85825030000001</v>
      </c>
      <c r="R8" s="25">
        <f>VLOOKUP($D8,Résultats!$B$2:$AX$212,R$2,FALSE)/1000000</f>
        <v>873.78369290000001</v>
      </c>
      <c r="S8" s="102">
        <f>VLOOKUP($D8,Résultats!$B$2:$AX$212,S$2,FALSE)/1000000</f>
        <v>860.29152429999999</v>
      </c>
      <c r="T8" s="105">
        <f>VLOOKUP($D8,Résultats!$B$2:$AX$212,T$2,FALSE)/1000000</f>
        <v>793.71187070000008</v>
      </c>
      <c r="U8" s="105">
        <f>VLOOKUP($D8,Résultats!$B$2:$AX$212,U$2,FALSE)/1000000</f>
        <v>724.39817789999995</v>
      </c>
      <c r="V8" s="25">
        <f>VLOOKUP($D8,Résultats!$B$2:$AX$212,V$2,FALSE)/1000000</f>
        <v>649.3527272</v>
      </c>
      <c r="W8" s="105">
        <f>VLOOKUP($D8,Résultats!$B$2:$AX$212,W$2,FALSE)/1000000</f>
        <v>573.55675099999996</v>
      </c>
      <c r="X8" s="3"/>
      <c r="AC8" s="3"/>
      <c r="AD8" s="230"/>
      <c r="AE8" s="35" t="s">
        <v>30</v>
      </c>
      <c r="AF8" s="13" t="s">
        <v>194</v>
      </c>
      <c r="AG8" s="25">
        <v>650958187.73748195</v>
      </c>
      <c r="AH8" s="25">
        <v>633667547</v>
      </c>
      <c r="AI8" s="101">
        <v>628.52988640000001</v>
      </c>
      <c r="AJ8" s="25">
        <v>627.05710270000009</v>
      </c>
      <c r="AK8" s="102">
        <v>626.0079624</v>
      </c>
      <c r="AL8" s="101">
        <v>625.30736860000002</v>
      </c>
      <c r="AM8" s="25">
        <v>624.74556860000007</v>
      </c>
      <c r="AN8" s="25">
        <v>623.84060450000004</v>
      </c>
      <c r="AO8" s="25">
        <v>622.26125309999998</v>
      </c>
      <c r="AP8" s="102">
        <v>619.89497360000007</v>
      </c>
      <c r="AQ8" s="101">
        <v>616.94481870000004</v>
      </c>
      <c r="AR8" s="25">
        <v>613.84423860000004</v>
      </c>
      <c r="AS8" s="25">
        <v>611.24747579999996</v>
      </c>
      <c r="AT8" s="25">
        <v>609.73983529999998</v>
      </c>
      <c r="AU8" s="102">
        <v>609.83384439999998</v>
      </c>
      <c r="AV8" s="105">
        <v>612.04639099999997</v>
      </c>
      <c r="AW8" s="105">
        <v>613.18375549999996</v>
      </c>
      <c r="AX8" s="25">
        <v>613.83096479999995</v>
      </c>
      <c r="AY8" s="105">
        <v>614.26554610000005</v>
      </c>
      <c r="AZ8" s="3"/>
    </row>
    <row r="9" spans="1:56" x14ac:dyDescent="0.25">
      <c r="A9" s="3"/>
      <c r="B9" s="230"/>
      <c r="C9" s="35" t="s">
        <v>31</v>
      </c>
      <c r="D9" s="13" t="s">
        <v>195</v>
      </c>
      <c r="E9" s="25">
        <f>VLOOKUP($D9,Résultats!$B$2:$AX$212,E$2,FALSE)</f>
        <v>786713699</v>
      </c>
      <c r="F9" s="25">
        <f>VLOOKUP($D9,Résultats!$B$2:$AX$212,F$2,FALSE)</f>
        <v>641287873.60000002</v>
      </c>
      <c r="G9" s="101">
        <f>VLOOKUP($D9,Résultats!$B$2:$AX$212,G$2,FALSE)/1000000</f>
        <v>623.05871990000003</v>
      </c>
      <c r="H9" s="25">
        <f>VLOOKUP($D9,Résultats!$B$2:$AX$212,H$2,FALSE)/1000000</f>
        <v>609.44989390000001</v>
      </c>
      <c r="I9" s="102">
        <f>VLOOKUP($D9,Résultats!$B$2:$AX$212,I$2,FALSE)/1000000</f>
        <v>593.8457578</v>
      </c>
      <c r="J9" s="101">
        <f>VLOOKUP($D9,Résultats!$B$2:$AX$212,J$2,FALSE)/1000000</f>
        <v>576.02920089999998</v>
      </c>
      <c r="K9" s="25">
        <f>VLOOKUP($D9,Résultats!$B$2:$AX$212,K$2,FALSE)/1000000</f>
        <v>559.13349110000001</v>
      </c>
      <c r="L9" s="25">
        <f>VLOOKUP($D9,Résultats!$B$2:$AX$212,L$2,FALSE)/1000000</f>
        <v>543.40573449999999</v>
      </c>
      <c r="M9" s="25">
        <f>VLOOKUP($D9,Résultats!$B$2:$AX$212,M$2,FALSE)/1000000</f>
        <v>530.10039789999996</v>
      </c>
      <c r="N9" s="102">
        <f>VLOOKUP($D9,Résultats!$B$2:$AX$212,N$2,FALSE)/1000000</f>
        <v>518.27376749999996</v>
      </c>
      <c r="O9" s="101">
        <f>VLOOKUP($D9,Résultats!$B$2:$AX$212,O$2,FALSE)/1000000</f>
        <v>504.6170214</v>
      </c>
      <c r="P9" s="25">
        <f>VLOOKUP($D9,Résultats!$B$2:$AX$212,P$2,FALSE)/1000000</f>
        <v>489.94817210000002</v>
      </c>
      <c r="Q9" s="25">
        <f>VLOOKUP($D9,Résultats!$B$2:$AX$212,Q$2,FALSE)/1000000</f>
        <v>475.37204550000001</v>
      </c>
      <c r="R9" s="25">
        <f>VLOOKUP($D9,Résultats!$B$2:$AX$212,R$2,FALSE)/1000000</f>
        <v>460.83464750000002</v>
      </c>
      <c r="S9" s="102">
        <f>VLOOKUP($D9,Résultats!$B$2:$AX$212,S$2,FALSE)/1000000</f>
        <v>445.56163660000004</v>
      </c>
      <c r="T9" s="105">
        <f>VLOOKUP($D9,Résultats!$B$2:$AX$212,T$2,FALSE)/1000000</f>
        <v>376.58262410000003</v>
      </c>
      <c r="U9" s="105">
        <f>VLOOKUP($D9,Résultats!$B$2:$AX$212,U$2,FALSE)/1000000</f>
        <v>331.43462410000001</v>
      </c>
      <c r="V9" s="25">
        <f>VLOOKUP($D9,Résultats!$B$2:$AX$212,V$2,FALSE)/1000000</f>
        <v>298.02305669999998</v>
      </c>
      <c r="W9" s="105">
        <f>VLOOKUP($D9,Résultats!$B$2:$AX$212,W$2,FALSE)/1000000</f>
        <v>268.65423460000005</v>
      </c>
      <c r="X9" s="3"/>
      <c r="AC9" s="3"/>
      <c r="AD9" s="230"/>
      <c r="AE9" s="35" t="s">
        <v>31</v>
      </c>
      <c r="AF9" s="13" t="s">
        <v>195</v>
      </c>
      <c r="AG9" s="25">
        <v>774282345.494367</v>
      </c>
      <c r="AH9" s="25">
        <v>688439089.5</v>
      </c>
      <c r="AI9" s="101">
        <v>670.45152770000004</v>
      </c>
      <c r="AJ9" s="25">
        <v>665.95475250000004</v>
      </c>
      <c r="AK9" s="102">
        <v>659.88800020000008</v>
      </c>
      <c r="AL9" s="101">
        <v>652.34777539999993</v>
      </c>
      <c r="AM9" s="25">
        <v>643.27403679999998</v>
      </c>
      <c r="AN9" s="25">
        <v>632.84907470000007</v>
      </c>
      <c r="AO9" s="25">
        <v>622.61724920000006</v>
      </c>
      <c r="AP9" s="102">
        <v>613.00283739999998</v>
      </c>
      <c r="AQ9" s="101">
        <v>604.12207049999995</v>
      </c>
      <c r="AR9" s="25">
        <v>596.24764210000001</v>
      </c>
      <c r="AS9" s="25">
        <v>590.12780510000005</v>
      </c>
      <c r="AT9" s="25">
        <v>586.09317070000009</v>
      </c>
      <c r="AU9" s="102">
        <v>584.34791289999998</v>
      </c>
      <c r="AV9" s="105">
        <v>581.87145939999994</v>
      </c>
      <c r="AW9" s="105">
        <v>578.55799479999996</v>
      </c>
      <c r="AX9" s="25">
        <v>574.87388099999998</v>
      </c>
      <c r="AY9" s="105">
        <v>571.04697310000006</v>
      </c>
      <c r="AZ9" s="3"/>
    </row>
    <row r="10" spans="1:56" x14ac:dyDescent="0.25">
      <c r="A10" s="3"/>
      <c r="B10" s="230"/>
      <c r="C10" s="35" t="s">
        <v>32</v>
      </c>
      <c r="D10" s="13" t="s">
        <v>196</v>
      </c>
      <c r="E10" s="25">
        <f>VLOOKUP($D10,Résultats!$B$2:$AX$212,E$2,FALSE)</f>
        <v>412154138</v>
      </c>
      <c r="F10" s="25">
        <f>VLOOKUP($D10,Résultats!$B$2:$AX$212,F$2,FALSE)</f>
        <v>318052022.30000001</v>
      </c>
      <c r="G10" s="101">
        <f>VLOOKUP($D10,Résultats!$B$2:$AX$212,G$2,FALSE)/1000000</f>
        <v>306.15225770000001</v>
      </c>
      <c r="H10" s="25">
        <f>VLOOKUP($D10,Résultats!$B$2:$AX$212,H$2,FALSE)/1000000</f>
        <v>298.740703</v>
      </c>
      <c r="I10" s="102">
        <f>VLOOKUP($D10,Résultats!$B$2:$AX$212,I$2,FALSE)/1000000</f>
        <v>290.43293789999996</v>
      </c>
      <c r="J10" s="101">
        <f>VLOOKUP($D10,Résultats!$B$2:$AX$212,J$2,FALSE)/1000000</f>
        <v>281.23945739999999</v>
      </c>
      <c r="K10" s="25">
        <f>VLOOKUP($D10,Résultats!$B$2:$AX$212,K$2,FALSE)/1000000</f>
        <v>272.56792630000001</v>
      </c>
      <c r="L10" s="25">
        <f>VLOOKUP($D10,Résultats!$B$2:$AX$212,L$2,FALSE)/1000000</f>
        <v>264.55876109999997</v>
      </c>
      <c r="M10" s="25">
        <f>VLOOKUP($D10,Résultats!$B$2:$AX$212,M$2,FALSE)/1000000</f>
        <v>257.75825980000002</v>
      </c>
      <c r="N10" s="102">
        <f>VLOOKUP($D10,Résultats!$B$2:$AX$212,N$2,FALSE)/1000000</f>
        <v>251.75049919999998</v>
      </c>
      <c r="O10" s="101">
        <f>VLOOKUP($D10,Résultats!$B$2:$AX$212,O$2,FALSE)/1000000</f>
        <v>245.09540749999999</v>
      </c>
      <c r="P10" s="25">
        <f>VLOOKUP($D10,Résultats!$B$2:$AX$212,P$2,FALSE)/1000000</f>
        <v>238.1305424</v>
      </c>
      <c r="Q10" s="25">
        <f>VLOOKUP($D10,Résultats!$B$2:$AX$212,Q$2,FALSE)/1000000</f>
        <v>231.25194690000001</v>
      </c>
      <c r="R10" s="25">
        <f>VLOOKUP($D10,Résultats!$B$2:$AX$212,R$2,FALSE)/1000000</f>
        <v>224.35959219999998</v>
      </c>
      <c r="S10" s="102">
        <f>VLOOKUP($D10,Résultats!$B$2:$AX$212,S$2,FALSE)/1000000</f>
        <v>217.02113690000002</v>
      </c>
      <c r="T10" s="105">
        <f>VLOOKUP($D10,Résultats!$B$2:$AX$212,T$2,FALSE)/1000000</f>
        <v>182.36630450000001</v>
      </c>
      <c r="U10" s="105">
        <f>VLOOKUP($D10,Résultats!$B$2:$AX$212,U$2,FALSE)/1000000</f>
        <v>158.48768939999999</v>
      </c>
      <c r="V10" s="25">
        <f>VLOOKUP($D10,Résultats!$B$2:$AX$212,V$2,FALSE)/1000000</f>
        <v>140.61239800000001</v>
      </c>
      <c r="W10" s="105">
        <f>VLOOKUP($D10,Résultats!$B$2:$AX$212,W$2,FALSE)/1000000</f>
        <v>124.78578279999999</v>
      </c>
      <c r="X10" s="3"/>
      <c r="Y10">
        <f>(K10+K11-S10-S11)*10</f>
        <v>894.1304249999996</v>
      </c>
      <c r="AC10" s="3"/>
      <c r="AD10" s="230"/>
      <c r="AE10" s="35" t="s">
        <v>32</v>
      </c>
      <c r="AF10" s="13" t="s">
        <v>196</v>
      </c>
      <c r="AG10" s="25">
        <v>405641433.57550502</v>
      </c>
      <c r="AH10" s="25">
        <v>358699989.39999998</v>
      </c>
      <c r="AI10" s="101">
        <v>349.78984839999998</v>
      </c>
      <c r="AJ10" s="25">
        <v>347.84470189999996</v>
      </c>
      <c r="AK10" s="102">
        <v>344.37584369999996</v>
      </c>
      <c r="AL10" s="101">
        <v>339.4637755</v>
      </c>
      <c r="AM10" s="25">
        <v>333.12609300000003</v>
      </c>
      <c r="AN10" s="25">
        <v>325.73093399999999</v>
      </c>
      <c r="AO10" s="25">
        <v>318.93370930000003</v>
      </c>
      <c r="AP10" s="102">
        <v>313.19780250000002</v>
      </c>
      <c r="AQ10" s="101">
        <v>308.52180600000003</v>
      </c>
      <c r="AR10" s="25">
        <v>304.94413470000001</v>
      </c>
      <c r="AS10" s="25">
        <v>302.85805119999998</v>
      </c>
      <c r="AT10" s="25">
        <v>302.32541989999999</v>
      </c>
      <c r="AU10" s="102">
        <v>302.79875079999999</v>
      </c>
      <c r="AV10" s="105">
        <v>303.19194399999998</v>
      </c>
      <c r="AW10" s="105">
        <v>301.2874711</v>
      </c>
      <c r="AX10" s="25">
        <v>298.19526869999999</v>
      </c>
      <c r="AY10" s="105">
        <v>294.5149955</v>
      </c>
      <c r="AZ10" s="3"/>
    </row>
    <row r="11" spans="1:56" x14ac:dyDescent="0.25">
      <c r="A11" s="3"/>
      <c r="B11" s="230"/>
      <c r="C11" s="56" t="s">
        <v>33</v>
      </c>
      <c r="D11" s="26" t="s">
        <v>197</v>
      </c>
      <c r="E11" s="17">
        <f>VLOOKUP($D11,Résultats!$B$2:$AX$212,E$2,FALSE)</f>
        <v>188893454</v>
      </c>
      <c r="F11" s="17">
        <f>VLOOKUP($D11,Résultats!$B$2:$AX$212,F$2,FALSE)</f>
        <v>194114609.19999999</v>
      </c>
      <c r="G11" s="88">
        <f>VLOOKUP($D11,Résultats!$B$2:$AX$212,G$2,FALSE)/1000000</f>
        <v>198.54580949999999</v>
      </c>
      <c r="H11" s="17">
        <f>VLOOKUP($D11,Résultats!$B$2:$AX$212,H$2,FALSE)/1000000</f>
        <v>196.60733099999999</v>
      </c>
      <c r="I11" s="89">
        <f>VLOOKUP($D11,Résultats!$B$2:$AX$212,I$2,FALSE)/1000000</f>
        <v>193.4465448</v>
      </c>
      <c r="J11" s="88">
        <f>VLOOKUP($D11,Résultats!$B$2:$AX$212,J$2,FALSE)/1000000</f>
        <v>189.047031</v>
      </c>
      <c r="K11" s="17">
        <f>VLOOKUP($D11,Résultats!$B$2:$AX$212,K$2,FALSE)/1000000</f>
        <v>184.6487137</v>
      </c>
      <c r="L11" s="17">
        <f>VLOOKUP($D11,Résultats!$B$2:$AX$212,L$2,FALSE)/1000000</f>
        <v>180.39600180000002</v>
      </c>
      <c r="M11" s="17">
        <f>VLOOKUP($D11,Résultats!$B$2:$AX$212,M$2,FALSE)/1000000</f>
        <v>176.84977119999999</v>
      </c>
      <c r="N11" s="89">
        <f>VLOOKUP($D11,Résultats!$B$2:$AX$212,N$2,FALSE)/1000000</f>
        <v>173.6914428</v>
      </c>
      <c r="O11" s="88">
        <f>VLOOKUP($D11,Résultats!$B$2:$AX$212,O$2,FALSE)/1000000</f>
        <v>169.73860530000002</v>
      </c>
      <c r="P11" s="17">
        <f>VLOOKUP($D11,Résultats!$B$2:$AX$212,P$2,FALSE)/1000000</f>
        <v>165.31275219999998</v>
      </c>
      <c r="Q11" s="17">
        <f>VLOOKUP($D11,Résultats!$B$2:$AX$212,Q$2,FALSE)/1000000</f>
        <v>160.77062430000001</v>
      </c>
      <c r="R11" s="17">
        <f>VLOOKUP($D11,Résultats!$B$2:$AX$212,R$2,FALSE)/1000000</f>
        <v>156.0508643</v>
      </c>
      <c r="S11" s="89">
        <f>VLOOKUP($D11,Résultats!$B$2:$AX$212,S$2,FALSE)/1000000</f>
        <v>150.78246060000001</v>
      </c>
      <c r="T11" s="97">
        <f>VLOOKUP($D11,Résultats!$B$2:$AX$212,T$2,FALSE)/1000000</f>
        <v>124.7011384</v>
      </c>
      <c r="U11" s="97">
        <f>VLOOKUP($D11,Résultats!$B$2:$AX$212,U$2,FALSE)/1000000</f>
        <v>106.39487190000001</v>
      </c>
      <c r="V11" s="17">
        <f>VLOOKUP($D11,Résultats!$B$2:$AX$212,V$2,FALSE)/1000000</f>
        <v>92.603649790000006</v>
      </c>
      <c r="W11" s="97">
        <f>VLOOKUP($D11,Résultats!$B$2:$AX$212,W$2,FALSE)/1000000</f>
        <v>81.038198919999999</v>
      </c>
      <c r="X11" s="3"/>
      <c r="AC11" s="3"/>
      <c r="AD11" s="230"/>
      <c r="AE11" s="56" t="s">
        <v>33</v>
      </c>
      <c r="AF11" s="26" t="s">
        <v>197</v>
      </c>
      <c r="AG11" s="17">
        <v>185908630.79867601</v>
      </c>
      <c r="AH11" s="17">
        <v>122848574.7</v>
      </c>
      <c r="AI11" s="88">
        <v>108.23245179999999</v>
      </c>
      <c r="AJ11" s="17">
        <v>104.1687845</v>
      </c>
      <c r="AK11" s="89">
        <v>99.74691254999999</v>
      </c>
      <c r="AL11" s="88">
        <v>95.046236530000002</v>
      </c>
      <c r="AM11" s="17">
        <v>90.107720040000004</v>
      </c>
      <c r="AN11" s="17">
        <v>85.015733400000002</v>
      </c>
      <c r="AO11" s="17">
        <v>80.102011930000003</v>
      </c>
      <c r="AP11" s="89">
        <v>75.443511400000006</v>
      </c>
      <c r="AQ11" s="88">
        <v>71.054838119999999</v>
      </c>
      <c r="AR11" s="17">
        <v>66.977444469999995</v>
      </c>
      <c r="AS11" s="17">
        <v>63.336991279999999</v>
      </c>
      <c r="AT11" s="17">
        <v>60.147778989999999</v>
      </c>
      <c r="AU11" s="89">
        <v>57.366378259999998</v>
      </c>
      <c r="AV11" s="97">
        <v>48.003292939999994</v>
      </c>
      <c r="AW11" s="97">
        <v>43.625386599999999</v>
      </c>
      <c r="AX11" s="17">
        <v>41.698375349999999</v>
      </c>
      <c r="AY11" s="97">
        <v>40.95083563</v>
      </c>
      <c r="AZ11" s="3"/>
    </row>
    <row r="12" spans="1:5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</row>
    <row r="13" spans="1:5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</row>
    <row r="14" spans="1:56" x14ac:dyDescent="0.25">
      <c r="A14" s="3"/>
      <c r="B14" s="3"/>
      <c r="C14" s="42"/>
      <c r="D14" s="11"/>
      <c r="E14" s="237">
        <v>2006</v>
      </c>
      <c r="F14" s="24">
        <v>2015</v>
      </c>
      <c r="G14" s="20">
        <v>2018</v>
      </c>
      <c r="H14" s="4">
        <v>2019</v>
      </c>
      <c r="I14" s="190">
        <v>2020</v>
      </c>
      <c r="J14" s="91">
        <v>2021</v>
      </c>
      <c r="K14" s="27">
        <v>2022</v>
      </c>
      <c r="L14" s="4">
        <v>2023</v>
      </c>
      <c r="M14" s="27">
        <v>2024</v>
      </c>
      <c r="N14" s="83">
        <v>2025</v>
      </c>
      <c r="O14" s="91">
        <v>2026</v>
      </c>
      <c r="P14" s="4">
        <v>2027</v>
      </c>
      <c r="Q14" s="27">
        <v>2028</v>
      </c>
      <c r="R14" s="27">
        <v>2029</v>
      </c>
      <c r="S14" s="83">
        <v>2030</v>
      </c>
      <c r="T14" s="4">
        <v>2035</v>
      </c>
      <c r="U14" s="93">
        <v>2040</v>
      </c>
      <c r="V14" s="4">
        <v>2045</v>
      </c>
      <c r="W14" s="93">
        <v>2050</v>
      </c>
      <c r="X14" s="3"/>
      <c r="AC14" s="3"/>
      <c r="AD14" s="3"/>
      <c r="AE14" s="42"/>
      <c r="AF14" s="11"/>
      <c r="AG14" s="237">
        <v>2006</v>
      </c>
      <c r="AH14" s="24">
        <v>2015</v>
      </c>
      <c r="AI14" s="20">
        <v>2018</v>
      </c>
      <c r="AJ14" s="4">
        <v>2019</v>
      </c>
      <c r="AK14" s="190">
        <v>2020</v>
      </c>
      <c r="AL14" s="91">
        <v>2021</v>
      </c>
      <c r="AM14" s="27">
        <v>2022</v>
      </c>
      <c r="AN14" s="4">
        <v>2023</v>
      </c>
      <c r="AO14" s="27">
        <v>2024</v>
      </c>
      <c r="AP14" s="83">
        <v>2025</v>
      </c>
      <c r="AQ14" s="91">
        <v>2026</v>
      </c>
      <c r="AR14" s="4">
        <v>2027</v>
      </c>
      <c r="AS14" s="27">
        <v>2028</v>
      </c>
      <c r="AT14" s="27">
        <v>2029</v>
      </c>
      <c r="AU14" s="83">
        <v>2030</v>
      </c>
      <c r="AV14" s="4">
        <v>2035</v>
      </c>
      <c r="AW14" s="93">
        <v>2040</v>
      </c>
      <c r="AX14" s="4">
        <v>2045</v>
      </c>
      <c r="AY14" s="93">
        <v>2050</v>
      </c>
      <c r="AZ14" s="3"/>
    </row>
    <row r="15" spans="1:56" ht="15.75" thickBot="1" x14ac:dyDescent="0.3">
      <c r="A15" s="3"/>
      <c r="B15" s="229" t="s">
        <v>101</v>
      </c>
      <c r="C15" s="5" t="s">
        <v>44</v>
      </c>
      <c r="D15" s="12" t="s">
        <v>190</v>
      </c>
      <c r="E15" s="18">
        <f>E4/100</f>
        <v>23931657.800000001</v>
      </c>
      <c r="F15" s="18">
        <f>F4/100</f>
        <v>26236690</v>
      </c>
      <c r="G15" s="106">
        <f>G4*1000/100</f>
        <v>27156.825130000001</v>
      </c>
      <c r="H15" s="18">
        <f t="shared" ref="H15:W15" si="1">H4*1000/100</f>
        <v>27454.671249999999</v>
      </c>
      <c r="I15" s="233">
        <f t="shared" si="1"/>
        <v>27751.517399999997</v>
      </c>
      <c r="J15" s="106">
        <f t="shared" si="1"/>
        <v>28042.295709999999</v>
      </c>
      <c r="K15" s="18">
        <f t="shared" si="1"/>
        <v>28330.575769999999</v>
      </c>
      <c r="L15" s="18">
        <f t="shared" si="1"/>
        <v>28637.831890000001</v>
      </c>
      <c r="M15" s="18">
        <f t="shared" si="1"/>
        <v>28932.943920000002</v>
      </c>
      <c r="N15" s="107">
        <f t="shared" si="1"/>
        <v>29206.834960000004</v>
      </c>
      <c r="O15" s="106">
        <f t="shared" si="1"/>
        <v>29460.163050000003</v>
      </c>
      <c r="P15" s="18">
        <f t="shared" si="1"/>
        <v>29691.923109999996</v>
      </c>
      <c r="Q15" s="18">
        <f t="shared" si="1"/>
        <v>29903.332730000002</v>
      </c>
      <c r="R15" s="18">
        <f t="shared" si="1"/>
        <v>30092.612450000001</v>
      </c>
      <c r="S15" s="107">
        <f t="shared" si="1"/>
        <v>30258.887220000001</v>
      </c>
      <c r="T15" s="18">
        <f t="shared" si="1"/>
        <v>30969.837220000001</v>
      </c>
      <c r="U15" s="114">
        <f t="shared" si="1"/>
        <v>31452.756850000002</v>
      </c>
      <c r="V15" s="18">
        <f t="shared" si="1"/>
        <v>31793.241320000001</v>
      </c>
      <c r="W15" s="114">
        <f t="shared" si="1"/>
        <v>32070.357229999998</v>
      </c>
      <c r="X15" s="3"/>
      <c r="Y15" s="33" t="s">
        <v>102</v>
      </c>
      <c r="AC15" s="3"/>
      <c r="AD15" s="229" t="s">
        <v>101</v>
      </c>
      <c r="AE15" s="5" t="s">
        <v>44</v>
      </c>
      <c r="AF15" s="12" t="s">
        <v>190</v>
      </c>
      <c r="AG15" s="18">
        <v>23553498.758831903</v>
      </c>
      <c r="AH15" s="18">
        <v>25969983.98</v>
      </c>
      <c r="AI15" s="106">
        <v>26557.572249999997</v>
      </c>
      <c r="AJ15" s="18">
        <v>26719.482079999998</v>
      </c>
      <c r="AK15" s="233">
        <v>26882.378990000001</v>
      </c>
      <c r="AL15" s="106">
        <v>27046.269019999996</v>
      </c>
      <c r="AM15" s="18">
        <v>27212.510620000001</v>
      </c>
      <c r="AN15" s="18">
        <v>27333.149649999999</v>
      </c>
      <c r="AO15" s="18">
        <v>27452.011419999999</v>
      </c>
      <c r="AP15" s="107">
        <v>27569.50288</v>
      </c>
      <c r="AQ15" s="106">
        <v>27685.617249999999</v>
      </c>
      <c r="AR15" s="18">
        <v>27799.930970000001</v>
      </c>
      <c r="AS15" s="18">
        <v>27915.774529999999</v>
      </c>
      <c r="AT15" s="18">
        <v>28028.555909999999</v>
      </c>
      <c r="AU15" s="107">
        <v>28143.284440000003</v>
      </c>
      <c r="AV15" s="18">
        <v>28696.22798</v>
      </c>
      <c r="AW15" s="114">
        <v>29214.190490000001</v>
      </c>
      <c r="AX15" s="18">
        <v>29661.644070000002</v>
      </c>
      <c r="AY15" s="114">
        <v>30027.028059999997</v>
      </c>
      <c r="AZ15" s="3"/>
      <c r="BA15" s="33" t="s">
        <v>102</v>
      </c>
    </row>
    <row r="16" spans="1:56" x14ac:dyDescent="0.25">
      <c r="A16" s="3"/>
      <c r="B16" s="230"/>
      <c r="C16" s="35" t="s">
        <v>27</v>
      </c>
      <c r="D16" s="13" t="s">
        <v>191</v>
      </c>
      <c r="E16" s="74">
        <f>E5/E$4</f>
        <v>2.7625624832392512E-4</v>
      </c>
      <c r="F16" s="74">
        <f>F5/F$4</f>
        <v>5.2589448516562115E-3</v>
      </c>
      <c r="G16" s="108">
        <f>G5/G$4</f>
        <v>7.2186147446021412E-3</v>
      </c>
      <c r="H16" s="74">
        <f t="shared" ref="H16:W16" si="2">H5/H$4</f>
        <v>8.580515230172352E-3</v>
      </c>
      <c r="I16" s="109">
        <f t="shared" si="2"/>
        <v>1.0259331102377848E-2</v>
      </c>
      <c r="J16" s="108">
        <f t="shared" si="2"/>
        <v>1.2309560981375157E-2</v>
      </c>
      <c r="K16" s="74">
        <f t="shared" si="2"/>
        <v>1.4576972534999066E-2</v>
      </c>
      <c r="L16" s="74">
        <f t="shared" si="2"/>
        <v>1.6961094543250354E-2</v>
      </c>
      <c r="M16" s="74">
        <f t="shared" si="2"/>
        <v>1.9327631126863913E-2</v>
      </c>
      <c r="N16" s="109">
        <f t="shared" si="2"/>
        <v>2.1760996823874956E-2</v>
      </c>
      <c r="O16" s="108">
        <f t="shared" si="2"/>
        <v>2.4958810677729735E-2</v>
      </c>
      <c r="P16" s="74">
        <f t="shared" si="2"/>
        <v>2.9047435553594226E-2</v>
      </c>
      <c r="Q16" s="74">
        <f t="shared" si="2"/>
        <v>3.3657259814063541E-2</v>
      </c>
      <c r="R16" s="74">
        <f t="shared" si="2"/>
        <v>3.8708055803908778E-2</v>
      </c>
      <c r="S16" s="109">
        <f t="shared" si="2"/>
        <v>4.4250793073282085E-2</v>
      </c>
      <c r="T16" s="74">
        <f t="shared" si="2"/>
        <v>7.522145442519701E-2</v>
      </c>
      <c r="U16" s="115">
        <f t="shared" si="2"/>
        <v>0.10850737228778086</v>
      </c>
      <c r="V16" s="74">
        <f t="shared" si="2"/>
        <v>0.14648024393380724</v>
      </c>
      <c r="W16" s="115">
        <f t="shared" si="2"/>
        <v>0.18943169483366556</v>
      </c>
      <c r="X16" s="3"/>
      <c r="Y16" s="133"/>
      <c r="Z16" s="134">
        <v>2020</v>
      </c>
      <c r="AA16" s="134">
        <v>2030</v>
      </c>
      <c r="AB16" s="135">
        <v>2050</v>
      </c>
      <c r="AC16" s="3"/>
      <c r="AD16" s="230"/>
      <c r="AE16" s="35" t="s">
        <v>27</v>
      </c>
      <c r="AF16" s="13" t="s">
        <v>191</v>
      </c>
      <c r="AG16" s="74">
        <v>2.7625624832392523E-4</v>
      </c>
      <c r="AH16" s="74">
        <v>1.6629641428835412E-2</v>
      </c>
      <c r="AI16" s="108">
        <v>1.898241431311554E-2</v>
      </c>
      <c r="AJ16" s="74">
        <v>1.9680566124955369E-2</v>
      </c>
      <c r="AK16" s="109">
        <v>2.055206032566986E-2</v>
      </c>
      <c r="AL16" s="108">
        <v>2.160970410624127E-2</v>
      </c>
      <c r="AM16" s="74">
        <v>2.2733103267779265E-2</v>
      </c>
      <c r="AN16" s="74">
        <v>2.393439203227719E-2</v>
      </c>
      <c r="AO16" s="74">
        <v>2.529841231575591E-2</v>
      </c>
      <c r="AP16" s="109">
        <v>2.6853587579088043E-2</v>
      </c>
      <c r="AQ16" s="108">
        <v>2.8536226646707685E-2</v>
      </c>
      <c r="AR16" s="74">
        <v>3.0145756689265623E-2</v>
      </c>
      <c r="AS16" s="74">
        <v>3.1295266461661024E-2</v>
      </c>
      <c r="AT16" s="74">
        <v>3.1832698318990882E-2</v>
      </c>
      <c r="AU16" s="109">
        <v>3.2226906380938385E-2</v>
      </c>
      <c r="AV16" s="74">
        <v>3.3842116701778453E-2</v>
      </c>
      <c r="AW16" s="115">
        <v>3.528596270202522E-2</v>
      </c>
      <c r="AX16" s="74">
        <v>3.6511438423446764E-2</v>
      </c>
      <c r="AY16" s="115">
        <v>3.7519654417640692E-2</v>
      </c>
      <c r="AZ16" s="3"/>
      <c r="BA16" s="133"/>
      <c r="BB16" s="134">
        <v>2020</v>
      </c>
      <c r="BC16" s="134">
        <v>2030</v>
      </c>
      <c r="BD16" s="135">
        <v>2050</v>
      </c>
    </row>
    <row r="17" spans="1:56" x14ac:dyDescent="0.25">
      <c r="A17" s="3"/>
      <c r="B17" s="230"/>
      <c r="C17" s="35" t="s">
        <v>28</v>
      </c>
      <c r="D17" s="13" t="s">
        <v>192</v>
      </c>
      <c r="E17" s="68">
        <f t="shared" ref="E17:G22" si="3">E6/E$4</f>
        <v>1.77137013884596E-2</v>
      </c>
      <c r="F17" s="68">
        <f t="shared" si="3"/>
        <v>3.6960320798850768E-2</v>
      </c>
      <c r="G17" s="110">
        <f t="shared" si="3"/>
        <v>4.3057308665595109E-2</v>
      </c>
      <c r="H17" s="68">
        <f t="shared" ref="H17:W17" si="4">H6/H$4</f>
        <v>4.7737832883356777E-2</v>
      </c>
      <c r="I17" s="111">
        <f t="shared" si="4"/>
        <v>5.3111271998409725E-2</v>
      </c>
      <c r="J17" s="110">
        <f t="shared" si="4"/>
        <v>5.9668940421426009E-2</v>
      </c>
      <c r="K17" s="68">
        <f t="shared" si="4"/>
        <v>6.6193113518920904E-2</v>
      </c>
      <c r="L17" s="68">
        <f t="shared" si="4"/>
        <v>7.2706185475132343E-2</v>
      </c>
      <c r="M17" s="68">
        <f t="shared" si="4"/>
        <v>7.8715923007948094E-2</v>
      </c>
      <c r="N17" s="111">
        <f t="shared" si="4"/>
        <v>8.4649219108676732E-2</v>
      </c>
      <c r="O17" s="110">
        <f t="shared" si="4"/>
        <v>9.2091216005676518E-2</v>
      </c>
      <c r="P17" s="68">
        <f t="shared" si="4"/>
        <v>0.10061776678903706</v>
      </c>
      <c r="Q17" s="68">
        <f t="shared" si="4"/>
        <v>0.1094899154406058</v>
      </c>
      <c r="R17" s="68">
        <f t="shared" si="4"/>
        <v>0.11846065528285497</v>
      </c>
      <c r="S17" s="111">
        <f t="shared" si="4"/>
        <v>0.12755422547227432</v>
      </c>
      <c r="T17" s="68">
        <f t="shared" si="4"/>
        <v>0.16763300792060151</v>
      </c>
      <c r="U17" s="116">
        <f t="shared" si="4"/>
        <v>0.19732575432413962</v>
      </c>
      <c r="V17" s="68">
        <f t="shared" si="4"/>
        <v>0.22052183114747606</v>
      </c>
      <c r="W17" s="116">
        <f t="shared" si="4"/>
        <v>0.23809728454964266</v>
      </c>
      <c r="X17" s="3"/>
      <c r="Y17" s="136" t="s">
        <v>54</v>
      </c>
      <c r="Z17" s="137">
        <f>I16+I17</f>
        <v>6.337060310078757E-2</v>
      </c>
      <c r="AA17" s="137">
        <f>S16+S17</f>
        <v>0.17180501854555641</v>
      </c>
      <c r="AB17" s="138">
        <f>W16+W17</f>
        <v>0.42752897938330825</v>
      </c>
      <c r="AC17" s="3"/>
      <c r="AD17" s="230"/>
      <c r="AE17" s="35" t="s">
        <v>28</v>
      </c>
      <c r="AF17" s="13" t="s">
        <v>192</v>
      </c>
      <c r="AG17" s="68">
        <v>1.7713701388459593E-2</v>
      </c>
      <c r="AH17" s="68">
        <v>6.9742271631543756E-2</v>
      </c>
      <c r="AI17" s="110">
        <v>8.1178375783200599E-2</v>
      </c>
      <c r="AJ17" s="68">
        <v>8.5616416222091693E-2</v>
      </c>
      <c r="AK17" s="111">
        <v>9.1340609471855363E-2</v>
      </c>
      <c r="AL17" s="110">
        <v>9.8606449600418852E-2</v>
      </c>
      <c r="AM17" s="68">
        <v>0.10615167668053996</v>
      </c>
      <c r="AN17" s="68">
        <v>0.1126658795064988</v>
      </c>
      <c r="AO17" s="68">
        <v>0.11912820758253932</v>
      </c>
      <c r="AP17" s="111">
        <v>0.12547123609941566</v>
      </c>
      <c r="AQ17" s="110">
        <v>0.13162380416134664</v>
      </c>
      <c r="AR17" s="68">
        <v>0.13741741046488648</v>
      </c>
      <c r="AS17" s="68">
        <v>0.14263357202290744</v>
      </c>
      <c r="AT17" s="68">
        <v>0.14704290032757525</v>
      </c>
      <c r="AU17" s="111">
        <v>0.15090915365811511</v>
      </c>
      <c r="AV17" s="68">
        <v>0.16819727841456883</v>
      </c>
      <c r="AW17" s="116">
        <v>0.18386636890858446</v>
      </c>
      <c r="AX17" s="68">
        <v>0.19725136554104705</v>
      </c>
      <c r="AY17" s="116">
        <v>0.20829950118613239</v>
      </c>
      <c r="AZ17" s="3"/>
      <c r="BA17" s="136" t="s">
        <v>54</v>
      </c>
      <c r="BB17" s="137">
        <v>0.11189266979752523</v>
      </c>
      <c r="BC17" s="137">
        <v>0.1831360600390535</v>
      </c>
      <c r="BD17" s="138">
        <v>0.24581915560377307</v>
      </c>
    </row>
    <row r="18" spans="1:56" x14ac:dyDescent="0.25">
      <c r="A18" s="3"/>
      <c r="B18" s="230"/>
      <c r="C18" s="35" t="s">
        <v>29</v>
      </c>
      <c r="D18" s="13" t="s">
        <v>193</v>
      </c>
      <c r="E18" s="68">
        <f t="shared" si="3"/>
        <v>0.12575058882882739</v>
      </c>
      <c r="F18" s="68">
        <f t="shared" si="3"/>
        <v>0.20591746306412889</v>
      </c>
      <c r="G18" s="110">
        <f t="shared" si="3"/>
        <v>0.21897239115889244</v>
      </c>
      <c r="H18" s="68">
        <f t="shared" ref="H18:W18" si="5">H7/H$4</f>
        <v>0.2254524966493634</v>
      </c>
      <c r="I18" s="111">
        <f t="shared" si="5"/>
        <v>0.23227074455395366</v>
      </c>
      <c r="J18" s="110">
        <f t="shared" si="5"/>
        <v>0.23946094304987275</v>
      </c>
      <c r="K18" s="68">
        <f t="shared" si="5"/>
        <v>0.24592512526264126</v>
      </c>
      <c r="L18" s="68">
        <f t="shared" si="5"/>
        <v>0.25179013089038704</v>
      </c>
      <c r="M18" s="68">
        <f t="shared" si="5"/>
        <v>0.25651558871856411</v>
      </c>
      <c r="N18" s="111">
        <f t="shared" si="5"/>
        <v>0.26039319657250531</v>
      </c>
      <c r="O18" s="110">
        <f t="shared" si="5"/>
        <v>0.26425328939243603</v>
      </c>
      <c r="P18" s="68">
        <f t="shared" si="5"/>
        <v>0.26769057627402698</v>
      </c>
      <c r="Q18" s="68">
        <f t="shared" si="5"/>
        <v>0.27054597957516691</v>
      </c>
      <c r="R18" s="68">
        <f t="shared" si="5"/>
        <v>0.27291440331562172</v>
      </c>
      <c r="S18" s="111">
        <f t="shared" si="5"/>
        <v>0.27508252010332851</v>
      </c>
      <c r="T18" s="68">
        <f t="shared" si="5"/>
        <v>0.28011302156272683</v>
      </c>
      <c r="U18" s="116">
        <f t="shared" si="5"/>
        <v>0.27426238940323605</v>
      </c>
      <c r="V18" s="68">
        <f t="shared" si="5"/>
        <v>0.26166370953711865</v>
      </c>
      <c r="W18" s="116">
        <f t="shared" si="5"/>
        <v>0.2458826373977375</v>
      </c>
      <c r="X18" s="3"/>
      <c r="Y18" s="136" t="s">
        <v>55</v>
      </c>
      <c r="Z18" s="137">
        <f>I18+I19+I20</f>
        <v>0.76226794625651717</v>
      </c>
      <c r="AA18" s="137">
        <f>S18+S19+S20</f>
        <v>0.70664272633486491</v>
      </c>
      <c r="AB18" s="138">
        <f>W18+W19+W20</f>
        <v>0.50849617162184624</v>
      </c>
      <c r="AC18" s="3"/>
      <c r="AD18" s="230"/>
      <c r="AE18" s="35" t="s">
        <v>29</v>
      </c>
      <c r="AF18" s="13" t="s">
        <v>193</v>
      </c>
      <c r="AG18" s="68">
        <v>0.12575058882882711</v>
      </c>
      <c r="AH18" s="68">
        <v>0.21911275641841962</v>
      </c>
      <c r="AI18" s="110">
        <v>0.23825625442852749</v>
      </c>
      <c r="AJ18" s="68">
        <v>0.24161201207684488</v>
      </c>
      <c r="AK18" s="111">
        <v>0.24455613282758795</v>
      </c>
      <c r="AL18" s="110">
        <v>0.24673344098091057</v>
      </c>
      <c r="AM18" s="68">
        <v>0.24961673279082403</v>
      </c>
      <c r="AN18" s="68">
        <v>0.25335794116943272</v>
      </c>
      <c r="AO18" s="68">
        <v>0.2567414043426039</v>
      </c>
      <c r="AP18" s="111">
        <v>0.25951109793823024</v>
      </c>
      <c r="AQ18" s="110">
        <v>0.26169012384941498</v>
      </c>
      <c r="AR18" s="68">
        <v>0.26336582993321006</v>
      </c>
      <c r="AS18" s="68">
        <v>0.264535488566292</v>
      </c>
      <c r="AT18" s="68">
        <v>0.2651534802885962</v>
      </c>
      <c r="AU18" s="111">
        <v>0.26456632525865909</v>
      </c>
      <c r="AV18" s="68">
        <v>0.25952290901056607</v>
      </c>
      <c r="AW18" s="116">
        <v>0.25485171144990371</v>
      </c>
      <c r="AX18" s="68">
        <v>0.25089202970130575</v>
      </c>
      <c r="AY18" s="116">
        <v>0.24771102411924817</v>
      </c>
      <c r="AZ18" s="3"/>
      <c r="BA18" s="136" t="s">
        <v>55</v>
      </c>
      <c r="BB18" s="137">
        <v>0.72289771229804389</v>
      </c>
      <c r="BC18" s="137">
        <v>0.68888842591678678</v>
      </c>
      <c r="BD18" s="138">
        <v>0.64245955428730506</v>
      </c>
    </row>
    <row r="19" spans="1:56" ht="15.75" thickBot="1" x14ac:dyDescent="0.3">
      <c r="A19" s="3"/>
      <c r="B19" s="230"/>
      <c r="C19" s="35" t="s">
        <v>30</v>
      </c>
      <c r="D19" s="13" t="s">
        <v>194</v>
      </c>
      <c r="E19" s="68">
        <f t="shared" si="3"/>
        <v>0.27637430617113368</v>
      </c>
      <c r="F19" s="68">
        <f t="shared" si="3"/>
        <v>0.31222911579166429</v>
      </c>
      <c r="G19" s="110">
        <f t="shared" si="3"/>
        <v>0.3154760476965961</v>
      </c>
      <c r="H19" s="68">
        <f t="shared" ref="H19:W19" si="6">H8/H$4</f>
        <v>0.31582115790222764</v>
      </c>
      <c r="I19" s="111">
        <f t="shared" si="6"/>
        <v>0.3160104314512186</v>
      </c>
      <c r="J19" s="110">
        <f t="shared" si="6"/>
        <v>0.31544000229073971</v>
      </c>
      <c r="K19" s="68">
        <f t="shared" si="6"/>
        <v>0.31455806240396789</v>
      </c>
      <c r="L19" s="68">
        <f t="shared" si="6"/>
        <v>0.31341852359759764</v>
      </c>
      <c r="M19" s="68">
        <f t="shared" si="6"/>
        <v>0.31201179720808725</v>
      </c>
      <c r="N19" s="111">
        <f t="shared" si="6"/>
        <v>0.31008190868347341</v>
      </c>
      <c r="O19" s="110">
        <f t="shared" si="6"/>
        <v>0.30659690629241099</v>
      </c>
      <c r="P19" s="68">
        <f t="shared" si="6"/>
        <v>0.30175718789944023</v>
      </c>
      <c r="Q19" s="68">
        <f t="shared" si="6"/>
        <v>0.2962406425726849</v>
      </c>
      <c r="R19" s="68">
        <f t="shared" si="6"/>
        <v>0.29036485095862785</v>
      </c>
      <c r="S19" s="111">
        <f t="shared" si="6"/>
        <v>0.28431036410730243</v>
      </c>
      <c r="T19" s="68">
        <f t="shared" si="6"/>
        <v>0.25628545124784485</v>
      </c>
      <c r="U19" s="116">
        <f t="shared" si="6"/>
        <v>0.23031309508247444</v>
      </c>
      <c r="V19" s="68">
        <f t="shared" si="6"/>
        <v>0.20424237990214456</v>
      </c>
      <c r="W19" s="116">
        <f t="shared" si="6"/>
        <v>0.17884326853193583</v>
      </c>
      <c r="X19" s="3"/>
      <c r="Y19" s="139" t="s">
        <v>60</v>
      </c>
      <c r="Z19" s="140">
        <f>I21+I22</f>
        <v>0.17436145048414542</v>
      </c>
      <c r="AA19" s="140">
        <f>S21+S22</f>
        <v>0.12155225498738616</v>
      </c>
      <c r="AB19" s="272">
        <f>W21+W22</f>
        <v>6.417888651625725E-2</v>
      </c>
      <c r="AC19" s="3"/>
      <c r="AD19" s="230"/>
      <c r="AE19" s="35" t="s">
        <v>30</v>
      </c>
      <c r="AF19" s="13" t="s">
        <v>194</v>
      </c>
      <c r="AG19" s="68">
        <v>0.27637430617113345</v>
      </c>
      <c r="AH19" s="68">
        <v>0.24399997608315813</v>
      </c>
      <c r="AI19" s="110">
        <v>0.2366669213900002</v>
      </c>
      <c r="AJ19" s="68">
        <v>0.23468160828213183</v>
      </c>
      <c r="AK19" s="111">
        <v>0.23286925708207196</v>
      </c>
      <c r="AL19" s="110">
        <v>0.23119912330148079</v>
      </c>
      <c r="AM19" s="68">
        <v>0.22958027552990262</v>
      </c>
      <c r="AN19" s="68">
        <v>0.22823590127309021</v>
      </c>
      <c r="AO19" s="68">
        <v>0.22667237149939959</v>
      </c>
      <c r="AP19" s="111">
        <v>0.22484807807314372</v>
      </c>
      <c r="AQ19" s="110">
        <v>0.22283946683543782</v>
      </c>
      <c r="AR19" s="68">
        <v>0.22080782835843135</v>
      </c>
      <c r="AS19" s="68">
        <v>0.21896131706577443</v>
      </c>
      <c r="AT19" s="68">
        <v>0.21754236545681527</v>
      </c>
      <c r="AU19" s="111">
        <v>0.21668893895456073</v>
      </c>
      <c r="AV19" s="68">
        <v>0.21328461407073057</v>
      </c>
      <c r="AW19" s="116">
        <v>0.20989243419559833</v>
      </c>
      <c r="AX19" s="68">
        <v>0.2069443498652298</v>
      </c>
      <c r="AY19" s="116">
        <v>0.20457087690216122</v>
      </c>
      <c r="AZ19" s="3"/>
      <c r="BA19" s="139" t="s">
        <v>60</v>
      </c>
      <c r="BB19" s="140">
        <v>0.16520961794906971</v>
      </c>
      <c r="BC19" s="140">
        <v>0.12797551395532852</v>
      </c>
      <c r="BD19" s="272">
        <v>0.11172129005230631</v>
      </c>
    </row>
    <row r="20" spans="1:56" x14ac:dyDescent="0.25">
      <c r="A20" s="3"/>
      <c r="B20" s="230"/>
      <c r="C20" s="35" t="s">
        <v>31</v>
      </c>
      <c r="D20" s="13" t="s">
        <v>195</v>
      </c>
      <c r="E20" s="68">
        <f t="shared" si="3"/>
        <v>0.32873347328240671</v>
      </c>
      <c r="F20" s="68">
        <f t="shared" si="3"/>
        <v>0.24442407697007512</v>
      </c>
      <c r="G20" s="110">
        <f t="shared" si="3"/>
        <v>0.22942988251292687</v>
      </c>
      <c r="H20" s="68">
        <f t="shared" ref="H20:W20" si="7">H9/H$4</f>
        <v>0.22198404357145599</v>
      </c>
      <c r="I20" s="111">
        <f t="shared" si="7"/>
        <v>0.21398677025134491</v>
      </c>
      <c r="J20" s="110">
        <f t="shared" si="7"/>
        <v>0.20541442357537995</v>
      </c>
      <c r="K20" s="68">
        <f t="shared" si="7"/>
        <v>0.19736044040872666</v>
      </c>
      <c r="L20" s="68">
        <f t="shared" si="7"/>
        <v>0.18975100370281556</v>
      </c>
      <c r="M20" s="68">
        <f t="shared" si="7"/>
        <v>0.18321688915090531</v>
      </c>
      <c r="N20" s="111">
        <f t="shared" si="7"/>
        <v>0.17744947996241217</v>
      </c>
      <c r="O20" s="110">
        <f t="shared" si="7"/>
        <v>0.17128792550929212</v>
      </c>
      <c r="P20" s="68">
        <f t="shared" si="7"/>
        <v>0.16501058900256599</v>
      </c>
      <c r="Q20" s="68">
        <f t="shared" si="7"/>
        <v>0.15896958703305042</v>
      </c>
      <c r="R20" s="68">
        <f t="shared" si="7"/>
        <v>0.15313879719339554</v>
      </c>
      <c r="S20" s="111">
        <f t="shared" si="7"/>
        <v>0.14724984212423395</v>
      </c>
      <c r="T20" s="68">
        <f t="shared" si="7"/>
        <v>0.12159657844659477</v>
      </c>
      <c r="U20" s="116">
        <f t="shared" si="7"/>
        <v>0.10537538114087446</v>
      </c>
      <c r="V20" s="68">
        <f t="shared" si="7"/>
        <v>9.3737865133154644E-2</v>
      </c>
      <c r="W20" s="116">
        <f t="shared" si="7"/>
        <v>8.3770265692172982E-2</v>
      </c>
      <c r="X20" s="3"/>
      <c r="Y20" s="173" t="s">
        <v>92</v>
      </c>
      <c r="Z20" s="174">
        <f>SUM(Z17:Z19)</f>
        <v>0.99999999984145016</v>
      </c>
      <c r="AA20" s="174">
        <f t="shared" ref="AA20:AB20" si="8">SUM(AA17:AA19)</f>
        <v>0.99999999986780752</v>
      </c>
      <c r="AB20" s="174">
        <f t="shared" si="8"/>
        <v>1.0002040375214118</v>
      </c>
      <c r="AC20" s="3"/>
      <c r="AD20" s="230"/>
      <c r="AE20" s="35" t="s">
        <v>31</v>
      </c>
      <c r="AF20" s="13" t="s">
        <v>195</v>
      </c>
      <c r="AG20" s="68">
        <v>0.32873347328240687</v>
      </c>
      <c r="AH20" s="68">
        <v>0.26509030195404842</v>
      </c>
      <c r="AI20" s="110">
        <v>0.25245211474478813</v>
      </c>
      <c r="AJ20" s="68">
        <v>0.24923939412675924</v>
      </c>
      <c r="AK20" s="111">
        <v>0.24547232238838398</v>
      </c>
      <c r="AL20" s="110">
        <v>0.24119695582322501</v>
      </c>
      <c r="AM20" s="68">
        <v>0.23638908066322328</v>
      </c>
      <c r="AN20" s="68">
        <v>0.23153170520178237</v>
      </c>
      <c r="AO20" s="68">
        <v>0.22680205092235828</v>
      </c>
      <c r="AP20" s="111">
        <v>0.22234816495175047</v>
      </c>
      <c r="AQ20" s="110">
        <v>0.21820791100476547</v>
      </c>
      <c r="AR20" s="68">
        <v>0.21447810166990497</v>
      </c>
      <c r="AS20" s="68">
        <v>0.21139582011805283</v>
      </c>
      <c r="AT20" s="68">
        <v>0.20910573223320947</v>
      </c>
      <c r="AU20" s="111">
        <v>0.20763316170356694</v>
      </c>
      <c r="AV20" s="68">
        <v>0.20276931860366407</v>
      </c>
      <c r="AW20" s="116">
        <v>0.19804005693672738</v>
      </c>
      <c r="AX20" s="68">
        <v>0.19381052501450233</v>
      </c>
      <c r="AY20" s="116">
        <v>0.1901776532658957</v>
      </c>
      <c r="AZ20" s="3"/>
      <c r="BA20" s="173" t="s">
        <v>92</v>
      </c>
      <c r="BB20" s="174">
        <v>1.0000000000446387</v>
      </c>
      <c r="BC20" s="174">
        <v>0.99999999991116884</v>
      </c>
      <c r="BD20" s="174">
        <v>0.99999999994338451</v>
      </c>
    </row>
    <row r="21" spans="1:56" x14ac:dyDescent="0.25">
      <c r="A21" s="3"/>
      <c r="B21" s="230"/>
      <c r="C21" s="35" t="s">
        <v>32</v>
      </c>
      <c r="D21" s="13" t="s">
        <v>196</v>
      </c>
      <c r="E21" s="68">
        <f t="shared" si="3"/>
        <v>0.1722213067913749</v>
      </c>
      <c r="F21" s="68">
        <f t="shared" si="3"/>
        <v>0.12122414157426109</v>
      </c>
      <c r="G21" s="110">
        <f t="shared" si="3"/>
        <v>0.11273492252295546</v>
      </c>
      <c r="H21" s="68">
        <f t="shared" ref="H21:W21" si="9">H10/H$4</f>
        <v>0.10881234026796077</v>
      </c>
      <c r="I21" s="111">
        <f t="shared" si="9"/>
        <v>0.10465479552480254</v>
      </c>
      <c r="J21" s="110">
        <f t="shared" si="9"/>
        <v>0.10029116742382431</v>
      </c>
      <c r="K21" s="68">
        <f t="shared" si="9"/>
        <v>9.6209808269632643E-2</v>
      </c>
      <c r="L21" s="68">
        <f t="shared" si="9"/>
        <v>9.2380862530442046E-2</v>
      </c>
      <c r="M21" s="68">
        <f t="shared" si="9"/>
        <v>8.908815518832279E-2</v>
      </c>
      <c r="N21" s="111">
        <f t="shared" si="9"/>
        <v>8.6195748202358438E-2</v>
      </c>
      <c r="O21" s="110">
        <f t="shared" si="9"/>
        <v>8.3195536658783015E-2</v>
      </c>
      <c r="P21" s="68">
        <f t="shared" si="9"/>
        <v>8.0200444248018268E-2</v>
      </c>
      <c r="Q21" s="68">
        <f t="shared" si="9"/>
        <v>7.7333168509341604E-2</v>
      </c>
      <c r="R21" s="68">
        <f t="shared" si="9"/>
        <v>7.4556369133049458E-2</v>
      </c>
      <c r="S21" s="111">
        <f t="shared" si="9"/>
        <v>7.1721453377359204E-2</v>
      </c>
      <c r="T21" s="68">
        <f t="shared" si="9"/>
        <v>5.8885134979731101E-2</v>
      </c>
      <c r="U21" s="116">
        <f t="shared" si="9"/>
        <v>5.038912492022142E-2</v>
      </c>
      <c r="V21" s="68">
        <f t="shared" si="9"/>
        <v>4.4227135127473061E-2</v>
      </c>
      <c r="W21" s="116">
        <f t="shared" si="9"/>
        <v>3.8910007115003378E-2</v>
      </c>
      <c r="X21" s="3"/>
      <c r="AC21" s="3"/>
      <c r="AD21" s="230"/>
      <c r="AE21" s="35" t="s">
        <v>32</v>
      </c>
      <c r="AF21" s="13" t="s">
        <v>196</v>
      </c>
      <c r="AG21" s="68">
        <v>0.17222130679137462</v>
      </c>
      <c r="AH21" s="68">
        <v>0.13812098986131141</v>
      </c>
      <c r="AI21" s="110">
        <v>0.13171002420976188</v>
      </c>
      <c r="AJ21" s="68">
        <v>0.13018392379707383</v>
      </c>
      <c r="AK21" s="111">
        <v>0.12810467549323093</v>
      </c>
      <c r="AL21" s="110">
        <v>0.12551223802772041</v>
      </c>
      <c r="AM21" s="68">
        <v>0.12241652291911904</v>
      </c>
      <c r="AN21" s="68">
        <v>0.11917065474377191</v>
      </c>
      <c r="AO21" s="68">
        <v>0.11617863056389478</v>
      </c>
      <c r="AP21" s="111">
        <v>0.11360299235834463</v>
      </c>
      <c r="AQ21" s="110">
        <v>0.11143757540749792</v>
      </c>
      <c r="AR21" s="68">
        <v>0.10969240716067864</v>
      </c>
      <c r="AS21" s="68">
        <v>0.10848993312885881</v>
      </c>
      <c r="AT21" s="68">
        <v>0.10786335937918821</v>
      </c>
      <c r="AU21" s="111">
        <v>0.107591831168658</v>
      </c>
      <c r="AV21" s="68">
        <v>0.1056556785830219</v>
      </c>
      <c r="AW21" s="116">
        <v>0.10313052186167217</v>
      </c>
      <c r="AX21" s="68">
        <v>0.10053227932891177</v>
      </c>
      <c r="AY21" s="116">
        <v>9.8083298457476459E-2</v>
      </c>
      <c r="AZ21" s="3"/>
    </row>
    <row r="22" spans="1:56" x14ac:dyDescent="0.25">
      <c r="A22" s="3"/>
      <c r="B22" s="230"/>
      <c r="C22" s="56" t="s">
        <v>33</v>
      </c>
      <c r="D22" s="26" t="s">
        <v>197</v>
      </c>
      <c r="E22" s="70">
        <f t="shared" si="3"/>
        <v>7.893036728947378E-2</v>
      </c>
      <c r="F22" s="70">
        <f t="shared" si="3"/>
        <v>7.3985936945552194E-2</v>
      </c>
      <c r="G22" s="112">
        <f t="shared" si="3"/>
        <v>7.3110832562186173E-2</v>
      </c>
      <c r="H22" s="70">
        <f t="shared" ref="H22:W22" si="10">H11/H$4</f>
        <v>7.1611613633872959E-2</v>
      </c>
      <c r="I22" s="113">
        <f t="shared" si="10"/>
        <v>6.9706654959342876E-2</v>
      </c>
      <c r="J22" s="112">
        <f t="shared" si="10"/>
        <v>6.7414962367929473E-2</v>
      </c>
      <c r="K22" s="70">
        <f t="shared" si="10"/>
        <v>6.5176477597581842E-2</v>
      </c>
      <c r="L22" s="70">
        <f t="shared" si="10"/>
        <v>6.2992199441952945E-2</v>
      </c>
      <c r="M22" s="70">
        <f t="shared" si="10"/>
        <v>6.1124015478339198E-2</v>
      </c>
      <c r="N22" s="113">
        <f t="shared" si="10"/>
        <v>5.9469450571374066E-2</v>
      </c>
      <c r="O22" s="112">
        <f t="shared" si="10"/>
        <v>5.761631563678668E-2</v>
      </c>
      <c r="P22" s="70">
        <f t="shared" si="10"/>
        <v>5.5676000368034093E-2</v>
      </c>
      <c r="Q22" s="70">
        <f t="shared" si="10"/>
        <v>5.3763446954763559E-2</v>
      </c>
      <c r="R22" s="70">
        <f t="shared" si="10"/>
        <v>5.18568683790031E-2</v>
      </c>
      <c r="S22" s="113">
        <f t="shared" si="10"/>
        <v>4.9830801610026954E-2</v>
      </c>
      <c r="T22" s="70">
        <f t="shared" si="10"/>
        <v>4.0265351578751371E-2</v>
      </c>
      <c r="U22" s="117">
        <f t="shared" si="10"/>
        <v>3.3826882777685675E-2</v>
      </c>
      <c r="V22" s="70">
        <f t="shared" si="10"/>
        <v>2.9126835121320683E-2</v>
      </c>
      <c r="W22" s="117">
        <f t="shared" si="10"/>
        <v>2.5268879401253868E-2</v>
      </c>
      <c r="X22" s="3"/>
      <c r="AC22" s="3"/>
      <c r="AD22" s="230"/>
      <c r="AE22" s="56" t="s">
        <v>33</v>
      </c>
      <c r="AF22" s="26" t="s">
        <v>197</v>
      </c>
      <c r="AG22" s="70">
        <v>7.8930367289473502E-2</v>
      </c>
      <c r="AH22" s="70">
        <v>4.7304062564924233E-2</v>
      </c>
      <c r="AI22" s="112">
        <v>4.0753895266160862E-2</v>
      </c>
      <c r="AJ22" s="70">
        <v>3.8986079216697153E-2</v>
      </c>
      <c r="AK22" s="113">
        <v>3.7104942455838792E-2</v>
      </c>
      <c r="AL22" s="112">
        <v>3.5142087975134698E-2</v>
      </c>
      <c r="AM22" s="70">
        <v>3.311260813023801E-2</v>
      </c>
      <c r="AN22" s="70">
        <v>3.1103526117049595E-2</v>
      </c>
      <c r="AO22" s="70">
        <v>2.9178922704236585E-2</v>
      </c>
      <c r="AP22" s="113">
        <v>2.7364842858566628E-2</v>
      </c>
      <c r="AQ22" s="112">
        <v>2.5664892163457183E-2</v>
      </c>
      <c r="AR22" s="70">
        <v>2.4092665748802755E-2</v>
      </c>
      <c r="AS22" s="70">
        <v>2.2688602536151806E-2</v>
      </c>
      <c r="AT22" s="70">
        <v>2.1459464120497387E-2</v>
      </c>
      <c r="AU22" s="113">
        <v>2.0383682786670507E-2</v>
      </c>
      <c r="AV22" s="70">
        <v>1.6728084601730989E-2</v>
      </c>
      <c r="AW22" s="117">
        <v>1.4932943842798909E-2</v>
      </c>
      <c r="AX22" s="70">
        <v>1.4058012176126823E-2</v>
      </c>
      <c r="AY22" s="117">
        <v>1.3637991594829849E-2</v>
      </c>
      <c r="AZ22" s="3"/>
    </row>
    <row r="23" spans="1:5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spans="1:5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295">
        <v>2023</v>
      </c>
      <c r="M24" s="295">
        <v>2024</v>
      </c>
      <c r="N24" s="295">
        <v>2025</v>
      </c>
      <c r="O24" s="295">
        <v>2026</v>
      </c>
      <c r="P24" s="295">
        <v>2027</v>
      </c>
      <c r="Q24" s="295">
        <v>2028</v>
      </c>
      <c r="R24" s="295">
        <v>2029</v>
      </c>
      <c r="S24" s="296">
        <v>2030</v>
      </c>
      <c r="T24" s="295">
        <v>2035</v>
      </c>
      <c r="U24" s="295">
        <v>2040</v>
      </c>
      <c r="V24" s="295">
        <v>2045</v>
      </c>
      <c r="W24" s="295">
        <v>2050</v>
      </c>
      <c r="X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</row>
    <row r="25" spans="1:5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295">
        <v>27409.152760000001</v>
      </c>
      <c r="M25" s="295">
        <v>27534.384159999998</v>
      </c>
      <c r="N25" s="295">
        <v>27700.864130000002</v>
      </c>
      <c r="O25" s="295">
        <v>27827.24728</v>
      </c>
      <c r="P25" s="295">
        <v>27954.14676</v>
      </c>
      <c r="Q25" s="295">
        <v>28081.564560000003</v>
      </c>
      <c r="R25" s="295">
        <v>28209.502670000002</v>
      </c>
      <c r="S25" s="297">
        <v>28379.33238</v>
      </c>
      <c r="T25" s="295">
        <v>28988.170300000002</v>
      </c>
      <c r="U25" s="295">
        <v>29523.746120000003</v>
      </c>
      <c r="V25" s="295">
        <v>30025.638859999999</v>
      </c>
      <c r="W25" s="295">
        <v>30354.287279999997</v>
      </c>
      <c r="X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</row>
    <row r="26" spans="1:56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295">
        <v>4.1624116914148641E-2</v>
      </c>
      <c r="M26" s="295">
        <v>5.2596252256255291E-2</v>
      </c>
      <c r="N26" s="295">
        <v>6.5747814416647232E-2</v>
      </c>
      <c r="O26" s="295">
        <v>7.9997070734335318E-2</v>
      </c>
      <c r="P26" s="295">
        <v>9.530484041860271E-2</v>
      </c>
      <c r="Q26" s="295">
        <v>0.11128804035554064</v>
      </c>
      <c r="R26" s="295">
        <v>0.1277171678688088</v>
      </c>
      <c r="S26" s="295">
        <v>0.144310124817672</v>
      </c>
      <c r="T26" s="295">
        <v>0.23039888057370769</v>
      </c>
      <c r="U26" s="295">
        <v>0.31790028036591178</v>
      </c>
      <c r="V26" s="295">
        <v>0.40549770104042343</v>
      </c>
      <c r="W26" s="295">
        <v>0.47588868639053089</v>
      </c>
      <c r="X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</row>
    <row r="27" spans="1:56" x14ac:dyDescent="0.25">
      <c r="L27" s="298">
        <v>7.5898692499388284E-2</v>
      </c>
      <c r="M27" s="298">
        <v>8.7239713154347157E-2</v>
      </c>
      <c r="N27" s="298">
        <v>0.10006509916050045</v>
      </c>
      <c r="O27" s="298">
        <v>0.11371798001286168</v>
      </c>
      <c r="P27" s="298">
        <v>0.1274660875036488</v>
      </c>
      <c r="Q27" s="298">
        <v>0.14072834010214422</v>
      </c>
      <c r="R27" s="298">
        <v>0.15318021985532579</v>
      </c>
      <c r="S27" s="298">
        <v>0.16456568482531725</v>
      </c>
      <c r="T27" s="298">
        <v>0.20721591048469865</v>
      </c>
      <c r="U27" s="298">
        <v>0.22820456318840612</v>
      </c>
      <c r="V27" s="298">
        <v>0.23319455071871201</v>
      </c>
      <c r="W27" s="298">
        <v>0.22857891325195365</v>
      </c>
    </row>
    <row r="28" spans="1:56" x14ac:dyDescent="0.25">
      <c r="L28" s="298">
        <v>0.26241690854073663</v>
      </c>
      <c r="M28" s="298">
        <v>0.27026887864122834</v>
      </c>
      <c r="N28" s="298">
        <v>0.27839092335925619</v>
      </c>
      <c r="O28" s="298">
        <v>0.28610080486552525</v>
      </c>
      <c r="P28" s="298">
        <v>0.29266041443648771</v>
      </c>
      <c r="Q28" s="298">
        <v>0.29772521175365735</v>
      </c>
      <c r="R28" s="298">
        <v>0.30120146258501901</v>
      </c>
      <c r="S28" s="298">
        <v>0.30323983675052191</v>
      </c>
      <c r="T28" s="298">
        <v>0.29498535614715909</v>
      </c>
      <c r="U28" s="298">
        <v>0.26827909015361767</v>
      </c>
      <c r="V28" s="298">
        <v>0.23329132171544412</v>
      </c>
      <c r="W28" s="298">
        <v>0.20267551921910915</v>
      </c>
    </row>
    <row r="29" spans="1:56" x14ac:dyDescent="0.25">
      <c r="L29" s="298">
        <v>0.31103555008243167</v>
      </c>
      <c r="M29" s="298">
        <v>0.30726089883972912</v>
      </c>
      <c r="N29" s="298">
        <v>0.30173638121086294</v>
      </c>
      <c r="O29" s="298">
        <v>0.2935316151759873</v>
      </c>
      <c r="P29" s="298">
        <v>0.28335135949611795</v>
      </c>
      <c r="Q29" s="298">
        <v>0.27192376089603459</v>
      </c>
      <c r="R29" s="298">
        <v>0.25983147135716589</v>
      </c>
      <c r="S29" s="298">
        <v>0.24783389389937438</v>
      </c>
      <c r="T29" s="298">
        <v>0.18863571541112406</v>
      </c>
      <c r="U29" s="298">
        <v>0.13973920214024654</v>
      </c>
      <c r="V29" s="298">
        <v>0.10072426615471522</v>
      </c>
      <c r="W29" s="298">
        <v>7.4843140444838016E-2</v>
      </c>
    </row>
    <row r="30" spans="1:56" x14ac:dyDescent="0.25">
      <c r="L30" s="298">
        <v>0.19282409942685141</v>
      </c>
      <c r="M30" s="298">
        <v>0.18053517021170232</v>
      </c>
      <c r="N30" s="298">
        <v>0.16652767539494082</v>
      </c>
      <c r="O30" s="298">
        <v>0.15239289579490162</v>
      </c>
      <c r="P30" s="298">
        <v>0.13860999544240785</v>
      </c>
      <c r="Q30" s="298">
        <v>0.1257152202989647</v>
      </c>
      <c r="R30" s="298">
        <v>0.11391359910139104</v>
      </c>
      <c r="S30" s="298">
        <v>0.103079395238402</v>
      </c>
      <c r="T30" s="298">
        <v>6.3467552762376311E-2</v>
      </c>
      <c r="U30" s="298">
        <v>3.9545033860357556E-2</v>
      </c>
      <c r="V30" s="298">
        <v>2.4676156279460425E-2</v>
      </c>
      <c r="W30" s="298">
        <v>1.6744166140737666E-2</v>
      </c>
    </row>
    <row r="31" spans="1:56" x14ac:dyDescent="0.25">
      <c r="L31" s="298">
        <v>9.2131982375072877E-2</v>
      </c>
      <c r="M31" s="298">
        <v>8.1418386152131025E-2</v>
      </c>
      <c r="N31" s="298">
        <v>7.0011436534922269E-2</v>
      </c>
      <c r="O31" s="298">
        <v>5.9489629762617326E-2</v>
      </c>
      <c r="P31" s="298">
        <v>5.0197046650977808E-2</v>
      </c>
      <c r="Q31" s="298">
        <v>4.2209707883882945E-2</v>
      </c>
      <c r="R31" s="298">
        <v>3.5432382332034926E-2</v>
      </c>
      <c r="S31" s="298">
        <v>2.9674727658269173E-2</v>
      </c>
      <c r="T31" s="298">
        <v>1.2288807106945967E-2</v>
      </c>
      <c r="U31" s="298">
        <v>5.089130118830598E-3</v>
      </c>
      <c r="V31" s="298">
        <v>2.1033528640129659E-3</v>
      </c>
      <c r="W31" s="298">
        <v>1.0223712098306266E-3</v>
      </c>
    </row>
    <row r="32" spans="1:56" x14ac:dyDescent="0.25">
      <c r="L32" s="298">
        <v>2.4068650205151396E-2</v>
      </c>
      <c r="M32" s="298">
        <v>2.0680700846297775E-2</v>
      </c>
      <c r="N32" s="298">
        <v>1.7520670016729908E-2</v>
      </c>
      <c r="O32" s="298">
        <v>1.4770003520808185E-2</v>
      </c>
      <c r="P32" s="298">
        <v>1.2410255987366076E-2</v>
      </c>
      <c r="Q32" s="298">
        <v>1.0409718652798595E-2</v>
      </c>
      <c r="R32" s="298">
        <v>8.7236969569729744E-3</v>
      </c>
      <c r="S32" s="298">
        <v>7.2963369126303589E-3</v>
      </c>
      <c r="T32" s="298">
        <v>3.007777410842653E-3</v>
      </c>
      <c r="U32" s="298">
        <v>1.2427002258072527E-3</v>
      </c>
      <c r="V32" s="298">
        <v>5.126512452165023E-4</v>
      </c>
      <c r="W32" s="298">
        <v>2.4720344861940046E-4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0070C0"/>
    <pageSetUpPr fitToPage="1"/>
  </sheetPr>
  <dimension ref="A1:CF648"/>
  <sheetViews>
    <sheetView topLeftCell="W1" zoomScale="80" zoomScaleNormal="80" workbookViewId="0">
      <selection activeCell="AM7" sqref="AM7"/>
    </sheetView>
  </sheetViews>
  <sheetFormatPr baseColWidth="10" defaultRowHeight="15" x14ac:dyDescent="0.25"/>
  <cols>
    <col min="1" max="1" width="11.42578125" style="3"/>
    <col min="2" max="2" width="17.140625" style="3" customWidth="1"/>
    <col min="3" max="3" width="28.140625" customWidth="1"/>
    <col min="4" max="4" width="41" hidden="1" customWidth="1"/>
    <col min="5" max="8" width="20.140625" hidden="1" customWidth="1"/>
    <col min="9" max="39" width="20.140625" customWidth="1"/>
    <col min="40" max="40" width="13" style="3" customWidth="1"/>
    <col min="41" max="84" width="11.42578125" style="3"/>
  </cols>
  <sheetData>
    <row r="1" spans="1:39" s="3" customFormat="1" ht="23.25" x14ac:dyDescent="0.35">
      <c r="A1" s="228" t="s">
        <v>69</v>
      </c>
      <c r="C1" s="228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39" s="3" customFormat="1" ht="23.25" x14ac:dyDescent="0.35">
      <c r="A2" s="46"/>
      <c r="E2" s="235">
        <f>Résultats!E1</f>
        <v>4</v>
      </c>
      <c r="F2" s="235">
        <f>Résultats!N1</f>
        <v>13</v>
      </c>
      <c r="G2" s="235">
        <f>F2+3</f>
        <v>16</v>
      </c>
      <c r="H2" s="235">
        <f t="shared" ref="H2:AA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 t="shared" si="0"/>
        <v>29</v>
      </c>
      <c r="U2" s="235">
        <f t="shared" si="0"/>
        <v>30</v>
      </c>
      <c r="V2" s="235">
        <f t="shared" si="0"/>
        <v>31</v>
      </c>
      <c r="W2" s="235">
        <f t="shared" si="0"/>
        <v>32</v>
      </c>
      <c r="X2" s="235">
        <f>S2+5</f>
        <v>33</v>
      </c>
      <c r="Y2" s="235">
        <f t="shared" si="0"/>
        <v>34</v>
      </c>
      <c r="Z2" s="235">
        <f t="shared" ref="Z2" si="1">U2+5</f>
        <v>35</v>
      </c>
      <c r="AA2" s="235">
        <f t="shared" si="0"/>
        <v>36</v>
      </c>
      <c r="AB2" s="235">
        <f t="shared" ref="AB2" si="2">W2+5</f>
        <v>37</v>
      </c>
      <c r="AC2" s="235">
        <f>X2+5</f>
        <v>38</v>
      </c>
      <c r="AD2" s="235">
        <f t="shared" ref="AD2:AG2" si="3">Y2+5</f>
        <v>39</v>
      </c>
      <c r="AE2" s="235">
        <f t="shared" si="3"/>
        <v>40</v>
      </c>
      <c r="AF2" s="235">
        <f t="shared" si="3"/>
        <v>41</v>
      </c>
      <c r="AG2" s="235">
        <f t="shared" si="3"/>
        <v>42</v>
      </c>
      <c r="AH2" s="235">
        <f>AC2+5</f>
        <v>43</v>
      </c>
      <c r="AI2" s="235">
        <f t="shared" ref="AI2:AL2" si="4">AD2+5</f>
        <v>44</v>
      </c>
      <c r="AJ2" s="235">
        <f t="shared" si="4"/>
        <v>45</v>
      </c>
      <c r="AK2" s="235">
        <f t="shared" si="4"/>
        <v>46</v>
      </c>
      <c r="AL2" s="235">
        <f t="shared" si="4"/>
        <v>47</v>
      </c>
      <c r="AM2" s="236">
        <f>AH2+5</f>
        <v>48</v>
      </c>
    </row>
    <row r="3" spans="1:39" ht="23.25" x14ac:dyDescent="0.35">
      <c r="B3" s="46"/>
      <c r="D3" s="146"/>
      <c r="E3" s="92">
        <v>2006</v>
      </c>
      <c r="F3" s="92">
        <v>2015</v>
      </c>
      <c r="G3" s="92">
        <v>2018</v>
      </c>
      <c r="H3" s="92">
        <v>2019</v>
      </c>
      <c r="I3" s="92">
        <v>2020</v>
      </c>
      <c r="J3" s="20">
        <v>2021</v>
      </c>
      <c r="K3" s="4">
        <v>2022</v>
      </c>
      <c r="L3" s="4">
        <v>2023</v>
      </c>
      <c r="M3" s="4">
        <v>2024</v>
      </c>
      <c r="N3" s="92">
        <v>2025</v>
      </c>
      <c r="O3" s="20">
        <v>2026</v>
      </c>
      <c r="P3" s="4">
        <v>2027</v>
      </c>
      <c r="Q3" s="4">
        <v>2028</v>
      </c>
      <c r="R3" s="4">
        <v>2029</v>
      </c>
      <c r="S3" s="92">
        <v>2030</v>
      </c>
      <c r="T3" s="4">
        <v>2031</v>
      </c>
      <c r="U3" s="92">
        <v>2032</v>
      </c>
      <c r="V3" s="4">
        <v>2033</v>
      </c>
      <c r="W3" s="92">
        <v>2034</v>
      </c>
      <c r="X3" s="4">
        <v>2035</v>
      </c>
      <c r="Y3" s="92">
        <v>2036</v>
      </c>
      <c r="Z3" s="4">
        <v>2037</v>
      </c>
      <c r="AA3" s="92">
        <v>2038</v>
      </c>
      <c r="AB3" s="4">
        <v>2039</v>
      </c>
      <c r="AC3" s="93">
        <v>2040</v>
      </c>
      <c r="AD3" s="4">
        <v>2041</v>
      </c>
      <c r="AE3" s="93">
        <v>2042</v>
      </c>
      <c r="AF3" s="4">
        <v>2043</v>
      </c>
      <c r="AG3" s="93">
        <v>2044</v>
      </c>
      <c r="AH3" s="4">
        <v>2045</v>
      </c>
      <c r="AI3" s="93">
        <v>2046</v>
      </c>
      <c r="AJ3" s="4">
        <v>2047</v>
      </c>
      <c r="AK3" s="93">
        <v>2048</v>
      </c>
      <c r="AL3" s="4">
        <v>2049</v>
      </c>
      <c r="AM3" s="93">
        <v>2050</v>
      </c>
    </row>
    <row r="4" spans="1:39" x14ac:dyDescent="0.25">
      <c r="A4" s="152" t="str">
        <f>Résultats!B1</f>
        <v>SNBC3</v>
      </c>
      <c r="C4" s="175" t="s">
        <v>71</v>
      </c>
      <c r="D4" s="58" t="s">
        <v>130</v>
      </c>
      <c r="E4" s="59">
        <f t="shared" ref="E4:H4" si="5">E43</f>
        <v>32001.800439999999</v>
      </c>
      <c r="F4" s="59">
        <f t="shared" si="5"/>
        <v>35911.307350000003</v>
      </c>
      <c r="G4" s="59">
        <f t="shared" si="5"/>
        <v>36708.886160000002</v>
      </c>
      <c r="H4" s="59">
        <f t="shared" si="5"/>
        <v>37113.743849999999</v>
      </c>
      <c r="I4" s="59">
        <f t="shared" ref="I4:AM4" si="6">I43</f>
        <v>37436.741139999998</v>
      </c>
      <c r="J4" s="59">
        <f t="shared" si="6"/>
        <v>37586.338340000002</v>
      </c>
      <c r="K4" s="59">
        <f t="shared" si="6"/>
        <v>37630.152600000001</v>
      </c>
      <c r="L4" s="59">
        <f t="shared" si="6"/>
        <v>37667.482739999999</v>
      </c>
      <c r="M4" s="59">
        <f t="shared" si="6"/>
        <v>37572.667979999998</v>
      </c>
      <c r="N4" s="59">
        <f t="shared" si="6"/>
        <v>37378.310380000003</v>
      </c>
      <c r="O4" s="59">
        <f t="shared" si="6"/>
        <v>37070.510370000004</v>
      </c>
      <c r="P4" s="59">
        <f t="shared" si="6"/>
        <v>36694.875290000004</v>
      </c>
      <c r="Q4" s="59">
        <f t="shared" si="6"/>
        <v>36282.501830000001</v>
      </c>
      <c r="R4" s="59">
        <f t="shared" si="6"/>
        <v>35814.683870000001</v>
      </c>
      <c r="S4" s="59">
        <f t="shared" si="6"/>
        <v>35306.181170000003</v>
      </c>
      <c r="T4" s="59">
        <f t="shared" si="6"/>
        <v>34841.396119999998</v>
      </c>
      <c r="U4" s="59">
        <f t="shared" si="6"/>
        <v>34405.94947</v>
      </c>
      <c r="V4" s="59">
        <f t="shared" si="6"/>
        <v>33997.503149999997</v>
      </c>
      <c r="W4" s="59">
        <f t="shared" si="6"/>
        <v>33613.40481</v>
      </c>
      <c r="X4" s="59">
        <f t="shared" si="6"/>
        <v>33248.46067</v>
      </c>
      <c r="Y4" s="59">
        <f t="shared" si="6"/>
        <v>32933.453130000002</v>
      </c>
      <c r="Z4" s="59">
        <f t="shared" si="6"/>
        <v>32651.707330000001</v>
      </c>
      <c r="AA4" s="59">
        <f t="shared" si="6"/>
        <v>32388.026689999999</v>
      </c>
      <c r="AB4" s="59">
        <f t="shared" si="6"/>
        <v>32138.093359999999</v>
      </c>
      <c r="AC4" s="59">
        <f t="shared" si="6"/>
        <v>31899.757699999998</v>
      </c>
      <c r="AD4" s="59">
        <f t="shared" si="6"/>
        <v>31668.10367</v>
      </c>
      <c r="AE4" s="59">
        <f t="shared" si="6"/>
        <v>31449.069009999999</v>
      </c>
      <c r="AF4" s="59">
        <f t="shared" si="6"/>
        <v>31238.63279</v>
      </c>
      <c r="AG4" s="59">
        <f t="shared" si="6"/>
        <v>31039.068429999999</v>
      </c>
      <c r="AH4" s="59">
        <f t="shared" si="6"/>
        <v>30779.438719999998</v>
      </c>
      <c r="AI4" s="59">
        <f t="shared" si="6"/>
        <v>30535.862679999998</v>
      </c>
      <c r="AJ4" s="59">
        <f t="shared" si="6"/>
        <v>30306.296780000001</v>
      </c>
      <c r="AK4" s="59">
        <f t="shared" si="6"/>
        <v>30085.792890000001</v>
      </c>
      <c r="AL4" s="59">
        <f t="shared" si="6"/>
        <v>29875.546050000001</v>
      </c>
      <c r="AM4" s="103">
        <f t="shared" si="6"/>
        <v>29636.235280000001</v>
      </c>
    </row>
    <row r="5" spans="1:39" x14ac:dyDescent="0.25">
      <c r="C5" s="175" t="s">
        <v>72</v>
      </c>
      <c r="D5" s="58" t="s">
        <v>422</v>
      </c>
      <c r="E5" s="154"/>
      <c r="F5" s="154"/>
      <c r="G5" s="154">
        <f t="shared" ref="G5:AM5" si="7">G4/1000</f>
        <v>36.708886159999999</v>
      </c>
      <c r="H5" s="154">
        <f t="shared" si="7"/>
        <v>37.113743849999999</v>
      </c>
      <c r="I5" s="154">
        <f t="shared" si="7"/>
        <v>37.436741139999995</v>
      </c>
      <c r="J5" s="154">
        <f t="shared" si="7"/>
        <v>37.586338340000005</v>
      </c>
      <c r="K5" s="154">
        <f t="shared" si="7"/>
        <v>37.630152600000002</v>
      </c>
      <c r="L5" s="154">
        <f t="shared" si="7"/>
        <v>37.667482739999997</v>
      </c>
      <c r="M5" s="154">
        <f t="shared" si="7"/>
        <v>37.572667979999999</v>
      </c>
      <c r="N5" s="154">
        <f t="shared" si="7"/>
        <v>37.378310380000002</v>
      </c>
      <c r="O5" s="154">
        <f t="shared" si="7"/>
        <v>37.070510370000001</v>
      </c>
      <c r="P5" s="154">
        <f t="shared" si="7"/>
        <v>36.694875290000006</v>
      </c>
      <c r="Q5" s="154">
        <f t="shared" si="7"/>
        <v>36.282501830000001</v>
      </c>
      <c r="R5" s="154">
        <f t="shared" si="7"/>
        <v>35.814683870000003</v>
      </c>
      <c r="S5" s="154">
        <f t="shared" si="7"/>
        <v>35.306181170000002</v>
      </c>
      <c r="T5" s="154">
        <f t="shared" si="7"/>
        <v>34.841396119999999</v>
      </c>
      <c r="U5" s="154">
        <f t="shared" si="7"/>
        <v>34.405949470000003</v>
      </c>
      <c r="V5" s="154">
        <f t="shared" si="7"/>
        <v>33.99750315</v>
      </c>
      <c r="W5" s="154">
        <f t="shared" si="7"/>
        <v>33.613404809999999</v>
      </c>
      <c r="X5" s="154">
        <f t="shared" si="7"/>
        <v>33.24846067</v>
      </c>
      <c r="Y5" s="154">
        <f t="shared" si="7"/>
        <v>32.933453130000004</v>
      </c>
      <c r="Z5" s="154">
        <f t="shared" si="7"/>
        <v>32.651707330000001</v>
      </c>
      <c r="AA5" s="154">
        <f t="shared" si="7"/>
        <v>32.388026689999997</v>
      </c>
      <c r="AB5" s="154">
        <f t="shared" si="7"/>
        <v>32.138093359999999</v>
      </c>
      <c r="AC5" s="154">
        <f t="shared" si="7"/>
        <v>31.899757699999999</v>
      </c>
      <c r="AD5" s="154">
        <f t="shared" si="7"/>
        <v>31.668103670000001</v>
      </c>
      <c r="AE5" s="154">
        <f t="shared" si="7"/>
        <v>31.449069009999999</v>
      </c>
      <c r="AF5" s="154">
        <f t="shared" si="7"/>
        <v>31.23863279</v>
      </c>
      <c r="AG5" s="154">
        <f t="shared" si="7"/>
        <v>31.03906843</v>
      </c>
      <c r="AH5" s="154">
        <f t="shared" si="7"/>
        <v>30.779438719999998</v>
      </c>
      <c r="AI5" s="154">
        <f t="shared" si="7"/>
        <v>30.535862679999997</v>
      </c>
      <c r="AJ5" s="154">
        <f t="shared" si="7"/>
        <v>30.30629678</v>
      </c>
      <c r="AK5" s="154">
        <f t="shared" si="7"/>
        <v>30.08579289</v>
      </c>
      <c r="AL5" s="154">
        <f t="shared" si="7"/>
        <v>29.875546050000001</v>
      </c>
      <c r="AM5" s="176">
        <f t="shared" si="7"/>
        <v>29.636235280000001</v>
      </c>
    </row>
    <row r="6" spans="1:39" x14ac:dyDescent="0.25">
      <c r="C6" s="157" t="s">
        <v>73</v>
      </c>
      <c r="D6" s="3" t="s">
        <v>423</v>
      </c>
      <c r="E6" s="155"/>
      <c r="F6" s="155"/>
      <c r="G6" s="155">
        <f>G91</f>
        <v>7.9251861587946362E-3</v>
      </c>
      <c r="H6" s="155">
        <f t="shared" ref="H6:AM6" si="8">H91</f>
        <v>1.0391973557256741E-2</v>
      </c>
      <c r="I6" s="155">
        <f t="shared" si="8"/>
        <v>1.3380026638184031E-2</v>
      </c>
      <c r="J6" s="155">
        <f t="shared" si="8"/>
        <v>1.6819703584352929E-2</v>
      </c>
      <c r="K6" s="155">
        <f t="shared" si="8"/>
        <v>2.1296965699788312E-2</v>
      </c>
      <c r="L6" s="155">
        <f t="shared" si="8"/>
        <v>2.7037612999779661E-2</v>
      </c>
      <c r="M6" s="155">
        <f t="shared" si="8"/>
        <v>3.3518297334391212E-2</v>
      </c>
      <c r="N6" s="155">
        <f t="shared" si="8"/>
        <v>4.0822948669623625E-2</v>
      </c>
      <c r="O6" s="155">
        <f t="shared" si="8"/>
        <v>4.9492953042394275E-2</v>
      </c>
      <c r="P6" s="155">
        <f t="shared" si="8"/>
        <v>6.0769823807186998E-2</v>
      </c>
      <c r="Q6" s="155">
        <f t="shared" si="8"/>
        <v>7.6202910288670142E-2</v>
      </c>
      <c r="R6" s="155">
        <f t="shared" si="8"/>
        <v>9.6056772341963997E-2</v>
      </c>
      <c r="S6" s="155">
        <f t="shared" si="8"/>
        <v>0.12037542883882504</v>
      </c>
      <c r="T6" s="155">
        <f t="shared" si="8"/>
        <v>0.14981185748190393</v>
      </c>
      <c r="U6" s="155">
        <f t="shared" si="8"/>
        <v>0.18307396273113227</v>
      </c>
      <c r="V6" s="155">
        <f t="shared" si="8"/>
        <v>0.21869361794588144</v>
      </c>
      <c r="W6" s="155">
        <f t="shared" si="8"/>
        <v>0.25529284791307638</v>
      </c>
      <c r="X6" s="155">
        <f t="shared" si="8"/>
        <v>0.29179619716211064</v>
      </c>
      <c r="Y6" s="155">
        <f t="shared" si="8"/>
        <v>0.32822521820990719</v>
      </c>
      <c r="Z6" s="155">
        <f t="shared" si="8"/>
        <v>0.36386530694779445</v>
      </c>
      <c r="AA6" s="155">
        <f t="shared" si="8"/>
        <v>0.39823893204282157</v>
      </c>
      <c r="AB6" s="155">
        <f t="shared" si="8"/>
        <v>0.4312038643601725</v>
      </c>
      <c r="AC6" s="155">
        <f t="shared" si="8"/>
        <v>0.46271868955293038</v>
      </c>
      <c r="AD6" s="155">
        <f t="shared" si="8"/>
        <v>0.49258866974019855</v>
      </c>
      <c r="AE6" s="155">
        <f t="shared" si="8"/>
        <v>0.52097593905848982</v>
      </c>
      <c r="AF6" s="155">
        <f t="shared" si="8"/>
        <v>0.54788328750030424</v>
      </c>
      <c r="AG6" s="155">
        <f t="shared" si="8"/>
        <v>0.57341216345261303</v>
      </c>
      <c r="AH6" s="155">
        <f t="shared" si="8"/>
        <v>0.59849121998544363</v>
      </c>
      <c r="AI6" s="155">
        <f t="shared" si="8"/>
        <v>0.62226841661969379</v>
      </c>
      <c r="AJ6" s="155">
        <f t="shared" si="8"/>
        <v>0.64477958398716639</v>
      </c>
      <c r="AK6" s="155">
        <f t="shared" si="8"/>
        <v>0.66603082535545566</v>
      </c>
      <c r="AL6" s="155">
        <f t="shared" si="8"/>
        <v>0.68610173336061908</v>
      </c>
      <c r="AM6" s="177">
        <f t="shared" si="8"/>
        <v>0.70466250293583177</v>
      </c>
    </row>
    <row r="7" spans="1:39" x14ac:dyDescent="0.25">
      <c r="C7" s="178" t="s">
        <v>75</v>
      </c>
      <c r="D7" s="7" t="s">
        <v>424</v>
      </c>
      <c r="E7" s="179"/>
      <c r="F7" s="179"/>
      <c r="G7" s="179">
        <f>G99</f>
        <v>0.9920748137458606</v>
      </c>
      <c r="H7" s="179">
        <f t="shared" ref="H7:AM7" si="9">H99</f>
        <v>0.98960802629993905</v>
      </c>
      <c r="I7" s="179">
        <f t="shared" si="9"/>
        <v>0.98661997346064945</v>
      </c>
      <c r="J7" s="179">
        <f t="shared" si="9"/>
        <v>0.98318029640766547</v>
      </c>
      <c r="K7" s="179">
        <f t="shared" si="9"/>
        <v>0.97870303427895222</v>
      </c>
      <c r="L7" s="179">
        <f t="shared" si="9"/>
        <v>0.9729623870267684</v>
      </c>
      <c r="M7" s="179">
        <f t="shared" si="9"/>
        <v>0.96648170258576349</v>
      </c>
      <c r="N7" s="179">
        <f t="shared" si="9"/>
        <v>0.95917705122336239</v>
      </c>
      <c r="O7" s="179">
        <f t="shared" si="9"/>
        <v>0.95050704693063004</v>
      </c>
      <c r="P7" s="179">
        <f t="shared" si="9"/>
        <v>0.93923017608380577</v>
      </c>
      <c r="Q7" s="179">
        <f t="shared" si="9"/>
        <v>0.92379708949083783</v>
      </c>
      <c r="R7" s="179">
        <f t="shared" si="9"/>
        <v>0.90394322779764358</v>
      </c>
      <c r="S7" s="179">
        <f t="shared" si="9"/>
        <v>0.8796245711328512</v>
      </c>
      <c r="T7" s="179">
        <f t="shared" si="9"/>
        <v>0.85018814251809616</v>
      </c>
      <c r="U7" s="179">
        <f t="shared" si="9"/>
        <v>0.81692603729793245</v>
      </c>
      <c r="V7" s="179">
        <f t="shared" si="9"/>
        <v>0.78130638190704904</v>
      </c>
      <c r="W7" s="179">
        <f t="shared" si="9"/>
        <v>0.74470715214642369</v>
      </c>
      <c r="X7" s="179">
        <f t="shared" si="9"/>
        <v>0.70820380298827235</v>
      </c>
      <c r="Y7" s="179">
        <f t="shared" si="9"/>
        <v>0.67177478179009287</v>
      </c>
      <c r="Z7" s="179">
        <f t="shared" si="9"/>
        <v>0.63613469305220549</v>
      </c>
      <c r="AA7" s="179">
        <f t="shared" si="9"/>
        <v>0.60176106795717854</v>
      </c>
      <c r="AB7" s="179">
        <f t="shared" si="9"/>
        <v>0.56879613563982756</v>
      </c>
      <c r="AC7" s="179">
        <f t="shared" si="9"/>
        <v>0.53728131044706962</v>
      </c>
      <c r="AD7" s="179">
        <f t="shared" si="9"/>
        <v>0.50741133025980145</v>
      </c>
      <c r="AE7" s="179">
        <f t="shared" si="9"/>
        <v>0.47902406094151023</v>
      </c>
      <c r="AF7" s="179">
        <f t="shared" si="9"/>
        <v>0.45211671249969582</v>
      </c>
      <c r="AG7" s="179">
        <f t="shared" si="9"/>
        <v>0.42658783654738702</v>
      </c>
      <c r="AH7" s="179">
        <f t="shared" si="9"/>
        <v>0.40150878001455642</v>
      </c>
      <c r="AI7" s="179">
        <f t="shared" si="9"/>
        <v>0.37773158305282239</v>
      </c>
      <c r="AJ7" s="179">
        <f t="shared" si="9"/>
        <v>0.35522041568286916</v>
      </c>
      <c r="AK7" s="179">
        <f t="shared" si="9"/>
        <v>0.33396917464454429</v>
      </c>
      <c r="AL7" s="179">
        <f t="shared" si="9"/>
        <v>0.31389826687368616</v>
      </c>
      <c r="AM7" s="180">
        <f t="shared" si="9"/>
        <v>0.29533749699668332</v>
      </c>
    </row>
    <row r="8" spans="1:39" s="3" customFormat="1" x14ac:dyDescent="0.25">
      <c r="C8" s="153" t="s">
        <v>70</v>
      </c>
      <c r="E8" s="231"/>
      <c r="F8" s="231"/>
      <c r="G8" s="231">
        <f>SUM(G6:G7)</f>
        <v>0.99999999990465527</v>
      </c>
      <c r="H8" s="231">
        <f t="shared" ref="H8:AM8" si="10">SUM(H6:H7)</f>
        <v>0.99999999985719579</v>
      </c>
      <c r="I8" s="231">
        <f t="shared" si="10"/>
        <v>1.0000000000988334</v>
      </c>
      <c r="J8" s="231">
        <f t="shared" si="10"/>
        <v>0.99999999999201838</v>
      </c>
      <c r="K8" s="231">
        <f t="shared" si="10"/>
        <v>0.99999999997874056</v>
      </c>
      <c r="L8" s="231">
        <f t="shared" si="10"/>
        <v>1.0000000000265481</v>
      </c>
      <c r="M8" s="231">
        <f t="shared" si="10"/>
        <v>0.99999999992015476</v>
      </c>
      <c r="N8" s="231">
        <f t="shared" si="10"/>
        <v>0.99999999989298605</v>
      </c>
      <c r="O8" s="231">
        <f t="shared" si="10"/>
        <v>0.99999999997302436</v>
      </c>
      <c r="P8" s="231">
        <f t="shared" si="10"/>
        <v>0.99999999989099275</v>
      </c>
      <c r="Q8" s="231">
        <f t="shared" si="10"/>
        <v>0.99999999977950793</v>
      </c>
      <c r="R8" s="231">
        <f t="shared" si="10"/>
        <v>1.0000000001396077</v>
      </c>
      <c r="S8" s="231">
        <f t="shared" si="10"/>
        <v>0.99999999997167621</v>
      </c>
      <c r="T8" s="231">
        <f t="shared" si="10"/>
        <v>1</v>
      </c>
      <c r="U8" s="231">
        <f t="shared" si="10"/>
        <v>1.0000000000290648</v>
      </c>
      <c r="V8" s="231">
        <f t="shared" si="10"/>
        <v>0.99999999985293053</v>
      </c>
      <c r="W8" s="231">
        <f t="shared" si="10"/>
        <v>1.0000000000595</v>
      </c>
      <c r="X8" s="231">
        <f t="shared" si="10"/>
        <v>1.000000000150383</v>
      </c>
      <c r="Y8" s="231">
        <f t="shared" si="10"/>
        <v>1</v>
      </c>
      <c r="Z8" s="231">
        <f t="shared" si="10"/>
        <v>1</v>
      </c>
      <c r="AA8" s="231">
        <f t="shared" si="10"/>
        <v>1</v>
      </c>
      <c r="AB8" s="231">
        <f t="shared" si="10"/>
        <v>1</v>
      </c>
      <c r="AC8" s="231">
        <f t="shared" si="10"/>
        <v>1</v>
      </c>
      <c r="AD8" s="231">
        <f t="shared" si="10"/>
        <v>1</v>
      </c>
      <c r="AE8" s="231">
        <f t="shared" si="10"/>
        <v>1</v>
      </c>
      <c r="AF8" s="231">
        <f t="shared" si="10"/>
        <v>1</v>
      </c>
      <c r="AG8" s="231">
        <f t="shared" si="10"/>
        <v>1</v>
      </c>
      <c r="AH8" s="231">
        <f t="shared" si="10"/>
        <v>1</v>
      </c>
      <c r="AI8" s="231">
        <f t="shared" si="10"/>
        <v>0.99999999967251618</v>
      </c>
      <c r="AJ8" s="231">
        <f t="shared" si="10"/>
        <v>0.9999999996700355</v>
      </c>
      <c r="AK8" s="231">
        <f t="shared" si="10"/>
        <v>1</v>
      </c>
      <c r="AL8" s="231">
        <f t="shared" si="10"/>
        <v>1.0000000002343052</v>
      </c>
      <c r="AM8" s="231">
        <f t="shared" si="10"/>
        <v>0.99999999993251509</v>
      </c>
    </row>
    <row r="9" spans="1:39" s="3" customFormat="1" x14ac:dyDescent="0.25"/>
    <row r="10" spans="1:39" s="3" customFormat="1" x14ac:dyDescent="0.25"/>
    <row r="11" spans="1:39" s="3" customFormat="1" x14ac:dyDescent="0.25"/>
    <row r="12" spans="1:39" x14ac:dyDescent="0.25">
      <c r="C12" s="156"/>
      <c r="E12" s="20"/>
      <c r="F12" s="20"/>
      <c r="G12" s="20"/>
      <c r="H12" s="20"/>
      <c r="I12" s="20">
        <v>2020</v>
      </c>
      <c r="J12" s="93">
        <v>2030</v>
      </c>
      <c r="K12" s="93">
        <v>2050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C13" s="157" t="s">
        <v>73</v>
      </c>
      <c r="D13" s="3"/>
      <c r="E13" s="181"/>
      <c r="F13" s="181"/>
      <c r="G13" s="181"/>
      <c r="H13" s="181"/>
      <c r="I13" s="181">
        <f>I91</f>
        <v>1.3380026638184031E-2</v>
      </c>
      <c r="J13" s="182">
        <f>S91</f>
        <v>0.12037542883882504</v>
      </c>
      <c r="K13" s="182">
        <f>AM91</f>
        <v>0.70466250293583177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C14" s="158" t="s">
        <v>59</v>
      </c>
      <c r="D14" s="3"/>
      <c r="E14" s="183"/>
      <c r="F14" s="183"/>
      <c r="G14" s="183"/>
      <c r="H14" s="183"/>
      <c r="I14" s="183">
        <f>I91</f>
        <v>1.3380026638184031E-2</v>
      </c>
      <c r="J14" s="183">
        <f>S91</f>
        <v>0.12037542883882504</v>
      </c>
      <c r="K14" s="183">
        <f>AM91</f>
        <v>0.70466250293583177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C15" s="157" t="s">
        <v>74</v>
      </c>
      <c r="D15" s="3"/>
      <c r="E15" s="181"/>
      <c r="F15" s="181"/>
      <c r="G15" s="181"/>
      <c r="H15" s="181"/>
      <c r="I15" s="181">
        <f>I99</f>
        <v>0.98661997346064945</v>
      </c>
      <c r="J15" s="181">
        <f>S99</f>
        <v>0.8796245711328512</v>
      </c>
      <c r="K15" s="182">
        <f>AM99</f>
        <v>0.29533749699668332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C16" s="158" t="s">
        <v>56</v>
      </c>
      <c r="D16" s="3"/>
      <c r="E16" s="184"/>
      <c r="F16" s="184"/>
      <c r="G16" s="184"/>
      <c r="H16" s="184"/>
      <c r="I16" s="184">
        <f>I100+I101</f>
        <v>0.13830456823251147</v>
      </c>
      <c r="J16" s="184">
        <f>S100+S101</f>
        <v>0.16104753816398093</v>
      </c>
      <c r="K16" s="184">
        <f>AM100+AM101</f>
        <v>5.5432351132960772E-2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C17" s="159" t="s">
        <v>57</v>
      </c>
      <c r="D17" s="3"/>
      <c r="E17" s="183"/>
      <c r="F17" s="183"/>
      <c r="G17" s="183"/>
      <c r="H17" s="183"/>
      <c r="I17" s="183">
        <f>I102+I103+I104</f>
        <v>0.72243526307108474</v>
      </c>
      <c r="J17" s="183">
        <f>S102+S103+S104</f>
        <v>0.63973751095437426</v>
      </c>
      <c r="K17" s="183">
        <f>AM102+AM103+AM104</f>
        <v>0.2143291202471517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C18" s="159" t="s">
        <v>58</v>
      </c>
      <c r="D18" s="3"/>
      <c r="E18" s="183"/>
      <c r="F18" s="183"/>
      <c r="G18" s="183"/>
      <c r="H18" s="183"/>
      <c r="I18" s="183">
        <f>I105+I106</f>
        <v>0.12588014195404404</v>
      </c>
      <c r="J18" s="183">
        <f>S105+S106</f>
        <v>7.8839522071143323E-2</v>
      </c>
      <c r="K18" s="183">
        <f>AM105+AM106</f>
        <v>2.5576025606448078E-2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C19" s="160" t="s">
        <v>70</v>
      </c>
      <c r="E19" s="185"/>
      <c r="F19" s="185"/>
      <c r="G19" s="185"/>
      <c r="H19" s="185"/>
      <c r="I19" s="185">
        <f>SUM(I16:I18)</f>
        <v>0.98661997325764028</v>
      </c>
      <c r="J19" s="185">
        <f>SUM(J16:J18)</f>
        <v>0.87962457118949855</v>
      </c>
      <c r="K19" s="185">
        <f>SUM(K16:K18)</f>
        <v>0.29533749698656053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s="3" customFormat="1" x14ac:dyDescent="0.25"/>
    <row r="21" spans="1:39" s="3" customFormat="1" x14ac:dyDescent="0.25"/>
    <row r="22" spans="1:39" s="3" customFormat="1" x14ac:dyDescent="0.25"/>
    <row r="23" spans="1:39" s="3" customFormat="1" ht="23.25" x14ac:dyDescent="0.35">
      <c r="B23" s="46"/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</row>
    <row r="24" spans="1:39" s="3" customFormat="1" ht="23.25" x14ac:dyDescent="0.35">
      <c r="A24" s="228" t="s">
        <v>76</v>
      </c>
      <c r="C24" s="228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</row>
    <row r="25" spans="1:39" x14ac:dyDescent="0.25">
      <c r="C25" s="11"/>
      <c r="D25" s="11"/>
      <c r="E25" s="93">
        <v>2006</v>
      </c>
      <c r="F25" s="93">
        <v>2015</v>
      </c>
      <c r="G25" s="93">
        <v>2018</v>
      </c>
      <c r="H25" s="93">
        <v>2019</v>
      </c>
      <c r="I25" s="93">
        <v>2020</v>
      </c>
      <c r="J25" s="20">
        <v>2021</v>
      </c>
      <c r="K25" s="4">
        <v>2022</v>
      </c>
      <c r="L25" s="4">
        <v>2023</v>
      </c>
      <c r="M25" s="4">
        <v>2024</v>
      </c>
      <c r="N25" s="92">
        <v>2025</v>
      </c>
      <c r="O25" s="20">
        <v>2026</v>
      </c>
      <c r="P25" s="4">
        <v>2027</v>
      </c>
      <c r="Q25" s="4">
        <v>2028</v>
      </c>
      <c r="R25" s="4">
        <v>2029</v>
      </c>
      <c r="S25" s="92">
        <v>2030</v>
      </c>
      <c r="T25" s="4">
        <v>2031</v>
      </c>
      <c r="U25" s="92">
        <v>2032</v>
      </c>
      <c r="V25" s="4">
        <v>2033</v>
      </c>
      <c r="W25" s="92">
        <v>2034</v>
      </c>
      <c r="X25" s="4">
        <v>2035</v>
      </c>
      <c r="Y25" s="92">
        <v>2036</v>
      </c>
      <c r="Z25" s="4">
        <v>2037</v>
      </c>
      <c r="AA25" s="92">
        <v>2038</v>
      </c>
      <c r="AB25" s="4">
        <v>2039</v>
      </c>
      <c r="AC25" s="93">
        <v>2040</v>
      </c>
      <c r="AD25" s="4">
        <v>2041</v>
      </c>
      <c r="AE25" s="93">
        <v>2042</v>
      </c>
      <c r="AF25" s="4">
        <v>2043</v>
      </c>
      <c r="AG25" s="93">
        <v>2044</v>
      </c>
      <c r="AH25" s="4">
        <v>2045</v>
      </c>
      <c r="AI25" s="93">
        <v>2046</v>
      </c>
      <c r="AJ25" s="4">
        <v>2047</v>
      </c>
      <c r="AK25" s="93">
        <v>2048</v>
      </c>
      <c r="AL25" s="4">
        <v>2049</v>
      </c>
      <c r="AM25" s="93">
        <v>2050</v>
      </c>
    </row>
    <row r="26" spans="1:39" x14ac:dyDescent="0.25">
      <c r="A26" s="152" t="str">
        <f>Résultats!B1</f>
        <v>SNBC3</v>
      </c>
      <c r="B26" s="60" t="s">
        <v>77</v>
      </c>
      <c r="C26" s="216" t="s">
        <v>51</v>
      </c>
      <c r="D26" s="50" t="s">
        <v>149</v>
      </c>
      <c r="E26" s="99">
        <f>VLOOKUP($D26,Résultats!$B$2:$AZ$251,E$2,FALSE)</f>
        <v>2373</v>
      </c>
      <c r="F26" s="99">
        <f>VLOOKUP($D26,Résultats!$B$2:$AZ$251,F$2,FALSE)</f>
        <v>1940.3869999999999</v>
      </c>
      <c r="G26" s="99">
        <f>VLOOKUP($D26,Résultats!$B$2:$AZ$251,G$2,FALSE)</f>
        <v>2203.7420000000002</v>
      </c>
      <c r="H26" s="99">
        <f>VLOOKUP($D26,Résultats!$B$2:$AZ$251,H$2,FALSE)</f>
        <v>2240.3020000000001</v>
      </c>
      <c r="I26" s="99">
        <f>VLOOKUP($D26,Résultats!$B$2:$AZ$251,I$2,FALSE)</f>
        <v>2178.6844850000002</v>
      </c>
      <c r="J26" s="51">
        <f>VLOOKUP($D26,Résultats!$B$2:$AZ$251,J$2,FALSE)</f>
        <v>2021.43426</v>
      </c>
      <c r="K26" s="51">
        <f>VLOOKUP($D26,Résultats!$B$2:$AZ$251,K$2,FALSE)</f>
        <v>2131.9441649999999</v>
      </c>
      <c r="L26" s="51">
        <f>VLOOKUP($D26,Résultats!$B$2:$AZ$251,L$2,FALSE)</f>
        <v>2250.8685310000001</v>
      </c>
      <c r="M26" s="51">
        <f>VLOOKUP($D26,Résultats!$B$2:$AZ$251,M$2,FALSE)</f>
        <v>2120.9195110000001</v>
      </c>
      <c r="N26" s="51">
        <f>VLOOKUP($D26,Résultats!$B$2:$AZ$251,N$2,FALSE)</f>
        <v>2015.7993429999999</v>
      </c>
      <c r="O26" s="51">
        <f>VLOOKUP($D26,Résultats!$B$2:$AZ$251,O$2,FALSE)</f>
        <v>1899.580524</v>
      </c>
      <c r="P26" s="51">
        <f>VLOOKUP($D26,Résultats!$B$2:$AZ$251,P$2,FALSE)</f>
        <v>1822.221264</v>
      </c>
      <c r="Q26" s="51">
        <f>VLOOKUP($D26,Résultats!$B$2:$AZ$251,Q$2,FALSE)</f>
        <v>1771.8453059999999</v>
      </c>
      <c r="R26" s="51">
        <f>VLOOKUP($D26,Résultats!$B$2:$AZ$251,R$2,FALSE)</f>
        <v>1700.4590499999999</v>
      </c>
      <c r="S26" s="51">
        <f>VLOOKUP($D26,Résultats!$B$2:$AZ$251,S$2,FALSE)</f>
        <v>1640.37833</v>
      </c>
      <c r="T26" s="51">
        <f>VLOOKUP($D26,Résultats!$B$2:$AZ$251,T$2,FALSE)</f>
        <v>1662.0933279999999</v>
      </c>
      <c r="U26" s="51">
        <f>VLOOKUP($D26,Résultats!$B$2:$AZ$251,U$2,FALSE)</f>
        <v>1671.8958620000001</v>
      </c>
      <c r="V26" s="51">
        <f>VLOOKUP($D26,Résultats!$B$2:$AZ$251,V$2,FALSE)</f>
        <v>1680.983808</v>
      </c>
      <c r="W26" s="51">
        <f>VLOOKUP($D26,Résultats!$B$2:$AZ$251,W$2,FALSE)</f>
        <v>1688.9201430000001</v>
      </c>
      <c r="X26" s="51">
        <f>VLOOKUP($D26,Résultats!$B$2:$AZ$251,X$2,FALSE)</f>
        <v>1693.0194240000001</v>
      </c>
      <c r="Y26" s="51">
        <f>VLOOKUP($D26,Résultats!$B$2:$AZ$251,Y$2,FALSE)</f>
        <v>1728.955201</v>
      </c>
      <c r="Z26" s="51">
        <f>VLOOKUP($D26,Résultats!$B$2:$AZ$251,Z$2,FALSE)</f>
        <v>1751.183413</v>
      </c>
      <c r="AA26" s="51">
        <f>VLOOKUP($D26,Résultats!$B$2:$AZ$251,AA$2,FALSE)</f>
        <v>1760.1855089999999</v>
      </c>
      <c r="AB26" s="51">
        <f>VLOOKUP($D26,Résultats!$B$2:$AZ$251,AB$2,FALSE)</f>
        <v>1765.9189530000001</v>
      </c>
      <c r="AC26" s="51">
        <f>VLOOKUP($D26,Résultats!$B$2:$AZ$251,AC$2,FALSE)</f>
        <v>1770.295179</v>
      </c>
      <c r="AD26" s="51">
        <f>VLOOKUP($D26,Résultats!$B$2:$AZ$251,AD$2,FALSE)</f>
        <v>1762.080827</v>
      </c>
      <c r="AE26" s="51">
        <f>VLOOKUP($D26,Résultats!$B$2:$AZ$251,AE$2,FALSE)</f>
        <v>1760.2218170000001</v>
      </c>
      <c r="AF26" s="51">
        <f>VLOOKUP($D26,Résultats!$B$2:$AZ$251,AF$2,FALSE)</f>
        <v>1755.130594</v>
      </c>
      <c r="AG26" s="51">
        <f>VLOOKUP($D26,Résultats!$B$2:$AZ$251,AG$2,FALSE)</f>
        <v>1752.8501920000001</v>
      </c>
      <c r="AH26" s="51">
        <f>VLOOKUP($D26,Résultats!$B$2:$AZ$251,AH$2,FALSE)</f>
        <v>1809.6415179999999</v>
      </c>
      <c r="AI26" s="51">
        <f>VLOOKUP($D26,Résultats!$B$2:$AZ$251,AI$2,FALSE)</f>
        <v>1808.38654</v>
      </c>
      <c r="AJ26" s="51">
        <f>VLOOKUP($D26,Résultats!$B$2:$AZ$251,AJ$2,FALSE)</f>
        <v>1806.158277</v>
      </c>
      <c r="AK26" s="51">
        <f>VLOOKUP($D26,Résultats!$B$2:$AZ$251,AK$2,FALSE)</f>
        <v>1799.915894</v>
      </c>
      <c r="AL26" s="51">
        <f>VLOOKUP($D26,Résultats!$B$2:$AZ$251,AL$2,FALSE)</f>
        <v>1795.4726929999999</v>
      </c>
      <c r="AM26" s="100">
        <f>VLOOKUP($D26,Résultats!$B$2:$AZ$251,AM$2,FALSE)</f>
        <v>1752.392298</v>
      </c>
    </row>
    <row r="27" spans="1:39" x14ac:dyDescent="0.25">
      <c r="C27" s="217" t="s">
        <v>462</v>
      </c>
      <c r="D27" s="52" t="s">
        <v>158</v>
      </c>
      <c r="E27" s="53">
        <f>VLOOKUP($D27,Résultats!$B$2:$AZ$251,E$2,FALSE)</f>
        <v>1.1865000000000001</v>
      </c>
      <c r="F27" s="53">
        <f>VLOOKUP($D27,Résultats!$B$2:$AZ$251,F$2,FALSE)</f>
        <v>34.285040219999999</v>
      </c>
      <c r="G27" s="53">
        <f>VLOOKUP($D27,Résultats!$B$2:$AZ$251,G$2,FALSE)</f>
        <v>84.229527279999999</v>
      </c>
      <c r="H27" s="53">
        <f>VLOOKUP($D27,Résultats!$B$2:$AZ$251,H$2,FALSE)</f>
        <v>109.30652600000001</v>
      </c>
      <c r="I27" s="53">
        <f>VLOOKUP($D27,Résultats!$B$2:$AZ$251,I$2,FALSE)</f>
        <v>134.5038012</v>
      </c>
      <c r="J27" s="53">
        <f>VLOOKUP($D27,Résultats!$B$2:$AZ$251,J$2,FALSE)</f>
        <v>156.33170580000001</v>
      </c>
      <c r="K27" s="53">
        <f>VLOOKUP($D27,Résultats!$B$2:$AZ$251,K$2,FALSE)</f>
        <v>204.3387256</v>
      </c>
      <c r="L27" s="53">
        <f>VLOOKUP($D27,Résultats!$B$2:$AZ$251,L$2,FALSE)</f>
        <v>264.17240249999998</v>
      </c>
      <c r="M27" s="53">
        <f>VLOOKUP($D27,Résultats!$B$2:$AZ$251,M$2,FALSE)</f>
        <v>300.84120239999999</v>
      </c>
      <c r="N27" s="53">
        <f>VLOOKUP($D27,Résultats!$B$2:$AZ$251,N$2,FALSE)</f>
        <v>340.60168609999999</v>
      </c>
      <c r="O27" s="53">
        <f>VLOOKUP($D27,Résultats!$B$2:$AZ$251,O$2,FALSE)</f>
        <v>398.94796539999999</v>
      </c>
      <c r="P27" s="53">
        <f>VLOOKUP($D27,Résultats!$B$2:$AZ$251,P$2,FALSE)</f>
        <v>503.99047819999998</v>
      </c>
      <c r="Q27" s="53">
        <f>VLOOKUP($D27,Résultats!$B$2:$AZ$251,Q$2,FALSE)</f>
        <v>667.6257157</v>
      </c>
      <c r="R27" s="53">
        <f>VLOOKUP($D27,Résultats!$B$2:$AZ$251,R$2,FALSE)</f>
        <v>840.63972049999995</v>
      </c>
      <c r="S27" s="53">
        <f>VLOOKUP($D27,Résultats!$B$2:$AZ$251,S$2,FALSE)</f>
        <v>1016.1683410000001</v>
      </c>
      <c r="T27" s="53">
        <f>VLOOKUP($D27,Résultats!$B$2:$AZ$251,T$2,FALSE)</f>
        <v>1225.681468</v>
      </c>
      <c r="U27" s="53">
        <f>VLOOKUP($D27,Résultats!$B$2:$AZ$251,U$2,FALSE)</f>
        <v>1394.8841359999999</v>
      </c>
      <c r="V27" s="53">
        <f>VLOOKUP($D27,Résultats!$B$2:$AZ$251,V$2,FALSE)</f>
        <v>1518.723708</v>
      </c>
      <c r="W27" s="53">
        <f>VLOOKUP($D27,Résultats!$B$2:$AZ$251,W$2,FALSE)</f>
        <v>1599.5807890000001</v>
      </c>
      <c r="X27" s="53">
        <f>VLOOKUP($D27,Résultats!$B$2:$AZ$251,X$2,FALSE)</f>
        <v>1645.895921</v>
      </c>
      <c r="Y27" s="53">
        <f>VLOOKUP($D27,Résultats!$B$2:$AZ$251,Y$2,FALSE)</f>
        <v>1704.236011</v>
      </c>
      <c r="Z27" s="53">
        <f>VLOOKUP($D27,Résultats!$B$2:$AZ$251,Z$2,FALSE)</f>
        <v>1738.4923060000001</v>
      </c>
      <c r="AA27" s="53">
        <f>VLOOKUP($D27,Résultats!$B$2:$AZ$251,AA$2,FALSE)</f>
        <v>1753.764322</v>
      </c>
      <c r="AB27" s="53">
        <f>VLOOKUP($D27,Résultats!$B$2:$AZ$251,AB$2,FALSE)</f>
        <v>1762.687754</v>
      </c>
      <c r="AC27" s="53">
        <f>VLOOKUP($D27,Résultats!$B$2:$AZ$251,AC$2,FALSE)</f>
        <v>1768.673407</v>
      </c>
      <c r="AD27" s="53">
        <f>VLOOKUP($D27,Résultats!$B$2:$AZ$251,AD$2,FALSE)</f>
        <v>1761.273359</v>
      </c>
      <c r="AE27" s="53">
        <f>VLOOKUP($D27,Résultats!$B$2:$AZ$251,AE$2,FALSE)</f>
        <v>1759.8185209999999</v>
      </c>
      <c r="AF27" s="53">
        <f>VLOOKUP($D27,Résultats!$B$2:$AZ$251,AF$2,FALSE)</f>
        <v>1754.9295810000001</v>
      </c>
      <c r="AG27" s="53">
        <f>VLOOKUP($D27,Résultats!$B$2:$AZ$251,AG$2,FALSE)</f>
        <v>1752.7498539999999</v>
      </c>
      <c r="AH27" s="53">
        <f>VLOOKUP($D27,Résultats!$B$2:$AZ$251,AH$2,FALSE)</f>
        <v>1809.5897440000001</v>
      </c>
      <c r="AI27" s="53">
        <f>VLOOKUP($D27,Résultats!$B$2:$AZ$251,AI$2,FALSE)</f>
        <v>1808.360682</v>
      </c>
      <c r="AJ27" s="53">
        <f>VLOOKUP($D27,Résultats!$B$2:$AZ$251,AJ$2,FALSE)</f>
        <v>1806.14537</v>
      </c>
      <c r="AK27" s="53">
        <f>VLOOKUP($D27,Résultats!$B$2:$AZ$251,AK$2,FALSE)</f>
        <v>1799.9094660000001</v>
      </c>
      <c r="AL27" s="53">
        <f>VLOOKUP($D27,Résultats!$B$2:$AZ$251,AL$2,FALSE)</f>
        <v>1795.469488</v>
      </c>
      <c r="AM27" s="213">
        <f>VLOOKUP($D27,Résultats!$B$2:$AZ$251,AM$2,FALSE)</f>
        <v>1752.3907349999999</v>
      </c>
    </row>
    <row r="28" spans="1:39" x14ac:dyDescent="0.25">
      <c r="C28" s="218" t="s">
        <v>27</v>
      </c>
      <c r="D28" s="54" t="s">
        <v>159</v>
      </c>
      <c r="E28" s="25">
        <f>VLOOKUP($D28,Résultats!$B$2:$AZ$251,E$2,FALSE)</f>
        <v>3.5336769799999999E-3</v>
      </c>
      <c r="F28" s="25">
        <f>VLOOKUP($D28,Résultats!$B$2:$AZ$251,F$2,FALSE)</f>
        <v>0.2839324849</v>
      </c>
      <c r="G28" s="25">
        <f>VLOOKUP($D28,Résultats!$B$2:$AZ$251,G$2,FALSE)</f>
        <v>0.28252991290000001</v>
      </c>
      <c r="H28" s="25">
        <f>VLOOKUP($D28,Résultats!$B$2:$AZ$251,H$2,FALSE)</f>
        <v>0.5696627259</v>
      </c>
      <c r="I28" s="25">
        <f>VLOOKUP($D28,Résultats!$B$2:$AZ$251,I$2,FALSE)</f>
        <v>1.0303910590000001</v>
      </c>
      <c r="J28" s="25">
        <f>VLOOKUP($D28,Résultats!$B$2:$AZ$251,J$2,FALSE)</f>
        <v>1.6570209810000001</v>
      </c>
      <c r="K28" s="25">
        <f>VLOOKUP($D28,Résultats!$B$2:$AZ$251,K$2,FALSE)</f>
        <v>4.4287620849999998</v>
      </c>
      <c r="L28" s="25">
        <f>VLOOKUP($D28,Résultats!$B$2:$AZ$251,L$2,FALSE)</f>
        <v>7.6240139960000004</v>
      </c>
      <c r="M28" s="25">
        <f>VLOOKUP($D28,Résultats!$B$2:$AZ$251,M$2,FALSE)</f>
        <v>9.5054054449999903</v>
      </c>
      <c r="N28" s="25">
        <f>VLOOKUP($D28,Résultats!$B$2:$AZ$251,N$2,FALSE)</f>
        <v>11.5722848</v>
      </c>
      <c r="O28" s="25">
        <f>VLOOKUP($D28,Résultats!$B$2:$AZ$251,O$2,FALSE)</f>
        <v>14.68454345</v>
      </c>
      <c r="P28" s="25">
        <f>VLOOKUP($D28,Résultats!$B$2:$AZ$251,P$2,FALSE)</f>
        <v>19.758522989999999</v>
      </c>
      <c r="Q28" s="25">
        <f>VLOOKUP($D28,Résultats!$B$2:$AZ$251,Q$2,FALSE)</f>
        <v>27.675563969999999</v>
      </c>
      <c r="R28" s="25">
        <f>VLOOKUP($D28,Résultats!$B$2:$AZ$251,R$2,FALSE)</f>
        <v>36.95138764</v>
      </c>
      <c r="S28" s="25">
        <f>VLOOKUP($D28,Résultats!$B$2:$AZ$251,S$2,FALSE)</f>
        <v>47.343421710000001</v>
      </c>
      <c r="T28" s="25">
        <f>VLOOKUP($D28,Résultats!$B$2:$AZ$251,T$2,FALSE)</f>
        <v>59.982338179999999</v>
      </c>
      <c r="U28" s="25">
        <f>VLOOKUP($D28,Résultats!$B$2:$AZ$251,U$2,FALSE)</f>
        <v>72.169121680000003</v>
      </c>
      <c r="V28" s="25">
        <f>VLOOKUP($D28,Résultats!$B$2:$AZ$251,V$2,FALSE)</f>
        <v>83.040081270000002</v>
      </c>
      <c r="W28" s="25">
        <f>VLOOKUP($D28,Résultats!$B$2:$AZ$251,W$2,FALSE)</f>
        <v>92.580525840000007</v>
      </c>
      <c r="X28" s="25">
        <f>VLOOKUP($D28,Résultats!$B$2:$AZ$251,X$2,FALSE)</f>
        <v>100.8361312</v>
      </c>
      <c r="Y28" s="25">
        <f>VLOOKUP($D28,Résultats!$B$2:$AZ$251,Y$2,FALSE)</f>
        <v>109.97367300000001</v>
      </c>
      <c r="Z28" s="25">
        <f>VLOOKUP($D28,Résultats!$B$2:$AZ$251,Z$2,FALSE)</f>
        <v>118.2276318</v>
      </c>
      <c r="AA28" s="25">
        <f>VLOOKUP($D28,Résultats!$B$2:$AZ$251,AA$2,FALSE)</f>
        <v>125.6444403</v>
      </c>
      <c r="AB28" s="25">
        <f>VLOOKUP($D28,Résultats!$B$2:$AZ$251,AB$2,FALSE)</f>
        <v>132.77935479999999</v>
      </c>
      <c r="AC28" s="25">
        <f>VLOOKUP($D28,Résultats!$B$2:$AZ$251,AC$2,FALSE)</f>
        <v>139.87734040000001</v>
      </c>
      <c r="AD28" s="25">
        <f>VLOOKUP($D28,Résultats!$B$2:$AZ$251,AD$2,FALSE)</f>
        <v>145.2152127</v>
      </c>
      <c r="AE28" s="25">
        <f>VLOOKUP($D28,Résultats!$B$2:$AZ$251,AE$2,FALSE)</f>
        <v>150.93197499999999</v>
      </c>
      <c r="AF28" s="25">
        <f>VLOOKUP($D28,Résultats!$B$2:$AZ$251,AF$2,FALSE)</f>
        <v>156.47753399999999</v>
      </c>
      <c r="AG28" s="25">
        <f>VLOOKUP($D28,Résultats!$B$2:$AZ$251,AG$2,FALSE)</f>
        <v>162.22424799999999</v>
      </c>
      <c r="AH28" s="25">
        <f>VLOOKUP($D28,Résultats!$B$2:$AZ$251,AH$2,FALSE)</f>
        <v>188.72577390000001</v>
      </c>
      <c r="AI28" s="25">
        <f>VLOOKUP($D28,Résultats!$B$2:$AZ$251,AI$2,FALSE)</f>
        <v>195.3418345</v>
      </c>
      <c r="AJ28" s="25">
        <f>VLOOKUP($D28,Résultats!$B$2:$AZ$251,AJ$2,FALSE)</f>
        <v>201.94645259999999</v>
      </c>
      <c r="AK28" s="25">
        <f>VLOOKUP($D28,Résultats!$B$2:$AZ$251,AK$2,FALSE)</f>
        <v>208.18874819999999</v>
      </c>
      <c r="AL28" s="25">
        <f>VLOOKUP($D28,Résultats!$B$2:$AZ$251,AL$2,FALSE)</f>
        <v>214.59219719999999</v>
      </c>
      <c r="AM28" s="102">
        <f>VLOOKUP($D28,Résultats!$B$2:$AZ$251,AM$2,FALSE)</f>
        <v>216.89987249999999</v>
      </c>
    </row>
    <row r="29" spans="1:39" x14ac:dyDescent="0.25">
      <c r="C29" s="218" t="s">
        <v>28</v>
      </c>
      <c r="D29" s="54" t="s">
        <v>160</v>
      </c>
      <c r="E29" s="25">
        <f>VLOOKUP($D29,Résultats!$B$2:$AZ$251,E$2,FALSE)</f>
        <v>8.10027491E-3</v>
      </c>
      <c r="F29" s="25">
        <f>VLOOKUP($D29,Résultats!$B$2:$AZ$251,F$2,FALSE)</f>
        <v>0.357926988</v>
      </c>
      <c r="G29" s="25">
        <f>VLOOKUP($D29,Résultats!$B$2:$AZ$251,G$2,FALSE)</f>
        <v>0.59685021599999999</v>
      </c>
      <c r="H29" s="25">
        <f>VLOOKUP($D29,Résultats!$B$2:$AZ$251,H$2,FALSE)</f>
        <v>0.9137944616</v>
      </c>
      <c r="I29" s="25">
        <f>VLOOKUP($D29,Résultats!$B$2:$AZ$251,I$2,FALSE)</f>
        <v>1.3479756490000001</v>
      </c>
      <c r="J29" s="25">
        <f>VLOOKUP($D29,Résultats!$B$2:$AZ$251,J$2,FALSE)</f>
        <v>1.87462989</v>
      </c>
      <c r="K29" s="25">
        <f>VLOOKUP($D29,Résultats!$B$2:$AZ$251,K$2,FALSE)</f>
        <v>3.9259428829999998</v>
      </c>
      <c r="L29" s="25">
        <f>VLOOKUP($D29,Résultats!$B$2:$AZ$251,L$2,FALSE)</f>
        <v>6.2670717969999998</v>
      </c>
      <c r="M29" s="25">
        <f>VLOOKUP($D29,Résultats!$B$2:$AZ$251,M$2,FALSE)</f>
        <v>7.6423098060000001</v>
      </c>
      <c r="N29" s="25">
        <f>VLOOKUP($D29,Résultats!$B$2:$AZ$251,N$2,FALSE)</f>
        <v>9.1441467359999997</v>
      </c>
      <c r="O29" s="25">
        <f>VLOOKUP($D29,Résultats!$B$2:$AZ$251,O$2,FALSE)</f>
        <v>11.387691609999999</v>
      </c>
      <c r="P29" s="25">
        <f>VLOOKUP($D29,Résultats!$B$2:$AZ$251,P$2,FALSE)</f>
        <v>15.100648550000001</v>
      </c>
      <c r="Q29" s="25">
        <f>VLOOKUP($D29,Résultats!$B$2:$AZ$251,Q$2,FALSE)</f>
        <v>20.88214528</v>
      </c>
      <c r="R29" s="25">
        <f>VLOOKUP($D29,Résultats!$B$2:$AZ$251,R$2,FALSE)</f>
        <v>27.509852080000002</v>
      </c>
      <c r="S29" s="25">
        <f>VLOOKUP($D29,Résultats!$B$2:$AZ$251,S$2,FALSE)</f>
        <v>34.780954110000003</v>
      </c>
      <c r="T29" s="25">
        <f>VLOOKUP($D29,Résultats!$B$2:$AZ$251,T$2,FALSE)</f>
        <v>43.57253953</v>
      </c>
      <c r="U29" s="25">
        <f>VLOOKUP($D29,Résultats!$B$2:$AZ$251,U$2,FALSE)</f>
        <v>51.757300280000003</v>
      </c>
      <c r="V29" s="25">
        <f>VLOOKUP($D29,Résultats!$B$2:$AZ$251,V$2,FALSE)</f>
        <v>58.793045229999997</v>
      </c>
      <c r="W29" s="25">
        <f>VLOOKUP($D29,Résultats!$B$2:$AZ$251,W$2,FALSE)</f>
        <v>64.674755599999997</v>
      </c>
      <c r="X29" s="25">
        <f>VLOOKUP($D29,Résultats!$B$2:$AZ$251,X$2,FALSE)</f>
        <v>69.487819889999997</v>
      </c>
      <c r="Y29" s="25">
        <f>VLOOKUP($D29,Résultats!$B$2:$AZ$251,Y$2,FALSE)</f>
        <v>74.828415770000007</v>
      </c>
      <c r="Z29" s="25">
        <f>VLOOKUP($D29,Résultats!$B$2:$AZ$251,Z$2,FALSE)</f>
        <v>79.395607580000004</v>
      </c>
      <c r="AA29" s="25">
        <f>VLOOKUP($D29,Résultats!$B$2:$AZ$251,AA$2,FALSE)</f>
        <v>83.255659370000004</v>
      </c>
      <c r="AB29" s="25">
        <f>VLOOKUP($D29,Résultats!$B$2:$AZ$251,AB$2,FALSE)</f>
        <v>86.826250130000005</v>
      </c>
      <c r="AC29" s="25">
        <f>VLOOKUP($D29,Résultats!$B$2:$AZ$251,AC$2,FALSE)</f>
        <v>90.264473820000006</v>
      </c>
      <c r="AD29" s="25">
        <f>VLOOKUP($D29,Résultats!$B$2:$AZ$251,AD$2,FALSE)</f>
        <v>92.622108049999994</v>
      </c>
      <c r="AE29" s="25">
        <f>VLOOKUP($D29,Résultats!$B$2:$AZ$251,AE$2,FALSE)</f>
        <v>95.180225800000002</v>
      </c>
      <c r="AF29" s="25">
        <f>VLOOKUP($D29,Résultats!$B$2:$AZ$251,AF$2,FALSE)</f>
        <v>97.545852359999998</v>
      </c>
      <c r="AG29" s="25">
        <f>VLOOKUP($D29,Résultats!$B$2:$AZ$251,AG$2,FALSE)</f>
        <v>99.981457309999996</v>
      </c>
      <c r="AH29" s="25">
        <f>VLOOKUP($D29,Résultats!$B$2:$AZ$251,AH$2,FALSE)</f>
        <v>111.8662621</v>
      </c>
      <c r="AI29" s="25">
        <f>VLOOKUP($D29,Résultats!$B$2:$AZ$251,AI$2,FALSE)</f>
        <v>114.3733819</v>
      </c>
      <c r="AJ29" s="25">
        <f>VLOOKUP($D29,Résultats!$B$2:$AZ$251,AJ$2,FALSE)</f>
        <v>116.77564630000001</v>
      </c>
      <c r="AK29" s="25">
        <f>VLOOKUP($D29,Résultats!$B$2:$AZ$251,AK$2,FALSE)</f>
        <v>118.86939820000001</v>
      </c>
      <c r="AL29" s="25">
        <f>VLOOKUP($D29,Résultats!$B$2:$AZ$251,AL$2,FALSE)</f>
        <v>120.9840439</v>
      </c>
      <c r="AM29" s="102">
        <f>VLOOKUP($D29,Résultats!$B$2:$AZ$251,AM$2,FALSE)</f>
        <v>120.5856337</v>
      </c>
    </row>
    <row r="30" spans="1:39" x14ac:dyDescent="0.25">
      <c r="C30" s="218" t="s">
        <v>29</v>
      </c>
      <c r="D30" s="54" t="s">
        <v>161</v>
      </c>
      <c r="E30" s="25">
        <f>VLOOKUP($D30,Résultats!$B$2:$AZ$251,E$2,FALSE)</f>
        <v>3.31621993E-2</v>
      </c>
      <c r="F30" s="25">
        <f>VLOOKUP($D30,Résultats!$B$2:$AZ$251,F$2,FALSE)</f>
        <v>1.007956144</v>
      </c>
      <c r="G30" s="25">
        <f>VLOOKUP($D30,Résultats!$B$2:$AZ$251,G$2,FALSE)</f>
        <v>2.3634387170000002</v>
      </c>
      <c r="H30" s="25">
        <f>VLOOKUP($D30,Résultats!$B$2:$AZ$251,H$2,FALSE)</f>
        <v>3.1253732250000001</v>
      </c>
      <c r="I30" s="25">
        <f>VLOOKUP($D30,Résultats!$B$2:$AZ$251,I$2,FALSE)</f>
        <v>3.9334613209999998</v>
      </c>
      <c r="J30" s="25">
        <f>VLOOKUP($D30,Résultats!$B$2:$AZ$251,J$2,FALSE)</f>
        <v>4.6841081789999999</v>
      </c>
      <c r="K30" s="25">
        <f>VLOOKUP($D30,Résultats!$B$2:$AZ$251,K$2,FALSE)</f>
        <v>6.6024038330000003</v>
      </c>
      <c r="L30" s="25">
        <f>VLOOKUP($D30,Résultats!$B$2:$AZ$251,L$2,FALSE)</f>
        <v>8.8570423649999999</v>
      </c>
      <c r="M30" s="25">
        <f>VLOOKUP($D30,Résultats!$B$2:$AZ$251,M$2,FALSE)</f>
        <v>10.206462309999999</v>
      </c>
      <c r="N30" s="25">
        <f>VLOOKUP($D30,Résultats!$B$2:$AZ$251,N$2,FALSE)</f>
        <v>11.663730210000001</v>
      </c>
      <c r="O30" s="25">
        <f>VLOOKUP($D30,Résultats!$B$2:$AZ$251,O$2,FALSE)</f>
        <v>13.79878789</v>
      </c>
      <c r="P30" s="25">
        <f>VLOOKUP($D30,Résultats!$B$2:$AZ$251,P$2,FALSE)</f>
        <v>17.563430069999999</v>
      </c>
      <c r="Q30" s="25">
        <f>VLOOKUP($D30,Résultats!$B$2:$AZ$251,Q$2,FALSE)</f>
        <v>23.412814999999998</v>
      </c>
      <c r="R30" s="25">
        <f>VLOOKUP($D30,Résultats!$B$2:$AZ$251,R$2,FALSE)</f>
        <v>29.66227138</v>
      </c>
      <c r="S30" s="25">
        <f>VLOOKUP($D30,Résultats!$B$2:$AZ$251,S$2,FALSE)</f>
        <v>36.05495226</v>
      </c>
      <c r="T30" s="25">
        <f>VLOOKUP($D30,Résultats!$B$2:$AZ$251,T$2,FALSE)</f>
        <v>43.668965499999999</v>
      </c>
      <c r="U30" s="25">
        <f>VLOOKUP($D30,Résultats!$B$2:$AZ$251,U$2,FALSE)</f>
        <v>49.894714520000001</v>
      </c>
      <c r="V30" s="25">
        <f>VLOOKUP($D30,Résultats!$B$2:$AZ$251,V$2,FALSE)</f>
        <v>54.489954820000001</v>
      </c>
      <c r="W30" s="25">
        <f>VLOOKUP($D30,Résultats!$B$2:$AZ$251,W$2,FALSE)</f>
        <v>57.507724119999999</v>
      </c>
      <c r="X30" s="25">
        <f>VLOOKUP($D30,Résultats!$B$2:$AZ$251,X$2,FALSE)</f>
        <v>59.215157990000002</v>
      </c>
      <c r="Y30" s="25">
        <f>VLOOKUP($D30,Résultats!$B$2:$AZ$251,Y$2,FALSE)</f>
        <v>61.271693110000001</v>
      </c>
      <c r="Z30" s="25">
        <f>VLOOKUP($D30,Résultats!$B$2:$AZ$251,Z$2,FALSE)</f>
        <v>62.36509779</v>
      </c>
      <c r="AA30" s="25">
        <f>VLOOKUP($D30,Résultats!$B$2:$AZ$251,AA$2,FALSE)</f>
        <v>62.665764940000003</v>
      </c>
      <c r="AB30" s="25">
        <f>VLOOKUP($D30,Résultats!$B$2:$AZ$251,AB$2,FALSE)</f>
        <v>62.628200900000003</v>
      </c>
      <c r="AC30" s="25">
        <f>VLOOKUP($D30,Résultats!$B$2:$AZ$251,AC$2,FALSE)</f>
        <v>62.369038629999999</v>
      </c>
      <c r="AD30" s="25">
        <f>VLOOKUP($D30,Résultats!$B$2:$AZ$251,AD$2,FALSE)</f>
        <v>61.597941059999997</v>
      </c>
      <c r="AE30" s="25">
        <f>VLOOKUP($D30,Résultats!$B$2:$AZ$251,AE$2,FALSE)</f>
        <v>60.962951320000002</v>
      </c>
      <c r="AF30" s="25">
        <f>VLOOKUP($D30,Résultats!$B$2:$AZ$251,AF$2,FALSE)</f>
        <v>60.114597750000001</v>
      </c>
      <c r="AG30" s="25">
        <f>VLOOKUP($D30,Résultats!$B$2:$AZ$251,AG$2,FALSE)</f>
        <v>59.28268602</v>
      </c>
      <c r="AH30" s="25">
        <f>VLOOKUP($D30,Résultats!$B$2:$AZ$251,AH$2,FALSE)</f>
        <v>57.878264379999997</v>
      </c>
      <c r="AI30" s="25">
        <f>VLOOKUP($D30,Résultats!$B$2:$AZ$251,AI$2,FALSE)</f>
        <v>56.590213200000001</v>
      </c>
      <c r="AJ30" s="25">
        <f>VLOOKUP($D30,Résultats!$B$2:$AZ$251,AJ$2,FALSE)</f>
        <v>55.163298990000001</v>
      </c>
      <c r="AK30" s="25">
        <f>VLOOKUP($D30,Résultats!$B$2:$AZ$251,AK$2,FALSE)</f>
        <v>53.505889230000001</v>
      </c>
      <c r="AL30" s="25">
        <f>VLOOKUP($D30,Résultats!$B$2:$AZ$251,AL$2,FALSE)</f>
        <v>51.82371448</v>
      </c>
      <c r="AM30" s="102">
        <f>VLOOKUP($D30,Résultats!$B$2:$AZ$251,AM$2,FALSE)</f>
        <v>48.812822490000002</v>
      </c>
    </row>
    <row r="31" spans="1:39" x14ac:dyDescent="0.25">
      <c r="C31" s="218" t="s">
        <v>30</v>
      </c>
      <c r="D31" s="54" t="s">
        <v>162</v>
      </c>
      <c r="E31" s="25">
        <f>VLOOKUP($D31,Résultats!$B$2:$AZ$251,E$2,FALSE)</f>
        <v>0.77903986250000001</v>
      </c>
      <c r="F31" s="25">
        <f>VLOOKUP($D31,Résultats!$B$2:$AZ$251,F$2,FALSE)</f>
        <v>22.47623785</v>
      </c>
      <c r="G31" s="25">
        <f>VLOOKUP($D31,Résultats!$B$2:$AZ$251,G$2,FALSE)</f>
        <v>55.304045770000002</v>
      </c>
      <c r="H31" s="25">
        <f>VLOOKUP($D31,Résultats!$B$2:$AZ$251,H$2,FALSE)</f>
        <v>71.768582319999894</v>
      </c>
      <c r="I31" s="25">
        <f>VLOOKUP($D31,Résultats!$B$2:$AZ$251,I$2,FALSE)</f>
        <v>88.219307069999999</v>
      </c>
      <c r="J31" s="25">
        <f>VLOOKUP($D31,Résultats!$B$2:$AZ$251,J$2,FALSE)</f>
        <v>102.3001194</v>
      </c>
      <c r="K31" s="25">
        <f>VLOOKUP($D31,Résultats!$B$2:$AZ$251,K$2,FALSE)</f>
        <v>132.52390750000001</v>
      </c>
      <c r="L31" s="25">
        <f>VLOOKUP($D31,Résultats!$B$2:$AZ$251,L$2,FALSE)</f>
        <v>170.3014589</v>
      </c>
      <c r="M31" s="25">
        <f>VLOOKUP($D31,Résultats!$B$2:$AZ$251,M$2,FALSE)</f>
        <v>193.48900459999999</v>
      </c>
      <c r="N31" s="25">
        <f>VLOOKUP($D31,Résultats!$B$2:$AZ$251,N$2,FALSE)</f>
        <v>218.61414830000001</v>
      </c>
      <c r="O31" s="25">
        <f>VLOOKUP($D31,Résultats!$B$2:$AZ$251,O$2,FALSE)</f>
        <v>255.4365766</v>
      </c>
      <c r="P31" s="25">
        <f>VLOOKUP($D31,Résultats!$B$2:$AZ$251,P$2,FALSE)</f>
        <v>322.01904630000001</v>
      </c>
      <c r="Q31" s="25">
        <f>VLOOKUP($D31,Résultats!$B$2:$AZ$251,Q$2,FALSE)</f>
        <v>425.73034769999998</v>
      </c>
      <c r="R31" s="25">
        <f>VLOOKUP($D31,Résultats!$B$2:$AZ$251,R$2,FALSE)</f>
        <v>534.87372500000004</v>
      </c>
      <c r="S31" s="25">
        <f>VLOOKUP($D31,Résultats!$B$2:$AZ$251,S$2,FALSE)</f>
        <v>645.0447504</v>
      </c>
      <c r="T31" s="25">
        <f>VLOOKUP($D31,Résultats!$B$2:$AZ$251,T$2,FALSE)</f>
        <v>776.40738180000005</v>
      </c>
      <c r="U31" s="25">
        <f>VLOOKUP($D31,Résultats!$B$2:$AZ$251,U$2,FALSE)</f>
        <v>881.36493259999997</v>
      </c>
      <c r="V31" s="25">
        <f>VLOOKUP($D31,Résultats!$B$2:$AZ$251,V$2,FALSE)</f>
        <v>957.06348360000004</v>
      </c>
      <c r="W31" s="25">
        <f>VLOOKUP($D31,Résultats!$B$2:$AZ$251,W$2,FALSE)</f>
        <v>1005.08314</v>
      </c>
      <c r="X31" s="25">
        <f>VLOOKUP($D31,Résultats!$B$2:$AZ$251,X$2,FALSE)</f>
        <v>1030.979253</v>
      </c>
      <c r="Y31" s="25">
        <f>VLOOKUP($D31,Résultats!$B$2:$AZ$251,Y$2,FALSE)</f>
        <v>1064.315838</v>
      </c>
      <c r="Z31" s="25">
        <f>VLOOKUP($D31,Résultats!$B$2:$AZ$251,Z$2,FALSE)</f>
        <v>1082.2177429999999</v>
      </c>
      <c r="AA31" s="25">
        <f>VLOOKUP($D31,Résultats!$B$2:$AZ$251,AA$2,FALSE)</f>
        <v>1088.033203</v>
      </c>
      <c r="AB31" s="25">
        <f>VLOOKUP($D31,Résultats!$B$2:$AZ$251,AB$2,FALSE)</f>
        <v>1089.80519</v>
      </c>
      <c r="AC31" s="25">
        <f>VLOOKUP($D31,Résultats!$B$2:$AZ$251,AC$2,FALSE)</f>
        <v>1089.651145</v>
      </c>
      <c r="AD31" s="25">
        <f>VLOOKUP($D31,Résultats!$B$2:$AZ$251,AD$2,FALSE)</f>
        <v>1081.6563679999999</v>
      </c>
      <c r="AE31" s="25">
        <f>VLOOKUP($D31,Résultats!$B$2:$AZ$251,AE$2,FALSE)</f>
        <v>1077.377915</v>
      </c>
      <c r="AF31" s="25">
        <f>VLOOKUP($D31,Résultats!$B$2:$AZ$251,AF$2,FALSE)</f>
        <v>1070.9274949999999</v>
      </c>
      <c r="AG31" s="25">
        <f>VLOOKUP($D31,Résultats!$B$2:$AZ$251,AG$2,FALSE)</f>
        <v>1066.1569790000001</v>
      </c>
      <c r="AH31" s="25">
        <f>VLOOKUP($D31,Résultats!$B$2:$AZ$251,AH$2,FALSE)</f>
        <v>1088.4737259999999</v>
      </c>
      <c r="AI31" s="25">
        <f>VLOOKUP($D31,Résultats!$B$2:$AZ$251,AI$2,FALSE)</f>
        <v>1083.8613829999999</v>
      </c>
      <c r="AJ31" s="25">
        <f>VLOOKUP($D31,Résultats!$B$2:$AZ$251,AJ$2,FALSE)</f>
        <v>1078.6150050000001</v>
      </c>
      <c r="AK31" s="25">
        <f>VLOOKUP($D31,Résultats!$B$2:$AZ$251,AK$2,FALSE)</f>
        <v>1070.9309960000001</v>
      </c>
      <c r="AL31" s="25">
        <f>VLOOKUP($D31,Résultats!$B$2:$AZ$251,AL$2,FALSE)</f>
        <v>1064.3568319999999</v>
      </c>
      <c r="AM31" s="102">
        <f>VLOOKUP($D31,Résultats!$B$2:$AZ$251,AM$2,FALSE)</f>
        <v>1034.5987110000001</v>
      </c>
    </row>
    <row r="32" spans="1:39" x14ac:dyDescent="0.25">
      <c r="C32" s="218" t="s">
        <v>31</v>
      </c>
      <c r="D32" s="54" t="s">
        <v>163</v>
      </c>
      <c r="E32" s="25">
        <f>VLOOKUP($D32,Résultats!$B$2:$AZ$251,E$2,FALSE)</f>
        <v>0.30704934709999998</v>
      </c>
      <c r="F32" s="25">
        <f>VLOOKUP($D32,Résultats!$B$2:$AZ$251,F$2,FALSE)</f>
        <v>8.7602234469999996</v>
      </c>
      <c r="G32" s="25">
        <f>VLOOKUP($D32,Résultats!$B$2:$AZ$251,G$2,FALSE)</f>
        <v>21.780326880000001</v>
      </c>
      <c r="H32" s="25">
        <f>VLOOKUP($D32,Résultats!$B$2:$AZ$251,H$2,FALSE)</f>
        <v>28.15474978</v>
      </c>
      <c r="I32" s="25">
        <f>VLOOKUP($D32,Résultats!$B$2:$AZ$251,I$2,FALSE)</f>
        <v>34.429487780000002</v>
      </c>
      <c r="J32" s="25">
        <f>VLOOKUP($D32,Résultats!$B$2:$AZ$251,J$2,FALSE)</f>
        <v>39.674019129999998</v>
      </c>
      <c r="K32" s="25">
        <f>VLOOKUP($D32,Résultats!$B$2:$AZ$251,K$2,FALSE)</f>
        <v>50.156426310000001</v>
      </c>
      <c r="L32" s="25">
        <f>VLOOKUP($D32,Résultats!$B$2:$AZ$251,L$2,FALSE)</f>
        <v>63.411427019999998</v>
      </c>
      <c r="M32" s="25">
        <f>VLOOKUP($D32,Résultats!$B$2:$AZ$251,M$2,FALSE)</f>
        <v>71.593546349999997</v>
      </c>
      <c r="N32" s="25">
        <f>VLOOKUP($D32,Résultats!$B$2:$AZ$251,N$2,FALSE)</f>
        <v>80.446390249999894</v>
      </c>
      <c r="O32" s="25">
        <f>VLOOKUP($D32,Résultats!$B$2:$AZ$251,O$2,FALSE)</f>
        <v>93.379990480000004</v>
      </c>
      <c r="P32" s="25">
        <f>VLOOKUP($D32,Résultats!$B$2:$AZ$251,P$2,FALSE)</f>
        <v>117.0642608</v>
      </c>
      <c r="Q32" s="25">
        <f>VLOOKUP($D32,Résultats!$B$2:$AZ$251,Q$2,FALSE)</f>
        <v>153.953789</v>
      </c>
      <c r="R32" s="25">
        <f>VLOOKUP($D32,Résultats!$B$2:$AZ$251,R$2,FALSE)</f>
        <v>192.28963769999999</v>
      </c>
      <c r="S32" s="25">
        <f>VLOOKUP($D32,Résultats!$B$2:$AZ$251,S$2,FALSE)</f>
        <v>230.46413860000001</v>
      </c>
      <c r="T32" s="25">
        <f>VLOOKUP($D32,Résultats!$B$2:$AZ$251,T$2,FALSE)</f>
        <v>275.86758500000002</v>
      </c>
      <c r="U32" s="25">
        <f>VLOOKUP($D32,Résultats!$B$2:$AZ$251,U$2,FALSE)</f>
        <v>311.09904160000002</v>
      </c>
      <c r="V32" s="25">
        <f>VLOOKUP($D32,Résultats!$B$2:$AZ$251,V$2,FALSE)</f>
        <v>335.48519670000002</v>
      </c>
      <c r="W32" s="25">
        <f>VLOOKUP($D32,Résultats!$B$2:$AZ$251,W$2,FALSE)</f>
        <v>349.67114529999998</v>
      </c>
      <c r="X32" s="25">
        <f>VLOOKUP($D32,Résultats!$B$2:$AZ$251,X$2,FALSE)</f>
        <v>355.83574720000001</v>
      </c>
      <c r="Y32" s="25">
        <f>VLOOKUP($D32,Résultats!$B$2:$AZ$251,Y$2,FALSE)</f>
        <v>364.54329589999998</v>
      </c>
      <c r="Z32" s="25">
        <f>VLOOKUP($D32,Résultats!$B$2:$AZ$251,Z$2,FALSE)</f>
        <v>367.68340119999999</v>
      </c>
      <c r="AA32" s="25">
        <f>VLOOKUP($D32,Résultats!$B$2:$AZ$251,AA$2,FALSE)</f>
        <v>366.5591867</v>
      </c>
      <c r="AB32" s="25">
        <f>VLOOKUP($D32,Résultats!$B$2:$AZ$251,AB$2,FALSE)</f>
        <v>364.06263080000002</v>
      </c>
      <c r="AC32" s="25">
        <f>VLOOKUP($D32,Résultats!$B$2:$AZ$251,AC$2,FALSE)</f>
        <v>360.91525719999999</v>
      </c>
      <c r="AD32" s="25">
        <f>VLOOKUP($D32,Résultats!$B$2:$AZ$251,AD$2,FALSE)</f>
        <v>355.57017589999998</v>
      </c>
      <c r="AE32" s="25">
        <f>VLOOKUP($D32,Résultats!$B$2:$AZ$251,AE$2,FALSE)</f>
        <v>351.56571989999998</v>
      </c>
      <c r="AF32" s="25">
        <f>VLOOKUP($D32,Résultats!$B$2:$AZ$251,AF$2,FALSE)</f>
        <v>346.86931559999999</v>
      </c>
      <c r="AG32" s="25">
        <f>VLOOKUP($D32,Résultats!$B$2:$AZ$251,AG$2,FALSE)</f>
        <v>342.80864609999998</v>
      </c>
      <c r="AH32" s="25">
        <f>VLOOKUP($D32,Résultats!$B$2:$AZ$251,AH$2,FALSE)</f>
        <v>341.56988230000002</v>
      </c>
      <c r="AI32" s="25">
        <f>VLOOKUP($D32,Résultats!$B$2:$AZ$251,AI$2,FALSE)</f>
        <v>337.62259829999999</v>
      </c>
      <c r="AJ32" s="25">
        <f>VLOOKUP($D32,Résultats!$B$2:$AZ$251,AJ$2,FALSE)</f>
        <v>333.54332749999998</v>
      </c>
      <c r="AK32" s="25">
        <f>VLOOKUP($D32,Résultats!$B$2:$AZ$251,AK$2,FALSE)</f>
        <v>328.78328160000001</v>
      </c>
      <c r="AL32" s="25">
        <f>VLOOKUP($D32,Résultats!$B$2:$AZ$251,AL$2,FALSE)</f>
        <v>324.48480039999998</v>
      </c>
      <c r="AM32" s="102">
        <f>VLOOKUP($D32,Résultats!$B$2:$AZ$251,AM$2,FALSE)</f>
        <v>313.0639223</v>
      </c>
    </row>
    <row r="33" spans="2:39" x14ac:dyDescent="0.25">
      <c r="C33" s="218" t="s">
        <v>32</v>
      </c>
      <c r="D33" s="54" t="s">
        <v>164</v>
      </c>
      <c r="E33" s="25">
        <f>VLOOKUP($D33,Résultats!$B$2:$AZ$251,E$2,FALSE)</f>
        <v>4.1860481099999999E-3</v>
      </c>
      <c r="F33" s="25">
        <f>VLOOKUP($D33,Résultats!$B$2:$AZ$251,F$2,FALSE)</f>
        <v>3.4234885700000002E-2</v>
      </c>
      <c r="G33" s="25">
        <f>VLOOKUP($D33,Résultats!$B$2:$AZ$251,G$2,FALSE)</f>
        <v>0.27299596840000001</v>
      </c>
      <c r="H33" s="25">
        <f>VLOOKUP($D33,Résultats!$B$2:$AZ$251,H$2,FALSE)</f>
        <v>0.20043122299999999</v>
      </c>
      <c r="I33" s="25">
        <f>VLOOKUP($D33,Résultats!$B$2:$AZ$251,I$2,FALSE)</f>
        <v>0.1343691041</v>
      </c>
      <c r="J33" s="25">
        <f>VLOOKUP($D33,Résultats!$B$2:$AZ$251,J$2,FALSE)</f>
        <v>0.15583636009999999</v>
      </c>
      <c r="K33" s="25">
        <f>VLOOKUP($D33,Résultats!$B$2:$AZ$251,K$2,FALSE)</f>
        <v>0.20210521719999999</v>
      </c>
      <c r="L33" s="25">
        <f>VLOOKUP($D33,Résultats!$B$2:$AZ$251,L$2,FALSE)</f>
        <v>0.26004898360000001</v>
      </c>
      <c r="M33" s="25">
        <f>VLOOKUP($D33,Résultats!$B$2:$AZ$251,M$2,FALSE)</f>
        <v>0.29563268920000002</v>
      </c>
      <c r="N33" s="25">
        <f>VLOOKUP($D33,Résultats!$B$2:$AZ$251,N$2,FALSE)</f>
        <v>0.33421178820000003</v>
      </c>
      <c r="O33" s="25">
        <f>VLOOKUP($D33,Résultats!$B$2:$AZ$251,O$2,FALSE)</f>
        <v>0.39079334100000002</v>
      </c>
      <c r="P33" s="25">
        <f>VLOOKUP($D33,Résultats!$B$2:$AZ$251,P$2,FALSE)</f>
        <v>0.49299098920000001</v>
      </c>
      <c r="Q33" s="25">
        <f>VLOOKUP($D33,Résultats!$B$2:$AZ$251,Q$2,FALSE)</f>
        <v>0.65220755109999995</v>
      </c>
      <c r="R33" s="25">
        <f>VLOOKUP($D33,Résultats!$B$2:$AZ$251,R$2,FALSE)</f>
        <v>0.82006838940000004</v>
      </c>
      <c r="S33" s="25">
        <f>VLOOKUP($D33,Résultats!$B$2:$AZ$251,S$2,FALSE)</f>
        <v>0.98986942450000004</v>
      </c>
      <c r="T33" s="25">
        <f>VLOOKUP($D33,Résultats!$B$2:$AZ$251,T$2,FALSE)</f>
        <v>1.192462594</v>
      </c>
      <c r="U33" s="25">
        <f>VLOOKUP($D33,Résultats!$B$2:$AZ$251,U$2,FALSE)</f>
        <v>1.3551056239999999</v>
      </c>
      <c r="V33" s="25">
        <f>VLOOKUP($D33,Résultats!$B$2:$AZ$251,V$2,FALSE)</f>
        <v>1.47323333</v>
      </c>
      <c r="W33" s="25">
        <f>VLOOKUP($D33,Résultats!$B$2:$AZ$251,W$2,FALSE)</f>
        <v>1.5492597269999999</v>
      </c>
      <c r="X33" s="25">
        <f>VLOOKUP($D33,Résultats!$B$2:$AZ$251,X$2,FALSE)</f>
        <v>1.5916011269999999</v>
      </c>
      <c r="Y33" s="25">
        <f>VLOOKUP($D33,Résultats!$B$2:$AZ$251,Y$2,FALSE)</f>
        <v>1.6456114019999999</v>
      </c>
      <c r="Z33" s="25">
        <f>VLOOKUP($D33,Résultats!$B$2:$AZ$251,Z$2,FALSE)</f>
        <v>1.676191794</v>
      </c>
      <c r="AA33" s="25">
        <f>VLOOKUP($D33,Résultats!$B$2:$AZ$251,AA$2,FALSE)</f>
        <v>1.6884070849999999</v>
      </c>
      <c r="AB33" s="25">
        <f>VLOOKUP($D33,Résultats!$B$2:$AZ$251,AB$2,FALSE)</f>
        <v>1.694572344</v>
      </c>
      <c r="AC33" s="25">
        <f>VLOOKUP($D33,Résultats!$B$2:$AZ$251,AC$2,FALSE)</f>
        <v>1.697976693</v>
      </c>
      <c r="AD33" s="25">
        <f>VLOOKUP($D33,Résultats!$B$2:$AZ$251,AD$2,FALSE)</f>
        <v>1.688888307</v>
      </c>
      <c r="AE33" s="25">
        <f>VLOOKUP($D33,Résultats!$B$2:$AZ$251,AE$2,FALSE)</f>
        <v>1.685636989</v>
      </c>
      <c r="AF33" s="25">
        <f>VLOOKUP($D33,Résultats!$B$2:$AZ$251,AF$2,FALSE)</f>
        <v>1.6791559170000001</v>
      </c>
      <c r="AG33" s="25">
        <f>VLOOKUP($D33,Résultats!$B$2:$AZ$251,AG$2,FALSE)</f>
        <v>1.6753757579999999</v>
      </c>
      <c r="AH33" s="25">
        <f>VLOOKUP($D33,Résultats!$B$2:$AZ$251,AH$2,FALSE)</f>
        <v>1.7243706759999999</v>
      </c>
      <c r="AI33" s="25">
        <f>VLOOKUP($D33,Résultats!$B$2:$AZ$251,AI$2,FALSE)</f>
        <v>1.7217240439999999</v>
      </c>
      <c r="AJ33" s="25">
        <f>VLOOKUP($D33,Résultats!$B$2:$AZ$251,AJ$2,FALSE)</f>
        <v>1.718217358</v>
      </c>
      <c r="AK33" s="25">
        <f>VLOOKUP($D33,Résultats!$B$2:$AZ$251,AK$2,FALSE)</f>
        <v>1.7109658480000001</v>
      </c>
      <c r="AL33" s="25">
        <f>VLOOKUP($D33,Résultats!$B$2:$AZ$251,AL$2,FALSE)</f>
        <v>1.705523661</v>
      </c>
      <c r="AM33" s="102">
        <f>VLOOKUP($D33,Résultats!$B$2:$AZ$251,AM$2,FALSE)</f>
        <v>1.663386</v>
      </c>
    </row>
    <row r="34" spans="2:39" x14ac:dyDescent="0.25">
      <c r="C34" s="218" t="s">
        <v>33</v>
      </c>
      <c r="D34" s="54" t="s">
        <v>165</v>
      </c>
      <c r="E34" s="55">
        <f>VLOOKUP($D34,Résultats!$B$2:$AZ$251,E$2,FALSE)</f>
        <v>5.1428591099999997E-2</v>
      </c>
      <c r="F34" s="55">
        <f>VLOOKUP($D34,Résultats!$B$2:$AZ$251,F$2,FALSE)</f>
        <v>1.3645284179999999</v>
      </c>
      <c r="G34" s="55">
        <f>VLOOKUP($D34,Résultats!$B$2:$AZ$251,G$2,FALSE)</f>
        <v>3.6293398159999999</v>
      </c>
      <c r="H34" s="55">
        <f>VLOOKUP($D34,Résultats!$B$2:$AZ$251,H$2,FALSE)</f>
        <v>4.5739322150000001</v>
      </c>
      <c r="I34" s="55">
        <f>VLOOKUP($D34,Résultats!$B$2:$AZ$251,I$2,FALSE)</f>
        <v>5.4088092420000002</v>
      </c>
      <c r="J34" s="55">
        <f>VLOOKUP($D34,Résultats!$B$2:$AZ$251,J$2,FALSE)</f>
        <v>5.9859718510000004</v>
      </c>
      <c r="K34" s="55">
        <f>VLOOKUP($D34,Résultats!$B$2:$AZ$251,K$2,FALSE)</f>
        <v>6.499177778</v>
      </c>
      <c r="L34" s="55">
        <f>VLOOKUP($D34,Résultats!$B$2:$AZ$251,L$2,FALSE)</f>
        <v>7.4513394579999996</v>
      </c>
      <c r="M34" s="55">
        <f>VLOOKUP($D34,Résultats!$B$2:$AZ$251,M$2,FALSE)</f>
        <v>8.1088411929999999</v>
      </c>
      <c r="N34" s="55">
        <f>VLOOKUP($D34,Résultats!$B$2:$AZ$251,N$2,FALSE)</f>
        <v>8.8267740539999995</v>
      </c>
      <c r="O34" s="55">
        <f>VLOOKUP($D34,Résultats!$B$2:$AZ$251,O$2,FALSE)</f>
        <v>9.8695820029999997</v>
      </c>
      <c r="P34" s="55">
        <f>VLOOKUP($D34,Résultats!$B$2:$AZ$251,P$2,FALSE)</f>
        <v>11.99157844</v>
      </c>
      <c r="Q34" s="55">
        <f>VLOOKUP($D34,Résultats!$B$2:$AZ$251,Q$2,FALSE)</f>
        <v>15.31884707</v>
      </c>
      <c r="R34" s="55">
        <f>VLOOKUP($D34,Résultats!$B$2:$AZ$251,R$2,FALSE)</f>
        <v>18.532778359999998</v>
      </c>
      <c r="S34" s="55">
        <f>VLOOKUP($D34,Résultats!$B$2:$AZ$251,S$2,FALSE)</f>
        <v>21.49025425</v>
      </c>
      <c r="T34" s="55">
        <f>VLOOKUP($D34,Résultats!$B$2:$AZ$251,T$2,FALSE)</f>
        <v>24.990195419999999</v>
      </c>
      <c r="U34" s="55">
        <f>VLOOKUP($D34,Résultats!$B$2:$AZ$251,U$2,FALSE)</f>
        <v>27.243919770000002</v>
      </c>
      <c r="V34" s="55">
        <f>VLOOKUP($D34,Résultats!$B$2:$AZ$251,V$2,FALSE)</f>
        <v>28.378713050000002</v>
      </c>
      <c r="W34" s="55">
        <f>VLOOKUP($D34,Résultats!$B$2:$AZ$251,W$2,FALSE)</f>
        <v>28.514239</v>
      </c>
      <c r="X34" s="55">
        <f>VLOOKUP($D34,Résultats!$B$2:$AZ$251,X$2,FALSE)</f>
        <v>27.950210129999999</v>
      </c>
      <c r="Y34" s="55">
        <f>VLOOKUP($D34,Résultats!$B$2:$AZ$251,Y$2,FALSE)</f>
        <v>27.657484589999999</v>
      </c>
      <c r="Z34" s="55">
        <f>VLOOKUP($D34,Résultats!$B$2:$AZ$251,Z$2,FALSE)</f>
        <v>26.92663327</v>
      </c>
      <c r="AA34" s="55">
        <f>VLOOKUP($D34,Résultats!$B$2:$AZ$251,AA$2,FALSE)</f>
        <v>25.917660470000001</v>
      </c>
      <c r="AB34" s="55">
        <f>VLOOKUP($D34,Résultats!$B$2:$AZ$251,AB$2,FALSE)</f>
        <v>24.891554490000001</v>
      </c>
      <c r="AC34" s="55">
        <f>VLOOKUP($D34,Résultats!$B$2:$AZ$251,AC$2,FALSE)</f>
        <v>23.898174449999999</v>
      </c>
      <c r="AD34" s="55">
        <f>VLOOKUP($D34,Résultats!$B$2:$AZ$251,AD$2,FALSE)</f>
        <v>22.922664789999999</v>
      </c>
      <c r="AE34" s="55">
        <f>VLOOKUP($D34,Résultats!$B$2:$AZ$251,AE$2,FALSE)</f>
        <v>22.114097099999999</v>
      </c>
      <c r="AF34" s="55">
        <f>VLOOKUP($D34,Résultats!$B$2:$AZ$251,AF$2,FALSE)</f>
        <v>21.315631289999999</v>
      </c>
      <c r="AG34" s="55">
        <f>VLOOKUP($D34,Résultats!$B$2:$AZ$251,AG$2,FALSE)</f>
        <v>20.620462280000002</v>
      </c>
      <c r="AH34" s="55">
        <f>VLOOKUP($D34,Résultats!$B$2:$AZ$251,AH$2,FALSE)</f>
        <v>19.351465080000001</v>
      </c>
      <c r="AI34" s="55">
        <f>VLOOKUP($D34,Résultats!$B$2:$AZ$251,AI$2,FALSE)</f>
        <v>18.849547000000001</v>
      </c>
      <c r="AJ34" s="55">
        <f>VLOOKUP($D34,Résultats!$B$2:$AZ$251,AJ$2,FALSE)</f>
        <v>18.383422119999999</v>
      </c>
      <c r="AK34" s="55">
        <f>VLOOKUP($D34,Résultats!$B$2:$AZ$251,AK$2,FALSE)</f>
        <v>17.92018667</v>
      </c>
      <c r="AL34" s="55">
        <f>VLOOKUP($D34,Résultats!$B$2:$AZ$251,AL$2,FALSE)</f>
        <v>17.522376170000001</v>
      </c>
      <c r="AM34" s="214">
        <f>VLOOKUP($D34,Résultats!$B$2:$AZ$251,AM$2,FALSE)</f>
        <v>16.76638724</v>
      </c>
    </row>
    <row r="35" spans="2:39" x14ac:dyDescent="0.25">
      <c r="C35" s="217" t="s">
        <v>46</v>
      </c>
      <c r="D35" s="52" t="s">
        <v>150</v>
      </c>
      <c r="E35" s="53">
        <f>VLOOKUP($D35,Résultats!$B$2:$AZ$251,E$2,FALSE)</f>
        <v>2371.8135000000002</v>
      </c>
      <c r="F35" s="53">
        <f>VLOOKUP($D35,Résultats!$B$2:$AZ$251,F$2,FALSE)</f>
        <v>1906.10196</v>
      </c>
      <c r="G35" s="53">
        <f>VLOOKUP($D35,Résultats!$B$2:$AZ$251,G$2,FALSE)</f>
        <v>2119.5124730000002</v>
      </c>
      <c r="H35" s="53">
        <f>VLOOKUP($D35,Résultats!$B$2:$AZ$251,H$2,FALSE)</f>
        <v>2130.9954739999998</v>
      </c>
      <c r="I35" s="53">
        <f>VLOOKUP($D35,Résultats!$B$2:$AZ$251,I$2,FALSE)</f>
        <v>2044.180683</v>
      </c>
      <c r="J35" s="53">
        <f>VLOOKUP($D35,Résultats!$B$2:$AZ$251,J$2,FALSE)</f>
        <v>1865.1025540000001</v>
      </c>
      <c r="K35" s="53">
        <f>VLOOKUP($D35,Résultats!$B$2:$AZ$251,K$2,FALSE)</f>
        <v>1927.6054389999999</v>
      </c>
      <c r="L35" s="53">
        <f>VLOOKUP($D35,Résultats!$B$2:$AZ$251,L$2,FALSE)</f>
        <v>1986.6961289999999</v>
      </c>
      <c r="M35" s="53">
        <f>VLOOKUP($D35,Résultats!$B$2:$AZ$251,M$2,FALSE)</f>
        <v>1820.0783080000001</v>
      </c>
      <c r="N35" s="53">
        <f>VLOOKUP($D35,Résultats!$B$2:$AZ$251,N$2,FALSE)</f>
        <v>1675.1976569999999</v>
      </c>
      <c r="O35" s="53">
        <f>VLOOKUP($D35,Résultats!$B$2:$AZ$251,O$2,FALSE)</f>
        <v>1500.6325589999999</v>
      </c>
      <c r="P35" s="53">
        <f>VLOOKUP($D35,Résultats!$B$2:$AZ$251,P$2,FALSE)</f>
        <v>1318.2307860000001</v>
      </c>
      <c r="Q35" s="53">
        <f>VLOOKUP($D35,Résultats!$B$2:$AZ$251,Q$2,FALSE)</f>
        <v>1104.2195899999999</v>
      </c>
      <c r="R35" s="53">
        <f>VLOOKUP($D35,Résultats!$B$2:$AZ$251,R$2,FALSE)</f>
        <v>859.81932979999999</v>
      </c>
      <c r="S35" s="53">
        <f>VLOOKUP($D35,Résultats!$B$2:$AZ$251,S$2,FALSE)</f>
        <v>624.20998910000003</v>
      </c>
      <c r="T35" s="53">
        <f>VLOOKUP($D35,Résultats!$B$2:$AZ$251,T$2,FALSE)</f>
        <v>436.41185969999998</v>
      </c>
      <c r="U35" s="53">
        <f>VLOOKUP($D35,Résultats!$B$2:$AZ$251,U$2,FALSE)</f>
        <v>277.01172609999998</v>
      </c>
      <c r="V35" s="53">
        <f>VLOOKUP($D35,Résultats!$B$2:$AZ$251,V$2,FALSE)</f>
        <v>162.26009999999999</v>
      </c>
      <c r="W35" s="53">
        <f>VLOOKUP($D35,Résultats!$B$2:$AZ$251,W$2,FALSE)</f>
        <v>89.339354</v>
      </c>
      <c r="X35" s="53">
        <f>VLOOKUP($D35,Résultats!$B$2:$AZ$251,X$2,FALSE)</f>
        <v>47.123502999999999</v>
      </c>
      <c r="Y35" s="53">
        <f>VLOOKUP($D35,Résultats!$B$2:$AZ$251,Y$2,FALSE)</f>
        <v>24.719189289999999</v>
      </c>
      <c r="Z35" s="53">
        <f>VLOOKUP($D35,Résultats!$B$2:$AZ$251,Z$2,FALSE)</f>
        <v>12.69110622</v>
      </c>
      <c r="AA35" s="53">
        <f>VLOOKUP($D35,Résultats!$B$2:$AZ$251,AA$2,FALSE)</f>
        <v>6.4211870869999998</v>
      </c>
      <c r="AB35" s="53">
        <f>VLOOKUP($D35,Résultats!$B$2:$AZ$251,AB$2,FALSE)</f>
        <v>3.2311994309999998</v>
      </c>
      <c r="AC35" s="53">
        <f>VLOOKUP($D35,Résultats!$B$2:$AZ$251,AC$2,FALSE)</f>
        <v>1.6217727449999999</v>
      </c>
      <c r="AD35" s="53">
        <f>VLOOKUP($D35,Résultats!$B$2:$AZ$251,AD$2,FALSE)</f>
        <v>0.80746808010000004</v>
      </c>
      <c r="AE35" s="53">
        <f>VLOOKUP($D35,Résultats!$B$2:$AZ$251,AE$2,FALSE)</f>
        <v>0.4032958069</v>
      </c>
      <c r="AF35" s="53">
        <f>VLOOKUP($D35,Résultats!$B$2:$AZ$251,AF$2,FALSE)</f>
        <v>0.20101273289999999</v>
      </c>
      <c r="AG35" s="53">
        <f>VLOOKUP($D35,Résultats!$B$2:$AZ$251,AG$2,FALSE)</f>
        <v>0.10033844040000001</v>
      </c>
      <c r="AH35" s="53">
        <f>VLOOKUP($D35,Résultats!$B$2:$AZ$251,AH$2,FALSE)</f>
        <v>5.1773319999999998E-2</v>
      </c>
      <c r="AI35" s="53">
        <f>VLOOKUP($D35,Résultats!$B$2:$AZ$251,AI$2,FALSE)</f>
        <v>2.58572961E-2</v>
      </c>
      <c r="AJ35" s="53">
        <f>VLOOKUP($D35,Résultats!$B$2:$AZ$251,AJ$2,FALSE)</f>
        <v>1.29068091E-2</v>
      </c>
      <c r="AK35" s="53">
        <f>VLOOKUP($D35,Résultats!$B$2:$AZ$251,AK$2,FALSE)</f>
        <v>6.42809391E-3</v>
      </c>
      <c r="AL35" s="53">
        <f>VLOOKUP($D35,Résultats!$B$2:$AZ$251,AL$2,FALSE)</f>
        <v>3.2046027400000001E-3</v>
      </c>
      <c r="AM35" s="213">
        <f>VLOOKUP($D35,Résultats!$B$2:$AZ$251,AM$2,FALSE)</f>
        <v>1.5631143999999999E-3</v>
      </c>
    </row>
    <row r="36" spans="2:39" x14ac:dyDescent="0.25">
      <c r="C36" s="218" t="s">
        <v>27</v>
      </c>
      <c r="D36" s="3" t="s">
        <v>151</v>
      </c>
      <c r="E36" s="25">
        <f>VLOOKUP($D36,Résultats!$B$2:$AZ$251,E$2,FALSE)</f>
        <v>1.1865000000000001</v>
      </c>
      <c r="F36" s="25">
        <f>VLOOKUP($D36,Résultats!$B$2:$AZ$251,F$2,FALSE)</f>
        <v>21.355055480000001</v>
      </c>
      <c r="G36" s="25">
        <f>VLOOKUP($D36,Résultats!$B$2:$AZ$251,G$2,FALSE)</f>
        <v>28.315236519999999</v>
      </c>
      <c r="H36" s="25">
        <f>VLOOKUP($D36,Résultats!$B$2:$AZ$251,H$2,FALSE)</f>
        <v>33.374996719999999</v>
      </c>
      <c r="I36" s="25">
        <f>VLOOKUP($D36,Résultats!$B$2:$AZ$251,I$2,FALSE)</f>
        <v>56.435987410000003</v>
      </c>
      <c r="J36" s="25">
        <f>VLOOKUP($D36,Résultats!$B$2:$AZ$251,J$2,FALSE)</f>
        <v>50.8866789</v>
      </c>
      <c r="K36" s="25">
        <f>VLOOKUP($D36,Résultats!$B$2:$AZ$251,K$2,FALSE)</f>
        <v>82.0123794</v>
      </c>
      <c r="L36" s="25">
        <f>VLOOKUP($D36,Résultats!$B$2:$AZ$251,L$2,FALSE)</f>
        <v>99.717780880000007</v>
      </c>
      <c r="M36" s="25">
        <f>VLOOKUP($D36,Résultats!$B$2:$AZ$251,M$2,FALSE)</f>
        <v>97.916706660000003</v>
      </c>
      <c r="N36" s="25">
        <f>VLOOKUP($D36,Résultats!$B$2:$AZ$251,N$2,FALSE)</f>
        <v>94.766695310000003</v>
      </c>
      <c r="O36" s="25">
        <f>VLOOKUP($D36,Résultats!$B$2:$AZ$251,O$2,FALSE)</f>
        <v>89.618839530000002</v>
      </c>
      <c r="P36" s="25">
        <f>VLOOKUP($D36,Résultats!$B$2:$AZ$251,P$2,FALSE)</f>
        <v>83.5748885</v>
      </c>
      <c r="Q36" s="25">
        <f>VLOOKUP($D36,Résultats!$B$2:$AZ$251,Q$2,FALSE)</f>
        <v>73.000367389999994</v>
      </c>
      <c r="R36" s="25">
        <f>VLOOKUP($D36,Résultats!$B$2:$AZ$251,R$2,FALSE)</f>
        <v>60.87284657</v>
      </c>
      <c r="S36" s="25">
        <f>VLOOKUP($D36,Résultats!$B$2:$AZ$251,S$2,FALSE)</f>
        <v>47.342415369999998</v>
      </c>
      <c r="T36" s="25">
        <f>VLOOKUP($D36,Résultats!$B$2:$AZ$251,T$2,FALSE)</f>
        <v>34.823187660000002</v>
      </c>
      <c r="U36" s="25">
        <f>VLOOKUP($D36,Résultats!$B$2:$AZ$251,U$2,FALSE)</f>
        <v>23.267524529999999</v>
      </c>
      <c r="V36" s="25">
        <f>VLOOKUP($D36,Résultats!$B$2:$AZ$251,V$2,FALSE)</f>
        <v>14.351571829999999</v>
      </c>
      <c r="W36" s="25">
        <f>VLOOKUP($D36,Résultats!$B$2:$AZ$251,W$2,FALSE)</f>
        <v>8.2871639150000007</v>
      </c>
      <c r="X36" s="25">
        <f>VLOOKUP($D36,Résultats!$B$2:$AZ$251,X$2,FALSE)</f>
        <v>4.6188716750000003</v>
      </c>
      <c r="Y36" s="25">
        <f>VLOOKUP($D36,Résultats!$B$2:$AZ$251,Y$2,FALSE)</f>
        <v>2.531731309</v>
      </c>
      <c r="Z36" s="25">
        <f>VLOOKUP($D36,Résultats!$B$2:$AZ$251,Z$2,FALSE)</f>
        <v>1.3548844819999999</v>
      </c>
      <c r="AA36" s="25">
        <f>VLOOKUP($D36,Résultats!$B$2:$AZ$251,AA$2,FALSE)</f>
        <v>0.7159740899</v>
      </c>
      <c r="AB36" s="25">
        <f>VLOOKUP($D36,Résultats!$B$2:$AZ$251,AB$2,FALSE)</f>
        <v>0.37565829670000001</v>
      </c>
      <c r="AC36" s="25">
        <f>VLOOKUP($D36,Résultats!$B$2:$AZ$251,AC$2,FALSE)</f>
        <v>0.1962139145</v>
      </c>
      <c r="AD36" s="25">
        <f>VLOOKUP($D36,Résultats!$B$2:$AZ$251,AD$2,FALSE)</f>
        <v>0.1016017495</v>
      </c>
      <c r="AE36" s="25">
        <f>VLOOKUP($D36,Résultats!$B$2:$AZ$251,AE$2,FALSE)</f>
        <v>5.2682380000000001E-2</v>
      </c>
      <c r="AF36" s="25">
        <f>VLOOKUP($D36,Résultats!$B$2:$AZ$251,AF$2,FALSE)</f>
        <v>2.7236877499999999E-2</v>
      </c>
      <c r="AG36" s="25">
        <f>VLOOKUP($D36,Résultats!$B$2:$AZ$251,AG$2,FALSE)</f>
        <v>1.4096795699999999E-2</v>
      </c>
      <c r="AH36" s="25">
        <f>VLOOKUP($D36,Résultats!$B$2:$AZ$251,AH$2,FALSE)</f>
        <v>7.9742511500000002E-3</v>
      </c>
      <c r="AI36" s="25">
        <f>VLOOKUP($D36,Résultats!$B$2:$AZ$251,AI$2,FALSE)</f>
        <v>4.1280635499999999E-3</v>
      </c>
      <c r="AJ36" s="25">
        <f>VLOOKUP($D36,Résultats!$B$2:$AZ$251,AJ$2,FALSE)</f>
        <v>2.1380851399999999E-3</v>
      </c>
      <c r="AK36" s="25">
        <f>VLOOKUP($D36,Résultats!$B$2:$AZ$251,AK$2,FALSE)</f>
        <v>1.1034046100000001E-3</v>
      </c>
      <c r="AL36" s="25">
        <f>VLOOKUP($D36,Résultats!$B$2:$AZ$251,AL$2,FALSE)</f>
        <v>5.6964381599999999E-4</v>
      </c>
      <c r="AM36" s="102">
        <f>VLOOKUP($D36,Résultats!$B$2:$AZ$251,AM$2,FALSE)</f>
        <v>2.8803749700000001E-4</v>
      </c>
    </row>
    <row r="37" spans="2:39" x14ac:dyDescent="0.25">
      <c r="C37" s="218" t="s">
        <v>28</v>
      </c>
      <c r="D37" s="3" t="s">
        <v>152</v>
      </c>
      <c r="E37" s="25">
        <f>VLOOKUP($D37,Résultats!$B$2:$AZ$251,E$2,FALSE)</f>
        <v>427.14</v>
      </c>
      <c r="F37" s="25">
        <f>VLOOKUP($D37,Résultats!$B$2:$AZ$251,F$2,FALSE)</f>
        <v>357.29673209999999</v>
      </c>
      <c r="G37" s="25">
        <f>VLOOKUP($D37,Résultats!$B$2:$AZ$251,G$2,FALSE)</f>
        <v>398.81795310000001</v>
      </c>
      <c r="H37" s="25">
        <f>VLOOKUP($D37,Résultats!$B$2:$AZ$251,H$2,FALSE)</f>
        <v>404.01962150000003</v>
      </c>
      <c r="I37" s="25">
        <f>VLOOKUP($D37,Résultats!$B$2:$AZ$251,I$2,FALSE)</f>
        <v>403.48734130000003</v>
      </c>
      <c r="J37" s="25">
        <f>VLOOKUP($D37,Résultats!$B$2:$AZ$251,J$2,FALSE)</f>
        <v>364.70946900000001</v>
      </c>
      <c r="K37" s="25">
        <f>VLOOKUP($D37,Résultats!$B$2:$AZ$251,K$2,FALSE)</f>
        <v>394.87445869999999</v>
      </c>
      <c r="L37" s="25">
        <f>VLOOKUP($D37,Résultats!$B$2:$AZ$251,L$2,FALSE)</f>
        <v>413.66787729999999</v>
      </c>
      <c r="M37" s="25">
        <f>VLOOKUP($D37,Résultats!$B$2:$AZ$251,M$2,FALSE)</f>
        <v>381.58179849999999</v>
      </c>
      <c r="N37" s="25">
        <f>VLOOKUP($D37,Résultats!$B$2:$AZ$251,N$2,FALSE)</f>
        <v>352.95396929999998</v>
      </c>
      <c r="O37" s="25">
        <f>VLOOKUP($D37,Résultats!$B$2:$AZ$251,O$2,FALSE)</f>
        <v>317.742324</v>
      </c>
      <c r="P37" s="25">
        <f>VLOOKUP($D37,Résultats!$B$2:$AZ$251,P$2,FALSE)</f>
        <v>280.72861119999999</v>
      </c>
      <c r="Q37" s="25">
        <f>VLOOKUP($D37,Résultats!$B$2:$AZ$251,Q$2,FALSE)</f>
        <v>235.98263890000001</v>
      </c>
      <c r="R37" s="25">
        <f>VLOOKUP($D37,Résultats!$B$2:$AZ$251,R$2,FALSE)</f>
        <v>184.55010909999999</v>
      </c>
      <c r="S37" s="25">
        <f>VLOOKUP($D37,Résultats!$B$2:$AZ$251,S$2,FALSE)</f>
        <v>134.56968639999999</v>
      </c>
      <c r="T37" s="25">
        <f>VLOOKUP($D37,Résultats!$B$2:$AZ$251,T$2,FALSE)</f>
        <v>94.419343269999999</v>
      </c>
      <c r="U37" s="25">
        <f>VLOOKUP($D37,Résultats!$B$2:$AZ$251,U$2,FALSE)</f>
        <v>60.161508269999999</v>
      </c>
      <c r="V37" s="25">
        <f>VLOOKUP($D37,Résultats!$B$2:$AZ$251,V$2,FALSE)</f>
        <v>35.386229370000002</v>
      </c>
      <c r="W37" s="25">
        <f>VLOOKUP($D37,Résultats!$B$2:$AZ$251,W$2,FALSE)</f>
        <v>19.553838320000001</v>
      </c>
      <c r="X37" s="25">
        <f>VLOOKUP($D37,Résultats!$B$2:$AZ$251,X$2,FALSE)</f>
        <v>10.363936929999999</v>
      </c>
      <c r="Y37" s="25">
        <f>VLOOKUP($D37,Résultats!$B$2:$AZ$251,Y$2,FALSE)</f>
        <v>5.461262037</v>
      </c>
      <c r="Z37" s="25">
        <f>VLOOKUP($D37,Résultats!$B$2:$AZ$251,Z$2,FALSE)</f>
        <v>2.815784254</v>
      </c>
      <c r="AA37" s="25">
        <f>VLOOKUP($D37,Résultats!$B$2:$AZ$251,AA$2,FALSE)</f>
        <v>1.431307168</v>
      </c>
      <c r="AB37" s="25">
        <f>VLOOKUP($D37,Résultats!$B$2:$AZ$251,AB$2,FALSE)</f>
        <v>0.72338301559999996</v>
      </c>
      <c r="AC37" s="25">
        <f>VLOOKUP($D37,Résultats!$B$2:$AZ$251,AC$2,FALSE)</f>
        <v>0.3645813893</v>
      </c>
      <c r="AD37" s="25">
        <f>VLOOKUP($D37,Résultats!$B$2:$AZ$251,AD$2,FALSE)</f>
        <v>0.18202799140000001</v>
      </c>
      <c r="AE37" s="25">
        <f>VLOOKUP($D37,Résultats!$B$2:$AZ$251,AE$2,FALSE)</f>
        <v>9.1143669499999996E-2</v>
      </c>
      <c r="AF37" s="25">
        <f>VLOOKUP($D37,Résultats!$B$2:$AZ$251,AF$2,FALSE)</f>
        <v>4.5533916600000002E-2</v>
      </c>
      <c r="AG37" s="25">
        <f>VLOOKUP($D37,Résultats!$B$2:$AZ$251,AG$2,FALSE)</f>
        <v>2.2780932199999999E-2</v>
      </c>
      <c r="AH37" s="25">
        <f>VLOOKUP($D37,Résultats!$B$2:$AZ$251,AH$2,FALSE)</f>
        <v>1.18765255E-2</v>
      </c>
      <c r="AI37" s="25">
        <f>VLOOKUP($D37,Résultats!$B$2:$AZ$251,AI$2,FALSE)</f>
        <v>5.9382483600000004E-3</v>
      </c>
      <c r="AJ37" s="25">
        <f>VLOOKUP($D37,Résultats!$B$2:$AZ$251,AJ$2,FALSE)</f>
        <v>2.96700131E-3</v>
      </c>
      <c r="AK37" s="25">
        <f>VLOOKUP($D37,Résultats!$B$2:$AZ$251,AK$2,FALSE)</f>
        <v>1.47831474E-3</v>
      </c>
      <c r="AL37" s="25">
        <f>VLOOKUP($D37,Résultats!$B$2:$AZ$251,AL$2,FALSE)</f>
        <v>7.3704362299999995E-4</v>
      </c>
      <c r="AM37" s="102">
        <f>VLOOKUP($D37,Résultats!$B$2:$AZ$251,AM$2,FALSE)</f>
        <v>3.5941733099999998E-4</v>
      </c>
    </row>
    <row r="38" spans="2:39" x14ac:dyDescent="0.25">
      <c r="C38" s="218" t="s">
        <v>29</v>
      </c>
      <c r="D38" s="3" t="s">
        <v>153</v>
      </c>
      <c r="E38" s="25">
        <f>VLOOKUP($D38,Résultats!$B$2:$AZ$251,E$2,FALSE)</f>
        <v>673.93200000000002</v>
      </c>
      <c r="F38" s="25">
        <f>VLOOKUP($D38,Résultats!$B$2:$AZ$251,F$2,FALSE)</f>
        <v>550.62508809999997</v>
      </c>
      <c r="G38" s="25">
        <f>VLOOKUP($D38,Résultats!$B$2:$AZ$251,G$2,FALSE)</f>
        <v>613.48827349999999</v>
      </c>
      <c r="H38" s="25">
        <f>VLOOKUP($D38,Résultats!$B$2:$AZ$251,H$2,FALSE)</f>
        <v>618.96276330000001</v>
      </c>
      <c r="I38" s="25">
        <f>VLOOKUP($D38,Résultats!$B$2:$AZ$251,I$2,FALSE)</f>
        <v>601.91294119999998</v>
      </c>
      <c r="J38" s="25">
        <f>VLOOKUP($D38,Résultats!$B$2:$AZ$251,J$2,FALSE)</f>
        <v>548.55616710000004</v>
      </c>
      <c r="K38" s="25">
        <f>VLOOKUP($D38,Résultats!$B$2:$AZ$251,K$2,FALSE)</f>
        <v>573.40970819999995</v>
      </c>
      <c r="L38" s="25">
        <f>VLOOKUP($D38,Résultats!$B$2:$AZ$251,L$2,FALSE)</f>
        <v>590.70127130000003</v>
      </c>
      <c r="M38" s="25">
        <f>VLOOKUP($D38,Résultats!$B$2:$AZ$251,M$2,FALSE)</f>
        <v>540.83719099999996</v>
      </c>
      <c r="N38" s="25">
        <f>VLOOKUP($D38,Résultats!$B$2:$AZ$251,N$2,FALSE)</f>
        <v>497.48577660000001</v>
      </c>
      <c r="O38" s="25">
        <f>VLOOKUP($D38,Résultats!$B$2:$AZ$251,O$2,FALSE)</f>
        <v>445.23536360000003</v>
      </c>
      <c r="P38" s="25">
        <f>VLOOKUP($D38,Résultats!$B$2:$AZ$251,P$2,FALSE)</f>
        <v>390.66180120000001</v>
      </c>
      <c r="Q38" s="25">
        <f>VLOOKUP($D38,Résultats!$B$2:$AZ$251,Q$2,FALSE)</f>
        <v>326.88565089999997</v>
      </c>
      <c r="R38" s="25">
        <f>VLOOKUP($D38,Résultats!$B$2:$AZ$251,R$2,FALSE)</f>
        <v>253.93616879999999</v>
      </c>
      <c r="S38" s="25">
        <f>VLOOKUP($D38,Résultats!$B$2:$AZ$251,S$2,FALSE)</f>
        <v>183.85296819999999</v>
      </c>
      <c r="T38" s="25">
        <f>VLOOKUP($D38,Résultats!$B$2:$AZ$251,T$2,FALSE)</f>
        <v>128.25903690000001</v>
      </c>
      <c r="U38" s="25">
        <f>VLOOKUP($D38,Résultats!$B$2:$AZ$251,U$2,FALSE)</f>
        <v>81.216484589999894</v>
      </c>
      <c r="V38" s="25">
        <f>VLOOKUP($D38,Résultats!$B$2:$AZ$251,V$2,FALSE)</f>
        <v>47.447339839999998</v>
      </c>
      <c r="W38" s="25">
        <f>VLOOKUP($D38,Résultats!$B$2:$AZ$251,W$2,FALSE)</f>
        <v>26.052776699999999</v>
      </c>
      <c r="X38" s="25">
        <f>VLOOKUP($D38,Résultats!$B$2:$AZ$251,X$2,FALSE)</f>
        <v>13.69518712</v>
      </c>
      <c r="Y38" s="25">
        <f>VLOOKUP($D38,Résultats!$B$2:$AZ$251,Y$2,FALSE)</f>
        <v>7.163041625</v>
      </c>
      <c r="Z38" s="25">
        <f>VLOOKUP($D38,Résultats!$B$2:$AZ$251,Z$2,FALSE)</f>
        <v>3.6664049759999999</v>
      </c>
      <c r="AA38" s="25">
        <f>VLOOKUP($D38,Résultats!$B$2:$AZ$251,AA$2,FALSE)</f>
        <v>1.848603086</v>
      </c>
      <c r="AB38" s="25">
        <f>VLOOKUP($D38,Résultats!$B$2:$AZ$251,AB$2,FALSE)</f>
        <v>0.92679784639999996</v>
      </c>
      <c r="AC38" s="25">
        <f>VLOOKUP($D38,Résultats!$B$2:$AZ$251,AC$2,FALSE)</f>
        <v>0.46337620390000001</v>
      </c>
      <c r="AD38" s="25">
        <f>VLOOKUP($D38,Résultats!$B$2:$AZ$251,AD$2,FALSE)</f>
        <v>0.22973022809999999</v>
      </c>
      <c r="AE38" s="25">
        <f>VLOOKUP($D38,Résultats!$B$2:$AZ$251,AE$2,FALSE)</f>
        <v>0.11423742050000001</v>
      </c>
      <c r="AF38" s="25">
        <f>VLOOKUP($D38,Résultats!$B$2:$AZ$251,AF$2,FALSE)</f>
        <v>5.6676533100000002E-2</v>
      </c>
      <c r="AG38" s="25">
        <f>VLOOKUP($D38,Résultats!$B$2:$AZ$251,AG$2,FALSE)</f>
        <v>2.8152776000000001E-2</v>
      </c>
      <c r="AH38" s="25">
        <f>VLOOKUP($D38,Résultats!$B$2:$AZ$251,AH$2,FALSE)</f>
        <v>1.43245015E-2</v>
      </c>
      <c r="AI38" s="25">
        <f>VLOOKUP($D38,Résultats!$B$2:$AZ$251,AI$2,FALSE)</f>
        <v>7.1092911199999997E-3</v>
      </c>
      <c r="AJ38" s="25">
        <f>VLOOKUP($D38,Résultats!$B$2:$AZ$251,AJ$2,FALSE)</f>
        <v>3.5241695299999998E-3</v>
      </c>
      <c r="AK38" s="25">
        <f>VLOOKUP($D38,Résultats!$B$2:$AZ$251,AK$2,FALSE)</f>
        <v>1.7427369400000001E-3</v>
      </c>
      <c r="AL38" s="25">
        <f>VLOOKUP($D38,Résultats!$B$2:$AZ$251,AL$2,FALSE)</f>
        <v>8.6236987599999995E-4</v>
      </c>
      <c r="AM38" s="102">
        <f>VLOOKUP($D38,Résultats!$B$2:$AZ$251,AM$2,FALSE)</f>
        <v>4.17223403E-4</v>
      </c>
    </row>
    <row r="39" spans="2:39" x14ac:dyDescent="0.25">
      <c r="C39" s="218" t="s">
        <v>30</v>
      </c>
      <c r="D39" s="3" t="s">
        <v>154</v>
      </c>
      <c r="E39" s="25">
        <f>VLOOKUP($D39,Résultats!$B$2:$AZ$251,E$2,FALSE)</f>
        <v>664.44</v>
      </c>
      <c r="F39" s="25">
        <f>VLOOKUP($D39,Résultats!$B$2:$AZ$251,F$2,FALSE)</f>
        <v>532.308584</v>
      </c>
      <c r="G39" s="25">
        <f>VLOOKUP($D39,Résultats!$B$2:$AZ$251,G$2,FALSE)</f>
        <v>589.95321899999999</v>
      </c>
      <c r="H39" s="25">
        <f>VLOOKUP($D39,Résultats!$B$2:$AZ$251,H$2,FALSE)</f>
        <v>596.56015530000002</v>
      </c>
      <c r="I39" s="25">
        <f>VLOOKUP($D39,Résultats!$B$2:$AZ$251,I$2,FALSE)</f>
        <v>567.82367720000002</v>
      </c>
      <c r="J39" s="25">
        <f>VLOOKUP($D39,Résultats!$B$2:$AZ$251,J$2,FALSE)</f>
        <v>529.74441420000005</v>
      </c>
      <c r="K39" s="25">
        <f>VLOOKUP($D39,Résultats!$B$2:$AZ$251,K$2,FALSE)</f>
        <v>544.13977199999999</v>
      </c>
      <c r="L39" s="25">
        <f>VLOOKUP($D39,Résultats!$B$2:$AZ$251,L$2,FALSE)</f>
        <v>555.89879229999997</v>
      </c>
      <c r="M39" s="25">
        <f>VLOOKUP($D39,Résultats!$B$2:$AZ$251,M$2,FALSE)</f>
        <v>507.03410300000002</v>
      </c>
      <c r="N39" s="25">
        <f>VLOOKUP($D39,Résultats!$B$2:$AZ$251,N$2,FALSE)</f>
        <v>465.04526069999997</v>
      </c>
      <c r="O39" s="25">
        <f>VLOOKUP($D39,Résultats!$B$2:$AZ$251,O$2,FALSE)</f>
        <v>414.9022549</v>
      </c>
      <c r="P39" s="25">
        <f>VLOOKUP($D39,Résultats!$B$2:$AZ$251,P$2,FALSE)</f>
        <v>362.70238940000002</v>
      </c>
      <c r="Q39" s="25">
        <f>VLOOKUP($D39,Résultats!$B$2:$AZ$251,Q$2,FALSE)</f>
        <v>302.71963060000002</v>
      </c>
      <c r="R39" s="25">
        <f>VLOOKUP($D39,Résultats!$B$2:$AZ$251,R$2,FALSE)</f>
        <v>234.24725889999999</v>
      </c>
      <c r="S39" s="25">
        <f>VLOOKUP($D39,Résultats!$B$2:$AZ$251,S$2,FALSE)</f>
        <v>168.8906049</v>
      </c>
      <c r="T39" s="25">
        <f>VLOOKUP($D39,Résultats!$B$2:$AZ$251,T$2,FALSE)</f>
        <v>117.42602479999999</v>
      </c>
      <c r="U39" s="25">
        <f>VLOOKUP($D39,Résultats!$B$2:$AZ$251,U$2,FALSE)</f>
        <v>74.087731059999996</v>
      </c>
      <c r="V39" s="25">
        <f>VLOOKUP($D39,Résultats!$B$2:$AZ$251,V$2,FALSE)</f>
        <v>43.112784509999997</v>
      </c>
      <c r="W39" s="25">
        <f>VLOOKUP($D39,Résultats!$B$2:$AZ$251,W$2,FALSE)</f>
        <v>23.584858100000002</v>
      </c>
      <c r="X39" s="25">
        <f>VLOOKUP($D39,Résultats!$B$2:$AZ$251,X$2,FALSE)</f>
        <v>12.33909813</v>
      </c>
      <c r="Y39" s="25">
        <f>VLOOKUP($D39,Résultats!$B$2:$AZ$251,Y$2,FALSE)</f>
        <v>6.426581927</v>
      </c>
      <c r="Z39" s="25">
        <f>VLOOKUP($D39,Résultats!$B$2:$AZ$251,Z$2,FALSE)</f>
        <v>3.2758843849999999</v>
      </c>
      <c r="AA39" s="25">
        <f>VLOOKUP($D39,Résultats!$B$2:$AZ$251,AA$2,FALSE)</f>
        <v>1.6441462469999999</v>
      </c>
      <c r="AB39" s="25">
        <f>VLOOKUP($D39,Résultats!$B$2:$AZ$251,AB$2,FALSE)</f>
        <v>0.82055488830000001</v>
      </c>
      <c r="AC39" s="25">
        <f>VLOOKUP($D39,Résultats!$B$2:$AZ$251,AC$2,FALSE)</f>
        <v>0.40841094239999998</v>
      </c>
      <c r="AD39" s="25">
        <f>VLOOKUP($D39,Résultats!$B$2:$AZ$251,AD$2,FALSE)</f>
        <v>0.2016509215</v>
      </c>
      <c r="AE39" s="25">
        <f>VLOOKUP($D39,Résultats!$B$2:$AZ$251,AE$2,FALSE)</f>
        <v>9.98729587E-2</v>
      </c>
      <c r="AF39" s="25">
        <f>VLOOKUP($D39,Résultats!$B$2:$AZ$251,AF$2,FALSE)</f>
        <v>4.9351221100000002E-2</v>
      </c>
      <c r="AG39" s="25">
        <f>VLOOKUP($D39,Résultats!$B$2:$AZ$251,AG$2,FALSE)</f>
        <v>2.4413314799999999E-2</v>
      </c>
      <c r="AH39" s="25">
        <f>VLOOKUP($D39,Résultats!$B$2:$AZ$251,AH$2,FALSE)</f>
        <v>1.22606521E-2</v>
      </c>
      <c r="AI39" s="25">
        <f>VLOOKUP($D39,Résultats!$B$2:$AZ$251,AI$2,FALSE)</f>
        <v>6.0596034300000002E-3</v>
      </c>
      <c r="AJ39" s="25">
        <f>VLOOKUP($D39,Résultats!$B$2:$AZ$251,AJ$2,FALSE)</f>
        <v>2.9906680100000001E-3</v>
      </c>
      <c r="AK39" s="25">
        <f>VLOOKUP($D39,Résultats!$B$2:$AZ$251,AK$2,FALSE)</f>
        <v>1.4727643199999999E-3</v>
      </c>
      <c r="AL39" s="25">
        <f>VLOOKUP($D39,Résultats!$B$2:$AZ$251,AL$2,FALSE)</f>
        <v>7.2579525199999997E-4</v>
      </c>
      <c r="AM39" s="102">
        <f>VLOOKUP($D39,Résultats!$B$2:$AZ$251,AM$2,FALSE)</f>
        <v>3.4966297699999999E-4</v>
      </c>
    </row>
    <row r="40" spans="2:39" x14ac:dyDescent="0.25">
      <c r="C40" s="218" t="s">
        <v>31</v>
      </c>
      <c r="D40" s="3" t="s">
        <v>155</v>
      </c>
      <c r="E40" s="25">
        <f>VLOOKUP($D40,Résultats!$B$2:$AZ$251,E$2,FALSE)</f>
        <v>427.14</v>
      </c>
      <c r="F40" s="25">
        <f>VLOOKUP($D40,Résultats!$B$2:$AZ$251,F$2,FALSE)</f>
        <v>329.7670799</v>
      </c>
      <c r="G40" s="25">
        <f>VLOOKUP($D40,Résultats!$B$2:$AZ$251,G$2,FALSE)</f>
        <v>358.02140939999998</v>
      </c>
      <c r="H40" s="25">
        <f>VLOOKUP($D40,Résultats!$B$2:$AZ$251,H$2,FALSE)</f>
        <v>355.27005680000002</v>
      </c>
      <c r="I40" s="25">
        <f>VLOOKUP($D40,Résultats!$B$2:$AZ$251,I$2,FALSE)</f>
        <v>318.52845930000001</v>
      </c>
      <c r="J40" s="25">
        <f>VLOOKUP($D40,Résultats!$B$2:$AZ$251,J$2,FALSE)</f>
        <v>310.33709110000001</v>
      </c>
      <c r="K40" s="25">
        <f>VLOOKUP($D40,Résultats!$B$2:$AZ$251,K$2,FALSE)</f>
        <v>292.14028280000002</v>
      </c>
      <c r="L40" s="25">
        <f>VLOOKUP($D40,Résultats!$B$2:$AZ$251,L$2,FALSE)</f>
        <v>290.45295420000002</v>
      </c>
      <c r="M40" s="25">
        <f>VLOOKUP($D40,Résultats!$B$2:$AZ$251,M$2,FALSE)</f>
        <v>261.73706729999998</v>
      </c>
      <c r="N40" s="25">
        <f>VLOOKUP($D40,Résultats!$B$2:$AZ$251,N$2,FALSE)</f>
        <v>237.90672499999999</v>
      </c>
      <c r="O40" s="25">
        <f>VLOOKUP($D40,Résultats!$B$2:$AZ$251,O$2,FALSE)</f>
        <v>210.2445481</v>
      </c>
      <c r="P40" s="25">
        <f>VLOOKUP($D40,Résultats!$B$2:$AZ$251,P$2,FALSE)</f>
        <v>181.75683889999999</v>
      </c>
      <c r="Q40" s="25">
        <f>VLOOKUP($D40,Résultats!$B$2:$AZ$251,Q$2,FALSE)</f>
        <v>150.57699539999999</v>
      </c>
      <c r="R40" s="25">
        <f>VLOOKUP($D40,Résultats!$B$2:$AZ$251,R$2,FALSE)</f>
        <v>115.2628442</v>
      </c>
      <c r="S40" s="25">
        <f>VLOOKUP($D40,Résultats!$B$2:$AZ$251,S$2,FALSE)</f>
        <v>82.162587099999996</v>
      </c>
      <c r="T40" s="25">
        <f>VLOOKUP($D40,Résultats!$B$2:$AZ$251,T$2,FALSE)</f>
        <v>56.60980318</v>
      </c>
      <c r="U40" s="25">
        <f>VLOOKUP($D40,Résultats!$B$2:$AZ$251,U$2,FALSE)</f>
        <v>35.372925530000003</v>
      </c>
      <c r="V40" s="25">
        <f>VLOOKUP($D40,Résultats!$B$2:$AZ$251,V$2,FALSE)</f>
        <v>20.3718255</v>
      </c>
      <c r="W40" s="25">
        <f>VLOOKUP($D40,Résultats!$B$2:$AZ$251,W$2,FALSE)</f>
        <v>11.038781050000001</v>
      </c>
      <c r="X40" s="25">
        <f>VLOOKUP($D40,Résultats!$B$2:$AZ$251,X$2,FALSE)</f>
        <v>5.7062217200000003</v>
      </c>
      <c r="Y40" s="25">
        <f>VLOOKUP($D40,Résultats!$B$2:$AZ$251,Y$2,FALSE)</f>
        <v>2.9408434410000002</v>
      </c>
      <c r="Z40" s="25">
        <f>VLOOKUP($D40,Résultats!$B$2:$AZ$251,Z$2,FALSE)</f>
        <v>1.484169721</v>
      </c>
      <c r="AA40" s="25">
        <f>VLOOKUP($D40,Résultats!$B$2:$AZ$251,AA$2,FALSE)</f>
        <v>0.73692791499999999</v>
      </c>
      <c r="AB40" s="25">
        <f>VLOOKUP($D40,Résultats!$B$2:$AZ$251,AB$2,FALSE)</f>
        <v>0.36404155269999999</v>
      </c>
      <c r="AC40" s="25">
        <f>VLOOKUP($D40,Résultats!$B$2:$AZ$251,AC$2,FALSE)</f>
        <v>0.17943780619999999</v>
      </c>
      <c r="AD40" s="25">
        <f>VLOOKUP($D40,Résultats!$B$2:$AZ$251,AD$2,FALSE)</f>
        <v>8.7874631499999994E-2</v>
      </c>
      <c r="AE40" s="25">
        <f>VLOOKUP($D40,Résultats!$B$2:$AZ$251,AE$2,FALSE)</f>
        <v>4.3191822499999998E-2</v>
      </c>
      <c r="AF40" s="25">
        <f>VLOOKUP($D40,Résultats!$B$2:$AZ$251,AF$2,FALSE)</f>
        <v>2.11887547E-2</v>
      </c>
      <c r="AG40" s="25">
        <f>VLOOKUP($D40,Résultats!$B$2:$AZ$251,AG$2,FALSE)</f>
        <v>1.0408196999999999E-2</v>
      </c>
      <c r="AH40" s="25">
        <f>VLOOKUP($D40,Résultats!$B$2:$AZ$251,AH$2,FALSE)</f>
        <v>5.1196464000000004E-3</v>
      </c>
      <c r="AI40" s="25">
        <f>VLOOKUP($D40,Résultats!$B$2:$AZ$251,AI$2,FALSE)</f>
        <v>2.5175850100000001E-3</v>
      </c>
      <c r="AJ40" s="25">
        <f>VLOOKUP($D40,Résultats!$B$2:$AZ$251,AJ$2,FALSE)</f>
        <v>1.2366974299999999E-3</v>
      </c>
      <c r="AK40" s="25">
        <f>VLOOKUP($D40,Résultats!$B$2:$AZ$251,AK$2,FALSE)</f>
        <v>6.0670842400000001E-4</v>
      </c>
      <c r="AL40" s="25">
        <f>VLOOKUP($D40,Résultats!$B$2:$AZ$251,AL$2,FALSE)</f>
        <v>2.9806511200000001E-4</v>
      </c>
      <c r="AM40" s="102">
        <f>VLOOKUP($D40,Résultats!$B$2:$AZ$251,AM$2,FALSE)</f>
        <v>1.4323471599999999E-4</v>
      </c>
    </row>
    <row r="41" spans="2:39" x14ac:dyDescent="0.25">
      <c r="C41" s="218" t="s">
        <v>32</v>
      </c>
      <c r="D41" s="3" t="s">
        <v>156</v>
      </c>
      <c r="E41" s="25">
        <f>VLOOKUP($D41,Résultats!$B$2:$AZ$251,E$2,FALSE)</f>
        <v>142.38</v>
      </c>
      <c r="F41" s="25">
        <f>VLOOKUP($D41,Résultats!$B$2:$AZ$251,F$2,FALSE)</f>
        <v>94.995412979999998</v>
      </c>
      <c r="G41" s="25">
        <f>VLOOKUP($D41,Résultats!$B$2:$AZ$251,G$2,FALSE)</f>
        <v>108.05398080000001</v>
      </c>
      <c r="H41" s="25">
        <f>VLOOKUP($D41,Résultats!$B$2:$AZ$251,H$2,FALSE)</f>
        <v>103.99235349999999</v>
      </c>
      <c r="I41" s="25">
        <f>VLOOKUP($D41,Résultats!$B$2:$AZ$251,I$2,FALSE)</f>
        <v>83.232216010000002</v>
      </c>
      <c r="J41" s="25">
        <f>VLOOKUP($D41,Résultats!$B$2:$AZ$251,J$2,FALSE)</f>
        <v>55.638265869999998</v>
      </c>
      <c r="K41" s="25">
        <f>VLOOKUP($D41,Résultats!$B$2:$AZ$251,K$2,FALSE)</f>
        <v>41.028838219999997</v>
      </c>
      <c r="L41" s="25">
        <f>VLOOKUP($D41,Résultats!$B$2:$AZ$251,L$2,FALSE)</f>
        <v>36.25745277</v>
      </c>
      <c r="M41" s="25">
        <f>VLOOKUP($D41,Résultats!$B$2:$AZ$251,M$2,FALSE)</f>
        <v>30.971441949999999</v>
      </c>
      <c r="N41" s="25">
        <f>VLOOKUP($D41,Résultats!$B$2:$AZ$251,N$2,FALSE)</f>
        <v>27.03922996</v>
      </c>
      <c r="O41" s="25">
        <f>VLOOKUP($D41,Résultats!$B$2:$AZ$251,O$2,FALSE)</f>
        <v>22.889228840000001</v>
      </c>
      <c r="P41" s="25">
        <f>VLOOKUP($D41,Résultats!$B$2:$AZ$251,P$2,FALSE)</f>
        <v>18.806256680000001</v>
      </c>
      <c r="Q41" s="25">
        <f>VLOOKUP($D41,Résultats!$B$2:$AZ$251,Q$2,FALSE)</f>
        <v>15.054306929999999</v>
      </c>
      <c r="R41" s="25">
        <f>VLOOKUP($D41,Résultats!$B$2:$AZ$251,R$2,FALSE)</f>
        <v>10.950102279999999</v>
      </c>
      <c r="S41" s="25">
        <f>VLOOKUP($D41,Résultats!$B$2:$AZ$251,S$2,FALSE)</f>
        <v>7.3917272599999997</v>
      </c>
      <c r="T41" s="25">
        <f>VLOOKUP($D41,Résultats!$B$2:$AZ$251,T$2,FALSE)</f>
        <v>4.8744639139999997</v>
      </c>
      <c r="U41" s="25">
        <f>VLOOKUP($D41,Résultats!$B$2:$AZ$251,U$2,FALSE)</f>
        <v>2.9055520869999998</v>
      </c>
      <c r="V41" s="25">
        <f>VLOOKUP($D41,Résultats!$B$2:$AZ$251,V$2,FALSE)</f>
        <v>1.5903489740000001</v>
      </c>
      <c r="W41" s="25">
        <f>VLOOKUP($D41,Résultats!$B$2:$AZ$251,W$2,FALSE)</f>
        <v>0.82193592820000005</v>
      </c>
      <c r="X41" s="25">
        <f>VLOOKUP($D41,Résultats!$B$2:$AZ$251,X$2,FALSE)</f>
        <v>0.40018741810000003</v>
      </c>
      <c r="Y41" s="25">
        <f>VLOOKUP($D41,Résultats!$B$2:$AZ$251,Y$2,FALSE)</f>
        <v>0.19572894699999999</v>
      </c>
      <c r="Z41" s="25">
        <f>VLOOKUP($D41,Résultats!$B$2:$AZ$251,Z$2,FALSE)</f>
        <v>9.3978405700000003E-2</v>
      </c>
      <c r="AA41" s="25">
        <f>VLOOKUP($D41,Résultats!$B$2:$AZ$251,AA$2,FALSE)</f>
        <v>4.42285808E-2</v>
      </c>
      <c r="AB41" s="25">
        <f>VLOOKUP($D41,Résultats!$B$2:$AZ$251,AB$2,FALSE)</f>
        <v>2.07638315E-2</v>
      </c>
      <c r="AC41" s="25">
        <f>VLOOKUP($D41,Résultats!$B$2:$AZ$251,AC$2,FALSE)</f>
        <v>9.7524884799999999E-3</v>
      </c>
      <c r="AD41" s="25">
        <f>VLOOKUP($D41,Résultats!$B$2:$AZ$251,AD$2,FALSE)</f>
        <v>4.5825581599999998E-3</v>
      </c>
      <c r="AE41" s="25">
        <f>VLOOKUP($D41,Résultats!$B$2:$AZ$251,AE$2,FALSE)</f>
        <v>2.16755561E-3</v>
      </c>
      <c r="AF41" s="25">
        <f>VLOOKUP($D41,Résultats!$B$2:$AZ$251,AF$2,FALSE)</f>
        <v>1.0254299000000001E-3</v>
      </c>
      <c r="AG41" s="25">
        <f>VLOOKUP($D41,Résultats!$B$2:$AZ$251,AG$2,FALSE)</f>
        <v>4.8642466100000002E-4</v>
      </c>
      <c r="AH41" s="25">
        <f>VLOOKUP($D41,Résultats!$B$2:$AZ$251,AH$2,FALSE)</f>
        <v>2.1774338299999999E-4</v>
      </c>
      <c r="AI41" s="25">
        <f>VLOOKUP($D41,Résultats!$B$2:$AZ$251,AI$2,FALSE)</f>
        <v>1.04504659E-4</v>
      </c>
      <c r="AJ41" s="25">
        <f>VLOOKUP($D41,Résultats!$B$2:$AZ$251,AJ$2,FALSE)</f>
        <v>5.0187657000000003E-5</v>
      </c>
      <c r="AK41" s="25">
        <f>VLOOKUP($D41,Résultats!$B$2:$AZ$251,AK$2,FALSE)</f>
        <v>2.4164877E-5</v>
      </c>
      <c r="AL41" s="25">
        <f>VLOOKUP($D41,Résultats!$B$2:$AZ$251,AL$2,FALSE)</f>
        <v>1.1685061300000001E-5</v>
      </c>
      <c r="AM41" s="102">
        <f>VLOOKUP($D41,Résultats!$B$2:$AZ$251,AM$2,FALSE)</f>
        <v>5.5384812900000001E-6</v>
      </c>
    </row>
    <row r="42" spans="2:39" x14ac:dyDescent="0.25">
      <c r="C42" s="219" t="s">
        <v>33</v>
      </c>
      <c r="D42" s="7" t="s">
        <v>157</v>
      </c>
      <c r="E42" s="57">
        <f>VLOOKUP($D42,Résultats!$B$2:$AZ$251,E$2,FALSE)</f>
        <v>35.594999999999999</v>
      </c>
      <c r="F42" s="57">
        <f>VLOOKUP($D42,Résultats!$B$2:$AZ$251,F$2,FALSE)</f>
        <v>19.754007250000001</v>
      </c>
      <c r="G42" s="57">
        <f>VLOOKUP($D42,Résultats!$B$2:$AZ$251,G$2,FALSE)</f>
        <v>22.86240037</v>
      </c>
      <c r="H42" s="57">
        <f>VLOOKUP($D42,Résultats!$B$2:$AZ$251,H$2,FALSE)</f>
        <v>18.815526909999999</v>
      </c>
      <c r="I42" s="57">
        <f>VLOOKUP($D42,Résultats!$B$2:$AZ$251,I$2,FALSE)</f>
        <v>12.760060920000001</v>
      </c>
      <c r="J42" s="57">
        <f>VLOOKUP($D42,Résultats!$B$2:$AZ$251,J$2,FALSE)</f>
        <v>5.2304676289999996</v>
      </c>
      <c r="K42" s="57">
        <f>VLOOKUP($D42,Résultats!$B$2:$AZ$251,K$2,FALSE)</f>
        <v>0</v>
      </c>
      <c r="L42" s="57">
        <f>VLOOKUP($D42,Résultats!$B$2:$AZ$251,L$2,FALSE)</f>
        <v>0</v>
      </c>
      <c r="M42" s="57">
        <f>VLOOKUP($D42,Résultats!$B$2:$AZ$251,M$2,FALSE)</f>
        <v>0</v>
      </c>
      <c r="N42" s="57">
        <f>VLOOKUP($D42,Résultats!$B$2:$AZ$251,N$2,FALSE)</f>
        <v>0</v>
      </c>
      <c r="O42" s="57">
        <f>VLOOKUP($D42,Résultats!$B$2:$AZ$251,O$2,FALSE)</f>
        <v>0</v>
      </c>
      <c r="P42" s="57">
        <f>VLOOKUP($D42,Résultats!$B$2:$AZ$251,P$2,FALSE)</f>
        <v>0</v>
      </c>
      <c r="Q42" s="57">
        <f>VLOOKUP($D42,Résultats!$B$2:$AZ$251,Q$2,FALSE)</f>
        <v>0</v>
      </c>
      <c r="R42" s="57">
        <f>VLOOKUP($D42,Résultats!$B$2:$AZ$251,R$2,FALSE)</f>
        <v>0</v>
      </c>
      <c r="S42" s="57">
        <f>VLOOKUP($D42,Résultats!$B$2:$AZ$251,S$2,FALSE)</f>
        <v>0</v>
      </c>
      <c r="T42" s="57">
        <f>VLOOKUP($D42,Résultats!$B$2:$AZ$251,T$2,FALSE)</f>
        <v>0</v>
      </c>
      <c r="U42" s="57">
        <f>VLOOKUP($D42,Résultats!$B$2:$AZ$251,U$2,FALSE)</f>
        <v>0</v>
      </c>
      <c r="V42" s="57">
        <f>VLOOKUP($D42,Résultats!$B$2:$AZ$251,V$2,FALSE)</f>
        <v>0</v>
      </c>
      <c r="W42" s="57">
        <f>VLOOKUP($D42,Résultats!$B$2:$AZ$251,W$2,FALSE)</f>
        <v>0</v>
      </c>
      <c r="X42" s="57">
        <f>VLOOKUP($D42,Résultats!$B$2:$AZ$251,X$2,FALSE)</f>
        <v>0</v>
      </c>
      <c r="Y42" s="57">
        <f>VLOOKUP($D42,Résultats!$B$2:$AZ$251,Y$2,FALSE)</f>
        <v>0</v>
      </c>
      <c r="Z42" s="57">
        <f>VLOOKUP($D42,Résultats!$B$2:$AZ$251,Z$2,FALSE)</f>
        <v>0</v>
      </c>
      <c r="AA42" s="57">
        <f>VLOOKUP($D42,Résultats!$B$2:$AZ$251,AA$2,FALSE)</f>
        <v>0</v>
      </c>
      <c r="AB42" s="57">
        <f>VLOOKUP($D42,Résultats!$B$2:$AZ$251,AB$2,FALSE)</f>
        <v>0</v>
      </c>
      <c r="AC42" s="57">
        <f>VLOOKUP($D42,Résultats!$B$2:$AZ$251,AC$2,FALSE)</f>
        <v>0</v>
      </c>
      <c r="AD42" s="57">
        <f>VLOOKUP($D42,Résultats!$B$2:$AZ$251,AD$2,FALSE)</f>
        <v>0</v>
      </c>
      <c r="AE42" s="57">
        <f>VLOOKUP($D42,Résultats!$B$2:$AZ$251,AE$2,FALSE)</f>
        <v>0</v>
      </c>
      <c r="AF42" s="57">
        <f>VLOOKUP($D42,Résultats!$B$2:$AZ$251,AF$2,FALSE)</f>
        <v>0</v>
      </c>
      <c r="AG42" s="57">
        <f>VLOOKUP($D42,Résultats!$B$2:$AZ$251,AG$2,FALSE)</f>
        <v>0</v>
      </c>
      <c r="AH42" s="57">
        <f>VLOOKUP($D42,Résultats!$B$2:$AZ$251,AH$2,FALSE)</f>
        <v>0</v>
      </c>
      <c r="AI42" s="57">
        <f>VLOOKUP($D42,Résultats!$B$2:$AZ$251,AI$2,FALSE)</f>
        <v>0</v>
      </c>
      <c r="AJ42" s="57">
        <f>VLOOKUP($D42,Résultats!$B$2:$AZ$251,AJ$2,FALSE)</f>
        <v>0</v>
      </c>
      <c r="AK42" s="57">
        <f>VLOOKUP($D42,Résultats!$B$2:$AZ$251,AK$2,FALSE)</f>
        <v>0</v>
      </c>
      <c r="AL42" s="57">
        <f>VLOOKUP($D42,Résultats!$B$2:$AZ$251,AL$2,FALSE)</f>
        <v>0</v>
      </c>
      <c r="AM42" s="215">
        <f>VLOOKUP($D42,Résultats!$B$2:$AZ$251,AM$2,FALSE)</f>
        <v>0</v>
      </c>
    </row>
    <row r="43" spans="2:39" x14ac:dyDescent="0.25">
      <c r="B43" s="229" t="s">
        <v>78</v>
      </c>
      <c r="C43" s="220" t="s">
        <v>463</v>
      </c>
      <c r="D43" s="58" t="s">
        <v>130</v>
      </c>
      <c r="E43" s="99">
        <f>VLOOKUP($D48,Résultats!$B$2:$AZ$212,E$2,FALSE)</f>
        <v>32001.800439999999</v>
      </c>
      <c r="F43" s="99">
        <f>VLOOKUP($D48,Résultats!$B$2:$AZ$212,F$2,FALSE)</f>
        <v>35911.307350000003</v>
      </c>
      <c r="G43" s="99">
        <f>VLOOKUP($D48,Résultats!$B$2:$AZ$212,G$2,FALSE)</f>
        <v>36708.886160000002</v>
      </c>
      <c r="H43" s="99">
        <f>VLOOKUP($D48,Résultats!$B$2:$AZ$212,H$2,FALSE)</f>
        <v>37113.743849999999</v>
      </c>
      <c r="I43" s="99">
        <f>VLOOKUP($D48,Résultats!$B$2:$AZ$212,I$2,FALSE)</f>
        <v>37436.741139999998</v>
      </c>
      <c r="J43" s="99">
        <f>VLOOKUP($D48,Résultats!$B$2:$AZ$212,J$2,FALSE)</f>
        <v>37586.338340000002</v>
      </c>
      <c r="K43" s="99">
        <f>VLOOKUP($D48,Résultats!$B$2:$AZ$212,K$2,FALSE)</f>
        <v>37630.152600000001</v>
      </c>
      <c r="L43" s="99">
        <f>VLOOKUP($D48,Résultats!$B$2:$AZ$212,L$2,FALSE)</f>
        <v>37667.482739999999</v>
      </c>
      <c r="M43" s="99">
        <f>VLOOKUP($D48,Résultats!$B$2:$AZ$212,M$2,FALSE)</f>
        <v>37572.667979999998</v>
      </c>
      <c r="N43" s="99">
        <f>VLOOKUP($D48,Résultats!$B$2:$AZ$212,N$2,FALSE)</f>
        <v>37378.310380000003</v>
      </c>
      <c r="O43" s="99">
        <f>VLOOKUP($D48,Résultats!$B$2:$AZ$212,O$2,FALSE)</f>
        <v>37070.510370000004</v>
      </c>
      <c r="P43" s="99">
        <f>VLOOKUP($D48,Résultats!$B$2:$AZ$212,P$2,FALSE)</f>
        <v>36694.875290000004</v>
      </c>
      <c r="Q43" s="99">
        <f>VLOOKUP($D48,Résultats!$B$2:$AZ$212,Q$2,FALSE)</f>
        <v>36282.501830000001</v>
      </c>
      <c r="R43" s="99">
        <f>VLOOKUP($D48,Résultats!$B$2:$AZ$212,R$2,FALSE)</f>
        <v>35814.683870000001</v>
      </c>
      <c r="S43" s="99">
        <f>VLOOKUP($D48,Résultats!$B$2:$AZ$212,S$2,FALSE)</f>
        <v>35306.181170000003</v>
      </c>
      <c r="T43" s="99">
        <f>VLOOKUP($D48,Résultats!$B$2:$AZ$212,T$2,FALSE)</f>
        <v>34841.396119999998</v>
      </c>
      <c r="U43" s="99">
        <f>VLOOKUP($D48,Résultats!$B$2:$AZ$212,U$2,FALSE)</f>
        <v>34405.94947</v>
      </c>
      <c r="V43" s="99">
        <f>VLOOKUP($D48,Résultats!$B$2:$AZ$212,V$2,FALSE)</f>
        <v>33997.503149999997</v>
      </c>
      <c r="W43" s="99">
        <f>VLOOKUP($D48,Résultats!$B$2:$AZ$212,W$2,FALSE)</f>
        <v>33613.40481</v>
      </c>
      <c r="X43" s="99">
        <f>VLOOKUP($D48,Résultats!$B$2:$AZ$212,X$2,FALSE)</f>
        <v>33248.46067</v>
      </c>
      <c r="Y43" s="99">
        <f>VLOOKUP($D48,Résultats!$B$2:$AZ$212,Y$2,FALSE)</f>
        <v>32933.453130000002</v>
      </c>
      <c r="Z43" s="99">
        <f>VLOOKUP($D48,Résultats!$B$2:$AZ$212,Z$2,FALSE)</f>
        <v>32651.707330000001</v>
      </c>
      <c r="AA43" s="99">
        <f>VLOOKUP($D48,Résultats!$B$2:$AZ$212,AA$2,FALSE)</f>
        <v>32388.026689999999</v>
      </c>
      <c r="AB43" s="99">
        <f>VLOOKUP($D48,Résultats!$B$2:$AZ$212,AB$2,FALSE)</f>
        <v>32138.093359999999</v>
      </c>
      <c r="AC43" s="99">
        <f>VLOOKUP($D48,Résultats!$B$2:$AZ$212,AC$2,FALSE)</f>
        <v>31899.757699999998</v>
      </c>
      <c r="AD43" s="99">
        <f>VLOOKUP($D48,Résultats!$B$2:$AZ$212,AD$2,FALSE)</f>
        <v>31668.10367</v>
      </c>
      <c r="AE43" s="99">
        <f>VLOOKUP($D48,Résultats!$B$2:$AZ$212,AE$2,FALSE)</f>
        <v>31449.069009999999</v>
      </c>
      <c r="AF43" s="99">
        <f>VLOOKUP($D48,Résultats!$B$2:$AZ$212,AF$2,FALSE)</f>
        <v>31238.63279</v>
      </c>
      <c r="AG43" s="99">
        <f>VLOOKUP($D48,Résultats!$B$2:$AZ$212,AG$2,FALSE)</f>
        <v>31039.068429999999</v>
      </c>
      <c r="AH43" s="99">
        <f>VLOOKUP($D48,Résultats!$B$2:$AZ$212,AH$2,FALSE)</f>
        <v>30779.438719999998</v>
      </c>
      <c r="AI43" s="99">
        <f>VLOOKUP($D48,Résultats!$B$2:$AZ$212,AI$2,FALSE)</f>
        <v>30535.862679999998</v>
      </c>
      <c r="AJ43" s="99">
        <f>VLOOKUP($D48,Résultats!$B$2:$AZ$212,AJ$2,FALSE)</f>
        <v>30306.296780000001</v>
      </c>
      <c r="AK43" s="99">
        <f>VLOOKUP($D48,Résultats!$B$2:$AZ$212,AK$2,FALSE)</f>
        <v>30085.792890000001</v>
      </c>
      <c r="AL43" s="99">
        <f>VLOOKUP($D48,Résultats!$B$2:$AZ$212,AL$2,FALSE)</f>
        <v>29875.546050000001</v>
      </c>
      <c r="AM43" s="104">
        <f>VLOOKUP($D48,Résultats!$B$2:$AZ$212,AM$2,FALSE)</f>
        <v>29636.235280000001</v>
      </c>
    </row>
    <row r="44" spans="2:39" x14ac:dyDescent="0.25">
      <c r="B44" s="230"/>
      <c r="C44" s="218" t="s">
        <v>8</v>
      </c>
      <c r="D44" s="54" t="s">
        <v>145</v>
      </c>
      <c r="E44" s="25">
        <f>VLOOKUP($D44,Résultats!$B$2:$AZ$212,E$2,FALSE)</f>
        <v>0</v>
      </c>
      <c r="F44" s="25">
        <f>VLOOKUP($D44,Résultats!$B$2:$AZ$212,F$2,FALSE)</f>
        <v>0</v>
      </c>
      <c r="G44" s="25">
        <f>VLOOKUP($D44,Résultats!$B$2:$AZ$212,G$2,FALSE)</f>
        <v>0</v>
      </c>
      <c r="H44" s="25">
        <f>VLOOKUP($D44,Résultats!$B$2:$AZ$212,H$2,FALSE)</f>
        <v>0</v>
      </c>
      <c r="I44" s="25">
        <f>VLOOKUP($D44,Résultats!$B$2:$AZ$212,I$2,FALSE)</f>
        <v>0</v>
      </c>
      <c r="J44" s="25">
        <f>VLOOKUP($D44,Résultats!$B$2:$AZ$212,J$2,FALSE)</f>
        <v>0</v>
      </c>
      <c r="K44" s="25">
        <f>VLOOKUP($D44,Résultats!$B$2:$AZ$212,K$2,FALSE)</f>
        <v>0</v>
      </c>
      <c r="L44" s="25">
        <f>VLOOKUP($D44,Résultats!$B$2:$AZ$212,L$2,FALSE)</f>
        <v>0</v>
      </c>
      <c r="M44" s="25">
        <f>VLOOKUP($D44,Résultats!$B$2:$AZ$212,M$2,FALSE)</f>
        <v>0</v>
      </c>
      <c r="N44" s="25">
        <f>VLOOKUP($D44,Résultats!$B$2:$AZ$212,N$2,FALSE)</f>
        <v>0</v>
      </c>
      <c r="O44" s="25">
        <f>VLOOKUP($D44,Résultats!$B$2:$AZ$212,O$2,FALSE)</f>
        <v>0</v>
      </c>
      <c r="P44" s="25">
        <f>VLOOKUP($D44,Résultats!$B$2:$AZ$212,P$2,FALSE)</f>
        <v>0</v>
      </c>
      <c r="Q44" s="25">
        <f>VLOOKUP($D44,Résultats!$B$2:$AZ$212,Q$2,FALSE)</f>
        <v>0</v>
      </c>
      <c r="R44" s="25">
        <f>VLOOKUP($D44,Résultats!$B$2:$AZ$212,R$2,FALSE)</f>
        <v>0</v>
      </c>
      <c r="S44" s="25">
        <f>VLOOKUP($D44,Résultats!$B$2:$AZ$212,S$2,FALSE)</f>
        <v>0</v>
      </c>
      <c r="T44" s="25">
        <f>VLOOKUP($D44,Résultats!$B$2:$AZ$212,T$2,FALSE)</f>
        <v>0</v>
      </c>
      <c r="U44" s="25">
        <f>VLOOKUP($D44,Résultats!$B$2:$AZ$212,U$2,FALSE)</f>
        <v>0</v>
      </c>
      <c r="V44" s="25">
        <f>VLOOKUP($D44,Résultats!$B$2:$AZ$212,V$2,FALSE)</f>
        <v>0</v>
      </c>
      <c r="W44" s="25">
        <f>VLOOKUP($D44,Résultats!$B$2:$AZ$212,W$2,FALSE)</f>
        <v>0</v>
      </c>
      <c r="X44" s="25">
        <f>VLOOKUP($D44,Résultats!$B$2:$AZ$212,X$2,FALSE)</f>
        <v>0</v>
      </c>
      <c r="Y44" s="25">
        <f>VLOOKUP($D44,Résultats!$B$2:$AZ$212,Y$2,FALSE)</f>
        <v>0</v>
      </c>
      <c r="Z44" s="25">
        <f>VLOOKUP($D44,Résultats!$B$2:$AZ$212,Z$2,FALSE)</f>
        <v>0</v>
      </c>
      <c r="AA44" s="25">
        <f>VLOOKUP($D44,Résultats!$B$2:$AZ$212,AA$2,FALSE)</f>
        <v>0</v>
      </c>
      <c r="AB44" s="25">
        <f>VLOOKUP($D44,Résultats!$B$2:$AZ$212,AB$2,FALSE)</f>
        <v>0</v>
      </c>
      <c r="AC44" s="25">
        <f>VLOOKUP($D44,Résultats!$B$2:$AZ$212,AC$2,FALSE)</f>
        <v>0</v>
      </c>
      <c r="AD44" s="25">
        <f>VLOOKUP($D44,Résultats!$B$2:$AZ$212,AD$2,FALSE)</f>
        <v>0</v>
      </c>
      <c r="AE44" s="25">
        <f>VLOOKUP($D44,Résultats!$B$2:$AZ$212,AE$2,FALSE)</f>
        <v>0</v>
      </c>
      <c r="AF44" s="25">
        <f>VLOOKUP($D44,Résultats!$B$2:$AZ$212,AF$2,FALSE)</f>
        <v>0</v>
      </c>
      <c r="AG44" s="25">
        <f>VLOOKUP($D44,Résultats!$B$2:$AZ$212,AG$2,FALSE)</f>
        <v>0</v>
      </c>
      <c r="AH44" s="25">
        <f>VLOOKUP($D44,Résultats!$B$2:$AZ$212,AH$2,FALSE)</f>
        <v>0</v>
      </c>
      <c r="AI44" s="25">
        <f>VLOOKUP($D44,Résultats!$B$2:$AZ$212,AI$2,FALSE)</f>
        <v>0</v>
      </c>
      <c r="AJ44" s="25">
        <f>VLOOKUP($D44,Résultats!$B$2:$AZ$212,AJ$2,FALSE)</f>
        <v>0</v>
      </c>
      <c r="AK44" s="25">
        <f>VLOOKUP($D44,Résultats!$B$2:$AZ$212,AK$2,FALSE)</f>
        <v>0</v>
      </c>
      <c r="AL44" s="25">
        <f>VLOOKUP($D44,Résultats!$B$2:$AZ$212,AL$2,FALSE)</f>
        <v>0</v>
      </c>
      <c r="AM44" s="102">
        <f>VLOOKUP($D44,Résultats!$B$2:$AZ$212,AM$2,FALSE)</f>
        <v>0</v>
      </c>
    </row>
    <row r="45" spans="2:39" x14ac:dyDescent="0.25">
      <c r="B45" s="230"/>
      <c r="C45" s="218" t="s">
        <v>6</v>
      </c>
      <c r="D45" s="3" t="s">
        <v>146</v>
      </c>
      <c r="E45" s="25">
        <f>VLOOKUP($D45,Résultats!$B$2:$AZ$212,E$2,FALSE)</f>
        <v>31999.388770000001</v>
      </c>
      <c r="F45" s="25">
        <f>VLOOKUP($D45,Résultats!$B$2:$AZ$212,F$2,FALSE)</f>
        <v>35789.497750000002</v>
      </c>
      <c r="G45" s="25">
        <f>VLOOKUP($D45,Résultats!$B$2:$AZ$212,G$2,FALSE)</f>
        <v>36417.9614</v>
      </c>
      <c r="H45" s="25">
        <f>VLOOKUP($D45,Résultats!$B$2:$AZ$212,H$2,FALSE)</f>
        <v>36728.058799999999</v>
      </c>
      <c r="I45" s="25">
        <f>VLOOKUP($D45,Résultats!$B$2:$AZ$212,I$2,FALSE)</f>
        <v>36935.83655</v>
      </c>
      <c r="J45" s="25">
        <f>VLOOKUP($D45,Résultats!$B$2:$AZ$212,J$2,FALSE)</f>
        <v>36954.147270000001</v>
      </c>
      <c r="K45" s="25">
        <f>VLOOKUP($D45,Résultats!$B$2:$AZ$212,K$2,FALSE)</f>
        <v>36828.744530000004</v>
      </c>
      <c r="L45" s="25">
        <f>VLOOKUP($D45,Résultats!$B$2:$AZ$212,L$2,FALSE)</f>
        <v>36649.043919999996</v>
      </c>
      <c r="M45" s="25">
        <f>VLOOKUP($D45,Résultats!$B$2:$AZ$212,M$2,FALSE)</f>
        <v>36313.296119999999</v>
      </c>
      <c r="N45" s="25">
        <f>VLOOKUP($D45,Résultats!$B$2:$AZ$212,N$2,FALSE)</f>
        <v>35852.417529999999</v>
      </c>
      <c r="O45" s="25">
        <f>VLOOKUP($D45,Résultats!$B$2:$AZ$212,O$2,FALSE)</f>
        <v>35235.781340000001</v>
      </c>
      <c r="P45" s="25">
        <f>VLOOKUP($D45,Résultats!$B$2:$AZ$212,P$2,FALSE)</f>
        <v>34464.934179999997</v>
      </c>
      <c r="Q45" s="25">
        <f>VLOOKUP($D45,Résultats!$B$2:$AZ$212,Q$2,FALSE)</f>
        <v>33517.669589999998</v>
      </c>
      <c r="R45" s="25">
        <f>VLOOKUP($D45,Résultats!$B$2:$AZ$212,R$2,FALSE)</f>
        <v>32374.44094</v>
      </c>
      <c r="S45" s="25">
        <f>VLOOKUP($D45,Résultats!$B$2:$AZ$212,S$2,FALSE)</f>
        <v>31056.18447</v>
      </c>
      <c r="T45" s="25">
        <f>VLOOKUP($D45,Résultats!$B$2:$AZ$212,T$2,FALSE)</f>
        <v>29621.741849999999</v>
      </c>
      <c r="U45" s="25">
        <f>VLOOKUP($D45,Résultats!$B$2:$AZ$212,U$2,FALSE)</f>
        <v>28107.115959999999</v>
      </c>
      <c r="V45" s="25">
        <f>VLOOKUP($D45,Résultats!$B$2:$AZ$212,V$2,FALSE)</f>
        <v>26562.466179999999</v>
      </c>
      <c r="W45" s="25">
        <f>VLOOKUP($D45,Résultats!$B$2:$AZ$212,W$2,FALSE)</f>
        <v>25032.142970000001</v>
      </c>
      <c r="X45" s="25">
        <f>VLOOKUP($D45,Résultats!$B$2:$AZ$212,X$2,FALSE)</f>
        <v>23546.686290000001</v>
      </c>
      <c r="Y45" s="25">
        <f>VLOOKUP($D45,Résultats!$B$2:$AZ$212,Y$2,FALSE)</f>
        <v>22123.863290000001</v>
      </c>
      <c r="Z45" s="25">
        <f>VLOOKUP($D45,Résultats!$B$2:$AZ$212,Z$2,FALSE)</f>
        <v>20770.883819999999</v>
      </c>
      <c r="AA45" s="25">
        <f>VLOOKUP($D45,Résultats!$B$2:$AZ$212,AA$2,FALSE)</f>
        <v>19489.85353</v>
      </c>
      <c r="AB45" s="25">
        <f>VLOOKUP($D45,Résultats!$B$2:$AZ$212,AB$2,FALSE)</f>
        <v>18280.02331</v>
      </c>
      <c r="AC45" s="25">
        <f>VLOOKUP($D45,Résultats!$B$2:$AZ$212,AC$2,FALSE)</f>
        <v>17139.143619999999</v>
      </c>
      <c r="AD45" s="25">
        <f>VLOOKUP($D45,Résultats!$B$2:$AZ$212,AD$2,FALSE)</f>
        <v>16068.75461</v>
      </c>
      <c r="AE45" s="25">
        <f>VLOOKUP($D45,Résultats!$B$2:$AZ$212,AE$2,FALSE)</f>
        <v>15064.86075</v>
      </c>
      <c r="AF45" s="25">
        <f>VLOOKUP($D45,Résultats!$B$2:$AZ$212,AF$2,FALSE)</f>
        <v>14123.507960000001</v>
      </c>
      <c r="AG45" s="25">
        <f>VLOOKUP($D45,Résultats!$B$2:$AZ$212,AG$2,FALSE)</f>
        <v>13240.88905</v>
      </c>
      <c r="AH45" s="25">
        <f>VLOOKUP($D45,Résultats!$B$2:$AZ$212,AH$2,FALSE)</f>
        <v>12358.214889999999</v>
      </c>
      <c r="AI45" s="25">
        <f>VLOOKUP($D45,Résultats!$B$2:$AZ$212,AI$2,FALSE)</f>
        <v>11534.35975</v>
      </c>
      <c r="AJ45" s="25">
        <f>VLOOKUP($D45,Résultats!$B$2:$AZ$212,AJ$2,FALSE)</f>
        <v>10765.41534</v>
      </c>
      <c r="AK45" s="25">
        <f>VLOOKUP($D45,Résultats!$B$2:$AZ$212,AK$2,FALSE)</f>
        <v>10047.727419999999</v>
      </c>
      <c r="AL45" s="25">
        <f>VLOOKUP($D45,Résultats!$B$2:$AZ$212,AL$2,FALSE)</f>
        <v>9377.8821270000008</v>
      </c>
      <c r="AM45" s="102">
        <f>VLOOKUP($D45,Résultats!$B$2:$AZ$212,AM$2,FALSE)</f>
        <v>8752.6915480000007</v>
      </c>
    </row>
    <row r="46" spans="2:39" x14ac:dyDescent="0.25">
      <c r="B46" s="230"/>
      <c r="C46" s="218" t="s">
        <v>34</v>
      </c>
      <c r="D46" s="3" t="s">
        <v>147</v>
      </c>
      <c r="E46" s="25">
        <f>VLOOKUP($D46,Résultats!$B$2:$AZ$212,E$2,FALSE)</f>
        <v>2.411668513</v>
      </c>
      <c r="F46" s="25">
        <f>VLOOKUP($D46,Résultats!$B$2:$AZ$212,F$2,FALSE)</f>
        <v>121.8096029</v>
      </c>
      <c r="G46" s="25">
        <f>VLOOKUP($D46,Résultats!$B$2:$AZ$212,G$2,FALSE)</f>
        <v>290.9247565</v>
      </c>
      <c r="H46" s="25">
        <f>VLOOKUP($D46,Résultats!$B$2:$AZ$212,H$2,FALSE)</f>
        <v>385.68504469999999</v>
      </c>
      <c r="I46" s="25">
        <f>VLOOKUP($D46,Résultats!$B$2:$AZ$212,I$2,FALSE)</f>
        <v>500.90459370000002</v>
      </c>
      <c r="J46" s="25">
        <f>VLOOKUP($D46,Résultats!$B$2:$AZ$212,J$2,FALSE)</f>
        <v>632.19106969999996</v>
      </c>
      <c r="K46" s="25">
        <f>VLOOKUP($D46,Résultats!$B$2:$AZ$212,K$2,FALSE)</f>
        <v>801.4080692</v>
      </c>
      <c r="L46" s="25">
        <f>VLOOKUP($D46,Résultats!$B$2:$AZ$212,L$2,FALSE)</f>
        <v>1018.438821</v>
      </c>
      <c r="M46" s="25">
        <f>VLOOKUP($D46,Résultats!$B$2:$AZ$212,M$2,FALSE)</f>
        <v>1259.3718570000001</v>
      </c>
      <c r="N46" s="25">
        <f>VLOOKUP($D46,Résultats!$B$2:$AZ$212,N$2,FALSE)</f>
        <v>1525.892846</v>
      </c>
      <c r="O46" s="25">
        <f>VLOOKUP($D46,Résultats!$B$2:$AZ$212,O$2,FALSE)</f>
        <v>1834.7290290000001</v>
      </c>
      <c r="P46" s="25">
        <f>VLOOKUP($D46,Résultats!$B$2:$AZ$212,P$2,FALSE)</f>
        <v>2229.9411060000002</v>
      </c>
      <c r="Q46" s="25">
        <f>VLOOKUP($D46,Résultats!$B$2:$AZ$212,Q$2,FALSE)</f>
        <v>2764.8322320000002</v>
      </c>
      <c r="R46" s="25">
        <f>VLOOKUP($D46,Résultats!$B$2:$AZ$212,R$2,FALSE)</f>
        <v>3440.2429350000002</v>
      </c>
      <c r="S46" s="25">
        <f>VLOOKUP($D46,Résultats!$B$2:$AZ$212,S$2,FALSE)</f>
        <v>4249.9966990000003</v>
      </c>
      <c r="T46" s="25">
        <f>VLOOKUP($D46,Résultats!$B$2:$AZ$212,T$2,FALSE)</f>
        <v>5219.65427</v>
      </c>
      <c r="U46" s="25">
        <f>VLOOKUP($D46,Résultats!$B$2:$AZ$212,U$2,FALSE)</f>
        <v>6298.8335109999998</v>
      </c>
      <c r="V46" s="25">
        <f>VLOOKUP($D46,Résultats!$B$2:$AZ$212,V$2,FALSE)</f>
        <v>7435.0369650000002</v>
      </c>
      <c r="W46" s="25">
        <f>VLOOKUP($D46,Résultats!$B$2:$AZ$212,W$2,FALSE)</f>
        <v>8581.2618419999999</v>
      </c>
      <c r="X46" s="25">
        <f>VLOOKUP($D46,Résultats!$B$2:$AZ$212,X$2,FALSE)</f>
        <v>9701.7743850000006</v>
      </c>
      <c r="Y46" s="25">
        <f>VLOOKUP($D46,Résultats!$B$2:$AZ$212,Y$2,FALSE)</f>
        <v>10809.589840000001</v>
      </c>
      <c r="Z46" s="25">
        <f>VLOOKUP($D46,Résultats!$B$2:$AZ$212,Z$2,FALSE)</f>
        <v>11880.82351</v>
      </c>
      <c r="AA46" s="25">
        <f>VLOOKUP($D46,Résultats!$B$2:$AZ$212,AA$2,FALSE)</f>
        <v>12898.17316</v>
      </c>
      <c r="AB46" s="25">
        <f>VLOOKUP($D46,Résultats!$B$2:$AZ$212,AB$2,FALSE)</f>
        <v>13858.07005</v>
      </c>
      <c r="AC46" s="25">
        <f>VLOOKUP($D46,Résultats!$B$2:$AZ$212,AC$2,FALSE)</f>
        <v>14760.614079999999</v>
      </c>
      <c r="AD46" s="25">
        <f>VLOOKUP($D46,Résultats!$B$2:$AZ$212,AD$2,FALSE)</f>
        <v>15599.34906</v>
      </c>
      <c r="AE46" s="25">
        <f>VLOOKUP($D46,Résultats!$B$2:$AZ$212,AE$2,FALSE)</f>
        <v>16384.208259999999</v>
      </c>
      <c r="AF46" s="25">
        <f>VLOOKUP($D46,Résultats!$B$2:$AZ$212,AF$2,FALSE)</f>
        <v>17115.124830000001</v>
      </c>
      <c r="AG46" s="25">
        <f>VLOOKUP($D46,Résultats!$B$2:$AZ$212,AG$2,FALSE)</f>
        <v>17798.179380000001</v>
      </c>
      <c r="AH46" s="25">
        <f>VLOOKUP($D46,Résultats!$B$2:$AZ$212,AH$2,FALSE)</f>
        <v>18421.223829999999</v>
      </c>
      <c r="AI46" s="25">
        <f>VLOOKUP($D46,Résultats!$B$2:$AZ$212,AI$2,FALSE)</f>
        <v>19001.502919999999</v>
      </c>
      <c r="AJ46" s="25">
        <f>VLOOKUP($D46,Résultats!$B$2:$AZ$212,AJ$2,FALSE)</f>
        <v>19540.881430000001</v>
      </c>
      <c r="AK46" s="25">
        <f>VLOOKUP($D46,Résultats!$B$2:$AZ$212,AK$2,FALSE)</f>
        <v>20038.065470000001</v>
      </c>
      <c r="AL46" s="25">
        <f>VLOOKUP($D46,Résultats!$B$2:$AZ$212,AL$2,FALSE)</f>
        <v>20497.663929999999</v>
      </c>
      <c r="AM46" s="102">
        <f>VLOOKUP($D46,Résultats!$B$2:$AZ$212,AM$2,FALSE)</f>
        <v>20883.543730000001</v>
      </c>
    </row>
    <row r="47" spans="2:39" x14ac:dyDescent="0.25">
      <c r="B47" s="230"/>
      <c r="C47" s="218" t="s">
        <v>35</v>
      </c>
      <c r="D47" s="3" t="s">
        <v>148</v>
      </c>
      <c r="E47" s="25">
        <f>VLOOKUP($D47,Résultats!$B$2:$AZ$212,E$2,FALSE)</f>
        <v>2.2615513600000001E-2</v>
      </c>
      <c r="F47" s="25">
        <f>VLOOKUP($D47,Résultats!$B$2:$AZ$212,F$2,FALSE)</f>
        <v>0.23506348269999999</v>
      </c>
      <c r="G47" s="25">
        <f>VLOOKUP($D47,Résultats!$B$2:$AZ$212,G$2,FALSE)</f>
        <v>0.26365879530000003</v>
      </c>
      <c r="H47" s="25">
        <f>VLOOKUP($D47,Résultats!$B$2:$AZ$212,H$2,FALSE)</f>
        <v>0.28858666859999998</v>
      </c>
      <c r="I47" s="25">
        <f>VLOOKUP($D47,Résultats!$B$2:$AZ$212,I$2,FALSE)</f>
        <v>0.33832173129999998</v>
      </c>
      <c r="J47" s="25">
        <f>VLOOKUP($D47,Résultats!$B$2:$AZ$212,J$2,FALSE)</f>
        <v>0.37926170050000002</v>
      </c>
      <c r="K47" s="25">
        <f>VLOOKUP($D47,Résultats!$B$2:$AZ$212,K$2,FALSE)</f>
        <v>0.45124338400000003</v>
      </c>
      <c r="L47" s="25">
        <f>VLOOKUP($D47,Résultats!$B$2:$AZ$212,L$2,FALSE)</f>
        <v>0.5377736421</v>
      </c>
      <c r="M47" s="25">
        <f>VLOOKUP($D47,Résultats!$B$2:$AZ$212,M$2,FALSE)</f>
        <v>0.61714696040000006</v>
      </c>
      <c r="N47" s="25">
        <f>VLOOKUP($D47,Résultats!$B$2:$AZ$212,N$2,FALSE)</f>
        <v>0.68826377549999995</v>
      </c>
      <c r="O47" s="25">
        <f>VLOOKUP($D47,Résultats!$B$2:$AZ$212,O$2,FALSE)</f>
        <v>0.74918663809999997</v>
      </c>
      <c r="P47" s="25">
        <f>VLOOKUP($D47,Résultats!$B$2:$AZ$212,P$2,FALSE)</f>
        <v>0.79947139990000005</v>
      </c>
      <c r="Q47" s="25">
        <f>VLOOKUP($D47,Résultats!$B$2:$AZ$212,Q$2,FALSE)</f>
        <v>0.83459500659999997</v>
      </c>
      <c r="R47" s="25">
        <f>VLOOKUP($D47,Résultats!$B$2:$AZ$212,R$2,FALSE)</f>
        <v>0.85367699649999995</v>
      </c>
      <c r="S47" s="25">
        <f>VLOOKUP($D47,Résultats!$B$2:$AZ$212,S$2,FALSE)</f>
        <v>0.85607801309999998</v>
      </c>
      <c r="T47" s="25">
        <f>VLOOKUP($D47,Résultats!$B$2:$AZ$212,T$2,FALSE)</f>
        <v>0.84394441539999998</v>
      </c>
      <c r="U47" s="25">
        <f>VLOOKUP($D47,Résultats!$B$2:$AZ$212,U$2,FALSE)</f>
        <v>0.8192470073</v>
      </c>
      <c r="V47" s="25">
        <f>VLOOKUP($D47,Résultats!$B$2:$AZ$212,V$2,FALSE)</f>
        <v>0.7857448373</v>
      </c>
      <c r="W47" s="25">
        <f>VLOOKUP($D47,Résultats!$B$2:$AZ$212,W$2,FALSE)</f>
        <v>0.74721588940000006</v>
      </c>
      <c r="X47" s="25">
        <f>VLOOKUP($D47,Résultats!$B$2:$AZ$212,X$2,FALSE)</f>
        <v>0.70669670449999999</v>
      </c>
      <c r="Y47" s="25">
        <f>VLOOKUP($D47,Résultats!$B$2:$AZ$212,Y$2,FALSE)</f>
        <v>0.66611802519999996</v>
      </c>
      <c r="Z47" s="25">
        <f>VLOOKUP($D47,Résultats!$B$2:$AZ$212,Z$2,FALSE)</f>
        <v>0.62653318160000004</v>
      </c>
      <c r="AA47" s="25">
        <f>VLOOKUP($D47,Résultats!$B$2:$AZ$212,AA$2,FALSE)</f>
        <v>0.58850881310000003</v>
      </c>
      <c r="AB47" s="25">
        <f>VLOOKUP($D47,Résultats!$B$2:$AZ$212,AB$2,FALSE)</f>
        <v>0.55230477290000002</v>
      </c>
      <c r="AC47" s="25">
        <f>VLOOKUP($D47,Résultats!$B$2:$AZ$212,AC$2,FALSE)</f>
        <v>0.51800776999999998</v>
      </c>
      <c r="AD47" s="25">
        <f>VLOOKUP($D47,Résultats!$B$2:$AZ$212,AD$2,FALSE)</f>
        <v>0.48574725520000001</v>
      </c>
      <c r="AE47" s="25">
        <f>VLOOKUP($D47,Résultats!$B$2:$AZ$212,AE$2,FALSE)</f>
        <v>0.455447663</v>
      </c>
      <c r="AF47" s="25">
        <f>VLOOKUP($D47,Résultats!$B$2:$AZ$212,AF$2,FALSE)</f>
        <v>0.4270130016</v>
      </c>
      <c r="AG47" s="25">
        <f>VLOOKUP($D47,Résultats!$B$2:$AZ$212,AG$2,FALSE)</f>
        <v>0.40034063819999999</v>
      </c>
      <c r="AH47" s="25">
        <f>VLOOKUP($D47,Résultats!$B$2:$AZ$212,AH$2,FALSE)</f>
        <v>0.37366028350000002</v>
      </c>
      <c r="AI47" s="25">
        <f>VLOOKUP($D47,Résultats!$B$2:$AZ$212,AI$2,FALSE)</f>
        <v>0.34875426770000001</v>
      </c>
      <c r="AJ47" s="25">
        <f>VLOOKUP($D47,Résultats!$B$2:$AZ$212,AJ$2,FALSE)</f>
        <v>0.3255064017</v>
      </c>
      <c r="AK47" s="25">
        <f>VLOOKUP($D47,Résultats!$B$2:$AZ$212,AK$2,FALSE)</f>
        <v>0.30380722310000002</v>
      </c>
      <c r="AL47" s="25">
        <f>VLOOKUP($D47,Résultats!$B$2:$AZ$212,AL$2,FALSE)</f>
        <v>0.28355405249999999</v>
      </c>
      <c r="AM47" s="102">
        <f>VLOOKUP($D47,Résultats!$B$2:$AZ$212,AM$2,FALSE)</f>
        <v>0.26465077479999999</v>
      </c>
    </row>
    <row r="48" spans="2:39" x14ac:dyDescent="0.25">
      <c r="B48" s="230"/>
      <c r="C48" s="220" t="s">
        <v>463</v>
      </c>
      <c r="D48" s="58" t="s">
        <v>130</v>
      </c>
      <c r="E48" s="59">
        <f>VLOOKUP($D48,Résultats!$B$2:$AZ$212,E$2,FALSE)</f>
        <v>32001.800439999999</v>
      </c>
      <c r="F48" s="59">
        <f>VLOOKUP($D48,Résultats!$B$2:$AZ$212,F$2,FALSE)</f>
        <v>35911.307350000003</v>
      </c>
      <c r="G48" s="59">
        <f>VLOOKUP($D48,Résultats!$B$2:$AZ$212,G$2,FALSE)</f>
        <v>36708.886160000002</v>
      </c>
      <c r="H48" s="59">
        <f>VLOOKUP($D48,Résultats!$B$2:$AZ$212,H$2,FALSE)</f>
        <v>37113.743849999999</v>
      </c>
      <c r="I48" s="59">
        <f>VLOOKUP($D48,Résultats!$B$2:$AZ$212,I$2,FALSE)</f>
        <v>37436.741139999998</v>
      </c>
      <c r="J48" s="59">
        <f>VLOOKUP($D48,Résultats!$B$2:$AZ$212,J$2,FALSE)</f>
        <v>37586.338340000002</v>
      </c>
      <c r="K48" s="59">
        <f>VLOOKUP($D48,Résultats!$B$2:$AZ$212,K$2,FALSE)</f>
        <v>37630.152600000001</v>
      </c>
      <c r="L48" s="59">
        <f>VLOOKUP($D48,Résultats!$B$2:$AZ$212,L$2,FALSE)</f>
        <v>37667.482739999999</v>
      </c>
      <c r="M48" s="59">
        <f>VLOOKUP($D48,Résultats!$B$2:$AZ$212,M$2,FALSE)</f>
        <v>37572.667979999998</v>
      </c>
      <c r="N48" s="59">
        <f>VLOOKUP($D48,Résultats!$B$2:$AZ$212,N$2,FALSE)</f>
        <v>37378.310380000003</v>
      </c>
      <c r="O48" s="59">
        <f>VLOOKUP($D48,Résultats!$B$2:$AZ$212,O$2,FALSE)</f>
        <v>37070.510370000004</v>
      </c>
      <c r="P48" s="59">
        <f>VLOOKUP($D48,Résultats!$B$2:$AZ$212,P$2,FALSE)</f>
        <v>36694.875290000004</v>
      </c>
      <c r="Q48" s="59">
        <f>VLOOKUP($D48,Résultats!$B$2:$AZ$212,Q$2,FALSE)</f>
        <v>36282.501830000001</v>
      </c>
      <c r="R48" s="59">
        <f>VLOOKUP($D48,Résultats!$B$2:$AZ$212,R$2,FALSE)</f>
        <v>35814.683870000001</v>
      </c>
      <c r="S48" s="59">
        <f>VLOOKUP($D48,Résultats!$B$2:$AZ$212,S$2,FALSE)</f>
        <v>35306.181170000003</v>
      </c>
      <c r="T48" s="59">
        <f>VLOOKUP($D48,Résultats!$B$2:$AZ$212,T$2,FALSE)</f>
        <v>34841.396119999998</v>
      </c>
      <c r="U48" s="59">
        <f>VLOOKUP($D48,Résultats!$B$2:$AZ$212,U$2,FALSE)</f>
        <v>34405.94947</v>
      </c>
      <c r="V48" s="59">
        <f>VLOOKUP($D48,Résultats!$B$2:$AZ$212,V$2,FALSE)</f>
        <v>33997.503149999997</v>
      </c>
      <c r="W48" s="59">
        <f>VLOOKUP($D48,Résultats!$B$2:$AZ$212,W$2,FALSE)</f>
        <v>33613.40481</v>
      </c>
      <c r="X48" s="59">
        <f>VLOOKUP($D48,Résultats!$B$2:$AZ$212,X$2,FALSE)</f>
        <v>33248.46067</v>
      </c>
      <c r="Y48" s="59">
        <f>VLOOKUP($D48,Résultats!$B$2:$AZ$212,Y$2,FALSE)</f>
        <v>32933.453130000002</v>
      </c>
      <c r="Z48" s="59">
        <f>VLOOKUP($D48,Résultats!$B$2:$AZ$212,Z$2,FALSE)</f>
        <v>32651.707330000001</v>
      </c>
      <c r="AA48" s="59">
        <f>VLOOKUP($D48,Résultats!$B$2:$AZ$212,AA$2,FALSE)</f>
        <v>32388.026689999999</v>
      </c>
      <c r="AB48" s="59">
        <f>VLOOKUP($D48,Résultats!$B$2:$AZ$212,AB$2,FALSE)</f>
        <v>32138.093359999999</v>
      </c>
      <c r="AC48" s="59">
        <f>VLOOKUP($D48,Résultats!$B$2:$AZ$212,AC$2,FALSE)</f>
        <v>31899.757699999998</v>
      </c>
      <c r="AD48" s="59">
        <f>VLOOKUP($D48,Résultats!$B$2:$AZ$212,AD$2,FALSE)</f>
        <v>31668.10367</v>
      </c>
      <c r="AE48" s="59">
        <f>VLOOKUP($D48,Résultats!$B$2:$AZ$212,AE$2,FALSE)</f>
        <v>31449.069009999999</v>
      </c>
      <c r="AF48" s="59">
        <f>VLOOKUP($D48,Résultats!$B$2:$AZ$212,AF$2,FALSE)</f>
        <v>31238.63279</v>
      </c>
      <c r="AG48" s="59">
        <f>VLOOKUP($D48,Résultats!$B$2:$AZ$212,AG$2,FALSE)</f>
        <v>31039.068429999999</v>
      </c>
      <c r="AH48" s="59">
        <f>VLOOKUP($D48,Résultats!$B$2:$AZ$212,AH$2,FALSE)</f>
        <v>30779.438719999998</v>
      </c>
      <c r="AI48" s="59">
        <f>VLOOKUP($D48,Résultats!$B$2:$AZ$212,AI$2,FALSE)</f>
        <v>30535.862679999998</v>
      </c>
      <c r="AJ48" s="59">
        <f>VLOOKUP($D48,Résultats!$B$2:$AZ$212,AJ$2,FALSE)</f>
        <v>30306.296780000001</v>
      </c>
      <c r="AK48" s="59">
        <f>VLOOKUP($D48,Résultats!$B$2:$AZ$212,AK$2,FALSE)</f>
        <v>30085.792890000001</v>
      </c>
      <c r="AL48" s="59">
        <f>VLOOKUP($D48,Résultats!$B$2:$AZ$212,AL$2,FALSE)</f>
        <v>29875.546050000001</v>
      </c>
      <c r="AM48" s="103">
        <f>VLOOKUP($D48,Résultats!$B$2:$AZ$212,AM$2,FALSE)</f>
        <v>29636.235280000001</v>
      </c>
    </row>
    <row r="49" spans="2:40" x14ac:dyDescent="0.25">
      <c r="B49" s="230"/>
      <c r="C49" s="221" t="s">
        <v>462</v>
      </c>
      <c r="D49" s="3" t="s">
        <v>147</v>
      </c>
      <c r="E49" s="61">
        <f>VLOOKUP($D49,Résultats!$B$2:$AZ$212,E$2,FALSE)</f>
        <v>2.411668513</v>
      </c>
      <c r="F49" s="61">
        <f>VLOOKUP($D49,Résultats!$B$2:$AZ$212,F$2,FALSE)</f>
        <v>121.8096029</v>
      </c>
      <c r="G49" s="61">
        <f>VLOOKUP($D49,Résultats!$B$2:$AZ$212,G$2,FALSE)</f>
        <v>290.9247565</v>
      </c>
      <c r="H49" s="61">
        <f>VLOOKUP($D49,Résultats!$B$2:$AZ$212,H$2,FALSE)</f>
        <v>385.68504469999999</v>
      </c>
      <c r="I49" s="61">
        <f>VLOOKUP($D49,Résultats!$B$2:$AZ$212,I$2,FALSE)</f>
        <v>500.90459370000002</v>
      </c>
      <c r="J49" s="61">
        <f>VLOOKUP($D49,Résultats!$B$2:$AZ$212,J$2,FALSE)</f>
        <v>632.19106969999996</v>
      </c>
      <c r="K49" s="61">
        <f>VLOOKUP($D49,Résultats!$B$2:$AZ$212,K$2,FALSE)</f>
        <v>801.4080692</v>
      </c>
      <c r="L49" s="61">
        <f>VLOOKUP($D49,Résultats!$B$2:$AZ$212,L$2,FALSE)</f>
        <v>1018.438821</v>
      </c>
      <c r="M49" s="61">
        <f>VLOOKUP($D49,Résultats!$B$2:$AZ$212,M$2,FALSE)</f>
        <v>1259.3718570000001</v>
      </c>
      <c r="N49" s="61">
        <f>VLOOKUP($D49,Résultats!$B$2:$AZ$212,N$2,FALSE)</f>
        <v>1525.892846</v>
      </c>
      <c r="O49" s="61">
        <f>VLOOKUP($D49,Résultats!$B$2:$AZ$212,O$2,FALSE)</f>
        <v>1834.7290290000001</v>
      </c>
      <c r="P49" s="61">
        <f>VLOOKUP($D49,Résultats!$B$2:$AZ$212,P$2,FALSE)</f>
        <v>2229.9411060000002</v>
      </c>
      <c r="Q49" s="61">
        <f>VLOOKUP($D49,Résultats!$B$2:$AZ$212,Q$2,FALSE)</f>
        <v>2764.8322320000002</v>
      </c>
      <c r="R49" s="61">
        <f>VLOOKUP($D49,Résultats!$B$2:$AZ$212,R$2,FALSE)</f>
        <v>3440.2429350000002</v>
      </c>
      <c r="S49" s="61">
        <f>VLOOKUP($D49,Résultats!$B$2:$AZ$212,S$2,FALSE)</f>
        <v>4249.9966990000003</v>
      </c>
      <c r="T49" s="61">
        <f>VLOOKUP($D49,Résultats!$B$2:$AZ$212,T$2,FALSE)</f>
        <v>5219.65427</v>
      </c>
      <c r="U49" s="61">
        <f>VLOOKUP($D49,Résultats!$B$2:$AZ$212,U$2,FALSE)</f>
        <v>6298.8335109999998</v>
      </c>
      <c r="V49" s="61">
        <f>VLOOKUP($D49,Résultats!$B$2:$AZ$212,V$2,FALSE)</f>
        <v>7435.0369650000002</v>
      </c>
      <c r="W49" s="61">
        <f>VLOOKUP($D49,Résultats!$B$2:$AZ$212,W$2,FALSE)</f>
        <v>8581.2618419999999</v>
      </c>
      <c r="X49" s="61">
        <f>VLOOKUP($D49,Résultats!$B$2:$AZ$212,X$2,FALSE)</f>
        <v>9701.7743850000006</v>
      </c>
      <c r="Y49" s="61">
        <f>VLOOKUP($D49,Résultats!$B$2:$AZ$212,Y$2,FALSE)</f>
        <v>10809.589840000001</v>
      </c>
      <c r="Z49" s="61">
        <f>VLOOKUP($D49,Résultats!$B$2:$AZ$212,Z$2,FALSE)</f>
        <v>11880.82351</v>
      </c>
      <c r="AA49" s="61">
        <f>VLOOKUP($D49,Résultats!$B$2:$AZ$212,AA$2,FALSE)</f>
        <v>12898.17316</v>
      </c>
      <c r="AB49" s="61">
        <f>VLOOKUP($D49,Résultats!$B$2:$AZ$212,AB$2,FALSE)</f>
        <v>13858.07005</v>
      </c>
      <c r="AC49" s="61">
        <f>VLOOKUP($D49,Résultats!$B$2:$AZ$212,AC$2,FALSE)</f>
        <v>14760.614079999999</v>
      </c>
      <c r="AD49" s="61">
        <f>VLOOKUP($D49,Résultats!$B$2:$AZ$212,AD$2,FALSE)</f>
        <v>15599.34906</v>
      </c>
      <c r="AE49" s="61">
        <f>VLOOKUP($D49,Résultats!$B$2:$AZ$212,AE$2,FALSE)</f>
        <v>16384.208259999999</v>
      </c>
      <c r="AF49" s="61">
        <f>VLOOKUP($D49,Résultats!$B$2:$AZ$212,AF$2,FALSE)</f>
        <v>17115.124830000001</v>
      </c>
      <c r="AG49" s="61">
        <f>VLOOKUP($D49,Résultats!$B$2:$AZ$212,AG$2,FALSE)</f>
        <v>17798.179380000001</v>
      </c>
      <c r="AH49" s="61">
        <f>VLOOKUP($D49,Résultats!$B$2:$AZ$212,AH$2,FALSE)</f>
        <v>18421.223829999999</v>
      </c>
      <c r="AI49" s="61">
        <f>VLOOKUP($D49,Résultats!$B$2:$AZ$212,AI$2,FALSE)</f>
        <v>19001.502919999999</v>
      </c>
      <c r="AJ49" s="61">
        <f>VLOOKUP($D49,Résultats!$B$2:$AZ$212,AJ$2,FALSE)</f>
        <v>19540.881430000001</v>
      </c>
      <c r="AK49" s="61">
        <f>VLOOKUP($D49,Résultats!$B$2:$AZ$212,AK$2,FALSE)</f>
        <v>20038.065470000001</v>
      </c>
      <c r="AL49" s="61">
        <f>VLOOKUP($D49,Résultats!$B$2:$AZ$212,AL$2,FALSE)</f>
        <v>20497.663929999999</v>
      </c>
      <c r="AM49" s="225">
        <f>VLOOKUP($D49,Résultats!$B$2:$AZ$212,AM$2,FALSE)</f>
        <v>20883.543730000001</v>
      </c>
    </row>
    <row r="50" spans="2:40" x14ac:dyDescent="0.25">
      <c r="B50" s="230"/>
      <c r="C50" s="222" t="s">
        <v>27</v>
      </c>
      <c r="D50" s="63" t="s">
        <v>138</v>
      </c>
      <c r="E50" s="25">
        <f>VLOOKUP($D50,Résultats!$B$2:$AZ$212,E$2,FALSE)</f>
        <v>7.1825179100000001E-3</v>
      </c>
      <c r="F50" s="25">
        <f>VLOOKUP($D50,Résultats!$B$2:$AZ$212,F$2,FALSE)</f>
        <v>0.81291993610000002</v>
      </c>
      <c r="G50" s="25">
        <f>VLOOKUP($D50,Résultats!$B$2:$AZ$212,G$2,FALSE)</f>
        <v>1.4844899309999999</v>
      </c>
      <c r="H50" s="25">
        <f>VLOOKUP($D50,Résultats!$B$2:$AZ$212,H$2,FALSE)</f>
        <v>1.97992816</v>
      </c>
      <c r="I50" s="25">
        <f>VLOOKUP($D50,Résultats!$B$2:$AZ$212,I$2,FALSE)</f>
        <v>2.9113228109999998</v>
      </c>
      <c r="J50" s="25">
        <f>VLOOKUP($D50,Résultats!$B$2:$AZ$212,J$2,FALSE)</f>
        <v>4.4227776519999997</v>
      </c>
      <c r="K50" s="25">
        <f>VLOOKUP($D50,Résultats!$B$2:$AZ$212,K$2,FALSE)</f>
        <v>8.6058298670000006</v>
      </c>
      <c r="L50" s="25">
        <f>VLOOKUP($D50,Résultats!$B$2:$AZ$212,L$2,FALSE)</f>
        <v>15.72361858</v>
      </c>
      <c r="M50" s="25">
        <f>VLOOKUP($D50,Résultats!$B$2:$AZ$212,M$2,FALSE)</f>
        <v>24.304105280000002</v>
      </c>
      <c r="N50" s="25">
        <f>VLOOKUP($D50,Résultats!$B$2:$AZ$212,N$2,FALSE)</f>
        <v>34.446736829999999</v>
      </c>
      <c r="O50" s="25">
        <f>VLOOKUP($D50,Résultats!$B$2:$AZ$212,O$2,FALSE)</f>
        <v>47.097024169999997</v>
      </c>
      <c r="P50" s="25">
        <f>VLOOKUP($D50,Résultats!$B$2:$AZ$212,P$2,FALSE)</f>
        <v>64.06323347</v>
      </c>
      <c r="Q50" s="25">
        <f>VLOOKUP($D50,Résultats!$B$2:$AZ$212,Q$2,FALSE)</f>
        <v>87.925509730000002</v>
      </c>
      <c r="R50" s="25">
        <f>VLOOKUP($D50,Résultats!$B$2:$AZ$212,R$2,FALSE)</f>
        <v>119.62238480000001</v>
      </c>
      <c r="S50" s="25">
        <f>VLOOKUP($D50,Résultats!$B$2:$AZ$212,S$2,FALSE)</f>
        <v>159.78846350000001</v>
      </c>
      <c r="T50" s="25">
        <f>VLOOKUP($D50,Résultats!$B$2:$AZ$212,T$2,FALSE)</f>
        <v>210.1449906</v>
      </c>
      <c r="U50" s="25">
        <f>VLOOKUP($D50,Résultats!$B$2:$AZ$212,U$2,FALSE)</f>
        <v>269.6037298</v>
      </c>
      <c r="V50" s="25">
        <f>VLOOKUP($D50,Résultats!$B$2:$AZ$212,V$2,FALSE)</f>
        <v>336.27111489999999</v>
      </c>
      <c r="W50" s="25">
        <f>VLOOKUP($D50,Résultats!$B$2:$AZ$212,W$2,FALSE)</f>
        <v>408.34730450000001</v>
      </c>
      <c r="X50" s="25">
        <f>VLOOKUP($D50,Résultats!$B$2:$AZ$212,X$2,FALSE)</f>
        <v>484.18258029999998</v>
      </c>
      <c r="Y50" s="25">
        <f>VLOOKUP($D50,Résultats!$B$2:$AZ$212,Y$2,FALSE)</f>
        <v>564.39093070000001</v>
      </c>
      <c r="Z50" s="25">
        <f>VLOOKUP($D50,Résultats!$B$2:$AZ$212,Z$2,FALSE)</f>
        <v>647.77961619999996</v>
      </c>
      <c r="AA50" s="25">
        <f>VLOOKUP($D50,Résultats!$B$2:$AZ$212,AA$2,FALSE)</f>
        <v>733.27242739999997</v>
      </c>
      <c r="AB50" s="25">
        <f>VLOOKUP($D50,Résultats!$B$2:$AZ$212,AB$2,FALSE)</f>
        <v>820.41241950000006</v>
      </c>
      <c r="AC50" s="25">
        <f>VLOOKUP($D50,Résultats!$B$2:$AZ$212,AC$2,FALSE)</f>
        <v>909.01398370000004</v>
      </c>
      <c r="AD50" s="25">
        <f>VLOOKUP($D50,Résultats!$B$2:$AZ$212,AD$2,FALSE)</f>
        <v>997.41582240000002</v>
      </c>
      <c r="AE50" s="25">
        <f>VLOOKUP($D50,Résultats!$B$2:$AZ$212,AE$2,FALSE)</f>
        <v>1086.009309</v>
      </c>
      <c r="AF50" s="25">
        <f>VLOOKUP($D50,Résultats!$B$2:$AZ$212,AF$2,FALSE)</f>
        <v>1174.611261</v>
      </c>
      <c r="AG50" s="25">
        <f>VLOOKUP($D50,Résultats!$B$2:$AZ$212,AG$2,FALSE)</f>
        <v>1263.4223050000001</v>
      </c>
      <c r="AH50" s="25">
        <f>VLOOKUP($D50,Résultats!$B$2:$AZ$212,AH$2,FALSE)</f>
        <v>1367.9199249999999</v>
      </c>
      <c r="AI50" s="25">
        <f>VLOOKUP($D50,Résultats!$B$2:$AZ$212,AI$2,FALSE)</f>
        <v>1472.067098</v>
      </c>
      <c r="AJ50" s="25">
        <f>VLOOKUP($D50,Résultats!$B$2:$AZ$212,AJ$2,FALSE)</f>
        <v>1575.8757439999999</v>
      </c>
      <c r="AK50" s="25">
        <f>VLOOKUP($D50,Résultats!$B$2:$AZ$212,AK$2,FALSE)</f>
        <v>1679.0061089999999</v>
      </c>
      <c r="AL50" s="25">
        <f>VLOOKUP($D50,Résultats!$B$2:$AZ$212,AL$2,FALSE)</f>
        <v>1781.6645659999999</v>
      </c>
      <c r="AM50" s="102">
        <f>VLOOKUP($D50,Résultats!$B$2:$AZ$212,AM$2,FALSE)</f>
        <v>1879.786801</v>
      </c>
    </row>
    <row r="51" spans="2:40" x14ac:dyDescent="0.25">
      <c r="B51" s="230"/>
      <c r="C51" s="218" t="s">
        <v>28</v>
      </c>
      <c r="D51" s="54" t="s">
        <v>139</v>
      </c>
      <c r="E51" s="25">
        <f>VLOOKUP($D51,Résultats!$B$2:$AZ$212,E$2,FALSE)</f>
        <v>1.6464540999999999E-2</v>
      </c>
      <c r="F51" s="25">
        <f>VLOOKUP($D51,Résultats!$B$2:$AZ$212,F$2,FALSE)</f>
        <v>1.139172058</v>
      </c>
      <c r="G51" s="25">
        <f>VLOOKUP($D51,Résultats!$B$2:$AZ$212,G$2,FALSE)</f>
        <v>2.4074915969999999</v>
      </c>
      <c r="H51" s="25">
        <f>VLOOKUP($D51,Résultats!$B$2:$AZ$212,H$2,FALSE)</f>
        <v>3.2009114790000002</v>
      </c>
      <c r="I51" s="25">
        <f>VLOOKUP($D51,Résultats!$B$2:$AZ$212,I$2,FALSE)</f>
        <v>4.3888415539999999</v>
      </c>
      <c r="J51" s="25">
        <f>VLOOKUP($D51,Résultats!$B$2:$AZ$212,J$2,FALSE)</f>
        <v>6.0440293670000003</v>
      </c>
      <c r="K51" s="25">
        <f>VLOOKUP($D51,Résultats!$B$2:$AZ$212,K$2,FALSE)</f>
        <v>9.6341928400000008</v>
      </c>
      <c r="L51" s="25">
        <f>VLOOKUP($D51,Résultats!$B$2:$AZ$212,L$2,FALSE)</f>
        <v>15.334547410000001</v>
      </c>
      <c r="M51" s="25">
        <f>VLOOKUP($D51,Résultats!$B$2:$AZ$212,M$2,FALSE)</f>
        <v>22.074825019999999</v>
      </c>
      <c r="N51" s="25">
        <f>VLOOKUP($D51,Résultats!$B$2:$AZ$212,N$2,FALSE)</f>
        <v>29.92045263</v>
      </c>
      <c r="O51" s="25">
        <f>VLOOKUP($D51,Résultats!$B$2:$AZ$212,O$2,FALSE)</f>
        <v>39.541188380000001</v>
      </c>
      <c r="P51" s="25">
        <f>VLOOKUP($D51,Résultats!$B$2:$AZ$212,P$2,FALSE)</f>
        <v>52.29749769</v>
      </c>
      <c r="Q51" s="25">
        <f>VLOOKUP($D51,Résultats!$B$2:$AZ$212,Q$2,FALSE)</f>
        <v>70.066696680000007</v>
      </c>
      <c r="R51" s="25">
        <f>VLOOKUP($D51,Résultats!$B$2:$AZ$212,R$2,FALSE)</f>
        <v>93.389295959999998</v>
      </c>
      <c r="S51" s="25">
        <f>VLOOKUP($D51,Résultats!$B$2:$AZ$212,S$2,FALSE)</f>
        <v>122.56689230000001</v>
      </c>
      <c r="T51" s="25">
        <f>VLOOKUP($D51,Résultats!$B$2:$AZ$212,T$2,FALSE)</f>
        <v>158.7558841</v>
      </c>
      <c r="U51" s="25">
        <f>VLOOKUP($D51,Résultats!$B$2:$AZ$212,U$2,FALSE)</f>
        <v>200.91101399999999</v>
      </c>
      <c r="V51" s="25">
        <f>VLOOKUP($D51,Résultats!$B$2:$AZ$212,V$2,FALSE)</f>
        <v>247.50298549999999</v>
      </c>
      <c r="W51" s="25">
        <f>VLOOKUP($D51,Résultats!$B$2:$AZ$212,W$2,FALSE)</f>
        <v>297.08609560000002</v>
      </c>
      <c r="X51" s="25">
        <f>VLOOKUP($D51,Résultats!$B$2:$AZ$212,X$2,FALSE)</f>
        <v>348.38497089999998</v>
      </c>
      <c r="Y51" s="25">
        <f>VLOOKUP($D51,Résultats!$B$2:$AZ$212,Y$2,FALSE)</f>
        <v>401.79627779999998</v>
      </c>
      <c r="Z51" s="25">
        <f>VLOOKUP($D51,Résultats!$B$2:$AZ$212,Z$2,FALSE)</f>
        <v>456.38964600000003</v>
      </c>
      <c r="AA51" s="25">
        <f>VLOOKUP($D51,Résultats!$B$2:$AZ$212,AA$2,FALSE)</f>
        <v>511.35669100000001</v>
      </c>
      <c r="AB51" s="25">
        <f>VLOOKUP($D51,Résultats!$B$2:$AZ$212,AB$2,FALSE)</f>
        <v>566.35576119999996</v>
      </c>
      <c r="AC51" s="25">
        <f>VLOOKUP($D51,Résultats!$B$2:$AZ$212,AC$2,FALSE)</f>
        <v>621.22299989999999</v>
      </c>
      <c r="AD51" s="25">
        <f>VLOOKUP($D51,Résultats!$B$2:$AZ$212,AD$2,FALSE)</f>
        <v>675.01867049999998</v>
      </c>
      <c r="AE51" s="25">
        <f>VLOOKUP($D51,Résultats!$B$2:$AZ$212,AE$2,FALSE)</f>
        <v>728.01022929999999</v>
      </c>
      <c r="AF51" s="25">
        <f>VLOOKUP($D51,Résultats!$B$2:$AZ$212,AF$2,FALSE)</f>
        <v>780.05544239999995</v>
      </c>
      <c r="AG51" s="25">
        <f>VLOOKUP($D51,Résultats!$B$2:$AZ$212,AG$2,FALSE)</f>
        <v>831.2834345</v>
      </c>
      <c r="AH51" s="25">
        <f>VLOOKUP($D51,Résultats!$B$2:$AZ$212,AH$2,FALSE)</f>
        <v>887.73080100000004</v>
      </c>
      <c r="AI51" s="25">
        <f>VLOOKUP($D51,Résultats!$B$2:$AZ$212,AI$2,FALSE)</f>
        <v>942.92212949999998</v>
      </c>
      <c r="AJ51" s="25">
        <f>VLOOKUP($D51,Résultats!$B$2:$AZ$212,AJ$2,FALSE)</f>
        <v>996.83630049999999</v>
      </c>
      <c r="AK51" s="25">
        <f>VLOOKUP($D51,Résultats!$B$2:$AZ$212,AK$2,FALSE)</f>
        <v>1049.249945</v>
      </c>
      <c r="AL51" s="25">
        <f>VLOOKUP($D51,Résultats!$B$2:$AZ$212,AL$2,FALSE)</f>
        <v>1100.283993</v>
      </c>
      <c r="AM51" s="102">
        <f>VLOOKUP($D51,Résultats!$B$2:$AZ$212,AM$2,FALSE)</f>
        <v>1147.5173600000001</v>
      </c>
    </row>
    <row r="52" spans="2:40" x14ac:dyDescent="0.25">
      <c r="B52" s="230"/>
      <c r="C52" s="218" t="s">
        <v>29</v>
      </c>
      <c r="D52" s="54" t="s">
        <v>140</v>
      </c>
      <c r="E52" s="25">
        <f>VLOOKUP($D52,Résultats!$B$2:$AZ$212,E$2,FALSE)</f>
        <v>6.7405168000000001E-2</v>
      </c>
      <c r="F52" s="25">
        <f>VLOOKUP($D52,Résultats!$B$2:$AZ$212,F$2,FALSE)</f>
        <v>3.5306566080000001</v>
      </c>
      <c r="G52" s="25">
        <f>VLOOKUP($D52,Résultats!$B$2:$AZ$212,G$2,FALSE)</f>
        <v>8.3015815390000007</v>
      </c>
      <c r="H52" s="25">
        <f>VLOOKUP($D52,Résultats!$B$2:$AZ$212,H$2,FALSE)</f>
        <v>11.01187569</v>
      </c>
      <c r="I52" s="25">
        <f>VLOOKUP($D52,Résultats!$B$2:$AZ$212,I$2,FALSE)</f>
        <v>14.394743220000001</v>
      </c>
      <c r="J52" s="25">
        <f>VLOOKUP($D52,Résultats!$B$2:$AZ$212,J$2,FALSE)</f>
        <v>18.35911424</v>
      </c>
      <c r="K52" s="25">
        <f>VLOOKUP($D52,Résultats!$B$2:$AZ$212,K$2,FALSE)</f>
        <v>23.941567280000001</v>
      </c>
      <c r="L52" s="25">
        <f>VLOOKUP($D52,Résultats!$B$2:$AZ$212,L$2,FALSE)</f>
        <v>31.390282160000002</v>
      </c>
      <c r="M52" s="25">
        <f>VLOOKUP($D52,Résultats!$B$2:$AZ$212,M$2,FALSE)</f>
        <v>39.75025728</v>
      </c>
      <c r="N52" s="25">
        <f>VLOOKUP($D52,Résultats!$B$2:$AZ$212,N$2,FALSE)</f>
        <v>49.075737070000002</v>
      </c>
      <c r="O52" s="25">
        <f>VLOOKUP($D52,Résultats!$B$2:$AZ$212,O$2,FALSE)</f>
        <v>59.976351510000001</v>
      </c>
      <c r="P52" s="25">
        <f>VLOOKUP($D52,Résultats!$B$2:$AZ$212,P$2,FALSE)</f>
        <v>73.983871410000006</v>
      </c>
      <c r="Q52" s="25">
        <f>VLOOKUP($D52,Résultats!$B$2:$AZ$212,Q$2,FALSE)</f>
        <v>92.992884540000006</v>
      </c>
      <c r="R52" s="25">
        <f>VLOOKUP($D52,Résultats!$B$2:$AZ$212,R$2,FALSE)</f>
        <v>117.09781220000001</v>
      </c>
      <c r="S52" s="25">
        <f>VLOOKUP($D52,Résultats!$B$2:$AZ$212,S$2,FALSE)</f>
        <v>146.1268958</v>
      </c>
      <c r="T52" s="25">
        <f>VLOOKUP($D52,Résultats!$B$2:$AZ$212,T$2,FALSE)</f>
        <v>180.99303620000001</v>
      </c>
      <c r="U52" s="25">
        <f>VLOOKUP($D52,Résultats!$B$2:$AZ$212,U$2,FALSE)</f>
        <v>219.94059129999999</v>
      </c>
      <c r="V52" s="25">
        <f>VLOOKUP($D52,Résultats!$B$2:$AZ$212,V$2,FALSE)</f>
        <v>261.07382999999999</v>
      </c>
      <c r="W52" s="25">
        <f>VLOOKUP($D52,Résultats!$B$2:$AZ$212,W$2,FALSE)</f>
        <v>302.66241819999999</v>
      </c>
      <c r="X52" s="25">
        <f>VLOOKUP($D52,Résultats!$B$2:$AZ$212,X$2,FALSE)</f>
        <v>343.34722399999998</v>
      </c>
      <c r="Y52" s="25">
        <f>VLOOKUP($D52,Résultats!$B$2:$AZ$212,Y$2,FALSE)</f>
        <v>383.51150580000001</v>
      </c>
      <c r="Z52" s="25">
        <f>VLOOKUP($D52,Résultats!$B$2:$AZ$212,Z$2,FALSE)</f>
        <v>422.20305389999999</v>
      </c>
      <c r="AA52" s="25">
        <f>VLOOKUP($D52,Résultats!$B$2:$AZ$212,AA$2,FALSE)</f>
        <v>458.699208</v>
      </c>
      <c r="AB52" s="25">
        <f>VLOOKUP($D52,Résultats!$B$2:$AZ$212,AB$2,FALSE)</f>
        <v>492.7776657</v>
      </c>
      <c r="AC52" s="25">
        <f>VLOOKUP($D52,Résultats!$B$2:$AZ$212,AC$2,FALSE)</f>
        <v>524.34810019999998</v>
      </c>
      <c r="AD52" s="25">
        <f>VLOOKUP($D52,Résultats!$B$2:$AZ$212,AD$2,FALSE)</f>
        <v>553.17428500000005</v>
      </c>
      <c r="AE52" s="25">
        <f>VLOOKUP($D52,Résultats!$B$2:$AZ$212,AE$2,FALSE)</f>
        <v>579.56384349999996</v>
      </c>
      <c r="AF52" s="25">
        <f>VLOOKUP($D52,Résultats!$B$2:$AZ$212,AF$2,FALSE)</f>
        <v>603.45570110000006</v>
      </c>
      <c r="AG52" s="25">
        <f>VLOOKUP($D52,Résultats!$B$2:$AZ$212,AG$2,FALSE)</f>
        <v>625.0224058</v>
      </c>
      <c r="AH52" s="25">
        <f>VLOOKUP($D52,Résultats!$B$2:$AZ$212,AH$2,FALSE)</f>
        <v>641.2325098</v>
      </c>
      <c r="AI52" s="25">
        <f>VLOOKUP($D52,Résultats!$B$2:$AZ$212,AI$2,FALSE)</f>
        <v>655.07388900000001</v>
      </c>
      <c r="AJ52" s="25">
        <f>VLOOKUP($D52,Résultats!$B$2:$AZ$212,AJ$2,FALSE)</f>
        <v>666.56559540000001</v>
      </c>
      <c r="AK52" s="25">
        <f>VLOOKUP($D52,Résultats!$B$2:$AZ$212,AK$2,FALSE)</f>
        <v>675.63377820000005</v>
      </c>
      <c r="AL52" s="25">
        <f>VLOOKUP($D52,Résultats!$B$2:$AZ$212,AL$2,FALSE)</f>
        <v>682.41524079999999</v>
      </c>
      <c r="AM52" s="102">
        <f>VLOOKUP($D52,Résultats!$B$2:$AZ$212,AM$2,FALSE)</f>
        <v>685.7337139</v>
      </c>
    </row>
    <row r="53" spans="2:40" x14ac:dyDescent="0.25">
      <c r="B53" s="230"/>
      <c r="C53" s="218" t="s">
        <v>30</v>
      </c>
      <c r="D53" s="54" t="s">
        <v>141</v>
      </c>
      <c r="E53" s="25">
        <f>VLOOKUP($D53,Résultats!$B$2:$AZ$212,E$2,FALSE)</f>
        <v>1.5834689479999999</v>
      </c>
      <c r="F53" s="25">
        <f>VLOOKUP($D53,Résultats!$B$2:$AZ$212,F$2,FALSE)</f>
        <v>79.94205805</v>
      </c>
      <c r="G53" s="25">
        <f>VLOOKUP($D53,Résultats!$B$2:$AZ$212,G$2,FALSE)</f>
        <v>190.92864309999999</v>
      </c>
      <c r="H53" s="25">
        <f>VLOOKUP($D53,Résultats!$B$2:$AZ$212,H$2,FALSE)</f>
        <v>253.1507933</v>
      </c>
      <c r="I53" s="25">
        <f>VLOOKUP($D53,Résultats!$B$2:$AZ$212,I$2,FALSE)</f>
        <v>328.71256069999998</v>
      </c>
      <c r="J53" s="25">
        <f>VLOOKUP($D53,Résultats!$B$2:$AZ$212,J$2,FALSE)</f>
        <v>414.57705199999998</v>
      </c>
      <c r="K53" s="25">
        <f>VLOOKUP($D53,Résultats!$B$2:$AZ$212,K$2,FALSE)</f>
        <v>524.06890099999998</v>
      </c>
      <c r="L53" s="25">
        <f>VLOOKUP($D53,Résultats!$B$2:$AZ$212,L$2,FALSE)</f>
        <v>663.54277750000006</v>
      </c>
      <c r="M53" s="25">
        <f>VLOOKUP($D53,Résultats!$B$2:$AZ$212,M$2,FALSE)</f>
        <v>817.99985400000003</v>
      </c>
      <c r="N53" s="25">
        <f>VLOOKUP($D53,Résultats!$B$2:$AZ$212,N$2,FALSE)</f>
        <v>988.49636380000004</v>
      </c>
      <c r="O53" s="25">
        <f>VLOOKUP($D53,Résultats!$B$2:$AZ$212,O$2,FALSE)</f>
        <v>1185.5571709999999</v>
      </c>
      <c r="P53" s="25">
        <f>VLOOKUP($D53,Résultats!$B$2:$AZ$212,P$2,FALSE)</f>
        <v>1437.2862660000001</v>
      </c>
      <c r="Q53" s="25">
        <f>VLOOKUP($D53,Résultats!$B$2:$AZ$212,Q$2,FALSE)</f>
        <v>1777.4638600000001</v>
      </c>
      <c r="R53" s="25">
        <f>VLOOKUP($D53,Résultats!$B$2:$AZ$212,R$2,FALSE)</f>
        <v>2206.1146450000001</v>
      </c>
      <c r="S53" s="25">
        <f>VLOOKUP($D53,Résultats!$B$2:$AZ$212,S$2,FALSE)</f>
        <v>2718.7925169999999</v>
      </c>
      <c r="T53" s="25">
        <f>VLOOKUP($D53,Résultats!$B$2:$AZ$212,T$2,FALSE)</f>
        <v>3331.4172170000002</v>
      </c>
      <c r="U53" s="25">
        <f>VLOOKUP($D53,Résultats!$B$2:$AZ$212,U$2,FALSE)</f>
        <v>4011.28514</v>
      </c>
      <c r="V53" s="25">
        <f>VLOOKUP($D53,Résultats!$B$2:$AZ$212,V$2,FALSE)</f>
        <v>4724.7483119999997</v>
      </c>
      <c r="W53" s="25">
        <f>VLOOKUP($D53,Résultats!$B$2:$AZ$212,W$2,FALSE)</f>
        <v>5441.7370430000001</v>
      </c>
      <c r="X53" s="25">
        <f>VLOOKUP($D53,Résultats!$B$2:$AZ$212,X$2,FALSE)</f>
        <v>6139.5487220000005</v>
      </c>
      <c r="Y53" s="25">
        <f>VLOOKUP($D53,Résultats!$B$2:$AZ$212,Y$2,FALSE)</f>
        <v>6826.4332860000004</v>
      </c>
      <c r="Z53" s="25">
        <f>VLOOKUP($D53,Résultats!$B$2:$AZ$212,Z$2,FALSE)</f>
        <v>7487.2662579999997</v>
      </c>
      <c r="AA53" s="25">
        <f>VLOOKUP($D53,Résultats!$B$2:$AZ$212,AA$2,FALSE)</f>
        <v>8111.2127090000004</v>
      </c>
      <c r="AB53" s="25">
        <f>VLOOKUP($D53,Résultats!$B$2:$AZ$212,AB$2,FALSE)</f>
        <v>8696.1706350000004</v>
      </c>
      <c r="AC53" s="25">
        <f>VLOOKUP($D53,Résultats!$B$2:$AZ$212,AC$2,FALSE)</f>
        <v>9242.3111160000008</v>
      </c>
      <c r="AD53" s="25">
        <f>VLOOKUP($D53,Résultats!$B$2:$AZ$212,AD$2,FALSE)</f>
        <v>9746.3230390000008</v>
      </c>
      <c r="AE53" s="25">
        <f>VLOOKUP($D53,Résultats!$B$2:$AZ$212,AE$2,FALSE)</f>
        <v>10214.555759999999</v>
      </c>
      <c r="AF53" s="25">
        <f>VLOOKUP($D53,Résultats!$B$2:$AZ$212,AF$2,FALSE)</f>
        <v>10647.07352</v>
      </c>
      <c r="AG53" s="25">
        <f>VLOOKUP($D53,Résultats!$B$2:$AZ$212,AG$2,FALSE)</f>
        <v>11047.788409999999</v>
      </c>
      <c r="AH53" s="25">
        <f>VLOOKUP($D53,Résultats!$B$2:$AZ$212,AH$2,FALSE)</f>
        <v>11399.742910000001</v>
      </c>
      <c r="AI53" s="25">
        <f>VLOOKUP($D53,Résultats!$B$2:$AZ$212,AI$2,FALSE)</f>
        <v>11723.621429999999</v>
      </c>
      <c r="AJ53" s="25">
        <f>VLOOKUP($D53,Résultats!$B$2:$AZ$212,AJ$2,FALSE)</f>
        <v>12020.66167</v>
      </c>
      <c r="AK53" s="25">
        <f>VLOOKUP($D53,Résultats!$B$2:$AZ$212,AK$2,FALSE)</f>
        <v>12290.21522</v>
      </c>
      <c r="AL53" s="25">
        <f>VLOOKUP($D53,Résultats!$B$2:$AZ$212,AL$2,FALSE)</f>
        <v>12535.22437</v>
      </c>
      <c r="AM53" s="102">
        <f>VLOOKUP($D53,Résultats!$B$2:$AZ$212,AM$2,FALSE)</f>
        <v>12734.141460000001</v>
      </c>
    </row>
    <row r="54" spans="2:40" x14ac:dyDescent="0.25">
      <c r="B54" s="230"/>
      <c r="C54" s="218" t="s">
        <v>31</v>
      </c>
      <c r="D54" s="54" t="s">
        <v>142</v>
      </c>
      <c r="E54" s="25">
        <f>VLOOKUP($D54,Résultats!$B$2:$AZ$212,E$2,FALSE)</f>
        <v>0.62410555599999995</v>
      </c>
      <c r="F54" s="25">
        <f>VLOOKUP($D54,Résultats!$B$2:$AZ$212,F$2,FALSE)</f>
        <v>31.26453527</v>
      </c>
      <c r="G54" s="25">
        <f>VLOOKUP($D54,Résultats!$B$2:$AZ$212,G$2,FALSE)</f>
        <v>74.917468810000003</v>
      </c>
      <c r="H54" s="25">
        <f>VLOOKUP($D54,Résultats!$B$2:$AZ$212,H$2,FALSE)</f>
        <v>99.326345149999995</v>
      </c>
      <c r="I54" s="25">
        <f>VLOOKUP($D54,Résultats!$B$2:$AZ$212,I$2,FALSE)</f>
        <v>128.78951570000001</v>
      </c>
      <c r="J54" s="25">
        <f>VLOOKUP($D54,Résultats!$B$2:$AZ$212,J$2,FALSE)</f>
        <v>162.02405899999999</v>
      </c>
      <c r="K54" s="25">
        <f>VLOOKUP($D54,Résultats!$B$2:$AZ$212,K$2,FALSE)</f>
        <v>203.17914870000001</v>
      </c>
      <c r="L54" s="25">
        <f>VLOOKUP($D54,Résultats!$B$2:$AZ$212,L$2,FALSE)</f>
        <v>254.63886110000001</v>
      </c>
      <c r="M54" s="25">
        <f>VLOOKUP($D54,Résultats!$B$2:$AZ$212,M$2,FALSE)</f>
        <v>311.25365090000003</v>
      </c>
      <c r="N54" s="25">
        <f>VLOOKUP($D54,Résultats!$B$2:$AZ$212,N$2,FALSE)</f>
        <v>373.39100289999999</v>
      </c>
      <c r="O54" s="25">
        <f>VLOOKUP($D54,Résultats!$B$2:$AZ$212,O$2,FALSE)</f>
        <v>444.72034359999998</v>
      </c>
      <c r="P54" s="25">
        <f>VLOOKUP($D54,Résultats!$B$2:$AZ$212,P$2,FALSE)</f>
        <v>535.4177856</v>
      </c>
      <c r="Q54" s="25">
        <f>VLOOKUP($D54,Résultats!$B$2:$AZ$212,Q$2,FALSE)</f>
        <v>657.50146840000002</v>
      </c>
      <c r="R54" s="25">
        <f>VLOOKUP($D54,Résultats!$B$2:$AZ$212,R$2,FALSE)</f>
        <v>810.49818960000005</v>
      </c>
      <c r="S54" s="25">
        <f>VLOOKUP($D54,Résultats!$B$2:$AZ$212,S$2,FALSE)</f>
        <v>992.33243689999995</v>
      </c>
      <c r="T54" s="25">
        <f>VLOOKUP($D54,Résultats!$B$2:$AZ$212,T$2,FALSE)</f>
        <v>1208.420959</v>
      </c>
      <c r="U54" s="25">
        <f>VLOOKUP($D54,Résultats!$B$2:$AZ$212,U$2,FALSE)</f>
        <v>1446.430024</v>
      </c>
      <c r="V54" s="25">
        <f>VLOOKUP($D54,Résultats!$B$2:$AZ$212,V$2,FALSE)</f>
        <v>1694.0753400000001</v>
      </c>
      <c r="W54" s="25">
        <f>VLOOKUP($D54,Résultats!$B$2:$AZ$212,W$2,FALSE)</f>
        <v>1940.4492090000001</v>
      </c>
      <c r="X54" s="25">
        <f>VLOOKUP($D54,Résultats!$B$2:$AZ$212,X$2,FALSE)</f>
        <v>2177.4819429999998</v>
      </c>
      <c r="Y54" s="25">
        <f>VLOOKUP($D54,Résultats!$B$2:$AZ$212,Y$2,FALSE)</f>
        <v>2408.1636440000002</v>
      </c>
      <c r="Z54" s="25">
        <f>VLOOKUP($D54,Résultats!$B$2:$AZ$212,Z$2,FALSE)</f>
        <v>2627.1949690000001</v>
      </c>
      <c r="AA54" s="25">
        <f>VLOOKUP($D54,Résultats!$B$2:$AZ$212,AA$2,FALSE)</f>
        <v>2830.9114920000002</v>
      </c>
      <c r="AB54" s="25">
        <f>VLOOKUP($D54,Résultats!$B$2:$AZ$212,AB$2,FALSE)</f>
        <v>3018.776312</v>
      </c>
      <c r="AC54" s="25">
        <f>VLOOKUP($D54,Résultats!$B$2:$AZ$212,AC$2,FALSE)</f>
        <v>3191.0180500000001</v>
      </c>
      <c r="AD54" s="25">
        <f>VLOOKUP($D54,Résultats!$B$2:$AZ$212,AD$2,FALSE)</f>
        <v>3347.149598</v>
      </c>
      <c r="AE54" s="25">
        <f>VLOOKUP($D54,Résultats!$B$2:$AZ$212,AE$2,FALSE)</f>
        <v>3489.5184680000002</v>
      </c>
      <c r="AF54" s="25">
        <f>VLOOKUP($D54,Résultats!$B$2:$AZ$212,AF$2,FALSE)</f>
        <v>3618.2928790000001</v>
      </c>
      <c r="AG54" s="25">
        <f>VLOOKUP($D54,Résultats!$B$2:$AZ$212,AG$2,FALSE)</f>
        <v>3734.95822</v>
      </c>
      <c r="AH54" s="25">
        <f>VLOOKUP($D54,Résultats!$B$2:$AZ$212,AH$2,FALSE)</f>
        <v>3827.5308879999998</v>
      </c>
      <c r="AI54" s="25">
        <f>VLOOKUP($D54,Résultats!$B$2:$AZ$212,AI$2,FALSE)</f>
        <v>3909.9847599999998</v>
      </c>
      <c r="AJ54" s="25">
        <f>VLOOKUP($D54,Résultats!$B$2:$AZ$212,AJ$2,FALSE)</f>
        <v>3982.8624370000002</v>
      </c>
      <c r="AK54" s="25">
        <f>VLOOKUP($D54,Résultats!$B$2:$AZ$212,AK$2,FALSE)</f>
        <v>4046.1215560000001</v>
      </c>
      <c r="AL54" s="25">
        <f>VLOOKUP($D54,Résultats!$B$2:$AZ$212,AL$2,FALSE)</f>
        <v>4100.8649189999996</v>
      </c>
      <c r="AM54" s="102">
        <f>VLOOKUP($D54,Résultats!$B$2:$AZ$212,AM$2,FALSE)</f>
        <v>4140.5378469999996</v>
      </c>
    </row>
    <row r="55" spans="2:40" x14ac:dyDescent="0.25">
      <c r="B55" s="230"/>
      <c r="C55" s="218" t="s">
        <v>32</v>
      </c>
      <c r="D55" s="54" t="s">
        <v>143</v>
      </c>
      <c r="E55" s="25">
        <f>VLOOKUP($D55,Résultats!$B$2:$AZ$212,E$2,FALSE)</f>
        <v>8.5085212099999998E-3</v>
      </c>
      <c r="F55" s="25">
        <f>VLOOKUP($D55,Résultats!$B$2:$AZ$212,F$2,FALSE)</f>
        <v>0.14033949479999999</v>
      </c>
      <c r="G55" s="25">
        <f>VLOOKUP($D55,Résultats!$B$2:$AZ$212,G$2,FALSE)</f>
        <v>0.68650951439999996</v>
      </c>
      <c r="H55" s="25">
        <f>VLOOKUP($D55,Résultats!$B$2:$AZ$212,H$2,FALSE)</f>
        <v>0.85261526170000002</v>
      </c>
      <c r="I55" s="25">
        <f>VLOOKUP($D55,Résultats!$B$2:$AZ$212,I$2,FALSE)</f>
        <v>0.94435360260000001</v>
      </c>
      <c r="J55" s="25">
        <f>VLOOKUP($D55,Résultats!$B$2:$AZ$212,J$2,FALSE)</f>
        <v>1.0529722829999999</v>
      </c>
      <c r="K55" s="25">
        <f>VLOOKUP($D55,Résultats!$B$2:$AZ$212,K$2,FALSE)</f>
        <v>1.19657904</v>
      </c>
      <c r="L55" s="25">
        <f>VLOOKUP($D55,Résultats!$B$2:$AZ$212,L$2,FALSE)</f>
        <v>1.386241021</v>
      </c>
      <c r="M55" s="25">
        <f>VLOOKUP($D55,Résultats!$B$2:$AZ$212,M$2,FALSE)</f>
        <v>1.600330121</v>
      </c>
      <c r="N55" s="25">
        <f>VLOOKUP($D55,Résultats!$B$2:$AZ$212,N$2,FALSE)</f>
        <v>1.840404843</v>
      </c>
      <c r="O55" s="25">
        <f>VLOOKUP($D55,Résultats!$B$2:$AZ$212,O$2,FALSE)</f>
        <v>2.122512859</v>
      </c>
      <c r="P55" s="25">
        <f>VLOOKUP($D55,Résultats!$B$2:$AZ$212,P$2,FALSE)</f>
        <v>2.489663164</v>
      </c>
      <c r="Q55" s="25">
        <f>VLOOKUP($D55,Résultats!$B$2:$AZ$212,Q$2,FALSE)</f>
        <v>2.99367648</v>
      </c>
      <c r="R55" s="25">
        <f>VLOOKUP($D55,Résultats!$B$2:$AZ$212,R$2,FALSE)</f>
        <v>3.6348398999999998</v>
      </c>
      <c r="S55" s="25">
        <f>VLOOKUP($D55,Résultats!$B$2:$AZ$212,S$2,FALSE)</f>
        <v>4.4066189309999997</v>
      </c>
      <c r="T55" s="25">
        <f>VLOOKUP($D55,Résultats!$B$2:$AZ$212,T$2,FALSE)</f>
        <v>5.3336225529999997</v>
      </c>
      <c r="U55" s="25">
        <f>VLOOKUP($D55,Résultats!$B$2:$AZ$212,U$2,FALSE)</f>
        <v>6.3661300389999997</v>
      </c>
      <c r="V55" s="25">
        <f>VLOOKUP($D55,Résultats!$B$2:$AZ$212,V$2,FALSE)</f>
        <v>7.4527562820000002</v>
      </c>
      <c r="W55" s="25">
        <f>VLOOKUP($D55,Résultats!$B$2:$AZ$212,W$2,FALSE)</f>
        <v>8.5475796499999994</v>
      </c>
      <c r="X55" s="25">
        <f>VLOOKUP($D55,Résultats!$B$2:$AZ$212,X$2,FALSE)</f>
        <v>9.6158595739999999</v>
      </c>
      <c r="Y55" s="25">
        <f>VLOOKUP($D55,Résultats!$B$2:$AZ$212,Y$2,FALSE)</f>
        <v>10.670332070000001</v>
      </c>
      <c r="Z55" s="25">
        <f>VLOOKUP($D55,Résultats!$B$2:$AZ$212,Z$2,FALSE)</f>
        <v>11.68786139</v>
      </c>
      <c r="AA55" s="25">
        <f>VLOOKUP($D55,Résultats!$B$2:$AZ$212,AA$2,FALSE)</f>
        <v>12.651814249999999</v>
      </c>
      <c r="AB55" s="25">
        <f>VLOOKUP($D55,Résultats!$B$2:$AZ$212,AB$2,FALSE)</f>
        <v>13.558929279999999</v>
      </c>
      <c r="AC55" s="25">
        <f>VLOOKUP($D55,Résultats!$B$2:$AZ$212,AC$2,FALSE)</f>
        <v>14.40947289</v>
      </c>
      <c r="AD55" s="25">
        <f>VLOOKUP($D55,Résultats!$B$2:$AZ$212,AD$2,FALSE)</f>
        <v>15.19776914</v>
      </c>
      <c r="AE55" s="25">
        <f>VLOOKUP($D55,Résultats!$B$2:$AZ$212,AE$2,FALSE)</f>
        <v>15.933545560000001</v>
      </c>
      <c r="AF55" s="25">
        <f>VLOOKUP($D55,Résultats!$B$2:$AZ$212,AF$2,FALSE)</f>
        <v>16.616854880000002</v>
      </c>
      <c r="AG55" s="25">
        <f>VLOOKUP($D55,Résultats!$B$2:$AZ$212,AG$2,FALSE)</f>
        <v>17.253677209999999</v>
      </c>
      <c r="AH55" s="25">
        <f>VLOOKUP($D55,Résultats!$B$2:$AZ$212,AH$2,FALSE)</f>
        <v>17.827802739999999</v>
      </c>
      <c r="AI55" s="25">
        <f>VLOOKUP($D55,Résultats!$B$2:$AZ$212,AI$2,FALSE)</f>
        <v>18.3610066</v>
      </c>
      <c r="AJ55" s="25">
        <f>VLOOKUP($D55,Résultats!$B$2:$AZ$212,AJ$2,FALSE)</f>
        <v>18.85515685</v>
      </c>
      <c r="AK55" s="25">
        <f>VLOOKUP($D55,Résultats!$B$2:$AZ$212,AK$2,FALSE)</f>
        <v>19.309112240000001</v>
      </c>
      <c r="AL55" s="25">
        <f>VLOOKUP($D55,Résultats!$B$2:$AZ$212,AL$2,FALSE)</f>
        <v>19.72736175</v>
      </c>
      <c r="AM55" s="102">
        <f>VLOOKUP($D55,Résultats!$B$2:$AZ$212,AM$2,FALSE)</f>
        <v>20.075590300000002</v>
      </c>
    </row>
    <row r="56" spans="2:40" x14ac:dyDescent="0.25">
      <c r="B56" s="230"/>
      <c r="C56" s="218" t="s">
        <v>33</v>
      </c>
      <c r="D56" s="54" t="s">
        <v>144</v>
      </c>
      <c r="E56" s="25">
        <f>VLOOKUP($D56,Résultats!$B$2:$AZ$212,E$2,FALSE)</f>
        <v>0.1045332606</v>
      </c>
      <c r="F56" s="25">
        <f>VLOOKUP($D56,Résultats!$B$2:$AZ$212,F$2,FALSE)</f>
        <v>4.9799214709999999</v>
      </c>
      <c r="G56" s="25">
        <f>VLOOKUP($D56,Résultats!$B$2:$AZ$212,G$2,FALSE)</f>
        <v>12.198572070000001</v>
      </c>
      <c r="H56" s="25">
        <f>VLOOKUP($D56,Résultats!$B$2:$AZ$212,H$2,FALSE)</f>
        <v>16.16257568</v>
      </c>
      <c r="I56" s="25">
        <f>VLOOKUP($D56,Résultats!$B$2:$AZ$212,I$2,FALSE)</f>
        <v>20.763256139999999</v>
      </c>
      <c r="J56" s="25">
        <f>VLOOKUP($D56,Résultats!$B$2:$AZ$212,J$2,FALSE)</f>
        <v>25.711065179999999</v>
      </c>
      <c r="K56" s="25">
        <f>VLOOKUP($D56,Résultats!$B$2:$AZ$212,K$2,FALSE)</f>
        <v>30.78185045</v>
      </c>
      <c r="L56" s="25">
        <f>VLOOKUP($D56,Résultats!$B$2:$AZ$212,L$2,FALSE)</f>
        <v>36.422492820000002</v>
      </c>
      <c r="M56" s="25">
        <f>VLOOKUP($D56,Résultats!$B$2:$AZ$212,M$2,FALSE)</f>
        <v>42.388834439999997</v>
      </c>
      <c r="N56" s="25">
        <f>VLOOKUP($D56,Résultats!$B$2:$AZ$212,N$2,FALSE)</f>
        <v>48.722147640000003</v>
      </c>
      <c r="O56" s="25">
        <f>VLOOKUP($D56,Résultats!$B$2:$AZ$212,O$2,FALSE)</f>
        <v>55.714437459999999</v>
      </c>
      <c r="P56" s="25">
        <f>VLOOKUP($D56,Résultats!$B$2:$AZ$212,P$2,FALSE)</f>
        <v>64.402788380000004</v>
      </c>
      <c r="Q56" s="25">
        <f>VLOOKUP($D56,Résultats!$B$2:$AZ$212,Q$2,FALSE)</f>
        <v>75.88813614</v>
      </c>
      <c r="R56" s="25">
        <f>VLOOKUP($D56,Résultats!$B$2:$AZ$212,R$2,FALSE)</f>
        <v>89.885766919999995</v>
      </c>
      <c r="S56" s="25">
        <f>VLOOKUP($D56,Résultats!$B$2:$AZ$212,S$2,FALSE)</f>
        <v>105.9828752</v>
      </c>
      <c r="T56" s="25">
        <f>VLOOKUP($D56,Résultats!$B$2:$AZ$212,T$2,FALSE)</f>
        <v>124.58856</v>
      </c>
      <c r="U56" s="25">
        <f>VLOOKUP($D56,Résultats!$B$2:$AZ$212,U$2,FALSE)</f>
        <v>144.29688139999999</v>
      </c>
      <c r="V56" s="25">
        <f>VLOOKUP($D56,Résultats!$B$2:$AZ$212,V$2,FALSE)</f>
        <v>163.91262589999999</v>
      </c>
      <c r="W56" s="25">
        <f>VLOOKUP($D56,Résultats!$B$2:$AZ$212,W$2,FALSE)</f>
        <v>182.43219260000001</v>
      </c>
      <c r="X56" s="25">
        <f>VLOOKUP($D56,Résultats!$B$2:$AZ$212,X$2,FALSE)</f>
        <v>199.21308490000001</v>
      </c>
      <c r="Y56" s="25">
        <f>VLOOKUP($D56,Résultats!$B$2:$AZ$212,Y$2,FALSE)</f>
        <v>214.6238634</v>
      </c>
      <c r="Z56" s="25">
        <f>VLOOKUP($D56,Résultats!$B$2:$AZ$212,Z$2,FALSE)</f>
        <v>228.30211</v>
      </c>
      <c r="AA56" s="25">
        <f>VLOOKUP($D56,Résultats!$B$2:$AZ$212,AA$2,FALSE)</f>
        <v>240.06881329999999</v>
      </c>
      <c r="AB56" s="25">
        <f>VLOOKUP($D56,Résultats!$B$2:$AZ$212,AB$2,FALSE)</f>
        <v>250.0183255</v>
      </c>
      <c r="AC56" s="25">
        <f>VLOOKUP($D56,Résultats!$B$2:$AZ$212,AC$2,FALSE)</f>
        <v>258.2903546</v>
      </c>
      <c r="AD56" s="25">
        <f>VLOOKUP($D56,Résultats!$B$2:$AZ$212,AD$2,FALSE)</f>
        <v>265.06987220000002</v>
      </c>
      <c r="AE56" s="25">
        <f>VLOOKUP($D56,Résultats!$B$2:$AZ$212,AE$2,FALSE)</f>
        <v>270.6171023</v>
      </c>
      <c r="AF56" s="25">
        <f>VLOOKUP($D56,Résultats!$B$2:$AZ$212,AF$2,FALSE)</f>
        <v>275.01916469999998</v>
      </c>
      <c r="AG56" s="25">
        <f>VLOOKUP($D56,Résultats!$B$2:$AZ$212,AG$2,FALSE)</f>
        <v>278.45092920000002</v>
      </c>
      <c r="AH56" s="25">
        <f>VLOOKUP($D56,Résultats!$B$2:$AZ$212,AH$2,FALSE)</f>
        <v>279.23899899999998</v>
      </c>
      <c r="AI56" s="25">
        <f>VLOOKUP($D56,Résultats!$B$2:$AZ$212,AI$2,FALSE)</f>
        <v>279.47261270000001</v>
      </c>
      <c r="AJ56" s="25">
        <f>VLOOKUP($D56,Résultats!$B$2:$AZ$212,AJ$2,FALSE)</f>
        <v>279.22452729999998</v>
      </c>
      <c r="AK56" s="25">
        <f>VLOOKUP($D56,Résultats!$B$2:$AZ$212,AK$2,FALSE)</f>
        <v>278.52974549999999</v>
      </c>
      <c r="AL56" s="25">
        <f>VLOOKUP($D56,Résultats!$B$2:$AZ$212,AL$2,FALSE)</f>
        <v>277.48347200000001</v>
      </c>
      <c r="AM56" s="102">
        <f>VLOOKUP($D56,Résultats!$B$2:$AZ$212,AM$2,FALSE)</f>
        <v>275.75096109999998</v>
      </c>
    </row>
    <row r="57" spans="2:40" x14ac:dyDescent="0.25">
      <c r="B57" s="230"/>
      <c r="C57" s="223" t="s">
        <v>46</v>
      </c>
      <c r="D57" s="52" t="s">
        <v>146</v>
      </c>
      <c r="E57" s="61">
        <f>VLOOKUP($D57,Résultats!$B$2:$AZ$212,E$2,FALSE)</f>
        <v>31999.388770000001</v>
      </c>
      <c r="F57" s="61">
        <f>VLOOKUP($D57,Résultats!$B$2:$AZ$212,F$2,FALSE)</f>
        <v>35789.497750000002</v>
      </c>
      <c r="G57" s="61">
        <f>VLOOKUP($D57,Résultats!$B$2:$AZ$212,G$2,FALSE)</f>
        <v>36417.9614</v>
      </c>
      <c r="H57" s="61">
        <f>VLOOKUP($D57,Résultats!$B$2:$AZ$212,H$2,FALSE)</f>
        <v>36728.058799999999</v>
      </c>
      <c r="I57" s="61">
        <f>VLOOKUP($D57,Résultats!$B$2:$AZ$212,I$2,FALSE)</f>
        <v>36935.83655</v>
      </c>
      <c r="J57" s="61">
        <f>VLOOKUP($D57,Résultats!$B$2:$AZ$212,J$2,FALSE)</f>
        <v>36954.147270000001</v>
      </c>
      <c r="K57" s="61">
        <f>VLOOKUP($D57,Résultats!$B$2:$AZ$212,K$2,FALSE)</f>
        <v>36828.744530000004</v>
      </c>
      <c r="L57" s="61">
        <f>VLOOKUP($D57,Résultats!$B$2:$AZ$212,L$2,FALSE)</f>
        <v>36649.043919999996</v>
      </c>
      <c r="M57" s="61">
        <f>VLOOKUP($D57,Résultats!$B$2:$AZ$212,M$2,FALSE)</f>
        <v>36313.296119999999</v>
      </c>
      <c r="N57" s="61">
        <f>VLOOKUP($D57,Résultats!$B$2:$AZ$212,N$2,FALSE)</f>
        <v>35852.417529999999</v>
      </c>
      <c r="O57" s="61">
        <f>VLOOKUP($D57,Résultats!$B$2:$AZ$212,O$2,FALSE)</f>
        <v>35235.781340000001</v>
      </c>
      <c r="P57" s="61">
        <f>VLOOKUP($D57,Résultats!$B$2:$AZ$212,P$2,FALSE)</f>
        <v>34464.934179999997</v>
      </c>
      <c r="Q57" s="61">
        <f>VLOOKUP($D57,Résultats!$B$2:$AZ$212,Q$2,FALSE)</f>
        <v>33517.669589999998</v>
      </c>
      <c r="R57" s="61">
        <f>VLOOKUP($D57,Résultats!$B$2:$AZ$212,R$2,FALSE)</f>
        <v>32374.44094</v>
      </c>
      <c r="S57" s="61">
        <f>VLOOKUP($D57,Résultats!$B$2:$AZ$212,S$2,FALSE)</f>
        <v>31056.18447</v>
      </c>
      <c r="T57" s="61">
        <f>VLOOKUP($D57,Résultats!$B$2:$AZ$212,T$2,FALSE)</f>
        <v>29621.741849999999</v>
      </c>
      <c r="U57" s="61">
        <f>VLOOKUP($D57,Résultats!$B$2:$AZ$212,U$2,FALSE)</f>
        <v>28107.115959999999</v>
      </c>
      <c r="V57" s="61">
        <f>VLOOKUP($D57,Résultats!$B$2:$AZ$212,V$2,FALSE)</f>
        <v>26562.466179999999</v>
      </c>
      <c r="W57" s="61">
        <f>VLOOKUP($D57,Résultats!$B$2:$AZ$212,W$2,FALSE)</f>
        <v>25032.142970000001</v>
      </c>
      <c r="X57" s="61">
        <f>VLOOKUP($D57,Résultats!$B$2:$AZ$212,X$2,FALSE)</f>
        <v>23546.686290000001</v>
      </c>
      <c r="Y57" s="61">
        <f>VLOOKUP($D57,Résultats!$B$2:$AZ$212,Y$2,FALSE)</f>
        <v>22123.863290000001</v>
      </c>
      <c r="Z57" s="61">
        <f>VLOOKUP($D57,Résultats!$B$2:$AZ$212,Z$2,FALSE)</f>
        <v>20770.883819999999</v>
      </c>
      <c r="AA57" s="61">
        <f>VLOOKUP($D57,Résultats!$B$2:$AZ$212,AA$2,FALSE)</f>
        <v>19489.85353</v>
      </c>
      <c r="AB57" s="61">
        <f>VLOOKUP($D57,Résultats!$B$2:$AZ$212,AB$2,FALSE)</f>
        <v>18280.02331</v>
      </c>
      <c r="AC57" s="61">
        <f>VLOOKUP($D57,Résultats!$B$2:$AZ$212,AC$2,FALSE)</f>
        <v>17139.143619999999</v>
      </c>
      <c r="AD57" s="61">
        <f>VLOOKUP($D57,Résultats!$B$2:$AZ$212,AD$2,FALSE)</f>
        <v>16068.75461</v>
      </c>
      <c r="AE57" s="61">
        <f>VLOOKUP($D57,Résultats!$B$2:$AZ$212,AE$2,FALSE)</f>
        <v>15064.86075</v>
      </c>
      <c r="AF57" s="61">
        <f>VLOOKUP($D57,Résultats!$B$2:$AZ$212,AF$2,FALSE)</f>
        <v>14123.507960000001</v>
      </c>
      <c r="AG57" s="61">
        <f>VLOOKUP($D57,Résultats!$B$2:$AZ$212,AG$2,FALSE)</f>
        <v>13240.88905</v>
      </c>
      <c r="AH57" s="61">
        <f>VLOOKUP($D57,Résultats!$B$2:$AZ$212,AH$2,FALSE)</f>
        <v>12358.214889999999</v>
      </c>
      <c r="AI57" s="61">
        <f>VLOOKUP($D57,Résultats!$B$2:$AZ$212,AI$2,FALSE)</f>
        <v>11534.35975</v>
      </c>
      <c r="AJ57" s="61">
        <f>VLOOKUP($D57,Résultats!$B$2:$AZ$212,AJ$2,FALSE)</f>
        <v>10765.41534</v>
      </c>
      <c r="AK57" s="61">
        <f>VLOOKUP($D57,Résultats!$B$2:$AZ$212,AK$2,FALSE)</f>
        <v>10047.727419999999</v>
      </c>
      <c r="AL57" s="61">
        <f>VLOOKUP($D57,Résultats!$B$2:$AZ$212,AL$2,FALSE)</f>
        <v>9377.8821270000008</v>
      </c>
      <c r="AM57" s="225">
        <f>VLOOKUP($D57,Résultats!$B$2:$AZ$212,AM$2,FALSE)</f>
        <v>8752.6915480000007</v>
      </c>
      <c r="AN57" s="212"/>
    </row>
    <row r="58" spans="2:40" x14ac:dyDescent="0.25">
      <c r="B58" s="230"/>
      <c r="C58" s="218" t="s">
        <v>27</v>
      </c>
      <c r="D58" s="54" t="s">
        <v>131</v>
      </c>
      <c r="E58" s="65">
        <f>VLOOKUP($D58,Résultats!$B$2:$AZ$212,E$2,FALSE)</f>
        <v>18.581072330000001</v>
      </c>
      <c r="F58" s="65">
        <f>VLOOKUP($D58,Résultats!$B$2:$AZ$212,F$2,FALSE)</f>
        <v>204.49320739999999</v>
      </c>
      <c r="G58" s="65">
        <f>VLOOKUP($D58,Résultats!$B$2:$AZ$212,G$2,FALSE)</f>
        <v>229.35302730000001</v>
      </c>
      <c r="H58" s="65">
        <f>VLOOKUP($D58,Résultats!$B$2:$AZ$212,H$2,FALSE)</f>
        <v>251.2603727</v>
      </c>
      <c r="I58" s="65">
        <f>VLOOKUP($D58,Résultats!$B$2:$AZ$212,I$2,FALSE)</f>
        <v>295.13334140000001</v>
      </c>
      <c r="J58" s="65">
        <f>VLOOKUP($D58,Résultats!$B$2:$AZ$212,J$2,FALSE)</f>
        <v>331.26335330000001</v>
      </c>
      <c r="K58" s="65">
        <f>VLOOKUP($D58,Résultats!$B$2:$AZ$212,K$2,FALSE)</f>
        <v>394.87221299999999</v>
      </c>
      <c r="L58" s="65">
        <f>VLOOKUP($D58,Résultats!$B$2:$AZ$212,L$2,FALSE)</f>
        <v>471.36221669999998</v>
      </c>
      <c r="M58" s="65">
        <f>VLOOKUP($D58,Résultats!$B$2:$AZ$212,M$2,FALSE)</f>
        <v>541.55173409999998</v>
      </c>
      <c r="N58" s="65">
        <f>VLOOKUP($D58,Résultats!$B$2:$AZ$212,N$2,FALSE)</f>
        <v>604.46244509999997</v>
      </c>
      <c r="O58" s="65">
        <f>VLOOKUP($D58,Résultats!$B$2:$AZ$212,O$2,FALSE)</f>
        <v>658.38468350000005</v>
      </c>
      <c r="P58" s="65">
        <f>VLOOKUP($D58,Résultats!$B$2:$AZ$212,P$2,FALSE)</f>
        <v>702.92490699999996</v>
      </c>
      <c r="Q58" s="65">
        <f>VLOOKUP($D58,Résultats!$B$2:$AZ$212,Q$2,FALSE)</f>
        <v>734.0845061</v>
      </c>
      <c r="R58" s="65">
        <f>VLOOKUP($D58,Résultats!$B$2:$AZ$212,R$2,FALSE)</f>
        <v>751.08776069999999</v>
      </c>
      <c r="S58" s="65">
        <f>VLOOKUP($D58,Résultats!$B$2:$AZ$212,S$2,FALSE)</f>
        <v>753.36491039999999</v>
      </c>
      <c r="T58" s="65">
        <f>VLOOKUP($D58,Résultats!$B$2:$AZ$212,T$2,FALSE)</f>
        <v>742.80466969999998</v>
      </c>
      <c r="U58" s="65">
        <f>VLOOKUP($D58,Résultats!$B$2:$AZ$212,U$2,FALSE)</f>
        <v>721.14449249999996</v>
      </c>
      <c r="V58" s="65">
        <f>VLOOKUP($D58,Résultats!$B$2:$AZ$212,V$2,FALSE)</f>
        <v>691.70186430000001</v>
      </c>
      <c r="W58" s="65">
        <f>VLOOKUP($D58,Résultats!$B$2:$AZ$212,W$2,FALSE)</f>
        <v>657.81208530000004</v>
      </c>
      <c r="X58" s="65">
        <f>VLOOKUP($D58,Résultats!$B$2:$AZ$212,X$2,FALSE)</f>
        <v>622.15674769999998</v>
      </c>
      <c r="Y58" s="65">
        <f>VLOOKUP($D58,Résultats!$B$2:$AZ$212,Y$2,FALSE)</f>
        <v>586.44113789999994</v>
      </c>
      <c r="Z58" s="65">
        <f>VLOOKUP($D58,Résultats!$B$2:$AZ$212,Z$2,FALSE)</f>
        <v>551.59595220000006</v>
      </c>
      <c r="AA58" s="65">
        <f>VLOOKUP($D58,Résultats!$B$2:$AZ$212,AA$2,FALSE)</f>
        <v>518.1220945</v>
      </c>
      <c r="AB58" s="65">
        <f>VLOOKUP($D58,Résultats!$B$2:$AZ$212,AB$2,FALSE)</f>
        <v>486.24948970000003</v>
      </c>
      <c r="AC58" s="65">
        <f>VLOOKUP($D58,Résultats!$B$2:$AZ$212,AC$2,FALSE)</f>
        <v>456.05511050000001</v>
      </c>
      <c r="AD58" s="65">
        <f>VLOOKUP($D58,Résultats!$B$2:$AZ$212,AD$2,FALSE)</f>
        <v>427.65326779999998</v>
      </c>
      <c r="AE58" s="65">
        <f>VLOOKUP($D58,Résultats!$B$2:$AZ$212,AE$2,FALSE)</f>
        <v>400.977621</v>
      </c>
      <c r="AF58" s="65">
        <f>VLOOKUP($D58,Résultats!$B$2:$AZ$212,AF$2,FALSE)</f>
        <v>375.94375650000001</v>
      </c>
      <c r="AG58" s="65">
        <f>VLOOKUP($D58,Résultats!$B$2:$AZ$212,AG$2,FALSE)</f>
        <v>352.46136849999999</v>
      </c>
      <c r="AH58" s="65">
        <f>VLOOKUP($D58,Résultats!$B$2:$AZ$212,AH$2,FALSE)</f>
        <v>328.9719182</v>
      </c>
      <c r="AI58" s="65">
        <f>VLOOKUP($D58,Résultats!$B$2:$AZ$212,AI$2,FALSE)</f>
        <v>307.04458510000001</v>
      </c>
      <c r="AJ58" s="65">
        <f>VLOOKUP($D58,Résultats!$B$2:$AZ$212,AJ$2,FALSE)</f>
        <v>286.5770842</v>
      </c>
      <c r="AK58" s="65">
        <f>VLOOKUP($D58,Résultats!$B$2:$AZ$212,AK$2,FALSE)</f>
        <v>267.47304860000003</v>
      </c>
      <c r="AL58" s="65">
        <f>VLOOKUP($D58,Résultats!$B$2:$AZ$212,AL$2,FALSE)</f>
        <v>249.64208170000001</v>
      </c>
      <c r="AM58" s="226">
        <f>VLOOKUP($D58,Résultats!$B$2:$AZ$212,AM$2,FALSE)</f>
        <v>232.9995643</v>
      </c>
    </row>
    <row r="59" spans="2:40" x14ac:dyDescent="0.25">
      <c r="B59" s="230"/>
      <c r="C59" s="218" t="s">
        <v>28</v>
      </c>
      <c r="D59" s="54" t="s">
        <v>132</v>
      </c>
      <c r="E59" s="65">
        <f>VLOOKUP($D59,Résultats!$B$2:$AZ$212,E$2,FALSE)</f>
        <v>1622.772802</v>
      </c>
      <c r="F59" s="65">
        <f>VLOOKUP($D59,Résultats!$B$2:$AZ$212,F$2,FALSE)</f>
        <v>4028.7592300000001</v>
      </c>
      <c r="G59" s="65">
        <f>VLOOKUP($D59,Résultats!$B$2:$AZ$212,G$2,FALSE)</f>
        <v>4537.6542900000004</v>
      </c>
      <c r="H59" s="65">
        <f>VLOOKUP($D59,Résultats!$B$2:$AZ$212,H$2,FALSE)</f>
        <v>4714.7911969999996</v>
      </c>
      <c r="I59" s="65">
        <f>VLOOKUP($D59,Résultats!$B$2:$AZ$212,I$2,FALSE)</f>
        <v>4882.5389779999996</v>
      </c>
      <c r="J59" s="65">
        <f>VLOOKUP($D59,Résultats!$B$2:$AZ$212,J$2,FALSE)</f>
        <v>5003.1214980000004</v>
      </c>
      <c r="K59" s="65">
        <f>VLOOKUP($D59,Résultats!$B$2:$AZ$212,K$2,FALSE)</f>
        <v>5120.0447629999999</v>
      </c>
      <c r="L59" s="65">
        <f>VLOOKUP($D59,Résultats!$B$2:$AZ$212,L$2,FALSE)</f>
        <v>5232.5335359999999</v>
      </c>
      <c r="M59" s="65">
        <f>VLOOKUP($D59,Résultats!$B$2:$AZ$212,M$2,FALSE)</f>
        <v>5306.3192440000003</v>
      </c>
      <c r="N59" s="65">
        <f>VLOOKUP($D59,Résultats!$B$2:$AZ$212,N$2,FALSE)</f>
        <v>5347.1367879999998</v>
      </c>
      <c r="O59" s="65">
        <f>VLOOKUP($D59,Résultats!$B$2:$AZ$212,O$2,FALSE)</f>
        <v>5349.1033170000001</v>
      </c>
      <c r="P59" s="65">
        <f>VLOOKUP($D59,Résultats!$B$2:$AZ$212,P$2,FALSE)</f>
        <v>5312.6914150000002</v>
      </c>
      <c r="Q59" s="65">
        <f>VLOOKUP($D59,Résultats!$B$2:$AZ$212,Q$2,FALSE)</f>
        <v>5232.4424220000001</v>
      </c>
      <c r="R59" s="65">
        <f>VLOOKUP($D59,Résultats!$B$2:$AZ$212,R$2,FALSE)</f>
        <v>5104.2967689999996</v>
      </c>
      <c r="S59" s="65">
        <f>VLOOKUP($D59,Résultats!$B$2:$AZ$212,S$2,FALSE)</f>
        <v>4932.6086489999998</v>
      </c>
      <c r="T59" s="65">
        <f>VLOOKUP($D59,Résultats!$B$2:$AZ$212,T$2,FALSE)</f>
        <v>4729.882893</v>
      </c>
      <c r="U59" s="65">
        <f>VLOOKUP($D59,Résultats!$B$2:$AZ$212,U$2,FALSE)</f>
        <v>4503.962775</v>
      </c>
      <c r="V59" s="65">
        <f>VLOOKUP($D59,Résultats!$B$2:$AZ$212,V$2,FALSE)</f>
        <v>4265.828998</v>
      </c>
      <c r="W59" s="65">
        <f>VLOOKUP($D59,Résultats!$B$2:$AZ$212,W$2,FALSE)</f>
        <v>4025.2713119999999</v>
      </c>
      <c r="X59" s="65">
        <f>VLOOKUP($D59,Résultats!$B$2:$AZ$212,X$2,FALSE)</f>
        <v>3789.1900660000001</v>
      </c>
      <c r="Y59" s="65">
        <f>VLOOKUP($D59,Résultats!$B$2:$AZ$212,Y$2,FALSE)</f>
        <v>3561.7093159999999</v>
      </c>
      <c r="Z59" s="65">
        <f>VLOOKUP($D59,Résultats!$B$2:$AZ$212,Z$2,FALSE)</f>
        <v>3344.6665010000002</v>
      </c>
      <c r="AA59" s="65">
        <f>VLOOKUP($D59,Résultats!$B$2:$AZ$212,AA$2,FALSE)</f>
        <v>3138.7837679999998</v>
      </c>
      <c r="AB59" s="65">
        <f>VLOOKUP($D59,Résultats!$B$2:$AZ$212,AB$2,FALSE)</f>
        <v>2944.1471660000002</v>
      </c>
      <c r="AC59" s="65">
        <f>VLOOKUP($D59,Résultats!$B$2:$AZ$212,AC$2,FALSE)</f>
        <v>2760.5025489999998</v>
      </c>
      <c r="AD59" s="65">
        <f>VLOOKUP($D59,Résultats!$B$2:$AZ$212,AD$2,FALSE)</f>
        <v>2588.1531679999998</v>
      </c>
      <c r="AE59" s="65">
        <f>VLOOKUP($D59,Résultats!$B$2:$AZ$212,AE$2,FALSE)</f>
        <v>2426.484739</v>
      </c>
      <c r="AF59" s="65">
        <f>VLOOKUP($D59,Résultats!$B$2:$AZ$212,AF$2,FALSE)</f>
        <v>2274.8749769999999</v>
      </c>
      <c r="AG59" s="65">
        <f>VLOOKUP($D59,Résultats!$B$2:$AZ$212,AG$2,FALSE)</f>
        <v>2132.7180709999998</v>
      </c>
      <c r="AH59" s="65">
        <f>VLOOKUP($D59,Résultats!$B$2:$AZ$212,AH$2,FALSE)</f>
        <v>1990.5487430000001</v>
      </c>
      <c r="AI59" s="65">
        <f>VLOOKUP($D59,Résultats!$B$2:$AZ$212,AI$2,FALSE)</f>
        <v>1857.8514319999999</v>
      </c>
      <c r="AJ59" s="65">
        <f>VLOOKUP($D59,Résultats!$B$2:$AZ$212,AJ$2,FALSE)</f>
        <v>1733.9976369999999</v>
      </c>
      <c r="AK59" s="65">
        <f>VLOOKUP($D59,Résultats!$B$2:$AZ$212,AK$2,FALSE)</f>
        <v>1618.399273</v>
      </c>
      <c r="AL59" s="65">
        <f>VLOOKUP($D59,Résultats!$B$2:$AZ$212,AL$2,FALSE)</f>
        <v>1510.506725</v>
      </c>
      <c r="AM59" s="226">
        <f>VLOOKUP($D59,Résultats!$B$2:$AZ$212,AM$2,FALSE)</f>
        <v>1409.806636</v>
      </c>
    </row>
    <row r="60" spans="2:40" x14ac:dyDescent="0.25">
      <c r="B60" s="230"/>
      <c r="C60" s="218" t="s">
        <v>29</v>
      </c>
      <c r="D60" s="54" t="s">
        <v>133</v>
      </c>
      <c r="E60" s="65">
        <f>VLOOKUP($D60,Résultats!$B$2:$AZ$212,E$2,FALSE)</f>
        <v>3840.9962489999998</v>
      </c>
      <c r="F60" s="65">
        <f>VLOOKUP($D60,Résultats!$B$2:$AZ$212,F$2,FALSE)</f>
        <v>7001.0494790000002</v>
      </c>
      <c r="G60" s="65">
        <f>VLOOKUP($D60,Résultats!$B$2:$AZ$212,G$2,FALSE)</f>
        <v>7675.4185649999999</v>
      </c>
      <c r="H60" s="65">
        <f>VLOOKUP($D60,Résultats!$B$2:$AZ$212,H$2,FALSE)</f>
        <v>7910.6103999999996</v>
      </c>
      <c r="I60" s="65">
        <f>VLOOKUP($D60,Résultats!$B$2:$AZ$212,I$2,FALSE)</f>
        <v>8116.9928209999998</v>
      </c>
      <c r="J60" s="65">
        <f>VLOOKUP($D60,Résultats!$B$2:$AZ$212,J$2,FALSE)</f>
        <v>8259.6993469999998</v>
      </c>
      <c r="K60" s="65">
        <f>VLOOKUP($D60,Résultats!$B$2:$AZ$212,K$2,FALSE)</f>
        <v>8374.2368690000003</v>
      </c>
      <c r="L60" s="65">
        <f>VLOOKUP($D60,Résultats!$B$2:$AZ$212,L$2,FALSE)</f>
        <v>8472.3359720000008</v>
      </c>
      <c r="M60" s="65">
        <f>VLOOKUP($D60,Résultats!$B$2:$AZ$212,M$2,FALSE)</f>
        <v>8514.800459</v>
      </c>
      <c r="N60" s="65">
        <f>VLOOKUP($D60,Résultats!$B$2:$AZ$212,N$2,FALSE)</f>
        <v>8511.4156199999998</v>
      </c>
      <c r="O60" s="65">
        <f>VLOOKUP($D60,Résultats!$B$2:$AZ$212,O$2,FALSE)</f>
        <v>8454.0083290000002</v>
      </c>
      <c r="P60" s="65">
        <f>VLOOKUP($D60,Résultats!$B$2:$AZ$212,P$2,FALSE)</f>
        <v>8343.44434</v>
      </c>
      <c r="Q60" s="65">
        <f>VLOOKUP($D60,Résultats!$B$2:$AZ$212,Q$2,FALSE)</f>
        <v>8173.6963990000004</v>
      </c>
      <c r="R60" s="65">
        <f>VLOOKUP($D60,Résultats!$B$2:$AZ$212,R$2,FALSE)</f>
        <v>7939.1646549999996</v>
      </c>
      <c r="S60" s="65">
        <f>VLOOKUP($D60,Résultats!$B$2:$AZ$212,S$2,FALSE)</f>
        <v>7646.6677440000003</v>
      </c>
      <c r="T60" s="65">
        <f>VLOOKUP($D60,Résultats!$B$2:$AZ$212,T$2,FALSE)</f>
        <v>7314.284146</v>
      </c>
      <c r="U60" s="65">
        <f>VLOOKUP($D60,Résultats!$B$2:$AZ$212,U$2,FALSE)</f>
        <v>6953.1044119999997</v>
      </c>
      <c r="V60" s="65">
        <f>VLOOKUP($D60,Résultats!$B$2:$AZ$212,V$2,FALSE)</f>
        <v>6578.2984470000001</v>
      </c>
      <c r="W60" s="65">
        <f>VLOOKUP($D60,Résultats!$B$2:$AZ$212,W$2,FALSE)</f>
        <v>6203.2354649999997</v>
      </c>
      <c r="X60" s="65">
        <f>VLOOKUP($D60,Résultats!$B$2:$AZ$212,X$2,FALSE)</f>
        <v>5837.1407259999996</v>
      </c>
      <c r="Y60" s="65">
        <f>VLOOKUP($D60,Résultats!$B$2:$AZ$212,Y$2,FALSE)</f>
        <v>5485.4631490000002</v>
      </c>
      <c r="Z60" s="65">
        <f>VLOOKUP($D60,Résultats!$B$2:$AZ$212,Z$2,FALSE)</f>
        <v>5150.5207179999998</v>
      </c>
      <c r="AA60" s="65">
        <f>VLOOKUP($D60,Résultats!$B$2:$AZ$212,AA$2,FALSE)</f>
        <v>4833.1221690000002</v>
      </c>
      <c r="AB60" s="65">
        <f>VLOOKUP($D60,Résultats!$B$2:$AZ$212,AB$2,FALSE)</f>
        <v>4533.2322340000001</v>
      </c>
      <c r="AC60" s="65">
        <f>VLOOKUP($D60,Résultats!$B$2:$AZ$212,AC$2,FALSE)</f>
        <v>4250.3685960000003</v>
      </c>
      <c r="AD60" s="65">
        <f>VLOOKUP($D60,Résultats!$B$2:$AZ$212,AD$2,FALSE)</f>
        <v>3984.9502889999999</v>
      </c>
      <c r="AE60" s="65">
        <f>VLOOKUP($D60,Résultats!$B$2:$AZ$212,AE$2,FALSE)</f>
        <v>3736.0051330000001</v>
      </c>
      <c r="AF60" s="65">
        <f>VLOOKUP($D60,Résultats!$B$2:$AZ$212,AF$2,FALSE)</f>
        <v>3502.5614890000002</v>
      </c>
      <c r="AG60" s="65">
        <f>VLOOKUP($D60,Résultats!$B$2:$AZ$212,AG$2,FALSE)</f>
        <v>3283.679549</v>
      </c>
      <c r="AH60" s="65">
        <f>VLOOKUP($D60,Résultats!$B$2:$AZ$212,AH$2,FALSE)</f>
        <v>3064.7819030000001</v>
      </c>
      <c r="AI60" s="65">
        <f>VLOOKUP($D60,Résultats!$B$2:$AZ$212,AI$2,FALSE)</f>
        <v>2860.4702189999998</v>
      </c>
      <c r="AJ60" s="65">
        <f>VLOOKUP($D60,Résultats!$B$2:$AZ$212,AJ$2,FALSE)</f>
        <v>2669.775729</v>
      </c>
      <c r="AK60" s="65">
        <f>VLOOKUP($D60,Résultats!$B$2:$AZ$212,AK$2,FALSE)</f>
        <v>2491.7924229999999</v>
      </c>
      <c r="AL60" s="65">
        <f>VLOOKUP($D60,Résultats!$B$2:$AZ$212,AL$2,FALSE)</f>
        <v>2325.6737899999998</v>
      </c>
      <c r="AM60" s="226">
        <f>VLOOKUP($D60,Résultats!$B$2:$AZ$212,AM$2,FALSE)</f>
        <v>2170.6292880000001</v>
      </c>
    </row>
    <row r="61" spans="2:40" x14ac:dyDescent="0.25">
      <c r="B61" s="230"/>
      <c r="C61" s="218" t="s">
        <v>30</v>
      </c>
      <c r="D61" s="54" t="s">
        <v>134</v>
      </c>
      <c r="E61" s="65">
        <f>VLOOKUP($D61,Résultats!$B$2:$AZ$212,E$2,FALSE)</f>
        <v>5377.3855290000001</v>
      </c>
      <c r="F61" s="65">
        <f>VLOOKUP($D61,Résultats!$B$2:$AZ$212,F$2,FALSE)</f>
        <v>7839.687097</v>
      </c>
      <c r="G61" s="65">
        <f>VLOOKUP($D61,Résultats!$B$2:$AZ$212,G$2,FALSE)</f>
        <v>8334.8909569999996</v>
      </c>
      <c r="H61" s="65">
        <f>VLOOKUP($D61,Résultats!$B$2:$AZ$212,H$2,FALSE)</f>
        <v>8514.7065640000001</v>
      </c>
      <c r="I61" s="65">
        <f>VLOOKUP($D61,Résultats!$B$2:$AZ$212,I$2,FALSE)</f>
        <v>8656.7949129999997</v>
      </c>
      <c r="J61" s="65">
        <f>VLOOKUP($D61,Résultats!$B$2:$AZ$212,J$2,FALSE)</f>
        <v>8753.6995819999902</v>
      </c>
      <c r="K61" s="65">
        <f>VLOOKUP($D61,Résultats!$B$2:$AZ$212,K$2,FALSE)</f>
        <v>8811.5227099999902</v>
      </c>
      <c r="L61" s="65">
        <f>VLOOKUP($D61,Résultats!$B$2:$AZ$212,L$2,FALSE)</f>
        <v>8849.0966370000006</v>
      </c>
      <c r="M61" s="65">
        <f>VLOOKUP($D61,Résultats!$B$2:$AZ$212,M$2,FALSE)</f>
        <v>8835.5956440000009</v>
      </c>
      <c r="N61" s="65">
        <f>VLOOKUP($D61,Résultats!$B$2:$AZ$212,N$2,FALSE)</f>
        <v>8780.8999839999997</v>
      </c>
      <c r="O61" s="65">
        <f>VLOOKUP($D61,Résultats!$B$2:$AZ$212,O$2,FALSE)</f>
        <v>8677.2451540000002</v>
      </c>
      <c r="P61" s="65">
        <f>VLOOKUP($D61,Résultats!$B$2:$AZ$212,P$2,FALSE)</f>
        <v>8525.4863679999999</v>
      </c>
      <c r="Q61" s="65">
        <f>VLOOKUP($D61,Résultats!$B$2:$AZ$212,Q$2,FALSE)</f>
        <v>8320.7365719999998</v>
      </c>
      <c r="R61" s="65">
        <f>VLOOKUP($D61,Résultats!$B$2:$AZ$212,R$2,FALSE)</f>
        <v>8057.7286569999997</v>
      </c>
      <c r="S61" s="65">
        <f>VLOOKUP($D61,Résultats!$B$2:$AZ$212,S$2,FALSE)</f>
        <v>7743.1555429999999</v>
      </c>
      <c r="T61" s="65">
        <f>VLOOKUP($D61,Résultats!$B$2:$AZ$212,T$2,FALSE)</f>
        <v>7394.1264140000003</v>
      </c>
      <c r="U61" s="65">
        <f>VLOOKUP($D61,Résultats!$B$2:$AZ$212,U$2,FALSE)</f>
        <v>7020.9887570000001</v>
      </c>
      <c r="V61" s="65">
        <f>VLOOKUP($D61,Résultats!$B$2:$AZ$212,V$2,FALSE)</f>
        <v>6637.7257060000002</v>
      </c>
      <c r="W61" s="65">
        <f>VLOOKUP($D61,Résultats!$B$2:$AZ$212,W$2,FALSE)</f>
        <v>6256.5711920000003</v>
      </c>
      <c r="X61" s="65">
        <f>VLOOKUP($D61,Résultats!$B$2:$AZ$212,X$2,FALSE)</f>
        <v>5885.8549110000004</v>
      </c>
      <c r="Y61" s="65">
        <f>VLOOKUP($D61,Résultats!$B$2:$AZ$212,Y$2,FALSE)</f>
        <v>5530.4461499999998</v>
      </c>
      <c r="Z61" s="65">
        <f>VLOOKUP($D61,Résultats!$B$2:$AZ$212,Z$2,FALSE)</f>
        <v>5192.3364700000002</v>
      </c>
      <c r="AA61" s="65">
        <f>VLOOKUP($D61,Résultats!$B$2:$AZ$212,AA$2,FALSE)</f>
        <v>4872.1415790000001</v>
      </c>
      <c r="AB61" s="65">
        <f>VLOOKUP($D61,Résultats!$B$2:$AZ$212,AB$2,FALSE)</f>
        <v>4569.7168069999998</v>
      </c>
      <c r="AC61" s="65">
        <f>VLOOKUP($D61,Résultats!$B$2:$AZ$212,AC$2,FALSE)</f>
        <v>4284.5179179999996</v>
      </c>
      <c r="AD61" s="65">
        <f>VLOOKUP($D61,Résultats!$B$2:$AZ$212,AD$2,FALSE)</f>
        <v>4016.937199</v>
      </c>
      <c r="AE61" s="65">
        <f>VLOOKUP($D61,Résultats!$B$2:$AZ$212,AE$2,FALSE)</f>
        <v>3765.9784970000001</v>
      </c>
      <c r="AF61" s="65">
        <f>VLOOKUP($D61,Résultats!$B$2:$AZ$212,AF$2,FALSE)</f>
        <v>3530.654192</v>
      </c>
      <c r="AG61" s="65">
        <f>VLOOKUP($D61,Résultats!$B$2:$AZ$212,AG$2,FALSE)</f>
        <v>3310.0127179999999</v>
      </c>
      <c r="AH61" s="65">
        <f>VLOOKUP($D61,Résultats!$B$2:$AZ$212,AH$2,FALSE)</f>
        <v>3089.3574640000002</v>
      </c>
      <c r="AI61" s="65">
        <f>VLOOKUP($D61,Résultats!$B$2:$AZ$212,AI$2,FALSE)</f>
        <v>2883.4063599999999</v>
      </c>
      <c r="AJ61" s="65">
        <f>VLOOKUP($D61,Résultats!$B$2:$AZ$212,AJ$2,FALSE)</f>
        <v>2691.18226</v>
      </c>
      <c r="AK61" s="65">
        <f>VLOOKUP($D61,Résultats!$B$2:$AZ$212,AK$2,FALSE)</f>
        <v>2511.7715819999999</v>
      </c>
      <c r="AL61" s="65">
        <f>VLOOKUP($D61,Résultats!$B$2:$AZ$212,AL$2,FALSE)</f>
        <v>2344.3208690000001</v>
      </c>
      <c r="AM61" s="226">
        <f>VLOOKUP($D61,Résultats!$B$2:$AZ$212,AM$2,FALSE)</f>
        <v>2188.03316</v>
      </c>
    </row>
    <row r="62" spans="2:40" x14ac:dyDescent="0.25">
      <c r="B62" s="230"/>
      <c r="C62" s="218" t="s">
        <v>31</v>
      </c>
      <c r="D62" s="54" t="s">
        <v>135</v>
      </c>
      <c r="E62" s="65">
        <f>VLOOKUP($D62,Résultats!$B$2:$AZ$212,E$2,FALSE)</f>
        <v>13959.64589</v>
      </c>
      <c r="F62" s="65">
        <f>VLOOKUP($D62,Résultats!$B$2:$AZ$212,F$2,FALSE)</f>
        <v>11304.029839999999</v>
      </c>
      <c r="G62" s="65">
        <f>VLOOKUP($D62,Résultats!$B$2:$AZ$212,G$2,FALSE)</f>
        <v>10654.62514</v>
      </c>
      <c r="H62" s="65">
        <f>VLOOKUP($D62,Résultats!$B$2:$AZ$212,H$2,FALSE)</f>
        <v>10477.16394</v>
      </c>
      <c r="I62" s="65">
        <f>VLOOKUP($D62,Résultats!$B$2:$AZ$212,I$2,FALSE)</f>
        <v>10271.834199999999</v>
      </c>
      <c r="J62" s="65">
        <f>VLOOKUP($D62,Résultats!$B$2:$AZ$212,J$2,FALSE)</f>
        <v>10068.579589999999</v>
      </c>
      <c r="K62" s="65">
        <f>VLOOKUP($D62,Résultats!$B$2:$AZ$212,K$2,FALSE)</f>
        <v>9801.3543360000003</v>
      </c>
      <c r="L62" s="65">
        <f>VLOOKUP($D62,Résultats!$B$2:$AZ$212,L$2,FALSE)</f>
        <v>9515.2570350000005</v>
      </c>
      <c r="M62" s="65">
        <f>VLOOKUP($D62,Résultats!$B$2:$AZ$212,M$2,FALSE)</f>
        <v>9217.2731000000003</v>
      </c>
      <c r="N62" s="65">
        <f>VLOOKUP($D62,Résultats!$B$2:$AZ$212,N$2,FALSE)</f>
        <v>8912.98728999999</v>
      </c>
      <c r="O62" s="65">
        <f>VLOOKUP($D62,Résultats!$B$2:$AZ$212,O$2,FALSE)</f>
        <v>8596.8743209999902</v>
      </c>
      <c r="P62" s="65">
        <f>VLOOKUP($D62,Résultats!$B$2:$AZ$212,P$2,FALSE)</f>
        <v>8268.9350539999996</v>
      </c>
      <c r="Q62" s="65">
        <f>VLOOKUP($D62,Résultats!$B$2:$AZ$212,Q$2,FALSE)</f>
        <v>7927.3135339999999</v>
      </c>
      <c r="R62" s="65">
        <f>VLOOKUP($D62,Résultats!$B$2:$AZ$212,R$2,FALSE)</f>
        <v>7568.8325420000001</v>
      </c>
      <c r="S62" s="65">
        <f>VLOOKUP($D62,Résultats!$B$2:$AZ$212,S$2,FALSE)</f>
        <v>7196.8651760000002</v>
      </c>
      <c r="T62" s="65">
        <f>VLOOKUP($D62,Résultats!$B$2:$AZ$212,T$2,FALSE)</f>
        <v>6819.9288850000003</v>
      </c>
      <c r="U62" s="65">
        <f>VLOOKUP($D62,Résultats!$B$2:$AZ$212,U$2,FALSE)</f>
        <v>6442.8061109999999</v>
      </c>
      <c r="V62" s="65">
        <f>VLOOKUP($D62,Résultats!$B$2:$AZ$212,V$2,FALSE)</f>
        <v>6071.9144079999996</v>
      </c>
      <c r="W62" s="65">
        <f>VLOOKUP($D62,Résultats!$B$2:$AZ$212,W$2,FALSE)</f>
        <v>5712.7145060000003</v>
      </c>
      <c r="X62" s="65">
        <f>VLOOKUP($D62,Résultats!$B$2:$AZ$212,X$2,FALSE)</f>
        <v>5368.6626960000003</v>
      </c>
      <c r="Y62" s="65">
        <f>VLOOKUP($D62,Résultats!$B$2:$AZ$212,Y$2,FALSE)</f>
        <v>5041.5627999999997</v>
      </c>
      <c r="Z62" s="65">
        <f>VLOOKUP($D62,Résultats!$B$2:$AZ$212,Z$2,FALSE)</f>
        <v>4731.8393900000001</v>
      </c>
      <c r="AA62" s="65">
        <f>VLOOKUP($D62,Résultats!$B$2:$AZ$212,AA$2,FALSE)</f>
        <v>4439.2804880000003</v>
      </c>
      <c r="AB62" s="65">
        <f>VLOOKUP($D62,Résultats!$B$2:$AZ$212,AB$2,FALSE)</f>
        <v>4163.3407639999996</v>
      </c>
      <c r="AC62" s="65">
        <f>VLOOKUP($D62,Résultats!$B$2:$AZ$212,AC$2,FALSE)</f>
        <v>3903.311404</v>
      </c>
      <c r="AD62" s="65">
        <f>VLOOKUP($D62,Résultats!$B$2:$AZ$212,AD$2,FALSE)</f>
        <v>3659.4423160000001</v>
      </c>
      <c r="AE62" s="65">
        <f>VLOOKUP($D62,Résultats!$B$2:$AZ$212,AE$2,FALSE)</f>
        <v>3430.7703630000001</v>
      </c>
      <c r="AF62" s="65">
        <f>VLOOKUP($D62,Résultats!$B$2:$AZ$212,AF$2,FALSE)</f>
        <v>3216.3684039999998</v>
      </c>
      <c r="AG62" s="65">
        <f>VLOOKUP($D62,Résultats!$B$2:$AZ$212,AG$2,FALSE)</f>
        <v>3015.355787</v>
      </c>
      <c r="AH62" s="65">
        <f>VLOOKUP($D62,Résultats!$B$2:$AZ$212,AH$2,FALSE)</f>
        <v>2814.337188</v>
      </c>
      <c r="AI62" s="65">
        <f>VLOOKUP($D62,Résultats!$B$2:$AZ$212,AI$2,FALSE)</f>
        <v>2626.7172260000002</v>
      </c>
      <c r="AJ62" s="65">
        <f>VLOOKUP($D62,Résultats!$B$2:$AZ$212,AJ$2,FALSE)</f>
        <v>2451.6039810000002</v>
      </c>
      <c r="AK62" s="65">
        <f>VLOOKUP($D62,Résultats!$B$2:$AZ$212,AK$2,FALSE)</f>
        <v>2288.1643220000001</v>
      </c>
      <c r="AL62" s="65">
        <f>VLOOKUP($D62,Résultats!$B$2:$AZ$212,AL$2,FALSE)</f>
        <v>2135.620332</v>
      </c>
      <c r="AM62" s="226">
        <f>VLOOKUP($D62,Résultats!$B$2:$AZ$212,AM$2,FALSE)</f>
        <v>1993.2457870000001</v>
      </c>
    </row>
    <row r="63" spans="2:40" x14ac:dyDescent="0.25">
      <c r="B63" s="230"/>
      <c r="C63" s="218" t="s">
        <v>32</v>
      </c>
      <c r="D63" s="54" t="s">
        <v>136</v>
      </c>
      <c r="E63" s="65">
        <f>VLOOKUP($D63,Résultats!$B$2:$AZ$212,E$2,FALSE)</f>
        <v>4923.9468200000001</v>
      </c>
      <c r="F63" s="65">
        <f>VLOOKUP($D63,Résultats!$B$2:$AZ$212,F$2,FALSE)</f>
        <v>3865.6200920000001</v>
      </c>
      <c r="G63" s="65">
        <f>VLOOKUP($D63,Résultats!$B$2:$AZ$212,G$2,FALSE)</f>
        <v>3601.2795350000001</v>
      </c>
      <c r="H63" s="65">
        <f>VLOOKUP($D63,Résultats!$B$2:$AZ$212,H$2,FALSE)</f>
        <v>3525.2079119999999</v>
      </c>
      <c r="I63" s="65">
        <f>VLOOKUP($D63,Résultats!$B$2:$AZ$212,I$2,FALSE)</f>
        <v>3432.1797320000001</v>
      </c>
      <c r="J63" s="65">
        <f>VLOOKUP($D63,Résultats!$B$2:$AZ$212,J$2,FALSE)</f>
        <v>3316.2090109999999</v>
      </c>
      <c r="K63" s="65">
        <f>VLOOKUP($D63,Résultats!$B$2:$AZ$212,K$2,FALSE)</f>
        <v>3173.0040159999999</v>
      </c>
      <c r="L63" s="65">
        <f>VLOOKUP($D63,Résultats!$B$2:$AZ$212,L$2,FALSE)</f>
        <v>3022.6141729999999</v>
      </c>
      <c r="M63" s="65">
        <f>VLOOKUP($D63,Résultats!$B$2:$AZ$212,M$2,FALSE)</f>
        <v>2875.7847820000002</v>
      </c>
      <c r="N63" s="65">
        <f>VLOOKUP($D63,Résultats!$B$2:$AZ$212,N$2,FALSE)</f>
        <v>2733.6602010000001</v>
      </c>
      <c r="O63" s="65">
        <f>VLOOKUP($D63,Résultats!$B$2:$AZ$212,O$2,FALSE)</f>
        <v>2595.1128039999999</v>
      </c>
      <c r="P63" s="65">
        <f>VLOOKUP($D63,Résultats!$B$2:$AZ$212,P$2,FALSE)</f>
        <v>2460.0586170000001</v>
      </c>
      <c r="Q63" s="65">
        <f>VLOOKUP($D63,Résultats!$B$2:$AZ$212,Q$2,FALSE)</f>
        <v>2328.6808639999999</v>
      </c>
      <c r="R63" s="65">
        <f>VLOOKUP($D63,Résultats!$B$2:$AZ$212,R$2,FALSE)</f>
        <v>2200.4667709999999</v>
      </c>
      <c r="S63" s="65">
        <f>VLOOKUP($D63,Résultats!$B$2:$AZ$212,S$2,FALSE)</f>
        <v>2075.830492</v>
      </c>
      <c r="T63" s="65">
        <f>VLOOKUP($D63,Résultats!$B$2:$AZ$212,T$2,FALSE)</f>
        <v>1955.6549259999999</v>
      </c>
      <c r="U63" s="65">
        <f>VLOOKUP($D63,Résultats!$B$2:$AZ$212,U$2,FALSE)</f>
        <v>1840.2748979999999</v>
      </c>
      <c r="V63" s="65">
        <f>VLOOKUP($D63,Résultats!$B$2:$AZ$212,V$2,FALSE)</f>
        <v>1730.1076619999999</v>
      </c>
      <c r="W63" s="65">
        <f>VLOOKUP($D63,Résultats!$B$2:$AZ$212,W$2,FALSE)</f>
        <v>1625.4352280000001</v>
      </c>
      <c r="X63" s="65">
        <f>VLOOKUP($D63,Résultats!$B$2:$AZ$212,X$2,FALSE)</f>
        <v>1526.3189729999999</v>
      </c>
      <c r="Y63" s="65">
        <f>VLOOKUP($D63,Résultats!$B$2:$AZ$212,Y$2,FALSE)</f>
        <v>1432.683618</v>
      </c>
      <c r="Z63" s="65">
        <f>VLOOKUP($D63,Résultats!$B$2:$AZ$212,Z$2,FALSE)</f>
        <v>1344.340336</v>
      </c>
      <c r="AA63" s="65">
        <f>VLOOKUP($D63,Résultats!$B$2:$AZ$212,AA$2,FALSE)</f>
        <v>1261.0576840000001</v>
      </c>
      <c r="AB63" s="65">
        <f>VLOOKUP($D63,Résultats!$B$2:$AZ$212,AB$2,FALSE)</f>
        <v>1182.589381</v>
      </c>
      <c r="AC63" s="65">
        <f>VLOOKUP($D63,Résultats!$B$2:$AZ$212,AC$2,FALSE)</f>
        <v>1108.6872969999999</v>
      </c>
      <c r="AD63" s="65">
        <f>VLOOKUP($D63,Résultats!$B$2:$AZ$212,AD$2,FALSE)</f>
        <v>1039.398923</v>
      </c>
      <c r="AE63" s="65">
        <f>VLOOKUP($D63,Résultats!$B$2:$AZ$212,AE$2,FALSE)</f>
        <v>974.4386581</v>
      </c>
      <c r="AF63" s="65">
        <f>VLOOKUP($D63,Résultats!$B$2:$AZ$212,AF$2,FALSE)</f>
        <v>913.53726740000002</v>
      </c>
      <c r="AG63" s="65">
        <f>VLOOKUP($D63,Résultats!$B$2:$AZ$212,AG$2,FALSE)</f>
        <v>856.44167460000006</v>
      </c>
      <c r="AH63" s="65">
        <f>VLOOKUP($D63,Résultats!$B$2:$AZ$212,AH$2,FALSE)</f>
        <v>799.34578069999998</v>
      </c>
      <c r="AI63" s="65">
        <f>VLOOKUP($D63,Résultats!$B$2:$AZ$212,AI$2,FALSE)</f>
        <v>746.05616650000002</v>
      </c>
      <c r="AJ63" s="65">
        <f>VLOOKUP($D63,Résultats!$B$2:$AZ$212,AJ$2,FALSE)</f>
        <v>696.31913889999998</v>
      </c>
      <c r="AK63" s="65">
        <f>VLOOKUP($D63,Résultats!$B$2:$AZ$212,AK$2,FALSE)</f>
        <v>649.89788720000001</v>
      </c>
      <c r="AL63" s="65">
        <f>VLOOKUP($D63,Résultats!$B$2:$AZ$212,AL$2,FALSE)</f>
        <v>606.57137299999999</v>
      </c>
      <c r="AM63" s="226">
        <f>VLOOKUP($D63,Résultats!$B$2:$AZ$212,AM$2,FALSE)</f>
        <v>566.133287</v>
      </c>
    </row>
    <row r="64" spans="2:40" x14ac:dyDescent="0.25">
      <c r="B64" s="230"/>
      <c r="C64" s="219" t="s">
        <v>33</v>
      </c>
      <c r="D64" s="54" t="s">
        <v>137</v>
      </c>
      <c r="E64" s="224">
        <f>VLOOKUP($D64,Résultats!$B$2:$AZ$212,E$2,FALSE)</f>
        <v>2256.0604069999999</v>
      </c>
      <c r="F64" s="224">
        <f>VLOOKUP($D64,Résultats!$B$2:$AZ$212,F$2,FALSE)</f>
        <v>1545.8588070000001</v>
      </c>
      <c r="G64" s="224">
        <f>VLOOKUP($D64,Résultats!$B$2:$AZ$212,G$2,FALSE)</f>
        <v>1384.739885</v>
      </c>
      <c r="H64" s="224">
        <f>VLOOKUP($D64,Résultats!$B$2:$AZ$212,H$2,FALSE)</f>
        <v>1334.318417</v>
      </c>
      <c r="I64" s="224">
        <f>VLOOKUP($D64,Résultats!$B$2:$AZ$212,I$2,FALSE)</f>
        <v>1280.3625569999999</v>
      </c>
      <c r="J64" s="224">
        <f>VLOOKUP($D64,Résultats!$B$2:$AZ$212,J$2,FALSE)</f>
        <v>1221.574897</v>
      </c>
      <c r="K64" s="224">
        <f>VLOOKUP($D64,Résultats!$B$2:$AZ$212,K$2,FALSE)</f>
        <v>1153.709625</v>
      </c>
      <c r="L64" s="224">
        <f>VLOOKUP($D64,Résultats!$B$2:$AZ$212,L$2,FALSE)</f>
        <v>1085.844353</v>
      </c>
      <c r="M64" s="224">
        <f>VLOOKUP($D64,Résultats!$B$2:$AZ$212,M$2,FALSE)</f>
        <v>1021.971156</v>
      </c>
      <c r="N64" s="224">
        <f>VLOOKUP($D64,Résultats!$B$2:$AZ$212,N$2,FALSE)</f>
        <v>961.85520540000005</v>
      </c>
      <c r="O64" s="224">
        <f>VLOOKUP($D64,Résultats!$B$2:$AZ$212,O$2,FALSE)</f>
        <v>905.05273269999998</v>
      </c>
      <c r="P64" s="224">
        <f>VLOOKUP($D64,Résultats!$B$2:$AZ$212,P$2,FALSE)</f>
        <v>851.39347969999994</v>
      </c>
      <c r="Q64" s="224">
        <f>VLOOKUP($D64,Résultats!$B$2:$AZ$212,Q$2,FALSE)</f>
        <v>800.71529640000006</v>
      </c>
      <c r="R64" s="224">
        <f>VLOOKUP($D64,Résultats!$B$2:$AZ$212,R$2,FALSE)</f>
        <v>752.8637847</v>
      </c>
      <c r="S64" s="224">
        <f>VLOOKUP($D64,Résultats!$B$2:$AZ$212,S$2,FALSE)</f>
        <v>707.69195760000002</v>
      </c>
      <c r="T64" s="224">
        <f>VLOOKUP($D64,Résultats!$B$2:$AZ$212,T$2,FALSE)</f>
        <v>665.05991200000005</v>
      </c>
      <c r="U64" s="224">
        <f>VLOOKUP($D64,Résultats!$B$2:$AZ$212,U$2,FALSE)</f>
        <v>624.83451409999998</v>
      </c>
      <c r="V64" s="224">
        <f>VLOOKUP($D64,Résultats!$B$2:$AZ$212,V$2,FALSE)</f>
        <v>586.88909820000003</v>
      </c>
      <c r="W64" s="224">
        <f>VLOOKUP($D64,Résultats!$B$2:$AZ$212,W$2,FALSE)</f>
        <v>551.10317759999998</v>
      </c>
      <c r="X64" s="224">
        <f>VLOOKUP($D64,Résultats!$B$2:$AZ$212,X$2,FALSE)</f>
        <v>517.36216669999999</v>
      </c>
      <c r="Y64" s="224">
        <f>VLOOKUP($D64,Résultats!$B$2:$AZ$212,Y$2,FALSE)</f>
        <v>485.55711550000001</v>
      </c>
      <c r="Z64" s="224">
        <f>VLOOKUP($D64,Résultats!$B$2:$AZ$212,Z$2,FALSE)</f>
        <v>455.58445399999999</v>
      </c>
      <c r="AA64" s="224">
        <f>VLOOKUP($D64,Résultats!$B$2:$AZ$212,AA$2,FALSE)</f>
        <v>427.3457482</v>
      </c>
      <c r="AB64" s="224">
        <f>VLOOKUP($D64,Résultats!$B$2:$AZ$212,AB$2,FALSE)</f>
        <v>400.7474651</v>
      </c>
      <c r="AC64" s="224">
        <f>VLOOKUP($D64,Résultats!$B$2:$AZ$212,AC$2,FALSE)</f>
        <v>375.7007486</v>
      </c>
      <c r="AD64" s="224">
        <f>VLOOKUP($D64,Résultats!$B$2:$AZ$212,AD$2,FALSE)</f>
        <v>352.2194518</v>
      </c>
      <c r="AE64" s="224">
        <f>VLOOKUP($D64,Résultats!$B$2:$AZ$212,AE$2,FALSE)</f>
        <v>330.205736</v>
      </c>
      <c r="AF64" s="224">
        <f>VLOOKUP($D64,Résultats!$B$2:$AZ$212,AF$2,FALSE)</f>
        <v>309.56787750000001</v>
      </c>
      <c r="AG64" s="224">
        <f>VLOOKUP($D64,Résultats!$B$2:$AZ$212,AG$2,FALSE)</f>
        <v>290.21988520000002</v>
      </c>
      <c r="AH64" s="224">
        <f>VLOOKUP($D64,Résultats!$B$2:$AZ$212,AH$2,FALSE)</f>
        <v>270.87189280000001</v>
      </c>
      <c r="AI64" s="224">
        <f>VLOOKUP($D64,Résultats!$B$2:$AZ$212,AI$2,FALSE)</f>
        <v>252.8137667</v>
      </c>
      <c r="AJ64" s="224">
        <f>VLOOKUP($D64,Résultats!$B$2:$AZ$212,AJ$2,FALSE)</f>
        <v>235.95951550000001</v>
      </c>
      <c r="AK64" s="224">
        <f>VLOOKUP($D64,Résultats!$B$2:$AZ$212,AK$2,FALSE)</f>
        <v>220.22888119999999</v>
      </c>
      <c r="AL64" s="224">
        <f>VLOOKUP($D64,Résultats!$B$2:$AZ$212,AL$2,FALSE)</f>
        <v>205.54695580000001</v>
      </c>
      <c r="AM64" s="227">
        <f>VLOOKUP($D64,Résultats!$B$2:$AZ$212,AM$2,FALSE)</f>
        <v>191.84382539999999</v>
      </c>
    </row>
    <row r="65" spans="2:39" s="3" customFormat="1" x14ac:dyDescent="0.25"/>
    <row r="66" spans="2:39" s="3" customFormat="1" x14ac:dyDescent="0.25"/>
    <row r="67" spans="2:39" x14ac:dyDescent="0.25">
      <c r="C67" s="11"/>
      <c r="D67" s="11"/>
      <c r="E67" s="93">
        <v>2006</v>
      </c>
      <c r="F67" s="93">
        <v>2015</v>
      </c>
      <c r="G67" s="93">
        <v>2018</v>
      </c>
      <c r="H67" s="93">
        <v>2019</v>
      </c>
      <c r="I67" s="93">
        <v>2020</v>
      </c>
      <c r="J67" s="20">
        <v>2021</v>
      </c>
      <c r="K67" s="4">
        <v>2022</v>
      </c>
      <c r="L67" s="4">
        <v>2023</v>
      </c>
      <c r="M67" s="4">
        <v>2024</v>
      </c>
      <c r="N67" s="92">
        <v>2025</v>
      </c>
      <c r="O67" s="20">
        <v>2026</v>
      </c>
      <c r="P67" s="4">
        <v>2027</v>
      </c>
      <c r="Q67" s="4">
        <v>2028</v>
      </c>
      <c r="R67" s="4">
        <v>2029</v>
      </c>
      <c r="S67" s="92">
        <v>2030</v>
      </c>
      <c r="T67" s="92">
        <v>2031</v>
      </c>
      <c r="U67" s="92">
        <v>2032</v>
      </c>
      <c r="V67" s="92">
        <v>2033</v>
      </c>
      <c r="W67" s="92">
        <v>2034</v>
      </c>
      <c r="X67" s="93">
        <v>2035</v>
      </c>
      <c r="Y67" s="93">
        <v>2036</v>
      </c>
      <c r="Z67" s="93">
        <v>2037</v>
      </c>
      <c r="AA67" s="93">
        <v>2038</v>
      </c>
      <c r="AB67" s="93">
        <v>2039</v>
      </c>
      <c r="AC67" s="93">
        <v>2040</v>
      </c>
      <c r="AD67" s="93">
        <v>2041</v>
      </c>
      <c r="AE67" s="93">
        <v>2042</v>
      </c>
      <c r="AF67" s="93">
        <v>2043</v>
      </c>
      <c r="AG67" s="93">
        <v>2044</v>
      </c>
      <c r="AH67" s="93">
        <v>2045</v>
      </c>
      <c r="AI67" s="93">
        <v>2046</v>
      </c>
      <c r="AJ67" s="93">
        <v>2047</v>
      </c>
      <c r="AK67" s="93">
        <v>2048</v>
      </c>
      <c r="AL67" s="93">
        <v>2049</v>
      </c>
      <c r="AM67" s="93">
        <v>2050</v>
      </c>
    </row>
    <row r="68" spans="2:39" x14ac:dyDescent="0.25">
      <c r="B68" s="229" t="s">
        <v>79</v>
      </c>
      <c r="C68" s="50" t="s">
        <v>51</v>
      </c>
      <c r="D68" s="50" t="s">
        <v>149</v>
      </c>
      <c r="E68" s="51">
        <f t="shared" ref="E68:AM68" si="11">E26</f>
        <v>2373</v>
      </c>
      <c r="F68" s="51">
        <f t="shared" si="11"/>
        <v>1940.3869999999999</v>
      </c>
      <c r="G68" s="51">
        <f t="shared" si="11"/>
        <v>2203.7420000000002</v>
      </c>
      <c r="H68" s="51">
        <f t="shared" si="11"/>
        <v>2240.3020000000001</v>
      </c>
      <c r="I68" s="51">
        <f t="shared" si="11"/>
        <v>2178.6844850000002</v>
      </c>
      <c r="J68" s="51">
        <f t="shared" si="11"/>
        <v>2021.43426</v>
      </c>
      <c r="K68" s="51">
        <f t="shared" si="11"/>
        <v>2131.9441649999999</v>
      </c>
      <c r="L68" s="51">
        <f t="shared" si="11"/>
        <v>2250.8685310000001</v>
      </c>
      <c r="M68" s="51">
        <f t="shared" si="11"/>
        <v>2120.9195110000001</v>
      </c>
      <c r="N68" s="51">
        <f t="shared" si="11"/>
        <v>2015.7993429999999</v>
      </c>
      <c r="O68" s="51">
        <f t="shared" si="11"/>
        <v>1899.580524</v>
      </c>
      <c r="P68" s="51">
        <f t="shared" si="11"/>
        <v>1822.221264</v>
      </c>
      <c r="Q68" s="51">
        <f t="shared" si="11"/>
        <v>1771.8453059999999</v>
      </c>
      <c r="R68" s="51">
        <f t="shared" si="11"/>
        <v>1700.4590499999999</v>
      </c>
      <c r="S68" s="51">
        <f t="shared" si="11"/>
        <v>1640.37833</v>
      </c>
      <c r="T68" s="51">
        <f t="shared" si="11"/>
        <v>1662.0933279999999</v>
      </c>
      <c r="U68" s="51">
        <f t="shared" si="11"/>
        <v>1671.8958620000001</v>
      </c>
      <c r="V68" s="51">
        <f t="shared" si="11"/>
        <v>1680.983808</v>
      </c>
      <c r="W68" s="51">
        <f t="shared" si="11"/>
        <v>1688.9201430000001</v>
      </c>
      <c r="X68" s="51">
        <f t="shared" si="11"/>
        <v>1693.0194240000001</v>
      </c>
      <c r="Y68" s="51">
        <f t="shared" si="11"/>
        <v>1728.955201</v>
      </c>
      <c r="Z68" s="51">
        <f t="shared" si="11"/>
        <v>1751.183413</v>
      </c>
      <c r="AA68" s="51">
        <f t="shared" si="11"/>
        <v>1760.1855089999999</v>
      </c>
      <c r="AB68" s="51">
        <f t="shared" si="11"/>
        <v>1765.9189530000001</v>
      </c>
      <c r="AC68" s="51">
        <f t="shared" si="11"/>
        <v>1770.295179</v>
      </c>
      <c r="AD68" s="51">
        <f t="shared" si="11"/>
        <v>1762.080827</v>
      </c>
      <c r="AE68" s="51">
        <f t="shared" si="11"/>
        <v>1760.2218170000001</v>
      </c>
      <c r="AF68" s="51">
        <f t="shared" si="11"/>
        <v>1755.130594</v>
      </c>
      <c r="AG68" s="51">
        <f t="shared" si="11"/>
        <v>1752.8501920000001</v>
      </c>
      <c r="AH68" s="51">
        <f t="shared" si="11"/>
        <v>1809.6415179999999</v>
      </c>
      <c r="AI68" s="51">
        <f t="shared" si="11"/>
        <v>1808.38654</v>
      </c>
      <c r="AJ68" s="51">
        <f t="shared" si="11"/>
        <v>1806.158277</v>
      </c>
      <c r="AK68" s="51">
        <f t="shared" si="11"/>
        <v>1799.915894</v>
      </c>
      <c r="AL68" s="51">
        <f t="shared" si="11"/>
        <v>1795.4726929999999</v>
      </c>
      <c r="AM68" s="100">
        <f t="shared" si="11"/>
        <v>1752.392298</v>
      </c>
    </row>
    <row r="69" spans="2:39" x14ac:dyDescent="0.25">
      <c r="B69" s="230"/>
      <c r="C69" s="52" t="s">
        <v>45</v>
      </c>
      <c r="D69" s="52" t="s">
        <v>425</v>
      </c>
      <c r="E69" s="124">
        <f t="shared" ref="E69:AM69" si="12">E27/E$26</f>
        <v>5.0000000000000001E-4</v>
      </c>
      <c r="F69" s="124">
        <f t="shared" si="12"/>
        <v>1.7669176416869419E-2</v>
      </c>
      <c r="G69" s="124">
        <f t="shared" si="12"/>
        <v>3.8221138082407104E-2</v>
      </c>
      <c r="H69" s="124">
        <f t="shared" si="12"/>
        <v>4.8790978180620288E-2</v>
      </c>
      <c r="I69" s="124">
        <f t="shared" si="12"/>
        <v>6.1736245943845323E-2</v>
      </c>
      <c r="J69" s="123">
        <f t="shared" si="12"/>
        <v>7.7337021981610229E-2</v>
      </c>
      <c r="K69" s="67">
        <f t="shared" si="12"/>
        <v>9.5846190043161861E-2</v>
      </c>
      <c r="L69" s="67">
        <f t="shared" si="12"/>
        <v>0.11736465229385712</v>
      </c>
      <c r="M69" s="67">
        <f t="shared" si="12"/>
        <v>0.14184470501577651</v>
      </c>
      <c r="N69" s="124">
        <f t="shared" si="12"/>
        <v>0.16896606662898392</v>
      </c>
      <c r="O69" s="123">
        <f t="shared" si="12"/>
        <v>0.21001898069576122</v>
      </c>
      <c r="P69" s="67">
        <f t="shared" si="12"/>
        <v>0.27658028591636497</v>
      </c>
      <c r="Q69" s="67">
        <f t="shared" si="12"/>
        <v>0.37679684193604202</v>
      </c>
      <c r="R69" s="67">
        <f t="shared" si="12"/>
        <v>0.49436046137071044</v>
      </c>
      <c r="S69" s="124">
        <f t="shared" si="12"/>
        <v>0.61947193669645717</v>
      </c>
      <c r="T69" s="124">
        <f t="shared" si="12"/>
        <v>0.73743239765895985</v>
      </c>
      <c r="U69" s="124">
        <f t="shared" si="12"/>
        <v>0.83431281080591602</v>
      </c>
      <c r="V69" s="124">
        <f t="shared" si="12"/>
        <v>0.90347313327601075</v>
      </c>
      <c r="W69" s="124">
        <f t="shared" si="12"/>
        <v>0.94710267719271324</v>
      </c>
      <c r="X69" s="118">
        <f t="shared" si="12"/>
        <v>0.97216599979186058</v>
      </c>
      <c r="Y69" s="118">
        <f t="shared" si="12"/>
        <v>0.98570281636811474</v>
      </c>
      <c r="Z69" s="118">
        <f t="shared" si="12"/>
        <v>0.99275283964787087</v>
      </c>
      <c r="AA69" s="118">
        <f t="shared" si="12"/>
        <v>0.99635198280683046</v>
      </c>
      <c r="AB69" s="118">
        <f t="shared" si="12"/>
        <v>0.99817024501916651</v>
      </c>
      <c r="AC69" s="118">
        <f t="shared" si="12"/>
        <v>0.99908389740917891</v>
      </c>
      <c r="AD69" s="118">
        <f t="shared" si="12"/>
        <v>0.99954175314342719</v>
      </c>
      <c r="AE69" s="118">
        <f t="shared" si="12"/>
        <v>0.99977088342156362</v>
      </c>
      <c r="AF69" s="118">
        <f t="shared" si="12"/>
        <v>0.99988547120044113</v>
      </c>
      <c r="AG69" s="118">
        <f t="shared" si="12"/>
        <v>0.99994275723021964</v>
      </c>
      <c r="AH69" s="118">
        <f t="shared" si="12"/>
        <v>0.99997138991370127</v>
      </c>
      <c r="AI69" s="118">
        <f t="shared" si="12"/>
        <v>0.99998570106587947</v>
      </c>
      <c r="AJ69" s="118">
        <f t="shared" si="12"/>
        <v>0.99999285389316961</v>
      </c>
      <c r="AK69" s="118">
        <f t="shared" si="12"/>
        <v>0.99999642872201899</v>
      </c>
      <c r="AL69" s="118">
        <f t="shared" si="12"/>
        <v>0.99999821495475116</v>
      </c>
      <c r="AM69" s="118">
        <f t="shared" si="12"/>
        <v>0.99999910807642678</v>
      </c>
    </row>
    <row r="70" spans="2:39" x14ac:dyDescent="0.25">
      <c r="B70" s="230"/>
      <c r="C70" s="35" t="s">
        <v>27</v>
      </c>
      <c r="D70" s="54" t="s">
        <v>426</v>
      </c>
      <c r="E70" s="111">
        <f t="shared" ref="E70:AM70" si="13">E28/E$26</f>
        <v>1.489117985672145E-6</v>
      </c>
      <c r="F70" s="111">
        <f t="shared" si="13"/>
        <v>1.4632776085389152E-4</v>
      </c>
      <c r="G70" s="111">
        <f t="shared" si="13"/>
        <v>1.2820462327259725E-4</v>
      </c>
      <c r="H70" s="111">
        <f t="shared" si="13"/>
        <v>2.5427943460301335E-4</v>
      </c>
      <c r="I70" s="111">
        <f t="shared" si="13"/>
        <v>4.7294184453697984E-4</v>
      </c>
      <c r="J70" s="110">
        <f t="shared" si="13"/>
        <v>8.1972538696361067E-4</v>
      </c>
      <c r="K70" s="68">
        <f t="shared" si="13"/>
        <v>2.0773349310487218E-3</v>
      </c>
      <c r="L70" s="68">
        <f t="shared" si="13"/>
        <v>3.3871431809537346E-3</v>
      </c>
      <c r="M70" s="68">
        <f t="shared" si="13"/>
        <v>4.4817379422938362E-3</v>
      </c>
      <c r="N70" s="111">
        <f t="shared" si="13"/>
        <v>5.7407920288224841E-3</v>
      </c>
      <c r="O70" s="110">
        <f t="shared" si="13"/>
        <v>7.7304137752888438E-3</v>
      </c>
      <c r="P70" s="68">
        <f t="shared" si="13"/>
        <v>1.0843097586638633E-2</v>
      </c>
      <c r="Q70" s="68">
        <f t="shared" si="13"/>
        <v>1.5619627670814283E-2</v>
      </c>
      <c r="R70" s="68">
        <f t="shared" si="13"/>
        <v>2.1730242571851407E-2</v>
      </c>
      <c r="S70" s="111">
        <f t="shared" si="13"/>
        <v>2.8861282086066087E-2</v>
      </c>
      <c r="T70" s="111">
        <f t="shared" si="13"/>
        <v>3.6088429674509828E-2</v>
      </c>
      <c r="U70" s="111">
        <f t="shared" si="13"/>
        <v>4.3166038818750301E-2</v>
      </c>
      <c r="V70" s="111">
        <f t="shared" si="13"/>
        <v>4.93996913443202E-2</v>
      </c>
      <c r="W70" s="111">
        <f t="shared" si="13"/>
        <v>5.4816402198597028E-2</v>
      </c>
      <c r="X70" s="116">
        <f t="shared" si="13"/>
        <v>5.9559937571041117E-2</v>
      </c>
      <c r="Y70" s="116">
        <f t="shared" si="13"/>
        <v>6.3607011295835195E-2</v>
      </c>
      <c r="Z70" s="116">
        <f t="shared" si="13"/>
        <v>6.7512992027180654E-2</v>
      </c>
      <c r="AA70" s="116">
        <f t="shared" si="13"/>
        <v>7.1381362735670612E-2</v>
      </c>
      <c r="AB70" s="116">
        <f t="shared" si="13"/>
        <v>7.5189948312424038E-2</v>
      </c>
      <c r="AC70" s="116">
        <f t="shared" si="13"/>
        <v>7.9013569069884479E-2</v>
      </c>
      <c r="AD70" s="116">
        <f t="shared" si="13"/>
        <v>8.241120978952686E-2</v>
      </c>
      <c r="AE70" s="116">
        <f t="shared" si="13"/>
        <v>8.5745997204623892E-2</v>
      </c>
      <c r="AF70" s="116">
        <f t="shared" si="13"/>
        <v>8.9154353832658448E-2</v>
      </c>
      <c r="AG70" s="116">
        <f t="shared" si="13"/>
        <v>9.2548837738895592E-2</v>
      </c>
      <c r="AH70" s="116">
        <f t="shared" si="13"/>
        <v>0.10428903847684601</v>
      </c>
      <c r="AI70" s="116">
        <f t="shared" si="13"/>
        <v>0.10801995601006852</v>
      </c>
      <c r="AJ70" s="116">
        <f t="shared" si="13"/>
        <v>0.11180994222468134</v>
      </c>
      <c r="AK70" s="116">
        <f t="shared" si="13"/>
        <v>0.11566582021637506</v>
      </c>
      <c r="AL70" s="116">
        <f t="shared" si="13"/>
        <v>0.11951849673717092</v>
      </c>
      <c r="AM70" s="116">
        <f t="shared" si="13"/>
        <v>0.12377358240363596</v>
      </c>
    </row>
    <row r="71" spans="2:39" x14ac:dyDescent="0.25">
      <c r="B71" s="230"/>
      <c r="C71" s="35" t="s">
        <v>28</v>
      </c>
      <c r="D71" s="54" t="s">
        <v>427</v>
      </c>
      <c r="E71" s="111">
        <f t="shared" ref="E71:AM71" si="14">E29/E$26</f>
        <v>3.4135166076696166E-6</v>
      </c>
      <c r="F71" s="111">
        <f t="shared" si="14"/>
        <v>1.8446165017597005E-4</v>
      </c>
      <c r="G71" s="111">
        <f t="shared" si="14"/>
        <v>2.7083488720548954E-4</v>
      </c>
      <c r="H71" s="111">
        <f t="shared" si="14"/>
        <v>4.078889638986172E-4</v>
      </c>
      <c r="I71" s="111">
        <f t="shared" si="14"/>
        <v>6.1871081300696E-4</v>
      </c>
      <c r="J71" s="110">
        <f t="shared" si="14"/>
        <v>9.2737613440864507E-4</v>
      </c>
      <c r="K71" s="68">
        <f t="shared" si="14"/>
        <v>1.841484850988112E-3</v>
      </c>
      <c r="L71" s="68">
        <f t="shared" si="14"/>
        <v>2.7842904686288849E-3</v>
      </c>
      <c r="M71" s="68">
        <f t="shared" si="14"/>
        <v>3.6033002508410608E-3</v>
      </c>
      <c r="N71" s="111">
        <f t="shared" si="14"/>
        <v>4.536238573424319E-3</v>
      </c>
      <c r="O71" s="110">
        <f t="shared" si="14"/>
        <v>5.9948454230414078E-3</v>
      </c>
      <c r="P71" s="68">
        <f t="shared" si="14"/>
        <v>8.2869456351597048E-3</v>
      </c>
      <c r="Q71" s="68">
        <f t="shared" si="14"/>
        <v>1.1785535232272699E-2</v>
      </c>
      <c r="R71" s="68">
        <f t="shared" si="14"/>
        <v>1.6177897421287505E-2</v>
      </c>
      <c r="S71" s="111">
        <f t="shared" si="14"/>
        <v>2.1203007546435951E-2</v>
      </c>
      <c r="T71" s="111">
        <f t="shared" si="14"/>
        <v>2.6215459021444315E-2</v>
      </c>
      <c r="U71" s="111">
        <f t="shared" si="14"/>
        <v>3.0957251259707944E-2</v>
      </c>
      <c r="V71" s="111">
        <f t="shared" si="14"/>
        <v>3.4975378674200766E-2</v>
      </c>
      <c r="W71" s="111">
        <f t="shared" si="14"/>
        <v>3.8293554534271426E-2</v>
      </c>
      <c r="X71" s="116">
        <f t="shared" si="14"/>
        <v>4.1043722774204858E-2</v>
      </c>
      <c r="Y71" s="116">
        <f t="shared" si="14"/>
        <v>4.3279557345800773E-2</v>
      </c>
      <c r="Z71" s="116">
        <f t="shared" si="14"/>
        <v>4.5338259254057933E-2</v>
      </c>
      <c r="AA71" s="116">
        <f t="shared" si="14"/>
        <v>4.7299366427178108E-2</v>
      </c>
      <c r="AB71" s="116">
        <f t="shared" si="14"/>
        <v>4.9167743504024787E-2</v>
      </c>
      <c r="AC71" s="116">
        <f t="shared" si="14"/>
        <v>5.0988374645514416E-2</v>
      </c>
      <c r="AD71" s="116">
        <f t="shared" si="14"/>
        <v>5.2564051904300073E-2</v>
      </c>
      <c r="AE71" s="116">
        <f t="shared" si="14"/>
        <v>5.4072858818565592E-2</v>
      </c>
      <c r="AF71" s="116">
        <f t="shared" si="14"/>
        <v>5.5577546590245351E-2</v>
      </c>
      <c r="AG71" s="116">
        <f t="shared" si="14"/>
        <v>5.7039362386081191E-2</v>
      </c>
      <c r="AH71" s="116">
        <f t="shared" si="14"/>
        <v>6.1816807907697446E-2</v>
      </c>
      <c r="AI71" s="116">
        <f t="shared" si="14"/>
        <v>6.3246092232029108E-2</v>
      </c>
      <c r="AJ71" s="116">
        <f t="shared" si="14"/>
        <v>6.4654160040703901E-2</v>
      </c>
      <c r="AK71" s="116">
        <f t="shared" si="14"/>
        <v>6.6041640387892481E-2</v>
      </c>
      <c r="AL71" s="116">
        <f t="shared" si="14"/>
        <v>6.7382837049919986E-2</v>
      </c>
      <c r="AM71" s="116">
        <f t="shared" si="14"/>
        <v>6.8812008496969557E-2</v>
      </c>
    </row>
    <row r="72" spans="2:39" x14ac:dyDescent="0.25">
      <c r="B72" s="230"/>
      <c r="C72" s="35" t="s">
        <v>29</v>
      </c>
      <c r="D72" s="54" t="s">
        <v>428</v>
      </c>
      <c r="E72" s="111">
        <f t="shared" ref="E72:AM72" si="15">E30/E$26</f>
        <v>1.3974799536451749E-5</v>
      </c>
      <c r="F72" s="111">
        <f t="shared" si="15"/>
        <v>5.194613981643868E-4</v>
      </c>
      <c r="G72" s="111">
        <f t="shared" si="15"/>
        <v>1.0724661584704562E-3</v>
      </c>
      <c r="H72" s="111">
        <f t="shared" si="15"/>
        <v>1.395067818981548E-3</v>
      </c>
      <c r="I72" s="111">
        <f t="shared" si="15"/>
        <v>1.8054295369896111E-3</v>
      </c>
      <c r="J72" s="110">
        <f t="shared" si="15"/>
        <v>2.3172201400207789E-3</v>
      </c>
      <c r="K72" s="68">
        <f t="shared" si="15"/>
        <v>3.0968934090260291E-3</v>
      </c>
      <c r="L72" s="68">
        <f t="shared" si="15"/>
        <v>3.93494433060693E-3</v>
      </c>
      <c r="M72" s="68">
        <f t="shared" si="15"/>
        <v>4.8122817754586624E-3</v>
      </c>
      <c r="N72" s="111">
        <f t="shared" si="15"/>
        <v>5.786156370426003E-3</v>
      </c>
      <c r="O72" s="110">
        <f t="shared" si="15"/>
        <v>7.2641236923947318E-3</v>
      </c>
      <c r="P72" s="68">
        <f t="shared" si="15"/>
        <v>9.6384727897676423E-3</v>
      </c>
      <c r="Q72" s="68">
        <f t="shared" si="15"/>
        <v>1.3213803101612303E-2</v>
      </c>
      <c r="R72" s="68">
        <f t="shared" si="15"/>
        <v>1.744368462151441E-2</v>
      </c>
      <c r="S72" s="111">
        <f t="shared" si="15"/>
        <v>2.1979656522285319E-2</v>
      </c>
      <c r="T72" s="111">
        <f t="shared" si="15"/>
        <v>2.6273473796171811E-2</v>
      </c>
      <c r="U72" s="111">
        <f t="shared" si="15"/>
        <v>2.9843195173839123E-2</v>
      </c>
      <c r="V72" s="111">
        <f t="shared" si="15"/>
        <v>3.241551439143904E-2</v>
      </c>
      <c r="W72" s="111">
        <f t="shared" si="15"/>
        <v>3.4049996003866712E-2</v>
      </c>
      <c r="X72" s="116">
        <f t="shared" si="15"/>
        <v>3.4976065336625457E-2</v>
      </c>
      <c r="Y72" s="116">
        <f t="shared" si="15"/>
        <v>3.5438566062649536E-2</v>
      </c>
      <c r="Z72" s="116">
        <f t="shared" si="15"/>
        <v>3.5613115866122015E-2</v>
      </c>
      <c r="AA72" s="116">
        <f t="shared" si="15"/>
        <v>3.5601795730952131E-2</v>
      </c>
      <c r="AB72" s="116">
        <f t="shared" si="15"/>
        <v>3.5464935009392809E-2</v>
      </c>
      <c r="AC72" s="116">
        <f t="shared" si="15"/>
        <v>3.5230869614202347E-2</v>
      </c>
      <c r="AD72" s="116">
        <f t="shared" si="15"/>
        <v>3.495750031221468E-2</v>
      </c>
      <c r="AE72" s="116">
        <f t="shared" si="15"/>
        <v>3.4633675557948163E-2</v>
      </c>
      <c r="AF72" s="116">
        <f t="shared" si="15"/>
        <v>3.4250783363645246E-2</v>
      </c>
      <c r="AG72" s="116">
        <f t="shared" si="15"/>
        <v>3.3820737385639628E-2</v>
      </c>
      <c r="AH72" s="116">
        <f t="shared" si="15"/>
        <v>3.1983276137456523E-2</v>
      </c>
      <c r="AI72" s="116">
        <f t="shared" si="15"/>
        <v>3.1293206373898361E-2</v>
      </c>
      <c r="AJ72" s="116">
        <f t="shared" si="15"/>
        <v>3.0541785674301679E-2</v>
      </c>
      <c r="AK72" s="116">
        <f t="shared" si="15"/>
        <v>2.9726883021790797E-2</v>
      </c>
      <c r="AL72" s="116">
        <f t="shared" si="15"/>
        <v>2.8863549238061288E-2</v>
      </c>
      <c r="AM72" s="116">
        <f t="shared" si="15"/>
        <v>2.7854962924517487E-2</v>
      </c>
    </row>
    <row r="73" spans="2:39" x14ac:dyDescent="0.25">
      <c r="B73" s="230"/>
      <c r="C73" s="35" t="s">
        <v>30</v>
      </c>
      <c r="D73" s="54" t="s">
        <v>429</v>
      </c>
      <c r="E73" s="111">
        <f t="shared" ref="E73:AM73" si="16">E31/E$26</f>
        <v>3.2829324167720186E-4</v>
      </c>
      <c r="F73" s="111">
        <f t="shared" si="16"/>
        <v>1.1583378908434246E-2</v>
      </c>
      <c r="G73" s="111">
        <f t="shared" si="16"/>
        <v>2.5095517428991233E-2</v>
      </c>
      <c r="H73" s="111">
        <f t="shared" si="16"/>
        <v>3.2035226643550685E-2</v>
      </c>
      <c r="I73" s="111">
        <f t="shared" si="16"/>
        <v>4.0492006840540745E-2</v>
      </c>
      <c r="J73" s="110">
        <f t="shared" si="16"/>
        <v>5.0607690501891463E-2</v>
      </c>
      <c r="K73" s="68">
        <f t="shared" si="16"/>
        <v>6.2161059222674349E-2</v>
      </c>
      <c r="L73" s="68">
        <f t="shared" si="16"/>
        <v>7.5660331358553254E-2</v>
      </c>
      <c r="M73" s="68">
        <f t="shared" si="16"/>
        <v>9.1228829569666769E-2</v>
      </c>
      <c r="N73" s="111">
        <f t="shared" si="16"/>
        <v>0.10845035199517873</v>
      </c>
      <c r="O73" s="110">
        <f t="shared" si="16"/>
        <v>0.13446999133372881</v>
      </c>
      <c r="P73" s="68">
        <f t="shared" si="16"/>
        <v>0.17671786223871</v>
      </c>
      <c r="Q73" s="68">
        <f t="shared" si="16"/>
        <v>0.24027512235879128</v>
      </c>
      <c r="R73" s="68">
        <f t="shared" si="16"/>
        <v>0.31454666608995968</v>
      </c>
      <c r="S73" s="111">
        <f t="shared" si="16"/>
        <v>0.39322925608265014</v>
      </c>
      <c r="T73" s="111">
        <f t="shared" si="16"/>
        <v>0.46712622493602846</v>
      </c>
      <c r="U73" s="111">
        <f t="shared" si="16"/>
        <v>0.52716497039813826</v>
      </c>
      <c r="V73" s="111">
        <f t="shared" si="16"/>
        <v>0.5693472352590323</v>
      </c>
      <c r="W73" s="111">
        <f t="shared" si="16"/>
        <v>0.59510400427499666</v>
      </c>
      <c r="X73" s="116">
        <f t="shared" si="16"/>
        <v>0.60895890406511954</v>
      </c>
      <c r="Y73" s="116">
        <f t="shared" si="16"/>
        <v>0.61558323627148737</v>
      </c>
      <c r="Z73" s="116">
        <f t="shared" si="16"/>
        <v>0.61799223026331851</v>
      </c>
      <c r="AA73" s="116">
        <f t="shared" si="16"/>
        <v>0.61813553028176871</v>
      </c>
      <c r="AB73" s="116">
        <f t="shared" si="16"/>
        <v>0.61713205362488677</v>
      </c>
      <c r="AC73" s="116">
        <f t="shared" si="16"/>
        <v>0.61551946699392779</v>
      </c>
      <c r="AD73" s="116">
        <f t="shared" si="16"/>
        <v>0.61385173223952227</v>
      </c>
      <c r="AE73" s="116">
        <f t="shared" si="16"/>
        <v>0.61206940204627625</v>
      </c>
      <c r="AF73" s="116">
        <f t="shared" si="16"/>
        <v>0.61016969259211717</v>
      </c>
      <c r="AG73" s="116">
        <f t="shared" si="16"/>
        <v>0.60824192727132953</v>
      </c>
      <c r="AH73" s="116">
        <f t="shared" si="16"/>
        <v>0.60148582753725255</v>
      </c>
      <c r="AI73" s="116">
        <f t="shared" si="16"/>
        <v>0.59935271526628364</v>
      </c>
      <c r="AJ73" s="116">
        <f t="shared" si="16"/>
        <v>0.59718742190831819</v>
      </c>
      <c r="AK73" s="116">
        <f t="shared" si="16"/>
        <v>0.59498946565777699</v>
      </c>
      <c r="AL73" s="116">
        <f t="shared" si="16"/>
        <v>0.5928003450843905</v>
      </c>
      <c r="AM73" s="116">
        <f t="shared" si="16"/>
        <v>0.59039218112336178</v>
      </c>
    </row>
    <row r="74" spans="2:39" x14ac:dyDescent="0.25">
      <c r="B74" s="230"/>
      <c r="C74" s="35" t="s">
        <v>31</v>
      </c>
      <c r="D74" s="54" t="s">
        <v>430</v>
      </c>
      <c r="E74" s="111">
        <f t="shared" ref="E74:AM74" si="17">E32/E$26</f>
        <v>1.2939289806152549E-4</v>
      </c>
      <c r="F74" s="111">
        <f t="shared" si="17"/>
        <v>4.5146784878480426E-3</v>
      </c>
      <c r="G74" s="111">
        <f t="shared" si="17"/>
        <v>9.8833379224972789E-3</v>
      </c>
      <c r="H74" s="111">
        <f t="shared" si="17"/>
        <v>1.2567390369691228E-2</v>
      </c>
      <c r="I74" s="111">
        <f t="shared" si="17"/>
        <v>1.5802879222321171E-2</v>
      </c>
      <c r="J74" s="110">
        <f t="shared" si="17"/>
        <v>1.9626668012443796E-2</v>
      </c>
      <c r="K74" s="68">
        <f t="shared" si="17"/>
        <v>2.3526144414762383E-2</v>
      </c>
      <c r="L74" s="68">
        <f t="shared" si="17"/>
        <v>2.817198168025745E-2</v>
      </c>
      <c r="M74" s="68">
        <f t="shared" si="17"/>
        <v>3.3755899730605096E-2</v>
      </c>
      <c r="N74" s="111">
        <f t="shared" si="17"/>
        <v>3.9907935543959494E-2</v>
      </c>
      <c r="O74" s="110">
        <f t="shared" si="17"/>
        <v>4.9158216406308033E-2</v>
      </c>
      <c r="P74" s="68">
        <f t="shared" si="17"/>
        <v>6.4242615928556082E-2</v>
      </c>
      <c r="Q74" s="68">
        <f t="shared" si="17"/>
        <v>8.6888956094906405E-2</v>
      </c>
      <c r="R74" s="68">
        <f t="shared" si="17"/>
        <v>0.11308101638789832</v>
      </c>
      <c r="S74" s="111">
        <f t="shared" si="17"/>
        <v>0.14049450324060306</v>
      </c>
      <c r="T74" s="111">
        <f t="shared" si="17"/>
        <v>0.16597598964671376</v>
      </c>
      <c r="U74" s="111">
        <f t="shared" si="17"/>
        <v>0.18607560953458477</v>
      </c>
      <c r="V74" s="111">
        <f t="shared" si="17"/>
        <v>0.19957669735031738</v>
      </c>
      <c r="W74" s="111">
        <f t="shared" si="17"/>
        <v>0.20703829411311603</v>
      </c>
      <c r="X74" s="116">
        <f t="shared" si="17"/>
        <v>0.21017818351976569</v>
      </c>
      <c r="Y74" s="116">
        <f t="shared" si="17"/>
        <v>0.21084600438990783</v>
      </c>
      <c r="Z74" s="116">
        <f t="shared" si="17"/>
        <v>0.20996281627069066</v>
      </c>
      <c r="AA74" s="116">
        <f t="shared" si="17"/>
        <v>0.20825031499563379</v>
      </c>
      <c r="AB74" s="116">
        <f t="shared" si="17"/>
        <v>0.20616044138465056</v>
      </c>
      <c r="AC74" s="116">
        <f t="shared" si="17"/>
        <v>0.20387292553317177</v>
      </c>
      <c r="AD74" s="116">
        <f t="shared" si="17"/>
        <v>0.20178993520142308</v>
      </c>
      <c r="AE74" s="116">
        <f t="shared" si="17"/>
        <v>0.19972807773692078</v>
      </c>
      <c r="AF74" s="116">
        <f t="shared" si="17"/>
        <v>0.19763162740470125</v>
      </c>
      <c r="AG74" s="116">
        <f t="shared" si="17"/>
        <v>0.19557213027364062</v>
      </c>
      <c r="AH74" s="116">
        <f t="shared" si="17"/>
        <v>0.18875002529644661</v>
      </c>
      <c r="AI74" s="116">
        <f t="shared" si="17"/>
        <v>0.18669824776510446</v>
      </c>
      <c r="AJ74" s="116">
        <f t="shared" si="17"/>
        <v>0.18467004345489041</v>
      </c>
      <c r="AK74" s="116">
        <f t="shared" si="17"/>
        <v>0.18266591383297159</v>
      </c>
      <c r="AL74" s="116">
        <f t="shared" si="17"/>
        <v>0.18072388494966657</v>
      </c>
      <c r="AM74" s="116">
        <f t="shared" si="17"/>
        <v>0.17864945118584399</v>
      </c>
    </row>
    <row r="75" spans="2:39" x14ac:dyDescent="0.25">
      <c r="B75" s="230"/>
      <c r="C75" s="35" t="s">
        <v>32</v>
      </c>
      <c r="D75" s="54" t="s">
        <v>431</v>
      </c>
      <c r="E75" s="111">
        <f t="shared" ref="E75:AM75" si="18">E33/E$26</f>
        <v>1.7640320733249051E-6</v>
      </c>
      <c r="F75" s="111">
        <f t="shared" si="18"/>
        <v>1.7643328727722872E-5</v>
      </c>
      <c r="G75" s="111">
        <f t="shared" si="18"/>
        <v>1.2387837069856633E-4</v>
      </c>
      <c r="H75" s="111">
        <f t="shared" si="18"/>
        <v>8.946616259772119E-5</v>
      </c>
      <c r="I75" s="111">
        <f t="shared" si="18"/>
        <v>6.1674420975187685E-5</v>
      </c>
      <c r="J75" s="110">
        <f t="shared" si="18"/>
        <v>7.7091975328448225E-5</v>
      </c>
      <c r="K75" s="68">
        <f t="shared" si="18"/>
        <v>9.4798550786624381E-5</v>
      </c>
      <c r="L75" s="68">
        <f t="shared" si="18"/>
        <v>1.1553272881933591E-4</v>
      </c>
      <c r="M75" s="68">
        <f t="shared" si="18"/>
        <v>1.3938892431642117E-4</v>
      </c>
      <c r="N75" s="111">
        <f t="shared" si="18"/>
        <v>1.6579615890865981E-4</v>
      </c>
      <c r="O75" s="110">
        <f t="shared" si="18"/>
        <v>2.0572612535376785E-4</v>
      </c>
      <c r="P75" s="68">
        <f t="shared" si="18"/>
        <v>2.7054397780312589E-4</v>
      </c>
      <c r="Q75" s="68">
        <f t="shared" si="18"/>
        <v>3.6809508645671801E-4</v>
      </c>
      <c r="R75" s="68">
        <f t="shared" si="18"/>
        <v>4.822629450559248E-4</v>
      </c>
      <c r="S75" s="111">
        <f t="shared" si="18"/>
        <v>6.0343971045996451E-4</v>
      </c>
      <c r="T75" s="111">
        <f t="shared" si="18"/>
        <v>7.1744623115411489E-4</v>
      </c>
      <c r="U75" s="111">
        <f t="shared" si="18"/>
        <v>8.1052035285197671E-4</v>
      </c>
      <c r="V75" s="111">
        <f t="shared" si="18"/>
        <v>8.7641137468945807E-4</v>
      </c>
      <c r="W75" s="111">
        <f t="shared" si="18"/>
        <v>9.1730786290941874E-4</v>
      </c>
      <c r="X75" s="116">
        <f t="shared" si="18"/>
        <v>9.4009619998311358E-4</v>
      </c>
      <c r="Y75" s="116">
        <f t="shared" si="18"/>
        <v>9.5179528136310563E-4</v>
      </c>
      <c r="Z75" s="116">
        <f t="shared" si="18"/>
        <v>9.5717660500705076E-4</v>
      </c>
      <c r="AA75" s="116">
        <f t="shared" si="18"/>
        <v>9.5922110275707304E-4</v>
      </c>
      <c r="AB75" s="116">
        <f t="shared" si="18"/>
        <v>9.5959802748659892E-4</v>
      </c>
      <c r="AC75" s="116">
        <f t="shared" si="18"/>
        <v>9.5914891095119452E-4</v>
      </c>
      <c r="AD75" s="116">
        <f t="shared" si="18"/>
        <v>9.5846245025853173E-4</v>
      </c>
      <c r="AE75" s="116">
        <f t="shared" si="18"/>
        <v>9.576275971132336E-4</v>
      </c>
      <c r="AF75" s="116">
        <f t="shared" si="18"/>
        <v>9.5671280686478654E-4</v>
      </c>
      <c r="AG75" s="116">
        <f t="shared" si="18"/>
        <v>9.5580088112857953E-4</v>
      </c>
      <c r="AH75" s="116">
        <f t="shared" si="18"/>
        <v>9.5287970509527178E-4</v>
      </c>
      <c r="AI75" s="116">
        <f t="shared" si="18"/>
        <v>9.5207744910554351E-4</v>
      </c>
      <c r="AJ75" s="116">
        <f t="shared" si="18"/>
        <v>9.5131051352483433E-4</v>
      </c>
      <c r="AK75" s="116">
        <f t="shared" si="18"/>
        <v>9.5058099864748461E-4</v>
      </c>
      <c r="AL75" s="116">
        <f t="shared" si="18"/>
        <v>9.4990231132409658E-4</v>
      </c>
      <c r="AM75" s="116">
        <f t="shared" si="18"/>
        <v>9.4920869139770666E-4</v>
      </c>
    </row>
    <row r="76" spans="2:39" x14ac:dyDescent="0.25">
      <c r="B76" s="230"/>
      <c r="C76" s="35" t="s">
        <v>33</v>
      </c>
      <c r="D76" s="54" t="s">
        <v>432</v>
      </c>
      <c r="E76" s="126">
        <f t="shared" ref="E76:AM76" si="19">E34/E$26</f>
        <v>2.1672394058154232E-5</v>
      </c>
      <c r="F76" s="126">
        <f t="shared" si="19"/>
        <v>7.0322488142829235E-4</v>
      </c>
      <c r="G76" s="126">
        <f t="shared" si="19"/>
        <v>1.6468986914076147E-3</v>
      </c>
      <c r="H76" s="126">
        <f t="shared" si="19"/>
        <v>2.0416587652021916E-3</v>
      </c>
      <c r="I76" s="126">
        <f t="shared" si="19"/>
        <v>2.4826032769953836E-3</v>
      </c>
      <c r="J76" s="125">
        <f t="shared" si="19"/>
        <v>2.9612498261506661E-3</v>
      </c>
      <c r="K76" s="69">
        <f t="shared" si="19"/>
        <v>3.0484746667837808E-3</v>
      </c>
      <c r="L76" s="69">
        <f t="shared" si="19"/>
        <v>3.3104285547452968E-3</v>
      </c>
      <c r="M76" s="69">
        <f t="shared" si="19"/>
        <v>3.8232668193885081E-3</v>
      </c>
      <c r="N76" s="126">
        <f t="shared" si="19"/>
        <v>4.3787959772144842E-3</v>
      </c>
      <c r="O76" s="125">
        <f t="shared" si="19"/>
        <v>5.1956639259584242E-3</v>
      </c>
      <c r="P76" s="69">
        <f t="shared" si="19"/>
        <v>6.5807477263639261E-3</v>
      </c>
      <c r="Q76" s="69">
        <f t="shared" si="19"/>
        <v>8.6457023184393061E-3</v>
      </c>
      <c r="R76" s="69">
        <f t="shared" si="19"/>
        <v>1.0898691362194226E-2</v>
      </c>
      <c r="S76" s="126">
        <f t="shared" si="19"/>
        <v>1.3100791358295985E-2</v>
      </c>
      <c r="T76" s="126">
        <f t="shared" si="19"/>
        <v>1.5035374367377282E-2</v>
      </c>
      <c r="U76" s="126">
        <f t="shared" si="19"/>
        <v>1.6295225312304769E-2</v>
      </c>
      <c r="V76" s="126">
        <f t="shared" si="19"/>
        <v>1.6882204882011573E-2</v>
      </c>
      <c r="W76" s="126">
        <f t="shared" si="19"/>
        <v>1.6883118552515244E-2</v>
      </c>
      <c r="X76" s="119">
        <f t="shared" si="19"/>
        <v>1.6509090051644911E-2</v>
      </c>
      <c r="Y76" s="119">
        <f t="shared" si="19"/>
        <v>1.5996646167583378E-2</v>
      </c>
      <c r="Z76" s="119">
        <f t="shared" si="19"/>
        <v>1.5376249609326331E-2</v>
      </c>
      <c r="AA76" s="119">
        <f t="shared" si="19"/>
        <v>1.47243914561735E-2</v>
      </c>
      <c r="AB76" s="119">
        <f t="shared" si="19"/>
        <v>1.4095524852776185E-2</v>
      </c>
      <c r="AC76" s="119">
        <f t="shared" si="19"/>
        <v>1.349954218567072E-2</v>
      </c>
      <c r="AD76" s="119">
        <f t="shared" si="19"/>
        <v>1.3008861136652047E-2</v>
      </c>
      <c r="AE76" s="119">
        <f t="shared" si="19"/>
        <v>1.2563244522039689E-2</v>
      </c>
      <c r="AF76" s="119">
        <f t="shared" si="19"/>
        <v>1.2144755132677038E-2</v>
      </c>
      <c r="AG76" s="119">
        <f t="shared" si="19"/>
        <v>1.1763961560498264E-2</v>
      </c>
      <c r="AH76" s="119">
        <f t="shared" si="19"/>
        <v>1.0693535093838405E-2</v>
      </c>
      <c r="AI76" s="119">
        <f t="shared" si="19"/>
        <v>1.0423405938422878E-2</v>
      </c>
      <c r="AJ76" s="119">
        <f t="shared" si="19"/>
        <v>1.0178190003665996E-2</v>
      </c>
      <c r="AK76" s="119">
        <f t="shared" si="19"/>
        <v>9.9561244665579904E-3</v>
      </c>
      <c r="AL76" s="119">
        <f t="shared" si="19"/>
        <v>9.7591994789530349E-3</v>
      </c>
      <c r="AM76" s="119">
        <f t="shared" si="19"/>
        <v>9.5677133819495937E-3</v>
      </c>
    </row>
    <row r="77" spans="2:39" x14ac:dyDescent="0.25">
      <c r="B77" s="230"/>
      <c r="C77" s="52" t="s">
        <v>46</v>
      </c>
      <c r="D77" s="52" t="s">
        <v>433</v>
      </c>
      <c r="E77" s="124">
        <f t="shared" ref="E77:AM77" si="20">E35/E$26</f>
        <v>0.99950000000000006</v>
      </c>
      <c r="F77" s="124">
        <f t="shared" si="20"/>
        <v>0.98233082369651004</v>
      </c>
      <c r="G77" s="124">
        <f t="shared" si="20"/>
        <v>0.96177886204464957</v>
      </c>
      <c r="H77" s="124">
        <f t="shared" si="20"/>
        <v>0.95120902181937961</v>
      </c>
      <c r="I77" s="124">
        <f t="shared" si="20"/>
        <v>0.93826375368896053</v>
      </c>
      <c r="J77" s="123">
        <f t="shared" si="20"/>
        <v>0.92266297791945018</v>
      </c>
      <c r="K77" s="67">
        <f t="shared" si="20"/>
        <v>0.904153809769216</v>
      </c>
      <c r="L77" s="67">
        <f t="shared" si="20"/>
        <v>0.88263534792827925</v>
      </c>
      <c r="M77" s="67">
        <f t="shared" si="20"/>
        <v>0.85815529470132734</v>
      </c>
      <c r="N77" s="124">
        <f t="shared" si="20"/>
        <v>0.83103393342062415</v>
      </c>
      <c r="O77" s="123">
        <f t="shared" si="20"/>
        <v>0.78998101951481159</v>
      </c>
      <c r="P77" s="67">
        <f t="shared" si="20"/>
        <v>0.72341971419339124</v>
      </c>
      <c r="Q77" s="67">
        <f t="shared" si="20"/>
        <v>0.62320315789464298</v>
      </c>
      <c r="R77" s="67">
        <f t="shared" si="20"/>
        <v>0.50563953880571255</v>
      </c>
      <c r="S77" s="124">
        <f t="shared" si="20"/>
        <v>0.38052806336450445</v>
      </c>
      <c r="T77" s="124">
        <f t="shared" si="20"/>
        <v>0.26256760216054487</v>
      </c>
      <c r="U77" s="124">
        <f t="shared" si="20"/>
        <v>0.16568718925389622</v>
      </c>
      <c r="V77" s="124">
        <f t="shared" si="20"/>
        <v>9.6526866723989288E-2</v>
      </c>
      <c r="W77" s="124">
        <f t="shared" si="20"/>
        <v>5.289732280728681E-2</v>
      </c>
      <c r="X77" s="118">
        <f t="shared" si="20"/>
        <v>2.7834000208139371E-2</v>
      </c>
      <c r="Y77" s="118">
        <f t="shared" si="20"/>
        <v>1.4297183221232577E-2</v>
      </c>
      <c r="Z77" s="118">
        <f t="shared" si="20"/>
        <v>7.2471599067161791E-3</v>
      </c>
      <c r="AA77" s="118">
        <f t="shared" si="20"/>
        <v>3.6480172425962178E-3</v>
      </c>
      <c r="AB77" s="118">
        <f t="shared" si="20"/>
        <v>1.8297552248990442E-3</v>
      </c>
      <c r="AC77" s="118">
        <f t="shared" si="20"/>
        <v>9.1610301165487155E-4</v>
      </c>
      <c r="AD77" s="118">
        <f t="shared" si="20"/>
        <v>4.5824690203044816E-4</v>
      </c>
      <c r="AE77" s="118">
        <f t="shared" si="20"/>
        <v>2.2911646873423566E-4</v>
      </c>
      <c r="AF77" s="118">
        <f t="shared" si="20"/>
        <v>1.1452864737653817E-4</v>
      </c>
      <c r="AG77" s="118">
        <f t="shared" si="20"/>
        <v>5.7243021028233998E-5</v>
      </c>
      <c r="AH77" s="118">
        <f t="shared" si="20"/>
        <v>2.8609710533840661E-5</v>
      </c>
      <c r="AI77" s="118">
        <f t="shared" si="20"/>
        <v>1.4298544878574466E-5</v>
      </c>
      <c r="AJ77" s="118">
        <f t="shared" si="20"/>
        <v>7.1460011364219992E-6</v>
      </c>
      <c r="AK77" s="118">
        <f t="shared" si="20"/>
        <v>3.5713301557189317E-6</v>
      </c>
      <c r="AL77" s="118">
        <f t="shared" si="20"/>
        <v>1.7848239923078576E-6</v>
      </c>
      <c r="AM77" s="118">
        <f t="shared" si="20"/>
        <v>8.9198885534019841E-7</v>
      </c>
    </row>
    <row r="78" spans="2:39" x14ac:dyDescent="0.25">
      <c r="B78" s="230"/>
      <c r="C78" s="35" t="s">
        <v>27</v>
      </c>
      <c r="D78" s="3" t="s">
        <v>434</v>
      </c>
      <c r="E78" s="111">
        <f t="shared" ref="E78:AM78" si="21">E36/E$26</f>
        <v>5.0000000000000001E-4</v>
      </c>
      <c r="F78" s="111">
        <f t="shared" si="21"/>
        <v>1.1005565116649411E-2</v>
      </c>
      <c r="G78" s="111">
        <f t="shared" si="21"/>
        <v>1.2848707571031454E-2</v>
      </c>
      <c r="H78" s="111">
        <f t="shared" si="21"/>
        <v>1.4897543599032628E-2</v>
      </c>
      <c r="I78" s="111">
        <f t="shared" si="21"/>
        <v>2.5903699135214613E-2</v>
      </c>
      <c r="J78" s="110">
        <f t="shared" si="21"/>
        <v>2.5173551228918026E-2</v>
      </c>
      <c r="K78" s="68">
        <f t="shared" si="21"/>
        <v>3.8468352382952771E-2</v>
      </c>
      <c r="L78" s="68">
        <f t="shared" si="21"/>
        <v>4.4301912575808275E-2</v>
      </c>
      <c r="M78" s="68">
        <f t="shared" si="21"/>
        <v>4.6167101651977779E-2</v>
      </c>
      <c r="N78" s="111">
        <f t="shared" si="21"/>
        <v>4.7011968546911073E-2</v>
      </c>
      <c r="O78" s="110">
        <f t="shared" si="21"/>
        <v>4.7178226138730406E-2</v>
      </c>
      <c r="P78" s="68">
        <f t="shared" si="21"/>
        <v>4.5864292197174139E-2</v>
      </c>
      <c r="Q78" s="68">
        <f t="shared" si="21"/>
        <v>4.1200192332140305E-2</v>
      </c>
      <c r="R78" s="68">
        <f t="shared" si="21"/>
        <v>3.579789032261612E-2</v>
      </c>
      <c r="S78" s="111">
        <f t="shared" si="21"/>
        <v>2.8860668605638067E-2</v>
      </c>
      <c r="T78" s="111">
        <f t="shared" si="21"/>
        <v>2.0951403313737387E-2</v>
      </c>
      <c r="U78" s="111">
        <f t="shared" si="21"/>
        <v>1.3916850360623716E-2</v>
      </c>
      <c r="V78" s="111">
        <f t="shared" si="21"/>
        <v>8.5376026596444173E-3</v>
      </c>
      <c r="W78" s="111">
        <f t="shared" si="21"/>
        <v>4.9067825671613181E-3</v>
      </c>
      <c r="X78" s="116">
        <f t="shared" si="21"/>
        <v>2.7281858728396965E-3</v>
      </c>
      <c r="Y78" s="116">
        <f t="shared" si="21"/>
        <v>1.4643128448531733E-3</v>
      </c>
      <c r="Z78" s="116">
        <f t="shared" si="21"/>
        <v>7.7369650257188671E-4</v>
      </c>
      <c r="AA78" s="116">
        <f t="shared" si="21"/>
        <v>4.0676058644907299E-4</v>
      </c>
      <c r="AB78" s="116">
        <f t="shared" si="21"/>
        <v>2.1272680496566367E-4</v>
      </c>
      <c r="AC78" s="116">
        <f t="shared" si="21"/>
        <v>1.1083683491181219E-4</v>
      </c>
      <c r="AD78" s="116">
        <f t="shared" si="21"/>
        <v>5.7660095917949629E-5</v>
      </c>
      <c r="AE78" s="116">
        <f t="shared" si="21"/>
        <v>2.9929398381045062E-5</v>
      </c>
      <c r="AF78" s="116">
        <f t="shared" si="21"/>
        <v>1.5518433553098898E-5</v>
      </c>
      <c r="AG78" s="116">
        <f t="shared" si="21"/>
        <v>8.0422136268904831E-6</v>
      </c>
      <c r="AH78" s="116">
        <f t="shared" si="21"/>
        <v>4.4065363613082185E-6</v>
      </c>
      <c r="AI78" s="116">
        <f t="shared" si="21"/>
        <v>2.2827329548692617E-6</v>
      </c>
      <c r="AJ78" s="116">
        <f t="shared" si="21"/>
        <v>1.1837750695644044E-6</v>
      </c>
      <c r="AK78" s="116">
        <f t="shared" si="21"/>
        <v>6.1303120533475325E-7</v>
      </c>
      <c r="AL78" s="116">
        <f t="shared" si="21"/>
        <v>3.1726676669651805E-7</v>
      </c>
      <c r="AM78" s="116">
        <f t="shared" si="21"/>
        <v>1.6436815964595161E-7</v>
      </c>
    </row>
    <row r="79" spans="2:39" x14ac:dyDescent="0.25">
      <c r="B79" s="230"/>
      <c r="C79" s="35" t="s">
        <v>28</v>
      </c>
      <c r="D79" s="3" t="s">
        <v>435</v>
      </c>
      <c r="E79" s="111">
        <f t="shared" ref="E79:AM79" si="22">E37/E$26</f>
        <v>0.18</v>
      </c>
      <c r="F79" s="111">
        <f t="shared" si="22"/>
        <v>0.18413684079516096</v>
      </c>
      <c r="G79" s="111">
        <f t="shared" si="22"/>
        <v>0.18097306903439694</v>
      </c>
      <c r="H79" s="111">
        <f t="shared" si="22"/>
        <v>0.18034158854475871</v>
      </c>
      <c r="I79" s="111">
        <f t="shared" si="22"/>
        <v>0.18519769341451936</v>
      </c>
      <c r="J79" s="110">
        <f t="shared" si="22"/>
        <v>0.18042113771238844</v>
      </c>
      <c r="K79" s="68">
        <f t="shared" si="22"/>
        <v>0.18521801142010677</v>
      </c>
      <c r="L79" s="68">
        <f t="shared" si="22"/>
        <v>0.18378144774018343</v>
      </c>
      <c r="M79" s="68">
        <f t="shared" si="22"/>
        <v>0.17991338026782855</v>
      </c>
      <c r="N79" s="111">
        <f t="shared" si="22"/>
        <v>0.17509380113931311</v>
      </c>
      <c r="O79" s="110">
        <f t="shared" si="22"/>
        <v>0.16726973138833887</v>
      </c>
      <c r="P79" s="68">
        <f t="shared" si="22"/>
        <v>0.15405846520732949</v>
      </c>
      <c r="Q79" s="68">
        <f t="shared" si="22"/>
        <v>0.13318467368505138</v>
      </c>
      <c r="R79" s="68">
        <f t="shared" si="22"/>
        <v>0.10852958152682358</v>
      </c>
      <c r="S79" s="111">
        <f t="shared" si="22"/>
        <v>8.2035762079349095E-2</v>
      </c>
      <c r="T79" s="111">
        <f t="shared" si="22"/>
        <v>5.6807485885052543E-2</v>
      </c>
      <c r="U79" s="111">
        <f t="shared" si="22"/>
        <v>3.5984004528865805E-2</v>
      </c>
      <c r="V79" s="111">
        <f t="shared" si="22"/>
        <v>2.1050904358264944E-2</v>
      </c>
      <c r="W79" s="111">
        <f t="shared" si="22"/>
        <v>1.1577716330191225E-2</v>
      </c>
      <c r="X79" s="116">
        <f t="shared" si="22"/>
        <v>6.1215700086380102E-3</v>
      </c>
      <c r="Y79" s="116">
        <f t="shared" si="22"/>
        <v>3.1587065031189318E-3</v>
      </c>
      <c r="Z79" s="116">
        <f t="shared" si="22"/>
        <v>1.6079322320534108E-3</v>
      </c>
      <c r="AA79" s="116">
        <f t="shared" si="22"/>
        <v>8.1315700003300052E-4</v>
      </c>
      <c r="AB79" s="116">
        <f t="shared" si="22"/>
        <v>4.096354560163101E-4</v>
      </c>
      <c r="AC79" s="116">
        <f t="shared" si="22"/>
        <v>2.0594384124456795E-4</v>
      </c>
      <c r="AD79" s="116">
        <f t="shared" si="22"/>
        <v>1.0330286137322577E-4</v>
      </c>
      <c r="AE79" s="116">
        <f t="shared" si="22"/>
        <v>5.1779649939425785E-5</v>
      </c>
      <c r="AF79" s="116">
        <f t="shared" si="22"/>
        <v>2.5943321115625202E-5</v>
      </c>
      <c r="AG79" s="116">
        <f t="shared" si="22"/>
        <v>1.2996508374744212E-5</v>
      </c>
      <c r="AH79" s="116">
        <f t="shared" si="22"/>
        <v>6.5629161255792988E-6</v>
      </c>
      <c r="AI79" s="116">
        <f t="shared" si="22"/>
        <v>3.2837273606338612E-6</v>
      </c>
      <c r="AJ79" s="116">
        <f t="shared" si="22"/>
        <v>1.6427139015347767E-6</v>
      </c>
      <c r="AK79" s="116">
        <f t="shared" si="22"/>
        <v>8.2132434350290811E-7</v>
      </c>
      <c r="AL79" s="116">
        <f t="shared" si="22"/>
        <v>4.1050115987478291E-7</v>
      </c>
      <c r="AM79" s="116">
        <f t="shared" si="22"/>
        <v>2.0510095337111554E-7</v>
      </c>
    </row>
    <row r="80" spans="2:39" x14ac:dyDescent="0.25">
      <c r="B80" s="230"/>
      <c r="C80" s="35" t="s">
        <v>29</v>
      </c>
      <c r="D80" s="3" t="s">
        <v>436</v>
      </c>
      <c r="E80" s="111">
        <f t="shared" ref="E80:AM80" si="23">E38/E$26</f>
        <v>0.28400000000000003</v>
      </c>
      <c r="F80" s="111">
        <f t="shared" si="23"/>
        <v>0.28377075712216171</v>
      </c>
      <c r="G80" s="111">
        <f t="shared" si="23"/>
        <v>0.27838479890114176</v>
      </c>
      <c r="H80" s="111">
        <f t="shared" si="23"/>
        <v>0.27628541299342674</v>
      </c>
      <c r="I80" s="111">
        <f t="shared" si="23"/>
        <v>0.27627357028707161</v>
      </c>
      <c r="J80" s="110">
        <f t="shared" si="23"/>
        <v>0.27136977835727394</v>
      </c>
      <c r="K80" s="68">
        <f t="shared" si="23"/>
        <v>0.26896094072895194</v>
      </c>
      <c r="L80" s="68">
        <f t="shared" si="23"/>
        <v>0.26243259575785505</v>
      </c>
      <c r="M80" s="68">
        <f t="shared" si="23"/>
        <v>0.25500128043284331</v>
      </c>
      <c r="N80" s="111">
        <f t="shared" si="23"/>
        <v>0.2467933022835597</v>
      </c>
      <c r="O80" s="110">
        <f t="shared" si="23"/>
        <v>0.23438614892853052</v>
      </c>
      <c r="P80" s="68">
        <f t="shared" si="23"/>
        <v>0.21438768656581764</v>
      </c>
      <c r="Q80" s="68">
        <f t="shared" si="23"/>
        <v>0.18448882066231576</v>
      </c>
      <c r="R80" s="68">
        <f t="shared" si="23"/>
        <v>0.1493338923980557</v>
      </c>
      <c r="S80" s="111">
        <f t="shared" si="23"/>
        <v>0.11207961287808527</v>
      </c>
      <c r="T80" s="111">
        <f t="shared" si="23"/>
        <v>7.7167169098942445E-2</v>
      </c>
      <c r="U80" s="111">
        <f t="shared" si="23"/>
        <v>4.857747808098821E-2</v>
      </c>
      <c r="V80" s="111">
        <f t="shared" si="23"/>
        <v>2.8225935082891649E-2</v>
      </c>
      <c r="W80" s="111">
        <f t="shared" si="23"/>
        <v>1.5425700740191834E-2</v>
      </c>
      <c r="X80" s="116">
        <f t="shared" si="23"/>
        <v>8.0892085027844309E-3</v>
      </c>
      <c r="Y80" s="116">
        <f t="shared" si="23"/>
        <v>4.142988563762098E-3</v>
      </c>
      <c r="Z80" s="116">
        <f t="shared" si="23"/>
        <v>2.0936727408347147E-3</v>
      </c>
      <c r="AA80" s="116">
        <f t="shared" si="23"/>
        <v>1.0502319650672685E-3</v>
      </c>
      <c r="AB80" s="116">
        <f t="shared" si="23"/>
        <v>5.248246782931492E-4</v>
      </c>
      <c r="AC80" s="116">
        <f t="shared" si="23"/>
        <v>2.6175081387373538E-4</v>
      </c>
      <c r="AD80" s="116">
        <f t="shared" si="23"/>
        <v>1.3037439859732382E-4</v>
      </c>
      <c r="AE80" s="116">
        <f t="shared" si="23"/>
        <v>6.489944585205649E-5</v>
      </c>
      <c r="AF80" s="116">
        <f t="shared" si="23"/>
        <v>3.2291917931207803E-5</v>
      </c>
      <c r="AG80" s="116">
        <f t="shared" si="23"/>
        <v>1.6061142092170303E-5</v>
      </c>
      <c r="AH80" s="116">
        <f t="shared" si="23"/>
        <v>7.9156569726756236E-6</v>
      </c>
      <c r="AI80" s="116">
        <f t="shared" si="23"/>
        <v>3.9312895571540805E-6</v>
      </c>
      <c r="AJ80" s="116">
        <f t="shared" si="23"/>
        <v>1.9511964011557109E-6</v>
      </c>
      <c r="AK80" s="116">
        <f t="shared" si="23"/>
        <v>9.6823243008709172E-7</v>
      </c>
      <c r="AL80" s="116">
        <f t="shared" si="23"/>
        <v>4.803024180552101E-7</v>
      </c>
      <c r="AM80" s="116">
        <f t="shared" si="23"/>
        <v>2.3808790045252755E-7</v>
      </c>
    </row>
    <row r="81" spans="2:39" x14ac:dyDescent="0.25">
      <c r="B81" s="230"/>
      <c r="C81" s="35" t="s">
        <v>30</v>
      </c>
      <c r="D81" s="3" t="s">
        <v>437</v>
      </c>
      <c r="E81" s="111">
        <f t="shared" ref="E81:AM81" si="24">E39/E$26</f>
        <v>0.28000000000000003</v>
      </c>
      <c r="F81" s="111">
        <f t="shared" si="24"/>
        <v>0.27433114322039881</v>
      </c>
      <c r="G81" s="111">
        <f t="shared" si="24"/>
        <v>0.26770521186236862</v>
      </c>
      <c r="H81" s="111">
        <f t="shared" si="24"/>
        <v>0.26628559689720405</v>
      </c>
      <c r="I81" s="111">
        <f t="shared" si="24"/>
        <v>0.26062685125331492</v>
      </c>
      <c r="J81" s="110">
        <f t="shared" si="24"/>
        <v>0.26206363703363772</v>
      </c>
      <c r="K81" s="68">
        <f t="shared" si="24"/>
        <v>0.25523171804079586</v>
      </c>
      <c r="L81" s="68">
        <f t="shared" si="24"/>
        <v>0.2469707957812308</v>
      </c>
      <c r="M81" s="68">
        <f t="shared" si="24"/>
        <v>0.2390633403909499</v>
      </c>
      <c r="N81" s="111">
        <f t="shared" si="24"/>
        <v>0.23070017475444726</v>
      </c>
      <c r="O81" s="110">
        <f t="shared" si="24"/>
        <v>0.2184178294407487</v>
      </c>
      <c r="P81" s="68">
        <f t="shared" si="24"/>
        <v>0.19904409885099442</v>
      </c>
      <c r="Q81" s="68">
        <f t="shared" si="24"/>
        <v>0.17084992102578059</v>
      </c>
      <c r="R81" s="68">
        <f t="shared" si="24"/>
        <v>0.13775530725070975</v>
      </c>
      <c r="S81" s="111">
        <f t="shared" si="24"/>
        <v>0.10295832480303492</v>
      </c>
      <c r="T81" s="111">
        <f t="shared" si="24"/>
        <v>7.0649477271711905E-2</v>
      </c>
      <c r="U81" s="111">
        <f t="shared" si="24"/>
        <v>4.4313603941439739E-2</v>
      </c>
      <c r="V81" s="111">
        <f t="shared" si="24"/>
        <v>2.5647352642435447E-2</v>
      </c>
      <c r="W81" s="111">
        <f t="shared" si="24"/>
        <v>1.3964460189400441E-2</v>
      </c>
      <c r="X81" s="116">
        <f t="shared" si="24"/>
        <v>7.2882200612011403E-3</v>
      </c>
      <c r="Y81" s="116">
        <f t="shared" si="24"/>
        <v>3.7170320684324081E-3</v>
      </c>
      <c r="Z81" s="116">
        <f t="shared" si="24"/>
        <v>1.8706689206175115E-3</v>
      </c>
      <c r="AA81" s="116">
        <f t="shared" si="24"/>
        <v>9.3407554976070422E-4</v>
      </c>
      <c r="AB81" s="116">
        <f t="shared" si="24"/>
        <v>4.6466169180981657E-4</v>
      </c>
      <c r="AC81" s="116">
        <f t="shared" si="24"/>
        <v>2.3070217173087608E-4</v>
      </c>
      <c r="AD81" s="116">
        <f t="shared" si="24"/>
        <v>1.1443908724852154E-4</v>
      </c>
      <c r="AE81" s="116">
        <f t="shared" si="24"/>
        <v>5.6738848328909213E-5</v>
      </c>
      <c r="AF81" s="116">
        <f t="shared" si="24"/>
        <v>2.8118261551994805E-5</v>
      </c>
      <c r="AG81" s="116">
        <f t="shared" si="24"/>
        <v>1.3927781684608446E-5</v>
      </c>
      <c r="AH81" s="116">
        <f t="shared" si="24"/>
        <v>6.775182807228233E-6</v>
      </c>
      <c r="AI81" s="116">
        <f t="shared" si="24"/>
        <v>3.3508341806171597E-6</v>
      </c>
      <c r="AJ81" s="116">
        <f t="shared" si="24"/>
        <v>1.6558172382142787E-6</v>
      </c>
      <c r="AK81" s="116">
        <f t="shared" si="24"/>
        <v>8.182406327481433E-7</v>
      </c>
      <c r="AL81" s="116">
        <f t="shared" si="24"/>
        <v>4.0423630770306569E-7</v>
      </c>
      <c r="AM81" s="116">
        <f t="shared" si="24"/>
        <v>1.9953464609441006E-7</v>
      </c>
    </row>
    <row r="82" spans="2:39" x14ac:dyDescent="0.25">
      <c r="B82" s="230"/>
      <c r="C82" s="35" t="s">
        <v>31</v>
      </c>
      <c r="D82" s="3" t="s">
        <v>438</v>
      </c>
      <c r="E82" s="111">
        <f t="shared" ref="E82:AM82" si="25">E40/E$26</f>
        <v>0.18</v>
      </c>
      <c r="F82" s="111">
        <f t="shared" si="25"/>
        <v>0.16994912865320166</v>
      </c>
      <c r="G82" s="111">
        <f t="shared" si="25"/>
        <v>0.16246067343636414</v>
      </c>
      <c r="H82" s="111">
        <f t="shared" si="25"/>
        <v>0.15858132376795628</v>
      </c>
      <c r="I82" s="111">
        <f t="shared" si="25"/>
        <v>0.14620219746963498</v>
      </c>
      <c r="J82" s="110">
        <f t="shared" si="25"/>
        <v>0.15352321727247267</v>
      </c>
      <c r="K82" s="68">
        <f t="shared" si="25"/>
        <v>0.13702998774360492</v>
      </c>
      <c r="L82" s="68">
        <f t="shared" si="25"/>
        <v>0.12904039049804461</v>
      </c>
      <c r="M82" s="68">
        <f t="shared" si="25"/>
        <v>0.12340735513182799</v>
      </c>
      <c r="N82" s="111">
        <f t="shared" si="25"/>
        <v>0.11802103509267788</v>
      </c>
      <c r="O82" s="110">
        <f t="shared" si="25"/>
        <v>0.11067946077762587</v>
      </c>
      <c r="P82" s="68">
        <f t="shared" si="25"/>
        <v>9.9744659164508573E-2</v>
      </c>
      <c r="Q82" s="68">
        <f t="shared" si="25"/>
        <v>8.4983149990634679E-2</v>
      </c>
      <c r="R82" s="68">
        <f t="shared" si="25"/>
        <v>6.7783369555415057E-2</v>
      </c>
      <c r="S82" s="111">
        <f t="shared" si="25"/>
        <v>5.008758381976431E-2</v>
      </c>
      <c r="T82" s="111">
        <f t="shared" si="25"/>
        <v>3.4059340848277567E-2</v>
      </c>
      <c r="U82" s="111">
        <f t="shared" si="25"/>
        <v>2.1157373694127849E-2</v>
      </c>
      <c r="V82" s="111">
        <f t="shared" si="25"/>
        <v>1.2118989726758867E-2</v>
      </c>
      <c r="W82" s="111">
        <f t="shared" si="25"/>
        <v>6.5359994051536396E-3</v>
      </c>
      <c r="X82" s="116">
        <f t="shared" si="25"/>
        <v>3.370440787098731E-3</v>
      </c>
      <c r="Y82" s="116">
        <f t="shared" si="25"/>
        <v>1.7009367502981358E-3</v>
      </c>
      <c r="Z82" s="116">
        <f t="shared" si="25"/>
        <v>8.4752385728541614E-4</v>
      </c>
      <c r="AA82" s="116">
        <f t="shared" si="25"/>
        <v>4.1866491414229681E-4</v>
      </c>
      <c r="AB82" s="116">
        <f t="shared" si="25"/>
        <v>2.0614850533290583E-4</v>
      </c>
      <c r="AC82" s="116">
        <f t="shared" si="25"/>
        <v>1.0136038798984946E-4</v>
      </c>
      <c r="AD82" s="116">
        <f t="shared" si="25"/>
        <v>4.9869807419452729E-5</v>
      </c>
      <c r="AE82" s="116">
        <f t="shared" si="25"/>
        <v>2.4537715691771813E-5</v>
      </c>
      <c r="AF82" s="116">
        <f t="shared" si="25"/>
        <v>1.2072466158606544E-5</v>
      </c>
      <c r="AG82" s="116">
        <f t="shared" si="25"/>
        <v>5.9378702455594668E-6</v>
      </c>
      <c r="AH82" s="116">
        <f t="shared" si="25"/>
        <v>2.8290942427416174E-6</v>
      </c>
      <c r="AI82" s="116">
        <f t="shared" si="25"/>
        <v>1.3921719468228293E-6</v>
      </c>
      <c r="AJ82" s="116">
        <f t="shared" si="25"/>
        <v>6.8471154812308844E-7</v>
      </c>
      <c r="AK82" s="116">
        <f t="shared" si="25"/>
        <v>3.3707598561824802E-7</v>
      </c>
      <c r="AL82" s="116">
        <f t="shared" si="25"/>
        <v>1.6600927051804515E-7</v>
      </c>
      <c r="AM82" s="116">
        <f t="shared" si="25"/>
        <v>8.1736672869124877E-8</v>
      </c>
    </row>
    <row r="83" spans="2:39" x14ac:dyDescent="0.25">
      <c r="B83" s="230"/>
      <c r="C83" s="35" t="s">
        <v>32</v>
      </c>
      <c r="D83" s="3" t="s">
        <v>439</v>
      </c>
      <c r="E83" s="111">
        <f t="shared" ref="E83:AM83" si="26">E41/E$26</f>
        <v>0.06</v>
      </c>
      <c r="F83" s="111">
        <f t="shared" si="26"/>
        <v>4.8956941568872599E-2</v>
      </c>
      <c r="G83" s="111">
        <f t="shared" si="26"/>
        <v>4.9032046764094887E-2</v>
      </c>
      <c r="H83" s="111">
        <f t="shared" si="26"/>
        <v>4.6418899550149932E-2</v>
      </c>
      <c r="I83" s="111">
        <f t="shared" si="26"/>
        <v>3.8202969077461436E-2</v>
      </c>
      <c r="J83" s="110">
        <f t="shared" si="26"/>
        <v>2.752415300906199E-2</v>
      </c>
      <c r="K83" s="68">
        <f t="shared" si="26"/>
        <v>1.924479960290142E-2</v>
      </c>
      <c r="L83" s="68">
        <f t="shared" si="26"/>
        <v>1.6108205464088921E-2</v>
      </c>
      <c r="M83" s="68">
        <f t="shared" si="26"/>
        <v>1.4602837019212087E-2</v>
      </c>
      <c r="N83" s="111">
        <f t="shared" si="26"/>
        <v>1.3413651539224657E-2</v>
      </c>
      <c r="O83" s="110">
        <f t="shared" si="26"/>
        <v>1.2049622825044294E-2</v>
      </c>
      <c r="P83" s="68">
        <f t="shared" si="26"/>
        <v>1.0320512141713215E-2</v>
      </c>
      <c r="Q83" s="68">
        <f t="shared" si="26"/>
        <v>8.4964002664462846E-3</v>
      </c>
      <c r="R83" s="68">
        <f t="shared" si="26"/>
        <v>6.4394977814961202E-3</v>
      </c>
      <c r="S83" s="111">
        <f t="shared" si="26"/>
        <v>4.5061112578828081E-3</v>
      </c>
      <c r="T83" s="111">
        <f t="shared" si="26"/>
        <v>2.9327257572626512E-3</v>
      </c>
      <c r="U83" s="111">
        <f t="shared" si="26"/>
        <v>1.7378786281127836E-3</v>
      </c>
      <c r="V83" s="111">
        <f t="shared" si="26"/>
        <v>9.4608226827131944E-4</v>
      </c>
      <c r="W83" s="111">
        <f t="shared" si="26"/>
        <v>4.8666358300399526E-4</v>
      </c>
      <c r="X83" s="116">
        <f t="shared" si="26"/>
        <v>2.3637497150180364E-4</v>
      </c>
      <c r="Y83" s="116">
        <f t="shared" si="26"/>
        <v>1.1320648845429512E-4</v>
      </c>
      <c r="Z83" s="116">
        <f t="shared" si="26"/>
        <v>5.3665655466095946E-5</v>
      </c>
      <c r="AA83" s="116">
        <f t="shared" si="26"/>
        <v>2.512722697343829E-5</v>
      </c>
      <c r="AB83" s="116">
        <f t="shared" si="26"/>
        <v>1.1758088594454311E-5</v>
      </c>
      <c r="AC83" s="116">
        <f t="shared" si="26"/>
        <v>5.5089617797575215E-6</v>
      </c>
      <c r="AD83" s="116">
        <f t="shared" si="26"/>
        <v>2.6006515080252897E-6</v>
      </c>
      <c r="AE83" s="116">
        <f t="shared" si="26"/>
        <v>1.2314104898973649E-6</v>
      </c>
      <c r="AF83" s="116">
        <f t="shared" si="26"/>
        <v>5.8424706600493577E-7</v>
      </c>
      <c r="AG83" s="116">
        <f t="shared" si="26"/>
        <v>2.7750498201160595E-7</v>
      </c>
      <c r="AH83" s="116">
        <f t="shared" si="26"/>
        <v>1.2032404254332543E-7</v>
      </c>
      <c r="AI83" s="116">
        <f t="shared" si="26"/>
        <v>5.7788894513669626E-8</v>
      </c>
      <c r="AJ83" s="116">
        <f t="shared" si="26"/>
        <v>2.7786965095529112E-8</v>
      </c>
      <c r="AK83" s="116">
        <f t="shared" si="26"/>
        <v>1.3425558983368808E-8</v>
      </c>
      <c r="AL83" s="116">
        <f t="shared" si="26"/>
        <v>6.5080696273223697E-9</v>
      </c>
      <c r="AM83" s="116">
        <f t="shared" si="26"/>
        <v>3.1605259257992926E-9</v>
      </c>
    </row>
    <row r="84" spans="2:39" x14ac:dyDescent="0.25">
      <c r="B84" s="230"/>
      <c r="C84" s="56" t="s">
        <v>33</v>
      </c>
      <c r="D84" s="7" t="s">
        <v>440</v>
      </c>
      <c r="E84" s="113">
        <f t="shared" ref="E84:AM84" si="27">E42/E$26</f>
        <v>1.4999999999999999E-2</v>
      </c>
      <c r="F84" s="113">
        <f t="shared" si="27"/>
        <v>1.0180447122146254E-2</v>
      </c>
      <c r="G84" s="113">
        <f t="shared" si="27"/>
        <v>1.0374354334581814E-2</v>
      </c>
      <c r="H84" s="113">
        <f t="shared" si="27"/>
        <v>8.3986564802423953E-3</v>
      </c>
      <c r="I84" s="113">
        <f t="shared" si="27"/>
        <v>5.8567732078011287E-3</v>
      </c>
      <c r="J84" s="112">
        <f t="shared" si="27"/>
        <v>2.5875032062630619E-3</v>
      </c>
      <c r="K84" s="70">
        <f t="shared" si="27"/>
        <v>0</v>
      </c>
      <c r="L84" s="70">
        <f t="shared" si="27"/>
        <v>0</v>
      </c>
      <c r="M84" s="70">
        <f t="shared" si="27"/>
        <v>0</v>
      </c>
      <c r="N84" s="113">
        <f t="shared" si="27"/>
        <v>0</v>
      </c>
      <c r="O84" s="112">
        <f t="shared" si="27"/>
        <v>0</v>
      </c>
      <c r="P84" s="70">
        <f t="shared" si="27"/>
        <v>0</v>
      </c>
      <c r="Q84" s="70">
        <f t="shared" si="27"/>
        <v>0</v>
      </c>
      <c r="R84" s="70">
        <f t="shared" si="27"/>
        <v>0</v>
      </c>
      <c r="S84" s="113">
        <f t="shared" si="27"/>
        <v>0</v>
      </c>
      <c r="T84" s="113">
        <f t="shared" si="27"/>
        <v>0</v>
      </c>
      <c r="U84" s="113">
        <f t="shared" si="27"/>
        <v>0</v>
      </c>
      <c r="V84" s="113">
        <f t="shared" si="27"/>
        <v>0</v>
      </c>
      <c r="W84" s="113">
        <f t="shared" si="27"/>
        <v>0</v>
      </c>
      <c r="X84" s="117">
        <f t="shared" si="27"/>
        <v>0</v>
      </c>
      <c r="Y84" s="117">
        <f t="shared" si="27"/>
        <v>0</v>
      </c>
      <c r="Z84" s="117">
        <f t="shared" si="27"/>
        <v>0</v>
      </c>
      <c r="AA84" s="117">
        <f t="shared" si="27"/>
        <v>0</v>
      </c>
      <c r="AB84" s="117">
        <f t="shared" si="27"/>
        <v>0</v>
      </c>
      <c r="AC84" s="117">
        <f t="shared" si="27"/>
        <v>0</v>
      </c>
      <c r="AD84" s="117">
        <f t="shared" si="27"/>
        <v>0</v>
      </c>
      <c r="AE84" s="117">
        <f t="shared" si="27"/>
        <v>0</v>
      </c>
      <c r="AF84" s="117">
        <f t="shared" si="27"/>
        <v>0</v>
      </c>
      <c r="AG84" s="117">
        <f t="shared" si="27"/>
        <v>0</v>
      </c>
      <c r="AH84" s="117">
        <f t="shared" si="27"/>
        <v>0</v>
      </c>
      <c r="AI84" s="117">
        <f t="shared" si="27"/>
        <v>0</v>
      </c>
      <c r="AJ84" s="117">
        <f t="shared" si="27"/>
        <v>0</v>
      </c>
      <c r="AK84" s="117">
        <f t="shared" si="27"/>
        <v>0</v>
      </c>
      <c r="AL84" s="117">
        <f t="shared" si="27"/>
        <v>0</v>
      </c>
      <c r="AM84" s="117">
        <f t="shared" si="27"/>
        <v>0</v>
      </c>
    </row>
    <row r="85" spans="2:39" x14ac:dyDescent="0.25">
      <c r="B85" s="229" t="s">
        <v>80</v>
      </c>
      <c r="C85" s="58" t="s">
        <v>52</v>
      </c>
      <c r="D85" s="58" t="s">
        <v>130</v>
      </c>
      <c r="E85" s="100">
        <f t="shared" ref="E85:AM85" si="28">E43</f>
        <v>32001.800439999999</v>
      </c>
      <c r="F85" s="100">
        <f t="shared" si="28"/>
        <v>35911.307350000003</v>
      </c>
      <c r="G85" s="100">
        <f t="shared" si="28"/>
        <v>36708.886160000002</v>
      </c>
      <c r="H85" s="100">
        <f t="shared" si="28"/>
        <v>37113.743849999999</v>
      </c>
      <c r="I85" s="100">
        <f t="shared" si="28"/>
        <v>37436.741139999998</v>
      </c>
      <c r="J85" s="99">
        <f t="shared" si="28"/>
        <v>37586.338340000002</v>
      </c>
      <c r="K85" s="51">
        <f t="shared" si="28"/>
        <v>37630.152600000001</v>
      </c>
      <c r="L85" s="51">
        <f t="shared" si="28"/>
        <v>37667.482739999999</v>
      </c>
      <c r="M85" s="51">
        <f t="shared" si="28"/>
        <v>37572.667979999998</v>
      </c>
      <c r="N85" s="100">
        <f t="shared" si="28"/>
        <v>37378.310380000003</v>
      </c>
      <c r="O85" s="99">
        <f t="shared" si="28"/>
        <v>37070.510370000004</v>
      </c>
      <c r="P85" s="51">
        <f t="shared" si="28"/>
        <v>36694.875290000004</v>
      </c>
      <c r="Q85" s="51">
        <f t="shared" si="28"/>
        <v>36282.501830000001</v>
      </c>
      <c r="R85" s="51">
        <f t="shared" si="28"/>
        <v>35814.683870000001</v>
      </c>
      <c r="S85" s="100">
        <f t="shared" si="28"/>
        <v>35306.181170000003</v>
      </c>
      <c r="T85" s="100">
        <f t="shared" si="28"/>
        <v>34841.396119999998</v>
      </c>
      <c r="U85" s="100">
        <f t="shared" si="28"/>
        <v>34405.94947</v>
      </c>
      <c r="V85" s="100">
        <f t="shared" si="28"/>
        <v>33997.503149999997</v>
      </c>
      <c r="W85" s="100">
        <f t="shared" si="28"/>
        <v>33613.40481</v>
      </c>
      <c r="X85" s="104">
        <f t="shared" si="28"/>
        <v>33248.46067</v>
      </c>
      <c r="Y85" s="104">
        <f t="shared" si="28"/>
        <v>32933.453130000002</v>
      </c>
      <c r="Z85" s="104">
        <f t="shared" si="28"/>
        <v>32651.707330000001</v>
      </c>
      <c r="AA85" s="104">
        <f t="shared" si="28"/>
        <v>32388.026689999999</v>
      </c>
      <c r="AB85" s="104">
        <f t="shared" si="28"/>
        <v>32138.093359999999</v>
      </c>
      <c r="AC85" s="104">
        <f t="shared" si="28"/>
        <v>31899.757699999998</v>
      </c>
      <c r="AD85" s="104">
        <f t="shared" si="28"/>
        <v>31668.10367</v>
      </c>
      <c r="AE85" s="104">
        <f t="shared" si="28"/>
        <v>31449.069009999999</v>
      </c>
      <c r="AF85" s="104">
        <f t="shared" si="28"/>
        <v>31238.63279</v>
      </c>
      <c r="AG85" s="104">
        <f t="shared" si="28"/>
        <v>31039.068429999999</v>
      </c>
      <c r="AH85" s="104">
        <f t="shared" si="28"/>
        <v>30779.438719999998</v>
      </c>
      <c r="AI85" s="104">
        <f t="shared" si="28"/>
        <v>30535.862679999998</v>
      </c>
      <c r="AJ85" s="104">
        <f t="shared" si="28"/>
        <v>30306.296780000001</v>
      </c>
      <c r="AK85" s="104">
        <f t="shared" si="28"/>
        <v>30085.792890000001</v>
      </c>
      <c r="AL85" s="104">
        <f t="shared" si="28"/>
        <v>29875.546050000001</v>
      </c>
      <c r="AM85" s="104">
        <f t="shared" si="28"/>
        <v>29636.235280000001</v>
      </c>
    </row>
    <row r="86" spans="2:39" x14ac:dyDescent="0.25">
      <c r="B86" s="230"/>
      <c r="C86" s="35" t="s">
        <v>8</v>
      </c>
      <c r="D86" s="54" t="s">
        <v>441</v>
      </c>
      <c r="E86" s="111">
        <f t="shared" ref="E86:AM89" si="29">E44/E$43</f>
        <v>0</v>
      </c>
      <c r="F86" s="111">
        <f t="shared" si="29"/>
        <v>0</v>
      </c>
      <c r="G86" s="111">
        <f t="shared" si="29"/>
        <v>0</v>
      </c>
      <c r="H86" s="111">
        <f t="shared" si="29"/>
        <v>0</v>
      </c>
      <c r="I86" s="111">
        <f t="shared" si="29"/>
        <v>0</v>
      </c>
      <c r="J86" s="110">
        <f t="shared" si="29"/>
        <v>0</v>
      </c>
      <c r="K86" s="68">
        <f t="shared" si="29"/>
        <v>0</v>
      </c>
      <c r="L86" s="68">
        <f t="shared" si="29"/>
        <v>0</v>
      </c>
      <c r="M86" s="68">
        <f t="shared" si="29"/>
        <v>0</v>
      </c>
      <c r="N86" s="111">
        <f t="shared" si="29"/>
        <v>0</v>
      </c>
      <c r="O86" s="110">
        <f t="shared" si="29"/>
        <v>0</v>
      </c>
      <c r="P86" s="68">
        <f t="shared" si="29"/>
        <v>0</v>
      </c>
      <c r="Q86" s="68">
        <f t="shared" si="29"/>
        <v>0</v>
      </c>
      <c r="R86" s="68">
        <f t="shared" si="29"/>
        <v>0</v>
      </c>
      <c r="S86" s="111">
        <f t="shared" si="29"/>
        <v>0</v>
      </c>
      <c r="T86" s="111">
        <f t="shared" si="29"/>
        <v>0</v>
      </c>
      <c r="U86" s="111">
        <f t="shared" si="29"/>
        <v>0</v>
      </c>
      <c r="V86" s="111">
        <f t="shared" si="29"/>
        <v>0</v>
      </c>
      <c r="W86" s="111">
        <f t="shared" si="29"/>
        <v>0</v>
      </c>
      <c r="X86" s="116">
        <f t="shared" si="29"/>
        <v>0</v>
      </c>
      <c r="Y86" s="116">
        <f t="shared" si="29"/>
        <v>0</v>
      </c>
      <c r="Z86" s="116">
        <f t="shared" si="29"/>
        <v>0</v>
      </c>
      <c r="AA86" s="116">
        <f t="shared" si="29"/>
        <v>0</v>
      </c>
      <c r="AB86" s="116">
        <f t="shared" si="29"/>
        <v>0</v>
      </c>
      <c r="AC86" s="116">
        <f t="shared" si="29"/>
        <v>0</v>
      </c>
      <c r="AD86" s="116">
        <f t="shared" si="29"/>
        <v>0</v>
      </c>
      <c r="AE86" s="116">
        <f t="shared" si="29"/>
        <v>0</v>
      </c>
      <c r="AF86" s="116">
        <f t="shared" si="29"/>
        <v>0</v>
      </c>
      <c r="AG86" s="116">
        <f t="shared" si="29"/>
        <v>0</v>
      </c>
      <c r="AH86" s="116">
        <f t="shared" si="29"/>
        <v>0</v>
      </c>
      <c r="AI86" s="116">
        <f t="shared" si="29"/>
        <v>0</v>
      </c>
      <c r="AJ86" s="116">
        <f t="shared" si="29"/>
        <v>0</v>
      </c>
      <c r="AK86" s="116">
        <f t="shared" si="29"/>
        <v>0</v>
      </c>
      <c r="AL86" s="116">
        <f t="shared" si="29"/>
        <v>0</v>
      </c>
      <c r="AM86" s="116">
        <f t="shared" si="29"/>
        <v>0</v>
      </c>
    </row>
    <row r="87" spans="2:39" x14ac:dyDescent="0.25">
      <c r="B87" s="230"/>
      <c r="C87" s="35" t="s">
        <v>6</v>
      </c>
      <c r="D87" s="3" t="s">
        <v>424</v>
      </c>
      <c r="E87" s="111">
        <f t="shared" si="29"/>
        <v>0.9999246395525615</v>
      </c>
      <c r="F87" s="111">
        <f t="shared" si="29"/>
        <v>0.9966080432880704</v>
      </c>
      <c r="G87" s="111">
        <f t="shared" si="29"/>
        <v>0.9920748137458606</v>
      </c>
      <c r="H87" s="111">
        <f t="shared" si="29"/>
        <v>0.98960802629993905</v>
      </c>
      <c r="I87" s="111">
        <f t="shared" si="29"/>
        <v>0.98661997346064945</v>
      </c>
      <c r="J87" s="110">
        <f t="shared" si="29"/>
        <v>0.98318029640766547</v>
      </c>
      <c r="K87" s="68">
        <f t="shared" si="29"/>
        <v>0.97870303427895222</v>
      </c>
      <c r="L87" s="68">
        <f t="shared" si="29"/>
        <v>0.9729623870267684</v>
      </c>
      <c r="M87" s="68">
        <f t="shared" si="29"/>
        <v>0.96648170258576349</v>
      </c>
      <c r="N87" s="111">
        <f t="shared" si="29"/>
        <v>0.95917705122336239</v>
      </c>
      <c r="O87" s="110">
        <f t="shared" si="29"/>
        <v>0.95050704693063004</v>
      </c>
      <c r="P87" s="68">
        <f t="shared" si="29"/>
        <v>0.93923017608380577</v>
      </c>
      <c r="Q87" s="68">
        <f t="shared" si="29"/>
        <v>0.92379708949083783</v>
      </c>
      <c r="R87" s="68">
        <f t="shared" si="29"/>
        <v>0.90394322779764358</v>
      </c>
      <c r="S87" s="111">
        <f t="shared" si="29"/>
        <v>0.8796245711328512</v>
      </c>
      <c r="T87" s="111">
        <f t="shared" si="29"/>
        <v>0.85018814251809616</v>
      </c>
      <c r="U87" s="111">
        <f t="shared" si="29"/>
        <v>0.81692603729793245</v>
      </c>
      <c r="V87" s="111">
        <f t="shared" si="29"/>
        <v>0.78130638190704904</v>
      </c>
      <c r="W87" s="111">
        <f t="shared" si="29"/>
        <v>0.74470715214642369</v>
      </c>
      <c r="X87" s="116">
        <f t="shared" si="29"/>
        <v>0.70820380298827235</v>
      </c>
      <c r="Y87" s="116">
        <f t="shared" si="29"/>
        <v>0.67177478179009287</v>
      </c>
      <c r="Z87" s="116">
        <f t="shared" si="29"/>
        <v>0.63613469305220549</v>
      </c>
      <c r="AA87" s="116">
        <f t="shared" si="29"/>
        <v>0.60176106795717854</v>
      </c>
      <c r="AB87" s="116">
        <f t="shared" si="29"/>
        <v>0.56879613563982756</v>
      </c>
      <c r="AC87" s="116">
        <f t="shared" si="29"/>
        <v>0.53728131044706962</v>
      </c>
      <c r="AD87" s="116">
        <f t="shared" si="29"/>
        <v>0.50741133025980145</v>
      </c>
      <c r="AE87" s="116">
        <f t="shared" si="29"/>
        <v>0.47902406094151023</v>
      </c>
      <c r="AF87" s="116">
        <f t="shared" si="29"/>
        <v>0.45211671249969582</v>
      </c>
      <c r="AG87" s="116">
        <f t="shared" si="29"/>
        <v>0.42658783654738702</v>
      </c>
      <c r="AH87" s="116">
        <f t="shared" si="29"/>
        <v>0.40150878001455642</v>
      </c>
      <c r="AI87" s="116">
        <f t="shared" si="29"/>
        <v>0.37773158305282239</v>
      </c>
      <c r="AJ87" s="116">
        <f t="shared" si="29"/>
        <v>0.35522041568286916</v>
      </c>
      <c r="AK87" s="116">
        <f t="shared" si="29"/>
        <v>0.33396917464454429</v>
      </c>
      <c r="AL87" s="116">
        <f t="shared" si="29"/>
        <v>0.31389826687368616</v>
      </c>
      <c r="AM87" s="116">
        <f t="shared" si="29"/>
        <v>0.29533749699668332</v>
      </c>
    </row>
    <row r="88" spans="2:39" x14ac:dyDescent="0.25">
      <c r="B88" s="230"/>
      <c r="C88" s="35" t="s">
        <v>34</v>
      </c>
      <c r="D88" s="3" t="s">
        <v>423</v>
      </c>
      <c r="E88" s="111">
        <f t="shared" si="29"/>
        <v>7.5360400972489787E-5</v>
      </c>
      <c r="F88" s="111">
        <f t="shared" si="29"/>
        <v>3.3919567926841291E-3</v>
      </c>
      <c r="G88" s="111">
        <f t="shared" si="29"/>
        <v>7.9251861587946362E-3</v>
      </c>
      <c r="H88" s="111">
        <f t="shared" si="29"/>
        <v>1.0391973557256741E-2</v>
      </c>
      <c r="I88" s="111">
        <f t="shared" si="29"/>
        <v>1.3380026638184031E-2</v>
      </c>
      <c r="J88" s="110">
        <f t="shared" si="29"/>
        <v>1.6819703584352929E-2</v>
      </c>
      <c r="K88" s="68">
        <f t="shared" si="29"/>
        <v>2.1296965699788312E-2</v>
      </c>
      <c r="L88" s="68">
        <f t="shared" si="29"/>
        <v>2.7037612999779661E-2</v>
      </c>
      <c r="M88" s="68">
        <f t="shared" si="29"/>
        <v>3.3518297334391212E-2</v>
      </c>
      <c r="N88" s="111">
        <f t="shared" si="29"/>
        <v>4.0822948669623625E-2</v>
      </c>
      <c r="O88" s="110">
        <f t="shared" si="29"/>
        <v>4.9492953042394275E-2</v>
      </c>
      <c r="P88" s="68">
        <f t="shared" si="29"/>
        <v>6.0769823807186998E-2</v>
      </c>
      <c r="Q88" s="68">
        <f t="shared" si="29"/>
        <v>7.6202910288670142E-2</v>
      </c>
      <c r="R88" s="68">
        <f t="shared" si="29"/>
        <v>9.6056772341963997E-2</v>
      </c>
      <c r="S88" s="111">
        <f t="shared" si="29"/>
        <v>0.12037542883882504</v>
      </c>
      <c r="T88" s="111">
        <f t="shared" si="29"/>
        <v>0.14981185748190393</v>
      </c>
      <c r="U88" s="111">
        <f t="shared" si="29"/>
        <v>0.18307396273113227</v>
      </c>
      <c r="V88" s="111">
        <f t="shared" si="29"/>
        <v>0.21869361794588144</v>
      </c>
      <c r="W88" s="111">
        <f t="shared" si="29"/>
        <v>0.25529284791307638</v>
      </c>
      <c r="X88" s="116">
        <f t="shared" si="29"/>
        <v>0.29179619716211064</v>
      </c>
      <c r="Y88" s="116">
        <f t="shared" si="29"/>
        <v>0.32822521820990719</v>
      </c>
      <c r="Z88" s="116">
        <f t="shared" si="29"/>
        <v>0.36386530694779445</v>
      </c>
      <c r="AA88" s="116">
        <f t="shared" si="29"/>
        <v>0.39823893204282157</v>
      </c>
      <c r="AB88" s="116">
        <f t="shared" si="29"/>
        <v>0.4312038643601725</v>
      </c>
      <c r="AC88" s="116">
        <f t="shared" si="29"/>
        <v>0.46271868955293038</v>
      </c>
      <c r="AD88" s="116">
        <f t="shared" si="29"/>
        <v>0.49258866974019855</v>
      </c>
      <c r="AE88" s="116">
        <f t="shared" si="29"/>
        <v>0.52097593905848982</v>
      </c>
      <c r="AF88" s="116">
        <f t="shared" si="29"/>
        <v>0.54788328750030424</v>
      </c>
      <c r="AG88" s="116">
        <f t="shared" si="29"/>
        <v>0.57341216345261303</v>
      </c>
      <c r="AH88" s="116">
        <f t="shared" si="29"/>
        <v>0.59849121998544363</v>
      </c>
      <c r="AI88" s="116">
        <f t="shared" si="29"/>
        <v>0.62226841661969379</v>
      </c>
      <c r="AJ88" s="116">
        <f t="shared" si="29"/>
        <v>0.64477958398716639</v>
      </c>
      <c r="AK88" s="116">
        <f t="shared" si="29"/>
        <v>0.66603082535545566</v>
      </c>
      <c r="AL88" s="116">
        <f t="shared" si="29"/>
        <v>0.68610173336061908</v>
      </c>
      <c r="AM88" s="116">
        <f t="shared" si="29"/>
        <v>0.70466250293583177</v>
      </c>
    </row>
    <row r="89" spans="2:39" x14ac:dyDescent="0.25">
      <c r="B89" s="230"/>
      <c r="C89" s="35" t="s">
        <v>35</v>
      </c>
      <c r="D89" s="3" t="s">
        <v>442</v>
      </c>
      <c r="E89" s="111">
        <f t="shared" si="29"/>
        <v>7.0669503868701714E-7</v>
      </c>
      <c r="F89" s="111">
        <f t="shared" si="29"/>
        <v>6.5456676474909783E-6</v>
      </c>
      <c r="G89" s="111">
        <f t="shared" si="29"/>
        <v>7.1824242814345316E-6</v>
      </c>
      <c r="H89" s="111">
        <f t="shared" si="29"/>
        <v>7.7757358504806304E-6</v>
      </c>
      <c r="I89" s="111">
        <f t="shared" si="29"/>
        <v>9.0371576424026311E-6</v>
      </c>
      <c r="J89" s="110">
        <f t="shared" si="29"/>
        <v>1.009041362500543E-5</v>
      </c>
      <c r="K89" s="68">
        <f t="shared" si="29"/>
        <v>1.1991537445957634E-5</v>
      </c>
      <c r="L89" s="68">
        <f t="shared" si="29"/>
        <v>1.4276867021138244E-5</v>
      </c>
      <c r="M89" s="68">
        <f t="shared" si="29"/>
        <v>1.642542288262597E-5</v>
      </c>
      <c r="N89" s="111">
        <f t="shared" si="29"/>
        <v>1.8413453377182854E-5</v>
      </c>
      <c r="O89" s="110">
        <f t="shared" si="29"/>
        <v>2.0209774039320838E-5</v>
      </c>
      <c r="P89" s="68">
        <f t="shared" si="29"/>
        <v>2.1787004141089696E-5</v>
      </c>
      <c r="Q89" s="68">
        <f t="shared" si="29"/>
        <v>2.3002686267624448E-5</v>
      </c>
      <c r="R89" s="68">
        <f t="shared" si="29"/>
        <v>2.3835949511621362E-5</v>
      </c>
      <c r="S89" s="111">
        <f t="shared" si="29"/>
        <v>2.4247255996845606E-5</v>
      </c>
      <c r="T89" s="111">
        <f t="shared" si="29"/>
        <v>2.4222462627309897E-5</v>
      </c>
      <c r="U89" s="111">
        <f t="shared" si="29"/>
        <v>2.3811201839214931E-5</v>
      </c>
      <c r="V89" s="111">
        <f t="shared" si="29"/>
        <v>2.3111839532251063E-5</v>
      </c>
      <c r="W89" s="111">
        <f t="shared" si="29"/>
        <v>2.2229699538729948E-5</v>
      </c>
      <c r="X89" s="116">
        <f t="shared" si="29"/>
        <v>2.125502024030997E-5</v>
      </c>
      <c r="Y89" s="116">
        <f t="shared" si="29"/>
        <v>2.0226182252149396E-5</v>
      </c>
      <c r="Z89" s="116">
        <f t="shared" si="29"/>
        <v>1.9188374294423153E-5</v>
      </c>
      <c r="AA89" s="116">
        <f t="shared" si="29"/>
        <v>1.8170567127564634E-5</v>
      </c>
      <c r="AB89" s="116">
        <f t="shared" si="29"/>
        <v>1.7185362140599622E-5</v>
      </c>
      <c r="AC89" s="116">
        <f t="shared" si="29"/>
        <v>1.6238611429954528E-5</v>
      </c>
      <c r="AD89" s="116">
        <f t="shared" si="29"/>
        <v>1.5338690951051821E-5</v>
      </c>
      <c r="AE89" s="116">
        <f t="shared" si="29"/>
        <v>1.4482071404249814E-5</v>
      </c>
      <c r="AF89" s="116">
        <f t="shared" si="29"/>
        <v>1.3669388301036462E-5</v>
      </c>
      <c r="AG89" s="116">
        <f t="shared" si="29"/>
        <v>1.2897959199479751E-5</v>
      </c>
      <c r="AH89" s="116">
        <f t="shared" si="29"/>
        <v>1.2139931689436604E-5</v>
      </c>
      <c r="AI89" s="116">
        <f t="shared" si="29"/>
        <v>1.1421136889262434E-5</v>
      </c>
      <c r="AJ89" s="116">
        <f t="shared" si="29"/>
        <v>1.0740553491669463E-5</v>
      </c>
      <c r="AK89" s="116">
        <f t="shared" si="29"/>
        <v>1.0098029465627955E-5</v>
      </c>
      <c r="AL89" s="116">
        <f t="shared" si="29"/>
        <v>9.491175559617929E-6</v>
      </c>
      <c r="AM89" s="116">
        <f t="shared" si="29"/>
        <v>8.9299727951140756E-6</v>
      </c>
    </row>
    <row r="90" spans="2:39" x14ac:dyDescent="0.25">
      <c r="B90" s="230"/>
      <c r="C90" s="58" t="s">
        <v>52</v>
      </c>
      <c r="D90" s="58" t="s">
        <v>130</v>
      </c>
      <c r="E90" s="59">
        <f>E43</f>
        <v>32001.800439999999</v>
      </c>
      <c r="F90" s="59">
        <f t="shared" ref="F90:AM90" si="30">F43</f>
        <v>35911.307350000003</v>
      </c>
      <c r="G90" s="59">
        <f t="shared" si="30"/>
        <v>36708.886160000002</v>
      </c>
      <c r="H90" s="59">
        <f t="shared" si="30"/>
        <v>37113.743849999999</v>
      </c>
      <c r="I90" s="59">
        <f t="shared" si="30"/>
        <v>37436.741139999998</v>
      </c>
      <c r="J90" s="59">
        <f t="shared" si="30"/>
        <v>37586.338340000002</v>
      </c>
      <c r="K90" s="59">
        <f t="shared" si="30"/>
        <v>37630.152600000001</v>
      </c>
      <c r="L90" s="59">
        <f t="shared" si="30"/>
        <v>37667.482739999999</v>
      </c>
      <c r="M90" s="59">
        <f t="shared" si="30"/>
        <v>37572.667979999998</v>
      </c>
      <c r="N90" s="59">
        <f t="shared" si="30"/>
        <v>37378.310380000003</v>
      </c>
      <c r="O90" s="59">
        <f t="shared" si="30"/>
        <v>37070.510370000004</v>
      </c>
      <c r="P90" s="59">
        <f t="shared" si="30"/>
        <v>36694.875290000004</v>
      </c>
      <c r="Q90" s="59">
        <f t="shared" si="30"/>
        <v>36282.501830000001</v>
      </c>
      <c r="R90" s="59">
        <f t="shared" si="30"/>
        <v>35814.683870000001</v>
      </c>
      <c r="S90" s="59">
        <f t="shared" si="30"/>
        <v>35306.181170000003</v>
      </c>
      <c r="T90" s="59">
        <f t="shared" si="30"/>
        <v>34841.396119999998</v>
      </c>
      <c r="U90" s="59">
        <f t="shared" si="30"/>
        <v>34405.94947</v>
      </c>
      <c r="V90" s="59">
        <f t="shared" si="30"/>
        <v>33997.503149999997</v>
      </c>
      <c r="W90" s="59">
        <f t="shared" si="30"/>
        <v>33613.40481</v>
      </c>
      <c r="X90" s="59">
        <f t="shared" si="30"/>
        <v>33248.46067</v>
      </c>
      <c r="Y90" s="59">
        <f t="shared" si="30"/>
        <v>32933.453130000002</v>
      </c>
      <c r="Z90" s="59">
        <f t="shared" si="30"/>
        <v>32651.707330000001</v>
      </c>
      <c r="AA90" s="59">
        <f t="shared" si="30"/>
        <v>32388.026689999999</v>
      </c>
      <c r="AB90" s="59">
        <f t="shared" si="30"/>
        <v>32138.093359999999</v>
      </c>
      <c r="AC90" s="59">
        <f t="shared" si="30"/>
        <v>31899.757699999998</v>
      </c>
      <c r="AD90" s="59">
        <f t="shared" si="30"/>
        <v>31668.10367</v>
      </c>
      <c r="AE90" s="59">
        <f t="shared" si="30"/>
        <v>31449.069009999999</v>
      </c>
      <c r="AF90" s="59">
        <f t="shared" si="30"/>
        <v>31238.63279</v>
      </c>
      <c r="AG90" s="59">
        <f t="shared" si="30"/>
        <v>31039.068429999999</v>
      </c>
      <c r="AH90" s="59">
        <f t="shared" si="30"/>
        <v>30779.438719999998</v>
      </c>
      <c r="AI90" s="59">
        <f t="shared" si="30"/>
        <v>30535.862679999998</v>
      </c>
      <c r="AJ90" s="59">
        <f t="shared" si="30"/>
        <v>30306.296780000001</v>
      </c>
      <c r="AK90" s="59">
        <f t="shared" si="30"/>
        <v>30085.792890000001</v>
      </c>
      <c r="AL90" s="59">
        <f t="shared" si="30"/>
        <v>29875.546050000001</v>
      </c>
      <c r="AM90" s="59">
        <f t="shared" si="30"/>
        <v>29636.235280000001</v>
      </c>
    </row>
    <row r="91" spans="2:39" x14ac:dyDescent="0.25">
      <c r="B91" s="230"/>
      <c r="C91" s="60" t="s">
        <v>45</v>
      </c>
      <c r="D91" s="3" t="s">
        <v>423</v>
      </c>
      <c r="E91" s="128">
        <f t="shared" ref="E91:AM98" si="31">E49/E$48</f>
        <v>7.5360400972489787E-5</v>
      </c>
      <c r="F91" s="128">
        <f t="shared" si="31"/>
        <v>3.3919567926841291E-3</v>
      </c>
      <c r="G91" s="128">
        <f t="shared" si="31"/>
        <v>7.9251861587946362E-3</v>
      </c>
      <c r="H91" s="128">
        <f t="shared" si="31"/>
        <v>1.0391973557256741E-2</v>
      </c>
      <c r="I91" s="128">
        <f t="shared" si="31"/>
        <v>1.3380026638184031E-2</v>
      </c>
      <c r="J91" s="127">
        <f t="shared" si="31"/>
        <v>1.6819703584352929E-2</v>
      </c>
      <c r="K91" s="71">
        <f t="shared" si="31"/>
        <v>2.1296965699788312E-2</v>
      </c>
      <c r="L91" s="71">
        <f t="shared" si="31"/>
        <v>2.7037612999779661E-2</v>
      </c>
      <c r="M91" s="71">
        <f t="shared" si="31"/>
        <v>3.3518297334391212E-2</v>
      </c>
      <c r="N91" s="128">
        <f t="shared" si="31"/>
        <v>4.0822948669623625E-2</v>
      </c>
      <c r="O91" s="127">
        <f t="shared" si="31"/>
        <v>4.9492953042394275E-2</v>
      </c>
      <c r="P91" s="71">
        <f t="shared" si="31"/>
        <v>6.0769823807186998E-2</v>
      </c>
      <c r="Q91" s="71">
        <f t="shared" si="31"/>
        <v>7.6202910288670142E-2</v>
      </c>
      <c r="R91" s="71">
        <f t="shared" si="31"/>
        <v>9.6056772341963997E-2</v>
      </c>
      <c r="S91" s="128">
        <f t="shared" si="31"/>
        <v>0.12037542883882504</v>
      </c>
      <c r="T91" s="128">
        <f t="shared" si="31"/>
        <v>0.14981185748190393</v>
      </c>
      <c r="U91" s="128">
        <f t="shared" si="31"/>
        <v>0.18307396273113227</v>
      </c>
      <c r="V91" s="128">
        <f t="shared" si="31"/>
        <v>0.21869361794588144</v>
      </c>
      <c r="W91" s="128">
        <f t="shared" si="31"/>
        <v>0.25529284791307638</v>
      </c>
      <c r="X91" s="120">
        <f t="shared" si="31"/>
        <v>0.29179619716211064</v>
      </c>
      <c r="Y91" s="120">
        <f t="shared" si="31"/>
        <v>0.32822521820990719</v>
      </c>
      <c r="Z91" s="120">
        <f t="shared" si="31"/>
        <v>0.36386530694779445</v>
      </c>
      <c r="AA91" s="120">
        <f t="shared" si="31"/>
        <v>0.39823893204282157</v>
      </c>
      <c r="AB91" s="120">
        <f t="shared" si="31"/>
        <v>0.4312038643601725</v>
      </c>
      <c r="AC91" s="120">
        <f t="shared" si="31"/>
        <v>0.46271868955293038</v>
      </c>
      <c r="AD91" s="120">
        <f t="shared" si="31"/>
        <v>0.49258866974019855</v>
      </c>
      <c r="AE91" s="120">
        <f t="shared" si="31"/>
        <v>0.52097593905848982</v>
      </c>
      <c r="AF91" s="120">
        <f t="shared" si="31"/>
        <v>0.54788328750030424</v>
      </c>
      <c r="AG91" s="120">
        <f t="shared" si="31"/>
        <v>0.57341216345261303</v>
      </c>
      <c r="AH91" s="120">
        <f t="shared" si="31"/>
        <v>0.59849121998544363</v>
      </c>
      <c r="AI91" s="120">
        <f t="shared" si="31"/>
        <v>0.62226841661969379</v>
      </c>
      <c r="AJ91" s="120">
        <f t="shared" si="31"/>
        <v>0.64477958398716639</v>
      </c>
      <c r="AK91" s="120">
        <f t="shared" si="31"/>
        <v>0.66603082535545566</v>
      </c>
      <c r="AL91" s="120">
        <f t="shared" si="31"/>
        <v>0.68610173336061908</v>
      </c>
      <c r="AM91" s="120">
        <f t="shared" si="31"/>
        <v>0.70466250293583177</v>
      </c>
    </row>
    <row r="92" spans="2:39" x14ac:dyDescent="0.25">
      <c r="B92" s="230"/>
      <c r="C92" s="62" t="s">
        <v>27</v>
      </c>
      <c r="D92" s="63" t="s">
        <v>443</v>
      </c>
      <c r="E92" s="111">
        <f t="shared" si="31"/>
        <v>2.2444105679199093E-7</v>
      </c>
      <c r="F92" s="111">
        <f t="shared" si="31"/>
        <v>2.2636879470220677E-5</v>
      </c>
      <c r="G92" s="111">
        <f t="shared" si="31"/>
        <v>4.0439525310838249E-5</v>
      </c>
      <c r="H92" s="111">
        <f t="shared" si="31"/>
        <v>5.3347573017751483E-5</v>
      </c>
      <c r="I92" s="111">
        <f t="shared" si="31"/>
        <v>7.7766459428524928E-5</v>
      </c>
      <c r="J92" s="110">
        <f t="shared" si="31"/>
        <v>1.176698196028637E-4</v>
      </c>
      <c r="K92" s="68">
        <f t="shared" si="31"/>
        <v>2.2869505628845098E-4</v>
      </c>
      <c r="L92" s="68">
        <f t="shared" si="31"/>
        <v>4.1743215729419354E-4</v>
      </c>
      <c r="M92" s="68">
        <f t="shared" si="31"/>
        <v>6.4685598831941144E-4</v>
      </c>
      <c r="N92" s="111">
        <f t="shared" si="31"/>
        <v>9.2157019618605875E-4</v>
      </c>
      <c r="O92" s="110">
        <f t="shared" si="31"/>
        <v>1.2704714259373709E-3</v>
      </c>
      <c r="P92" s="68">
        <f t="shared" si="31"/>
        <v>1.7458359774684491E-3</v>
      </c>
      <c r="Q92" s="68">
        <f t="shared" si="31"/>
        <v>2.4233585143045248E-3</v>
      </c>
      <c r="R92" s="68">
        <f t="shared" si="31"/>
        <v>3.3400374336460675E-3</v>
      </c>
      <c r="S92" s="111">
        <f t="shared" si="31"/>
        <v>4.5257928839886477E-3</v>
      </c>
      <c r="T92" s="111">
        <f t="shared" si="31"/>
        <v>6.0314744528670175E-3</v>
      </c>
      <c r="U92" s="111">
        <f t="shared" si="31"/>
        <v>7.8359624993078261E-3</v>
      </c>
      <c r="V92" s="111">
        <f t="shared" si="31"/>
        <v>9.891053275775637E-3</v>
      </c>
      <c r="W92" s="111">
        <f t="shared" si="31"/>
        <v>1.214834697074533E-2</v>
      </c>
      <c r="X92" s="116">
        <f t="shared" si="31"/>
        <v>1.4562556297136386E-2</v>
      </c>
      <c r="Y92" s="116">
        <f t="shared" si="31"/>
        <v>1.7137314100411794E-2</v>
      </c>
      <c r="Z92" s="116">
        <f t="shared" si="31"/>
        <v>1.9839073333994629E-2</v>
      </c>
      <c r="AA92" s="116">
        <f t="shared" si="31"/>
        <v>2.2640231663956307E-2</v>
      </c>
      <c r="AB92" s="116">
        <f t="shared" si="31"/>
        <v>2.5527725316807658E-2</v>
      </c>
      <c r="AC92" s="116">
        <f t="shared" si="31"/>
        <v>2.8495952610323436E-2</v>
      </c>
      <c r="AD92" s="116">
        <f t="shared" si="31"/>
        <v>3.1495912505328738E-2</v>
      </c>
      <c r="AE92" s="116">
        <f t="shared" si="31"/>
        <v>3.4532319816992896E-2</v>
      </c>
      <c r="AF92" s="116">
        <f t="shared" si="31"/>
        <v>3.7601237829333313E-2</v>
      </c>
      <c r="AG92" s="116">
        <f t="shared" si="31"/>
        <v>4.0704259789539052E-2</v>
      </c>
      <c r="AH92" s="116">
        <f t="shared" si="31"/>
        <v>4.4442653338936516E-2</v>
      </c>
      <c r="AI92" s="116">
        <f t="shared" si="31"/>
        <v>4.820781103931792E-2</v>
      </c>
      <c r="AJ92" s="116">
        <f t="shared" si="31"/>
        <v>5.1998294461366383E-2</v>
      </c>
      <c r="AK92" s="116">
        <f t="shared" si="31"/>
        <v>5.5807274720623121E-2</v>
      </c>
      <c r="AL92" s="116">
        <f t="shared" si="31"/>
        <v>5.9636217628229758E-2</v>
      </c>
      <c r="AM92" s="116">
        <f t="shared" si="31"/>
        <v>6.3428663703063978E-2</v>
      </c>
    </row>
    <row r="93" spans="2:39" x14ac:dyDescent="0.25">
      <c r="B93" s="230"/>
      <c r="C93" s="35" t="s">
        <v>28</v>
      </c>
      <c r="D93" s="54" t="s">
        <v>444</v>
      </c>
      <c r="E93" s="111">
        <f t="shared" si="31"/>
        <v>5.1448795922808401E-7</v>
      </c>
      <c r="F93" s="111">
        <f t="shared" si="31"/>
        <v>3.1721820843150114E-5</v>
      </c>
      <c r="G93" s="111">
        <f t="shared" si="31"/>
        <v>6.5583346400287508E-5</v>
      </c>
      <c r="H93" s="111">
        <f t="shared" si="31"/>
        <v>8.6245987253048313E-5</v>
      </c>
      <c r="I93" s="111">
        <f t="shared" si="31"/>
        <v>1.1723353636972046E-4</v>
      </c>
      <c r="J93" s="110">
        <f t="shared" si="31"/>
        <v>1.6080388869824664E-4</v>
      </c>
      <c r="K93" s="68">
        <f t="shared" si="31"/>
        <v>2.5602322005996865E-4</v>
      </c>
      <c r="L93" s="68">
        <f t="shared" si="31"/>
        <v>4.0710305798364059E-4</v>
      </c>
      <c r="M93" s="68">
        <f t="shared" si="31"/>
        <v>5.8752348999412205E-4</v>
      </c>
      <c r="N93" s="111">
        <f t="shared" si="31"/>
        <v>8.0047632773710194E-4</v>
      </c>
      <c r="O93" s="110">
        <f t="shared" si="31"/>
        <v>1.0666480710769884E-3</v>
      </c>
      <c r="P93" s="68">
        <f t="shared" si="31"/>
        <v>1.4251989488093992E-3</v>
      </c>
      <c r="Q93" s="68">
        <f t="shared" si="31"/>
        <v>1.9311429241647751E-3</v>
      </c>
      <c r="R93" s="68">
        <f t="shared" si="31"/>
        <v>2.6075700206927444E-3</v>
      </c>
      <c r="S93" s="111">
        <f t="shared" si="31"/>
        <v>3.4715420427329099E-3</v>
      </c>
      <c r="T93" s="111">
        <f t="shared" si="31"/>
        <v>4.5565305004775453E-3</v>
      </c>
      <c r="U93" s="111">
        <f t="shared" si="31"/>
        <v>5.8394265263681444E-3</v>
      </c>
      <c r="V93" s="111">
        <f t="shared" si="31"/>
        <v>7.2800341956876921E-3</v>
      </c>
      <c r="W93" s="111">
        <f t="shared" si="31"/>
        <v>8.8383220110929313E-3</v>
      </c>
      <c r="X93" s="116">
        <f t="shared" si="31"/>
        <v>1.0478228582003101E-2</v>
      </c>
      <c r="Y93" s="116">
        <f t="shared" si="31"/>
        <v>1.2200247457014842E-2</v>
      </c>
      <c r="Z93" s="116">
        <f t="shared" si="31"/>
        <v>1.397751245861115E-2</v>
      </c>
      <c r="AA93" s="116">
        <f t="shared" si="31"/>
        <v>1.5788448487288807E-2</v>
      </c>
      <c r="AB93" s="116">
        <f t="shared" si="31"/>
        <v>1.7622568795723978E-2</v>
      </c>
      <c r="AC93" s="116">
        <f t="shared" si="31"/>
        <v>1.9474223150604056E-2</v>
      </c>
      <c r="AD93" s="116">
        <f t="shared" si="31"/>
        <v>2.1315411795227331E-2</v>
      </c>
      <c r="AE93" s="116">
        <f t="shared" si="31"/>
        <v>2.3148864249956377E-2</v>
      </c>
      <c r="AF93" s="116">
        <f t="shared" si="31"/>
        <v>2.4970857324130669E-2</v>
      </c>
      <c r="AG93" s="116">
        <f t="shared" si="31"/>
        <v>2.6781842257113126E-2</v>
      </c>
      <c r="AH93" s="116">
        <f t="shared" si="31"/>
        <v>2.8841682562039912E-2</v>
      </c>
      <c r="AI93" s="116">
        <f t="shared" si="31"/>
        <v>3.0879171136618436E-2</v>
      </c>
      <c r="AJ93" s="116">
        <f t="shared" si="31"/>
        <v>3.2892052359159929E-2</v>
      </c>
      <c r="AK93" s="116">
        <f t="shared" si="31"/>
        <v>3.4875263179410927E-2</v>
      </c>
      <c r="AL93" s="116">
        <f t="shared" si="31"/>
        <v>3.6828916571384304E-2</v>
      </c>
      <c r="AM93" s="116">
        <f t="shared" si="31"/>
        <v>3.8720078618568722E-2</v>
      </c>
    </row>
    <row r="94" spans="2:39" x14ac:dyDescent="0.25">
      <c r="B94" s="230"/>
      <c r="C94" s="35" t="s">
        <v>29</v>
      </c>
      <c r="D94" s="54" t="s">
        <v>445</v>
      </c>
      <c r="E94" s="111">
        <f t="shared" si="31"/>
        <v>2.1062929920576682E-6</v>
      </c>
      <c r="F94" s="111">
        <f t="shared" si="31"/>
        <v>9.8316014329119094E-5</v>
      </c>
      <c r="G94" s="111">
        <f t="shared" si="31"/>
        <v>2.2614637509884065E-4</v>
      </c>
      <c r="H94" s="111">
        <f t="shared" si="31"/>
        <v>2.9670614030494799E-4</v>
      </c>
      <c r="I94" s="111">
        <f t="shared" si="31"/>
        <v>3.8450844762819545E-4</v>
      </c>
      <c r="J94" s="110">
        <f t="shared" si="31"/>
        <v>4.8845178995427516E-4</v>
      </c>
      <c r="K94" s="68">
        <f t="shared" si="31"/>
        <v>6.3623359528975178E-4</v>
      </c>
      <c r="L94" s="68">
        <f t="shared" si="31"/>
        <v>8.333522677018688E-4</v>
      </c>
      <c r="M94" s="68">
        <f t="shared" si="31"/>
        <v>1.0579567386899205E-3</v>
      </c>
      <c r="N94" s="111">
        <f t="shared" si="31"/>
        <v>1.3129469088110236E-3</v>
      </c>
      <c r="O94" s="110">
        <f t="shared" si="31"/>
        <v>1.6178992657877452E-3</v>
      </c>
      <c r="P94" s="68">
        <f t="shared" si="31"/>
        <v>2.016190839328507E-3</v>
      </c>
      <c r="Q94" s="68">
        <f t="shared" si="31"/>
        <v>2.5630229408025364E-3</v>
      </c>
      <c r="R94" s="68">
        <f t="shared" si="31"/>
        <v>3.2695475583434212E-3</v>
      </c>
      <c r="S94" s="111">
        <f t="shared" si="31"/>
        <v>4.1388473903874205E-3</v>
      </c>
      <c r="T94" s="111">
        <f t="shared" si="31"/>
        <v>5.1947699103855553E-3</v>
      </c>
      <c r="U94" s="111">
        <f t="shared" si="31"/>
        <v>6.3925162562880437E-3</v>
      </c>
      <c r="V94" s="111">
        <f t="shared" si="31"/>
        <v>7.6792059948673028E-3</v>
      </c>
      <c r="W94" s="111">
        <f t="shared" si="31"/>
        <v>9.0042178086629839E-3</v>
      </c>
      <c r="X94" s="116">
        <f t="shared" si="31"/>
        <v>1.0326710382408811E-2</v>
      </c>
      <c r="Y94" s="116">
        <f t="shared" si="31"/>
        <v>1.1645043849065699E-2</v>
      </c>
      <c r="Z94" s="116">
        <f t="shared" si="31"/>
        <v>1.2930504663444807E-2</v>
      </c>
      <c r="AA94" s="116">
        <f t="shared" si="31"/>
        <v>1.4162616709885143E-2</v>
      </c>
      <c r="AB94" s="116">
        <f t="shared" si="31"/>
        <v>1.5333133181862161E-2</v>
      </c>
      <c r="AC94" s="116">
        <f t="shared" si="31"/>
        <v>1.6437369372244479E-2</v>
      </c>
      <c r="AD94" s="116">
        <f t="shared" si="31"/>
        <v>1.7467868956234221E-2</v>
      </c>
      <c r="AE94" s="116">
        <f t="shared" si="31"/>
        <v>1.8428648660973507E-2</v>
      </c>
      <c r="AF94" s="116">
        <f t="shared" si="31"/>
        <v>1.9317609229465897E-2</v>
      </c>
      <c r="AG94" s="116">
        <f t="shared" si="31"/>
        <v>2.0136635453785107E-2</v>
      </c>
      <c r="AH94" s="116">
        <f t="shared" si="31"/>
        <v>2.0833144997648614E-2</v>
      </c>
      <c r="AI94" s="116">
        <f t="shared" si="31"/>
        <v>2.1452607901235165E-2</v>
      </c>
      <c r="AJ94" s="116">
        <f t="shared" si="31"/>
        <v>2.1994293801012529E-2</v>
      </c>
      <c r="AK94" s="116">
        <f t="shared" si="31"/>
        <v>2.2456904515372408E-2</v>
      </c>
      <c r="AL94" s="116">
        <f t="shared" si="31"/>
        <v>2.2841933655636061E-2</v>
      </c>
      <c r="AM94" s="116">
        <f t="shared" si="31"/>
        <v>2.313835436320642E-2</v>
      </c>
    </row>
    <row r="95" spans="2:39" x14ac:dyDescent="0.25">
      <c r="B95" s="230"/>
      <c r="C95" s="35" t="s">
        <v>30</v>
      </c>
      <c r="D95" s="54" t="s">
        <v>446</v>
      </c>
      <c r="E95" s="111">
        <f t="shared" si="31"/>
        <v>4.9480620659729355E-5</v>
      </c>
      <c r="F95" s="111">
        <f t="shared" si="31"/>
        <v>2.2260971250883739E-3</v>
      </c>
      <c r="G95" s="111">
        <f t="shared" si="31"/>
        <v>5.2011559889835668E-3</v>
      </c>
      <c r="H95" s="111">
        <f t="shared" si="31"/>
        <v>6.8209446700699802E-3</v>
      </c>
      <c r="I95" s="111">
        <f t="shared" si="31"/>
        <v>8.7804801029751165E-3</v>
      </c>
      <c r="J95" s="110">
        <f t="shared" si="31"/>
        <v>1.1029993085514271E-2</v>
      </c>
      <c r="K95" s="68">
        <f t="shared" si="31"/>
        <v>1.3926834328064882E-2</v>
      </c>
      <c r="L95" s="68">
        <f t="shared" si="31"/>
        <v>1.7615798275666776E-2</v>
      </c>
      <c r="M95" s="68">
        <f t="shared" si="31"/>
        <v>2.1771141044213918E-2</v>
      </c>
      <c r="N95" s="111">
        <f t="shared" si="31"/>
        <v>2.6445720894032555E-2</v>
      </c>
      <c r="O95" s="110">
        <f t="shared" si="31"/>
        <v>3.1981139702879136E-2</v>
      </c>
      <c r="P95" s="68">
        <f t="shared" si="31"/>
        <v>3.9168582932660512E-2</v>
      </c>
      <c r="Q95" s="68">
        <f t="shared" si="31"/>
        <v>4.8989561644018527E-2</v>
      </c>
      <c r="R95" s="68">
        <f t="shared" si="31"/>
        <v>6.1598048806119479E-2</v>
      </c>
      <c r="S95" s="111">
        <f t="shared" si="31"/>
        <v>7.7006133965861576E-2</v>
      </c>
      <c r="T95" s="111">
        <f t="shared" si="31"/>
        <v>9.5616639629652139E-2</v>
      </c>
      <c r="U95" s="111">
        <f t="shared" si="31"/>
        <v>0.11658696248152108</v>
      </c>
      <c r="V95" s="111">
        <f t="shared" si="31"/>
        <v>0.1389733914033037</v>
      </c>
      <c r="W95" s="111">
        <f t="shared" si="31"/>
        <v>0.16189187241695555</v>
      </c>
      <c r="X95" s="116">
        <f t="shared" si="31"/>
        <v>0.18465663066139176</v>
      </c>
      <c r="Y95" s="116">
        <f t="shared" si="31"/>
        <v>0.20727960894515526</v>
      </c>
      <c r="Z95" s="116">
        <f t="shared" si="31"/>
        <v>0.22930703691322102</v>
      </c>
      <c r="AA95" s="116">
        <f t="shared" si="31"/>
        <v>0.25043862000720118</v>
      </c>
      <c r="AB95" s="116">
        <f t="shared" si="31"/>
        <v>0.27058763373385136</v>
      </c>
      <c r="AC95" s="116">
        <f t="shared" si="31"/>
        <v>0.28972982186632723</v>
      </c>
      <c r="AD95" s="116">
        <f t="shared" si="31"/>
        <v>0.307764656215678</v>
      </c>
      <c r="AE95" s="116">
        <f t="shared" si="31"/>
        <v>0.3247967612889282</v>
      </c>
      <c r="AF95" s="116">
        <f t="shared" si="31"/>
        <v>0.34083032991790546</v>
      </c>
      <c r="AG95" s="116">
        <f t="shared" si="31"/>
        <v>0.35593170055716133</v>
      </c>
      <c r="AH95" s="116">
        <f t="shared" si="31"/>
        <v>0.37036877162391613</v>
      </c>
      <c r="AI95" s="116">
        <f t="shared" si="31"/>
        <v>0.38392959625400042</v>
      </c>
      <c r="AJ95" s="116">
        <f t="shared" si="31"/>
        <v>0.39663907990014741</v>
      </c>
      <c r="AK95" s="116">
        <f t="shared" si="31"/>
        <v>0.40850561143379593</v>
      </c>
      <c r="AL95" s="116">
        <f t="shared" si="31"/>
        <v>0.41958143121538022</v>
      </c>
      <c r="AM95" s="116">
        <f t="shared" si="31"/>
        <v>0.42968148078489682</v>
      </c>
    </row>
    <row r="96" spans="2:39" x14ac:dyDescent="0.25">
      <c r="B96" s="230"/>
      <c r="C96" s="35" t="s">
        <v>31</v>
      </c>
      <c r="D96" s="54" t="s">
        <v>447</v>
      </c>
      <c r="E96" s="111">
        <f t="shared" si="31"/>
        <v>1.950220135801834E-5</v>
      </c>
      <c r="F96" s="111">
        <f t="shared" si="31"/>
        <v>8.7060420734028207E-4</v>
      </c>
      <c r="G96" s="111">
        <f t="shared" si="31"/>
        <v>2.0408537726659261E-3</v>
      </c>
      <c r="H96" s="111">
        <f t="shared" si="31"/>
        <v>2.676268542226305E-3</v>
      </c>
      <c r="I96" s="111">
        <f t="shared" si="31"/>
        <v>3.4401903525302421E-3</v>
      </c>
      <c r="J96" s="110">
        <f t="shared" si="31"/>
        <v>4.3107167698634621E-3</v>
      </c>
      <c r="K96" s="68">
        <f t="shared" si="31"/>
        <v>5.3993708412439449E-3</v>
      </c>
      <c r="L96" s="68">
        <f t="shared" si="31"/>
        <v>6.7601772822900351E-3</v>
      </c>
      <c r="M96" s="68">
        <f t="shared" si="31"/>
        <v>8.2840444300011102E-3</v>
      </c>
      <c r="N96" s="111">
        <f t="shared" si="31"/>
        <v>9.9895099351465112E-3</v>
      </c>
      <c r="O96" s="110">
        <f t="shared" si="31"/>
        <v>1.1996606983860091E-2</v>
      </c>
      <c r="P96" s="68">
        <f t="shared" si="31"/>
        <v>1.4591077946677494E-2</v>
      </c>
      <c r="Q96" s="68">
        <f t="shared" si="31"/>
        <v>1.8121723564728062E-2</v>
      </c>
      <c r="R96" s="68">
        <f t="shared" si="31"/>
        <v>2.2630332087864944E-2</v>
      </c>
      <c r="S96" s="111">
        <f t="shared" si="31"/>
        <v>2.8106478922823697E-2</v>
      </c>
      <c r="T96" s="111">
        <f t="shared" si="31"/>
        <v>3.4683482683586564E-2</v>
      </c>
      <c r="U96" s="111">
        <f t="shared" si="31"/>
        <v>4.2040113593179676E-2</v>
      </c>
      <c r="V96" s="111">
        <f t="shared" si="31"/>
        <v>4.982940460437902E-2</v>
      </c>
      <c r="W96" s="111">
        <f t="shared" si="31"/>
        <v>5.7728433640340887E-2</v>
      </c>
      <c r="X96" s="116">
        <f t="shared" si="31"/>
        <v>6.5491210694296476E-2</v>
      </c>
      <c r="Y96" s="116">
        <f t="shared" si="31"/>
        <v>7.3122111868868578E-2</v>
      </c>
      <c r="Z96" s="116">
        <f t="shared" si="31"/>
        <v>8.0461182089126615E-2</v>
      </c>
      <c r="AA96" s="116">
        <f t="shared" si="31"/>
        <v>8.7406112113463871E-2</v>
      </c>
      <c r="AB96" s="116">
        <f t="shared" si="31"/>
        <v>9.3931406514527596E-2</v>
      </c>
      <c r="AC96" s="116">
        <f t="shared" si="31"/>
        <v>0.10003267360240797</v>
      </c>
      <c r="AD96" s="116">
        <f t="shared" si="31"/>
        <v>0.10569466466572294</v>
      </c>
      <c r="AE96" s="116">
        <f t="shared" si="31"/>
        <v>0.11095776688621284</v>
      </c>
      <c r="AF96" s="116">
        <f t="shared" si="31"/>
        <v>0.11582750446614537</v>
      </c>
      <c r="AG96" s="116">
        <f t="shared" si="31"/>
        <v>0.12033087360283255</v>
      </c>
      <c r="AH96" s="116">
        <f t="shared" si="31"/>
        <v>0.12435349854228921</v>
      </c>
      <c r="AI96" s="116">
        <f t="shared" si="31"/>
        <v>0.12804566227503089</v>
      </c>
      <c r="AJ96" s="116">
        <f t="shared" si="31"/>
        <v>0.13142029413598319</v>
      </c>
      <c r="AK96" s="116">
        <f t="shared" si="31"/>
        <v>0.13448612010304908</v>
      </c>
      <c r="AL96" s="116">
        <f t="shared" si="31"/>
        <v>0.13726493608306783</v>
      </c>
      <c r="AM96" s="116">
        <f t="shared" si="31"/>
        <v>0.13971200484409163</v>
      </c>
    </row>
    <row r="97" spans="2:40" x14ac:dyDescent="0.25">
      <c r="B97" s="230"/>
      <c r="C97" s="35" t="s">
        <v>32</v>
      </c>
      <c r="D97" s="54" t="s">
        <v>448</v>
      </c>
      <c r="E97" s="111">
        <f t="shared" si="31"/>
        <v>2.6587632861321598E-7</v>
      </c>
      <c r="F97" s="111">
        <f t="shared" si="31"/>
        <v>3.9079472499349144E-6</v>
      </c>
      <c r="G97" s="111">
        <f t="shared" si="31"/>
        <v>1.8701453141557263E-5</v>
      </c>
      <c r="H97" s="111">
        <f t="shared" si="31"/>
        <v>2.2973032985999876E-5</v>
      </c>
      <c r="I97" s="111">
        <f t="shared" si="31"/>
        <v>2.5225315394533298E-5</v>
      </c>
      <c r="J97" s="110">
        <f t="shared" si="31"/>
        <v>2.8014760934544385E-5</v>
      </c>
      <c r="K97" s="68">
        <f t="shared" si="31"/>
        <v>3.1798410511893592E-5</v>
      </c>
      <c r="L97" s="68">
        <f t="shared" si="31"/>
        <v>3.6802061623510552E-5</v>
      </c>
      <c r="M97" s="68">
        <f t="shared" si="31"/>
        <v>4.2592932763035588E-5</v>
      </c>
      <c r="N97" s="111">
        <f t="shared" si="31"/>
        <v>4.923724010769477E-5</v>
      </c>
      <c r="O97" s="110">
        <f t="shared" si="31"/>
        <v>5.7256100275265774E-5</v>
      </c>
      <c r="P97" s="68">
        <f t="shared" si="31"/>
        <v>6.7847707461169023E-5</v>
      </c>
      <c r="Q97" s="68">
        <f t="shared" si="31"/>
        <v>8.2510199931270833E-5</v>
      </c>
      <c r="R97" s="68">
        <f t="shared" si="31"/>
        <v>1.0149021315373681E-4</v>
      </c>
      <c r="S97" s="111">
        <f t="shared" si="31"/>
        <v>1.2481154248266153E-4</v>
      </c>
      <c r="T97" s="111">
        <f t="shared" si="31"/>
        <v>1.5308291707456412E-4</v>
      </c>
      <c r="U97" s="111">
        <f t="shared" si="31"/>
        <v>1.850299188676917E-4</v>
      </c>
      <c r="V97" s="111">
        <f t="shared" si="31"/>
        <v>2.192148126030838E-4</v>
      </c>
      <c r="W97" s="111">
        <f t="shared" si="31"/>
        <v>2.5429080149170401E-4</v>
      </c>
      <c r="X97" s="116">
        <f t="shared" si="31"/>
        <v>2.8921217344285552E-4</v>
      </c>
      <c r="Y97" s="116">
        <f t="shared" si="31"/>
        <v>3.2399675879357144E-4</v>
      </c>
      <c r="Z97" s="116">
        <f t="shared" si="31"/>
        <v>3.579555969883796E-4</v>
      </c>
      <c r="AA97" s="116">
        <f t="shared" si="31"/>
        <v>3.9063245103186E-4</v>
      </c>
      <c r="AB97" s="116">
        <f t="shared" si="31"/>
        <v>4.2189588312279395E-4</v>
      </c>
      <c r="AC97" s="116">
        <f t="shared" si="31"/>
        <v>4.5171104512809515E-4</v>
      </c>
      <c r="AD97" s="116">
        <f t="shared" si="31"/>
        <v>4.7990777402933771E-4</v>
      </c>
      <c r="AE97" s="116">
        <f t="shared" si="31"/>
        <v>5.06646017245647E-4</v>
      </c>
      <c r="AF97" s="116">
        <f t="shared" si="31"/>
        <v>5.3193284711613022E-4</v>
      </c>
      <c r="AG97" s="116">
        <f t="shared" si="31"/>
        <v>5.55869685616077E-4</v>
      </c>
      <c r="AH97" s="116">
        <f t="shared" si="31"/>
        <v>5.7921143079245861E-4</v>
      </c>
      <c r="AI97" s="116">
        <f t="shared" si="31"/>
        <v>6.0129320047099455E-4</v>
      </c>
      <c r="AJ97" s="116">
        <f t="shared" si="31"/>
        <v>6.221531118392222E-4</v>
      </c>
      <c r="AK97" s="116">
        <f t="shared" si="31"/>
        <v>6.4180167398606325E-4</v>
      </c>
      <c r="AL97" s="116">
        <f t="shared" si="31"/>
        <v>6.6031803124147416E-4</v>
      </c>
      <c r="AM97" s="116">
        <f t="shared" si="31"/>
        <v>6.7740015256080805E-4</v>
      </c>
    </row>
    <row r="98" spans="2:40" x14ac:dyDescent="0.25">
      <c r="B98" s="230"/>
      <c r="C98" s="35" t="s">
        <v>33</v>
      </c>
      <c r="D98" s="54" t="s">
        <v>449</v>
      </c>
      <c r="E98" s="111">
        <f t="shared" si="31"/>
        <v>3.2664806093016185E-6</v>
      </c>
      <c r="F98" s="111">
        <f t="shared" si="31"/>
        <v>1.3867279802610695E-4</v>
      </c>
      <c r="G98" s="111">
        <f t="shared" si="31"/>
        <v>3.3230569886623878E-4</v>
      </c>
      <c r="H98" s="111">
        <f t="shared" si="31"/>
        <v>4.3548761195645315E-4</v>
      </c>
      <c r="I98" s="111">
        <f t="shared" si="31"/>
        <v>5.5462242459494162E-4</v>
      </c>
      <c r="J98" s="110">
        <f t="shared" si="31"/>
        <v>6.8405347037058569E-4</v>
      </c>
      <c r="K98" s="68">
        <f t="shared" si="31"/>
        <v>8.1801024771820878E-4</v>
      </c>
      <c r="L98" s="68">
        <f t="shared" si="31"/>
        <v>9.6694788636146601E-4</v>
      </c>
      <c r="M98" s="68">
        <f t="shared" si="31"/>
        <v>1.1281827115009148E-3</v>
      </c>
      <c r="N98" s="111">
        <f t="shared" si="31"/>
        <v>1.3034871599244288E-3</v>
      </c>
      <c r="O98" s="110">
        <f t="shared" ref="O98:AM106" si="32">O56/O$48</f>
        <v>1.5029314920111793E-3</v>
      </c>
      <c r="P98" s="68">
        <f t="shared" si="32"/>
        <v>1.7550894469874623E-3</v>
      </c>
      <c r="Q98" s="68">
        <f t="shared" si="32"/>
        <v>2.0915904998935956E-3</v>
      </c>
      <c r="R98" s="68">
        <f t="shared" si="32"/>
        <v>2.5097462048322694E-3</v>
      </c>
      <c r="S98" s="111">
        <f t="shared" si="32"/>
        <v>3.0018221084203421E-3</v>
      </c>
      <c r="T98" s="111">
        <f t="shared" si="32"/>
        <v>3.5758773721608263E-3</v>
      </c>
      <c r="U98" s="111">
        <f t="shared" si="32"/>
        <v>4.1939514422009638E-3</v>
      </c>
      <c r="V98" s="111">
        <f t="shared" si="32"/>
        <v>4.8213136469699835E-3</v>
      </c>
      <c r="W98" s="111">
        <f t="shared" si="32"/>
        <v>5.4273642801495187E-3</v>
      </c>
      <c r="X98" s="116">
        <f t="shared" si="32"/>
        <v>5.9916483616262407E-3</v>
      </c>
      <c r="Y98" s="116">
        <f t="shared" si="32"/>
        <v>6.5168952236136189E-3</v>
      </c>
      <c r="Z98" s="116">
        <f t="shared" si="32"/>
        <v>6.9920420299197867E-3</v>
      </c>
      <c r="AA98" s="116">
        <f t="shared" si="32"/>
        <v>7.4122704540725446E-3</v>
      </c>
      <c r="AB98" s="116">
        <f t="shared" si="32"/>
        <v>7.7795008776463401E-3</v>
      </c>
      <c r="AC98" s="116">
        <f t="shared" si="32"/>
        <v>8.096937820941506E-3</v>
      </c>
      <c r="AD98" s="116">
        <f t="shared" si="32"/>
        <v>8.3702477092465581E-3</v>
      </c>
      <c r="AE98" s="116">
        <f t="shared" si="32"/>
        <v>8.6049320637743097E-3</v>
      </c>
      <c r="AF98" s="116">
        <f t="shared" si="32"/>
        <v>8.8038156646867757E-3</v>
      </c>
      <c r="AG98" s="116">
        <f t="shared" si="32"/>
        <v>8.970982161657615E-3</v>
      </c>
      <c r="AH98" s="116">
        <f t="shared" si="32"/>
        <v>9.0722576698110749E-3</v>
      </c>
      <c r="AI98" s="116">
        <f t="shared" si="32"/>
        <v>9.1522750029605533E-3</v>
      </c>
      <c r="AJ98" s="116">
        <f t="shared" si="32"/>
        <v>9.213416252303987E-3</v>
      </c>
      <c r="AK98" s="116">
        <f t="shared" si="32"/>
        <v>9.2578495942707388E-3</v>
      </c>
      <c r="AL98" s="116">
        <f t="shared" si="32"/>
        <v>9.2879799263116732E-3</v>
      </c>
      <c r="AM98" s="116">
        <f t="shared" si="32"/>
        <v>9.3045205807935523E-3</v>
      </c>
    </row>
    <row r="99" spans="2:40" x14ac:dyDescent="0.25">
      <c r="B99" s="230"/>
      <c r="C99" s="64" t="s">
        <v>46</v>
      </c>
      <c r="D99" s="52" t="s">
        <v>424</v>
      </c>
      <c r="E99" s="128">
        <f t="shared" ref="E99:AM106" si="33">E57/E$48</f>
        <v>0.9999246395525615</v>
      </c>
      <c r="F99" s="128">
        <f t="shared" si="33"/>
        <v>0.9966080432880704</v>
      </c>
      <c r="G99" s="128">
        <f t="shared" si="33"/>
        <v>0.9920748137458606</v>
      </c>
      <c r="H99" s="128">
        <f t="shared" si="33"/>
        <v>0.98960802629993905</v>
      </c>
      <c r="I99" s="128">
        <f t="shared" si="33"/>
        <v>0.98661997346064945</v>
      </c>
      <c r="J99" s="127">
        <f t="shared" si="33"/>
        <v>0.98318029640766547</v>
      </c>
      <c r="K99" s="71">
        <f t="shared" si="33"/>
        <v>0.97870303427895222</v>
      </c>
      <c r="L99" s="71">
        <f t="shared" si="33"/>
        <v>0.9729623870267684</v>
      </c>
      <c r="M99" s="71">
        <f t="shared" si="33"/>
        <v>0.96648170258576349</v>
      </c>
      <c r="N99" s="128">
        <f t="shared" si="33"/>
        <v>0.95917705122336239</v>
      </c>
      <c r="O99" s="127">
        <f t="shared" si="33"/>
        <v>0.95050704693063004</v>
      </c>
      <c r="P99" s="71">
        <f t="shared" si="33"/>
        <v>0.93923017608380577</v>
      </c>
      <c r="Q99" s="71">
        <f t="shared" si="33"/>
        <v>0.92379708949083783</v>
      </c>
      <c r="R99" s="71">
        <f t="shared" si="33"/>
        <v>0.90394322779764358</v>
      </c>
      <c r="S99" s="128">
        <f t="shared" si="33"/>
        <v>0.8796245711328512</v>
      </c>
      <c r="T99" s="128">
        <f t="shared" si="32"/>
        <v>0.85018814251809616</v>
      </c>
      <c r="U99" s="128">
        <f t="shared" si="32"/>
        <v>0.81692603729793245</v>
      </c>
      <c r="V99" s="128">
        <f t="shared" si="32"/>
        <v>0.78130638190704904</v>
      </c>
      <c r="W99" s="128">
        <f t="shared" si="32"/>
        <v>0.74470715214642369</v>
      </c>
      <c r="X99" s="120">
        <f t="shared" si="33"/>
        <v>0.70820380298827235</v>
      </c>
      <c r="Y99" s="120">
        <f t="shared" si="32"/>
        <v>0.67177478179009287</v>
      </c>
      <c r="Z99" s="120">
        <f t="shared" si="32"/>
        <v>0.63613469305220549</v>
      </c>
      <c r="AA99" s="120">
        <f t="shared" si="32"/>
        <v>0.60176106795717854</v>
      </c>
      <c r="AB99" s="120">
        <f t="shared" si="32"/>
        <v>0.56879613563982756</v>
      </c>
      <c r="AC99" s="120">
        <f t="shared" si="33"/>
        <v>0.53728131044706962</v>
      </c>
      <c r="AD99" s="120">
        <f t="shared" si="32"/>
        <v>0.50741133025980145</v>
      </c>
      <c r="AE99" s="120">
        <f t="shared" si="32"/>
        <v>0.47902406094151023</v>
      </c>
      <c r="AF99" s="120">
        <f t="shared" si="32"/>
        <v>0.45211671249969582</v>
      </c>
      <c r="AG99" s="120">
        <f t="shared" si="32"/>
        <v>0.42658783654738702</v>
      </c>
      <c r="AH99" s="120">
        <f t="shared" si="33"/>
        <v>0.40150878001455642</v>
      </c>
      <c r="AI99" s="120">
        <f t="shared" si="32"/>
        <v>0.37773158305282239</v>
      </c>
      <c r="AJ99" s="120">
        <f t="shared" si="32"/>
        <v>0.35522041568286916</v>
      </c>
      <c r="AK99" s="120">
        <f t="shared" si="32"/>
        <v>0.33396917464454429</v>
      </c>
      <c r="AL99" s="120">
        <f t="shared" si="32"/>
        <v>0.31389826687368616</v>
      </c>
      <c r="AM99" s="120">
        <f t="shared" si="33"/>
        <v>0.29533749699668332</v>
      </c>
      <c r="AN99" s="232"/>
    </row>
    <row r="100" spans="2:40" x14ac:dyDescent="0.25">
      <c r="B100" s="230"/>
      <c r="C100" s="35" t="s">
        <v>27</v>
      </c>
      <c r="D100" s="54" t="s">
        <v>450</v>
      </c>
      <c r="E100" s="130">
        <f t="shared" si="33"/>
        <v>5.806258421252752E-4</v>
      </c>
      <c r="F100" s="130">
        <f t="shared" si="33"/>
        <v>5.6943960688192541E-3</v>
      </c>
      <c r="G100" s="130">
        <f t="shared" si="33"/>
        <v>6.247888489461049E-3</v>
      </c>
      <c r="H100" s="130">
        <f t="shared" si="33"/>
        <v>6.770008806319873E-3</v>
      </c>
      <c r="I100" s="130">
        <f t="shared" si="33"/>
        <v>7.8835211723239217E-3</v>
      </c>
      <c r="J100" s="129">
        <f t="shared" si="33"/>
        <v>8.813397844276415E-3</v>
      </c>
      <c r="K100" s="72">
        <f t="shared" si="33"/>
        <v>1.0493505492720217E-2</v>
      </c>
      <c r="L100" s="72">
        <f t="shared" si="33"/>
        <v>1.2513770032194086E-2</v>
      </c>
      <c r="M100" s="72">
        <f t="shared" si="33"/>
        <v>1.4413449010016243E-2</v>
      </c>
      <c r="N100" s="130">
        <f t="shared" si="33"/>
        <v>1.6171475889488827E-2</v>
      </c>
      <c r="O100" s="129">
        <f t="shared" si="33"/>
        <v>1.7760335019094048E-2</v>
      </c>
      <c r="P100" s="72">
        <f t="shared" si="33"/>
        <v>1.9155942115752587E-2</v>
      </c>
      <c r="Q100" s="72">
        <f t="shared" si="33"/>
        <v>2.0232466590631465E-2</v>
      </c>
      <c r="R100" s="72">
        <f t="shared" si="33"/>
        <v>2.0971503292512517E-2</v>
      </c>
      <c r="S100" s="130">
        <f t="shared" si="33"/>
        <v>2.1338045787861682E-2</v>
      </c>
      <c r="T100" s="130">
        <f t="shared" si="32"/>
        <v>2.131960117618846E-2</v>
      </c>
      <c r="U100" s="130">
        <f t="shared" si="32"/>
        <v>2.0959877684200993E-2</v>
      </c>
      <c r="V100" s="130">
        <f t="shared" si="32"/>
        <v>2.0345666599342609E-2</v>
      </c>
      <c r="W100" s="130">
        <f t="shared" si="32"/>
        <v>1.9569933156676253E-2</v>
      </c>
      <c r="X100" s="121">
        <f t="shared" si="33"/>
        <v>1.8712347433918058E-2</v>
      </c>
      <c r="Y100" s="121">
        <f t="shared" si="32"/>
        <v>1.7806852369385898E-2</v>
      </c>
      <c r="Z100" s="121">
        <f t="shared" si="32"/>
        <v>1.6893326484437775E-2</v>
      </c>
      <c r="AA100" s="121">
        <f t="shared" si="32"/>
        <v>1.5997334430379897E-2</v>
      </c>
      <c r="AB100" s="121">
        <f t="shared" si="32"/>
        <v>1.5130004267932092E-2</v>
      </c>
      <c r="AC100" s="121">
        <f t="shared" si="33"/>
        <v>1.4296507038986068E-2</v>
      </c>
      <c r="AD100" s="121">
        <f t="shared" si="32"/>
        <v>1.3504227226751401E-2</v>
      </c>
      <c r="AE100" s="121">
        <f t="shared" si="32"/>
        <v>1.2750063312605513E-2</v>
      </c>
      <c r="AF100" s="121">
        <f t="shared" si="32"/>
        <v>1.2034577794337586E-2</v>
      </c>
      <c r="AG100" s="121">
        <f t="shared" si="32"/>
        <v>1.1355410659146511E-2</v>
      </c>
      <c r="AH100" s="121">
        <f t="shared" si="33"/>
        <v>1.0688041493954832E-2</v>
      </c>
      <c r="AI100" s="121">
        <f t="shared" si="32"/>
        <v>1.0055212401158205E-2</v>
      </c>
      <c r="AJ100" s="121">
        <f t="shared" si="32"/>
        <v>9.4560244783559455E-3</v>
      </c>
      <c r="AK100" s="121">
        <f t="shared" si="32"/>
        <v>8.8903440098101402E-3</v>
      </c>
      <c r="AL100" s="121">
        <f t="shared" si="32"/>
        <v>8.3560675772150449E-3</v>
      </c>
      <c r="AM100" s="121">
        <f t="shared" si="33"/>
        <v>7.8619825392343152E-3</v>
      </c>
    </row>
    <row r="101" spans="2:40" x14ac:dyDescent="0.25">
      <c r="B101" s="230"/>
      <c r="C101" s="35" t="s">
        <v>28</v>
      </c>
      <c r="D101" s="54" t="s">
        <v>451</v>
      </c>
      <c r="E101" s="130">
        <f t="shared" si="33"/>
        <v>5.070879699542305E-2</v>
      </c>
      <c r="F101" s="130">
        <f t="shared" si="33"/>
        <v>0.11218637045805016</v>
      </c>
      <c r="G101" s="130">
        <f t="shared" si="33"/>
        <v>0.12361187616050512</v>
      </c>
      <c r="H101" s="130">
        <f t="shared" si="33"/>
        <v>0.12703625956075568</v>
      </c>
      <c r="I101" s="130">
        <f t="shared" si="33"/>
        <v>0.13042104706018756</v>
      </c>
      <c r="J101" s="129">
        <f t="shared" si="33"/>
        <v>0.1331101064632198</v>
      </c>
      <c r="K101" s="72">
        <f t="shared" si="33"/>
        <v>0.13606229072267967</v>
      </c>
      <c r="L101" s="72">
        <f t="shared" si="33"/>
        <v>0.13891380987993251</v>
      </c>
      <c r="M101" s="72">
        <f t="shared" si="33"/>
        <v>0.14122817274579927</v>
      </c>
      <c r="N101" s="130">
        <f t="shared" si="33"/>
        <v>0.14305453439813828</v>
      </c>
      <c r="O101" s="129">
        <f t="shared" si="33"/>
        <v>0.14429537828345793</v>
      </c>
      <c r="P101" s="72">
        <f t="shared" si="33"/>
        <v>0.14478020085948629</v>
      </c>
      <c r="Q101" s="72">
        <f t="shared" si="33"/>
        <v>0.1442139366936814</v>
      </c>
      <c r="R101" s="72">
        <f t="shared" si="33"/>
        <v>0.14251966560775897</v>
      </c>
      <c r="S101" s="130">
        <f t="shared" si="33"/>
        <v>0.13970949237611924</v>
      </c>
      <c r="T101" s="130">
        <f t="shared" si="32"/>
        <v>0.13575468895418075</v>
      </c>
      <c r="U101" s="130">
        <f t="shared" si="32"/>
        <v>0.13090651019316282</v>
      </c>
      <c r="V101" s="130">
        <f t="shared" si="32"/>
        <v>0.12547477322610381</v>
      </c>
      <c r="W101" s="130">
        <f t="shared" si="32"/>
        <v>0.11975196606094722</v>
      </c>
      <c r="X101" s="121">
        <f t="shared" si="33"/>
        <v>0.11396587961195379</v>
      </c>
      <c r="Y101" s="121">
        <f t="shared" si="32"/>
        <v>0.10814867490331706</v>
      </c>
      <c r="Z101" s="121">
        <f t="shared" si="32"/>
        <v>0.10243465884330527</v>
      </c>
      <c r="AA101" s="121">
        <f t="shared" si="32"/>
        <v>9.6911855669463143E-2</v>
      </c>
      <c r="AB101" s="121">
        <f t="shared" si="32"/>
        <v>9.1609266704799949E-2</v>
      </c>
      <c r="AC101" s="121">
        <f t="shared" si="33"/>
        <v>8.6536787362494608E-2</v>
      </c>
      <c r="AD101" s="121">
        <f t="shared" si="32"/>
        <v>8.1727443959703314E-2</v>
      </c>
      <c r="AE101" s="121">
        <f t="shared" si="32"/>
        <v>7.7156011779822162E-2</v>
      </c>
      <c r="AF101" s="121">
        <f t="shared" si="32"/>
        <v>7.2822488496622831E-2</v>
      </c>
      <c r="AG101" s="121">
        <f t="shared" si="32"/>
        <v>6.8710762882905244E-2</v>
      </c>
      <c r="AH101" s="121">
        <f t="shared" si="33"/>
        <v>6.4671378874318869E-2</v>
      </c>
      <c r="AI101" s="121">
        <f t="shared" si="32"/>
        <v>6.0841622569151536E-2</v>
      </c>
      <c r="AJ101" s="121">
        <f t="shared" si="32"/>
        <v>5.7215754520833273E-2</v>
      </c>
      <c r="AK101" s="121">
        <f t="shared" si="32"/>
        <v>5.3792807752057886E-2</v>
      </c>
      <c r="AL101" s="121">
        <f t="shared" si="32"/>
        <v>5.0559970434414868E-2</v>
      </c>
      <c r="AM101" s="121">
        <f t="shared" si="33"/>
        <v>4.7570368593726459E-2</v>
      </c>
    </row>
    <row r="102" spans="2:40" x14ac:dyDescent="0.25">
      <c r="B102" s="230"/>
      <c r="C102" s="35" t="s">
        <v>29</v>
      </c>
      <c r="D102" s="54" t="s">
        <v>452</v>
      </c>
      <c r="E102" s="130">
        <f t="shared" si="33"/>
        <v>0.1200243797595533</v>
      </c>
      <c r="F102" s="130">
        <f t="shared" si="33"/>
        <v>0.19495390158776829</v>
      </c>
      <c r="G102" s="130">
        <f t="shared" si="33"/>
        <v>0.20908884381688359</v>
      </c>
      <c r="H102" s="130">
        <f t="shared" si="33"/>
        <v>0.21314503952960812</v>
      </c>
      <c r="I102" s="130">
        <f t="shared" si="33"/>
        <v>0.2168188943221675</v>
      </c>
      <c r="J102" s="129">
        <f t="shared" si="33"/>
        <v>0.2197527003637354</v>
      </c>
      <c r="K102" s="72">
        <f t="shared" si="33"/>
        <v>0.22254060348934115</v>
      </c>
      <c r="L102" s="72">
        <f t="shared" si="33"/>
        <v>0.22492440045649839</v>
      </c>
      <c r="M102" s="72">
        <f t="shared" si="33"/>
        <v>0.22662219418467819</v>
      </c>
      <c r="N102" s="130">
        <f t="shared" si="33"/>
        <v>0.22771001507211519</v>
      </c>
      <c r="O102" s="129">
        <f t="shared" si="33"/>
        <v>0.22805211594393271</v>
      </c>
      <c r="P102" s="72">
        <f t="shared" si="33"/>
        <v>0.22737355758976335</v>
      </c>
      <c r="Q102" s="72">
        <f t="shared" si="33"/>
        <v>0.22527929406019134</v>
      </c>
      <c r="R102" s="72">
        <f t="shared" si="33"/>
        <v>0.22167345337508906</v>
      </c>
      <c r="S102" s="130">
        <f t="shared" si="33"/>
        <v>0.2165815585429966</v>
      </c>
      <c r="T102" s="130">
        <f t="shared" si="32"/>
        <v>0.20993085698426944</v>
      </c>
      <c r="U102" s="130">
        <f t="shared" si="32"/>
        <v>0.20209017681848032</v>
      </c>
      <c r="V102" s="130">
        <f t="shared" si="32"/>
        <v>0.19349357563042099</v>
      </c>
      <c r="W102" s="130">
        <f t="shared" si="32"/>
        <v>0.18454647781335543</v>
      </c>
      <c r="X102" s="121">
        <f t="shared" si="33"/>
        <v>0.17556123226080167</v>
      </c>
      <c r="Y102" s="121">
        <f t="shared" si="32"/>
        <v>0.16656204034684532</v>
      </c>
      <c r="Z102" s="121">
        <f t="shared" si="32"/>
        <v>0.15774123741663465</v>
      </c>
      <c r="AA102" s="121">
        <f t="shared" si="32"/>
        <v>0.14922558312242765</v>
      </c>
      <c r="AB102" s="121">
        <f t="shared" si="32"/>
        <v>0.14105479697318299</v>
      </c>
      <c r="AC102" s="121">
        <f t="shared" si="33"/>
        <v>0.13324140690886815</v>
      </c>
      <c r="AD102" s="121">
        <f t="shared" si="32"/>
        <v>0.12583482517695066</v>
      </c>
      <c r="AE102" s="121">
        <f t="shared" si="32"/>
        <v>0.11879541272945301</v>
      </c>
      <c r="AF102" s="121">
        <f t="shared" si="32"/>
        <v>0.11212275237990658</v>
      </c>
      <c r="AG102" s="121">
        <f t="shared" si="32"/>
        <v>0.10579182027983305</v>
      </c>
      <c r="AH102" s="121">
        <f t="shared" si="33"/>
        <v>9.9572377874732096E-2</v>
      </c>
      <c r="AI102" s="121">
        <f t="shared" si="32"/>
        <v>9.3675762462526235E-2</v>
      </c>
      <c r="AJ102" s="121">
        <f t="shared" si="32"/>
        <v>8.8093103171940884E-2</v>
      </c>
      <c r="AK102" s="121">
        <f t="shared" si="32"/>
        <v>8.2822893586701141E-2</v>
      </c>
      <c r="AL102" s="121">
        <f t="shared" si="32"/>
        <v>7.7845398578078873E-2</v>
      </c>
      <c r="AM102" s="121">
        <f t="shared" si="33"/>
        <v>7.3242409755899338E-2</v>
      </c>
    </row>
    <row r="103" spans="2:40" x14ac:dyDescent="0.25">
      <c r="B103" s="230"/>
      <c r="C103" s="35" t="s">
        <v>30</v>
      </c>
      <c r="D103" s="54" t="s">
        <v>453</v>
      </c>
      <c r="E103" s="130">
        <f t="shared" si="33"/>
        <v>0.16803384356708401</v>
      </c>
      <c r="F103" s="130">
        <f t="shared" si="33"/>
        <v>0.21830692546480068</v>
      </c>
      <c r="G103" s="130">
        <f t="shared" si="33"/>
        <v>0.22705376896131896</v>
      </c>
      <c r="H103" s="130">
        <f t="shared" si="33"/>
        <v>0.22942192516102092</v>
      </c>
      <c r="I103" s="130">
        <f t="shared" si="33"/>
        <v>0.2312379403064676</v>
      </c>
      <c r="J103" s="129">
        <f t="shared" si="33"/>
        <v>0.23289577991916702</v>
      </c>
      <c r="K103" s="72">
        <f t="shared" si="33"/>
        <v>0.23416122713252005</v>
      </c>
      <c r="L103" s="72">
        <f t="shared" si="33"/>
        <v>0.23492667928146241</v>
      </c>
      <c r="M103" s="72">
        <f t="shared" si="33"/>
        <v>0.23516018741876954</v>
      </c>
      <c r="N103" s="130">
        <f t="shared" si="33"/>
        <v>0.23491966048573432</v>
      </c>
      <c r="O103" s="129">
        <f t="shared" si="33"/>
        <v>0.23407406769943534</v>
      </c>
      <c r="P103" s="72">
        <f t="shared" si="33"/>
        <v>0.23233452357101603</v>
      </c>
      <c r="Q103" s="72">
        <f t="shared" si="33"/>
        <v>0.22933194108241017</v>
      </c>
      <c r="R103" s="72">
        <f t="shared" si="33"/>
        <v>0.22498393916439166</v>
      </c>
      <c r="S103" s="130">
        <f t="shared" si="33"/>
        <v>0.21931444541443162</v>
      </c>
      <c r="T103" s="130">
        <f t="shared" si="32"/>
        <v>0.21222244908135446</v>
      </c>
      <c r="U103" s="130">
        <f t="shared" si="32"/>
        <v>0.20406321770372582</v>
      </c>
      <c r="V103" s="130">
        <f t="shared" si="32"/>
        <v>0.19524156455589595</v>
      </c>
      <c r="W103" s="130">
        <f t="shared" si="32"/>
        <v>0.18613321760664567</v>
      </c>
      <c r="X103" s="121">
        <f t="shared" si="33"/>
        <v>0.17702638836181647</v>
      </c>
      <c r="Y103" s="121">
        <f t="shared" si="32"/>
        <v>0.16792791597556961</v>
      </c>
      <c r="Z103" s="121">
        <f t="shared" si="32"/>
        <v>0.1590218979216852</v>
      </c>
      <c r="AA103" s="121">
        <f t="shared" si="32"/>
        <v>0.15043033111073431</v>
      </c>
      <c r="AB103" s="121">
        <f t="shared" si="32"/>
        <v>0.14219004082823411</v>
      </c>
      <c r="AC103" s="121">
        <f t="shared" si="33"/>
        <v>0.13431192670156236</v>
      </c>
      <c r="AD103" s="121">
        <f t="shared" si="32"/>
        <v>0.12684489228843049</v>
      </c>
      <c r="AE103" s="121">
        <f t="shared" si="32"/>
        <v>0.11974848908253899</v>
      </c>
      <c r="AF103" s="121">
        <f t="shared" si="32"/>
        <v>0.11302204599460641</v>
      </c>
      <c r="AG103" s="121">
        <f t="shared" si="32"/>
        <v>0.1066402081449324</v>
      </c>
      <c r="AH103" s="121">
        <f t="shared" si="33"/>
        <v>0.10037081871777551</v>
      </c>
      <c r="AI103" s="121">
        <f t="shared" si="32"/>
        <v>9.4426883897684596E-2</v>
      </c>
      <c r="AJ103" s="121">
        <f t="shared" si="32"/>
        <v>8.8799442555976979E-2</v>
      </c>
      <c r="AK103" s="121">
        <f t="shared" si="32"/>
        <v>8.3486966462328782E-2</v>
      </c>
      <c r="AL103" s="121">
        <f t="shared" si="32"/>
        <v>7.8469557178185878E-2</v>
      </c>
      <c r="AM103" s="121">
        <f t="shared" si="33"/>
        <v>7.3829659514027174E-2</v>
      </c>
    </row>
    <row r="104" spans="2:40" x14ac:dyDescent="0.25">
      <c r="B104" s="230"/>
      <c r="C104" s="35" t="s">
        <v>31</v>
      </c>
      <c r="D104" s="54" t="s">
        <v>454</v>
      </c>
      <c r="E104" s="130">
        <f t="shared" si="33"/>
        <v>0.4362143910050581</v>
      </c>
      <c r="F104" s="130">
        <f t="shared" si="33"/>
        <v>0.31477633854507941</v>
      </c>
      <c r="G104" s="130">
        <f t="shared" si="33"/>
        <v>0.29024648401372249</v>
      </c>
      <c r="H104" s="130">
        <f t="shared" si="33"/>
        <v>0.28229876194503079</v>
      </c>
      <c r="I104" s="130">
        <f t="shared" si="33"/>
        <v>0.27437842844244964</v>
      </c>
      <c r="J104" s="129">
        <f t="shared" si="33"/>
        <v>0.26787870366411431</v>
      </c>
      <c r="K104" s="72">
        <f t="shared" si="33"/>
        <v>0.26046544217309392</v>
      </c>
      <c r="L104" s="72">
        <f t="shared" si="33"/>
        <v>0.25261197040107813</v>
      </c>
      <c r="M104" s="72">
        <f t="shared" si="33"/>
        <v>0.24531856787243247</v>
      </c>
      <c r="N104" s="130">
        <f t="shared" si="33"/>
        <v>0.23845345601199402</v>
      </c>
      <c r="O104" s="129">
        <f t="shared" si="33"/>
        <v>0.23190601465139712</v>
      </c>
      <c r="P104" s="72">
        <f t="shared" si="33"/>
        <v>0.2253430482771917</v>
      </c>
      <c r="Q104" s="72">
        <f t="shared" si="33"/>
        <v>0.21848861390934574</v>
      </c>
      <c r="R104" s="72">
        <f t="shared" si="33"/>
        <v>0.21133322213518116</v>
      </c>
      <c r="S104" s="130">
        <f t="shared" si="33"/>
        <v>0.20384150699694603</v>
      </c>
      <c r="T104" s="130">
        <f t="shared" si="32"/>
        <v>0.19574212415343362</v>
      </c>
      <c r="U104" s="130">
        <f t="shared" si="32"/>
        <v>0.18725848901852729</v>
      </c>
      <c r="V104" s="130">
        <f t="shared" si="32"/>
        <v>0.17859883360287299</v>
      </c>
      <c r="W104" s="130">
        <f t="shared" si="32"/>
        <v>0.16995346167075778</v>
      </c>
      <c r="X104" s="121">
        <f t="shared" si="33"/>
        <v>0.16147101513316467</v>
      </c>
      <c r="Y104" s="121">
        <f t="shared" si="32"/>
        <v>0.15308333383988512</v>
      </c>
      <c r="Z104" s="121">
        <f t="shared" si="32"/>
        <v>0.14491859008096775</v>
      </c>
      <c r="AA104" s="121">
        <f t="shared" si="32"/>
        <v>0.1370654819600558</v>
      </c>
      <c r="AB104" s="121">
        <f t="shared" si="32"/>
        <v>0.12954535657618738</v>
      </c>
      <c r="AC104" s="121">
        <f t="shared" si="33"/>
        <v>0.12236178847214255</v>
      </c>
      <c r="AD104" s="121">
        <f t="shared" si="32"/>
        <v>0.1155560924687348</v>
      </c>
      <c r="AE104" s="121">
        <f t="shared" si="32"/>
        <v>0.10908972732735277</v>
      </c>
      <c r="AF104" s="121">
        <f t="shared" si="32"/>
        <v>0.10296124115360171</v>
      </c>
      <c r="AG104" s="121">
        <f t="shared" si="32"/>
        <v>9.7147109740110205E-2</v>
      </c>
      <c r="AH104" s="121">
        <f t="shared" si="33"/>
        <v>9.1435624073654326E-2</v>
      </c>
      <c r="AI104" s="121">
        <f t="shared" si="32"/>
        <v>8.6020730887043678E-2</v>
      </c>
      <c r="AJ104" s="121">
        <f t="shared" si="32"/>
        <v>8.0894211483399855E-2</v>
      </c>
      <c r="AK104" s="121">
        <f t="shared" si="32"/>
        <v>7.6054645804616516E-2</v>
      </c>
      <c r="AL104" s="121">
        <f t="shared" si="32"/>
        <v>7.1483892827458456E-2</v>
      </c>
      <c r="AM104" s="121">
        <f t="shared" si="33"/>
        <v>6.7257050977225202E-2</v>
      </c>
    </row>
    <row r="105" spans="2:40" x14ac:dyDescent="0.25">
      <c r="B105" s="230"/>
      <c r="C105" s="35" t="s">
        <v>32</v>
      </c>
      <c r="D105" s="54" t="s">
        <v>455</v>
      </c>
      <c r="E105" s="130">
        <f t="shared" si="33"/>
        <v>0.15386468112104759</v>
      </c>
      <c r="F105" s="130">
        <f t="shared" si="33"/>
        <v>0.10764353562304937</v>
      </c>
      <c r="G105" s="130">
        <f t="shared" si="33"/>
        <v>9.8103753933132143E-2</v>
      </c>
      <c r="H105" s="130">
        <f t="shared" si="33"/>
        <v>9.4983894005616465E-2</v>
      </c>
      <c r="I105" s="130">
        <f t="shared" si="33"/>
        <v>9.1679447181710547E-2</v>
      </c>
      <c r="J105" s="129">
        <f t="shared" si="33"/>
        <v>8.8229105506423738E-2</v>
      </c>
      <c r="K105" s="72">
        <f t="shared" si="33"/>
        <v>8.4320785241779744E-2</v>
      </c>
      <c r="L105" s="72">
        <f t="shared" si="33"/>
        <v>8.0244655419731928E-2</v>
      </c>
      <c r="M105" s="72">
        <f t="shared" si="33"/>
        <v>7.653927539909558E-2</v>
      </c>
      <c r="N105" s="130">
        <f t="shared" si="33"/>
        <v>7.3134932350037374E-2</v>
      </c>
      <c r="O105" s="129">
        <f t="shared" si="33"/>
        <v>7.0004776791531387E-2</v>
      </c>
      <c r="P105" s="72">
        <f t="shared" si="33"/>
        <v>6.7040931398679782E-2</v>
      </c>
      <c r="Q105" s="72">
        <f t="shared" si="33"/>
        <v>6.4181926453443797E-2</v>
      </c>
      <c r="R105" s="72">
        <f t="shared" si="33"/>
        <v>6.1440351644237473E-2</v>
      </c>
      <c r="S105" s="130">
        <f t="shared" si="33"/>
        <v>5.879510111855011E-2</v>
      </c>
      <c r="T105" s="130">
        <f t="shared" si="32"/>
        <v>5.6130211294185078E-2</v>
      </c>
      <c r="U105" s="130">
        <f t="shared" si="32"/>
        <v>5.3487112733354832E-2</v>
      </c>
      <c r="V105" s="130">
        <f t="shared" si="32"/>
        <v>5.0889256612952183E-2</v>
      </c>
      <c r="W105" s="130">
        <f t="shared" si="32"/>
        <v>4.8356756394890184E-2</v>
      </c>
      <c r="X105" s="121">
        <f t="shared" si="33"/>
        <v>4.5906455283723661E-2</v>
      </c>
      <c r="Y105" s="121">
        <f t="shared" si="32"/>
        <v>4.3502380765985588E-2</v>
      </c>
      <c r="Z105" s="121">
        <f t="shared" si="32"/>
        <v>4.1172129910794469E-2</v>
      </c>
      <c r="AA105" s="121">
        <f t="shared" si="32"/>
        <v>3.8935922094610331E-2</v>
      </c>
      <c r="AB105" s="121">
        <f t="shared" si="32"/>
        <v>3.6797123206813664E-2</v>
      </c>
      <c r="AC105" s="121">
        <f t="shared" si="33"/>
        <v>3.4755351668392137E-2</v>
      </c>
      <c r="AD105" s="121">
        <f t="shared" si="32"/>
        <v>3.2821634469532478E-2</v>
      </c>
      <c r="AE105" s="121">
        <f t="shared" si="32"/>
        <v>3.0984658330908094E-2</v>
      </c>
      <c r="AF105" s="121">
        <f t="shared" si="32"/>
        <v>2.9243830021025707E-2</v>
      </c>
      <c r="AG105" s="121">
        <f t="shared" si="32"/>
        <v>2.7592376895313932E-2</v>
      </c>
      <c r="AH105" s="121">
        <f t="shared" si="33"/>
        <v>2.5970122066605379E-2</v>
      </c>
      <c r="AI105" s="121">
        <f t="shared" si="32"/>
        <v>2.4432129994763262E-2</v>
      </c>
      <c r="AJ105" s="121">
        <f t="shared" si="32"/>
        <v>2.2976054908810932E-2</v>
      </c>
      <c r="AK105" s="121">
        <f t="shared" si="32"/>
        <v>2.1601487771193653E-2</v>
      </c>
      <c r="AL105" s="121">
        <f t="shared" si="32"/>
        <v>2.0303273184859492E-2</v>
      </c>
      <c r="AM105" s="121">
        <f t="shared" si="33"/>
        <v>1.9102739658098705E-2</v>
      </c>
    </row>
    <row r="106" spans="2:40" x14ac:dyDescent="0.25">
      <c r="B106" s="230"/>
      <c r="C106" s="56" t="s">
        <v>33</v>
      </c>
      <c r="D106" s="66" t="s">
        <v>456</v>
      </c>
      <c r="E106" s="132">
        <f t="shared" si="33"/>
        <v>7.0497921241333764E-2</v>
      </c>
      <c r="F106" s="132">
        <f t="shared" si="33"/>
        <v>4.3046575607334436E-2</v>
      </c>
      <c r="G106" s="132">
        <f t="shared" si="33"/>
        <v>3.7722198351768238E-2</v>
      </c>
      <c r="H106" s="132">
        <f t="shared" si="33"/>
        <v>3.5952137364336528E-2</v>
      </c>
      <c r="I106" s="132">
        <f t="shared" si="33"/>
        <v>3.4200694772333486E-2</v>
      </c>
      <c r="J106" s="131">
        <f t="shared" si="33"/>
        <v>3.2500502867553335E-2</v>
      </c>
      <c r="K106" s="73">
        <f t="shared" si="33"/>
        <v>3.0659180079965976E-2</v>
      </c>
      <c r="L106" s="73">
        <f t="shared" si="33"/>
        <v>2.8827101627550915E-2</v>
      </c>
      <c r="M106" s="73">
        <f t="shared" si="33"/>
        <v>2.7199855931018715E-2</v>
      </c>
      <c r="N106" s="132">
        <f t="shared" si="33"/>
        <v>2.5732977109491271E-2</v>
      </c>
      <c r="O106" s="131">
        <f t="shared" si="33"/>
        <v>2.4414358574151994E-2</v>
      </c>
      <c r="P106" s="73">
        <f t="shared" si="33"/>
        <v>2.320197229099235E-2</v>
      </c>
      <c r="Q106" s="73">
        <f t="shared" si="33"/>
        <v>2.206891079759921E-2</v>
      </c>
      <c r="R106" s="73">
        <f t="shared" si="33"/>
        <v>2.1021092561719714E-2</v>
      </c>
      <c r="S106" s="132">
        <f t="shared" si="33"/>
        <v>2.0044420952593213E-2</v>
      </c>
      <c r="T106" s="132">
        <f t="shared" si="32"/>
        <v>1.9088210751067921E-2</v>
      </c>
      <c r="U106" s="132">
        <f t="shared" si="32"/>
        <v>1.816065313485447E-2</v>
      </c>
      <c r="V106" s="132">
        <f t="shared" si="32"/>
        <v>1.7262711782409235E-2</v>
      </c>
      <c r="W106" s="132">
        <f t="shared" si="32"/>
        <v>1.6395339321176015E-2</v>
      </c>
      <c r="X106" s="122">
        <f t="shared" si="33"/>
        <v>1.5560484794618312E-2</v>
      </c>
      <c r="Y106" s="122">
        <f t="shared" si="32"/>
        <v>1.4743583479792845E-2</v>
      </c>
      <c r="Z106" s="122">
        <f t="shared" si="32"/>
        <v>1.3952852431131967E-2</v>
      </c>
      <c r="AA106" s="122">
        <f t="shared" si="32"/>
        <v>1.3194559591120309E-2</v>
      </c>
      <c r="AB106" s="122">
        <f t="shared" si="32"/>
        <v>1.2469546983107028E-2</v>
      </c>
      <c r="AC106" s="122">
        <f t="shared" si="33"/>
        <v>1.1777542391803184E-2</v>
      </c>
      <c r="AD106" s="122">
        <f t="shared" si="32"/>
        <v>1.1122214814954848E-2</v>
      </c>
      <c r="AE106" s="122">
        <f t="shared" si="32"/>
        <v>1.0499698286617102E-2</v>
      </c>
      <c r="AF106" s="122">
        <f t="shared" si="32"/>
        <v>9.9097767684345577E-3</v>
      </c>
      <c r="AG106" s="122">
        <f t="shared" si="32"/>
        <v>9.3501480514632841E-3</v>
      </c>
      <c r="AH106" s="122">
        <f t="shared" si="33"/>
        <v>8.8004169037686729E-3</v>
      </c>
      <c r="AI106" s="122">
        <f t="shared" si="32"/>
        <v>8.2792410140613074E-3</v>
      </c>
      <c r="AJ106" s="122">
        <f t="shared" si="32"/>
        <v>7.7858247483313927E-3</v>
      </c>
      <c r="AK106" s="122">
        <f t="shared" si="32"/>
        <v>7.3200291581213498E-3</v>
      </c>
      <c r="AL106" s="122">
        <f t="shared" si="32"/>
        <v>6.8801070767374305E-3</v>
      </c>
      <c r="AM106" s="122">
        <f t="shared" si="33"/>
        <v>6.4732859483493744E-3</v>
      </c>
    </row>
    <row r="107" spans="2:40" s="3" customFormat="1" x14ac:dyDescent="0.25"/>
    <row r="108" spans="2:40" s="3" customFormat="1" x14ac:dyDescent="0.25"/>
    <row r="109" spans="2:40" s="3" customFormat="1" x14ac:dyDescent="0.25"/>
    <row r="110" spans="2:40" s="3" customFormat="1" x14ac:dyDescent="0.25"/>
    <row r="111" spans="2:40" s="3" customFormat="1" x14ac:dyDescent="0.25"/>
    <row r="112" spans="2:40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</sheetData>
  <pageMargins left="0.7" right="0.7" top="0.75" bottom="0.75" header="0.3" footer="0.3"/>
  <pageSetup paperSize="9" scale="6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8"/>
  <dimension ref="B4:B11"/>
  <sheetViews>
    <sheetView workbookViewId="0">
      <selection activeCell="B4" sqref="B4"/>
    </sheetView>
  </sheetViews>
  <sheetFormatPr baseColWidth="10" defaultRowHeight="15" x14ac:dyDescent="0.25"/>
  <cols>
    <col min="2" max="2" width="68.5703125" customWidth="1"/>
  </cols>
  <sheetData>
    <row r="4" spans="2:2" x14ac:dyDescent="0.25">
      <c r="B4" t="str">
        <f>Résultats!B1&amp;" : Energie finale par usage et énergie primaire (Mtep)"</f>
        <v>SNBC3 : Energie finale par usage et énergie primaire (Mtep)</v>
      </c>
    </row>
    <row r="5" spans="2:2" x14ac:dyDescent="0.25">
      <c r="B5" t="str">
        <f>Résultats!B1&amp;" : Ventilation du mix énergie (Mtep)"</f>
        <v>SNBC3 : Ventilation du mix énergie (Mtep)</v>
      </c>
    </row>
    <row r="6" spans="2:2" x14ac:dyDescent="0.25">
      <c r="B6" t="str">
        <f>Résultats!B1&amp;" : Ventilation du mix electrique (%)"</f>
        <v>SNBC3 : Ventilation du mix electrique (%)</v>
      </c>
    </row>
    <row r="7" spans="2:2" x14ac:dyDescent="0.25">
      <c r="B7" t="str">
        <f>Résultats!B1&amp;" : Ventilation du mix carburant (%)"</f>
        <v>SNBC3 : Ventilation du mix carburant (%)</v>
      </c>
    </row>
    <row r="8" spans="2:2" x14ac:dyDescent="0.25">
      <c r="B8" t="str">
        <f>Résultats!B1&amp;" : Ventilation du mix gaz (%)"</f>
        <v>SNBC3 : Ventilation du mix gaz (%)</v>
      </c>
    </row>
    <row r="9" spans="2:2" x14ac:dyDescent="0.25">
      <c r="B9" t="str">
        <f>Résultats!B1&amp;" : Emissions CO2 (Mt.eqCO2)"</f>
        <v>SNBC3 : Emissions CO2 (Mt.eqCO2)</v>
      </c>
    </row>
    <row r="10" spans="2:2" x14ac:dyDescent="0.25">
      <c r="B10" t="str">
        <f>Résultats!B1&amp;" : Ventilation du parc auto (%)"</f>
        <v>SNBC3 : Ventilation du parc auto (%)</v>
      </c>
    </row>
    <row r="11" spans="2:2" x14ac:dyDescent="0.25">
      <c r="B11" t="str">
        <f>Résultats!B1&amp;" : Ventilation du parc de logements (%)"</f>
        <v>SNBC3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8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2</vt:i4>
      </vt:variant>
    </vt:vector>
  </HeadingPairs>
  <TitlesOfParts>
    <vt:vector size="20" baseType="lpstr">
      <vt:lpstr>T energie vecteurs</vt:lpstr>
      <vt:lpstr>T energie usages</vt:lpstr>
      <vt:lpstr>T transport</vt:lpstr>
      <vt:lpstr>Résultats</vt:lpstr>
      <vt:lpstr>T CO2</vt:lpstr>
      <vt:lpstr>T logement</vt:lpstr>
      <vt:lpstr>T parc auto</vt:lpstr>
      <vt:lpstr>Table Graphs</vt:lpstr>
      <vt:lpstr>G energie</vt:lpstr>
      <vt:lpstr>G mix energie</vt:lpstr>
      <vt:lpstr>G mix élec</vt:lpstr>
      <vt:lpstr>G mix carb</vt:lpstr>
      <vt:lpstr>G mix gaz</vt:lpstr>
      <vt:lpstr>G CO2</vt:lpstr>
      <vt:lpstr>G parc auto total</vt:lpstr>
      <vt:lpstr>G parc elec</vt:lpstr>
      <vt:lpstr>G parc auto</vt:lpstr>
      <vt:lpstr>G parc logt</vt:lpstr>
      <vt:lpstr>'T parc auto'!Zone_d_impression</vt:lpstr>
      <vt:lpstr>'T transport'!Zone_d_impression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MONSERAND Alma</cp:lastModifiedBy>
  <cp:lastPrinted>2018-11-29T16:44:02Z</cp:lastPrinted>
  <dcterms:created xsi:type="dcterms:W3CDTF">2016-06-15T08:53:28Z</dcterms:created>
  <dcterms:modified xsi:type="dcterms:W3CDTF">2025-05-09T09:54:38Z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2025-03-12T13:29:27Z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3cca8261-751f-4fae-93e7-83dd1c3f6774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