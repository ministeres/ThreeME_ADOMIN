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worksheets/sheet7.xml" ContentType="application/vnd.openxmlformats-officedocument.spreadsheetml.worksheet+xml"/>
  <Override PartName="/xl/chartsheets/sheet7.xml" ContentType="application/vnd.openxmlformats-officedocument.spreadsheetml.chartsheet+xml"/>
  <Override PartName="/xl/worksheets/sheet8.xml" ContentType="application/vnd.openxmlformats-officedocument.spreadsheetml.worksheet+xml"/>
  <Override PartName="/xl/chartsheets/sheet8.xml" ContentType="application/vnd.openxmlformats-officedocument.spreadsheetml.chartsheet+xml"/>
  <Override PartName="/xl/chartsheets/sheet9.xml" ContentType="application/vnd.openxmlformats-officedocument.spreadsheetml.chartsheet+xml"/>
  <Override PartName="/xl/chartsheets/sheet10.xml" ContentType="application/vnd.openxmlformats-officedocument.spreadsheetml.chart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Github\ThreeME\results\"/>
    </mc:Choice>
  </mc:AlternateContent>
  <xr:revisionPtr revIDLastSave="0" documentId="13_ncr:1_{4041EE53-377B-4F18-8464-2A38758D73FB}" xr6:coauthVersionLast="47" xr6:coauthVersionMax="47" xr10:uidLastSave="{00000000-0000-0000-0000-000000000000}"/>
  <bookViews>
    <workbookView xWindow="-120" yWindow="-120" windowWidth="20730" windowHeight="11040" firstSheet="2" activeTab="4" xr2:uid="{00000000-000D-0000-FFFF-FFFF00000000}"/>
  </bookViews>
  <sheets>
    <sheet name="T energie vecteurs" sheetId="13" r:id="rId1"/>
    <sheet name="T energie usages" sheetId="16" r:id="rId2"/>
    <sheet name="T transport" sheetId="32" r:id="rId3"/>
    <sheet name="Résultats" sheetId="2" r:id="rId4"/>
    <sheet name="T CO2" sheetId="31" r:id="rId5"/>
    <sheet name="T logement" sheetId="14" r:id="rId6"/>
    <sheet name="Graphique1" sheetId="27" r:id="rId7"/>
    <sheet name="Graphique2" sheetId="30" r:id="rId8"/>
    <sheet name="Graphique3" sheetId="22" r:id="rId9"/>
    <sheet name="Graphique4" sheetId="23" r:id="rId10"/>
    <sheet name="Graphique5" sheetId="24" r:id="rId11"/>
    <sheet name="Graphique6" sheetId="26" r:id="rId12"/>
    <sheet name="T parc auto" sheetId="25" r:id="rId13"/>
    <sheet name="Graphique7" sheetId="28" r:id="rId14"/>
    <sheet name="Feuil1" sheetId="34" r:id="rId15"/>
    <sheet name="Graphique8" sheetId="29" r:id="rId16"/>
    <sheet name="Graphique9" sheetId="19" r:id="rId17"/>
    <sheet name="Graphique10" sheetId="20" r:id="rId18"/>
    <sheet name="Table Graphs" sheetId="33" r:id="rId19"/>
  </sheets>
  <externalReferences>
    <externalReference r:id="rId20"/>
    <externalReference r:id="rId21"/>
    <externalReference r:id="rId22"/>
    <externalReference r:id="rId23"/>
    <externalReference r:id="rId24"/>
    <externalReference r:id="rId25"/>
  </externalReferences>
  <definedNames>
    <definedName name="_xlnm.Print_Area" localSheetId="12">'T parc auto'!$C$26:$AM$107</definedName>
    <definedName name="_xlnm.Print_Area" localSheetId="2">'T transport'!$B$1:$AU$32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79" i="31" l="1"/>
  <c r="E3" i="34"/>
  <c r="F3" i="34"/>
  <c r="E4" i="34"/>
  <c r="F4" i="34"/>
  <c r="E5" i="34"/>
  <c r="F5" i="34"/>
  <c r="E6" i="34"/>
  <c r="F6" i="34"/>
  <c r="E7" i="34"/>
  <c r="F7" i="34"/>
  <c r="E8" i="34"/>
  <c r="F8" i="34"/>
  <c r="E9" i="34"/>
  <c r="F9" i="34"/>
  <c r="E10" i="34"/>
  <c r="F10" i="34"/>
  <c r="E11" i="34"/>
  <c r="F11" i="34"/>
  <c r="E12" i="34"/>
  <c r="F12" i="34"/>
  <c r="E13" i="34"/>
  <c r="F13" i="34"/>
  <c r="E14" i="34"/>
  <c r="F14" i="34"/>
  <c r="E15" i="34"/>
  <c r="F15" i="34"/>
  <c r="E16" i="34"/>
  <c r="F16" i="34"/>
  <c r="E17" i="34"/>
  <c r="F17" i="34"/>
  <c r="E18" i="34"/>
  <c r="F18" i="34"/>
  <c r="E19" i="34"/>
  <c r="F19" i="34"/>
  <c r="E20" i="34"/>
  <c r="F20" i="34"/>
  <c r="E21" i="34"/>
  <c r="F21" i="34"/>
  <c r="E22" i="34"/>
  <c r="F22" i="34"/>
  <c r="E23" i="34"/>
  <c r="F23" i="34"/>
  <c r="E24" i="34"/>
  <c r="F24" i="34"/>
  <c r="E25" i="34"/>
  <c r="F25" i="34"/>
  <c r="E26" i="34"/>
  <c r="F26" i="34"/>
  <c r="E27" i="34"/>
  <c r="F27" i="34"/>
  <c r="E28" i="34"/>
  <c r="F28" i="34"/>
  <c r="E29" i="34"/>
  <c r="F29" i="34"/>
  <c r="E30" i="34"/>
  <c r="F30" i="34"/>
  <c r="E31" i="34"/>
  <c r="F31" i="34"/>
  <c r="E32" i="34"/>
  <c r="F32" i="34"/>
  <c r="E33" i="34"/>
  <c r="F33" i="34"/>
  <c r="E34" i="34"/>
  <c r="F34" i="34"/>
  <c r="E35" i="34"/>
  <c r="F35" i="34"/>
  <c r="E36" i="34"/>
  <c r="F36" i="34"/>
  <c r="E37" i="34"/>
  <c r="F37" i="34"/>
  <c r="E38" i="34"/>
  <c r="F38" i="34"/>
  <c r="E39" i="34"/>
  <c r="F39" i="34"/>
  <c r="E40" i="34"/>
  <c r="F40" i="34"/>
  <c r="E41" i="34"/>
  <c r="F41" i="34"/>
  <c r="E42" i="34"/>
  <c r="F42" i="34"/>
  <c r="E43" i="34"/>
  <c r="F43" i="34"/>
  <c r="E44" i="34"/>
  <c r="F44" i="34"/>
  <c r="E45" i="34"/>
  <c r="F45" i="34"/>
  <c r="E46" i="34"/>
  <c r="F46" i="34"/>
  <c r="E47" i="34"/>
  <c r="F47" i="34"/>
  <c r="E48" i="34"/>
  <c r="F48" i="34"/>
  <c r="F2" i="34"/>
  <c r="E2" i="34"/>
  <c r="R58" i="16" l="1"/>
  <c r="Q58" i="16"/>
  <c r="P58" i="16"/>
  <c r="O58" i="16"/>
  <c r="R57" i="16"/>
  <c r="P57" i="16"/>
  <c r="O57" i="16"/>
  <c r="R56" i="16"/>
  <c r="Q56" i="16"/>
  <c r="P56" i="16"/>
  <c r="O56" i="16"/>
  <c r="R54" i="16"/>
  <c r="Q54" i="16"/>
  <c r="P54" i="16"/>
  <c r="O54" i="16"/>
  <c r="R53" i="16"/>
  <c r="Q53" i="16"/>
  <c r="P53" i="16"/>
  <c r="O53" i="16"/>
  <c r="R50" i="16"/>
  <c r="Q50" i="16"/>
  <c r="P50" i="16"/>
  <c r="O50" i="16"/>
  <c r="R45" i="16"/>
  <c r="Q45" i="16"/>
  <c r="P45" i="16"/>
  <c r="O45" i="16"/>
  <c r="R44" i="16"/>
  <c r="P44" i="16"/>
  <c r="O44" i="16"/>
  <c r="R43" i="16"/>
  <c r="Q43" i="16"/>
  <c r="P43" i="16"/>
  <c r="O43" i="16"/>
  <c r="R41" i="16"/>
  <c r="Q41" i="16"/>
  <c r="P41" i="16"/>
  <c r="O41" i="16"/>
  <c r="R40" i="16"/>
  <c r="Q40" i="16"/>
  <c r="P40" i="16"/>
  <c r="O40" i="16"/>
  <c r="R37" i="16"/>
  <c r="Q37" i="16"/>
  <c r="P37" i="16"/>
  <c r="O37" i="16"/>
  <c r="R123" i="16"/>
  <c r="Q123" i="16"/>
  <c r="P123" i="16"/>
  <c r="O123" i="16"/>
  <c r="R122" i="16"/>
  <c r="P122" i="16"/>
  <c r="O122" i="16"/>
  <c r="R121" i="16"/>
  <c r="Q121" i="16"/>
  <c r="P121" i="16"/>
  <c r="O121" i="16"/>
  <c r="R119" i="16"/>
  <c r="Q119" i="16"/>
  <c r="P119" i="16"/>
  <c r="O119" i="16"/>
  <c r="R118" i="16"/>
  <c r="Q118" i="16"/>
  <c r="P118" i="16"/>
  <c r="O118" i="16"/>
  <c r="R115" i="16"/>
  <c r="Q115" i="16"/>
  <c r="P115" i="16"/>
  <c r="O115" i="16"/>
  <c r="R110" i="16"/>
  <c r="Q110" i="16"/>
  <c r="P110" i="16"/>
  <c r="O110" i="16"/>
  <c r="R109" i="16"/>
  <c r="P109" i="16"/>
  <c r="O109" i="16"/>
  <c r="R108" i="16"/>
  <c r="Q108" i="16"/>
  <c r="P108" i="16"/>
  <c r="O108" i="16"/>
  <c r="R106" i="16"/>
  <c r="Q106" i="16"/>
  <c r="P106" i="16"/>
  <c r="O106" i="16"/>
  <c r="R105" i="16"/>
  <c r="Q105" i="16"/>
  <c r="P105" i="16"/>
  <c r="O105" i="16"/>
  <c r="R102" i="16"/>
  <c r="Q102" i="16"/>
  <c r="P102" i="16"/>
  <c r="O102" i="16"/>
  <c r="R97" i="16"/>
  <c r="Q97" i="16"/>
  <c r="P97" i="16"/>
  <c r="O97" i="16"/>
  <c r="R96" i="16"/>
  <c r="P96" i="16"/>
  <c r="O96" i="16"/>
  <c r="R95" i="16"/>
  <c r="Q95" i="16"/>
  <c r="P95" i="16"/>
  <c r="O95" i="16"/>
  <c r="R93" i="16"/>
  <c r="Q93" i="16"/>
  <c r="P93" i="16"/>
  <c r="O93" i="16"/>
  <c r="R92" i="16"/>
  <c r="Q92" i="16"/>
  <c r="P92" i="16"/>
  <c r="O92" i="16"/>
  <c r="R89" i="16"/>
  <c r="Q89" i="16"/>
  <c r="P89" i="16"/>
  <c r="O89" i="16"/>
  <c r="R84" i="16"/>
  <c r="Q84" i="16"/>
  <c r="P84" i="16"/>
  <c r="O84" i="16"/>
  <c r="R83" i="16"/>
  <c r="P83" i="16"/>
  <c r="O83" i="16"/>
  <c r="R82" i="16"/>
  <c r="Q82" i="16"/>
  <c r="P82" i="16"/>
  <c r="O82" i="16"/>
  <c r="R80" i="16"/>
  <c r="Q80" i="16"/>
  <c r="P80" i="16"/>
  <c r="O80" i="16"/>
  <c r="R79" i="16"/>
  <c r="Q79" i="16"/>
  <c r="P79" i="16"/>
  <c r="O79" i="16"/>
  <c r="R76" i="16"/>
  <c r="Q76" i="16"/>
  <c r="P76" i="16"/>
  <c r="O76" i="16"/>
  <c r="R71" i="16"/>
  <c r="Q71" i="16"/>
  <c r="P71" i="16"/>
  <c r="O71" i="16"/>
  <c r="R70" i="16"/>
  <c r="P70" i="16"/>
  <c r="O70" i="16"/>
  <c r="R69" i="16"/>
  <c r="Q69" i="16"/>
  <c r="P69" i="16"/>
  <c r="O69" i="16"/>
  <c r="R67" i="16"/>
  <c r="Q67" i="16"/>
  <c r="P67" i="16"/>
  <c r="O67" i="16"/>
  <c r="R66" i="16"/>
  <c r="Q66" i="16"/>
  <c r="P66" i="16"/>
  <c r="O66" i="16"/>
  <c r="R63" i="16"/>
  <c r="Q63" i="16"/>
  <c r="P63" i="16"/>
  <c r="O63" i="16"/>
  <c r="R32" i="16"/>
  <c r="Q32" i="16"/>
  <c r="P32" i="16"/>
  <c r="O32" i="16"/>
  <c r="R31" i="16"/>
  <c r="P31" i="16"/>
  <c r="O31" i="16"/>
  <c r="R30" i="16"/>
  <c r="Q30" i="16"/>
  <c r="P30" i="16"/>
  <c r="O30" i="16"/>
  <c r="R28" i="16"/>
  <c r="Q28" i="16"/>
  <c r="P28" i="16"/>
  <c r="O28" i="16"/>
  <c r="R27" i="16"/>
  <c r="Q27" i="16"/>
  <c r="P27" i="16"/>
  <c r="O27" i="16"/>
  <c r="R24" i="16"/>
  <c r="Q24" i="16"/>
  <c r="P24" i="16"/>
  <c r="O24" i="16"/>
  <c r="R19" i="16"/>
  <c r="Q19" i="16"/>
  <c r="P19" i="16"/>
  <c r="O19" i="16"/>
  <c r="R18" i="16"/>
  <c r="P18" i="16"/>
  <c r="O18" i="16"/>
  <c r="R17" i="16"/>
  <c r="Q17" i="16"/>
  <c r="P17" i="16"/>
  <c r="O17" i="16"/>
  <c r="R15" i="16"/>
  <c r="Q15" i="16"/>
  <c r="P15" i="16"/>
  <c r="O15" i="16"/>
  <c r="R14" i="16"/>
  <c r="Q14" i="16"/>
  <c r="P14" i="16"/>
  <c r="O14" i="16"/>
  <c r="R11" i="16"/>
  <c r="Q11" i="16"/>
  <c r="P11" i="16"/>
  <c r="O11" i="16"/>
  <c r="K14" i="16"/>
  <c r="K27" i="16"/>
  <c r="K40" i="16"/>
  <c r="K53" i="16"/>
  <c r="K66" i="16"/>
  <c r="K79" i="16"/>
  <c r="K92" i="16"/>
  <c r="K105" i="16"/>
  <c r="K118" i="16"/>
  <c r="S14" i="16" l="1"/>
  <c r="T14" i="16" s="1"/>
  <c r="R55" i="16"/>
  <c r="Q55" i="16"/>
  <c r="Q42" i="16"/>
  <c r="P42" i="16"/>
  <c r="K58" i="16"/>
  <c r="J58" i="16"/>
  <c r="I58" i="16"/>
  <c r="H58" i="16"/>
  <c r="K57" i="16"/>
  <c r="J57" i="16"/>
  <c r="I57" i="16"/>
  <c r="H57" i="16"/>
  <c r="K56" i="16"/>
  <c r="J56" i="16"/>
  <c r="I56" i="16"/>
  <c r="H56" i="16"/>
  <c r="K54" i="16"/>
  <c r="J54" i="16"/>
  <c r="I54" i="16"/>
  <c r="H54" i="16"/>
  <c r="J53" i="16"/>
  <c r="I53" i="16"/>
  <c r="H53" i="16"/>
  <c r="K52" i="16"/>
  <c r="J52" i="16"/>
  <c r="I52" i="16"/>
  <c r="H52" i="16"/>
  <c r="K51" i="16"/>
  <c r="J51" i="16"/>
  <c r="I51" i="16"/>
  <c r="H51" i="16"/>
  <c r="K45" i="16"/>
  <c r="J45" i="16"/>
  <c r="I45" i="16"/>
  <c r="H45" i="16"/>
  <c r="K44" i="16"/>
  <c r="J44" i="16"/>
  <c r="I44" i="16"/>
  <c r="H44" i="16"/>
  <c r="K43" i="16"/>
  <c r="J43" i="16"/>
  <c r="I43" i="16"/>
  <c r="H43" i="16"/>
  <c r="H42" i="16" s="1"/>
  <c r="K41" i="16"/>
  <c r="J41" i="16"/>
  <c r="I41" i="16"/>
  <c r="H41" i="16"/>
  <c r="J40" i="16"/>
  <c r="I40" i="16"/>
  <c r="H40" i="16"/>
  <c r="K39" i="16"/>
  <c r="J39" i="16"/>
  <c r="I39" i="16"/>
  <c r="H39" i="16"/>
  <c r="K38" i="16"/>
  <c r="J38" i="16"/>
  <c r="I38" i="16"/>
  <c r="H38" i="16"/>
  <c r="K110" i="16"/>
  <c r="J110" i="16"/>
  <c r="I110" i="16"/>
  <c r="H110" i="16"/>
  <c r="K109" i="16"/>
  <c r="J109" i="16"/>
  <c r="I109" i="16"/>
  <c r="H109" i="16"/>
  <c r="K108" i="16"/>
  <c r="J108" i="16"/>
  <c r="I108" i="16"/>
  <c r="H108" i="16"/>
  <c r="K106" i="16"/>
  <c r="J106" i="16"/>
  <c r="I106" i="16"/>
  <c r="H106" i="16"/>
  <c r="J105" i="16"/>
  <c r="I105" i="16"/>
  <c r="H105" i="16"/>
  <c r="K104" i="16"/>
  <c r="J104" i="16"/>
  <c r="I104" i="16"/>
  <c r="H104" i="16"/>
  <c r="K103" i="16"/>
  <c r="J103" i="16"/>
  <c r="I103" i="16"/>
  <c r="H103" i="16"/>
  <c r="AU20" i="32"/>
  <c r="AA20" i="32"/>
  <c r="Q20" i="32"/>
  <c r="AU17" i="32"/>
  <c r="AA17" i="32"/>
  <c r="Q17" i="32"/>
  <c r="BB10" i="32"/>
  <c r="BB9" i="32"/>
  <c r="BB8" i="32"/>
  <c r="BB7" i="32"/>
  <c r="I42" i="16" l="1"/>
  <c r="J42" i="16"/>
  <c r="K42" i="16"/>
  <c r="H55" i="16"/>
  <c r="I55" i="16"/>
  <c r="J55" i="16"/>
  <c r="K55" i="16"/>
  <c r="S57" i="16"/>
  <c r="R42" i="16"/>
  <c r="R46" i="16" s="1"/>
  <c r="P55" i="16"/>
  <c r="P59" i="16" s="1"/>
  <c r="S37" i="16"/>
  <c r="T37" i="16" s="1"/>
  <c r="S41" i="16"/>
  <c r="T41" i="16" s="1"/>
  <c r="S45" i="16"/>
  <c r="T45" i="16" s="1"/>
  <c r="S54" i="16"/>
  <c r="T54" i="16" s="1"/>
  <c r="H50" i="16"/>
  <c r="K102" i="16"/>
  <c r="I37" i="16"/>
  <c r="L110" i="16"/>
  <c r="L40" i="16"/>
  <c r="R59" i="16"/>
  <c r="Q46" i="16"/>
  <c r="S44" i="16"/>
  <c r="S58" i="16"/>
  <c r="T58" i="16" s="1"/>
  <c r="S53" i="16"/>
  <c r="T53" i="16" s="1"/>
  <c r="O55" i="16"/>
  <c r="O59" i="16" s="1"/>
  <c r="Q59" i="16"/>
  <c r="S43" i="16"/>
  <c r="S56" i="16"/>
  <c r="L39" i="16"/>
  <c r="L54" i="16"/>
  <c r="L41" i="16"/>
  <c r="I102" i="16"/>
  <c r="L52" i="16"/>
  <c r="I107" i="16"/>
  <c r="L38" i="16"/>
  <c r="L45" i="16"/>
  <c r="L53" i="16"/>
  <c r="L57" i="16"/>
  <c r="L51" i="16"/>
  <c r="L58" i="16"/>
  <c r="J37" i="16"/>
  <c r="J50" i="16"/>
  <c r="K37" i="16"/>
  <c r="L44" i="16"/>
  <c r="J107" i="16"/>
  <c r="H102" i="16"/>
  <c r="K107" i="16"/>
  <c r="L105" i="16"/>
  <c r="H107" i="16"/>
  <c r="K50" i="16"/>
  <c r="S50" i="16"/>
  <c r="T50" i="16" s="1"/>
  <c r="P46" i="16"/>
  <c r="O42" i="16"/>
  <c r="S40" i="16"/>
  <c r="T40" i="16" s="1"/>
  <c r="I50" i="16"/>
  <c r="L43" i="16"/>
  <c r="H37" i="16"/>
  <c r="L106" i="16"/>
  <c r="L56" i="16"/>
  <c r="J102" i="16"/>
  <c r="L109" i="16"/>
  <c r="L104" i="16"/>
  <c r="L103" i="16"/>
  <c r="L108" i="16"/>
  <c r="BD10" i="32"/>
  <c r="BD9" i="32"/>
  <c r="BD8" i="32"/>
  <c r="BD7" i="32"/>
  <c r="BC10" i="32"/>
  <c r="BC9" i="32"/>
  <c r="BC8" i="32"/>
  <c r="BC7" i="32"/>
  <c r="AU6" i="32"/>
  <c r="AA6" i="32"/>
  <c r="Q6" i="32"/>
  <c r="AU9" i="32"/>
  <c r="AA9" i="32"/>
  <c r="Q9" i="32"/>
  <c r="S55" i="16" l="1"/>
  <c r="T55" i="16" s="1"/>
  <c r="T59" i="16" s="1"/>
  <c r="S42" i="16"/>
  <c r="T42" i="16" s="1"/>
  <c r="T46" i="16" s="1"/>
  <c r="S59" i="16"/>
  <c r="I111" i="16"/>
  <c r="K111" i="16"/>
  <c r="H111" i="16"/>
  <c r="I46" i="16"/>
  <c r="J111" i="16"/>
  <c r="K46" i="16"/>
  <c r="L42" i="16"/>
  <c r="L107" i="16"/>
  <c r="I59" i="16"/>
  <c r="K59" i="16"/>
  <c r="J59" i="16"/>
  <c r="L102" i="16"/>
  <c r="J46" i="16"/>
  <c r="L55" i="16"/>
  <c r="H59" i="16"/>
  <c r="O46" i="16"/>
  <c r="S46" i="16" s="1"/>
  <c r="L50" i="16"/>
  <c r="L37" i="16"/>
  <c r="H46" i="16"/>
  <c r="A58" i="32"/>
  <c r="A36" i="32"/>
  <c r="A1" i="32"/>
  <c r="C3" i="32"/>
  <c r="D3" i="32"/>
  <c r="E3" i="32"/>
  <c r="F3" i="32"/>
  <c r="G3" i="32"/>
  <c r="H3" i="32"/>
  <c r="I3" i="32"/>
  <c r="J3" i="32"/>
  <c r="K3" i="32"/>
  <c r="L3" i="32"/>
  <c r="M3" i="32"/>
  <c r="N3" i="32"/>
  <c r="O3" i="32"/>
  <c r="P3" i="32"/>
  <c r="Q3" i="32"/>
  <c r="R3" i="32"/>
  <c r="S3" i="32"/>
  <c r="T3" i="32"/>
  <c r="U3" i="32"/>
  <c r="V3" i="32"/>
  <c r="W3" i="32"/>
  <c r="X3" i="32"/>
  <c r="Y3" i="32"/>
  <c r="Z3" i="32"/>
  <c r="AA3" i="32"/>
  <c r="AB3" i="32"/>
  <c r="AC3" i="32"/>
  <c r="AD3" i="32"/>
  <c r="AE3" i="32"/>
  <c r="AF3" i="32"/>
  <c r="AG3" i="32"/>
  <c r="AH3" i="32"/>
  <c r="AI3" i="32"/>
  <c r="AJ3" i="32"/>
  <c r="AK3" i="32"/>
  <c r="AL3" i="32"/>
  <c r="AM3" i="32"/>
  <c r="AN3" i="32"/>
  <c r="AO3" i="32"/>
  <c r="AP3" i="32"/>
  <c r="AQ3" i="32"/>
  <c r="AR3" i="32"/>
  <c r="AS3" i="32"/>
  <c r="AT3" i="32"/>
  <c r="AU3" i="32"/>
  <c r="C4" i="32"/>
  <c r="D4" i="32"/>
  <c r="E4" i="32"/>
  <c r="F4" i="32"/>
  <c r="G4" i="32"/>
  <c r="H4" i="32"/>
  <c r="I4" i="32"/>
  <c r="J4" i="32"/>
  <c r="K4" i="32"/>
  <c r="L4" i="32"/>
  <c r="M4" i="32"/>
  <c r="N4" i="32"/>
  <c r="O4" i="32"/>
  <c r="P4" i="32"/>
  <c r="C5" i="32"/>
  <c r="D5" i="32"/>
  <c r="E5" i="32"/>
  <c r="F5" i="32"/>
  <c r="G5" i="32"/>
  <c r="H5" i="32"/>
  <c r="I5" i="32"/>
  <c r="J5" i="32"/>
  <c r="K5" i="32"/>
  <c r="L5" i="32"/>
  <c r="M5" i="32"/>
  <c r="N5" i="32"/>
  <c r="O5" i="32"/>
  <c r="P5" i="32"/>
  <c r="Q5" i="32"/>
  <c r="R5" i="32"/>
  <c r="S5" i="32"/>
  <c r="T5" i="32"/>
  <c r="U5" i="32"/>
  <c r="V5" i="32"/>
  <c r="W5" i="32"/>
  <c r="X5" i="32"/>
  <c r="Y5" i="32"/>
  <c r="Z5" i="32"/>
  <c r="AA5" i="32"/>
  <c r="AA4" i="32" s="1"/>
  <c r="AB5" i="32"/>
  <c r="AC5" i="32"/>
  <c r="AD5" i="32"/>
  <c r="AE5" i="32"/>
  <c r="AF5" i="32"/>
  <c r="AG5" i="32"/>
  <c r="AH5" i="32"/>
  <c r="AI5" i="32"/>
  <c r="AJ5" i="32"/>
  <c r="AK5" i="32"/>
  <c r="AL5" i="32"/>
  <c r="AM5" i="32"/>
  <c r="AN5" i="32"/>
  <c r="AO5" i="32"/>
  <c r="AP5" i="32"/>
  <c r="AQ5" i="32"/>
  <c r="AR5" i="32"/>
  <c r="AS5" i="32"/>
  <c r="AT5" i="32"/>
  <c r="AU5" i="32"/>
  <c r="AU4" i="32" s="1"/>
  <c r="C6" i="32"/>
  <c r="D6" i="32"/>
  <c r="E6" i="32"/>
  <c r="F6" i="32"/>
  <c r="G6" i="32"/>
  <c r="H6" i="32"/>
  <c r="I6" i="32"/>
  <c r="J6" i="32"/>
  <c r="K6" i="32"/>
  <c r="L6" i="32"/>
  <c r="M6" i="32"/>
  <c r="N6" i="32"/>
  <c r="O6" i="32"/>
  <c r="P6" i="32"/>
  <c r="R6" i="32"/>
  <c r="S6" i="32"/>
  <c r="T6" i="32"/>
  <c r="U6" i="32"/>
  <c r="V6" i="32"/>
  <c r="W6" i="32"/>
  <c r="X6" i="32"/>
  <c r="Y6" i="32"/>
  <c r="Z6" i="32"/>
  <c r="AB6" i="32"/>
  <c r="AC6" i="32"/>
  <c r="AD6" i="32"/>
  <c r="AE6" i="32"/>
  <c r="AF6" i="32"/>
  <c r="AG6" i="32"/>
  <c r="AH6" i="32"/>
  <c r="AI6" i="32"/>
  <c r="AJ6" i="32"/>
  <c r="AK6" i="32"/>
  <c r="AL6" i="32"/>
  <c r="AM6" i="32"/>
  <c r="AN6" i="32"/>
  <c r="AO6" i="32"/>
  <c r="AP6" i="32"/>
  <c r="AQ6" i="32"/>
  <c r="AR6" i="32"/>
  <c r="AS6" i="32"/>
  <c r="AT6" i="32"/>
  <c r="C7" i="32"/>
  <c r="D7" i="32"/>
  <c r="E7" i="32"/>
  <c r="F7" i="32"/>
  <c r="G7" i="32"/>
  <c r="H7" i="32"/>
  <c r="I7" i="32"/>
  <c r="J7" i="32"/>
  <c r="K7" i="32"/>
  <c r="L7" i="32"/>
  <c r="M7" i="32"/>
  <c r="N7" i="32"/>
  <c r="O7" i="32"/>
  <c r="P7" i="32"/>
  <c r="C8" i="32"/>
  <c r="D8" i="32"/>
  <c r="E8" i="32"/>
  <c r="F8" i="32"/>
  <c r="G8" i="32"/>
  <c r="H8" i="32"/>
  <c r="I8" i="32"/>
  <c r="J8" i="32"/>
  <c r="K8" i="32"/>
  <c r="L8" i="32"/>
  <c r="M8" i="32"/>
  <c r="N8" i="32"/>
  <c r="O8" i="32"/>
  <c r="P8" i="32"/>
  <c r="Q8" i="32"/>
  <c r="Q7" i="32" s="1"/>
  <c r="R8" i="32"/>
  <c r="S8" i="32"/>
  <c r="T8" i="32"/>
  <c r="U8" i="32"/>
  <c r="V8" i="32"/>
  <c r="W8" i="32"/>
  <c r="X8" i="32"/>
  <c r="Y8" i="32"/>
  <c r="Z8" i="32"/>
  <c r="AA8" i="32"/>
  <c r="AA7" i="32" s="1"/>
  <c r="AB8" i="32"/>
  <c r="AC8" i="32"/>
  <c r="AD8" i="32"/>
  <c r="AE8" i="32"/>
  <c r="AF8" i="32"/>
  <c r="AG8" i="32"/>
  <c r="AH8" i="32"/>
  <c r="AI8" i="32"/>
  <c r="AJ8" i="32"/>
  <c r="AK8" i="32"/>
  <c r="AL8" i="32"/>
  <c r="AM8" i="32"/>
  <c r="AN8" i="32"/>
  <c r="AO8" i="32"/>
  <c r="AP8" i="32"/>
  <c r="AQ8" i="32"/>
  <c r="AR8" i="32"/>
  <c r="AS8" i="32"/>
  <c r="AT8" i="32"/>
  <c r="AU8" i="32"/>
  <c r="AU7" i="32" s="1"/>
  <c r="C9" i="32"/>
  <c r="D9" i="32"/>
  <c r="E9" i="32"/>
  <c r="F9" i="32"/>
  <c r="G9" i="32"/>
  <c r="H9" i="32"/>
  <c r="I9" i="32"/>
  <c r="J9" i="32"/>
  <c r="K9" i="32"/>
  <c r="L9" i="32"/>
  <c r="M9" i="32"/>
  <c r="N9" i="32"/>
  <c r="O9" i="32"/>
  <c r="P9" i="32"/>
  <c r="R9" i="32"/>
  <c r="S9" i="32"/>
  <c r="T9" i="32"/>
  <c r="U9" i="32"/>
  <c r="V9" i="32"/>
  <c r="W9" i="32"/>
  <c r="X9" i="32"/>
  <c r="Y9" i="32"/>
  <c r="Z9" i="32"/>
  <c r="AB9" i="32"/>
  <c r="AC9" i="32"/>
  <c r="AD9" i="32"/>
  <c r="AE9" i="32"/>
  <c r="AF9" i="32"/>
  <c r="AG9" i="32"/>
  <c r="AH9" i="32"/>
  <c r="AI9" i="32"/>
  <c r="AJ9" i="32"/>
  <c r="AK9" i="32"/>
  <c r="AL9" i="32"/>
  <c r="AM9" i="32"/>
  <c r="AN9" i="32"/>
  <c r="AO9" i="32"/>
  <c r="AP9" i="32"/>
  <c r="AQ9" i="32"/>
  <c r="AR9" i="32"/>
  <c r="AS9" i="32"/>
  <c r="AT9" i="32"/>
  <c r="C14" i="32"/>
  <c r="D14" i="32"/>
  <c r="E14" i="32"/>
  <c r="F14" i="32"/>
  <c r="G14" i="32"/>
  <c r="H14" i="32"/>
  <c r="I14" i="32"/>
  <c r="J14" i="32"/>
  <c r="K14" i="32"/>
  <c r="L14" i="32"/>
  <c r="M14" i="32"/>
  <c r="N14" i="32"/>
  <c r="O14" i="32"/>
  <c r="P14" i="32"/>
  <c r="Q14" i="32"/>
  <c r="R14" i="32"/>
  <c r="S14" i="32"/>
  <c r="T14" i="32"/>
  <c r="U14" i="32"/>
  <c r="V14" i="32"/>
  <c r="W14" i="32"/>
  <c r="X14" i="32"/>
  <c r="Y14" i="32"/>
  <c r="Z14" i="32"/>
  <c r="AA14" i="32"/>
  <c r="AB14" i="32"/>
  <c r="AC14" i="32"/>
  <c r="AD14" i="32"/>
  <c r="AE14" i="32"/>
  <c r="AF14" i="32"/>
  <c r="AG14" i="32"/>
  <c r="AH14" i="32"/>
  <c r="AI14" i="32"/>
  <c r="AJ14" i="32"/>
  <c r="AK14" i="32"/>
  <c r="AL14" i="32"/>
  <c r="AM14" i="32"/>
  <c r="AN14" i="32"/>
  <c r="AO14" i="32"/>
  <c r="AP14" i="32"/>
  <c r="AQ14" i="32"/>
  <c r="AR14" i="32"/>
  <c r="AS14" i="32"/>
  <c r="AT14" i="32"/>
  <c r="AU14" i="32"/>
  <c r="C15" i="32"/>
  <c r="D15" i="32"/>
  <c r="E15" i="32"/>
  <c r="F15" i="32"/>
  <c r="G15" i="32"/>
  <c r="H15" i="32"/>
  <c r="I15" i="32"/>
  <c r="J15" i="32"/>
  <c r="K15" i="32"/>
  <c r="L15" i="32"/>
  <c r="M15" i="32"/>
  <c r="N15" i="32"/>
  <c r="O15" i="32"/>
  <c r="P15" i="32"/>
  <c r="Q15" i="32"/>
  <c r="R15" i="32"/>
  <c r="S15" i="32"/>
  <c r="T15" i="32"/>
  <c r="U15" i="32"/>
  <c r="V15" i="32"/>
  <c r="W15" i="32"/>
  <c r="X15" i="32"/>
  <c r="Y15" i="32"/>
  <c r="Z15" i="32"/>
  <c r="AA15" i="32"/>
  <c r="AB15" i="32"/>
  <c r="AC15" i="32"/>
  <c r="AD15" i="32"/>
  <c r="AE15" i="32"/>
  <c r="AF15" i="32"/>
  <c r="AG15" i="32"/>
  <c r="AH15" i="32"/>
  <c r="AI15" i="32"/>
  <c r="AJ15" i="32"/>
  <c r="AK15" i="32"/>
  <c r="AL15" i="32"/>
  <c r="AM15" i="32"/>
  <c r="AN15" i="32"/>
  <c r="AO15" i="32"/>
  <c r="AP15" i="32"/>
  <c r="AQ15" i="32"/>
  <c r="AR15" i="32"/>
  <c r="AS15" i="32"/>
  <c r="AT15" i="32"/>
  <c r="AU15" i="32"/>
  <c r="C16" i="32"/>
  <c r="D16" i="32"/>
  <c r="E16" i="32"/>
  <c r="F16" i="32"/>
  <c r="G16" i="32"/>
  <c r="H16" i="32"/>
  <c r="I16" i="32"/>
  <c r="J16" i="32"/>
  <c r="K16" i="32"/>
  <c r="L16" i="32"/>
  <c r="M16" i="32"/>
  <c r="N16" i="32"/>
  <c r="O16" i="32"/>
  <c r="P16" i="32"/>
  <c r="Q16" i="32"/>
  <c r="R16" i="32"/>
  <c r="S16" i="32"/>
  <c r="T16" i="32"/>
  <c r="U16" i="32"/>
  <c r="V16" i="32"/>
  <c r="W16" i="32"/>
  <c r="X16" i="32"/>
  <c r="Y16" i="32"/>
  <c r="Z16" i="32"/>
  <c r="AA16" i="32"/>
  <c r="AB16" i="32"/>
  <c r="AC16" i="32"/>
  <c r="AD16" i="32"/>
  <c r="AE16" i="32"/>
  <c r="AF16" i="32"/>
  <c r="AG16" i="32"/>
  <c r="AH16" i="32"/>
  <c r="AI16" i="32"/>
  <c r="AJ16" i="32"/>
  <c r="AK16" i="32"/>
  <c r="AL16" i="32"/>
  <c r="AM16" i="32"/>
  <c r="AN16" i="32"/>
  <c r="AO16" i="32"/>
  <c r="AP16" i="32"/>
  <c r="AQ16" i="32"/>
  <c r="AR16" i="32"/>
  <c r="AS16" i="32"/>
  <c r="AT16" i="32"/>
  <c r="AU16" i="32"/>
  <c r="C17" i="32"/>
  <c r="D17" i="32"/>
  <c r="E17" i="32"/>
  <c r="F17" i="32"/>
  <c r="G17" i="32"/>
  <c r="H17" i="32"/>
  <c r="I17" i="32"/>
  <c r="J17" i="32"/>
  <c r="K17" i="32"/>
  <c r="L17" i="32"/>
  <c r="M17" i="32"/>
  <c r="N17" i="32"/>
  <c r="O17" i="32"/>
  <c r="P17" i="32"/>
  <c r="R17" i="32"/>
  <c r="S17" i="32"/>
  <c r="T17" i="32"/>
  <c r="U17" i="32"/>
  <c r="V17" i="32"/>
  <c r="W17" i="32"/>
  <c r="X17" i="32"/>
  <c r="Y17" i="32"/>
  <c r="Z17" i="32"/>
  <c r="AB17" i="32"/>
  <c r="AC17" i="32"/>
  <c r="AD17" i="32"/>
  <c r="AE17" i="32"/>
  <c r="AF17" i="32"/>
  <c r="AG17" i="32"/>
  <c r="AH17" i="32"/>
  <c r="AI17" i="32"/>
  <c r="AJ17" i="32"/>
  <c r="AK17" i="32"/>
  <c r="AL17" i="32"/>
  <c r="AM17" i="32"/>
  <c r="AN17" i="32"/>
  <c r="AO17" i="32"/>
  <c r="AP17" i="32"/>
  <c r="AQ17" i="32"/>
  <c r="AR17" i="32"/>
  <c r="AS17" i="32"/>
  <c r="AT17" i="32"/>
  <c r="C18" i="32"/>
  <c r="D18" i="32"/>
  <c r="E18" i="32"/>
  <c r="F18" i="32"/>
  <c r="G18" i="32"/>
  <c r="H18" i="32"/>
  <c r="I18" i="32"/>
  <c r="J18" i="32"/>
  <c r="K18" i="32"/>
  <c r="L18" i="32"/>
  <c r="M18" i="32"/>
  <c r="N18" i="32"/>
  <c r="O18" i="32"/>
  <c r="P18" i="32"/>
  <c r="Q18" i="32"/>
  <c r="R18" i="32"/>
  <c r="S18" i="32"/>
  <c r="T18" i="32"/>
  <c r="U18" i="32"/>
  <c r="V18" i="32"/>
  <c r="W18" i="32"/>
  <c r="X18" i="32"/>
  <c r="Y18" i="32"/>
  <c r="Z18" i="32"/>
  <c r="AA18" i="32"/>
  <c r="AB18" i="32"/>
  <c r="AC18" i="32"/>
  <c r="AD18" i="32"/>
  <c r="AE18" i="32"/>
  <c r="AF18" i="32"/>
  <c r="AG18" i="32"/>
  <c r="AH18" i="32"/>
  <c r="AI18" i="32"/>
  <c r="AJ18" i="32"/>
  <c r="AK18" i="32"/>
  <c r="AL18" i="32"/>
  <c r="AM18" i="32"/>
  <c r="AN18" i="32"/>
  <c r="AO18" i="32"/>
  <c r="AP18" i="32"/>
  <c r="AQ18" i="32"/>
  <c r="AR18" i="32"/>
  <c r="AS18" i="32"/>
  <c r="AT18" i="32"/>
  <c r="AU18" i="32"/>
  <c r="C19" i="32"/>
  <c r="D19" i="32"/>
  <c r="E19" i="32"/>
  <c r="F19" i="32"/>
  <c r="G19" i="32"/>
  <c r="H19" i="32"/>
  <c r="I19" i="32"/>
  <c r="J19" i="32"/>
  <c r="K19" i="32"/>
  <c r="L19" i="32"/>
  <c r="M19" i="32"/>
  <c r="N19" i="32"/>
  <c r="O19" i="32"/>
  <c r="P19" i="32"/>
  <c r="Q19" i="32"/>
  <c r="R19" i="32"/>
  <c r="S19" i="32"/>
  <c r="T19" i="32"/>
  <c r="U19" i="32"/>
  <c r="V19" i="32"/>
  <c r="W19" i="32"/>
  <c r="X19" i="32"/>
  <c r="Y19" i="32"/>
  <c r="Z19" i="32"/>
  <c r="AA19" i="32"/>
  <c r="AB19" i="32"/>
  <c r="AC19" i="32"/>
  <c r="AD19" i="32"/>
  <c r="AE19" i="32"/>
  <c r="AF19" i="32"/>
  <c r="AG19" i="32"/>
  <c r="AH19" i="32"/>
  <c r="AI19" i="32"/>
  <c r="AJ19" i="32"/>
  <c r="AK19" i="32"/>
  <c r="AL19" i="32"/>
  <c r="AM19" i="32"/>
  <c r="AN19" i="32"/>
  <c r="AO19" i="32"/>
  <c r="AP19" i="32"/>
  <c r="AQ19" i="32"/>
  <c r="AR19" i="32"/>
  <c r="AS19" i="32"/>
  <c r="AT19" i="32"/>
  <c r="AU19" i="32"/>
  <c r="C20" i="32"/>
  <c r="D20" i="32"/>
  <c r="E20" i="32"/>
  <c r="F20" i="32"/>
  <c r="G20" i="32"/>
  <c r="H20" i="32"/>
  <c r="I20" i="32"/>
  <c r="J20" i="32"/>
  <c r="K20" i="32"/>
  <c r="L20" i="32"/>
  <c r="M20" i="32"/>
  <c r="N20" i="32"/>
  <c r="O20" i="32"/>
  <c r="P20" i="32"/>
  <c r="R20" i="32"/>
  <c r="S20" i="32"/>
  <c r="T20" i="32"/>
  <c r="U20" i="32"/>
  <c r="V20" i="32"/>
  <c r="W20" i="32"/>
  <c r="X20" i="32"/>
  <c r="Y20" i="32"/>
  <c r="Z20" i="32"/>
  <c r="AB20" i="32"/>
  <c r="AC20" i="32"/>
  <c r="AD20" i="32"/>
  <c r="AE20" i="32"/>
  <c r="AF20" i="32"/>
  <c r="AG20" i="32"/>
  <c r="AH20" i="32"/>
  <c r="AI20" i="32"/>
  <c r="AJ20" i="32"/>
  <c r="AK20" i="32"/>
  <c r="AL20" i="32"/>
  <c r="AM20" i="32"/>
  <c r="AN20" i="32"/>
  <c r="AO20" i="32"/>
  <c r="AP20" i="32"/>
  <c r="AQ20" i="32"/>
  <c r="AR20" i="32"/>
  <c r="AS20" i="32"/>
  <c r="AT20" i="32"/>
  <c r="A23" i="32"/>
  <c r="H29" i="31"/>
  <c r="T2" i="14"/>
  <c r="X2" i="25"/>
  <c r="T2" i="25"/>
  <c r="L111" i="16" l="1"/>
  <c r="L59" i="16"/>
  <c r="L46" i="16"/>
  <c r="AJ7" i="32"/>
  <c r="AO4" i="32"/>
  <c r="AI7" i="32"/>
  <c r="AN4" i="32"/>
  <c r="AB4" i="32"/>
  <c r="AT7" i="32"/>
  <c r="AH7" i="32"/>
  <c r="V7" i="32"/>
  <c r="AM4" i="32"/>
  <c r="Z4" i="32"/>
  <c r="AS7" i="32"/>
  <c r="AG7" i="32"/>
  <c r="AL4" i="32"/>
  <c r="AR7" i="32"/>
  <c r="AF7" i="32"/>
  <c r="T7" i="32"/>
  <c r="AK4" i="32"/>
  <c r="Y4" i="32"/>
  <c r="X4" i="32"/>
  <c r="S7" i="32"/>
  <c r="X7" i="32"/>
  <c r="AC4" i="32"/>
  <c r="W7" i="32"/>
  <c r="AQ7" i="32"/>
  <c r="AE7" i="32"/>
  <c r="AJ4" i="32"/>
  <c r="AP7" i="32"/>
  <c r="AD7" i="32"/>
  <c r="AI4" i="32"/>
  <c r="W4" i="32"/>
  <c r="V4" i="32"/>
  <c r="Q4" i="32"/>
  <c r="AX3" i="32" s="1"/>
  <c r="Q10" i="32"/>
  <c r="U7" i="32"/>
  <c r="R7" i="32"/>
  <c r="AO7" i="32"/>
  <c r="AC7" i="32"/>
  <c r="AT4" i="32"/>
  <c r="AH4" i="32"/>
  <c r="AN7" i="32"/>
  <c r="AB7" i="32"/>
  <c r="AS4" i="32"/>
  <c r="AG4" i="32"/>
  <c r="U4" i="32"/>
  <c r="AM7" i="32"/>
  <c r="AR4" i="32"/>
  <c r="AF4" i="32"/>
  <c r="T4" i="32"/>
  <c r="AL7" i="32"/>
  <c r="Z7" i="32"/>
  <c r="AQ4" i="32"/>
  <c r="AE4" i="32"/>
  <c r="S4" i="32"/>
  <c r="AK7" i="32"/>
  <c r="Y7" i="32"/>
  <c r="AP4" i="32"/>
  <c r="AD4" i="32"/>
  <c r="R4" i="32"/>
  <c r="AP31" i="32"/>
  <c r="AD31" i="32"/>
  <c r="R31" i="32"/>
  <c r="F31" i="32"/>
  <c r="AM30" i="32"/>
  <c r="AA30" i="32"/>
  <c r="O30" i="32"/>
  <c r="C30" i="32"/>
  <c r="AS28" i="32"/>
  <c r="AG28" i="32"/>
  <c r="AP27" i="32"/>
  <c r="AD27" i="32"/>
  <c r="R27" i="32"/>
  <c r="F27" i="32"/>
  <c r="L25" i="32"/>
  <c r="AS25" i="32"/>
  <c r="AG25" i="32"/>
  <c r="U25" i="32"/>
  <c r="I25" i="32"/>
  <c r="AL31" i="32"/>
  <c r="Z31" i="32"/>
  <c r="Z10" i="32"/>
  <c r="D30" i="32"/>
  <c r="M31" i="32"/>
  <c r="V30" i="32"/>
  <c r="AK27" i="32"/>
  <c r="Y10" i="32"/>
  <c r="AE25" i="32"/>
  <c r="AD25" i="32"/>
  <c r="AT28" i="32"/>
  <c r="AH21" i="32"/>
  <c r="AG31" i="32"/>
  <c r="U31" i="32"/>
  <c r="AP30" i="32"/>
  <c r="AD30" i="32"/>
  <c r="R30" i="32"/>
  <c r="F30" i="32"/>
  <c r="X28" i="32"/>
  <c r="AS27" i="32"/>
  <c r="AG27" i="32"/>
  <c r="I27" i="32"/>
  <c r="AA25" i="32"/>
  <c r="O25" i="32"/>
  <c r="C25" i="32"/>
  <c r="AR31" i="32"/>
  <c r="AF31" i="32"/>
  <c r="T31" i="32"/>
  <c r="H31" i="32"/>
  <c r="AO30" i="32"/>
  <c r="AC30" i="32"/>
  <c r="Q30" i="32"/>
  <c r="AU28" i="32"/>
  <c r="AI28" i="32"/>
  <c r="W28" i="32"/>
  <c r="K28" i="32"/>
  <c r="AR27" i="32"/>
  <c r="AF27" i="32"/>
  <c r="AL25" i="32"/>
  <c r="Z25" i="32"/>
  <c r="N25" i="32"/>
  <c r="AS10" i="32"/>
  <c r="AG10" i="32"/>
  <c r="U10" i="32"/>
  <c r="I10" i="32"/>
  <c r="S31" i="32"/>
  <c r="AN30" i="32"/>
  <c r="AH28" i="32"/>
  <c r="V28" i="32"/>
  <c r="J28" i="32"/>
  <c r="AE27" i="32"/>
  <c r="AS31" i="32"/>
  <c r="I31" i="32"/>
  <c r="AM25" i="32"/>
  <c r="N31" i="32"/>
  <c r="AU30" i="32"/>
  <c r="AI30" i="32"/>
  <c r="W30" i="32"/>
  <c r="K30" i="32"/>
  <c r="AO28" i="32"/>
  <c r="N10" i="32"/>
  <c r="S21" i="32"/>
  <c r="G21" i="32"/>
  <c r="H21" i="32"/>
  <c r="T21" i="32"/>
  <c r="AC28" i="32"/>
  <c r="E28" i="32"/>
  <c r="AL27" i="32"/>
  <c r="Z27" i="32"/>
  <c r="AR25" i="32"/>
  <c r="AF25" i="32"/>
  <c r="T25" i="32"/>
  <c r="H25" i="32"/>
  <c r="S27" i="32"/>
  <c r="T27" i="32"/>
  <c r="N27" i="32"/>
  <c r="O28" i="32"/>
  <c r="AJ27" i="32"/>
  <c r="AP25" i="32"/>
  <c r="AG21" i="32"/>
  <c r="AE21" i="32"/>
  <c r="AK31" i="32"/>
  <c r="AT30" i="32"/>
  <c r="AB28" i="32"/>
  <c r="P28" i="32"/>
  <c r="G25" i="32"/>
  <c r="AS21" i="32"/>
  <c r="I21" i="32"/>
  <c r="H27" i="32"/>
  <c r="AJ28" i="32"/>
  <c r="U30" i="32"/>
  <c r="AA28" i="32"/>
  <c r="AJ21" i="32"/>
  <c r="AF21" i="32"/>
  <c r="AO25" i="32"/>
  <c r="Q25" i="32"/>
  <c r="E25" i="32"/>
  <c r="AU2" i="32"/>
  <c r="AI25" i="32"/>
  <c r="K2" i="32"/>
  <c r="K54" i="32" s="1"/>
  <c r="V25" i="32"/>
  <c r="J25" i="32"/>
  <c r="L30" i="32"/>
  <c r="AD28" i="32"/>
  <c r="O10" i="32"/>
  <c r="X30" i="32"/>
  <c r="AM27" i="32"/>
  <c r="AM10" i="32"/>
  <c r="AA27" i="32"/>
  <c r="AA10" i="32"/>
  <c r="C27" i="32"/>
  <c r="C10" i="32"/>
  <c r="C28" i="32"/>
  <c r="L21" i="32"/>
  <c r="AP13" i="32"/>
  <c r="F13" i="32"/>
  <c r="F25" i="32"/>
  <c r="AJ31" i="32"/>
  <c r="O27" i="32"/>
  <c r="AT21" i="32"/>
  <c r="V21" i="32"/>
  <c r="AL10" i="32"/>
  <c r="AO10" i="32"/>
  <c r="AC10" i="32"/>
  <c r="E10" i="32"/>
  <c r="AY3" i="32"/>
  <c r="AK25" i="32"/>
  <c r="Y25" i="32"/>
  <c r="M2" i="32"/>
  <c r="M55" i="32" s="1"/>
  <c r="M25" i="32"/>
  <c r="L27" i="32"/>
  <c r="AK10" i="32"/>
  <c r="M10" i="32"/>
  <c r="AN10" i="32"/>
  <c r="AB10" i="32"/>
  <c r="P10" i="32"/>
  <c r="D10" i="32"/>
  <c r="AJ25" i="32"/>
  <c r="X25" i="32"/>
  <c r="L2" i="32"/>
  <c r="L53" i="32" s="1"/>
  <c r="AM31" i="32"/>
  <c r="R28" i="32"/>
  <c r="AM28" i="32"/>
  <c r="AG30" i="32"/>
  <c r="O31" i="32"/>
  <c r="C31" i="32"/>
  <c r="AJ30" i="32"/>
  <c r="AP28" i="32"/>
  <c r="AN28" i="32"/>
  <c r="D28" i="32"/>
  <c r="Y27" i="32"/>
  <c r="M27" i="32"/>
  <c r="AQ13" i="32"/>
  <c r="AQ25" i="32"/>
  <c r="AE13" i="32"/>
  <c r="S13" i="32"/>
  <c r="S25" i="32"/>
  <c r="G13" i="32"/>
  <c r="F28" i="32"/>
  <c r="AA31" i="32"/>
  <c r="J30" i="32"/>
  <c r="J21" i="32"/>
  <c r="X31" i="32"/>
  <c r="L31" i="32"/>
  <c r="X21" i="32"/>
  <c r="X27" i="32"/>
  <c r="AD13" i="32"/>
  <c r="U21" i="32"/>
  <c r="R13" i="32"/>
  <c r="AZ14" i="32"/>
  <c r="AU21" i="32"/>
  <c r="AI21" i="32"/>
  <c r="W21" i="32"/>
  <c r="K21" i="32"/>
  <c r="AC13" i="32"/>
  <c r="AU31" i="32"/>
  <c r="AR21" i="32"/>
  <c r="Q31" i="32"/>
  <c r="Z21" i="32"/>
  <c r="AR28" i="32"/>
  <c r="T28" i="32"/>
  <c r="AC21" i="32"/>
  <c r="E21" i="32"/>
  <c r="K13" i="32"/>
  <c r="AH31" i="32"/>
  <c r="AQ30" i="32"/>
  <c r="Y28" i="32"/>
  <c r="AT27" i="32"/>
  <c r="V27" i="32"/>
  <c r="I30" i="32"/>
  <c r="AY14" i="32"/>
  <c r="AS13" i="32"/>
  <c r="AG13" i="32"/>
  <c r="U13" i="32"/>
  <c r="I13" i="32"/>
  <c r="AS30" i="32"/>
  <c r="E30" i="32"/>
  <c r="Q28" i="32"/>
  <c r="AQ27" i="32"/>
  <c r="AZ13" i="32"/>
  <c r="AR13" i="32"/>
  <c r="AF13" i="32"/>
  <c r="T13" i="32"/>
  <c r="H13" i="32"/>
  <c r="P30" i="32"/>
  <c r="AE31" i="32"/>
  <c r="I28" i="32"/>
  <c r="AZ2" i="32"/>
  <c r="AX13" i="32"/>
  <c r="AL13" i="32"/>
  <c r="Z13" i="32"/>
  <c r="N13" i="32"/>
  <c r="Y31" i="32"/>
  <c r="AH30" i="32"/>
  <c r="P13" i="32"/>
  <c r="AK13" i="32"/>
  <c r="Y13" i="32"/>
  <c r="M13" i="32"/>
  <c r="AM21" i="32"/>
  <c r="O21" i="32"/>
  <c r="AP21" i="32"/>
  <c r="R21" i="32"/>
  <c r="F21" i="32"/>
  <c r="AJ13" i="32"/>
  <c r="X13" i="32"/>
  <c r="W31" i="32"/>
  <c r="K31" i="32"/>
  <c r="AR30" i="32"/>
  <c r="AF30" i="32"/>
  <c r="T30" i="32"/>
  <c r="H30" i="32"/>
  <c r="AX2" i="32"/>
  <c r="AL28" i="32"/>
  <c r="Z28" i="32"/>
  <c r="N28" i="32"/>
  <c r="AZ3" i="32"/>
  <c r="AI27" i="32"/>
  <c r="W27" i="32"/>
  <c r="K27" i="32"/>
  <c r="AA21" i="32"/>
  <c r="C21" i="32"/>
  <c r="AD21" i="32"/>
  <c r="L13" i="32"/>
  <c r="AO31" i="32"/>
  <c r="AC31" i="32"/>
  <c r="AL21" i="32"/>
  <c r="N21" i="32"/>
  <c r="AF28" i="32"/>
  <c r="AO21" i="32"/>
  <c r="AX14" i="32"/>
  <c r="AI13" i="32"/>
  <c r="V31" i="32"/>
  <c r="AE30" i="32"/>
  <c r="G30" i="32"/>
  <c r="AK28" i="32"/>
  <c r="AH27" i="32"/>
  <c r="J27" i="32"/>
  <c r="R25" i="32"/>
  <c r="AI31" i="32"/>
  <c r="E31" i="32"/>
  <c r="H28" i="32"/>
  <c r="AU13" i="32"/>
  <c r="W13" i="32"/>
  <c r="AT31" i="32"/>
  <c r="J31" i="32"/>
  <c r="S30" i="32"/>
  <c r="M28" i="32"/>
  <c r="AB30" i="32"/>
  <c r="U28" i="32"/>
  <c r="G27" i="32"/>
  <c r="AQ21" i="32"/>
  <c r="AN31" i="32"/>
  <c r="AB31" i="32"/>
  <c r="P31" i="32"/>
  <c r="D31" i="32"/>
  <c r="AK21" i="32"/>
  <c r="Y21" i="32"/>
  <c r="M21" i="32"/>
  <c r="AQ28" i="32"/>
  <c r="AE28" i="32"/>
  <c r="S28" i="32"/>
  <c r="G28" i="32"/>
  <c r="AN21" i="32"/>
  <c r="AB21" i="32"/>
  <c r="P21" i="32"/>
  <c r="D21" i="32"/>
  <c r="AT13" i="32"/>
  <c r="AH13" i="32"/>
  <c r="V13" i="32"/>
  <c r="J13" i="32"/>
  <c r="AP10" i="32"/>
  <c r="AD10" i="32"/>
  <c r="R10" i="32"/>
  <c r="F10" i="32"/>
  <c r="AY2" i="32"/>
  <c r="L28" i="32"/>
  <c r="U27" i="32"/>
  <c r="AN25" i="32"/>
  <c r="AB25" i="32"/>
  <c r="P25" i="32"/>
  <c r="D25" i="32"/>
  <c r="AA2" i="32"/>
  <c r="O2" i="32"/>
  <c r="O44" i="32" s="1"/>
  <c r="C2" i="32"/>
  <c r="C40" i="32" s="1"/>
  <c r="AQ31" i="32"/>
  <c r="G31" i="32"/>
  <c r="AM13" i="32"/>
  <c r="AA13" i="32"/>
  <c r="O13" i="32"/>
  <c r="C13" i="32"/>
  <c r="N2" i="32"/>
  <c r="I2" i="32"/>
  <c r="I42" i="32" s="1"/>
  <c r="AJ10" i="32"/>
  <c r="X10" i="32"/>
  <c r="L10" i="32"/>
  <c r="H2" i="32"/>
  <c r="H50" i="32" s="1"/>
  <c r="G2" i="32"/>
  <c r="G41" i="32" s="1"/>
  <c r="F2" i="32"/>
  <c r="F41" i="32" s="1"/>
  <c r="E2" i="32"/>
  <c r="E54" i="32" s="1"/>
  <c r="P2" i="32"/>
  <c r="P55" i="32" s="1"/>
  <c r="D2" i="32"/>
  <c r="D42" i="32" s="1"/>
  <c r="AO13" i="32"/>
  <c r="J2" i="32"/>
  <c r="J40" i="32" s="1"/>
  <c r="AL30" i="32"/>
  <c r="Z30" i="32"/>
  <c r="N30" i="32"/>
  <c r="AO27" i="32"/>
  <c r="AC27" i="32"/>
  <c r="Q27" i="32"/>
  <c r="E27" i="32"/>
  <c r="AU25" i="32"/>
  <c r="W25" i="32"/>
  <c r="K25" i="32"/>
  <c r="AB13" i="32"/>
  <c r="D13" i="32"/>
  <c r="AK30" i="32"/>
  <c r="Y30" i="32"/>
  <c r="M30" i="32"/>
  <c r="AN27" i="32"/>
  <c r="AB27" i="32"/>
  <c r="P27" i="32"/>
  <c r="D27" i="32"/>
  <c r="AT25" i="32"/>
  <c r="AH25" i="32"/>
  <c r="Q21" i="32"/>
  <c r="AU10" i="32"/>
  <c r="AZ4" i="32" s="1"/>
  <c r="AI10" i="32"/>
  <c r="W10" i="32"/>
  <c r="K10" i="32"/>
  <c r="Q13" i="32"/>
  <c r="AN13" i="32"/>
  <c r="AY13" i="32"/>
  <c r="AT10" i="32"/>
  <c r="AH10" i="32"/>
  <c r="V10" i="32"/>
  <c r="J10" i="32"/>
  <c r="E13" i="32"/>
  <c r="AR10" i="32"/>
  <c r="AF10" i="32"/>
  <c r="T10" i="32"/>
  <c r="H10" i="32"/>
  <c r="AQ10" i="32"/>
  <c r="AE10" i="32"/>
  <c r="S10" i="32"/>
  <c r="G10" i="32"/>
  <c r="AU27" i="32"/>
  <c r="AC25" i="32"/>
  <c r="G4" i="14"/>
  <c r="H4" i="14"/>
  <c r="I4" i="14"/>
  <c r="J4" i="14"/>
  <c r="K4" i="14"/>
  <c r="L4" i="14"/>
  <c r="M4" i="14"/>
  <c r="N4" i="14"/>
  <c r="O4" i="14"/>
  <c r="P4" i="14"/>
  <c r="Q4" i="14"/>
  <c r="R4" i="14"/>
  <c r="S4" i="14"/>
  <c r="T4" i="14"/>
  <c r="AN2" i="32" l="1"/>
  <c r="AN40" i="32" s="1"/>
  <c r="AB2" i="32"/>
  <c r="AB50" i="32" s="1"/>
  <c r="AZ7" i="32"/>
  <c r="AZ8" i="32"/>
  <c r="AE2" i="32"/>
  <c r="AE40" i="32" s="1"/>
  <c r="AL2" i="32"/>
  <c r="AL39" i="32" s="1"/>
  <c r="AT2" i="32"/>
  <c r="AT50" i="32" s="1"/>
  <c r="AM2" i="32"/>
  <c r="AM50" i="32" s="1"/>
  <c r="T2" i="32"/>
  <c r="T50" i="32" s="1"/>
  <c r="AO2" i="32"/>
  <c r="AO43" i="32" s="1"/>
  <c r="AJ2" i="32"/>
  <c r="AJ51" i="32" s="1"/>
  <c r="AK2" i="32"/>
  <c r="AK41" i="32" s="1"/>
  <c r="AS2" i="32"/>
  <c r="AS54" i="32" s="1"/>
  <c r="W2" i="32"/>
  <c r="W41" i="32" s="1"/>
  <c r="AH2" i="32"/>
  <c r="AH43" i="32" s="1"/>
  <c r="Z2" i="32"/>
  <c r="Z43" i="32" s="1"/>
  <c r="AI2" i="32"/>
  <c r="AI24" i="32" s="1"/>
  <c r="AF2" i="32"/>
  <c r="AF54" i="32" s="1"/>
  <c r="AR2" i="32"/>
  <c r="AR53" i="32" s="1"/>
  <c r="AC2" i="32"/>
  <c r="AC52" i="32" s="1"/>
  <c r="Y2" i="32"/>
  <c r="Y43" i="32" s="1"/>
  <c r="AG2" i="32"/>
  <c r="AG50" i="32" s="1"/>
  <c r="V2" i="32"/>
  <c r="V54" i="32" s="1"/>
  <c r="X2" i="32"/>
  <c r="X39" i="32" s="1"/>
  <c r="S2" i="32"/>
  <c r="S41" i="32" s="1"/>
  <c r="AQ2" i="32"/>
  <c r="AQ40" i="32" s="1"/>
  <c r="AP2" i="32"/>
  <c r="AP53" i="32" s="1"/>
  <c r="AD2" i="32"/>
  <c r="AD41" i="32" s="1"/>
  <c r="AX4" i="32"/>
  <c r="U2" i="32"/>
  <c r="U50" i="32" s="1"/>
  <c r="R2" i="32"/>
  <c r="R41" i="32" s="1"/>
  <c r="Q2" i="32"/>
  <c r="AX8" i="32" s="1"/>
  <c r="R26" i="32"/>
  <c r="AA42" i="32"/>
  <c r="AY9" i="32"/>
  <c r="AY8" i="32"/>
  <c r="AU44" i="32"/>
  <c r="AZ9" i="32"/>
  <c r="AY7" i="32"/>
  <c r="F26" i="32"/>
  <c r="AD26" i="32"/>
  <c r="C29" i="32"/>
  <c r="AG26" i="32"/>
  <c r="AS26" i="32"/>
  <c r="C32" i="32"/>
  <c r="K32" i="32"/>
  <c r="K29" i="32"/>
  <c r="O29" i="32"/>
  <c r="W26" i="32"/>
  <c r="AM29" i="32"/>
  <c r="F29" i="32"/>
  <c r="R29" i="32"/>
  <c r="AD29" i="32"/>
  <c r="AP32" i="32"/>
  <c r="AM32" i="32"/>
  <c r="AA29" i="32"/>
  <c r="AP26" i="32"/>
  <c r="F32" i="32"/>
  <c r="V29" i="32"/>
  <c r="H29" i="32"/>
  <c r="AK26" i="32"/>
  <c r="AU24" i="32"/>
  <c r="L41" i="32"/>
  <c r="K39" i="32"/>
  <c r="J26" i="32"/>
  <c r="AC29" i="32"/>
  <c r="AO29" i="32"/>
  <c r="R32" i="32"/>
  <c r="K45" i="32"/>
  <c r="AI29" i="32"/>
  <c r="AH26" i="32"/>
  <c r="AL26" i="32"/>
  <c r="Q29" i="32"/>
  <c r="D29" i="32"/>
  <c r="AN29" i="32"/>
  <c r="AT26" i="32"/>
  <c r="K42" i="32"/>
  <c r="E24" i="32"/>
  <c r="U29" i="32"/>
  <c r="K40" i="32"/>
  <c r="AF26" i="32"/>
  <c r="V26" i="32"/>
  <c r="AR32" i="32"/>
  <c r="N24" i="32"/>
  <c r="T29" i="32"/>
  <c r="AD32" i="32"/>
  <c r="L55" i="32"/>
  <c r="H26" i="32"/>
  <c r="AE26" i="32"/>
  <c r="AP29" i="32"/>
  <c r="Z26" i="32"/>
  <c r="AR26" i="32"/>
  <c r="S29" i="32"/>
  <c r="AJ26" i="32"/>
  <c r="H45" i="32"/>
  <c r="AF29" i="32"/>
  <c r="O26" i="32"/>
  <c r="G32" i="32"/>
  <c r="N26" i="32"/>
  <c r="W29" i="32"/>
  <c r="I26" i="32"/>
  <c r="AU29" i="32"/>
  <c r="AI32" i="32"/>
  <c r="AH29" i="32"/>
  <c r="S26" i="32"/>
  <c r="D51" i="32"/>
  <c r="P51" i="32"/>
  <c r="AT29" i="32"/>
  <c r="AH32" i="32"/>
  <c r="P29" i="32"/>
  <c r="T26" i="32"/>
  <c r="AJ29" i="32"/>
  <c r="AQ32" i="32"/>
  <c r="AF32" i="32"/>
  <c r="D56" i="32"/>
  <c r="AQ26" i="32"/>
  <c r="E50" i="32"/>
  <c r="K41" i="32"/>
  <c r="K55" i="32"/>
  <c r="M26" i="32"/>
  <c r="J56" i="32"/>
  <c r="J32" i="32"/>
  <c r="AA26" i="32"/>
  <c r="P50" i="32"/>
  <c r="K52" i="32"/>
  <c r="K43" i="32"/>
  <c r="K65" i="32" s="1"/>
  <c r="K50" i="32"/>
  <c r="G29" i="32"/>
  <c r="L24" i="32"/>
  <c r="K24" i="32"/>
  <c r="L43" i="32"/>
  <c r="K53" i="32"/>
  <c r="K56" i="32"/>
  <c r="K44" i="32"/>
  <c r="G26" i="32"/>
  <c r="AE29" i="32"/>
  <c r="K51" i="32"/>
  <c r="F55" i="32"/>
  <c r="P24" i="32"/>
  <c r="AU41" i="32"/>
  <c r="AU54" i="32"/>
  <c r="J42" i="32"/>
  <c r="AU42" i="32"/>
  <c r="AU55" i="32"/>
  <c r="AX55" i="32" s="1"/>
  <c r="W32" i="32"/>
  <c r="I44" i="32"/>
  <c r="M54" i="32"/>
  <c r="AU40" i="32"/>
  <c r="E44" i="32"/>
  <c r="M56" i="32"/>
  <c r="M53" i="32"/>
  <c r="E29" i="32"/>
  <c r="AU50" i="32"/>
  <c r="C54" i="32"/>
  <c r="M51" i="32"/>
  <c r="AU39" i="32"/>
  <c r="AI26" i="32"/>
  <c r="AU52" i="32"/>
  <c r="D52" i="32"/>
  <c r="AU43" i="32"/>
  <c r="D45" i="32"/>
  <c r="P44" i="32"/>
  <c r="C50" i="32"/>
  <c r="AU51" i="32"/>
  <c r="AE32" i="32"/>
  <c r="AB29" i="32"/>
  <c r="AU53" i="32"/>
  <c r="I43" i="32"/>
  <c r="AJ32" i="32"/>
  <c r="P40" i="32"/>
  <c r="C52" i="32"/>
  <c r="K26" i="32"/>
  <c r="C24" i="32"/>
  <c r="V32" i="32"/>
  <c r="AR29" i="32"/>
  <c r="C42" i="32"/>
  <c r="M41" i="32"/>
  <c r="E55" i="32"/>
  <c r="P42" i="32"/>
  <c r="F51" i="32"/>
  <c r="E51" i="32"/>
  <c r="F56" i="32"/>
  <c r="O32" i="32"/>
  <c r="E56" i="32"/>
  <c r="L29" i="32"/>
  <c r="E53" i="32"/>
  <c r="F53" i="32"/>
  <c r="M50" i="32"/>
  <c r="D50" i="32"/>
  <c r="AA32" i="32"/>
  <c r="AY4" i="32"/>
  <c r="AA45" i="32"/>
  <c r="H41" i="32"/>
  <c r="H39" i="32"/>
  <c r="H61" i="32" s="1"/>
  <c r="N41" i="32"/>
  <c r="D54" i="32"/>
  <c r="H42" i="32"/>
  <c r="D40" i="32"/>
  <c r="L26" i="32"/>
  <c r="L32" i="32"/>
  <c r="N39" i="32"/>
  <c r="D53" i="32"/>
  <c r="AA40" i="32"/>
  <c r="AU45" i="32"/>
  <c r="S32" i="32"/>
  <c r="P43" i="32"/>
  <c r="P39" i="32"/>
  <c r="P41" i="32"/>
  <c r="I40" i="32"/>
  <c r="P56" i="32"/>
  <c r="P54" i="32"/>
  <c r="E39" i="32"/>
  <c r="N42" i="32"/>
  <c r="J29" i="32"/>
  <c r="P52" i="32"/>
  <c r="AA41" i="32"/>
  <c r="N44" i="32"/>
  <c r="P45" i="32"/>
  <c r="P53" i="32"/>
  <c r="J50" i="32"/>
  <c r="AX15" i="32"/>
  <c r="AT32" i="32"/>
  <c r="U26" i="32"/>
  <c r="U32" i="32"/>
  <c r="J53" i="32"/>
  <c r="H52" i="32"/>
  <c r="N54" i="32"/>
  <c r="I52" i="32"/>
  <c r="L52" i="32"/>
  <c r="L42" i="32"/>
  <c r="L64" i="32" s="1"/>
  <c r="L54" i="32"/>
  <c r="L50" i="32"/>
  <c r="L48" i="32" s="1"/>
  <c r="L40" i="32"/>
  <c r="L44" i="32"/>
  <c r="AM26" i="32"/>
  <c r="O42" i="32"/>
  <c r="G43" i="32"/>
  <c r="J45" i="32"/>
  <c r="H32" i="32"/>
  <c r="L45" i="32"/>
  <c r="F43" i="32"/>
  <c r="N56" i="32"/>
  <c r="C56" i="32"/>
  <c r="I45" i="32"/>
  <c r="G51" i="32"/>
  <c r="H51" i="32"/>
  <c r="X26" i="32"/>
  <c r="X32" i="32"/>
  <c r="F42" i="32"/>
  <c r="M45" i="32"/>
  <c r="I54" i="32"/>
  <c r="E45" i="32"/>
  <c r="G50" i="32"/>
  <c r="AA53" i="32"/>
  <c r="AA43" i="32"/>
  <c r="AA39" i="32"/>
  <c r="AA51" i="32"/>
  <c r="AA55" i="32"/>
  <c r="AW55" i="32" s="1"/>
  <c r="AA52" i="32"/>
  <c r="AA24" i="32"/>
  <c r="D43" i="32"/>
  <c r="D39" i="32"/>
  <c r="D41" i="32"/>
  <c r="D55" i="32"/>
  <c r="D24" i="32"/>
  <c r="F24" i="32"/>
  <c r="E52" i="32"/>
  <c r="E41" i="32"/>
  <c r="F45" i="32"/>
  <c r="AA54" i="32"/>
  <c r="G55" i="32"/>
  <c r="E43" i="32"/>
  <c r="E65" i="32" s="1"/>
  <c r="H54" i="32"/>
  <c r="G53" i="32"/>
  <c r="M43" i="32"/>
  <c r="E40" i="32"/>
  <c r="G54" i="32"/>
  <c r="X29" i="32"/>
  <c r="J24" i="32"/>
  <c r="J41" i="32"/>
  <c r="J43" i="32"/>
  <c r="J39" i="32"/>
  <c r="G24" i="32"/>
  <c r="T32" i="32"/>
  <c r="AY15" i="32"/>
  <c r="AA56" i="32"/>
  <c r="J52" i="32"/>
  <c r="H40" i="32"/>
  <c r="G56" i="32"/>
  <c r="C44" i="32"/>
  <c r="J51" i="32"/>
  <c r="J62" i="32" s="1"/>
  <c r="H56" i="32"/>
  <c r="J54" i="32"/>
  <c r="G45" i="32"/>
  <c r="I24" i="32"/>
  <c r="I55" i="32"/>
  <c r="I51" i="32"/>
  <c r="I41" i="32"/>
  <c r="I39" i="32"/>
  <c r="I53" i="32"/>
  <c r="I64" i="32" s="1"/>
  <c r="I50" i="32"/>
  <c r="G52" i="32"/>
  <c r="G63" i="32" s="1"/>
  <c r="E42" i="32"/>
  <c r="I29" i="32"/>
  <c r="I32" i="32"/>
  <c r="AQ29" i="32"/>
  <c r="O52" i="32"/>
  <c r="M24" i="32"/>
  <c r="M42" i="32"/>
  <c r="M40" i="32"/>
  <c r="M44" i="32"/>
  <c r="M66" i="32" s="1"/>
  <c r="J55" i="32"/>
  <c r="AA44" i="32"/>
  <c r="O45" i="32"/>
  <c r="N55" i="32"/>
  <c r="N51" i="32"/>
  <c r="N40" i="32"/>
  <c r="F54" i="32"/>
  <c r="F50" i="32"/>
  <c r="F44" i="32"/>
  <c r="F40" i="32"/>
  <c r="F52" i="32"/>
  <c r="F63" i="32" s="1"/>
  <c r="H43" i="32"/>
  <c r="J44" i="32"/>
  <c r="O54" i="32"/>
  <c r="H55" i="32"/>
  <c r="G39" i="32"/>
  <c r="AZ15" i="32"/>
  <c r="AU56" i="32"/>
  <c r="I56" i="32"/>
  <c r="H53" i="32"/>
  <c r="H48" i="32" s="1"/>
  <c r="N45" i="32"/>
  <c r="N43" i="32"/>
  <c r="L39" i="32"/>
  <c r="O53" i="32"/>
  <c r="O43" i="32"/>
  <c r="O39" i="32"/>
  <c r="O55" i="32"/>
  <c r="O66" i="32" s="1"/>
  <c r="O51" i="32"/>
  <c r="O41" i="32"/>
  <c r="O50" i="32"/>
  <c r="O56" i="32"/>
  <c r="H44" i="32"/>
  <c r="M39" i="32"/>
  <c r="D44" i="32"/>
  <c r="L51" i="32"/>
  <c r="C45" i="32"/>
  <c r="G40" i="32"/>
  <c r="G42" i="32"/>
  <c r="G44" i="32"/>
  <c r="AS29" i="32"/>
  <c r="AS32" i="32"/>
  <c r="N50" i="32"/>
  <c r="N52" i="32"/>
  <c r="AG29" i="32"/>
  <c r="AG32" i="32"/>
  <c r="O24" i="32"/>
  <c r="H24" i="32"/>
  <c r="N53" i="32"/>
  <c r="O40" i="32"/>
  <c r="C53" i="32"/>
  <c r="C43" i="32"/>
  <c r="C39" i="32"/>
  <c r="C55" i="32"/>
  <c r="C51" i="32"/>
  <c r="C62" i="32" s="1"/>
  <c r="C41" i="32"/>
  <c r="F39" i="32"/>
  <c r="AA50" i="32"/>
  <c r="Y26" i="32"/>
  <c r="M52" i="32"/>
  <c r="L56" i="32"/>
  <c r="C26" i="32"/>
  <c r="AO32" i="32"/>
  <c r="AO26" i="32"/>
  <c r="N32" i="32"/>
  <c r="N29" i="32"/>
  <c r="AL32" i="32"/>
  <c r="AL29" i="32"/>
  <c r="D26" i="32"/>
  <c r="D32" i="32"/>
  <c r="P26" i="32"/>
  <c r="P32" i="32"/>
  <c r="AB32" i="32"/>
  <c r="AB26" i="32"/>
  <c r="AN32" i="32"/>
  <c r="AN26" i="32"/>
  <c r="M32" i="32"/>
  <c r="M29" i="32"/>
  <c r="Y32" i="32"/>
  <c r="Y29" i="32"/>
  <c r="Z32" i="32"/>
  <c r="Z29" i="32"/>
  <c r="AU26" i="32"/>
  <c r="AU32" i="32"/>
  <c r="AK32" i="32"/>
  <c r="AK29" i="32"/>
  <c r="E32" i="32"/>
  <c r="E26" i="32"/>
  <c r="Q32" i="32"/>
  <c r="Q26" i="32"/>
  <c r="AC32" i="32"/>
  <c r="AC26" i="32"/>
  <c r="Q120" i="16"/>
  <c r="P120" i="16"/>
  <c r="Q107" i="16"/>
  <c r="O107" i="16"/>
  <c r="Q94" i="16"/>
  <c r="Q81" i="16"/>
  <c r="P81" i="16"/>
  <c r="O81" i="16"/>
  <c r="Q68" i="16"/>
  <c r="O68" i="16"/>
  <c r="Q29" i="16"/>
  <c r="Q16" i="16"/>
  <c r="O16" i="16"/>
  <c r="F128" i="16"/>
  <c r="D1" i="2"/>
  <c r="E1" i="2" s="1"/>
  <c r="F1" i="2" s="1"/>
  <c r="G1" i="2" s="1"/>
  <c r="H1" i="2" s="1"/>
  <c r="I1" i="2" s="1"/>
  <c r="J1" i="2" s="1"/>
  <c r="K1" i="2" s="1"/>
  <c r="L1" i="2" s="1"/>
  <c r="M1" i="2" s="1"/>
  <c r="N1" i="2" s="1"/>
  <c r="O1" i="2" s="1"/>
  <c r="P1" i="2" s="1"/>
  <c r="Q1" i="2" s="1"/>
  <c r="R1" i="2" s="1"/>
  <c r="S1" i="2" s="1"/>
  <c r="T1" i="2" s="1"/>
  <c r="U1" i="2" s="1"/>
  <c r="V1" i="2" s="1"/>
  <c r="W1" i="2" s="1"/>
  <c r="X1" i="2" s="1"/>
  <c r="Y1" i="2" s="1"/>
  <c r="Z1" i="2" s="1"/>
  <c r="AA1" i="2" s="1"/>
  <c r="AB1" i="2" s="1"/>
  <c r="AC1" i="2" s="1"/>
  <c r="AD1" i="2" s="1"/>
  <c r="AE1" i="2" s="1"/>
  <c r="AF1" i="2" s="1"/>
  <c r="AG1" i="2" s="1"/>
  <c r="AH1" i="2" s="1"/>
  <c r="AI1" i="2" s="1"/>
  <c r="AJ1" i="2" s="1"/>
  <c r="AK1" i="2" s="1"/>
  <c r="AL1" i="2" s="1"/>
  <c r="AM1" i="2" s="1"/>
  <c r="AN1" i="2" s="1"/>
  <c r="AO1" i="2" s="1"/>
  <c r="AP1" i="2" s="1"/>
  <c r="AQ1" i="2" s="1"/>
  <c r="AR1" i="2" s="1"/>
  <c r="AS1" i="2" s="1"/>
  <c r="AT1" i="2" s="1"/>
  <c r="AU1" i="2" s="1"/>
  <c r="AV1" i="2" s="1"/>
  <c r="AW1" i="2" s="1"/>
  <c r="AN39" i="32" l="1"/>
  <c r="AN43" i="32"/>
  <c r="AN42" i="32"/>
  <c r="AN44" i="32"/>
  <c r="AN52" i="32"/>
  <c r="AN54" i="32"/>
  <c r="AN24" i="32"/>
  <c r="AN41" i="32"/>
  <c r="AN55" i="32"/>
  <c r="AN56" i="32"/>
  <c r="AN53" i="32"/>
  <c r="AN45" i="32"/>
  <c r="AN50" i="32"/>
  <c r="AN61" i="32" s="1"/>
  <c r="AN51" i="32"/>
  <c r="AN62" i="32" s="1"/>
  <c r="AE39" i="32"/>
  <c r="AI52" i="32"/>
  <c r="AB24" i="32"/>
  <c r="AB52" i="32"/>
  <c r="AE50" i="32"/>
  <c r="AE43" i="32"/>
  <c r="AE42" i="32"/>
  <c r="AE53" i="32"/>
  <c r="AB40" i="32"/>
  <c r="AL55" i="32"/>
  <c r="AE55" i="32"/>
  <c r="T42" i="32"/>
  <c r="T51" i="32"/>
  <c r="AL50" i="32"/>
  <c r="AL61" i="32" s="1"/>
  <c r="AT45" i="32"/>
  <c r="AE24" i="32"/>
  <c r="AB54" i="32"/>
  <c r="T40" i="32"/>
  <c r="AB45" i="32"/>
  <c r="AL45" i="32"/>
  <c r="AB42" i="32"/>
  <c r="AB44" i="32"/>
  <c r="AB53" i="32"/>
  <c r="AB48" i="32" s="1"/>
  <c r="AB55" i="32"/>
  <c r="AB41" i="32"/>
  <c r="Y42" i="32"/>
  <c r="AB39" i="32"/>
  <c r="AB61" i="32" s="1"/>
  <c r="AB56" i="32"/>
  <c r="AB51" i="32"/>
  <c r="Y24" i="32"/>
  <c r="T52" i="32"/>
  <c r="AB43" i="32"/>
  <c r="AE44" i="32"/>
  <c r="AE54" i="32"/>
  <c r="AE41" i="32"/>
  <c r="AE51" i="32"/>
  <c r="AE62" i="32" s="1"/>
  <c r="AK45" i="32"/>
  <c r="AM42" i="32"/>
  <c r="AT44" i="32"/>
  <c r="AM55" i="32"/>
  <c r="AR56" i="32"/>
  <c r="AE52" i="32"/>
  <c r="AE45" i="32"/>
  <c r="AM39" i="32"/>
  <c r="AM61" i="32" s="1"/>
  <c r="AM53" i="32"/>
  <c r="AM48" i="32" s="1"/>
  <c r="AT40" i="32"/>
  <c r="AR54" i="32"/>
  <c r="AT39" i="32"/>
  <c r="AR50" i="32"/>
  <c r="AR48" i="32" s="1"/>
  <c r="AI53" i="32"/>
  <c r="AL44" i="32"/>
  <c r="AT43" i="32"/>
  <c r="AT54" i="32"/>
  <c r="AC55" i="32"/>
  <c r="AL54" i="32"/>
  <c r="AT53" i="32"/>
  <c r="AT48" i="32" s="1"/>
  <c r="AE56" i="32"/>
  <c r="AO56" i="32"/>
  <c r="T55" i="32"/>
  <c r="AL41" i="32"/>
  <c r="AO42" i="32"/>
  <c r="AO45" i="32"/>
  <c r="AG41" i="32"/>
  <c r="T54" i="32"/>
  <c r="Y39" i="32"/>
  <c r="AL24" i="32"/>
  <c r="AJ42" i="32"/>
  <c r="Q54" i="32"/>
  <c r="AT56" i="32"/>
  <c r="AT42" i="32"/>
  <c r="T56" i="32"/>
  <c r="AT55" i="32"/>
  <c r="AT52" i="32"/>
  <c r="AL43" i="32"/>
  <c r="AT41" i="32"/>
  <c r="T53" i="32"/>
  <c r="T48" i="32" s="1"/>
  <c r="AT24" i="32"/>
  <c r="Q43" i="32"/>
  <c r="AM44" i="32"/>
  <c r="AL40" i="32"/>
  <c r="AO50" i="32"/>
  <c r="AL56" i="32"/>
  <c r="AO54" i="32"/>
  <c r="AO65" i="32" s="1"/>
  <c r="AO53" i="32"/>
  <c r="AO41" i="32"/>
  <c r="AO44" i="32"/>
  <c r="AL53" i="32"/>
  <c r="AO40" i="32"/>
  <c r="T45" i="32"/>
  <c r="AO52" i="32"/>
  <c r="AO39" i="32"/>
  <c r="AL42" i="32"/>
  <c r="AL37" i="32" s="1"/>
  <c r="AO51" i="32"/>
  <c r="AG51" i="32"/>
  <c r="AL51" i="32"/>
  <c r="AL52" i="32"/>
  <c r="AM40" i="32"/>
  <c r="AM45" i="32"/>
  <c r="AM41" i="32"/>
  <c r="AC24" i="32"/>
  <c r="AM54" i="32"/>
  <c r="Q51" i="32"/>
  <c r="AC54" i="32"/>
  <c r="AC56" i="32"/>
  <c r="AM52" i="32"/>
  <c r="AM56" i="32"/>
  <c r="AK50" i="32"/>
  <c r="AC40" i="32"/>
  <c r="Q40" i="32"/>
  <c r="Q56" i="32"/>
  <c r="AS53" i="32"/>
  <c r="AK53" i="32"/>
  <c r="AS39" i="32"/>
  <c r="X40" i="32"/>
  <c r="AS45" i="32"/>
  <c r="AT51" i="32"/>
  <c r="AJ24" i="32"/>
  <c r="AJ52" i="32"/>
  <c r="T24" i="32"/>
  <c r="AJ41" i="32"/>
  <c r="AK40" i="32"/>
  <c r="AK51" i="32"/>
  <c r="AK44" i="32"/>
  <c r="AK42" i="32"/>
  <c r="AK43" i="32"/>
  <c r="Y53" i="32"/>
  <c r="AK24" i="32"/>
  <c r="AK55" i="32"/>
  <c r="AJ56" i="32"/>
  <c r="AG39" i="32"/>
  <c r="AG61" i="32" s="1"/>
  <c r="AJ53" i="32"/>
  <c r="Q39" i="32"/>
  <c r="AM43" i="32"/>
  <c r="AJ45" i="32"/>
  <c r="Y56" i="32"/>
  <c r="AJ55" i="32"/>
  <c r="AM24" i="32"/>
  <c r="AJ54" i="32"/>
  <c r="AG40" i="32"/>
  <c r="AJ39" i="32"/>
  <c r="AI40" i="32"/>
  <c r="AJ50" i="32"/>
  <c r="AJ43" i="32"/>
  <c r="AJ44" i="32"/>
  <c r="Y55" i="32"/>
  <c r="Y54" i="32"/>
  <c r="Y65" i="32" s="1"/>
  <c r="T44" i="32"/>
  <c r="Y40" i="32"/>
  <c r="AO55" i="32"/>
  <c r="AJ40" i="32"/>
  <c r="AJ62" i="32" s="1"/>
  <c r="AC53" i="32"/>
  <c r="AS52" i="32"/>
  <c r="T41" i="32"/>
  <c r="AM51" i="32"/>
  <c r="AS43" i="32"/>
  <c r="AS65" i="32" s="1"/>
  <c r="X53" i="32"/>
  <c r="AF44" i="32"/>
  <c r="AI43" i="32"/>
  <c r="AF53" i="32"/>
  <c r="U44" i="32"/>
  <c r="AI42" i="32"/>
  <c r="AI44" i="32"/>
  <c r="AP40" i="32"/>
  <c r="AF43" i="32"/>
  <c r="AF65" i="32" s="1"/>
  <c r="U24" i="32"/>
  <c r="AI45" i="32"/>
  <c r="AF56" i="32"/>
  <c r="AF45" i="32"/>
  <c r="AI55" i="32"/>
  <c r="AP51" i="32"/>
  <c r="AQ53" i="32"/>
  <c r="W40" i="32"/>
  <c r="U52" i="32"/>
  <c r="AI54" i="32"/>
  <c r="AI39" i="32"/>
  <c r="AI51" i="32"/>
  <c r="AI56" i="32"/>
  <c r="AH24" i="32"/>
  <c r="AF42" i="32"/>
  <c r="U53" i="32"/>
  <c r="U48" i="32" s="1"/>
  <c r="AI50" i="32"/>
  <c r="Z56" i="32"/>
  <c r="AH39" i="32"/>
  <c r="W43" i="32"/>
  <c r="Q44" i="32"/>
  <c r="AP24" i="32"/>
  <c r="Z40" i="32"/>
  <c r="AH45" i="32"/>
  <c r="AH40" i="32"/>
  <c r="AH50" i="32"/>
  <c r="AS55" i="32"/>
  <c r="Z45" i="32"/>
  <c r="Z41" i="32"/>
  <c r="T39" i="32"/>
  <c r="T61" i="32" s="1"/>
  <c r="AH41" i="32"/>
  <c r="T43" i="32"/>
  <c r="AR24" i="32"/>
  <c r="AP55" i="32"/>
  <c r="AK54" i="32"/>
  <c r="AO24" i="32"/>
  <c r="AP42" i="32"/>
  <c r="AP64" i="32" s="1"/>
  <c r="AH54" i="32"/>
  <c r="AH65" i="32" s="1"/>
  <c r="AH51" i="32"/>
  <c r="AS41" i="32"/>
  <c r="AH55" i="32"/>
  <c r="R52" i="32"/>
  <c r="R63" i="32" s="1"/>
  <c r="AS51" i="32"/>
  <c r="R40" i="32"/>
  <c r="AH52" i="32"/>
  <c r="R24" i="32"/>
  <c r="AS56" i="32"/>
  <c r="Z51" i="32"/>
  <c r="Z54" i="32"/>
  <c r="Z65" i="32" s="1"/>
  <c r="Z44" i="32"/>
  <c r="AP54" i="32"/>
  <c r="AQ54" i="32"/>
  <c r="AP43" i="32"/>
  <c r="AS24" i="32"/>
  <c r="R50" i="32"/>
  <c r="AR52" i="32"/>
  <c r="R53" i="32"/>
  <c r="W56" i="32"/>
  <c r="R39" i="32"/>
  <c r="Z53" i="32"/>
  <c r="AR40" i="32"/>
  <c r="AD54" i="32"/>
  <c r="AR42" i="32"/>
  <c r="AR64" i="32" s="1"/>
  <c r="Z52" i="32"/>
  <c r="AR41" i="32"/>
  <c r="Z42" i="32"/>
  <c r="Z39" i="32"/>
  <c r="AD45" i="32"/>
  <c r="AH44" i="32"/>
  <c r="AP56" i="32"/>
  <c r="AP50" i="32"/>
  <c r="AP48" i="32" s="1"/>
  <c r="W53" i="32"/>
  <c r="AH42" i="32"/>
  <c r="AS42" i="32"/>
  <c r="AP41" i="32"/>
  <c r="AP39" i="32"/>
  <c r="AQ43" i="32"/>
  <c r="AK56" i="32"/>
  <c r="U43" i="32"/>
  <c r="Z24" i="32"/>
  <c r="AH56" i="32"/>
  <c r="AP52" i="32"/>
  <c r="AF50" i="32"/>
  <c r="AS50" i="32"/>
  <c r="W42" i="32"/>
  <c r="AS44" i="32"/>
  <c r="AK39" i="32"/>
  <c r="W50" i="32"/>
  <c r="AS40" i="32"/>
  <c r="AQ52" i="32"/>
  <c r="AG54" i="32"/>
  <c r="AG43" i="32"/>
  <c r="AQ51" i="32"/>
  <c r="AQ62" i="32" s="1"/>
  <c r="W54" i="32"/>
  <c r="AQ24" i="32"/>
  <c r="AC42" i="32"/>
  <c r="U55" i="32"/>
  <c r="Z50" i="32"/>
  <c r="AH53" i="32"/>
  <c r="AK52" i="32"/>
  <c r="AK63" i="32" s="1"/>
  <c r="U56" i="32"/>
  <c r="AP44" i="32"/>
  <c r="AC41" i="32"/>
  <c r="AC63" i="32" s="1"/>
  <c r="AI41" i="32"/>
  <c r="W45" i="32"/>
  <c r="W44" i="32"/>
  <c r="Z55" i="32"/>
  <c r="AF51" i="32"/>
  <c r="AX40" i="32"/>
  <c r="AQ41" i="32"/>
  <c r="W51" i="32"/>
  <c r="W39" i="32"/>
  <c r="AQ45" i="32"/>
  <c r="W52" i="32"/>
  <c r="W63" i="32" s="1"/>
  <c r="W55" i="32"/>
  <c r="AQ42" i="32"/>
  <c r="W24" i="32"/>
  <c r="AG44" i="32"/>
  <c r="S44" i="32"/>
  <c r="X45" i="32"/>
  <c r="Y50" i="32"/>
  <c r="S42" i="32"/>
  <c r="S50" i="32"/>
  <c r="X51" i="32"/>
  <c r="U41" i="32"/>
  <c r="V50" i="32"/>
  <c r="AR39" i="32"/>
  <c r="AF41" i="32"/>
  <c r="Q24" i="32"/>
  <c r="Y44" i="32"/>
  <c r="AG24" i="32"/>
  <c r="V55" i="32"/>
  <c r="U51" i="32"/>
  <c r="AD55" i="32"/>
  <c r="U54" i="32"/>
  <c r="V45" i="32"/>
  <c r="AF40" i="32"/>
  <c r="S55" i="32"/>
  <c r="S51" i="32"/>
  <c r="S56" i="32"/>
  <c r="AP45" i="32"/>
  <c r="X50" i="32"/>
  <c r="X61" i="32" s="1"/>
  <c r="X54" i="32"/>
  <c r="S54" i="32"/>
  <c r="X42" i="32"/>
  <c r="X37" i="32" s="1"/>
  <c r="S52" i="32"/>
  <c r="S63" i="32" s="1"/>
  <c r="S24" i="32"/>
  <c r="X52" i="32"/>
  <c r="X55" i="32"/>
  <c r="X43" i="32"/>
  <c r="X41" i="32"/>
  <c r="S53" i="32"/>
  <c r="V39" i="32"/>
  <c r="X56" i="32"/>
  <c r="X24" i="32"/>
  <c r="V51" i="32"/>
  <c r="V40" i="32"/>
  <c r="V41" i="32"/>
  <c r="AU61" i="32"/>
  <c r="U45" i="32"/>
  <c r="S40" i="32"/>
  <c r="U42" i="32"/>
  <c r="AD50" i="32"/>
  <c r="AG53" i="32"/>
  <c r="AG48" i="32" s="1"/>
  <c r="U39" i="32"/>
  <c r="U61" i="32" s="1"/>
  <c r="AC43" i="32"/>
  <c r="V24" i="32"/>
  <c r="Q53" i="32"/>
  <c r="X44" i="32"/>
  <c r="Q41" i="32"/>
  <c r="AF55" i="32"/>
  <c r="AR44" i="32"/>
  <c r="S45" i="32"/>
  <c r="AD42" i="32"/>
  <c r="R42" i="32"/>
  <c r="R44" i="32"/>
  <c r="Q45" i="32"/>
  <c r="AC44" i="32"/>
  <c r="AC51" i="32"/>
  <c r="AF39" i="32"/>
  <c r="AR55" i="32"/>
  <c r="AQ50" i="32"/>
  <c r="AF24" i="32"/>
  <c r="AQ56" i="32"/>
  <c r="AD52" i="32"/>
  <c r="AD63" i="32" s="1"/>
  <c r="AG45" i="32"/>
  <c r="V44" i="32"/>
  <c r="Y41" i="32"/>
  <c r="AR43" i="32"/>
  <c r="Q55" i="32"/>
  <c r="AD40" i="32"/>
  <c r="AG56" i="32"/>
  <c r="R54" i="32"/>
  <c r="AC45" i="32"/>
  <c r="AR51" i="32"/>
  <c r="AG52" i="32"/>
  <c r="AC39" i="32"/>
  <c r="V53" i="32"/>
  <c r="Y45" i="32"/>
  <c r="Y67" i="32" s="1"/>
  <c r="AD44" i="32"/>
  <c r="V56" i="32"/>
  <c r="Q52" i="32"/>
  <c r="V52" i="32"/>
  <c r="AG42" i="32"/>
  <c r="V43" i="32"/>
  <c r="V65" i="32" s="1"/>
  <c r="AG55" i="32"/>
  <c r="S39" i="32"/>
  <c r="AR45" i="32"/>
  <c r="S43" i="32"/>
  <c r="AQ55" i="32"/>
  <c r="Y52" i="32"/>
  <c r="AF52" i="32"/>
  <c r="V42" i="32"/>
  <c r="AQ44" i="32"/>
  <c r="AD39" i="32"/>
  <c r="AC50" i="32"/>
  <c r="Y51" i="32"/>
  <c r="Q50" i="32"/>
  <c r="AQ39" i="32"/>
  <c r="AD53" i="32"/>
  <c r="AD24" i="32"/>
  <c r="AD51" i="32"/>
  <c r="R55" i="32"/>
  <c r="R56" i="32"/>
  <c r="R51" i="32"/>
  <c r="AD43" i="32"/>
  <c r="AD56" i="32"/>
  <c r="R45" i="32"/>
  <c r="R43" i="32"/>
  <c r="U40" i="32"/>
  <c r="Q42" i="32"/>
  <c r="AX44" i="32"/>
  <c r="AY10" i="32"/>
  <c r="AW42" i="32"/>
  <c r="AZ10" i="32"/>
  <c r="AX7" i="32"/>
  <c r="AX9" i="32"/>
  <c r="L66" i="32"/>
  <c r="K67" i="32"/>
  <c r="AX51" i="32"/>
  <c r="L63" i="32"/>
  <c r="M62" i="32"/>
  <c r="K62" i="32"/>
  <c r="J64" i="32"/>
  <c r="K37" i="32"/>
  <c r="L65" i="32"/>
  <c r="K61" i="32"/>
  <c r="I63" i="32"/>
  <c r="K64" i="32"/>
  <c r="H67" i="32"/>
  <c r="D48" i="32"/>
  <c r="AW56" i="32"/>
  <c r="P67" i="32"/>
  <c r="D62" i="32"/>
  <c r="C65" i="32"/>
  <c r="D67" i="32"/>
  <c r="C64" i="32"/>
  <c r="AU65" i="32"/>
  <c r="AU63" i="32"/>
  <c r="AX54" i="32"/>
  <c r="P48" i="32"/>
  <c r="AX56" i="32"/>
  <c r="M64" i="32"/>
  <c r="AW51" i="32"/>
  <c r="K63" i="32"/>
  <c r="C63" i="32"/>
  <c r="D63" i="32"/>
  <c r="P62" i="32"/>
  <c r="E48" i="32"/>
  <c r="M67" i="32"/>
  <c r="O48" i="32"/>
  <c r="G62" i="32"/>
  <c r="K66" i="32"/>
  <c r="H66" i="32"/>
  <c r="AU48" i="32"/>
  <c r="K48" i="32"/>
  <c r="H62" i="32"/>
  <c r="F67" i="32"/>
  <c r="E62" i="32"/>
  <c r="O64" i="32"/>
  <c r="M65" i="32"/>
  <c r="AX53" i="32"/>
  <c r="E67" i="32"/>
  <c r="J67" i="32"/>
  <c r="I65" i="32"/>
  <c r="N48" i="32"/>
  <c r="AU37" i="32"/>
  <c r="P66" i="32"/>
  <c r="I48" i="32"/>
  <c r="G48" i="32"/>
  <c r="F62" i="32"/>
  <c r="F66" i="32"/>
  <c r="F64" i="32"/>
  <c r="O65" i="32"/>
  <c r="F48" i="32"/>
  <c r="E64" i="32"/>
  <c r="AU62" i="32"/>
  <c r="C67" i="32"/>
  <c r="D65" i="32"/>
  <c r="AX50" i="32"/>
  <c r="E66" i="32"/>
  <c r="I66" i="32"/>
  <c r="N65" i="32"/>
  <c r="N62" i="32"/>
  <c r="AX39" i="32"/>
  <c r="M63" i="32"/>
  <c r="P65" i="32"/>
  <c r="C66" i="32"/>
  <c r="G64" i="32"/>
  <c r="D66" i="32"/>
  <c r="AX42" i="32"/>
  <c r="AW53" i="32"/>
  <c r="AA63" i="32"/>
  <c r="P64" i="32"/>
  <c r="N67" i="32"/>
  <c r="AU64" i="32"/>
  <c r="AX43" i="32"/>
  <c r="AU66" i="32"/>
  <c r="H65" i="32"/>
  <c r="AX52" i="32"/>
  <c r="I62" i="32"/>
  <c r="M48" i="32"/>
  <c r="F37" i="32"/>
  <c r="F61" i="32"/>
  <c r="AA66" i="32"/>
  <c r="AW44" i="32"/>
  <c r="L61" i="32"/>
  <c r="L37" i="32"/>
  <c r="J66" i="32"/>
  <c r="G67" i="32"/>
  <c r="J37" i="32"/>
  <c r="J61" i="32"/>
  <c r="N66" i="32"/>
  <c r="E61" i="32"/>
  <c r="E37" i="32"/>
  <c r="AU67" i="32"/>
  <c r="AX45" i="32"/>
  <c r="D64" i="32"/>
  <c r="AA48" i="32"/>
  <c r="AW50" i="32"/>
  <c r="G66" i="32"/>
  <c r="J65" i="32"/>
  <c r="H37" i="32"/>
  <c r="H64" i="32"/>
  <c r="C61" i="32"/>
  <c r="C37" i="32"/>
  <c r="J63" i="32"/>
  <c r="AW52" i="32"/>
  <c r="J48" i="32"/>
  <c r="O63" i="32"/>
  <c r="G37" i="32"/>
  <c r="G61" i="32"/>
  <c r="I61" i="32"/>
  <c r="AW39" i="32"/>
  <c r="AA37" i="32"/>
  <c r="AA61" i="32"/>
  <c r="F65" i="32"/>
  <c r="H63" i="32"/>
  <c r="AA64" i="32"/>
  <c r="M61" i="32"/>
  <c r="M37" i="32"/>
  <c r="AA65" i="32"/>
  <c r="AW43" i="32"/>
  <c r="N63" i="32"/>
  <c r="I37" i="32"/>
  <c r="D61" i="32"/>
  <c r="D37" i="32"/>
  <c r="L67" i="32"/>
  <c r="AW54" i="32"/>
  <c r="AW41" i="32"/>
  <c r="P63" i="32"/>
  <c r="AX41" i="32"/>
  <c r="O61" i="32"/>
  <c r="O37" i="32"/>
  <c r="G65" i="32"/>
  <c r="L62" i="32"/>
  <c r="P61" i="32"/>
  <c r="P37" i="32"/>
  <c r="N61" i="32"/>
  <c r="N37" i="32"/>
  <c r="AW45" i="32"/>
  <c r="AA67" i="32"/>
  <c r="AW40" i="32"/>
  <c r="AA62" i="32"/>
  <c r="O62" i="32"/>
  <c r="O67" i="32"/>
  <c r="I67" i="32"/>
  <c r="C48" i="32"/>
  <c r="N64" i="32"/>
  <c r="E63" i="32"/>
  <c r="P94" i="16"/>
  <c r="P98" i="16" s="1"/>
  <c r="P29" i="16"/>
  <c r="P33" i="16" s="1"/>
  <c r="O120" i="16"/>
  <c r="O124" i="16" s="1"/>
  <c r="P16" i="16"/>
  <c r="P20" i="16" s="1"/>
  <c r="P68" i="16"/>
  <c r="P72" i="16" s="1"/>
  <c r="Q98" i="16"/>
  <c r="R29" i="16"/>
  <c r="R33" i="16" s="1"/>
  <c r="S70" i="16"/>
  <c r="S122" i="16"/>
  <c r="P124" i="16"/>
  <c r="S66" i="16"/>
  <c r="T66" i="16" s="1"/>
  <c r="S123" i="16"/>
  <c r="T123" i="16" s="1"/>
  <c r="S32" i="16"/>
  <c r="T32" i="16" s="1"/>
  <c r="R94" i="16"/>
  <c r="R98" i="16" s="1"/>
  <c r="O111" i="16"/>
  <c r="R81" i="16"/>
  <c r="S81" i="16" s="1"/>
  <c r="T81" i="16" s="1"/>
  <c r="S92" i="16"/>
  <c r="T92" i="16" s="1"/>
  <c r="S102" i="16"/>
  <c r="T102" i="16" s="1"/>
  <c r="S97" i="16"/>
  <c r="T97" i="16" s="1"/>
  <c r="S109" i="16"/>
  <c r="Q124" i="16"/>
  <c r="S67" i="16"/>
  <c r="T67" i="16" s="1"/>
  <c r="R68" i="16"/>
  <c r="R72" i="16" s="1"/>
  <c r="S71" i="16"/>
  <c r="T71" i="16" s="1"/>
  <c r="O85" i="16"/>
  <c r="S83" i="16"/>
  <c r="S95" i="16"/>
  <c r="Q111" i="16"/>
  <c r="S118" i="16"/>
  <c r="T118" i="16" s="1"/>
  <c r="S119" i="16"/>
  <c r="T119" i="16" s="1"/>
  <c r="R120" i="16"/>
  <c r="R124" i="16" s="1"/>
  <c r="P85" i="16"/>
  <c r="Q33" i="16"/>
  <c r="O72" i="16"/>
  <c r="S105" i="16"/>
  <c r="T105" i="16" s="1"/>
  <c r="S108" i="16"/>
  <c r="S110" i="16"/>
  <c r="T110" i="16" s="1"/>
  <c r="S121" i="16"/>
  <c r="S80" i="16"/>
  <c r="T80" i="16" s="1"/>
  <c r="S93" i="16"/>
  <c r="T93" i="16" s="1"/>
  <c r="O20" i="16"/>
  <c r="S84" i="16"/>
  <c r="T84" i="16" s="1"/>
  <c r="S79" i="16"/>
  <c r="T79" i="16" s="1"/>
  <c r="S89" i="16"/>
  <c r="T89" i="16" s="1"/>
  <c r="S96" i="16"/>
  <c r="R107" i="16"/>
  <c r="R111" i="16" s="1"/>
  <c r="S69" i="16"/>
  <c r="Q72" i="16"/>
  <c r="Q85" i="16"/>
  <c r="S106" i="16"/>
  <c r="T106" i="16" s="1"/>
  <c r="S63" i="16"/>
  <c r="T63" i="16" s="1"/>
  <c r="S115" i="16"/>
  <c r="T115" i="16" s="1"/>
  <c r="S76" i="16"/>
  <c r="T76" i="16" s="1"/>
  <c r="S82" i="16"/>
  <c r="O94" i="16"/>
  <c r="P107" i="16"/>
  <c r="P111" i="16" s="1"/>
  <c r="S15" i="16"/>
  <c r="T15" i="16" s="1"/>
  <c r="S18" i="16"/>
  <c r="S30" i="16"/>
  <c r="R16" i="16"/>
  <c r="R20" i="16" s="1"/>
  <c r="S19" i="16"/>
  <c r="T19" i="16" s="1"/>
  <c r="S27" i="16"/>
  <c r="T27" i="16" s="1"/>
  <c r="S28" i="16"/>
  <c r="T28" i="16" s="1"/>
  <c r="O29" i="16"/>
  <c r="O33" i="16" s="1"/>
  <c r="Q20" i="16"/>
  <c r="S17" i="16"/>
  <c r="S31" i="16"/>
  <c r="S24" i="16"/>
  <c r="T24" i="16" s="1"/>
  <c r="S11" i="16"/>
  <c r="T11" i="16" s="1"/>
  <c r="H16" i="31"/>
  <c r="H42" i="31"/>
  <c r="H55" i="31"/>
  <c r="H68" i="31"/>
  <c r="H81" i="31"/>
  <c r="G15" i="31"/>
  <c r="F15" i="31"/>
  <c r="E15" i="31"/>
  <c r="D15" i="31"/>
  <c r="C15" i="31"/>
  <c r="F13" i="31"/>
  <c r="D13" i="31"/>
  <c r="G12" i="31"/>
  <c r="F12" i="31"/>
  <c r="D12" i="31"/>
  <c r="C12" i="31"/>
  <c r="F10" i="31"/>
  <c r="D10" i="31"/>
  <c r="C10" i="31"/>
  <c r="C9" i="31"/>
  <c r="F8" i="31"/>
  <c r="D8" i="31"/>
  <c r="G28" i="31"/>
  <c r="F28" i="31"/>
  <c r="E28" i="31"/>
  <c r="D28" i="31"/>
  <c r="C28" i="31"/>
  <c r="F26" i="31"/>
  <c r="D26" i="31"/>
  <c r="G25" i="31"/>
  <c r="F25" i="31"/>
  <c r="D25" i="31"/>
  <c r="C25" i="31"/>
  <c r="F23" i="31"/>
  <c r="D23" i="31"/>
  <c r="C23" i="31"/>
  <c r="C22" i="31"/>
  <c r="F21" i="31"/>
  <c r="D21" i="31"/>
  <c r="G41" i="31"/>
  <c r="F41" i="31"/>
  <c r="E41" i="31"/>
  <c r="D41" i="31"/>
  <c r="C41" i="31"/>
  <c r="F39" i="31"/>
  <c r="D39" i="31"/>
  <c r="G38" i="31"/>
  <c r="F38" i="31"/>
  <c r="D38" i="31"/>
  <c r="C38" i="31"/>
  <c r="F36" i="31"/>
  <c r="D36" i="31"/>
  <c r="C36" i="31"/>
  <c r="C35" i="31"/>
  <c r="F34" i="31"/>
  <c r="D34" i="31"/>
  <c r="G54" i="31"/>
  <c r="F54" i="31"/>
  <c r="E54" i="31"/>
  <c r="D54" i="31"/>
  <c r="C54" i="31"/>
  <c r="F52" i="31"/>
  <c r="D52" i="31"/>
  <c r="G51" i="31"/>
  <c r="F51" i="31"/>
  <c r="D51" i="31"/>
  <c r="C51" i="31"/>
  <c r="F49" i="31"/>
  <c r="D49" i="31"/>
  <c r="C49" i="31"/>
  <c r="C48" i="31"/>
  <c r="F47" i="31"/>
  <c r="D47" i="31"/>
  <c r="G67" i="31"/>
  <c r="F67" i="31"/>
  <c r="E67" i="31"/>
  <c r="D67" i="31"/>
  <c r="C67" i="31"/>
  <c r="F65" i="31"/>
  <c r="D65" i="31"/>
  <c r="G64" i="31"/>
  <c r="F64" i="31"/>
  <c r="D64" i="31"/>
  <c r="C64" i="31"/>
  <c r="F62" i="31"/>
  <c r="D62" i="31"/>
  <c r="C62" i="31"/>
  <c r="C61" i="31"/>
  <c r="F60" i="31"/>
  <c r="D60" i="31"/>
  <c r="G80" i="31"/>
  <c r="F80" i="31"/>
  <c r="E80" i="31"/>
  <c r="D80" i="31"/>
  <c r="C80" i="31"/>
  <c r="F78" i="31"/>
  <c r="D78" i="31"/>
  <c r="G77" i="31"/>
  <c r="F77" i="31"/>
  <c r="D77" i="31"/>
  <c r="C77" i="31"/>
  <c r="F75" i="31"/>
  <c r="D75" i="31"/>
  <c r="C75" i="31"/>
  <c r="C74" i="31"/>
  <c r="F73" i="31"/>
  <c r="D73" i="31"/>
  <c r="T85" i="16" l="1"/>
  <c r="AN66" i="32"/>
  <c r="AN64" i="32"/>
  <c r="AN63" i="32"/>
  <c r="AN37" i="32"/>
  <c r="AK64" i="32"/>
  <c r="AN65" i="32"/>
  <c r="AN67" i="32"/>
  <c r="AN48" i="32"/>
  <c r="T65" i="32"/>
  <c r="AE37" i="32"/>
  <c r="AE61" i="32"/>
  <c r="AI63" i="32"/>
  <c r="AE64" i="32"/>
  <c r="AE48" i="32"/>
  <c r="AK67" i="32"/>
  <c r="AE66" i="32"/>
  <c r="AL66" i="32"/>
  <c r="AB63" i="32"/>
  <c r="AG63" i="32"/>
  <c r="AT67" i="32"/>
  <c r="AB37" i="32"/>
  <c r="AE65" i="32"/>
  <c r="T62" i="32"/>
  <c r="AB62" i="32"/>
  <c r="AB67" i="32"/>
  <c r="AJ37" i="32"/>
  <c r="AB65" i="32"/>
  <c r="AT66" i="32"/>
  <c r="AT37" i="32"/>
  <c r="AT64" i="32"/>
  <c r="AL67" i="32"/>
  <c r="AB66" i="32"/>
  <c r="T63" i="32"/>
  <c r="AC65" i="32"/>
  <c r="AT65" i="32"/>
  <c r="AE63" i="32"/>
  <c r="AT61" i="32"/>
  <c r="AB64" i="32"/>
  <c r="AS61" i="32"/>
  <c r="AT62" i="32"/>
  <c r="AC66" i="32"/>
  <c r="AL65" i="32"/>
  <c r="AO67" i="32"/>
  <c r="Y37" i="32"/>
  <c r="AR67" i="32"/>
  <c r="AT63" i="32"/>
  <c r="S61" i="32"/>
  <c r="AL63" i="32"/>
  <c r="AL62" i="32"/>
  <c r="AG62" i="32"/>
  <c r="AM66" i="32"/>
  <c r="AJ64" i="32"/>
  <c r="AE67" i="32"/>
  <c r="AR65" i="32"/>
  <c r="Y64" i="32"/>
  <c r="Q67" i="32"/>
  <c r="AI64" i="32"/>
  <c r="AI48" i="32"/>
  <c r="AJ63" i="32"/>
  <c r="AM37" i="32"/>
  <c r="W64" i="32"/>
  <c r="AO48" i="32"/>
  <c r="AQ67" i="32"/>
  <c r="U67" i="32"/>
  <c r="AM64" i="32"/>
  <c r="Q65" i="32"/>
  <c r="AR61" i="32"/>
  <c r="U64" i="32"/>
  <c r="T66" i="32"/>
  <c r="AO63" i="32"/>
  <c r="AO62" i="32"/>
  <c r="AO61" i="32"/>
  <c r="AK66" i="32"/>
  <c r="AM63" i="32"/>
  <c r="AL64" i="32"/>
  <c r="Q62" i="32"/>
  <c r="AO64" i="32"/>
  <c r="AJ48" i="32"/>
  <c r="T67" i="32"/>
  <c r="Y61" i="32"/>
  <c r="AO37" i="32"/>
  <c r="AO66" i="32"/>
  <c r="AC67" i="32"/>
  <c r="T64" i="32"/>
  <c r="X62" i="32"/>
  <c r="AP61" i="32"/>
  <c r="AF67" i="32"/>
  <c r="AJ66" i="32"/>
  <c r="AL48" i="32"/>
  <c r="AK37" i="32"/>
  <c r="AF64" i="32"/>
  <c r="AJ65" i="32"/>
  <c r="AK48" i="32"/>
  <c r="AS37" i="32"/>
  <c r="AM62" i="32"/>
  <c r="AM67" i="32"/>
  <c r="AC48" i="32"/>
  <c r="X67" i="32"/>
  <c r="V48" i="32"/>
  <c r="AC64" i="32"/>
  <c r="R65" i="32"/>
  <c r="AG67" i="32"/>
  <c r="U66" i="32"/>
  <c r="AH37" i="32"/>
  <c r="AD67" i="32"/>
  <c r="AC62" i="32"/>
  <c r="AS48" i="32"/>
  <c r="AS67" i="32"/>
  <c r="AH63" i="32"/>
  <c r="Z37" i="32"/>
  <c r="AI65" i="32"/>
  <c r="AJ67" i="32"/>
  <c r="AS62" i="32"/>
  <c r="AR63" i="32"/>
  <c r="AP65" i="32"/>
  <c r="AM65" i="32"/>
  <c r="AK62" i="32"/>
  <c r="Z67" i="32"/>
  <c r="AG37" i="32"/>
  <c r="AF37" i="32"/>
  <c r="AH62" i="32"/>
  <c r="AI67" i="32"/>
  <c r="AD37" i="32"/>
  <c r="X65" i="32"/>
  <c r="S66" i="32"/>
  <c r="AJ61" i="32"/>
  <c r="AD65" i="32"/>
  <c r="AQ66" i="32"/>
  <c r="AF48" i="32"/>
  <c r="R61" i="32"/>
  <c r="AK65" i="32"/>
  <c r="R62" i="32"/>
  <c r="V37" i="32"/>
  <c r="W66" i="32"/>
  <c r="W65" i="32"/>
  <c r="AP63" i="32"/>
  <c r="AI66" i="32"/>
  <c r="AK61" i="32"/>
  <c r="Y48" i="32"/>
  <c r="AH61" i="32"/>
  <c r="Z64" i="32"/>
  <c r="AH67" i="32"/>
  <c r="AI62" i="32"/>
  <c r="T37" i="32"/>
  <c r="Q66" i="32"/>
  <c r="Y66" i="32"/>
  <c r="AI61" i="32"/>
  <c r="AP62" i="32"/>
  <c r="W67" i="32"/>
  <c r="V61" i="32"/>
  <c r="R48" i="32"/>
  <c r="AQ37" i="32"/>
  <c r="AF66" i="32"/>
  <c r="AS63" i="32"/>
  <c r="S37" i="32"/>
  <c r="Q61" i="32"/>
  <c r="W62" i="32"/>
  <c r="Y62" i="32"/>
  <c r="U37" i="32"/>
  <c r="AR66" i="32"/>
  <c r="V62" i="32"/>
  <c r="AQ63" i="32"/>
  <c r="Z61" i="32"/>
  <c r="AS66" i="32"/>
  <c r="Z66" i="32"/>
  <c r="AX10" i="32"/>
  <c r="AI37" i="32"/>
  <c r="X48" i="32"/>
  <c r="R64" i="32"/>
  <c r="AR37" i="32"/>
  <c r="AQ64" i="32"/>
  <c r="AG65" i="32"/>
  <c r="Z62" i="32"/>
  <c r="AF61" i="32"/>
  <c r="U63" i="32"/>
  <c r="AP66" i="32"/>
  <c r="AP67" i="32"/>
  <c r="AQ65" i="32"/>
  <c r="AH66" i="32"/>
  <c r="Z63" i="32"/>
  <c r="Q64" i="32"/>
  <c r="AR62" i="32"/>
  <c r="U65" i="32"/>
  <c r="W37" i="32"/>
  <c r="W48" i="32"/>
  <c r="AH64" i="32"/>
  <c r="X64" i="32"/>
  <c r="AF63" i="32"/>
  <c r="Z48" i="32"/>
  <c r="V66" i="32"/>
  <c r="AD61" i="32"/>
  <c r="X63" i="32"/>
  <c r="AS64" i="32"/>
  <c r="AP37" i="32"/>
  <c r="S65" i="32"/>
  <c r="AC61" i="32"/>
  <c r="AF62" i="32"/>
  <c r="AH48" i="32"/>
  <c r="R37" i="32"/>
  <c r="W61" i="32"/>
  <c r="Q63" i="32"/>
  <c r="V64" i="32"/>
  <c r="AD66" i="32"/>
  <c r="Y63" i="32"/>
  <c r="R66" i="32"/>
  <c r="S48" i="32"/>
  <c r="S67" i="32"/>
  <c r="S62" i="32"/>
  <c r="X66" i="32"/>
  <c r="AD48" i="32"/>
  <c r="S64" i="32"/>
  <c r="AD64" i="32"/>
  <c r="U62" i="32"/>
  <c r="AG66" i="32"/>
  <c r="AQ61" i="32"/>
  <c r="V63" i="32"/>
  <c r="AG64" i="32"/>
  <c r="V67" i="32"/>
  <c r="R67" i="32"/>
  <c r="AQ48" i="32"/>
  <c r="Q48" i="32"/>
  <c r="AC37" i="32"/>
  <c r="AD62" i="32"/>
  <c r="Q37" i="32"/>
  <c r="R85" i="16"/>
  <c r="S85" i="16" s="1"/>
  <c r="S120" i="16"/>
  <c r="T120" i="16" s="1"/>
  <c r="T124" i="16" s="1"/>
  <c r="S68" i="16"/>
  <c r="T68" i="16" s="1"/>
  <c r="T72" i="16" s="1"/>
  <c r="S94" i="16"/>
  <c r="T94" i="16" s="1"/>
  <c r="T98" i="16" s="1"/>
  <c r="S124" i="16"/>
  <c r="S33" i="16"/>
  <c r="S16" i="16"/>
  <c r="T16" i="16" s="1"/>
  <c r="T20" i="16" s="1"/>
  <c r="S20" i="16"/>
  <c r="S29" i="16"/>
  <c r="T29" i="16" s="1"/>
  <c r="T33" i="16" s="1"/>
  <c r="S111" i="16"/>
  <c r="S107" i="16"/>
  <c r="T107" i="16" s="1"/>
  <c r="T111" i="16" s="1"/>
  <c r="S72" i="16"/>
  <c r="O98" i="16"/>
  <c r="S98" i="16" s="1"/>
  <c r="H41" i="31"/>
  <c r="F126" i="16" l="1"/>
  <c r="C204" i="16" l="1"/>
  <c r="E5" i="13" l="1"/>
  <c r="F2" i="25" l="1"/>
  <c r="E2" i="25"/>
  <c r="E26" i="25" l="1"/>
  <c r="E28" i="25"/>
  <c r="E30" i="25"/>
  <c r="E32" i="25"/>
  <c r="E34" i="25"/>
  <c r="E36" i="25"/>
  <c r="E38" i="25"/>
  <c r="E40" i="25"/>
  <c r="E42" i="25"/>
  <c r="E44" i="25"/>
  <c r="E46" i="25"/>
  <c r="E48" i="25"/>
  <c r="E50" i="25"/>
  <c r="E52" i="25"/>
  <c r="E54" i="25"/>
  <c r="E56" i="25"/>
  <c r="E58" i="25"/>
  <c r="E60" i="25"/>
  <c r="E62" i="25"/>
  <c r="E64" i="25"/>
  <c r="E63" i="25"/>
  <c r="E27" i="25"/>
  <c r="E29" i="25"/>
  <c r="E31" i="25"/>
  <c r="E33" i="25"/>
  <c r="E35" i="25"/>
  <c r="E37" i="25"/>
  <c r="E39" i="25"/>
  <c r="E41" i="25"/>
  <c r="E43" i="25"/>
  <c r="E45" i="25"/>
  <c r="E47" i="25"/>
  <c r="E49" i="25"/>
  <c r="E51" i="25"/>
  <c r="E53" i="25"/>
  <c r="E55" i="25"/>
  <c r="E57" i="25"/>
  <c r="E59" i="25"/>
  <c r="E61" i="25"/>
  <c r="F63" i="25"/>
  <c r="F26" i="25"/>
  <c r="F28" i="25"/>
  <c r="F30" i="25"/>
  <c r="F32" i="25"/>
  <c r="F34" i="25"/>
  <c r="F36" i="25"/>
  <c r="F38" i="25"/>
  <c r="F40" i="25"/>
  <c r="F42" i="25"/>
  <c r="F44" i="25"/>
  <c r="F46" i="25"/>
  <c r="F48" i="25"/>
  <c r="F50" i="25"/>
  <c r="F52" i="25"/>
  <c r="F54" i="25"/>
  <c r="F56" i="25"/>
  <c r="F58" i="25"/>
  <c r="F60" i="25"/>
  <c r="F62" i="25"/>
  <c r="F64" i="25"/>
  <c r="F61" i="25"/>
  <c r="F59" i="25"/>
  <c r="F27" i="25"/>
  <c r="F29" i="25"/>
  <c r="F31" i="25"/>
  <c r="F33" i="25"/>
  <c r="F35" i="25"/>
  <c r="F37" i="25"/>
  <c r="F39" i="25"/>
  <c r="F41" i="25"/>
  <c r="F43" i="25"/>
  <c r="F45" i="25"/>
  <c r="F47" i="25"/>
  <c r="F49" i="25"/>
  <c r="F51" i="25"/>
  <c r="F53" i="25"/>
  <c r="F55" i="25"/>
  <c r="F57" i="25"/>
  <c r="B11" i="33"/>
  <c r="B10" i="33"/>
  <c r="B9" i="33"/>
  <c r="B8" i="33"/>
  <c r="B7" i="33"/>
  <c r="B6" i="33"/>
  <c r="B5" i="33"/>
  <c r="B4" i="33"/>
  <c r="A4" i="14"/>
  <c r="A26" i="25"/>
  <c r="A4" i="25"/>
  <c r="A3" i="31"/>
  <c r="A4" i="16"/>
  <c r="A31" i="13"/>
  <c r="A4" i="13"/>
  <c r="G76" i="31" l="1"/>
  <c r="G63" i="31"/>
  <c r="G50" i="31"/>
  <c r="G37" i="31"/>
  <c r="G24" i="31"/>
  <c r="C76" i="31"/>
  <c r="C50" i="31"/>
  <c r="C24" i="31"/>
  <c r="G11" i="31"/>
  <c r="C11" i="31"/>
  <c r="C19" i="31"/>
  <c r="G19" i="31"/>
  <c r="C72" i="31"/>
  <c r="C71" i="31" s="1"/>
  <c r="G71" i="31"/>
  <c r="G58" i="31"/>
  <c r="C58" i="31"/>
  <c r="G45" i="31"/>
  <c r="C45" i="31"/>
  <c r="G32" i="31"/>
  <c r="C32" i="31"/>
  <c r="G6" i="31"/>
  <c r="C6" i="31"/>
  <c r="G27" i="31" l="1"/>
  <c r="F63" i="31"/>
  <c r="F37" i="31"/>
  <c r="F76" i="31"/>
  <c r="G14" i="31"/>
  <c r="D24" i="31"/>
  <c r="G79" i="31"/>
  <c r="H80" i="31"/>
  <c r="D63" i="31"/>
  <c r="H54" i="31"/>
  <c r="F24" i="31"/>
  <c r="H67" i="31"/>
  <c r="D76" i="31"/>
  <c r="F50" i="31"/>
  <c r="C79" i="31"/>
  <c r="C53" i="31"/>
  <c r="H15" i="31"/>
  <c r="D37" i="31"/>
  <c r="G40" i="31"/>
  <c r="G53" i="31"/>
  <c r="H28" i="31"/>
  <c r="C14" i="31"/>
  <c r="F11" i="31"/>
  <c r="C27" i="31"/>
  <c r="G66" i="31"/>
  <c r="D11" i="31"/>
  <c r="C37" i="31"/>
  <c r="D50" i="31"/>
  <c r="C63" i="31"/>
  <c r="C40" i="31" l="1"/>
  <c r="C66" i="31"/>
  <c r="E70" i="25" l="1"/>
  <c r="E72" i="25"/>
  <c r="E79" i="25" l="1"/>
  <c r="E75" i="25"/>
  <c r="E78" i="25"/>
  <c r="E74" i="25"/>
  <c r="E91" i="25"/>
  <c r="E71" i="25"/>
  <c r="E82" i="25"/>
  <c r="E83" i="25"/>
  <c r="E81" i="25"/>
  <c r="E69" i="25"/>
  <c r="E106" i="25"/>
  <c r="E94" i="25"/>
  <c r="E105" i="25"/>
  <c r="E87" i="25"/>
  <c r="E95" i="25"/>
  <c r="F97" i="25"/>
  <c r="F80" i="25"/>
  <c r="G2" i="25"/>
  <c r="E103" i="25"/>
  <c r="E96" i="25"/>
  <c r="E100" i="25"/>
  <c r="E98" i="25"/>
  <c r="E93" i="25"/>
  <c r="E80" i="25"/>
  <c r="E76" i="25"/>
  <c r="E77" i="25"/>
  <c r="E101" i="25"/>
  <c r="E92" i="25"/>
  <c r="E99" i="25"/>
  <c r="E104" i="25"/>
  <c r="E102" i="25"/>
  <c r="E97" i="25"/>
  <c r="E68" i="25"/>
  <c r="E73" i="25"/>
  <c r="E84" i="25"/>
  <c r="E89" i="25" l="1"/>
  <c r="E4" i="25"/>
  <c r="F71" i="25"/>
  <c r="F95" i="25"/>
  <c r="G48" i="25"/>
  <c r="G43" i="25"/>
  <c r="G46" i="25"/>
  <c r="G51" i="25"/>
  <c r="G55" i="25"/>
  <c r="G59" i="25"/>
  <c r="G63" i="25"/>
  <c r="G47" i="25"/>
  <c r="G52" i="25"/>
  <c r="G56" i="25"/>
  <c r="G60" i="25"/>
  <c r="G64" i="25"/>
  <c r="G49" i="25"/>
  <c r="G57" i="25"/>
  <c r="G44" i="25"/>
  <c r="G50" i="25"/>
  <c r="G58" i="25"/>
  <c r="G61" i="25"/>
  <c r="G30" i="25"/>
  <c r="G34" i="25"/>
  <c r="G38" i="25"/>
  <c r="G42" i="25"/>
  <c r="G36" i="25"/>
  <c r="G40" i="25"/>
  <c r="G29" i="25"/>
  <c r="G33" i="25"/>
  <c r="G45" i="25"/>
  <c r="G62" i="25"/>
  <c r="G27" i="25"/>
  <c r="G31" i="25"/>
  <c r="G35" i="25"/>
  <c r="G39" i="25"/>
  <c r="G26" i="25"/>
  <c r="G53" i="25"/>
  <c r="G28" i="25"/>
  <c r="G32" i="25"/>
  <c r="G54" i="25"/>
  <c r="G37" i="25"/>
  <c r="G41" i="25"/>
  <c r="F74" i="25"/>
  <c r="F92" i="25"/>
  <c r="F82" i="25"/>
  <c r="F78" i="25"/>
  <c r="F75" i="25"/>
  <c r="F72" i="25"/>
  <c r="F100" i="25"/>
  <c r="F101" i="25"/>
  <c r="F105" i="25"/>
  <c r="F103" i="25"/>
  <c r="F98" i="25"/>
  <c r="F93" i="25"/>
  <c r="F96" i="25"/>
  <c r="F104" i="25"/>
  <c r="F91" i="25"/>
  <c r="F70" i="25"/>
  <c r="F83" i="25"/>
  <c r="F77" i="25"/>
  <c r="F69" i="25"/>
  <c r="F76" i="25"/>
  <c r="F79" i="25"/>
  <c r="F102" i="25"/>
  <c r="F73" i="25"/>
  <c r="F81" i="25"/>
  <c r="F84" i="25"/>
  <c r="F106" i="25"/>
  <c r="E90" i="25"/>
  <c r="E85" i="25"/>
  <c r="H2" i="25"/>
  <c r="F68" i="25"/>
  <c r="F99" i="25"/>
  <c r="F94" i="25"/>
  <c r="E88" i="25"/>
  <c r="E86" i="25"/>
  <c r="G4" i="25" l="1"/>
  <c r="G5" i="25" s="1"/>
  <c r="F86" i="25"/>
  <c r="F4" i="25"/>
  <c r="G78" i="25"/>
  <c r="F88" i="25"/>
  <c r="F87" i="25"/>
  <c r="F89" i="25"/>
  <c r="G75" i="25"/>
  <c r="H43" i="25"/>
  <c r="H44" i="25"/>
  <c r="H45" i="25"/>
  <c r="H46" i="25"/>
  <c r="H47" i="25"/>
  <c r="H48" i="25"/>
  <c r="H50" i="25"/>
  <c r="H51" i="25"/>
  <c r="H52" i="25"/>
  <c r="H53" i="25"/>
  <c r="H49" i="25"/>
  <c r="H26" i="25"/>
  <c r="H30" i="25"/>
  <c r="H34" i="25"/>
  <c r="H38" i="25"/>
  <c r="H42" i="25"/>
  <c r="H32" i="25"/>
  <c r="H40" i="25"/>
  <c r="H33" i="25"/>
  <c r="H54" i="25"/>
  <c r="H55" i="25"/>
  <c r="H56" i="25"/>
  <c r="H57" i="25"/>
  <c r="H58" i="25"/>
  <c r="H59" i="25"/>
  <c r="H60" i="25"/>
  <c r="H61" i="25"/>
  <c r="H62" i="25"/>
  <c r="H63" i="25"/>
  <c r="H64" i="25"/>
  <c r="H27" i="25"/>
  <c r="H31" i="25"/>
  <c r="H35" i="25"/>
  <c r="H39" i="25"/>
  <c r="H28" i="25"/>
  <c r="H36" i="25"/>
  <c r="H29" i="25"/>
  <c r="H37" i="25"/>
  <c r="H41" i="25"/>
  <c r="G97" i="25"/>
  <c r="G71" i="25"/>
  <c r="G81" i="25"/>
  <c r="G82" i="25"/>
  <c r="G69" i="25"/>
  <c r="G94" i="25"/>
  <c r="G84" i="25"/>
  <c r="G102" i="25"/>
  <c r="G92" i="25"/>
  <c r="G83" i="25"/>
  <c r="G99" i="25"/>
  <c r="G73" i="25"/>
  <c r="G80" i="25"/>
  <c r="G86" i="25"/>
  <c r="G105" i="25"/>
  <c r="G96" i="25"/>
  <c r="G103" i="25"/>
  <c r="G68" i="25"/>
  <c r="G77" i="25"/>
  <c r="G93" i="25"/>
  <c r="G106" i="25"/>
  <c r="G100" i="25"/>
  <c r="G91" i="25"/>
  <c r="G6" i="25" s="1"/>
  <c r="G70" i="25"/>
  <c r="I2" i="25"/>
  <c r="G72" i="25"/>
  <c r="G74" i="25"/>
  <c r="G76" i="25"/>
  <c r="G79" i="25"/>
  <c r="G98" i="25"/>
  <c r="G101" i="25"/>
  <c r="G88" i="25"/>
  <c r="G104" i="25"/>
  <c r="G95" i="25"/>
  <c r="F85" i="25"/>
  <c r="F90" i="25"/>
  <c r="H102" i="25" l="1"/>
  <c r="H4" i="25"/>
  <c r="H5" i="25" s="1"/>
  <c r="H91" i="25"/>
  <c r="H6" i="25" s="1"/>
  <c r="I43" i="25"/>
  <c r="I4" i="25" s="1"/>
  <c r="I5" i="25" s="1"/>
  <c r="I50" i="25"/>
  <c r="I51" i="25"/>
  <c r="I52" i="25"/>
  <c r="I53" i="25"/>
  <c r="I54" i="25"/>
  <c r="I55" i="25"/>
  <c r="I56" i="25"/>
  <c r="I57" i="25"/>
  <c r="I58" i="25"/>
  <c r="I59" i="25"/>
  <c r="I60" i="25"/>
  <c r="I61" i="25"/>
  <c r="I62" i="25"/>
  <c r="I63" i="25"/>
  <c r="I64" i="25"/>
  <c r="I44" i="25"/>
  <c r="I45" i="25"/>
  <c r="I46" i="25"/>
  <c r="I47" i="25"/>
  <c r="I48" i="25"/>
  <c r="I27" i="25"/>
  <c r="I32" i="25"/>
  <c r="I36" i="25"/>
  <c r="I49" i="25"/>
  <c r="I26" i="25"/>
  <c r="I31" i="25"/>
  <c r="I35" i="25"/>
  <c r="I39" i="25"/>
  <c r="I34" i="25"/>
  <c r="I29" i="25"/>
  <c r="I28" i="25"/>
  <c r="I33" i="25"/>
  <c r="I42" i="25"/>
  <c r="I30" i="25"/>
  <c r="I38" i="25"/>
  <c r="I41" i="25"/>
  <c r="I37" i="25"/>
  <c r="I40" i="25"/>
  <c r="G7" i="25"/>
  <c r="G8" i="25" s="1"/>
  <c r="G89" i="25"/>
  <c r="H95" i="25"/>
  <c r="H103" i="25"/>
  <c r="H72" i="25"/>
  <c r="H73" i="25"/>
  <c r="H80" i="25"/>
  <c r="H71" i="25"/>
  <c r="H81" i="25"/>
  <c r="H98" i="25"/>
  <c r="H105" i="25"/>
  <c r="H96" i="25"/>
  <c r="H79" i="25"/>
  <c r="H94" i="25"/>
  <c r="H99" i="25"/>
  <c r="H7" i="25" s="1"/>
  <c r="G87" i="25"/>
  <c r="H76" i="25"/>
  <c r="J2" i="25"/>
  <c r="H83" i="25"/>
  <c r="H70" i="25"/>
  <c r="H87" i="25"/>
  <c r="H93" i="25"/>
  <c r="H84" i="25"/>
  <c r="H100" i="25"/>
  <c r="H89" i="25"/>
  <c r="H86" i="25"/>
  <c r="H75" i="25"/>
  <c r="H69" i="25"/>
  <c r="H74" i="25"/>
  <c r="H97" i="25"/>
  <c r="H88" i="25"/>
  <c r="H104" i="25"/>
  <c r="H68" i="25"/>
  <c r="H78" i="25"/>
  <c r="H77" i="25"/>
  <c r="H82" i="25"/>
  <c r="H106" i="25"/>
  <c r="H101" i="25"/>
  <c r="H92" i="25"/>
  <c r="G85" i="25"/>
  <c r="G90" i="25"/>
  <c r="H8" i="25" l="1"/>
  <c r="I96" i="25"/>
  <c r="I103" i="25"/>
  <c r="J44" i="25"/>
  <c r="J45" i="25"/>
  <c r="J46" i="25"/>
  <c r="J47" i="25"/>
  <c r="J48" i="25"/>
  <c r="J49" i="25"/>
  <c r="J43" i="25"/>
  <c r="J4" i="25" s="1"/>
  <c r="J5" i="25" s="1"/>
  <c r="J26" i="25"/>
  <c r="J50" i="25"/>
  <c r="J51" i="25"/>
  <c r="J52" i="25"/>
  <c r="J53" i="25"/>
  <c r="J54" i="25"/>
  <c r="J55" i="25"/>
  <c r="J56" i="25"/>
  <c r="J57" i="25"/>
  <c r="J58" i="25"/>
  <c r="J59" i="25"/>
  <c r="J60" i="25"/>
  <c r="J61" i="25"/>
  <c r="J62" i="25"/>
  <c r="J63" i="25"/>
  <c r="J64" i="25"/>
  <c r="J28" i="25"/>
  <c r="J29" i="25"/>
  <c r="J33" i="25"/>
  <c r="J37" i="25"/>
  <c r="J27" i="25"/>
  <c r="J32" i="25"/>
  <c r="J36" i="25"/>
  <c r="J35" i="25"/>
  <c r="J40" i="25"/>
  <c r="J30" i="25"/>
  <c r="J34" i="25"/>
  <c r="J31" i="25"/>
  <c r="J39" i="25"/>
  <c r="J42" i="25"/>
  <c r="J38" i="25"/>
  <c r="J41" i="25"/>
  <c r="I91" i="25"/>
  <c r="I99" i="25"/>
  <c r="I94" i="25"/>
  <c r="I100" i="25"/>
  <c r="I104" i="25"/>
  <c r="I102" i="25"/>
  <c r="I97" i="25"/>
  <c r="I68" i="25"/>
  <c r="I73" i="25"/>
  <c r="I89" i="25"/>
  <c r="K2" i="25"/>
  <c r="I84" i="25"/>
  <c r="I82" i="25"/>
  <c r="I106" i="25"/>
  <c r="I101" i="25"/>
  <c r="I81" i="25"/>
  <c r="I80" i="25"/>
  <c r="I77" i="25"/>
  <c r="I74" i="25"/>
  <c r="I83" i="25"/>
  <c r="I87" i="25"/>
  <c r="I105" i="25"/>
  <c r="I69" i="25"/>
  <c r="I76" i="25"/>
  <c r="I78" i="25"/>
  <c r="I71" i="25"/>
  <c r="H85" i="25"/>
  <c r="H90" i="25"/>
  <c r="I79" i="25"/>
  <c r="I72" i="25"/>
  <c r="I70" i="25"/>
  <c r="I75" i="25"/>
  <c r="I92" i="25"/>
  <c r="I95" i="25"/>
  <c r="I98" i="25"/>
  <c r="I93" i="25"/>
  <c r="I18" i="25" l="1"/>
  <c r="J100" i="25"/>
  <c r="J95" i="25"/>
  <c r="J101" i="25"/>
  <c r="J97" i="25"/>
  <c r="J102" i="25"/>
  <c r="J91" i="25"/>
  <c r="J6" i="25" s="1"/>
  <c r="I16" i="25"/>
  <c r="I17" i="25"/>
  <c r="I7" i="25"/>
  <c r="I15" i="25"/>
  <c r="I6" i="25"/>
  <c r="I14" i="25"/>
  <c r="I13" i="25"/>
  <c r="J77" i="25"/>
  <c r="J73" i="25"/>
  <c r="J80" i="25"/>
  <c r="K44" i="25"/>
  <c r="K45" i="25"/>
  <c r="K46" i="25"/>
  <c r="K47" i="25"/>
  <c r="K48" i="25"/>
  <c r="K49" i="25"/>
  <c r="K27" i="25"/>
  <c r="K43" i="25"/>
  <c r="K4" i="25" s="1"/>
  <c r="K5" i="25" s="1"/>
  <c r="K26" i="25"/>
  <c r="K50" i="25"/>
  <c r="K51" i="25"/>
  <c r="K52" i="25"/>
  <c r="K53" i="25"/>
  <c r="K54" i="25"/>
  <c r="K55" i="25"/>
  <c r="K56" i="25"/>
  <c r="K57" i="25"/>
  <c r="K58" i="25"/>
  <c r="K59" i="25"/>
  <c r="K60" i="25"/>
  <c r="K61" i="25"/>
  <c r="K62" i="25"/>
  <c r="K63" i="25"/>
  <c r="K64" i="25"/>
  <c r="K30" i="25"/>
  <c r="K34" i="25"/>
  <c r="K38" i="25"/>
  <c r="K28" i="25"/>
  <c r="K29" i="25"/>
  <c r="K33" i="25"/>
  <c r="K37" i="25"/>
  <c r="K36" i="25"/>
  <c r="K41" i="25"/>
  <c r="K31" i="25"/>
  <c r="K35" i="25"/>
  <c r="K40" i="25"/>
  <c r="K32" i="25"/>
  <c r="K39" i="25"/>
  <c r="K42" i="25"/>
  <c r="I88" i="25"/>
  <c r="J78" i="25"/>
  <c r="J96" i="25"/>
  <c r="J93" i="25"/>
  <c r="J104" i="25"/>
  <c r="J92" i="25"/>
  <c r="J105" i="25"/>
  <c r="J68" i="25"/>
  <c r="J106" i="25"/>
  <c r="J89" i="25"/>
  <c r="J82" i="25"/>
  <c r="J74" i="25"/>
  <c r="J84" i="25"/>
  <c r="J72" i="25"/>
  <c r="J83" i="25"/>
  <c r="J99" i="25"/>
  <c r="J7" i="25" s="1"/>
  <c r="J94" i="25"/>
  <c r="I90" i="25"/>
  <c r="I85" i="25"/>
  <c r="J70" i="25"/>
  <c r="J81" i="25"/>
  <c r="L2" i="25"/>
  <c r="J75" i="25"/>
  <c r="J69" i="25"/>
  <c r="J71" i="25"/>
  <c r="J76" i="25"/>
  <c r="J79" i="25"/>
  <c r="J103" i="25"/>
  <c r="J98" i="25"/>
  <c r="I86" i="25"/>
  <c r="J8" i="25" l="1"/>
  <c r="I19" i="25"/>
  <c r="I8" i="25"/>
  <c r="K101" i="25"/>
  <c r="L43" i="25"/>
  <c r="L4" i="25" s="1"/>
  <c r="L5" i="25" s="1"/>
  <c r="L44" i="25"/>
  <c r="L45" i="25"/>
  <c r="L46" i="25"/>
  <c r="L47" i="25"/>
  <c r="L48" i="25"/>
  <c r="L49" i="25"/>
  <c r="L28" i="25"/>
  <c r="L31" i="25"/>
  <c r="L35" i="25"/>
  <c r="L39" i="25"/>
  <c r="L50" i="25"/>
  <c r="L51" i="25"/>
  <c r="L52" i="25"/>
  <c r="L53" i="25"/>
  <c r="L54" i="25"/>
  <c r="L55" i="25"/>
  <c r="L56" i="25"/>
  <c r="L57" i="25"/>
  <c r="L58" i="25"/>
  <c r="L59" i="25"/>
  <c r="L60" i="25"/>
  <c r="L61" i="25"/>
  <c r="L62" i="25"/>
  <c r="L63" i="25"/>
  <c r="L64" i="25"/>
  <c r="L30" i="25"/>
  <c r="L34" i="25"/>
  <c r="L38" i="25"/>
  <c r="L29" i="25"/>
  <c r="L37" i="25"/>
  <c r="L42" i="25"/>
  <c r="L32" i="25"/>
  <c r="L36" i="25"/>
  <c r="L41" i="25"/>
  <c r="L26" i="25"/>
  <c r="L27" i="25"/>
  <c r="L33" i="25"/>
  <c r="L40" i="25"/>
  <c r="K97" i="25"/>
  <c r="K104" i="25"/>
  <c r="K95" i="25"/>
  <c r="K93" i="25"/>
  <c r="K78" i="25"/>
  <c r="K72" i="25"/>
  <c r="K84" i="25"/>
  <c r="J87" i="25"/>
  <c r="K75" i="25"/>
  <c r="K76" i="25"/>
  <c r="K70" i="25"/>
  <c r="K81" i="25"/>
  <c r="K88" i="25"/>
  <c r="K98" i="25"/>
  <c r="K92" i="25"/>
  <c r="K83" i="25"/>
  <c r="K99" i="25"/>
  <c r="K7" i="25" s="1"/>
  <c r="J86" i="25"/>
  <c r="K68" i="25"/>
  <c r="K82" i="25"/>
  <c r="K74" i="25"/>
  <c r="K69" i="25"/>
  <c r="K106" i="25"/>
  <c r="K94" i="25"/>
  <c r="K102" i="25"/>
  <c r="K96" i="25"/>
  <c r="K103" i="25"/>
  <c r="K71" i="25"/>
  <c r="K77" i="25"/>
  <c r="J85" i="25"/>
  <c r="J90" i="25"/>
  <c r="M2" i="25"/>
  <c r="K79" i="25"/>
  <c r="K73" i="25"/>
  <c r="K80" i="25"/>
  <c r="K105" i="25"/>
  <c r="K100" i="25"/>
  <c r="K91" i="25"/>
  <c r="K6" i="25" s="1"/>
  <c r="J88" i="25"/>
  <c r="M43" i="25" l="1"/>
  <c r="M4" i="25" s="1"/>
  <c r="M5" i="25" s="1"/>
  <c r="M50" i="25"/>
  <c r="M51" i="25"/>
  <c r="M52" i="25"/>
  <c r="M53" i="25"/>
  <c r="M54" i="25"/>
  <c r="M55" i="25"/>
  <c r="M56" i="25"/>
  <c r="M57" i="25"/>
  <c r="M58" i="25"/>
  <c r="M59" i="25"/>
  <c r="M60" i="25"/>
  <c r="M61" i="25"/>
  <c r="M62" i="25"/>
  <c r="M63" i="25"/>
  <c r="M64" i="25"/>
  <c r="M49" i="25"/>
  <c r="M45" i="25"/>
  <c r="M47" i="25"/>
  <c r="M32" i="25"/>
  <c r="M36" i="25"/>
  <c r="M31" i="25"/>
  <c r="M35" i="25"/>
  <c r="M46" i="25"/>
  <c r="M30" i="25"/>
  <c r="M38" i="25"/>
  <c r="M39" i="25"/>
  <c r="M26" i="25"/>
  <c r="M27" i="25"/>
  <c r="M33" i="25"/>
  <c r="M40" i="25"/>
  <c r="M29" i="25"/>
  <c r="M37" i="25"/>
  <c r="M42" i="25"/>
  <c r="M44" i="25"/>
  <c r="M48" i="25"/>
  <c r="M28" i="25"/>
  <c r="M34" i="25"/>
  <c r="M41" i="25"/>
  <c r="K8" i="25"/>
  <c r="L78" i="25"/>
  <c r="L77" i="25"/>
  <c r="L74" i="25"/>
  <c r="L81" i="25"/>
  <c r="K89" i="25"/>
  <c r="L105" i="25"/>
  <c r="L96" i="25"/>
  <c r="K87" i="25"/>
  <c r="L68" i="25"/>
  <c r="L80" i="25"/>
  <c r="L71" i="25"/>
  <c r="L73" i="25"/>
  <c r="L79" i="25"/>
  <c r="L91" i="25"/>
  <c r="L6" i="25" s="1"/>
  <c r="L87" i="25"/>
  <c r="L93" i="25"/>
  <c r="L84" i="25"/>
  <c r="L72" i="25"/>
  <c r="L95" i="25"/>
  <c r="L75" i="25"/>
  <c r="N2" i="25"/>
  <c r="L83" i="25"/>
  <c r="L99" i="25"/>
  <c r="L7" i="25" s="1"/>
  <c r="L94" i="25"/>
  <c r="L97" i="25"/>
  <c r="L88" i="25"/>
  <c r="L104" i="25"/>
  <c r="L76" i="25"/>
  <c r="L69" i="25"/>
  <c r="L82" i="25"/>
  <c r="L70" i="25"/>
  <c r="L98" i="25"/>
  <c r="L102" i="25"/>
  <c r="L103" i="25"/>
  <c r="L101" i="25"/>
  <c r="L92" i="25"/>
  <c r="K85" i="25"/>
  <c r="K90" i="25"/>
  <c r="L106" i="25"/>
  <c r="L100" i="25"/>
  <c r="K86" i="25"/>
  <c r="M93" i="25" l="1"/>
  <c r="M69" i="25"/>
  <c r="M98" i="25"/>
  <c r="M94" i="25"/>
  <c r="M74" i="25"/>
  <c r="M70" i="25"/>
  <c r="N43" i="25"/>
  <c r="N4" i="25" s="1"/>
  <c r="N5" i="25" s="1"/>
  <c r="N50" i="25"/>
  <c r="N51" i="25"/>
  <c r="N52" i="25"/>
  <c r="N26" i="25"/>
  <c r="N53" i="25"/>
  <c r="N54" i="25"/>
  <c r="N55" i="25"/>
  <c r="N56" i="25"/>
  <c r="N57" i="25"/>
  <c r="N58" i="25"/>
  <c r="N59" i="25"/>
  <c r="N60" i="25"/>
  <c r="N61" i="25"/>
  <c r="N62" i="25"/>
  <c r="N63" i="25"/>
  <c r="N64" i="25"/>
  <c r="N27" i="25"/>
  <c r="N29" i="25"/>
  <c r="N33" i="25"/>
  <c r="N37" i="25"/>
  <c r="N45" i="25"/>
  <c r="N47" i="25"/>
  <c r="N32" i="25"/>
  <c r="N36" i="25"/>
  <c r="N31" i="25"/>
  <c r="N40" i="25"/>
  <c r="N42" i="25"/>
  <c r="N48" i="25"/>
  <c r="N34" i="25"/>
  <c r="N41" i="25"/>
  <c r="N46" i="25"/>
  <c r="N30" i="25"/>
  <c r="N38" i="25"/>
  <c r="N39" i="25"/>
  <c r="N49" i="25"/>
  <c r="N35" i="25"/>
  <c r="N44" i="25"/>
  <c r="N28" i="25"/>
  <c r="M91" i="25"/>
  <c r="M6" i="25" s="1"/>
  <c r="M80" i="25"/>
  <c r="M75" i="25"/>
  <c r="M99" i="25"/>
  <c r="M7" i="25" s="1"/>
  <c r="L8" i="25"/>
  <c r="M77" i="25"/>
  <c r="M83" i="25"/>
  <c r="M96" i="25"/>
  <c r="M103" i="25"/>
  <c r="M95" i="25"/>
  <c r="M92" i="25"/>
  <c r="M100" i="25"/>
  <c r="M82" i="25"/>
  <c r="M84" i="25"/>
  <c r="M72" i="25"/>
  <c r="M87" i="25"/>
  <c r="M104" i="25"/>
  <c r="M102" i="25"/>
  <c r="M97" i="25"/>
  <c r="L85" i="25"/>
  <c r="L90" i="25"/>
  <c r="M68" i="25"/>
  <c r="M79" i="25"/>
  <c r="O2" i="25"/>
  <c r="M106" i="25"/>
  <c r="M101" i="25"/>
  <c r="L86" i="25"/>
  <c r="L89" i="25"/>
  <c r="M73" i="25"/>
  <c r="M76" i="25"/>
  <c r="M81" i="25"/>
  <c r="M71" i="25"/>
  <c r="M78" i="25"/>
  <c r="M105" i="25"/>
  <c r="N77" i="25" l="1"/>
  <c r="N81" i="25"/>
  <c r="N71" i="25"/>
  <c r="N95" i="25"/>
  <c r="N91" i="25"/>
  <c r="N6" i="25" s="1"/>
  <c r="N105" i="25"/>
  <c r="N96" i="25"/>
  <c r="N93" i="25"/>
  <c r="O44" i="25"/>
  <c r="O45" i="25"/>
  <c r="O46" i="25"/>
  <c r="O47" i="25"/>
  <c r="O48" i="25"/>
  <c r="O49" i="25"/>
  <c r="O27" i="25"/>
  <c r="O50" i="25"/>
  <c r="O51" i="25"/>
  <c r="O52" i="25"/>
  <c r="O26" i="25"/>
  <c r="O43" i="25"/>
  <c r="O4" i="25" s="1"/>
  <c r="O5" i="25" s="1"/>
  <c r="O28" i="25"/>
  <c r="O30" i="25"/>
  <c r="O34" i="25"/>
  <c r="O38" i="25"/>
  <c r="O29" i="25"/>
  <c r="O33" i="25"/>
  <c r="O37" i="25"/>
  <c r="O32" i="25"/>
  <c r="O41" i="25"/>
  <c r="O35" i="25"/>
  <c r="O42" i="25"/>
  <c r="O31" i="25"/>
  <c r="O40" i="25"/>
  <c r="O53" i="25"/>
  <c r="O54" i="25"/>
  <c r="O55" i="25"/>
  <c r="O56" i="25"/>
  <c r="O57" i="25"/>
  <c r="O58" i="25"/>
  <c r="O59" i="25"/>
  <c r="O60" i="25"/>
  <c r="O61" i="25"/>
  <c r="O62" i="25"/>
  <c r="O63" i="25"/>
  <c r="O64" i="25"/>
  <c r="O36" i="25"/>
  <c r="O39" i="25"/>
  <c r="M8" i="25"/>
  <c r="M89" i="25"/>
  <c r="M88" i="25"/>
  <c r="N84" i="25"/>
  <c r="N78" i="25"/>
  <c r="N70" i="25"/>
  <c r="N69" i="25"/>
  <c r="N76" i="25"/>
  <c r="N83" i="25"/>
  <c r="N75" i="25"/>
  <c r="N74" i="25"/>
  <c r="N92" i="25"/>
  <c r="N101" i="25"/>
  <c r="N97" i="25"/>
  <c r="N99" i="25"/>
  <c r="N7" i="25" s="1"/>
  <c r="N100" i="25"/>
  <c r="N72" i="25"/>
  <c r="N79" i="25"/>
  <c r="N104" i="25"/>
  <c r="N103" i="25"/>
  <c r="N98" i="25"/>
  <c r="N89" i="25"/>
  <c r="N102" i="25"/>
  <c r="M90" i="25"/>
  <c r="M85" i="25"/>
  <c r="P2" i="25"/>
  <c r="N73" i="25"/>
  <c r="N80" i="25"/>
  <c r="N106" i="25"/>
  <c r="M86" i="25"/>
  <c r="N87" i="25"/>
  <c r="N68" i="25"/>
  <c r="N82" i="25"/>
  <c r="N94" i="25"/>
  <c r="O84" i="25" l="1"/>
  <c r="O71" i="25"/>
  <c r="O76" i="25"/>
  <c r="N8" i="25"/>
  <c r="O83" i="25"/>
  <c r="O77" i="25"/>
  <c r="O94" i="25"/>
  <c r="O72" i="25"/>
  <c r="P44" i="25"/>
  <c r="P45" i="25"/>
  <c r="P46" i="25"/>
  <c r="P47" i="25"/>
  <c r="P48" i="25"/>
  <c r="P49" i="25"/>
  <c r="P28" i="25"/>
  <c r="P26" i="25"/>
  <c r="P31" i="25"/>
  <c r="P35" i="25"/>
  <c r="P39" i="25"/>
  <c r="P43" i="25"/>
  <c r="P4" i="25" s="1"/>
  <c r="P5" i="25" s="1"/>
  <c r="P27" i="25"/>
  <c r="P30" i="25"/>
  <c r="P34" i="25"/>
  <c r="P38" i="25"/>
  <c r="P50" i="25"/>
  <c r="P52" i="25"/>
  <c r="P33" i="25"/>
  <c r="P42" i="25"/>
  <c r="P36" i="25"/>
  <c r="P32" i="25"/>
  <c r="P41" i="25"/>
  <c r="P51" i="25"/>
  <c r="P29" i="25"/>
  <c r="P37" i="25"/>
  <c r="P40" i="25"/>
  <c r="P53" i="25"/>
  <c r="P54" i="25"/>
  <c r="P55" i="25"/>
  <c r="P56" i="25"/>
  <c r="P57" i="25"/>
  <c r="P58" i="25"/>
  <c r="P59" i="25"/>
  <c r="P60" i="25"/>
  <c r="P61" i="25"/>
  <c r="P62" i="25"/>
  <c r="P63" i="25"/>
  <c r="P64" i="25"/>
  <c r="O70" i="25"/>
  <c r="O78" i="25"/>
  <c r="Q2" i="25"/>
  <c r="O101" i="25"/>
  <c r="O103" i="25"/>
  <c r="N90" i="25"/>
  <c r="N85" i="25"/>
  <c r="O99" i="25"/>
  <c r="O7" i="25" s="1"/>
  <c r="O102" i="25"/>
  <c r="O96" i="25"/>
  <c r="O82" i="25"/>
  <c r="O75" i="25"/>
  <c r="O74" i="25"/>
  <c r="O69" i="25"/>
  <c r="O97" i="25"/>
  <c r="O105" i="25"/>
  <c r="O106" i="25"/>
  <c r="O100" i="25"/>
  <c r="O91" i="25"/>
  <c r="O6" i="25" s="1"/>
  <c r="N86" i="25"/>
  <c r="O92" i="25"/>
  <c r="O98" i="25"/>
  <c r="O68" i="25"/>
  <c r="O79" i="25"/>
  <c r="O81" i="25"/>
  <c r="O73" i="25"/>
  <c r="O80" i="25"/>
  <c r="O93" i="25"/>
  <c r="O104" i="25"/>
  <c r="O95" i="25"/>
  <c r="N88" i="25"/>
  <c r="P91" i="25" l="1"/>
  <c r="P6" i="25" s="1"/>
  <c r="P94" i="25"/>
  <c r="O8" i="25"/>
  <c r="Q43" i="25"/>
  <c r="Q4" i="25" s="1"/>
  <c r="Q5" i="25" s="1"/>
  <c r="Q50" i="25"/>
  <c r="Q51" i="25"/>
  <c r="Q52" i="25"/>
  <c r="Q44" i="25"/>
  <c r="Q45" i="25"/>
  <c r="Q46" i="25"/>
  <c r="Q47" i="25"/>
  <c r="Q48" i="25"/>
  <c r="Q53" i="25"/>
  <c r="Q54" i="25"/>
  <c r="Q55" i="25"/>
  <c r="Q56" i="25"/>
  <c r="Q57" i="25"/>
  <c r="Q58" i="25"/>
  <c r="Q59" i="25"/>
  <c r="Q60" i="25"/>
  <c r="Q61" i="25"/>
  <c r="Q62" i="25"/>
  <c r="Q63" i="25"/>
  <c r="Q64" i="25"/>
  <c r="Q32" i="25"/>
  <c r="Q36" i="25"/>
  <c r="Q26" i="25"/>
  <c r="Q28" i="25"/>
  <c r="Q31" i="25"/>
  <c r="Q35" i="25"/>
  <c r="Q27" i="25"/>
  <c r="Q34" i="25"/>
  <c r="Q37" i="25"/>
  <c r="Q39" i="25"/>
  <c r="Q33" i="25"/>
  <c r="Q42" i="25"/>
  <c r="Q30" i="25"/>
  <c r="Q38" i="25"/>
  <c r="Q41" i="25"/>
  <c r="Q49" i="25"/>
  <c r="Q29" i="25"/>
  <c r="Q40" i="25"/>
  <c r="P92" i="25"/>
  <c r="P98" i="25"/>
  <c r="P106" i="25"/>
  <c r="P101" i="25"/>
  <c r="O85" i="25"/>
  <c r="O90" i="25"/>
  <c r="P86" i="25"/>
  <c r="P80" i="25"/>
  <c r="P74" i="25"/>
  <c r="P95" i="25"/>
  <c r="P99" i="25"/>
  <c r="P7" i="25" s="1"/>
  <c r="P105" i="25"/>
  <c r="P96" i="25"/>
  <c r="P70" i="25"/>
  <c r="O86" i="25"/>
  <c r="O89" i="25"/>
  <c r="O87" i="25"/>
  <c r="P75" i="25"/>
  <c r="O88" i="25"/>
  <c r="P73" i="25"/>
  <c r="P76" i="25"/>
  <c r="P79" i="25"/>
  <c r="R2" i="25"/>
  <c r="P83" i="25"/>
  <c r="P102" i="25"/>
  <c r="P93" i="25"/>
  <c r="P84" i="25"/>
  <c r="P100" i="25"/>
  <c r="P68" i="25"/>
  <c r="P78" i="25"/>
  <c r="P69" i="25"/>
  <c r="P72" i="25"/>
  <c r="P77" i="25"/>
  <c r="P82" i="25"/>
  <c r="P71" i="25"/>
  <c r="P81" i="25"/>
  <c r="P103" i="25"/>
  <c r="P97" i="25"/>
  <c r="P104" i="25"/>
  <c r="P8" i="25" l="1"/>
  <c r="Q92" i="25"/>
  <c r="Q103" i="25"/>
  <c r="Q73" i="25"/>
  <c r="Q69" i="25"/>
  <c r="R43" i="25"/>
  <c r="R4" i="25" s="1"/>
  <c r="R5" i="25" s="1"/>
  <c r="R44" i="25"/>
  <c r="R45" i="25"/>
  <c r="R46" i="25"/>
  <c r="R47" i="25"/>
  <c r="R48" i="25"/>
  <c r="R49" i="25"/>
  <c r="R26" i="25"/>
  <c r="R53" i="25"/>
  <c r="R54" i="25"/>
  <c r="R55" i="25"/>
  <c r="R56" i="25"/>
  <c r="R57" i="25"/>
  <c r="R58" i="25"/>
  <c r="R59" i="25"/>
  <c r="R60" i="25"/>
  <c r="R61" i="25"/>
  <c r="R62" i="25"/>
  <c r="R63" i="25"/>
  <c r="R64" i="25"/>
  <c r="R29" i="25"/>
  <c r="R33" i="25"/>
  <c r="R37" i="25"/>
  <c r="R32" i="25"/>
  <c r="R36" i="25"/>
  <c r="R28" i="25"/>
  <c r="R35" i="25"/>
  <c r="R39" i="25"/>
  <c r="R40" i="25"/>
  <c r="R51" i="25"/>
  <c r="R38" i="25"/>
  <c r="R50" i="25"/>
  <c r="R52" i="25"/>
  <c r="R27" i="25"/>
  <c r="R34" i="25"/>
  <c r="R31" i="25"/>
  <c r="R42" i="25"/>
  <c r="R30" i="25"/>
  <c r="R41" i="25"/>
  <c r="Q70" i="25"/>
  <c r="Q100" i="25"/>
  <c r="Q94" i="25"/>
  <c r="Q91" i="25"/>
  <c r="Q6" i="25" s="1"/>
  <c r="Q96" i="25"/>
  <c r="Q99" i="25"/>
  <c r="Q7" i="25" s="1"/>
  <c r="Q104" i="25"/>
  <c r="Q76" i="25"/>
  <c r="Q77" i="25"/>
  <c r="Q80" i="25"/>
  <c r="Q83" i="25"/>
  <c r="Q74" i="25"/>
  <c r="Q71" i="25"/>
  <c r="Q84" i="25"/>
  <c r="Q95" i="25"/>
  <c r="Q102" i="25"/>
  <c r="Q97" i="25"/>
  <c r="P87" i="25"/>
  <c r="Q68" i="25"/>
  <c r="Q75" i="25"/>
  <c r="Q106" i="25"/>
  <c r="Q101" i="25"/>
  <c r="P85" i="25"/>
  <c r="P90" i="25"/>
  <c r="Q72" i="25"/>
  <c r="Q79" i="25"/>
  <c r="Q78" i="25"/>
  <c r="Q105" i="25"/>
  <c r="P88" i="25"/>
  <c r="S2" i="25"/>
  <c r="Q81" i="25"/>
  <c r="Q82" i="25"/>
  <c r="Q87" i="25"/>
  <c r="Q98" i="25"/>
  <c r="Q93" i="25"/>
  <c r="P89" i="25"/>
  <c r="R73" i="25" l="1"/>
  <c r="R81" i="25"/>
  <c r="R93" i="25"/>
  <c r="R74" i="25"/>
  <c r="R78" i="25"/>
  <c r="R92" i="25"/>
  <c r="R96" i="25"/>
  <c r="R100" i="25"/>
  <c r="R97" i="25"/>
  <c r="R95" i="25"/>
  <c r="R91" i="25"/>
  <c r="R6" i="25" s="1"/>
  <c r="R69" i="25"/>
  <c r="R80" i="25"/>
  <c r="Q8" i="25"/>
  <c r="R70" i="25"/>
  <c r="R71" i="25"/>
  <c r="R82" i="25"/>
  <c r="S44" i="25"/>
  <c r="S45" i="25"/>
  <c r="S46" i="25"/>
  <c r="S47" i="25"/>
  <c r="S48" i="25"/>
  <c r="S49" i="25"/>
  <c r="S43" i="25"/>
  <c r="S4" i="25" s="1"/>
  <c r="S5" i="25" s="1"/>
  <c r="S50" i="25"/>
  <c r="S51" i="25"/>
  <c r="S52" i="25"/>
  <c r="S27" i="25"/>
  <c r="S26" i="25"/>
  <c r="S68" i="25" s="1"/>
  <c r="S53" i="25"/>
  <c r="S54" i="25"/>
  <c r="S55" i="25"/>
  <c r="S56" i="25"/>
  <c r="S57" i="25"/>
  <c r="S58" i="25"/>
  <c r="S59" i="25"/>
  <c r="S60" i="25"/>
  <c r="S61" i="25"/>
  <c r="S62" i="25"/>
  <c r="S63" i="25"/>
  <c r="S64" i="25"/>
  <c r="S30" i="25"/>
  <c r="S34" i="25"/>
  <c r="S38" i="25"/>
  <c r="S29" i="25"/>
  <c r="S33" i="25"/>
  <c r="S37" i="25"/>
  <c r="S36" i="25"/>
  <c r="S41" i="25"/>
  <c r="S28" i="25"/>
  <c r="S35" i="25"/>
  <c r="S39" i="25"/>
  <c r="S40" i="25"/>
  <c r="S32" i="25"/>
  <c r="S31" i="25"/>
  <c r="S42" i="25"/>
  <c r="R75" i="25"/>
  <c r="R79" i="25"/>
  <c r="Q89" i="25"/>
  <c r="R99" i="25"/>
  <c r="R7" i="25" s="1"/>
  <c r="R104" i="25"/>
  <c r="R101" i="25"/>
  <c r="R94" i="25"/>
  <c r="R105" i="25"/>
  <c r="Q90" i="25"/>
  <c r="Q85" i="25"/>
  <c r="R68" i="25"/>
  <c r="R84" i="25"/>
  <c r="R103" i="25"/>
  <c r="R98" i="25"/>
  <c r="R83" i="25"/>
  <c r="R72" i="25"/>
  <c r="R89" i="25"/>
  <c r="R102" i="25"/>
  <c r="Q86" i="25"/>
  <c r="R77" i="25"/>
  <c r="R88" i="25"/>
  <c r="R76" i="25"/>
  <c r="R106" i="25"/>
  <c r="Q88" i="25"/>
  <c r="S70" i="25" l="1"/>
  <c r="S71" i="25"/>
  <c r="S69" i="25"/>
  <c r="S79" i="25"/>
  <c r="R8" i="25"/>
  <c r="S75" i="25"/>
  <c r="T43" i="25"/>
  <c r="T4" i="25" s="1"/>
  <c r="T5" i="25" s="1"/>
  <c r="T28" i="25"/>
  <c r="T44" i="25"/>
  <c r="T45" i="25"/>
  <c r="T46" i="25"/>
  <c r="T47" i="25"/>
  <c r="T48" i="25"/>
  <c r="T49" i="25"/>
  <c r="T50" i="25"/>
  <c r="T51" i="25"/>
  <c r="T52" i="25"/>
  <c r="T27" i="25"/>
  <c r="T31" i="25"/>
  <c r="T35" i="25"/>
  <c r="T39" i="25"/>
  <c r="T53" i="25"/>
  <c r="T54" i="25"/>
  <c r="T55" i="25"/>
  <c r="T56" i="25"/>
  <c r="T57" i="25"/>
  <c r="T58" i="25"/>
  <c r="T59" i="25"/>
  <c r="T60" i="25"/>
  <c r="T61" i="25"/>
  <c r="T62" i="25"/>
  <c r="T63" i="25"/>
  <c r="T64" i="25"/>
  <c r="T30" i="25"/>
  <c r="T34" i="25"/>
  <c r="T38" i="25"/>
  <c r="T26" i="25"/>
  <c r="T29" i="25"/>
  <c r="T37" i="25"/>
  <c r="T42" i="25"/>
  <c r="T36" i="25"/>
  <c r="T41" i="25"/>
  <c r="T33" i="25"/>
  <c r="T40" i="25"/>
  <c r="T32" i="25"/>
  <c r="X43" i="25"/>
  <c r="X4" i="25" s="1"/>
  <c r="X5" i="25" s="1"/>
  <c r="X49" i="25"/>
  <c r="X50" i="25"/>
  <c r="X51" i="25"/>
  <c r="X52" i="25"/>
  <c r="X44" i="25"/>
  <c r="X46" i="25"/>
  <c r="X48" i="25"/>
  <c r="X26" i="25"/>
  <c r="X31" i="25"/>
  <c r="X35" i="25"/>
  <c r="X39" i="25"/>
  <c r="X30" i="25"/>
  <c r="X34" i="25"/>
  <c r="X38" i="25"/>
  <c r="X47" i="25"/>
  <c r="X33" i="25"/>
  <c r="X42" i="25"/>
  <c r="X28" i="25"/>
  <c r="X53" i="25"/>
  <c r="X54" i="25"/>
  <c r="X55" i="25"/>
  <c r="X56" i="25"/>
  <c r="X57" i="25"/>
  <c r="X58" i="25"/>
  <c r="X59" i="25"/>
  <c r="X60" i="25"/>
  <c r="X61" i="25"/>
  <c r="X62" i="25"/>
  <c r="X63" i="25"/>
  <c r="X64" i="25"/>
  <c r="X32" i="25"/>
  <c r="X41" i="25"/>
  <c r="X45" i="25"/>
  <c r="X29" i="25"/>
  <c r="X37" i="25"/>
  <c r="X40" i="25"/>
  <c r="X27" i="25"/>
  <c r="X36" i="25"/>
  <c r="S101" i="25"/>
  <c r="S93" i="25"/>
  <c r="S72" i="25"/>
  <c r="S78" i="25"/>
  <c r="S82" i="25"/>
  <c r="S94" i="25"/>
  <c r="S102" i="25"/>
  <c r="S92" i="25"/>
  <c r="S83" i="25"/>
  <c r="S99" i="25"/>
  <c r="S89" i="25"/>
  <c r="S84" i="25"/>
  <c r="S105" i="25"/>
  <c r="S96" i="25"/>
  <c r="S103" i="25"/>
  <c r="R85" i="25"/>
  <c r="R90" i="25"/>
  <c r="S73" i="25"/>
  <c r="S97" i="25"/>
  <c r="S106" i="25"/>
  <c r="S100" i="25"/>
  <c r="S91" i="25"/>
  <c r="S6" i="25" s="1"/>
  <c r="Y2" i="25"/>
  <c r="AC2" i="25"/>
  <c r="R86" i="25"/>
  <c r="R87" i="25"/>
  <c r="U2" i="25"/>
  <c r="S81" i="25"/>
  <c r="S74" i="25"/>
  <c r="S76" i="25"/>
  <c r="S77" i="25"/>
  <c r="S80" i="25"/>
  <c r="S98" i="25"/>
  <c r="S88" i="25"/>
  <c r="S104" i="25"/>
  <c r="S95" i="25"/>
  <c r="X105" i="25" l="1"/>
  <c r="T104" i="25"/>
  <c r="X91" i="25"/>
  <c r="X6" i="25" s="1"/>
  <c r="X102" i="25"/>
  <c r="X94" i="25"/>
  <c r="AC43" i="25"/>
  <c r="AC4" i="25" s="1"/>
  <c r="AC5" i="25" s="1"/>
  <c r="AC49" i="25"/>
  <c r="AC50" i="25"/>
  <c r="AC51" i="25"/>
  <c r="AC52" i="25"/>
  <c r="AC44" i="25"/>
  <c r="AC45" i="25"/>
  <c r="AC46" i="25"/>
  <c r="AC47" i="25"/>
  <c r="AC48" i="25"/>
  <c r="AC53" i="25"/>
  <c r="AC54" i="25"/>
  <c r="AC55" i="25"/>
  <c r="AC56" i="25"/>
  <c r="AC57" i="25"/>
  <c r="AC58" i="25"/>
  <c r="AC59" i="25"/>
  <c r="AC60" i="25"/>
  <c r="AC61" i="25"/>
  <c r="AC62" i="25"/>
  <c r="AC63" i="25"/>
  <c r="AC64" i="25"/>
  <c r="AC28" i="25"/>
  <c r="AC32" i="25"/>
  <c r="AC36" i="25"/>
  <c r="AC31" i="25"/>
  <c r="AC35" i="25"/>
  <c r="AC30" i="25"/>
  <c r="AC38" i="25"/>
  <c r="AC39" i="25"/>
  <c r="AC41" i="25"/>
  <c r="AC33" i="25"/>
  <c r="AC40" i="25"/>
  <c r="AC27" i="25"/>
  <c r="AC29" i="25"/>
  <c r="AC37" i="25"/>
  <c r="AC42" i="25"/>
  <c r="AC34" i="25"/>
  <c r="AC26" i="25"/>
  <c r="Y43" i="25"/>
  <c r="Y4" i="25" s="1"/>
  <c r="Y5" i="25" s="1"/>
  <c r="Y49" i="25"/>
  <c r="Y50" i="25"/>
  <c r="Y51" i="25"/>
  <c r="Y52" i="25"/>
  <c r="Y53" i="25"/>
  <c r="Y54" i="25"/>
  <c r="Y55" i="25"/>
  <c r="Y56" i="25"/>
  <c r="Y57" i="25"/>
  <c r="Y58" i="25"/>
  <c r="Y59" i="25"/>
  <c r="Y60" i="25"/>
  <c r="Y61" i="25"/>
  <c r="Y62" i="25"/>
  <c r="Y63" i="25"/>
  <c r="Y64" i="25"/>
  <c r="Y27" i="25"/>
  <c r="Y28" i="25"/>
  <c r="Y32" i="25"/>
  <c r="Y36" i="25"/>
  <c r="Y44" i="25"/>
  <c r="Y46" i="25"/>
  <c r="Y48" i="25"/>
  <c r="Y26" i="25"/>
  <c r="Y31" i="25"/>
  <c r="Y35" i="25"/>
  <c r="Y34" i="25"/>
  <c r="Y45" i="25"/>
  <c r="Y29" i="25"/>
  <c r="Y47" i="25"/>
  <c r="Y33" i="25"/>
  <c r="Y39" i="25"/>
  <c r="Y42" i="25"/>
  <c r="Y30" i="25"/>
  <c r="Y38" i="25"/>
  <c r="Y41" i="25"/>
  <c r="Y37" i="25"/>
  <c r="Y40" i="25"/>
  <c r="J16" i="25"/>
  <c r="U43" i="25"/>
  <c r="U4" i="25" s="1"/>
  <c r="U5" i="25" s="1"/>
  <c r="U44" i="25"/>
  <c r="U45" i="25"/>
  <c r="U46" i="25"/>
  <c r="U47" i="25"/>
  <c r="U48" i="25"/>
  <c r="U49" i="25"/>
  <c r="U50" i="25"/>
  <c r="U51" i="25"/>
  <c r="U52" i="25"/>
  <c r="U53" i="25"/>
  <c r="U54" i="25"/>
  <c r="U55" i="25"/>
  <c r="U56" i="25"/>
  <c r="U57" i="25"/>
  <c r="U58" i="25"/>
  <c r="U59" i="25"/>
  <c r="U60" i="25"/>
  <c r="U61" i="25"/>
  <c r="U62" i="25"/>
  <c r="U63" i="25"/>
  <c r="U64" i="25"/>
  <c r="U28" i="25"/>
  <c r="U32" i="25"/>
  <c r="U36" i="25"/>
  <c r="U27" i="25"/>
  <c r="U31" i="25"/>
  <c r="U35" i="25"/>
  <c r="U30" i="25"/>
  <c r="U38" i="25"/>
  <c r="U41" i="25"/>
  <c r="U40" i="25"/>
  <c r="U26" i="25"/>
  <c r="U29" i="25"/>
  <c r="U37" i="25"/>
  <c r="U42" i="25"/>
  <c r="U34" i="25"/>
  <c r="U39" i="25"/>
  <c r="U33" i="25"/>
  <c r="J15" i="25"/>
  <c r="S7" i="25"/>
  <c r="S8" i="25" s="1"/>
  <c r="T91" i="25"/>
  <c r="T6" i="25" s="1"/>
  <c r="T94" i="25"/>
  <c r="T97" i="25"/>
  <c r="T102" i="25"/>
  <c r="X96" i="25"/>
  <c r="X75" i="25"/>
  <c r="X82" i="25"/>
  <c r="J17" i="25"/>
  <c r="T103" i="25"/>
  <c r="T68" i="25"/>
  <c r="T75" i="25"/>
  <c r="T72" i="25"/>
  <c r="T73" i="25"/>
  <c r="T89" i="25"/>
  <c r="T70" i="25"/>
  <c r="T95" i="25"/>
  <c r="T99" i="25"/>
  <c r="T7" i="25" s="1"/>
  <c r="T106" i="25"/>
  <c r="T101" i="25"/>
  <c r="T92" i="25"/>
  <c r="X68" i="25"/>
  <c r="X69" i="25"/>
  <c r="X78" i="25"/>
  <c r="X71" i="25"/>
  <c r="X95" i="25"/>
  <c r="X99" i="25"/>
  <c r="X7" i="25" s="1"/>
  <c r="X93" i="25"/>
  <c r="X84" i="25"/>
  <c r="X100" i="25"/>
  <c r="J18" i="25"/>
  <c r="T105" i="25"/>
  <c r="T96" i="25"/>
  <c r="X72" i="25"/>
  <c r="X79" i="25"/>
  <c r="X80" i="25"/>
  <c r="X70" i="25"/>
  <c r="X77" i="25"/>
  <c r="X103" i="25"/>
  <c r="X97" i="25"/>
  <c r="X88" i="25"/>
  <c r="X104" i="25"/>
  <c r="S85" i="25"/>
  <c r="S90" i="25"/>
  <c r="T82" i="25"/>
  <c r="T80" i="25"/>
  <c r="AD2" i="25"/>
  <c r="X89" i="25"/>
  <c r="T76" i="25"/>
  <c r="Z2" i="25"/>
  <c r="V2" i="25"/>
  <c r="T69" i="25"/>
  <c r="T74" i="25"/>
  <c r="T81" i="25"/>
  <c r="T98" i="25"/>
  <c r="T79" i="25"/>
  <c r="T71" i="25"/>
  <c r="T77" i="25"/>
  <c r="T78" i="25"/>
  <c r="T83" i="25"/>
  <c r="T93" i="25"/>
  <c r="T84" i="25"/>
  <c r="T100" i="25"/>
  <c r="X83" i="25"/>
  <c r="X76" i="25"/>
  <c r="AH2" i="25"/>
  <c r="X73" i="25"/>
  <c r="X74" i="25"/>
  <c r="X81" i="25"/>
  <c r="X98" i="25"/>
  <c r="X106" i="25"/>
  <c r="X101" i="25"/>
  <c r="X92" i="25"/>
  <c r="J13" i="25"/>
  <c r="J14" i="25"/>
  <c r="S87" i="25"/>
  <c r="S86" i="25"/>
  <c r="X8" i="25" l="1"/>
  <c r="AC91" i="25"/>
  <c r="AC6" i="25" s="1"/>
  <c r="AC92" i="25"/>
  <c r="U92" i="25"/>
  <c r="U99" i="25"/>
  <c r="U7" i="25" s="1"/>
  <c r="U73" i="25"/>
  <c r="Y99" i="25"/>
  <c r="Y7" i="25" s="1"/>
  <c r="Y77" i="25"/>
  <c r="Y73" i="25"/>
  <c r="AC95" i="25"/>
  <c r="V44" i="25"/>
  <c r="V45" i="25"/>
  <c r="V46" i="25"/>
  <c r="V47" i="25"/>
  <c r="V48" i="25"/>
  <c r="V26" i="25"/>
  <c r="V43" i="25"/>
  <c r="V4" i="25" s="1"/>
  <c r="V5" i="25" s="1"/>
  <c r="V53" i="25"/>
  <c r="V54" i="25"/>
  <c r="V55" i="25"/>
  <c r="V56" i="25"/>
  <c r="V57" i="25"/>
  <c r="V58" i="25"/>
  <c r="V59" i="25"/>
  <c r="V60" i="25"/>
  <c r="V61" i="25"/>
  <c r="V62" i="25"/>
  <c r="V63" i="25"/>
  <c r="V64" i="25"/>
  <c r="V49" i="25"/>
  <c r="V50" i="25"/>
  <c r="V51" i="25"/>
  <c r="V52" i="25"/>
  <c r="V29" i="25"/>
  <c r="V33" i="25"/>
  <c r="V37" i="25"/>
  <c r="V28" i="25"/>
  <c r="V32" i="25"/>
  <c r="V36" i="25"/>
  <c r="V31" i="25"/>
  <c r="V40" i="25"/>
  <c r="V42" i="25"/>
  <c r="V41" i="25"/>
  <c r="V30" i="25"/>
  <c r="V38" i="25"/>
  <c r="V27" i="25"/>
  <c r="V35" i="25"/>
  <c r="V34" i="25"/>
  <c r="V39" i="25"/>
  <c r="AD43" i="25"/>
  <c r="AD4" i="25" s="1"/>
  <c r="AD5" i="25" s="1"/>
  <c r="AD49" i="25"/>
  <c r="AD50" i="25"/>
  <c r="AD51" i="25"/>
  <c r="AD52" i="25"/>
  <c r="AD26" i="25"/>
  <c r="AD44" i="25"/>
  <c r="AD45" i="25"/>
  <c r="AD46" i="25"/>
  <c r="AD47" i="25"/>
  <c r="AD48" i="25"/>
  <c r="AD53" i="25"/>
  <c r="AD54" i="25"/>
  <c r="AD55" i="25"/>
  <c r="AD56" i="25"/>
  <c r="AD57" i="25"/>
  <c r="AD58" i="25"/>
  <c r="AD59" i="25"/>
  <c r="AD60" i="25"/>
  <c r="AD61" i="25"/>
  <c r="AD62" i="25"/>
  <c r="AD63" i="25"/>
  <c r="AD64" i="25"/>
  <c r="AD27" i="25"/>
  <c r="AD29" i="25"/>
  <c r="AD33" i="25"/>
  <c r="AD37" i="25"/>
  <c r="AD28" i="25"/>
  <c r="AD32" i="25"/>
  <c r="AD36" i="25"/>
  <c r="AD31" i="25"/>
  <c r="AD40" i="25"/>
  <c r="AD42" i="25"/>
  <c r="AD34" i="25"/>
  <c r="AD41" i="25"/>
  <c r="AD30" i="25"/>
  <c r="AD38" i="25"/>
  <c r="AD39" i="25"/>
  <c r="AD35" i="25"/>
  <c r="Y84" i="25"/>
  <c r="T8" i="25"/>
  <c r="AH43" i="25"/>
  <c r="AH4" i="25" s="1"/>
  <c r="AH5" i="25" s="1"/>
  <c r="AH26" i="25"/>
  <c r="AH53" i="25"/>
  <c r="AH54" i="25"/>
  <c r="AH55" i="25"/>
  <c r="AH56" i="25"/>
  <c r="AH57" i="25"/>
  <c r="AH58" i="25"/>
  <c r="AH59" i="25"/>
  <c r="AH60" i="25"/>
  <c r="AH61" i="25"/>
  <c r="AH62" i="25"/>
  <c r="AH63" i="25"/>
  <c r="AH64" i="25"/>
  <c r="AH45" i="25"/>
  <c r="AH47" i="25"/>
  <c r="AH29" i="25"/>
  <c r="AH33" i="25"/>
  <c r="AH37" i="25"/>
  <c r="AH49" i="25"/>
  <c r="AH50" i="25"/>
  <c r="AH51" i="25"/>
  <c r="AH52" i="25"/>
  <c r="AH28" i="25"/>
  <c r="AH32" i="25"/>
  <c r="AH36" i="25"/>
  <c r="AH44" i="25"/>
  <c r="AH35" i="25"/>
  <c r="AH40" i="25"/>
  <c r="AH27" i="25"/>
  <c r="AH38" i="25"/>
  <c r="AH48" i="25"/>
  <c r="AH34" i="25"/>
  <c r="AH39" i="25"/>
  <c r="AH46" i="25"/>
  <c r="AH31" i="25"/>
  <c r="AH42" i="25"/>
  <c r="AH30" i="25"/>
  <c r="AH41" i="25"/>
  <c r="Z44" i="25"/>
  <c r="Z45" i="25"/>
  <c r="Z46" i="25"/>
  <c r="Z47" i="25"/>
  <c r="Z48" i="25"/>
  <c r="Z26" i="25"/>
  <c r="Z49" i="25"/>
  <c r="Z50" i="25"/>
  <c r="Z51" i="25"/>
  <c r="Z52" i="25"/>
  <c r="Z53" i="25"/>
  <c r="Z54" i="25"/>
  <c r="Z55" i="25"/>
  <c r="Z56" i="25"/>
  <c r="Z57" i="25"/>
  <c r="Z58" i="25"/>
  <c r="Z59" i="25"/>
  <c r="Z60" i="25"/>
  <c r="Z61" i="25"/>
  <c r="Z62" i="25"/>
  <c r="Z63" i="25"/>
  <c r="Z64" i="25"/>
  <c r="Z29" i="25"/>
  <c r="Z33" i="25"/>
  <c r="Z37" i="25"/>
  <c r="Z27" i="25"/>
  <c r="Z28" i="25"/>
  <c r="Z32" i="25"/>
  <c r="Z36" i="25"/>
  <c r="Z43" i="25"/>
  <c r="Z4" i="25" s="1"/>
  <c r="Z5" i="25" s="1"/>
  <c r="Z35" i="25"/>
  <c r="Z40" i="25"/>
  <c r="Z30" i="25"/>
  <c r="Z34" i="25"/>
  <c r="Z31" i="25"/>
  <c r="Z39" i="25"/>
  <c r="Z42" i="25"/>
  <c r="Z38" i="25"/>
  <c r="Z41" i="25"/>
  <c r="Y69" i="25"/>
  <c r="J19" i="25"/>
  <c r="T87" i="25"/>
  <c r="U103" i="25"/>
  <c r="U94" i="25"/>
  <c r="U105" i="25"/>
  <c r="Y95" i="25"/>
  <c r="U95" i="25"/>
  <c r="U96" i="25"/>
  <c r="U100" i="25"/>
  <c r="U98" i="25"/>
  <c r="U93" i="25"/>
  <c r="Y96" i="25"/>
  <c r="Y91" i="25"/>
  <c r="Y6" i="25" s="1"/>
  <c r="AC99" i="25"/>
  <c r="AC7" i="25" s="1"/>
  <c r="AC94" i="25"/>
  <c r="AC105" i="25"/>
  <c r="U80" i="25"/>
  <c r="U77" i="25"/>
  <c r="U76" i="25"/>
  <c r="U84" i="25"/>
  <c r="U71" i="25"/>
  <c r="U82" i="25"/>
  <c r="U83" i="25"/>
  <c r="Y72" i="25"/>
  <c r="Y80" i="25"/>
  <c r="Y83" i="25"/>
  <c r="Y94" i="25"/>
  <c r="Y105" i="25"/>
  <c r="T86" i="25"/>
  <c r="AC96" i="25"/>
  <c r="U91" i="25"/>
  <c r="U6" i="25" s="1"/>
  <c r="T88" i="25"/>
  <c r="AC68" i="25"/>
  <c r="AC71" i="25"/>
  <c r="AC73" i="25"/>
  <c r="AC76" i="25"/>
  <c r="AC74" i="25"/>
  <c r="AC75" i="25"/>
  <c r="AC82" i="25"/>
  <c r="AC103" i="25"/>
  <c r="AC100" i="25"/>
  <c r="AC98" i="25"/>
  <c r="AC93" i="25"/>
  <c r="U79" i="25"/>
  <c r="U72" i="25"/>
  <c r="U75" i="25"/>
  <c r="U88" i="25"/>
  <c r="U104" i="25"/>
  <c r="U102" i="25"/>
  <c r="U97" i="25"/>
  <c r="Y79" i="25"/>
  <c r="Y76" i="25"/>
  <c r="AI2" i="25"/>
  <c r="Y92" i="25"/>
  <c r="Y104" i="25"/>
  <c r="Y98" i="25"/>
  <c r="Y93" i="25"/>
  <c r="X85" i="25"/>
  <c r="X90" i="25"/>
  <c r="AC69" i="25"/>
  <c r="Y86" i="25"/>
  <c r="AC70" i="25"/>
  <c r="AC89" i="25"/>
  <c r="AC80" i="25"/>
  <c r="AC72" i="25"/>
  <c r="AC77" i="25"/>
  <c r="AC87" i="25"/>
  <c r="AC84" i="25"/>
  <c r="AC104" i="25"/>
  <c r="AC102" i="25"/>
  <c r="AC97" i="25"/>
  <c r="U69" i="25"/>
  <c r="U74" i="25"/>
  <c r="U81" i="25"/>
  <c r="W2" i="25"/>
  <c r="U87" i="25"/>
  <c r="U106" i="25"/>
  <c r="U101" i="25"/>
  <c r="Y74" i="25"/>
  <c r="Y81" i="25"/>
  <c r="Y70" i="25"/>
  <c r="Y71" i="25"/>
  <c r="Y78" i="25"/>
  <c r="Y100" i="25"/>
  <c r="Y103" i="25"/>
  <c r="Y102" i="25"/>
  <c r="Y97" i="25"/>
  <c r="X86" i="25"/>
  <c r="T85" i="25"/>
  <c r="T90" i="25"/>
  <c r="AC78" i="25"/>
  <c r="AC79" i="25"/>
  <c r="AC81" i="25"/>
  <c r="AC83" i="25"/>
  <c r="AM2" i="25"/>
  <c r="AC88" i="25"/>
  <c r="AC106" i="25"/>
  <c r="AC101" i="25"/>
  <c r="U68" i="25"/>
  <c r="U70" i="25"/>
  <c r="AA2" i="25"/>
  <c r="AE2" i="25"/>
  <c r="U78" i="25"/>
  <c r="U89" i="25"/>
  <c r="Y68" i="25"/>
  <c r="Y75" i="25"/>
  <c r="Y82" i="25"/>
  <c r="Y106" i="25"/>
  <c r="Y101" i="25"/>
  <c r="X87" i="25"/>
  <c r="AC8" i="25" l="1"/>
  <c r="V100" i="25"/>
  <c r="V96" i="25"/>
  <c r="Z101" i="25"/>
  <c r="Z97" i="25"/>
  <c r="AD81" i="25"/>
  <c r="AD78" i="25"/>
  <c r="Z80" i="25"/>
  <c r="Z69" i="25"/>
  <c r="U8" i="25"/>
  <c r="Z70" i="25"/>
  <c r="V93" i="25"/>
  <c r="V105" i="25"/>
  <c r="AH80" i="25"/>
  <c r="AD97" i="25"/>
  <c r="V77" i="25"/>
  <c r="Y8" i="25"/>
  <c r="AD74" i="25"/>
  <c r="AD105" i="25"/>
  <c r="AH97" i="25"/>
  <c r="AD71" i="25"/>
  <c r="AD70" i="25"/>
  <c r="AD69" i="25"/>
  <c r="AH100" i="25"/>
  <c r="AH104" i="25"/>
  <c r="AH96" i="25"/>
  <c r="AH101" i="25"/>
  <c r="AD77" i="25"/>
  <c r="AD73" i="25"/>
  <c r="AH92" i="25"/>
  <c r="AD101" i="25"/>
  <c r="AD92" i="25"/>
  <c r="V75" i="25"/>
  <c r="V74" i="25"/>
  <c r="AD91" i="25"/>
  <c r="AD6" i="25" s="1"/>
  <c r="Z74" i="25"/>
  <c r="AH99" i="25"/>
  <c r="AH7" i="25" s="1"/>
  <c r="AD104" i="25"/>
  <c r="AD100" i="25"/>
  <c r="AD96" i="25"/>
  <c r="V95" i="25"/>
  <c r="AD93" i="25"/>
  <c r="Z81" i="25"/>
  <c r="Z77" i="25"/>
  <c r="Z71" i="25"/>
  <c r="AH93" i="25"/>
  <c r="AD95" i="25"/>
  <c r="V70" i="25"/>
  <c r="AE44" i="25"/>
  <c r="AE45" i="25"/>
  <c r="AE46" i="25"/>
  <c r="AE47" i="25"/>
  <c r="AE48" i="25"/>
  <c r="AE43" i="25"/>
  <c r="AE4" i="25" s="1"/>
  <c r="AE5" i="25" s="1"/>
  <c r="AE27" i="25"/>
  <c r="AE49" i="25"/>
  <c r="AE50" i="25"/>
  <c r="AE51" i="25"/>
  <c r="AE52" i="25"/>
  <c r="AE26" i="25"/>
  <c r="AE30" i="25"/>
  <c r="AE34" i="25"/>
  <c r="AE38" i="25"/>
  <c r="AE29" i="25"/>
  <c r="AE33" i="25"/>
  <c r="AE37" i="25"/>
  <c r="AE32" i="25"/>
  <c r="AE41" i="25"/>
  <c r="AE35" i="25"/>
  <c r="AE42" i="25"/>
  <c r="AE31" i="25"/>
  <c r="AE40" i="25"/>
  <c r="AE53" i="25"/>
  <c r="AE54" i="25"/>
  <c r="AE55" i="25"/>
  <c r="AE56" i="25"/>
  <c r="AE57" i="25"/>
  <c r="AE58" i="25"/>
  <c r="AE59" i="25"/>
  <c r="AE60" i="25"/>
  <c r="AE61" i="25"/>
  <c r="AE62" i="25"/>
  <c r="AE63" i="25"/>
  <c r="AE64" i="25"/>
  <c r="AE28" i="25"/>
  <c r="AE36" i="25"/>
  <c r="AE39" i="25"/>
  <c r="AM44" i="25"/>
  <c r="AM45" i="25"/>
  <c r="AM46" i="25"/>
  <c r="AM47" i="25"/>
  <c r="AM48" i="25"/>
  <c r="AM43" i="25"/>
  <c r="AM4" i="25" s="1"/>
  <c r="AM5" i="25" s="1"/>
  <c r="AM27" i="25"/>
  <c r="AM26" i="25"/>
  <c r="AM30" i="25"/>
  <c r="AM34" i="25"/>
  <c r="AM38" i="25"/>
  <c r="AM29" i="25"/>
  <c r="AM33" i="25"/>
  <c r="AM37" i="25"/>
  <c r="AM53" i="25"/>
  <c r="AM54" i="25"/>
  <c r="AM55" i="25"/>
  <c r="AM56" i="25"/>
  <c r="AM57" i="25"/>
  <c r="AM58" i="25"/>
  <c r="AM59" i="25"/>
  <c r="AM60" i="25"/>
  <c r="AM61" i="25"/>
  <c r="AM62" i="25"/>
  <c r="AM63" i="25"/>
  <c r="AM64" i="25"/>
  <c r="AM32" i="25"/>
  <c r="AM41" i="25"/>
  <c r="AM49" i="25"/>
  <c r="AM42" i="25"/>
  <c r="AM50" i="25"/>
  <c r="AM52" i="25"/>
  <c r="AM31" i="25"/>
  <c r="AM40" i="25"/>
  <c r="AM28" i="25"/>
  <c r="AM36" i="25"/>
  <c r="AM39" i="25"/>
  <c r="AM51" i="25"/>
  <c r="AM35" i="25"/>
  <c r="AI44" i="25"/>
  <c r="AI45" i="25"/>
  <c r="AI46" i="25"/>
  <c r="AI47" i="25"/>
  <c r="AI48" i="25"/>
  <c r="AI43" i="25"/>
  <c r="AI4" i="25" s="1"/>
  <c r="AI5" i="25" s="1"/>
  <c r="AI49" i="25"/>
  <c r="AI50" i="25"/>
  <c r="AI51" i="25"/>
  <c r="AI52" i="25"/>
  <c r="AI27" i="25"/>
  <c r="AI26" i="25"/>
  <c r="AI53" i="25"/>
  <c r="AI54" i="25"/>
  <c r="AI55" i="25"/>
  <c r="AI56" i="25"/>
  <c r="AI57" i="25"/>
  <c r="AI58" i="25"/>
  <c r="AI59" i="25"/>
  <c r="AI60" i="25"/>
  <c r="AI61" i="25"/>
  <c r="AI62" i="25"/>
  <c r="AI63" i="25"/>
  <c r="AI64" i="25"/>
  <c r="AI30" i="25"/>
  <c r="AI34" i="25"/>
  <c r="AI38" i="25"/>
  <c r="AI29" i="25"/>
  <c r="AI33" i="25"/>
  <c r="AI37" i="25"/>
  <c r="AI28" i="25"/>
  <c r="AI36" i="25"/>
  <c r="AI41" i="25"/>
  <c r="AI35" i="25"/>
  <c r="AI40" i="25"/>
  <c r="AI32" i="25"/>
  <c r="AI39" i="25"/>
  <c r="AI31" i="25"/>
  <c r="AI42" i="25"/>
  <c r="AA44" i="25"/>
  <c r="AA45" i="25"/>
  <c r="AA46" i="25"/>
  <c r="AA47" i="25"/>
  <c r="AA48" i="25"/>
  <c r="AA27" i="25"/>
  <c r="AA26" i="25"/>
  <c r="AA53" i="25"/>
  <c r="AA54" i="25"/>
  <c r="AA55" i="25"/>
  <c r="AA56" i="25"/>
  <c r="AA57" i="25"/>
  <c r="AA58" i="25"/>
  <c r="AA59" i="25"/>
  <c r="AA60" i="25"/>
  <c r="AA61" i="25"/>
  <c r="AA62" i="25"/>
  <c r="AA63" i="25"/>
  <c r="AA64" i="25"/>
  <c r="AA30" i="25"/>
  <c r="AA34" i="25"/>
  <c r="AA38" i="25"/>
  <c r="AA29" i="25"/>
  <c r="AA33" i="25"/>
  <c r="AA37" i="25"/>
  <c r="AA49" i="25"/>
  <c r="AA51" i="25"/>
  <c r="AA28" i="25"/>
  <c r="AA36" i="25"/>
  <c r="AA41" i="25"/>
  <c r="AA31" i="25"/>
  <c r="AA39" i="25"/>
  <c r="AA43" i="25"/>
  <c r="AA4" i="25" s="1"/>
  <c r="AA5" i="25" s="1"/>
  <c r="AA35" i="25"/>
  <c r="AA40" i="25"/>
  <c r="AA50" i="25"/>
  <c r="AA52" i="25"/>
  <c r="AA32" i="25"/>
  <c r="AA42" i="25"/>
  <c r="W44" i="25"/>
  <c r="W45" i="25"/>
  <c r="W46" i="25"/>
  <c r="W47" i="25"/>
  <c r="W48" i="25"/>
  <c r="W43" i="25"/>
  <c r="W4" i="25" s="1"/>
  <c r="W5" i="25" s="1"/>
  <c r="W27" i="25"/>
  <c r="W26" i="25"/>
  <c r="W30" i="25"/>
  <c r="W34" i="25"/>
  <c r="W38" i="25"/>
  <c r="W49" i="25"/>
  <c r="W50" i="25"/>
  <c r="W51" i="25"/>
  <c r="W52" i="25"/>
  <c r="W29" i="25"/>
  <c r="W33" i="25"/>
  <c r="W37" i="25"/>
  <c r="W53" i="25"/>
  <c r="W54" i="25"/>
  <c r="W55" i="25"/>
  <c r="W56" i="25"/>
  <c r="W57" i="25"/>
  <c r="W58" i="25"/>
  <c r="W59" i="25"/>
  <c r="W60" i="25"/>
  <c r="W61" i="25"/>
  <c r="W62" i="25"/>
  <c r="W63" i="25"/>
  <c r="W64" i="25"/>
  <c r="W32" i="25"/>
  <c r="W39" i="25"/>
  <c r="W41" i="25"/>
  <c r="W42" i="25"/>
  <c r="W31" i="25"/>
  <c r="W40" i="25"/>
  <c r="W28" i="25"/>
  <c r="W36" i="25"/>
  <c r="W35" i="25"/>
  <c r="Y87" i="25"/>
  <c r="V92" i="25"/>
  <c r="Z75" i="25"/>
  <c r="Z73" i="25"/>
  <c r="Z78" i="25"/>
  <c r="V82" i="25"/>
  <c r="V71" i="25"/>
  <c r="V76" i="25"/>
  <c r="V79" i="25"/>
  <c r="V104" i="25"/>
  <c r="V103" i="25"/>
  <c r="V98" i="25"/>
  <c r="Z82" i="25"/>
  <c r="Z84" i="25"/>
  <c r="Z72" i="25"/>
  <c r="Z79" i="25"/>
  <c r="AH74" i="25"/>
  <c r="AH69" i="25"/>
  <c r="AH71" i="25"/>
  <c r="AH76" i="25"/>
  <c r="AH91" i="25"/>
  <c r="AH6" i="25" s="1"/>
  <c r="AH82" i="25"/>
  <c r="AH98" i="25"/>
  <c r="V91" i="25"/>
  <c r="V6" i="25" s="1"/>
  <c r="AD75" i="25"/>
  <c r="AD76" i="25"/>
  <c r="AD79" i="25"/>
  <c r="AD103" i="25"/>
  <c r="AD98" i="25"/>
  <c r="AD80" i="25"/>
  <c r="Z106" i="25"/>
  <c r="AB2" i="25"/>
  <c r="AJ2" i="25"/>
  <c r="Z68" i="25"/>
  <c r="Z93" i="25"/>
  <c r="Z83" i="25"/>
  <c r="Z104" i="25"/>
  <c r="Z99" i="25"/>
  <c r="Z7" i="25" s="1"/>
  <c r="Z94" i="25"/>
  <c r="AH81" i="25"/>
  <c r="AH78" i="25"/>
  <c r="AH73" i="25"/>
  <c r="AH83" i="25"/>
  <c r="AH77" i="25"/>
  <c r="AH95" i="25"/>
  <c r="AH102" i="25"/>
  <c r="V73" i="25"/>
  <c r="V69" i="25"/>
  <c r="V81" i="25"/>
  <c r="V84" i="25"/>
  <c r="V87" i="25"/>
  <c r="V102" i="25"/>
  <c r="Y90" i="25"/>
  <c r="Y85" i="25"/>
  <c r="AD83" i="25"/>
  <c r="AD88" i="25"/>
  <c r="AD102" i="25"/>
  <c r="U90" i="25"/>
  <c r="U85" i="25"/>
  <c r="AF2" i="25"/>
  <c r="Z92" i="25"/>
  <c r="Z105" i="25"/>
  <c r="Z103" i="25"/>
  <c r="Z98" i="25"/>
  <c r="AH68" i="25"/>
  <c r="AH79" i="25"/>
  <c r="AH106" i="25"/>
  <c r="V68" i="25"/>
  <c r="V83" i="25"/>
  <c r="V106" i="25"/>
  <c r="AC90" i="25"/>
  <c r="AC85" i="25"/>
  <c r="AD89" i="25"/>
  <c r="AD68" i="25"/>
  <c r="AD82" i="25"/>
  <c r="AD106" i="25"/>
  <c r="U86" i="25"/>
  <c r="Z95" i="25"/>
  <c r="AD87" i="25"/>
  <c r="Z96" i="25"/>
  <c r="Z76" i="25"/>
  <c r="Z100" i="25"/>
  <c r="Z91" i="25"/>
  <c r="Z6" i="25" s="1"/>
  <c r="Z86" i="25"/>
  <c r="Z102" i="25"/>
  <c r="AH70" i="25"/>
  <c r="AH75" i="25"/>
  <c r="AH72" i="25"/>
  <c r="AH84" i="25"/>
  <c r="AH105" i="25"/>
  <c r="AH103" i="25"/>
  <c r="AH94" i="25"/>
  <c r="V80" i="25"/>
  <c r="V78" i="25"/>
  <c r="V72" i="25"/>
  <c r="V101" i="25"/>
  <c r="V97" i="25"/>
  <c r="V99" i="25"/>
  <c r="V7" i="25" s="1"/>
  <c r="V94" i="25"/>
  <c r="AC86" i="25"/>
  <c r="Y88" i="25"/>
  <c r="AD72" i="25"/>
  <c r="AD84" i="25"/>
  <c r="AD99" i="25"/>
  <c r="AD7" i="25" s="1"/>
  <c r="AD94" i="25"/>
  <c r="Y89" i="25"/>
  <c r="AE82" i="25" l="1"/>
  <c r="AI71" i="25"/>
  <c r="AE92" i="25"/>
  <c r="AD8" i="25"/>
  <c r="AE93" i="25"/>
  <c r="AE81" i="25"/>
  <c r="AH8" i="25"/>
  <c r="AE102" i="25"/>
  <c r="V8" i="25"/>
  <c r="Z8" i="25"/>
  <c r="AE77" i="25"/>
  <c r="AF44" i="25"/>
  <c r="AF45" i="25"/>
  <c r="AF46" i="25"/>
  <c r="AF47" i="25"/>
  <c r="AF48" i="25"/>
  <c r="AF43" i="25"/>
  <c r="AF4" i="25" s="1"/>
  <c r="AF5" i="25" s="1"/>
  <c r="AF49" i="25"/>
  <c r="AF50" i="25"/>
  <c r="AF51" i="25"/>
  <c r="AF52" i="25"/>
  <c r="AF26" i="25"/>
  <c r="AF31" i="25"/>
  <c r="AF35" i="25"/>
  <c r="AF27" i="25"/>
  <c r="AF30" i="25"/>
  <c r="AF34" i="25"/>
  <c r="AF38" i="25"/>
  <c r="AF33" i="25"/>
  <c r="AF42" i="25"/>
  <c r="AF53" i="25"/>
  <c r="AF54" i="25"/>
  <c r="AF55" i="25"/>
  <c r="AF56" i="25"/>
  <c r="AF57" i="25"/>
  <c r="AF58" i="25"/>
  <c r="AF59" i="25"/>
  <c r="AF60" i="25"/>
  <c r="AF61" i="25"/>
  <c r="AF62" i="25"/>
  <c r="AF63" i="25"/>
  <c r="AF64" i="25"/>
  <c r="AF36" i="25"/>
  <c r="AF32" i="25"/>
  <c r="AF41" i="25"/>
  <c r="AF29" i="25"/>
  <c r="AF37" i="25"/>
  <c r="AF40" i="25"/>
  <c r="AF28" i="25"/>
  <c r="AF39" i="25"/>
  <c r="AJ48" i="25"/>
  <c r="AJ49" i="25"/>
  <c r="AJ50" i="25"/>
  <c r="AJ51" i="25"/>
  <c r="AJ52" i="25"/>
  <c r="AJ43" i="25"/>
  <c r="AJ4" i="25" s="1"/>
  <c r="AJ5" i="25" s="1"/>
  <c r="AJ27" i="25"/>
  <c r="AJ31" i="25"/>
  <c r="AJ35" i="25"/>
  <c r="AJ45" i="25"/>
  <c r="AJ47" i="25"/>
  <c r="AJ53" i="25"/>
  <c r="AJ54" i="25"/>
  <c r="AJ55" i="25"/>
  <c r="AJ56" i="25"/>
  <c r="AJ57" i="25"/>
  <c r="AJ58" i="25"/>
  <c r="AJ59" i="25"/>
  <c r="AJ60" i="25"/>
  <c r="AJ61" i="25"/>
  <c r="AJ62" i="25"/>
  <c r="AJ63" i="25"/>
  <c r="AJ64" i="25"/>
  <c r="AJ30" i="25"/>
  <c r="AJ34" i="25"/>
  <c r="AJ38" i="25"/>
  <c r="AJ26" i="25"/>
  <c r="AJ29" i="25"/>
  <c r="AJ37" i="25"/>
  <c r="AJ42" i="25"/>
  <c r="AJ39" i="25"/>
  <c r="AJ44" i="25"/>
  <c r="AJ28" i="25"/>
  <c r="AJ36" i="25"/>
  <c r="AJ41" i="25"/>
  <c r="AJ33" i="25"/>
  <c r="AJ40" i="25"/>
  <c r="AJ46" i="25"/>
  <c r="AJ32" i="25"/>
  <c r="AE72" i="25"/>
  <c r="AB43" i="25"/>
  <c r="AB4" i="25" s="1"/>
  <c r="AB5" i="25" s="1"/>
  <c r="AB44" i="25"/>
  <c r="AB45" i="25"/>
  <c r="AB46" i="25"/>
  <c r="AB47" i="25"/>
  <c r="AB48" i="25"/>
  <c r="AB31" i="25"/>
  <c r="AB35" i="25"/>
  <c r="AB39" i="25"/>
  <c r="AB53" i="25"/>
  <c r="AB54" i="25"/>
  <c r="AB55" i="25"/>
  <c r="AB56" i="25"/>
  <c r="AB57" i="25"/>
  <c r="AB58" i="25"/>
  <c r="AB59" i="25"/>
  <c r="AB60" i="25"/>
  <c r="AB61" i="25"/>
  <c r="AB62" i="25"/>
  <c r="AB63" i="25"/>
  <c r="AB64" i="25"/>
  <c r="AB30" i="25"/>
  <c r="AB34" i="25"/>
  <c r="AB38" i="25"/>
  <c r="AB27" i="25"/>
  <c r="AB29" i="25"/>
  <c r="AB37" i="25"/>
  <c r="AB42" i="25"/>
  <c r="AB52" i="25"/>
  <c r="AB32" i="25"/>
  <c r="AB49" i="25"/>
  <c r="AB51" i="25"/>
  <c r="AB28" i="25"/>
  <c r="AB36" i="25"/>
  <c r="AB41" i="25"/>
  <c r="AB26" i="25"/>
  <c r="AB33" i="25"/>
  <c r="AB40" i="25"/>
  <c r="AB50" i="25"/>
  <c r="AA97" i="25"/>
  <c r="AA93" i="25"/>
  <c r="AE94" i="25"/>
  <c r="AM97" i="25"/>
  <c r="AE97" i="25"/>
  <c r="AE105" i="25"/>
  <c r="AM94" i="25"/>
  <c r="AE79" i="25"/>
  <c r="AD86" i="25"/>
  <c r="AI75" i="25"/>
  <c r="AI76" i="25"/>
  <c r="AI82" i="25"/>
  <c r="AI70" i="25"/>
  <c r="W71" i="25"/>
  <c r="W76" i="25"/>
  <c r="W72" i="25"/>
  <c r="W77" i="25"/>
  <c r="AM102" i="25"/>
  <c r="AM92" i="25"/>
  <c r="AM99" i="25"/>
  <c r="AM7" i="25" s="1"/>
  <c r="AA98" i="25"/>
  <c r="AA104" i="25"/>
  <c r="AA95" i="25"/>
  <c r="AE84" i="25"/>
  <c r="AE76" i="25"/>
  <c r="AE80" i="25"/>
  <c r="AE83" i="25"/>
  <c r="AE99" i="25"/>
  <c r="AE7" i="25" s="1"/>
  <c r="AI81" i="25"/>
  <c r="AI79" i="25"/>
  <c r="AI93" i="25"/>
  <c r="AI69" i="25"/>
  <c r="AI101" i="25"/>
  <c r="AI97" i="25"/>
  <c r="AI106" i="25"/>
  <c r="AI100" i="25"/>
  <c r="AI91" i="25"/>
  <c r="AI6" i="25" s="1"/>
  <c r="AA68" i="25"/>
  <c r="AA79" i="25"/>
  <c r="AA73" i="25"/>
  <c r="V85" i="25"/>
  <c r="V90" i="25"/>
  <c r="AH85" i="25"/>
  <c r="AH90" i="25"/>
  <c r="AM68" i="25"/>
  <c r="AM73" i="25"/>
  <c r="AM84" i="25"/>
  <c r="V89" i="25"/>
  <c r="AH87" i="25"/>
  <c r="AH89" i="25"/>
  <c r="AA72" i="25"/>
  <c r="AK2" i="25"/>
  <c r="AA101" i="25"/>
  <c r="AA81" i="25"/>
  <c r="AA94" i="25"/>
  <c r="AA102" i="25"/>
  <c r="AA92" i="25"/>
  <c r="AA83" i="25"/>
  <c r="AA99" i="25"/>
  <c r="AA7" i="25" s="1"/>
  <c r="V86" i="25"/>
  <c r="AH86" i="25"/>
  <c r="AE71" i="25"/>
  <c r="AE70" i="25"/>
  <c r="AE69" i="25"/>
  <c r="AE101" i="25"/>
  <c r="AE96" i="25"/>
  <c r="AE103" i="25"/>
  <c r="AI84" i="25"/>
  <c r="AI74" i="25"/>
  <c r="AI72" i="25"/>
  <c r="AI73" i="25"/>
  <c r="AI80" i="25"/>
  <c r="AI98" i="25"/>
  <c r="AI104" i="25"/>
  <c r="AI95" i="25"/>
  <c r="W75" i="25"/>
  <c r="W70" i="25"/>
  <c r="W81" i="25"/>
  <c r="W79" i="25"/>
  <c r="W98" i="25"/>
  <c r="W93" i="25"/>
  <c r="W104" i="25"/>
  <c r="W95" i="25"/>
  <c r="AM72" i="25"/>
  <c r="AM75" i="25"/>
  <c r="AM77" i="25"/>
  <c r="AM82" i="25"/>
  <c r="AM86" i="25"/>
  <c r="AM105" i="25"/>
  <c r="AM96" i="25"/>
  <c r="AM103" i="25"/>
  <c r="AA89" i="25"/>
  <c r="V88" i="25"/>
  <c r="W87" i="25"/>
  <c r="W91" i="25"/>
  <c r="W6" i="25" s="1"/>
  <c r="AM74" i="25"/>
  <c r="AM80" i="25"/>
  <c r="AM83" i="25"/>
  <c r="AA76" i="25"/>
  <c r="AA71" i="25"/>
  <c r="AA74" i="25"/>
  <c r="AA70" i="25"/>
  <c r="AA80" i="25"/>
  <c r="AA105" i="25"/>
  <c r="AA96" i="25"/>
  <c r="AA103" i="25"/>
  <c r="AE75" i="25"/>
  <c r="AE74" i="25"/>
  <c r="AE73" i="25"/>
  <c r="AE98" i="25"/>
  <c r="AE106" i="25"/>
  <c r="AE100" i="25"/>
  <c r="AE91" i="25"/>
  <c r="AE6" i="25" s="1"/>
  <c r="AI68" i="25"/>
  <c r="AI78" i="25"/>
  <c r="AI77" i="25"/>
  <c r="AI89" i="25"/>
  <c r="AI94" i="25"/>
  <c r="AI102" i="25"/>
  <c r="AI92" i="25"/>
  <c r="AI83" i="25"/>
  <c r="AI99" i="25"/>
  <c r="AI7" i="25" s="1"/>
  <c r="W97" i="25"/>
  <c r="W78" i="25"/>
  <c r="W74" i="25"/>
  <c r="W69" i="25"/>
  <c r="W94" i="25"/>
  <c r="W102" i="25"/>
  <c r="W101" i="25"/>
  <c r="W92" i="25"/>
  <c r="W83" i="25"/>
  <c r="W99" i="25"/>
  <c r="W7" i="25" s="1"/>
  <c r="AM76" i="25"/>
  <c r="AM78" i="25"/>
  <c r="AM81" i="25"/>
  <c r="AM79" i="25"/>
  <c r="AM93" i="25"/>
  <c r="AM106" i="25"/>
  <c r="AM100" i="25"/>
  <c r="AM91" i="25"/>
  <c r="AM6" i="25" s="1"/>
  <c r="AA82" i="25"/>
  <c r="AE86" i="25"/>
  <c r="W106" i="25"/>
  <c r="W100" i="25"/>
  <c r="AM71" i="25"/>
  <c r="AH88" i="25"/>
  <c r="Z85" i="25"/>
  <c r="Z90" i="25"/>
  <c r="Z89" i="25"/>
  <c r="Z88" i="25"/>
  <c r="AA78" i="25"/>
  <c r="AA75" i="25"/>
  <c r="AA77" i="25"/>
  <c r="AA69" i="25"/>
  <c r="AA84" i="25"/>
  <c r="AA106" i="25"/>
  <c r="AA100" i="25"/>
  <c r="AA91" i="25"/>
  <c r="AA6" i="25" s="1"/>
  <c r="AD90" i="25"/>
  <c r="AD85" i="25"/>
  <c r="AE68" i="25"/>
  <c r="AE78" i="25"/>
  <c r="AE88" i="25"/>
  <c r="AE104" i="25"/>
  <c r="AE95" i="25"/>
  <c r="AI105" i="25"/>
  <c r="AI96" i="25"/>
  <c r="AI103" i="25"/>
  <c r="AG2" i="25"/>
  <c r="W68" i="25"/>
  <c r="W82" i="25"/>
  <c r="W73" i="25"/>
  <c r="W80" i="25"/>
  <c r="W84" i="25"/>
  <c r="W105" i="25"/>
  <c r="W96" i="25"/>
  <c r="W103" i="25"/>
  <c r="AM70" i="25"/>
  <c r="AM69" i="25"/>
  <c r="AM98" i="25"/>
  <c r="AM101" i="25"/>
  <c r="AM88" i="25"/>
  <c r="AM104" i="25"/>
  <c r="AM95" i="25"/>
  <c r="Z87" i="25"/>
  <c r="K15" i="25" l="1"/>
  <c r="K17" i="25"/>
  <c r="AF102" i="25"/>
  <c r="AF91" i="25"/>
  <c r="AF6" i="25" s="1"/>
  <c r="AF94" i="25"/>
  <c r="AM8" i="25"/>
  <c r="AK43" i="25"/>
  <c r="AK4" i="25" s="1"/>
  <c r="AK5" i="25" s="1"/>
  <c r="AK44" i="25"/>
  <c r="AK45" i="25"/>
  <c r="AK46" i="25"/>
  <c r="AK47" i="25"/>
  <c r="AK48" i="25"/>
  <c r="AK49" i="25"/>
  <c r="AK50" i="25"/>
  <c r="AK51" i="25"/>
  <c r="AK52" i="25"/>
  <c r="AK53" i="25"/>
  <c r="AK54" i="25"/>
  <c r="AK55" i="25"/>
  <c r="AK56" i="25"/>
  <c r="AK57" i="25"/>
  <c r="AK58" i="25"/>
  <c r="AK59" i="25"/>
  <c r="AK60" i="25"/>
  <c r="AK61" i="25"/>
  <c r="AK62" i="25"/>
  <c r="AK63" i="25"/>
  <c r="AK64" i="25"/>
  <c r="AK28" i="25"/>
  <c r="AK32" i="25"/>
  <c r="AK36" i="25"/>
  <c r="AK27" i="25"/>
  <c r="AK31" i="25"/>
  <c r="AK35" i="25"/>
  <c r="AK30" i="25"/>
  <c r="AK38" i="25"/>
  <c r="AK39" i="25"/>
  <c r="AK41" i="25"/>
  <c r="AK40" i="25"/>
  <c r="AK26" i="25"/>
  <c r="AK29" i="25"/>
  <c r="AK37" i="25"/>
  <c r="AK42" i="25"/>
  <c r="AK34" i="25"/>
  <c r="AK33" i="25"/>
  <c r="W8" i="25"/>
  <c r="AA8" i="25"/>
  <c r="AG43" i="25"/>
  <c r="AG4" i="25" s="1"/>
  <c r="AG5" i="25" s="1"/>
  <c r="AG49" i="25"/>
  <c r="AG50" i="25"/>
  <c r="AG51" i="25"/>
  <c r="AG52" i="25"/>
  <c r="AG44" i="25"/>
  <c r="AG45" i="25"/>
  <c r="AG46" i="25"/>
  <c r="AG47" i="25"/>
  <c r="AG53" i="25"/>
  <c r="AG54" i="25"/>
  <c r="AG55" i="25"/>
  <c r="AG56" i="25"/>
  <c r="AG57" i="25"/>
  <c r="AG58" i="25"/>
  <c r="AG59" i="25"/>
  <c r="AG60" i="25"/>
  <c r="AG61" i="25"/>
  <c r="AG62" i="25"/>
  <c r="AG63" i="25"/>
  <c r="AG64" i="25"/>
  <c r="AG28" i="25"/>
  <c r="AG32" i="25"/>
  <c r="AG36" i="25"/>
  <c r="AG26" i="25"/>
  <c r="AG31" i="25"/>
  <c r="AG35" i="25"/>
  <c r="AG48" i="25"/>
  <c r="AG34" i="25"/>
  <c r="AG39" i="25"/>
  <c r="AG37" i="25"/>
  <c r="AG33" i="25"/>
  <c r="AG42" i="25"/>
  <c r="AG27" i="25"/>
  <c r="AG30" i="25"/>
  <c r="AG38" i="25"/>
  <c r="AG41" i="25"/>
  <c r="AG29" i="25"/>
  <c r="AG40" i="25"/>
  <c r="AE8" i="25"/>
  <c r="AI8" i="25"/>
  <c r="AM89" i="25"/>
  <c r="AM87" i="25"/>
  <c r="AF98" i="25"/>
  <c r="AF95" i="25"/>
  <c r="AF99" i="25"/>
  <c r="AF7" i="25" s="1"/>
  <c r="AJ105" i="25"/>
  <c r="AJ96" i="25"/>
  <c r="AF72" i="25"/>
  <c r="AF69" i="25"/>
  <c r="AF70" i="25"/>
  <c r="AF77" i="25"/>
  <c r="AF93" i="25"/>
  <c r="AF84" i="25"/>
  <c r="AF100" i="25"/>
  <c r="AB72" i="25"/>
  <c r="AB83" i="25"/>
  <c r="AB71" i="25"/>
  <c r="AB79" i="25"/>
  <c r="K18" i="25"/>
  <c r="AF103" i="25"/>
  <c r="AB99" i="25"/>
  <c r="AB7" i="25" s="1"/>
  <c r="AB92" i="25"/>
  <c r="AI85" i="25"/>
  <c r="AI90" i="25"/>
  <c r="W85" i="25"/>
  <c r="W90" i="25"/>
  <c r="AJ69" i="25"/>
  <c r="W89" i="25"/>
  <c r="AB69" i="25"/>
  <c r="AB76" i="25"/>
  <c r="AB95" i="25"/>
  <c r="AB75" i="25"/>
  <c r="AL2" i="25"/>
  <c r="AB77" i="25"/>
  <c r="AB89" i="25"/>
  <c r="AB105" i="25"/>
  <c r="AB96" i="25"/>
  <c r="AI87" i="25"/>
  <c r="AE85" i="25"/>
  <c r="AE90" i="25"/>
  <c r="K13" i="25"/>
  <c r="K14" i="25"/>
  <c r="AI86" i="25"/>
  <c r="W86" i="25"/>
  <c r="AJ73" i="25"/>
  <c r="AJ72" i="25"/>
  <c r="AJ71" i="25"/>
  <c r="AJ70" i="25"/>
  <c r="AJ82" i="25"/>
  <c r="AJ83" i="25"/>
  <c r="AJ94" i="25"/>
  <c r="AJ93" i="25"/>
  <c r="AJ84" i="25"/>
  <c r="AJ100" i="25"/>
  <c r="AM85" i="25"/>
  <c r="AM90" i="25"/>
  <c r="W88" i="25"/>
  <c r="AF76" i="25"/>
  <c r="AF75" i="25"/>
  <c r="AF78" i="25"/>
  <c r="AF74" i="25"/>
  <c r="AF81" i="25"/>
  <c r="AF83" i="25"/>
  <c r="AF97" i="25"/>
  <c r="AF104" i="25"/>
  <c r="AB101" i="25"/>
  <c r="AJ86" i="25"/>
  <c r="AA85" i="25"/>
  <c r="AA90" i="25"/>
  <c r="AB73" i="25"/>
  <c r="AB78" i="25"/>
  <c r="AB98" i="25"/>
  <c r="AB82" i="25"/>
  <c r="AB70" i="25"/>
  <c r="AB81" i="25"/>
  <c r="AB94" i="25"/>
  <c r="AB93" i="25"/>
  <c r="AB84" i="25"/>
  <c r="AB100" i="25"/>
  <c r="K16" i="25"/>
  <c r="AA87" i="25"/>
  <c r="AJ76" i="25"/>
  <c r="AJ75" i="25"/>
  <c r="AJ74" i="25"/>
  <c r="AJ95" i="25"/>
  <c r="AJ91" i="25"/>
  <c r="AJ6" i="25" s="1"/>
  <c r="AJ102" i="25"/>
  <c r="AJ97" i="25"/>
  <c r="AJ104" i="25"/>
  <c r="AF82" i="25"/>
  <c r="AF79" i="25"/>
  <c r="AF80" i="25"/>
  <c r="AF87" i="25"/>
  <c r="AF106" i="25"/>
  <c r="AF101" i="25"/>
  <c r="AF92" i="25"/>
  <c r="AB106" i="25"/>
  <c r="AJ68" i="25"/>
  <c r="AJ80" i="25"/>
  <c r="AJ81" i="25"/>
  <c r="AB68" i="25"/>
  <c r="AB80" i="25"/>
  <c r="AB103" i="25"/>
  <c r="AB87" i="25"/>
  <c r="AB74" i="25"/>
  <c r="AB91" i="25"/>
  <c r="AB6" i="25" s="1"/>
  <c r="AB102" i="25"/>
  <c r="AB97" i="25"/>
  <c r="AB88" i="25"/>
  <c r="AB104" i="25"/>
  <c r="AA88" i="25"/>
  <c r="AJ106" i="25"/>
  <c r="AJ79" i="25"/>
  <c r="AJ98" i="25"/>
  <c r="AJ78" i="25"/>
  <c r="AJ77" i="25"/>
  <c r="AJ99" i="25"/>
  <c r="AJ7" i="25" s="1"/>
  <c r="AJ103" i="25"/>
  <c r="AJ101" i="25"/>
  <c r="AJ92" i="25"/>
  <c r="AA86" i="25"/>
  <c r="AI88" i="25"/>
  <c r="AE87" i="25"/>
  <c r="AE89" i="25"/>
  <c r="AF68" i="25"/>
  <c r="AF73" i="25"/>
  <c r="AF71" i="25"/>
  <c r="AF105" i="25"/>
  <c r="AF96" i="25"/>
  <c r="AF8" i="25" l="1"/>
  <c r="AK103" i="25"/>
  <c r="AK91" i="25"/>
  <c r="AK6" i="25" s="1"/>
  <c r="AG91" i="25"/>
  <c r="AG6" i="25" s="1"/>
  <c r="AG100" i="25"/>
  <c r="AG99" i="25"/>
  <c r="AG7" i="25" s="1"/>
  <c r="AG94" i="25"/>
  <c r="K19" i="25"/>
  <c r="AG104" i="25"/>
  <c r="AG96" i="25"/>
  <c r="AG92" i="25"/>
  <c r="AB8" i="25"/>
  <c r="AJ8" i="25"/>
  <c r="AL44" i="25"/>
  <c r="AL45" i="25"/>
  <c r="AL46" i="25"/>
  <c r="AL47" i="25"/>
  <c r="AL26" i="25"/>
  <c r="AL48" i="25"/>
  <c r="AL53" i="25"/>
  <c r="AL54" i="25"/>
  <c r="AL55" i="25"/>
  <c r="AL56" i="25"/>
  <c r="AL57" i="25"/>
  <c r="AL58" i="25"/>
  <c r="AL59" i="25"/>
  <c r="AL60" i="25"/>
  <c r="AL61" i="25"/>
  <c r="AL62" i="25"/>
  <c r="AL63" i="25"/>
  <c r="AL64" i="25"/>
  <c r="AL29" i="25"/>
  <c r="AL33" i="25"/>
  <c r="AL37" i="25"/>
  <c r="AL43" i="25"/>
  <c r="AL4" i="25" s="1"/>
  <c r="AL5" i="25" s="1"/>
  <c r="AL28" i="25"/>
  <c r="AL32" i="25"/>
  <c r="AL36" i="25"/>
  <c r="AL50" i="25"/>
  <c r="AL52" i="25"/>
  <c r="AL27" i="25"/>
  <c r="AL31" i="25"/>
  <c r="AL40" i="25"/>
  <c r="AL42" i="25"/>
  <c r="AL41" i="25"/>
  <c r="AL30" i="25"/>
  <c r="AL38" i="25"/>
  <c r="AL39" i="25"/>
  <c r="AL49" i="25"/>
  <c r="AL51" i="25"/>
  <c r="AL35" i="25"/>
  <c r="AL34" i="25"/>
  <c r="AK99" i="25"/>
  <c r="AK7" i="25" s="1"/>
  <c r="AK100" i="25"/>
  <c r="AJ88" i="25"/>
  <c r="AK95" i="25"/>
  <c r="AK92" i="25"/>
  <c r="AK96" i="25"/>
  <c r="AK104" i="25"/>
  <c r="AJ89" i="25"/>
  <c r="AG103" i="25"/>
  <c r="AG102" i="25"/>
  <c r="AG97" i="25"/>
  <c r="AJ87" i="25"/>
  <c r="AK98" i="25"/>
  <c r="AK93" i="25"/>
  <c r="AF89" i="25"/>
  <c r="AF86" i="25"/>
  <c r="AK102" i="25"/>
  <c r="AK77" i="25"/>
  <c r="AG77" i="25"/>
  <c r="AK76" i="25"/>
  <c r="AK78" i="25"/>
  <c r="AK83" i="25"/>
  <c r="AK97" i="25"/>
  <c r="AB85" i="25"/>
  <c r="AB90" i="25"/>
  <c r="AG72" i="25"/>
  <c r="AG79" i="25"/>
  <c r="AG78" i="25"/>
  <c r="AG106" i="25"/>
  <c r="AG101" i="25"/>
  <c r="AK80" i="25"/>
  <c r="AK84" i="25"/>
  <c r="AG80" i="25"/>
  <c r="AG75" i="25"/>
  <c r="AK70" i="25"/>
  <c r="AK69" i="25"/>
  <c r="AK79" i="25"/>
  <c r="AK72" i="25"/>
  <c r="AK87" i="25"/>
  <c r="AK106" i="25"/>
  <c r="AK101" i="25"/>
  <c r="AB86" i="25"/>
  <c r="AG69" i="25"/>
  <c r="AG74" i="25"/>
  <c r="AG70" i="25"/>
  <c r="AG81" i="25"/>
  <c r="AG82" i="25"/>
  <c r="AG87" i="25"/>
  <c r="AG105" i="25"/>
  <c r="AK68" i="25"/>
  <c r="AK75" i="25"/>
  <c r="AG68" i="25"/>
  <c r="AF85" i="25"/>
  <c r="AF90" i="25"/>
  <c r="AK74" i="25"/>
  <c r="AK73" i="25"/>
  <c r="AK82" i="25"/>
  <c r="AK81" i="25"/>
  <c r="AK71" i="25"/>
  <c r="AK88" i="25"/>
  <c r="AK94" i="25"/>
  <c r="AK89" i="25"/>
  <c r="AK105" i="25"/>
  <c r="AJ85" i="25"/>
  <c r="AJ90" i="25"/>
  <c r="AF88" i="25"/>
  <c r="AG73" i="25"/>
  <c r="AG76" i="25"/>
  <c r="AG71" i="25"/>
  <c r="AG83" i="25"/>
  <c r="AG84" i="25"/>
  <c r="AG95" i="25"/>
  <c r="AG98" i="25"/>
  <c r="AG93" i="25"/>
  <c r="AK8" i="25" l="1"/>
  <c r="AG8" i="25"/>
  <c r="AL80" i="25"/>
  <c r="AL93" i="25"/>
  <c r="AL105" i="25"/>
  <c r="AL104" i="25"/>
  <c r="AL74" i="25"/>
  <c r="AL83" i="25"/>
  <c r="AL75" i="25"/>
  <c r="AL71" i="25"/>
  <c r="AL95" i="25"/>
  <c r="AL77" i="25"/>
  <c r="AG89" i="25"/>
  <c r="AL100" i="25"/>
  <c r="AL96" i="25"/>
  <c r="AL91" i="25"/>
  <c r="AL6" i="25" s="1"/>
  <c r="AL92" i="25"/>
  <c r="AL101" i="25"/>
  <c r="AL97" i="25"/>
  <c r="AL99" i="25"/>
  <c r="AL7" i="25" s="1"/>
  <c r="AL73" i="25"/>
  <c r="AL69" i="25"/>
  <c r="AL81" i="25"/>
  <c r="AL84" i="25"/>
  <c r="AL82" i="25"/>
  <c r="AL98" i="25"/>
  <c r="AG90" i="25"/>
  <c r="AG85" i="25"/>
  <c r="AL68" i="25"/>
  <c r="AL102" i="25"/>
  <c r="AK90" i="25"/>
  <c r="AK85" i="25"/>
  <c r="AG88" i="25"/>
  <c r="AG86" i="25"/>
  <c r="AL72" i="25"/>
  <c r="AL106" i="25"/>
  <c r="AK86" i="25"/>
  <c r="AL70" i="25"/>
  <c r="AL78" i="25"/>
  <c r="AL76" i="25"/>
  <c r="AL79" i="25"/>
  <c r="AL103" i="25"/>
  <c r="AL94" i="25"/>
  <c r="AL8" i="25" l="1"/>
  <c r="AL85" i="25"/>
  <c r="AL90" i="25"/>
  <c r="AL86" i="25"/>
  <c r="AL88" i="25"/>
  <c r="AL87" i="25"/>
  <c r="AL89" i="25"/>
  <c r="E2" i="14" l="1"/>
  <c r="F2" i="14" s="1"/>
  <c r="G2" i="14" s="1"/>
  <c r="H2" i="14" l="1"/>
  <c r="G11" i="14"/>
  <c r="G7" i="14"/>
  <c r="G10" i="14"/>
  <c r="G6" i="14"/>
  <c r="G9" i="14"/>
  <c r="G5" i="14"/>
  <c r="G8" i="14"/>
  <c r="G15" i="14"/>
  <c r="E50" i="13"/>
  <c r="E46" i="13"/>
  <c r="E41" i="13"/>
  <c r="E37" i="13"/>
  <c r="E35" i="13"/>
  <c r="E49" i="13"/>
  <c r="E51" i="13"/>
  <c r="E47" i="13"/>
  <c r="E42" i="13"/>
  <c r="E38" i="13"/>
  <c r="E40" i="13"/>
  <c r="E52" i="13"/>
  <c r="E48" i="13"/>
  <c r="E43" i="13"/>
  <c r="E39" i="13"/>
  <c r="E44" i="13"/>
  <c r="E34" i="13"/>
  <c r="E11" i="13"/>
  <c r="E15" i="13"/>
  <c r="E20" i="13"/>
  <c r="E24" i="13"/>
  <c r="E12" i="13"/>
  <c r="E16" i="13"/>
  <c r="E21" i="13"/>
  <c r="E25" i="13"/>
  <c r="E8" i="13"/>
  <c r="E13" i="13"/>
  <c r="E17" i="13"/>
  <c r="E22" i="13"/>
  <c r="E26" i="13"/>
  <c r="E9" i="13"/>
  <c r="E14" i="13"/>
  <c r="E18" i="13"/>
  <c r="E23" i="13"/>
  <c r="F5" i="13"/>
  <c r="E5" i="14"/>
  <c r="E4" i="14"/>
  <c r="E33" i="13" l="1"/>
  <c r="G5" i="13"/>
  <c r="G44" i="13" s="1"/>
  <c r="F9" i="31"/>
  <c r="G19" i="14"/>
  <c r="G21" i="14"/>
  <c r="G16" i="14"/>
  <c r="G18" i="14"/>
  <c r="G20" i="14"/>
  <c r="G22" i="14"/>
  <c r="G17" i="14"/>
  <c r="I2" i="14"/>
  <c r="H15" i="14"/>
  <c r="H8" i="14"/>
  <c r="H7" i="14"/>
  <c r="H11" i="14"/>
  <c r="H6" i="14"/>
  <c r="H10" i="14"/>
  <c r="H5" i="14"/>
  <c r="H9" i="14"/>
  <c r="F51" i="13"/>
  <c r="F47" i="13"/>
  <c r="F42" i="13"/>
  <c r="F38" i="13"/>
  <c r="F41" i="13"/>
  <c r="F37" i="13"/>
  <c r="F35" i="13"/>
  <c r="F52" i="13"/>
  <c r="F48" i="13"/>
  <c r="F43" i="13"/>
  <c r="F39" i="13"/>
  <c r="F40" i="13"/>
  <c r="F34" i="13"/>
  <c r="F49" i="13"/>
  <c r="F44" i="13"/>
  <c r="F50" i="13"/>
  <c r="F46" i="13"/>
  <c r="E36" i="13"/>
  <c r="E45" i="13"/>
  <c r="E6" i="14"/>
  <c r="E17" i="14" s="1"/>
  <c r="E11" i="14"/>
  <c r="E22" i="14" s="1"/>
  <c r="E7" i="14"/>
  <c r="E18" i="14" s="1"/>
  <c r="E8" i="14"/>
  <c r="E19" i="14" s="1"/>
  <c r="F10" i="14"/>
  <c r="E9" i="14"/>
  <c r="E20" i="14" s="1"/>
  <c r="E10" i="14"/>
  <c r="E21" i="14" s="1"/>
  <c r="J14" i="16"/>
  <c r="H17" i="16"/>
  <c r="H14" i="16"/>
  <c r="I14" i="16"/>
  <c r="D9" i="31" s="1"/>
  <c r="K13" i="16"/>
  <c r="I17" i="16"/>
  <c r="J13" i="16"/>
  <c r="J15" i="16"/>
  <c r="K19" i="16"/>
  <c r="H19" i="16"/>
  <c r="E7" i="13"/>
  <c r="E19" i="13"/>
  <c r="E10" i="13"/>
  <c r="E16" i="14"/>
  <c r="E15" i="14"/>
  <c r="H13" i="16"/>
  <c r="K15" i="16"/>
  <c r="J19" i="16"/>
  <c r="H15" i="16"/>
  <c r="I19" i="16"/>
  <c r="J17" i="16"/>
  <c r="K18" i="16"/>
  <c r="I13" i="16"/>
  <c r="I12" i="16"/>
  <c r="D7" i="31" s="1"/>
  <c r="J12" i="16"/>
  <c r="K17" i="16"/>
  <c r="I18" i="16"/>
  <c r="F20" i="13"/>
  <c r="F11" i="13"/>
  <c r="H12" i="16"/>
  <c r="J18" i="16"/>
  <c r="F26" i="13"/>
  <c r="F25" i="13"/>
  <c r="F23" i="13"/>
  <c r="K12" i="16"/>
  <c r="F7" i="31" s="1"/>
  <c r="F6" i="31" s="1"/>
  <c r="F13" i="13"/>
  <c r="F9" i="13"/>
  <c r="F12" i="13"/>
  <c r="I15" i="16"/>
  <c r="F22" i="13"/>
  <c r="F15" i="13"/>
  <c r="F8" i="13"/>
  <c r="F14" i="13"/>
  <c r="F16" i="13"/>
  <c r="H18" i="16"/>
  <c r="F24" i="13"/>
  <c r="F17" i="13"/>
  <c r="F18" i="13"/>
  <c r="F21" i="13"/>
  <c r="H16" i="16" l="1"/>
  <c r="K16" i="16"/>
  <c r="J16" i="16"/>
  <c r="I16" i="16"/>
  <c r="G15" i="13"/>
  <c r="G39" i="13"/>
  <c r="G17" i="13"/>
  <c r="G16" i="13"/>
  <c r="G48" i="13"/>
  <c r="G14" i="13"/>
  <c r="G51" i="13"/>
  <c r="G24" i="13"/>
  <c r="G11" i="13"/>
  <c r="G47" i="13"/>
  <c r="G13" i="13"/>
  <c r="G12" i="13"/>
  <c r="G23" i="13"/>
  <c r="G9" i="13"/>
  <c r="G35" i="13"/>
  <c r="G26" i="13"/>
  <c r="G41" i="13"/>
  <c r="G22" i="13"/>
  <c r="G8" i="13"/>
  <c r="G49" i="13"/>
  <c r="G34" i="13"/>
  <c r="H5" i="13"/>
  <c r="H37" i="13" s="1"/>
  <c r="G25" i="13"/>
  <c r="G46" i="13"/>
  <c r="G21" i="13"/>
  <c r="G20" i="13"/>
  <c r="G43" i="13"/>
  <c r="G18" i="13"/>
  <c r="G38" i="13"/>
  <c r="G52" i="13"/>
  <c r="G50" i="13"/>
  <c r="G40" i="13"/>
  <c r="G37" i="13"/>
  <c r="G42" i="13"/>
  <c r="F14" i="31"/>
  <c r="H17" i="14"/>
  <c r="H16" i="14"/>
  <c r="H18" i="14"/>
  <c r="H21" i="14"/>
  <c r="H19" i="14"/>
  <c r="H20" i="14"/>
  <c r="H22" i="14"/>
  <c r="J2" i="14"/>
  <c r="I5" i="14"/>
  <c r="I9" i="14"/>
  <c r="I15" i="14"/>
  <c r="I8" i="14"/>
  <c r="I7" i="14"/>
  <c r="I11" i="14"/>
  <c r="I6" i="14"/>
  <c r="I10" i="14"/>
  <c r="H50" i="13"/>
  <c r="H35" i="13"/>
  <c r="H25" i="13"/>
  <c r="H11" i="13"/>
  <c r="H15" i="13"/>
  <c r="D6" i="31"/>
  <c r="E53" i="13"/>
  <c r="F36" i="13"/>
  <c r="F45" i="13"/>
  <c r="F33" i="13"/>
  <c r="F6" i="14"/>
  <c r="F4" i="14"/>
  <c r="F15" i="14" s="1"/>
  <c r="F8" i="14"/>
  <c r="F11" i="14"/>
  <c r="F9" i="14"/>
  <c r="F7" i="14"/>
  <c r="F5" i="14"/>
  <c r="J11" i="16"/>
  <c r="L14" i="16"/>
  <c r="K11" i="16"/>
  <c r="E27" i="13"/>
  <c r="F7" i="13"/>
  <c r="I11" i="16"/>
  <c r="L17" i="16"/>
  <c r="L19" i="16"/>
  <c r="L13" i="16"/>
  <c r="H11" i="16"/>
  <c r="L12" i="16"/>
  <c r="F19" i="13"/>
  <c r="L15" i="16"/>
  <c r="L18" i="16"/>
  <c r="F10" i="13"/>
  <c r="I20" i="16" l="1"/>
  <c r="H20" i="16"/>
  <c r="J20" i="16"/>
  <c r="K20" i="16"/>
  <c r="L16" i="16"/>
  <c r="G7" i="13"/>
  <c r="G45" i="13"/>
  <c r="G33" i="13"/>
  <c r="G10" i="13"/>
  <c r="G19" i="13"/>
  <c r="H40" i="13"/>
  <c r="H43" i="13"/>
  <c r="H52" i="13"/>
  <c r="H24" i="13"/>
  <c r="H34" i="13"/>
  <c r="H33" i="13" s="1"/>
  <c r="H41" i="13"/>
  <c r="H22" i="13"/>
  <c r="H38" i="13"/>
  <c r="H42" i="13"/>
  <c r="H20" i="13"/>
  <c r="H44" i="13"/>
  <c r="H46" i="13"/>
  <c r="H13" i="13"/>
  <c r="H9" i="13"/>
  <c r="H47" i="13"/>
  <c r="H21" i="13"/>
  <c r="H17" i="13"/>
  <c r="H26" i="13"/>
  <c r="H8" i="13"/>
  <c r="H51" i="13"/>
  <c r="H14" i="13"/>
  <c r="H16" i="13"/>
  <c r="H23" i="13"/>
  <c r="H39" i="13"/>
  <c r="H48" i="13"/>
  <c r="I5" i="13"/>
  <c r="I42" i="13" s="1"/>
  <c r="H12" i="13"/>
  <c r="H18" i="13"/>
  <c r="H49" i="13"/>
  <c r="G36" i="13"/>
  <c r="I17" i="14"/>
  <c r="I22" i="14"/>
  <c r="I20" i="14"/>
  <c r="I18" i="14"/>
  <c r="I16" i="14"/>
  <c r="I21" i="14"/>
  <c r="I19" i="14"/>
  <c r="J5" i="13"/>
  <c r="I51" i="13"/>
  <c r="I47" i="13"/>
  <c r="I38" i="13"/>
  <c r="I49" i="13"/>
  <c r="I52" i="13"/>
  <c r="I48" i="13"/>
  <c r="I43" i="13"/>
  <c r="I39" i="13"/>
  <c r="I34" i="13"/>
  <c r="I44" i="13"/>
  <c r="I41" i="13"/>
  <c r="I37" i="13"/>
  <c r="I46" i="13"/>
  <c r="I50" i="13"/>
  <c r="I40" i="13"/>
  <c r="I8" i="13"/>
  <c r="I9" i="13"/>
  <c r="I11" i="13"/>
  <c r="I12" i="13"/>
  <c r="I13" i="13"/>
  <c r="I14" i="13"/>
  <c r="I15" i="13"/>
  <c r="I16" i="13"/>
  <c r="I17" i="13"/>
  <c r="I18" i="13"/>
  <c r="I20" i="13"/>
  <c r="I21" i="13"/>
  <c r="I22" i="13"/>
  <c r="I23" i="13"/>
  <c r="I24" i="13"/>
  <c r="I25" i="13"/>
  <c r="I26" i="13"/>
  <c r="K2" i="14"/>
  <c r="J6" i="14"/>
  <c r="J10" i="14"/>
  <c r="J5" i="14"/>
  <c r="J9" i="14"/>
  <c r="J15" i="14"/>
  <c r="J8" i="14"/>
  <c r="J7" i="14"/>
  <c r="J11" i="14"/>
  <c r="D14" i="31"/>
  <c r="F53" i="13"/>
  <c r="F17" i="14"/>
  <c r="F22" i="14"/>
  <c r="F21" i="14"/>
  <c r="F16" i="14"/>
  <c r="F19" i="14"/>
  <c r="F18" i="14"/>
  <c r="F20" i="14"/>
  <c r="L11" i="16"/>
  <c r="F27" i="13"/>
  <c r="L20" i="16" l="1"/>
  <c r="L21" i="16"/>
  <c r="G27" i="13"/>
  <c r="G53" i="13"/>
  <c r="H45" i="13"/>
  <c r="H7" i="13"/>
  <c r="H10" i="13"/>
  <c r="H36" i="13"/>
  <c r="H19" i="13"/>
  <c r="I35" i="13"/>
  <c r="I33" i="13" s="1"/>
  <c r="AA47" i="13" s="1"/>
  <c r="F22" i="31"/>
  <c r="H31" i="16"/>
  <c r="H28" i="16"/>
  <c r="I31" i="16"/>
  <c r="K30" i="16"/>
  <c r="J30" i="16"/>
  <c r="J27" i="16"/>
  <c r="I25" i="16"/>
  <c r="D20" i="31" s="1"/>
  <c r="J28" i="16"/>
  <c r="H26" i="16"/>
  <c r="H30" i="16"/>
  <c r="H32" i="16"/>
  <c r="I32" i="16"/>
  <c r="I27" i="16"/>
  <c r="D22" i="31" s="1"/>
  <c r="J31" i="16"/>
  <c r="K28" i="16"/>
  <c r="H25" i="16"/>
  <c r="I28" i="16"/>
  <c r="J25" i="16"/>
  <c r="K26" i="16"/>
  <c r="H27" i="16"/>
  <c r="I30" i="16"/>
  <c r="K25" i="16"/>
  <c r="F20" i="31" s="1"/>
  <c r="J32" i="16"/>
  <c r="K31" i="16"/>
  <c r="J26" i="16"/>
  <c r="K32" i="16"/>
  <c r="I26" i="16"/>
  <c r="E7" i="31"/>
  <c r="E8" i="31"/>
  <c r="H8" i="31" s="1"/>
  <c r="E12" i="31"/>
  <c r="E10" i="31"/>
  <c r="H10" i="31" s="1"/>
  <c r="E13" i="31"/>
  <c r="H13" i="31" s="1"/>
  <c r="E9" i="31"/>
  <c r="H9" i="31" s="1"/>
  <c r="Z17" i="14"/>
  <c r="J18" i="14"/>
  <c r="Z18" i="14"/>
  <c r="Z19" i="14"/>
  <c r="J16" i="14"/>
  <c r="J22" i="14"/>
  <c r="J20" i="14"/>
  <c r="L2" i="14"/>
  <c r="K7" i="14"/>
  <c r="K11" i="14"/>
  <c r="K6" i="14"/>
  <c r="K10" i="14"/>
  <c r="K5" i="14"/>
  <c r="K9" i="14"/>
  <c r="K15" i="14"/>
  <c r="K8" i="14"/>
  <c r="AK34" i="13"/>
  <c r="I7" i="13"/>
  <c r="AA46" i="13"/>
  <c r="AK33" i="13"/>
  <c r="I45" i="13"/>
  <c r="AA48" i="13"/>
  <c r="AA45" i="13"/>
  <c r="J19" i="14"/>
  <c r="J21" i="14"/>
  <c r="I36" i="13"/>
  <c r="AA44" i="13" s="1"/>
  <c r="J17" i="14"/>
  <c r="I19" i="13"/>
  <c r="I10" i="13"/>
  <c r="K5" i="13"/>
  <c r="J52" i="13"/>
  <c r="J48" i="13"/>
  <c r="J43" i="13"/>
  <c r="J39" i="13"/>
  <c r="J34" i="13"/>
  <c r="J50" i="13"/>
  <c r="J41" i="13"/>
  <c r="J49" i="13"/>
  <c r="J44" i="13"/>
  <c r="J40" i="13"/>
  <c r="J35" i="13"/>
  <c r="J46" i="13"/>
  <c r="J42" i="13"/>
  <c r="J51" i="13"/>
  <c r="J38" i="13"/>
  <c r="J47" i="13"/>
  <c r="J37" i="13"/>
  <c r="J8" i="13"/>
  <c r="J9" i="13"/>
  <c r="J11" i="13"/>
  <c r="J12" i="13"/>
  <c r="J13" i="13"/>
  <c r="J14" i="13"/>
  <c r="J15" i="13"/>
  <c r="J16" i="13"/>
  <c r="J17" i="13"/>
  <c r="J18" i="13"/>
  <c r="J20" i="13"/>
  <c r="J21" i="13"/>
  <c r="J22" i="13"/>
  <c r="J23" i="13"/>
  <c r="J24" i="13"/>
  <c r="J25" i="13"/>
  <c r="J26" i="13"/>
  <c r="J29" i="16" l="1"/>
  <c r="I29" i="16"/>
  <c r="H29" i="16"/>
  <c r="K29" i="16"/>
  <c r="H53" i="13"/>
  <c r="H27" i="13"/>
  <c r="J24" i="16"/>
  <c r="L27" i="16"/>
  <c r="L25" i="16"/>
  <c r="H24" i="16"/>
  <c r="K24" i="16"/>
  <c r="F19" i="31"/>
  <c r="F27" i="31" s="1"/>
  <c r="L30" i="16"/>
  <c r="L26" i="16"/>
  <c r="L28" i="16"/>
  <c r="L31" i="16"/>
  <c r="D19" i="31"/>
  <c r="D27" i="31" s="1"/>
  <c r="I24" i="16"/>
  <c r="L32" i="16"/>
  <c r="AA33" i="13"/>
  <c r="Z20" i="14"/>
  <c r="K19" i="14"/>
  <c r="AA49" i="13"/>
  <c r="AF33" i="13"/>
  <c r="J36" i="13"/>
  <c r="I27" i="13"/>
  <c r="AA8" i="13" s="1"/>
  <c r="K20" i="14"/>
  <c r="J33" i="13"/>
  <c r="AA37" i="13"/>
  <c r="AA38" i="13"/>
  <c r="K22" i="14"/>
  <c r="J19" i="13"/>
  <c r="J10" i="13"/>
  <c r="J45" i="13"/>
  <c r="L5" i="13"/>
  <c r="K49" i="13"/>
  <c r="K44" i="13"/>
  <c r="K40" i="13"/>
  <c r="K35" i="13"/>
  <c r="K51" i="13"/>
  <c r="K50" i="13"/>
  <c r="K46" i="13"/>
  <c r="K41" i="13"/>
  <c r="K37" i="13"/>
  <c r="K47" i="13"/>
  <c r="K42" i="13"/>
  <c r="K43" i="13"/>
  <c r="K34" i="13"/>
  <c r="K39" i="13"/>
  <c r="K48" i="13"/>
  <c r="K38" i="13"/>
  <c r="K52" i="13"/>
  <c r="K8" i="13"/>
  <c r="K9" i="13"/>
  <c r="K11" i="13"/>
  <c r="K12" i="13"/>
  <c r="K13" i="13"/>
  <c r="K14" i="13"/>
  <c r="K15" i="13"/>
  <c r="K16" i="13"/>
  <c r="K17" i="13"/>
  <c r="K18" i="13"/>
  <c r="K20" i="13"/>
  <c r="K21" i="13"/>
  <c r="K22" i="13"/>
  <c r="K23" i="13"/>
  <c r="K24" i="13"/>
  <c r="K26" i="13"/>
  <c r="K25" i="13"/>
  <c r="AA34" i="13"/>
  <c r="AF34" i="13"/>
  <c r="K16" i="14"/>
  <c r="K18" i="14"/>
  <c r="I53" i="13"/>
  <c r="K21" i="14"/>
  <c r="M2" i="14"/>
  <c r="L15" i="14"/>
  <c r="L8" i="14"/>
  <c r="L7" i="14"/>
  <c r="L11" i="14"/>
  <c r="L6" i="14"/>
  <c r="L10" i="14"/>
  <c r="L5" i="14"/>
  <c r="L9" i="14"/>
  <c r="J7" i="13"/>
  <c r="AA35" i="13"/>
  <c r="AK35" i="13"/>
  <c r="AA36" i="13"/>
  <c r="K17" i="14"/>
  <c r="E6" i="31"/>
  <c r="H7" i="31"/>
  <c r="E11" i="31"/>
  <c r="H11" i="31" s="1"/>
  <c r="H12" i="31"/>
  <c r="K33" i="16" l="1"/>
  <c r="J33" i="16"/>
  <c r="I33" i="16"/>
  <c r="L29" i="16"/>
  <c r="H33" i="16"/>
  <c r="L24" i="16"/>
  <c r="J27" i="13"/>
  <c r="AF35" i="13"/>
  <c r="L17" i="14"/>
  <c r="K33" i="13"/>
  <c r="L20" i="14"/>
  <c r="L22" i="14"/>
  <c r="L16" i="14"/>
  <c r="L18" i="14"/>
  <c r="AA39" i="13"/>
  <c r="L21" i="14"/>
  <c r="L19" i="14"/>
  <c r="J53" i="13"/>
  <c r="N2" i="14"/>
  <c r="M5" i="14"/>
  <c r="M9" i="14"/>
  <c r="M15" i="14"/>
  <c r="M8" i="14"/>
  <c r="M7" i="14"/>
  <c r="M11" i="14"/>
  <c r="M6" i="14"/>
  <c r="M10" i="14"/>
  <c r="K7" i="13"/>
  <c r="K36" i="13"/>
  <c r="K19" i="13"/>
  <c r="K10" i="13"/>
  <c r="M5" i="13"/>
  <c r="L50" i="13"/>
  <c r="L46" i="13"/>
  <c r="L41" i="13"/>
  <c r="L37" i="13"/>
  <c r="L43" i="13"/>
  <c r="L51" i="13"/>
  <c r="L47" i="13"/>
  <c r="L42" i="13"/>
  <c r="L38" i="13"/>
  <c r="L52" i="13"/>
  <c r="L48" i="13"/>
  <c r="L44" i="13"/>
  <c r="L35" i="13"/>
  <c r="L40" i="13"/>
  <c r="L49" i="13"/>
  <c r="L39" i="13"/>
  <c r="L34" i="13"/>
  <c r="L8" i="13"/>
  <c r="L9" i="13"/>
  <c r="L13" i="13"/>
  <c r="L17" i="13"/>
  <c r="L22" i="13"/>
  <c r="L11" i="13"/>
  <c r="L15" i="13"/>
  <c r="L25" i="13"/>
  <c r="L12" i="13"/>
  <c r="L16" i="13"/>
  <c r="L21" i="13"/>
  <c r="L26" i="13"/>
  <c r="L14" i="13"/>
  <c r="L18" i="13"/>
  <c r="L23" i="13"/>
  <c r="L20" i="13"/>
  <c r="L24" i="13"/>
  <c r="K45" i="13"/>
  <c r="E14" i="31"/>
  <c r="H14" i="31" s="1"/>
  <c r="H6" i="31"/>
  <c r="L33" i="16" l="1"/>
  <c r="E22" i="31"/>
  <c r="H22" i="31" s="1"/>
  <c r="L9" i="31" s="1"/>
  <c r="E25" i="31"/>
  <c r="E23" i="31"/>
  <c r="H23" i="31" s="1"/>
  <c r="L10" i="31" s="1"/>
  <c r="E26" i="31"/>
  <c r="H26" i="31" s="1"/>
  <c r="E21" i="31"/>
  <c r="H21" i="31" s="1"/>
  <c r="E20" i="31"/>
  <c r="L33" i="13"/>
  <c r="K53" i="13"/>
  <c r="M17" i="14"/>
  <c r="L7" i="13"/>
  <c r="K27" i="13"/>
  <c r="L36" i="13"/>
  <c r="N5" i="13"/>
  <c r="F35" i="31" s="1"/>
  <c r="M51" i="13"/>
  <c r="M47" i="13"/>
  <c r="M42" i="13"/>
  <c r="M38" i="13"/>
  <c r="M44" i="13"/>
  <c r="M52" i="13"/>
  <c r="M48" i="13"/>
  <c r="M43" i="13"/>
  <c r="M39" i="13"/>
  <c r="M34" i="13"/>
  <c r="M49" i="13"/>
  <c r="M46" i="13"/>
  <c r="M37" i="13"/>
  <c r="M50" i="13"/>
  <c r="M40" i="13"/>
  <c r="M41" i="13"/>
  <c r="M35" i="13"/>
  <c r="M8" i="13"/>
  <c r="M9" i="13"/>
  <c r="M11" i="13"/>
  <c r="M12" i="13"/>
  <c r="M13" i="13"/>
  <c r="M14" i="13"/>
  <c r="M15" i="13"/>
  <c r="M16" i="13"/>
  <c r="M17" i="13"/>
  <c r="M18" i="13"/>
  <c r="M20" i="13"/>
  <c r="M21" i="13"/>
  <c r="M22" i="13"/>
  <c r="M23" i="13"/>
  <c r="M24" i="13"/>
  <c r="M25" i="13"/>
  <c r="M26" i="13"/>
  <c r="L10" i="13"/>
  <c r="M22" i="14"/>
  <c r="M20" i="14"/>
  <c r="L45" i="13"/>
  <c r="M18" i="14"/>
  <c r="M16" i="14"/>
  <c r="L19" i="13"/>
  <c r="M21" i="14"/>
  <c r="M19" i="14"/>
  <c r="O2" i="14"/>
  <c r="N6" i="14"/>
  <c r="N10" i="14"/>
  <c r="N5" i="14"/>
  <c r="N9" i="14"/>
  <c r="N15" i="14"/>
  <c r="N8" i="14"/>
  <c r="N7" i="14"/>
  <c r="N11" i="14"/>
  <c r="E19" i="31" l="1"/>
  <c r="H19" i="31" s="1"/>
  <c r="L8" i="31" s="1"/>
  <c r="H20" i="31"/>
  <c r="H25" i="31"/>
  <c r="E24" i="31"/>
  <c r="L53" i="13"/>
  <c r="L27" i="13"/>
  <c r="N18" i="14"/>
  <c r="N22" i="14"/>
  <c r="N20" i="14"/>
  <c r="P2" i="14"/>
  <c r="O7" i="14"/>
  <c r="O11" i="14"/>
  <c r="O6" i="14"/>
  <c r="O10" i="14"/>
  <c r="O5" i="14"/>
  <c r="O9" i="14"/>
  <c r="O15" i="14"/>
  <c r="O8" i="14"/>
  <c r="M7" i="13"/>
  <c r="M33" i="13"/>
  <c r="N16" i="14"/>
  <c r="M36" i="13"/>
  <c r="N19" i="14"/>
  <c r="N21" i="14"/>
  <c r="M19" i="13"/>
  <c r="M10" i="13"/>
  <c r="M45" i="13"/>
  <c r="O5" i="13"/>
  <c r="N52" i="13"/>
  <c r="N48" i="13"/>
  <c r="N43" i="13"/>
  <c r="N39" i="13"/>
  <c r="N34" i="13"/>
  <c r="N46" i="13"/>
  <c r="N49" i="13"/>
  <c r="N44" i="13"/>
  <c r="N40" i="13"/>
  <c r="N35" i="13"/>
  <c r="N50" i="13"/>
  <c r="N41" i="13"/>
  <c r="N47" i="13"/>
  <c r="N38" i="13"/>
  <c r="N42" i="13"/>
  <c r="N51" i="13"/>
  <c r="N37" i="13"/>
  <c r="N25" i="13"/>
  <c r="N8" i="13"/>
  <c r="N9" i="13"/>
  <c r="N11" i="13"/>
  <c r="N12" i="13"/>
  <c r="N13" i="13"/>
  <c r="N14" i="13"/>
  <c r="N15" i="13"/>
  <c r="N16" i="13"/>
  <c r="N17" i="13"/>
  <c r="N18" i="13"/>
  <c r="N20" i="13"/>
  <c r="N21" i="13"/>
  <c r="N22" i="13"/>
  <c r="N23" i="13"/>
  <c r="N24" i="13"/>
  <c r="N26" i="13"/>
  <c r="H71" i="16"/>
  <c r="H70" i="16"/>
  <c r="H66" i="16"/>
  <c r="K69" i="16"/>
  <c r="K68" i="16" s="1"/>
  <c r="K64" i="16"/>
  <c r="F33" i="31" s="1"/>
  <c r="J69" i="16"/>
  <c r="I71" i="16"/>
  <c r="I65" i="16"/>
  <c r="J64" i="16"/>
  <c r="H69" i="16"/>
  <c r="H67" i="16"/>
  <c r="I69" i="16"/>
  <c r="K70" i="16"/>
  <c r="K65" i="16"/>
  <c r="I67" i="16"/>
  <c r="J71" i="16"/>
  <c r="K67" i="16"/>
  <c r="K71" i="16"/>
  <c r="H65" i="16"/>
  <c r="H64" i="16"/>
  <c r="I70" i="16"/>
  <c r="J67" i="16"/>
  <c r="I64" i="16"/>
  <c r="D33" i="31" s="1"/>
  <c r="J65" i="16"/>
  <c r="J66" i="16"/>
  <c r="I66" i="16"/>
  <c r="D35" i="31" s="1"/>
  <c r="J70" i="16"/>
  <c r="N17" i="14"/>
  <c r="H68" i="16" l="1"/>
  <c r="J68" i="16"/>
  <c r="I68" i="16"/>
  <c r="H24" i="31"/>
  <c r="L11" i="31" s="1"/>
  <c r="L12" i="31" s="1"/>
  <c r="E27" i="31"/>
  <c r="H27" i="31" s="1"/>
  <c r="M27" i="13"/>
  <c r="N7" i="13"/>
  <c r="M53" i="13"/>
  <c r="J63" i="16"/>
  <c r="F32" i="31"/>
  <c r="F40" i="31" s="1"/>
  <c r="K63" i="16"/>
  <c r="L71" i="16"/>
  <c r="O17" i="14"/>
  <c r="N45" i="13"/>
  <c r="O20" i="14"/>
  <c r="O22" i="14"/>
  <c r="I63" i="16"/>
  <c r="H63" i="16"/>
  <c r="L64" i="16"/>
  <c r="L65" i="16"/>
  <c r="L67" i="16"/>
  <c r="L66" i="16"/>
  <c r="N19" i="13"/>
  <c r="N10" i="13"/>
  <c r="N36" i="13"/>
  <c r="N33" i="13"/>
  <c r="O16" i="14"/>
  <c r="O18" i="14"/>
  <c r="L69" i="16"/>
  <c r="L70" i="16"/>
  <c r="P5" i="13"/>
  <c r="O49" i="13"/>
  <c r="O44" i="13"/>
  <c r="O40" i="13"/>
  <c r="O35" i="13"/>
  <c r="O47" i="13"/>
  <c r="O42" i="13"/>
  <c r="O50" i="13"/>
  <c r="O46" i="13"/>
  <c r="O41" i="13"/>
  <c r="O37" i="13"/>
  <c r="O51" i="13"/>
  <c r="O48" i="13"/>
  <c r="O39" i="13"/>
  <c r="O52" i="13"/>
  <c r="O34" i="13"/>
  <c r="O43" i="13"/>
  <c r="O38" i="13"/>
  <c r="O8" i="13"/>
  <c r="O9" i="13"/>
  <c r="O11" i="13"/>
  <c r="O12" i="13"/>
  <c r="O13" i="13"/>
  <c r="O14" i="13"/>
  <c r="O15" i="13"/>
  <c r="O16" i="13"/>
  <c r="O17" i="13"/>
  <c r="O18" i="13"/>
  <c r="O20" i="13"/>
  <c r="O21" i="13"/>
  <c r="O22" i="13"/>
  <c r="O23" i="13"/>
  <c r="O24" i="13"/>
  <c r="O25" i="13"/>
  <c r="O26" i="13"/>
  <c r="O19" i="14"/>
  <c r="O21" i="14"/>
  <c r="Q2" i="14"/>
  <c r="P15" i="14"/>
  <c r="P8" i="14"/>
  <c r="P7" i="14"/>
  <c r="P11" i="14"/>
  <c r="P6" i="14"/>
  <c r="P10" i="14"/>
  <c r="P5" i="14"/>
  <c r="P9" i="14"/>
  <c r="O33" i="13" l="1"/>
  <c r="N27" i="13"/>
  <c r="P17" i="14"/>
  <c r="P16" i="14"/>
  <c r="N53" i="13"/>
  <c r="I72" i="16"/>
  <c r="O7" i="13"/>
  <c r="O36" i="13"/>
  <c r="L63" i="16"/>
  <c r="H72" i="16"/>
  <c r="K72" i="16"/>
  <c r="P20" i="14"/>
  <c r="P22" i="14"/>
  <c r="R2" i="14"/>
  <c r="Q5" i="14"/>
  <c r="Q9" i="14"/>
  <c r="Q15" i="14"/>
  <c r="Q8" i="14"/>
  <c r="Q7" i="14"/>
  <c r="Q11" i="14"/>
  <c r="Q6" i="14"/>
  <c r="Q10" i="14"/>
  <c r="P18" i="14"/>
  <c r="O19" i="13"/>
  <c r="O10" i="13"/>
  <c r="O45" i="13"/>
  <c r="Q5" i="13"/>
  <c r="P50" i="13"/>
  <c r="P46" i="13"/>
  <c r="P41" i="13"/>
  <c r="P37" i="13"/>
  <c r="P52" i="13"/>
  <c r="P48" i="13"/>
  <c r="P51" i="13"/>
  <c r="P47" i="13"/>
  <c r="P42" i="13"/>
  <c r="P38" i="13"/>
  <c r="P43" i="13"/>
  <c r="P49" i="13"/>
  <c r="P40" i="13"/>
  <c r="P44" i="13"/>
  <c r="P39" i="13"/>
  <c r="P34" i="13"/>
  <c r="P35" i="13"/>
  <c r="P8" i="13"/>
  <c r="P9" i="13"/>
  <c r="P14" i="13"/>
  <c r="P18" i="13"/>
  <c r="P23" i="13"/>
  <c r="P25" i="13"/>
  <c r="P16" i="13"/>
  <c r="P21" i="13"/>
  <c r="P13" i="13"/>
  <c r="P17" i="13"/>
  <c r="P22" i="13"/>
  <c r="P12" i="13"/>
  <c r="P11" i="13"/>
  <c r="P15" i="13"/>
  <c r="P20" i="13"/>
  <c r="P24" i="13"/>
  <c r="P26" i="13"/>
  <c r="L68" i="16"/>
  <c r="D32" i="31"/>
  <c r="P21" i="14"/>
  <c r="P19" i="14"/>
  <c r="J72" i="16"/>
  <c r="E34" i="31" l="1"/>
  <c r="H34" i="31" s="1"/>
  <c r="E35" i="31"/>
  <c r="E36" i="31"/>
  <c r="H36" i="31" s="1"/>
  <c r="E39" i="31"/>
  <c r="H39" i="31" s="1"/>
  <c r="E38" i="31"/>
  <c r="E33" i="31"/>
  <c r="Q17" i="14"/>
  <c r="Q18" i="14"/>
  <c r="O27" i="13"/>
  <c r="Q22" i="14"/>
  <c r="Q21" i="14"/>
  <c r="O53" i="13"/>
  <c r="Q20" i="14"/>
  <c r="P19" i="13"/>
  <c r="P33" i="13"/>
  <c r="P36" i="13"/>
  <c r="R5" i="13"/>
  <c r="Q51" i="13"/>
  <c r="Q47" i="13"/>
  <c r="Q42" i="13"/>
  <c r="Q38" i="13"/>
  <c r="Q49" i="13"/>
  <c r="Q52" i="13"/>
  <c r="Q48" i="13"/>
  <c r="Q43" i="13"/>
  <c r="Q39" i="13"/>
  <c r="Q34" i="13"/>
  <c r="Q44" i="13"/>
  <c r="Q50" i="13"/>
  <c r="Q41" i="13"/>
  <c r="Q46" i="13"/>
  <c r="Q40" i="13"/>
  <c r="Q35" i="13"/>
  <c r="Q37" i="13"/>
  <c r="Q8" i="13"/>
  <c r="Q9" i="13"/>
  <c r="Q11" i="13"/>
  <c r="Q12" i="13"/>
  <c r="Q13" i="13"/>
  <c r="Q14" i="13"/>
  <c r="Q15" i="13"/>
  <c r="Q16" i="13"/>
  <c r="Q17" i="13"/>
  <c r="Q18" i="13"/>
  <c r="Q20" i="13"/>
  <c r="Q21" i="13"/>
  <c r="Q22" i="13"/>
  <c r="Q23" i="13"/>
  <c r="Q24" i="13"/>
  <c r="Q25" i="13"/>
  <c r="Q26" i="13"/>
  <c r="Q16" i="14"/>
  <c r="D40" i="31"/>
  <c r="Q19" i="14"/>
  <c r="S2" i="14"/>
  <c r="R6" i="14"/>
  <c r="R10" i="14"/>
  <c r="R5" i="14"/>
  <c r="R9" i="14"/>
  <c r="R15" i="14"/>
  <c r="R8" i="14"/>
  <c r="R7" i="14"/>
  <c r="R11" i="14"/>
  <c r="L72" i="16"/>
  <c r="P10" i="13"/>
  <c r="P7" i="13"/>
  <c r="P45" i="13"/>
  <c r="P53" i="13" l="1"/>
  <c r="P27" i="13"/>
  <c r="Q7" i="13"/>
  <c r="Q45" i="13"/>
  <c r="Q36" i="13"/>
  <c r="R17" i="14"/>
  <c r="Q33" i="13"/>
  <c r="R22" i="14"/>
  <c r="R20" i="14"/>
  <c r="S15" i="14"/>
  <c r="S8" i="14"/>
  <c r="S5" i="14"/>
  <c r="S9" i="14"/>
  <c r="S6" i="14"/>
  <c r="S10" i="14"/>
  <c r="S7" i="14"/>
  <c r="S11" i="14"/>
  <c r="E37" i="31"/>
  <c r="H37" i="31" s="1"/>
  <c r="H38" i="31"/>
  <c r="E32" i="31"/>
  <c r="H32" i="31" s="1"/>
  <c r="H33" i="31"/>
  <c r="R18" i="14"/>
  <c r="R16" i="14"/>
  <c r="Q19" i="13"/>
  <c r="Q10" i="13"/>
  <c r="S5" i="13"/>
  <c r="F48" i="31" s="1"/>
  <c r="R52" i="13"/>
  <c r="R48" i="13"/>
  <c r="R43" i="13"/>
  <c r="R39" i="13"/>
  <c r="R34" i="13"/>
  <c r="R50" i="13"/>
  <c r="R49" i="13"/>
  <c r="R44" i="13"/>
  <c r="R40" i="13"/>
  <c r="R35" i="13"/>
  <c r="R46" i="13"/>
  <c r="R41" i="13"/>
  <c r="R51" i="13"/>
  <c r="R37" i="13"/>
  <c r="R42" i="13"/>
  <c r="R38" i="13"/>
  <c r="R47" i="13"/>
  <c r="R8" i="13"/>
  <c r="R9" i="13"/>
  <c r="R11" i="13"/>
  <c r="R12" i="13"/>
  <c r="R13" i="13"/>
  <c r="R14" i="13"/>
  <c r="R15" i="13"/>
  <c r="R16" i="13"/>
  <c r="R17" i="13"/>
  <c r="R18" i="13"/>
  <c r="R20" i="13"/>
  <c r="R21" i="13"/>
  <c r="R22" i="13"/>
  <c r="R23" i="13"/>
  <c r="R24" i="13"/>
  <c r="R25" i="13"/>
  <c r="R26" i="13"/>
  <c r="R19" i="14"/>
  <c r="R21" i="14"/>
  <c r="H35" i="31"/>
  <c r="Y10" i="14" l="1"/>
  <c r="S17" i="14"/>
  <c r="S21" i="14"/>
  <c r="S22" i="14"/>
  <c r="E40" i="31"/>
  <c r="H40" i="31" s="1"/>
  <c r="S18" i="14"/>
  <c r="S19" i="14"/>
  <c r="S20" i="14"/>
  <c r="Q27" i="13"/>
  <c r="Q53" i="13"/>
  <c r="R45" i="13"/>
  <c r="R19" i="13"/>
  <c r="R10" i="13"/>
  <c r="S49" i="13"/>
  <c r="S44" i="13"/>
  <c r="S40" i="13"/>
  <c r="S35" i="13"/>
  <c r="S51" i="13"/>
  <c r="S42" i="13"/>
  <c r="S50" i="13"/>
  <c r="S46" i="13"/>
  <c r="S41" i="13"/>
  <c r="S37" i="13"/>
  <c r="S47" i="13"/>
  <c r="S52" i="13"/>
  <c r="S34" i="13"/>
  <c r="S43" i="13"/>
  <c r="S38" i="13"/>
  <c r="S39" i="13"/>
  <c r="S48" i="13"/>
  <c r="I84" i="16"/>
  <c r="J80" i="16"/>
  <c r="I78" i="16"/>
  <c r="I79" i="16"/>
  <c r="D48" i="31" s="1"/>
  <c r="K84" i="16"/>
  <c r="S25" i="13"/>
  <c r="K82" i="16"/>
  <c r="S9" i="13"/>
  <c r="K80" i="16"/>
  <c r="S12" i="13"/>
  <c r="S14" i="13"/>
  <c r="S17" i="13"/>
  <c r="T5" i="13"/>
  <c r="F61" i="31" s="1"/>
  <c r="H78" i="16"/>
  <c r="H83" i="16"/>
  <c r="H84" i="16"/>
  <c r="S20" i="13"/>
  <c r="K83" i="16"/>
  <c r="K78" i="16"/>
  <c r="S13" i="13"/>
  <c r="K77" i="16"/>
  <c r="F46" i="31" s="1"/>
  <c r="S15" i="13"/>
  <c r="S21" i="13"/>
  <c r="I83" i="16"/>
  <c r="H82" i="16"/>
  <c r="S16" i="13"/>
  <c r="S24" i="13"/>
  <c r="J83" i="16"/>
  <c r="H79" i="16"/>
  <c r="I80" i="16"/>
  <c r="J84" i="16"/>
  <c r="I82" i="16"/>
  <c r="S18" i="13"/>
  <c r="S23" i="13"/>
  <c r="J78" i="16"/>
  <c r="H80" i="16"/>
  <c r="I77" i="16"/>
  <c r="D46" i="31" s="1"/>
  <c r="J77" i="16"/>
  <c r="H77" i="16"/>
  <c r="S22" i="13"/>
  <c r="J82" i="16"/>
  <c r="S11" i="13"/>
  <c r="J79" i="16"/>
  <c r="S26" i="13"/>
  <c r="S8" i="13"/>
  <c r="U2" i="14"/>
  <c r="U4" i="14" s="1"/>
  <c r="T6" i="14"/>
  <c r="T10" i="14"/>
  <c r="T7" i="14"/>
  <c r="T11" i="14"/>
  <c r="T15" i="14"/>
  <c r="T8" i="14"/>
  <c r="T5" i="14"/>
  <c r="T9" i="14"/>
  <c r="R7" i="13"/>
  <c r="R36" i="13"/>
  <c r="S16" i="14"/>
  <c r="R33" i="13"/>
  <c r="AA19" i="14" l="1"/>
  <c r="AA18" i="14"/>
  <c r="S19" i="13"/>
  <c r="AA17" i="14"/>
  <c r="I81" i="16"/>
  <c r="R27" i="13"/>
  <c r="AL34" i="13"/>
  <c r="T22" i="14"/>
  <c r="T16" i="14"/>
  <c r="T18" i="14"/>
  <c r="S7" i="13"/>
  <c r="AB45" i="13"/>
  <c r="T20" i="14"/>
  <c r="T19" i="14"/>
  <c r="T21" i="14"/>
  <c r="L80" i="16"/>
  <c r="L84" i="16"/>
  <c r="U5" i="13"/>
  <c r="T44" i="13"/>
  <c r="T46" i="13"/>
  <c r="T42" i="13"/>
  <c r="T43" i="13"/>
  <c r="K95" i="16"/>
  <c r="I91" i="16"/>
  <c r="I95" i="16"/>
  <c r="I93" i="16"/>
  <c r="I92" i="16"/>
  <c r="D61" i="31" s="1"/>
  <c r="T20" i="13"/>
  <c r="H97" i="16"/>
  <c r="T26" i="13"/>
  <c r="J93" i="16"/>
  <c r="T24" i="13"/>
  <c r="T9" i="13"/>
  <c r="T40" i="13"/>
  <c r="T41" i="13"/>
  <c r="T38" i="13"/>
  <c r="T52" i="13"/>
  <c r="K96" i="16"/>
  <c r="I97" i="16"/>
  <c r="K91" i="16"/>
  <c r="T14" i="13"/>
  <c r="H95" i="16"/>
  <c r="H93" i="16"/>
  <c r="T8" i="13"/>
  <c r="H92" i="16"/>
  <c r="T13" i="13"/>
  <c r="T16" i="13"/>
  <c r="T23" i="13"/>
  <c r="T25" i="13"/>
  <c r="T34" i="13"/>
  <c r="T37" i="13"/>
  <c r="T51" i="13"/>
  <c r="T48" i="13"/>
  <c r="J97" i="16"/>
  <c r="I90" i="16"/>
  <c r="D59" i="31" s="1"/>
  <c r="J91" i="16"/>
  <c r="K93" i="16"/>
  <c r="I96" i="16"/>
  <c r="T17" i="13"/>
  <c r="H91" i="16"/>
  <c r="H90" i="16"/>
  <c r="T12" i="13"/>
  <c r="H96" i="16"/>
  <c r="T18" i="13"/>
  <c r="T15" i="13"/>
  <c r="T50" i="13"/>
  <c r="T47" i="13"/>
  <c r="J92" i="16"/>
  <c r="K90" i="16"/>
  <c r="F59" i="31" s="1"/>
  <c r="J90" i="16"/>
  <c r="T21" i="13"/>
  <c r="T22" i="13"/>
  <c r="T49" i="13"/>
  <c r="T35" i="13"/>
  <c r="T39" i="13"/>
  <c r="K97" i="16"/>
  <c r="J95" i="16"/>
  <c r="J96" i="16"/>
  <c r="T11" i="13"/>
  <c r="S36" i="13"/>
  <c r="AB44" i="13" s="1"/>
  <c r="R53" i="13"/>
  <c r="T17" i="14"/>
  <c r="H76" i="16"/>
  <c r="L77" i="16"/>
  <c r="S33" i="13"/>
  <c r="AB47" i="13" s="1"/>
  <c r="S10" i="13"/>
  <c r="J76" i="16"/>
  <c r="L83" i="16"/>
  <c r="K81" i="16"/>
  <c r="AB48" i="13"/>
  <c r="AL33" i="13"/>
  <c r="AB46" i="13"/>
  <c r="S45" i="13"/>
  <c r="V2" i="14"/>
  <c r="V4" i="14" s="1"/>
  <c r="U15" i="14"/>
  <c r="U8" i="14"/>
  <c r="U5" i="14"/>
  <c r="U9" i="14"/>
  <c r="U6" i="14"/>
  <c r="U10" i="14"/>
  <c r="U7" i="14"/>
  <c r="U11" i="14"/>
  <c r="J81" i="16"/>
  <c r="I76" i="16"/>
  <c r="L79" i="16"/>
  <c r="H81" i="16"/>
  <c r="L82" i="16"/>
  <c r="F45" i="31"/>
  <c r="F53" i="31" s="1"/>
  <c r="K76" i="16"/>
  <c r="L78" i="16"/>
  <c r="K94" i="16" l="1"/>
  <c r="H94" i="16"/>
  <c r="J94" i="16"/>
  <c r="I94" i="16"/>
  <c r="S27" i="13"/>
  <c r="AB8" i="13" s="1"/>
  <c r="AA20" i="14"/>
  <c r="I85" i="16"/>
  <c r="T7" i="13"/>
  <c r="AL35" i="13"/>
  <c r="U21" i="14"/>
  <c r="U19" i="14"/>
  <c r="U17" i="14"/>
  <c r="U22" i="14"/>
  <c r="AB33" i="13"/>
  <c r="U20" i="14"/>
  <c r="L81" i="16"/>
  <c r="K85" i="16"/>
  <c r="T10" i="13"/>
  <c r="L96" i="16"/>
  <c r="U18" i="14"/>
  <c r="U16" i="14"/>
  <c r="AG34" i="13"/>
  <c r="AB36" i="13"/>
  <c r="S53" i="13"/>
  <c r="AB37" i="13"/>
  <c r="AB35" i="13"/>
  <c r="L93" i="16"/>
  <c r="T19" i="13"/>
  <c r="T45" i="13"/>
  <c r="AB38" i="13"/>
  <c r="J85" i="16"/>
  <c r="AG33" i="13"/>
  <c r="AB34" i="13"/>
  <c r="J89" i="16"/>
  <c r="T33" i="13"/>
  <c r="L95" i="16"/>
  <c r="W2" i="14"/>
  <c r="W4" i="14" s="1"/>
  <c r="V5" i="14"/>
  <c r="V9" i="14"/>
  <c r="V6" i="14"/>
  <c r="V10" i="14"/>
  <c r="V7" i="14"/>
  <c r="V11" i="14"/>
  <c r="V8" i="14"/>
  <c r="V15" i="14"/>
  <c r="AB49" i="13"/>
  <c r="F58" i="31"/>
  <c r="F66" i="31" s="1"/>
  <c r="K89" i="16"/>
  <c r="L90" i="16"/>
  <c r="H89" i="16"/>
  <c r="L92" i="16"/>
  <c r="V5" i="13"/>
  <c r="U50" i="13"/>
  <c r="U46" i="13"/>
  <c r="U41" i="13"/>
  <c r="U37" i="13"/>
  <c r="U43" i="13"/>
  <c r="U51" i="13"/>
  <c r="U47" i="13"/>
  <c r="U42" i="13"/>
  <c r="U38" i="13"/>
  <c r="U52" i="13"/>
  <c r="U48" i="13"/>
  <c r="U35" i="13"/>
  <c r="U44" i="13"/>
  <c r="U49" i="13"/>
  <c r="U34" i="13"/>
  <c r="U39" i="13"/>
  <c r="U40" i="13"/>
  <c r="U8" i="13"/>
  <c r="U11" i="13"/>
  <c r="U13" i="13"/>
  <c r="U15" i="13"/>
  <c r="U17" i="13"/>
  <c r="U20" i="13"/>
  <c r="U22" i="13"/>
  <c r="U24" i="13"/>
  <c r="U26" i="13"/>
  <c r="U9" i="13"/>
  <c r="U12" i="13"/>
  <c r="U14" i="13"/>
  <c r="U16" i="13"/>
  <c r="U18" i="13"/>
  <c r="U21" i="13"/>
  <c r="U23" i="13"/>
  <c r="U25" i="13"/>
  <c r="I89" i="16"/>
  <c r="T36" i="13"/>
  <c r="D45" i="31"/>
  <c r="H85" i="16"/>
  <c r="L76" i="16"/>
  <c r="L91" i="16"/>
  <c r="L97" i="16"/>
  <c r="E48" i="31" l="1"/>
  <c r="E46" i="31"/>
  <c r="E47" i="31"/>
  <c r="H47" i="31" s="1"/>
  <c r="E51" i="31"/>
  <c r="E52" i="31"/>
  <c r="H52" i="31" s="1"/>
  <c r="E49" i="31"/>
  <c r="H49" i="31" s="1"/>
  <c r="M10" i="31" s="1"/>
  <c r="L85" i="16"/>
  <c r="T53" i="13"/>
  <c r="T27" i="13"/>
  <c r="V22" i="14"/>
  <c r="V20" i="14"/>
  <c r="AB39" i="13"/>
  <c r="I98" i="16"/>
  <c r="V18" i="14"/>
  <c r="V16" i="14"/>
  <c r="AG35" i="13"/>
  <c r="U19" i="13"/>
  <c r="U10" i="13"/>
  <c r="U33" i="13"/>
  <c r="K98" i="16"/>
  <c r="U36" i="13"/>
  <c r="W5" i="13"/>
  <c r="V51" i="13"/>
  <c r="V47" i="13"/>
  <c r="V42" i="13"/>
  <c r="V38" i="13"/>
  <c r="V44" i="13"/>
  <c r="V52" i="13"/>
  <c r="V48" i="13"/>
  <c r="V43" i="13"/>
  <c r="V39" i="13"/>
  <c r="V34" i="13"/>
  <c r="V49" i="13"/>
  <c r="V37" i="13"/>
  <c r="V35" i="13"/>
  <c r="V41" i="13"/>
  <c r="V40" i="13"/>
  <c r="V46" i="13"/>
  <c r="V50" i="13"/>
  <c r="V8" i="13"/>
  <c r="V11" i="13"/>
  <c r="V13" i="13"/>
  <c r="V15" i="13"/>
  <c r="V17" i="13"/>
  <c r="V20" i="13"/>
  <c r="V22" i="13"/>
  <c r="V24" i="13"/>
  <c r="V26" i="13"/>
  <c r="V9" i="13"/>
  <c r="V12" i="13"/>
  <c r="V14" i="13"/>
  <c r="V16" i="13"/>
  <c r="V18" i="13"/>
  <c r="V21" i="13"/>
  <c r="V23" i="13"/>
  <c r="V25" i="13"/>
  <c r="J98" i="16"/>
  <c r="D58" i="31"/>
  <c r="D53" i="31"/>
  <c r="U7" i="13"/>
  <c r="U45" i="13"/>
  <c r="V21" i="14"/>
  <c r="W5" i="14"/>
  <c r="W9" i="14"/>
  <c r="W6" i="14"/>
  <c r="W10" i="14"/>
  <c r="W7" i="14"/>
  <c r="W11" i="14"/>
  <c r="W8" i="14"/>
  <c r="W15" i="14"/>
  <c r="L89" i="16"/>
  <c r="V19" i="14"/>
  <c r="V17" i="14"/>
  <c r="F74" i="31" l="1"/>
  <c r="K133" i="16"/>
  <c r="R133" i="16"/>
  <c r="E62" i="31"/>
  <c r="H62" i="31" s="1"/>
  <c r="E61" i="31"/>
  <c r="E59" i="31"/>
  <c r="E60" i="31"/>
  <c r="H60" i="31" s="1"/>
  <c r="E65" i="31"/>
  <c r="H65" i="31" s="1"/>
  <c r="E64" i="31"/>
  <c r="U27" i="13"/>
  <c r="W18" i="14"/>
  <c r="W16" i="14"/>
  <c r="U53" i="13"/>
  <c r="W22" i="14"/>
  <c r="V7" i="13"/>
  <c r="V33" i="13"/>
  <c r="W21" i="14"/>
  <c r="D66" i="31"/>
  <c r="H48" i="31"/>
  <c r="M9" i="31" s="1"/>
  <c r="W19" i="14"/>
  <c r="W17" i="14"/>
  <c r="V45" i="13"/>
  <c r="V36" i="13"/>
  <c r="W43" i="13"/>
  <c r="X43" i="13" s="1"/>
  <c r="W40" i="13"/>
  <c r="X40" i="13" s="1"/>
  <c r="W50" i="13"/>
  <c r="X50" i="13" s="1"/>
  <c r="W42" i="13"/>
  <c r="X42" i="13" s="1"/>
  <c r="H117" i="16"/>
  <c r="J123" i="16"/>
  <c r="J121" i="16"/>
  <c r="H116" i="16"/>
  <c r="W25" i="13"/>
  <c r="X25" i="13" s="1"/>
  <c r="H123" i="16"/>
  <c r="W8" i="13"/>
  <c r="X8" i="13" s="1"/>
  <c r="I116" i="16"/>
  <c r="W15" i="13"/>
  <c r="X15" i="13" s="1"/>
  <c r="J118" i="16"/>
  <c r="I117" i="16"/>
  <c r="I118" i="16"/>
  <c r="W14" i="13"/>
  <c r="X14" i="13" s="1"/>
  <c r="W18" i="13"/>
  <c r="X18" i="13" s="1"/>
  <c r="W39" i="13"/>
  <c r="X39" i="13" s="1"/>
  <c r="W34" i="13"/>
  <c r="X34" i="13" s="1"/>
  <c r="W46" i="13"/>
  <c r="X46" i="13" s="1"/>
  <c r="W51" i="13"/>
  <c r="X51" i="13" s="1"/>
  <c r="H118" i="16"/>
  <c r="J117" i="16"/>
  <c r="K119" i="16"/>
  <c r="J116" i="16"/>
  <c r="W24" i="13"/>
  <c r="X24" i="13" s="1"/>
  <c r="I121" i="16"/>
  <c r="J122" i="16"/>
  <c r="H121" i="16"/>
  <c r="W13" i="13"/>
  <c r="X13" i="13" s="1"/>
  <c r="H122" i="16"/>
  <c r="W12" i="13"/>
  <c r="X12" i="13" s="1"/>
  <c r="W20" i="13"/>
  <c r="X20" i="13" s="1"/>
  <c r="W52" i="13"/>
  <c r="W49" i="13"/>
  <c r="X49" i="13" s="1"/>
  <c r="W41" i="13"/>
  <c r="X41" i="13" s="1"/>
  <c r="W37" i="13"/>
  <c r="X37" i="13" s="1"/>
  <c r="W38" i="13"/>
  <c r="X38" i="13" s="1"/>
  <c r="J119" i="16"/>
  <c r="H119" i="16"/>
  <c r="K121" i="16"/>
  <c r="K116" i="16"/>
  <c r="I122" i="16"/>
  <c r="W22" i="13"/>
  <c r="X22" i="13" s="1"/>
  <c r="W23" i="13"/>
  <c r="X23" i="13" s="1"/>
  <c r="W17" i="13"/>
  <c r="X17" i="13" s="1"/>
  <c r="I119" i="16"/>
  <c r="W9" i="13"/>
  <c r="X9" i="13" s="1"/>
  <c r="W48" i="13"/>
  <c r="X48" i="13" s="1"/>
  <c r="W44" i="13"/>
  <c r="X44" i="13" s="1"/>
  <c r="W47" i="13"/>
  <c r="X47" i="13" s="1"/>
  <c r="W35" i="13"/>
  <c r="X35" i="13" s="1"/>
  <c r="I123" i="16"/>
  <c r="K123" i="16"/>
  <c r="K117" i="16"/>
  <c r="K122" i="16"/>
  <c r="W26" i="13"/>
  <c r="W21" i="13"/>
  <c r="X21" i="13" s="1"/>
  <c r="W11" i="13"/>
  <c r="X11" i="13" s="1"/>
  <c r="W16" i="13"/>
  <c r="X16" i="13" s="1"/>
  <c r="E45" i="31"/>
  <c r="H45" i="31" s="1"/>
  <c r="M8" i="31" s="1"/>
  <c r="H46" i="31"/>
  <c r="E50" i="31"/>
  <c r="H50" i="31" s="1"/>
  <c r="M11" i="31" s="1"/>
  <c r="H51" i="31"/>
  <c r="W20" i="14"/>
  <c r="V19" i="13"/>
  <c r="V10" i="13"/>
  <c r="H120" i="16" l="1"/>
  <c r="J120" i="16"/>
  <c r="K120" i="16"/>
  <c r="I120" i="16"/>
  <c r="L121" i="16"/>
  <c r="P134" i="16"/>
  <c r="I134" i="16"/>
  <c r="J132" i="16"/>
  <c r="Q132" i="16"/>
  <c r="D72" i="31"/>
  <c r="I131" i="16"/>
  <c r="P131" i="16"/>
  <c r="O133" i="16"/>
  <c r="H133" i="16"/>
  <c r="K132" i="16"/>
  <c r="R132" i="16"/>
  <c r="I137" i="16"/>
  <c r="P137" i="16"/>
  <c r="H137" i="16"/>
  <c r="O137" i="16"/>
  <c r="H131" i="16"/>
  <c r="O131" i="16"/>
  <c r="K138" i="16"/>
  <c r="R138" i="16"/>
  <c r="F72" i="31"/>
  <c r="F71" i="31" s="1"/>
  <c r="F79" i="31" s="1"/>
  <c r="R131" i="16"/>
  <c r="K131" i="16"/>
  <c r="Q136" i="16"/>
  <c r="J136" i="16"/>
  <c r="J138" i="16"/>
  <c r="Q138" i="16"/>
  <c r="I138" i="16"/>
  <c r="P138" i="16"/>
  <c r="H136" i="16"/>
  <c r="O136" i="16"/>
  <c r="O134" i="16"/>
  <c r="H134" i="16"/>
  <c r="H132" i="16"/>
  <c r="O132" i="16"/>
  <c r="R136" i="16"/>
  <c r="K136" i="16"/>
  <c r="H138" i="16"/>
  <c r="O138" i="16"/>
  <c r="R137" i="16"/>
  <c r="K137" i="16"/>
  <c r="J137" i="16"/>
  <c r="Q137" i="16"/>
  <c r="Q134" i="16"/>
  <c r="J134" i="16"/>
  <c r="P136" i="16"/>
  <c r="I136" i="16"/>
  <c r="D74" i="31"/>
  <c r="P133" i="16"/>
  <c r="I133" i="16"/>
  <c r="I132" i="16"/>
  <c r="P132" i="16"/>
  <c r="J131" i="16"/>
  <c r="Q131" i="16"/>
  <c r="J133" i="16"/>
  <c r="Q133" i="16"/>
  <c r="R134" i="16"/>
  <c r="K134" i="16"/>
  <c r="L117" i="16"/>
  <c r="AM34" i="13"/>
  <c r="L116" i="16"/>
  <c r="AB17" i="14"/>
  <c r="M12" i="31"/>
  <c r="AB19" i="14"/>
  <c r="V27" i="13"/>
  <c r="W7" i="13"/>
  <c r="V53" i="13"/>
  <c r="AB18" i="14"/>
  <c r="L119" i="16"/>
  <c r="AM33" i="13"/>
  <c r="W45" i="13"/>
  <c r="AC46" i="13"/>
  <c r="L123" i="16"/>
  <c r="E63" i="31"/>
  <c r="H63" i="31" s="1"/>
  <c r="H64" i="31"/>
  <c r="E53" i="31"/>
  <c r="H53" i="31" s="1"/>
  <c r="W19" i="13"/>
  <c r="W10" i="13"/>
  <c r="AC45" i="13"/>
  <c r="L122" i="16"/>
  <c r="W33" i="13"/>
  <c r="AC47" i="13" s="1"/>
  <c r="H61" i="31"/>
  <c r="E58" i="31"/>
  <c r="H58" i="31" s="1"/>
  <c r="H59" i="31"/>
  <c r="W36" i="13"/>
  <c r="AC44" i="13" s="1"/>
  <c r="J115" i="16"/>
  <c r="K115" i="16"/>
  <c r="AC48" i="13"/>
  <c r="L118" i="16"/>
  <c r="I115" i="16"/>
  <c r="H115" i="16"/>
  <c r="L120" i="16" l="1"/>
  <c r="L133" i="16"/>
  <c r="S133" i="16"/>
  <c r="L132" i="16"/>
  <c r="S132" i="16"/>
  <c r="Q135" i="16"/>
  <c r="J135" i="16"/>
  <c r="R130" i="16"/>
  <c r="K130" i="16"/>
  <c r="Q130" i="16"/>
  <c r="J130" i="16"/>
  <c r="R135" i="16"/>
  <c r="K135" i="16"/>
  <c r="L138" i="16"/>
  <c r="S138" i="16"/>
  <c r="H130" i="16"/>
  <c r="O130" i="16"/>
  <c r="P135" i="16"/>
  <c r="I135" i="16"/>
  <c r="L134" i="16"/>
  <c r="S134" i="16"/>
  <c r="S131" i="16"/>
  <c r="L131" i="16"/>
  <c r="O135" i="16"/>
  <c r="H135" i="16"/>
  <c r="P130" i="16"/>
  <c r="I130" i="16"/>
  <c r="S137" i="16"/>
  <c r="L137" i="16"/>
  <c r="S136" i="16"/>
  <c r="L136" i="16"/>
  <c r="AM35" i="13"/>
  <c r="AC38" i="13"/>
  <c r="W27" i="13"/>
  <c r="AC8" i="13" s="1"/>
  <c r="AB20" i="14"/>
  <c r="J124" i="16"/>
  <c r="AC36" i="13"/>
  <c r="AC33" i="13"/>
  <c r="AC34" i="13"/>
  <c r="K124" i="16"/>
  <c r="I124" i="16"/>
  <c r="AC35" i="13"/>
  <c r="AC37" i="13"/>
  <c r="AC49" i="13"/>
  <c r="D71" i="31"/>
  <c r="W53" i="13"/>
  <c r="L115" i="16"/>
  <c r="H124" i="16"/>
  <c r="E66" i="31"/>
  <c r="H66" i="31" s="1"/>
  <c r="AH33" i="13"/>
  <c r="AH34" i="13"/>
  <c r="O139" i="16" l="1"/>
  <c r="H139" i="16"/>
  <c r="S130" i="16"/>
  <c r="L130" i="16"/>
  <c r="J139" i="16"/>
  <c r="Q139" i="16"/>
  <c r="S135" i="16"/>
  <c r="L135" i="16"/>
  <c r="P139" i="16"/>
  <c r="I139" i="16"/>
  <c r="K139" i="16"/>
  <c r="R139" i="16"/>
  <c r="E75" i="31"/>
  <c r="H75" i="31" s="1"/>
  <c r="N10" i="31" s="1"/>
  <c r="E74" i="31"/>
  <c r="H74" i="31" s="1"/>
  <c r="N9" i="31" s="1"/>
  <c r="E73" i="31"/>
  <c r="H73" i="31" s="1"/>
  <c r="E78" i="31"/>
  <c r="H78" i="31" s="1"/>
  <c r="E77" i="31"/>
  <c r="E72" i="31"/>
  <c r="H72" i="31" s="1"/>
  <c r="L124" i="16"/>
  <c r="AC39" i="13"/>
  <c r="AH35" i="13"/>
  <c r="D79" i="31"/>
  <c r="L139" i="16" l="1"/>
  <c r="S139" i="16"/>
  <c r="E76" i="31"/>
  <c r="H76" i="31" s="1"/>
  <c r="N11" i="31" s="1"/>
  <c r="H77" i="31"/>
  <c r="E71" i="31"/>
  <c r="H71" i="31" s="1"/>
  <c r="N8" i="31" s="1"/>
  <c r="N12" i="31" l="1"/>
  <c r="E79" i="31"/>
  <c r="H79" i="31" s="1"/>
  <c r="L94" i="16" l="1"/>
  <c r="H98" i="16"/>
  <c r="L98" i="1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CALLONNEC Gaël</author>
  </authors>
  <commentList>
    <comment ref="S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S33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CALLONNEC Gaël</author>
  </authors>
  <commentList>
    <comment ref="S27" authorId="0" shapeId="0" xr:uid="{00000000-0006-0000-0A00-000001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S35" authorId="0" shapeId="0" xr:uid="{00000000-0006-0000-0A00-000002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S69" authorId="0" shapeId="0" xr:uid="{00000000-0006-0000-0A00-000003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S77" authorId="0" shapeId="0" xr:uid="{00000000-0006-0000-0A00-000004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</commentList>
</comments>
</file>

<file path=xl/sharedStrings.xml><?xml version="1.0" encoding="utf-8"?>
<sst xmlns="http://schemas.openxmlformats.org/spreadsheetml/2006/main" count="1890" uniqueCount="548">
  <si>
    <t>Refined petroleum products</t>
  </si>
  <si>
    <t>Total</t>
  </si>
  <si>
    <t>Oil</t>
  </si>
  <si>
    <t>Biofuels</t>
  </si>
  <si>
    <t>Electric power generation, transmission and distribution</t>
  </si>
  <si>
    <t>Nuclear</t>
  </si>
  <si>
    <t>Fuel</t>
  </si>
  <si>
    <t>Combined gas</t>
  </si>
  <si>
    <t>Coal</t>
  </si>
  <si>
    <t>Wind</t>
  </si>
  <si>
    <t>Solar</t>
  </si>
  <si>
    <t>Hydraulic</t>
  </si>
  <si>
    <t>Cogeneration (CHP)</t>
  </si>
  <si>
    <t>Natural gas</t>
  </si>
  <si>
    <t>Wood</t>
  </si>
  <si>
    <t>Biogas</t>
  </si>
  <si>
    <t>Waste incineration</t>
  </si>
  <si>
    <t>Geothermal</t>
  </si>
  <si>
    <t>Transport</t>
  </si>
  <si>
    <t>Personal vehicles</t>
  </si>
  <si>
    <t xml:space="preserve">Public and freight transport </t>
  </si>
  <si>
    <t>Residential</t>
  </si>
  <si>
    <t>Service</t>
  </si>
  <si>
    <t>Industry and agriculture</t>
  </si>
  <si>
    <t xml:space="preserve">Industry </t>
  </si>
  <si>
    <t>Agriculture</t>
  </si>
  <si>
    <t>Total Final Mtep</t>
  </si>
  <si>
    <t>Class A</t>
  </si>
  <si>
    <t>Class B</t>
  </si>
  <si>
    <t>Class C</t>
  </si>
  <si>
    <t>Class D</t>
  </si>
  <si>
    <t>Class E</t>
  </si>
  <si>
    <t>Class F</t>
  </si>
  <si>
    <t>Class G</t>
  </si>
  <si>
    <t>Electricity</t>
  </si>
  <si>
    <t>Gas</t>
  </si>
  <si>
    <t>coal</t>
  </si>
  <si>
    <t>oil</t>
  </si>
  <si>
    <t>elec</t>
  </si>
  <si>
    <t>gas</t>
  </si>
  <si>
    <t>decarb</t>
  </si>
  <si>
    <t>Total Final MTEC</t>
  </si>
  <si>
    <t>charbon</t>
  </si>
  <si>
    <t>Verif</t>
  </si>
  <si>
    <t>stock of housing and %</t>
  </si>
  <si>
    <t>electric</t>
  </si>
  <si>
    <t>Combustion</t>
  </si>
  <si>
    <t>Industry non energetic uses</t>
  </si>
  <si>
    <t>gas biogas biomass</t>
  </si>
  <si>
    <t>fuel and biofuel</t>
  </si>
  <si>
    <t>Hors bois domestique non marchand, avec consommation à double usage</t>
  </si>
  <si>
    <t>New vehicle sales</t>
  </si>
  <si>
    <t>stock of vehicles</t>
  </si>
  <si>
    <t>Gas and heat</t>
  </si>
  <si>
    <t>Basse consommation</t>
  </si>
  <si>
    <t xml:space="preserve">Consommation modérée </t>
  </si>
  <si>
    <t>Faiblement émettrices</t>
  </si>
  <si>
    <t>Modérément émettrices</t>
  </si>
  <si>
    <t>Fortement émettrices</t>
  </si>
  <si>
    <t>Electriques</t>
  </si>
  <si>
    <t>Passoires énergétiques</t>
  </si>
  <si>
    <t>nucléaire</t>
  </si>
  <si>
    <t>solaire</t>
  </si>
  <si>
    <t xml:space="preserve">éolien </t>
  </si>
  <si>
    <t>autres renouvelables</t>
  </si>
  <si>
    <t>biocarburants</t>
  </si>
  <si>
    <t>gaz naturel</t>
  </si>
  <si>
    <t>biogaz</t>
  </si>
  <si>
    <t>Energie primaire</t>
  </si>
  <si>
    <t>Automobile - synthèse</t>
  </si>
  <si>
    <t>verif</t>
  </si>
  <si>
    <t>parc automobile (milliers)</t>
  </si>
  <si>
    <t>parc automobile (M)</t>
  </si>
  <si>
    <t>parc véhicules élec (%)</t>
  </si>
  <si>
    <t>parc véhicules thermiques (%)</t>
  </si>
  <si>
    <t>part véhicules thermiques</t>
  </si>
  <si>
    <t>Automobile - detail</t>
  </si>
  <si>
    <t>Ventes (milliers)</t>
  </si>
  <si>
    <t>Parc (milliers)</t>
  </si>
  <si>
    <t>Ventes (%)</t>
  </si>
  <si>
    <t>Parc (%)</t>
  </si>
  <si>
    <t>Energie primaire (Mtep)</t>
  </si>
  <si>
    <t>Energie finale (Mtep)</t>
  </si>
  <si>
    <t>Consos résultats de ThreeME</t>
  </si>
  <si>
    <t>Consos cibles d'Enerdata</t>
  </si>
  <si>
    <t>Hors bois domestique auto produit (8MTEP entre 2015 et 2030 4 Mtep en 2050)</t>
  </si>
  <si>
    <t>Emissions CO2 (MtCO2)</t>
  </si>
  <si>
    <t>Residentiel</t>
  </si>
  <si>
    <t>Industrie et agriculture</t>
  </si>
  <si>
    <t>Cf. onglet "G emissions"</t>
  </si>
  <si>
    <t>Cf. onglet "G énergie"</t>
  </si>
  <si>
    <t>Cf. onglet "G mix elec"</t>
  </si>
  <si>
    <t xml:space="preserve">Total </t>
  </si>
  <si>
    <t>hydraulique</t>
  </si>
  <si>
    <t>Cf. onglet "G mix carb"</t>
  </si>
  <si>
    <t>Cf. onglet "G mix gaz"</t>
  </si>
  <si>
    <t>carburants fossiles</t>
  </si>
  <si>
    <t>Energie par vecteur énergétique</t>
  </si>
  <si>
    <t>Energie par usage</t>
  </si>
  <si>
    <t>Logement</t>
  </si>
  <si>
    <t>Parc logement (m²)</t>
  </si>
  <si>
    <t>Parc logement (%)</t>
  </si>
  <si>
    <t>Cf. onglet "G parc logt"</t>
  </si>
  <si>
    <t>ER_OIL_2</t>
  </si>
  <si>
    <t>ER_OIL_2201_2</t>
  </si>
  <si>
    <t>ER_OIL_2202_2</t>
  </si>
  <si>
    <t>ER_ELEC_2301_2</t>
  </si>
  <si>
    <t>ER_ELEC_2302_2</t>
  </si>
  <si>
    <t>ER_ELEC_2303_2</t>
  </si>
  <si>
    <t>ER_ELEC_2304_2</t>
  </si>
  <si>
    <t>ER_ELEC_2305_2</t>
  </si>
  <si>
    <t>ER_ELEC_2306_2</t>
  </si>
  <si>
    <t>ER_ELEC_2307_2</t>
  </si>
  <si>
    <t>ER_ELEC_2308_2</t>
  </si>
  <si>
    <t>ER_ELEC_2</t>
  </si>
  <si>
    <t>ER_GAS_2</t>
  </si>
  <si>
    <t>ER_GAS_2401_2</t>
  </si>
  <si>
    <t>ER_GAS_2402_2</t>
  </si>
  <si>
    <t>ER_GAS_2403_2</t>
  </si>
  <si>
    <t>ER_GAS_2404_2</t>
  </si>
  <si>
    <t>ER_GAS_2405_2</t>
  </si>
  <si>
    <t>ER_GAS_2406_2</t>
  </si>
  <si>
    <t>ER_COAL_2</t>
  </si>
  <si>
    <t>ER_TOTAL_2</t>
  </si>
  <si>
    <t>ER_AGRICULTURE_2</t>
  </si>
  <si>
    <t>ER_INDUS_2</t>
  </si>
  <si>
    <t>ER_RESIDENTIAL_2</t>
  </si>
  <si>
    <t>ER_TERTIARY_2</t>
  </si>
  <si>
    <t>ER_TRANS_PRIVATE_2</t>
  </si>
  <si>
    <t>ER_TRANS_PUBLIC_2</t>
  </si>
  <si>
    <t>ER_AUTO_2</t>
  </si>
  <si>
    <t>ER_AUTO_TH_A_2</t>
  </si>
  <si>
    <t>ER_AUTO_TH_B_2</t>
  </si>
  <si>
    <t>ER_AUTO_TH_C_2</t>
  </si>
  <si>
    <t>ER_AUTO_TH_D_2</t>
  </si>
  <si>
    <t>ER_AUTO_TH_E_2</t>
  </si>
  <si>
    <t>ER_AUTO_TH_F_2</t>
  </si>
  <si>
    <t>ER_AUTO_TH_G_2</t>
  </si>
  <si>
    <t>ER_AUTO_ELEC_A_2</t>
  </si>
  <si>
    <t>ER_AUTO_ELEC_B_2</t>
  </si>
  <si>
    <t>ER_AUTO_ELEC_C_2</t>
  </si>
  <si>
    <t>ER_AUTO_ELEC_D_2</t>
  </si>
  <si>
    <t>ER_AUTO_ELEC_E_2</t>
  </si>
  <si>
    <t>ER_AUTO_ELEC_F_2</t>
  </si>
  <si>
    <t>ER_AUTO_ELEC_G_2</t>
  </si>
  <si>
    <t>ER_AUTO_COAL_2</t>
  </si>
  <si>
    <t>ER_AUTO_TH_2</t>
  </si>
  <si>
    <t>ER_AUTO_ELEC_2</t>
  </si>
  <si>
    <t>ER_AUTO_GAS_2</t>
  </si>
  <si>
    <t>ER_NEWAUTO_2</t>
  </si>
  <si>
    <t>ER_NEWAUTO_TH_2</t>
  </si>
  <si>
    <t>ER_NEWAUTO_TH_A_2</t>
  </si>
  <si>
    <t>ER_NEWAUTO_TH_B_2</t>
  </si>
  <si>
    <t>ER_NEWAUTO_TH_C_2</t>
  </si>
  <si>
    <t>ER_NEWAUTO_TH_D_2</t>
  </si>
  <si>
    <t>ER_NEWAUTO_TH_E_2</t>
  </si>
  <si>
    <t>ER_NEWAUTO_TH_F_2</t>
  </si>
  <si>
    <t>ER_NEWAUTO_TH_G_2</t>
  </si>
  <si>
    <t>ER_NEWAUTO_ELEC_2</t>
  </si>
  <si>
    <t>ER_NEWAUTO_ELEC_A_2</t>
  </si>
  <si>
    <t>ER_NEWAUTO_ELEC_B_2</t>
  </si>
  <si>
    <t>ER_NEWAUTO_ELEC_C_2</t>
  </si>
  <si>
    <t>ER_NEWAUTO_ELEC_D_2</t>
  </si>
  <si>
    <t>ER_NEWAUTO_ELEC_E_2</t>
  </si>
  <si>
    <t>ER_NEWAUTO_ELEC_F_2</t>
  </si>
  <si>
    <t>ER_NEWAUTO_ELEC_G_2</t>
  </si>
  <si>
    <t>ER_AGRICULTURE_COAL_2</t>
  </si>
  <si>
    <t>ER_INDUS_COAL_2</t>
  </si>
  <si>
    <t>ER_RESIDENTIAL_COAL_2</t>
  </si>
  <si>
    <t>ER_TERTIARY_COAL_2</t>
  </si>
  <si>
    <t>ER_TRANS_PRIVATE_COAL_2</t>
  </si>
  <si>
    <t>ER_TRANS_PUBLIC_COAL_2</t>
  </si>
  <si>
    <t>ER_AGRICULTURE_OIL_2</t>
  </si>
  <si>
    <t>ER_INDUS_OIL_2</t>
  </si>
  <si>
    <t>ER_RESIDENTIAL_OIL_2</t>
  </si>
  <si>
    <t>ER_TERTIARY_OIL_2</t>
  </si>
  <si>
    <t>ER_TRANS_PRIVATE_OIL_2</t>
  </si>
  <si>
    <t>ER_TRANS_PUBLIC_OIL_2</t>
  </si>
  <si>
    <t>ER_AGRICULTURE_ELEC_2</t>
  </si>
  <si>
    <t>ER_INDUS_ELEC_2</t>
  </si>
  <si>
    <t>ER_RESIDENTIAL_ELEC_2</t>
  </si>
  <si>
    <t>ER_TERTIARY_ELEC_2</t>
  </si>
  <si>
    <t>ER_TRANS_PRIVATE_ELEC_2</t>
  </si>
  <si>
    <t>ER_TRANS_PUBLIC_ELEC_2</t>
  </si>
  <si>
    <t>ER_AGRICULTURE_GAS_2</t>
  </si>
  <si>
    <t>ER_INDUS_GAS_2</t>
  </si>
  <si>
    <t>ER_RESIDENTIAL_GAS_2</t>
  </si>
  <si>
    <t>ER_TERTIARY_GAS_2</t>
  </si>
  <si>
    <t>ER_TRANS_PRIVATE_GAS_2</t>
  </si>
  <si>
    <t>ER_TRANS_PUBLIC_GAS_2</t>
  </si>
  <si>
    <t>ER_BUIL_2</t>
  </si>
  <si>
    <t>ER_BUIL_A_2</t>
  </si>
  <si>
    <t>ER_BUIL_B_2</t>
  </si>
  <si>
    <t>ER_BUIL_C_2</t>
  </si>
  <si>
    <t>ER_BUIL_D_2</t>
  </si>
  <si>
    <t>ER_BUIL_E_2</t>
  </si>
  <si>
    <t>ER_BUIL_F_2</t>
  </si>
  <si>
    <t>ER_BUIL_G_2</t>
  </si>
  <si>
    <t>TTCO_VOL_SIGNAL_2</t>
  </si>
  <si>
    <t>PGDP_2</t>
  </si>
  <si>
    <t>100*(GDP_2/@ELEM(GDP_2,"2006"))</t>
  </si>
  <si>
    <t>100*(EMS_TOT_2/@ELEM(EMS_TOT_2,"2006"))</t>
  </si>
  <si>
    <t>EMS_DC_04_2</t>
  </si>
  <si>
    <t>EMS_DC_05_2</t>
  </si>
  <si>
    <t>EMS_DC_2</t>
  </si>
  <si>
    <t>EMS_HH_2</t>
  </si>
  <si>
    <t>EMS_HH_21_2</t>
  </si>
  <si>
    <t>EMS_HH_21_H01_2</t>
  </si>
  <si>
    <t>EMS_HH_22_2</t>
  </si>
  <si>
    <t>EMS_HH_22_H01_2</t>
  </si>
  <si>
    <t>EMS_HH_24_2</t>
  </si>
  <si>
    <t>EMS_HH_24_H01_2</t>
  </si>
  <si>
    <t>EMS_SEC_TOT_01_2</t>
  </si>
  <si>
    <t>EMS_SEC_TOT_02_2</t>
  </si>
  <si>
    <t>EMS_SEC_TOT_03_2</t>
  </si>
  <si>
    <t>EMS_SEC_TOT_04_2</t>
  </si>
  <si>
    <t>EMS_SEC_TOT_05_2</t>
  </si>
  <si>
    <t>EMS_SEC_TOT_06_2</t>
  </si>
  <si>
    <t>EMS_SEC_TOT_07_2</t>
  </si>
  <si>
    <t>EMS_SEC_TOT_08_2</t>
  </si>
  <si>
    <t>EMS_SEC_TOT_09_2</t>
  </si>
  <si>
    <t>EMS_SEC_TOT_10_2</t>
  </si>
  <si>
    <t>EMS_SEC_TOT_11_2</t>
  </si>
  <si>
    <t>EMS_SEC_TOT_12_2</t>
  </si>
  <si>
    <t>EMS_SEC_TOT_13_2</t>
  </si>
  <si>
    <t>EMS_SEC_TOT_14_2</t>
  </si>
  <si>
    <t>EMS_SEC_TOT_15_2</t>
  </si>
  <si>
    <t>EMS_SEC_TOT_16_2</t>
  </si>
  <si>
    <t>EMS_SEC_TOT_17_2</t>
  </si>
  <si>
    <t>EMS_SEC_TOT_18_2</t>
  </si>
  <si>
    <t>EMS_SEC_TOT_19_2</t>
  </si>
  <si>
    <t>EMS_SEC_TOT_2</t>
  </si>
  <si>
    <t>EMS_SEC_TOT_20_2</t>
  </si>
  <si>
    <t>EMS_SEC_TOT_21_05_2</t>
  </si>
  <si>
    <t>EMS_SEC_TOT_21_06_2</t>
  </si>
  <si>
    <t>EMS_SEC_TOT_21_07_2</t>
  </si>
  <si>
    <t>EMS_SEC_TOT_21_08_2</t>
  </si>
  <si>
    <t>EMS_SEC_TOT_21_10_2</t>
  </si>
  <si>
    <t>EMS_SEC_TOT_21_12_2</t>
  </si>
  <si>
    <t>EMS_SEC_TOT_21_19_2</t>
  </si>
  <si>
    <t>EMS_SEC_TOT_21_20_2</t>
  </si>
  <si>
    <t>EMS_SEC_TOT_21_2304_2</t>
  </si>
  <si>
    <t>EMS_SEC_TOT_2201_2</t>
  </si>
  <si>
    <t>EMS_SEC_TOT_22_01_2</t>
  </si>
  <si>
    <t>EMS_SEC_TOT_22_02_2</t>
  </si>
  <si>
    <t>EMS_SEC_TOT_22_03_2</t>
  </si>
  <si>
    <t>EMS_SEC_TOT_22_04_2</t>
  </si>
  <si>
    <t>EMS_SEC_TOT_22_05_2</t>
  </si>
  <si>
    <t>EMS_SEC_TOT_22_06_2</t>
  </si>
  <si>
    <t>EMS_SEC_TOT_22_07_2</t>
  </si>
  <si>
    <t>EMS_SEC_TOT_22_08_2</t>
  </si>
  <si>
    <t>EMS_SEC_TOT_22_09_2</t>
  </si>
  <si>
    <t>EMS_SEC_TOT_22_12_2</t>
  </si>
  <si>
    <t>EMS_SEC_TOT_22_13_2</t>
  </si>
  <si>
    <t>EMS_SEC_TOT_22_14_2</t>
  </si>
  <si>
    <t>EMS_SEC_TOT_22_15_2</t>
  </si>
  <si>
    <t>EMS_SEC_TOT_22_16_2</t>
  </si>
  <si>
    <t>EMS_SEC_TOT_22_17_2</t>
  </si>
  <si>
    <t>EMS_SEC_TOT_22_18_2</t>
  </si>
  <si>
    <t>EMS_SEC_TOT_22_19_2</t>
  </si>
  <si>
    <t>EMS_SEC_TOT_22_20_2</t>
  </si>
  <si>
    <t>EMS_SEC_TOT_22_2201_2</t>
  </si>
  <si>
    <t>EMS_SEC_TOT_22_2302_2</t>
  </si>
  <si>
    <t>EMS_SEC_TOT_2302_2</t>
  </si>
  <si>
    <t>EMS_SEC_TOT_2303_2</t>
  </si>
  <si>
    <t>EMS_SEC_TOT_2304_2</t>
  </si>
  <si>
    <t>EMS_SEC_TOT_2401_2</t>
  </si>
  <si>
    <t>EMS_SEC_TOT_24_01_2</t>
  </si>
  <si>
    <t>EMS_SEC_TOT_24_02_2</t>
  </si>
  <si>
    <t>EMS_SEC_TOT_24_03_2</t>
  </si>
  <si>
    <t>EMS_SEC_TOT_24_04_2</t>
  </si>
  <si>
    <t>EMS_SEC_TOT_24_05_2</t>
  </si>
  <si>
    <t>EMS_SEC_TOT_24_06_2</t>
  </si>
  <si>
    <t>EMS_SEC_TOT_24_07_2</t>
  </si>
  <si>
    <t>EMS_SEC_TOT_24_08_2</t>
  </si>
  <si>
    <t>EMS_SEC_TOT_24_09_2</t>
  </si>
  <si>
    <t>EMS_SEC_TOT_24_10_2</t>
  </si>
  <si>
    <t>EMS_SEC_TOT_24_11_2</t>
  </si>
  <si>
    <t>EMS_SEC_TOT_24_12_2</t>
  </si>
  <si>
    <t>EMS_SEC_TOT_24_13_2</t>
  </si>
  <si>
    <t>EMS_SEC_TOT_24_14_2</t>
  </si>
  <si>
    <t>EMS_SEC_TOT_24_15_2</t>
  </si>
  <si>
    <t>EMS_SEC_TOT_24_16_2</t>
  </si>
  <si>
    <t>EMS_SEC_TOT_24_17_2</t>
  </si>
  <si>
    <t>EMS_SEC_TOT_24_18_2</t>
  </si>
  <si>
    <t>EMS_SEC_TOT_24_19_2</t>
  </si>
  <si>
    <t>EMS_SEC_TOT_24_20_2</t>
  </si>
  <si>
    <t>EMS_SEC_TOT_24_2201_2</t>
  </si>
  <si>
    <t>EMS_SEC_TOT_24_2303_2</t>
  </si>
  <si>
    <t>EMS_SEC_TOT_24_2401_2</t>
  </si>
  <si>
    <t>EMS_SECSOU_2</t>
  </si>
  <si>
    <t>EMS_SECSOU_21_2</t>
  </si>
  <si>
    <t>EMS_SECSOU_22_2</t>
  </si>
  <si>
    <t>EMS_SECSOU_24_2</t>
  </si>
  <si>
    <t>EMS_SOU_2</t>
  </si>
  <si>
    <t>EMS_SOU_21_2</t>
  </si>
  <si>
    <t>EMS_SOU_22_2</t>
  </si>
  <si>
    <t>EMS_SOU_24_2</t>
  </si>
  <si>
    <t>EMS_TOT_2</t>
  </si>
  <si>
    <t>Q_MTEP_EP_2</t>
  </si>
  <si>
    <t>Q_MTEP_EP_21_2</t>
  </si>
  <si>
    <t>Q_MTEP_EP_21_21_2</t>
  </si>
  <si>
    <t>Q_MTEP_EP_2201_2</t>
  </si>
  <si>
    <t>Q_MTEP_EP_2202_2</t>
  </si>
  <si>
    <t>Q_MTEP_EP_22_2201_2</t>
  </si>
  <si>
    <t>Q_MTEP_EP_22_2202_2</t>
  </si>
  <si>
    <t>Q_MTEP_EP_2301_2</t>
  </si>
  <si>
    <t>Q_MTEP_EP_2302_2</t>
  </si>
  <si>
    <t>Q_MTEP_EP_2303_2</t>
  </si>
  <si>
    <t>Q_MTEP_EP_2304_2</t>
  </si>
  <si>
    <t>Q_MTEP_EP_2305_2</t>
  </si>
  <si>
    <t>Q_MTEP_EP_2306_2</t>
  </si>
  <si>
    <t>Q_MTEP_EP_2307_2</t>
  </si>
  <si>
    <t>Q_MTEP_EP_2308_2</t>
  </si>
  <si>
    <t>Q_MTEP_EP_23_2301_2</t>
  </si>
  <si>
    <t>Q_MTEP_EP_23_2302_2</t>
  </si>
  <si>
    <t>Q_MTEP_EP_23_2303_2</t>
  </si>
  <si>
    <t>Q_MTEP_EP_23_2304_2</t>
  </si>
  <si>
    <t>Q_MTEP_EP_23_2305_2</t>
  </si>
  <si>
    <t>Q_MTEP_EP_23_2306_2</t>
  </si>
  <si>
    <t>Q_MTEP_EP_23_2307_2</t>
  </si>
  <si>
    <t>Q_MTEP_EP_23_2308_2</t>
  </si>
  <si>
    <t>Q_MTEP_EP_2401_2</t>
  </si>
  <si>
    <t>Q_MTEP_EP_2402_2</t>
  </si>
  <si>
    <t>Q_MTEP_EP_2403_2</t>
  </si>
  <si>
    <t>Q_MTEP_EP_2404_2</t>
  </si>
  <si>
    <t>Q_MTEP_EP_2405_2</t>
  </si>
  <si>
    <t>Q_MTEP_EP_2406_2</t>
  </si>
  <si>
    <t>Q_MTEP_EP_24_2401_2</t>
  </si>
  <si>
    <t>Q_MTEP_EP_24_2402_2</t>
  </si>
  <si>
    <t>Q_MTEP_EP_24_2403_2</t>
  </si>
  <si>
    <t>Q_MTEP_EP_24_2404_2</t>
  </si>
  <si>
    <t>Q_MTEP_EP_24_2405_2</t>
  </si>
  <si>
    <t>Q_MTEP_EP_24_2406_2</t>
  </si>
  <si>
    <t>Q_MTEP_INDUS_21_2</t>
  </si>
  <si>
    <t>Q_MTEP_INDUS_22_2</t>
  </si>
  <si>
    <t>Q_MTEP_INDUS_23_2</t>
  </si>
  <si>
    <t>Q_MTEP_INDUS_24_2</t>
  </si>
  <si>
    <t>PHIY_EF_TOT_22_2201_2</t>
  </si>
  <si>
    <t>PHIY_EF_TOT_22_2202_2</t>
  </si>
  <si>
    <t>PHIY_EF_TOT_23_2301_2</t>
  </si>
  <si>
    <t>PHIY_EF_TOT_23_2302_2</t>
  </si>
  <si>
    <t>PHIY_EF_TOT_23_2303_2</t>
  </si>
  <si>
    <t>PHIY_EF_TOT_23_2304_2</t>
  </si>
  <si>
    <t>PHIY_EF_TOT_23_2305_2</t>
  </si>
  <si>
    <t>PHIY_EF_TOT_23_2306_2</t>
  </si>
  <si>
    <t>PHIY_EF_TOT_23_2307_2</t>
  </si>
  <si>
    <t>PHIY_EF_TOT_23_2308_2</t>
  </si>
  <si>
    <t>PHIY_EF_TOT_24_2401_2</t>
  </si>
  <si>
    <t>PHIY_EF_TOT_24_2402_2</t>
  </si>
  <si>
    <t>PHIY_EF_TOT_24_2403_2</t>
  </si>
  <si>
    <t>PHIY_EF_TOT_24_2404_2</t>
  </si>
  <si>
    <t>PHIY_EF_TOT_24_2405_2</t>
  </si>
  <si>
    <t>PHIY_EF_TOT_24_2406_2</t>
  </si>
  <si>
    <t>IC_HH_22_H01_2</t>
  </si>
  <si>
    <t>IC_HH_24_H01_2</t>
  </si>
  <si>
    <t>Q_Mtep_ep_2201_2</t>
  </si>
  <si>
    <t>Q_Mtep_ep_2202_2</t>
  </si>
  <si>
    <t>Q_Mtep_ep_2301_2</t>
  </si>
  <si>
    <t>Q_Mtep_ep_2302_2</t>
  </si>
  <si>
    <t>Q_Mtep_ep_2303_2</t>
  </si>
  <si>
    <t>Q_Mtep_ep_2304_2</t>
  </si>
  <si>
    <t>Q_Mtep_ep_2305_2</t>
  </si>
  <si>
    <t>Q_Mtep_ep_2306_2</t>
  </si>
  <si>
    <t>Q_Mtep_ep_2307_2</t>
  </si>
  <si>
    <t>Q_Mtep_ep_2308_2</t>
  </si>
  <si>
    <t>Q_Mtep_ep_2401_2</t>
  </si>
  <si>
    <t>Q_Mtep_ep_2402_2</t>
  </si>
  <si>
    <t>Q_Mtep_ep_2403_2</t>
  </si>
  <si>
    <t>Q_Mtep_ep_2404_2</t>
  </si>
  <si>
    <t>Q_Mtep_ep_2405_2</t>
  </si>
  <si>
    <t>Q_Mtep_ep_2406_2</t>
  </si>
  <si>
    <t>Q_Mtep_ep_21_2</t>
  </si>
  <si>
    <t>ER_Oil_2</t>
  </si>
  <si>
    <t>ER_oil_2201_2</t>
  </si>
  <si>
    <t>ER_oil_2202_2</t>
  </si>
  <si>
    <t>ER_elec_2</t>
  </si>
  <si>
    <t>ER_Elec_2301_2</t>
  </si>
  <si>
    <t>ER_elec_2302_2</t>
  </si>
  <si>
    <t>ER_Elec_2303_2</t>
  </si>
  <si>
    <t>ER_elec_2304_2</t>
  </si>
  <si>
    <t>ER_Elec_2305_2</t>
  </si>
  <si>
    <t>ER_elec_2306_2</t>
  </si>
  <si>
    <t>ER_Elec_2307_2</t>
  </si>
  <si>
    <t>ER_elec_2308_2</t>
  </si>
  <si>
    <t>ER_Gas_2</t>
  </si>
  <si>
    <t>ER_Gas_2401_2</t>
  </si>
  <si>
    <t>ER_Gas_2402_2</t>
  </si>
  <si>
    <t>ER_Gas_2403_2</t>
  </si>
  <si>
    <t>ER_Gas_2404_2</t>
  </si>
  <si>
    <t>ER_Gas_2405_2</t>
  </si>
  <si>
    <t>ER_Gas_2406_2</t>
  </si>
  <si>
    <t>ER_coal_2</t>
  </si>
  <si>
    <t>ER_Total_2</t>
  </si>
  <si>
    <t>ER_TRANS_PRIVATE_coal_2</t>
  </si>
  <si>
    <t>ER_TRANS_PRIVATE_oil_2</t>
  </si>
  <si>
    <t>ER_TRANS_PRIVATE_elec_2</t>
  </si>
  <si>
    <t>ER_TRANS_PRIVATE_gas_2</t>
  </si>
  <si>
    <t>ER_TRANS_PUBLIC_coal_2</t>
  </si>
  <si>
    <t>ER_TRANS_PUBLIC_oil_2</t>
  </si>
  <si>
    <t>ER_TRANS_PUBLIC_elec_2</t>
  </si>
  <si>
    <t>ER_TRANS_PUBLIC_gas_2</t>
  </si>
  <si>
    <t>ER_RESIDENTIAL_coal_2</t>
  </si>
  <si>
    <t>ER_RESIDENTIAL_oil_2</t>
  </si>
  <si>
    <t>ER_RESIDENTIAL_elec_2</t>
  </si>
  <si>
    <t>ER_RESIDENTIAL_gas_2</t>
  </si>
  <si>
    <t>ER_TERTIARY_coal_2</t>
  </si>
  <si>
    <t>ER_TERTIARY_oil_2</t>
  </si>
  <si>
    <t>ER_TERTIARY_elec_2</t>
  </si>
  <si>
    <t>ER_TERTIARY_gas_2</t>
  </si>
  <si>
    <t>ER_INDUS_coal_2</t>
  </si>
  <si>
    <t>ER_INDUS_oil_2</t>
  </si>
  <si>
    <t>ER_INDUS_elec_2</t>
  </si>
  <si>
    <t>ER_INDUS_gas_2</t>
  </si>
  <si>
    <t>Q_Mtep_indus_21_2</t>
  </si>
  <si>
    <t>Q_Mtep_indus_22_2</t>
  </si>
  <si>
    <t>Q_Mtep_indus_23_2</t>
  </si>
  <si>
    <t>Q_Mtep_indus_24_2</t>
  </si>
  <si>
    <t>ER_AGRICULTURE_coal_2</t>
  </si>
  <si>
    <t>ER_AGRICULTURE_oil_2</t>
  </si>
  <si>
    <t>ER_AGRICULTURE_elec_2</t>
  </si>
  <si>
    <t>ER_AGRICULTURE_gas_2</t>
  </si>
  <si>
    <t>ER_AUTO_2/1000</t>
  </si>
  <si>
    <t>ER_AUTO_ELEC_2/ER_AUTO_2</t>
  </si>
  <si>
    <t>ER_AUTO_TH_2/ER_AUTO_2</t>
  </si>
  <si>
    <t>ER_NEWAUTO_ELEC_2/ER_NEWAUTO_2</t>
  </si>
  <si>
    <t>ER_NEWAUTO_ELEC_A_2/ER_NEWAUTO_2</t>
  </si>
  <si>
    <t>ER_NEWAUTO_ELEC_B_2/ER_NEWAUTO_2</t>
  </si>
  <si>
    <t>ER_NEWAUTO_ELEC_C_2/ER_NEWAUTO_2</t>
  </si>
  <si>
    <t>ER_NEWAUTO_ELEC_D_2/ER_NEWAUTO_2</t>
  </si>
  <si>
    <t>ER_NEWAUTO_ELEC_E_2/ER_NEWAUTO_2</t>
  </si>
  <si>
    <t>ER_NEWAUTO_ELEC_F_2/ER_NEWAUTO_2</t>
  </si>
  <si>
    <t>ER_NEWAUTO_ELEC_G_2/ER_NEWAUTO_2</t>
  </si>
  <si>
    <t>ER_NEWAUTO_TH_2/ER_NEWAUTO_2</t>
  </si>
  <si>
    <t>ER_NEWAUTO_TH_A_2/ER_NEWAUTO_2</t>
  </si>
  <si>
    <t>ER_NEWAUTO_TH_B_2/ER_NEWAUTO_2</t>
  </si>
  <si>
    <t>ER_NEWAUTO_TH_C_2/ER_NEWAUTO_2</t>
  </si>
  <si>
    <t>ER_NEWAUTO_TH_D_2/ER_NEWAUTO_2</t>
  </si>
  <si>
    <t>ER_NEWAUTO_TH_E_2/ER_NEWAUTO_2</t>
  </si>
  <si>
    <t>ER_NEWAUTO_TH_F_2/ER_NEWAUTO_2</t>
  </si>
  <si>
    <t>ER_NEWAUTO_TH_G_2/ER_NEWAUTO_2</t>
  </si>
  <si>
    <t>ER_AUTO_COAL_2/ER_AUTO_2</t>
  </si>
  <si>
    <t>ER_AUTO_GAS_2/ER_AUTO_2</t>
  </si>
  <si>
    <t>ER_AUTO_ELEC_A_2/ER_AUTO_2</t>
  </si>
  <si>
    <t>ER_AUTO_ELEC_B_2/ER_AUTO_2</t>
  </si>
  <si>
    <t>ER_AUTO_ELEC_C_2/ER_AUTO_2</t>
  </si>
  <si>
    <t>ER_AUTO_ELEC_D_2/ER_AUTO_2</t>
  </si>
  <si>
    <t>ER_AUTO_ELEC_E_2/ER_AUTO_2</t>
  </si>
  <si>
    <t>ER_AUTO_ELEC_F_2/ER_AUTO_2</t>
  </si>
  <si>
    <t>ER_AUTO_ELEC_G_2/ER_AUTO_2</t>
  </si>
  <si>
    <t>ER_AUTO_TH_A_2/ER_AUTO_2</t>
  </si>
  <si>
    <t>ER_AUTO_TH_B_2/ER_AUTO_2</t>
  </si>
  <si>
    <t>ER_AUTO_TH_C_2/ER_AUTO_2</t>
  </si>
  <si>
    <t>ER_AUTO_TH_D_2/ER_AUTO_2</t>
  </si>
  <si>
    <t>ER_AUTO_TH_E_2/ER_AUTO_2</t>
  </si>
  <si>
    <t>ER_AUTO_TH_F_2/ER_AUTO_2</t>
  </si>
  <si>
    <t>ER_AUTO_TH_G_2/ER_AUTO_2</t>
  </si>
  <si>
    <t>Cf. onglet "G mix energie"</t>
  </si>
  <si>
    <t>electricité</t>
  </si>
  <si>
    <t>chaleur (bois…)</t>
  </si>
  <si>
    <t>gaz</t>
  </si>
  <si>
    <t>carburant</t>
  </si>
  <si>
    <t>Electric</t>
  </si>
  <si>
    <t>Stock of vehicles</t>
  </si>
  <si>
    <t>S1</t>
  </si>
  <si>
    <t>Transport (milliers de km voyageurs)</t>
  </si>
  <si>
    <t>Avion (France + RDM)</t>
  </si>
  <si>
    <t>Longue Distance (LD)</t>
  </si>
  <si>
    <t xml:space="preserve">    voiture LD</t>
  </si>
  <si>
    <t xml:space="preserve">    train</t>
  </si>
  <si>
    <t>Courte Distance (CD)</t>
  </si>
  <si>
    <t xml:space="preserve">    voiture CD</t>
  </si>
  <si>
    <t xml:space="preserve">    bus</t>
  </si>
  <si>
    <t>Voiture CD+LD</t>
  </si>
  <si>
    <t>TEND</t>
  </si>
  <si>
    <t>Ecarts de transport 
(milliers de km voyageurs)</t>
  </si>
  <si>
    <t>KM_AUTO_H01_2</t>
  </si>
  <si>
    <t>KM_TRAVELER_18_H01_2</t>
  </si>
  <si>
    <t>KM_TRAV_AUTO_LD_H01_2</t>
  </si>
  <si>
    <t>KM_TRAV_AUTO_CD_H01_2</t>
  </si>
  <si>
    <t>KM_TRAVELER_14_H01_2</t>
  </si>
  <si>
    <t>KM_TRAVELER_15_H01_2</t>
  </si>
  <si>
    <t>KM_TRAVELER_CD_H01_2</t>
  </si>
  <si>
    <t>KM_TRAVELER_LD_H01_2</t>
  </si>
  <si>
    <t>1) Copier-coller sorties Eviews en B2
2) veillez à ce que les données commencent en 2004
3) modifier le scénario si besoin en B1</t>
  </si>
  <si>
    <t>Energie finale</t>
  </si>
  <si>
    <t>EMS_TOT_2/@ELEM(EMS_TOT,"2006")*100</t>
  </si>
  <si>
    <t>c</t>
  </si>
  <si>
    <t>Différences en 2050 résultant des modifs de chocs</t>
  </si>
  <si>
    <t>Ecarts par rapport à la cible</t>
  </si>
  <si>
    <t>Industry</t>
  </si>
  <si>
    <t>Industry energetic uses</t>
  </si>
  <si>
    <t>SNBC3</t>
  </si>
  <si>
    <t>Part modale hors avion</t>
  </si>
  <si>
    <t>voiture CD</t>
  </si>
  <si>
    <t>voiture LD</t>
  </si>
  <si>
    <t>voiture CD+LD</t>
  </si>
  <si>
    <t>Transport (parts modales en %)</t>
  </si>
  <si>
    <t>2030/2019</t>
  </si>
  <si>
    <t>2050/2019</t>
  </si>
  <si>
    <t>Total hors avion</t>
  </si>
  <si>
    <t>Ecarts de transport 
(points de %)</t>
  </si>
  <si>
    <t>Avion</t>
  </si>
  <si>
    <t>train</t>
  </si>
  <si>
    <t>bus</t>
  </si>
  <si>
    <t>route</t>
  </si>
  <si>
    <t>Cibles DGEC</t>
  </si>
  <si>
    <t>TTCO_VOL_SIGNAL_1</t>
  </si>
  <si>
    <t>PGDP_1</t>
  </si>
  <si>
    <t>(GDP_2/GDP_1-1)*100</t>
  </si>
  <si>
    <t>(CH_2/CH_1-1)*100</t>
  </si>
  <si>
    <t>(I_2/I_1-1)*100</t>
  </si>
  <si>
    <t>(X_2/X_1-1)*100</t>
  </si>
  <si>
    <t>(M_2/M_1-1)*100</t>
  </si>
  <si>
    <t>(DC_VAL_2/(PGDP_2*GDP_2)-DC_VAL_1/(PGDP_1*GDP_1))*100</t>
  </si>
  <si>
    <t>(UNR_TOT_2-UNR_TOT_1)*100</t>
  </si>
  <si>
    <t>(L_2/L_1-1)*100</t>
  </si>
  <si>
    <t>((W_S_2/PCH_2)/(W_S_1/PCH_1)-1)*100</t>
  </si>
  <si>
    <t>INFL_FR_2-INFL_FR_1</t>
  </si>
  <si>
    <t>R_2-R_1</t>
  </si>
  <si>
    <t>(DEBT_G_VAL_2/(PGDP_2*GDP_2)-DEBT_G_VAL_1/(PGDP_1*GDP_1))*100</t>
  </si>
  <si>
    <t>(DP_G_VAL_2-DP_G_VAL_1)*100</t>
  </si>
  <si>
    <t>100*(GDP_2/GDP_1-1)</t>
  </si>
  <si>
    <t>100*(CH_2/CH_1-1)</t>
  </si>
  <si>
    <t>100*(I_2/I_1-1)</t>
  </si>
  <si>
    <t>100*(X_2/X_1-1)</t>
  </si>
  <si>
    <t>100*(M_2/M_1-1)</t>
  </si>
  <si>
    <t>100*(UNR_TOT_2-UNR_TOT_1)</t>
  </si>
  <si>
    <t>100*(L_2/L_1-1)</t>
  </si>
  <si>
    <t>100*((W_2/PCH_2)/(W_1/PCH_1)-1)</t>
  </si>
  <si>
    <t>100*(PCH_2/PCH_1-1)</t>
  </si>
  <si>
    <t>100*(R_2-R_1)</t>
  </si>
  <si>
    <t>100*(DEBT_G_VAL_2/(PGDP_2*GDP_2)-DEBT_G_VAL_1/(PGDP_1*GDP_1))</t>
  </si>
  <si>
    <t>100*(DP_G_VAL_2-DP_G_VAL_1)</t>
  </si>
  <si>
    <t>100*(EMS_TOT_2/EMS_TOT_1-1)</t>
  </si>
  <si>
    <t>KM_AUTO_H01_1</t>
  </si>
  <si>
    <t>KM_TRAVELER_18_H01_1</t>
  </si>
  <si>
    <t>KM_TRAV_AUTO_LD_H01_1</t>
  </si>
  <si>
    <t>KM_TRAV_AUTO_CD_H01_1</t>
  </si>
  <si>
    <t>KM_TRAVELER_14_H01_1</t>
  </si>
  <si>
    <t>KM_TRAVELER_15_H01_1</t>
  </si>
  <si>
    <t>KM_TRAVELER_CD_H01_1</t>
  </si>
  <si>
    <t>KM_TRAVELER_LD_H01_1</t>
  </si>
  <si>
    <t>Hors chal env PAC</t>
  </si>
  <si>
    <t>EMS_TOT_1</t>
  </si>
  <si>
    <t>AME</t>
  </si>
  <si>
    <t>AMS</t>
  </si>
  <si>
    <t>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</si>
</sst>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0.0"/>
    <numFmt numFmtId="165" formatCode="0.0%"/>
    <numFmt numFmtId="166" formatCode="#,##0.0"/>
    <numFmt numFmtId="167" formatCode="0.000"/>
    <numFmt numFmtId="168" formatCode="0.000%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rgb="FF000000"/>
      <name val="Calibri"/>
      <family val="2"/>
    </font>
    <font>
      <b/>
      <sz val="11"/>
      <color rgb="FF000000"/>
      <name val="Calibri"/>
      <family val="2"/>
    </font>
    <font>
      <b/>
      <sz val="18"/>
      <color theme="1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  <scheme val="minor"/>
    </font>
    <font>
      <b/>
      <sz val="16"/>
      <color theme="1"/>
      <name val="Calibri"/>
      <family val="2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theme="10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  <font>
      <b/>
      <sz val="10"/>
      <color rgb="FF00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/>
      <top/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auto="1"/>
      </top>
      <bottom style="dotted">
        <color auto="1"/>
      </bottom>
      <diagonal/>
    </border>
    <border>
      <left/>
      <right style="thin">
        <color indexed="64"/>
      </right>
      <top style="thin">
        <color auto="1"/>
      </top>
      <bottom style="dotted">
        <color auto="1"/>
      </bottom>
      <diagonal/>
    </border>
    <border>
      <left style="thin">
        <color indexed="64"/>
      </left>
      <right/>
      <top/>
      <bottom style="dotted">
        <color auto="1"/>
      </bottom>
      <diagonal/>
    </border>
    <border>
      <left/>
      <right style="thin">
        <color indexed="64"/>
      </right>
      <top/>
      <bottom style="dotted">
        <color auto="1"/>
      </bottom>
      <diagonal/>
    </border>
    <border>
      <left style="thin">
        <color indexed="64"/>
      </left>
      <right/>
      <top style="dotted">
        <color auto="1"/>
      </top>
      <bottom style="dotted">
        <color auto="1"/>
      </bottom>
      <diagonal/>
    </border>
    <border>
      <left/>
      <right style="thin">
        <color indexed="64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dotted">
        <color auto="1"/>
      </bottom>
      <diagonal/>
    </border>
    <border>
      <left style="thin">
        <color indexed="64"/>
      </left>
      <right style="thin">
        <color indexed="64"/>
      </right>
      <top/>
      <bottom style="dotted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dotted">
        <color auto="1"/>
      </top>
      <bottom style="dotted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auto="1"/>
      </top>
      <bottom/>
      <diagonal/>
    </border>
    <border>
      <left style="thin">
        <color indexed="64"/>
      </left>
      <right/>
      <top style="dotted">
        <color auto="1"/>
      </top>
      <bottom/>
      <diagonal/>
    </border>
    <border>
      <left style="thin">
        <color indexed="64"/>
      </left>
      <right/>
      <top style="dotted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auto="1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0" fontId="15" fillId="0" borderId="0"/>
    <xf numFmtId="0" fontId="19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15" fillId="0" borderId="0"/>
    <xf numFmtId="43" fontId="1" fillId="0" borderId="0" applyFont="0" applyFill="0" applyBorder="0" applyAlignment="0" applyProtection="0"/>
  </cellStyleXfs>
  <cellXfs count="327">
    <xf numFmtId="0" fontId="0" fillId="0" borderId="0" xfId="0"/>
    <xf numFmtId="0" fontId="3" fillId="0" borderId="0" xfId="0" applyFont="1"/>
    <xf numFmtId="0" fontId="0" fillId="2" borderId="1" xfId="0" applyFill="1" applyBorder="1"/>
    <xf numFmtId="0" fontId="0" fillId="2" borderId="0" xfId="0" applyFill="1"/>
    <xf numFmtId="0" fontId="2" fillId="2" borderId="1" xfId="0" applyFont="1" applyFill="1" applyBorder="1" applyAlignment="1">
      <alignment horizontal="right"/>
    </xf>
    <xf numFmtId="0" fontId="2" fillId="2" borderId="1" xfId="0" applyFont="1" applyFill="1" applyBorder="1"/>
    <xf numFmtId="1" fontId="2" fillId="3" borderId="3" xfId="0" applyNumberFormat="1" applyFont="1" applyFill="1" applyBorder="1" applyAlignment="1">
      <alignment horizontal="right"/>
    </xf>
    <xf numFmtId="0" fontId="0" fillId="2" borderId="3" xfId="0" applyFill="1" applyBorder="1"/>
    <xf numFmtId="1" fontId="2" fillId="3" borderId="1" xfId="0" applyNumberFormat="1" applyFont="1" applyFill="1" applyBorder="1" applyAlignment="1">
      <alignment horizontal="right"/>
    </xf>
    <xf numFmtId="1" fontId="2" fillId="4" borderId="1" xfId="0" applyNumberFormat="1" applyFont="1" applyFill="1" applyBorder="1"/>
    <xf numFmtId="0" fontId="0" fillId="0" borderId="3" xfId="0" applyBorder="1"/>
    <xf numFmtId="0" fontId="5" fillId="0" borderId="0" xfId="0" applyFont="1"/>
    <xf numFmtId="0" fontId="2" fillId="0" borderId="1" xfId="0" applyFont="1" applyBorder="1"/>
    <xf numFmtId="0" fontId="10" fillId="0" borderId="0" xfId="0" applyFont="1"/>
    <xf numFmtId="1" fontId="2" fillId="2" borderId="1" xfId="0" applyNumberFormat="1" applyFont="1" applyFill="1" applyBorder="1" applyAlignment="1">
      <alignment horizontal="left"/>
    </xf>
    <xf numFmtId="0" fontId="0" fillId="2" borderId="2" xfId="0" applyFill="1" applyBorder="1"/>
    <xf numFmtId="1" fontId="0" fillId="2" borderId="0" xfId="0" applyNumberFormat="1" applyFill="1" applyAlignment="1">
      <alignment horizontal="right"/>
    </xf>
    <xf numFmtId="1" fontId="0" fillId="2" borderId="3" xfId="0" applyNumberFormat="1" applyFill="1" applyBorder="1" applyAlignment="1">
      <alignment horizontal="right"/>
    </xf>
    <xf numFmtId="3" fontId="2" fillId="3" borderId="3" xfId="0" applyNumberFormat="1" applyFont="1" applyFill="1" applyBorder="1" applyAlignment="1">
      <alignment horizontal="right"/>
    </xf>
    <xf numFmtId="0" fontId="2" fillId="2" borderId="0" xfId="0" applyFont="1" applyFill="1" applyAlignment="1">
      <alignment horizontal="right"/>
    </xf>
    <xf numFmtId="0" fontId="2" fillId="2" borderId="4" xfId="0" applyFont="1" applyFill="1" applyBorder="1" applyAlignment="1">
      <alignment horizontal="right"/>
    </xf>
    <xf numFmtId="1" fontId="2" fillId="3" borderId="4" xfId="0" applyNumberFormat="1" applyFont="1" applyFill="1" applyBorder="1" applyAlignment="1">
      <alignment horizontal="right"/>
    </xf>
    <xf numFmtId="1" fontId="0" fillId="2" borderId="5" xfId="0" applyNumberFormat="1" applyFill="1" applyBorder="1" applyAlignment="1">
      <alignment horizontal="right"/>
    </xf>
    <xf numFmtId="1" fontId="2" fillId="4" borderId="4" xfId="0" applyNumberFormat="1" applyFont="1" applyFill="1" applyBorder="1"/>
    <xf numFmtId="0" fontId="6" fillId="0" borderId="1" xfId="0" applyFont="1" applyBorder="1"/>
    <xf numFmtId="3" fontId="0" fillId="2" borderId="0" xfId="0" applyNumberFormat="1" applyFill="1" applyAlignment="1">
      <alignment horizontal="right"/>
    </xf>
    <xf numFmtId="0" fontId="10" fillId="0" borderId="3" xfId="0" applyFont="1" applyBorder="1"/>
    <xf numFmtId="1" fontId="2" fillId="2" borderId="1" xfId="0" applyNumberFormat="1" applyFont="1" applyFill="1" applyBorder="1" applyAlignment="1">
      <alignment horizontal="right"/>
    </xf>
    <xf numFmtId="1" fontId="11" fillId="5" borderId="1" xfId="0" applyNumberFormat="1" applyFont="1" applyFill="1" applyBorder="1" applyAlignment="1">
      <alignment horizontal="right"/>
    </xf>
    <xf numFmtId="1" fontId="11" fillId="5" borderId="4" xfId="0" applyNumberFormat="1" applyFont="1" applyFill="1" applyBorder="1" applyAlignment="1">
      <alignment horizontal="right"/>
    </xf>
    <xf numFmtId="1" fontId="16" fillId="2" borderId="0" xfId="0" applyNumberFormat="1" applyFont="1" applyFill="1" applyAlignment="1">
      <alignment horizontal="right"/>
    </xf>
    <xf numFmtId="1" fontId="11" fillId="6" borderId="1" xfId="0" applyNumberFormat="1" applyFont="1" applyFill="1" applyBorder="1"/>
    <xf numFmtId="1" fontId="11" fillId="6" borderId="4" xfId="0" applyNumberFormat="1" applyFont="1" applyFill="1" applyBorder="1"/>
    <xf numFmtId="2" fontId="2" fillId="0" borderId="0" xfId="0" applyNumberFormat="1" applyFont="1"/>
    <xf numFmtId="164" fontId="0" fillId="2" borderId="0" xfId="0" applyNumberFormat="1" applyFill="1" applyAlignment="1">
      <alignment horizontal="right"/>
    </xf>
    <xf numFmtId="0" fontId="7" fillId="2" borderId="0" xfId="0" applyFont="1" applyFill="1" applyAlignment="1">
      <alignment horizontal="left" indent="2"/>
    </xf>
    <xf numFmtId="1" fontId="2" fillId="7" borderId="1" xfId="0" applyNumberFormat="1" applyFont="1" applyFill="1" applyBorder="1" applyAlignment="1">
      <alignment horizontal="right"/>
    </xf>
    <xf numFmtId="1" fontId="2" fillId="8" borderId="1" xfId="0" applyNumberFormat="1" applyFont="1" applyFill="1" applyBorder="1"/>
    <xf numFmtId="2" fontId="0" fillId="2" borderId="0" xfId="0" applyNumberFormat="1" applyFill="1" applyAlignment="1">
      <alignment horizontal="right"/>
    </xf>
    <xf numFmtId="11" fontId="0" fillId="0" borderId="0" xfId="0" applyNumberFormat="1"/>
    <xf numFmtId="0" fontId="19" fillId="0" borderId="0" xfId="3" applyFill="1"/>
    <xf numFmtId="0" fontId="4" fillId="2" borderId="0" xfId="0" applyFont="1" applyFill="1"/>
    <xf numFmtId="0" fontId="5" fillId="2" borderId="0" xfId="0" applyFont="1" applyFill="1"/>
    <xf numFmtId="0" fontId="6" fillId="2" borderId="3" xfId="0" applyFont="1" applyFill="1" applyBorder="1"/>
    <xf numFmtId="0" fontId="6" fillId="2" borderId="0" xfId="0" applyFont="1" applyFill="1"/>
    <xf numFmtId="1" fontId="0" fillId="2" borderId="0" xfId="0" applyNumberFormat="1" applyFill="1"/>
    <xf numFmtId="0" fontId="3" fillId="2" borderId="0" xfId="0" applyFont="1" applyFill="1"/>
    <xf numFmtId="164" fontId="0" fillId="2" borderId="0" xfId="0" applyNumberFormat="1" applyFill="1"/>
    <xf numFmtId="1" fontId="2" fillId="8" borderId="4" xfId="0" applyNumberFormat="1" applyFont="1" applyFill="1" applyBorder="1"/>
    <xf numFmtId="0" fontId="6" fillId="2" borderId="1" xfId="0" applyFont="1" applyFill="1" applyBorder="1"/>
    <xf numFmtId="0" fontId="8" fillId="2" borderId="2" xfId="0" applyFont="1" applyFill="1" applyBorder="1"/>
    <xf numFmtId="3" fontId="2" fillId="9" borderId="11" xfId="0" applyNumberFormat="1" applyFont="1" applyFill="1" applyBorder="1" applyAlignment="1">
      <alignment horizontal="right"/>
    </xf>
    <xf numFmtId="0" fontId="0" fillId="2" borderId="12" xfId="0" applyFill="1" applyBorder="1"/>
    <xf numFmtId="3" fontId="2" fillId="3" borderId="13" xfId="0" applyNumberFormat="1" applyFont="1" applyFill="1" applyBorder="1" applyAlignment="1">
      <alignment horizontal="right"/>
    </xf>
    <xf numFmtId="0" fontId="10" fillId="2" borderId="0" xfId="0" applyFont="1" applyFill="1"/>
    <xf numFmtId="3" fontId="0" fillId="2" borderId="13" xfId="0" applyNumberFormat="1" applyFill="1" applyBorder="1" applyAlignment="1">
      <alignment horizontal="right"/>
    </xf>
    <xf numFmtId="0" fontId="7" fillId="2" borderId="3" xfId="0" applyFont="1" applyFill="1" applyBorder="1" applyAlignment="1">
      <alignment horizontal="left" indent="2"/>
    </xf>
    <xf numFmtId="3" fontId="0" fillId="2" borderId="3" xfId="0" applyNumberFormat="1" applyFill="1" applyBorder="1" applyAlignment="1">
      <alignment horizontal="right"/>
    </xf>
    <xf numFmtId="0" fontId="2" fillId="2" borderId="11" xfId="0" applyFont="1" applyFill="1" applyBorder="1"/>
    <xf numFmtId="3" fontId="2" fillId="9" borderId="2" xfId="0" applyNumberFormat="1" applyFont="1" applyFill="1" applyBorder="1" applyAlignment="1">
      <alignment horizontal="right"/>
    </xf>
    <xf numFmtId="0" fontId="2" fillId="2" borderId="0" xfId="0" applyFont="1" applyFill="1"/>
    <xf numFmtId="3" fontId="2" fillId="3" borderId="12" xfId="0" applyNumberFormat="1" applyFont="1" applyFill="1" applyBorder="1" applyAlignment="1">
      <alignment horizontal="right"/>
    </xf>
    <xf numFmtId="0" fontId="7" fillId="2" borderId="14" xfId="0" applyFont="1" applyFill="1" applyBorder="1" applyAlignment="1">
      <alignment horizontal="left" indent="2"/>
    </xf>
    <xf numFmtId="0" fontId="10" fillId="2" borderId="14" xfId="0" applyFont="1" applyFill="1" applyBorder="1"/>
    <xf numFmtId="0" fontId="2" fillId="2" borderId="12" xfId="0" applyFont="1" applyFill="1" applyBorder="1"/>
    <xf numFmtId="3" fontId="0" fillId="2" borderId="0" xfId="1" applyNumberFormat="1" applyFont="1" applyFill="1" applyBorder="1" applyAlignment="1">
      <alignment horizontal="right"/>
    </xf>
    <xf numFmtId="0" fontId="10" fillId="2" borderId="3" xfId="0" applyFont="1" applyFill="1" applyBorder="1"/>
    <xf numFmtId="165" fontId="2" fillId="3" borderId="13" xfId="0" applyNumberFormat="1" applyFont="1" applyFill="1" applyBorder="1" applyAlignment="1">
      <alignment horizontal="right"/>
    </xf>
    <xf numFmtId="165" fontId="0" fillId="2" borderId="0" xfId="0" applyNumberFormat="1" applyFill="1" applyAlignment="1">
      <alignment horizontal="right"/>
    </xf>
    <xf numFmtId="165" fontId="0" fillId="2" borderId="13" xfId="0" applyNumberFormat="1" applyFill="1" applyBorder="1" applyAlignment="1">
      <alignment horizontal="right"/>
    </xf>
    <xf numFmtId="165" fontId="0" fillId="2" borderId="3" xfId="0" applyNumberFormat="1" applyFill="1" applyBorder="1" applyAlignment="1">
      <alignment horizontal="right"/>
    </xf>
    <xf numFmtId="165" fontId="2" fillId="3" borderId="12" xfId="0" applyNumberFormat="1" applyFont="1" applyFill="1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65" fontId="0" fillId="2" borderId="3" xfId="1" applyNumberFormat="1" applyFont="1" applyFill="1" applyBorder="1" applyAlignment="1">
      <alignment horizontal="right"/>
    </xf>
    <xf numFmtId="165" fontId="0" fillId="2" borderId="2" xfId="0" applyNumberFormat="1" applyFill="1" applyBorder="1" applyAlignment="1">
      <alignment horizontal="right"/>
    </xf>
    <xf numFmtId="1" fontId="2" fillId="2" borderId="0" xfId="0" applyNumberFormat="1" applyFont="1" applyFill="1" applyAlignment="1">
      <alignment horizontal="right"/>
    </xf>
    <xf numFmtId="0" fontId="2" fillId="2" borderId="1" xfId="0" applyFont="1" applyFill="1" applyBorder="1" applyAlignment="1">
      <alignment horizontal="right" wrapText="1" shrinkToFit="1"/>
    </xf>
    <xf numFmtId="164" fontId="20" fillId="2" borderId="0" xfId="0" applyNumberFormat="1" applyFont="1" applyFill="1"/>
    <xf numFmtId="1" fontId="20" fillId="2" borderId="0" xfId="0" applyNumberFormat="1" applyFont="1" applyFill="1"/>
    <xf numFmtId="1" fontId="2" fillId="2" borderId="0" xfId="0" applyNumberFormat="1" applyFont="1" applyFill="1"/>
    <xf numFmtId="1" fontId="11" fillId="2" borderId="0" xfId="0" applyNumberFormat="1" applyFont="1" applyFill="1"/>
    <xf numFmtId="0" fontId="16" fillId="2" borderId="0" xfId="0" applyFont="1" applyFill="1"/>
    <xf numFmtId="1" fontId="11" fillId="2" borderId="0" xfId="0" applyNumberFormat="1" applyFont="1" applyFill="1" applyAlignment="1">
      <alignment horizontal="right"/>
    </xf>
    <xf numFmtId="1" fontId="2" fillId="2" borderId="16" xfId="0" applyNumberFormat="1" applyFont="1" applyFill="1" applyBorder="1" applyAlignment="1">
      <alignment horizontal="right"/>
    </xf>
    <xf numFmtId="1" fontId="2" fillId="3" borderId="9" xfId="0" applyNumberFormat="1" applyFont="1" applyFill="1" applyBorder="1" applyAlignment="1">
      <alignment horizontal="right"/>
    </xf>
    <xf numFmtId="1" fontId="2" fillId="3" borderId="10" xfId="0" applyNumberFormat="1" applyFont="1" applyFill="1" applyBorder="1" applyAlignment="1">
      <alignment horizontal="right"/>
    </xf>
    <xf numFmtId="1" fontId="0" fillId="2" borderId="6" xfId="0" applyNumberFormat="1" applyFill="1" applyBorder="1" applyAlignment="1">
      <alignment horizontal="right"/>
    </xf>
    <xf numFmtId="1" fontId="2" fillId="3" borderId="16" xfId="0" applyNumberFormat="1" applyFont="1" applyFill="1" applyBorder="1" applyAlignment="1">
      <alignment horizontal="right"/>
    </xf>
    <xf numFmtId="1" fontId="0" fillId="2" borderId="9" xfId="0" applyNumberFormat="1" applyFill="1" applyBorder="1" applyAlignment="1">
      <alignment horizontal="right"/>
    </xf>
    <xf numFmtId="1" fontId="0" fillId="2" borderId="10" xfId="0" applyNumberFormat="1" applyFill="1" applyBorder="1" applyAlignment="1">
      <alignment horizontal="right"/>
    </xf>
    <xf numFmtId="1" fontId="2" fillId="4" borderId="16" xfId="0" applyNumberFormat="1" applyFont="1" applyFill="1" applyBorder="1"/>
    <xf numFmtId="1" fontId="2" fillId="2" borderId="4" xfId="0" applyNumberFormat="1" applyFont="1" applyFill="1" applyBorder="1" applyAlignment="1">
      <alignment horizontal="right"/>
    </xf>
    <xf numFmtId="0" fontId="2" fillId="2" borderId="16" xfId="0" applyFont="1" applyFill="1" applyBorder="1" applyAlignment="1">
      <alignment horizontal="right"/>
    </xf>
    <xf numFmtId="0" fontId="2" fillId="2" borderId="15" xfId="0" applyFont="1" applyFill="1" applyBorder="1" applyAlignment="1">
      <alignment horizontal="right"/>
    </xf>
    <xf numFmtId="1" fontId="2" fillId="3" borderId="17" xfId="0" applyNumberFormat="1" applyFont="1" applyFill="1" applyBorder="1" applyAlignment="1">
      <alignment horizontal="right"/>
    </xf>
    <xf numFmtId="1" fontId="0" fillId="2" borderId="18" xfId="0" applyNumberFormat="1" applyFill="1" applyBorder="1" applyAlignment="1">
      <alignment horizontal="right"/>
    </xf>
    <xf numFmtId="1" fontId="2" fillId="3" borderId="15" xfId="0" applyNumberFormat="1" applyFont="1" applyFill="1" applyBorder="1" applyAlignment="1">
      <alignment horizontal="right"/>
    </xf>
    <xf numFmtId="1" fontId="0" fillId="2" borderId="17" xfId="0" applyNumberFormat="1" applyFill="1" applyBorder="1" applyAlignment="1">
      <alignment horizontal="right"/>
    </xf>
    <xf numFmtId="1" fontId="2" fillId="4" borderId="15" xfId="0" applyNumberFormat="1" applyFont="1" applyFill="1" applyBorder="1"/>
    <xf numFmtId="3" fontId="2" fillId="9" borderId="19" xfId="0" applyNumberFormat="1" applyFont="1" applyFill="1" applyBorder="1" applyAlignment="1">
      <alignment horizontal="right"/>
    </xf>
    <xf numFmtId="3" fontId="2" fillId="9" borderId="20" xfId="0" applyNumberFormat="1" applyFont="1" applyFill="1" applyBorder="1" applyAlignment="1">
      <alignment horizontal="right"/>
    </xf>
    <xf numFmtId="3" fontId="0" fillId="2" borderId="5" xfId="0" applyNumberFormat="1" applyFill="1" applyBorder="1" applyAlignment="1">
      <alignment horizontal="right"/>
    </xf>
    <xf numFmtId="3" fontId="0" fillId="2" borderId="6" xfId="0" applyNumberFormat="1" applyFill="1" applyBorder="1" applyAlignment="1">
      <alignment horizontal="right"/>
    </xf>
    <xf numFmtId="3" fontId="2" fillId="9" borderId="7" xfId="0" applyNumberFormat="1" applyFont="1" applyFill="1" applyBorder="1" applyAlignment="1">
      <alignment horizontal="right"/>
    </xf>
    <xf numFmtId="3" fontId="2" fillId="9" borderId="25" xfId="0" applyNumberFormat="1" applyFont="1" applyFill="1" applyBorder="1" applyAlignment="1">
      <alignment horizontal="right"/>
    </xf>
    <xf numFmtId="3" fontId="0" fillId="2" borderId="18" xfId="0" applyNumberFormat="1" applyFill="1" applyBorder="1" applyAlignment="1">
      <alignment horizontal="right"/>
    </xf>
    <xf numFmtId="3" fontId="2" fillId="3" borderId="9" xfId="0" applyNumberFormat="1" applyFont="1" applyFill="1" applyBorder="1" applyAlignment="1">
      <alignment horizontal="right"/>
    </xf>
    <xf numFmtId="3" fontId="2" fillId="3" borderId="10" xfId="0" applyNumberFormat="1" applyFont="1" applyFill="1" applyBorder="1" applyAlignment="1">
      <alignment horizontal="right"/>
    </xf>
    <xf numFmtId="165" fontId="0" fillId="2" borderId="8" xfId="0" applyNumberFormat="1" applyFill="1" applyBorder="1" applyAlignment="1">
      <alignment horizontal="right"/>
    </xf>
    <xf numFmtId="165" fontId="0" fillId="2" borderId="7" xfId="0" applyNumberFormat="1" applyFill="1" applyBorder="1" applyAlignment="1">
      <alignment horizontal="right"/>
    </xf>
    <xf numFmtId="165" fontId="0" fillId="2" borderId="5" xfId="0" applyNumberFormat="1" applyFill="1" applyBorder="1" applyAlignment="1">
      <alignment horizontal="right"/>
    </xf>
    <xf numFmtId="165" fontId="0" fillId="2" borderId="6" xfId="0" applyNumberFormat="1" applyFill="1" applyBorder="1" applyAlignment="1">
      <alignment horizontal="right"/>
    </xf>
    <xf numFmtId="165" fontId="0" fillId="2" borderId="9" xfId="0" applyNumberFormat="1" applyFill="1" applyBorder="1" applyAlignment="1">
      <alignment horizontal="right"/>
    </xf>
    <xf numFmtId="165" fontId="0" fillId="2" borderId="10" xfId="0" applyNumberFormat="1" applyFill="1" applyBorder="1" applyAlignment="1">
      <alignment horizontal="right"/>
    </xf>
    <xf numFmtId="3" fontId="2" fillId="3" borderId="17" xfId="0" applyNumberFormat="1" applyFont="1" applyFill="1" applyBorder="1" applyAlignment="1">
      <alignment horizontal="right"/>
    </xf>
    <xf numFmtId="165" fontId="0" fillId="2" borderId="27" xfId="0" applyNumberFormat="1" applyFill="1" applyBorder="1" applyAlignment="1">
      <alignment horizontal="right"/>
    </xf>
    <xf numFmtId="165" fontId="0" fillId="2" borderId="18" xfId="0" applyNumberFormat="1" applyFill="1" applyBorder="1" applyAlignment="1">
      <alignment horizontal="right"/>
    </xf>
    <xf numFmtId="165" fontId="0" fillId="2" borderId="17" xfId="0" applyNumberFormat="1" applyFill="1" applyBorder="1" applyAlignment="1">
      <alignment horizontal="right"/>
    </xf>
    <xf numFmtId="165" fontId="2" fillId="3" borderId="26" xfId="0" applyNumberFormat="1" applyFont="1" applyFill="1" applyBorder="1" applyAlignment="1">
      <alignment horizontal="right"/>
    </xf>
    <xf numFmtId="165" fontId="0" fillId="2" borderId="26" xfId="0" applyNumberFormat="1" applyFill="1" applyBorder="1" applyAlignment="1">
      <alignment horizontal="right"/>
    </xf>
    <xf numFmtId="165" fontId="2" fillId="3" borderId="28" xfId="0" applyNumberFormat="1" applyFont="1" applyFill="1" applyBorder="1" applyAlignment="1">
      <alignment horizontal="right"/>
    </xf>
    <xf numFmtId="165" fontId="0" fillId="2" borderId="18" xfId="1" applyNumberFormat="1" applyFont="1" applyFill="1" applyBorder="1" applyAlignment="1">
      <alignment horizontal="right"/>
    </xf>
    <xf numFmtId="165" fontId="0" fillId="2" borderId="17" xfId="1" applyNumberFormat="1" applyFont="1" applyFill="1" applyBorder="1" applyAlignment="1">
      <alignment horizontal="right"/>
    </xf>
    <xf numFmtId="165" fontId="2" fillId="3" borderId="21" xfId="0" applyNumberFormat="1" applyFont="1" applyFill="1" applyBorder="1" applyAlignment="1">
      <alignment horizontal="right"/>
    </xf>
    <xf numFmtId="165" fontId="2" fillId="3" borderId="22" xfId="0" applyNumberFormat="1" applyFont="1" applyFill="1" applyBorder="1" applyAlignment="1">
      <alignment horizontal="right"/>
    </xf>
    <xf numFmtId="165" fontId="0" fillId="2" borderId="21" xfId="0" applyNumberFormat="1" applyFill="1" applyBorder="1" applyAlignment="1">
      <alignment horizontal="right"/>
    </xf>
    <xf numFmtId="165" fontId="0" fillId="2" borderId="22" xfId="0" applyNumberFormat="1" applyFill="1" applyBorder="1" applyAlignment="1">
      <alignment horizontal="right"/>
    </xf>
    <xf numFmtId="165" fontId="2" fillId="3" borderId="23" xfId="0" applyNumberFormat="1" applyFont="1" applyFill="1" applyBorder="1" applyAlignment="1">
      <alignment horizontal="right"/>
    </xf>
    <xf numFmtId="165" fontId="2" fillId="3" borderId="24" xfId="0" applyNumberFormat="1" applyFont="1" applyFill="1" applyBorder="1" applyAlignment="1">
      <alignment horizontal="right"/>
    </xf>
    <xf numFmtId="165" fontId="0" fillId="2" borderId="5" xfId="1" applyNumberFormat="1" applyFont="1" applyFill="1" applyBorder="1" applyAlignment="1">
      <alignment horizontal="right"/>
    </xf>
    <xf numFmtId="165" fontId="0" fillId="2" borderId="6" xfId="1" applyNumberFormat="1" applyFont="1" applyFill="1" applyBorder="1" applyAlignment="1">
      <alignment horizontal="right"/>
    </xf>
    <xf numFmtId="165" fontId="0" fillId="2" borderId="9" xfId="1" applyNumberFormat="1" applyFont="1" applyFill="1" applyBorder="1" applyAlignment="1">
      <alignment horizontal="right"/>
    </xf>
    <xf numFmtId="165" fontId="0" fillId="2" borderId="10" xfId="1" applyNumberFormat="1" applyFont="1" applyFill="1" applyBorder="1" applyAlignment="1">
      <alignment horizontal="right"/>
    </xf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0" fillId="0" borderId="32" xfId="0" applyBorder="1"/>
    <xf numFmtId="165" fontId="0" fillId="0" borderId="0" xfId="0" applyNumberFormat="1"/>
    <xf numFmtId="165" fontId="0" fillId="0" borderId="33" xfId="0" applyNumberFormat="1" applyBorder="1"/>
    <xf numFmtId="0" fontId="0" fillId="0" borderId="34" xfId="0" applyBorder="1"/>
    <xf numFmtId="165" fontId="0" fillId="0" borderId="35" xfId="0" applyNumberFormat="1" applyBorder="1"/>
    <xf numFmtId="0" fontId="2" fillId="2" borderId="4" xfId="0" applyFont="1" applyFill="1" applyBorder="1" applyAlignment="1">
      <alignment horizontal="right" wrapText="1" shrinkToFit="1"/>
    </xf>
    <xf numFmtId="1" fontId="11" fillId="5" borderId="15" xfId="0" applyNumberFormat="1" applyFont="1" applyFill="1" applyBorder="1" applyAlignment="1">
      <alignment horizontal="right"/>
    </xf>
    <xf numFmtId="1" fontId="16" fillId="2" borderId="5" xfId="0" applyNumberFormat="1" applyFont="1" applyFill="1" applyBorder="1" applyAlignment="1">
      <alignment horizontal="right"/>
    </xf>
    <xf numFmtId="1" fontId="11" fillId="6" borderId="15" xfId="0" applyNumberFormat="1" applyFont="1" applyFill="1" applyBorder="1"/>
    <xf numFmtId="0" fontId="12" fillId="2" borderId="4" xfId="0" applyFont="1" applyFill="1" applyBorder="1"/>
    <xf numFmtId="0" fontId="0" fillId="0" borderId="2" xfId="0" applyBorder="1"/>
    <xf numFmtId="1" fontId="2" fillId="3" borderId="4" xfId="0" applyNumberFormat="1" applyFont="1" applyFill="1" applyBorder="1" applyAlignment="1">
      <alignment horizontal="left"/>
    </xf>
    <xf numFmtId="0" fontId="7" fillId="2" borderId="8" xfId="0" applyFont="1" applyFill="1" applyBorder="1" applyAlignment="1">
      <alignment horizontal="left" indent="2"/>
    </xf>
    <xf numFmtId="0" fontId="7" fillId="2" borderId="5" xfId="0" applyFont="1" applyFill="1" applyBorder="1" applyAlignment="1">
      <alignment horizontal="left" indent="2"/>
    </xf>
    <xf numFmtId="1" fontId="2" fillId="5" borderId="4" xfId="0" applyNumberFormat="1" applyFont="1" applyFill="1" applyBorder="1" applyAlignment="1">
      <alignment horizontal="left"/>
    </xf>
    <xf numFmtId="1" fontId="2" fillId="6" borderId="4" xfId="0" applyNumberFormat="1" applyFont="1" applyFill="1" applyBorder="1"/>
    <xf numFmtId="0" fontId="2" fillId="10" borderId="0" xfId="0" applyFont="1" applyFill="1"/>
    <xf numFmtId="0" fontId="22" fillId="2" borderId="0" xfId="4" applyFill="1" applyBorder="1"/>
    <xf numFmtId="166" fontId="2" fillId="9" borderId="2" xfId="0" applyNumberFormat="1" applyFont="1" applyFill="1" applyBorder="1" applyAlignment="1">
      <alignment horizontal="right"/>
    </xf>
    <xf numFmtId="9" fontId="2" fillId="3" borderId="23" xfId="0" applyNumberFormat="1" applyFont="1" applyFill="1" applyBorder="1" applyAlignment="1">
      <alignment horizontal="right"/>
    </xf>
    <xf numFmtId="0" fontId="5" fillId="0" borderId="4" xfId="0" applyFont="1" applyBorder="1"/>
    <xf numFmtId="0" fontId="2" fillId="2" borderId="5" xfId="0" applyFont="1" applyFill="1" applyBorder="1"/>
    <xf numFmtId="0" fontId="7" fillId="2" borderId="38" xfId="0" applyFont="1" applyFill="1" applyBorder="1" applyAlignment="1">
      <alignment vertical="center"/>
    </xf>
    <xf numFmtId="0" fontId="7" fillId="2" borderId="5" xfId="0" applyFont="1" applyFill="1" applyBorder="1" applyAlignment="1">
      <alignment vertical="center"/>
    </xf>
    <xf numFmtId="0" fontId="22" fillId="0" borderId="9" xfId="4" applyBorder="1"/>
    <xf numFmtId="0" fontId="3" fillId="10" borderId="0" xfId="0" applyFont="1" applyFill="1"/>
    <xf numFmtId="1" fontId="2" fillId="7" borderId="4" xfId="0" applyNumberFormat="1" applyFont="1" applyFill="1" applyBorder="1" applyAlignment="1">
      <alignment horizontal="left"/>
    </xf>
    <xf numFmtId="1" fontId="2" fillId="7" borderId="15" xfId="0" applyNumberFormat="1" applyFont="1" applyFill="1" applyBorder="1" applyAlignment="1">
      <alignment horizontal="right"/>
    </xf>
    <xf numFmtId="0" fontId="22" fillId="2" borderId="0" xfId="4" applyFill="1"/>
    <xf numFmtId="1" fontId="22" fillId="2" borderId="0" xfId="4" applyNumberFormat="1" applyFill="1"/>
    <xf numFmtId="2" fontId="2" fillId="2" borderId="0" xfId="0" applyNumberFormat="1" applyFont="1" applyFill="1"/>
    <xf numFmtId="1" fontId="2" fillId="8" borderId="15" xfId="0" applyNumberFormat="1" applyFont="1" applyFill="1" applyBorder="1"/>
    <xf numFmtId="0" fontId="0" fillId="2" borderId="4" xfId="0" applyFill="1" applyBorder="1"/>
    <xf numFmtId="0" fontId="2" fillId="2" borderId="4" xfId="0" applyFont="1" applyFill="1" applyBorder="1"/>
    <xf numFmtId="0" fontId="23" fillId="2" borderId="4" xfId="0" applyFont="1" applyFill="1" applyBorder="1" applyAlignment="1">
      <alignment horizontal="left" vertical="center" wrapText="1"/>
    </xf>
    <xf numFmtId="0" fontId="24" fillId="2" borderId="0" xfId="0" applyFont="1" applyFill="1"/>
    <xf numFmtId="0" fontId="25" fillId="2" borderId="0" xfId="0" applyFont="1" applyFill="1"/>
    <xf numFmtId="0" fontId="22" fillId="0" borderId="0" xfId="4" applyFill="1" applyBorder="1"/>
    <xf numFmtId="9" fontId="22" fillId="0" borderId="0" xfId="4" applyNumberFormat="1" applyFill="1" applyBorder="1"/>
    <xf numFmtId="0" fontId="2" fillId="2" borderId="19" xfId="0" applyFont="1" applyFill="1" applyBorder="1"/>
    <xf numFmtId="166" fontId="2" fillId="9" borderId="7" xfId="0" applyNumberFormat="1" applyFont="1" applyFill="1" applyBorder="1" applyAlignment="1">
      <alignment horizontal="right"/>
    </xf>
    <xf numFmtId="9" fontId="2" fillId="3" borderId="28" xfId="0" applyNumberFormat="1" applyFont="1" applyFill="1" applyBorder="1" applyAlignment="1">
      <alignment horizontal="right"/>
    </xf>
    <xf numFmtId="0" fontId="2" fillId="2" borderId="9" xfId="0" applyFont="1" applyFill="1" applyBorder="1"/>
    <xf numFmtId="9" fontId="2" fillId="3" borderId="39" xfId="0" applyNumberFormat="1" applyFont="1" applyFill="1" applyBorder="1" applyAlignment="1">
      <alignment horizontal="right"/>
    </xf>
    <xf numFmtId="9" fontId="2" fillId="3" borderId="40" xfId="0" applyNumberFormat="1" applyFont="1" applyFill="1" applyBorder="1" applyAlignment="1">
      <alignment horizontal="right"/>
    </xf>
    <xf numFmtId="9" fontId="2" fillId="3" borderId="21" xfId="0" applyNumberFormat="1" applyFont="1" applyFill="1" applyBorder="1" applyAlignment="1">
      <alignment horizontal="center"/>
    </xf>
    <xf numFmtId="9" fontId="2" fillId="3" borderId="26" xfId="0" applyNumberFormat="1" applyFont="1" applyFill="1" applyBorder="1" applyAlignment="1">
      <alignment horizontal="center"/>
    </xf>
    <xf numFmtId="9" fontId="0" fillId="2" borderId="18" xfId="0" applyNumberFormat="1" applyFill="1" applyBorder="1" applyAlignment="1">
      <alignment vertical="center"/>
    </xf>
    <xf numFmtId="9" fontId="0" fillId="2" borderId="37" xfId="0" applyNumberFormat="1" applyFill="1" applyBorder="1" applyAlignment="1">
      <alignment vertical="center"/>
    </xf>
    <xf numFmtId="9" fontId="22" fillId="2" borderId="17" xfId="4" applyNumberFormat="1" applyFill="1" applyBorder="1" applyAlignment="1">
      <alignment vertical="center"/>
    </xf>
    <xf numFmtId="0" fontId="12" fillId="2" borderId="1" xfId="0" applyFont="1" applyFill="1" applyBorder="1"/>
    <xf numFmtId="1" fontId="2" fillId="7" borderId="1" xfId="0" applyNumberFormat="1" applyFont="1" applyFill="1" applyBorder="1" applyAlignment="1">
      <alignment horizontal="left"/>
    </xf>
    <xf numFmtId="1" fontId="22" fillId="2" borderId="0" xfId="4" applyNumberFormat="1" applyFill="1" applyBorder="1"/>
    <xf numFmtId="1" fontId="22" fillId="2" borderId="0" xfId="4" applyNumberFormat="1" applyFill="1" applyBorder="1" applyAlignment="1">
      <alignment horizontal="right"/>
    </xf>
    <xf numFmtId="1" fontId="2" fillId="2" borderId="15" xfId="0" applyNumberFormat="1" applyFont="1" applyFill="1" applyBorder="1" applyAlignment="1">
      <alignment horizontal="right"/>
    </xf>
    <xf numFmtId="1" fontId="2" fillId="2" borderId="3" xfId="0" applyNumberFormat="1" applyFont="1" applyFill="1" applyBorder="1" applyAlignment="1">
      <alignment horizontal="right"/>
    </xf>
    <xf numFmtId="1" fontId="0" fillId="0" borderId="0" xfId="0" applyNumberFormat="1" applyAlignment="1">
      <alignment vertical="center"/>
    </xf>
    <xf numFmtId="1" fontId="26" fillId="10" borderId="0" xfId="5" applyNumberFormat="1" applyFont="1" applyFill="1"/>
    <xf numFmtId="2" fontId="2" fillId="2" borderId="8" xfId="0" applyNumberFormat="1" applyFont="1" applyFill="1" applyBorder="1"/>
    <xf numFmtId="1" fontId="2" fillId="2" borderId="2" xfId="0" applyNumberFormat="1" applyFont="1" applyFill="1" applyBorder="1"/>
    <xf numFmtId="1" fontId="2" fillId="2" borderId="7" xfId="0" applyNumberFormat="1" applyFont="1" applyFill="1" applyBorder="1"/>
    <xf numFmtId="2" fontId="2" fillId="2" borderId="5" xfId="0" applyNumberFormat="1" applyFont="1" applyFill="1" applyBorder="1"/>
    <xf numFmtId="2" fontId="2" fillId="2" borderId="9" xfId="0" applyNumberFormat="1" applyFont="1" applyFill="1" applyBorder="1"/>
    <xf numFmtId="1" fontId="0" fillId="2" borderId="3" xfId="0" applyNumberFormat="1" applyFill="1" applyBorder="1"/>
    <xf numFmtId="2" fontId="22" fillId="2" borderId="0" xfId="4" applyNumberFormat="1" applyFill="1" applyBorder="1"/>
    <xf numFmtId="9" fontId="0" fillId="2" borderId="0" xfId="0" applyNumberFormat="1" applyFill="1" applyAlignment="1">
      <alignment horizontal="right"/>
    </xf>
    <xf numFmtId="9" fontId="0" fillId="2" borderId="6" xfId="0" applyNumberFormat="1" applyFill="1" applyBorder="1" applyAlignment="1">
      <alignment horizontal="right"/>
    </xf>
    <xf numFmtId="9" fontId="0" fillId="2" borderId="3" xfId="0" applyNumberFormat="1" applyFill="1" applyBorder="1" applyAlignment="1">
      <alignment horizontal="right"/>
    </xf>
    <xf numFmtId="9" fontId="0" fillId="2" borderId="10" xfId="0" applyNumberFormat="1" applyFill="1" applyBorder="1" applyAlignment="1">
      <alignment horizontal="right"/>
    </xf>
    <xf numFmtId="9" fontId="22" fillId="2" borderId="0" xfId="4" applyNumberFormat="1" applyFill="1" applyBorder="1" applyAlignment="1">
      <alignment horizontal="right"/>
    </xf>
    <xf numFmtId="165" fontId="2" fillId="2" borderId="0" xfId="1" applyNumberFormat="1" applyFont="1" applyFill="1" applyBorder="1"/>
    <xf numFmtId="2" fontId="2" fillId="2" borderId="0" xfId="0" applyNumberFormat="1" applyFont="1" applyFill="1" applyAlignment="1">
      <alignment horizontal="right"/>
    </xf>
    <xf numFmtId="165" fontId="2" fillId="2" borderId="0" xfId="1" applyNumberFormat="1" applyFont="1" applyFill="1" applyBorder="1" applyAlignment="1">
      <alignment horizontal="right"/>
    </xf>
    <xf numFmtId="1" fontId="13" fillId="2" borderId="0" xfId="0" applyNumberFormat="1" applyFont="1" applyFill="1"/>
    <xf numFmtId="164" fontId="14" fillId="2" borderId="0" xfId="0" applyNumberFormat="1" applyFont="1" applyFill="1"/>
    <xf numFmtId="11" fontId="0" fillId="2" borderId="0" xfId="0" applyNumberFormat="1" applyFill="1"/>
    <xf numFmtId="3" fontId="0" fillId="2" borderId="0" xfId="0" applyNumberFormat="1" applyFill="1"/>
    <xf numFmtId="3" fontId="2" fillId="3" borderId="22" xfId="0" applyNumberFormat="1" applyFont="1" applyFill="1" applyBorder="1" applyAlignment="1">
      <alignment horizontal="right"/>
    </xf>
    <xf numFmtId="3" fontId="0" fillId="2" borderId="22" xfId="0" applyNumberFormat="1" applyFill="1" applyBorder="1" applyAlignment="1">
      <alignment horizontal="right"/>
    </xf>
    <xf numFmtId="3" fontId="0" fillId="2" borderId="10" xfId="0" applyNumberFormat="1" applyFill="1" applyBorder="1" applyAlignment="1">
      <alignment horizontal="right"/>
    </xf>
    <xf numFmtId="0" fontId="8" fillId="2" borderId="27" xfId="0" applyFont="1" applyFill="1" applyBorder="1"/>
    <xf numFmtId="0" fontId="0" fillId="2" borderId="28" xfId="0" applyFill="1" applyBorder="1"/>
    <xf numFmtId="0" fontId="7" fillId="2" borderId="18" xfId="0" applyFont="1" applyFill="1" applyBorder="1" applyAlignment="1">
      <alignment horizontal="left" indent="2"/>
    </xf>
    <xf numFmtId="0" fontId="7" fillId="2" borderId="17" xfId="0" applyFont="1" applyFill="1" applyBorder="1" applyAlignment="1">
      <alignment horizontal="left" indent="2"/>
    </xf>
    <xf numFmtId="0" fontId="2" fillId="2" borderId="25" xfId="0" applyFont="1" applyFill="1" applyBorder="1"/>
    <xf numFmtId="0" fontId="2" fillId="2" borderId="18" xfId="0" applyFont="1" applyFill="1" applyBorder="1"/>
    <xf numFmtId="0" fontId="7" fillId="2" borderId="37" xfId="0" applyFont="1" applyFill="1" applyBorder="1" applyAlignment="1">
      <alignment horizontal="left" indent="2"/>
    </xf>
    <xf numFmtId="0" fontId="2" fillId="2" borderId="28" xfId="0" applyFont="1" applyFill="1" applyBorder="1"/>
    <xf numFmtId="3" fontId="0" fillId="2" borderId="3" xfId="1" applyNumberFormat="1" applyFont="1" applyFill="1" applyBorder="1" applyAlignment="1">
      <alignment horizontal="right"/>
    </xf>
    <xf numFmtId="3" fontId="2" fillId="3" borderId="24" xfId="0" applyNumberFormat="1" applyFont="1" applyFill="1" applyBorder="1" applyAlignment="1">
      <alignment horizontal="right"/>
    </xf>
    <xf numFmtId="3" fontId="0" fillId="2" borderId="6" xfId="1" applyNumberFormat="1" applyFont="1" applyFill="1" applyBorder="1" applyAlignment="1">
      <alignment horizontal="right"/>
    </xf>
    <xf numFmtId="3" fontId="0" fillId="2" borderId="10" xfId="1" applyNumberFormat="1" applyFont="1" applyFill="1" applyBorder="1" applyAlignment="1">
      <alignment horizontal="right"/>
    </xf>
    <xf numFmtId="0" fontId="9" fillId="2" borderId="0" xfId="0" applyFont="1" applyFill="1"/>
    <xf numFmtId="0" fontId="2" fillId="2" borderId="6" xfId="0" applyFont="1" applyFill="1" applyBorder="1"/>
    <xf numFmtId="0" fontId="0" fillId="2" borderId="6" xfId="0" applyFill="1" applyBorder="1"/>
    <xf numFmtId="9" fontId="22" fillId="2" borderId="0" xfId="4" applyNumberFormat="1" applyFill="1"/>
    <xf numFmtId="165" fontId="0" fillId="2" borderId="0" xfId="0" applyNumberFormat="1" applyFill="1"/>
    <xf numFmtId="3" fontId="2" fillId="3" borderId="15" xfId="0" applyNumberFormat="1" applyFont="1" applyFill="1" applyBorder="1" applyAlignment="1">
      <alignment horizontal="right"/>
    </xf>
    <xf numFmtId="1" fontId="26" fillId="10" borderId="0" xfId="5" applyNumberFormat="1" applyFont="1" applyFill="1" applyAlignment="1">
      <alignment horizontal="left" vertical="center" wrapText="1"/>
    </xf>
    <xf numFmtId="0" fontId="27" fillId="11" borderId="0" xfId="0" applyFont="1" applyFill="1"/>
    <xf numFmtId="0" fontId="27" fillId="11" borderId="3" xfId="0" applyFont="1" applyFill="1" applyBorder="1"/>
    <xf numFmtId="0" fontId="6" fillId="0" borderId="4" xfId="0" applyFont="1" applyBorder="1"/>
    <xf numFmtId="0" fontId="6" fillId="2" borderId="4" xfId="0" applyFont="1" applyFill="1" applyBorder="1"/>
    <xf numFmtId="0" fontId="2" fillId="10" borderId="0" xfId="0" applyFont="1" applyFill="1" applyAlignment="1">
      <alignment horizontal="center" vertical="center"/>
    </xf>
    <xf numFmtId="0" fontId="11" fillId="11" borderId="15" xfId="0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12" borderId="16" xfId="0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0" borderId="18" xfId="0" applyFont="1" applyBorder="1"/>
    <xf numFmtId="3" fontId="2" fillId="2" borderId="5" xfId="0" applyNumberFormat="1" applyFont="1" applyFill="1" applyBorder="1"/>
    <xf numFmtId="3" fontId="2" fillId="2" borderId="0" xfId="0" applyNumberFormat="1" applyFont="1" applyFill="1"/>
    <xf numFmtId="3" fontId="2" fillId="2" borderId="7" xfId="0" applyNumberFormat="1" applyFont="1" applyFill="1" applyBorder="1"/>
    <xf numFmtId="0" fontId="0" fillId="0" borderId="15" xfId="0" applyBorder="1"/>
    <xf numFmtId="3" fontId="0" fillId="2" borderId="4" xfId="0" applyNumberFormat="1" applyFill="1" applyBorder="1"/>
    <xf numFmtId="3" fontId="0" fillId="2" borderId="1" xfId="0" applyNumberFormat="1" applyFill="1" applyBorder="1"/>
    <xf numFmtId="3" fontId="0" fillId="2" borderId="16" xfId="0" applyNumberFormat="1" applyFill="1" applyBorder="1"/>
    <xf numFmtId="3" fontId="0" fillId="0" borderId="0" xfId="0" applyNumberFormat="1"/>
    <xf numFmtId="0" fontId="0" fillId="0" borderId="27" xfId="0" applyBorder="1"/>
    <xf numFmtId="3" fontId="0" fillId="2" borderId="8" xfId="0" applyNumberFormat="1" applyFill="1" applyBorder="1"/>
    <xf numFmtId="3" fontId="0" fillId="2" borderId="2" xfId="0" applyNumberFormat="1" applyFill="1" applyBorder="1"/>
    <xf numFmtId="3" fontId="0" fillId="2" borderId="7" xfId="0" applyNumberFormat="1" applyFill="1" applyBorder="1"/>
    <xf numFmtId="0" fontId="0" fillId="0" borderId="18" xfId="0" applyBorder="1"/>
    <xf numFmtId="3" fontId="0" fillId="2" borderId="5" xfId="0" applyNumberFormat="1" applyFill="1" applyBorder="1"/>
    <xf numFmtId="3" fontId="0" fillId="2" borderId="6" xfId="0" applyNumberFormat="1" applyFill="1" applyBorder="1"/>
    <xf numFmtId="0" fontId="0" fillId="0" borderId="17" xfId="0" applyBorder="1"/>
    <xf numFmtId="3" fontId="0" fillId="2" borderId="9" xfId="0" applyNumberFormat="1" applyFill="1" applyBorder="1"/>
    <xf numFmtId="3" fontId="0" fillId="2" borderId="3" xfId="0" applyNumberFormat="1" applyFill="1" applyBorder="1"/>
    <xf numFmtId="3" fontId="0" fillId="2" borderId="10" xfId="0" applyNumberFormat="1" applyFill="1" applyBorder="1"/>
    <xf numFmtId="167" fontId="0" fillId="2" borderId="0" xfId="0" applyNumberFormat="1" applyFill="1"/>
    <xf numFmtId="0" fontId="11" fillId="11" borderId="15" xfId="0" applyFont="1" applyFill="1" applyBorder="1" applyAlignment="1">
      <alignment horizontal="center" vertical="center" wrapText="1"/>
    </xf>
    <xf numFmtId="0" fontId="0" fillId="0" borderId="5" xfId="0" applyBorder="1" applyAlignment="1">
      <alignment vertical="center"/>
    </xf>
    <xf numFmtId="0" fontId="0" fillId="0" borderId="5" xfId="0" applyBorder="1"/>
    <xf numFmtId="0" fontId="2" fillId="5" borderId="41" xfId="0" applyFont="1" applyFill="1" applyBorder="1" applyAlignment="1">
      <alignment horizontal="center" vertical="center"/>
    </xf>
    <xf numFmtId="164" fontId="16" fillId="2" borderId="0" xfId="0" applyNumberFormat="1" applyFont="1" applyFill="1" applyAlignment="1">
      <alignment horizontal="right"/>
    </xf>
    <xf numFmtId="165" fontId="0" fillId="10" borderId="36" xfId="0" applyNumberFormat="1" applyFill="1" applyBorder="1"/>
    <xf numFmtId="1" fontId="0" fillId="0" borderId="0" xfId="0" applyNumberFormat="1" applyAlignment="1">
      <alignment horizontal="right"/>
    </xf>
    <xf numFmtId="0" fontId="13" fillId="0" borderId="0" xfId="0" applyFont="1"/>
    <xf numFmtId="0" fontId="16" fillId="0" borderId="0" xfId="0" applyFont="1"/>
    <xf numFmtId="1" fontId="2" fillId="13" borderId="4" xfId="0" applyNumberFormat="1" applyFont="1" applyFill="1" applyBorder="1" applyAlignment="1">
      <alignment horizontal="left"/>
    </xf>
    <xf numFmtId="0" fontId="0" fillId="13" borderId="0" xfId="0" applyFill="1"/>
    <xf numFmtId="164" fontId="2" fillId="13" borderId="1" xfId="0" applyNumberFormat="1" applyFont="1" applyFill="1" applyBorder="1" applyAlignment="1">
      <alignment horizontal="right"/>
    </xf>
    <xf numFmtId="164" fontId="2" fillId="13" borderId="15" xfId="0" applyNumberFormat="1" applyFont="1" applyFill="1" applyBorder="1" applyAlignment="1">
      <alignment horizontal="right"/>
    </xf>
    <xf numFmtId="164" fontId="0" fillId="2" borderId="18" xfId="0" applyNumberFormat="1" applyFill="1" applyBorder="1" applyAlignment="1">
      <alignment horizontal="right"/>
    </xf>
    <xf numFmtId="1" fontId="2" fillId="14" borderId="4" xfId="0" applyNumberFormat="1" applyFont="1" applyFill="1" applyBorder="1"/>
    <xf numFmtId="0" fontId="0" fillId="14" borderId="3" xfId="0" applyFill="1" applyBorder="1"/>
    <xf numFmtId="164" fontId="2" fillId="14" borderId="1" xfId="0" applyNumberFormat="1" applyFont="1" applyFill="1" applyBorder="1"/>
    <xf numFmtId="164" fontId="2" fillId="14" borderId="15" xfId="0" applyNumberFormat="1" applyFont="1" applyFill="1" applyBorder="1"/>
    <xf numFmtId="164" fontId="11" fillId="13" borderId="4" xfId="0" quotePrefix="1" applyNumberFormat="1" applyFont="1" applyFill="1" applyBorder="1" applyAlignment="1">
      <alignment horizontal="right"/>
    </xf>
    <xf numFmtId="164" fontId="11" fillId="13" borderId="1" xfId="0" applyNumberFormat="1" applyFont="1" applyFill="1" applyBorder="1" applyAlignment="1">
      <alignment horizontal="right"/>
    </xf>
    <xf numFmtId="164" fontId="11" fillId="13" borderId="15" xfId="0" applyNumberFormat="1" applyFont="1" applyFill="1" applyBorder="1" applyAlignment="1">
      <alignment horizontal="right"/>
    </xf>
    <xf numFmtId="164" fontId="16" fillId="2" borderId="5" xfId="0" applyNumberFormat="1" applyFont="1" applyFill="1" applyBorder="1" applyAlignment="1">
      <alignment horizontal="right"/>
    </xf>
    <xf numFmtId="164" fontId="11" fillId="13" borderId="4" xfId="0" applyNumberFormat="1" applyFont="1" applyFill="1" applyBorder="1" applyAlignment="1">
      <alignment horizontal="right"/>
    </xf>
    <xf numFmtId="164" fontId="0" fillId="2" borderId="5" xfId="0" applyNumberFormat="1" applyFill="1" applyBorder="1" applyAlignment="1">
      <alignment horizontal="right"/>
    </xf>
    <xf numFmtId="164" fontId="11" fillId="14" borderId="4" xfId="0" applyNumberFormat="1" applyFont="1" applyFill="1" applyBorder="1"/>
    <xf numFmtId="164" fontId="11" fillId="14" borderId="1" xfId="0" applyNumberFormat="1" applyFont="1" applyFill="1" applyBorder="1"/>
    <xf numFmtId="164" fontId="11" fillId="14" borderId="15" xfId="0" applyNumberFormat="1" applyFont="1" applyFill="1" applyBorder="1"/>
    <xf numFmtId="164" fontId="2" fillId="3" borderId="1" xfId="0" applyNumberFormat="1" applyFont="1" applyFill="1" applyBorder="1" applyAlignment="1">
      <alignment horizontal="right"/>
    </xf>
    <xf numFmtId="0" fontId="21" fillId="2" borderId="0" xfId="0" applyFont="1" applyFill="1"/>
    <xf numFmtId="168" fontId="21" fillId="2" borderId="6" xfId="0" applyNumberFormat="1" applyFont="1" applyFill="1" applyBorder="1" applyAlignment="1">
      <alignment horizontal="right"/>
    </xf>
    <xf numFmtId="168" fontId="21" fillId="2" borderId="10" xfId="0" applyNumberFormat="1" applyFont="1" applyFill="1" applyBorder="1" applyAlignment="1">
      <alignment horizontal="right"/>
    </xf>
    <xf numFmtId="0" fontId="21" fillId="0" borderId="0" xfId="0" applyFont="1"/>
    <xf numFmtId="9" fontId="0" fillId="0" borderId="0" xfId="1" applyFont="1"/>
    <xf numFmtId="9" fontId="0" fillId="2" borderId="4" xfId="1" applyFont="1" applyFill="1" applyBorder="1"/>
    <xf numFmtId="9" fontId="0" fillId="2" borderId="2" xfId="1" applyFont="1" applyFill="1" applyBorder="1"/>
    <xf numFmtId="9" fontId="0" fillId="2" borderId="7" xfId="1" applyFont="1" applyFill="1" applyBorder="1"/>
    <xf numFmtId="9" fontId="0" fillId="0" borderId="0" xfId="0" applyNumberFormat="1"/>
    <xf numFmtId="9" fontId="0" fillId="2" borderId="0" xfId="1" applyFont="1" applyFill="1"/>
    <xf numFmtId="9" fontId="0" fillId="2" borderId="6" xfId="1" applyFont="1" applyFill="1" applyBorder="1"/>
    <xf numFmtId="9" fontId="0" fillId="2" borderId="3" xfId="1" applyFont="1" applyFill="1" applyBorder="1"/>
    <xf numFmtId="9" fontId="0" fillId="2" borderId="10" xfId="1" applyFont="1" applyFill="1" applyBorder="1"/>
    <xf numFmtId="9" fontId="0" fillId="2" borderId="1" xfId="1" applyFont="1" applyFill="1" applyBorder="1"/>
    <xf numFmtId="9" fontId="0" fillId="2" borderId="16" xfId="1" applyFont="1" applyFill="1" applyBorder="1"/>
    <xf numFmtId="9" fontId="2" fillId="0" borderId="0" xfId="0" applyNumberFormat="1" applyFont="1"/>
    <xf numFmtId="9" fontId="2" fillId="2" borderId="0" xfId="1" applyFont="1" applyFill="1"/>
    <xf numFmtId="165" fontId="0" fillId="0" borderId="0" xfId="1" applyNumberFormat="1" applyFont="1"/>
    <xf numFmtId="0" fontId="28" fillId="15" borderId="5" xfId="0" applyFont="1" applyFill="1" applyBorder="1" applyAlignment="1">
      <alignment horizontal="left" indent="2"/>
    </xf>
    <xf numFmtId="0" fontId="2" fillId="15" borderId="0" xfId="0" applyFont="1" applyFill="1"/>
    <xf numFmtId="1" fontId="2" fillId="15" borderId="0" xfId="0" applyNumberFormat="1" applyFont="1" applyFill="1" applyAlignment="1">
      <alignment horizontal="right"/>
    </xf>
    <xf numFmtId="1" fontId="2" fillId="15" borderId="18" xfId="0" applyNumberFormat="1" applyFont="1" applyFill="1" applyBorder="1" applyAlignment="1">
      <alignment horizontal="right"/>
    </xf>
    <xf numFmtId="164" fontId="2" fillId="3" borderId="15" xfId="0" applyNumberFormat="1" applyFont="1" applyFill="1" applyBorder="1" applyAlignment="1">
      <alignment horizontal="right"/>
    </xf>
    <xf numFmtId="0" fontId="2" fillId="2" borderId="0" xfId="0" applyFont="1" applyFill="1" applyAlignment="1">
      <alignment horizontal="right" wrapText="1"/>
    </xf>
    <xf numFmtId="1" fontId="11" fillId="16" borderId="15" xfId="0" applyNumberFormat="1" applyFont="1" applyFill="1" applyBorder="1" applyAlignment="1">
      <alignment horizontal="right"/>
    </xf>
    <xf numFmtId="1" fontId="11" fillId="17" borderId="15" xfId="0" applyNumberFormat="1" applyFont="1" applyFill="1" applyBorder="1"/>
    <xf numFmtId="164" fontId="0" fillId="0" borderId="0" xfId="0" applyNumberFormat="1"/>
    <xf numFmtId="2" fontId="0" fillId="2" borderId="18" xfId="0" applyNumberFormat="1" applyFill="1" applyBorder="1" applyAlignment="1">
      <alignment horizontal="right"/>
    </xf>
    <xf numFmtId="2" fontId="2" fillId="3" borderId="15" xfId="0" applyNumberFormat="1" applyFont="1" applyFill="1" applyBorder="1" applyAlignment="1">
      <alignment horizontal="right"/>
    </xf>
    <xf numFmtId="0" fontId="23" fillId="2" borderId="8" xfId="0" applyFont="1" applyFill="1" applyBorder="1" applyAlignment="1">
      <alignment horizontal="left" vertical="center" wrapText="1"/>
    </xf>
    <xf numFmtId="0" fontId="23" fillId="2" borderId="5" xfId="0" applyFont="1" applyFill="1" applyBorder="1" applyAlignment="1">
      <alignment horizontal="left" vertical="center" wrapText="1"/>
    </xf>
    <xf numFmtId="0" fontId="23" fillId="2" borderId="9" xfId="0" applyFont="1" applyFill="1" applyBorder="1" applyAlignment="1">
      <alignment horizontal="left" vertical="center" wrapText="1"/>
    </xf>
    <xf numFmtId="43" fontId="0" fillId="2" borderId="0" xfId="6" applyFont="1" applyFill="1"/>
  </cellXfs>
  <cellStyles count="7">
    <cellStyle name="Lien hypertexte" xfId="3" builtinId="8"/>
    <cellStyle name="Milliers" xfId="6" builtinId="3"/>
    <cellStyle name="Motif 2 2" xfId="2" xr:uid="{00000000-0005-0000-0000-000001000000}"/>
    <cellStyle name="Normal" xfId="0" builtinId="0"/>
    <cellStyle name="Normal 2" xfId="5" xr:uid="{00000000-0005-0000-0000-000003000000}"/>
    <cellStyle name="Pourcentage" xfId="1" builtinId="5"/>
    <cellStyle name="Texte explicatif" xfId="4" builtinId="53"/>
  </cellStyles>
  <dxfs count="0"/>
  <tableStyles count="0" defaultTableStyle="TableStyleMedium2" defaultPivotStyle="PivotStyleLight16"/>
  <colors>
    <mruColors>
      <color rgb="FFFFFF99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2.xml"/><Relationship Id="rId13" Type="http://schemas.openxmlformats.org/officeDocument/2006/relationships/worksheet" Target="worksheets/sheet7.xml"/><Relationship Id="rId18" Type="http://schemas.openxmlformats.org/officeDocument/2006/relationships/chartsheet" Target="chartsheets/sheet10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2.xml"/><Relationship Id="rId7" Type="http://schemas.openxmlformats.org/officeDocument/2006/relationships/chartsheet" Target="chartsheets/sheet1.xml"/><Relationship Id="rId12" Type="http://schemas.openxmlformats.org/officeDocument/2006/relationships/chartsheet" Target="chartsheets/sheet6.xml"/><Relationship Id="rId17" Type="http://schemas.openxmlformats.org/officeDocument/2006/relationships/chartsheet" Target="chartsheets/sheet9.xml"/><Relationship Id="rId25" Type="http://schemas.openxmlformats.org/officeDocument/2006/relationships/externalLink" Target="externalLinks/externalLink6.xml"/><Relationship Id="rId2" Type="http://schemas.openxmlformats.org/officeDocument/2006/relationships/worksheet" Target="worksheets/sheet2.xml"/><Relationship Id="rId16" Type="http://schemas.openxmlformats.org/officeDocument/2006/relationships/chartsheet" Target="chartsheets/sheet8.xml"/><Relationship Id="rId20" Type="http://schemas.openxmlformats.org/officeDocument/2006/relationships/externalLink" Target="externalLinks/externalLink1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hartsheet" Target="chartsheets/sheet5.xml"/><Relationship Id="rId24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8.xml"/><Relationship Id="rId23" Type="http://schemas.openxmlformats.org/officeDocument/2006/relationships/externalLink" Target="externalLinks/externalLink4.xml"/><Relationship Id="rId28" Type="http://schemas.openxmlformats.org/officeDocument/2006/relationships/sharedStrings" Target="sharedStrings.xml"/><Relationship Id="rId10" Type="http://schemas.openxmlformats.org/officeDocument/2006/relationships/chartsheet" Target="chartsheets/sheet4.xml"/><Relationship Id="rId19" Type="http://schemas.openxmlformats.org/officeDocument/2006/relationships/worksheet" Target="worksheets/sheet9.xml"/><Relationship Id="rId4" Type="http://schemas.openxmlformats.org/officeDocument/2006/relationships/worksheet" Target="worksheets/sheet4.xml"/><Relationship Id="rId9" Type="http://schemas.openxmlformats.org/officeDocument/2006/relationships/chartsheet" Target="chartsheets/sheet3.xml"/><Relationship Id="rId14" Type="http://schemas.openxmlformats.org/officeDocument/2006/relationships/chartsheet" Target="chartsheets/sheet7.xml"/><Relationship Id="rId22" Type="http://schemas.openxmlformats.org/officeDocument/2006/relationships/externalLink" Target="externalLinks/externalLink3.xml"/><Relationship Id="rId27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'Table Graphs'!$B$4</c:f>
          <c:strCache>
            <c:ptCount val="1"/>
            <c:pt idx="0">
              <c:v>SNBC3 : Energie finale par usage et énergie primaire (Mtep)</c:v>
            </c:pt>
          </c:strCache>
        </c:strRef>
      </c:tx>
      <c:layout>
        <c:manualLayout>
          <c:xMode val="edge"/>
          <c:yMode val="edge"/>
          <c:x val="4.15560737277888E-2"/>
          <c:y val="1.87908678434991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Arial" panose="020B0604020202020204" pitchFamily="34" charset="0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2368481705777662E-2"/>
          <c:y val="9.2178709531540379E-2"/>
          <c:w val="0.72086842510503502"/>
          <c:h val="0.80743011521699826"/>
        </c:manualLayout>
      </c:layout>
      <c:barChart>
        <c:barDir val="col"/>
        <c:grouping val="stacked"/>
        <c:varyColors val="0"/>
        <c:ser>
          <c:idx val="1"/>
          <c:order val="0"/>
          <c:tx>
            <c:strRef>
              <c:f>'T energie usages'!#REF!</c:f>
              <c:strCache>
                <c:ptCount val="1"/>
                <c:pt idx="0">
                  <c:v>ER_RESIDENTIAL_coal_2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9E4B-4528-ADD6-F8FC9A686728}"/>
            </c:ext>
          </c:extLst>
        </c:ser>
        <c:ser>
          <c:idx val="0"/>
          <c:order val="1"/>
          <c:tx>
            <c:strRef>
              <c:f>'T energie usages'!#REF!</c:f>
              <c:strCache>
                <c:ptCount val="1"/>
                <c:pt idx="0">
                  <c:v>ER_TRANS_PUBLIC_coal_2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9E4B-4528-ADD6-F8FC9A686728}"/>
            </c:ext>
          </c:extLst>
        </c:ser>
        <c:ser>
          <c:idx val="2"/>
          <c:order val="2"/>
          <c:tx>
            <c:strRef>
              <c:f>'T energie usages'!#REF!</c:f>
              <c:strCache>
                <c:ptCount val="1"/>
                <c:pt idx="0">
                  <c:v>ER_TERTIARY_coal_2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9E4B-4528-ADD6-F8FC9A686728}"/>
            </c:ext>
          </c:extLst>
        </c:ser>
        <c:ser>
          <c:idx val="3"/>
          <c:order val="3"/>
          <c:tx>
            <c:strRef>
              <c:f>'T energie usages'!#REF!</c:f>
              <c:strCache>
                <c:ptCount val="1"/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9E4B-4528-ADD6-F8FC9A686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3035744"/>
        <c:axId val="213036528"/>
      </c:barChart>
      <c:lineChart>
        <c:grouping val="standard"/>
        <c:varyColors val="0"/>
        <c:ser>
          <c:idx val="4"/>
          <c:order val="4"/>
          <c:tx>
            <c:strRef>
              <c:f>'T energie vecteurs'!$Z$8</c:f>
              <c:strCache>
                <c:ptCount val="1"/>
                <c:pt idx="0">
                  <c:v>Energie primaire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7369058718806952E-3"/>
                  <c:y val="-3.95942841146682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E4B-4528-ADD6-F8FC9A686728}"/>
                </c:ext>
              </c:extLst>
            </c:dLbl>
            <c:dLbl>
              <c:idx val="1"/>
              <c:layout>
                <c:manualLayout>
                  <c:x val="1.3684529359403977E-3"/>
                  <c:y val="-2.709082597319403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E4B-4528-ADD6-F8FC9A68672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vecteurs'!$AA$8:$AC$8</c:f>
              <c:numCache>
                <c:formatCode>0</c:formatCode>
                <c:ptCount val="3"/>
                <c:pt idx="0">
                  <c:v>199.62575407659986</c:v>
                </c:pt>
                <c:pt idx="1">
                  <c:v>204.31904194660001</c:v>
                </c:pt>
                <c:pt idx="2">
                  <c:v>176.5129651542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9E4B-4528-ADD6-F8FC9A686728}"/>
            </c:ext>
          </c:extLst>
        </c:ser>
        <c:ser>
          <c:idx val="5"/>
          <c:order val="5"/>
          <c:tx>
            <c:strRef>
              <c:f>'T energie usages'!#REF!</c:f>
              <c:strCache>
                <c:ptCount val="1"/>
                <c:pt idx="0">
                  <c:v>ER_INDUS_coal_2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1.3647219379051268E-3"/>
                  <c:y val="-3.134796238244513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687-4F22-A5E8-E4153E109927}"/>
                </c:ext>
              </c:extLst>
            </c:dLbl>
            <c:dLbl>
              <c:idx val="1"/>
              <c:layout>
                <c:manualLayout>
                  <c:x val="1.3647219379051519E-3"/>
                  <c:y val="-2.50783699059561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687-4F22-A5E8-E4153E109927}"/>
                </c:ext>
              </c:extLst>
            </c:dLbl>
            <c:dLbl>
              <c:idx val="2"/>
              <c:layout>
                <c:manualLayout>
                  <c:x val="5.4588877516206077E-3"/>
                  <c:y val="-1.462904911180780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687-4F22-A5E8-E4153E109927}"/>
                </c:ext>
              </c:extLst>
            </c:dLbl>
            <c:spPr>
              <a:solidFill>
                <a:srgbClr val="FFFF99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</c:numRef>
          </c:val>
          <c:smooth val="0"/>
          <c:extLst>
            <c:ext xmlns:c16="http://schemas.microsoft.com/office/drawing/2014/chart" uri="{C3380CC4-5D6E-409C-BE32-E72D297353CC}">
              <c16:uniqueId val="{00000000-B687-4F22-A5E8-E4153E1099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035744"/>
        <c:axId val="213036528"/>
      </c:lineChart>
      <c:catAx>
        <c:axId val="21303574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6528"/>
        <c:crosses val="autoZero"/>
        <c:auto val="1"/>
        <c:lblAlgn val="ctr"/>
        <c:lblOffset val="100"/>
        <c:noMultiLvlLbl val="0"/>
      </c:catAx>
      <c:valAx>
        <c:axId val="213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5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688045232372196"/>
          <c:y val="0.13592261164763317"/>
          <c:w val="0.19311954480613158"/>
          <c:h val="0.50685722278445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Mix</a:t>
            </a:r>
            <a:r>
              <a:rPr lang="fr-FR" baseline="0">
                <a:solidFill>
                  <a:schemeClr val="bg1"/>
                </a:solidFill>
              </a:rPr>
              <a:t> electrique</a:t>
            </a:r>
            <a:endParaRPr lang="fr-FR">
              <a:solidFill>
                <a:schemeClr val="bg1"/>
              </a:solidFill>
            </a:endParaRP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9132812442860448E-2"/>
          <c:y val="0.22494198230312157"/>
          <c:w val="0.69226941862961444"/>
          <c:h val="0.5782128245765991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'T energie vecteurs'!$Z$48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tx1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7.8001817348599803E-2"/>
                  <c:y val="-1.460757145427508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1CC-4F25-BB18-D2DE93E1EAE8}"/>
                </c:ext>
              </c:extLst>
            </c:dLbl>
            <c:dLbl>
              <c:idx val="1"/>
              <c:layout>
                <c:manualLayout>
                  <c:x val="7.9370270284540051E-2"/>
                  <c:y val="-1.66943673763142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1CC-4F25-BB18-D2DE93E1EAE8}"/>
                </c:ext>
              </c:extLst>
            </c:dLbl>
            <c:dLbl>
              <c:idx val="2"/>
              <c:layout>
                <c:manualLayout>
                  <c:x val="8.2107176156420852E-2"/>
                  <c:y val="-2.92151429085498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1CC-4F25-BB18-D2DE93E1EAE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vecteurs'!$AA$43:$AC$43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vecteurs'!$AA$48:$AC$48</c:f>
              <c:numCache>
                <c:formatCode>0</c:formatCode>
                <c:ptCount val="3"/>
                <c:pt idx="0">
                  <c:v>1.739122941</c:v>
                </c:pt>
                <c:pt idx="1">
                  <c:v>0.65272240459999997</c:v>
                </c:pt>
                <c:pt idx="2">
                  <c:v>0.20732549820000001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CC-4F25-BB18-D2DE93E1EAE8}"/>
            </c:ext>
          </c:extLst>
        </c:ser>
        <c:ser>
          <c:idx val="3"/>
          <c:order val="1"/>
          <c:tx>
            <c:strRef>
              <c:f>'T energie vecteurs'!$Z$47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solidFill>
                <a:schemeClr val="accent6"/>
              </a:solidFill>
            </a:ln>
            <a:effectLst/>
          </c:spPr>
          <c:invertIfNegative val="0"/>
          <c:dLbls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1CC-4F25-BB18-D2DE93E1EAE8}"/>
                </c:ext>
              </c:extLst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1CC-4F25-BB18-D2DE93E1EAE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vecteurs'!$AA$43:$AC$43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vecteurs'!$AA$47:$AC$47</c:f>
              <c:numCache>
                <c:formatCode>0</c:formatCode>
                <c:ptCount val="3"/>
                <c:pt idx="0">
                  <c:v>52.364997625999997</c:v>
                </c:pt>
                <c:pt idx="1">
                  <c:v>46.615496936</c:v>
                </c:pt>
                <c:pt idx="2">
                  <c:v>35.708826741999999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1CC-4F25-BB18-D2DE93E1EAE8}"/>
            </c:ext>
          </c:extLst>
        </c:ser>
        <c:ser>
          <c:idx val="1"/>
          <c:order val="2"/>
          <c:tx>
            <c:strRef>
              <c:f>'T energie vecteurs'!$Z$45</c:f>
              <c:strCache>
                <c:ptCount val="1"/>
                <c:pt idx="0">
                  <c:v>chaleur (bois…)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bg1">
                  <a:lumMod val="50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vecteurs'!$AA$43:$AC$43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vecteurs'!$AA$45:$AC$45</c:f>
              <c:numCache>
                <c:formatCode>0</c:formatCode>
                <c:ptCount val="3"/>
                <c:pt idx="0">
                  <c:v>10.445044252900001</c:v>
                </c:pt>
                <c:pt idx="1">
                  <c:v>16.508686142999998</c:v>
                </c:pt>
                <c:pt idx="2">
                  <c:v>25.524133818999999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1CC-4F25-BB18-D2DE93E1EAE8}"/>
            </c:ext>
          </c:extLst>
        </c:ser>
        <c:ser>
          <c:idx val="2"/>
          <c:order val="3"/>
          <c:tx>
            <c:strRef>
              <c:f>'T energie vecteurs'!$Z$46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vecteurs'!$AA$43:$AC$43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vecteurs'!$AA$46:$AC$46</c:f>
              <c:numCache>
                <c:formatCode>0</c:formatCode>
                <c:ptCount val="3"/>
                <c:pt idx="0">
                  <c:v>23.269522872699998</c:v>
                </c:pt>
                <c:pt idx="1">
                  <c:v>19.841154637999999</c:v>
                </c:pt>
                <c:pt idx="2">
                  <c:v>13.002601430999999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1CC-4F25-BB18-D2DE93E1EAE8}"/>
            </c:ext>
          </c:extLst>
        </c:ser>
        <c:ser>
          <c:idx val="4"/>
          <c:order val="4"/>
          <c:tx>
            <c:strRef>
              <c:f>'T energie vecteurs'!$Z$44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00B0F0"/>
            </a:solidFill>
            <a:ln>
              <a:solidFill>
                <a:srgbClr val="FF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vecteurs'!$AA$43:$AC$43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vecteurs'!$AA$44:$AC$44</c:f>
              <c:numCache>
                <c:formatCode>0</c:formatCode>
                <c:ptCount val="3"/>
                <c:pt idx="0">
                  <c:v>32.705673850200007</c:v>
                </c:pt>
                <c:pt idx="1">
                  <c:v>34.418827155599999</c:v>
                </c:pt>
                <c:pt idx="2">
                  <c:v>32.8450934858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1CC-4F25-BB18-D2DE93E1EA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31611088"/>
        <c:axId val="231610696"/>
      </c:barChart>
      <c:catAx>
        <c:axId val="231611088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10696"/>
        <c:crosses val="autoZero"/>
        <c:auto val="1"/>
        <c:lblAlgn val="ctr"/>
        <c:lblOffset val="100"/>
        <c:noMultiLvlLbl val="0"/>
      </c:catAx>
      <c:valAx>
        <c:axId val="231610696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Graphs'!$B$5</c:f>
              <c:strCache>
                <c:ptCount val="1"/>
                <c:pt idx="0">
                  <c:v>SNBC3 : Ventilation du mix énergie (Mtep)</c:v>
                </c:pt>
              </c:strCache>
            </c:strRef>
          </c:tx>
          <c:layout>
            <c:manualLayout>
              <c:xMode val="edge"/>
              <c:yMode val="edge"/>
              <c:x val="2.0489572797247235E-2"/>
              <c:y val="9.0671820577557447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fr-FR"/>
            </a:p>
          </c:txPr>
        </c:title>
        <c:numFmt formatCode="0" sourceLinked="1"/>
        <c:majorTickMark val="none"/>
        <c:minorTickMark val="none"/>
        <c:tickLblPos val="low"/>
        <c:spPr>
          <a:noFill/>
          <a:ln>
            <a:solidFill>
              <a:schemeClr val="accent1">
                <a:alpha val="99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11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76142380739596005"/>
          <c:y val="0.24874563404511155"/>
          <c:w val="0.1834512958142259"/>
          <c:h val="0.2360740173935938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Mix</a:t>
            </a:r>
            <a:r>
              <a:rPr lang="fr-FR" baseline="0">
                <a:solidFill>
                  <a:schemeClr val="bg1"/>
                </a:solidFill>
              </a:rPr>
              <a:t> electrique</a:t>
            </a:r>
            <a:endParaRPr lang="fr-FR">
              <a:solidFill>
                <a:schemeClr val="bg1"/>
              </a:solidFill>
            </a:endParaRP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9132812442860448E-2"/>
          <c:y val="0.17079043396847435"/>
          <c:w val="0.69226941862961444"/>
          <c:h val="0.6323643943840473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'T energie vecteurs'!$Z$33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tx1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7.8001817348599803E-2"/>
                  <c:y val="-1.460757145427508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16E-4ECA-9D5C-5B4727E02E74}"/>
                </c:ext>
              </c:extLst>
            </c:dLbl>
            <c:dLbl>
              <c:idx val="1"/>
              <c:layout>
                <c:manualLayout>
                  <c:x val="7.9370270284540051E-2"/>
                  <c:y val="-1.66943673763142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16E-4ECA-9D5C-5B4727E02E74}"/>
                </c:ext>
              </c:extLst>
            </c:dLbl>
            <c:dLbl>
              <c:idx val="2"/>
              <c:layout>
                <c:manualLayout>
                  <c:x val="8.2107176156420852E-2"/>
                  <c:y val="-2.92151429085498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16E-4ECA-9D5C-5B4727E02E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vecteurs'!$AA$33:$AC$33</c:f>
              <c:numCache>
                <c:formatCode>0%</c:formatCode>
                <c:ptCount val="3"/>
                <c:pt idx="0">
                  <c:v>2.4994425087957666E-2</c:v>
                </c:pt>
                <c:pt idx="1">
                  <c:v>2.8451992828601332E-2</c:v>
                </c:pt>
                <c:pt idx="2">
                  <c:v>2.8451992834303191E-2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6E-4ECA-9D5C-5B4727E02E74}"/>
            </c:ext>
          </c:extLst>
        </c:ser>
        <c:ser>
          <c:idx val="1"/>
          <c:order val="1"/>
          <c:tx>
            <c:strRef>
              <c:f>'T energie vecteurs'!$Z$34</c:f>
              <c:strCache>
                <c:ptCount val="1"/>
                <c:pt idx="0">
                  <c:v>nucléaire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vecteurs'!$AA$34:$AC$34</c:f>
              <c:numCache>
                <c:formatCode>0%</c:formatCode>
                <c:ptCount val="3"/>
                <c:pt idx="0">
                  <c:v>0.66723666877961441</c:v>
                </c:pt>
                <c:pt idx="1">
                  <c:v>0.6412472502395834</c:v>
                </c:pt>
                <c:pt idx="2">
                  <c:v>0.64124725018991691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6E-4ECA-9D5C-5B4727E02E74}"/>
            </c:ext>
          </c:extLst>
        </c:ser>
        <c:ser>
          <c:idx val="2"/>
          <c:order val="2"/>
          <c:tx>
            <c:strRef>
              <c:f>'T energie vecteurs'!$Z$35</c:f>
              <c:strCache>
                <c:ptCount val="1"/>
                <c:pt idx="0">
                  <c:v>hydraulique</c:v>
                </c:pt>
              </c:strCache>
            </c:strRef>
          </c:tx>
          <c:spPr>
            <a:solidFill>
              <a:srgbClr val="00B0F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vecteurs'!$AA$35:$AC$35</c:f>
              <c:numCache>
                <c:formatCode>0%</c:formatCode>
                <c:ptCount val="3"/>
                <c:pt idx="0">
                  <c:v>9.8618400885822924E-2</c:v>
                </c:pt>
                <c:pt idx="1">
                  <c:v>0.11181823435182968</c:v>
                </c:pt>
                <c:pt idx="2">
                  <c:v>0.11181823436087399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16E-4ECA-9D5C-5B4727E02E74}"/>
            </c:ext>
          </c:extLst>
        </c:ser>
        <c:ser>
          <c:idx val="3"/>
          <c:order val="3"/>
          <c:tx>
            <c:strRef>
              <c:f>'T energie vecteurs'!$Z$36</c:f>
              <c:strCache>
                <c:ptCount val="1"/>
                <c:pt idx="0">
                  <c:v>solaire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rgbClr val="FFFF00"/>
              </a:solidFill>
            </a:ln>
            <a:effectLst/>
          </c:spPr>
          <c:invertIfNegative val="0"/>
          <c:dLbls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16E-4ECA-9D5C-5B4727E02E74}"/>
                </c:ext>
              </c:extLst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16E-4ECA-9D5C-5B4727E02E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vecteurs'!$AA$36:$AC$36</c:f>
              <c:numCache>
                <c:formatCode>0%</c:formatCode>
                <c:ptCount val="3"/>
                <c:pt idx="0">
                  <c:v>4.6279031122630238E-2</c:v>
                </c:pt>
                <c:pt idx="1">
                  <c:v>5.0013944670974121E-2</c:v>
                </c:pt>
                <c:pt idx="2">
                  <c:v>5.0013944661481874E-2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16E-4ECA-9D5C-5B4727E02E74}"/>
            </c:ext>
          </c:extLst>
        </c:ser>
        <c:ser>
          <c:idx val="4"/>
          <c:order val="4"/>
          <c:tx>
            <c:strRef>
              <c:f>'T energie vecteurs'!$Z$37</c:f>
              <c:strCache>
                <c:ptCount val="1"/>
                <c:pt idx="0">
                  <c:v>éolien 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accent5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vecteurs'!$AA$37:$AC$37</c:f>
              <c:numCache>
                <c:formatCode>0%</c:formatCode>
                <c:ptCount val="3"/>
                <c:pt idx="0">
                  <c:v>8.5267193783348572E-2</c:v>
                </c:pt>
                <c:pt idx="1">
                  <c:v>9.7269050100543403E-2</c:v>
                </c:pt>
                <c:pt idx="2">
                  <c:v>9.7269050136246996E-2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16E-4ECA-9D5C-5B4727E02E74}"/>
            </c:ext>
          </c:extLst>
        </c:ser>
        <c:ser>
          <c:idx val="5"/>
          <c:order val="5"/>
          <c:tx>
            <c:strRef>
              <c:f>'T energie vecteurs'!$Z$38</c:f>
              <c:strCache>
                <c:ptCount val="1"/>
                <c:pt idx="0">
                  <c:v>autres renouvelables</c:v>
                </c:pt>
              </c:strCache>
            </c:strRef>
          </c:tx>
          <c:spPr>
            <a:solidFill>
              <a:srgbClr val="92D050"/>
            </a:solidFill>
            <a:ln>
              <a:solidFill>
                <a:srgbClr val="92D050"/>
              </a:solidFill>
            </a:ln>
            <a:effectLst>
              <a:glow rad="12700">
                <a:schemeClr val="accent1">
                  <a:alpha val="40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vecteurs'!$AA$38:$AC$38</c:f>
              <c:numCache>
                <c:formatCode>0%</c:formatCode>
                <c:ptCount val="3"/>
                <c:pt idx="0">
                  <c:v>7.7604280340625942E-2</c:v>
                </c:pt>
                <c:pt idx="1">
                  <c:v>7.1199527808468138E-2</c:v>
                </c:pt>
                <c:pt idx="2">
                  <c:v>7.1199527817177116E-2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16E-4ECA-9D5C-5B4727E02E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31609912"/>
        <c:axId val="231609520"/>
      </c:barChart>
      <c:catAx>
        <c:axId val="23160991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9520"/>
        <c:crosses val="autoZero"/>
        <c:auto val="1"/>
        <c:lblAlgn val="ctr"/>
        <c:lblOffset val="100"/>
        <c:noMultiLvlLbl val="0"/>
      </c:catAx>
      <c:valAx>
        <c:axId val="23160952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Graphs'!$B$6</c:f>
              <c:strCache>
                <c:ptCount val="1"/>
                <c:pt idx="0">
                  <c:v>SNBC3 : Ventilation du mix electrique (%)</c:v>
                </c:pt>
              </c:strCache>
            </c:strRef>
          </c:tx>
          <c:layout>
            <c:manualLayout>
              <c:xMode val="edge"/>
              <c:yMode val="edge"/>
              <c:x val="2.32246046167306E-2"/>
              <c:y val="2.4023808317265801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fr-FR"/>
            </a:p>
          </c:txPr>
        </c:title>
        <c:numFmt formatCode="0%" sourceLinked="1"/>
        <c:majorTickMark val="none"/>
        <c:minorTickMark val="none"/>
        <c:tickLblPos val="low"/>
        <c:spPr>
          <a:noFill/>
          <a:ln>
            <a:solidFill>
              <a:schemeClr val="accent1">
                <a:alpha val="99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9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</c:legendEntry>
      <c:layout>
        <c:manualLayout>
          <c:xMode val="edge"/>
          <c:yMode val="edge"/>
          <c:x val="0.76142382417816912"/>
          <c:y val="0.18003801760696372"/>
          <c:w val="0.23418248890987423"/>
          <c:h val="0.62626537444194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Mix</a:t>
            </a:r>
            <a:r>
              <a:rPr lang="fr-FR" baseline="0">
                <a:solidFill>
                  <a:schemeClr val="bg1"/>
                </a:solidFill>
              </a:rPr>
              <a:t> electrique</a:t>
            </a:r>
            <a:endParaRPr lang="fr-FR">
              <a:solidFill>
                <a:schemeClr val="bg1"/>
              </a:solidFill>
            </a:endParaRP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9132812442860448E-2"/>
          <c:y val="0.22494198230312157"/>
          <c:w val="0.69226941862961444"/>
          <c:h val="0.5782128245765991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'T energie vecteurs'!$AE$33</c:f>
              <c:strCache>
                <c:ptCount val="1"/>
                <c:pt idx="0">
                  <c:v>carburants fossiles</c:v>
                </c:pt>
              </c:strCache>
            </c:strRef>
          </c:tx>
          <c:spPr>
            <a:solidFill>
              <a:schemeClr val="accent3">
                <a:lumMod val="50000"/>
              </a:schemeClr>
            </a:solidFill>
            <a:ln>
              <a:solidFill>
                <a:schemeClr val="accent3">
                  <a:lumMod val="50000"/>
                </a:scheme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1.3684529359403476E-3"/>
                  <c:y val="-1.4607550579113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244-4744-9C62-05D9B6E91931}"/>
                </c:ext>
              </c:extLst>
            </c:dLbl>
            <c:dLbl>
              <c:idx val="1"/>
              <c:layout>
                <c:manualLayout>
                  <c:x val="5.4738117437613401E-3"/>
                  <c:y val="-1.66944138421487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244-4744-9C62-05D9B6E91931}"/>
                </c:ext>
              </c:extLst>
            </c:dLbl>
            <c:dLbl>
              <c:idx val="2"/>
              <c:layout>
                <c:manualLayout>
                  <c:x val="4.1053588078210426E-3"/>
                  <c:y val="2.043544195458258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244-4744-9C62-05D9B6E9193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vecteurs'!$AF$32:$AH$32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vecteurs'!$AF$33:$AH$33</c:f>
              <c:numCache>
                <c:formatCode>0%</c:formatCode>
                <c:ptCount val="3"/>
                <c:pt idx="0">
                  <c:v>0.94711814224116242</c:v>
                </c:pt>
                <c:pt idx="1">
                  <c:v>0.93973995515146724</c:v>
                </c:pt>
                <c:pt idx="2">
                  <c:v>0.93973995512238218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44-4744-9C62-05D9B6E91931}"/>
            </c:ext>
          </c:extLst>
        </c:ser>
        <c:ser>
          <c:idx val="1"/>
          <c:order val="1"/>
          <c:tx>
            <c:strRef>
              <c:f>'T energie vecteurs'!$AE$34</c:f>
              <c:strCache>
                <c:ptCount val="1"/>
                <c:pt idx="0">
                  <c:v>biocarburants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solidFill>
                <a:schemeClr val="accent3">
                  <a:lumMod val="60000"/>
                  <a:lumOff val="40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vecteurs'!$AF$32:$AH$32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vecteurs'!$AF$34:$AH$34</c:f>
              <c:numCache>
                <c:formatCode>0%</c:formatCode>
                <c:ptCount val="3"/>
                <c:pt idx="0">
                  <c:v>5.2881857758837594E-2</c:v>
                </c:pt>
                <c:pt idx="1">
                  <c:v>6.0260044848532729E-2</c:v>
                </c:pt>
                <c:pt idx="2">
                  <c:v>6.0260044877617838E-2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44-4744-9C62-05D9B6E919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31608736"/>
        <c:axId val="231608344"/>
      </c:barChart>
      <c:catAx>
        <c:axId val="231608736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8344"/>
        <c:crosses val="autoZero"/>
        <c:auto val="1"/>
        <c:lblAlgn val="ctr"/>
        <c:lblOffset val="100"/>
        <c:noMultiLvlLbl val="0"/>
      </c:catAx>
      <c:valAx>
        <c:axId val="23160834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Graphs'!$B$7</c:f>
              <c:strCache>
                <c:ptCount val="1"/>
                <c:pt idx="0">
                  <c:v>SNBC3 : Ventilation du mix carburant (%)</c:v>
                </c:pt>
              </c:strCache>
            </c:strRef>
          </c:tx>
          <c:layout>
            <c:manualLayout>
              <c:xMode val="edge"/>
              <c:yMode val="edge"/>
              <c:x val="2.3226525402096191E-2"/>
              <c:y val="6.3581069173659244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fr-FR"/>
            </a:p>
          </c:txPr>
        </c:title>
        <c:numFmt formatCode="0%" sourceLinked="1"/>
        <c:majorTickMark val="none"/>
        <c:minorTickMark val="none"/>
        <c:tickLblPos val="low"/>
        <c:spPr>
          <a:noFill/>
          <a:ln>
            <a:solidFill>
              <a:schemeClr val="accent1">
                <a:alpha val="99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76142382417816912"/>
          <c:y val="0.29042382785002546"/>
          <c:w val="0.23418248890987423"/>
          <c:h val="0.5158795559270493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Mix</a:t>
            </a:r>
            <a:r>
              <a:rPr lang="fr-FR" baseline="0">
                <a:solidFill>
                  <a:schemeClr val="bg1"/>
                </a:solidFill>
              </a:rPr>
              <a:t> electrique</a:t>
            </a:r>
            <a:endParaRPr lang="fr-FR">
              <a:solidFill>
                <a:schemeClr val="bg1"/>
              </a:solidFill>
            </a:endParaRP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9132812442860448E-2"/>
          <c:y val="0.22494198230312157"/>
          <c:w val="0.69226941862961444"/>
          <c:h val="0.5782128245765991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'T energie vecteurs'!$AJ$33</c:f>
              <c:strCache>
                <c:ptCount val="1"/>
                <c:pt idx="0">
                  <c:v>gaz naturel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1.3684529359403476E-3"/>
                  <c:y val="-1.4607550579113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21A-429A-8A28-44CA5ABCCE07}"/>
                </c:ext>
              </c:extLst>
            </c:dLbl>
            <c:dLbl>
              <c:idx val="1"/>
              <c:layout>
                <c:manualLayout>
                  <c:x val="5.4738117437613401E-3"/>
                  <c:y val="-1.66944138421487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21A-429A-8A28-44CA5ABCCE07}"/>
                </c:ext>
              </c:extLst>
            </c:dLbl>
            <c:dLbl>
              <c:idx val="2"/>
              <c:layout>
                <c:manualLayout>
                  <c:x val="8.484408202830164E-2"/>
                  <c:y val="-2.713119146798161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21A-429A-8A28-44CA5ABCCE0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vecteurs'!$AK$32:$AM$32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vecteurs'!$AK$33:$AM$33</c:f>
              <c:numCache>
                <c:formatCode>0%</c:formatCode>
                <c:ptCount val="3"/>
                <c:pt idx="0">
                  <c:v>0.97055581085833842</c:v>
                </c:pt>
                <c:pt idx="1">
                  <c:v>0.91106690562148318</c:v>
                </c:pt>
                <c:pt idx="2">
                  <c:v>0.77822101936272148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21A-429A-8A28-44CA5ABCCE07}"/>
            </c:ext>
          </c:extLst>
        </c:ser>
        <c:ser>
          <c:idx val="1"/>
          <c:order val="1"/>
          <c:tx>
            <c:strRef>
              <c:f>'T energie vecteurs'!$AJ$34</c:f>
              <c:strCache>
                <c:ptCount val="1"/>
                <c:pt idx="0">
                  <c:v>biogaz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solidFill>
                <a:schemeClr val="tx2">
                  <a:lumMod val="40000"/>
                  <a:lumOff val="60000"/>
                </a:scheme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0.10536902887139103"/>
                  <c:y val="2.70862739908040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21A-429A-8A28-44CA5ABCCE07}"/>
                </c:ext>
              </c:extLst>
            </c:dLbl>
            <c:dLbl>
              <c:idx val="1"/>
              <c:layout>
                <c:manualLayout>
                  <c:x val="9.7156470825762162E-2"/>
                  <c:y val="2.70792221527424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21A-429A-8A28-44CA5ABCCE07}"/>
                </c:ext>
              </c:extLst>
            </c:dLbl>
            <c:dLbl>
              <c:idx val="2"/>
              <c:layout>
                <c:manualLayout>
                  <c:x val="7.9316239316239323E-2"/>
                  <c:y val="2.082752171679129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21A-429A-8A28-44CA5ABCCE0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vecteurs'!$AK$32:$AM$32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vecteurs'!$AK$34:$AM$34</c:f>
              <c:numCache>
                <c:formatCode>0%</c:formatCode>
                <c:ptCount val="3"/>
                <c:pt idx="0">
                  <c:v>2.9444189141661622E-2</c:v>
                </c:pt>
                <c:pt idx="1">
                  <c:v>8.8933094378516792E-2</c:v>
                </c:pt>
                <c:pt idx="2">
                  <c:v>0.22177898063727863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21A-429A-8A28-44CA5ABCCE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31607560"/>
        <c:axId val="231607168"/>
      </c:barChart>
      <c:catAx>
        <c:axId val="231607560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7168"/>
        <c:crosses val="autoZero"/>
        <c:auto val="1"/>
        <c:lblAlgn val="ctr"/>
        <c:lblOffset val="100"/>
        <c:noMultiLvlLbl val="0"/>
      </c:catAx>
      <c:valAx>
        <c:axId val="231607168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Graphs'!$B$8</c:f>
              <c:strCache>
                <c:ptCount val="1"/>
                <c:pt idx="0">
                  <c:v>SNBC3 : Ventilation du mix gaz (%)</c:v>
                </c:pt>
              </c:strCache>
            </c:strRef>
          </c:tx>
          <c:layout>
            <c:manualLayout>
              <c:xMode val="edge"/>
              <c:yMode val="edge"/>
              <c:x val="2.0489572797247235E-2"/>
              <c:y val="9.0671820577557447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fr-FR"/>
            </a:p>
          </c:txPr>
        </c:title>
        <c:numFmt formatCode="0%" sourceLinked="1"/>
        <c:majorTickMark val="none"/>
        <c:minorTickMark val="none"/>
        <c:tickLblPos val="low"/>
        <c:spPr>
          <a:noFill/>
          <a:ln>
            <a:solidFill>
              <a:schemeClr val="accent1">
                <a:alpha val="99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7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81753037776951432"/>
          <c:y val="0.29042382785002546"/>
          <c:w val="0.13839078339404989"/>
          <c:h val="0.5158795559270493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9740912847575234E-2"/>
          <c:y val="0.17593989942704161"/>
          <c:w val="0.73258526136090329"/>
          <c:h val="0.74056220214541801"/>
        </c:manualLayout>
      </c:layout>
      <c:barChart>
        <c:barDir val="col"/>
        <c:grouping val="stacked"/>
        <c:varyColors val="0"/>
        <c:ser>
          <c:idx val="1"/>
          <c:order val="0"/>
          <c:tx>
            <c:strRef>
              <c:f>'T CO2'!$K$8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CO2'!$L$8:$N$8</c:f>
              <c:numCache>
                <c:formatCode>0</c:formatCode>
                <c:ptCount val="3"/>
                <c:pt idx="0">
                  <c:v>104.62830193899198</c:v>
                </c:pt>
                <c:pt idx="1">
                  <c:v>92.494767457199828</c:v>
                </c:pt>
                <c:pt idx="2">
                  <c:v>65.456640506429579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CF-409C-BDBE-F99B69B3F72E}"/>
            </c:ext>
          </c:extLst>
        </c:ser>
        <c:ser>
          <c:idx val="0"/>
          <c:order val="1"/>
          <c:tx>
            <c:strRef>
              <c:f>'T CO2'!$K$9</c:f>
              <c:strCache>
                <c:ptCount val="1"/>
                <c:pt idx="0">
                  <c:v>Residentiel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CO2'!$L$9:$N$9</c:f>
              <c:numCache>
                <c:formatCode>0</c:formatCode>
                <c:ptCount val="3"/>
                <c:pt idx="0">
                  <c:v>40.939432117275487</c:v>
                </c:pt>
                <c:pt idx="1">
                  <c:v>35.444134217458242</c:v>
                </c:pt>
                <c:pt idx="2">
                  <c:v>25.057652879666971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CF-409C-BDBE-F99B69B3F72E}"/>
            </c:ext>
          </c:extLst>
        </c:ser>
        <c:ser>
          <c:idx val="2"/>
          <c:order val="2"/>
          <c:tx>
            <c:strRef>
              <c:f>'T CO2'!$K$10</c:f>
              <c:strCache>
                <c:ptCount val="1"/>
                <c:pt idx="0">
                  <c:v>Service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CO2'!$L$10:$N$10</c:f>
              <c:numCache>
                <c:formatCode>0</c:formatCode>
                <c:ptCount val="3"/>
                <c:pt idx="0">
                  <c:v>23.774801494933776</c:v>
                </c:pt>
                <c:pt idx="1">
                  <c:v>19.60366482998317</c:v>
                </c:pt>
                <c:pt idx="2">
                  <c:v>10.959086935751616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ACF-409C-BDBE-F99B69B3F72E}"/>
            </c:ext>
          </c:extLst>
        </c:ser>
        <c:ser>
          <c:idx val="3"/>
          <c:order val="3"/>
          <c:tx>
            <c:strRef>
              <c:f>'T CO2'!$K$11</c:f>
              <c:strCache>
                <c:ptCount val="1"/>
                <c:pt idx="0">
                  <c:v>Industrie et agriculture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CO2'!$L$11:$N$11</c:f>
              <c:numCache>
                <c:formatCode>0</c:formatCode>
                <c:ptCount val="3"/>
                <c:pt idx="0">
                  <c:v>88.301833205998719</c:v>
                </c:pt>
                <c:pt idx="1">
                  <c:v>84.181609776125498</c:v>
                </c:pt>
                <c:pt idx="2">
                  <c:v>80.578126486037064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CF-409C-BDBE-F99B69B3F7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3037312"/>
        <c:axId val="213036136"/>
      </c:barChart>
      <c:catAx>
        <c:axId val="21303731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6136"/>
        <c:crosses val="autoZero"/>
        <c:auto val="1"/>
        <c:lblAlgn val="ctr"/>
        <c:lblOffset val="100"/>
        <c:noMultiLvlLbl val="0"/>
      </c:catAx>
      <c:valAx>
        <c:axId val="213036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Graphs'!$B$9</c:f>
              <c:strCache>
                <c:ptCount val="1"/>
                <c:pt idx="0">
                  <c:v>SNBC3 : Emissions CO2 (Mt.eqCO2)</c:v>
                </c:pt>
              </c:strCache>
            </c:strRef>
          </c:tx>
          <c:layout>
            <c:manualLayout>
              <c:xMode val="edge"/>
              <c:yMode val="edge"/>
              <c:x val="1.3659715198164822E-2"/>
              <c:y val="2.3904655556813308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691366156517532"/>
          <c:y val="0.28558169209001705"/>
          <c:w val="0.16625648083574224"/>
          <c:h val="0.680136041576351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Titre du graphique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677304466662714E-2"/>
          <c:y val="0.18782278038184441"/>
          <c:w val="0.91111197791769516"/>
          <c:h val="0.62158940284337161"/>
        </c:manualLayout>
      </c:layout>
      <c:lineChart>
        <c:grouping val="standard"/>
        <c:varyColors val="0"/>
        <c:ser>
          <c:idx val="1"/>
          <c:order val="0"/>
          <c:tx>
            <c:strRef>
              <c:f>'T parc auto'!$A$4</c:f>
              <c:strCache>
                <c:ptCount val="1"/>
                <c:pt idx="0">
                  <c:v>SNBC3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'T parc auto'!$I$3:$AM$3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'T parc auto'!$I$5:$AM$5</c:f>
              <c:numCache>
                <c:formatCode>#\ ##0.0</c:formatCode>
                <c:ptCount val="31"/>
                <c:pt idx="0">
                  <c:v>37.468153879999996</c:v>
                </c:pt>
                <c:pt idx="1">
                  <c:v>37.679582189999998</c:v>
                </c:pt>
                <c:pt idx="2">
                  <c:v>37.78553033</c:v>
                </c:pt>
                <c:pt idx="3">
                  <c:v>37.733513099999996</c:v>
                </c:pt>
                <c:pt idx="4">
                  <c:v>37.791387499999999</c:v>
                </c:pt>
                <c:pt idx="5">
                  <c:v>37.114885020000003</c:v>
                </c:pt>
                <c:pt idx="6">
                  <c:v>36.994301809999996</c:v>
                </c:pt>
                <c:pt idx="7">
                  <c:v>37.081220289999997</c:v>
                </c:pt>
                <c:pt idx="8">
                  <c:v>37.250009299999995</c:v>
                </c:pt>
                <c:pt idx="9">
                  <c:v>37.450677769999999</c:v>
                </c:pt>
                <c:pt idx="10">
                  <c:v>37.136006469999998</c:v>
                </c:pt>
                <c:pt idx="11">
                  <c:v>37.202100559999998</c:v>
                </c:pt>
                <c:pt idx="12">
                  <c:v>37.319641949999998</c:v>
                </c:pt>
                <c:pt idx="13">
                  <c:v>37.46278496</c:v>
                </c:pt>
                <c:pt idx="14">
                  <c:v>37.619637449999999</c:v>
                </c:pt>
                <c:pt idx="15">
                  <c:v>37.399192339999999</c:v>
                </c:pt>
                <c:pt idx="16">
                  <c:v>37.4193602</c:v>
                </c:pt>
                <c:pt idx="17">
                  <c:v>37.547201099999995</c:v>
                </c:pt>
                <c:pt idx="18">
                  <c:v>37.7170202</c:v>
                </c:pt>
                <c:pt idx="19">
                  <c:v>37.907858330000003</c:v>
                </c:pt>
                <c:pt idx="20">
                  <c:v>38.111790990000003</c:v>
                </c:pt>
                <c:pt idx="21">
                  <c:v>38.224932780000003</c:v>
                </c:pt>
                <c:pt idx="22">
                  <c:v>38.29757214</c:v>
                </c:pt>
                <c:pt idx="23">
                  <c:v>38.35230498</c:v>
                </c:pt>
                <c:pt idx="24">
                  <c:v>38.396995199999999</c:v>
                </c:pt>
                <c:pt idx="25">
                  <c:v>38.166660320000005</c:v>
                </c:pt>
                <c:pt idx="26">
                  <c:v>38.048024680000005</c:v>
                </c:pt>
                <c:pt idx="27">
                  <c:v>37.973786169999997</c:v>
                </c:pt>
                <c:pt idx="28">
                  <c:v>37.913747730000004</c:v>
                </c:pt>
                <c:pt idx="29">
                  <c:v>37.856213680000003</c:v>
                </c:pt>
                <c:pt idx="30">
                  <c:v>37.796341200000001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BC3-45D2-B2A5-76AA1C492B9B}"/>
            </c:ext>
          </c:extLst>
        </c:ser>
        <c:ser>
          <c:idx val="2"/>
          <c:order val="1"/>
          <c:tx>
            <c:strRef>
              <c:f>'[5]T parc auto'!$A$4</c:f>
              <c:strCache>
                <c:ptCount val="1"/>
                <c:pt idx="0">
                  <c:v>TEND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'T parc auto'!$I$3:$AM$3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'[5]T parc auto'!$I$5:$AM$5</c:f>
              <c:numCache>
                <c:formatCode>General</c:formatCode>
                <c:ptCount val="31"/>
                <c:pt idx="0">
                  <c:v>34.664492700000004</c:v>
                </c:pt>
                <c:pt idx="1">
                  <c:v>34.956187980000003</c:v>
                </c:pt>
                <c:pt idx="2">
                  <c:v>35.116030049999999</c:v>
                </c:pt>
                <c:pt idx="3">
                  <c:v>35.22984451</c:v>
                </c:pt>
                <c:pt idx="4">
                  <c:v>35.293663940000002</c:v>
                </c:pt>
                <c:pt idx="5">
                  <c:v>35.310390290000001</c:v>
                </c:pt>
                <c:pt idx="6">
                  <c:v>35.378433780000002</c:v>
                </c:pt>
                <c:pt idx="7">
                  <c:v>35.496856720000004</c:v>
                </c:pt>
                <c:pt idx="8">
                  <c:v>35.653829440000003</c:v>
                </c:pt>
                <c:pt idx="9">
                  <c:v>35.834650719999999</c:v>
                </c:pt>
                <c:pt idx="10">
                  <c:v>36.029956510000005</c:v>
                </c:pt>
                <c:pt idx="11">
                  <c:v>36.22702245</c:v>
                </c:pt>
                <c:pt idx="12">
                  <c:v>36.422585409999996</c:v>
                </c:pt>
                <c:pt idx="13">
                  <c:v>36.615497920000003</c:v>
                </c:pt>
                <c:pt idx="14">
                  <c:v>36.806113070000002</c:v>
                </c:pt>
                <c:pt idx="15">
                  <c:v>36.99621071</c:v>
                </c:pt>
                <c:pt idx="16">
                  <c:v>37.184294620000003</c:v>
                </c:pt>
                <c:pt idx="17">
                  <c:v>37.372872549999997</c:v>
                </c:pt>
                <c:pt idx="18">
                  <c:v>37.563526299999999</c:v>
                </c:pt>
                <c:pt idx="19">
                  <c:v>37.757729379999994</c:v>
                </c:pt>
                <c:pt idx="20">
                  <c:v>37.955981359999996</c:v>
                </c:pt>
                <c:pt idx="21">
                  <c:v>38.166927919999999</c:v>
                </c:pt>
                <c:pt idx="22">
                  <c:v>38.388725370000003</c:v>
                </c:pt>
                <c:pt idx="23">
                  <c:v>38.617999920000003</c:v>
                </c:pt>
                <c:pt idx="24">
                  <c:v>38.852641049999995</c:v>
                </c:pt>
                <c:pt idx="25">
                  <c:v>39.090289320000004</c:v>
                </c:pt>
                <c:pt idx="26">
                  <c:v>39.328744280000002</c:v>
                </c:pt>
                <c:pt idx="27">
                  <c:v>39.56777889</c:v>
                </c:pt>
                <c:pt idx="28">
                  <c:v>39.807161919999999</c:v>
                </c:pt>
                <c:pt idx="29">
                  <c:v>40.046711999999999</c:v>
                </c:pt>
                <c:pt idx="30">
                  <c:v>40.288447350000006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BC3-45D2-B2A5-76AA1C492B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8753344"/>
        <c:axId val="688757280"/>
      </c:lineChart>
      <c:catAx>
        <c:axId val="688753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1920000" spcFirstLastPara="1" vertOverflow="ellipsis" wrap="square" anchor="ctr" anchorCtr="1"/>
          <a:lstStyle/>
          <a:p>
            <a:pPr>
              <a:defRPr sz="15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8757280"/>
        <c:crosses val="autoZero"/>
        <c:auto val="1"/>
        <c:lblAlgn val="ctr"/>
        <c:lblOffset val="100"/>
        <c:noMultiLvlLbl val="0"/>
      </c:catAx>
      <c:valAx>
        <c:axId val="688757280"/>
        <c:scaling>
          <c:orientation val="minMax"/>
          <c:max val="4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b="1">
                    <a:solidFill>
                      <a:schemeClr val="tx1"/>
                    </a:solidFill>
                  </a:rPr>
                  <a:t>Parc auto</a:t>
                </a:r>
                <a:br>
                  <a:rPr lang="fr-FR" b="1">
                    <a:solidFill>
                      <a:schemeClr val="tx1"/>
                    </a:solidFill>
                  </a:rPr>
                </a:br>
                <a:r>
                  <a:rPr lang="fr-FR" b="1">
                    <a:solidFill>
                      <a:schemeClr val="tx1"/>
                    </a:solidFill>
                  </a:rPr>
                  <a:t>(millions de</a:t>
                </a:r>
                <a:r>
                  <a:rPr lang="fr-FR" b="1" baseline="0">
                    <a:solidFill>
                      <a:schemeClr val="tx1"/>
                    </a:solidFill>
                  </a:rPr>
                  <a:t> véhicules)</a:t>
                </a:r>
              </a:p>
              <a:p>
                <a:pPr>
                  <a:defRPr>
                    <a:solidFill>
                      <a:schemeClr val="tx1"/>
                    </a:solidFill>
                  </a:defRPr>
                </a:pPr>
                <a:r>
                  <a:rPr lang="fr-FR" b="1" baseline="0">
                    <a:solidFill>
                      <a:schemeClr val="tx1"/>
                    </a:solidFill>
                  </a:rPr>
                  <a:t>(actualiser TEND)</a:t>
                </a:r>
                <a:endParaRPr lang="fr-FR" b="1">
                  <a:solidFill>
                    <a:schemeClr val="tx1"/>
                  </a:solidFill>
                </a:endParaRPr>
              </a:p>
            </c:rich>
          </c:tx>
          <c:layout>
            <c:manualLayout>
              <c:xMode val="edge"/>
              <c:yMode val="edge"/>
              <c:x val="3.1474417526627996E-2"/>
              <c:y val="3.8792389102366563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8753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500"/>
      </a:pPr>
      <a:endParaRPr lang="fr-FR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Emissions de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Feuil1!$E$1</c:f>
              <c:strCache>
                <c:ptCount val="1"/>
                <c:pt idx="0">
                  <c:v>AME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Feuil1!$D$2:$D$48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cat>
          <c:val>
            <c:numRef>
              <c:f>Feuil1!$E$2:$E$48</c:f>
              <c:numCache>
                <c:formatCode>0.0</c:formatCode>
                <c:ptCount val="28"/>
                <c:pt idx="0">
                  <c:v>276.26883630000003</c:v>
                </c:pt>
                <c:pt idx="1">
                  <c:v>277.27832380000001</c:v>
                </c:pt>
                <c:pt idx="2">
                  <c:v>276.42839089999995</c:v>
                </c:pt>
                <c:pt idx="3">
                  <c:v>274.34847050000002</c:v>
                </c:pt>
                <c:pt idx="4">
                  <c:v>273.57096580000001</c:v>
                </c:pt>
                <c:pt idx="5">
                  <c:v>272.51901630000003</c:v>
                </c:pt>
                <c:pt idx="6">
                  <c:v>271.43343670000002</c:v>
                </c:pt>
                <c:pt idx="7">
                  <c:v>269.88925110000002</c:v>
                </c:pt>
                <c:pt idx="8">
                  <c:v>268.7258041</c:v>
                </c:pt>
                <c:pt idx="9">
                  <c:v>267.75072160000002</c:v>
                </c:pt>
                <c:pt idx="10">
                  <c:v>266.85499190000002</c:v>
                </c:pt>
                <c:pt idx="11">
                  <c:v>265.89806060000001</c:v>
                </c:pt>
                <c:pt idx="12">
                  <c:v>264.98531159999999</c:v>
                </c:pt>
                <c:pt idx="13">
                  <c:v>264.42093610000001</c:v>
                </c:pt>
                <c:pt idx="14">
                  <c:v>263.91676840000002</c:v>
                </c:pt>
                <c:pt idx="15">
                  <c:v>263.41205910000002</c:v>
                </c:pt>
                <c:pt idx="16">
                  <c:v>262.96755330000002</c:v>
                </c:pt>
                <c:pt idx="17">
                  <c:v>262.55675759999997</c:v>
                </c:pt>
                <c:pt idx="18">
                  <c:v>261.53435609999997</c:v>
                </c:pt>
                <c:pt idx="19">
                  <c:v>260.51451250000002</c:v>
                </c:pt>
                <c:pt idx="20">
                  <c:v>259.40643440000002</c:v>
                </c:pt>
                <c:pt idx="21">
                  <c:v>258.2778194</c:v>
                </c:pt>
                <c:pt idx="22">
                  <c:v>256.91114219999997</c:v>
                </c:pt>
                <c:pt idx="23">
                  <c:v>256.8593765</c:v>
                </c:pt>
                <c:pt idx="24">
                  <c:v>256.91337069999997</c:v>
                </c:pt>
                <c:pt idx="25">
                  <c:v>256.94107939999998</c:v>
                </c:pt>
                <c:pt idx="26">
                  <c:v>256.94923299999999</c:v>
                </c:pt>
                <c:pt idx="27">
                  <c:v>257.08059639999999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BF-4747-89C8-96E1A42AFE4D}"/>
            </c:ext>
          </c:extLst>
        </c:ser>
        <c:ser>
          <c:idx val="1"/>
          <c:order val="1"/>
          <c:tx>
            <c:strRef>
              <c:f>Feuil1!$F$1</c:f>
              <c:strCache>
                <c:ptCount val="1"/>
                <c:pt idx="0">
                  <c:v>AMS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Feuil1!$D$2:$D$48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cat>
          <c:val>
            <c:numRef>
              <c:f>Feuil1!$F$2:$F$48</c:f>
              <c:numCache>
                <c:formatCode>0.0</c:formatCode>
                <c:ptCount val="28"/>
                <c:pt idx="0">
                  <c:v>276.44533899999999</c:v>
                </c:pt>
                <c:pt idx="1">
                  <c:v>269.98871539999999</c:v>
                </c:pt>
                <c:pt idx="2">
                  <c:v>264.6374907</c:v>
                </c:pt>
                <c:pt idx="3">
                  <c:v>254.22601659999998</c:v>
                </c:pt>
                <c:pt idx="4">
                  <c:v>243.20829030000002</c:v>
                </c:pt>
                <c:pt idx="5">
                  <c:v>233.32054819999999</c:v>
                </c:pt>
                <c:pt idx="6">
                  <c:v>223.1186198</c:v>
                </c:pt>
                <c:pt idx="7">
                  <c:v>212.84226169999999</c:v>
                </c:pt>
                <c:pt idx="8">
                  <c:v>202.21041890000001</c:v>
                </c:pt>
                <c:pt idx="9">
                  <c:v>191.76934969999999</c:v>
                </c:pt>
                <c:pt idx="10">
                  <c:v>181.94581249999999</c:v>
                </c:pt>
                <c:pt idx="11">
                  <c:v>172.42405049999999</c:v>
                </c:pt>
                <c:pt idx="12">
                  <c:v>163.28612990000002</c:v>
                </c:pt>
                <c:pt idx="13">
                  <c:v>153.43658330000002</c:v>
                </c:pt>
                <c:pt idx="14">
                  <c:v>143.90918400000001</c:v>
                </c:pt>
                <c:pt idx="15">
                  <c:v>134.76850999999999</c:v>
                </c:pt>
                <c:pt idx="16">
                  <c:v>126.34428129999999</c:v>
                </c:pt>
                <c:pt idx="17">
                  <c:v>118.0972891</c:v>
                </c:pt>
                <c:pt idx="18">
                  <c:v>114.0896644</c:v>
                </c:pt>
                <c:pt idx="19">
                  <c:v>110.0716425</c:v>
                </c:pt>
                <c:pt idx="20">
                  <c:v>106.0531629</c:v>
                </c:pt>
                <c:pt idx="21">
                  <c:v>101.9839506</c:v>
                </c:pt>
                <c:pt idx="22">
                  <c:v>97.597415389999995</c:v>
                </c:pt>
                <c:pt idx="23">
                  <c:v>94.186015819999909</c:v>
                </c:pt>
                <c:pt idx="24">
                  <c:v>91.295731660000001</c:v>
                </c:pt>
                <c:pt idx="25">
                  <c:v>89.090550659999991</c:v>
                </c:pt>
                <c:pt idx="26">
                  <c:v>87.016371359999994</c:v>
                </c:pt>
                <c:pt idx="27">
                  <c:v>84.965323249999997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1BF-4747-89C8-96E1A42AFE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6451151"/>
        <c:axId val="1006452591"/>
      </c:lineChart>
      <c:catAx>
        <c:axId val="1006451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06452591"/>
        <c:crosses val="autoZero"/>
        <c:auto val="1"/>
        <c:lblAlgn val="ctr"/>
        <c:lblOffset val="100"/>
        <c:noMultiLvlLbl val="0"/>
      </c:catAx>
      <c:valAx>
        <c:axId val="100645259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06451151"/>
        <c:crosses val="autoZero"/>
        <c:crossBetween val="between"/>
        <c:majorUnit val="50"/>
        <c:minorUnit val="1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Titre du graphique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7.3835039786960974E-2"/>
          <c:y val="0.19199059976233585"/>
          <c:w val="0.91111197791769516"/>
          <c:h val="0.62158940284337161"/>
        </c:manualLayout>
      </c:layout>
      <c:lineChart>
        <c:grouping val="standard"/>
        <c:varyColors val="0"/>
        <c:ser>
          <c:idx val="1"/>
          <c:order val="0"/>
          <c:tx>
            <c:strRef>
              <c:f>'T parc auto'!$A$4</c:f>
              <c:strCache>
                <c:ptCount val="1"/>
                <c:pt idx="0">
                  <c:v>SNBC3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'T parc auto'!$I$3:$AM$3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'T parc auto'!$I$6:$AM$6</c:f>
              <c:numCache>
                <c:formatCode>0%</c:formatCode>
                <c:ptCount val="31"/>
                <c:pt idx="0">
                  <c:v>1.0549612494011675E-2</c:v>
                </c:pt>
                <c:pt idx="1">
                  <c:v>1.3370152958694471E-2</c:v>
                </c:pt>
                <c:pt idx="2">
                  <c:v>1.7068353871639307E-2</c:v>
                </c:pt>
                <c:pt idx="3">
                  <c:v>2.1560484804156763E-2</c:v>
                </c:pt>
                <c:pt idx="4">
                  <c:v>2.7276062330339156E-2</c:v>
                </c:pt>
                <c:pt idx="5">
                  <c:v>3.1997319225428117E-2</c:v>
                </c:pt>
                <c:pt idx="6">
                  <c:v>3.954894598401397E-2</c:v>
                </c:pt>
                <c:pt idx="7">
                  <c:v>4.912827967237321E-2</c:v>
                </c:pt>
                <c:pt idx="8">
                  <c:v>6.0360874621311851E-2</c:v>
                </c:pt>
                <c:pt idx="9">
                  <c:v>7.302888676131962E-2</c:v>
                </c:pt>
                <c:pt idx="10">
                  <c:v>8.4082114767037849E-2</c:v>
                </c:pt>
                <c:pt idx="11">
                  <c:v>9.8451339087504475E-2</c:v>
                </c:pt>
                <c:pt idx="12">
                  <c:v>0.11410526600724798</c:v>
                </c:pt>
                <c:pt idx="13">
                  <c:v>0.13074066205247761</c:v>
                </c:pt>
                <c:pt idx="14">
                  <c:v>0.1481262547361418</c:v>
                </c:pt>
                <c:pt idx="15">
                  <c:v>0.16331825819851381</c:v>
                </c:pt>
                <c:pt idx="16">
                  <c:v>0.18074283929098284</c:v>
                </c:pt>
                <c:pt idx="17">
                  <c:v>0.19924386307985018</c:v>
                </c:pt>
                <c:pt idx="18">
                  <c:v>0.21817132441443507</c:v>
                </c:pt>
                <c:pt idx="19">
                  <c:v>0.23724402741799522</c:v>
                </c:pt>
                <c:pt idx="20">
                  <c:v>0.25630153370548803</c:v>
                </c:pt>
                <c:pt idx="21">
                  <c:v>0.27461002849669364</c:v>
                </c:pt>
                <c:pt idx="22">
                  <c:v>0.29252092819479708</c:v>
                </c:pt>
                <c:pt idx="23">
                  <c:v>0.31015942812832731</c:v>
                </c:pt>
                <c:pt idx="24">
                  <c:v>0.32753918150345268</c:v>
                </c:pt>
                <c:pt idx="25">
                  <c:v>0.34281042748568152</c:v>
                </c:pt>
                <c:pt idx="26">
                  <c:v>0.35870955837489749</c:v>
                </c:pt>
                <c:pt idx="27">
                  <c:v>0.37468655920437549</c:v>
                </c:pt>
                <c:pt idx="28">
                  <c:v>0.39048616178572648</c:v>
                </c:pt>
                <c:pt idx="29">
                  <c:v>0.40600042412905146</c:v>
                </c:pt>
                <c:pt idx="30">
                  <c:v>0.42117829198769108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CF-413C-A382-BDDA928D9525}"/>
            </c:ext>
          </c:extLst>
        </c:ser>
        <c:ser>
          <c:idx val="2"/>
          <c:order val="1"/>
          <c:tx>
            <c:strRef>
              <c:f>'[5]T parc auto'!$A$4</c:f>
              <c:strCache>
                <c:ptCount val="1"/>
                <c:pt idx="0">
                  <c:v>TEND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'T parc auto'!$I$3:$AM$3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'[5]T parc auto'!$I$6:$AM$6</c:f>
              <c:numCache>
                <c:formatCode>General</c:formatCode>
                <c:ptCount val="31"/>
                <c:pt idx="0">
                  <c:v>8.5699726798540449E-3</c:v>
                </c:pt>
                <c:pt idx="1">
                  <c:v>1.3125767536852568E-2</c:v>
                </c:pt>
                <c:pt idx="2">
                  <c:v>2.093814652035246E-2</c:v>
                </c:pt>
                <c:pt idx="3">
                  <c:v>2.9339596650975963E-2</c:v>
                </c:pt>
                <c:pt idx="4">
                  <c:v>3.8422705171822412E-2</c:v>
                </c:pt>
                <c:pt idx="5">
                  <c:v>4.8298948326351107E-2</c:v>
                </c:pt>
                <c:pt idx="6">
                  <c:v>5.9426982864022086E-2</c:v>
                </c:pt>
                <c:pt idx="7">
                  <c:v>7.1945526561541698E-2</c:v>
                </c:pt>
                <c:pt idx="8">
                  <c:v>8.5942049539349558E-2</c:v>
                </c:pt>
                <c:pt idx="9">
                  <c:v>0.10147172535354351</c:v>
                </c:pt>
                <c:pt idx="10">
                  <c:v>0.11859008108472456</c:v>
                </c:pt>
                <c:pt idx="11">
                  <c:v>0.13730358074183932</c:v>
                </c:pt>
                <c:pt idx="12">
                  <c:v>0.15763780877629907</c:v>
                </c:pt>
                <c:pt idx="13">
                  <c:v>0.17959577390884213</c:v>
                </c:pt>
                <c:pt idx="14">
                  <c:v>0.20315166958215294</c:v>
                </c:pt>
                <c:pt idx="15">
                  <c:v>0.22824904180571959</c:v>
                </c:pt>
                <c:pt idx="16">
                  <c:v>0.2547637951132391</c:v>
                </c:pt>
                <c:pt idx="17">
                  <c:v>0.28256330245612871</c:v>
                </c:pt>
                <c:pt idx="18">
                  <c:v>0.31147078409409074</c:v>
                </c:pt>
                <c:pt idx="19">
                  <c:v>0.34127816401018973</c:v>
                </c:pt>
                <c:pt idx="20">
                  <c:v>0.3717464103001657</c:v>
                </c:pt>
                <c:pt idx="21">
                  <c:v>0.40269710709271045</c:v>
                </c:pt>
                <c:pt idx="22">
                  <c:v>0.43384849821076515</c:v>
                </c:pt>
                <c:pt idx="23">
                  <c:v>0.464913357170052</c:v>
                </c:pt>
                <c:pt idx="24">
                  <c:v>0.49563467577965337</c:v>
                </c:pt>
                <c:pt idx="25">
                  <c:v>0.52577836510113596</c:v>
                </c:pt>
                <c:pt idx="26">
                  <c:v>0.55514202702634574</c:v>
                </c:pt>
                <c:pt idx="27">
                  <c:v>0.58357173153926301</c:v>
                </c:pt>
                <c:pt idx="28">
                  <c:v>0.61094374421556352</c:v>
                </c:pt>
                <c:pt idx="29">
                  <c:v>0.63716406480512056</c:v>
                </c:pt>
                <c:pt idx="30">
                  <c:v>0.66218106938290833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ACF-413C-A382-BDDA928D95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8753344"/>
        <c:axId val="688757280"/>
      </c:lineChart>
      <c:catAx>
        <c:axId val="688753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1920000" spcFirstLastPara="1" vertOverflow="ellipsis" wrap="square" anchor="ctr" anchorCtr="1"/>
          <a:lstStyle/>
          <a:p>
            <a:pPr>
              <a:defRPr sz="1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8757280"/>
        <c:crosses val="autoZero"/>
        <c:auto val="1"/>
        <c:lblAlgn val="ctr"/>
        <c:lblOffset val="100"/>
        <c:noMultiLvlLbl val="0"/>
      </c:catAx>
      <c:valAx>
        <c:axId val="68875728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b="1">
                    <a:solidFill>
                      <a:sysClr val="windowText" lastClr="000000"/>
                    </a:solidFill>
                  </a:rPr>
                  <a:t>Pénétration véhicule</a:t>
                </a:r>
                <a:r>
                  <a:rPr lang="fr-FR" b="1" baseline="0">
                    <a:solidFill>
                      <a:sysClr val="windowText" lastClr="000000"/>
                    </a:solidFill>
                  </a:rPr>
                  <a:t> elec (% du parc)</a:t>
                </a:r>
              </a:p>
              <a:p>
                <a:pPr>
                  <a:defRPr/>
                </a:pPr>
                <a:r>
                  <a:rPr lang="fr-FR" b="1" baseline="0">
                    <a:solidFill>
                      <a:sysClr val="windowText" lastClr="000000"/>
                    </a:solidFill>
                  </a:rPr>
                  <a:t>(actualiser TEND)</a:t>
                </a:r>
                <a:endParaRPr lang="fr-FR" b="1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3.1474388951702174E-2"/>
              <c:y val="3.6541706678870904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8753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500"/>
      </a:pPr>
      <a:endParaRPr lang="fr-FR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'Table Graphs'!$B$10</c:f>
          <c:strCache>
            <c:ptCount val="1"/>
            <c:pt idx="0">
              <c:v>SNBC3 : Ventilation du parc auto (%)</c:v>
            </c:pt>
          </c:strCache>
        </c:strRef>
      </c:tx>
      <c:layout>
        <c:manualLayout>
          <c:xMode val="edge"/>
          <c:yMode val="edge"/>
          <c:x val="2.7810470205815105E-2"/>
          <c:y val="2.089552287919903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3"/>
          <c:order val="0"/>
          <c:tx>
            <c:strRef>
              <c:f>'T parc auto'!$C$18</c:f>
              <c:strCache>
                <c:ptCount val="1"/>
                <c:pt idx="0">
                  <c:v>Fortement émettrices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-1.0008066809404825E-16"/>
                  <c:y val="-8.3577608637318088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A82-44F6-A16A-C8BCAA280A4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parc auto'!$I$12:$K$12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parc auto'!$I$18:$K$18</c:f>
              <c:numCache>
                <c:formatCode>0%</c:formatCode>
                <c:ptCount val="3"/>
                <c:pt idx="0">
                  <c:v>0.12271110833817256</c:v>
                </c:pt>
                <c:pt idx="1">
                  <c:v>7.3976203739604743E-2</c:v>
                </c:pt>
                <c:pt idx="2">
                  <c:v>2.3114508464644717E-2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82-44F6-A16A-C8BCAA280A45}"/>
            </c:ext>
          </c:extLst>
        </c:ser>
        <c:ser>
          <c:idx val="2"/>
          <c:order val="1"/>
          <c:tx>
            <c:strRef>
              <c:f>'T parc auto'!$C$17</c:f>
              <c:strCache>
                <c:ptCount val="1"/>
                <c:pt idx="0">
                  <c:v>Modérément émettrices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parc auto'!$I$12:$K$12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parc auto'!$I$17:$K$17</c:f>
              <c:numCache>
                <c:formatCode>0%</c:formatCode>
                <c:ptCount val="3"/>
                <c:pt idx="0">
                  <c:v>0.72242814545097089</c:v>
                </c:pt>
                <c:pt idx="1">
                  <c:v>0.66097532867001352</c:v>
                </c:pt>
                <c:pt idx="2">
                  <c:v>0.39097737523863813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82-44F6-A16A-C8BCAA280A45}"/>
            </c:ext>
          </c:extLst>
        </c:ser>
        <c:ser>
          <c:idx val="1"/>
          <c:order val="2"/>
          <c:tx>
            <c:strRef>
              <c:f>'T parc auto'!$C$16</c:f>
              <c:strCache>
                <c:ptCount val="1"/>
                <c:pt idx="0">
                  <c:v>Faiblement émettrices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parc auto'!$I$12:$K$12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parc auto'!$I$16:$K$16</c:f>
              <c:numCache>
                <c:formatCode>0%</c:formatCode>
                <c:ptCount val="3"/>
                <c:pt idx="0">
                  <c:v>0.14431113387431194</c:v>
                </c:pt>
                <c:pt idx="1">
                  <c:v>0.18096635276140935</c:v>
                </c:pt>
                <c:pt idx="2">
                  <c:v>0.164729824166155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82-44F6-A16A-C8BCAA280A45}"/>
            </c:ext>
          </c:extLst>
        </c:ser>
        <c:ser>
          <c:idx val="0"/>
          <c:order val="3"/>
          <c:tx>
            <c:strRef>
              <c:f>'T parc auto'!$C$14</c:f>
              <c:strCache>
                <c:ptCount val="1"/>
                <c:pt idx="0">
                  <c:v>Electriques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parc auto'!$I$12:$K$12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parc auto'!$I$14:$K$14</c:f>
              <c:numCache>
                <c:formatCode>0%</c:formatCode>
                <c:ptCount val="3"/>
                <c:pt idx="0">
                  <c:v>1.0549612494011675E-2</c:v>
                </c:pt>
                <c:pt idx="1">
                  <c:v>8.4082114767037849E-2</c:v>
                </c:pt>
                <c:pt idx="2">
                  <c:v>0.42117829198769108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A82-44F6-A16A-C8BCAA280A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11368712"/>
        <c:axId val="311369104"/>
      </c:barChart>
      <c:catAx>
        <c:axId val="311368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9104"/>
        <c:crosses val="autoZero"/>
        <c:auto val="1"/>
        <c:lblAlgn val="ctr"/>
        <c:lblOffset val="100"/>
        <c:noMultiLvlLbl val="0"/>
      </c:catAx>
      <c:valAx>
        <c:axId val="31136910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8712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1103162901676298"/>
          <c:y val="0.21336550323470299"/>
          <c:w val="0.28077254186433814"/>
          <c:h val="0.688549910883573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'Table Graphs'!$B$11</c:f>
          <c:strCache>
            <c:ptCount val="1"/>
            <c:pt idx="0">
              <c:v>SNBC3 : Ventilation du parc de logements (%)</c:v>
            </c:pt>
          </c:strCache>
        </c:strRef>
      </c:tx>
      <c:layout>
        <c:manualLayout>
          <c:xMode val="edge"/>
          <c:yMode val="edge"/>
          <c:x val="3.4237370593317988E-2"/>
          <c:y val="1.25373137275194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6658523898908643E-2"/>
          <c:y val="8.8051017074071342E-2"/>
          <c:w val="0.68257048305485446"/>
          <c:h val="0.82845108449838833"/>
        </c:manualLayout>
      </c:layout>
      <c:barChart>
        <c:barDir val="col"/>
        <c:grouping val="stacked"/>
        <c:varyColors val="0"/>
        <c:ser>
          <c:idx val="2"/>
          <c:order val="0"/>
          <c:tx>
            <c:strRef>
              <c:f>'T logement'!$Y$19</c:f>
              <c:strCache>
                <c:ptCount val="1"/>
                <c:pt idx="0">
                  <c:v>Passoires énergétiques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logement'!$Z$16:$AB$16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logement'!$Z$19:$AB$19</c:f>
              <c:numCache>
                <c:formatCode>0.0%</c:formatCode>
                <c:ptCount val="3"/>
                <c:pt idx="0">
                  <c:v>0.16967003267360078</c:v>
                </c:pt>
                <c:pt idx="1">
                  <c:v>0.1348237086701263</c:v>
                </c:pt>
                <c:pt idx="2">
                  <c:v>9.5743073491120767E-2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7D-4A1E-817A-62C204FE9217}"/>
            </c:ext>
          </c:extLst>
        </c:ser>
        <c:ser>
          <c:idx val="1"/>
          <c:order val="1"/>
          <c:tx>
            <c:strRef>
              <c:f>'T logement'!$Y$18</c:f>
              <c:strCache>
                <c:ptCount val="1"/>
                <c:pt idx="0">
                  <c:v>Consommation modérée 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logement'!$Z$16:$AB$16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logement'!$Z$18:$AB$18</c:f>
              <c:numCache>
                <c:formatCode>0.0%</c:formatCode>
                <c:ptCount val="3"/>
                <c:pt idx="0">
                  <c:v>0.76002529104949057</c:v>
                </c:pt>
                <c:pt idx="1">
                  <c:v>0.74059798396084187</c:v>
                </c:pt>
                <c:pt idx="2">
                  <c:v>0.61369543759849066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7D-4A1E-817A-62C204FE9217}"/>
            </c:ext>
          </c:extLst>
        </c:ser>
        <c:ser>
          <c:idx val="0"/>
          <c:order val="2"/>
          <c:tx>
            <c:strRef>
              <c:f>'T logement'!$Y$17</c:f>
              <c:strCache>
                <c:ptCount val="1"/>
                <c:pt idx="0">
                  <c:v>Basse consommation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logement'!$Z$16:$AB$16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logement'!$Z$17:$AB$17</c:f>
              <c:numCache>
                <c:formatCode>0.0%</c:formatCode>
                <c:ptCount val="3"/>
                <c:pt idx="0">
                  <c:v>7.0304676111152042E-2</c:v>
                </c:pt>
                <c:pt idx="1">
                  <c:v>0.12457830748332926</c:v>
                </c:pt>
                <c:pt idx="2">
                  <c:v>0.29098879444173076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F7D-4A1E-817A-62C204FE92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11369888"/>
        <c:axId val="311370280"/>
      </c:barChart>
      <c:catAx>
        <c:axId val="3113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70280"/>
        <c:crosses val="autoZero"/>
        <c:auto val="1"/>
        <c:lblAlgn val="ctr"/>
        <c:lblOffset val="100"/>
        <c:noMultiLvlLbl val="0"/>
      </c:catAx>
      <c:valAx>
        <c:axId val="31137028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9888"/>
        <c:crosses val="autoZero"/>
        <c:crossBetween val="between"/>
        <c:min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791440886990928"/>
          <c:y val="0.32089954452336433"/>
          <c:w val="0.1938897620111919"/>
          <c:h val="0.4944075879049475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300-000000000000}">
  <sheetPr codeName="Graphique4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400-000000000000}">
  <sheetPr codeName="Graphique5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500-000000000000}">
  <sheetPr codeName="Graphique6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600-000000000000}">
  <sheetPr codeName="Graphique7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700-000000000000}">
  <sheetPr codeName="Graphique8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900-000000000000}">
  <sheetPr codeName="Graphique10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B00-000000000000}">
  <sheetPr codeName="Graphique12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C00-000000000000}">
  <sheetPr codeName="Graphique13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D00-000000000000}">
  <sheetPr codeName="Graphique14"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10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000-000000000000}">
  <sheetPr codeName="Graphique17">
    <tabColor rgb="FFFF0000"/>
  </sheetPr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714375</xdr:colOff>
      <xdr:row>28</xdr:row>
      <xdr:rowOff>185737</xdr:rowOff>
    </xdr:from>
    <xdr:to>
      <xdr:col>14</xdr:col>
      <xdr:colOff>714375</xdr:colOff>
      <xdr:row>43</xdr:row>
      <xdr:rowOff>71437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86EB6974-8A37-BA40-398A-FB2AD4A34B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demecloud-my.sharepoint.com/Users/Callonnecg/Github/ThreeME/data/shocks/Bilan%20S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Github\ThreeME\data\shocks\Bilan%20&#233;nergie%20-%20AMErun2%20-%20AMSrun3.xlsx" TargetMode="External"/><Relationship Id="rId1" Type="http://schemas.openxmlformats.org/officeDocument/2006/relationships/externalLinkPath" Target="/Github/ThreeME/data/shocks/Bilan%20&#233;nergie%20-%20AMErun2%20-%20AMSrun3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allonnecg\Documents\Github\ThreeME\data\calibrations\Documents%20MTE\AMS-run2\001_Transports\Transports_AMS_run2-vf10.xlsx" TargetMode="External"/><Relationship Id="rId1" Type="http://schemas.openxmlformats.org/officeDocument/2006/relationships/externalLinkPath" Target="/Users/callonnecg/Documents/Github/ThreeME/data/calibrations/Documents%20MTE/AMS-run2/001_Transports/Transports_AMS_run2-vf10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ma.monserand\Desktop\Temporaire\reporting%202%20-%20energie%20SNBC3%20-%20template%20parts%20modales%20voyageurs.xlsx" TargetMode="External"/><Relationship Id="rId1" Type="http://schemas.openxmlformats.org/officeDocument/2006/relationships/externalLinkPath" Target="https://ademecloud-my.sharepoint.com/Users/alma.monserand/Desktop/Temporaire/reporting%202%20-%20energie%20SNBC3%20-%20template%20parts%20modales%20voyageurs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allonnecg\Github\ThreeME\results\reporting%201%20-%20energie%20TEND.xlsx" TargetMode="External"/><Relationship Id="rId1" Type="http://schemas.openxmlformats.org/officeDocument/2006/relationships/externalLinkPath" Target="https://ademecloud-my.sharepoint.com/Users/alma.monserand/Documents/GitHub/ThreeME/results/reporting%201%20-%20energie%20TEND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Github\ThreeME\results\reporting%201%20-%20energie%20TEND.xlsx" TargetMode="External"/><Relationship Id="rId1" Type="http://schemas.openxmlformats.org/officeDocument/2006/relationships/externalLinkPath" Target="reporting%201%20-%20energie%20TEN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euil1"/>
      <sheetName val="Cibles THREEME"/>
      <sheetName val="Bilan 2030"/>
      <sheetName val="Bilan 2050"/>
      <sheetName val="Bilan 2020 BAU"/>
      <sheetName val="Bilan 2006"/>
      <sheetName val="Bilan 2010"/>
      <sheetName val="Bilan 2015"/>
      <sheetName val="Bilan 2025"/>
      <sheetName val="bilan énergie format SDS"/>
      <sheetName val="Bilan enerdata_2015"/>
      <sheetName val="Bilan enerdata_2020"/>
      <sheetName val="Bilan enerdata_2025"/>
      <sheetName val="Bilan enerdata_2030"/>
      <sheetName val="Bilan enerdata_2050"/>
      <sheetName val="Demande Format Medpro"/>
      <sheetName val="Format demande MedPro_2015"/>
      <sheetName val="Corrections Bilan enerdata"/>
      <sheetName val="Modèle tertiaire_2015"/>
      <sheetName val="Modèle tertiaire_2020"/>
      <sheetName val="Modèle tertiaire_2025"/>
      <sheetName val="Modèle tertiaire_2030"/>
      <sheetName val="Modèle tertiaire_2050"/>
      <sheetName val="Modèle résidentiel ch_2015"/>
      <sheetName val="Modèle résidentiel ch_2020"/>
      <sheetName val="Modèle résidentiel ch_2025"/>
      <sheetName val="Modèle résidentiel ch_2030"/>
      <sheetName val="Modèle résidentiel ch_2050"/>
      <sheetName val="Modèle résidentiel hch_2015"/>
      <sheetName val="Modèle résidentiel hch_2020"/>
      <sheetName val="Modèle résidentiel hch_2025"/>
      <sheetName val="Modèle résidentiel hch_2030"/>
      <sheetName val="Modèle résidentiel hch_2050"/>
      <sheetName val="Mix énergie_2015"/>
      <sheetName val="Mix énergie_2020"/>
      <sheetName val="Mix énergie_2025"/>
      <sheetName val="Mix énergie_2030"/>
      <sheetName val="Mix énergie_2050"/>
    </sheetNames>
    <sheetDataSet>
      <sheetData sheetId="0" refreshError="1"/>
      <sheetData sheetId="1" refreshError="1">
        <row r="4">
          <cell r="H4">
            <v>10.400607231191495</v>
          </cell>
          <cell r="AJ4">
            <v>9.6821026074859624</v>
          </cell>
        </row>
        <row r="5">
          <cell r="H5">
            <v>3.4968412155770827</v>
          </cell>
          <cell r="AJ5">
            <v>3.4968412155770827</v>
          </cell>
        </row>
        <row r="8">
          <cell r="AJ8">
            <v>0.62105913154569725</v>
          </cell>
        </row>
        <row r="9">
          <cell r="AJ9">
            <v>0.01</v>
          </cell>
        </row>
        <row r="10">
          <cell r="H10">
            <v>2.6577034315641361</v>
          </cell>
          <cell r="AJ10">
            <v>1.0959867027277013</v>
          </cell>
        </row>
        <row r="11">
          <cell r="H11">
            <v>0</v>
          </cell>
          <cell r="AJ11">
            <v>0.01</v>
          </cell>
        </row>
        <row r="12">
          <cell r="H12">
            <v>2.2929206076239605</v>
          </cell>
          <cell r="AJ12">
            <v>12.585580636323101</v>
          </cell>
        </row>
        <row r="13">
          <cell r="H13">
            <v>0</v>
          </cell>
          <cell r="AJ13">
            <v>7.4283543184877532</v>
          </cell>
        </row>
        <row r="14">
          <cell r="H14">
            <v>17.773000859845226</v>
          </cell>
          <cell r="AJ14">
            <v>3.8663975346227235</v>
          </cell>
        </row>
        <row r="15">
          <cell r="AJ15">
            <v>0.31052956577284868</v>
          </cell>
        </row>
        <row r="17">
          <cell r="H17">
            <v>10.490111779879621</v>
          </cell>
          <cell r="AJ17">
            <v>1.3970598106217755</v>
          </cell>
        </row>
        <row r="18">
          <cell r="H18">
            <v>5.4600171969045563</v>
          </cell>
          <cell r="AJ18">
            <v>10.432652801530878</v>
          </cell>
        </row>
        <row r="19">
          <cell r="H19">
            <v>1.1621270136304822</v>
          </cell>
          <cell r="AJ19">
            <v>12.301085039507219</v>
          </cell>
        </row>
        <row r="20">
          <cell r="AJ20">
            <v>0.69912973511411425</v>
          </cell>
        </row>
        <row r="21">
          <cell r="AJ21">
            <v>0.94296387002405035</v>
          </cell>
        </row>
        <row r="22">
          <cell r="AJ22">
            <v>6.7613203915324087</v>
          </cell>
        </row>
        <row r="28">
          <cell r="H28">
            <v>5.438782729559458</v>
          </cell>
        </row>
        <row r="29">
          <cell r="H29">
            <v>11.911185835668668</v>
          </cell>
        </row>
        <row r="30">
          <cell r="H30">
            <v>12.325609312525271</v>
          </cell>
        </row>
        <row r="31">
          <cell r="H31">
            <v>0.79152054400721716</v>
          </cell>
        </row>
        <row r="32">
          <cell r="H32">
            <v>0.25795356835769562</v>
          </cell>
        </row>
        <row r="33">
          <cell r="H33">
            <v>7.4811633429693902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ibles THREEME"/>
      <sheetName val="Cibles ThreeME v2 "/>
      <sheetName val=" fonds chaleur en tep"/>
      <sheetName val=" fonds chaleur en twh"/>
      <sheetName val="Cibles THREEME AMS"/>
      <sheetName val="Cibles ThreeME v2 AMS"/>
      <sheetName val="Cibles ThreeME v2 AMS FC"/>
      <sheetName val="Cibles ThreeME v3"/>
      <sheetName val="Cibles ThreeME v3 AMS"/>
      <sheetName val="brouillon"/>
      <sheetName val="Bilan_enerdata_2015"/>
      <sheetName val="Bilan 2015"/>
      <sheetName val="Bilan 2020"/>
      <sheetName val="Bilan 2020 test"/>
      <sheetName val="Bilan 2022 réel"/>
      <sheetName val="Bilan 2023 réel"/>
      <sheetName val="Bilan 2023"/>
      <sheetName val="Bilan 2025"/>
      <sheetName val="Bilan 2028"/>
      <sheetName val="Bilan 2030"/>
      <sheetName val="Bilan 2033"/>
      <sheetName val="Bilan 2035"/>
      <sheetName val="Bilan 2038"/>
      <sheetName val="Bilan 2040"/>
      <sheetName val="Bilan 2045"/>
      <sheetName val="Bilan 2050"/>
      <sheetName val="Bilan 2023 AMS"/>
      <sheetName val="Bilan 2025 AMS"/>
      <sheetName val="Bilan 2028 AMS"/>
      <sheetName val="Bilan 2030 AMS"/>
      <sheetName val="Bilan 2033 AMS"/>
      <sheetName val="Bilan 2035 AMS"/>
      <sheetName val="Bilan 2038 AMS"/>
      <sheetName val="Bilan 2040 AMS"/>
      <sheetName val="Bilan 2045 AMS"/>
      <sheetName val="Bilan 2050 AMS"/>
      <sheetName val="Bilan_E_KP_réel_2022"/>
      <sheetName val="Bilan_E_KP_réel_2023"/>
      <sheetName val="Bilan_E_AME_Met_2020"/>
      <sheetName val="Bilan_E_KP_AME_2020"/>
      <sheetName val="Bilan_E_KP_AME_2023"/>
      <sheetName val="Bilan_E_KP_AME_2025"/>
      <sheetName val="Bilan_E_KP_AME_2028"/>
      <sheetName val="Bilan_E_KP_AME_2030"/>
      <sheetName val="Bilan_E_KP_AME_2033"/>
      <sheetName val="Bilan_E_KP_AME_2035"/>
      <sheetName val="Bilan_E_KP_AME_2038"/>
      <sheetName val="Bilan_E_KP_AME_2040"/>
      <sheetName val="Bilan_E_KP_AME_2043"/>
      <sheetName val="Bilan_E_KP_AME_2045"/>
      <sheetName val="Bilan_E_KP_AME_2050"/>
      <sheetName val="Bilan_E_KP_AME"/>
      <sheetName val="Bilans_E_AMS_KP"/>
      <sheetName val="Bilans_E_AMS_KP_2023"/>
      <sheetName val="Bilans_E_AMS_KP_2025"/>
      <sheetName val="Bilans_E_AMS_KP_2028"/>
      <sheetName val="Bilans_E_AMS_KP_2030"/>
      <sheetName val="Bilans_E_AMS_KP_2033"/>
      <sheetName val="Bilans_E_AMS_KP_2035"/>
      <sheetName val="Bilans_E_AMS_KP_2038"/>
      <sheetName val="Bilans_E_AMS_KP_2040"/>
      <sheetName val="Bilans_E_AMS_KP_2043"/>
      <sheetName val="Bilans_E_AMS_KP_2045"/>
      <sheetName val="Bilans_E_AMS_KP_2050"/>
      <sheetName val="Bilan_E_KP_AMS"/>
      <sheetName val="Bilans_E_AMS_Kyoto_run3_2023"/>
      <sheetName val="Bilans_E_AMS_Kyoto_run3_2025"/>
      <sheetName val="Bilans_E_AMS_Kyoto_run3_2028"/>
      <sheetName val="Bilans_E_AMS_Kyoto_run3_2030"/>
      <sheetName val="Bilans_E_AMS_Kyoto_run3_2033"/>
      <sheetName val="Bilans_E_AMS_Kyoto_run3_2035"/>
      <sheetName val="Bilans_E_AMS_Kyoto_run3_2038"/>
      <sheetName val="Bilans_E_AMS_Kyoto_run3_2040"/>
      <sheetName val="Bilans_E_AMS_Kyoto_run3_2045"/>
      <sheetName val="Bilans_E_AMS_Kyoto_run3_2050"/>
      <sheetName val="Bilans_E_AMS_Kyoto_run3"/>
      <sheetName val="Bilans_E_AMS_Kyoto_run3_MTE"/>
      <sheetName val="Bilans_E_AMS_Kyoto_run3_MTE_anc"/>
      <sheetName val="P1_G4-G5"/>
      <sheetName val="P1_G6"/>
      <sheetName val="bilan énergie format SDS"/>
      <sheetName val="Demande Format Medpro"/>
      <sheetName val="Format demande MedPro_2015"/>
      <sheetName val="Corrections Bilan enerdata"/>
      <sheetName val="Modèle tertiaire_2015"/>
      <sheetName val="Modèle tertiaire_2020"/>
      <sheetName val="Modèle tertiaire_2025"/>
      <sheetName val="Modèle tertiaire_2030"/>
      <sheetName val="Modèle tertiaire_2050"/>
      <sheetName val="Modèle résidentiel ch_2015"/>
      <sheetName val="Modèle résidentiel ch_2020"/>
      <sheetName val="Modèle résidentiel ch_2025"/>
      <sheetName val="Modèle résidentiel ch_2030"/>
      <sheetName val="Modèle résidentiel ch_2050"/>
      <sheetName val="Modèle résidentiel hch_2015"/>
      <sheetName val="Modèle résidentiel hch_2020"/>
      <sheetName val="Modèle résidentiel hch_2025"/>
      <sheetName val="Modèle résidentiel hch_2030"/>
      <sheetName val="Modèle résidentiel hch_2050"/>
      <sheetName val="Mix énergie_2015"/>
      <sheetName val="Bilans_E_AMS_Kyoto_2050"/>
      <sheetName val="Bilan 2050 AMS_ancien"/>
      <sheetName val="Bilans_E_AMS_Kyoto"/>
      <sheetName val=" fonds chaleur"/>
      <sheetName val="Bilan énergie - AMErun2 - AMSru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13">
          <cell r="T13">
            <v>0.74651762682717104</v>
          </cell>
          <cell r="U13">
            <v>10.069552160228</v>
          </cell>
          <cell r="V13">
            <v>13.6203670581426</v>
          </cell>
          <cell r="W13">
            <v>12.701365476499801</v>
          </cell>
          <cell r="X13">
            <v>0.94471195184866696</v>
          </cell>
        </row>
        <row r="22">
          <cell r="T22">
            <v>0.20215430661253031</v>
          </cell>
          <cell r="U22">
            <v>10.298005677194096</v>
          </cell>
          <cell r="V22">
            <v>11.912749680464922</v>
          </cell>
          <cell r="W22">
            <v>7.2062454679408585</v>
          </cell>
          <cell r="X22">
            <v>7.267406707154804E-2</v>
          </cell>
        </row>
        <row r="30">
          <cell r="T30">
            <v>6.4536710533781398E-3</v>
          </cell>
          <cell r="U30">
            <v>1.1415347236508699</v>
          </cell>
          <cell r="V30">
            <v>1.21184436300186</v>
          </cell>
          <cell r="W30">
            <v>0.710753475039681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2.9897922514510483E-2</v>
          </cell>
          <cell r="U37">
            <v>1.1062928918353545</v>
          </cell>
          <cell r="V37">
            <v>6.0818806018488383</v>
          </cell>
          <cell r="W37">
            <v>0.31568062817324566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5.1467736003962539E-3</v>
          </cell>
          <cell r="U39">
            <v>2.5010085858689085E-5</v>
          </cell>
          <cell r="V39">
            <v>0.10956763115778498</v>
          </cell>
          <cell r="W39">
            <v>7.4926332712814264E-2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2.5168214298503164</v>
          </cell>
          <cell r="W40">
            <v>0.43850634072353678</v>
          </cell>
          <cell r="X40">
            <v>0</v>
          </cell>
        </row>
        <row r="41">
          <cell r="T41">
            <v>0.12266677554967495</v>
          </cell>
          <cell r="U41">
            <v>5.6111288464125664E-2</v>
          </cell>
          <cell r="V41">
            <v>0</v>
          </cell>
          <cell r="W41">
            <v>0</v>
          </cell>
          <cell r="X41">
            <v>2.9416967808253762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39.807000000000002</v>
          </cell>
        </row>
        <row r="43">
          <cell r="T43">
            <v>3.371</v>
          </cell>
          <cell r="U43">
            <v>2.3566094604778201</v>
          </cell>
          <cell r="V43">
            <v>6.6752954110546101</v>
          </cell>
          <cell r="W43">
            <v>3.01546564464017</v>
          </cell>
          <cell r="X43">
            <v>0</v>
          </cell>
        </row>
        <row r="44">
          <cell r="T44">
            <v>0</v>
          </cell>
          <cell r="U44">
            <v>0.10895527045374473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2.2137192704974398E-3</v>
          </cell>
          <cell r="U46">
            <v>1.0493092649428299</v>
          </cell>
          <cell r="V46">
            <v>3.6764196608413298E-2</v>
          </cell>
          <cell r="W46">
            <v>4.3073392295861899E-2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3.2143188055943388</v>
          </cell>
        </row>
        <row r="53">
          <cell r="E53">
            <v>1.1015862413247299</v>
          </cell>
        </row>
        <row r="54">
          <cell r="E54">
            <v>12.452999999999999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2">
        <row r="13">
          <cell r="L13">
            <v>45.039193999999995</v>
          </cell>
          <cell r="T13">
            <v>8.0414155849497</v>
          </cell>
          <cell r="U13">
            <v>105.150592236873</v>
          </cell>
          <cell r="V13">
            <v>158.3858485003</v>
          </cell>
          <cell r="W13">
            <v>124.730012203676</v>
          </cell>
          <cell r="X13">
            <v>8.3371990700000005</v>
          </cell>
        </row>
        <row r="22">
          <cell r="T22">
            <v>2.7076685555555562</v>
          </cell>
          <cell r="U22">
            <v>116.5874281388889</v>
          </cell>
          <cell r="V22">
            <v>125.05981224999999</v>
          </cell>
          <cell r="W22">
            <v>66.374696373468396</v>
          </cell>
          <cell r="X22">
            <v>2.2477144999999998</v>
          </cell>
        </row>
        <row r="30">
          <cell r="T30">
            <v>0.189373333333333</v>
          </cell>
          <cell r="U30">
            <v>18.686166128192799</v>
          </cell>
          <cell r="V30">
            <v>14.411899999999999</v>
          </cell>
          <cell r="W30">
            <v>9.5887644444444504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1.69047944444444</v>
          </cell>
          <cell r="U37">
            <v>15.5648575</v>
          </cell>
          <cell r="V37">
            <v>69.4067088888889</v>
          </cell>
          <cell r="W37">
            <v>2.8232277777777801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0.29232166666666698</v>
          </cell>
          <cell r="U39">
            <v>1.51127777777778E-2</v>
          </cell>
          <cell r="V39">
            <v>1.04480216638667</v>
          </cell>
          <cell r="W39">
            <v>0.354625058755556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27.426589444444399</v>
          </cell>
          <cell r="W40">
            <v>4.4857555555555599</v>
          </cell>
          <cell r="X40">
            <v>0</v>
          </cell>
        </row>
        <row r="41">
          <cell r="T41">
            <v>1.93666726391606</v>
          </cell>
          <cell r="U41">
            <v>1.0434102222764099</v>
          </cell>
          <cell r="V41">
            <v>0</v>
          </cell>
          <cell r="W41">
            <v>0</v>
          </cell>
          <cell r="X41">
            <v>30.751352031352699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384.06791201745</v>
          </cell>
        </row>
        <row r="43">
          <cell r="T43">
            <v>37.008579624305803</v>
          </cell>
          <cell r="U43">
            <v>30.361762354379302</v>
          </cell>
          <cell r="V43">
            <v>49.863308104442503</v>
          </cell>
          <cell r="W43">
            <v>31.480497483360899</v>
          </cell>
          <cell r="X43">
            <v>0</v>
          </cell>
        </row>
        <row r="44">
          <cell r="T44">
            <v>0</v>
          </cell>
          <cell r="U44">
            <v>3.5678886111111101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1.5371382629999999E-2</v>
          </cell>
          <cell r="U46">
            <v>8.9862670625500005</v>
          </cell>
          <cell r="V46">
            <v>0.24074954805000001</v>
          </cell>
          <cell r="W46">
            <v>0.35525487623000002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27.795210764186699</v>
          </cell>
        </row>
        <row r="53">
          <cell r="E53">
            <v>12.027936499999999</v>
          </cell>
        </row>
        <row r="54">
          <cell r="E54">
            <v>130.484119421548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3" refreshError="1"/>
      <sheetData sheetId="14">
        <row r="13">
          <cell r="T13">
            <v>7.8260000000000005</v>
          </cell>
          <cell r="U13">
            <v>107.64707300000001</v>
          </cell>
          <cell r="V13">
            <v>155.36990600000001</v>
          </cell>
          <cell r="W13">
            <v>133.03417000000002</v>
          </cell>
          <cell r="X13">
            <v>10.823198000000001</v>
          </cell>
        </row>
        <row r="22">
          <cell r="T22">
            <v>2.7474958333333332</v>
          </cell>
          <cell r="U22">
            <v>108.57266219444446</v>
          </cell>
          <cell r="V22">
            <v>110.55954550000001</v>
          </cell>
          <cell r="W22">
            <v>67.887248027777787</v>
          </cell>
          <cell r="X22">
            <v>3.7083049999999997</v>
          </cell>
        </row>
        <row r="30">
          <cell r="T30">
            <v>0.23347250000000003</v>
          </cell>
          <cell r="U30">
            <v>21.793321666666667</v>
          </cell>
          <cell r="V30">
            <v>14.53032638888889</v>
          </cell>
          <cell r="W30">
            <v>9.7167455555555549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1.8437186111111112</v>
          </cell>
          <cell r="U37">
            <v>15.531573611111112</v>
          </cell>
          <cell r="V37">
            <v>69.611392402361105</v>
          </cell>
          <cell r="W37">
            <v>3.2420080555555599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0.29211333333333334</v>
          </cell>
          <cell r="U39">
            <v>2.4585833333333335E-2</v>
          </cell>
          <cell r="V39">
            <v>2.5257802777777778</v>
          </cell>
          <cell r="W39">
            <v>0.34678083333333298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39.547388055555558</v>
          </cell>
          <cell r="W40">
            <v>4.8885494444444442</v>
          </cell>
          <cell r="X40">
            <v>0</v>
          </cell>
        </row>
        <row r="41">
          <cell r="T41">
            <v>2.0636319502888534</v>
          </cell>
          <cell r="U41">
            <v>0.8896092618446092</v>
          </cell>
          <cell r="V41">
            <v>0</v>
          </cell>
          <cell r="W41">
            <v>0</v>
          </cell>
          <cell r="X41">
            <v>35.98692255406236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468.70719657595708</v>
          </cell>
        </row>
        <row r="43">
          <cell r="T43">
            <v>39.452873847389007</v>
          </cell>
          <cell r="U43">
            <v>27.924680978677003</v>
          </cell>
          <cell r="V43">
            <v>40.712038874909005</v>
          </cell>
          <cell r="W43">
            <v>24.208682698433005</v>
          </cell>
          <cell r="X43">
            <v>0</v>
          </cell>
        </row>
        <row r="44">
          <cell r="T44">
            <v>0</v>
          </cell>
          <cell r="U44">
            <v>4.4104077777777784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1.9208852320000001E-2</v>
          </cell>
          <cell r="U46">
            <v>7.3736578567600004</v>
          </cell>
          <cell r="V46">
            <v>0.30791956671000004</v>
          </cell>
          <cell r="W46">
            <v>0.38187951663999997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44.997299641464451</v>
          </cell>
        </row>
        <row r="53">
          <cell r="E53">
            <v>10.145451250000001</v>
          </cell>
        </row>
        <row r="54">
          <cell r="E54">
            <v>107.81117013444999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5">
        <row r="13">
          <cell r="T13">
            <v>7.6348390000000004</v>
          </cell>
          <cell r="U13">
            <v>103.14419500000001</v>
          </cell>
          <cell r="V13">
            <v>151.42570800000004</v>
          </cell>
          <cell r="W13">
            <v>130.260345</v>
          </cell>
          <cell r="X13">
            <v>10.543191</v>
          </cell>
        </row>
        <row r="22">
          <cell r="T22">
            <v>2.7313033333333334</v>
          </cell>
          <cell r="U22">
            <v>100.79992327777778</v>
          </cell>
          <cell r="V22">
            <v>103.59429425</v>
          </cell>
          <cell r="W22">
            <v>63.657246916666658</v>
          </cell>
          <cell r="X22">
            <v>3.7083049999999997</v>
          </cell>
        </row>
        <row r="30">
          <cell r="T30">
            <v>0.26707805555555558</v>
          </cell>
          <cell r="U30">
            <v>21.859968333333335</v>
          </cell>
          <cell r="V30">
            <v>15.629575833333334</v>
          </cell>
          <cell r="W30">
            <v>9.8594538888888898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1.8475597222222224</v>
          </cell>
          <cell r="U37">
            <v>14.497804722222222</v>
          </cell>
          <cell r="V37">
            <v>70.150979653888882</v>
          </cell>
          <cell r="W37">
            <v>3.2188041666666698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0.29294666666666669</v>
          </cell>
          <cell r="U39">
            <v>2.5632777777777779E-2</v>
          </cell>
          <cell r="V39">
            <v>2.6333313888888892</v>
          </cell>
          <cell r="W39">
            <v>0.353265833333333</v>
          </cell>
          <cell r="X39">
            <v>0</v>
          </cell>
        </row>
        <row r="40">
          <cell r="T40">
            <v>0</v>
          </cell>
          <cell r="U40">
            <v>2.6356574892997744E-4</v>
          </cell>
          <cell r="V40">
            <v>44.439514166666662</v>
          </cell>
          <cell r="W40">
            <v>5.0584755555555549</v>
          </cell>
          <cell r="X40">
            <v>0</v>
          </cell>
        </row>
        <row r="41">
          <cell r="T41">
            <v>2.0636319502888525</v>
          </cell>
          <cell r="U41">
            <v>0.89176663588059402</v>
          </cell>
          <cell r="V41">
            <v>0</v>
          </cell>
          <cell r="W41">
            <v>4.4999999999999929E-2</v>
          </cell>
          <cell r="X41">
            <v>37.735735445533919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452.34819647075807</v>
          </cell>
        </row>
        <row r="43">
          <cell r="T43">
            <v>37.704445299680003</v>
          </cell>
          <cell r="U43">
            <v>26.970422859407002</v>
          </cell>
          <cell r="V43">
            <v>35.382495305294</v>
          </cell>
          <cell r="W43">
            <v>23.957943117617006</v>
          </cell>
          <cell r="X43">
            <v>0</v>
          </cell>
        </row>
        <row r="44">
          <cell r="T44">
            <v>0</v>
          </cell>
          <cell r="U44">
            <v>4.1018563888888897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1.4204347020000001E-2</v>
          </cell>
          <cell r="U46">
            <v>6.7561224064300012</v>
          </cell>
          <cell r="V46">
            <v>0.23010017802000002</v>
          </cell>
          <cell r="W46">
            <v>0.34274047288000004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37.544340114489998</v>
          </cell>
        </row>
        <row r="53">
          <cell r="E53">
            <v>10.01566775</v>
          </cell>
        </row>
        <row r="54">
          <cell r="E54">
            <v>113.10061663207698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6" refreshError="1"/>
      <sheetData sheetId="17">
        <row r="13">
          <cell r="L13">
            <v>64.055272794649682</v>
          </cell>
        </row>
      </sheetData>
      <sheetData sheetId="18" refreshError="1"/>
      <sheetData sheetId="19">
        <row r="5">
          <cell r="T5">
            <v>47.147872325239078</v>
          </cell>
        </row>
      </sheetData>
      <sheetData sheetId="20" refreshError="1"/>
      <sheetData sheetId="21">
        <row r="13">
          <cell r="L13">
            <v>50.941346245748719</v>
          </cell>
        </row>
      </sheetData>
      <sheetData sheetId="22" refreshError="1"/>
      <sheetData sheetId="23">
        <row r="13">
          <cell r="L13">
            <v>31.055970799843635</v>
          </cell>
        </row>
      </sheetData>
      <sheetData sheetId="24" refreshError="1"/>
      <sheetData sheetId="25">
        <row r="13">
          <cell r="L13">
            <v>12.7985093299136</v>
          </cell>
        </row>
      </sheetData>
      <sheetData sheetId="26" refreshError="1"/>
      <sheetData sheetId="27">
        <row r="13">
          <cell r="L13">
            <v>86.192023090421856</v>
          </cell>
          <cell r="T13">
            <v>8.2175953615538209</v>
          </cell>
          <cell r="U13">
            <v>120.70181135843518</v>
          </cell>
          <cell r="V13">
            <v>155.95540999328384</v>
          </cell>
          <cell r="W13">
            <v>125.61536332451628</v>
          </cell>
          <cell r="X13">
            <v>16.904139208606786</v>
          </cell>
        </row>
        <row r="22">
          <cell r="T22">
            <v>2.4841856077042066</v>
          </cell>
          <cell r="U22">
            <v>99.196233029113813</v>
          </cell>
          <cell r="V22">
            <v>115.18135311514705</v>
          </cell>
          <cell r="W22">
            <v>63.673123299044839</v>
          </cell>
          <cell r="X22">
            <v>4.2283415153063242</v>
          </cell>
        </row>
        <row r="30">
          <cell r="T30">
            <v>0</v>
          </cell>
          <cell r="U30">
            <v>18.813292152120741</v>
          </cell>
          <cell r="V30">
            <v>17.330040012113464</v>
          </cell>
          <cell r="W30">
            <v>16.26962770883793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4.8413821640415255</v>
          </cell>
          <cell r="U37">
            <v>26.937463537570867</v>
          </cell>
          <cell r="V37">
            <v>73.413726167362853</v>
          </cell>
          <cell r="W37">
            <v>0.46982123257429881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0.36066131262685786</v>
          </cell>
          <cell r="U39">
            <v>4.7991131198633983E-4</v>
          </cell>
          <cell r="V39">
            <v>3.6562035035050702</v>
          </cell>
          <cell r="W39">
            <v>3.5112271315974612</v>
          </cell>
          <cell r="X39">
            <v>0</v>
          </cell>
        </row>
        <row r="40">
          <cell r="T40">
            <v>0.25</v>
          </cell>
          <cell r="U40">
            <v>1.390278564453125</v>
          </cell>
          <cell r="V40">
            <v>58.81291503857112</v>
          </cell>
          <cell r="W40">
            <v>20.889920153176526</v>
          </cell>
          <cell r="X40">
            <v>0</v>
          </cell>
        </row>
        <row r="41">
          <cell r="T41">
            <v>2.7934691016396722</v>
          </cell>
          <cell r="U41">
            <v>0.93174084898654219</v>
          </cell>
          <cell r="V41">
            <v>0</v>
          </cell>
          <cell r="W41">
            <v>0</v>
          </cell>
          <cell r="X41">
            <v>36.659680118734968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419.79556605067489</v>
          </cell>
        </row>
        <row r="43">
          <cell r="T43">
            <v>35.262359218486715</v>
          </cell>
          <cell r="U43">
            <v>24.165235131191906</v>
          </cell>
          <cell r="V43">
            <v>30.264105073000309</v>
          </cell>
          <cell r="W43">
            <v>18.302012365463629</v>
          </cell>
          <cell r="X43">
            <v>0</v>
          </cell>
        </row>
        <row r="44">
          <cell r="T44">
            <v>0</v>
          </cell>
          <cell r="U44">
            <v>6.1285070662635537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4.8925078124999999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41.197055664062503</v>
          </cell>
        </row>
        <row r="53">
          <cell r="E53">
            <v>13.300999650365602</v>
          </cell>
        </row>
        <row r="54">
          <cell r="E54">
            <v>114.54386945674393</v>
          </cell>
        </row>
        <row r="55">
          <cell r="E55">
            <v>0</v>
          </cell>
        </row>
        <row r="56">
          <cell r="E56">
            <v>8.8573866734579565E-2</v>
          </cell>
        </row>
        <row r="57">
          <cell r="E57">
            <v>0</v>
          </cell>
        </row>
      </sheetData>
      <sheetData sheetId="28" refreshError="1"/>
      <sheetData sheetId="29">
        <row r="13">
          <cell r="L13">
            <v>57.004792385507699</v>
          </cell>
          <cell r="T13">
            <v>7.7729232574275695</v>
          </cell>
          <cell r="U13">
            <v>149.97591807761651</v>
          </cell>
          <cell r="V13">
            <v>166.37329866218946</v>
          </cell>
          <cell r="W13">
            <v>121.98780292325297</v>
          </cell>
          <cell r="X13">
            <v>34.37904289575053</v>
          </cell>
        </row>
        <row r="22">
          <cell r="T22">
            <v>1.8992499702384933</v>
          </cell>
          <cell r="U22">
            <v>81.675242038488676</v>
          </cell>
          <cell r="V22">
            <v>85.098949623624506</v>
          </cell>
          <cell r="W22">
            <v>52.738757939191267</v>
          </cell>
          <cell r="X22">
            <v>7.503677414417977</v>
          </cell>
        </row>
        <row r="30">
          <cell r="T30">
            <v>0</v>
          </cell>
          <cell r="U30">
            <v>19.64973892074547</v>
          </cell>
          <cell r="V30">
            <v>28.91573310749396</v>
          </cell>
          <cell r="W30">
            <v>21.68981250781421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11.011050824063592</v>
          </cell>
          <cell r="U37">
            <v>40.443549417210768</v>
          </cell>
          <cell r="V37">
            <v>60.462677002926597</v>
          </cell>
          <cell r="W37">
            <v>0.66301904787483434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0.62518456969816016</v>
          </cell>
          <cell r="U39">
            <v>5.5791983277925228E-4</v>
          </cell>
          <cell r="V39">
            <v>6.0227221136395004</v>
          </cell>
          <cell r="W39">
            <v>5.7126687446965985</v>
          </cell>
          <cell r="X39">
            <v>0</v>
          </cell>
        </row>
        <row r="40">
          <cell r="T40">
            <v>0.5</v>
          </cell>
          <cell r="U40">
            <v>4.88145654296875</v>
          </cell>
          <cell r="V40">
            <v>86.174932209680449</v>
          </cell>
          <cell r="W40">
            <v>32.610726720036368</v>
          </cell>
          <cell r="X40">
            <v>0</v>
          </cell>
        </row>
        <row r="41">
          <cell r="T41">
            <v>4.0387192002052101</v>
          </cell>
          <cell r="U41">
            <v>0.94472173154286976</v>
          </cell>
          <cell r="V41">
            <v>0</v>
          </cell>
          <cell r="W41">
            <v>0</v>
          </cell>
          <cell r="X41">
            <v>37.003548542473339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327.31240488287597</v>
          </cell>
        </row>
        <row r="43">
          <cell r="T43">
            <v>30.726482620518151</v>
          </cell>
          <cell r="U43">
            <v>11.411404613984462</v>
          </cell>
          <cell r="V43">
            <v>11.051911751931332</v>
          </cell>
          <cell r="W43">
            <v>3.647846365657839</v>
          </cell>
          <cell r="X43">
            <v>0</v>
          </cell>
        </row>
        <row r="44">
          <cell r="T44">
            <v>0</v>
          </cell>
          <cell r="U44">
            <v>10.269254107073522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0.92572558593749998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21.539217285156251</v>
          </cell>
        </row>
        <row r="53">
          <cell r="E53">
            <v>13.537810909623058</v>
          </cell>
        </row>
        <row r="54">
          <cell r="E54">
            <v>115.2369297376637</v>
          </cell>
        </row>
        <row r="55">
          <cell r="E55">
            <v>0</v>
          </cell>
        </row>
        <row r="56">
          <cell r="E56">
            <v>0.21009810940790719</v>
          </cell>
        </row>
        <row r="57">
          <cell r="E57">
            <v>1.1371080780029297</v>
          </cell>
        </row>
      </sheetData>
      <sheetData sheetId="30" refreshError="1"/>
      <sheetData sheetId="31">
        <row r="13">
          <cell r="L13">
            <v>95.466033511784872</v>
          </cell>
          <cell r="T13">
            <v>8.6394549115432451</v>
          </cell>
          <cell r="U13">
            <v>153.63376409766943</v>
          </cell>
          <cell r="V13">
            <v>154.71508066801636</v>
          </cell>
          <cell r="W13">
            <v>121.82988531988985</v>
          </cell>
          <cell r="X13">
            <v>64.85163743776981</v>
          </cell>
        </row>
        <row r="22">
          <cell r="T22">
            <v>1.7976500828628292</v>
          </cell>
          <cell r="U22">
            <v>77.127391103588607</v>
          </cell>
          <cell r="V22">
            <v>62.480514463276663</v>
          </cell>
          <cell r="W22">
            <v>39.952116113539262</v>
          </cell>
          <cell r="X22">
            <v>10.108389747247291</v>
          </cell>
        </row>
        <row r="30">
          <cell r="T30">
            <v>0</v>
          </cell>
          <cell r="U30">
            <v>19.531581585374159</v>
          </cell>
          <cell r="V30">
            <v>40.414130897924252</v>
          </cell>
          <cell r="W30">
            <v>23.34788734439358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13.268691220387016</v>
          </cell>
          <cell r="U37">
            <v>38.482812658254467</v>
          </cell>
          <cell r="V37">
            <v>51.327953484818188</v>
          </cell>
          <cell r="W37">
            <v>0.59825096685183632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0.96290247555165809</v>
          </cell>
          <cell r="U39">
            <v>6.9244826847420892E-4</v>
          </cell>
          <cell r="V39">
            <v>8.4399601726258009</v>
          </cell>
          <cell r="W39">
            <v>7.9118943755575595</v>
          </cell>
          <cell r="X39">
            <v>0</v>
          </cell>
        </row>
        <row r="40">
          <cell r="T40">
            <v>0.75</v>
          </cell>
          <cell r="U40">
            <v>7.96939501953125</v>
          </cell>
          <cell r="V40">
            <v>106.12788282579821</v>
          </cell>
          <cell r="W40">
            <v>42.388089169065466</v>
          </cell>
          <cell r="X40">
            <v>0</v>
          </cell>
        </row>
        <row r="41">
          <cell r="T41">
            <v>5.5416929804733215</v>
          </cell>
          <cell r="U41">
            <v>0.86864625843500676</v>
          </cell>
          <cell r="V41">
            <v>0</v>
          </cell>
          <cell r="W41">
            <v>0</v>
          </cell>
          <cell r="X41">
            <v>41.017765544975838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211.71015331690265</v>
          </cell>
        </row>
        <row r="43">
          <cell r="T43">
            <v>22.236615834161011</v>
          </cell>
          <cell r="U43">
            <v>6.9248578185022795</v>
          </cell>
          <cell r="V43">
            <v>1.1922779453513948</v>
          </cell>
          <cell r="W43">
            <v>2.1695259016738468</v>
          </cell>
          <cell r="X43">
            <v>0</v>
          </cell>
        </row>
        <row r="44">
          <cell r="T44">
            <v>0</v>
          </cell>
          <cell r="U44">
            <v>9.5007953936584837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0.59552978515624999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12.5134462890625</v>
          </cell>
        </row>
        <row r="53">
          <cell r="E53">
            <v>12.973217825865042</v>
          </cell>
        </row>
        <row r="54">
          <cell r="E54">
            <v>108.38831705718137</v>
          </cell>
        </row>
        <row r="55">
          <cell r="E55">
            <v>0</v>
          </cell>
        </row>
        <row r="56">
          <cell r="E56">
            <v>3.3783937339937218</v>
          </cell>
        </row>
        <row r="57">
          <cell r="E57">
            <v>1.487132000092672</v>
          </cell>
        </row>
      </sheetData>
      <sheetData sheetId="32" refreshError="1"/>
      <sheetData sheetId="33">
        <row r="13">
          <cell r="L13">
            <v>125.47851234932489</v>
          </cell>
          <cell r="T13">
            <v>9.5059865656589242</v>
          </cell>
          <cell r="U13">
            <v>158.55335920514725</v>
          </cell>
          <cell r="V13">
            <v>151.24868898897191</v>
          </cell>
          <cell r="W13">
            <v>121.37238070067973</v>
          </cell>
          <cell r="X13">
            <v>98.588545998647945</v>
          </cell>
        </row>
        <row r="22">
          <cell r="T22">
            <v>1.6960501954871656</v>
          </cell>
          <cell r="U22">
            <v>70.544008247711929</v>
          </cell>
          <cell r="V22">
            <v>39.26367448194933</v>
          </cell>
          <cell r="W22">
            <v>27.549886913301172</v>
          </cell>
          <cell r="X22">
            <v>12.027313360200161</v>
          </cell>
        </row>
        <row r="30">
          <cell r="T30">
            <v>0</v>
          </cell>
          <cell r="U30">
            <v>19.589550837757145</v>
          </cell>
          <cell r="V30">
            <v>40.573888251039236</v>
          </cell>
          <cell r="W30">
            <v>23.260331591038877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15.52633161671044</v>
          </cell>
          <cell r="U37">
            <v>37.391289864504934</v>
          </cell>
          <cell r="V37">
            <v>44.494417008077924</v>
          </cell>
          <cell r="W37">
            <v>0.53348745170182088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1.300620381405156</v>
          </cell>
          <cell r="U39">
            <v>7.8820466826144567E-4</v>
          </cell>
          <cell r="V39">
            <v>11.112810725871574</v>
          </cell>
          <cell r="W39">
            <v>10.099133053150796</v>
          </cell>
          <cell r="X39">
            <v>0</v>
          </cell>
        </row>
        <row r="40">
          <cell r="T40">
            <v>1</v>
          </cell>
          <cell r="U40">
            <v>10.938740234375</v>
          </cell>
          <cell r="V40">
            <v>136.92844956569715</v>
          </cell>
          <cell r="W40">
            <v>52.106590615041483</v>
          </cell>
          <cell r="X40">
            <v>0</v>
          </cell>
        </row>
        <row r="41">
          <cell r="T41">
            <v>6.9560280843062596</v>
          </cell>
          <cell r="U41">
            <v>0.65571165030445222</v>
          </cell>
          <cell r="V41">
            <v>0</v>
          </cell>
          <cell r="W41">
            <v>0</v>
          </cell>
          <cell r="X41">
            <v>36.960574276816558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101.77401649068347</v>
          </cell>
        </row>
        <row r="43">
          <cell r="T43">
            <v>13.844421020879521</v>
          </cell>
          <cell r="U43">
            <v>3.1554639427466697</v>
          </cell>
          <cell r="V43">
            <v>0.45829125770018231</v>
          </cell>
          <cell r="W43">
            <v>0.72441471608254671</v>
          </cell>
          <cell r="X43">
            <v>0</v>
          </cell>
        </row>
        <row r="44">
          <cell r="T44">
            <v>0</v>
          </cell>
          <cell r="U44">
            <v>8.8042095890605694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0.31248754882812502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11.840306396484376</v>
          </cell>
        </row>
        <row r="53">
          <cell r="E53">
            <v>12.555456003161671</v>
          </cell>
        </row>
        <row r="54">
          <cell r="E54">
            <v>102.03544321387012</v>
          </cell>
        </row>
        <row r="55">
          <cell r="E55">
            <v>0</v>
          </cell>
        </row>
        <row r="56">
          <cell r="E56">
            <v>6.330380960194816</v>
          </cell>
        </row>
        <row r="57">
          <cell r="E57">
            <v>1.8671101278544562</v>
          </cell>
        </row>
      </sheetData>
      <sheetData sheetId="34" refreshError="1"/>
      <sheetData sheetId="35">
        <row r="13">
          <cell r="L13">
            <v>28.679288227585289</v>
          </cell>
          <cell r="T13">
            <v>11.227117591013034</v>
          </cell>
          <cell r="U13">
            <v>175.53759404222941</v>
          </cell>
          <cell r="V13">
            <v>135.77624988749807</v>
          </cell>
          <cell r="W13">
            <v>123.17781879034489</v>
          </cell>
          <cell r="X13">
            <v>129.21827578196925</v>
          </cell>
        </row>
        <row r="22">
          <cell r="T22">
            <v>1.459595922347638</v>
          </cell>
          <cell r="U22">
            <v>55.476680983540973</v>
          </cell>
          <cell r="V22">
            <v>27.268319880371575</v>
          </cell>
          <cell r="W22">
            <v>8.8076196126240713</v>
          </cell>
          <cell r="X22">
            <v>14.472730677280335</v>
          </cell>
        </row>
        <row r="30">
          <cell r="T30">
            <v>0</v>
          </cell>
          <cell r="U30">
            <v>19.118062217384278</v>
          </cell>
          <cell r="V30">
            <v>35.160977387086433</v>
          </cell>
          <cell r="W30">
            <v>22.010319853686262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20.041612409357288</v>
          </cell>
          <cell r="U37">
            <v>33.03282021908791</v>
          </cell>
          <cell r="V37">
            <v>38.670548162755892</v>
          </cell>
          <cell r="W37">
            <v>0.43608334641640845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2.1874070050904897</v>
          </cell>
          <cell r="U39">
            <v>8.5890570413253253E-4</v>
          </cell>
          <cell r="V39">
            <v>14.856183742724458</v>
          </cell>
          <cell r="W39">
            <v>13.972057854326216</v>
          </cell>
          <cell r="X39">
            <v>0</v>
          </cell>
        </row>
        <row r="40">
          <cell r="T40">
            <v>1.5</v>
          </cell>
          <cell r="U40">
            <v>15.325538085937501</v>
          </cell>
          <cell r="V40">
            <v>170.26801174847219</v>
          </cell>
          <cell r="W40">
            <v>64.752372842201794</v>
          </cell>
          <cell r="X40">
            <v>0</v>
          </cell>
        </row>
        <row r="41">
          <cell r="T41">
            <v>6.8596219696114309</v>
          </cell>
          <cell r="U41">
            <v>0</v>
          </cell>
          <cell r="V41">
            <v>0</v>
          </cell>
          <cell r="W41">
            <v>0</v>
          </cell>
          <cell r="X41">
            <v>21.896930013474247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2.5646039905747262</v>
          </cell>
        </row>
        <row r="43">
          <cell r="T43">
            <v>0</v>
          </cell>
          <cell r="U43">
            <v>0</v>
          </cell>
          <cell r="V43">
            <v>1.33686813190731E-2</v>
          </cell>
          <cell r="W43">
            <v>5.9571518115922428E-2</v>
          </cell>
          <cell r="X43">
            <v>0</v>
          </cell>
        </row>
        <row r="44">
          <cell r="T44">
            <v>0</v>
          </cell>
          <cell r="U44">
            <v>7.3058555419217219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0</v>
          </cell>
        </row>
        <row r="53">
          <cell r="E53">
            <v>7.019987079045241</v>
          </cell>
        </row>
        <row r="54">
          <cell r="E54">
            <v>91.376834551502185</v>
          </cell>
        </row>
        <row r="55">
          <cell r="E55">
            <v>0</v>
          </cell>
        </row>
        <row r="56">
          <cell r="E56">
            <v>10.939475194884611</v>
          </cell>
        </row>
        <row r="57">
          <cell r="E57">
            <v>6.6285490677230623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/>
      <sheetData sheetId="10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ilan énergie"/>
      <sheetName val="FE_et_bio"/>
      <sheetName val="VP"/>
      <sheetName val="VUL"/>
      <sheetName val="PL"/>
      <sheetName val="donnees parc"/>
      <sheetName val="B&amp;C"/>
      <sheetName val="2RM"/>
      <sheetName val="Autres_modes"/>
      <sheetName val="Aérien"/>
      <sheetName val="Trafic"/>
      <sheetName val="Feuil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23">
          <cell r="H23">
            <v>629.84570702567703</v>
          </cell>
          <cell r="J23">
            <v>746.12634327708076</v>
          </cell>
          <cell r="N23">
            <v>684.63084367246472</v>
          </cell>
        </row>
        <row r="25">
          <cell r="H25">
            <v>64.888834107401252</v>
          </cell>
          <cell r="J25">
            <v>140.59793923050162</v>
          </cell>
          <cell r="N25">
            <v>187.05149835225939</v>
          </cell>
        </row>
        <row r="26">
          <cell r="H26">
            <v>37.912440194392154</v>
          </cell>
          <cell r="J26">
            <v>75.079943524557834</v>
          </cell>
          <cell r="N26">
            <v>97.003287033728711</v>
          </cell>
        </row>
        <row r="27">
          <cell r="H27">
            <v>7.2496149479999996</v>
          </cell>
          <cell r="J27">
            <v>14.4</v>
          </cell>
          <cell r="N27">
            <v>6.5</v>
          </cell>
        </row>
        <row r="28">
          <cell r="H28">
            <v>9.5825009382689181</v>
          </cell>
          <cell r="J28">
            <v>11.58776593289357</v>
          </cell>
          <cell r="N28">
            <v>11.683292928212129</v>
          </cell>
        </row>
        <row r="29">
          <cell r="H29">
            <v>5.5</v>
          </cell>
          <cell r="J29">
            <v>19.108172758676037</v>
          </cell>
          <cell r="N29">
            <v>28.331906374785511</v>
          </cell>
        </row>
        <row r="30">
          <cell r="H30">
            <v>754.94948226573945</v>
          </cell>
          <cell r="J30">
            <v>1006.9001647237097</v>
          </cell>
          <cell r="N30">
            <v>1015.2008283614504</v>
          </cell>
        </row>
        <row r="31">
          <cell r="H31">
            <v>749.44948226573945</v>
          </cell>
          <cell r="J31">
            <v>987.79199196503373</v>
          </cell>
          <cell r="N31">
            <v>986.86892198666487</v>
          </cell>
        </row>
      </sheetData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 energie vecteurs"/>
      <sheetName val="T energie usages"/>
      <sheetName val="Résultats"/>
      <sheetName val="T CO2"/>
      <sheetName val="T logement"/>
      <sheetName val="G energie"/>
      <sheetName val="G mix energie"/>
      <sheetName val="G mix élec"/>
      <sheetName val="G mix carb"/>
      <sheetName val="G mix gaz"/>
      <sheetName val="G CO2"/>
      <sheetName val="T parc auto"/>
      <sheetName val="G parc auto total"/>
      <sheetName val="G parc elec"/>
      <sheetName val="G parc auto"/>
      <sheetName val="T transport"/>
      <sheetName val="G parc logt"/>
      <sheetName val="Table Graphs"/>
    </sheetNames>
    <sheetDataSet>
      <sheetData sheetId="0" refreshError="1"/>
      <sheetData sheetId="1" refreshError="1"/>
      <sheetData sheetId="2">
        <row r="1">
          <cell r="B1" t="str">
            <v>SNBC3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ésultats"/>
      <sheetName val="T energie vecteurs"/>
      <sheetName val="T energie usages"/>
      <sheetName val="G energie"/>
      <sheetName val="G mix élec"/>
      <sheetName val="G mix carb"/>
      <sheetName val="G mix gaz"/>
      <sheetName val="T CO2"/>
      <sheetName val="G CO2"/>
      <sheetName val="T parc auto"/>
      <sheetName val="G parc auto"/>
      <sheetName val="T logement"/>
      <sheetName val="G parc logt"/>
      <sheetName val="Table Graphs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>
        <row r="4">
          <cell r="A4" t="str">
            <v>TEND</v>
          </cell>
        </row>
        <row r="5">
          <cell r="I5">
            <v>34.664492700000004</v>
          </cell>
          <cell r="J5">
            <v>34.956187980000003</v>
          </cell>
          <cell r="K5">
            <v>35.116030049999999</v>
          </cell>
          <cell r="L5">
            <v>35.22984451</v>
          </cell>
          <cell r="M5">
            <v>35.293663940000002</v>
          </cell>
          <cell r="N5">
            <v>35.310390290000001</v>
          </cell>
          <cell r="O5">
            <v>35.378433780000002</v>
          </cell>
          <cell r="P5">
            <v>35.496856720000004</v>
          </cell>
          <cell r="Q5">
            <v>35.653829440000003</v>
          </cell>
          <cell r="R5">
            <v>35.834650719999999</v>
          </cell>
          <cell r="S5">
            <v>36.029956510000005</v>
          </cell>
          <cell r="T5">
            <v>36.22702245</v>
          </cell>
          <cell r="U5">
            <v>36.422585409999996</v>
          </cell>
          <cell r="V5">
            <v>36.615497920000003</v>
          </cell>
          <cell r="W5">
            <v>36.806113070000002</v>
          </cell>
          <cell r="X5">
            <v>36.99621071</v>
          </cell>
          <cell r="Y5">
            <v>37.184294620000003</v>
          </cell>
          <cell r="Z5">
            <v>37.372872549999997</v>
          </cell>
          <cell r="AA5">
            <v>37.563526299999999</v>
          </cell>
          <cell r="AB5">
            <v>37.757729379999994</v>
          </cell>
          <cell r="AC5">
            <v>37.955981359999996</v>
          </cell>
          <cell r="AD5">
            <v>38.166927919999999</v>
          </cell>
          <cell r="AE5">
            <v>38.388725370000003</v>
          </cell>
          <cell r="AF5">
            <v>38.617999920000003</v>
          </cell>
          <cell r="AG5">
            <v>38.852641049999995</v>
          </cell>
          <cell r="AH5">
            <v>39.090289320000004</v>
          </cell>
          <cell r="AI5">
            <v>39.328744280000002</v>
          </cell>
          <cell r="AJ5">
            <v>39.56777889</v>
          </cell>
          <cell r="AK5">
            <v>39.807161919999999</v>
          </cell>
          <cell r="AL5">
            <v>40.046711999999999</v>
          </cell>
          <cell r="AM5">
            <v>40.288447350000006</v>
          </cell>
        </row>
        <row r="6">
          <cell r="I6">
            <v>8.5699726798540449E-3</v>
          </cell>
          <cell r="J6">
            <v>1.3125767536852568E-2</v>
          </cell>
          <cell r="K6">
            <v>2.093814652035246E-2</v>
          </cell>
          <cell r="L6">
            <v>2.9339596650975963E-2</v>
          </cell>
          <cell r="M6">
            <v>3.8422705171822412E-2</v>
          </cell>
          <cell r="N6">
            <v>4.8298948326351107E-2</v>
          </cell>
          <cell r="O6">
            <v>5.9426982864022086E-2</v>
          </cell>
          <cell r="P6">
            <v>7.1945526561541698E-2</v>
          </cell>
          <cell r="Q6">
            <v>8.5942049539349558E-2</v>
          </cell>
          <cell r="R6">
            <v>0.10147172535354351</v>
          </cell>
          <cell r="S6">
            <v>0.11859008108472456</v>
          </cell>
          <cell r="T6">
            <v>0.13730358074183932</v>
          </cell>
          <cell r="U6">
            <v>0.15763780877629907</v>
          </cell>
          <cell r="V6">
            <v>0.17959577390884213</v>
          </cell>
          <cell r="W6">
            <v>0.20315166958215294</v>
          </cell>
          <cell r="X6">
            <v>0.22824904180571959</v>
          </cell>
          <cell r="Y6">
            <v>0.2547637951132391</v>
          </cell>
          <cell r="Z6">
            <v>0.28256330245612871</v>
          </cell>
          <cell r="AA6">
            <v>0.31147078409409074</v>
          </cell>
          <cell r="AB6">
            <v>0.34127816401018973</v>
          </cell>
          <cell r="AC6">
            <v>0.3717464103001657</v>
          </cell>
          <cell r="AD6">
            <v>0.40269710709271045</v>
          </cell>
          <cell r="AE6">
            <v>0.43384849821076515</v>
          </cell>
          <cell r="AF6">
            <v>0.464913357170052</v>
          </cell>
          <cell r="AG6">
            <v>0.49563467577965337</v>
          </cell>
          <cell r="AH6">
            <v>0.52577836510113596</v>
          </cell>
          <cell r="AI6">
            <v>0.55514202702634574</v>
          </cell>
          <cell r="AJ6">
            <v>0.58357173153926301</v>
          </cell>
          <cell r="AK6">
            <v>0.61094374421556352</v>
          </cell>
          <cell r="AL6">
            <v>0.63716406480512056</v>
          </cell>
          <cell r="AM6">
            <v>0.66218106938290833</v>
          </cell>
        </row>
      </sheetData>
      <sheetData sheetId="10" refreshError="1"/>
      <sheetData sheetId="11"/>
      <sheetData sheetId="12" refreshError="1"/>
      <sheetData sheetId="13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ésultats"/>
      <sheetName val="T energie vecteurs"/>
      <sheetName val="T energie usages"/>
      <sheetName val="Graphique8"/>
      <sheetName val="Graphique9"/>
      <sheetName val="Graphique10"/>
      <sheetName val="Graphique11"/>
      <sheetName val="T CO2"/>
      <sheetName val="Graphique12"/>
      <sheetName val="T parc auto"/>
      <sheetName val="Graphique13"/>
      <sheetName val="T logement"/>
      <sheetName val="Graphique14"/>
      <sheetName val="Table Graphs"/>
    </sheetNames>
    <sheetDataSet>
      <sheetData sheetId="0"/>
      <sheetData sheetId="1"/>
      <sheetData sheetId="2"/>
      <sheetData sheetId="7">
        <row r="79">
          <cell r="G79">
            <v>245.19735275899959</v>
          </cell>
        </row>
      </sheetData>
      <sheetData sheetId="9"/>
      <sheetData sheetId="11"/>
      <sheetData sheetId="1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2">
    <tabColor rgb="FF0070C0"/>
  </sheetPr>
  <dimension ref="A1:BF524"/>
  <sheetViews>
    <sheetView zoomScale="90" zoomScaleNormal="90" workbookViewId="0"/>
  </sheetViews>
  <sheetFormatPr baseColWidth="10" defaultRowHeight="15" x14ac:dyDescent="0.25"/>
  <cols>
    <col min="2" max="2" width="14.42578125" customWidth="1"/>
    <col min="3" max="3" width="18.5703125" bestFit="1" customWidth="1"/>
    <col min="4" max="4" width="18.5703125" customWidth="1"/>
    <col min="5" max="8" width="5.5703125" customWidth="1"/>
    <col min="9" max="23" width="7.42578125" customWidth="1"/>
    <col min="25" max="58" width="11.42578125" style="3"/>
  </cols>
  <sheetData>
    <row r="1" spans="1:29" ht="28.5" x14ac:dyDescent="0.45">
      <c r="A1" s="171" t="s">
        <v>97</v>
      </c>
      <c r="B1" s="3"/>
      <c r="C1" s="3"/>
      <c r="D1" s="3" t="s">
        <v>487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pans="1:29" ht="23.25" x14ac:dyDescent="0.35">
      <c r="A2" s="46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9" ht="21" x14ac:dyDescent="0.35">
      <c r="A3" s="172" t="s">
        <v>81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9" ht="23.25" x14ac:dyDescent="0.35">
      <c r="A4" s="161" t="str">
        <f>Résultats!B1</f>
        <v>SNBC3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</row>
    <row r="5" spans="1:29" s="3" customFormat="1" ht="23.25" x14ac:dyDescent="0.35">
      <c r="A5" s="46"/>
      <c r="D5" s="7"/>
      <c r="E5" s="235">
        <f>Résultats!E1</f>
        <v>4</v>
      </c>
      <c r="F5" s="235">
        <f>E5+9</f>
        <v>13</v>
      </c>
      <c r="G5" s="235">
        <f>F5+3</f>
        <v>16</v>
      </c>
      <c r="H5" s="235">
        <f t="shared" ref="H5:S5" si="0">G5+1</f>
        <v>17</v>
      </c>
      <c r="I5" s="235">
        <f t="shared" si="0"/>
        <v>18</v>
      </c>
      <c r="J5" s="235">
        <f t="shared" si="0"/>
        <v>19</v>
      </c>
      <c r="K5" s="235">
        <f t="shared" si="0"/>
        <v>20</v>
      </c>
      <c r="L5" s="235">
        <f t="shared" si="0"/>
        <v>21</v>
      </c>
      <c r="M5" s="235">
        <f t="shared" si="0"/>
        <v>22</v>
      </c>
      <c r="N5" s="235">
        <f t="shared" si="0"/>
        <v>23</v>
      </c>
      <c r="O5" s="235">
        <f t="shared" si="0"/>
        <v>24</v>
      </c>
      <c r="P5" s="235">
        <f t="shared" si="0"/>
        <v>25</v>
      </c>
      <c r="Q5" s="235">
        <f t="shared" si="0"/>
        <v>26</v>
      </c>
      <c r="R5" s="235">
        <f t="shared" si="0"/>
        <v>27</v>
      </c>
      <c r="S5" s="235">
        <f t="shared" si="0"/>
        <v>28</v>
      </c>
      <c r="T5" s="235">
        <f>S5+5</f>
        <v>33</v>
      </c>
      <c r="U5" s="235">
        <f>T5+5</f>
        <v>38</v>
      </c>
      <c r="V5" s="235">
        <f>U5+5</f>
        <v>43</v>
      </c>
      <c r="W5" s="235">
        <f>V5+5</f>
        <v>48</v>
      </c>
    </row>
    <row r="6" spans="1:29" x14ac:dyDescent="0.25">
      <c r="A6" s="3"/>
      <c r="B6" s="168"/>
      <c r="C6" s="2"/>
      <c r="D6" s="15"/>
      <c r="E6" s="4">
        <v>2006</v>
      </c>
      <c r="F6" s="4">
        <v>2015</v>
      </c>
      <c r="G6" s="20">
        <v>2018</v>
      </c>
      <c r="H6" s="27">
        <v>2019</v>
      </c>
      <c r="I6" s="83">
        <v>2020</v>
      </c>
      <c r="J6" s="91">
        <v>2021</v>
      </c>
      <c r="K6" s="27">
        <v>2022</v>
      </c>
      <c r="L6" s="27">
        <v>2023</v>
      </c>
      <c r="M6" s="27">
        <v>2024</v>
      </c>
      <c r="N6" s="83">
        <v>2025</v>
      </c>
      <c r="O6" s="91">
        <v>2026</v>
      </c>
      <c r="P6" s="27">
        <v>2027</v>
      </c>
      <c r="Q6" s="27">
        <v>2028</v>
      </c>
      <c r="R6" s="27">
        <v>2029</v>
      </c>
      <c r="S6" s="92">
        <v>2030</v>
      </c>
      <c r="T6" s="93">
        <v>2035</v>
      </c>
      <c r="U6" s="93">
        <v>2040</v>
      </c>
      <c r="V6" s="93">
        <v>2045</v>
      </c>
      <c r="W6" s="93">
        <v>2050</v>
      </c>
      <c r="X6" s="3"/>
      <c r="Y6" s="19"/>
      <c r="Z6" s="166" t="s">
        <v>90</v>
      </c>
      <c r="AA6" s="166"/>
      <c r="AB6" s="166"/>
      <c r="AC6" s="38"/>
    </row>
    <row r="7" spans="1:29" ht="15" customHeight="1" x14ac:dyDescent="0.25">
      <c r="A7" s="3"/>
      <c r="B7" s="323" t="s">
        <v>0</v>
      </c>
      <c r="C7" s="5" t="s">
        <v>1</v>
      </c>
      <c r="D7" s="2"/>
      <c r="E7" s="6">
        <f>SUM(E8:E9)</f>
        <v>71.586185649400008</v>
      </c>
      <c r="F7" s="6">
        <f>SUM(F8:F9)</f>
        <v>61.842226762999999</v>
      </c>
      <c r="G7" s="84">
        <f t="shared" ref="G7:R7" si="1">SUM(G8:G9)</f>
        <v>56.414525208999997</v>
      </c>
      <c r="H7" s="6">
        <f t="shared" si="1"/>
        <v>54.851797249999997</v>
      </c>
      <c r="I7" s="85">
        <f t="shared" si="1"/>
        <v>53.419691325999999</v>
      </c>
      <c r="J7" s="84">
        <f t="shared" si="1"/>
        <v>53.595461415000003</v>
      </c>
      <c r="K7" s="6">
        <f t="shared" si="1"/>
        <v>53.626831104999994</v>
      </c>
      <c r="L7" s="6">
        <f t="shared" si="1"/>
        <v>53.761072446</v>
      </c>
      <c r="M7" s="6">
        <f t="shared" si="1"/>
        <v>52.957559607</v>
      </c>
      <c r="N7" s="85">
        <f t="shared" si="1"/>
        <v>51.760950025999996</v>
      </c>
      <c r="O7" s="84">
        <f t="shared" si="1"/>
        <v>50.858741358000003</v>
      </c>
      <c r="P7" s="6">
        <f t="shared" si="1"/>
        <v>50.196027913000002</v>
      </c>
      <c r="Q7" s="6">
        <f t="shared" si="1"/>
        <v>49.522297189</v>
      </c>
      <c r="R7" s="6">
        <f t="shared" si="1"/>
        <v>48.853256000000002</v>
      </c>
      <c r="S7" s="85">
        <f>SUM(S8:S9)</f>
        <v>48.065901916000001</v>
      </c>
      <c r="T7" s="94">
        <f>SUM(T8:T9)</f>
        <v>44.729457965000002</v>
      </c>
      <c r="U7" s="94">
        <f>SUM(U8:U9)</f>
        <v>41.967734376000003</v>
      </c>
      <c r="V7" s="94">
        <f>SUM(V8:V9)</f>
        <v>39.099017191000002</v>
      </c>
      <c r="W7" s="94">
        <f>SUM(W8:W9)</f>
        <v>36.819879161999999</v>
      </c>
      <c r="X7" s="3"/>
      <c r="Y7" s="75"/>
      <c r="Z7" s="194"/>
      <c r="AA7" s="195">
        <v>2020</v>
      </c>
      <c r="AB7" s="195">
        <v>2030</v>
      </c>
      <c r="AC7" s="196">
        <v>2050</v>
      </c>
    </row>
    <row r="8" spans="1:29" x14ac:dyDescent="0.25">
      <c r="A8" s="3"/>
      <c r="B8" s="324"/>
      <c r="C8" s="3" t="s">
        <v>2</v>
      </c>
      <c r="D8" s="15" t="s">
        <v>356</v>
      </c>
      <c r="E8" s="16">
        <f>VLOOKUP($D8,Résultats!$B$2:$AX$476,E$5,FALSE)</f>
        <v>70.711797430000004</v>
      </c>
      <c r="F8" s="16">
        <f>VLOOKUP($D8,Résultats!$B$2:$AX$476,F$5,FALSE)</f>
        <v>58.915800670000003</v>
      </c>
      <c r="G8" s="22">
        <f>VLOOKUP($D8,Résultats!$B$2:$AX$476,G$5,FALSE)</f>
        <v>53.60150994</v>
      </c>
      <c r="H8" s="16">
        <f>VLOOKUP($D8,Résultats!$B$2:$AX$476,H$5,FALSE)</f>
        <v>52.064293149999997</v>
      </c>
      <c r="I8" s="86">
        <f>VLOOKUP($D8,Résultats!$B$2:$AX$476,I$5,FALSE)</f>
        <v>50.65053297</v>
      </c>
      <c r="J8" s="22">
        <f>VLOOKUP($D8,Résultats!$B$2:$AX$476,J$5,FALSE)</f>
        <v>50.694173450000001</v>
      </c>
      <c r="K8" s="16">
        <f>VLOOKUP($D8,Résultats!$B$2:$AX$476,K$5,FALSE)</f>
        <v>50.605884099999997</v>
      </c>
      <c r="L8" s="16">
        <f>VLOOKUP($D8,Résultats!$B$2:$AX$476,L$5,FALSE)</f>
        <v>50.619185190000003</v>
      </c>
      <c r="M8" s="16">
        <f>VLOOKUP($D8,Résultats!$B$2:$AX$476,M$5,FALSE)</f>
        <v>49.86263099</v>
      </c>
      <c r="N8" s="86">
        <f>VLOOKUP($D8,Résultats!$B$2:$AX$476,N$5,FALSE)</f>
        <v>48.735953279999997</v>
      </c>
      <c r="O8" s="22">
        <f>VLOOKUP($D8,Résultats!$B$2:$AX$476,O$5,FALSE)</f>
        <v>47.886471200000003</v>
      </c>
      <c r="P8" s="16">
        <f>VLOOKUP($D8,Résultats!$B$2:$AX$476,P$5,FALSE)</f>
        <v>47.262487839999999</v>
      </c>
      <c r="Q8" s="16">
        <f>VLOOKUP($D8,Résultats!$B$2:$AX$476,Q$5,FALSE)</f>
        <v>46.628131070000002</v>
      </c>
      <c r="R8" s="16">
        <f>VLOOKUP($D8,Résultats!$B$2:$AX$476,R$5,FALSE)</f>
        <v>45.998189770000003</v>
      </c>
      <c r="S8" s="86">
        <f>VLOOKUP($D8,Résultats!$B$2:$AX$476,S$5,FALSE)</f>
        <v>45.256849979999998</v>
      </c>
      <c r="T8" s="95">
        <f>VLOOKUP($D8,Résultats!$B$2:$AX$476,T$5,FALSE)</f>
        <v>42.115393410000003</v>
      </c>
      <c r="U8" s="95">
        <f>VLOOKUP($D8,Résultats!$B$2:$AX$476,U$5,FALSE)</f>
        <v>39.515069580000002</v>
      </c>
      <c r="V8" s="95">
        <f>VLOOKUP($D8,Résultats!$B$2:$AX$476,V$5,FALSE)</f>
        <v>36.814005039999998</v>
      </c>
      <c r="W8" s="95">
        <f>VLOOKUP($D8,Résultats!$B$2:$AX$476,W$5,FALSE)</f>
        <v>34.668063660000001</v>
      </c>
      <c r="X8" s="45">
        <f>W8-'[1]Cibles THREEME'!$H4</f>
        <v>24.267456428808508</v>
      </c>
      <c r="Y8" s="75"/>
      <c r="Z8" s="198" t="s">
        <v>68</v>
      </c>
      <c r="AA8" s="199">
        <f>I27</f>
        <v>199.62575407659986</v>
      </c>
      <c r="AB8" s="199">
        <f>S27</f>
        <v>204.31904194660001</v>
      </c>
      <c r="AC8" s="89">
        <f>W27</f>
        <v>176.5129651542</v>
      </c>
    </row>
    <row r="9" spans="1:29" x14ac:dyDescent="0.25">
      <c r="A9" s="3"/>
      <c r="B9" s="325"/>
      <c r="C9" s="7" t="s">
        <v>3</v>
      </c>
      <c r="D9" s="15" t="s">
        <v>357</v>
      </c>
      <c r="E9" s="16">
        <f>VLOOKUP($D9,Résultats!$B$2:$AX$476,E$5,FALSE)</f>
        <v>0.8743882194</v>
      </c>
      <c r="F9" s="16">
        <f>VLOOKUP($D9,Résultats!$B$2:$AX$476,F$5,FALSE)</f>
        <v>2.9264260929999999</v>
      </c>
      <c r="G9" s="22">
        <f>VLOOKUP($D9,Résultats!$B$2:$AX$476,G$5,FALSE)</f>
        <v>2.8130152690000001</v>
      </c>
      <c r="H9" s="16">
        <f>VLOOKUP($D9,Résultats!$B$2:$AX$476,H$5,FALSE)</f>
        <v>2.7875041</v>
      </c>
      <c r="I9" s="86">
        <f>VLOOKUP($D9,Résultats!$B$2:$AX$476,I$5,FALSE)</f>
        <v>2.7691583560000002</v>
      </c>
      <c r="J9" s="22">
        <f>VLOOKUP($D9,Résultats!$B$2:$AX$476,J$5,FALSE)</f>
        <v>2.9012879649999999</v>
      </c>
      <c r="K9" s="16">
        <f>VLOOKUP($D9,Résultats!$B$2:$AX$476,K$5,FALSE)</f>
        <v>3.020947005</v>
      </c>
      <c r="L9" s="16">
        <f>VLOOKUP($D9,Résultats!$B$2:$AX$476,L$5,FALSE)</f>
        <v>3.141887256</v>
      </c>
      <c r="M9" s="16">
        <f>VLOOKUP($D9,Résultats!$B$2:$AX$476,M$5,FALSE)</f>
        <v>3.0949286169999999</v>
      </c>
      <c r="N9" s="86">
        <f>VLOOKUP($D9,Résultats!$B$2:$AX$476,N$5,FALSE)</f>
        <v>3.0249967459999998</v>
      </c>
      <c r="O9" s="22">
        <f>VLOOKUP($D9,Résultats!$B$2:$AX$476,O$5,FALSE)</f>
        <v>2.9722701580000002</v>
      </c>
      <c r="P9" s="16">
        <f>VLOOKUP($D9,Résultats!$B$2:$AX$476,P$5,FALSE)</f>
        <v>2.9335400730000001</v>
      </c>
      <c r="Q9" s="16">
        <f>VLOOKUP($D9,Résultats!$B$2:$AX$476,Q$5,FALSE)</f>
        <v>2.8941661189999999</v>
      </c>
      <c r="R9" s="16">
        <f>VLOOKUP($D9,Résultats!$B$2:$AX$476,R$5,FALSE)</f>
        <v>2.8550662299999998</v>
      </c>
      <c r="S9" s="86">
        <f>VLOOKUP($D9,Résultats!$B$2:$AX$476,S$5,FALSE)</f>
        <v>2.8090519359999999</v>
      </c>
      <c r="T9" s="95">
        <f>VLOOKUP($D9,Résultats!$B$2:$AX$476,T$5,FALSE)</f>
        <v>2.6140645550000001</v>
      </c>
      <c r="U9" s="95">
        <f>VLOOKUP($D9,Résultats!$B$2:$AX$476,U$5,FALSE)</f>
        <v>2.4526647960000001</v>
      </c>
      <c r="V9" s="95">
        <f>VLOOKUP($D9,Résultats!$B$2:$AX$476,V$5,FALSE)</f>
        <v>2.2850121510000001</v>
      </c>
      <c r="W9" s="95">
        <f>VLOOKUP($D9,Résultats!$B$2:$AX$476,W$5,FALSE)</f>
        <v>2.1518155019999998</v>
      </c>
      <c r="X9" s="45">
        <f>W9-'[1]Cibles THREEME'!$H5</f>
        <v>-1.3450257135770829</v>
      </c>
      <c r="Y9" s="75"/>
      <c r="Z9" s="75"/>
      <c r="AA9" s="75"/>
      <c r="AB9" s="75"/>
      <c r="AC9" s="75"/>
    </row>
    <row r="10" spans="1:29" ht="15" customHeight="1" x14ac:dyDescent="0.25">
      <c r="A10" s="3"/>
      <c r="B10" s="323" t="s">
        <v>4</v>
      </c>
      <c r="C10" s="5" t="s">
        <v>1</v>
      </c>
      <c r="D10" s="2"/>
      <c r="E10" s="8">
        <f>SUM(E11:E18)</f>
        <v>120.75824202860002</v>
      </c>
      <c r="F10" s="8">
        <f>SUM(F11:F18)</f>
        <v>127.52357602400001</v>
      </c>
      <c r="G10" s="21">
        <f t="shared" ref="G10:R10" si="2">SUM(G11:G18)</f>
        <v>117.70425396600002</v>
      </c>
      <c r="H10" s="8">
        <f t="shared" si="2"/>
        <v>114.05834180299999</v>
      </c>
      <c r="I10" s="87">
        <f t="shared" si="2"/>
        <v>110.03125095899989</v>
      </c>
      <c r="J10" s="21">
        <f t="shared" si="2"/>
        <v>108.530198435</v>
      </c>
      <c r="K10" s="8">
        <f t="shared" si="2"/>
        <v>107.26486217700001</v>
      </c>
      <c r="L10" s="8">
        <f t="shared" si="2"/>
        <v>106.286056438</v>
      </c>
      <c r="M10" s="8">
        <f t="shared" si="2"/>
        <v>110.3952016909999</v>
      </c>
      <c r="N10" s="87">
        <f t="shared" si="2"/>
        <v>115.102891364</v>
      </c>
      <c r="O10" s="21">
        <f t="shared" si="2"/>
        <v>116.24353550000001</v>
      </c>
      <c r="P10" s="8">
        <f t="shared" si="2"/>
        <v>116.93431169599999</v>
      </c>
      <c r="Q10" s="8">
        <f t="shared" si="2"/>
        <v>117.79648149000001</v>
      </c>
      <c r="R10" s="8">
        <f t="shared" si="2"/>
        <v>118.130098412</v>
      </c>
      <c r="S10" s="87">
        <f>SUM(S11:S18)</f>
        <v>118.670522938</v>
      </c>
      <c r="T10" s="96">
        <f>SUM(T11:T18)</f>
        <v>114.194236168</v>
      </c>
      <c r="U10" s="96">
        <f>SUM(U11:U18)</f>
        <v>109.574766772</v>
      </c>
      <c r="V10" s="96">
        <f>SUM(V11:V18)</f>
        <v>104.436433767</v>
      </c>
      <c r="W10" s="96">
        <f>SUM(W11:W18)</f>
        <v>100.51983775699999</v>
      </c>
      <c r="X10" s="45"/>
      <c r="Y10" s="75"/>
      <c r="Z10" s="75"/>
      <c r="AA10" s="75"/>
      <c r="AB10" s="75"/>
      <c r="AC10" s="75"/>
    </row>
    <row r="11" spans="1:29" x14ac:dyDescent="0.25">
      <c r="A11" s="3"/>
      <c r="B11" s="324"/>
      <c r="C11" s="3" t="s">
        <v>5</v>
      </c>
      <c r="D11" s="3" t="s">
        <v>358</v>
      </c>
      <c r="E11" s="16">
        <f>VLOOKUP($D11,Résultats!$B$2:$AX$476,E$5,FALSE)</f>
        <v>103.6846785</v>
      </c>
      <c r="F11" s="16">
        <f>VLOOKUP($D11,Résultats!$B$2:$AX$476,F$5,FALSE)</f>
        <v>108.23158429999999</v>
      </c>
      <c r="G11" s="22">
        <f>VLOOKUP($D11,Résultats!$B$2:$AX$476,G$5,FALSE)</f>
        <v>97.646812460000007</v>
      </c>
      <c r="H11" s="16">
        <f>VLOOKUP($D11,Résultats!$B$2:$AX$476,H$5,FALSE)</f>
        <v>93.544277019999996</v>
      </c>
      <c r="I11" s="86">
        <f>VLOOKUP($D11,Résultats!$B$2:$AX$476,I$5,FALSE)</f>
        <v>89.132121889999894</v>
      </c>
      <c r="J11" s="22">
        <f>VLOOKUP($D11,Résultats!$B$2:$AX$476,J$5,FALSE)</f>
        <v>87.34968112</v>
      </c>
      <c r="K11" s="16">
        <f>VLOOKUP($D11,Résultats!$B$2:$AX$476,K$5,FALSE)</f>
        <v>85.758793760000003</v>
      </c>
      <c r="L11" s="16">
        <f>VLOOKUP($D11,Résultats!$B$2:$AX$476,L$5,FALSE)</f>
        <v>84.396164859999999</v>
      </c>
      <c r="M11" s="16">
        <f>VLOOKUP($D11,Résultats!$B$2:$AX$476,M$5,FALSE)</f>
        <v>87.659020889999894</v>
      </c>
      <c r="N11" s="86">
        <f>VLOOKUP($D11,Résultats!$B$2:$AX$476,N$5,FALSE)</f>
        <v>91.397149549999995</v>
      </c>
      <c r="O11" s="22">
        <f>VLOOKUP($D11,Résultats!$B$2:$AX$476,O$5,FALSE)</f>
        <v>92.302875040000004</v>
      </c>
      <c r="P11" s="16">
        <f>VLOOKUP($D11,Résultats!$B$2:$AX$476,P$5,FALSE)</f>
        <v>92.851384069999995</v>
      </c>
      <c r="Q11" s="16">
        <f>VLOOKUP($D11,Résultats!$B$2:$AX$476,Q$5,FALSE)</f>
        <v>93.535987739999996</v>
      </c>
      <c r="R11" s="16">
        <f>VLOOKUP($D11,Résultats!$B$2:$AX$476,R$5,FALSE)</f>
        <v>93.80089538</v>
      </c>
      <c r="S11" s="86">
        <f>VLOOKUP($D11,Résultats!$B$2:$AX$476,S$5,FALSE)</f>
        <v>94.230018060000006</v>
      </c>
      <c r="T11" s="95">
        <f>VLOOKUP($D11,Résultats!$B$2:$AX$476,T$5,FALSE)</f>
        <v>90.675634270000003</v>
      </c>
      <c r="U11" s="95">
        <f>VLOOKUP($D11,Résultats!$B$2:$AX$476,U$5,FALSE)</f>
        <v>87.007556690000001</v>
      </c>
      <c r="V11" s="95">
        <f>VLOOKUP($D11,Résultats!$B$2:$AX$476,V$5,FALSE)</f>
        <v>82.927476819999995</v>
      </c>
      <c r="W11" s="95">
        <f>VLOOKUP($D11,Résultats!$B$2:$AX$476,W$5,FALSE)</f>
        <v>79.817514009999996</v>
      </c>
      <c r="X11" s="45">
        <f>W11-'[1]Cibles THREEME'!$H10</f>
        <v>77.159810578435867</v>
      </c>
      <c r="Y11" s="75"/>
      <c r="Z11" s="75"/>
      <c r="AA11" s="75"/>
      <c r="AB11" s="75"/>
      <c r="AC11" s="75"/>
    </row>
    <row r="12" spans="1:29" x14ac:dyDescent="0.25">
      <c r="A12" s="3"/>
      <c r="B12" s="324"/>
      <c r="C12" s="3" t="s">
        <v>6</v>
      </c>
      <c r="D12" s="3" t="s">
        <v>359</v>
      </c>
      <c r="E12" s="16">
        <f>VLOOKUP($D12,Résultats!$B$2:$AX$476,E$5,FALSE)</f>
        <v>1.4657924280000001</v>
      </c>
      <c r="F12" s="16">
        <f>VLOOKUP($D12,Résultats!$B$2:$AX$476,F$5,FALSE)</f>
        <v>1.394662061</v>
      </c>
      <c r="G12" s="22">
        <f>VLOOKUP($D12,Résultats!$B$2:$AX$476,G$5,FALSE)</f>
        <v>1.326969356</v>
      </c>
      <c r="H12" s="16">
        <f>VLOOKUP($D12,Résultats!$B$2:$AX$476,H$5,FALSE)</f>
        <v>1.2972589800000001</v>
      </c>
      <c r="I12" s="86">
        <f>VLOOKUP($D12,Résultats!$B$2:$AX$476,I$5,FALSE)</f>
        <v>1.2632782410000001</v>
      </c>
      <c r="J12" s="22">
        <f>VLOOKUP($D12,Résultats!$B$2:$AX$476,J$5,FALSE)</f>
        <v>1.38760489</v>
      </c>
      <c r="K12" s="16">
        <f>VLOOKUP($D12,Résultats!$B$2:$AX$476,K$5,FALSE)</f>
        <v>1.516877421</v>
      </c>
      <c r="L12" s="16">
        <f>VLOOKUP($D12,Résultats!$B$2:$AX$476,L$5,FALSE)</f>
        <v>1.652789192</v>
      </c>
      <c r="M12" s="16">
        <f>VLOOKUP($D12,Résultats!$B$2:$AX$476,M$5,FALSE)</f>
        <v>1.716687987</v>
      </c>
      <c r="N12" s="86">
        <f>VLOOKUP($D12,Résultats!$B$2:$AX$476,N$5,FALSE)</f>
        <v>1.7898943780000001</v>
      </c>
      <c r="O12" s="22">
        <f>VLOOKUP($D12,Résultats!$B$2:$AX$476,O$5,FALSE)</f>
        <v>1.8076318339999999</v>
      </c>
      <c r="P12" s="16">
        <f>VLOOKUP($D12,Résultats!$B$2:$AX$476,P$5,FALSE)</f>
        <v>1.818373671</v>
      </c>
      <c r="Q12" s="16">
        <f>VLOOKUP($D12,Résultats!$B$2:$AX$476,Q$5,FALSE)</f>
        <v>1.831780744</v>
      </c>
      <c r="R12" s="16">
        <f>VLOOKUP($D12,Résultats!$B$2:$AX$476,R$5,FALSE)</f>
        <v>1.8369686160000001</v>
      </c>
      <c r="S12" s="86">
        <f>VLOOKUP($D12,Résultats!$B$2:$AX$476,S$5,FALSE)</f>
        <v>1.845372426</v>
      </c>
      <c r="T12" s="95">
        <f>VLOOKUP($D12,Résultats!$B$2:$AX$476,T$5,FALSE)</f>
        <v>1.775764439</v>
      </c>
      <c r="U12" s="95">
        <f>VLOOKUP($D12,Résultats!$B$2:$AX$476,U$5,FALSE)</f>
        <v>1.703929907</v>
      </c>
      <c r="V12" s="95">
        <f>VLOOKUP($D12,Résultats!$B$2:$AX$476,V$5,FALSE)</f>
        <v>1.624026846</v>
      </c>
      <c r="W12" s="95">
        <f>VLOOKUP($D12,Résultats!$B$2:$AX$476,W$5,FALSE)</f>
        <v>1.563122267</v>
      </c>
      <c r="X12" s="45">
        <f>W12-'[1]Cibles THREEME'!$H11</f>
        <v>1.563122267</v>
      </c>
      <c r="Y12" s="75"/>
      <c r="Z12" s="200"/>
      <c r="AA12" s="188"/>
      <c r="AB12" s="188"/>
      <c r="AC12" s="188"/>
    </row>
    <row r="13" spans="1:29" x14ac:dyDescent="0.25">
      <c r="A13" s="3"/>
      <c r="B13" s="324"/>
      <c r="C13" s="3" t="s">
        <v>7</v>
      </c>
      <c r="D13" s="3" t="s">
        <v>360</v>
      </c>
      <c r="E13" s="16">
        <f>VLOOKUP($D13,Résultats!$B$2:$AX$476,E$5,FALSE)</f>
        <v>3.1385469659999998</v>
      </c>
      <c r="F13" s="16">
        <f>VLOOKUP($D13,Résultats!$B$2:$AX$476,F$5,FALSE)</f>
        <v>3.5738707110000001</v>
      </c>
      <c r="G13" s="22">
        <f>VLOOKUP($D13,Résultats!$B$2:$AX$476,G$5,FALSE)</f>
        <v>4.4474422799999997</v>
      </c>
      <c r="H13" s="16">
        <f>VLOOKUP($D13,Résultats!$B$2:$AX$476,H$5,FALSE)</f>
        <v>4.7155978489999999</v>
      </c>
      <c r="I13" s="86">
        <f>VLOOKUP($D13,Résultats!$B$2:$AX$476,I$5,FALSE)</f>
        <v>4.9643363569999996</v>
      </c>
      <c r="J13" s="22">
        <f>VLOOKUP($D13,Résultats!$B$2:$AX$476,J$5,FALSE)</f>
        <v>4.7125721169999997</v>
      </c>
      <c r="K13" s="16">
        <f>VLOOKUP($D13,Résultats!$B$2:$AX$476,K$5,FALSE)</f>
        <v>4.4711744409999996</v>
      </c>
      <c r="L13" s="16">
        <f>VLOOKUP($D13,Résultats!$B$2:$AX$476,L$5,FALSE)</f>
        <v>4.2409885349999996</v>
      </c>
      <c r="M13" s="16">
        <f>VLOOKUP($D13,Résultats!$B$2:$AX$476,M$5,FALSE)</f>
        <v>4.4049501920000003</v>
      </c>
      <c r="N13" s="86">
        <f>VLOOKUP($D13,Résultats!$B$2:$AX$476,N$5,FALSE)</f>
        <v>4.592794756</v>
      </c>
      <c r="O13" s="22">
        <f>VLOOKUP($D13,Résultats!$B$2:$AX$476,O$5,FALSE)</f>
        <v>4.6383083340000004</v>
      </c>
      <c r="P13" s="16">
        <f>VLOOKUP($D13,Résultats!$B$2:$AX$476,P$5,FALSE)</f>
        <v>4.6658714410000002</v>
      </c>
      <c r="Q13" s="16">
        <f>VLOOKUP($D13,Résultats!$B$2:$AX$476,Q$5,FALSE)</f>
        <v>4.7002734339999996</v>
      </c>
      <c r="R13" s="16">
        <f>VLOOKUP($D13,Résultats!$B$2:$AX$476,R$5,FALSE)</f>
        <v>4.7135852979999999</v>
      </c>
      <c r="S13" s="86">
        <f>VLOOKUP($D13,Résultats!$B$2:$AX$476,S$5,FALSE)</f>
        <v>4.7351491259999996</v>
      </c>
      <c r="T13" s="95">
        <f>VLOOKUP($D13,Résultats!$B$2:$AX$476,T$5,FALSE)</f>
        <v>4.5565379190000002</v>
      </c>
      <c r="U13" s="95">
        <f>VLOOKUP($D13,Résultats!$B$2:$AX$476,U$5,FALSE)</f>
        <v>4.372213489</v>
      </c>
      <c r="V13" s="95">
        <f>VLOOKUP($D13,Résultats!$B$2:$AX$476,V$5,FALSE)</f>
        <v>4.1671855469999999</v>
      </c>
      <c r="W13" s="95">
        <f>VLOOKUP($D13,Résultats!$B$2:$AX$476,W$5,FALSE)</f>
        <v>4.0109069220000002</v>
      </c>
      <c r="X13" s="45">
        <f>W13-'[1]Cibles THREEME'!$H12</f>
        <v>1.7179863143760397</v>
      </c>
      <c r="Y13" s="75"/>
    </row>
    <row r="14" spans="1:29" x14ac:dyDescent="0.25">
      <c r="A14" s="3"/>
      <c r="B14" s="324"/>
      <c r="C14" s="3" t="s">
        <v>8</v>
      </c>
      <c r="D14" s="3" t="s">
        <v>361</v>
      </c>
      <c r="E14" s="16">
        <f>VLOOKUP($D14,Résultats!$B$2:$AX$476,E$5,FALSE)</f>
        <v>4.6069232089999996</v>
      </c>
      <c r="F14" s="16">
        <f>VLOOKUP($D14,Résultats!$B$2:$AX$476,F$5,FALSE)</f>
        <v>2.8497590119999998</v>
      </c>
      <c r="G14" s="22">
        <f>VLOOKUP($D14,Résultats!$B$2:$AX$476,G$5,FALSE)</f>
        <v>1.859735143</v>
      </c>
      <c r="H14" s="16">
        <f>VLOOKUP($D14,Résultats!$B$2:$AX$476,H$5,FALSE)</f>
        <v>1.8160311179999999</v>
      </c>
      <c r="I14" s="86">
        <f>VLOOKUP($D14,Résultats!$B$2:$AX$476,I$5,FALSE)</f>
        <v>1.7664383610000001</v>
      </c>
      <c r="J14" s="22">
        <f>VLOOKUP($D14,Résultats!$B$2:$AX$476,J$5,FALSE)</f>
        <v>1.758189008</v>
      </c>
      <c r="K14" s="16">
        <f>VLOOKUP($D14,Résultats!$B$2:$AX$476,K$5,FALSE)</f>
        <v>1.7535741419999999</v>
      </c>
      <c r="L14" s="16">
        <f>VLOOKUP($D14,Résultats!$B$2:$AX$476,L$5,FALSE)</f>
        <v>1.75353446</v>
      </c>
      <c r="M14" s="16">
        <f>VLOOKUP($D14,Résultats!$B$2:$AX$476,M$5,FALSE)</f>
        <v>1.8213281859999999</v>
      </c>
      <c r="N14" s="86">
        <f>VLOOKUP($D14,Résultats!$B$2:$AX$476,N$5,FALSE)</f>
        <v>1.8989968509999999</v>
      </c>
      <c r="O14" s="22">
        <f>VLOOKUP($D14,Résultats!$B$2:$AX$476,O$5,FALSE)</f>
        <v>1.9178154890000001</v>
      </c>
      <c r="P14" s="16">
        <f>VLOOKUP($D14,Résultats!$B$2:$AX$476,P$5,FALSE)</f>
        <v>1.92921209</v>
      </c>
      <c r="Q14" s="16">
        <f>VLOOKUP($D14,Résultats!$B$2:$AX$476,Q$5,FALSE)</f>
        <v>1.943436387</v>
      </c>
      <c r="R14" s="16">
        <f>VLOOKUP($D14,Résultats!$B$2:$AX$476,R$5,FALSE)</f>
        <v>1.9489404850000001</v>
      </c>
      <c r="S14" s="86">
        <f>VLOOKUP($D14,Résultats!$B$2:$AX$476,S$5,FALSE)</f>
        <v>1.9578565459999999</v>
      </c>
      <c r="T14" s="95">
        <f>VLOOKUP($D14,Résultats!$B$2:$AX$476,T$5,FALSE)</f>
        <v>1.884005626</v>
      </c>
      <c r="U14" s="95">
        <f>VLOOKUP($D14,Résultats!$B$2:$AX$476,U$5,FALSE)</f>
        <v>1.807792442</v>
      </c>
      <c r="V14" s="95">
        <f>VLOOKUP($D14,Résultats!$B$2:$AX$476,V$5,FALSE)</f>
        <v>1.7230189140000001</v>
      </c>
      <c r="W14" s="95">
        <f>VLOOKUP($D14,Résultats!$B$2:$AX$476,W$5,FALSE)</f>
        <v>1.6584019139999999</v>
      </c>
      <c r="X14" s="45">
        <f>W14-'[1]Cibles THREEME'!$H13</f>
        <v>1.6584019139999999</v>
      </c>
      <c r="Y14" s="75"/>
    </row>
    <row r="15" spans="1:29" x14ac:dyDescent="0.25">
      <c r="A15" s="3"/>
      <c r="B15" s="324"/>
      <c r="C15" s="3" t="s">
        <v>9</v>
      </c>
      <c r="D15" s="3" t="s">
        <v>362</v>
      </c>
      <c r="E15" s="16">
        <f>VLOOKUP($D15,Résultats!$B$2:$AX$476,E$5,FALSE)</f>
        <v>0.50773300079999995</v>
      </c>
      <c r="F15" s="16">
        <f>VLOOKUP($D15,Résultats!$B$2:$AX$476,F$5,FALSE)</f>
        <v>2.3758845609999999</v>
      </c>
      <c r="G15" s="22">
        <f>VLOOKUP($D15,Résultats!$B$2:$AX$476,G$5,FALSE)</f>
        <v>2.9834324209999998</v>
      </c>
      <c r="H15" s="16">
        <f>VLOOKUP($D15,Résultats!$B$2:$AX$476,H$5,FALSE)</f>
        <v>3.1732166450000001</v>
      </c>
      <c r="I15" s="86">
        <f>VLOOKUP($D15,Résultats!$B$2:$AX$476,I$5,FALSE)</f>
        <v>3.3511956839999999</v>
      </c>
      <c r="J15" s="22">
        <f>VLOOKUP($D15,Résultats!$B$2:$AX$476,J$5,FALSE)</f>
        <v>3.4809093930000001</v>
      </c>
      <c r="K15" s="16">
        <f>VLOOKUP($D15,Résultats!$B$2:$AX$476,K$5,FALSE)</f>
        <v>3.6168196940000001</v>
      </c>
      <c r="L15" s="16">
        <f>VLOOKUP($D15,Résultats!$B$2:$AX$476,L$5,FALSE)</f>
        <v>3.76185597</v>
      </c>
      <c r="M15" s="16">
        <f>VLOOKUP($D15,Résultats!$B$2:$AX$476,M$5,FALSE)</f>
        <v>3.9072937919999999</v>
      </c>
      <c r="N15" s="86">
        <f>VLOOKUP($D15,Résultats!$B$2:$AX$476,N$5,FALSE)</f>
        <v>4.0739163119999997</v>
      </c>
      <c r="O15" s="22">
        <f>VLOOKUP($D15,Résultats!$B$2:$AX$476,O$5,FALSE)</f>
        <v>4.1142879189999997</v>
      </c>
      <c r="P15" s="16">
        <f>VLOOKUP($D15,Résultats!$B$2:$AX$476,P$5,FALSE)</f>
        <v>4.1387370389999996</v>
      </c>
      <c r="Q15" s="16">
        <f>VLOOKUP($D15,Résultats!$B$2:$AX$476,Q$5,FALSE)</f>
        <v>4.1692524110000004</v>
      </c>
      <c r="R15" s="16">
        <f>VLOOKUP($D15,Résultats!$B$2:$AX$476,R$5,FALSE)</f>
        <v>4.1810603459999998</v>
      </c>
      <c r="S15" s="86">
        <f>VLOOKUP($D15,Résultats!$B$2:$AX$476,S$5,FALSE)</f>
        <v>4.2001879659999997</v>
      </c>
      <c r="T15" s="95">
        <f>VLOOKUP($D15,Résultats!$B$2:$AX$476,T$5,FALSE)</f>
        <v>4.0417556489999997</v>
      </c>
      <c r="U15" s="95">
        <f>VLOOKUP($D15,Résultats!$B$2:$AX$476,U$5,FALSE)</f>
        <v>3.878255571</v>
      </c>
      <c r="V15" s="95">
        <f>VLOOKUP($D15,Résultats!$B$2:$AX$476,V$5,FALSE)</f>
        <v>3.6963909940000002</v>
      </c>
      <c r="W15" s="95">
        <f>VLOOKUP($D15,Résultats!$B$2:$AX$476,W$5,FALSE)</f>
        <v>3.557768201</v>
      </c>
      <c r="X15" s="45">
        <f>W15-'[1]Cibles THREEME'!$H14</f>
        <v>-14.215232658845226</v>
      </c>
      <c r="Y15" s="75"/>
    </row>
    <row r="16" spans="1:29" x14ac:dyDescent="0.25">
      <c r="A16" s="3"/>
      <c r="B16" s="324"/>
      <c r="C16" s="3" t="s">
        <v>10</v>
      </c>
      <c r="D16" s="3" t="s">
        <v>363</v>
      </c>
      <c r="E16" s="16">
        <f>VLOOKUP($D16,Résultats!$B$2:$AX$476,E$5,FALSE)</f>
        <v>0.50773300079999995</v>
      </c>
      <c r="F16" s="16">
        <f>VLOOKUP($D16,Résultats!$B$2:$AX$476,F$5,FALSE)</f>
        <v>1.4166029499999999</v>
      </c>
      <c r="G16" s="22">
        <f>VLOOKUP($D16,Résultats!$B$2:$AX$476,G$5,FALSE)</f>
        <v>1.670962265</v>
      </c>
      <c r="H16" s="16">
        <f>VLOOKUP($D16,Résultats!$B$2:$AX$476,H$5,FALSE)</f>
        <v>1.748126267</v>
      </c>
      <c r="I16" s="86">
        <f>VLOOKUP($D16,Résultats!$B$2:$AX$476,I$5,FALSE)</f>
        <v>1.8188717430000001</v>
      </c>
      <c r="J16" s="22">
        <f>VLOOKUP($D16,Résultats!$B$2:$AX$476,J$5,FALSE)</f>
        <v>1.8533494880000001</v>
      </c>
      <c r="K16" s="16">
        <f>VLOOKUP($D16,Résultats!$B$2:$AX$476,K$5,FALSE)</f>
        <v>1.8913821390000001</v>
      </c>
      <c r="L16" s="16">
        <f>VLOOKUP($D16,Résultats!$B$2:$AX$476,L$5,FALSE)</f>
        <v>1.9342766899999999</v>
      </c>
      <c r="M16" s="16">
        <f>VLOOKUP($D16,Résultats!$B$2:$AX$476,M$5,FALSE)</f>
        <v>2.0090581260000002</v>
      </c>
      <c r="N16" s="86">
        <f>VLOOKUP($D16,Résultats!$B$2:$AX$476,N$5,FALSE)</f>
        <v>2.0947323400000002</v>
      </c>
      <c r="O16" s="22">
        <f>VLOOKUP($D16,Résultats!$B$2:$AX$476,O$5,FALSE)</f>
        <v>2.115490673</v>
      </c>
      <c r="P16" s="16">
        <f>VLOOKUP($D16,Résultats!$B$2:$AX$476,P$5,FALSE)</f>
        <v>2.128061958</v>
      </c>
      <c r="Q16" s="16">
        <f>VLOOKUP($D16,Résultats!$B$2:$AX$476,Q$5,FALSE)</f>
        <v>2.1437523970000001</v>
      </c>
      <c r="R16" s="16">
        <f>VLOOKUP($D16,Résultats!$B$2:$AX$476,R$5,FALSE)</f>
        <v>2.1498238189999999</v>
      </c>
      <c r="S16" s="86">
        <f>VLOOKUP($D16,Résultats!$B$2:$AX$476,S$5,FALSE)</f>
        <v>2.159658887</v>
      </c>
      <c r="T16" s="95">
        <f>VLOOKUP($D16,Résultats!$B$2:$AX$476,T$5,FALSE)</f>
        <v>2.078195923</v>
      </c>
      <c r="U16" s="95">
        <f>VLOOKUP($D16,Résultats!$B$2:$AX$476,U$5,FALSE)</f>
        <v>1.99412721</v>
      </c>
      <c r="V16" s="95">
        <f>VLOOKUP($D16,Résultats!$B$2:$AX$476,V$5,FALSE)</f>
        <v>1.9006158120000001</v>
      </c>
      <c r="W16" s="95">
        <f>VLOOKUP($D16,Résultats!$B$2:$AX$476,W$5,FALSE)</f>
        <v>1.829338538</v>
      </c>
      <c r="X16" s="45">
        <f>W16-'[1]Cibles THREEME'!$H17</f>
        <v>-8.6607732418796211</v>
      </c>
      <c r="Y16" s="75"/>
    </row>
    <row r="17" spans="1:39" x14ac:dyDescent="0.25">
      <c r="A17" s="3"/>
      <c r="B17" s="324"/>
      <c r="C17" s="3" t="s">
        <v>11</v>
      </c>
      <c r="D17" s="3" t="s">
        <v>364</v>
      </c>
      <c r="E17" s="16">
        <f>VLOOKUP($D17,Résultats!$B$2:$AX$476,E$5,FALSE)</f>
        <v>4.0667060099999999</v>
      </c>
      <c r="F17" s="16">
        <f>VLOOKUP($D17,Résultats!$B$2:$AX$476,F$5,FALSE)</f>
        <v>2.8468841899999999</v>
      </c>
      <c r="G17" s="22">
        <f>VLOOKUP($D17,Résultats!$B$2:$AX$476,G$5,FALSE)</f>
        <v>3.6632431510000001</v>
      </c>
      <c r="H17" s="16">
        <f>VLOOKUP($D17,Résultats!$B$2:$AX$476,H$5,FALSE)</f>
        <v>3.9214439319999999</v>
      </c>
      <c r="I17" s="86">
        <f>VLOOKUP($D17,Résultats!$B$2:$AX$476,I$5,FALSE)</f>
        <v>4.1656316799999997</v>
      </c>
      <c r="J17" s="22">
        <f>VLOOKUP($D17,Résultats!$B$2:$AX$476,J$5,FALSE)</f>
        <v>4.3201311660000004</v>
      </c>
      <c r="K17" s="16">
        <f>VLOOKUP($D17,Résultats!$B$2:$AX$476,K$5,FALSE)</f>
        <v>4.4825823099999997</v>
      </c>
      <c r="L17" s="16">
        <f>VLOOKUP($D17,Résultats!$B$2:$AX$476,L$5,FALSE)</f>
        <v>4.6565729940000002</v>
      </c>
      <c r="M17" s="16">
        <f>VLOOKUP($D17,Résultats!$B$2:$AX$476,M$5,FALSE)</f>
        <v>4.8366016399999996</v>
      </c>
      <c r="N17" s="86">
        <f>VLOOKUP($D17,Résultats!$B$2:$AX$476,N$5,FALSE)</f>
        <v>5.0428535349999999</v>
      </c>
      <c r="O17" s="22">
        <f>VLOOKUP($D17,Résultats!$B$2:$AX$476,O$5,FALSE)</f>
        <v>5.0928270959999997</v>
      </c>
      <c r="P17" s="16">
        <f>VLOOKUP($D17,Résultats!$B$2:$AX$476,P$5,FALSE)</f>
        <v>5.1230911770000001</v>
      </c>
      <c r="Q17" s="16">
        <f>VLOOKUP($D17,Résultats!$B$2:$AX$476,Q$5,FALSE)</f>
        <v>5.1608643020000002</v>
      </c>
      <c r="R17" s="16">
        <f>VLOOKUP($D17,Résultats!$B$2:$AX$476,R$5,FALSE)</f>
        <v>5.1754806279999999</v>
      </c>
      <c r="S17" s="86">
        <f>VLOOKUP($D17,Résultats!$B$2:$AX$476,S$5,FALSE)</f>
        <v>5.1991575460000004</v>
      </c>
      <c r="T17" s="95">
        <f>VLOOKUP($D17,Résultats!$B$2:$AX$476,T$5,FALSE)</f>
        <v>5.0030438049999999</v>
      </c>
      <c r="U17" s="95">
        <f>VLOOKUP($D17,Résultats!$B$2:$AX$476,U$5,FALSE)</f>
        <v>4.8006569900000002</v>
      </c>
      <c r="V17" s="95">
        <f>VLOOKUP($D17,Résultats!$B$2:$AX$476,V$5,FALSE)</f>
        <v>4.5755378770000004</v>
      </c>
      <c r="W17" s="95">
        <f>VLOOKUP($D17,Résultats!$B$2:$AX$476,W$5,FALSE)</f>
        <v>4.4039451420000004</v>
      </c>
      <c r="X17" s="45">
        <f>W17-'[1]Cibles THREEME'!$H18</f>
        <v>-1.0560720549045559</v>
      </c>
      <c r="Y17" s="75"/>
    </row>
    <row r="18" spans="1:39" x14ac:dyDescent="0.25">
      <c r="A18" s="3"/>
      <c r="B18" s="325"/>
      <c r="C18" s="7" t="s">
        <v>12</v>
      </c>
      <c r="D18" s="3" t="s">
        <v>365</v>
      </c>
      <c r="E18" s="17">
        <f>VLOOKUP($D18,Résultats!$B$2:$AX$476,E$5,FALSE)</f>
        <v>2.7801289140000001</v>
      </c>
      <c r="F18" s="17">
        <f>VLOOKUP($D18,Résultats!$B$2:$AX$476,F$5,FALSE)</f>
        <v>4.8343282390000004</v>
      </c>
      <c r="G18" s="88">
        <f>VLOOKUP($D18,Résultats!$B$2:$AX$476,G$5,FALSE)</f>
        <v>4.1056568899999997</v>
      </c>
      <c r="H18" s="17">
        <f>VLOOKUP($D18,Résultats!$B$2:$AX$476,H$5,FALSE)</f>
        <v>3.8423899920000002</v>
      </c>
      <c r="I18" s="89">
        <f>VLOOKUP($D18,Résultats!$B$2:$AX$476,I$5,FALSE)</f>
        <v>3.569377003</v>
      </c>
      <c r="J18" s="88">
        <f>VLOOKUP($D18,Résultats!$B$2:$AX$476,J$5,FALSE)</f>
        <v>3.6677612530000001</v>
      </c>
      <c r="K18" s="17">
        <f>VLOOKUP($D18,Résultats!$B$2:$AX$476,K$5,FALSE)</f>
        <v>3.7736582699999999</v>
      </c>
      <c r="L18" s="17">
        <f>VLOOKUP($D18,Résultats!$B$2:$AX$476,L$5,FALSE)</f>
        <v>3.8898737369999998</v>
      </c>
      <c r="M18" s="17">
        <f>VLOOKUP($D18,Résultats!$B$2:$AX$476,M$5,FALSE)</f>
        <v>4.0402608779999998</v>
      </c>
      <c r="N18" s="89">
        <f>VLOOKUP($D18,Résultats!$B$2:$AX$476,N$5,FALSE)</f>
        <v>4.2125536419999996</v>
      </c>
      <c r="O18" s="88">
        <f>VLOOKUP($D18,Résultats!$B$2:$AX$476,O$5,FALSE)</f>
        <v>4.2542991150000002</v>
      </c>
      <c r="P18" s="17">
        <f>VLOOKUP($D18,Résultats!$B$2:$AX$476,P$5,FALSE)</f>
        <v>4.2795802500000004</v>
      </c>
      <c r="Q18" s="17">
        <f>VLOOKUP($D18,Résultats!$B$2:$AX$476,Q$5,FALSE)</f>
        <v>4.311134075</v>
      </c>
      <c r="R18" s="17">
        <f>VLOOKUP($D18,Résultats!$B$2:$AX$476,R$5,FALSE)</f>
        <v>4.3233438399999997</v>
      </c>
      <c r="S18" s="89">
        <f>VLOOKUP($D18,Résultats!$B$2:$AX$476,S$5,FALSE)</f>
        <v>4.3431223809999997</v>
      </c>
      <c r="T18" s="97">
        <f>VLOOKUP($D18,Résultats!$B$2:$AX$476,T$5,FALSE)</f>
        <v>4.1792985370000002</v>
      </c>
      <c r="U18" s="97">
        <f>VLOOKUP($D18,Résultats!$B$2:$AX$476,U$5,FALSE)</f>
        <v>4.0102344729999997</v>
      </c>
      <c r="V18" s="97">
        <f>VLOOKUP($D18,Résultats!$B$2:$AX$476,V$5,FALSE)</f>
        <v>3.822180957</v>
      </c>
      <c r="W18" s="97">
        <f>VLOOKUP($D18,Résultats!$B$2:$AX$476,W$5,FALSE)</f>
        <v>3.6788407630000002</v>
      </c>
      <c r="X18" s="45">
        <f>W18-'[1]Cibles THREEME'!$H19</f>
        <v>2.5167137493695177</v>
      </c>
      <c r="Y18" s="75"/>
    </row>
    <row r="19" spans="1:39" ht="15" customHeight="1" x14ac:dyDescent="0.25">
      <c r="A19" s="3"/>
      <c r="B19" s="323" t="s">
        <v>53</v>
      </c>
      <c r="C19" s="5" t="s">
        <v>1</v>
      </c>
      <c r="D19" s="2"/>
      <c r="E19" s="6">
        <f>SUM(E20:E25)</f>
        <v>33.752780600400008</v>
      </c>
      <c r="F19" s="6">
        <f>SUM(F20:F25)</f>
        <v>36.178753937100005</v>
      </c>
      <c r="G19" s="84">
        <f t="shared" ref="G19:R19" si="3">SUM(G20:G25)</f>
        <v>35.890577531700004</v>
      </c>
      <c r="H19" s="6">
        <f t="shared" si="3"/>
        <v>35.0527102</v>
      </c>
      <c r="I19" s="85">
        <f t="shared" si="3"/>
        <v>34.435688850599995</v>
      </c>
      <c r="J19" s="84">
        <f t="shared" si="3"/>
        <v>34.134016839999994</v>
      </c>
      <c r="K19" s="6">
        <f t="shared" si="3"/>
        <v>34.056947792899997</v>
      </c>
      <c r="L19" s="6">
        <f t="shared" si="3"/>
        <v>34.086024814700004</v>
      </c>
      <c r="M19" s="6">
        <f t="shared" si="3"/>
        <v>34.736976571599996</v>
      </c>
      <c r="N19" s="85">
        <f t="shared" si="3"/>
        <v>35.159812314699998</v>
      </c>
      <c r="O19" s="84">
        <f t="shared" si="3"/>
        <v>35.570483066499996</v>
      </c>
      <c r="P19" s="6">
        <f t="shared" si="3"/>
        <v>36.069201609799997</v>
      </c>
      <c r="Q19" s="6">
        <f t="shared" si="3"/>
        <v>36.367503695999993</v>
      </c>
      <c r="R19" s="6">
        <f t="shared" si="3"/>
        <v>36.662289104000003</v>
      </c>
      <c r="S19" s="85">
        <f>SUM(S20:S25)</f>
        <v>36.929894688000005</v>
      </c>
      <c r="T19" s="94">
        <f>SUM(T20:T25)</f>
        <v>38.222034861000004</v>
      </c>
      <c r="U19" s="94">
        <f>SUM(U20:U25)</f>
        <v>38.933519170000004</v>
      </c>
      <c r="V19" s="94">
        <f>SUM(V20:V25)</f>
        <v>38.873510246000002</v>
      </c>
      <c r="W19" s="94">
        <f>SUM(W20:W25)</f>
        <v>38.965922737</v>
      </c>
      <c r="X19" s="3"/>
      <c r="Y19" s="75"/>
    </row>
    <row r="20" spans="1:39" x14ac:dyDescent="0.25">
      <c r="A20" s="3"/>
      <c r="B20" s="324"/>
      <c r="C20" s="3" t="s">
        <v>13</v>
      </c>
      <c r="D20" s="3" t="s">
        <v>366</v>
      </c>
      <c r="E20" s="16">
        <f>VLOOKUP($D20,Résultats!$B$2:$AX$476,E$5,FALSE)</f>
        <v>30.46956342</v>
      </c>
      <c r="F20" s="16">
        <f>VLOOKUP($D20,Résultats!$B$2:$AX$476,F$5,FALSE)</f>
        <v>24.946001389999999</v>
      </c>
      <c r="G20" s="22">
        <f>VLOOKUP($D20,Résultats!$B$2:$AX$476,G$5,FALSE)</f>
        <v>24.341407220000001</v>
      </c>
      <c r="H20" s="16">
        <f>VLOOKUP($D20,Résultats!$B$2:$AX$476,H$5,FALSE)</f>
        <v>23.661015160000002</v>
      </c>
      <c r="I20" s="86">
        <f>VLOOKUP($D20,Résultats!$B$2:$AX$476,I$5,FALSE)</f>
        <v>23.143983729999999</v>
      </c>
      <c r="J20" s="22">
        <f>VLOOKUP($D20,Résultats!$B$2:$AX$476,J$5,FALSE)</f>
        <v>22.026426019999999</v>
      </c>
      <c r="K20" s="16">
        <f>VLOOKUP($D20,Résultats!$B$2:$AX$476,K$5,FALSE)</f>
        <v>21.04082786</v>
      </c>
      <c r="L20" s="16">
        <f>VLOOKUP($D20,Résultats!$B$2:$AX$476,L$5,FALSE)</f>
        <v>20.098121949999999</v>
      </c>
      <c r="M20" s="16">
        <f>VLOOKUP($D20,Résultats!$B$2:$AX$476,M$5,FALSE)</f>
        <v>20.022705469999998</v>
      </c>
      <c r="N20" s="86">
        <f>VLOOKUP($D20,Résultats!$B$2:$AX$476,N$5,FALSE)</f>
        <v>19.81023862</v>
      </c>
      <c r="O20" s="22">
        <f>VLOOKUP($D20,Résultats!$B$2:$AX$476,O$5,FALSE)</f>
        <v>19.585582899999999</v>
      </c>
      <c r="P20" s="16">
        <f>VLOOKUP($D20,Résultats!$B$2:$AX$476,P$5,FALSE)</f>
        <v>19.402899210000001</v>
      </c>
      <c r="Q20" s="16">
        <f>VLOOKUP($D20,Résultats!$B$2:$AX$476,Q$5,FALSE)</f>
        <v>19.108476719999999</v>
      </c>
      <c r="R20" s="16">
        <f>VLOOKUP($D20,Résultats!$B$2:$AX$476,R$5,FALSE)</f>
        <v>18.80843862</v>
      </c>
      <c r="S20" s="86">
        <f>VLOOKUP($D20,Résultats!$B$2:$AX$476,S$5,FALSE)</f>
        <v>18.491024150000001</v>
      </c>
      <c r="T20" s="95">
        <f>VLOOKUP($D20,Résultats!$B$2:$AX$476,T$5,FALSE)</f>
        <v>16.83509055</v>
      </c>
      <c r="U20" s="95">
        <f>VLOOKUP($D20,Résultats!$B$2:$AX$476,U$5,FALSE)</f>
        <v>14.86176998</v>
      </c>
      <c r="V20" s="95">
        <f>VLOOKUP($D20,Résultats!$B$2:$AX$476,V$5,FALSE)</f>
        <v>12.580510650000001</v>
      </c>
      <c r="W20" s="95">
        <f>VLOOKUP($D20,Résultats!$B$2:$AX$476,W$5,FALSE)</f>
        <v>10.35087251</v>
      </c>
      <c r="X20" s="45">
        <f>W20-'[1]Cibles THREEME'!$H28</f>
        <v>4.9120897804405423</v>
      </c>
      <c r="Y20" s="75"/>
    </row>
    <row r="21" spans="1:39" x14ac:dyDescent="0.25">
      <c r="A21" s="3"/>
      <c r="B21" s="324"/>
      <c r="C21" s="3" t="s">
        <v>14</v>
      </c>
      <c r="D21" s="3" t="s">
        <v>367</v>
      </c>
      <c r="E21" s="16">
        <f>VLOOKUP($D21,Résultats!$B$2:$AX$476,E$5,FALSE)</f>
        <v>1.3861615430000001</v>
      </c>
      <c r="F21" s="16">
        <f>VLOOKUP($D21,Résultats!$B$2:$AX$476,F$5,FALSE)</f>
        <v>6.3077829899999998</v>
      </c>
      <c r="G21" s="22">
        <f>VLOOKUP($D21,Résultats!$B$2:$AX$476,G$5,FALSE)</f>
        <v>6.4963086729999997</v>
      </c>
      <c r="H21" s="16">
        <f>VLOOKUP($D21,Résultats!$B$2:$AX$476,H$5,FALSE)</f>
        <v>6.4277458059999999</v>
      </c>
      <c r="I21" s="86">
        <f>VLOOKUP($D21,Résultats!$B$2:$AX$476,I$5,FALSE)</f>
        <v>6.3990423270000001</v>
      </c>
      <c r="J21" s="22">
        <f>VLOOKUP($D21,Résultats!$B$2:$AX$476,J$5,FALSE)</f>
        <v>6.5185723820000003</v>
      </c>
      <c r="K21" s="16">
        <f>VLOOKUP($D21,Résultats!$B$2:$AX$476,K$5,FALSE)</f>
        <v>6.6835131939999997</v>
      </c>
      <c r="L21" s="16">
        <f>VLOOKUP($D21,Résultats!$B$2:$AX$476,L$5,FALSE)</f>
        <v>6.87366806</v>
      </c>
      <c r="M21" s="16">
        <f>VLOOKUP($D21,Résultats!$B$2:$AX$476,M$5,FALSE)</f>
        <v>7.3447362050000002</v>
      </c>
      <c r="N21" s="86">
        <f>VLOOKUP($D21,Résultats!$B$2:$AX$476,N$5,FALSE)</f>
        <v>7.771687461</v>
      </c>
      <c r="O21" s="22">
        <f>VLOOKUP($D21,Résultats!$B$2:$AX$476,O$5,FALSE)</f>
        <v>8.199897043</v>
      </c>
      <c r="P21" s="16">
        <f>VLOOKUP($D21,Résultats!$B$2:$AX$476,P$5,FALSE)</f>
        <v>8.6532194750000002</v>
      </c>
      <c r="Q21" s="16">
        <f>VLOOKUP($D21,Résultats!$B$2:$AX$476,Q$5,FALSE)</f>
        <v>9.0613669819999902</v>
      </c>
      <c r="R21" s="16">
        <f>VLOOKUP($D21,Résultats!$B$2:$AX$476,R$5,FALSE)</f>
        <v>9.4714261860000004</v>
      </c>
      <c r="S21" s="86">
        <f>VLOOKUP($D21,Résultats!$B$2:$AX$476,S$5,FALSE)</f>
        <v>9.8770035529999998</v>
      </c>
      <c r="T21" s="95">
        <f>VLOOKUP($D21,Résultats!$B$2:$AX$476,T$5,FALSE)</f>
        <v>11.926568899999999</v>
      </c>
      <c r="U21" s="95">
        <f>VLOOKUP($D21,Résultats!$B$2:$AX$476,U$5,FALSE)</f>
        <v>13.84055442</v>
      </c>
      <c r="V21" s="95">
        <f>VLOOKUP($D21,Résultats!$B$2:$AX$476,V$5,FALSE)</f>
        <v>15.49022707</v>
      </c>
      <c r="W21" s="95">
        <f>VLOOKUP($D21,Résultats!$B$2:$AX$476,W$5,FALSE)</f>
        <v>17.19893922</v>
      </c>
      <c r="X21" s="45">
        <f>W21-'[1]Cibles THREEME'!$H29</f>
        <v>5.2877533843313316</v>
      </c>
      <c r="Y21" s="75"/>
    </row>
    <row r="22" spans="1:39" x14ac:dyDescent="0.25">
      <c r="A22" s="3"/>
      <c r="B22" s="324"/>
      <c r="C22" s="3" t="s">
        <v>15</v>
      </c>
      <c r="D22" s="3" t="s">
        <v>368</v>
      </c>
      <c r="E22" s="16">
        <f>VLOOKUP($D22,Résultats!$B$2:$AX$476,E$5,FALSE)</f>
        <v>0.41865197459999998</v>
      </c>
      <c r="F22" s="16">
        <f>VLOOKUP($D22,Résultats!$B$2:$AX$476,F$5,FALSE)</f>
        <v>0.44738474630000002</v>
      </c>
      <c r="G22" s="22">
        <f>VLOOKUP($D22,Résultats!$B$2:$AX$476,G$5,FALSE)</f>
        <v>0.60500923470000001</v>
      </c>
      <c r="H22" s="16">
        <f>VLOOKUP($D22,Résultats!$B$2:$AX$476,H$5,FALSE)</f>
        <v>0.64395370789999995</v>
      </c>
      <c r="I22" s="86">
        <f>VLOOKUP($D22,Résultats!$B$2:$AX$476,I$5,FALSE)</f>
        <v>0.68515223270000003</v>
      </c>
      <c r="J22" s="22">
        <f>VLOOKUP($D22,Résultats!$B$2:$AX$476,J$5,FALSE)</f>
        <v>0.87824339659999995</v>
      </c>
      <c r="K22" s="16">
        <f>VLOOKUP($D22,Résultats!$B$2:$AX$476,K$5,FALSE)</f>
        <v>1.0801222100000001</v>
      </c>
      <c r="L22" s="16">
        <f>VLOOKUP($D22,Résultats!$B$2:$AX$476,L$5,FALSE)</f>
        <v>1.290497016</v>
      </c>
      <c r="M22" s="16">
        <f>VLOOKUP($D22,Résultats!$B$2:$AX$476,M$5,FALSE)</f>
        <v>1.3663765240000001</v>
      </c>
      <c r="N22" s="86">
        <f>VLOOKUP($D22,Résultats!$B$2:$AX$476,N$5,FALSE)</f>
        <v>1.4339036540000001</v>
      </c>
      <c r="O22" s="22">
        <f>VLOOKUP($D22,Résultats!$B$2:$AX$476,O$5,FALSE)</f>
        <v>1.501529828</v>
      </c>
      <c r="P22" s="16">
        <f>VLOOKUP($D22,Résultats!$B$2:$AX$476,P$5,FALSE)</f>
        <v>1.573598837</v>
      </c>
      <c r="Q22" s="16">
        <f>VLOOKUP($D22,Résultats!$B$2:$AX$476,Q$5,FALSE)</f>
        <v>1.6373624250000001</v>
      </c>
      <c r="R22" s="16">
        <f>VLOOKUP($D22,Résultats!$B$2:$AX$476,R$5,FALSE)</f>
        <v>1.701388041</v>
      </c>
      <c r="S22" s="86">
        <f>VLOOKUP($D22,Résultats!$B$2:$AX$476,S$5,FALSE)</f>
        <v>1.7645352780000001</v>
      </c>
      <c r="T22" s="95">
        <f>VLOOKUP($D22,Résultats!$B$2:$AX$476,T$5,FALSE)</f>
        <v>2.0831980510000001</v>
      </c>
      <c r="U22" s="95">
        <f>VLOOKUP($D22,Résultats!$B$2:$AX$476,U$5,FALSE)</f>
        <v>2.3770897770000001</v>
      </c>
      <c r="V22" s="95">
        <f>VLOOKUP($D22,Résultats!$B$2:$AX$476,V$5,FALSE)</f>
        <v>2.6253776740000001</v>
      </c>
      <c r="W22" s="95">
        <f>VLOOKUP($D22,Résultats!$B$2:$AX$476,W$5,FALSE)</f>
        <v>2.883703691</v>
      </c>
      <c r="X22" s="45">
        <f>W22-'[1]Cibles THREEME'!$H30</f>
        <v>-9.4419056215252724</v>
      </c>
      <c r="Y22" s="75"/>
      <c r="Z22" s="75"/>
      <c r="AA22" s="75"/>
    </row>
    <row r="23" spans="1:39" x14ac:dyDescent="0.25">
      <c r="A23" s="3"/>
      <c r="B23" s="324"/>
      <c r="C23" s="3" t="s">
        <v>16</v>
      </c>
      <c r="D23" s="3" t="s">
        <v>369</v>
      </c>
      <c r="E23" s="16">
        <f>VLOOKUP($D23,Résultats!$B$2:$AX$476,E$5,FALSE)</f>
        <v>0.64109971359999995</v>
      </c>
      <c r="F23" s="16">
        <f>VLOOKUP($D23,Résultats!$B$2:$AX$476,F$5,FALSE)</f>
        <v>0.60086852550000003</v>
      </c>
      <c r="G23" s="22">
        <f>VLOOKUP($D23,Résultats!$B$2:$AX$476,G$5,FALSE)</f>
        <v>1.175905661</v>
      </c>
      <c r="H23" s="16">
        <f>VLOOKUP($D23,Résultats!$B$2:$AX$476,H$5,FALSE)</f>
        <v>1.3090325300000001</v>
      </c>
      <c r="I23" s="86">
        <f>VLOOKUP($D23,Résultats!$B$2:$AX$476,I$5,FALSE)</f>
        <v>1.4301714889999999</v>
      </c>
      <c r="J23" s="22">
        <f>VLOOKUP($D23,Résultats!$B$2:$AX$476,J$5,FALSE)</f>
        <v>1.465159549</v>
      </c>
      <c r="K23" s="16">
        <f>VLOOKUP($D23,Résultats!$B$2:$AX$476,K$5,FALSE)</f>
        <v>1.5098171339999999</v>
      </c>
      <c r="L23" s="16">
        <f>VLOOKUP($D23,Résultats!$B$2:$AX$476,L$5,FALSE)</f>
        <v>1.559688086</v>
      </c>
      <c r="M23" s="16">
        <f>VLOOKUP($D23,Résultats!$B$2:$AX$476,M$5,FALSE)</f>
        <v>1.6073132290000001</v>
      </c>
      <c r="N23" s="86">
        <f>VLOOKUP($D23,Résultats!$B$2:$AX$476,N$5,FALSE)</f>
        <v>1.644599294</v>
      </c>
      <c r="O23" s="22">
        <f>VLOOKUP($D23,Résultats!$B$2:$AX$476,O$5,FALSE)</f>
        <v>1.68152357</v>
      </c>
      <c r="P23" s="16">
        <f>VLOOKUP($D23,Résultats!$B$2:$AX$476,P$5,FALSE)</f>
        <v>1.7228629470000001</v>
      </c>
      <c r="Q23" s="16">
        <f>VLOOKUP($D23,Résultats!$B$2:$AX$476,Q$5,FALSE)</f>
        <v>1.7547819069999999</v>
      </c>
      <c r="R23" s="16">
        <f>VLOOKUP($D23,Résultats!$B$2:$AX$476,R$5,FALSE)</f>
        <v>1.786677547</v>
      </c>
      <c r="S23" s="86">
        <f>VLOOKUP($D23,Résultats!$B$2:$AX$476,S$5,FALSE)</f>
        <v>1.817381964</v>
      </c>
      <c r="T23" s="95">
        <f>VLOOKUP($D23,Résultats!$B$2:$AX$476,T$5,FALSE)</f>
        <v>1.970428259</v>
      </c>
      <c r="U23" s="95">
        <f>VLOOKUP($D23,Résultats!$B$2:$AX$476,U$5,FALSE)</f>
        <v>2.095934701</v>
      </c>
      <c r="V23" s="95">
        <f>VLOOKUP($D23,Résultats!$B$2:$AX$476,V$5,FALSE)</f>
        <v>2.1804310230000001</v>
      </c>
      <c r="W23" s="95">
        <f>VLOOKUP($D23,Résultats!$B$2:$AX$476,W$5,FALSE)</f>
        <v>2.2733876309999999</v>
      </c>
      <c r="X23" s="45">
        <f>W23-'[1]Cibles THREEME'!$H31</f>
        <v>1.4818670869927826</v>
      </c>
      <c r="Y23" s="75"/>
      <c r="Z23" s="75"/>
      <c r="AA23" s="75"/>
    </row>
    <row r="24" spans="1:39" x14ac:dyDescent="0.25">
      <c r="A24" s="3"/>
      <c r="B24" s="324"/>
      <c r="C24" s="3" t="s">
        <v>17</v>
      </c>
      <c r="D24" s="3" t="s">
        <v>370</v>
      </c>
      <c r="E24" s="16">
        <f>VLOOKUP($D24,Résultats!$B$2:$AX$476,E$5,FALSE)</f>
        <v>0.41865197459999998</v>
      </c>
      <c r="F24" s="16">
        <f>VLOOKUP($D24,Résultats!$B$2:$AX$476,F$5,FALSE)</f>
        <v>0.44738474630000002</v>
      </c>
      <c r="G24" s="22">
        <f>VLOOKUP($D24,Résultats!$B$2:$AX$476,G$5,FALSE)</f>
        <v>0.53068521000000002</v>
      </c>
      <c r="H24" s="16">
        <f>VLOOKUP($D24,Résultats!$B$2:$AX$476,H$5,FALSE)</f>
        <v>0.5470586771</v>
      </c>
      <c r="I24" s="86">
        <f>VLOOKUP($D24,Résultats!$B$2:$AX$476,I$5,FALSE)</f>
        <v>0.56598142890000003</v>
      </c>
      <c r="J24" s="22">
        <f>VLOOKUP($D24,Résultats!$B$2:$AX$476,J$5,FALSE)</f>
        <v>0.62057937839999999</v>
      </c>
      <c r="K24" s="16">
        <f>VLOOKUP($D24,Résultats!$B$2:$AX$476,K$5,FALSE)</f>
        <v>0.68015237289999997</v>
      </c>
      <c r="L24" s="16">
        <f>VLOOKUP($D24,Résultats!$B$2:$AX$476,L$5,FALSE)</f>
        <v>0.74337089469999995</v>
      </c>
      <c r="M24" s="16">
        <f>VLOOKUP($D24,Résultats!$B$2:$AX$476,M$5,FALSE)</f>
        <v>0.80016341160000004</v>
      </c>
      <c r="N24" s="86">
        <f>VLOOKUP($D24,Résultats!$B$2:$AX$476,N$5,FALSE)</f>
        <v>0.85221721669999995</v>
      </c>
      <c r="O24" s="22">
        <f>VLOOKUP($D24,Résultats!$B$2:$AX$476,O$5,FALSE)</f>
        <v>0.90447097750000005</v>
      </c>
      <c r="P24" s="16">
        <f>VLOOKUP($D24,Résultats!$B$2:$AX$476,P$5,FALSE)</f>
        <v>0.95956724780000002</v>
      </c>
      <c r="Q24" s="16">
        <f>VLOOKUP($D24,Résultats!$B$2:$AX$476,Q$5,FALSE)</f>
        <v>1.0096960479999999</v>
      </c>
      <c r="R24" s="16">
        <f>VLOOKUP($D24,Résultats!$B$2:$AX$476,R$5,FALSE)</f>
        <v>1.060076697</v>
      </c>
      <c r="S24" s="86">
        <f>VLOOKUP($D24,Résultats!$B$2:$AX$476,S$5,FALSE)</f>
        <v>1.1099898399999999</v>
      </c>
      <c r="T24" s="95">
        <f>VLOOKUP($D24,Résultats!$B$2:$AX$476,T$5,FALSE)</f>
        <v>1.362432343</v>
      </c>
      <c r="U24" s="95">
        <f>VLOOKUP($D24,Résultats!$B$2:$AX$476,U$5,FALSE)</f>
        <v>1.599894071</v>
      </c>
      <c r="V24" s="95">
        <f>VLOOKUP($D24,Résultats!$B$2:$AX$476,V$5,FALSE)</f>
        <v>1.806899746</v>
      </c>
      <c r="W24" s="95">
        <f>VLOOKUP($D24,Résultats!$B$2:$AX$476,W$5,FALSE)</f>
        <v>2.020777464</v>
      </c>
      <c r="X24" s="45">
        <f>W24-'[1]Cibles THREEME'!$H32</f>
        <v>1.7628238956423044</v>
      </c>
      <c r="Y24" s="75"/>
      <c r="Z24" s="75"/>
      <c r="AA24" s="75"/>
    </row>
    <row r="25" spans="1:39" x14ac:dyDescent="0.25">
      <c r="A25" s="3"/>
      <c r="B25" s="325"/>
      <c r="C25" s="7" t="s">
        <v>12</v>
      </c>
      <c r="D25" s="3" t="s">
        <v>371</v>
      </c>
      <c r="E25" s="17">
        <f>VLOOKUP($D25,Résultats!$B$2:$AX$476,E$5,FALSE)</f>
        <v>0.41865197459999998</v>
      </c>
      <c r="F25" s="17">
        <f>VLOOKUP($D25,Résultats!$B$2:$AX$476,F$5,FALSE)</f>
        <v>3.4293315390000001</v>
      </c>
      <c r="G25" s="88">
        <f>VLOOKUP($D25,Résultats!$B$2:$AX$476,G$5,FALSE)</f>
        <v>2.7412615329999999</v>
      </c>
      <c r="H25" s="17">
        <f>VLOOKUP($D25,Résultats!$B$2:$AX$476,H$5,FALSE)</f>
        <v>2.4639043190000001</v>
      </c>
      <c r="I25" s="89">
        <f>VLOOKUP($D25,Résultats!$B$2:$AX$476,I$5,FALSE)</f>
        <v>2.2113576429999999</v>
      </c>
      <c r="J25" s="88">
        <f>VLOOKUP($D25,Résultats!$B$2:$AX$476,J$5,FALSE)</f>
        <v>2.6250361139999998</v>
      </c>
      <c r="K25" s="17">
        <f>VLOOKUP($D25,Résultats!$B$2:$AX$476,K$5,FALSE)</f>
        <v>3.0625150219999999</v>
      </c>
      <c r="L25" s="17">
        <f>VLOOKUP($D25,Résultats!$B$2:$AX$476,L$5,FALSE)</f>
        <v>3.520678808</v>
      </c>
      <c r="M25" s="17">
        <f>VLOOKUP($D25,Résultats!$B$2:$AX$476,M$5,FALSE)</f>
        <v>3.5956817320000001</v>
      </c>
      <c r="N25" s="89">
        <f>VLOOKUP($D25,Résultats!$B$2:$AX$476,N$5,FALSE)</f>
        <v>3.6471660689999998</v>
      </c>
      <c r="O25" s="88">
        <f>VLOOKUP($D25,Résultats!$B$2:$AX$476,O$5,FALSE)</f>
        <v>3.697478748</v>
      </c>
      <c r="P25" s="17">
        <f>VLOOKUP($D25,Résultats!$B$2:$AX$476,P$5,FALSE)</f>
        <v>3.7570538930000001</v>
      </c>
      <c r="Q25" s="17">
        <f>VLOOKUP($D25,Résultats!$B$2:$AX$476,Q$5,FALSE)</f>
        <v>3.795819614</v>
      </c>
      <c r="R25" s="17">
        <f>VLOOKUP($D25,Résultats!$B$2:$AX$476,R$5,FALSE)</f>
        <v>3.8342820130000002</v>
      </c>
      <c r="S25" s="89">
        <f>VLOOKUP($D25,Résultats!$B$2:$AX$476,S$5,FALSE)</f>
        <v>3.8699599029999998</v>
      </c>
      <c r="T25" s="97">
        <f>VLOOKUP($D25,Résultats!$B$2:$AX$476,T$5,FALSE)</f>
        <v>4.0443167579999999</v>
      </c>
      <c r="U25" s="97">
        <f>VLOOKUP($D25,Résultats!$B$2:$AX$476,U$5,FALSE)</f>
        <v>4.1582762210000004</v>
      </c>
      <c r="V25" s="97">
        <f>VLOOKUP($D25,Résultats!$B$2:$AX$476,V$5,FALSE)</f>
        <v>4.1900640830000002</v>
      </c>
      <c r="W25" s="97">
        <f>VLOOKUP($D25,Résultats!$B$2:$AX$476,W$5,FALSE)</f>
        <v>4.2382422210000001</v>
      </c>
      <c r="X25" s="45">
        <f>W25-'[1]Cibles THREEME'!$H33</f>
        <v>-3.2429211219693901</v>
      </c>
      <c r="Y25" s="75"/>
      <c r="Z25" s="75"/>
      <c r="AA25" s="75"/>
    </row>
    <row r="26" spans="1:39" x14ac:dyDescent="0.25">
      <c r="A26" s="3"/>
      <c r="B26" s="170" t="s">
        <v>8</v>
      </c>
      <c r="C26" s="2"/>
      <c r="D26" s="14" t="s">
        <v>372</v>
      </c>
      <c r="E26" s="6">
        <f>VLOOKUP($D26,Résultats!$B$2:$AX$476,E$5,FALSE)</f>
        <v>4.7606703819999998</v>
      </c>
      <c r="F26" s="6">
        <f>VLOOKUP($D26,Résultats!$B$2:$AX$476,F$5,FALSE)</f>
        <v>3.5910665370000001</v>
      </c>
      <c r="G26" s="84">
        <f>VLOOKUP($D26,Résultats!$B$2:$AX$476,G$5,FALSE)</f>
        <v>2.0990921760000001</v>
      </c>
      <c r="H26" s="6">
        <f>VLOOKUP($D26,Résultats!$B$2:$AX$476,H$5,FALSE)</f>
        <v>1.912048771</v>
      </c>
      <c r="I26" s="85">
        <f>VLOOKUP($D26,Résultats!$B$2:$AX$476,I$5,FALSE)</f>
        <v>1.739122941</v>
      </c>
      <c r="J26" s="84">
        <f>VLOOKUP($D26,Résultats!$B$2:$AX$476,J$5,FALSE)</f>
        <v>1.7062631690000001</v>
      </c>
      <c r="K26" s="6">
        <f>VLOOKUP($D26,Résultats!$B$2:$AX$476,K$5,FALSE)</f>
        <v>1.6854159989999999</v>
      </c>
      <c r="L26" s="6">
        <f>VLOOKUP($D26,Résultats!$B$2:$AX$476,L$5,FALSE)</f>
        <v>1.678433906</v>
      </c>
      <c r="M26" s="6">
        <f>VLOOKUP($D26,Résultats!$B$2:$AX$476,M$5,FALSE)</f>
        <v>1.417231149</v>
      </c>
      <c r="N26" s="85">
        <f>VLOOKUP($D26,Résultats!$B$2:$AX$476,N$5,FALSE)</f>
        <v>1.192215252</v>
      </c>
      <c r="O26" s="84">
        <f>VLOOKUP($D26,Résultats!$B$2:$AX$476,O$5,FALSE)</f>
        <v>1.036351628</v>
      </c>
      <c r="P26" s="6">
        <f>VLOOKUP($D26,Résultats!$B$2:$AX$476,P$5,FALSE)</f>
        <v>0.91412237060000001</v>
      </c>
      <c r="Q26" s="6">
        <f>VLOOKUP($D26,Résultats!$B$2:$AX$476,Q$5,FALSE)</f>
        <v>0.81167607639999995</v>
      </c>
      <c r="R26" s="6">
        <f>VLOOKUP($D26,Résultats!$B$2:$AX$476,R$5,FALSE)</f>
        <v>0.7259541706</v>
      </c>
      <c r="S26" s="85">
        <f>VLOOKUP($D26,Résultats!$B$2:$AX$476,S$5,FALSE)</f>
        <v>0.65272240459999997</v>
      </c>
      <c r="T26" s="94">
        <f>VLOOKUP($D26,Résultats!$B$2:$AX$476,T$5,FALSE)</f>
        <v>0.43935486210000002</v>
      </c>
      <c r="U26" s="94">
        <f>VLOOKUP($D26,Résultats!$B$2:$AX$476,U$5,FALSE)</f>
        <v>0.3335909058</v>
      </c>
      <c r="V26" s="94">
        <f>VLOOKUP($D26,Résultats!$B$2:$AX$476,V$5,FALSE)</f>
        <v>0.25346858919999998</v>
      </c>
      <c r="W26" s="94">
        <f>VLOOKUP($D26,Résultats!$B$2:$AX$476,W$5,FALSE)</f>
        <v>0.20732549820000001</v>
      </c>
      <c r="X26" s="3"/>
      <c r="Y26" s="75"/>
      <c r="Z26" s="75"/>
      <c r="AA26" s="75"/>
    </row>
    <row r="27" spans="1:39" x14ac:dyDescent="0.25">
      <c r="A27" s="3"/>
      <c r="B27" s="169" t="s">
        <v>1</v>
      </c>
      <c r="C27" s="2"/>
      <c r="D27" s="2"/>
      <c r="E27" s="9">
        <f>E26+E19+E10+E7</f>
        <v>230.85787866040005</v>
      </c>
      <c r="F27" s="9">
        <f>F26+F19+F10+F7</f>
        <v>229.13562326110002</v>
      </c>
      <c r="G27" s="23">
        <f t="shared" ref="G27:R27" si="4">G26+G19+G10+G7</f>
        <v>212.10844888270003</v>
      </c>
      <c r="H27" s="9">
        <f t="shared" si="4"/>
        <v>205.874898024</v>
      </c>
      <c r="I27" s="90">
        <f t="shared" si="4"/>
        <v>199.62575407659986</v>
      </c>
      <c r="J27" s="23">
        <f t="shared" si="4"/>
        <v>197.965939859</v>
      </c>
      <c r="K27" s="9">
        <f t="shared" si="4"/>
        <v>196.63405707390001</v>
      </c>
      <c r="L27" s="9">
        <f t="shared" si="4"/>
        <v>195.81158760470004</v>
      </c>
      <c r="M27" s="9">
        <f t="shared" si="4"/>
        <v>199.5069690185999</v>
      </c>
      <c r="N27" s="90">
        <f t="shared" si="4"/>
        <v>203.21586895669998</v>
      </c>
      <c r="O27" s="23">
        <f t="shared" si="4"/>
        <v>203.70911155249999</v>
      </c>
      <c r="P27" s="9">
        <f t="shared" si="4"/>
        <v>204.11366358939998</v>
      </c>
      <c r="Q27" s="9">
        <f t="shared" si="4"/>
        <v>204.4979584514</v>
      </c>
      <c r="R27" s="9">
        <f t="shared" si="4"/>
        <v>204.37159768660001</v>
      </c>
      <c r="S27" s="90">
        <f>S26+S19+S10+S7</f>
        <v>204.31904194660001</v>
      </c>
      <c r="T27" s="98">
        <f>T26+T19+T10+T7</f>
        <v>197.5850838561</v>
      </c>
      <c r="U27" s="98">
        <f>U26+U19+U10+U7</f>
        <v>190.8096112238</v>
      </c>
      <c r="V27" s="98">
        <f>V26+V19+V10+V7</f>
        <v>182.6624297932</v>
      </c>
      <c r="W27" s="98">
        <f>W26+W19+W10+W7</f>
        <v>176.5129651542</v>
      </c>
      <c r="X27" s="3"/>
      <c r="Y27" s="75"/>
      <c r="Z27" s="75"/>
      <c r="AA27" s="75"/>
    </row>
    <row r="28" spans="1:39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39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39" ht="21" x14ac:dyDescent="0.35">
      <c r="A30" s="172" t="s">
        <v>82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39" ht="23.25" x14ac:dyDescent="0.35">
      <c r="A31" s="161" t="str">
        <f>Résultats!B1</f>
        <v>SNBC3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Z31" s="166" t="s">
        <v>91</v>
      </c>
      <c r="AA31" s="166"/>
      <c r="AB31" s="166"/>
      <c r="AC31" s="38"/>
      <c r="AE31" s="166" t="s">
        <v>94</v>
      </c>
      <c r="AF31" s="166"/>
      <c r="AG31" s="166"/>
      <c r="AH31" s="38"/>
      <c r="AJ31" s="166" t="s">
        <v>95</v>
      </c>
      <c r="AK31" s="166"/>
      <c r="AL31" s="166"/>
      <c r="AM31" s="38"/>
    </row>
    <row r="32" spans="1:39" x14ac:dyDescent="0.25">
      <c r="A32" s="3"/>
      <c r="B32" s="168"/>
      <c r="C32" s="2"/>
      <c r="D32" s="15"/>
      <c r="E32" s="4">
        <v>2006</v>
      </c>
      <c r="F32" s="4">
        <v>2015</v>
      </c>
      <c r="G32" s="20">
        <v>2018</v>
      </c>
      <c r="H32" s="27">
        <v>2019</v>
      </c>
      <c r="I32" s="83">
        <v>2020</v>
      </c>
      <c r="J32" s="91">
        <v>2021</v>
      </c>
      <c r="K32" s="27">
        <v>2022</v>
      </c>
      <c r="L32" s="27">
        <v>2023</v>
      </c>
      <c r="M32" s="27">
        <v>2024</v>
      </c>
      <c r="N32" s="83">
        <v>2025</v>
      </c>
      <c r="O32" s="91">
        <v>2026</v>
      </c>
      <c r="P32" s="27">
        <v>2027</v>
      </c>
      <c r="Q32" s="27">
        <v>2028</v>
      </c>
      <c r="R32" s="27">
        <v>2029</v>
      </c>
      <c r="S32" s="92">
        <v>2030</v>
      </c>
      <c r="T32" s="93">
        <v>2035</v>
      </c>
      <c r="U32" s="93">
        <v>2040</v>
      </c>
      <c r="V32" s="93">
        <v>2045</v>
      </c>
      <c r="W32" s="93">
        <v>2050</v>
      </c>
      <c r="X32" s="3"/>
      <c r="Z32" s="194"/>
      <c r="AA32" s="195">
        <v>2020</v>
      </c>
      <c r="AB32" s="195">
        <v>2030</v>
      </c>
      <c r="AC32" s="196">
        <v>2050</v>
      </c>
      <c r="AE32" s="194"/>
      <c r="AF32" s="195">
        <v>2020</v>
      </c>
      <c r="AG32" s="195">
        <v>2030</v>
      </c>
      <c r="AH32" s="196">
        <v>2050</v>
      </c>
      <c r="AJ32" s="194"/>
      <c r="AK32" s="195">
        <v>2020</v>
      </c>
      <c r="AL32" s="195">
        <v>2030</v>
      </c>
      <c r="AM32" s="196">
        <v>2050</v>
      </c>
    </row>
    <row r="33" spans="1:39" x14ac:dyDescent="0.25">
      <c r="A33" s="3"/>
      <c r="B33" s="323" t="s">
        <v>0</v>
      </c>
      <c r="C33" s="5" t="s">
        <v>1</v>
      </c>
      <c r="D33" s="2" t="s">
        <v>373</v>
      </c>
      <c r="E33" s="6">
        <f>SUM(E34:E35)</f>
        <v>67.551490139400002</v>
      </c>
      <c r="F33" s="6">
        <f>SUM(F34:F35)</f>
        <v>59.927097622999995</v>
      </c>
      <c r="G33" s="84">
        <f t="shared" ref="G33:R33" si="5">SUM(G34:G35)</f>
        <v>55.046081228999995</v>
      </c>
      <c r="H33" s="6">
        <f t="shared" si="5"/>
        <v>53.644836400000003</v>
      </c>
      <c r="I33" s="85">
        <f t="shared" si="5"/>
        <v>52.364997625999997</v>
      </c>
      <c r="J33" s="84">
        <f t="shared" si="5"/>
        <v>52.348711604999998</v>
      </c>
      <c r="K33" s="6">
        <f t="shared" si="5"/>
        <v>52.192902085</v>
      </c>
      <c r="L33" s="6">
        <f t="shared" si="5"/>
        <v>52.138813745999997</v>
      </c>
      <c r="M33" s="6">
        <f t="shared" si="5"/>
        <v>51.359547187000004</v>
      </c>
      <c r="N33" s="85">
        <f t="shared" si="5"/>
        <v>50.199045706</v>
      </c>
      <c r="O33" s="84">
        <f t="shared" si="5"/>
        <v>49.324061487999998</v>
      </c>
      <c r="P33" s="6">
        <f t="shared" si="5"/>
        <v>48.681345643</v>
      </c>
      <c r="Q33" s="6">
        <f t="shared" si="5"/>
        <v>48.027944978999997</v>
      </c>
      <c r="R33" s="6">
        <f t="shared" si="5"/>
        <v>47.37909234</v>
      </c>
      <c r="S33" s="85">
        <f>SUM(S34:S35)</f>
        <v>46.615496936</v>
      </c>
      <c r="T33" s="94">
        <f>SUM(T34:T35)</f>
        <v>43.379731315000001</v>
      </c>
      <c r="U33" s="94">
        <f>SUM(U34:U35)</f>
        <v>40.701343676</v>
      </c>
      <c r="V33" s="94">
        <f>SUM(V34:V35)</f>
        <v>37.919191010999995</v>
      </c>
      <c r="W33" s="94">
        <f>SUM(W34:W35)</f>
        <v>35.708826741999999</v>
      </c>
      <c r="X33" s="3"/>
      <c r="Z33" s="197" t="s">
        <v>42</v>
      </c>
      <c r="AA33" s="201">
        <f>(I38+I40)/I36</f>
        <v>2.4994425087957666E-2</v>
      </c>
      <c r="AB33" s="201">
        <f>(S38+S40)/S36</f>
        <v>2.8451992828601332E-2</v>
      </c>
      <c r="AC33" s="202">
        <f>(W38+W40)/W36</f>
        <v>2.8451992834303191E-2</v>
      </c>
      <c r="AE33" s="197" t="s">
        <v>96</v>
      </c>
      <c r="AF33" s="201">
        <f>I34/I33</f>
        <v>0.94711814224116242</v>
      </c>
      <c r="AG33" s="201">
        <f>S34/S33</f>
        <v>0.93973995515146724</v>
      </c>
      <c r="AH33" s="202">
        <f>W34/W33</f>
        <v>0.93973995512238218</v>
      </c>
      <c r="AJ33" s="197" t="s">
        <v>66</v>
      </c>
      <c r="AK33" s="201">
        <f>I46/(I46+I48)</f>
        <v>0.97055581085833842</v>
      </c>
      <c r="AL33" s="201">
        <f>S46/(S46+S48)</f>
        <v>0.91106690562148318</v>
      </c>
      <c r="AM33" s="202">
        <f>W46/(W46+W48)</f>
        <v>0.77822101936272148</v>
      </c>
    </row>
    <row r="34" spans="1:39" x14ac:dyDescent="0.25">
      <c r="A34" s="3"/>
      <c r="B34" s="324"/>
      <c r="C34" s="3" t="s">
        <v>2</v>
      </c>
      <c r="D34" s="15" t="s">
        <v>374</v>
      </c>
      <c r="E34" s="16">
        <f>VLOOKUP($D34,Résultats!$B$2:$AX$476,E$5,FALSE)</f>
        <v>66.677101919999998</v>
      </c>
      <c r="F34" s="16">
        <f>VLOOKUP($D34,Résultats!$B$2:$AX$476,F$5,FALSE)</f>
        <v>57.000671529999998</v>
      </c>
      <c r="G34" s="22">
        <f>VLOOKUP($D34,Résultats!$B$2:$AX$476,G$5,FALSE)</f>
        <v>52.233065959999998</v>
      </c>
      <c r="H34" s="16">
        <f>VLOOKUP($D34,Résultats!$B$2:$AX$476,H$5,FALSE)</f>
        <v>50.857332300000003</v>
      </c>
      <c r="I34" s="86">
        <f>VLOOKUP($D34,Résultats!$B$2:$AX$476,I$5,FALSE)</f>
        <v>49.595839269999999</v>
      </c>
      <c r="J34" s="22">
        <f>VLOOKUP($D34,Résultats!$B$2:$AX$476,J$5,FALSE)</f>
        <v>49.447423639999997</v>
      </c>
      <c r="K34" s="16">
        <f>VLOOKUP($D34,Résultats!$B$2:$AX$476,K$5,FALSE)</f>
        <v>49.171955079999996</v>
      </c>
      <c r="L34" s="16">
        <f>VLOOKUP($D34,Résultats!$B$2:$AX$476,L$5,FALSE)</f>
        <v>48.99692649</v>
      </c>
      <c r="M34" s="16">
        <f>VLOOKUP($D34,Résultats!$B$2:$AX$476,M$5,FALSE)</f>
        <v>48.264618570000003</v>
      </c>
      <c r="N34" s="86">
        <f>VLOOKUP($D34,Résultats!$B$2:$AX$476,N$5,FALSE)</f>
        <v>47.17404896</v>
      </c>
      <c r="O34" s="22">
        <f>VLOOKUP($D34,Résultats!$B$2:$AX$476,O$5,FALSE)</f>
        <v>46.351791329999998</v>
      </c>
      <c r="P34" s="16">
        <f>VLOOKUP($D34,Résultats!$B$2:$AX$476,P$5,FALSE)</f>
        <v>45.747805569999997</v>
      </c>
      <c r="Q34" s="16">
        <f>VLOOKUP($D34,Résultats!$B$2:$AX$476,Q$5,FALSE)</f>
        <v>45.13377886</v>
      </c>
      <c r="R34" s="16">
        <f>VLOOKUP($D34,Résultats!$B$2:$AX$476,R$5,FALSE)</f>
        <v>44.524026110000001</v>
      </c>
      <c r="S34" s="86">
        <f>VLOOKUP($D34,Résultats!$B$2:$AX$476,S$5,FALSE)</f>
        <v>43.806444999999997</v>
      </c>
      <c r="T34" s="95">
        <f>VLOOKUP($D34,Résultats!$B$2:$AX$476,T$5,FALSE)</f>
        <v>40.765666760000002</v>
      </c>
      <c r="U34" s="95">
        <f>VLOOKUP($D34,Résultats!$B$2:$AX$476,U$5,FALSE)</f>
        <v>38.24867888</v>
      </c>
      <c r="V34" s="95">
        <f>VLOOKUP($D34,Résultats!$B$2:$AX$476,V$5,FALSE)</f>
        <v>35.634178859999999</v>
      </c>
      <c r="W34" s="95">
        <f>VLOOKUP($D34,Résultats!$B$2:$AX$476,W$5,FALSE)</f>
        <v>33.557011240000001</v>
      </c>
      <c r="X34" s="45">
        <f>W34-'[1]Cibles THREEME'!$AJ4</f>
        <v>23.874908632514039</v>
      </c>
      <c r="Z34" s="197" t="s">
        <v>61</v>
      </c>
      <c r="AA34" s="201">
        <f>I37/I36</f>
        <v>0.66723666877961441</v>
      </c>
      <c r="AB34" s="201">
        <f>S37/S36</f>
        <v>0.6412472502395834</v>
      </c>
      <c r="AC34" s="202">
        <f>W37/W36</f>
        <v>0.64124725018991691</v>
      </c>
      <c r="AE34" s="198" t="s">
        <v>65</v>
      </c>
      <c r="AF34" s="203">
        <f>I35/I33</f>
        <v>5.2881857758837594E-2</v>
      </c>
      <c r="AG34" s="203">
        <f>S35/S33</f>
        <v>6.0260044848532729E-2</v>
      </c>
      <c r="AH34" s="204">
        <f>W35/W33</f>
        <v>6.0260044877617838E-2</v>
      </c>
      <c r="AJ34" s="198" t="s">
        <v>67</v>
      </c>
      <c r="AK34" s="203">
        <f>I48/(I46+I48)</f>
        <v>2.9444189141661622E-2</v>
      </c>
      <c r="AL34" s="203">
        <f>S48/(S46+S48)</f>
        <v>8.8933094378516792E-2</v>
      </c>
      <c r="AM34" s="204">
        <f>W48/(W46+W48)</f>
        <v>0.22177898063727863</v>
      </c>
    </row>
    <row r="35" spans="1:39" x14ac:dyDescent="0.25">
      <c r="A35" s="3"/>
      <c r="B35" s="325"/>
      <c r="C35" s="7" t="s">
        <v>3</v>
      </c>
      <c r="D35" s="3" t="s">
        <v>375</v>
      </c>
      <c r="E35" s="16">
        <f>VLOOKUP($D35,Résultats!$B$2:$AX$476,E$5,FALSE)</f>
        <v>0.8743882194</v>
      </c>
      <c r="F35" s="16">
        <f>VLOOKUP($D35,Résultats!$B$2:$AX$476,F$5,FALSE)</f>
        <v>2.9264260929999999</v>
      </c>
      <c r="G35" s="22">
        <f>VLOOKUP($D35,Résultats!$B$2:$AX$476,G$5,FALSE)</f>
        <v>2.8130152690000001</v>
      </c>
      <c r="H35" s="16">
        <f>VLOOKUP($D35,Résultats!$B$2:$AX$476,H$5,FALSE)</f>
        <v>2.7875041</v>
      </c>
      <c r="I35" s="86">
        <f>VLOOKUP($D35,Résultats!$B$2:$AX$476,I$5,FALSE)</f>
        <v>2.7691583560000002</v>
      </c>
      <c r="J35" s="22">
        <f>VLOOKUP($D35,Résultats!$B$2:$AX$476,J$5,FALSE)</f>
        <v>2.9012879649999999</v>
      </c>
      <c r="K35" s="16">
        <f>VLOOKUP($D35,Résultats!$B$2:$AX$476,K$5,FALSE)</f>
        <v>3.020947005</v>
      </c>
      <c r="L35" s="16">
        <f>VLOOKUP($D35,Résultats!$B$2:$AX$476,L$5,FALSE)</f>
        <v>3.141887256</v>
      </c>
      <c r="M35" s="16">
        <f>VLOOKUP($D35,Résultats!$B$2:$AX$476,M$5,FALSE)</f>
        <v>3.0949286169999999</v>
      </c>
      <c r="N35" s="86">
        <f>VLOOKUP($D35,Résultats!$B$2:$AX$476,N$5,FALSE)</f>
        <v>3.0249967459999998</v>
      </c>
      <c r="O35" s="22">
        <f>VLOOKUP($D35,Résultats!$B$2:$AX$476,O$5,FALSE)</f>
        <v>2.9722701580000002</v>
      </c>
      <c r="P35" s="16">
        <f>VLOOKUP($D35,Résultats!$B$2:$AX$476,P$5,FALSE)</f>
        <v>2.9335400730000001</v>
      </c>
      <c r="Q35" s="16">
        <f>VLOOKUP($D35,Résultats!$B$2:$AX$476,Q$5,FALSE)</f>
        <v>2.8941661189999999</v>
      </c>
      <c r="R35" s="16">
        <f>VLOOKUP($D35,Résultats!$B$2:$AX$476,R$5,FALSE)</f>
        <v>2.8550662299999998</v>
      </c>
      <c r="S35" s="86">
        <f>VLOOKUP($D35,Résultats!$B$2:$AX$476,S$5,FALSE)</f>
        <v>2.8090519359999999</v>
      </c>
      <c r="T35" s="95">
        <f>VLOOKUP($D35,Résultats!$B$2:$AX$476,T$5,FALSE)</f>
        <v>2.6140645550000001</v>
      </c>
      <c r="U35" s="95">
        <f>VLOOKUP($D35,Résultats!$B$2:$AX$476,U$5,FALSE)</f>
        <v>2.4526647960000001</v>
      </c>
      <c r="V35" s="95">
        <f>VLOOKUP($D35,Résultats!$B$2:$AX$476,V$5,FALSE)</f>
        <v>2.2850121510000001</v>
      </c>
      <c r="W35" s="95">
        <f>VLOOKUP($D35,Résultats!$B$2:$AX$476,W$5,FALSE)</f>
        <v>2.1518155019999998</v>
      </c>
      <c r="X35" s="45">
        <f>W35-'[1]Cibles THREEME'!$AJ5</f>
        <v>-1.3450257135770829</v>
      </c>
      <c r="Z35" s="197" t="s">
        <v>93</v>
      </c>
      <c r="AA35" s="201">
        <f>I43/I36</f>
        <v>9.8618400885822924E-2</v>
      </c>
      <c r="AB35" s="201">
        <f>S43/S36</f>
        <v>0.11181823435182968</v>
      </c>
      <c r="AC35" s="202">
        <f>W43/W36</f>
        <v>0.11181823436087399</v>
      </c>
      <c r="AE35" s="189" t="s">
        <v>92</v>
      </c>
      <c r="AF35" s="205">
        <f>SUM(AF33:AF34)</f>
        <v>1</v>
      </c>
      <c r="AG35" s="205">
        <f t="shared" ref="AG35:AH35" si="6">SUM(AG33:AG34)</f>
        <v>1</v>
      </c>
      <c r="AH35" s="205">
        <f t="shared" si="6"/>
        <v>1</v>
      </c>
      <c r="AJ35" s="189" t="s">
        <v>92</v>
      </c>
      <c r="AK35" s="205">
        <f>SUM(AK33:AK34)</f>
        <v>1</v>
      </c>
      <c r="AL35" s="205">
        <f t="shared" ref="AL35" si="7">SUM(AL33:AL34)</f>
        <v>1</v>
      </c>
      <c r="AM35" s="205">
        <f t="shared" ref="AM35" si="8">SUM(AM33:AM34)</f>
        <v>1</v>
      </c>
    </row>
    <row r="36" spans="1:39" x14ac:dyDescent="0.25">
      <c r="A36" s="3"/>
      <c r="B36" s="323" t="s">
        <v>4</v>
      </c>
      <c r="C36" s="5" t="s">
        <v>1</v>
      </c>
      <c r="D36" s="2" t="s">
        <v>376</v>
      </c>
      <c r="E36" s="8">
        <f>SUM(E37:E44)</f>
        <v>33.390186362199998</v>
      </c>
      <c r="F36" s="8">
        <f>SUM(F37:F44)</f>
        <v>34.035782365900005</v>
      </c>
      <c r="G36" s="21">
        <f t="shared" ref="G36:R36" si="9">SUM(G37:G44)</f>
        <v>33.474346862600001</v>
      </c>
      <c r="H36" s="8">
        <f t="shared" si="9"/>
        <v>33.153381305000003</v>
      </c>
      <c r="I36" s="87">
        <f t="shared" si="9"/>
        <v>32.705673850200007</v>
      </c>
      <c r="J36" s="21">
        <f t="shared" si="9"/>
        <v>32.9424783985</v>
      </c>
      <c r="K36" s="8">
        <f t="shared" si="9"/>
        <v>33.255315011699999</v>
      </c>
      <c r="L36" s="8">
        <f t="shared" si="9"/>
        <v>33.662461498200003</v>
      </c>
      <c r="M36" s="8">
        <f t="shared" si="9"/>
        <v>33.552621893600005</v>
      </c>
      <c r="N36" s="87">
        <f t="shared" si="9"/>
        <v>33.674894734800006</v>
      </c>
      <c r="O36" s="21">
        <f t="shared" si="9"/>
        <v>33.921853034800002</v>
      </c>
      <c r="P36" s="8">
        <f t="shared" si="9"/>
        <v>34.0207308528</v>
      </c>
      <c r="Q36" s="8">
        <f t="shared" si="9"/>
        <v>34.179272145900001</v>
      </c>
      <c r="R36" s="8">
        <f t="shared" si="9"/>
        <v>34.264301298700005</v>
      </c>
      <c r="S36" s="87">
        <f>SUM(S37:S44)</f>
        <v>34.418827155599999</v>
      </c>
      <c r="T36" s="96">
        <f>SUM(T37:T44)</f>
        <v>34.714352681599998</v>
      </c>
      <c r="U36" s="96">
        <f>SUM(U37:U44)</f>
        <v>34.616849946799995</v>
      </c>
      <c r="V36" s="96">
        <f>SUM(V37:V44)</f>
        <v>33.876793988299994</v>
      </c>
      <c r="W36" s="96">
        <f>SUM(W37:W44)</f>
        <v>32.8450934858</v>
      </c>
      <c r="X36" s="3"/>
      <c r="Z36" s="197" t="s">
        <v>62</v>
      </c>
      <c r="AA36" s="201">
        <f>I42/I36</f>
        <v>4.6279031122630238E-2</v>
      </c>
      <c r="AB36" s="201">
        <f>S42/S36</f>
        <v>5.0013944670974121E-2</v>
      </c>
      <c r="AC36" s="202">
        <f>W42/W36</f>
        <v>5.0013944661481874E-2</v>
      </c>
    </row>
    <row r="37" spans="1:39" x14ac:dyDescent="0.25">
      <c r="A37" s="3"/>
      <c r="B37" s="324"/>
      <c r="C37" s="3" t="s">
        <v>5</v>
      </c>
      <c r="D37" s="3" t="s">
        <v>377</v>
      </c>
      <c r="E37" s="16">
        <f>VLOOKUP($D37,Résultats!$B$2:$AX$476,E$5,FALSE)</f>
        <v>26.011154829999999</v>
      </c>
      <c r="F37" s="16">
        <f>VLOOKUP($D37,Résultats!$B$2:$AX$476,F$5,FALSE)</f>
        <v>25.650294760000001</v>
      </c>
      <c r="G37" s="22">
        <f>VLOOKUP($D37,Résultats!$B$2:$AX$476,G$5,FALSE)</f>
        <v>23.605403129999999</v>
      </c>
      <c r="H37" s="16">
        <f>VLOOKUP($D37,Résultats!$B$2:$AX$476,H$5,FALSE)</f>
        <v>22.75979792</v>
      </c>
      <c r="I37" s="86">
        <f>VLOOKUP($D37,Résultats!$B$2:$AX$476,I$5,FALSE)</f>
        <v>21.822424869999999</v>
      </c>
      <c r="J37" s="22">
        <f>VLOOKUP($D37,Résultats!$B$2:$AX$476,J$5,FALSE)</f>
        <v>21.696684619999999</v>
      </c>
      <c r="K37" s="16">
        <f>VLOOKUP($D37,Résultats!$B$2:$AX$476,K$5,FALSE)</f>
        <v>21.614635450000002</v>
      </c>
      <c r="L37" s="16">
        <f>VLOOKUP($D37,Résultats!$B$2:$AX$476,L$5,FALSE)</f>
        <v>21.585960870000001</v>
      </c>
      <c r="M37" s="16">
        <f>VLOOKUP($D37,Résultats!$B$2:$AX$476,M$5,FALSE)</f>
        <v>21.515526529999999</v>
      </c>
      <c r="N37" s="86">
        <f>VLOOKUP($D37,Résultats!$B$2:$AX$476,N$5,FALSE)</f>
        <v>21.59393365</v>
      </c>
      <c r="O37" s="22">
        <f>VLOOKUP($D37,Résultats!$B$2:$AX$476,O$5,FALSE)</f>
        <v>21.752294979999999</v>
      </c>
      <c r="P37" s="16">
        <f>VLOOKUP($D37,Résultats!$B$2:$AX$476,P$5,FALSE)</f>
        <v>21.815700110000002</v>
      </c>
      <c r="Q37" s="16">
        <f>VLOOKUP($D37,Résultats!$B$2:$AX$476,Q$5,FALSE)</f>
        <v>21.917364280000001</v>
      </c>
      <c r="R37" s="16">
        <f>VLOOKUP($D37,Résultats!$B$2:$AX$476,R$5,FALSE)</f>
        <v>21.97188899</v>
      </c>
      <c r="S37" s="86">
        <f>VLOOKUP($D37,Résultats!$B$2:$AX$476,S$5,FALSE)</f>
        <v>22.070978270000001</v>
      </c>
      <c r="T37" s="95">
        <f>VLOOKUP($D37,Résultats!$B$2:$AX$476,T$5,FALSE)</f>
        <v>22.260483199999999</v>
      </c>
      <c r="U37" s="95">
        <f>VLOOKUP($D37,Résultats!$B$2:$AX$476,U$5,FALSE)</f>
        <v>22.197959839999999</v>
      </c>
      <c r="V37" s="95">
        <f>VLOOKUP($D37,Résultats!$B$2:$AX$476,V$5,FALSE)</f>
        <v>21.723400989999998</v>
      </c>
      <c r="W37" s="95">
        <f>VLOOKUP($D37,Résultats!$B$2:$AX$476,W$5,FALSE)</f>
        <v>21.061825880000001</v>
      </c>
      <c r="X37" s="45">
        <f>W37-'[1]Cibles THREEME'!$AJ8</f>
        <v>20.440766748454305</v>
      </c>
      <c r="Z37" s="197" t="s">
        <v>63</v>
      </c>
      <c r="AA37" s="201">
        <f>I41/I36</f>
        <v>8.5267193783348572E-2</v>
      </c>
      <c r="AB37" s="201">
        <f>S41/S36</f>
        <v>9.7269050100543403E-2</v>
      </c>
      <c r="AC37" s="202">
        <f>W41/W36</f>
        <v>9.7269050136246996E-2</v>
      </c>
    </row>
    <row r="38" spans="1:39" x14ac:dyDescent="0.25">
      <c r="A38" s="3"/>
      <c r="B38" s="324"/>
      <c r="C38" s="3" t="s">
        <v>6</v>
      </c>
      <c r="D38" s="3" t="s">
        <v>378</v>
      </c>
      <c r="E38" s="16">
        <f>VLOOKUP($D38,Résultats!$B$2:$AX$476,E$5,FALSE)</f>
        <v>0.4232294553</v>
      </c>
      <c r="F38" s="16">
        <f>VLOOKUP($D38,Résultats!$B$2:$AX$476,F$5,FALSE)</f>
        <v>0.42968371579999998</v>
      </c>
      <c r="G38" s="22">
        <f>VLOOKUP($D38,Résultats!$B$2:$AX$476,G$5,FALSE)</f>
        <v>0.42113423080000001</v>
      </c>
      <c r="H38" s="16">
        <f>VLOOKUP($D38,Résultats!$B$2:$AX$476,H$5,FALSE)</f>
        <v>0.41573188680000001</v>
      </c>
      <c r="I38" s="86">
        <f>VLOOKUP($D38,Résultats!$B$2:$AX$476,I$5,FALSE)</f>
        <v>0.40872975750000001</v>
      </c>
      <c r="J38" s="22">
        <f>VLOOKUP($D38,Résultats!$B$2:$AX$476,J$5,FALSE)</f>
        <v>0.44954248219999998</v>
      </c>
      <c r="K38" s="16">
        <f>VLOOKUP($D38,Résultats!$B$2:$AX$476,K$5,FALSE)</f>
        <v>0.49224461580000001</v>
      </c>
      <c r="L38" s="16">
        <f>VLOOKUP($D38,Résultats!$B$2:$AX$476,L$5,FALSE)</f>
        <v>0.53739971099999995</v>
      </c>
      <c r="M38" s="16">
        <f>VLOOKUP($D38,Résultats!$B$2:$AX$476,M$5,FALSE)</f>
        <v>0.53564619179999995</v>
      </c>
      <c r="N38" s="86">
        <f>VLOOKUP($D38,Résultats!$B$2:$AX$476,N$5,FALSE)</f>
        <v>0.5375981997</v>
      </c>
      <c r="O38" s="22">
        <f>VLOOKUP($D38,Résultats!$B$2:$AX$476,O$5,FALSE)</f>
        <v>0.54154073140000003</v>
      </c>
      <c r="P38" s="16">
        <f>VLOOKUP($D38,Résultats!$B$2:$AX$476,P$5,FALSE)</f>
        <v>0.54311925260000005</v>
      </c>
      <c r="Q38" s="16">
        <f>VLOOKUP($D38,Résultats!$B$2:$AX$476,Q$5,FALSE)</f>
        <v>0.54565026309999998</v>
      </c>
      <c r="R38" s="16">
        <f>VLOOKUP($D38,Résultats!$B$2:$AX$476,R$5,FALSE)</f>
        <v>0.54700769920000003</v>
      </c>
      <c r="S38" s="86">
        <f>VLOOKUP($D38,Résultats!$B$2:$AX$476,S$5,FALSE)</f>
        <v>0.54947460589999997</v>
      </c>
      <c r="T38" s="95">
        <f>VLOOKUP($D38,Résultats!$B$2:$AX$476,T$5,FALSE)</f>
        <v>0.55419248229999996</v>
      </c>
      <c r="U38" s="95">
        <f>VLOOKUP($D38,Résultats!$B$2:$AX$476,U$5,FALSE)</f>
        <v>0.55263591339999996</v>
      </c>
      <c r="V38" s="95">
        <f>VLOOKUP($D38,Résultats!$B$2:$AX$476,V$5,FALSE)</f>
        <v>0.54082139250000005</v>
      </c>
      <c r="W38" s="95">
        <f>VLOOKUP($D38,Résultats!$B$2:$AX$476,W$5,FALSE)</f>
        <v>0.52435095249999997</v>
      </c>
      <c r="X38" s="45">
        <f>W38-'[1]Cibles THREEME'!$AJ9</f>
        <v>0.51435095249999996</v>
      </c>
      <c r="Z38" s="198" t="s">
        <v>64</v>
      </c>
      <c r="AA38" s="203">
        <f>(I39+I44)/I36</f>
        <v>7.7604280340625942E-2</v>
      </c>
      <c r="AB38" s="203">
        <f>(S39+S44)/S36</f>
        <v>7.1199527808468138E-2</v>
      </c>
      <c r="AC38" s="204">
        <f>(W39+W44)/W36</f>
        <v>7.1199527817177116E-2</v>
      </c>
    </row>
    <row r="39" spans="1:39" x14ac:dyDescent="0.25">
      <c r="A39" s="3"/>
      <c r="B39" s="324"/>
      <c r="C39" s="3" t="s">
        <v>7</v>
      </c>
      <c r="D39" s="3" t="s">
        <v>379</v>
      </c>
      <c r="E39" s="16">
        <f>VLOOKUP($D39,Résultats!$B$2:$AX$476,E$5,FALSE)</f>
        <v>1.33314278</v>
      </c>
      <c r="F39" s="16">
        <f>VLOOKUP($D39,Résultats!$B$2:$AX$476,F$5,FALSE)</f>
        <v>1.3319571079999999</v>
      </c>
      <c r="G39" s="22">
        <f>VLOOKUP($D39,Résultats!$B$2:$AX$476,G$5,FALSE)</f>
        <v>1.703274822</v>
      </c>
      <c r="H39" s="16">
        <f>VLOOKUP($D39,Résultats!$B$2:$AX$476,H$5,FALSE)</f>
        <v>1.822142307</v>
      </c>
      <c r="I39" s="86">
        <f>VLOOKUP($D39,Résultats!$B$2:$AX$476,I$5,FALSE)</f>
        <v>1.9350830370000001</v>
      </c>
      <c r="J39" s="22">
        <f>VLOOKUP($D39,Résultats!$B$2:$AX$476,J$5,FALSE)</f>
        <v>1.859842349</v>
      </c>
      <c r="K39" s="16">
        <f>VLOOKUP($D39,Résultats!$B$2:$AX$476,K$5,FALSE)</f>
        <v>1.7868856980000001</v>
      </c>
      <c r="L39" s="16">
        <f>VLOOKUP($D39,Résultats!$B$2:$AX$476,L$5,FALSE)</f>
        <v>1.7165043419999999</v>
      </c>
      <c r="M39" s="16">
        <f>VLOOKUP($D39,Résultats!$B$2:$AX$476,M$5,FALSE)</f>
        <v>1.710903439</v>
      </c>
      <c r="N39" s="86">
        <f>VLOOKUP($D39,Résultats!$B$2:$AX$476,N$5,FALSE)</f>
        <v>1.7171383330000001</v>
      </c>
      <c r="O39" s="22">
        <f>VLOOKUP($D39,Résultats!$B$2:$AX$476,O$5,FALSE)</f>
        <v>1.729731143</v>
      </c>
      <c r="P39" s="16">
        <f>VLOOKUP($D39,Résultats!$B$2:$AX$476,P$5,FALSE)</f>
        <v>1.7347730859999999</v>
      </c>
      <c r="Q39" s="16">
        <f>VLOOKUP($D39,Résultats!$B$2:$AX$476,Q$5,FALSE)</f>
        <v>1.742857367</v>
      </c>
      <c r="R39" s="16">
        <f>VLOOKUP($D39,Résultats!$B$2:$AX$476,R$5,FALSE)</f>
        <v>1.7471931439999999</v>
      </c>
      <c r="S39" s="86">
        <f>VLOOKUP($D39,Résultats!$B$2:$AX$476,S$5,FALSE)</f>
        <v>1.7550726720000001</v>
      </c>
      <c r="T39" s="95">
        <f>VLOOKUP($D39,Résultats!$B$2:$AX$476,T$5,FALSE)</f>
        <v>1.7701420050000001</v>
      </c>
      <c r="U39" s="95">
        <f>VLOOKUP($D39,Résultats!$B$2:$AX$476,U$5,FALSE)</f>
        <v>1.7651701799999999</v>
      </c>
      <c r="V39" s="95">
        <f>VLOOKUP($D39,Résultats!$B$2:$AX$476,V$5,FALSE)</f>
        <v>1.7274335080000001</v>
      </c>
      <c r="W39" s="95">
        <f>VLOOKUP($D39,Résultats!$B$2:$AX$476,W$5,FALSE)</f>
        <v>1.6748254010000001</v>
      </c>
      <c r="X39" s="45">
        <f>W39-'[1]Cibles THREEME'!$AJ10</f>
        <v>0.57883869827229883</v>
      </c>
      <c r="Z39" s="189" t="s">
        <v>92</v>
      </c>
      <c r="AA39" s="205">
        <f>SUM(AA33:AA38)</f>
        <v>0.99999999999999978</v>
      </c>
      <c r="AB39" s="205">
        <f t="shared" ref="AB39:AC39" si="10">SUM(AB33:AB38)</f>
        <v>1</v>
      </c>
      <c r="AC39" s="205">
        <f t="shared" si="10"/>
        <v>1.0000000000000002</v>
      </c>
      <c r="AJ39" s="189"/>
      <c r="AK39" s="205"/>
      <c r="AL39" s="205"/>
      <c r="AM39" s="205"/>
    </row>
    <row r="40" spans="1:39" x14ac:dyDescent="0.25">
      <c r="A40" s="3"/>
      <c r="B40" s="324"/>
      <c r="C40" s="3" t="s">
        <v>8</v>
      </c>
      <c r="D40" s="3" t="s">
        <v>380</v>
      </c>
      <c r="E40" s="16">
        <f>VLOOKUP($D40,Résultats!$B$2:$AX$476,E$5,FALSE)</f>
        <v>1.330192163</v>
      </c>
      <c r="F40" s="16">
        <f>VLOOKUP($D40,Résultats!$B$2:$AX$476,F$5,FALSE)</f>
        <v>0.62436392860000001</v>
      </c>
      <c r="G40" s="22">
        <f>VLOOKUP($D40,Résultats!$B$2:$AX$476,G$5,FALSE)</f>
        <v>0.42113423080000001</v>
      </c>
      <c r="H40" s="16">
        <f>VLOOKUP($D40,Résultats!$B$2:$AX$476,H$5,FALSE)</f>
        <v>0.41573188680000001</v>
      </c>
      <c r="I40" s="86">
        <f>VLOOKUP($D40,Résultats!$B$2:$AX$476,I$5,FALSE)</f>
        <v>0.40872975750000001</v>
      </c>
      <c r="J40" s="22">
        <f>VLOOKUP($D40,Résultats!$B$2:$AX$476,J$5,FALSE)</f>
        <v>0.41158454729999999</v>
      </c>
      <c r="K40" s="16">
        <f>VLOOKUP($D40,Résultats!$B$2:$AX$476,K$5,FALSE)</f>
        <v>0.41538693030000001</v>
      </c>
      <c r="L40" s="16">
        <f>VLOOKUP($D40,Résultats!$B$2:$AX$476,L$5,FALSE)</f>
        <v>0.42036440219999999</v>
      </c>
      <c r="M40" s="16">
        <f>VLOOKUP($D40,Résultats!$B$2:$AX$476,M$5,FALSE)</f>
        <v>0.41899276559999998</v>
      </c>
      <c r="N40" s="86">
        <f>VLOOKUP($D40,Résultats!$B$2:$AX$476,N$5,FALSE)</f>
        <v>0.4205196638</v>
      </c>
      <c r="O40" s="22">
        <f>VLOOKUP($D40,Résultats!$B$2:$AX$476,O$5,FALSE)</f>
        <v>0.42360358799999998</v>
      </c>
      <c r="P40" s="16">
        <f>VLOOKUP($D40,Résultats!$B$2:$AX$476,P$5,FALSE)</f>
        <v>0.42483833770000001</v>
      </c>
      <c r="Q40" s="16">
        <f>VLOOKUP($D40,Résultats!$B$2:$AX$476,Q$5,FALSE)</f>
        <v>0.42681814280000002</v>
      </c>
      <c r="R40" s="16">
        <f>VLOOKUP($D40,Résultats!$B$2:$AX$476,R$5,FALSE)</f>
        <v>0.42787995550000002</v>
      </c>
      <c r="S40" s="86">
        <f>VLOOKUP($D40,Résultats!$B$2:$AX$476,S$5,FALSE)</f>
        <v>0.42980961750000002</v>
      </c>
      <c r="T40" s="95">
        <f>VLOOKUP($D40,Résultats!$B$2:$AX$476,T$5,FALSE)</f>
        <v>0.43350003129999998</v>
      </c>
      <c r="U40" s="95">
        <f>VLOOKUP($D40,Résultats!$B$2:$AX$476,U$5,FALSE)</f>
        <v>0.43228245310000002</v>
      </c>
      <c r="V40" s="95">
        <f>VLOOKUP($D40,Résultats!$B$2:$AX$476,V$5,FALSE)</f>
        <v>0.42304090729999999</v>
      </c>
      <c r="W40" s="95">
        <f>VLOOKUP($D40,Résultats!$B$2:$AX$476,W$5,FALSE)</f>
        <v>0.410157412</v>
      </c>
      <c r="X40" s="45">
        <f>W40-'[1]Cibles THREEME'!$AJ11</f>
        <v>0.40015741199999999</v>
      </c>
    </row>
    <row r="41" spans="1:39" x14ac:dyDescent="0.25">
      <c r="A41" s="3"/>
      <c r="B41" s="324"/>
      <c r="C41" s="3" t="s">
        <v>9</v>
      </c>
      <c r="D41" s="3" t="s">
        <v>381</v>
      </c>
      <c r="E41" s="16">
        <f>VLOOKUP($D41,Résultats!$B$2:$AX$476,E$5,FALSE)</f>
        <v>0.4232294553</v>
      </c>
      <c r="F41" s="16">
        <f>VLOOKUP($D41,Résultats!$B$2:$AX$476,F$5,FALSE)</f>
        <v>1.9234799789999999</v>
      </c>
      <c r="G41" s="22">
        <f>VLOOKUP($D41,Résultats!$B$2:$AX$476,G$5,FALSE)</f>
        <v>2.4562860199999998</v>
      </c>
      <c r="H41" s="16">
        <f>VLOOKUP($D41,Résultats!$B$2:$AX$476,H$5,FALSE)</f>
        <v>2.6267787870000001</v>
      </c>
      <c r="I41" s="86">
        <f>VLOOKUP($D41,Résultats!$B$2:$AX$476,I$5,FALSE)</f>
        <v>2.78872103</v>
      </c>
      <c r="J41" s="22">
        <f>VLOOKUP($D41,Résultats!$B$2:$AX$476,J$5,FALSE)</f>
        <v>2.9399454719999998</v>
      </c>
      <c r="K41" s="16">
        <f>VLOOKUP($D41,Résultats!$B$2:$AX$476,K$5,FALSE)</f>
        <v>3.1009041530000001</v>
      </c>
      <c r="L41" s="16">
        <f>VLOOKUP($D41,Résultats!$B$2:$AX$476,L$5,FALSE)</f>
        <v>3.2743156550000001</v>
      </c>
      <c r="M41" s="16">
        <f>VLOOKUP($D41,Résultats!$B$2:$AX$476,M$5,FALSE)</f>
        <v>3.2636316600000002</v>
      </c>
      <c r="N41" s="86">
        <f>VLOOKUP($D41,Résultats!$B$2:$AX$476,N$5,FALSE)</f>
        <v>3.2755250239999998</v>
      </c>
      <c r="O41" s="22">
        <f>VLOOKUP($D41,Résultats!$B$2:$AX$476,O$5,FALSE)</f>
        <v>3.2995464229999998</v>
      </c>
      <c r="P41" s="16">
        <f>VLOOKUP($D41,Résultats!$B$2:$AX$476,P$5,FALSE)</f>
        <v>3.3091641749999998</v>
      </c>
      <c r="Q41" s="16">
        <f>VLOOKUP($D41,Résultats!$B$2:$AX$476,Q$5,FALSE)</f>
        <v>3.3245853350000001</v>
      </c>
      <c r="R41" s="16">
        <f>VLOOKUP($D41,Résultats!$B$2:$AX$476,R$5,FALSE)</f>
        <v>3.3328560399999998</v>
      </c>
      <c r="S41" s="86">
        <f>VLOOKUP($D41,Résultats!$B$2:$AX$476,S$5,FALSE)</f>
        <v>3.347886623</v>
      </c>
      <c r="T41" s="95">
        <f>VLOOKUP($D41,Résultats!$B$2:$AX$476,T$5,FALSE)</f>
        <v>3.3766321110000002</v>
      </c>
      <c r="U41" s="95">
        <f>VLOOKUP($D41,Résultats!$B$2:$AX$476,U$5,FALSE)</f>
        <v>3.3671481120000002</v>
      </c>
      <c r="V41" s="95">
        <f>VLOOKUP($D41,Résultats!$B$2:$AX$476,V$5,FALSE)</f>
        <v>3.295163573</v>
      </c>
      <c r="W41" s="95">
        <f>VLOOKUP($D41,Résultats!$B$2:$AX$476,W$5,FALSE)</f>
        <v>3.1948110449999998</v>
      </c>
      <c r="X41" s="45">
        <f>W41-'[1]Cibles THREEME'!$AJ12</f>
        <v>-9.3907695913231013</v>
      </c>
    </row>
    <row r="42" spans="1:39" x14ac:dyDescent="0.25">
      <c r="A42" s="3"/>
      <c r="B42" s="324"/>
      <c r="C42" s="3" t="s">
        <v>10</v>
      </c>
      <c r="D42" s="3" t="s">
        <v>382</v>
      </c>
      <c r="E42" s="16">
        <f>VLOOKUP($D42,Résultats!$B$2:$AX$476,E$5,FALSE)</f>
        <v>0.4232294553</v>
      </c>
      <c r="F42" s="16">
        <f>VLOOKUP($D42,Résultats!$B$2:$AX$476,F$5,FALSE)</f>
        <v>1.1468601869999999</v>
      </c>
      <c r="G42" s="22">
        <f>VLOOKUP($D42,Résultats!$B$2:$AX$476,G$5,FALSE)</f>
        <v>1.375717855</v>
      </c>
      <c r="H42" s="16">
        <f>VLOOKUP($D42,Résultats!$B$2:$AX$476,H$5,FALSE)</f>
        <v>1.4470934419999999</v>
      </c>
      <c r="I42" s="86">
        <f>VLOOKUP($D42,Résultats!$B$2:$AX$476,I$5,FALSE)</f>
        <v>1.513586898</v>
      </c>
      <c r="J42" s="22">
        <f>VLOOKUP($D42,Résultats!$B$2:$AX$476,J$5,FALSE)</f>
        <v>1.5653226849999999</v>
      </c>
      <c r="K42" s="16">
        <f>VLOOKUP($D42,Résultats!$B$2:$AX$476,K$5,FALSE)</f>
        <v>1.621588917</v>
      </c>
      <c r="L42" s="16">
        <f>VLOOKUP($D42,Résultats!$B$2:$AX$476,L$5,FALSE)</f>
        <v>1.6835924870000001</v>
      </c>
      <c r="M42" s="16">
        <f>VLOOKUP($D42,Résultats!$B$2:$AX$476,M$5,FALSE)</f>
        <v>1.6780989740000001</v>
      </c>
      <c r="N42" s="86">
        <f>VLOOKUP($D42,Résultats!$B$2:$AX$476,N$5,FALSE)</f>
        <v>1.6842143220000001</v>
      </c>
      <c r="O42" s="22">
        <f>VLOOKUP($D42,Résultats!$B$2:$AX$476,O$5,FALSE)</f>
        <v>1.696565681</v>
      </c>
      <c r="P42" s="16">
        <f>VLOOKUP($D42,Résultats!$B$2:$AX$476,P$5,FALSE)</f>
        <v>1.7015109500000001</v>
      </c>
      <c r="Q42" s="16">
        <f>VLOOKUP($D42,Résultats!$B$2:$AX$476,Q$5,FALSE)</f>
        <v>1.7094402259999999</v>
      </c>
      <c r="R42" s="16">
        <f>VLOOKUP($D42,Résultats!$B$2:$AX$476,R$5,FALSE)</f>
        <v>1.713692869</v>
      </c>
      <c r="S42" s="86">
        <f>VLOOKUP($D42,Résultats!$B$2:$AX$476,S$5,FALSE)</f>
        <v>1.7214213169999999</v>
      </c>
      <c r="T42" s="95">
        <f>VLOOKUP($D42,Résultats!$B$2:$AX$476,T$5,FALSE)</f>
        <v>1.7362017139999999</v>
      </c>
      <c r="U42" s="95">
        <f>VLOOKUP($D42,Résultats!$B$2:$AX$476,U$5,FALSE)</f>
        <v>1.7313252180000001</v>
      </c>
      <c r="V42" s="95">
        <f>VLOOKUP($D42,Résultats!$B$2:$AX$476,V$5,FALSE)</f>
        <v>1.6943121000000001</v>
      </c>
      <c r="W42" s="95">
        <f>VLOOKUP($D42,Résultats!$B$2:$AX$476,W$5,FALSE)</f>
        <v>1.642712688</v>
      </c>
      <c r="X42" s="45">
        <f>W42-'[1]Cibles THREEME'!$AJ13</f>
        <v>-5.7856416304877527</v>
      </c>
      <c r="Z42" s="60" t="s">
        <v>457</v>
      </c>
    </row>
    <row r="43" spans="1:39" x14ac:dyDescent="0.25">
      <c r="A43" s="3"/>
      <c r="B43" s="324"/>
      <c r="C43" s="3" t="s">
        <v>11</v>
      </c>
      <c r="D43" s="3" t="s">
        <v>383</v>
      </c>
      <c r="E43" s="16">
        <f>VLOOKUP($D43,Résultats!$B$2:$AX$476,E$5,FALSE)</f>
        <v>3.0227787679999998</v>
      </c>
      <c r="F43" s="16">
        <f>VLOOKUP($D43,Résultats!$B$2:$AX$476,F$5,FALSE)</f>
        <v>2.1587491660000002</v>
      </c>
      <c r="G43" s="22">
        <f>VLOOKUP($D43,Résultats!$B$2:$AX$476,G$5,FALSE)</f>
        <v>2.813627672</v>
      </c>
      <c r="H43" s="16">
        <f>VLOOKUP($D43,Résultats!$B$2:$AX$476,H$5,FALSE)</f>
        <v>3.0243718560000001</v>
      </c>
      <c r="I43" s="86">
        <f>VLOOKUP($D43,Résultats!$B$2:$AX$476,I$5,FALSE)</f>
        <v>3.2253812549999998</v>
      </c>
      <c r="J43" s="22">
        <f>VLOOKUP($D43,Résultats!$B$2:$AX$476,J$5,FALSE)</f>
        <v>3.3928464909999998</v>
      </c>
      <c r="K43" s="16">
        <f>VLOOKUP($D43,Résultats!$B$2:$AX$476,K$5,FALSE)</f>
        <v>3.5713856050000001</v>
      </c>
      <c r="L43" s="16">
        <f>VLOOKUP($D43,Résultats!$B$2:$AX$476,L$5,FALSE)</f>
        <v>3.7640770090000002</v>
      </c>
      <c r="M43" s="16">
        <f>VLOOKUP($D43,Résultats!$B$2:$AX$476,M$5,FALSE)</f>
        <v>3.7517949370000001</v>
      </c>
      <c r="N43" s="86">
        <f>VLOOKUP($D43,Résultats!$B$2:$AX$476,N$5,FALSE)</f>
        <v>3.7654672709999999</v>
      </c>
      <c r="O43" s="22">
        <f>VLOOKUP($D43,Résultats!$B$2:$AX$476,O$5,FALSE)</f>
        <v>3.7930817129999999</v>
      </c>
      <c r="P43" s="16">
        <f>VLOOKUP($D43,Résultats!$B$2:$AX$476,P$5,FALSE)</f>
        <v>3.8041380550000001</v>
      </c>
      <c r="Q43" s="16">
        <f>VLOOKUP($D43,Résultats!$B$2:$AX$476,Q$5,FALSE)</f>
        <v>3.8218658620000001</v>
      </c>
      <c r="R43" s="16">
        <f>VLOOKUP($D43,Résultats!$B$2:$AX$476,R$5,FALSE)</f>
        <v>3.8313736719999998</v>
      </c>
      <c r="S43" s="86">
        <f>VLOOKUP($D43,Résultats!$B$2:$AX$476,S$5,FALSE)</f>
        <v>3.8486524809999998</v>
      </c>
      <c r="T43" s="95">
        <f>VLOOKUP($D43,Résultats!$B$2:$AX$476,T$5,FALSE)</f>
        <v>3.8816976240000001</v>
      </c>
      <c r="U43" s="95">
        <f>VLOOKUP($D43,Résultats!$B$2:$AX$476,U$5,FALSE)</f>
        <v>3.87079504</v>
      </c>
      <c r="V43" s="95">
        <f>VLOOKUP($D43,Résultats!$B$2:$AX$476,V$5,FALSE)</f>
        <v>3.7880432900000001</v>
      </c>
      <c r="W43" s="95">
        <f>VLOOKUP($D43,Résultats!$B$2:$AX$476,W$5,FALSE)</f>
        <v>3.6726803609999998</v>
      </c>
      <c r="X43" s="45">
        <f>W43-'[1]Cibles THREEME'!$AJ14</f>
        <v>-0.19371717362272367</v>
      </c>
      <c r="Z43" s="194"/>
      <c r="AA43" s="195">
        <v>2020</v>
      </c>
      <c r="AB43" s="195">
        <v>2030</v>
      </c>
      <c r="AC43" s="196">
        <v>2050</v>
      </c>
    </row>
    <row r="44" spans="1:39" x14ac:dyDescent="0.25">
      <c r="A44" s="3"/>
      <c r="B44" s="325"/>
      <c r="C44" s="7" t="s">
        <v>12</v>
      </c>
      <c r="D44" s="3" t="s">
        <v>384</v>
      </c>
      <c r="E44" s="17">
        <f>VLOOKUP($D44,Résultats!$B$2:$AX$476,E$5,FALSE)</f>
        <v>0.4232294553</v>
      </c>
      <c r="F44" s="17">
        <f>VLOOKUP($D44,Résultats!$B$2:$AX$476,F$5,FALSE)</f>
        <v>0.77039352149999996</v>
      </c>
      <c r="G44" s="88">
        <f>VLOOKUP($D44,Résultats!$B$2:$AX$476,G$5,FALSE)</f>
        <v>0.67776890199999995</v>
      </c>
      <c r="H44" s="17">
        <f>VLOOKUP($D44,Résultats!$B$2:$AX$476,H$5,FALSE)</f>
        <v>0.64173321940000005</v>
      </c>
      <c r="I44" s="89">
        <f>VLOOKUP($D44,Résultats!$B$2:$AX$476,I$5,FALSE)</f>
        <v>0.6030172452</v>
      </c>
      <c r="J44" s="88">
        <f>VLOOKUP($D44,Résultats!$B$2:$AX$476,J$5,FALSE)</f>
        <v>0.62670975200000001</v>
      </c>
      <c r="K44" s="17">
        <f>VLOOKUP($D44,Résultats!$B$2:$AX$476,K$5,FALSE)</f>
        <v>0.65228364260000005</v>
      </c>
      <c r="L44" s="17">
        <f>VLOOKUP($D44,Résultats!$B$2:$AX$476,L$5,FALSE)</f>
        <v>0.68024702199999998</v>
      </c>
      <c r="M44" s="17">
        <f>VLOOKUP($D44,Résultats!$B$2:$AX$476,M$5,FALSE)</f>
        <v>0.67802739619999997</v>
      </c>
      <c r="N44" s="89">
        <f>VLOOKUP($D44,Résultats!$B$2:$AX$476,N$5,FALSE)</f>
        <v>0.68049827129999996</v>
      </c>
      <c r="O44" s="88">
        <f>VLOOKUP($D44,Résultats!$B$2:$AX$476,O$5,FALSE)</f>
        <v>0.68548877539999997</v>
      </c>
      <c r="P44" s="17">
        <f>VLOOKUP($D44,Résultats!$B$2:$AX$476,P$5,FALSE)</f>
        <v>0.68748688650000001</v>
      </c>
      <c r="Q44" s="17">
        <f>VLOOKUP($D44,Résultats!$B$2:$AX$476,Q$5,FALSE)</f>
        <v>0.69069066999999995</v>
      </c>
      <c r="R44" s="17">
        <f>VLOOKUP($D44,Résultats!$B$2:$AX$476,R$5,FALSE)</f>
        <v>0.69240892899999995</v>
      </c>
      <c r="S44" s="89">
        <f>VLOOKUP($D44,Résultats!$B$2:$AX$476,S$5,FALSE)</f>
        <v>0.69553156920000003</v>
      </c>
      <c r="T44" s="97">
        <f>VLOOKUP($D44,Résultats!$B$2:$AX$476,T$5,FALSE)</f>
        <v>0.70150351399999999</v>
      </c>
      <c r="U44" s="97">
        <f>VLOOKUP($D44,Résultats!$B$2:$AX$476,U$5,FALSE)</f>
        <v>0.69953319030000005</v>
      </c>
      <c r="V44" s="97">
        <f>VLOOKUP($D44,Résultats!$B$2:$AX$476,V$5,FALSE)</f>
        <v>0.68457822749999997</v>
      </c>
      <c r="W44" s="97">
        <f>VLOOKUP($D44,Résultats!$B$2:$AX$476,W$5,FALSE)</f>
        <v>0.66372974630000003</v>
      </c>
      <c r="X44" s="45">
        <f>W44-'[1]Cibles THREEME'!$AJ15</f>
        <v>0.35320018052715135</v>
      </c>
      <c r="Z44" s="197" t="s">
        <v>458</v>
      </c>
      <c r="AA44" s="16">
        <f>I36</f>
        <v>32.705673850200007</v>
      </c>
      <c r="AB44" s="16">
        <f>S36</f>
        <v>34.418827155599999</v>
      </c>
      <c r="AC44" s="86">
        <f>W36</f>
        <v>32.8450934858</v>
      </c>
    </row>
    <row r="45" spans="1:39" x14ac:dyDescent="0.25">
      <c r="A45" s="3"/>
      <c r="B45" s="323" t="s">
        <v>53</v>
      </c>
      <c r="C45" s="5" t="s">
        <v>1</v>
      </c>
      <c r="D45" s="2" t="s">
        <v>385</v>
      </c>
      <c r="E45" s="6">
        <f>SUM(E46:E51)</f>
        <v>32.766873197700001</v>
      </c>
      <c r="F45" s="6">
        <f>SUM(F46:F51)</f>
        <v>35.134966347899997</v>
      </c>
      <c r="G45" s="84">
        <f t="shared" ref="G45:R45" si="11">SUM(G46:G51)</f>
        <v>34.982173892500001</v>
      </c>
      <c r="H45" s="6">
        <f t="shared" si="11"/>
        <v>34.23497107</v>
      </c>
      <c r="I45" s="85">
        <f t="shared" si="11"/>
        <v>33.714567125599999</v>
      </c>
      <c r="J45" s="84">
        <f t="shared" si="11"/>
        <v>33.459401904999993</v>
      </c>
      <c r="K45" s="6">
        <f t="shared" si="11"/>
        <v>33.4242244649</v>
      </c>
      <c r="L45" s="6">
        <f t="shared" si="11"/>
        <v>33.4934420807</v>
      </c>
      <c r="M45" s="6">
        <f t="shared" si="11"/>
        <v>34.141743112600004</v>
      </c>
      <c r="N45" s="85">
        <f t="shared" si="11"/>
        <v>34.565941958700002</v>
      </c>
      <c r="O45" s="84">
        <f t="shared" si="11"/>
        <v>34.978281959500002</v>
      </c>
      <c r="P45" s="6">
        <f t="shared" si="11"/>
        <v>35.477326687800002</v>
      </c>
      <c r="Q45" s="6">
        <f t="shared" si="11"/>
        <v>35.77931779299999</v>
      </c>
      <c r="R45" s="6">
        <f t="shared" si="11"/>
        <v>36.077920196000001</v>
      </c>
      <c r="S45" s="85">
        <f>SUM(S46:S51)</f>
        <v>36.349840780999997</v>
      </c>
      <c r="T45" s="94">
        <f>SUM(T46:T51)</f>
        <v>37.665142575000004</v>
      </c>
      <c r="U45" s="94">
        <f>SUM(U46:U51)</f>
        <v>38.409411685000002</v>
      </c>
      <c r="V45" s="94">
        <f>SUM(V46:V51)</f>
        <v>38.392826765000002</v>
      </c>
      <c r="W45" s="94">
        <f>SUM(W46:W51)</f>
        <v>38.526735250000002</v>
      </c>
      <c r="X45" s="3"/>
      <c r="Z45" s="197" t="s">
        <v>459</v>
      </c>
      <c r="AA45" s="16">
        <f>SUM(I47,I49:I51)</f>
        <v>10.445044252900001</v>
      </c>
      <c r="AB45" s="16">
        <f>S47+SUM(S49:S51)</f>
        <v>16.508686142999998</v>
      </c>
      <c r="AC45" s="86">
        <f>W47+SUM(W49:W51)</f>
        <v>25.524133818999999</v>
      </c>
    </row>
    <row r="46" spans="1:39" x14ac:dyDescent="0.25">
      <c r="A46" s="3"/>
      <c r="B46" s="324"/>
      <c r="C46" s="3" t="s">
        <v>13</v>
      </c>
      <c r="D46" s="3" t="s">
        <v>386</v>
      </c>
      <c r="E46" s="16">
        <f>VLOOKUP($D46,Résultats!$B$2:$AX$476,E$5,FALSE)</f>
        <v>29.611875959999999</v>
      </c>
      <c r="F46" s="16">
        <f>VLOOKUP($D46,Résultats!$B$2:$AX$476,F$5,FALSE)</f>
        <v>24.05569758</v>
      </c>
      <c r="G46" s="22">
        <f>VLOOKUP($D46,Résultats!$B$2:$AX$476,G$5,FALSE)</f>
        <v>23.639978169999999</v>
      </c>
      <c r="H46" s="16">
        <f>VLOOKUP($D46,Résultats!$B$2:$AX$476,H$5,FALSE)</f>
        <v>23.033915830000002</v>
      </c>
      <c r="I46" s="86">
        <f>VLOOKUP($D46,Résultats!$B$2:$AX$476,I$5,FALSE)</f>
        <v>22.584370639999999</v>
      </c>
      <c r="J46" s="22">
        <f>VLOOKUP($D46,Résultats!$B$2:$AX$476,J$5,FALSE)</f>
        <v>21.506803999999999</v>
      </c>
      <c r="K46" s="16">
        <f>VLOOKUP($D46,Résultats!$B$2:$AX$476,K$5,FALSE)</f>
        <v>20.55686051</v>
      </c>
      <c r="L46" s="16">
        <f>VLOOKUP($D46,Résultats!$B$2:$AX$476,L$5,FALSE)</f>
        <v>19.647700279999999</v>
      </c>
      <c r="M46" s="16">
        <f>VLOOKUP($D46,Résultats!$B$2:$AX$476,M$5,FALSE)</f>
        <v>19.573973970000001</v>
      </c>
      <c r="N46" s="86">
        <f>VLOOKUP($D46,Résultats!$B$2:$AX$476,N$5,FALSE)</f>
        <v>19.366268739999999</v>
      </c>
      <c r="O46" s="22">
        <f>VLOOKUP($D46,Résultats!$B$2:$AX$476,O$5,FALSE)</f>
        <v>19.146647810000001</v>
      </c>
      <c r="P46" s="16">
        <f>VLOOKUP($D46,Résultats!$B$2:$AX$476,P$5,FALSE)</f>
        <v>18.96805827</v>
      </c>
      <c r="Q46" s="16">
        <f>VLOOKUP($D46,Résultats!$B$2:$AX$476,Q$5,FALSE)</f>
        <v>18.680234120000001</v>
      </c>
      <c r="R46" s="16">
        <f>VLOOKUP($D46,Résultats!$B$2:$AX$476,R$5,FALSE)</f>
        <v>18.38692021</v>
      </c>
      <c r="S46" s="86">
        <f>VLOOKUP($D46,Résultats!$B$2:$AX$476,S$5,FALSE)</f>
        <v>18.076619359999999</v>
      </c>
      <c r="T46" s="95">
        <f>VLOOKUP($D46,Résultats!$B$2:$AX$476,T$5,FALSE)</f>
        <v>16.457797110000001</v>
      </c>
      <c r="U46" s="95">
        <f>VLOOKUP($D46,Résultats!$B$2:$AX$476,U$5,FALSE)</f>
        <v>14.52870089</v>
      </c>
      <c r="V46" s="95">
        <f>VLOOKUP($D46,Résultats!$B$2:$AX$476,V$5,FALSE)</f>
        <v>12.298567159999999</v>
      </c>
      <c r="W46" s="95">
        <f>VLOOKUP($D46,Résultats!$B$2:$AX$476,W$5,FALSE)</f>
        <v>10.11889774</v>
      </c>
      <c r="X46" s="45">
        <f>W46-'[1]Cibles THREEME'!$AJ17</f>
        <v>8.7218379293782249</v>
      </c>
      <c r="Z46" s="197" t="s">
        <v>460</v>
      </c>
      <c r="AA46" s="16">
        <f>I46+I48</f>
        <v>23.269522872699998</v>
      </c>
      <c r="AB46" s="16">
        <f>S46+S48</f>
        <v>19.841154637999999</v>
      </c>
      <c r="AC46" s="86">
        <f>W46+W48</f>
        <v>13.002601430999999</v>
      </c>
    </row>
    <row r="47" spans="1:39" x14ac:dyDescent="0.25">
      <c r="A47" s="3"/>
      <c r="B47" s="324"/>
      <c r="C47" s="3" t="s">
        <v>14</v>
      </c>
      <c r="D47" s="3" t="s">
        <v>387</v>
      </c>
      <c r="E47" s="16">
        <f>VLOOKUP($D47,Résultats!$B$2:$AX$476,E$5,FALSE)</f>
        <v>1.3861615430000001</v>
      </c>
      <c r="F47" s="16">
        <f>VLOOKUP($D47,Résultats!$B$2:$AX$476,F$5,FALSE)</f>
        <v>6.3077829899999998</v>
      </c>
      <c r="G47" s="22">
        <f>VLOOKUP($D47,Résultats!$B$2:$AX$476,G$5,FALSE)</f>
        <v>6.4963086729999997</v>
      </c>
      <c r="H47" s="16">
        <f>VLOOKUP($D47,Résultats!$B$2:$AX$476,H$5,FALSE)</f>
        <v>6.4277458059999999</v>
      </c>
      <c r="I47" s="86">
        <f>VLOOKUP($D47,Résultats!$B$2:$AX$476,I$5,FALSE)</f>
        <v>6.3990423270000001</v>
      </c>
      <c r="J47" s="22">
        <f>VLOOKUP($D47,Résultats!$B$2:$AX$476,J$5,FALSE)</f>
        <v>6.5185723820000003</v>
      </c>
      <c r="K47" s="16">
        <f>VLOOKUP($D47,Résultats!$B$2:$AX$476,K$5,FALSE)</f>
        <v>6.6835131939999997</v>
      </c>
      <c r="L47" s="16">
        <f>VLOOKUP($D47,Résultats!$B$2:$AX$476,L$5,FALSE)</f>
        <v>6.87366806</v>
      </c>
      <c r="M47" s="16">
        <f>VLOOKUP($D47,Résultats!$B$2:$AX$476,M$5,FALSE)</f>
        <v>7.3447362050000002</v>
      </c>
      <c r="N47" s="86">
        <f>VLOOKUP($D47,Résultats!$B$2:$AX$476,N$5,FALSE)</f>
        <v>7.771687461</v>
      </c>
      <c r="O47" s="22">
        <f>VLOOKUP($D47,Résultats!$B$2:$AX$476,O$5,FALSE)</f>
        <v>8.199897043</v>
      </c>
      <c r="P47" s="16">
        <f>VLOOKUP($D47,Résultats!$B$2:$AX$476,P$5,FALSE)</f>
        <v>8.6532194750000002</v>
      </c>
      <c r="Q47" s="16">
        <f>VLOOKUP($D47,Résultats!$B$2:$AX$476,Q$5,FALSE)</f>
        <v>9.0613669819999902</v>
      </c>
      <c r="R47" s="16">
        <f>VLOOKUP($D47,Résultats!$B$2:$AX$476,R$5,FALSE)</f>
        <v>9.4714261860000004</v>
      </c>
      <c r="S47" s="86">
        <f>VLOOKUP($D47,Résultats!$B$2:$AX$476,S$5,FALSE)</f>
        <v>9.8770035529999998</v>
      </c>
      <c r="T47" s="95">
        <f>VLOOKUP($D47,Résultats!$B$2:$AX$476,T$5,FALSE)</f>
        <v>11.926568899999999</v>
      </c>
      <c r="U47" s="95">
        <f>VLOOKUP($D47,Résultats!$B$2:$AX$476,U$5,FALSE)</f>
        <v>13.84055442</v>
      </c>
      <c r="V47" s="95">
        <f>VLOOKUP($D47,Résultats!$B$2:$AX$476,V$5,FALSE)</f>
        <v>15.49022707</v>
      </c>
      <c r="W47" s="95">
        <f>VLOOKUP($D47,Résultats!$B$2:$AX$476,W$5,FALSE)</f>
        <v>17.19893922</v>
      </c>
      <c r="X47" s="45">
        <f>W47-'[1]Cibles THREEME'!$AJ18</f>
        <v>6.7662864184691216</v>
      </c>
      <c r="Z47" s="197" t="s">
        <v>461</v>
      </c>
      <c r="AA47" s="16">
        <f>I33</f>
        <v>52.364997625999997</v>
      </c>
      <c r="AB47" s="16">
        <f>S33</f>
        <v>46.615496936</v>
      </c>
      <c r="AC47" s="86">
        <f>W33</f>
        <v>35.708826741999999</v>
      </c>
    </row>
    <row r="48" spans="1:39" x14ac:dyDescent="0.25">
      <c r="A48" s="3"/>
      <c r="B48" s="324"/>
      <c r="C48" s="3" t="s">
        <v>15</v>
      </c>
      <c r="D48" s="3" t="s">
        <v>388</v>
      </c>
      <c r="E48" s="16">
        <f>VLOOKUP($D48,Résultats!$B$2:$AX$476,E$5,FALSE)</f>
        <v>0.41865197459999998</v>
      </c>
      <c r="F48" s="16">
        <f>VLOOKUP($D48,Résultats!$B$2:$AX$476,F$5,FALSE)</f>
        <v>0.44738474630000002</v>
      </c>
      <c r="G48" s="22">
        <f>VLOOKUP($D48,Résultats!$B$2:$AX$476,G$5,FALSE)</f>
        <v>0.60500923470000001</v>
      </c>
      <c r="H48" s="16">
        <f>VLOOKUP($D48,Résultats!$B$2:$AX$476,H$5,FALSE)</f>
        <v>0.64395370789999995</v>
      </c>
      <c r="I48" s="86">
        <f>VLOOKUP($D48,Résultats!$B$2:$AX$476,I$5,FALSE)</f>
        <v>0.68515223270000003</v>
      </c>
      <c r="J48" s="22">
        <f>VLOOKUP($D48,Résultats!$B$2:$AX$476,J$5,FALSE)</f>
        <v>0.87824339659999995</v>
      </c>
      <c r="K48" s="16">
        <f>VLOOKUP($D48,Résultats!$B$2:$AX$476,K$5,FALSE)</f>
        <v>1.0801222100000001</v>
      </c>
      <c r="L48" s="16">
        <f>VLOOKUP($D48,Résultats!$B$2:$AX$476,L$5,FALSE)</f>
        <v>1.290497016</v>
      </c>
      <c r="M48" s="16">
        <f>VLOOKUP($D48,Résultats!$B$2:$AX$476,M$5,FALSE)</f>
        <v>1.3663765240000001</v>
      </c>
      <c r="N48" s="86">
        <f>VLOOKUP($D48,Résultats!$B$2:$AX$476,N$5,FALSE)</f>
        <v>1.4339036540000001</v>
      </c>
      <c r="O48" s="22">
        <f>VLOOKUP($D48,Résultats!$B$2:$AX$476,O$5,FALSE)</f>
        <v>1.501529828</v>
      </c>
      <c r="P48" s="16">
        <f>VLOOKUP($D48,Résultats!$B$2:$AX$476,P$5,FALSE)</f>
        <v>1.573598837</v>
      </c>
      <c r="Q48" s="16">
        <f>VLOOKUP($D48,Résultats!$B$2:$AX$476,Q$5,FALSE)</f>
        <v>1.6373624250000001</v>
      </c>
      <c r="R48" s="16">
        <f>VLOOKUP($D48,Résultats!$B$2:$AX$476,R$5,FALSE)</f>
        <v>1.701388041</v>
      </c>
      <c r="S48" s="86">
        <f>VLOOKUP($D48,Résultats!$B$2:$AX$476,S$5,FALSE)</f>
        <v>1.7645352780000001</v>
      </c>
      <c r="T48" s="95">
        <f>VLOOKUP($D48,Résultats!$B$2:$AX$476,T$5,FALSE)</f>
        <v>2.0831980510000001</v>
      </c>
      <c r="U48" s="95">
        <f>VLOOKUP($D48,Résultats!$B$2:$AX$476,U$5,FALSE)</f>
        <v>2.3770897770000001</v>
      </c>
      <c r="V48" s="95">
        <f>VLOOKUP($D48,Résultats!$B$2:$AX$476,V$5,FALSE)</f>
        <v>2.6253776740000001</v>
      </c>
      <c r="W48" s="95">
        <f>VLOOKUP($D48,Résultats!$B$2:$AX$476,W$5,FALSE)</f>
        <v>2.883703691</v>
      </c>
      <c r="X48" s="45">
        <f>W48-'[1]Cibles THREEME'!$AJ19</f>
        <v>-9.4173813485072202</v>
      </c>
      <c r="Z48" s="198" t="s">
        <v>42</v>
      </c>
      <c r="AA48" s="17">
        <f>I52</f>
        <v>1.739122941</v>
      </c>
      <c r="AB48" s="17">
        <f>S52</f>
        <v>0.65272240459999997</v>
      </c>
      <c r="AC48" s="89">
        <f>W52</f>
        <v>0.20732549820000001</v>
      </c>
    </row>
    <row r="49" spans="1:29" x14ac:dyDescent="0.25">
      <c r="A49" s="3"/>
      <c r="B49" s="324"/>
      <c r="C49" s="3" t="s">
        <v>16</v>
      </c>
      <c r="D49" s="3" t="s">
        <v>389</v>
      </c>
      <c r="E49" s="16">
        <f>VLOOKUP($D49,Résultats!$B$2:$AX$476,E$5,FALSE)</f>
        <v>0.51287977090000003</v>
      </c>
      <c r="F49" s="16">
        <f>VLOOKUP($D49,Résultats!$B$2:$AX$476,F$5,FALSE)</f>
        <v>0.44738474630000002</v>
      </c>
      <c r="G49" s="22">
        <f>VLOOKUP($D49,Résultats!$B$2:$AX$476,G$5,FALSE)</f>
        <v>0.96893107180000004</v>
      </c>
      <c r="H49" s="16">
        <f>VLOOKUP($D49,Résultats!$B$2:$AX$476,H$5,FALSE)</f>
        <v>1.1183927300000001</v>
      </c>
      <c r="I49" s="86">
        <f>VLOOKUP($D49,Résultats!$B$2:$AX$476,I$5,FALSE)</f>
        <v>1.268662854</v>
      </c>
      <c r="J49" s="22">
        <f>VLOOKUP($D49,Résultats!$B$2:$AX$476,J$5,FALSE)</f>
        <v>1.310166634</v>
      </c>
      <c r="K49" s="16">
        <f>VLOOKUP($D49,Résultats!$B$2:$AX$476,K$5,FALSE)</f>
        <v>1.3610611560000001</v>
      </c>
      <c r="L49" s="16">
        <f>VLOOKUP($D49,Résultats!$B$2:$AX$476,L$5,FALSE)</f>
        <v>1.417527022</v>
      </c>
      <c r="M49" s="16">
        <f>VLOOKUP($D49,Résultats!$B$2:$AX$476,M$5,FALSE)</f>
        <v>1.46081127</v>
      </c>
      <c r="N49" s="86">
        <f>VLOOKUP($D49,Résultats!$B$2:$AX$476,N$5,FALSE)</f>
        <v>1.494698818</v>
      </c>
      <c r="O49" s="22">
        <f>VLOOKUP($D49,Résultats!$B$2:$AX$476,O$5,FALSE)</f>
        <v>1.528257553</v>
      </c>
      <c r="P49" s="16">
        <f>VLOOKUP($D49,Résultats!$B$2:$AX$476,P$5,FALSE)</f>
        <v>1.5658289649999999</v>
      </c>
      <c r="Q49" s="16">
        <f>VLOOKUP($D49,Résultats!$B$2:$AX$476,Q$5,FALSE)</f>
        <v>1.594838604</v>
      </c>
      <c r="R49" s="16">
        <f>VLOOKUP($D49,Résultats!$B$2:$AX$476,R$5,FALSE)</f>
        <v>1.623827049</v>
      </c>
      <c r="S49" s="86">
        <f>VLOOKUP($D49,Résultats!$B$2:$AX$476,S$5,FALSE)</f>
        <v>1.6517328469999999</v>
      </c>
      <c r="T49" s="95">
        <f>VLOOKUP($D49,Résultats!$B$2:$AX$476,T$5,FALSE)</f>
        <v>1.790829413</v>
      </c>
      <c r="U49" s="95">
        <f>VLOOKUP($D49,Résultats!$B$2:$AX$476,U$5,FALSE)</f>
        <v>1.9048963059999999</v>
      </c>
      <c r="V49" s="95">
        <f>VLOOKUP($D49,Résultats!$B$2:$AX$476,V$5,FALSE)</f>
        <v>1.9816910320000001</v>
      </c>
      <c r="W49" s="95">
        <f>VLOOKUP($D49,Résultats!$B$2:$AX$476,W$5,FALSE)</f>
        <v>2.0661749139999999</v>
      </c>
      <c r="X49" s="45">
        <f>W49-'[1]Cibles THREEME'!$AJ20</f>
        <v>1.3670451788858857</v>
      </c>
      <c r="Z49" s="189" t="s">
        <v>485</v>
      </c>
      <c r="AA49" s="189">
        <f>SUM(AA44:AA48)</f>
        <v>120.52436154279999</v>
      </c>
      <c r="AB49" s="189">
        <f t="shared" ref="AB49:AC49" si="12">SUM(AB44:AB48)</f>
        <v>118.03688727719999</v>
      </c>
      <c r="AC49" s="189">
        <f t="shared" si="12"/>
        <v>107.287980976</v>
      </c>
    </row>
    <row r="50" spans="1:29" x14ac:dyDescent="0.25">
      <c r="A50" s="3"/>
      <c r="B50" s="324"/>
      <c r="C50" s="3" t="s">
        <v>17</v>
      </c>
      <c r="D50" s="3" t="s">
        <v>390</v>
      </c>
      <c r="E50" s="16">
        <f>VLOOKUP($D50,Résultats!$B$2:$AX$476,E$5,FALSE)</f>
        <v>0.41865197459999998</v>
      </c>
      <c r="F50" s="16">
        <f>VLOOKUP($D50,Résultats!$B$2:$AX$476,F$5,FALSE)</f>
        <v>0.44738474630000002</v>
      </c>
      <c r="G50" s="22">
        <f>VLOOKUP($D50,Résultats!$B$2:$AX$476,G$5,FALSE)</f>
        <v>0.53068521000000002</v>
      </c>
      <c r="H50" s="16">
        <f>VLOOKUP($D50,Résultats!$B$2:$AX$476,H$5,FALSE)</f>
        <v>0.5470586771</v>
      </c>
      <c r="I50" s="86">
        <f>VLOOKUP($D50,Résultats!$B$2:$AX$476,I$5,FALSE)</f>
        <v>0.56598142890000003</v>
      </c>
      <c r="J50" s="22">
        <f>VLOOKUP($D50,Résultats!$B$2:$AX$476,J$5,FALSE)</f>
        <v>0.62057937839999999</v>
      </c>
      <c r="K50" s="16">
        <f>VLOOKUP($D50,Résultats!$B$2:$AX$476,K$5,FALSE)</f>
        <v>0.68015237289999997</v>
      </c>
      <c r="L50" s="16">
        <f>VLOOKUP($D50,Résultats!$B$2:$AX$476,L$5,FALSE)</f>
        <v>0.74337089469999995</v>
      </c>
      <c r="M50" s="16">
        <f>VLOOKUP($D50,Résultats!$B$2:$AX$476,M$5,FALSE)</f>
        <v>0.80016341160000004</v>
      </c>
      <c r="N50" s="86">
        <f>VLOOKUP($D50,Résultats!$B$2:$AX$476,N$5,FALSE)</f>
        <v>0.85221721669999995</v>
      </c>
      <c r="O50" s="22">
        <f>VLOOKUP($D50,Résultats!$B$2:$AX$476,O$5,FALSE)</f>
        <v>0.90447097750000005</v>
      </c>
      <c r="P50" s="16">
        <f>VLOOKUP($D50,Résultats!$B$2:$AX$476,P$5,FALSE)</f>
        <v>0.95956724780000002</v>
      </c>
      <c r="Q50" s="16">
        <f>VLOOKUP($D50,Résultats!$B$2:$AX$476,Q$5,FALSE)</f>
        <v>1.0096960479999999</v>
      </c>
      <c r="R50" s="16">
        <f>VLOOKUP($D50,Résultats!$B$2:$AX$476,R$5,FALSE)</f>
        <v>1.060076697</v>
      </c>
      <c r="S50" s="86">
        <f>VLOOKUP($D50,Résultats!$B$2:$AX$476,S$5,FALSE)</f>
        <v>1.1099898399999999</v>
      </c>
      <c r="T50" s="95">
        <f>VLOOKUP($D50,Résultats!$B$2:$AX$476,T$5,FALSE)</f>
        <v>1.362432343</v>
      </c>
      <c r="U50" s="95">
        <f>VLOOKUP($D50,Résultats!$B$2:$AX$476,U$5,FALSE)</f>
        <v>1.599894071</v>
      </c>
      <c r="V50" s="95">
        <f>VLOOKUP($D50,Résultats!$B$2:$AX$476,V$5,FALSE)</f>
        <v>1.806899746</v>
      </c>
      <c r="W50" s="95">
        <f>VLOOKUP($D50,Résultats!$B$2:$AX$476,W$5,FALSE)</f>
        <v>2.020777464</v>
      </c>
      <c r="X50" s="45">
        <f>W50-'[1]Cibles THREEME'!$AJ21</f>
        <v>1.0778135939759497</v>
      </c>
    </row>
    <row r="51" spans="1:29" x14ac:dyDescent="0.25">
      <c r="A51" s="3"/>
      <c r="B51" s="325"/>
      <c r="C51" s="7" t="s">
        <v>12</v>
      </c>
      <c r="D51" s="3" t="s">
        <v>391</v>
      </c>
      <c r="E51" s="17">
        <f>VLOOKUP($D51,Résultats!$B$2:$AX$476,E$5,FALSE)</f>
        <v>0.41865197459999998</v>
      </c>
      <c r="F51" s="17">
        <f>VLOOKUP($D51,Résultats!$B$2:$AX$476,F$5,FALSE)</f>
        <v>3.4293315390000001</v>
      </c>
      <c r="G51" s="88">
        <f>VLOOKUP($D51,Résultats!$B$2:$AX$476,G$5,FALSE)</f>
        <v>2.7412615329999999</v>
      </c>
      <c r="H51" s="17">
        <f>VLOOKUP($D51,Résultats!$B$2:$AX$476,H$5,FALSE)</f>
        <v>2.4639043190000001</v>
      </c>
      <c r="I51" s="89">
        <f>VLOOKUP($D51,Résultats!$B$2:$AX$476,I$5,FALSE)</f>
        <v>2.2113576429999999</v>
      </c>
      <c r="J51" s="88">
        <f>VLOOKUP($D51,Résultats!$B$2:$AX$476,J$5,FALSE)</f>
        <v>2.6250361139999998</v>
      </c>
      <c r="K51" s="17">
        <f>VLOOKUP($D51,Résultats!$B$2:$AX$476,K$5,FALSE)</f>
        <v>3.0625150219999999</v>
      </c>
      <c r="L51" s="17">
        <f>VLOOKUP($D51,Résultats!$B$2:$AX$476,L$5,FALSE)</f>
        <v>3.520678808</v>
      </c>
      <c r="M51" s="17">
        <f>VLOOKUP($D51,Résultats!$B$2:$AX$476,M$5,FALSE)</f>
        <v>3.5956817320000001</v>
      </c>
      <c r="N51" s="89">
        <f>VLOOKUP($D51,Résultats!$B$2:$AX$476,N$5,FALSE)</f>
        <v>3.6471660689999998</v>
      </c>
      <c r="O51" s="88">
        <f>VLOOKUP($D51,Résultats!$B$2:$AX$476,O$5,FALSE)</f>
        <v>3.697478748</v>
      </c>
      <c r="P51" s="17">
        <f>VLOOKUP($D51,Résultats!$B$2:$AX$476,P$5,FALSE)</f>
        <v>3.7570538930000001</v>
      </c>
      <c r="Q51" s="17">
        <f>VLOOKUP($D51,Résultats!$B$2:$AX$476,Q$5,FALSE)</f>
        <v>3.795819614</v>
      </c>
      <c r="R51" s="17">
        <f>VLOOKUP($D51,Résultats!$B$2:$AX$476,R$5,FALSE)</f>
        <v>3.8342820130000002</v>
      </c>
      <c r="S51" s="89">
        <f>VLOOKUP($D51,Résultats!$B$2:$AX$476,S$5,FALSE)</f>
        <v>3.8699599029999998</v>
      </c>
      <c r="T51" s="97">
        <f>VLOOKUP($D51,Résultats!$B$2:$AX$476,T$5,FALSE)</f>
        <v>4.0443167579999999</v>
      </c>
      <c r="U51" s="97">
        <f>VLOOKUP($D51,Résultats!$B$2:$AX$476,U$5,FALSE)</f>
        <v>4.1582762210000004</v>
      </c>
      <c r="V51" s="97">
        <f>VLOOKUP($D51,Résultats!$B$2:$AX$476,V$5,FALSE)</f>
        <v>4.1900640830000002</v>
      </c>
      <c r="W51" s="97">
        <f>VLOOKUP($D51,Résultats!$B$2:$AX$476,W$5,FALSE)</f>
        <v>4.2382422210000001</v>
      </c>
      <c r="X51" s="45">
        <f>W51-'[1]Cibles THREEME'!$AJ22</f>
        <v>-2.5230781705324086</v>
      </c>
    </row>
    <row r="52" spans="1:29" x14ac:dyDescent="0.25">
      <c r="A52" s="3"/>
      <c r="B52" s="170" t="s">
        <v>8</v>
      </c>
      <c r="C52" s="2"/>
      <c r="D52" s="14" t="s">
        <v>392</v>
      </c>
      <c r="E52" s="6">
        <f>VLOOKUP($D52,Résultats!$B$2:$AX$476,E$5,FALSE)</f>
        <v>4.7606703819999998</v>
      </c>
      <c r="F52" s="6">
        <f>VLOOKUP($D52,Résultats!$B$2:$AX$476,F$5,FALSE)</f>
        <v>3.5910665370000001</v>
      </c>
      <c r="G52" s="84">
        <f>VLOOKUP($D52,Résultats!$B$2:$AX$476,G$5,FALSE)</f>
        <v>2.0990921760000001</v>
      </c>
      <c r="H52" s="6">
        <f>VLOOKUP($D52,Résultats!$B$2:$AX$476,H$5,FALSE)</f>
        <v>1.912048771</v>
      </c>
      <c r="I52" s="85">
        <f>VLOOKUP($D52,Résultats!$B$2:$AX$476,I$5,FALSE)</f>
        <v>1.739122941</v>
      </c>
      <c r="J52" s="84">
        <f>VLOOKUP($D52,Résultats!$B$2:$AX$476,J$5,FALSE)</f>
        <v>1.7062631690000001</v>
      </c>
      <c r="K52" s="6">
        <f>VLOOKUP($D52,Résultats!$B$2:$AX$476,K$5,FALSE)</f>
        <v>1.6854159989999999</v>
      </c>
      <c r="L52" s="6">
        <f>VLOOKUP($D52,Résultats!$B$2:$AX$476,L$5,FALSE)</f>
        <v>1.678433906</v>
      </c>
      <c r="M52" s="6">
        <f>VLOOKUP($D52,Résultats!$B$2:$AX$476,M$5,FALSE)</f>
        <v>1.417231149</v>
      </c>
      <c r="N52" s="85">
        <f>VLOOKUP($D52,Résultats!$B$2:$AX$476,N$5,FALSE)</f>
        <v>1.192215252</v>
      </c>
      <c r="O52" s="84">
        <f>VLOOKUP($D52,Résultats!$B$2:$AX$476,O$5,FALSE)</f>
        <v>1.036351628</v>
      </c>
      <c r="P52" s="6">
        <f>VLOOKUP($D52,Résultats!$B$2:$AX$476,P$5,FALSE)</f>
        <v>0.91412237060000001</v>
      </c>
      <c r="Q52" s="6">
        <f>VLOOKUP($D52,Résultats!$B$2:$AX$476,Q$5,FALSE)</f>
        <v>0.81167607639999995</v>
      </c>
      <c r="R52" s="6">
        <f>VLOOKUP($D52,Résultats!$B$2:$AX$476,R$5,FALSE)</f>
        <v>0.7259541706</v>
      </c>
      <c r="S52" s="85">
        <f>VLOOKUP($D52,Résultats!$B$2:$AX$476,S$5,FALSE)</f>
        <v>0.65272240459999997</v>
      </c>
      <c r="T52" s="94">
        <f>VLOOKUP($D52,Résultats!$B$2:$AX$476,T$5,FALSE)</f>
        <v>0.43935486210000002</v>
      </c>
      <c r="U52" s="94">
        <f>VLOOKUP($D52,Résultats!$B$2:$AX$476,U$5,FALSE)</f>
        <v>0.3335909058</v>
      </c>
      <c r="V52" s="94">
        <f>VLOOKUP($D52,Résultats!$B$2:$AX$476,V$5,FALSE)</f>
        <v>0.25346858919999998</v>
      </c>
      <c r="W52" s="94">
        <f>VLOOKUP($D52,Résultats!$B$2:$AX$476,W$5,FALSE)</f>
        <v>0.20732549820000001</v>
      </c>
      <c r="X52" s="3"/>
    </row>
    <row r="53" spans="1:29" x14ac:dyDescent="0.25">
      <c r="A53" s="3"/>
      <c r="B53" s="169" t="s">
        <v>1</v>
      </c>
      <c r="C53" s="2"/>
      <c r="D53" s="2" t="s">
        <v>393</v>
      </c>
      <c r="E53" s="9">
        <f>E52+E45+E36+E33</f>
        <v>138.46922008130002</v>
      </c>
      <c r="F53" s="9">
        <f>F52+F45+F36+F33</f>
        <v>132.68891287380001</v>
      </c>
      <c r="G53" s="23">
        <f t="shared" ref="G53:R53" si="13">G52+G45+G36+G33</f>
        <v>125.6016941601</v>
      </c>
      <c r="H53" s="9">
        <f t="shared" si="13"/>
        <v>122.94523754600002</v>
      </c>
      <c r="I53" s="90">
        <f t="shared" si="13"/>
        <v>120.52436154279999</v>
      </c>
      <c r="J53" s="23">
        <f t="shared" si="13"/>
        <v>120.45685507749999</v>
      </c>
      <c r="K53" s="9">
        <f t="shared" si="13"/>
        <v>120.5578575606</v>
      </c>
      <c r="L53" s="9">
        <f t="shared" si="13"/>
        <v>120.9731512309</v>
      </c>
      <c r="M53" s="9">
        <f t="shared" si="13"/>
        <v>120.47114334220001</v>
      </c>
      <c r="N53" s="90">
        <f t="shared" si="13"/>
        <v>119.6320976515</v>
      </c>
      <c r="O53" s="23">
        <f t="shared" si="13"/>
        <v>119.26054811030001</v>
      </c>
      <c r="P53" s="9">
        <f t="shared" si="13"/>
        <v>119.0935255542</v>
      </c>
      <c r="Q53" s="9">
        <f t="shared" si="13"/>
        <v>118.79821099429999</v>
      </c>
      <c r="R53" s="9">
        <f t="shared" si="13"/>
        <v>118.4472680053</v>
      </c>
      <c r="S53" s="90">
        <f>S52+S45+S36+S33</f>
        <v>118.03688727719999</v>
      </c>
      <c r="T53" s="98">
        <f>T52+T45+T36+T33</f>
        <v>116.1985814337</v>
      </c>
      <c r="U53" s="98">
        <f>U52+U45+U36+U33</f>
        <v>114.0611962136</v>
      </c>
      <c r="V53" s="98">
        <f>V52+V45+V36+V33</f>
        <v>110.44228035349998</v>
      </c>
      <c r="W53" s="98">
        <f>W52+W45+W36+W33</f>
        <v>107.287980976</v>
      </c>
      <c r="X53" s="3"/>
    </row>
    <row r="54" spans="1:29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</row>
    <row r="55" spans="1:29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</row>
    <row r="56" spans="1:29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</row>
    <row r="57" spans="1:29" s="3" customFormat="1" x14ac:dyDescent="0.25"/>
    <row r="58" spans="1:29" s="3" customFormat="1" x14ac:dyDescent="0.25"/>
    <row r="59" spans="1:29" s="3" customFormat="1" x14ac:dyDescent="0.25"/>
    <row r="60" spans="1:29" s="3" customFormat="1" x14ac:dyDescent="0.25"/>
    <row r="61" spans="1:29" s="3" customFormat="1" x14ac:dyDescent="0.25"/>
    <row r="62" spans="1:29" s="3" customFormat="1" x14ac:dyDescent="0.25"/>
    <row r="63" spans="1:29" s="3" customFormat="1" x14ac:dyDescent="0.25"/>
    <row r="64" spans="1:29" s="3" customFormat="1" x14ac:dyDescent="0.25"/>
    <row r="65" s="3" customFormat="1" x14ac:dyDescent="0.25"/>
    <row r="66" s="3" customFormat="1" x14ac:dyDescent="0.25"/>
    <row r="67" s="3" customFormat="1" x14ac:dyDescent="0.25"/>
    <row r="68" s="3" customFormat="1" x14ac:dyDescent="0.25"/>
    <row r="69" s="3" customFormat="1" x14ac:dyDescent="0.25"/>
    <row r="70" s="3" customFormat="1" x14ac:dyDescent="0.25"/>
    <row r="71" s="3" customFormat="1" x14ac:dyDescent="0.25"/>
    <row r="72" s="3" customFormat="1" x14ac:dyDescent="0.25"/>
    <row r="73" s="3" customFormat="1" x14ac:dyDescent="0.25"/>
    <row r="74" s="3" customFormat="1" x14ac:dyDescent="0.25"/>
    <row r="75" s="3" customFormat="1" x14ac:dyDescent="0.25"/>
    <row r="76" s="3" customFormat="1" x14ac:dyDescent="0.25"/>
    <row r="77" s="3" customFormat="1" x14ac:dyDescent="0.25"/>
    <row r="78" s="3" customFormat="1" x14ac:dyDescent="0.25"/>
    <row r="79" s="3" customFormat="1" x14ac:dyDescent="0.25"/>
    <row r="80" s="3" customFormat="1" x14ac:dyDescent="0.25"/>
    <row r="81" s="3" customFormat="1" x14ac:dyDescent="0.25"/>
    <row r="82" s="3" customFormat="1" x14ac:dyDescent="0.25"/>
    <row r="83" s="3" customFormat="1" x14ac:dyDescent="0.25"/>
    <row r="84" s="3" customFormat="1" x14ac:dyDescent="0.25"/>
    <row r="85" s="3" customFormat="1" x14ac:dyDescent="0.25"/>
    <row r="86" s="3" customFormat="1" x14ac:dyDescent="0.25"/>
    <row r="87" s="3" customFormat="1" x14ac:dyDescent="0.25"/>
    <row r="88" s="3" customFormat="1" x14ac:dyDescent="0.25"/>
    <row r="89" s="3" customFormat="1" x14ac:dyDescent="0.25"/>
    <row r="90" s="3" customFormat="1" x14ac:dyDescent="0.25"/>
    <row r="91" s="3" customFormat="1" x14ac:dyDescent="0.25"/>
    <row r="92" s="3" customFormat="1" x14ac:dyDescent="0.25"/>
    <row r="93" s="3" customFormat="1" x14ac:dyDescent="0.25"/>
    <row r="94" s="3" customFormat="1" x14ac:dyDescent="0.25"/>
    <row r="95" s="3" customFormat="1" x14ac:dyDescent="0.25"/>
    <row r="96" s="3" customFormat="1" x14ac:dyDescent="0.25"/>
    <row r="97" s="3" customFormat="1" x14ac:dyDescent="0.25"/>
    <row r="98" s="3" customFormat="1" x14ac:dyDescent="0.25"/>
    <row r="99" s="3" customFormat="1" x14ac:dyDescent="0.25"/>
    <row r="100" s="3" customFormat="1" x14ac:dyDescent="0.25"/>
    <row r="101" s="3" customFormat="1" x14ac:dyDescent="0.25"/>
    <row r="102" s="3" customFormat="1" x14ac:dyDescent="0.25"/>
    <row r="103" s="3" customFormat="1" x14ac:dyDescent="0.25"/>
    <row r="104" s="3" customFormat="1" x14ac:dyDescent="0.25"/>
    <row r="105" s="3" customFormat="1" x14ac:dyDescent="0.25"/>
    <row r="106" s="3" customFormat="1" x14ac:dyDescent="0.25"/>
    <row r="107" s="3" customFormat="1" x14ac:dyDescent="0.25"/>
    <row r="108" s="3" customFormat="1" x14ac:dyDescent="0.25"/>
    <row r="109" s="3" customFormat="1" x14ac:dyDescent="0.25"/>
    <row r="110" s="3" customFormat="1" x14ac:dyDescent="0.25"/>
    <row r="111" s="3" customFormat="1" x14ac:dyDescent="0.25"/>
    <row r="112" s="3" customFormat="1" x14ac:dyDescent="0.25"/>
    <row r="113" s="3" customFormat="1" x14ac:dyDescent="0.25"/>
    <row r="114" s="3" customFormat="1" x14ac:dyDescent="0.25"/>
    <row r="115" s="3" customFormat="1" x14ac:dyDescent="0.25"/>
    <row r="116" s="3" customFormat="1" x14ac:dyDescent="0.25"/>
    <row r="117" s="3" customFormat="1" x14ac:dyDescent="0.25"/>
    <row r="118" s="3" customFormat="1" x14ac:dyDescent="0.25"/>
    <row r="119" s="3" customFormat="1" x14ac:dyDescent="0.25"/>
    <row r="120" s="3" customFormat="1" x14ac:dyDescent="0.25"/>
    <row r="121" s="3" customFormat="1" x14ac:dyDescent="0.25"/>
    <row r="122" s="3" customFormat="1" x14ac:dyDescent="0.25"/>
    <row r="123" s="3" customFormat="1" x14ac:dyDescent="0.25"/>
    <row r="124" s="3" customFormat="1" x14ac:dyDescent="0.25"/>
    <row r="125" s="3" customFormat="1" x14ac:dyDescent="0.25"/>
    <row r="126" s="3" customFormat="1" x14ac:dyDescent="0.25"/>
    <row r="127" s="3" customFormat="1" x14ac:dyDescent="0.25"/>
    <row r="128" s="3" customFormat="1" x14ac:dyDescent="0.25"/>
    <row r="129" s="3" customFormat="1" x14ac:dyDescent="0.25"/>
    <row r="130" s="3" customFormat="1" x14ac:dyDescent="0.25"/>
    <row r="131" s="3" customFormat="1" x14ac:dyDescent="0.25"/>
    <row r="132" s="3" customFormat="1" x14ac:dyDescent="0.25"/>
    <row r="133" s="3" customFormat="1" x14ac:dyDescent="0.25"/>
    <row r="134" s="3" customFormat="1" x14ac:dyDescent="0.25"/>
    <row r="135" s="3" customFormat="1" x14ac:dyDescent="0.25"/>
    <row r="136" s="3" customFormat="1" x14ac:dyDescent="0.25"/>
    <row r="137" s="3" customFormat="1" x14ac:dyDescent="0.25"/>
    <row r="138" s="3" customFormat="1" x14ac:dyDescent="0.25"/>
    <row r="139" s="3" customFormat="1" x14ac:dyDescent="0.25"/>
    <row r="140" s="3" customFormat="1" x14ac:dyDescent="0.25"/>
    <row r="141" s="3" customFormat="1" x14ac:dyDescent="0.25"/>
    <row r="142" s="3" customFormat="1" x14ac:dyDescent="0.25"/>
    <row r="143" s="3" customFormat="1" x14ac:dyDescent="0.25"/>
    <row r="144" s="3" customFormat="1" x14ac:dyDescent="0.25"/>
    <row r="145" s="3" customFormat="1" x14ac:dyDescent="0.25"/>
    <row r="146" s="3" customFormat="1" x14ac:dyDescent="0.25"/>
    <row r="147" s="3" customFormat="1" x14ac:dyDescent="0.25"/>
    <row r="148" s="3" customFormat="1" x14ac:dyDescent="0.25"/>
    <row r="149" s="3" customFormat="1" x14ac:dyDescent="0.25"/>
    <row r="150" s="3" customFormat="1" x14ac:dyDescent="0.25"/>
    <row r="151" s="3" customFormat="1" x14ac:dyDescent="0.25"/>
    <row r="152" s="3" customFormat="1" x14ac:dyDescent="0.25"/>
    <row r="153" s="3" customFormat="1" x14ac:dyDescent="0.25"/>
    <row r="154" s="3" customFormat="1" x14ac:dyDescent="0.25"/>
    <row r="155" s="3" customFormat="1" x14ac:dyDescent="0.25"/>
    <row r="156" s="3" customFormat="1" x14ac:dyDescent="0.25"/>
    <row r="157" s="3" customFormat="1" x14ac:dyDescent="0.25"/>
    <row r="158" s="3" customFormat="1" x14ac:dyDescent="0.25"/>
    <row r="159" s="3" customFormat="1" x14ac:dyDescent="0.25"/>
    <row r="160" s="3" customFormat="1" x14ac:dyDescent="0.25"/>
    <row r="161" s="3" customFormat="1" x14ac:dyDescent="0.25"/>
    <row r="162" s="3" customFormat="1" x14ac:dyDescent="0.25"/>
    <row r="163" s="3" customFormat="1" x14ac:dyDescent="0.25"/>
    <row r="164" s="3" customFormat="1" x14ac:dyDescent="0.25"/>
    <row r="165" s="3" customFormat="1" x14ac:dyDescent="0.25"/>
    <row r="166" s="3" customFormat="1" x14ac:dyDescent="0.25"/>
    <row r="167" s="3" customFormat="1" x14ac:dyDescent="0.25"/>
    <row r="168" s="3" customFormat="1" x14ac:dyDescent="0.25"/>
    <row r="169" s="3" customFormat="1" x14ac:dyDescent="0.25"/>
    <row r="170" s="3" customFormat="1" x14ac:dyDescent="0.25"/>
    <row r="171" s="3" customFormat="1" x14ac:dyDescent="0.25"/>
    <row r="172" s="3" customFormat="1" x14ac:dyDescent="0.25"/>
    <row r="173" s="3" customFormat="1" x14ac:dyDescent="0.25"/>
    <row r="174" s="3" customFormat="1" x14ac:dyDescent="0.25"/>
    <row r="175" s="3" customFormat="1" x14ac:dyDescent="0.25"/>
    <row r="176" s="3" customFormat="1" x14ac:dyDescent="0.25"/>
    <row r="177" s="3" customFormat="1" x14ac:dyDescent="0.25"/>
    <row r="178" s="3" customFormat="1" x14ac:dyDescent="0.25"/>
    <row r="179" s="3" customFormat="1" x14ac:dyDescent="0.25"/>
    <row r="180" s="3" customFormat="1" x14ac:dyDescent="0.25"/>
    <row r="181" s="3" customFormat="1" x14ac:dyDescent="0.25"/>
    <row r="182" s="3" customFormat="1" x14ac:dyDescent="0.25"/>
    <row r="183" s="3" customFormat="1" x14ac:dyDescent="0.25"/>
    <row r="184" s="3" customFormat="1" x14ac:dyDescent="0.25"/>
    <row r="185" s="3" customFormat="1" x14ac:dyDescent="0.25"/>
    <row r="186" s="3" customFormat="1" x14ac:dyDescent="0.25"/>
    <row r="187" s="3" customFormat="1" x14ac:dyDescent="0.25"/>
    <row r="188" s="3" customFormat="1" x14ac:dyDescent="0.25"/>
    <row r="189" s="3" customFormat="1" x14ac:dyDescent="0.25"/>
    <row r="190" s="3" customFormat="1" x14ac:dyDescent="0.25"/>
    <row r="191" s="3" customFormat="1" x14ac:dyDescent="0.25"/>
    <row r="192" s="3" customFormat="1" x14ac:dyDescent="0.25"/>
    <row r="193" s="3" customFormat="1" x14ac:dyDescent="0.25"/>
    <row r="194" s="3" customFormat="1" x14ac:dyDescent="0.25"/>
    <row r="195" s="3" customFormat="1" x14ac:dyDescent="0.25"/>
    <row r="196" s="3" customFormat="1" x14ac:dyDescent="0.25"/>
    <row r="197" s="3" customFormat="1" x14ac:dyDescent="0.25"/>
    <row r="198" s="3" customFormat="1" x14ac:dyDescent="0.25"/>
    <row r="199" s="3" customFormat="1" x14ac:dyDescent="0.25"/>
    <row r="200" s="3" customFormat="1" x14ac:dyDescent="0.25"/>
    <row r="201" s="3" customFormat="1" x14ac:dyDescent="0.25"/>
    <row r="202" s="3" customFormat="1" x14ac:dyDescent="0.25"/>
    <row r="203" s="3" customFormat="1" x14ac:dyDescent="0.25"/>
    <row r="204" s="3" customFormat="1" x14ac:dyDescent="0.25"/>
    <row r="205" s="3" customFormat="1" x14ac:dyDescent="0.25"/>
    <row r="206" s="3" customFormat="1" x14ac:dyDescent="0.25"/>
    <row r="207" s="3" customFormat="1" x14ac:dyDescent="0.25"/>
    <row r="208" s="3" customFormat="1" x14ac:dyDescent="0.25"/>
    <row r="209" s="3" customFormat="1" x14ac:dyDescent="0.25"/>
    <row r="210" s="3" customFormat="1" x14ac:dyDescent="0.25"/>
    <row r="211" s="3" customFormat="1" x14ac:dyDescent="0.25"/>
    <row r="212" s="3" customFormat="1" x14ac:dyDescent="0.25"/>
    <row r="213" s="3" customFormat="1" x14ac:dyDescent="0.25"/>
    <row r="214" s="3" customFormat="1" x14ac:dyDescent="0.25"/>
    <row r="215" s="3" customFormat="1" x14ac:dyDescent="0.25"/>
    <row r="216" s="3" customFormat="1" x14ac:dyDescent="0.25"/>
    <row r="217" s="3" customFormat="1" x14ac:dyDescent="0.25"/>
    <row r="218" s="3" customFormat="1" x14ac:dyDescent="0.25"/>
    <row r="219" s="3" customFormat="1" x14ac:dyDescent="0.25"/>
    <row r="220" s="3" customFormat="1" x14ac:dyDescent="0.25"/>
    <row r="221" s="3" customFormat="1" x14ac:dyDescent="0.25"/>
    <row r="222" s="3" customFormat="1" x14ac:dyDescent="0.25"/>
    <row r="223" s="3" customFormat="1" x14ac:dyDescent="0.25"/>
    <row r="224" s="3" customFormat="1" x14ac:dyDescent="0.25"/>
    <row r="225" s="3" customFormat="1" x14ac:dyDescent="0.25"/>
    <row r="226" s="3" customFormat="1" x14ac:dyDescent="0.25"/>
    <row r="227" s="3" customFormat="1" x14ac:dyDescent="0.25"/>
    <row r="228" s="3" customFormat="1" x14ac:dyDescent="0.25"/>
    <row r="229" s="3" customFormat="1" x14ac:dyDescent="0.25"/>
    <row r="230" s="3" customFormat="1" x14ac:dyDescent="0.25"/>
    <row r="231" s="3" customFormat="1" x14ac:dyDescent="0.25"/>
    <row r="232" s="3" customFormat="1" x14ac:dyDescent="0.25"/>
    <row r="233" s="3" customFormat="1" x14ac:dyDescent="0.25"/>
    <row r="234" s="3" customFormat="1" x14ac:dyDescent="0.25"/>
    <row r="235" s="3" customFormat="1" x14ac:dyDescent="0.25"/>
    <row r="236" s="3" customFormat="1" x14ac:dyDescent="0.25"/>
    <row r="237" s="3" customFormat="1" x14ac:dyDescent="0.25"/>
    <row r="238" s="3" customFormat="1" x14ac:dyDescent="0.25"/>
    <row r="239" s="3" customFormat="1" x14ac:dyDescent="0.25"/>
    <row r="240" s="3" customFormat="1" x14ac:dyDescent="0.25"/>
    <row r="241" s="3" customFormat="1" x14ac:dyDescent="0.25"/>
    <row r="242" s="3" customFormat="1" x14ac:dyDescent="0.25"/>
    <row r="243" s="3" customFormat="1" x14ac:dyDescent="0.25"/>
    <row r="244" s="3" customFormat="1" x14ac:dyDescent="0.25"/>
    <row r="245" s="3" customFormat="1" x14ac:dyDescent="0.25"/>
    <row r="246" s="3" customFormat="1" x14ac:dyDescent="0.25"/>
    <row r="247" s="3" customFormat="1" x14ac:dyDescent="0.25"/>
    <row r="248" s="3" customFormat="1" x14ac:dyDescent="0.25"/>
    <row r="249" s="3" customFormat="1" x14ac:dyDescent="0.25"/>
    <row r="250" s="3" customFormat="1" x14ac:dyDescent="0.25"/>
    <row r="251" s="3" customFormat="1" x14ac:dyDescent="0.25"/>
    <row r="252" s="3" customFormat="1" x14ac:dyDescent="0.25"/>
    <row r="253" s="3" customFormat="1" x14ac:dyDescent="0.25"/>
    <row r="254" s="3" customFormat="1" x14ac:dyDescent="0.25"/>
    <row r="255" s="3" customFormat="1" x14ac:dyDescent="0.25"/>
    <row r="256" s="3" customFormat="1" x14ac:dyDescent="0.25"/>
    <row r="257" s="3" customFormat="1" x14ac:dyDescent="0.25"/>
    <row r="258" s="3" customFormat="1" x14ac:dyDescent="0.25"/>
    <row r="259" s="3" customFormat="1" x14ac:dyDescent="0.25"/>
    <row r="260" s="3" customFormat="1" x14ac:dyDescent="0.25"/>
    <row r="261" s="3" customFormat="1" x14ac:dyDescent="0.25"/>
    <row r="262" s="3" customFormat="1" x14ac:dyDescent="0.25"/>
    <row r="263" s="3" customFormat="1" x14ac:dyDescent="0.25"/>
    <row r="264" s="3" customFormat="1" x14ac:dyDescent="0.25"/>
    <row r="265" s="3" customFormat="1" x14ac:dyDescent="0.25"/>
    <row r="266" s="3" customFormat="1" x14ac:dyDescent="0.25"/>
    <row r="267" s="3" customFormat="1" x14ac:dyDescent="0.25"/>
    <row r="268" s="3" customFormat="1" x14ac:dyDescent="0.25"/>
    <row r="269" s="3" customFormat="1" x14ac:dyDescent="0.25"/>
    <row r="270" s="3" customFormat="1" x14ac:dyDescent="0.25"/>
    <row r="271" s="3" customFormat="1" x14ac:dyDescent="0.25"/>
    <row r="272" s="3" customFormat="1" x14ac:dyDescent="0.25"/>
    <row r="273" s="3" customFormat="1" x14ac:dyDescent="0.25"/>
    <row r="274" s="3" customFormat="1" x14ac:dyDescent="0.25"/>
    <row r="275" s="3" customFormat="1" x14ac:dyDescent="0.25"/>
    <row r="276" s="3" customFormat="1" x14ac:dyDescent="0.25"/>
    <row r="277" s="3" customFormat="1" x14ac:dyDescent="0.25"/>
    <row r="278" s="3" customFormat="1" x14ac:dyDescent="0.25"/>
    <row r="279" s="3" customFormat="1" x14ac:dyDescent="0.25"/>
    <row r="280" s="3" customFormat="1" x14ac:dyDescent="0.25"/>
    <row r="281" s="3" customFormat="1" x14ac:dyDescent="0.25"/>
    <row r="282" s="3" customFormat="1" x14ac:dyDescent="0.25"/>
    <row r="283" s="3" customFormat="1" x14ac:dyDescent="0.25"/>
    <row r="284" s="3" customFormat="1" x14ac:dyDescent="0.25"/>
    <row r="285" s="3" customFormat="1" x14ac:dyDescent="0.25"/>
    <row r="286" s="3" customFormat="1" x14ac:dyDescent="0.25"/>
    <row r="287" s="3" customFormat="1" x14ac:dyDescent="0.25"/>
    <row r="288" s="3" customFormat="1" x14ac:dyDescent="0.25"/>
    <row r="289" s="3" customFormat="1" x14ac:dyDescent="0.25"/>
    <row r="290" s="3" customFormat="1" x14ac:dyDescent="0.25"/>
    <row r="291" s="3" customFormat="1" x14ac:dyDescent="0.25"/>
    <row r="292" s="3" customFormat="1" x14ac:dyDescent="0.25"/>
    <row r="293" s="3" customFormat="1" x14ac:dyDescent="0.25"/>
    <row r="294" s="3" customFormat="1" x14ac:dyDescent="0.25"/>
    <row r="295" s="3" customFormat="1" x14ac:dyDescent="0.25"/>
    <row r="296" s="3" customFormat="1" x14ac:dyDescent="0.25"/>
    <row r="297" s="3" customFormat="1" x14ac:dyDescent="0.25"/>
    <row r="298" s="3" customFormat="1" x14ac:dyDescent="0.25"/>
    <row r="299" s="3" customFormat="1" x14ac:dyDescent="0.25"/>
    <row r="300" s="3" customFormat="1" x14ac:dyDescent="0.25"/>
    <row r="301" s="3" customFormat="1" x14ac:dyDescent="0.25"/>
    <row r="302" s="3" customFormat="1" x14ac:dyDescent="0.25"/>
    <row r="303" s="3" customFormat="1" x14ac:dyDescent="0.25"/>
    <row r="304" s="3" customFormat="1" x14ac:dyDescent="0.25"/>
    <row r="305" s="3" customFormat="1" x14ac:dyDescent="0.25"/>
    <row r="306" s="3" customFormat="1" x14ac:dyDescent="0.25"/>
    <row r="307" s="3" customFormat="1" x14ac:dyDescent="0.25"/>
    <row r="308" s="3" customFormat="1" x14ac:dyDescent="0.25"/>
    <row r="309" s="3" customFormat="1" x14ac:dyDescent="0.25"/>
    <row r="310" s="3" customFormat="1" x14ac:dyDescent="0.25"/>
    <row r="311" s="3" customFormat="1" x14ac:dyDescent="0.25"/>
    <row r="312" s="3" customFormat="1" x14ac:dyDescent="0.25"/>
    <row r="313" s="3" customFormat="1" x14ac:dyDescent="0.25"/>
    <row r="314" s="3" customFormat="1" x14ac:dyDescent="0.25"/>
    <row r="315" s="3" customFormat="1" x14ac:dyDescent="0.25"/>
    <row r="316" s="3" customFormat="1" x14ac:dyDescent="0.25"/>
    <row r="317" s="3" customFormat="1" x14ac:dyDescent="0.25"/>
    <row r="318" s="3" customFormat="1" x14ac:dyDescent="0.25"/>
    <row r="319" s="3" customFormat="1" x14ac:dyDescent="0.25"/>
    <row r="320" s="3" customFormat="1" x14ac:dyDescent="0.25"/>
    <row r="321" s="3" customFormat="1" x14ac:dyDescent="0.25"/>
    <row r="322" s="3" customFormat="1" x14ac:dyDescent="0.25"/>
    <row r="323" s="3" customFormat="1" x14ac:dyDescent="0.25"/>
    <row r="324" s="3" customFormat="1" x14ac:dyDescent="0.25"/>
    <row r="325" s="3" customFormat="1" x14ac:dyDescent="0.25"/>
    <row r="326" s="3" customFormat="1" x14ac:dyDescent="0.25"/>
    <row r="327" s="3" customFormat="1" x14ac:dyDescent="0.25"/>
    <row r="328" s="3" customFormat="1" x14ac:dyDescent="0.25"/>
    <row r="329" s="3" customFormat="1" x14ac:dyDescent="0.25"/>
    <row r="330" s="3" customFormat="1" x14ac:dyDescent="0.25"/>
    <row r="331" s="3" customFormat="1" x14ac:dyDescent="0.25"/>
    <row r="332" s="3" customFormat="1" x14ac:dyDescent="0.25"/>
    <row r="333" s="3" customFormat="1" x14ac:dyDescent="0.25"/>
    <row r="334" s="3" customFormat="1" x14ac:dyDescent="0.25"/>
    <row r="335" s="3" customFormat="1" x14ac:dyDescent="0.25"/>
    <row r="336" s="3" customFormat="1" x14ac:dyDescent="0.25"/>
    <row r="337" s="3" customFormat="1" x14ac:dyDescent="0.25"/>
    <row r="338" s="3" customFormat="1" x14ac:dyDescent="0.25"/>
    <row r="339" s="3" customFormat="1" x14ac:dyDescent="0.25"/>
    <row r="340" s="3" customFormat="1" x14ac:dyDescent="0.25"/>
    <row r="341" s="3" customFormat="1" x14ac:dyDescent="0.25"/>
    <row r="342" s="3" customFormat="1" x14ac:dyDescent="0.25"/>
    <row r="343" s="3" customFormat="1" x14ac:dyDescent="0.25"/>
    <row r="344" s="3" customFormat="1" x14ac:dyDescent="0.25"/>
    <row r="345" s="3" customFormat="1" x14ac:dyDescent="0.25"/>
    <row r="346" s="3" customFormat="1" x14ac:dyDescent="0.25"/>
    <row r="347" s="3" customFormat="1" x14ac:dyDescent="0.25"/>
    <row r="348" s="3" customFormat="1" x14ac:dyDescent="0.25"/>
    <row r="349" s="3" customFormat="1" x14ac:dyDescent="0.25"/>
    <row r="350" s="3" customFormat="1" x14ac:dyDescent="0.25"/>
    <row r="351" s="3" customFormat="1" x14ac:dyDescent="0.25"/>
    <row r="352" s="3" customFormat="1" x14ac:dyDescent="0.25"/>
    <row r="353" s="3" customFormat="1" x14ac:dyDescent="0.25"/>
    <row r="354" s="3" customFormat="1" x14ac:dyDescent="0.25"/>
    <row r="355" s="3" customFormat="1" x14ac:dyDescent="0.25"/>
    <row r="356" s="3" customFormat="1" x14ac:dyDescent="0.25"/>
    <row r="357" s="3" customFormat="1" x14ac:dyDescent="0.25"/>
    <row r="358" s="3" customFormat="1" x14ac:dyDescent="0.25"/>
    <row r="359" s="3" customFormat="1" x14ac:dyDescent="0.25"/>
    <row r="360" s="3" customFormat="1" x14ac:dyDescent="0.25"/>
    <row r="361" s="3" customFormat="1" x14ac:dyDescent="0.25"/>
    <row r="362" s="3" customFormat="1" x14ac:dyDescent="0.25"/>
    <row r="363" s="3" customFormat="1" x14ac:dyDescent="0.25"/>
    <row r="364" s="3" customFormat="1" x14ac:dyDescent="0.25"/>
    <row r="365" s="3" customFormat="1" x14ac:dyDescent="0.25"/>
    <row r="366" s="3" customFormat="1" x14ac:dyDescent="0.25"/>
    <row r="367" s="3" customFormat="1" x14ac:dyDescent="0.25"/>
    <row r="368" s="3" customFormat="1" x14ac:dyDescent="0.25"/>
    <row r="369" s="3" customFormat="1" x14ac:dyDescent="0.25"/>
    <row r="370" s="3" customFormat="1" x14ac:dyDescent="0.25"/>
    <row r="371" s="3" customFormat="1" x14ac:dyDescent="0.25"/>
    <row r="372" s="3" customFormat="1" x14ac:dyDescent="0.25"/>
    <row r="373" s="3" customFormat="1" x14ac:dyDescent="0.25"/>
    <row r="374" s="3" customFormat="1" x14ac:dyDescent="0.25"/>
    <row r="375" s="3" customFormat="1" x14ac:dyDescent="0.25"/>
    <row r="376" s="3" customFormat="1" x14ac:dyDescent="0.25"/>
    <row r="377" s="3" customFormat="1" x14ac:dyDescent="0.25"/>
    <row r="378" s="3" customFormat="1" x14ac:dyDescent="0.25"/>
    <row r="379" s="3" customFormat="1" x14ac:dyDescent="0.25"/>
    <row r="380" s="3" customFormat="1" x14ac:dyDescent="0.25"/>
    <row r="381" s="3" customFormat="1" x14ac:dyDescent="0.25"/>
    <row r="382" s="3" customFormat="1" x14ac:dyDescent="0.25"/>
    <row r="383" s="3" customFormat="1" x14ac:dyDescent="0.25"/>
    <row r="384" s="3" customFormat="1" x14ac:dyDescent="0.25"/>
    <row r="385" s="3" customFormat="1" x14ac:dyDescent="0.25"/>
    <row r="386" s="3" customFormat="1" x14ac:dyDescent="0.25"/>
    <row r="387" s="3" customFormat="1" x14ac:dyDescent="0.25"/>
    <row r="388" s="3" customFormat="1" x14ac:dyDescent="0.25"/>
    <row r="389" s="3" customFormat="1" x14ac:dyDescent="0.25"/>
    <row r="390" s="3" customFormat="1" x14ac:dyDescent="0.25"/>
    <row r="391" s="3" customFormat="1" x14ac:dyDescent="0.25"/>
    <row r="392" s="3" customFormat="1" x14ac:dyDescent="0.25"/>
    <row r="393" s="3" customFormat="1" x14ac:dyDescent="0.25"/>
    <row r="394" s="3" customFormat="1" x14ac:dyDescent="0.25"/>
    <row r="395" s="3" customFormat="1" x14ac:dyDescent="0.25"/>
    <row r="396" s="3" customFormat="1" x14ac:dyDescent="0.25"/>
    <row r="397" s="3" customFormat="1" x14ac:dyDescent="0.25"/>
    <row r="398" s="3" customFormat="1" x14ac:dyDescent="0.25"/>
    <row r="399" s="3" customFormat="1" x14ac:dyDescent="0.25"/>
    <row r="400" s="3" customFormat="1" x14ac:dyDescent="0.25"/>
    <row r="401" s="3" customFormat="1" x14ac:dyDescent="0.25"/>
    <row r="402" s="3" customFormat="1" x14ac:dyDescent="0.25"/>
    <row r="403" s="3" customFormat="1" x14ac:dyDescent="0.25"/>
    <row r="404" s="3" customFormat="1" x14ac:dyDescent="0.25"/>
    <row r="405" s="3" customFormat="1" x14ac:dyDescent="0.25"/>
    <row r="406" s="3" customFormat="1" x14ac:dyDescent="0.25"/>
    <row r="407" s="3" customFormat="1" x14ac:dyDescent="0.25"/>
    <row r="408" s="3" customFormat="1" x14ac:dyDescent="0.25"/>
    <row r="409" s="3" customFormat="1" x14ac:dyDescent="0.25"/>
    <row r="410" s="3" customFormat="1" x14ac:dyDescent="0.25"/>
    <row r="411" s="3" customFormat="1" x14ac:dyDescent="0.25"/>
    <row r="412" s="3" customFormat="1" x14ac:dyDescent="0.25"/>
    <row r="413" s="3" customFormat="1" x14ac:dyDescent="0.25"/>
    <row r="414" s="3" customFormat="1" x14ac:dyDescent="0.25"/>
    <row r="415" s="3" customFormat="1" x14ac:dyDescent="0.25"/>
    <row r="416" s="3" customFormat="1" x14ac:dyDescent="0.25"/>
    <row r="417" s="3" customFormat="1" x14ac:dyDescent="0.25"/>
    <row r="418" s="3" customFormat="1" x14ac:dyDescent="0.25"/>
    <row r="419" s="3" customFormat="1" x14ac:dyDescent="0.25"/>
    <row r="420" s="3" customFormat="1" x14ac:dyDescent="0.25"/>
    <row r="421" s="3" customFormat="1" x14ac:dyDescent="0.25"/>
    <row r="422" s="3" customFormat="1" x14ac:dyDescent="0.25"/>
    <row r="423" s="3" customFormat="1" x14ac:dyDescent="0.25"/>
    <row r="424" s="3" customFormat="1" x14ac:dyDescent="0.25"/>
    <row r="425" s="3" customFormat="1" x14ac:dyDescent="0.25"/>
    <row r="426" s="3" customFormat="1" x14ac:dyDescent="0.25"/>
    <row r="427" s="3" customFormat="1" x14ac:dyDescent="0.25"/>
    <row r="428" s="3" customFormat="1" x14ac:dyDescent="0.25"/>
    <row r="429" s="3" customFormat="1" x14ac:dyDescent="0.25"/>
    <row r="430" s="3" customFormat="1" x14ac:dyDescent="0.25"/>
    <row r="431" s="3" customFormat="1" x14ac:dyDescent="0.25"/>
    <row r="432" s="3" customFormat="1" x14ac:dyDescent="0.25"/>
    <row r="433" s="3" customFormat="1" x14ac:dyDescent="0.25"/>
    <row r="434" s="3" customFormat="1" x14ac:dyDescent="0.25"/>
    <row r="435" s="3" customFormat="1" x14ac:dyDescent="0.25"/>
    <row r="436" s="3" customFormat="1" x14ac:dyDescent="0.25"/>
    <row r="437" s="3" customFormat="1" x14ac:dyDescent="0.25"/>
    <row r="438" s="3" customFormat="1" x14ac:dyDescent="0.25"/>
    <row r="439" s="3" customFormat="1" x14ac:dyDescent="0.25"/>
    <row r="440" s="3" customFormat="1" x14ac:dyDescent="0.25"/>
    <row r="441" s="3" customFormat="1" x14ac:dyDescent="0.25"/>
    <row r="442" s="3" customFormat="1" x14ac:dyDescent="0.25"/>
    <row r="443" s="3" customFormat="1" x14ac:dyDescent="0.25"/>
    <row r="444" s="3" customFormat="1" x14ac:dyDescent="0.25"/>
    <row r="445" s="3" customFormat="1" x14ac:dyDescent="0.25"/>
    <row r="446" s="3" customFormat="1" x14ac:dyDescent="0.25"/>
    <row r="447" s="3" customFormat="1" x14ac:dyDescent="0.25"/>
    <row r="448" s="3" customFormat="1" x14ac:dyDescent="0.25"/>
    <row r="449" s="3" customFormat="1" x14ac:dyDescent="0.25"/>
    <row r="450" s="3" customFormat="1" x14ac:dyDescent="0.25"/>
    <row r="451" s="3" customFormat="1" x14ac:dyDescent="0.25"/>
    <row r="452" s="3" customFormat="1" x14ac:dyDescent="0.25"/>
    <row r="453" s="3" customFormat="1" x14ac:dyDescent="0.25"/>
    <row r="454" s="3" customFormat="1" x14ac:dyDescent="0.25"/>
    <row r="455" s="3" customFormat="1" x14ac:dyDescent="0.25"/>
    <row r="456" s="3" customFormat="1" x14ac:dyDescent="0.25"/>
    <row r="457" s="3" customFormat="1" x14ac:dyDescent="0.25"/>
    <row r="458" s="3" customFormat="1" x14ac:dyDescent="0.25"/>
    <row r="459" s="3" customFormat="1" x14ac:dyDescent="0.25"/>
    <row r="460" s="3" customFormat="1" x14ac:dyDescent="0.25"/>
    <row r="461" s="3" customFormat="1" x14ac:dyDescent="0.25"/>
    <row r="462" s="3" customFormat="1" x14ac:dyDescent="0.25"/>
    <row r="463" s="3" customFormat="1" x14ac:dyDescent="0.25"/>
    <row r="464" s="3" customFormat="1" x14ac:dyDescent="0.25"/>
    <row r="465" s="3" customFormat="1" x14ac:dyDescent="0.25"/>
    <row r="466" s="3" customFormat="1" x14ac:dyDescent="0.25"/>
    <row r="467" s="3" customFormat="1" x14ac:dyDescent="0.25"/>
    <row r="468" s="3" customFormat="1" x14ac:dyDescent="0.25"/>
    <row r="469" s="3" customFormat="1" x14ac:dyDescent="0.25"/>
    <row r="470" s="3" customFormat="1" x14ac:dyDescent="0.25"/>
    <row r="471" s="3" customFormat="1" x14ac:dyDescent="0.25"/>
    <row r="472" s="3" customFormat="1" x14ac:dyDescent="0.25"/>
    <row r="473" s="3" customFormat="1" x14ac:dyDescent="0.25"/>
    <row r="474" s="3" customFormat="1" x14ac:dyDescent="0.25"/>
    <row r="475" s="3" customFormat="1" x14ac:dyDescent="0.25"/>
    <row r="476" s="3" customFormat="1" x14ac:dyDescent="0.25"/>
    <row r="477" s="3" customFormat="1" x14ac:dyDescent="0.25"/>
    <row r="478" s="3" customFormat="1" x14ac:dyDescent="0.25"/>
    <row r="479" s="3" customFormat="1" x14ac:dyDescent="0.25"/>
    <row r="480" s="3" customFormat="1" x14ac:dyDescent="0.25"/>
    <row r="481" s="3" customFormat="1" x14ac:dyDescent="0.25"/>
    <row r="482" s="3" customFormat="1" x14ac:dyDescent="0.25"/>
    <row r="483" s="3" customFormat="1" x14ac:dyDescent="0.25"/>
    <row r="484" s="3" customFormat="1" x14ac:dyDescent="0.25"/>
    <row r="485" s="3" customFormat="1" x14ac:dyDescent="0.25"/>
    <row r="486" s="3" customFormat="1" x14ac:dyDescent="0.25"/>
    <row r="487" s="3" customFormat="1" x14ac:dyDescent="0.25"/>
    <row r="488" s="3" customFormat="1" x14ac:dyDescent="0.25"/>
    <row r="489" s="3" customFormat="1" x14ac:dyDescent="0.25"/>
    <row r="490" s="3" customFormat="1" x14ac:dyDescent="0.25"/>
    <row r="491" s="3" customFormat="1" x14ac:dyDescent="0.25"/>
    <row r="492" s="3" customFormat="1" x14ac:dyDescent="0.25"/>
    <row r="493" s="3" customFormat="1" x14ac:dyDescent="0.25"/>
    <row r="494" s="3" customFormat="1" x14ac:dyDescent="0.25"/>
    <row r="495" s="3" customFormat="1" x14ac:dyDescent="0.25"/>
    <row r="496" s="3" customFormat="1" x14ac:dyDescent="0.25"/>
    <row r="497" s="3" customFormat="1" x14ac:dyDescent="0.25"/>
    <row r="498" s="3" customFormat="1" x14ac:dyDescent="0.25"/>
    <row r="499" s="3" customFormat="1" x14ac:dyDescent="0.25"/>
    <row r="500" s="3" customFormat="1" x14ac:dyDescent="0.25"/>
    <row r="501" s="3" customFormat="1" x14ac:dyDescent="0.25"/>
    <row r="502" s="3" customFormat="1" x14ac:dyDescent="0.25"/>
    <row r="503" s="3" customFormat="1" x14ac:dyDescent="0.25"/>
    <row r="504" s="3" customFormat="1" x14ac:dyDescent="0.25"/>
    <row r="505" s="3" customFormat="1" x14ac:dyDescent="0.25"/>
    <row r="506" s="3" customFormat="1" x14ac:dyDescent="0.25"/>
    <row r="507" s="3" customFormat="1" x14ac:dyDescent="0.25"/>
    <row r="508" s="3" customFormat="1" x14ac:dyDescent="0.25"/>
    <row r="509" s="3" customFormat="1" x14ac:dyDescent="0.25"/>
    <row r="510" s="3" customFormat="1" x14ac:dyDescent="0.25"/>
    <row r="511" s="3" customFormat="1" x14ac:dyDescent="0.25"/>
    <row r="512" s="3" customFormat="1" x14ac:dyDescent="0.25"/>
    <row r="513" s="3" customFormat="1" x14ac:dyDescent="0.25"/>
    <row r="514" s="3" customFormat="1" x14ac:dyDescent="0.25"/>
    <row r="515" s="3" customFormat="1" x14ac:dyDescent="0.25"/>
    <row r="516" s="3" customFormat="1" x14ac:dyDescent="0.25"/>
    <row r="517" s="3" customFormat="1" x14ac:dyDescent="0.25"/>
    <row r="518" s="3" customFormat="1" x14ac:dyDescent="0.25"/>
    <row r="519" s="3" customFormat="1" x14ac:dyDescent="0.25"/>
    <row r="520" s="3" customFormat="1" x14ac:dyDescent="0.25"/>
    <row r="521" s="3" customFormat="1" x14ac:dyDescent="0.25"/>
    <row r="522" s="3" customFormat="1" x14ac:dyDescent="0.25"/>
    <row r="523" s="3" customFormat="1" x14ac:dyDescent="0.25"/>
    <row r="524" s="3" customFormat="1" x14ac:dyDescent="0.25"/>
  </sheetData>
  <mergeCells count="6">
    <mergeCell ref="B45:B51"/>
    <mergeCell ref="B7:B9"/>
    <mergeCell ref="B10:B18"/>
    <mergeCell ref="B19:B25"/>
    <mergeCell ref="B33:B35"/>
    <mergeCell ref="B36:B44"/>
  </mergeCells>
  <pageMargins left="0.7" right="0.7" top="0.75" bottom="0.75" header="0.3" footer="0.3"/>
  <ignoredErrors>
    <ignoredError sqref="F10:W10 E19:W19 E10" formula="1"/>
  </ignoredError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3">
    <tabColor rgb="FF0070C0"/>
  </sheetPr>
  <dimension ref="A1:AE860"/>
  <sheetViews>
    <sheetView topLeftCell="B61" zoomScale="70" zoomScaleNormal="70" workbookViewId="0">
      <selection activeCell="M92" sqref="M92"/>
    </sheetView>
  </sheetViews>
  <sheetFormatPr baseColWidth="10" defaultRowHeight="15" x14ac:dyDescent="0.25"/>
  <cols>
    <col min="1" max="2" width="11.42578125" style="3"/>
    <col min="3" max="3" width="30.85546875" customWidth="1"/>
    <col min="4" max="4" width="25.28515625" hidden="1" customWidth="1"/>
    <col min="5" max="5" width="24" hidden="1" customWidth="1"/>
    <col min="6" max="6" width="25.42578125" hidden="1" customWidth="1"/>
    <col min="7" max="7" width="24.5703125" hidden="1" customWidth="1"/>
    <col min="8" max="8" width="12.28515625" customWidth="1"/>
    <col min="9" max="9" width="14" customWidth="1"/>
    <col min="11" max="12" width="11.42578125" customWidth="1"/>
    <col min="14" max="14" width="24.85546875" style="3" customWidth="1"/>
    <col min="20" max="20" width="11.42578125" style="3"/>
    <col min="21" max="21" width="37.28515625" customWidth="1"/>
    <col min="22" max="22" width="25.28515625" hidden="1" customWidth="1"/>
    <col min="23" max="23" width="24" hidden="1" customWidth="1"/>
    <col min="24" max="24" width="25.42578125" hidden="1" customWidth="1"/>
    <col min="25" max="25" width="24.5703125" hidden="1" customWidth="1"/>
    <col min="26" max="26" width="15.7109375" customWidth="1"/>
    <col min="27" max="27" width="14" customWidth="1"/>
    <col min="31" max="31" width="11.42578125" style="3"/>
  </cols>
  <sheetData>
    <row r="1" spans="1:30" ht="28.5" x14ac:dyDescent="0.45">
      <c r="A1" s="171" t="s">
        <v>98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O1" s="3"/>
      <c r="P1" s="3"/>
      <c r="Q1" s="3"/>
      <c r="R1" s="3"/>
      <c r="S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spans="1:30" x14ac:dyDescent="0.25">
      <c r="B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O2" s="3"/>
      <c r="P2" s="3"/>
      <c r="Q2" s="3"/>
      <c r="R2" s="3"/>
      <c r="S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spans="1:30" ht="23.25" x14ac:dyDescent="0.35">
      <c r="A3" s="1" t="s">
        <v>82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O3" s="3"/>
      <c r="P3" s="3"/>
      <c r="Q3" s="3"/>
      <c r="R3" s="41"/>
      <c r="S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spans="1:30" ht="23.25" x14ac:dyDescent="0.35">
      <c r="A4" s="161" t="str">
        <f>Résultats!B1</f>
        <v>SNBC3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O4" s="3"/>
      <c r="P4" s="3"/>
      <c r="Q4" s="3"/>
      <c r="R4" s="41"/>
      <c r="S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spans="1:30" ht="23.25" x14ac:dyDescent="0.35">
      <c r="A5" s="1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O5" s="3"/>
      <c r="P5" s="3"/>
      <c r="Q5" s="3"/>
      <c r="R5" s="41"/>
      <c r="S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spans="1:30" ht="18.75" x14ac:dyDescent="0.3">
      <c r="B6" s="42"/>
      <c r="C6" s="42"/>
      <c r="D6" s="42"/>
      <c r="E6" s="42"/>
      <c r="F6" s="42"/>
      <c r="G6" s="42"/>
      <c r="H6" s="42"/>
      <c r="I6" s="42"/>
      <c r="J6" s="3"/>
      <c r="K6" s="3"/>
      <c r="M6" s="3"/>
      <c r="O6" s="3"/>
      <c r="P6" s="3"/>
      <c r="Q6" s="3"/>
      <c r="R6" s="41"/>
      <c r="S6" s="41"/>
      <c r="T6" s="42"/>
      <c r="U6" s="42"/>
      <c r="V6" s="42"/>
      <c r="W6" s="42"/>
      <c r="X6" s="42"/>
      <c r="Y6" s="42"/>
      <c r="Z6" s="42"/>
      <c r="AA6" s="42"/>
      <c r="AB6" s="3"/>
      <c r="AC6" s="3"/>
    </row>
    <row r="7" spans="1:30" ht="18.75" x14ac:dyDescent="0.3">
      <c r="C7" s="41" t="s">
        <v>83</v>
      </c>
      <c r="I7" s="3"/>
      <c r="J7" s="3"/>
      <c r="K7" s="3"/>
      <c r="L7" s="3"/>
      <c r="M7" s="3"/>
      <c r="N7" s="41" t="s">
        <v>84</v>
      </c>
      <c r="O7" s="3"/>
      <c r="P7" s="3"/>
      <c r="Q7" s="3"/>
      <c r="R7" s="3"/>
      <c r="S7" s="3"/>
      <c r="U7" s="41" t="s">
        <v>83</v>
      </c>
      <c r="AA7" s="3"/>
      <c r="AB7" s="3"/>
      <c r="AC7" s="3"/>
      <c r="AD7" s="3"/>
    </row>
    <row r="8" spans="1:30" ht="23.25" x14ac:dyDescent="0.35">
      <c r="B8" s="46"/>
      <c r="C8" s="42" t="s">
        <v>50</v>
      </c>
      <c r="D8" s="3"/>
      <c r="E8" s="42"/>
      <c r="F8" s="42"/>
      <c r="G8" s="42"/>
      <c r="H8" s="42"/>
      <c r="I8" s="42"/>
      <c r="J8" s="42"/>
      <c r="K8" s="42"/>
      <c r="L8" s="3"/>
      <c r="M8" s="3"/>
      <c r="N8" t="s">
        <v>85</v>
      </c>
      <c r="U8" s="42" t="s">
        <v>50</v>
      </c>
      <c r="V8" s="3"/>
      <c r="W8" s="42"/>
      <c r="X8" s="42"/>
      <c r="Y8" s="42"/>
      <c r="Z8" s="42"/>
      <c r="AA8" s="42"/>
      <c r="AB8" s="42"/>
      <c r="AC8" s="42"/>
      <c r="AD8" s="3"/>
    </row>
    <row r="9" spans="1:30" x14ac:dyDescent="0.25">
      <c r="B9" s="42"/>
      <c r="C9" s="3"/>
      <c r="D9" s="3"/>
      <c r="E9" s="3"/>
      <c r="F9" s="3"/>
      <c r="G9" s="3"/>
      <c r="H9" s="42"/>
      <c r="I9" s="42"/>
      <c r="J9" s="42"/>
      <c r="K9" s="42"/>
      <c r="L9" s="3"/>
      <c r="M9" s="3"/>
      <c r="O9" s="3"/>
      <c r="P9" s="3"/>
      <c r="Q9" s="3"/>
      <c r="R9" s="3"/>
      <c r="S9" s="3"/>
      <c r="U9" s="3"/>
      <c r="V9" s="3"/>
      <c r="W9" s="3"/>
      <c r="X9" s="3"/>
      <c r="Y9" s="3"/>
      <c r="Z9" s="42"/>
      <c r="AA9" s="42"/>
      <c r="AB9" s="42"/>
      <c r="AC9" s="42"/>
      <c r="AD9" s="3"/>
    </row>
    <row r="10" spans="1:30" ht="31.5" x14ac:dyDescent="0.35">
      <c r="B10" s="42"/>
      <c r="C10" s="145">
        <v>2015</v>
      </c>
      <c r="D10" s="146"/>
      <c r="E10" s="146"/>
      <c r="F10" s="146"/>
      <c r="G10" s="146"/>
      <c r="H10" s="76" t="s">
        <v>36</v>
      </c>
      <c r="I10" s="76" t="s">
        <v>49</v>
      </c>
      <c r="J10" s="76" t="s">
        <v>38</v>
      </c>
      <c r="K10" s="76" t="s">
        <v>48</v>
      </c>
      <c r="L10" s="93" t="s">
        <v>1</v>
      </c>
      <c r="M10" s="19"/>
      <c r="N10" s="145">
        <v>2015</v>
      </c>
      <c r="O10" s="141" t="s">
        <v>36</v>
      </c>
      <c r="P10" s="76" t="s">
        <v>49</v>
      </c>
      <c r="Q10" s="76" t="s">
        <v>38</v>
      </c>
      <c r="R10" s="76" t="s">
        <v>48</v>
      </c>
      <c r="S10" s="93" t="s">
        <v>1</v>
      </c>
      <c r="T10" s="317" t="s">
        <v>543</v>
      </c>
      <c r="U10" s="145">
        <v>2015</v>
      </c>
      <c r="V10" s="146"/>
      <c r="W10" s="146"/>
      <c r="X10" s="146"/>
      <c r="Y10" s="146"/>
      <c r="Z10" s="76" t="s">
        <v>36</v>
      </c>
      <c r="AA10" s="76" t="s">
        <v>49</v>
      </c>
      <c r="AB10" s="76" t="s">
        <v>38</v>
      </c>
      <c r="AC10" s="76" t="s">
        <v>48</v>
      </c>
      <c r="AD10" s="93" t="s">
        <v>1</v>
      </c>
    </row>
    <row r="11" spans="1:30" x14ac:dyDescent="0.25">
      <c r="C11" s="147" t="s">
        <v>18</v>
      </c>
      <c r="H11" s="8">
        <f>SUM(H12:H13)</f>
        <v>0</v>
      </c>
      <c r="I11" s="8">
        <f>SUM(I12:I13)</f>
        <v>43.161995869999998</v>
      </c>
      <c r="J11" s="8">
        <f>SUM(J12:J13)</f>
        <v>1.2870233845000001</v>
      </c>
      <c r="K11" s="8">
        <f>SUM(K12:K13)</f>
        <v>0.24937945204260001</v>
      </c>
      <c r="L11" s="96">
        <f>SUM(H11:K11)</f>
        <v>44.698398706542598</v>
      </c>
      <c r="M11" s="75"/>
      <c r="N11" s="150" t="s">
        <v>18</v>
      </c>
      <c r="O11" s="29">
        <f>'[2]Bilan 2015'!$X$46</f>
        <v>0</v>
      </c>
      <c r="P11" s="28">
        <f>SUM('[2]Bilan 2015'!$X$41:$X$43)</f>
        <v>42.748696780825377</v>
      </c>
      <c r="Q11" s="28">
        <f>'[2]Bilan 2015'!$X$13</f>
        <v>0.94471195184866696</v>
      </c>
      <c r="R11" s="28">
        <f>('[2]Bilan 2015'!$X$22+'[2]Bilan 2015'!$X$30+SUM('[2]Bilan 2015'!$X$36:$X$40)+SUM('[2]Bilan 2015'!$X$44:$X$45)+'[2]Bilan 2015'!$X$47)</f>
        <v>7.267406707154804E-2</v>
      </c>
      <c r="S11" s="142">
        <f>SUM(O11:R11)</f>
        <v>43.76608279974559</v>
      </c>
      <c r="T11" s="318">
        <f>S11</f>
        <v>43.76608279974559</v>
      </c>
      <c r="U11" s="147" t="s">
        <v>18</v>
      </c>
      <c r="Z11" s="8">
        <v>0</v>
      </c>
      <c r="AA11" s="8">
        <v>43.159550379999999</v>
      </c>
      <c r="AB11" s="8">
        <v>1.2867468161000002</v>
      </c>
      <c r="AC11" s="8">
        <v>0.24934661375279998</v>
      </c>
      <c r="AD11" s="96">
        <v>44.695643809852797</v>
      </c>
    </row>
    <row r="12" spans="1:30" x14ac:dyDescent="0.25">
      <c r="C12" s="148" t="s">
        <v>19</v>
      </c>
      <c r="D12" t="s">
        <v>394</v>
      </c>
      <c r="E12" t="s">
        <v>395</v>
      </c>
      <c r="F12" t="s">
        <v>396</v>
      </c>
      <c r="G12" t="s">
        <v>397</v>
      </c>
      <c r="H12" s="16">
        <f>VLOOKUP(D12,Résultats!$B$2:$AX$476,'T energie vecteurs'!F5,FALSE)</f>
        <v>0</v>
      </c>
      <c r="I12" s="16">
        <f>VLOOKUP(E12,Résultats!$B$2:$AX$476,'T energie vecteurs'!F5,FALSE)</f>
        <v>24.199172430000001</v>
      </c>
      <c r="J12" s="16">
        <f>VLOOKUP(F12,Résultats!$B$2:$AX$476,'T energie vecteurs'!F5,FALSE)</f>
        <v>1.8184398500000001E-2</v>
      </c>
      <c r="K12" s="16">
        <f>VLOOKUP(G12,Résultats!$B$2:$AX$476,'T energie vecteurs'!F5,FALSE)</f>
        <v>1.06100426E-5</v>
      </c>
      <c r="L12" s="95">
        <f t="shared" ref="L12:L19" si="0">SUM(H12:K12)</f>
        <v>24.217367438542603</v>
      </c>
      <c r="M12" s="16"/>
      <c r="N12" s="148" t="s">
        <v>19</v>
      </c>
      <c r="O12" s="143"/>
      <c r="P12" s="16"/>
      <c r="Q12" s="34"/>
      <c r="R12" s="16"/>
      <c r="S12" s="95"/>
      <c r="T12" s="95"/>
      <c r="U12" s="148" t="s">
        <v>19</v>
      </c>
      <c r="V12" t="s">
        <v>394</v>
      </c>
      <c r="W12" t="s">
        <v>395</v>
      </c>
      <c r="X12" t="s">
        <v>396</v>
      </c>
      <c r="Y12" t="s">
        <v>397</v>
      </c>
      <c r="Z12" s="16">
        <v>0</v>
      </c>
      <c r="AA12" s="16">
        <v>24.198347609999999</v>
      </c>
      <c r="AB12" s="16">
        <v>1.8187780099999998E-2</v>
      </c>
      <c r="AC12" s="16">
        <v>1.06309528E-5</v>
      </c>
      <c r="AD12" s="95">
        <v>24.2165460210528</v>
      </c>
    </row>
    <row r="13" spans="1:30" x14ac:dyDescent="0.25">
      <c r="C13" s="149" t="s">
        <v>20</v>
      </c>
      <c r="D13" t="s">
        <v>398</v>
      </c>
      <c r="E13" t="s">
        <v>399</v>
      </c>
      <c r="F13" t="s">
        <v>400</v>
      </c>
      <c r="G13" t="s">
        <v>401</v>
      </c>
      <c r="H13" s="16">
        <f>VLOOKUP(D13,Résultats!$B$2:$AX$476,'T energie vecteurs'!F5,FALSE)</f>
        <v>0</v>
      </c>
      <c r="I13" s="16">
        <f>VLOOKUP(E13,Résultats!$B$2:$AX$476,'T energie vecteurs'!F5,FALSE)</f>
        <v>18.962823440000001</v>
      </c>
      <c r="J13" s="16">
        <f>VLOOKUP(F13,Résultats!$B$2:$AX$476,'T energie vecteurs'!F5,FALSE)</f>
        <v>1.268838986</v>
      </c>
      <c r="K13" s="16">
        <f>VLOOKUP(G13,Résultats!$B$2:$AX$476,'T energie vecteurs'!F5,FALSE)</f>
        <v>0.24936884200000001</v>
      </c>
      <c r="L13" s="95">
        <f t="shared" si="0"/>
        <v>20.481031267999999</v>
      </c>
      <c r="M13" s="16"/>
      <c r="N13" s="149" t="s">
        <v>20</v>
      </c>
      <c r="O13" s="143"/>
      <c r="P13" s="16"/>
      <c r="Q13" s="34"/>
      <c r="R13" s="16"/>
      <c r="S13" s="95"/>
      <c r="T13" s="95"/>
      <c r="U13" s="149" t="s">
        <v>20</v>
      </c>
      <c r="V13" t="s">
        <v>398</v>
      </c>
      <c r="W13" t="s">
        <v>399</v>
      </c>
      <c r="X13" t="s">
        <v>400</v>
      </c>
      <c r="Y13" t="s">
        <v>401</v>
      </c>
      <c r="Z13" s="16">
        <v>0</v>
      </c>
      <c r="AA13" s="16">
        <v>18.96120277</v>
      </c>
      <c r="AB13" s="16">
        <v>1.2685590360000001</v>
      </c>
      <c r="AC13" s="16">
        <v>0.24933598279999999</v>
      </c>
      <c r="AD13" s="95">
        <v>20.479097788800001</v>
      </c>
    </row>
    <row r="14" spans="1:30" x14ac:dyDescent="0.25">
      <c r="C14" s="147" t="s">
        <v>21</v>
      </c>
      <c r="D14" t="s">
        <v>402</v>
      </c>
      <c r="E14" t="s">
        <v>403</v>
      </c>
      <c r="F14" t="s">
        <v>404</v>
      </c>
      <c r="G14" t="s">
        <v>405</v>
      </c>
      <c r="H14" s="8">
        <f>VLOOKUP(D14,Résultats!$B$2:$AX$476,'T energie vecteurs'!F5,FALSE)</f>
        <v>0.33140152020000002</v>
      </c>
      <c r="I14" s="8">
        <f>VLOOKUP(E14,Résultats!$B$2:$AX$476,'T energie vecteurs'!F5,FALSE)</f>
        <v>7.2407211670000002</v>
      </c>
      <c r="J14" s="8">
        <f>VLOOKUP(F14,Résultats!$B$2:$AX$476,'T energie vecteurs'!F5,FALSE)</f>
        <v>13.752200009999999</v>
      </c>
      <c r="K14" s="8">
        <f>VLOOKUP(G14,Résultats!$B$2:$AX$476,'T energie vecteurs'!F5,FALSE)+2</f>
        <v>19.706069859999999</v>
      </c>
      <c r="L14" s="96">
        <f>SUM(H14:K14)</f>
        <v>41.030392557200003</v>
      </c>
      <c r="M14" s="75"/>
      <c r="N14" s="150" t="s">
        <v>21</v>
      </c>
      <c r="O14" s="29">
        <f>'[2]Bilan 2015'!$V$46</f>
        <v>3.6764196608413298E-2</v>
      </c>
      <c r="P14" s="28">
        <f>SUM('[2]Bilan 2015'!$V$41:$V$43)</f>
        <v>6.6752954110546101</v>
      </c>
      <c r="Q14" s="28">
        <f>'[2]Bilan 2015'!$V$13</f>
        <v>13.6203670581426</v>
      </c>
      <c r="R14" s="28">
        <f>('[2]Bilan 2015'!$V$22+'[2]Bilan 2015'!$V$30+SUM('[2]Bilan 2015'!$V$36:$V$40)+SUM('[2]Bilan 2015'!$V$44:$V$45)+'[2]Bilan 2015'!$V$47)</f>
        <v>21.832863706323721</v>
      </c>
      <c r="S14" s="142">
        <f>SUM(O14:R14)</f>
        <v>42.165290372129348</v>
      </c>
      <c r="T14" s="318">
        <f>S14-'[2]Bilan 2015'!$V$40</f>
        <v>39.648468942279031</v>
      </c>
      <c r="U14" s="147" t="s">
        <v>21</v>
      </c>
      <c r="V14" t="s">
        <v>402</v>
      </c>
      <c r="W14" t="s">
        <v>403</v>
      </c>
      <c r="X14" t="s">
        <v>404</v>
      </c>
      <c r="Y14" t="s">
        <v>405</v>
      </c>
      <c r="Z14" s="8">
        <v>0.33135185830000002</v>
      </c>
      <c r="AA14" s="8">
        <v>7.2415499370000003</v>
      </c>
      <c r="AB14" s="8">
        <v>13.75064688</v>
      </c>
      <c r="AC14" s="8">
        <v>19.702249729999998</v>
      </c>
      <c r="AD14" s="96">
        <v>41.025798405299994</v>
      </c>
    </row>
    <row r="15" spans="1:30" x14ac:dyDescent="0.25">
      <c r="C15" s="147" t="s">
        <v>22</v>
      </c>
      <c r="D15" t="s">
        <v>406</v>
      </c>
      <c r="E15" t="s">
        <v>407</v>
      </c>
      <c r="F15" t="s">
        <v>408</v>
      </c>
      <c r="G15" t="s">
        <v>409</v>
      </c>
      <c r="H15" s="8">
        <f>VLOOKUP(D15,Résultats!$B$2:$AX$476,'T energie vecteurs'!F5,FALSE)</f>
        <v>0</v>
      </c>
      <c r="I15" s="8">
        <f>VLOOKUP(E15,Résultats!$B$2:$AX$476,'T energie vecteurs'!F5,FALSE)</f>
        <v>3.7806868680000001</v>
      </c>
      <c r="J15" s="8">
        <f>VLOOKUP(F15,Résultats!$B$2:$AX$476,'T energie vecteurs'!F5,FALSE)</f>
        <v>11.577119919999999</v>
      </c>
      <c r="K15" s="8">
        <f>VLOOKUP(G15,Résultats!$B$2:$AX$476,'T energie vecteurs'!F5,FALSE)</f>
        <v>9.1415614349999998</v>
      </c>
      <c r="L15" s="96">
        <f t="shared" si="0"/>
        <v>24.499368222999998</v>
      </c>
      <c r="M15" s="75"/>
      <c r="N15" s="150" t="s">
        <v>22</v>
      </c>
      <c r="O15" s="29">
        <f>'[2]Bilan 2015'!$W$46</f>
        <v>4.3073392295861899E-2</v>
      </c>
      <c r="P15" s="28">
        <f>SUM('[2]Bilan 2015'!$W$41:$W$43)</f>
        <v>3.01546564464017</v>
      </c>
      <c r="Q15" s="28">
        <f>'[2]Bilan 2015'!$W$13</f>
        <v>12.701365476499801</v>
      </c>
      <c r="R15" s="28">
        <f>('[2]Bilan 2015'!$W$22+'[2]Bilan 2015'!$W$30+SUM('[2]Bilan 2015'!$W$36:$W$40)+SUM('[2]Bilan 2015'!$W$44:$W$45)+'[2]Bilan 2015'!$W$47)</f>
        <v>8.7461122445901367</v>
      </c>
      <c r="S15" s="142">
        <f t="shared" ref="S15:S19" si="1">SUM(O15:R15)</f>
        <v>24.506016758025968</v>
      </c>
      <c r="T15" s="318">
        <f>S15-'[2]Bilan 2015'!$W$40</f>
        <v>24.067510417302429</v>
      </c>
      <c r="U15" s="147" t="s">
        <v>22</v>
      </c>
      <c r="V15" t="s">
        <v>406</v>
      </c>
      <c r="W15" t="s">
        <v>407</v>
      </c>
      <c r="X15" t="s">
        <v>408</v>
      </c>
      <c r="Y15" t="s">
        <v>409</v>
      </c>
      <c r="Z15" s="8">
        <v>0</v>
      </c>
      <c r="AA15" s="8">
        <v>3.781346439</v>
      </c>
      <c r="AB15" s="8">
        <v>11.57522413</v>
      </c>
      <c r="AC15" s="8">
        <v>9.1357402780000001</v>
      </c>
      <c r="AD15" s="96">
        <v>24.492310846999999</v>
      </c>
    </row>
    <row r="16" spans="1:30" x14ac:dyDescent="0.25">
      <c r="C16" s="147" t="s">
        <v>490</v>
      </c>
      <c r="H16" s="8">
        <f>SUM(H17:H18)</f>
        <v>5.0055986214000008</v>
      </c>
      <c r="I16" s="8">
        <f t="shared" ref="I16:K16" si="2">SUM(I17:I18)</f>
        <v>16.792239901999999</v>
      </c>
      <c r="J16" s="8">
        <f t="shared" si="2"/>
        <v>10.966752</v>
      </c>
      <c r="K16" s="8">
        <f t="shared" si="2"/>
        <v>14.332733426000001</v>
      </c>
      <c r="L16" s="96">
        <f>SUM(H16:K16)</f>
        <v>47.097323949400007</v>
      </c>
      <c r="M16" s="75"/>
      <c r="N16" s="150" t="s">
        <v>490</v>
      </c>
      <c r="O16" s="29">
        <f>O17+O18</f>
        <v>4.2636280705371687</v>
      </c>
      <c r="P16" s="28">
        <f t="shared" ref="P16:R16" si="3">P17+P18</f>
        <v>14.865720748941945</v>
      </c>
      <c r="Q16" s="28">
        <f t="shared" si="3"/>
        <v>10.069552160228</v>
      </c>
      <c r="R16" s="28">
        <f t="shared" si="3"/>
        <v>13.756399814544654</v>
      </c>
      <c r="S16" s="142">
        <f t="shared" si="1"/>
        <v>42.95530079425177</v>
      </c>
      <c r="T16" s="318">
        <f t="shared" ref="T16" si="4">S16</f>
        <v>42.95530079425177</v>
      </c>
      <c r="U16" s="147" t="s">
        <v>490</v>
      </c>
      <c r="Z16" s="8">
        <v>5.0051719447999998</v>
      </c>
      <c r="AA16" s="8">
        <v>16.790367442000001</v>
      </c>
      <c r="AB16" s="8">
        <v>10.963478520000001</v>
      </c>
      <c r="AC16" s="8">
        <v>14.329332126999999</v>
      </c>
      <c r="AD16" s="96">
        <v>47.088350033800005</v>
      </c>
    </row>
    <row r="17" spans="2:30" x14ac:dyDescent="0.25">
      <c r="C17" s="149" t="s">
        <v>24</v>
      </c>
      <c r="D17" t="s">
        <v>410</v>
      </c>
      <c r="E17" t="s">
        <v>411</v>
      </c>
      <c r="F17" t="s">
        <v>412</v>
      </c>
      <c r="G17" t="s">
        <v>413</v>
      </c>
      <c r="H17" s="16">
        <f>VLOOKUP(D17,Résultats!$B$2:$AX$476,'T energie vecteurs'!F5,FALSE)</f>
        <v>4.0066068560000003</v>
      </c>
      <c r="I17" s="16">
        <f>VLOOKUP(E17,Résultats!$B$2:$AX$476,'T energie vecteurs'!F5,FALSE)</f>
        <v>14.89950777</v>
      </c>
      <c r="J17" s="16">
        <f>VLOOKUP(F17,Résultats!$B$2:$AX$476,'T energie vecteurs'!F5,FALSE)</f>
        <v>10.966752</v>
      </c>
      <c r="K17" s="16">
        <f>VLOOKUP(G17,Résultats!$B$2:$AX$476,'T energie vecteurs'!F5,FALSE)</f>
        <v>12.564611360000001</v>
      </c>
      <c r="L17" s="95">
        <f t="shared" si="0"/>
        <v>42.437477986000005</v>
      </c>
      <c r="M17" s="16"/>
      <c r="N17" s="149" t="s">
        <v>491</v>
      </c>
      <c r="O17" s="143">
        <f>'[2]Bilan 2015'!$U$46</f>
        <v>1.0493092649428299</v>
      </c>
      <c r="P17" s="30">
        <f>SUM('[2]Bilan 2015'!$U$41:$U$43)</f>
        <v>2.4127207489419455</v>
      </c>
      <c r="Q17" s="30">
        <f>'[2]Bilan 2015'!$U$13</f>
        <v>10.069552160228</v>
      </c>
      <c r="R17" s="30">
        <f>('[2]Bilan 2015'!$U$22+'[2]Bilan 2015'!$U$30+SUM('[2]Bilan 2015'!$U$36:$U$40)+SUM('[2]Bilan 2015'!$U$44:$U$45)+'[2]Bilan 2015'!$U$47)</f>
        <v>12.654813573219924</v>
      </c>
      <c r="S17" s="95">
        <f t="shared" si="1"/>
        <v>26.186395747332696</v>
      </c>
      <c r="T17" s="95"/>
      <c r="U17" s="149" t="s">
        <v>24</v>
      </c>
      <c r="V17" t="s">
        <v>410</v>
      </c>
      <c r="W17" t="s">
        <v>411</v>
      </c>
      <c r="X17" t="s">
        <v>412</v>
      </c>
      <c r="Y17" t="s">
        <v>413</v>
      </c>
      <c r="Z17" s="16">
        <v>4.0062869540000001</v>
      </c>
      <c r="AA17" s="16">
        <v>14.89787492</v>
      </c>
      <c r="AB17" s="16">
        <v>10.963478520000001</v>
      </c>
      <c r="AC17" s="16">
        <v>12.561497709999999</v>
      </c>
      <c r="AD17" s="95">
        <v>42.429138103999996</v>
      </c>
    </row>
    <row r="18" spans="2:30" x14ac:dyDescent="0.25">
      <c r="C18" s="149" t="s">
        <v>47</v>
      </c>
      <c r="D18" t="s">
        <v>414</v>
      </c>
      <c r="E18" t="s">
        <v>415</v>
      </c>
      <c r="F18" t="s">
        <v>416</v>
      </c>
      <c r="G18" t="s">
        <v>417</v>
      </c>
      <c r="H18" s="16">
        <f>VLOOKUP(D18,Résultats!$B$2:$AX$476,'T energie vecteurs'!F5,FALSE)</f>
        <v>0.99899176540000001</v>
      </c>
      <c r="I18" s="16">
        <f>VLOOKUP(E18,Résultats!$B$2:$AX$476,'T energie vecteurs'!F5,FALSE)</f>
        <v>1.8927321319999999</v>
      </c>
      <c r="J18" s="16">
        <f>VLOOKUP(F18,Résultats!$B$2:$AX$476,'T energie vecteurs'!F5,FALSE)</f>
        <v>0</v>
      </c>
      <c r="K18" s="16">
        <f>VLOOKUP(G18,Résultats!$B$2:$AX$476,'T energie vecteurs'!F5,FALSE)</f>
        <v>1.7681220660000001</v>
      </c>
      <c r="L18" s="95">
        <f t="shared" si="0"/>
        <v>4.6598459634000005</v>
      </c>
      <c r="M18" s="16"/>
      <c r="N18" s="149" t="s">
        <v>47</v>
      </c>
      <c r="O18" s="22">
        <f>'[2]Bilan 2015'!$E$52</f>
        <v>3.2143188055943388</v>
      </c>
      <c r="P18" s="16">
        <f>('[2]Bilan 2015'!$E$54+'[2]Bilan 2015'!$E$56)</f>
        <v>12.452999999999999</v>
      </c>
      <c r="Q18" s="16">
        <v>0</v>
      </c>
      <c r="R18" s="16">
        <f>('[2]Bilan 2015'!$E$53+'[2]Bilan 2015'!$E$55+'[2]Bilan 2015'!$E$57)</f>
        <v>1.1015862413247299</v>
      </c>
      <c r="S18" s="95">
        <f t="shared" si="1"/>
        <v>16.768905046919066</v>
      </c>
      <c r="T18" s="95"/>
      <c r="U18" s="149" t="s">
        <v>47</v>
      </c>
      <c r="V18" t="s">
        <v>414</v>
      </c>
      <c r="W18" t="s">
        <v>415</v>
      </c>
      <c r="X18" t="s">
        <v>416</v>
      </c>
      <c r="Y18" t="s">
        <v>417</v>
      </c>
      <c r="Z18" s="16">
        <v>0.99888499080000004</v>
      </c>
      <c r="AA18" s="16">
        <v>1.892492522</v>
      </c>
      <c r="AB18" s="16">
        <v>0</v>
      </c>
      <c r="AC18" s="16">
        <v>1.767834417</v>
      </c>
      <c r="AD18" s="95">
        <v>4.6592119297999997</v>
      </c>
    </row>
    <row r="19" spans="2:30" x14ac:dyDescent="0.25">
      <c r="C19" s="147" t="s">
        <v>25</v>
      </c>
      <c r="D19" t="s">
        <v>418</v>
      </c>
      <c r="E19" t="s">
        <v>419</v>
      </c>
      <c r="F19" t="s">
        <v>420</v>
      </c>
      <c r="G19" t="s">
        <v>421</v>
      </c>
      <c r="H19" s="8">
        <f>VLOOKUP(D19,Résultats!$B$2:$AX$476,'T energie vecteurs'!F5,FALSE)</f>
        <v>0</v>
      </c>
      <c r="I19" s="8">
        <f>VLOOKUP(E19,Résultats!$B$2:$AX$476,'T energie vecteurs'!F5,FALSE)</f>
        <v>2.479654236</v>
      </c>
      <c r="J19" s="8">
        <f>VLOOKUP(F19,Résultats!$B$2:$AX$476,'T energie vecteurs'!F5,FALSE)</f>
        <v>0.31984049019999999</v>
      </c>
      <c r="K19" s="8">
        <f>VLOOKUP(G19,Résultats!$B$2:$AX$476,'T energie vecteurs'!F5,FALSE)</f>
        <v>0.39457648909999998</v>
      </c>
      <c r="L19" s="96">
        <f t="shared" si="0"/>
        <v>3.1940712152999997</v>
      </c>
      <c r="M19" s="16"/>
      <c r="N19" s="150" t="s">
        <v>25</v>
      </c>
      <c r="O19" s="29">
        <f>'[2]Bilan 2015'!$T$46</f>
        <v>2.2137192704974398E-3</v>
      </c>
      <c r="P19" s="28">
        <f>SUM('[2]Bilan 2015'!$T$41:$T$43)</f>
        <v>3.4936667755496749</v>
      </c>
      <c r="Q19" s="28">
        <f>'[2]Bilan 2015'!$T$13</f>
        <v>0.74651762682717104</v>
      </c>
      <c r="R19" s="28">
        <f>('[2]Bilan 2015'!$T$22+'[2]Bilan 2015'!$T$30+SUM('[2]Bilan 2015'!$T$36:$T$40)+SUM('[2]Bilan 2015'!$T$44:$T$45)+'[2]Bilan 2015'!$T$47)</f>
        <v>0.24365267378081518</v>
      </c>
      <c r="S19" s="142">
        <f t="shared" si="1"/>
        <v>4.4860507954281585</v>
      </c>
      <c r="T19" s="318">
        <f>S19</f>
        <v>4.4860507954281585</v>
      </c>
      <c r="U19" s="312" t="s">
        <v>25</v>
      </c>
      <c r="V19" s="313" t="s">
        <v>418</v>
      </c>
      <c r="W19" s="313" t="s">
        <v>419</v>
      </c>
      <c r="X19" s="313" t="s">
        <v>420</v>
      </c>
      <c r="Y19" s="313" t="s">
        <v>421</v>
      </c>
      <c r="Z19" s="314">
        <v>0</v>
      </c>
      <c r="AA19" s="314">
        <v>2.4785694700000001</v>
      </c>
      <c r="AB19" s="314">
        <v>0.31965678710000001</v>
      </c>
      <c r="AC19" s="314">
        <v>0.39436075970000001</v>
      </c>
      <c r="AD19" s="315">
        <v>3.1925870168000001</v>
      </c>
    </row>
    <row r="20" spans="2:30" x14ac:dyDescent="0.25">
      <c r="C20" s="23" t="s">
        <v>26</v>
      </c>
      <c r="D20" s="10"/>
      <c r="E20" s="10"/>
      <c r="F20" s="10"/>
      <c r="G20" s="10"/>
      <c r="H20" s="9">
        <f>SUM(H11,H14:H16,H19)</f>
        <v>5.3370001416000008</v>
      </c>
      <c r="I20" s="9">
        <f t="shared" ref="I20:K20" si="5">SUM(I11,I14:I16,I19)</f>
        <v>73.455298043000013</v>
      </c>
      <c r="J20" s="9">
        <f t="shared" si="5"/>
        <v>37.9029358047</v>
      </c>
      <c r="K20" s="9">
        <f t="shared" si="5"/>
        <v>43.824320662142597</v>
      </c>
      <c r="L20" s="98">
        <f>SUM(H20:K20)</f>
        <v>160.5195546514426</v>
      </c>
      <c r="M20" s="79"/>
      <c r="N20" s="151" t="s">
        <v>26</v>
      </c>
      <c r="O20" s="32">
        <f>O11+O14+O15+O16+O19</f>
        <v>4.3456793787119414</v>
      </c>
      <c r="P20" s="31">
        <f>P11+P14+P15+P16+P19</f>
        <v>70.798845361011772</v>
      </c>
      <c r="Q20" s="31">
        <f>Q11+Q14+Q15+Q16+Q19</f>
        <v>38.082514273546238</v>
      </c>
      <c r="R20" s="31">
        <f>R11+R14+R15+R16+R19</f>
        <v>44.651702506310876</v>
      </c>
      <c r="S20" s="144">
        <f>SUM(O20:R20)</f>
        <v>157.87874151958081</v>
      </c>
      <c r="T20" s="319">
        <f>SUM(T11:T19)</f>
        <v>154.92341374900698</v>
      </c>
      <c r="U20" s="23" t="s">
        <v>26</v>
      </c>
      <c r="V20" s="10"/>
      <c r="W20" s="10"/>
      <c r="X20" s="10"/>
      <c r="Y20" s="10"/>
      <c r="Z20" s="9">
        <v>5.3365238030999995</v>
      </c>
      <c r="AA20" s="9">
        <v>73.451383668000005</v>
      </c>
      <c r="AB20" s="9">
        <v>37.895753133200003</v>
      </c>
      <c r="AC20" s="9">
        <v>43.811029508452798</v>
      </c>
      <c r="AD20" s="98">
        <v>160.49469011275281</v>
      </c>
    </row>
    <row r="21" spans="2:30" s="3" customFormat="1" x14ac:dyDescent="0.25">
      <c r="B21" s="60"/>
      <c r="H21" s="45"/>
      <c r="I21" s="45"/>
      <c r="J21" s="45"/>
      <c r="K21" s="45"/>
      <c r="L21" s="45">
        <f>L11+L14+L15+L16+L19</f>
        <v>160.51955465144263</v>
      </c>
      <c r="M21" s="45"/>
      <c r="N21" s="45"/>
      <c r="O21" s="77"/>
      <c r="P21" s="77"/>
      <c r="Q21" s="77"/>
      <c r="R21" s="78"/>
      <c r="S21" s="45"/>
      <c r="Z21" s="45"/>
      <c r="AA21" s="45"/>
      <c r="AB21" s="45"/>
      <c r="AC21" s="45"/>
      <c r="AD21" s="45">
        <v>160.49469011275278</v>
      </c>
    </row>
    <row r="22" spans="2:30" s="3" customFormat="1" x14ac:dyDescent="0.25">
      <c r="I22" s="45"/>
      <c r="J22" s="45"/>
      <c r="K22" s="45"/>
      <c r="AA22" s="45"/>
      <c r="AB22" s="45"/>
      <c r="AC22" s="45"/>
    </row>
    <row r="23" spans="2:30" ht="31.5" x14ac:dyDescent="0.35">
      <c r="C23" s="145">
        <v>2020</v>
      </c>
      <c r="D23" s="146"/>
      <c r="E23" s="146"/>
      <c r="F23" s="146"/>
      <c r="G23" s="146"/>
      <c r="H23" s="76" t="s">
        <v>36</v>
      </c>
      <c r="I23" s="76" t="s">
        <v>49</v>
      </c>
      <c r="J23" s="76" t="s">
        <v>38</v>
      </c>
      <c r="K23" s="76" t="s">
        <v>48</v>
      </c>
      <c r="L23" s="93" t="s">
        <v>1</v>
      </c>
      <c r="M23" s="19"/>
      <c r="N23" s="145">
        <v>2020</v>
      </c>
      <c r="O23" s="141" t="s">
        <v>36</v>
      </c>
      <c r="P23" s="76" t="s">
        <v>49</v>
      </c>
      <c r="Q23" s="76" t="s">
        <v>38</v>
      </c>
      <c r="R23" s="76" t="s">
        <v>48</v>
      </c>
      <c r="S23" s="93" t="s">
        <v>1</v>
      </c>
      <c r="T23" s="317" t="s">
        <v>543</v>
      </c>
      <c r="U23" s="145">
        <v>2020</v>
      </c>
      <c r="V23" s="146"/>
      <c r="W23" s="146"/>
      <c r="X23" s="146"/>
      <c r="Y23" s="146"/>
      <c r="Z23" s="76" t="s">
        <v>36</v>
      </c>
      <c r="AA23" s="76" t="s">
        <v>49</v>
      </c>
      <c r="AB23" s="76" t="s">
        <v>38</v>
      </c>
      <c r="AC23" s="76" t="s">
        <v>48</v>
      </c>
      <c r="AD23" s="93" t="s">
        <v>1</v>
      </c>
    </row>
    <row r="24" spans="2:30" x14ac:dyDescent="0.25">
      <c r="C24" s="147" t="s">
        <v>18</v>
      </c>
      <c r="H24" s="8">
        <f>SUM(H25:H26)</f>
        <v>0</v>
      </c>
      <c r="I24" s="8">
        <f>SUM(I25:I26)</f>
        <v>41.607530240000003</v>
      </c>
      <c r="J24" s="8">
        <f>SUM(J25:J26)</f>
        <v>1.5073659663999999</v>
      </c>
      <c r="K24" s="8">
        <f>SUM(K25:K26)</f>
        <v>0.2786062078596</v>
      </c>
      <c r="L24" s="96">
        <f t="shared" ref="L24:L33" si="6">SUM(H24:K24)</f>
        <v>43.393502414259608</v>
      </c>
      <c r="M24" s="75"/>
      <c r="N24" s="150" t="s">
        <v>18</v>
      </c>
      <c r="O24" s="29">
        <f>'[2]Bilan 2020'!$X$46/11.63</f>
        <v>0</v>
      </c>
      <c r="P24" s="28">
        <f>SUM('[2]Bilan 2020'!$X$41:$X$43)/11.63</f>
        <v>35.668036461633939</v>
      </c>
      <c r="Q24" s="28">
        <f>'[2]Bilan 2020'!$X$13/11.63</f>
        <v>0.71687008340498715</v>
      </c>
      <c r="R24" s="28">
        <f>('[2]Bilan 2020'!$X$22+'[2]Bilan 2020'!$X$30+SUM('[2]Bilan 2020'!$X$36:$X$40)+SUM('[2]Bilan 2020'!$X$44:$X$45)+'[2]Bilan 2020'!$X$47)/11.63</f>
        <v>0.19326865864144452</v>
      </c>
      <c r="S24" s="142">
        <f>SUM(O24:R24)</f>
        <v>36.578175203680367</v>
      </c>
      <c r="T24" s="318">
        <f>S24</f>
        <v>36.578175203680367</v>
      </c>
      <c r="U24" s="147" t="s">
        <v>18</v>
      </c>
      <c r="Z24" s="8">
        <v>0</v>
      </c>
      <c r="AA24" s="8">
        <v>41.602539239999999</v>
      </c>
      <c r="AB24" s="8">
        <v>1.5063126045999999</v>
      </c>
      <c r="AC24" s="8">
        <v>0.27860242240440003</v>
      </c>
      <c r="AD24" s="96">
        <v>43.387454267004394</v>
      </c>
    </row>
    <row r="25" spans="2:30" x14ac:dyDescent="0.25">
      <c r="C25" s="148" t="s">
        <v>19</v>
      </c>
      <c r="D25" t="s">
        <v>394</v>
      </c>
      <c r="E25" t="s">
        <v>395</v>
      </c>
      <c r="F25" t="s">
        <v>396</v>
      </c>
      <c r="G25" t="s">
        <v>397</v>
      </c>
      <c r="H25" s="16">
        <f>VLOOKUP(D25,Résultats!$B$2:$AX$476,'T energie vecteurs'!I5,FALSE)</f>
        <v>0</v>
      </c>
      <c r="I25" s="16">
        <f>VLOOKUP(E25,Résultats!$B$2:$AX$476,'T energie vecteurs'!I5,FALSE)</f>
        <v>23.2464543</v>
      </c>
      <c r="J25" s="16">
        <f>VLOOKUP(F25,Résultats!$B$2:$AX$476,'T energie vecteurs'!I5,FALSE)</f>
        <v>7.2456006399999995E-2</v>
      </c>
      <c r="K25" s="16">
        <f>VLOOKUP(G77,Résultats!$B$2:$AX$476,'T energie vecteurs'!I5,FALSE)</f>
        <v>1.46634596E-5</v>
      </c>
      <c r="L25" s="95">
        <f t="shared" si="6"/>
        <v>23.318924969859598</v>
      </c>
      <c r="M25" s="16"/>
      <c r="N25" s="148" t="s">
        <v>19</v>
      </c>
      <c r="O25" s="143"/>
      <c r="P25" s="16"/>
      <c r="Q25" s="34"/>
      <c r="R25" s="16"/>
      <c r="S25" s="95"/>
      <c r="T25" s="95"/>
      <c r="U25" s="148" t="s">
        <v>19</v>
      </c>
      <c r="V25" t="s">
        <v>394</v>
      </c>
      <c r="W25" t="s">
        <v>395</v>
      </c>
      <c r="X25" t="s">
        <v>396</v>
      </c>
      <c r="Y25" t="s">
        <v>397</v>
      </c>
      <c r="Z25" s="16">
        <v>0</v>
      </c>
      <c r="AA25" s="16">
        <v>23.244407129999999</v>
      </c>
      <c r="AB25" s="16">
        <v>7.25068886E-2</v>
      </c>
      <c r="AC25" s="16">
        <v>1.4761104400000001E-5</v>
      </c>
      <c r="AD25" s="95">
        <v>23.316928779704398</v>
      </c>
    </row>
    <row r="26" spans="2:30" x14ac:dyDescent="0.25">
      <c r="C26" s="149" t="s">
        <v>20</v>
      </c>
      <c r="D26" t="s">
        <v>398</v>
      </c>
      <c r="E26" t="s">
        <v>399</v>
      </c>
      <c r="F26" t="s">
        <v>400</v>
      </c>
      <c r="G26" t="s">
        <v>401</v>
      </c>
      <c r="H26" s="16">
        <f>VLOOKUP(D26,Résultats!$B$2:$AX$476,'T energie vecteurs'!I5,FALSE)</f>
        <v>0</v>
      </c>
      <c r="I26" s="16">
        <f>VLOOKUP(E26,Résultats!$B$2:$AX$476,'T energie vecteurs'!I5,FALSE)</f>
        <v>18.361075939999999</v>
      </c>
      <c r="J26" s="16">
        <f>VLOOKUP(F26,Résultats!$B$2:$AX$476,'T energie vecteurs'!I5,FALSE)</f>
        <v>1.4349099599999999</v>
      </c>
      <c r="K26" s="16">
        <f>VLOOKUP(G26,Résultats!$B$2:$AX$476,'T energie vecteurs'!I5,FALSE)</f>
        <v>0.2785915444</v>
      </c>
      <c r="L26" s="95">
        <f t="shared" si="6"/>
        <v>20.074577444399999</v>
      </c>
      <c r="M26" s="16"/>
      <c r="N26" s="149" t="s">
        <v>20</v>
      </c>
      <c r="O26" s="143"/>
      <c r="P26" s="16"/>
      <c r="Q26" s="34"/>
      <c r="R26" s="16"/>
      <c r="S26" s="95"/>
      <c r="T26" s="95"/>
      <c r="U26" s="149" t="s">
        <v>20</v>
      </c>
      <c r="V26" t="s">
        <v>398</v>
      </c>
      <c r="W26" t="s">
        <v>399</v>
      </c>
      <c r="X26" t="s">
        <v>400</v>
      </c>
      <c r="Y26" t="s">
        <v>401</v>
      </c>
      <c r="Z26" s="16">
        <v>0</v>
      </c>
      <c r="AA26" s="16">
        <v>18.35813211</v>
      </c>
      <c r="AB26" s="16">
        <v>1.433805716</v>
      </c>
      <c r="AC26" s="16">
        <v>0.27858766130000001</v>
      </c>
      <c r="AD26" s="95">
        <v>20.070525487299999</v>
      </c>
    </row>
    <row r="27" spans="2:30" x14ac:dyDescent="0.25">
      <c r="C27" s="147" t="s">
        <v>21</v>
      </c>
      <c r="D27" t="s">
        <v>402</v>
      </c>
      <c r="E27" t="s">
        <v>403</v>
      </c>
      <c r="F27" t="s">
        <v>404</v>
      </c>
      <c r="G27" t="s">
        <v>405</v>
      </c>
      <c r="H27" s="8">
        <f>VLOOKUP(D27,Résultats!$B$2:$AX$476,'T energie vecteurs'!I5,FALSE)</f>
        <v>0.31875528339999998</v>
      </c>
      <c r="I27" s="8">
        <f>VLOOKUP(E27,Résultats!$B$2:$AX$476,'T energie vecteurs'!I5,FALSE)</f>
        <v>6.4528228150000002</v>
      </c>
      <c r="J27" s="8">
        <f>VLOOKUP(F27,Résultats!$B$2:$AX$476,'T energie vecteurs'!I5,FALSE)</f>
        <v>14.445102029999999</v>
      </c>
      <c r="K27" s="8">
        <f>VLOOKUP(G27,Résultats!$B$2:$AX$476,'T energie vecteurs'!I5,FALSE)+2</f>
        <v>19.18079925</v>
      </c>
      <c r="L27" s="96">
        <f t="shared" si="6"/>
        <v>40.3974793784</v>
      </c>
      <c r="M27" s="75"/>
      <c r="N27" s="150" t="s">
        <v>21</v>
      </c>
      <c r="O27" s="29">
        <f>'[2]Bilan 2020'!$V$46/11.63</f>
        <v>2.0700734999999998E-2</v>
      </c>
      <c r="P27" s="28">
        <f>SUM('[2]Bilan 2020'!$V$41:$V$43)/11.63</f>
        <v>4.2874727518867157</v>
      </c>
      <c r="Q27" s="28">
        <f>'[2]Bilan 2020'!$V$13/11.63</f>
        <v>13.618731599337918</v>
      </c>
      <c r="R27" s="28">
        <f>('[2]Bilan 2020'!$V$22+'[2]Bilan 2020'!$V$30+SUM('[2]Bilan 2020'!$V$36:$V$40)+SUM('[2]Bilan 2020'!$V$44:$V$45)+'[2]Bilan 2020'!$V$47)/11.63</f>
        <v>20.408410382607048</v>
      </c>
      <c r="S27" s="142">
        <f t="shared" ref="S27:S33" si="7">SUM(O27:R27)</f>
        <v>38.335315468831681</v>
      </c>
      <c r="T27" s="318">
        <f>S27-'[2]Bilan 2020'!$V$40/11.63</f>
        <v>35.977053263806368</v>
      </c>
      <c r="U27" s="147" t="s">
        <v>21</v>
      </c>
      <c r="V27" t="s">
        <v>402</v>
      </c>
      <c r="W27" t="s">
        <v>403</v>
      </c>
      <c r="X27" t="s">
        <v>404</v>
      </c>
      <c r="Y27" t="s">
        <v>405</v>
      </c>
      <c r="Z27" s="8">
        <v>0.31862762230000002</v>
      </c>
      <c r="AA27" s="8">
        <v>6.45680254</v>
      </c>
      <c r="AB27" s="8">
        <v>14.43867376</v>
      </c>
      <c r="AC27" s="8">
        <v>19.172349069999999</v>
      </c>
      <c r="AD27" s="96">
        <v>40.386452992300001</v>
      </c>
    </row>
    <row r="28" spans="2:30" x14ac:dyDescent="0.25">
      <c r="C28" s="147" t="s">
        <v>22</v>
      </c>
      <c r="D28" t="s">
        <v>406</v>
      </c>
      <c r="E28" t="s">
        <v>407</v>
      </c>
      <c r="F28" t="s">
        <v>408</v>
      </c>
      <c r="G28" t="s">
        <v>409</v>
      </c>
      <c r="H28" s="8">
        <f>VLOOKUP(D28,Résultats!$B$2:$AX$476,'T energie vecteurs'!I5,FALSE)</f>
        <v>0</v>
      </c>
      <c r="I28" s="8">
        <f>VLOOKUP(E28,Résultats!$B$2:$AX$476,'T energie vecteurs'!I5,FALSE)</f>
        <v>2.7276801470000001</v>
      </c>
      <c r="J28" s="8">
        <f>VLOOKUP(F28,Résultats!$B$2:$AX$476,'T energie vecteurs'!I5,FALSE)</f>
        <v>11.13643673</v>
      </c>
      <c r="K28" s="8">
        <f>VLOOKUP(G28,Résultats!$B$2:$AX$476,'T energie vecteurs'!I5,FALSE)</f>
        <v>7.8846948670000003</v>
      </c>
      <c r="L28" s="96">
        <f t="shared" si="6"/>
        <v>21.748811744000001</v>
      </c>
      <c r="M28" s="75"/>
      <c r="N28" s="150" t="s">
        <v>22</v>
      </c>
      <c r="O28" s="29">
        <f>('[2]Bilan 2020'!$W$46)/11.63</f>
        <v>3.0546421000000001E-2</v>
      </c>
      <c r="P28" s="28">
        <f>SUM('[2]Bilan 2020'!$W$41:$W$43)/11.63</f>
        <v>2.7068355531694666</v>
      </c>
      <c r="Q28" s="28">
        <f>('[2]Bilan 2020'!$W$13)/11.63</f>
        <v>10.724850576412381</v>
      </c>
      <c r="R28" s="28">
        <f>('[2]Bilan 2020'!$W$22+'[2]Bilan 2020'!$W$30+SUM('[2]Bilan 2020'!$W$36:$W$40)+SUM('[2]Bilan 2020'!$W$44:$W$45)+'[2]Bilan 2020'!$W$47)/11.63</f>
        <v>7.1906336380053082</v>
      </c>
      <c r="S28" s="142">
        <f t="shared" si="7"/>
        <v>20.652866188587154</v>
      </c>
      <c r="T28" s="318">
        <f>S28-'[2]Bilan 2020'!$W$40/11.63</f>
        <v>20.267160637808516</v>
      </c>
      <c r="U28" s="147" t="s">
        <v>22</v>
      </c>
      <c r="V28" t="s">
        <v>406</v>
      </c>
      <c r="W28" t="s">
        <v>407</v>
      </c>
      <c r="X28" t="s">
        <v>408</v>
      </c>
      <c r="Y28" t="s">
        <v>409</v>
      </c>
      <c r="Z28" s="8">
        <v>0</v>
      </c>
      <c r="AA28" s="8">
        <v>2.7306023239999999</v>
      </c>
      <c r="AB28" s="8">
        <v>11.12795966</v>
      </c>
      <c r="AC28" s="8">
        <v>7.8713221820000001</v>
      </c>
      <c r="AD28" s="96">
        <v>21.729884165999998</v>
      </c>
    </row>
    <row r="29" spans="2:30" x14ac:dyDescent="0.25">
      <c r="C29" s="147" t="s">
        <v>490</v>
      </c>
      <c r="H29" s="8">
        <f>SUM(H30:H31)</f>
        <v>2.6457174971000001</v>
      </c>
      <c r="I29" s="8">
        <f t="shared" ref="I29:K29" si="8">SUM(I30:I31)</f>
        <v>11.22075972199999</v>
      </c>
      <c r="J29" s="8">
        <f t="shared" si="8"/>
        <v>8.9832429129999998</v>
      </c>
      <c r="K29" s="8">
        <f t="shared" si="8"/>
        <v>14.824553826999999</v>
      </c>
      <c r="L29" s="96">
        <f t="shared" si="6"/>
        <v>37.674273959099992</v>
      </c>
      <c r="M29" s="75"/>
      <c r="N29" s="150" t="s">
        <v>490</v>
      </c>
      <c r="O29" s="29">
        <f>O30+O31</f>
        <v>3.1626378182920636</v>
      </c>
      <c r="P29" s="28">
        <f t="shared" ref="P29:R29" si="9">P30+P31</f>
        <v>13.919973516612528</v>
      </c>
      <c r="Q29" s="28">
        <f t="shared" si="9"/>
        <v>9.0413234941421319</v>
      </c>
      <c r="R29" s="28">
        <f t="shared" si="9"/>
        <v>14.312071337572707</v>
      </c>
      <c r="S29" s="142">
        <f t="shared" si="7"/>
        <v>40.436006166619435</v>
      </c>
      <c r="T29" s="318">
        <f t="shared" ref="T29" si="10">S29</f>
        <v>40.436006166619435</v>
      </c>
      <c r="U29" s="147" t="s">
        <v>490</v>
      </c>
      <c r="Z29" s="8">
        <v>2.6480606495000001</v>
      </c>
      <c r="AA29" s="8">
        <v>11.228937934000001</v>
      </c>
      <c r="AB29" s="8">
        <v>8.9819417030000004</v>
      </c>
      <c r="AC29" s="8">
        <v>14.81434181</v>
      </c>
      <c r="AD29" s="96">
        <v>37.673282096500003</v>
      </c>
    </row>
    <row r="30" spans="2:30" x14ac:dyDescent="0.25">
      <c r="C30" s="149" t="s">
        <v>24</v>
      </c>
      <c r="D30" t="s">
        <v>410</v>
      </c>
      <c r="E30" t="s">
        <v>411</v>
      </c>
      <c r="F30" t="s">
        <v>412</v>
      </c>
      <c r="G30" t="s">
        <v>413</v>
      </c>
      <c r="H30" s="16">
        <f>VLOOKUP(D30,Résultats!$B$2:$AX$476,'T energie vecteurs'!I5,FALSE)</f>
        <v>1.78210523</v>
      </c>
      <c r="I30" s="16">
        <f>VLOOKUP(E30,Résultats!$B$2:$AX$476,'T energie vecteurs'!I5,FALSE)</f>
        <v>9.3444810749999903</v>
      </c>
      <c r="J30" s="16">
        <f>VLOOKUP(F30,Résultats!$B$2:$AX$476,'T energie vecteurs'!I5,FALSE)</f>
        <v>8.9832429129999998</v>
      </c>
      <c r="K30" s="16">
        <f>VLOOKUP(G30,Résultats!$B$2:$AX$476,'T energie vecteurs'!I5,FALSE)</f>
        <v>12.72188557</v>
      </c>
      <c r="L30" s="95">
        <f t="shared" si="6"/>
        <v>32.831714787999985</v>
      </c>
      <c r="M30" s="16"/>
      <c r="N30" s="149" t="s">
        <v>491</v>
      </c>
      <c r="O30" s="143">
        <f>'[2]Bilan 2020'!$U$46/11.63</f>
        <v>0.77267988499999996</v>
      </c>
      <c r="P30" s="30">
        <f>SUM('[2]Bilan 2020'!$U$41:$U$43)/11.63</f>
        <v>2.7003587770125286</v>
      </c>
      <c r="Q30" s="30">
        <f>'[2]Bilan 2020'!$U$13/11.63</f>
        <v>9.0413234941421319</v>
      </c>
      <c r="R30" s="30">
        <f>('[2]Bilan 2020'!$U$22+'[2]Bilan 2020'!$U$30+SUM('[2]Bilan 2020'!$U$36:$U$40)+SUM('[2]Bilan 2020'!$U$44:$U$45)+'[2]Bilan 2020'!$U$47)/11.63</f>
        <v>13.277854957521116</v>
      </c>
      <c r="S30" s="95">
        <f t="shared" si="7"/>
        <v>25.792217113675775</v>
      </c>
      <c r="T30" s="95"/>
      <c r="U30" s="149" t="s">
        <v>24</v>
      </c>
      <c r="V30" t="s">
        <v>410</v>
      </c>
      <c r="W30" t="s">
        <v>411</v>
      </c>
      <c r="X30" t="s">
        <v>412</v>
      </c>
      <c r="Y30" t="s">
        <v>413</v>
      </c>
      <c r="Z30" s="16">
        <v>1.7843252570000001</v>
      </c>
      <c r="AA30" s="16">
        <v>9.3529290360000008</v>
      </c>
      <c r="AB30" s="16">
        <v>8.9819417030000004</v>
      </c>
      <c r="AC30" s="16">
        <v>12.71331762</v>
      </c>
      <c r="AD30" s="95">
        <v>32.832513616</v>
      </c>
    </row>
    <row r="31" spans="2:30" x14ac:dyDescent="0.25">
      <c r="C31" s="149" t="s">
        <v>47</v>
      </c>
      <c r="D31" t="s">
        <v>414</v>
      </c>
      <c r="E31" t="s">
        <v>415</v>
      </c>
      <c r="F31" t="s">
        <v>416</v>
      </c>
      <c r="G31" t="s">
        <v>417</v>
      </c>
      <c r="H31" s="16">
        <f>VLOOKUP(D31,Résultats!$B$2:$AX$476,'T energie vecteurs'!I5,FALSE)</f>
        <v>0.86361226710000005</v>
      </c>
      <c r="I31" s="16">
        <f>VLOOKUP(E31,Résultats!$B$2:$AX$476,'T energie vecteurs'!I5,FALSE)</f>
        <v>1.8762786469999999</v>
      </c>
      <c r="J31" s="16">
        <f>VLOOKUP(F31,Résultats!$B$2:$AX$476,'T energie vecteurs'!I5,FALSE)</f>
        <v>0</v>
      </c>
      <c r="K31" s="16">
        <f>VLOOKUP(G31,Résultats!$B$2:$AX$476,'T energie vecteurs'!I5,FALSE)</f>
        <v>2.1026682569999999</v>
      </c>
      <c r="L31" s="95">
        <f t="shared" si="6"/>
        <v>4.8425591710999996</v>
      </c>
      <c r="M31" s="16"/>
      <c r="N31" s="149" t="s">
        <v>47</v>
      </c>
      <c r="O31" s="22">
        <f>'[2]Bilan 2020'!$E$52/11.63</f>
        <v>2.3899579332920635</v>
      </c>
      <c r="P31" s="16">
        <f>('[2]Bilan 2020'!$E$54+'[2]Bilan 2020'!$E$56)/11.63</f>
        <v>11.219614739599999</v>
      </c>
      <c r="Q31" s="16">
        <v>0</v>
      </c>
      <c r="R31" s="16">
        <f>('[2]Bilan 2020'!$E$53+'[2]Bilan 2020'!$E$55+'[2]Bilan 2020'!$E$57)/11.63</f>
        <v>1.0342163800515907</v>
      </c>
      <c r="S31" s="95">
        <f t="shared" si="7"/>
        <v>14.643789052943653</v>
      </c>
      <c r="T31" s="95"/>
      <c r="U31" s="149" t="s">
        <v>47</v>
      </c>
      <c r="V31" t="s">
        <v>414</v>
      </c>
      <c r="W31" t="s">
        <v>415</v>
      </c>
      <c r="X31" t="s">
        <v>416</v>
      </c>
      <c r="Y31" t="s">
        <v>417</v>
      </c>
      <c r="Z31" s="16">
        <v>0.86373539249999998</v>
      </c>
      <c r="AA31" s="16">
        <v>1.876008898</v>
      </c>
      <c r="AB31" s="16">
        <v>0</v>
      </c>
      <c r="AC31" s="16">
        <v>2.10102419</v>
      </c>
      <c r="AD31" s="95">
        <v>4.8407684804999995</v>
      </c>
    </row>
    <row r="32" spans="2:30" x14ac:dyDescent="0.25">
      <c r="C32" s="147" t="s">
        <v>25</v>
      </c>
      <c r="D32" t="s">
        <v>418</v>
      </c>
      <c r="E32" t="s">
        <v>419</v>
      </c>
      <c r="F32" t="s">
        <v>420</v>
      </c>
      <c r="G32" t="s">
        <v>421</v>
      </c>
      <c r="H32" s="8">
        <f>VLOOKUP(D32,Résultats!$B$2:$AX$476,'T energie vecteurs'!I5,FALSE)</f>
        <v>0</v>
      </c>
      <c r="I32" s="8">
        <f>VLOOKUP(E32,Résultats!$B$2:$AX$476,'T energie vecteurs'!I5,FALSE)</f>
        <v>2.3996914199999999</v>
      </c>
      <c r="J32" s="8">
        <f>VLOOKUP(F32,Résultats!$B$2:$AX$476,'T energie vecteurs'!I5,FALSE)</f>
        <v>0.31209402739999997</v>
      </c>
      <c r="K32" s="8">
        <f>VLOOKUP(G32,Résultats!$B$2:$AX$476,'T energie vecteurs'!I5,FALSE)</f>
        <v>0.3708630798</v>
      </c>
      <c r="L32" s="96">
        <f t="shared" si="6"/>
        <v>3.0826485271999999</v>
      </c>
      <c r="M32" s="16"/>
      <c r="N32" s="150" t="s">
        <v>25</v>
      </c>
      <c r="O32" s="29">
        <f>'[2]Bilan 2020'!$T$46/11.63</f>
        <v>1.3217009999999998E-3</v>
      </c>
      <c r="P32" s="28">
        <f>SUM('[2]Bilan 2020'!$T$41:$T$43)/11.63</f>
        <v>3.3486884684627563</v>
      </c>
      <c r="Q32" s="28">
        <f>'[2]Bilan 2020'!$T$13/11.63</f>
        <v>0.69143728159498707</v>
      </c>
      <c r="R32" s="28">
        <f>('[2]Bilan 2020'!$T$22+'[2]Bilan 2020'!$T$30+SUM('[2]Bilan 2020'!$T$36:$T$40)+SUM('[2]Bilan 2020'!$T$44:$T$45)+'[2]Bilan 2020'!$T$47)/11.63</f>
        <v>0.41959097162510717</v>
      </c>
      <c r="S32" s="142">
        <f t="shared" si="7"/>
        <v>4.4610384226828508</v>
      </c>
      <c r="T32" s="318">
        <f>S32</f>
        <v>4.4610384226828508</v>
      </c>
      <c r="U32" s="149" t="s">
        <v>25</v>
      </c>
      <c r="V32" t="s">
        <v>418</v>
      </c>
      <c r="W32" t="s">
        <v>419</v>
      </c>
      <c r="X32" t="s">
        <v>420</v>
      </c>
      <c r="Y32" t="s">
        <v>421</v>
      </c>
      <c r="Z32" s="16">
        <v>0</v>
      </c>
      <c r="AA32" s="16">
        <v>2.3952477679999999</v>
      </c>
      <c r="AB32" s="16">
        <v>0.31132121629999998</v>
      </c>
      <c r="AC32" s="16">
        <v>0.3701094808</v>
      </c>
      <c r="AD32" s="95">
        <v>3.0766784651000001</v>
      </c>
    </row>
    <row r="33" spans="3:30" x14ac:dyDescent="0.25">
      <c r="C33" s="23" t="s">
        <v>26</v>
      </c>
      <c r="D33" s="10"/>
      <c r="E33" s="10"/>
      <c r="F33" s="10"/>
      <c r="G33" s="10"/>
      <c r="H33" s="9">
        <f>SUM(H24,H27:H29)</f>
        <v>2.9644727805</v>
      </c>
      <c r="I33" s="9">
        <f>SUM(I24,I27:I29)</f>
        <v>62.008792923999991</v>
      </c>
      <c r="J33" s="9">
        <f>SUM(J24,J27:J29)</f>
        <v>36.072147639400001</v>
      </c>
      <c r="K33" s="9">
        <f>SUM(K24,K27:K29)</f>
        <v>42.168654151859599</v>
      </c>
      <c r="L33" s="98">
        <f t="shared" si="6"/>
        <v>143.21406749575959</v>
      </c>
      <c r="M33" s="79"/>
      <c r="N33" s="151" t="s">
        <v>26</v>
      </c>
      <c r="O33" s="32">
        <f>O24+O27+O28+O29+O32</f>
        <v>3.2152066752920638</v>
      </c>
      <c r="P33" s="31">
        <f>P24+P27+P28+P29+P32</f>
        <v>59.931006751765409</v>
      </c>
      <c r="Q33" s="31">
        <f>Q24+Q27+Q28+Q29+Q32</f>
        <v>34.793213034892403</v>
      </c>
      <c r="R33" s="31">
        <f>R24+R27+R28+R29+R32</f>
        <v>42.523974988451613</v>
      </c>
      <c r="S33" s="144">
        <f t="shared" si="7"/>
        <v>140.46340145040148</v>
      </c>
      <c r="T33" s="319">
        <f>SUM(T24:T32)</f>
        <v>137.71943369459754</v>
      </c>
      <c r="U33" s="23" t="s">
        <v>26</v>
      </c>
      <c r="V33" s="10"/>
      <c r="W33" s="10"/>
      <c r="X33" s="10"/>
      <c r="Y33" s="10"/>
      <c r="Z33" s="9">
        <v>2.9666882718000003</v>
      </c>
      <c r="AA33" s="9">
        <v>62.018882038000001</v>
      </c>
      <c r="AB33" s="9">
        <v>36.054887727600004</v>
      </c>
      <c r="AC33" s="9">
        <v>42.136615484404402</v>
      </c>
      <c r="AD33" s="98">
        <v>143.1770735218044</v>
      </c>
    </row>
    <row r="34" spans="3:30" s="3" customFormat="1" x14ac:dyDescent="0.25">
      <c r="H34" s="45"/>
      <c r="I34" s="45"/>
      <c r="J34" s="45"/>
      <c r="K34" s="45"/>
      <c r="L34" s="45"/>
      <c r="M34" s="45"/>
      <c r="N34" s="45"/>
      <c r="O34" s="77"/>
      <c r="P34" s="77"/>
      <c r="Q34" s="77"/>
      <c r="R34" s="78"/>
      <c r="S34" s="45"/>
      <c r="T34" s="45"/>
      <c r="Z34" s="45"/>
      <c r="AA34" s="45"/>
      <c r="AB34" s="45"/>
      <c r="AC34" s="45"/>
      <c r="AD34" s="45"/>
    </row>
    <row r="35" spans="3:30" s="3" customFormat="1" x14ac:dyDescent="0.25"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Z35" s="45"/>
      <c r="AA35" s="45"/>
      <c r="AB35" s="45"/>
      <c r="AC35" s="45"/>
      <c r="AD35" s="45"/>
    </row>
    <row r="36" spans="3:30" ht="31.5" x14ac:dyDescent="0.35">
      <c r="C36" s="145">
        <v>2022</v>
      </c>
      <c r="D36" s="146"/>
      <c r="E36" s="146"/>
      <c r="F36" s="146"/>
      <c r="G36" s="146"/>
      <c r="H36" s="76" t="s">
        <v>36</v>
      </c>
      <c r="I36" s="76" t="s">
        <v>49</v>
      </c>
      <c r="J36" s="76" t="s">
        <v>38</v>
      </c>
      <c r="K36" s="76" t="s">
        <v>48</v>
      </c>
      <c r="L36" s="93" t="s">
        <v>1</v>
      </c>
      <c r="M36" s="19"/>
      <c r="N36" s="145">
        <v>2022</v>
      </c>
      <c r="O36" s="141" t="s">
        <v>36</v>
      </c>
      <c r="P36" s="76" t="s">
        <v>49</v>
      </c>
      <c r="Q36" s="76" t="s">
        <v>38</v>
      </c>
      <c r="R36" s="76" t="s">
        <v>48</v>
      </c>
      <c r="S36" s="93" t="s">
        <v>1</v>
      </c>
      <c r="T36" s="317" t="s">
        <v>543</v>
      </c>
      <c r="U36" s="145">
        <v>2022</v>
      </c>
      <c r="V36" s="146"/>
      <c r="W36" s="146"/>
      <c r="X36" s="146"/>
      <c r="Y36" s="146"/>
      <c r="Z36" s="76" t="s">
        <v>36</v>
      </c>
      <c r="AA36" s="76" t="s">
        <v>49</v>
      </c>
      <c r="AB36" s="76" t="s">
        <v>38</v>
      </c>
      <c r="AC36" s="76" t="s">
        <v>48</v>
      </c>
      <c r="AD36" s="93" t="s">
        <v>1</v>
      </c>
    </row>
    <row r="37" spans="3:30" x14ac:dyDescent="0.25">
      <c r="C37" s="147" t="s">
        <v>18</v>
      </c>
      <c r="H37" s="8">
        <f>SUM(H38:H39)</f>
        <v>0</v>
      </c>
      <c r="I37" s="8">
        <f>SUM(I38:I39)</f>
        <v>41.601878470000003</v>
      </c>
      <c r="J37" s="8">
        <f>SUM(J38:J39)</f>
        <v>1.8218638476000002</v>
      </c>
      <c r="K37" s="8">
        <f>SUM(K38:K39)</f>
        <v>0.38875774748410002</v>
      </c>
      <c r="L37" s="96">
        <f t="shared" ref="L37:L46" si="11">SUM(H37:K37)</f>
        <v>43.812500065084102</v>
      </c>
      <c r="M37" s="75"/>
      <c r="N37" s="150" t="s">
        <v>18</v>
      </c>
      <c r="O37" s="29">
        <f>'[2]Bilan 2022 réel'!$X$46/11.63</f>
        <v>0</v>
      </c>
      <c r="P37" s="28">
        <f>SUM('[2]Bilan 2022 réel'!$X$41:$X$43)/11.63</f>
        <v>43.395882986244146</v>
      </c>
      <c r="Q37" s="28">
        <f>'[2]Bilan 2022 réel'!$X$13/11.63</f>
        <v>0.93062751504729158</v>
      </c>
      <c r="R37" s="28">
        <f>('[2]Bilan 2022 réel'!$X$22+'[2]Bilan 2022 réel'!$X$30+SUM('[2]Bilan 2022 réel'!$X$36:$X$40)+SUM('[2]Bilan 2022 réel'!$X$44:$X$45)+'[2]Bilan 2022 réel'!$X$47)/11.63</f>
        <v>0.31885683576956142</v>
      </c>
      <c r="S37" s="142">
        <f>SUM(O37:R37)</f>
        <v>44.645367337060996</v>
      </c>
      <c r="T37" s="318">
        <f>S37</f>
        <v>44.645367337060996</v>
      </c>
      <c r="U37" s="147" t="s">
        <v>18</v>
      </c>
      <c r="Z37" s="8">
        <v>0</v>
      </c>
      <c r="AA37" s="8">
        <v>41.601707860000005</v>
      </c>
      <c r="AB37" s="8">
        <v>1.8231850832999998</v>
      </c>
      <c r="AC37" s="8">
        <v>0.38884310470799999</v>
      </c>
      <c r="AD37" s="96">
        <v>43.813736048008003</v>
      </c>
    </row>
    <row r="38" spans="3:30" x14ac:dyDescent="0.25">
      <c r="C38" s="148" t="s">
        <v>19</v>
      </c>
      <c r="D38" t="s">
        <v>394</v>
      </c>
      <c r="E38" t="s">
        <v>395</v>
      </c>
      <c r="F38" t="s">
        <v>396</v>
      </c>
      <c r="G38" t="s">
        <v>397</v>
      </c>
      <c r="H38" s="16">
        <f>VLOOKUP(D38,Résultats!$B$2:$AX$476,'T energie vecteurs'!K5,FALSE)</f>
        <v>0</v>
      </c>
      <c r="I38" s="16">
        <f>VLOOKUP(E38,Résultats!$B$2:$AX$476,'T energie vecteurs'!K5,FALSE)</f>
        <v>22.925047580000001</v>
      </c>
      <c r="J38" s="16">
        <f>VLOOKUP(F38,Résultats!$B$2:$AX$476,'T energie vecteurs'!K5,FALSE)</f>
        <v>0.1185033176</v>
      </c>
      <c r="K38" s="16">
        <f>VLOOKUP(G51,Résultats!$B$2:$AX$476,'T energie vecteurs'!K5,FALSE)</f>
        <v>1.8267784099999999E-5</v>
      </c>
      <c r="L38" s="95">
        <f t="shared" si="11"/>
        <v>23.043569165384099</v>
      </c>
      <c r="M38" s="16"/>
      <c r="N38" s="148" t="s">
        <v>19</v>
      </c>
      <c r="O38" s="143"/>
      <c r="P38" s="16"/>
      <c r="Q38" s="34"/>
      <c r="R38" s="16"/>
      <c r="S38" s="95"/>
      <c r="T38" s="95"/>
      <c r="U38" s="148" t="s">
        <v>19</v>
      </c>
      <c r="V38" t="s">
        <v>394</v>
      </c>
      <c r="W38" t="s">
        <v>395</v>
      </c>
      <c r="X38" t="s">
        <v>396</v>
      </c>
      <c r="Y38" t="s">
        <v>397</v>
      </c>
      <c r="Z38" s="16">
        <v>0</v>
      </c>
      <c r="AA38" s="16">
        <v>22.924826800000002</v>
      </c>
      <c r="AB38" s="16">
        <v>0.11862449730000001</v>
      </c>
      <c r="AC38" s="16">
        <v>1.8382907999999998E-5</v>
      </c>
      <c r="AD38" s="95">
        <v>23.043469680208002</v>
      </c>
    </row>
    <row r="39" spans="3:30" x14ac:dyDescent="0.25">
      <c r="C39" s="149" t="s">
        <v>20</v>
      </c>
      <c r="D39" t="s">
        <v>398</v>
      </c>
      <c r="E39" t="s">
        <v>399</v>
      </c>
      <c r="F39" t="s">
        <v>400</v>
      </c>
      <c r="G39" t="s">
        <v>401</v>
      </c>
      <c r="H39" s="16">
        <f>VLOOKUP(D39,Résultats!$B$2:$AX$476,'T energie vecteurs'!K5,FALSE)</f>
        <v>0</v>
      </c>
      <c r="I39" s="16">
        <f>VLOOKUP(E39,Résultats!$B$2:$AX$476,'T energie vecteurs'!K5,FALSE)</f>
        <v>18.676830890000002</v>
      </c>
      <c r="J39" s="16">
        <f>VLOOKUP(F39,Résultats!$B$2:$AX$476,'T energie vecteurs'!K5,FALSE)</f>
        <v>1.7033605300000001</v>
      </c>
      <c r="K39" s="16">
        <f>VLOOKUP(G39,Résultats!$B$2:$AX$476,'T energie vecteurs'!K5,FALSE)</f>
        <v>0.3887394797</v>
      </c>
      <c r="L39" s="95">
        <f t="shared" si="11"/>
        <v>20.768930899700003</v>
      </c>
      <c r="M39" s="16"/>
      <c r="N39" s="149" t="s">
        <v>20</v>
      </c>
      <c r="O39" s="143"/>
      <c r="P39" s="16"/>
      <c r="Q39" s="34"/>
      <c r="R39" s="16"/>
      <c r="S39" s="95"/>
      <c r="T39" s="95"/>
      <c r="U39" s="149" t="s">
        <v>20</v>
      </c>
      <c r="V39" t="s">
        <v>398</v>
      </c>
      <c r="W39" t="s">
        <v>399</v>
      </c>
      <c r="X39" t="s">
        <v>400</v>
      </c>
      <c r="Y39" t="s">
        <v>401</v>
      </c>
      <c r="Z39" s="16">
        <v>0</v>
      </c>
      <c r="AA39" s="16">
        <v>18.676881059999999</v>
      </c>
      <c r="AB39" s="16">
        <v>1.7045605859999999</v>
      </c>
      <c r="AC39" s="16">
        <v>0.38882472179999999</v>
      </c>
      <c r="AD39" s="95">
        <v>20.770266367799998</v>
      </c>
    </row>
    <row r="40" spans="3:30" x14ac:dyDescent="0.25">
      <c r="C40" s="147" t="s">
        <v>21</v>
      </c>
      <c r="D40" t="s">
        <v>402</v>
      </c>
      <c r="E40" t="s">
        <v>403</v>
      </c>
      <c r="F40" t="s">
        <v>404</v>
      </c>
      <c r="G40" t="s">
        <v>405</v>
      </c>
      <c r="H40" s="8">
        <f>VLOOKUP(D40,Résultats!$B$2:$AX$476,'T energie vecteurs'!K5,FALSE)</f>
        <v>0.30519817570000002</v>
      </c>
      <c r="I40" s="8">
        <f>VLOOKUP(E40,Résultats!$B$2:$AX$476,'T energie vecteurs'!K5,FALSE)</f>
        <v>6.3040235940000002</v>
      </c>
      <c r="J40" s="8">
        <f>VLOOKUP(F40,Résultats!$B$2:$AX$476,'T energie vecteurs'!K5,FALSE)</f>
        <v>14.51751367</v>
      </c>
      <c r="K40" s="8">
        <f>VLOOKUP(G40,Résultats!$B$2:$AX$476,'T energie vecteurs'!K5,FALSE)+2</f>
        <v>18.647852969999999</v>
      </c>
      <c r="L40" s="96">
        <f t="shared" si="11"/>
        <v>39.774588409700002</v>
      </c>
      <c r="M40" s="75"/>
      <c r="N40" s="150" t="s">
        <v>21</v>
      </c>
      <c r="O40" s="29">
        <f>'[2]Bilan 2022 réel'!$V$46/11.63</f>
        <v>2.6476317000000003E-2</v>
      </c>
      <c r="P40" s="28">
        <f>SUM('[2]Bilan 2022 réel'!$V$41:$V$43)/11.63</f>
        <v>3.5006052343</v>
      </c>
      <c r="Q40" s="28">
        <f>'[2]Bilan 2022 réel'!$V$13/11.63</f>
        <v>13.359407222699915</v>
      </c>
      <c r="R40" s="28">
        <f>('[2]Bilan 2022 réel'!$V$22+'[2]Bilan 2022 réel'!$V$30+SUM('[2]Bilan 2022 réel'!$V$36:$V$40)+SUM('[2]Bilan 2022 réel'!$V$44:$V$45)+'[2]Bilan 2022 réel'!$V$47)/11.63</f>
        <v>20.358936597126686</v>
      </c>
      <c r="S40" s="142">
        <f t="shared" ref="S40:S46" si="12">SUM(O40:R40)</f>
        <v>37.245425371126601</v>
      </c>
      <c r="T40" s="318">
        <f>S40-'[2]Bilan 2022 réel'!$V$40/11.63</f>
        <v>33.84496208174091</v>
      </c>
      <c r="U40" s="147" t="s">
        <v>21</v>
      </c>
      <c r="V40" t="s">
        <v>402</v>
      </c>
      <c r="W40" t="s">
        <v>403</v>
      </c>
      <c r="X40" t="s">
        <v>404</v>
      </c>
      <c r="Y40" t="s">
        <v>405</v>
      </c>
      <c r="Z40" s="8">
        <v>0.30501769029999998</v>
      </c>
      <c r="AA40" s="8">
        <v>6.3077541640000003</v>
      </c>
      <c r="AB40" s="8">
        <v>14.509550369999999</v>
      </c>
      <c r="AC40" s="8">
        <v>18.635775750000001</v>
      </c>
      <c r="AD40" s="96">
        <v>39.7580979743</v>
      </c>
    </row>
    <row r="41" spans="3:30" x14ac:dyDescent="0.25">
      <c r="C41" s="147" t="s">
        <v>22</v>
      </c>
      <c r="D41" t="s">
        <v>406</v>
      </c>
      <c r="E41" t="s">
        <v>407</v>
      </c>
      <c r="F41" t="s">
        <v>408</v>
      </c>
      <c r="G41" t="s">
        <v>409</v>
      </c>
      <c r="H41" s="8">
        <f>VLOOKUP(D41,Résultats!$B$2:$AX$476,'T energie vecteurs'!K5,FALSE)</f>
        <v>0</v>
      </c>
      <c r="I41" s="8">
        <f>VLOOKUP(E41,Résultats!$B$2:$AX$476,'T energie vecteurs'!K5,FALSE)</f>
        <v>2.752774252</v>
      </c>
      <c r="J41" s="8">
        <f>VLOOKUP(F41,Résultats!$B$2:$AX$476,'T energie vecteurs'!K5,FALSE)</f>
        <v>11.09293415</v>
      </c>
      <c r="K41" s="8">
        <f>VLOOKUP(G41,Résultats!$B$2:$AX$476,'T energie vecteurs'!K5,FALSE)</f>
        <v>7.7682315610000003</v>
      </c>
      <c r="L41" s="96">
        <f t="shared" si="11"/>
        <v>21.613939963</v>
      </c>
      <c r="M41" s="75"/>
      <c r="N41" s="150" t="s">
        <v>22</v>
      </c>
      <c r="O41" s="29">
        <f>('[2]Bilan 2022 réel'!$W$46)/11.63</f>
        <v>3.2835727999999995E-2</v>
      </c>
      <c r="P41" s="28">
        <f>SUM('[2]Bilan 2022 réel'!$W$41:$W$43)/11.63</f>
        <v>2.0815720291000002</v>
      </c>
      <c r="Q41" s="28">
        <f>('[2]Bilan 2022 réel'!$W$13)/11.63</f>
        <v>11.4388796216681</v>
      </c>
      <c r="R41" s="28">
        <f>('[2]Bilan 2022 réel'!$W$22+'[2]Bilan 2022 réel'!$W$30+SUM('[2]Bilan 2022 réel'!$W$36:$W$40)+SUM('[2]Bilan 2022 réel'!$W$44:$W$45)+'[2]Bilan 2022 réel'!$W$47)/11.63</f>
        <v>7.4016622456291197</v>
      </c>
      <c r="S41" s="142">
        <f t="shared" si="12"/>
        <v>20.954949624397219</v>
      </c>
      <c r="T41" s="318">
        <f>S41-'[2]Bilan 2022 réel'!$W$40/11.63</f>
        <v>20.534610033301394</v>
      </c>
      <c r="U41" s="147" t="s">
        <v>22</v>
      </c>
      <c r="V41" t="s">
        <v>406</v>
      </c>
      <c r="W41" t="s">
        <v>407</v>
      </c>
      <c r="X41" t="s">
        <v>408</v>
      </c>
      <c r="Y41" t="s">
        <v>409</v>
      </c>
      <c r="Z41" s="8">
        <v>0</v>
      </c>
      <c r="AA41" s="8">
        <v>2.7557859630000001</v>
      </c>
      <c r="AB41" s="8">
        <v>11.08335205</v>
      </c>
      <c r="AC41" s="8">
        <v>7.7555464409999999</v>
      </c>
      <c r="AD41" s="96">
        <v>21.594684453999999</v>
      </c>
    </row>
    <row r="42" spans="3:30" x14ac:dyDescent="0.25">
      <c r="C42" s="147" t="s">
        <v>490</v>
      </c>
      <c r="H42" s="8">
        <f>SUM(H43:H44)</f>
        <v>2.6032201598000002</v>
      </c>
      <c r="I42" s="8">
        <f t="shared" ref="I42:K42" si="13">SUM(I43:I44)</f>
        <v>11.070168029999991</v>
      </c>
      <c r="J42" s="8">
        <f t="shared" si="13"/>
        <v>9.2418766580000007</v>
      </c>
      <c r="K42" s="8">
        <f t="shared" si="13"/>
        <v>15.057836525000001</v>
      </c>
      <c r="L42" s="96">
        <f t="shared" si="11"/>
        <v>37.973101372799988</v>
      </c>
      <c r="M42" s="75"/>
      <c r="N42" s="150" t="s">
        <v>490</v>
      </c>
      <c r="O42" s="29">
        <f>O43+O44</f>
        <v>4.5030917883254036</v>
      </c>
      <c r="P42" s="28">
        <f t="shared" ref="P42:R42" si="14">P43+P44</f>
        <v>11.747675010745624</v>
      </c>
      <c r="Q42" s="28">
        <f t="shared" si="14"/>
        <v>9.2559822012037838</v>
      </c>
      <c r="R42" s="28">
        <f t="shared" si="14"/>
        <v>13.798624448265977</v>
      </c>
      <c r="S42" s="142">
        <f t="shared" si="12"/>
        <v>39.305373448540784</v>
      </c>
      <c r="T42" s="318">
        <f t="shared" ref="T42" si="15">S42</f>
        <v>39.305373448540784</v>
      </c>
      <c r="U42" s="147" t="s">
        <v>490</v>
      </c>
      <c r="Z42" s="8">
        <v>2.6055347496999999</v>
      </c>
      <c r="AA42" s="8">
        <v>11.081408664</v>
      </c>
      <c r="AB42" s="8">
        <v>9.2421086750000008</v>
      </c>
      <c r="AC42" s="8">
        <v>15.05075349</v>
      </c>
      <c r="AD42" s="96">
        <v>37.979805578700002</v>
      </c>
    </row>
    <row r="43" spans="3:30" x14ac:dyDescent="0.25">
      <c r="C43" s="149" t="s">
        <v>24</v>
      </c>
      <c r="D43" t="s">
        <v>410</v>
      </c>
      <c r="E43" t="s">
        <v>411</v>
      </c>
      <c r="F43" t="s">
        <v>412</v>
      </c>
      <c r="G43" t="s">
        <v>413</v>
      </c>
      <c r="H43" s="16">
        <f>VLOOKUP(D43,Résultats!$B$2:$AX$476,'T energie vecteurs'!K5,FALSE)</f>
        <v>1.7307843510000001</v>
      </c>
      <c r="I43" s="16">
        <f>VLOOKUP(E43,Résultats!$B$2:$AX$476,'T energie vecteurs'!K5,FALSE)</f>
        <v>9.1537849359999903</v>
      </c>
      <c r="J43" s="16">
        <f>VLOOKUP(F43,Résultats!$B$2:$AX$476,'T energie vecteurs'!K5,FALSE)</f>
        <v>9.2418766580000007</v>
      </c>
      <c r="K43" s="16">
        <f>VLOOKUP(G43,Résultats!$B$2:$AX$476,'T energie vecteurs'!K5,FALSE)</f>
        <v>12.918975870000001</v>
      </c>
      <c r="L43" s="95">
        <f t="shared" si="11"/>
        <v>33.045421814999997</v>
      </c>
      <c r="M43" s="16"/>
      <c r="N43" s="149" t="s">
        <v>491</v>
      </c>
      <c r="O43" s="143">
        <f>'[2]Bilan 2022 réel'!$U$46/11.63</f>
        <v>0.63402045200000001</v>
      </c>
      <c r="P43" s="30">
        <f>SUM('[2]Bilan 2022 réel'!$U$41:$U$43)/11.63</f>
        <v>2.4775829957456241</v>
      </c>
      <c r="Q43" s="30">
        <f>'[2]Bilan 2022 réel'!$U$13/11.63</f>
        <v>9.2559822012037838</v>
      </c>
      <c r="R43" s="30">
        <f>('[2]Bilan 2022 réel'!$U$22+'[2]Bilan 2022 réel'!$U$30+SUM('[2]Bilan 2022 réel'!$U$36:$U$40)+SUM('[2]Bilan 2022 réel'!$U$44:$U$45)+'[2]Bilan 2022 réel'!$U$47)/11.63</f>
        <v>12.926272664087129</v>
      </c>
      <c r="S43" s="95">
        <f t="shared" si="12"/>
        <v>25.293858313036537</v>
      </c>
      <c r="T43" s="95"/>
      <c r="U43" s="149" t="s">
        <v>24</v>
      </c>
      <c r="V43" t="s">
        <v>410</v>
      </c>
      <c r="W43" t="s">
        <v>411</v>
      </c>
      <c r="X43" t="s">
        <v>412</v>
      </c>
      <c r="Y43" t="s">
        <v>413</v>
      </c>
      <c r="Z43" s="16">
        <v>1.7329112229999999</v>
      </c>
      <c r="AA43" s="16">
        <v>9.1647792429999999</v>
      </c>
      <c r="AB43" s="16">
        <v>9.2421086750000008</v>
      </c>
      <c r="AC43" s="16">
        <v>12.913079939999999</v>
      </c>
      <c r="AD43" s="95">
        <v>33.052879081</v>
      </c>
    </row>
    <row r="44" spans="3:30" x14ac:dyDescent="0.25">
      <c r="C44" s="149" t="s">
        <v>47</v>
      </c>
      <c r="D44" t="s">
        <v>414</v>
      </c>
      <c r="E44" t="s">
        <v>415</v>
      </c>
      <c r="F44" t="s">
        <v>416</v>
      </c>
      <c r="G44" t="s">
        <v>417</v>
      </c>
      <c r="H44" s="16">
        <f>VLOOKUP(D44,Résultats!$B$2:$AX$476,'T energie vecteurs'!K5,FALSE)</f>
        <v>0.87243580880000005</v>
      </c>
      <c r="I44" s="16">
        <f>VLOOKUP(E44,Résultats!$B$2:$AX$476,'T energie vecteurs'!K5,FALSE)</f>
        <v>1.916383094</v>
      </c>
      <c r="J44" s="16">
        <f>VLOOKUP(F44,Résultats!$B$2:$AX$476,'T energie vecteurs'!K5,FALSE)</f>
        <v>0</v>
      </c>
      <c r="K44" s="16">
        <f>VLOOKUP(G44,Résultats!$B$2:$AX$476,'T energie vecteurs'!K5,FALSE)</f>
        <v>2.1388606550000002</v>
      </c>
      <c r="L44" s="95">
        <f t="shared" si="11"/>
        <v>4.9276795578000003</v>
      </c>
      <c r="M44" s="16"/>
      <c r="N44" s="149" t="s">
        <v>47</v>
      </c>
      <c r="O44" s="22">
        <f>'[2]Bilan 2022 réel'!$E$52/11.63</f>
        <v>3.8690713363254039</v>
      </c>
      <c r="P44" s="16">
        <f>('[2]Bilan 2022 réel'!$E$54+'[2]Bilan 2022 réel'!$E$56)/11.63</f>
        <v>9.2700920149999995</v>
      </c>
      <c r="Q44" s="16">
        <v>0</v>
      </c>
      <c r="R44" s="16">
        <f>('[2]Bilan 2022 réel'!$E$53+'[2]Bilan 2022 réel'!$E$55+'[2]Bilan 2022 réel'!$E$57)/11.63</f>
        <v>0.87235178417884784</v>
      </c>
      <c r="S44" s="95">
        <f t="shared" si="12"/>
        <v>14.011515135504252</v>
      </c>
      <c r="T44" s="95"/>
      <c r="U44" s="149" t="s">
        <v>47</v>
      </c>
      <c r="V44" t="s">
        <v>414</v>
      </c>
      <c r="W44" t="s">
        <v>415</v>
      </c>
      <c r="X44" t="s">
        <v>416</v>
      </c>
      <c r="Y44" t="s">
        <v>417</v>
      </c>
      <c r="Z44" s="16">
        <v>0.87262352669999999</v>
      </c>
      <c r="AA44" s="16">
        <v>1.9166294210000001</v>
      </c>
      <c r="AB44" s="16">
        <v>0</v>
      </c>
      <c r="AC44" s="16">
        <v>2.1376735500000001</v>
      </c>
      <c r="AD44" s="95">
        <v>4.9269264977000002</v>
      </c>
    </row>
    <row r="45" spans="3:30" x14ac:dyDescent="0.25">
      <c r="C45" s="147" t="s">
        <v>25</v>
      </c>
      <c r="D45" t="s">
        <v>418</v>
      </c>
      <c r="E45" t="s">
        <v>419</v>
      </c>
      <c r="F45" t="s">
        <v>420</v>
      </c>
      <c r="G45" t="s">
        <v>421</v>
      </c>
      <c r="H45" s="8">
        <f>VLOOKUP(D45,Résultats!$B$2:$AX$476,'T energie vecteurs'!K5,FALSE)</f>
        <v>0</v>
      </c>
      <c r="I45" s="8">
        <f>VLOOKUP(E45,Résultats!$B$2:$AX$476,'T energie vecteurs'!K5,FALSE)</f>
        <v>2.5142346770000001</v>
      </c>
      <c r="J45" s="8">
        <f>VLOOKUP(F45,Résultats!$B$2:$AX$476,'T energie vecteurs'!K5,FALSE)</f>
        <v>0.3196090573</v>
      </c>
      <c r="K45" s="8">
        <f>VLOOKUP(G45,Résultats!$B$2:$AX$476,'T energie vecteurs'!K5,FALSE)</f>
        <v>0.38202092809999999</v>
      </c>
      <c r="L45" s="96">
        <f t="shared" si="11"/>
        <v>3.2158646624000005</v>
      </c>
      <c r="M45" s="16"/>
      <c r="N45" s="150" t="s">
        <v>25</v>
      </c>
      <c r="O45" s="29">
        <f>'[2]Bilan 2022 réel'!$T$46/11.63</f>
        <v>1.651664E-3</v>
      </c>
      <c r="P45" s="28">
        <f>SUM('[2]Bilan 2022 réel'!$T$41:$T$43)/11.63</f>
        <v>3.5697769387513203</v>
      </c>
      <c r="Q45" s="28">
        <f>'[2]Bilan 2022 réel'!$T$13/11.63</f>
        <v>0.67291487532244199</v>
      </c>
      <c r="R45" s="28">
        <f>('[2]Bilan 2022 réel'!$T$22+'[2]Bilan 2022 réel'!$T$30+SUM('[2]Bilan 2022 réel'!$T$36:$T$40)+SUM('[2]Bilan 2022 réel'!$T$44:$T$45)+'[2]Bilan 2022 réel'!$T$47)/11.63</f>
        <v>0.43996563007547523</v>
      </c>
      <c r="S45" s="142">
        <f t="shared" si="12"/>
        <v>4.6843091081492378</v>
      </c>
      <c r="T45" s="318">
        <f>S45</f>
        <v>4.6843091081492378</v>
      </c>
      <c r="U45" s="149" t="s">
        <v>25</v>
      </c>
      <c r="V45" t="s">
        <v>418</v>
      </c>
      <c r="W45" t="s">
        <v>419</v>
      </c>
      <c r="X45" t="s">
        <v>420</v>
      </c>
      <c r="Y45" t="s">
        <v>421</v>
      </c>
      <c r="Z45" s="16">
        <v>0</v>
      </c>
      <c r="AA45" s="16">
        <v>2.5119301630000002</v>
      </c>
      <c r="AB45" s="16">
        <v>0.31896459119999998</v>
      </c>
      <c r="AC45" s="16">
        <v>0.38141049170000002</v>
      </c>
      <c r="AD45" s="95">
        <v>3.2123052459000001</v>
      </c>
    </row>
    <row r="46" spans="3:30" x14ac:dyDescent="0.25">
      <c r="C46" s="23" t="s">
        <v>26</v>
      </c>
      <c r="D46" s="10"/>
      <c r="E46" s="10"/>
      <c r="F46" s="10"/>
      <c r="G46" s="10"/>
      <c r="H46" s="9">
        <f>SUM(H37,H40:H42)</f>
        <v>2.9084183355000004</v>
      </c>
      <c r="I46" s="9">
        <f>SUM(I37,I40:I42)</f>
        <v>61.728844345999995</v>
      </c>
      <c r="J46" s="9">
        <f>SUM(J37,J40:J42)</f>
        <v>36.674188325599999</v>
      </c>
      <c r="K46" s="9">
        <f>SUM(K37,K40:K42)</f>
        <v>41.862678803484101</v>
      </c>
      <c r="L46" s="98">
        <f t="shared" si="11"/>
        <v>143.17412981058408</v>
      </c>
      <c r="M46" s="79"/>
      <c r="N46" s="151" t="s">
        <v>26</v>
      </c>
      <c r="O46" s="32">
        <f>O37+O40+O41+O42+O45</f>
        <v>4.5640554973254037</v>
      </c>
      <c r="P46" s="31">
        <f>P37+P40+P41+P42+P45</f>
        <v>64.295512199141086</v>
      </c>
      <c r="Q46" s="31">
        <f>Q37+Q40+Q41+Q42+Q45</f>
        <v>35.657811435941532</v>
      </c>
      <c r="R46" s="31">
        <f>R37+R40+R41+R42+R45</f>
        <v>42.318045756866823</v>
      </c>
      <c r="S46" s="144">
        <f t="shared" si="12"/>
        <v>146.83542488927486</v>
      </c>
      <c r="T46" s="319">
        <f>SUM(T37:T45)</f>
        <v>143.01462200879334</v>
      </c>
      <c r="U46" s="23" t="s">
        <v>26</v>
      </c>
      <c r="V46" s="10"/>
      <c r="W46" s="10"/>
      <c r="X46" s="10"/>
      <c r="Y46" s="10"/>
      <c r="Z46" s="9">
        <v>2.91055244</v>
      </c>
      <c r="AA46" s="9">
        <v>61.746656651000009</v>
      </c>
      <c r="AB46" s="9">
        <v>36.658196178300003</v>
      </c>
      <c r="AC46" s="9">
        <v>41.830918785708</v>
      </c>
      <c r="AD46" s="98">
        <v>143.14632405500802</v>
      </c>
    </row>
    <row r="47" spans="3:30" s="3" customFormat="1" x14ac:dyDescent="0.25">
      <c r="H47" s="45"/>
      <c r="I47" s="45"/>
      <c r="J47" s="45"/>
      <c r="K47" s="45"/>
      <c r="L47" s="45"/>
      <c r="M47" s="45"/>
      <c r="N47" s="45"/>
      <c r="O47" s="77"/>
      <c r="P47" s="77"/>
      <c r="Q47" s="77"/>
      <c r="R47" s="78"/>
      <c r="S47" s="45"/>
      <c r="T47" s="45"/>
      <c r="Z47" s="45"/>
      <c r="AA47" s="45"/>
      <c r="AB47" s="45"/>
      <c r="AC47" s="45"/>
      <c r="AD47" s="45"/>
    </row>
    <row r="48" spans="3:30" s="3" customFormat="1" x14ac:dyDescent="0.25"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Z48" s="45"/>
      <c r="AA48" s="45"/>
      <c r="AB48" s="45"/>
      <c r="AC48" s="45"/>
      <c r="AD48" s="45"/>
    </row>
    <row r="49" spans="2:30" ht="31.5" x14ac:dyDescent="0.35">
      <c r="C49" s="145">
        <v>2023</v>
      </c>
      <c r="D49" s="146"/>
      <c r="E49" s="146"/>
      <c r="F49" s="146"/>
      <c r="G49" s="146"/>
      <c r="H49" s="76" t="s">
        <v>36</v>
      </c>
      <c r="I49" s="76" t="s">
        <v>49</v>
      </c>
      <c r="J49" s="76" t="s">
        <v>38</v>
      </c>
      <c r="K49" s="76" t="s">
        <v>48</v>
      </c>
      <c r="L49" s="93" t="s">
        <v>1</v>
      </c>
      <c r="M49" s="19"/>
      <c r="N49" s="145">
        <v>2023</v>
      </c>
      <c r="O49" s="141" t="s">
        <v>36</v>
      </c>
      <c r="P49" s="76" t="s">
        <v>49</v>
      </c>
      <c r="Q49" s="76" t="s">
        <v>38</v>
      </c>
      <c r="R49" s="76" t="s">
        <v>48</v>
      </c>
      <c r="S49" s="93" t="s">
        <v>1</v>
      </c>
      <c r="T49" s="317" t="s">
        <v>543</v>
      </c>
      <c r="U49" s="145">
        <v>2023</v>
      </c>
      <c r="V49" s="146"/>
      <c r="W49" s="146"/>
      <c r="X49" s="146"/>
      <c r="Y49" s="146"/>
      <c r="Z49" s="76" t="s">
        <v>36</v>
      </c>
      <c r="AA49" s="76" t="s">
        <v>49</v>
      </c>
      <c r="AB49" s="76" t="s">
        <v>38</v>
      </c>
      <c r="AC49" s="76" t="s">
        <v>48</v>
      </c>
      <c r="AD49" s="93" t="s">
        <v>1</v>
      </c>
    </row>
    <row r="50" spans="2:30" x14ac:dyDescent="0.25">
      <c r="C50" s="147" t="s">
        <v>18</v>
      </c>
      <c r="H50" s="8">
        <f>SUM(H51:H52)</f>
        <v>0</v>
      </c>
      <c r="I50" s="8">
        <f>SUM(I51:I52)</f>
        <v>41.527101639999998</v>
      </c>
      <c r="J50" s="8">
        <f>SUM(J51:J52)</f>
        <v>1.9904681355</v>
      </c>
      <c r="K50" s="8">
        <f>SUM(K51:K52)</f>
        <v>0.43187794956449999</v>
      </c>
      <c r="L50" s="96">
        <f>SUM(H50:K50)</f>
        <v>43.949447725064502</v>
      </c>
      <c r="M50" s="75"/>
      <c r="N50" s="150" t="s">
        <v>18</v>
      </c>
      <c r="O50" s="29">
        <f>'[2]Bilan 2023 réel'!$X$46/11.63</f>
        <v>0</v>
      </c>
      <c r="P50" s="28">
        <f>SUM('[2]Bilan 2023 réel'!$X$41:$X$43)/11.63</f>
        <v>42.139633010859157</v>
      </c>
      <c r="Q50" s="28">
        <f>'[2]Bilan 2023 réel'!$X$13/11.63</f>
        <v>0.9065512467755803</v>
      </c>
      <c r="R50" s="28">
        <f>('[2]Bilan 2023 réel'!$X$22+'[2]Bilan 2023 réel'!$X$30+SUM('[2]Bilan 2023 réel'!$X$36:$X$40)+SUM('[2]Bilan 2023 réel'!$X$44:$X$45)+'[2]Bilan 2023 réel'!$X$47)/11.63</f>
        <v>0.31885683576956142</v>
      </c>
      <c r="S50" s="142">
        <f>SUM(O50:R50)</f>
        <v>43.365041093404294</v>
      </c>
      <c r="T50" s="318">
        <f>S50</f>
        <v>43.365041093404294</v>
      </c>
      <c r="U50" s="147" t="s">
        <v>18</v>
      </c>
      <c r="Z50" s="8">
        <v>0</v>
      </c>
      <c r="AA50" s="8">
        <v>41.582526099999995</v>
      </c>
      <c r="AB50" s="8">
        <v>1.9731035952</v>
      </c>
      <c r="AC50" s="8">
        <v>0.43162577162980004</v>
      </c>
      <c r="AD50" s="96">
        <v>43.987255466829794</v>
      </c>
    </row>
    <row r="51" spans="2:30" x14ac:dyDescent="0.25">
      <c r="C51" s="148" t="s">
        <v>19</v>
      </c>
      <c r="D51" t="s">
        <v>394</v>
      </c>
      <c r="E51" t="s">
        <v>395</v>
      </c>
      <c r="F51" t="s">
        <v>396</v>
      </c>
      <c r="G51" t="s">
        <v>397</v>
      </c>
      <c r="H51" s="16">
        <f>VLOOKUP(D51,Résultats!$B$2:$AX$476,'T energie vecteurs'!L5,FALSE)</f>
        <v>0</v>
      </c>
      <c r="I51" s="16">
        <f>VLOOKUP(E51,Résultats!$B$2:$AX$476,'T energie vecteurs'!L5,FALSE)</f>
        <v>22.596756110000001</v>
      </c>
      <c r="J51" s="16">
        <f>VLOOKUP(F51,Résultats!$B$2:$AX$476,'T energie vecteurs'!L5,FALSE)</f>
        <v>0.1496639015</v>
      </c>
      <c r="K51" s="16">
        <f>VLOOKUP(G51,Résultats!$B$2:$AX$476,'T energie vecteurs'!L5,FALSE)</f>
        <v>2.07440645E-5</v>
      </c>
      <c r="L51" s="95">
        <f t="shared" ref="L51:L52" si="16">SUM(H51:K51)</f>
        <v>22.7464407555645</v>
      </c>
      <c r="M51" s="16"/>
      <c r="N51" s="148" t="s">
        <v>19</v>
      </c>
      <c r="O51" s="143"/>
      <c r="P51" s="16"/>
      <c r="Q51" s="34"/>
      <c r="R51" s="16"/>
      <c r="S51" s="95"/>
      <c r="T51" s="95"/>
      <c r="U51" s="148" t="s">
        <v>19</v>
      </c>
      <c r="V51" t="s">
        <v>394</v>
      </c>
      <c r="W51" t="s">
        <v>395</v>
      </c>
      <c r="X51" t="s">
        <v>396</v>
      </c>
      <c r="Y51" t="s">
        <v>397</v>
      </c>
      <c r="Z51" s="16">
        <v>0</v>
      </c>
      <c r="AA51" s="16">
        <v>22.652132269999999</v>
      </c>
      <c r="AB51" s="16">
        <v>0.15190464519999999</v>
      </c>
      <c r="AC51" s="16">
        <v>2.1040729799999999E-5</v>
      </c>
      <c r="AD51" s="95">
        <v>22.804057955929796</v>
      </c>
    </row>
    <row r="52" spans="2:30" x14ac:dyDescent="0.25">
      <c r="C52" s="149" t="s">
        <v>20</v>
      </c>
      <c r="D52" t="s">
        <v>398</v>
      </c>
      <c r="E52" t="s">
        <v>399</v>
      </c>
      <c r="F52" t="s">
        <v>400</v>
      </c>
      <c r="G52" t="s">
        <v>401</v>
      </c>
      <c r="H52" s="16">
        <f>VLOOKUP(D52,Résultats!$B$2:$AX$476,'T energie vecteurs'!L5,FALSE)</f>
        <v>0</v>
      </c>
      <c r="I52" s="16">
        <f>VLOOKUP(E52,Résultats!$B$2:$AX$476,'T energie vecteurs'!L5,FALSE)</f>
        <v>18.93034553</v>
      </c>
      <c r="J52" s="16">
        <f>VLOOKUP(F52,Résultats!$B$2:$AX$476,'T energie vecteurs'!L5,FALSE)</f>
        <v>1.8408042339999999</v>
      </c>
      <c r="K52" s="16">
        <f>VLOOKUP(G52,Résultats!$B$2:$AX$476,'T energie vecteurs'!L5,FALSE)</f>
        <v>0.43185720550000001</v>
      </c>
      <c r="L52" s="95">
        <f t="shared" si="16"/>
        <v>21.203006969499999</v>
      </c>
      <c r="M52" s="16"/>
      <c r="N52" s="149" t="s">
        <v>20</v>
      </c>
      <c r="O52" s="143"/>
      <c r="P52" s="16"/>
      <c r="Q52" s="34"/>
      <c r="R52" s="16"/>
      <c r="S52" s="95"/>
      <c r="T52" s="95"/>
      <c r="U52" s="149" t="s">
        <v>20</v>
      </c>
      <c r="V52" t="s">
        <v>398</v>
      </c>
      <c r="W52" t="s">
        <v>399</v>
      </c>
      <c r="X52" t="s">
        <v>400</v>
      </c>
      <c r="Y52" t="s">
        <v>401</v>
      </c>
      <c r="Z52" s="16">
        <v>0</v>
      </c>
      <c r="AA52" s="16">
        <v>18.93039383</v>
      </c>
      <c r="AB52" s="16">
        <v>1.8211989500000001</v>
      </c>
      <c r="AC52" s="16">
        <v>0.43160473090000001</v>
      </c>
      <c r="AD52" s="95">
        <v>21.183197510899998</v>
      </c>
    </row>
    <row r="53" spans="2:30" x14ac:dyDescent="0.25">
      <c r="C53" s="147" t="s">
        <v>21</v>
      </c>
      <c r="D53" t="s">
        <v>402</v>
      </c>
      <c r="E53" t="s">
        <v>403</v>
      </c>
      <c r="F53" t="s">
        <v>404</v>
      </c>
      <c r="G53" t="s">
        <v>405</v>
      </c>
      <c r="H53" s="8">
        <f>VLOOKUP(D53,Résultats!$B$2:$AX$476,'T energie vecteurs'!L5,FALSE)</f>
        <v>0.29894364029999998</v>
      </c>
      <c r="I53" s="293">
        <f>VLOOKUP(E53,Résultats!$B$2:$AX$476,'T energie vecteurs'!L5,FALSE)</f>
        <v>6.231540689</v>
      </c>
      <c r="J53" s="8">
        <f>VLOOKUP(F53,Résultats!$B$2:$AX$476,'T energie vecteurs'!L5,FALSE)</f>
        <v>14.615124310000001</v>
      </c>
      <c r="K53" s="8">
        <f>VLOOKUP(G53,Résultats!$B$2:$AX$476,'T energie vecteurs'!L5,FALSE)+2</f>
        <v>18.5235953</v>
      </c>
      <c r="L53" s="96">
        <f>SUM(H53:K53)</f>
        <v>39.669203939300004</v>
      </c>
      <c r="M53" s="75"/>
      <c r="N53" s="150" t="s">
        <v>21</v>
      </c>
      <c r="O53" s="29">
        <f>'[2]Bilan 2023 réel'!$V$46/11.63</f>
        <v>1.9785054E-2</v>
      </c>
      <c r="P53" s="28">
        <f>SUM('[2]Bilan 2023 réel'!$V$41:$V$43)/11.63</f>
        <v>3.0423469738</v>
      </c>
      <c r="Q53" s="28">
        <f>'[2]Bilan 2023 réel'!$V$13/11.63</f>
        <v>13.020267239896821</v>
      </c>
      <c r="R53" s="28">
        <f>('[2]Bilan 2023 réel'!$V$22+'[2]Bilan 2023 réel'!$V$30+SUM('[2]Bilan 2023 réel'!$V$36:$V$40)+SUM('[2]Bilan 2023 réel'!$V$44:$V$45)+'[2]Bilan 2023 réel'!$V$47)/11.63</f>
        <v>20.330842243575045</v>
      </c>
      <c r="S53" s="142">
        <f t="shared" ref="S53:S59" si="17">SUM(O53:R53)</f>
        <v>36.413241511271863</v>
      </c>
      <c r="T53" s="318">
        <f>S53-'[2]Bilan 2023 réel'!$V$40/11.63</f>
        <v>32.592131092813851</v>
      </c>
      <c r="U53" s="147" t="s">
        <v>21</v>
      </c>
      <c r="V53" t="s">
        <v>402</v>
      </c>
      <c r="W53" t="s">
        <v>403</v>
      </c>
      <c r="X53" t="s">
        <v>404</v>
      </c>
      <c r="Y53" t="s">
        <v>405</v>
      </c>
      <c r="Z53" s="8">
        <v>0.29875573909999997</v>
      </c>
      <c r="AA53" s="293">
        <v>6.2333538300000004</v>
      </c>
      <c r="AB53" s="8">
        <v>14.607608369999999</v>
      </c>
      <c r="AC53" s="8">
        <v>18.512334450000001</v>
      </c>
      <c r="AD53" s="96">
        <v>39.6520523891</v>
      </c>
    </row>
    <row r="54" spans="2:30" x14ac:dyDescent="0.25">
      <c r="C54" s="147" t="s">
        <v>22</v>
      </c>
      <c r="D54" t="s">
        <v>406</v>
      </c>
      <c r="E54" t="s">
        <v>407</v>
      </c>
      <c r="F54" t="s">
        <v>408</v>
      </c>
      <c r="G54" t="s">
        <v>409</v>
      </c>
      <c r="H54" s="8">
        <f>VLOOKUP(D54,Résultats!$B$2:$AX$476,'T energie vecteurs'!L5,FALSE)</f>
        <v>0</v>
      </c>
      <c r="I54" s="8">
        <f>VLOOKUP(E54,Résultats!$B$2:$AX$476,'T energie vecteurs'!L5,FALSE)</f>
        <v>2.7707803900000001</v>
      </c>
      <c r="J54" s="8">
        <f>VLOOKUP(F54,Résultats!$B$2:$AX$476,'T energie vecteurs'!L5,FALSE)</f>
        <v>11.019922129999999</v>
      </c>
      <c r="K54" s="8">
        <f>VLOOKUP(G54,Résultats!$B$2:$AX$476,'T energie vecteurs'!L5,FALSE)</f>
        <v>7.7343846579999997</v>
      </c>
      <c r="L54" s="96">
        <f t="shared" ref="L54:L56" si="18">SUM(H54:K54)</f>
        <v>21.525087178</v>
      </c>
      <c r="M54" s="75"/>
      <c r="N54" s="150" t="s">
        <v>22</v>
      </c>
      <c r="O54" s="29">
        <f>('[2]Bilan 2023 réel'!$W$46)/11.63</f>
        <v>2.9470376E-2</v>
      </c>
      <c r="P54" s="28">
        <f>SUM('[2]Bilan 2023 réel'!$W$41:$W$43)/11.63</f>
        <v>2.063881609425366</v>
      </c>
      <c r="Q54" s="28">
        <f>('[2]Bilan 2023 réel'!$W$13)/11.63</f>
        <v>11.200373602751505</v>
      </c>
      <c r="R54" s="28">
        <f>('[2]Bilan 2023 réel'!$W$22+'[2]Bilan 2023 réel'!$W$30+SUM('[2]Bilan 2023 réel'!$W$36:$W$40)+SUM('[2]Bilan 2023 réel'!$W$44:$W$45)+'[2]Bilan 2023 réel'!$W$47)/11.63</f>
        <v>7.0633917765357781</v>
      </c>
      <c r="S54" s="142">
        <f t="shared" si="17"/>
        <v>20.35711736471265</v>
      </c>
      <c r="T54" s="318">
        <f>S54-'[2]Bilan 2023 réel'!$W$40/11.63</f>
        <v>19.922166758044071</v>
      </c>
      <c r="U54" s="147" t="s">
        <v>22</v>
      </c>
      <c r="V54" t="s">
        <v>406</v>
      </c>
      <c r="W54" t="s">
        <v>407</v>
      </c>
      <c r="X54" t="s">
        <v>408</v>
      </c>
      <c r="Y54" t="s">
        <v>409</v>
      </c>
      <c r="Z54" s="8">
        <v>0</v>
      </c>
      <c r="AA54" s="8">
        <v>2.7733747499999999</v>
      </c>
      <c r="AB54" s="8">
        <v>11.01172687</v>
      </c>
      <c r="AC54" s="8">
        <v>7.7230016040000002</v>
      </c>
      <c r="AD54" s="96">
        <v>21.508103224000003</v>
      </c>
    </row>
    <row r="55" spans="2:30" x14ac:dyDescent="0.25">
      <c r="C55" s="147" t="s">
        <v>490</v>
      </c>
      <c r="H55" s="8">
        <f>SUM(H56:H57)</f>
        <v>2.6157263766000001</v>
      </c>
      <c r="I55" s="8">
        <f t="shared" ref="I55:K55" si="19">SUM(I56:I57)</f>
        <v>11.098507948</v>
      </c>
      <c r="J55" s="8">
        <f t="shared" si="19"/>
        <v>9.4948497140000008</v>
      </c>
      <c r="K55" s="8">
        <f t="shared" si="19"/>
        <v>15.276775783</v>
      </c>
      <c r="L55" s="96">
        <f t="shared" si="18"/>
        <v>38.485859821600002</v>
      </c>
      <c r="M55" s="75"/>
      <c r="N55" s="150" t="s">
        <v>490</v>
      </c>
      <c r="O55" s="29">
        <f>O56+O57</f>
        <v>3.8091541290558895</v>
      </c>
      <c r="P55" s="28">
        <f t="shared" ref="P55:R55" si="20">P56+P57</f>
        <v>12.120619615422576</v>
      </c>
      <c r="Q55" s="28">
        <f t="shared" si="20"/>
        <v>8.8688043852106624</v>
      </c>
      <c r="R55" s="28">
        <f t="shared" si="20"/>
        <v>13.009554326375659</v>
      </c>
      <c r="S55" s="142">
        <f t="shared" si="17"/>
        <v>37.808132456064783</v>
      </c>
      <c r="T55" s="318">
        <f t="shared" ref="T55" si="21">S55</f>
        <v>37.808132456064783</v>
      </c>
      <c r="U55" s="147" t="s">
        <v>490</v>
      </c>
      <c r="Z55" s="8">
        <v>2.6190376276</v>
      </c>
      <c r="AA55" s="8">
        <v>11.105466030999999</v>
      </c>
      <c r="AB55" s="8">
        <v>9.4968559250000002</v>
      </c>
      <c r="AC55" s="8">
        <v>15.269717437999999</v>
      </c>
      <c r="AD55" s="96">
        <v>38.491077021599999</v>
      </c>
    </row>
    <row r="56" spans="2:30" x14ac:dyDescent="0.25">
      <c r="C56" s="149" t="s">
        <v>24</v>
      </c>
      <c r="D56" t="s">
        <v>410</v>
      </c>
      <c r="E56" t="s">
        <v>411</v>
      </c>
      <c r="F56" t="s">
        <v>412</v>
      </c>
      <c r="G56" t="s">
        <v>413</v>
      </c>
      <c r="H56" s="16">
        <f>VLOOKUP(D56,Résultats!$B$2:$AX$476,'T energie vecteurs'!L5,FALSE)</f>
        <v>1.728604518</v>
      </c>
      <c r="I56" s="16">
        <f>VLOOKUP(E56,Résultats!$B$2:$AX$476,'T energie vecteurs'!L5,FALSE)</f>
        <v>9.140644322</v>
      </c>
      <c r="J56" s="16">
        <f>VLOOKUP(F56,Résultats!$B$2:$AX$476,'T energie vecteurs'!L5,FALSE)</f>
        <v>9.4948497140000008</v>
      </c>
      <c r="K56" s="16">
        <f>VLOOKUP(G56,Résultats!$B$2:$AX$476,'T energie vecteurs'!L5,FALSE)</f>
        <v>13.10311113</v>
      </c>
      <c r="L56" s="95">
        <f t="shared" si="18"/>
        <v>33.467209684000004</v>
      </c>
      <c r="M56" s="16"/>
      <c r="N56" s="149" t="s">
        <v>491</v>
      </c>
      <c r="O56" s="143">
        <f>'[2]Bilan 2023 réel'!$U$46/11.63</f>
        <v>0.58092196100000004</v>
      </c>
      <c r="P56" s="30">
        <f>SUM('[2]Bilan 2023 réel'!$U$41:$U$43)/11.63</f>
        <v>2.395717067522579</v>
      </c>
      <c r="Q56" s="30">
        <f>'[2]Bilan 2023 réel'!$U$13/11.63</f>
        <v>8.8688043852106624</v>
      </c>
      <c r="R56" s="30">
        <f>('[2]Bilan 2023 réel'!$U$22+'[2]Bilan 2023 réel'!$U$30+SUM('[2]Bilan 2023 réel'!$U$36:$U$40)+SUM('[2]Bilan 2023 réel'!$U$44:$U$45)+'[2]Bilan 2023 réel'!$U$47)/11.63</f>
        <v>12.148361914509794</v>
      </c>
      <c r="S56" s="95">
        <f t="shared" si="17"/>
        <v>23.993805328243035</v>
      </c>
      <c r="T56" s="95"/>
      <c r="U56" s="149" t="s">
        <v>24</v>
      </c>
      <c r="V56" t="s">
        <v>410</v>
      </c>
      <c r="W56" t="s">
        <v>411</v>
      </c>
      <c r="X56" t="s">
        <v>412</v>
      </c>
      <c r="Y56" t="s">
        <v>413</v>
      </c>
      <c r="Z56" s="16">
        <v>1.731244891</v>
      </c>
      <c r="AA56" s="16">
        <v>9.1472184589999994</v>
      </c>
      <c r="AB56" s="16">
        <v>9.4968559250000002</v>
      </c>
      <c r="AC56" s="16">
        <v>13.09688426</v>
      </c>
      <c r="AD56" s="95">
        <v>33.472203534999998</v>
      </c>
    </row>
    <row r="57" spans="2:30" x14ac:dyDescent="0.25">
      <c r="C57" s="149" t="s">
        <v>47</v>
      </c>
      <c r="D57" t="s">
        <v>414</v>
      </c>
      <c r="E57" t="s">
        <v>415</v>
      </c>
      <c r="F57" t="s">
        <v>416</v>
      </c>
      <c r="G57" t="s">
        <v>417</v>
      </c>
      <c r="H57" s="16">
        <f>VLOOKUP(D57,Résultats!$B$2:$AX$476,'T energie vecteurs'!L5,FALSE)</f>
        <v>0.88712185860000004</v>
      </c>
      <c r="I57" s="16">
        <f>VLOOKUP(E57,Résultats!$B$2:$AX$476,'T energie vecteurs'!L5,FALSE)</f>
        <v>1.957863626</v>
      </c>
      <c r="J57" s="16">
        <f>VLOOKUP(F57,Résultats!$B$2:$AX$476,'T energie vecteurs'!L5,FALSE)</f>
        <v>0</v>
      </c>
      <c r="K57" s="16">
        <f>VLOOKUP(G57,Résultats!$B$2:$AX$476,'T energie vecteurs'!L5,FALSE)</f>
        <v>2.1736646529999999</v>
      </c>
      <c r="L57" s="95">
        <f>SUM(H57:K57)</f>
        <v>5.0186501375999999</v>
      </c>
      <c r="M57" s="16"/>
      <c r="N57" s="149" t="s">
        <v>47</v>
      </c>
      <c r="O57" s="22">
        <f>'[2]Bilan 2023 réel'!$E$52/11.63</f>
        <v>3.2282321680558894</v>
      </c>
      <c r="P57" s="16">
        <f>('[2]Bilan 2023 réel'!$E$54+'[2]Bilan 2023 réel'!$E$56)/11.63</f>
        <v>9.7249025478999975</v>
      </c>
      <c r="Q57" s="16">
        <v>0</v>
      </c>
      <c r="R57" s="16">
        <f>('[2]Bilan 2023 réel'!$E$53+'[2]Bilan 2023 réel'!$E$55+'[2]Bilan 2023 réel'!$E$57)/11.63</f>
        <v>0.86119241186586415</v>
      </c>
      <c r="S57" s="95">
        <f t="shared" si="17"/>
        <v>13.814327127821752</v>
      </c>
      <c r="T57" s="95"/>
      <c r="U57" s="149" t="s">
        <v>47</v>
      </c>
      <c r="V57" t="s">
        <v>414</v>
      </c>
      <c r="W57" t="s">
        <v>415</v>
      </c>
      <c r="X57" t="s">
        <v>416</v>
      </c>
      <c r="Y57" t="s">
        <v>417</v>
      </c>
      <c r="Z57" s="16">
        <v>0.88779273660000002</v>
      </c>
      <c r="AA57" s="16">
        <v>1.9582475720000001</v>
      </c>
      <c r="AB57" s="16">
        <v>0</v>
      </c>
      <c r="AC57" s="16">
        <v>2.1728331779999999</v>
      </c>
      <c r="AD57" s="95">
        <v>5.0188734866000004</v>
      </c>
    </row>
    <row r="58" spans="2:30" x14ac:dyDescent="0.25">
      <c r="C58" s="147" t="s">
        <v>25</v>
      </c>
      <c r="D58" t="s">
        <v>418</v>
      </c>
      <c r="E58" t="s">
        <v>419</v>
      </c>
      <c r="F58" t="s">
        <v>420</v>
      </c>
      <c r="G58" t="s">
        <v>421</v>
      </c>
      <c r="H58" s="8">
        <f>VLOOKUP(D58,Résultats!$B$2:$AX$476,'T energie vecteurs'!L5,FALSE)</f>
        <v>0</v>
      </c>
      <c r="I58" s="8">
        <f>VLOOKUP(E58,Résultats!$B$2:$AX$476,'T energie vecteurs'!L5,FALSE)</f>
        <v>2.5920387580000002</v>
      </c>
      <c r="J58" s="8">
        <f>VLOOKUP(F58,Résultats!$B$2:$AX$476,'T energie vecteurs'!L5,FALSE)</f>
        <v>0.32537683820000002</v>
      </c>
      <c r="K58" s="8">
        <f>VLOOKUP(G58,Résultats!$B$2:$AX$476,'T energie vecteurs'!L5,FALSE)</f>
        <v>0.39178273819999998</v>
      </c>
      <c r="L58" s="96">
        <f t="shared" ref="L58" si="22">SUM(H58:K58)</f>
        <v>3.3091983344</v>
      </c>
      <c r="M58" s="16"/>
      <c r="N58" s="150" t="s">
        <v>25</v>
      </c>
      <c r="O58" s="29">
        <f>'[2]Bilan 2023 réel'!$T$46/11.63</f>
        <v>1.221354E-3</v>
      </c>
      <c r="P58" s="28">
        <f>SUM('[2]Bilan 2023 réel'!$T$41:$T$43)/11.63</f>
        <v>3.4194391444513199</v>
      </c>
      <c r="Q58" s="28">
        <f>'[2]Bilan 2023 réel'!$T$13/11.63</f>
        <v>0.65647798796216683</v>
      </c>
      <c r="R58" s="28">
        <f>('[2]Bilan 2023 réel'!$T$22+'[2]Bilan 2023 réel'!$T$30+SUM('[2]Bilan 2023 réel'!$T$36:$T$40)+SUM('[2]Bilan 2023 réel'!$T$44:$T$45)+'[2]Bilan 2023 réel'!$T$47)/11.63</f>
        <v>0.44186481322250887</v>
      </c>
      <c r="S58" s="142">
        <f t="shared" si="17"/>
        <v>4.5190032996359957</v>
      </c>
      <c r="T58" s="318">
        <f>S58</f>
        <v>4.5190032996359957</v>
      </c>
      <c r="U58" s="149" t="s">
        <v>25</v>
      </c>
      <c r="V58" t="s">
        <v>418</v>
      </c>
      <c r="W58" t="s">
        <v>419</v>
      </c>
      <c r="X58" t="s">
        <v>420</v>
      </c>
      <c r="Y58" t="s">
        <v>421</v>
      </c>
      <c r="Z58" s="16">
        <v>0</v>
      </c>
      <c r="AA58" s="16">
        <v>2.5869168189999998</v>
      </c>
      <c r="AB58" s="16">
        <v>0.32451311300000002</v>
      </c>
      <c r="AC58" s="16">
        <v>0.3908921561</v>
      </c>
      <c r="AD58" s="95">
        <v>3.3023220880999999</v>
      </c>
    </row>
    <row r="59" spans="2:30" x14ac:dyDescent="0.25">
      <c r="C59" s="23" t="s">
        <v>26</v>
      </c>
      <c r="D59" s="10"/>
      <c r="E59" s="10"/>
      <c r="F59" s="10"/>
      <c r="G59" s="10"/>
      <c r="H59" s="9">
        <f>SUM(H50,H53:H55)</f>
        <v>2.9146700169000002</v>
      </c>
      <c r="I59" s="9">
        <f>SUM(I50,I53:I55)</f>
        <v>61.627930666999994</v>
      </c>
      <c r="J59" s="9">
        <f>SUM(J50,J53:J55)</f>
        <v>37.120364289500003</v>
      </c>
      <c r="K59" s="9">
        <f>SUM(K50,K53:K55)</f>
        <v>41.9666336905645</v>
      </c>
      <c r="L59" s="98">
        <f>SUM(H59:K59)</f>
        <v>143.62959866396449</v>
      </c>
      <c r="M59" s="79"/>
      <c r="N59" s="151" t="s">
        <v>26</v>
      </c>
      <c r="O59" s="32">
        <f>O50+O53+O54+O55+O58</f>
        <v>3.8596309130558897</v>
      </c>
      <c r="P59" s="31">
        <f>P50+P53+P54+P55+P58</f>
        <v>62.785920353958417</v>
      </c>
      <c r="Q59" s="31">
        <f>Q50+Q53+Q54+Q55+Q58</f>
        <v>34.652474462596736</v>
      </c>
      <c r="R59" s="31">
        <f>R50+R53+R54+R55+R58</f>
        <v>41.164509995478554</v>
      </c>
      <c r="S59" s="144">
        <f t="shared" si="17"/>
        <v>142.46253572508959</v>
      </c>
      <c r="T59" s="319">
        <f>SUM(T50:T58)</f>
        <v>138.206474699963</v>
      </c>
      <c r="U59" s="23" t="s">
        <v>26</v>
      </c>
      <c r="V59" s="10"/>
      <c r="W59" s="10"/>
      <c r="X59" s="10"/>
      <c r="Y59" s="10"/>
      <c r="Z59" s="9">
        <v>2.9177933666999998</v>
      </c>
      <c r="AA59" s="9">
        <v>61.694720710999995</v>
      </c>
      <c r="AB59" s="9">
        <v>37.089294760199998</v>
      </c>
      <c r="AC59" s="9">
        <v>41.936679263629799</v>
      </c>
      <c r="AD59" s="98">
        <v>143.63848810152979</v>
      </c>
    </row>
    <row r="60" spans="2:30" s="3" customFormat="1" x14ac:dyDescent="0.25">
      <c r="O60" s="77"/>
      <c r="P60" s="77"/>
      <c r="Q60" s="77"/>
      <c r="R60" s="78"/>
      <c r="S60" s="45"/>
    </row>
    <row r="61" spans="2:30" s="3" customFormat="1" x14ac:dyDescent="0.25">
      <c r="B61" s="60"/>
      <c r="K61" s="47"/>
      <c r="O61" s="79"/>
      <c r="P61" s="79"/>
      <c r="Q61" s="79"/>
      <c r="R61" s="80"/>
      <c r="S61" s="81"/>
      <c r="AC61" s="47"/>
    </row>
    <row r="62" spans="2:30" ht="31.5" x14ac:dyDescent="0.35">
      <c r="C62" s="145">
        <v>2025</v>
      </c>
      <c r="D62" s="146"/>
      <c r="E62" s="146"/>
      <c r="F62" s="146"/>
      <c r="G62" s="146"/>
      <c r="H62" s="76" t="s">
        <v>36</v>
      </c>
      <c r="I62" s="76" t="s">
        <v>49</v>
      </c>
      <c r="J62" s="76" t="s">
        <v>38</v>
      </c>
      <c r="K62" s="76" t="s">
        <v>48</v>
      </c>
      <c r="L62" s="93" t="s">
        <v>1</v>
      </c>
      <c r="M62" s="19"/>
      <c r="N62" s="145">
        <v>2025</v>
      </c>
      <c r="O62" s="141" t="s">
        <v>36</v>
      </c>
      <c r="P62" s="76" t="s">
        <v>49</v>
      </c>
      <c r="Q62" s="76" t="s">
        <v>38</v>
      </c>
      <c r="R62" s="76" t="s">
        <v>48</v>
      </c>
      <c r="S62" s="93" t="s">
        <v>1</v>
      </c>
      <c r="T62" s="317" t="s">
        <v>543</v>
      </c>
      <c r="U62" s="145">
        <v>2025</v>
      </c>
      <c r="V62" s="146"/>
      <c r="W62" s="146"/>
      <c r="X62" s="146"/>
      <c r="Y62" s="146"/>
      <c r="Z62" s="76" t="s">
        <v>36</v>
      </c>
      <c r="AA62" s="76" t="s">
        <v>49</v>
      </c>
      <c r="AB62" s="76" t="s">
        <v>38</v>
      </c>
      <c r="AC62" s="76" t="s">
        <v>48</v>
      </c>
      <c r="AD62" s="93" t="s">
        <v>1</v>
      </c>
    </row>
    <row r="63" spans="2:30" x14ac:dyDescent="0.25">
      <c r="C63" s="147" t="s">
        <v>18</v>
      </c>
      <c r="H63" s="8">
        <f>SUM(H64:H65)</f>
        <v>0</v>
      </c>
      <c r="I63" s="8">
        <f>SUM(I64:I65)</f>
        <v>40.723936799999997</v>
      </c>
      <c r="J63" s="8">
        <f>SUM(J64:J65)</f>
        <v>2.4159306321999998</v>
      </c>
      <c r="K63" s="8">
        <f>SUM(K64:K65)</f>
        <v>0.59712963194480007</v>
      </c>
      <c r="L63" s="96">
        <f t="shared" ref="L63:L72" si="23">SUM(H63:K63)</f>
        <v>43.736997064144802</v>
      </c>
      <c r="M63" s="75"/>
      <c r="N63" s="150" t="s">
        <v>18</v>
      </c>
      <c r="O63" s="29">
        <f>'[2]Bilan 2025 AMS'!$X$46/11.63</f>
        <v>0</v>
      </c>
      <c r="P63" s="28">
        <f>SUM('[2]Bilan 2025 AMS'!$X$41:$X$43)/11.63</f>
        <v>39.248086514996544</v>
      </c>
      <c r="Q63" s="28">
        <f>'[2]Bilan 2025 AMS'!$X$13/11.63</f>
        <v>1.453494342958451</v>
      </c>
      <c r="R63" s="28">
        <f>('[2]Bilan 2025 AMS'!$X$22+'[2]Bilan 2025 AMS'!$X$30+SUM('[2]Bilan 2025 AMS'!$X$36:$X$40)+SUM('[2]Bilan 2025 AMS'!$X$44:$X$45)+'[2]Bilan 2025 AMS'!$X$47)/11.63</f>
        <v>0.36357192736941735</v>
      </c>
      <c r="S63" s="142">
        <f>SUM(O63:R63)</f>
        <v>41.065152785324415</v>
      </c>
      <c r="T63" s="318">
        <f>S63</f>
        <v>41.065152785324415</v>
      </c>
      <c r="U63" s="147" t="s">
        <v>18</v>
      </c>
      <c r="Z63" s="8">
        <v>0</v>
      </c>
      <c r="AA63" s="8">
        <v>40.831963509999994</v>
      </c>
      <c r="AB63" s="8">
        <v>2.3079227003000002</v>
      </c>
      <c r="AC63" s="8">
        <v>0.43823609342350001</v>
      </c>
      <c r="AD63" s="96">
        <v>43.578122303723489</v>
      </c>
    </row>
    <row r="64" spans="2:30" x14ac:dyDescent="0.25">
      <c r="C64" s="148" t="s">
        <v>19</v>
      </c>
      <c r="D64" t="s">
        <v>394</v>
      </c>
      <c r="E64" t="s">
        <v>395</v>
      </c>
      <c r="F64" t="s">
        <v>396</v>
      </c>
      <c r="G64" t="s">
        <v>397</v>
      </c>
      <c r="H64" s="16">
        <f>VLOOKUP(D64,Résultats!$B$2:$AX$476,'T energie vecteurs'!N5,FALSE)</f>
        <v>0</v>
      </c>
      <c r="I64" s="16">
        <f>VLOOKUP(E64,Résultats!$B$2:$AX$476,'T energie vecteurs'!N5,FALSE)</f>
        <v>21.686224249999999</v>
      </c>
      <c r="J64" s="16">
        <f>VLOOKUP(F64,Résultats!$B$2:$AX$476,'T energie vecteurs'!N5,FALSE)</f>
        <v>0.21899140219999999</v>
      </c>
      <c r="K64" s="16">
        <f>VLOOKUP(G77,Résultats!$B$2:$AX$476,'T energie vecteurs'!N5,FALSE)</f>
        <v>2.4772644800000001E-5</v>
      </c>
      <c r="L64" s="95">
        <f t="shared" si="23"/>
        <v>21.905240424844798</v>
      </c>
      <c r="M64" s="16"/>
      <c r="N64" s="148" t="s">
        <v>19</v>
      </c>
      <c r="O64" s="143"/>
      <c r="P64" s="16"/>
      <c r="Q64" s="34"/>
      <c r="R64" s="16"/>
      <c r="S64" s="95"/>
      <c r="T64" s="95"/>
      <c r="U64" s="148" t="s">
        <v>19</v>
      </c>
      <c r="V64" t="s">
        <v>394</v>
      </c>
      <c r="W64" t="s">
        <v>395</v>
      </c>
      <c r="X64" t="s">
        <v>396</v>
      </c>
      <c r="Y64" t="s">
        <v>397</v>
      </c>
      <c r="Z64" s="16">
        <v>0</v>
      </c>
      <c r="AA64" s="16">
        <v>21.958702349999999</v>
      </c>
      <c r="AB64" s="16">
        <v>0.23327753130000001</v>
      </c>
      <c r="AC64" s="16">
        <v>2.57931235E-5</v>
      </c>
      <c r="AD64" s="95">
        <v>22.192005674423498</v>
      </c>
    </row>
    <row r="65" spans="3:30" x14ac:dyDescent="0.25">
      <c r="C65" s="149" t="s">
        <v>20</v>
      </c>
      <c r="D65" t="s">
        <v>398</v>
      </c>
      <c r="E65" t="s">
        <v>399</v>
      </c>
      <c r="F65" t="s">
        <v>400</v>
      </c>
      <c r="G65" t="s">
        <v>401</v>
      </c>
      <c r="H65" s="16">
        <f>VLOOKUP(D65,Résultats!$B$2:$AX$476,'T energie vecteurs'!N5,FALSE)</f>
        <v>0</v>
      </c>
      <c r="I65" s="16">
        <f>VLOOKUP(E65,Résultats!$B$2:$AX$476,'T energie vecteurs'!N5,FALSE)</f>
        <v>19.037712549999998</v>
      </c>
      <c r="J65" s="16">
        <f>VLOOKUP(F65,Résultats!$B$2:$AX$476,'T energie vecteurs'!N5,FALSE)</f>
        <v>2.1969392299999999</v>
      </c>
      <c r="K65" s="16">
        <f>VLOOKUP(G65,Résultats!$B$2:$AX$476,'T energie vecteurs'!N5,FALSE)</f>
        <v>0.59710485930000001</v>
      </c>
      <c r="L65" s="95">
        <f t="shared" si="23"/>
        <v>21.8317566393</v>
      </c>
      <c r="M65" s="16"/>
      <c r="N65" s="149" t="s">
        <v>20</v>
      </c>
      <c r="O65" s="143"/>
      <c r="P65" s="16"/>
      <c r="Q65" s="34"/>
      <c r="R65" s="16"/>
      <c r="S65" s="95"/>
      <c r="T65" s="95"/>
      <c r="U65" s="149" t="s">
        <v>20</v>
      </c>
      <c r="V65" t="s">
        <v>398</v>
      </c>
      <c r="W65" t="s">
        <v>399</v>
      </c>
      <c r="X65" t="s">
        <v>400</v>
      </c>
      <c r="Y65" t="s">
        <v>401</v>
      </c>
      <c r="Z65" s="16">
        <v>0</v>
      </c>
      <c r="AA65" s="16">
        <v>18.873261159999998</v>
      </c>
      <c r="AB65" s="16">
        <v>2.0746451690000001</v>
      </c>
      <c r="AC65" s="16">
        <v>0.43821030030000002</v>
      </c>
      <c r="AD65" s="95">
        <v>21.386116629299998</v>
      </c>
    </row>
    <row r="66" spans="3:30" x14ac:dyDescent="0.25">
      <c r="C66" s="147" t="s">
        <v>21</v>
      </c>
      <c r="D66" t="s">
        <v>402</v>
      </c>
      <c r="E66" t="s">
        <v>403</v>
      </c>
      <c r="F66" t="s">
        <v>404</v>
      </c>
      <c r="G66" t="s">
        <v>405</v>
      </c>
      <c r="H66" s="8">
        <f>VLOOKUP(D66,Résultats!$B$2:$AX$476,'T energie vecteurs'!N5,FALSE)</f>
        <v>0.29152856939999999</v>
      </c>
      <c r="I66" s="8">
        <f>VLOOKUP(E66,Résultats!$B$2:$AX$476,'T energie vecteurs'!N5,FALSE)</f>
        <v>6.144782234</v>
      </c>
      <c r="J66" s="8">
        <f>VLOOKUP(F66,Résultats!$B$2:$AX$476,'T energie vecteurs'!N5,FALSE)</f>
        <v>14.76701905</v>
      </c>
      <c r="K66" s="8">
        <f>VLOOKUP(G66,Résultats!$B$2:$AX$476,'T energie vecteurs'!N5,FALSE)+2</f>
        <v>18.928432269999998</v>
      </c>
      <c r="L66" s="96">
        <f t="shared" si="23"/>
        <v>40.131762123399994</v>
      </c>
      <c r="M66" s="75"/>
      <c r="N66" s="150" t="s">
        <v>21</v>
      </c>
      <c r="O66" s="29">
        <f>'[2]Bilan 2025 AMS'!$V$46/11.63</f>
        <v>0</v>
      </c>
      <c r="P66" s="28">
        <f>SUM('[2]Bilan 2025 AMS'!$V$41:$V$43)/11.63</f>
        <v>2.6022446322442225</v>
      </c>
      <c r="Q66" s="28">
        <f>'[2]Bilan 2025 AMS'!$V$13/11.63</f>
        <v>13.409751504151663</v>
      </c>
      <c r="R66" s="28">
        <f>('[2]Bilan 2025 AMS'!$V$22+'[2]Bilan 2025 AMS'!$V$30+SUM('[2]Bilan 2025 AMS'!$V$36:$V$40)+SUM('[2]Bilan 2025 AMS'!$V$44:$V$45)+'[2]Bilan 2025 AMS'!$V$47)/11.63</f>
        <v>23.07775045887356</v>
      </c>
      <c r="S66" s="142">
        <f t="shared" ref="S66:S72" si="24">SUM(O66:R66)</f>
        <v>39.089746595269446</v>
      </c>
      <c r="T66" s="318">
        <f>S66-'[2]Bilan 2025 AMS'!$V$40/11.63</f>
        <v>34.032746162030314</v>
      </c>
      <c r="U66" s="147" t="s">
        <v>21</v>
      </c>
      <c r="V66" t="s">
        <v>402</v>
      </c>
      <c r="W66" t="s">
        <v>403</v>
      </c>
      <c r="X66" t="s">
        <v>404</v>
      </c>
      <c r="Y66" t="s">
        <v>405</v>
      </c>
      <c r="Z66" s="8">
        <v>0.28924767899999998</v>
      </c>
      <c r="AA66" s="8">
        <v>5.7018134949999997</v>
      </c>
      <c r="AB66" s="8">
        <v>14.75311832</v>
      </c>
      <c r="AC66" s="8">
        <v>19.602193669999998</v>
      </c>
      <c r="AD66" s="96">
        <v>40.346373163999999</v>
      </c>
    </row>
    <row r="67" spans="3:30" x14ac:dyDescent="0.25">
      <c r="C67" s="147" t="s">
        <v>22</v>
      </c>
      <c r="D67" t="s">
        <v>406</v>
      </c>
      <c r="E67" t="s">
        <v>407</v>
      </c>
      <c r="F67" t="s">
        <v>408</v>
      </c>
      <c r="G67" t="s">
        <v>409</v>
      </c>
      <c r="H67" s="8">
        <f>VLOOKUP(D67,Résultats!$B$2:$AX$476,'T energie vecteurs'!N5,FALSE)</f>
        <v>0</v>
      </c>
      <c r="I67" s="8">
        <f>VLOOKUP(E67,Résultats!$B$2:$AX$476,'T energie vecteurs'!N5,FALSE)</f>
        <v>2.5863682579999998</v>
      </c>
      <c r="J67" s="8">
        <f>VLOOKUP(F67,Résultats!$B$2:$AX$476,'T energie vecteurs'!N5,FALSE)</f>
        <v>11.17845099</v>
      </c>
      <c r="K67" s="8">
        <f>VLOOKUP(G67,Résultats!$B$2:$AX$476,'T energie vecteurs'!N5,FALSE)</f>
        <v>8.2492596729999903</v>
      </c>
      <c r="L67" s="96">
        <f t="shared" si="23"/>
        <v>22.014078920999992</v>
      </c>
      <c r="M67" s="75"/>
      <c r="N67" s="150" t="s">
        <v>22</v>
      </c>
      <c r="O67" s="29">
        <f>('[2]Bilan 2025 AMS'!$W$46)/11.63</f>
        <v>0</v>
      </c>
      <c r="P67" s="28">
        <f>SUM('[2]Bilan 2025 AMS'!$W$41:$W$43)/11.63</f>
        <v>1.5736897992660042</v>
      </c>
      <c r="Q67" s="28">
        <f>('[2]Bilan 2025 AMS'!$W$13)/11.63</f>
        <v>10.800977070035794</v>
      </c>
      <c r="R67" s="28">
        <f>('[2]Bilan 2025 AMS'!$W$22+'[2]Bilan 2025 AMS'!$W$30+SUM('[2]Bilan 2025 AMS'!$W$36:$W$40)+SUM('[2]Bilan 2025 AMS'!$W$44:$W$45)+'[2]Bilan 2025 AMS'!$W$47)/11.63</f>
        <v>9.0123576547920088</v>
      </c>
      <c r="S67" s="142">
        <f t="shared" si="24"/>
        <v>21.387024524093807</v>
      </c>
      <c r="T67" s="318">
        <f>S67-'[2]Bilan 2025 AMS'!$W$40/11.63</f>
        <v>19.5908147086874</v>
      </c>
      <c r="U67" s="147" t="s">
        <v>22</v>
      </c>
      <c r="V67" t="s">
        <v>406</v>
      </c>
      <c r="W67" t="s">
        <v>407</v>
      </c>
      <c r="X67" t="s">
        <v>408</v>
      </c>
      <c r="Y67" t="s">
        <v>409</v>
      </c>
      <c r="Z67" s="8">
        <v>0</v>
      </c>
      <c r="AA67" s="8">
        <v>1.8116982349999999</v>
      </c>
      <c r="AB67" s="8">
        <v>13.23411565</v>
      </c>
      <c r="AC67" s="8">
        <v>9.3673825579999903</v>
      </c>
      <c r="AD67" s="96">
        <v>24.41319644299999</v>
      </c>
    </row>
    <row r="68" spans="3:30" x14ac:dyDescent="0.25">
      <c r="C68" s="147" t="s">
        <v>490</v>
      </c>
      <c r="H68" s="8">
        <f>SUM(H69:H70)</f>
        <v>2.4944343758</v>
      </c>
      <c r="I68" s="8">
        <f t="shared" ref="I68:K68" si="25">SUM(I69:I70)</f>
        <v>10.684039743999991</v>
      </c>
      <c r="J68" s="8">
        <f t="shared" si="25"/>
        <v>9.6329417040000003</v>
      </c>
      <c r="K68" s="8">
        <f t="shared" si="25"/>
        <v>15.461625574999999</v>
      </c>
      <c r="L68" s="96">
        <f t="shared" si="23"/>
        <v>38.27304139879999</v>
      </c>
      <c r="M68" s="75"/>
      <c r="N68" s="150" t="s">
        <v>490</v>
      </c>
      <c r="O68" s="29">
        <f>O69+O70</f>
        <v>3.9629891209426056</v>
      </c>
      <c r="P68" s="28">
        <f t="shared" ref="P68:R68" si="26">P69+P70</f>
        <v>12.014567437975661</v>
      </c>
      <c r="Q68" s="28">
        <f t="shared" si="26"/>
        <v>10.378487649048596</v>
      </c>
      <c r="R68" s="28">
        <f t="shared" si="26"/>
        <v>14.253418221083377</v>
      </c>
      <c r="S68" s="142">
        <f t="shared" si="24"/>
        <v>40.60946242905024</v>
      </c>
      <c r="T68" s="318">
        <f t="shared" ref="T68" si="27">S68</f>
        <v>40.60946242905024</v>
      </c>
      <c r="U68" s="147" t="s">
        <v>490</v>
      </c>
      <c r="Z68" s="8">
        <v>2.3862670710999998</v>
      </c>
      <c r="AA68" s="8">
        <v>10.168853016999989</v>
      </c>
      <c r="AB68" s="8">
        <v>11.59517613</v>
      </c>
      <c r="AC68" s="8">
        <v>12.723811494</v>
      </c>
      <c r="AD68" s="96">
        <v>36.874107712099985</v>
      </c>
    </row>
    <row r="69" spans="3:30" x14ac:dyDescent="0.25">
      <c r="C69" s="149" t="s">
        <v>24</v>
      </c>
      <c r="D69" t="s">
        <v>410</v>
      </c>
      <c r="E69" t="s">
        <v>411</v>
      </c>
      <c r="F69" t="s">
        <v>412</v>
      </c>
      <c r="G69" t="s">
        <v>413</v>
      </c>
      <c r="H69" s="16">
        <f>VLOOKUP(D69,Résultats!$B$2:$AX$476,'T energie vecteurs'!N5,FALSE)</f>
        <v>1.6246796160000001</v>
      </c>
      <c r="I69" s="16">
        <f>VLOOKUP(E69,Résultats!$B$2:$AX$476,'T energie vecteurs'!N5,FALSE)</f>
        <v>8.6604671329999903</v>
      </c>
      <c r="J69" s="16">
        <f>VLOOKUP(F69,Résultats!$B$2:$AX$476,'T energie vecteurs'!N5,FALSE)</f>
        <v>9.6329417040000003</v>
      </c>
      <c r="K69" s="16">
        <f>VLOOKUP(G69,Résultats!$B$2:$AX$476,'T energie vecteurs'!N5,FALSE)</f>
        <v>13.21202227</v>
      </c>
      <c r="L69" s="95">
        <f t="shared" si="23"/>
        <v>33.130110722999987</v>
      </c>
      <c r="M69" s="16"/>
      <c r="N69" s="149" t="s">
        <v>547</v>
      </c>
      <c r="O69" s="143">
        <f>'[2]Bilan 2025 AMS'!$U$46/11.63</f>
        <v>0.42067994948409282</v>
      </c>
      <c r="P69" s="30">
        <f>SUM('[2]Bilan 2025 AMS'!$U$41:$U$43)/11.63</f>
        <v>2.157951503024802</v>
      </c>
      <c r="Q69" s="30">
        <f>'[2]Bilan 2025 AMS'!$U$13/11.63</f>
        <v>10.378487649048596</v>
      </c>
      <c r="R69" s="30">
        <f>('[2]Bilan 2025 AMS'!$U$22+'[2]Bilan 2025 AMS'!$U$30+SUM('[2]Bilan 2025 AMS'!$U$36:$U$40)+SUM('[2]Bilan 2025 AMS'!$U$44:$U$45)+'[2]Bilan 2025 AMS'!$U$47)/11.63</f>
        <v>13.109738113571288</v>
      </c>
      <c r="S69" s="95">
        <f t="shared" si="24"/>
        <v>26.066857215128778</v>
      </c>
      <c r="T69" s="95"/>
      <c r="U69" s="149" t="s">
        <v>24</v>
      </c>
      <c r="V69" t="s">
        <v>410</v>
      </c>
      <c r="W69" t="s">
        <v>411</v>
      </c>
      <c r="X69" t="s">
        <v>412</v>
      </c>
      <c r="Y69" t="s">
        <v>413</v>
      </c>
      <c r="Z69" s="16">
        <v>1.515434945</v>
      </c>
      <c r="AA69" s="16">
        <v>8.1257670369999904</v>
      </c>
      <c r="AB69" s="16">
        <v>11.59517613</v>
      </c>
      <c r="AC69" s="16">
        <v>10.607625710000001</v>
      </c>
      <c r="AD69" s="95">
        <v>31.844003821999991</v>
      </c>
    </row>
    <row r="70" spans="3:30" x14ac:dyDescent="0.25">
      <c r="C70" s="149" t="s">
        <v>47</v>
      </c>
      <c r="D70" t="s">
        <v>414</v>
      </c>
      <c r="E70" t="s">
        <v>415</v>
      </c>
      <c r="F70" t="s">
        <v>416</v>
      </c>
      <c r="G70" t="s">
        <v>417</v>
      </c>
      <c r="H70" s="16">
        <f>VLOOKUP(D70,Résultats!$B$2:$AX$476,'T energie vecteurs'!N5,FALSE)</f>
        <v>0.86975475980000005</v>
      </c>
      <c r="I70" s="16">
        <f>VLOOKUP(E70,Résultats!$B$2:$AX$476,'T energie vecteurs'!N5,FALSE)</f>
        <v>2.0235726110000001</v>
      </c>
      <c r="J70" s="16">
        <f>VLOOKUP(F70,Résultats!$B$2:$AX$476,'T energie vecteurs'!N5,FALSE)</f>
        <v>0</v>
      </c>
      <c r="K70" s="16">
        <f>VLOOKUP(G70,Résultats!$B$2:$AX$476,'T energie vecteurs'!N5,FALSE)</f>
        <v>2.2496033049999999</v>
      </c>
      <c r="L70" s="95">
        <f t="shared" si="23"/>
        <v>5.1429306758000006</v>
      </c>
      <c r="M70" s="16"/>
      <c r="N70" s="149" t="s">
        <v>47</v>
      </c>
      <c r="O70" s="22">
        <f>'[2]Bilan 2025 AMS'!$E$52/11.63</f>
        <v>3.5423091714585127</v>
      </c>
      <c r="P70" s="16">
        <f>('[2]Bilan 2025 AMS'!$E$54+'[2]Bilan 2025 AMS'!$E$56)/11.63</f>
        <v>9.8566159349508595</v>
      </c>
      <c r="Q70" s="16">
        <v>0</v>
      </c>
      <c r="R70" s="16">
        <f>('[2]Bilan 2025 AMS'!$E$53+'[2]Bilan 2025 AMS'!$E$55+'[2]Bilan 2025 AMS'!$E$57)/11.63</f>
        <v>1.1436801075120895</v>
      </c>
      <c r="S70" s="95">
        <f t="shared" si="24"/>
        <v>14.542605213921462</v>
      </c>
      <c r="T70" s="95"/>
      <c r="U70" s="149" t="s">
        <v>47</v>
      </c>
      <c r="V70" t="s">
        <v>414</v>
      </c>
      <c r="W70" t="s">
        <v>415</v>
      </c>
      <c r="X70" t="s">
        <v>416</v>
      </c>
      <c r="Y70" t="s">
        <v>417</v>
      </c>
      <c r="Z70" s="16">
        <v>0.87083212610000005</v>
      </c>
      <c r="AA70" s="16">
        <v>2.0430859799999999</v>
      </c>
      <c r="AB70" s="16">
        <v>0</v>
      </c>
      <c r="AC70" s="16">
        <v>2.1161857839999998</v>
      </c>
      <c r="AD70" s="95">
        <v>5.0301038900999995</v>
      </c>
    </row>
    <row r="71" spans="3:30" x14ac:dyDescent="0.25">
      <c r="C71" s="147" t="s">
        <v>25</v>
      </c>
      <c r="D71" t="s">
        <v>418</v>
      </c>
      <c r="E71" t="s">
        <v>419</v>
      </c>
      <c r="F71" t="s">
        <v>420</v>
      </c>
      <c r="G71" t="s">
        <v>421</v>
      </c>
      <c r="H71" s="8">
        <f>VLOOKUP(D71,Résultats!$B$2:$AX$476,'T energie vecteurs'!N5,FALSE)</f>
        <v>0</v>
      </c>
      <c r="I71" s="8">
        <f>VLOOKUP(E71,Résultats!$B$2:$AX$476,'T energie vecteurs'!N5,FALSE)</f>
        <v>2.7312425720000002</v>
      </c>
      <c r="J71" s="8">
        <f>VLOOKUP(F71,Résultats!$B$2:$AX$476,'T energie vecteurs'!N5,FALSE)</f>
        <v>0.33072418790000002</v>
      </c>
      <c r="K71" s="8">
        <f>VLOOKUP(G71,Résultats!$B$2:$AX$476,'T energie vecteurs'!N5,FALSE)</f>
        <v>0.4206290734</v>
      </c>
      <c r="L71" s="96">
        <f t="shared" si="23"/>
        <v>3.4825958333000004</v>
      </c>
      <c r="M71" s="16"/>
      <c r="N71" s="150" t="s">
        <v>25</v>
      </c>
      <c r="O71" s="29">
        <f>'[2]Bilan 2025 AMS'!$T$46/11.63</f>
        <v>0</v>
      </c>
      <c r="P71" s="28">
        <f>SUM('[2]Bilan 2025 AMS'!$T$41:$T$43)/11.63</f>
        <v>3.2722122373281501</v>
      </c>
      <c r="Q71" s="28">
        <f>'[2]Bilan 2025 AMS'!$T$13/11.63</f>
        <v>0.70658601561081857</v>
      </c>
      <c r="R71" s="28">
        <f>('[2]Bilan 2025 AMS'!$T$22+'[2]Bilan 2025 AMS'!$T$30+SUM('[2]Bilan 2025 AMS'!$T$36:$T$40)+SUM('[2]Bilan 2025 AMS'!$T$44:$T$45)+'[2]Bilan 2025 AMS'!$T$47)/11.63</f>
        <v>0.68239287053934561</v>
      </c>
      <c r="S71" s="142">
        <f t="shared" si="24"/>
        <v>4.6611911234783143</v>
      </c>
      <c r="T71" s="318">
        <f>S71</f>
        <v>4.6611911234783143</v>
      </c>
      <c r="U71" s="149" t="s">
        <v>25</v>
      </c>
      <c r="V71" t="s">
        <v>418</v>
      </c>
      <c r="W71" t="s">
        <v>419</v>
      </c>
      <c r="X71" t="s">
        <v>420</v>
      </c>
      <c r="Y71" t="s">
        <v>421</v>
      </c>
      <c r="Z71" s="16">
        <v>0</v>
      </c>
      <c r="AA71" s="16">
        <v>2.7115227380000002</v>
      </c>
      <c r="AB71" s="16">
        <v>0.32942642329999999</v>
      </c>
      <c r="AC71" s="16">
        <v>0.40588308870000001</v>
      </c>
      <c r="AD71" s="95">
        <v>3.4468322500000004</v>
      </c>
    </row>
    <row r="72" spans="3:30" x14ac:dyDescent="0.25">
      <c r="C72" s="23" t="s">
        <v>26</v>
      </c>
      <c r="D72" s="10"/>
      <c r="E72" s="10"/>
      <c r="F72" s="10"/>
      <c r="G72" s="10"/>
      <c r="H72" s="9">
        <f>SUM(H63,H66:H68)</f>
        <v>2.7859629452000001</v>
      </c>
      <c r="I72" s="9">
        <f>SUM(I63,I66:I68)</f>
        <v>60.139127035999984</v>
      </c>
      <c r="J72" s="9">
        <f>SUM(J63,J66:J68)</f>
        <v>37.994342376199995</v>
      </c>
      <c r="K72" s="9">
        <f>SUM(K63,K66:K68)</f>
        <v>43.236447149944787</v>
      </c>
      <c r="L72" s="98">
        <f t="shared" si="23"/>
        <v>144.15587950734476</v>
      </c>
      <c r="M72" s="79"/>
      <c r="N72" s="151" t="s">
        <v>26</v>
      </c>
      <c r="O72" s="32">
        <f>O63+O66+O67+O68+O71</f>
        <v>3.9629891209426056</v>
      </c>
      <c r="P72" s="31">
        <f>P63+P66+P67+P68+P71</f>
        <v>58.710800621810577</v>
      </c>
      <c r="Q72" s="31">
        <f>Q63+Q66+Q67+Q68+Q71</f>
        <v>36.749296581805318</v>
      </c>
      <c r="R72" s="31">
        <f>R63+R66+R67+R68+R71</f>
        <v>47.38949113265771</v>
      </c>
      <c r="S72" s="144">
        <f t="shared" si="24"/>
        <v>146.81257745721621</v>
      </c>
      <c r="T72" s="319">
        <f>SUM(T63:T71)</f>
        <v>139.95936720857071</v>
      </c>
      <c r="U72" s="23" t="s">
        <v>26</v>
      </c>
      <c r="V72" s="10"/>
      <c r="W72" s="10"/>
      <c r="X72" s="10"/>
      <c r="Y72" s="10"/>
      <c r="Z72" s="9">
        <v>2.6755147500999996</v>
      </c>
      <c r="AA72" s="9">
        <v>58.514328256999981</v>
      </c>
      <c r="AB72" s="9">
        <v>41.890332800300001</v>
      </c>
      <c r="AC72" s="9">
        <v>42.131623815423495</v>
      </c>
      <c r="AD72" s="98">
        <v>145.21179962282349</v>
      </c>
    </row>
    <row r="73" spans="3:30" s="3" customFormat="1" x14ac:dyDescent="0.25">
      <c r="H73" s="45"/>
      <c r="I73" s="45"/>
      <c r="J73" s="45"/>
      <c r="K73" s="45"/>
      <c r="L73" s="45"/>
      <c r="M73" s="45"/>
      <c r="N73" s="45"/>
      <c r="O73" s="77"/>
      <c r="P73" s="77"/>
      <c r="Q73" s="77"/>
      <c r="R73" s="78"/>
      <c r="S73" s="45"/>
      <c r="T73" s="45"/>
      <c r="Z73" s="45"/>
      <c r="AA73" s="45"/>
      <c r="AB73" s="45"/>
      <c r="AC73" s="45"/>
      <c r="AD73" s="45"/>
    </row>
    <row r="74" spans="3:30" s="3" customFormat="1" x14ac:dyDescent="0.25"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Z74" s="45"/>
      <c r="AA74" s="45"/>
      <c r="AB74" s="45"/>
      <c r="AC74" s="45"/>
      <c r="AD74" s="45"/>
    </row>
    <row r="75" spans="3:30" ht="31.5" hidden="1" x14ac:dyDescent="0.35">
      <c r="C75" s="145">
        <v>2030</v>
      </c>
      <c r="D75" s="146"/>
      <c r="E75" s="146"/>
      <c r="F75" s="146"/>
      <c r="G75" s="146"/>
      <c r="H75" s="76" t="s">
        <v>36</v>
      </c>
      <c r="I75" s="76" t="s">
        <v>49</v>
      </c>
      <c r="J75" s="76" t="s">
        <v>38</v>
      </c>
      <c r="K75" s="76" t="s">
        <v>48</v>
      </c>
      <c r="L75" s="93" t="s">
        <v>1</v>
      </c>
      <c r="M75" s="19"/>
      <c r="N75" s="145">
        <v>2030</v>
      </c>
      <c r="O75" s="141" t="s">
        <v>36</v>
      </c>
      <c r="P75" s="76" t="s">
        <v>49</v>
      </c>
      <c r="Q75" s="76" t="s">
        <v>38</v>
      </c>
      <c r="R75" s="76" t="s">
        <v>48</v>
      </c>
      <c r="S75" s="93" t="s">
        <v>1</v>
      </c>
      <c r="T75" s="317" t="s">
        <v>543</v>
      </c>
      <c r="U75" s="145">
        <v>2030</v>
      </c>
      <c r="V75" s="146"/>
      <c r="W75" s="146"/>
      <c r="X75" s="146"/>
      <c r="Y75" s="146"/>
      <c r="Z75" s="76" t="s">
        <v>36</v>
      </c>
      <c r="AA75" s="76" t="s">
        <v>49</v>
      </c>
      <c r="AB75" s="76" t="s">
        <v>38</v>
      </c>
      <c r="AC75" s="76" t="s">
        <v>48</v>
      </c>
      <c r="AD75" s="93" t="s">
        <v>1</v>
      </c>
    </row>
    <row r="76" spans="3:30" hidden="1" x14ac:dyDescent="0.25">
      <c r="C76" s="147" t="s">
        <v>18</v>
      </c>
      <c r="H76" s="8">
        <f>SUM(H77:H78)</f>
        <v>0</v>
      </c>
      <c r="I76" s="8">
        <f>SUM(I77:I78)</f>
        <v>38.340871929999999</v>
      </c>
      <c r="J76" s="8">
        <f>SUM(J77:J78)</f>
        <v>3.4456242379999997</v>
      </c>
      <c r="K76" s="8">
        <f>SUM(K77:K78)</f>
        <v>1.3320268355500999</v>
      </c>
      <c r="L76" s="96">
        <f>SUM(H76:K76)</f>
        <v>43.118523003550102</v>
      </c>
      <c r="M76" s="75"/>
      <c r="N76" s="150" t="s">
        <v>18</v>
      </c>
      <c r="O76" s="29">
        <f>'[2]Bilan 2030 AMS'!$X$46/11.63</f>
        <v>0</v>
      </c>
      <c r="P76" s="28">
        <f>SUM('[2]Bilan 2030 AMS'!$X$41:$X$43)/11.63</f>
        <v>31.325533398568297</v>
      </c>
      <c r="Q76" s="28">
        <f>'[2]Bilan 2030 AMS'!$X$13/11.63</f>
        <v>2.9560655972270444</v>
      </c>
      <c r="R76" s="28">
        <f>('[2]Bilan 2030 AMS'!$X$22+'[2]Bilan 2030 AMS'!$X$30+SUM('[2]Bilan 2030 AMS'!$X$36:$X$40)+SUM('[2]Bilan 2030 AMS'!$X$44:$X$45)+'[2]Bilan 2030 AMS'!$X$47)/11.63</f>
        <v>0.64520012161805473</v>
      </c>
      <c r="S76" s="142">
        <f>SUM(O76:R76)</f>
        <v>34.926799117413395</v>
      </c>
      <c r="T76" s="318">
        <f>S76</f>
        <v>34.926799117413395</v>
      </c>
      <c r="U76" s="147" t="s">
        <v>18</v>
      </c>
      <c r="Z76" s="8">
        <v>0</v>
      </c>
      <c r="AA76" s="8">
        <v>36.031371149999998</v>
      </c>
      <c r="AB76" s="8">
        <v>3.6711630756</v>
      </c>
      <c r="AC76" s="8">
        <v>0.58214142032939997</v>
      </c>
      <c r="AD76" s="96">
        <v>40.284675645929397</v>
      </c>
    </row>
    <row r="77" spans="3:30" hidden="1" x14ac:dyDescent="0.25">
      <c r="C77" s="148" t="s">
        <v>19</v>
      </c>
      <c r="D77" t="s">
        <v>394</v>
      </c>
      <c r="E77" t="s">
        <v>395</v>
      </c>
      <c r="F77" t="s">
        <v>396</v>
      </c>
      <c r="G77" t="s">
        <v>397</v>
      </c>
      <c r="H77" s="16">
        <f>VLOOKUP(D77,Résultats!$B$2:$AX$476,'T energie vecteurs'!S5,FALSE)</f>
        <v>0</v>
      </c>
      <c r="I77" s="16">
        <f>VLOOKUP(E77,Résultats!$B$2:$AX$476,'T energie vecteurs'!S5,FALSE)</f>
        <v>19.721782279999999</v>
      </c>
      <c r="J77" s="16">
        <f>VLOOKUP(F77,Résultats!$B$2:$AX$476,'T energie vecteurs'!S5,FALSE)</f>
        <v>0.57556165699999995</v>
      </c>
      <c r="K77" s="16">
        <f>VLOOKUP(G77,Résultats!$B$2:$AX$476,'T energie vecteurs'!S5,FALSE)</f>
        <v>3.51395501E-5</v>
      </c>
      <c r="L77" s="95">
        <f t="shared" ref="L77:L84" si="28">SUM(H77:K77)</f>
        <v>20.297379076550101</v>
      </c>
      <c r="M77" s="16"/>
      <c r="N77" s="148" t="s">
        <v>19</v>
      </c>
      <c r="O77" s="143"/>
      <c r="P77" s="16"/>
      <c r="Q77" s="34"/>
      <c r="R77" s="16"/>
      <c r="S77" s="95"/>
      <c r="T77" s="95"/>
      <c r="U77" s="148" t="s">
        <v>19</v>
      </c>
      <c r="V77" t="s">
        <v>394</v>
      </c>
      <c r="W77" t="s">
        <v>395</v>
      </c>
      <c r="X77" t="s">
        <v>396</v>
      </c>
      <c r="Y77" t="s">
        <v>397</v>
      </c>
      <c r="Z77" s="16">
        <v>0</v>
      </c>
      <c r="AA77" s="16">
        <v>18.887141629999999</v>
      </c>
      <c r="AB77" s="16">
        <v>0.67326125960000005</v>
      </c>
      <c r="AC77" s="16">
        <v>3.0906629399999999E-5</v>
      </c>
      <c r="AD77" s="95">
        <v>19.5604337962294</v>
      </c>
    </row>
    <row r="78" spans="3:30" hidden="1" x14ac:dyDescent="0.25">
      <c r="C78" s="149" t="s">
        <v>20</v>
      </c>
      <c r="D78" t="s">
        <v>398</v>
      </c>
      <c r="E78" t="s">
        <v>399</v>
      </c>
      <c r="F78" t="s">
        <v>400</v>
      </c>
      <c r="G78" t="s">
        <v>401</v>
      </c>
      <c r="H78" s="16">
        <f>VLOOKUP(D78,Résultats!$B$2:$AX$476,'T energie vecteurs'!S5,FALSE)</f>
        <v>0</v>
      </c>
      <c r="I78" s="16">
        <f>VLOOKUP(E78,Résultats!$B$2:$AX$476,'T energie vecteurs'!S5,FALSE)</f>
        <v>18.619089649999999</v>
      </c>
      <c r="J78" s="16">
        <f>VLOOKUP(F78,Résultats!$B$2:$AX$476,'T energie vecteurs'!S5,FALSE)</f>
        <v>2.870062581</v>
      </c>
      <c r="K78" s="16">
        <f>VLOOKUP(G78,Résultats!$B$2:$AX$476,'T energie vecteurs'!S5,FALSE)</f>
        <v>1.331991696</v>
      </c>
      <c r="L78" s="95">
        <f t="shared" si="28"/>
        <v>22.821143926999998</v>
      </c>
      <c r="M78" s="16"/>
      <c r="N78" s="149" t="s">
        <v>20</v>
      </c>
      <c r="O78" s="143"/>
      <c r="P78" s="16"/>
      <c r="Q78" s="34"/>
      <c r="R78" s="16"/>
      <c r="S78" s="95"/>
      <c r="T78" s="95"/>
      <c r="U78" s="149" t="s">
        <v>20</v>
      </c>
      <c r="V78" t="s">
        <v>398</v>
      </c>
      <c r="W78" t="s">
        <v>399</v>
      </c>
      <c r="X78" t="s">
        <v>400</v>
      </c>
      <c r="Y78" t="s">
        <v>401</v>
      </c>
      <c r="Z78" s="16">
        <v>0</v>
      </c>
      <c r="AA78" s="16">
        <v>17.14422952</v>
      </c>
      <c r="AB78" s="16">
        <v>2.9979018160000002</v>
      </c>
      <c r="AC78" s="16">
        <v>0.5821105137</v>
      </c>
      <c r="AD78" s="95">
        <v>20.7242418497</v>
      </c>
    </row>
    <row r="79" spans="3:30" hidden="1" x14ac:dyDescent="0.25">
      <c r="C79" s="147" t="s">
        <v>21</v>
      </c>
      <c r="D79" t="s">
        <v>402</v>
      </c>
      <c r="E79" t="s">
        <v>403</v>
      </c>
      <c r="F79" t="s">
        <v>404</v>
      </c>
      <c r="G79" t="s">
        <v>405</v>
      </c>
      <c r="H79" s="8">
        <f>VLOOKUP(D79,Résultats!$B$2:$AX$476,'T energie vecteurs'!S5,FALSE)</f>
        <v>0.28863771329999999</v>
      </c>
      <c r="I79" s="293">
        <f>VLOOKUP(E79,Résultats!$B$2:$AX$476,'T energie vecteurs'!S5,FALSE)</f>
        <v>6.1773463160000004</v>
      </c>
      <c r="J79" s="8">
        <f>VLOOKUP(F79,Résultats!$B$2:$AX$476,'T energie vecteurs'!S5,FALSE)</f>
        <v>15.688101809999999</v>
      </c>
      <c r="K79" s="8">
        <f>VLOOKUP(G79,Résultats!$B$2:$AX$476,'T energie vecteurs'!S5,FALSE)+2</f>
        <v>19.78620518</v>
      </c>
      <c r="L79" s="96">
        <f>SUM(H79:K79)</f>
        <v>41.940291019299998</v>
      </c>
      <c r="M79" s="75"/>
      <c r="N79" s="150" t="s">
        <v>21</v>
      </c>
      <c r="O79" s="29">
        <f>'[2]Bilan 2030 AMS'!$V$46/11.63</f>
        <v>0</v>
      </c>
      <c r="P79" s="28">
        <f>SUM('[2]Bilan 2030 AMS'!$V$41:$V$43)/11.63</f>
        <v>0.95029335786167934</v>
      </c>
      <c r="Q79" s="28">
        <f>'[2]Bilan 2030 AMS'!$V$13/11.63</f>
        <v>14.305528689784131</v>
      </c>
      <c r="R79" s="28">
        <f>('[2]Bilan 2030 AMS'!$V$22+'[2]Bilan 2030 AMS'!$V$30+SUM('[2]Bilan 2030 AMS'!$V$36:$V$40)+SUM('[2]Bilan 2030 AMS'!$V$44:$V$45)+'[2]Bilan 2030 AMS'!$V$47)/11.63</f>
        <v>22.929923822645311</v>
      </c>
      <c r="S79" s="142">
        <f t="shared" ref="S79:S85" si="29">SUM(O79:R79)</f>
        <v>38.185745870291122</v>
      </c>
      <c r="T79" s="318">
        <f>S79-'[2]Bilan 2030 AMS'!$V$40/11.63</f>
        <v>30.776035448134593</v>
      </c>
      <c r="U79" s="147" t="s">
        <v>21</v>
      </c>
      <c r="V79" t="s">
        <v>402</v>
      </c>
      <c r="W79" t="s">
        <v>403</v>
      </c>
      <c r="X79" t="s">
        <v>404</v>
      </c>
      <c r="Y79" t="s">
        <v>405</v>
      </c>
      <c r="Z79" s="8">
        <v>0.25897941029999999</v>
      </c>
      <c r="AA79" s="293">
        <v>4.2343754049999998</v>
      </c>
      <c r="AB79" s="8">
        <v>14.85888815</v>
      </c>
      <c r="AC79" s="8">
        <v>21.718964509999999</v>
      </c>
      <c r="AD79" s="96">
        <v>41.0712074753</v>
      </c>
    </row>
    <row r="80" spans="3:30" hidden="1" x14ac:dyDescent="0.25">
      <c r="C80" s="147" t="s">
        <v>22</v>
      </c>
      <c r="D80" t="s">
        <v>406</v>
      </c>
      <c r="E80" t="s">
        <v>407</v>
      </c>
      <c r="F80" t="s">
        <v>408</v>
      </c>
      <c r="G80" t="s">
        <v>409</v>
      </c>
      <c r="H80" s="8">
        <f>VLOOKUP(D80,Résultats!$B$2:$AX$476,'T energie vecteurs'!S5,FALSE)</f>
        <v>0</v>
      </c>
      <c r="I80" s="8">
        <f>VLOOKUP(E80,Résultats!$B$2:$AX$476,'T energie vecteurs'!S5,FALSE)</f>
        <v>2.221612929</v>
      </c>
      <c r="J80" s="8">
        <f>VLOOKUP(F80,Résultats!$B$2:$AX$476,'T energie vecteurs'!S5,FALSE)</f>
        <v>11.864377470000001</v>
      </c>
      <c r="K80" s="8">
        <f>VLOOKUP(G80,Résultats!$B$2:$AX$476,'T energie vecteurs'!S5,FALSE)</f>
        <v>8.476467886</v>
      </c>
      <c r="L80" s="96">
        <f t="shared" si="28"/>
        <v>22.562458284999998</v>
      </c>
      <c r="M80" s="75"/>
      <c r="N80" s="150" t="s">
        <v>22</v>
      </c>
      <c r="O80" s="29">
        <f>('[2]Bilan 2030 AMS'!$W$46)/11.63</f>
        <v>0</v>
      </c>
      <c r="P80" s="28">
        <f>SUM('[2]Bilan 2030 AMS'!$W$41:$W$43)/11.63</f>
        <v>0.31365832894736362</v>
      </c>
      <c r="Q80" s="28">
        <f>('[2]Bilan 2030 AMS'!$W$13)/11.63</f>
        <v>10.489063020056145</v>
      </c>
      <c r="R80" s="28">
        <f>('[2]Bilan 2030 AMS'!$W$22+'[2]Bilan 2030 AMS'!$W$30+SUM('[2]Bilan 2030 AMS'!$W$36:$W$40)+SUM('[2]Bilan 2030 AMS'!$W$44:$W$45)+'[2]Bilan 2030 AMS'!$W$47)/11.63</f>
        <v>9.7519333585222086</v>
      </c>
      <c r="S80" s="142">
        <f t="shared" si="29"/>
        <v>20.554654707525717</v>
      </c>
      <c r="T80" s="318">
        <f>S80-'[2]Bilan 2030 AMS'!$W$40/11.63</f>
        <v>17.750636932802038</v>
      </c>
      <c r="U80" s="147" t="s">
        <v>22</v>
      </c>
      <c r="V80" t="s">
        <v>406</v>
      </c>
      <c r="W80" t="s">
        <v>407</v>
      </c>
      <c r="X80" t="s">
        <v>408</v>
      </c>
      <c r="Y80" t="s">
        <v>409</v>
      </c>
      <c r="Z80" s="8">
        <v>0</v>
      </c>
      <c r="AA80" s="8">
        <v>0.91867758970000002</v>
      </c>
      <c r="AB80" s="8">
        <v>13.715239070000001</v>
      </c>
      <c r="AC80" s="8">
        <v>8.8325597689999995</v>
      </c>
      <c r="AD80" s="96">
        <v>23.466476428699998</v>
      </c>
    </row>
    <row r="81" spans="2:30" hidden="1" x14ac:dyDescent="0.25">
      <c r="C81" s="147" t="s">
        <v>23</v>
      </c>
      <c r="H81" s="8">
        <f>SUM(H82:H84)</f>
        <v>2.4980569903999998</v>
      </c>
      <c r="I81" s="8">
        <f>SUM(I82:I84)</f>
        <v>14.124116695000001</v>
      </c>
      <c r="J81" s="8">
        <f>SUM(J82:J84)</f>
        <v>10.223703904999999</v>
      </c>
      <c r="K81" s="8">
        <f>SUM(K82:K84)</f>
        <v>16.1925879926</v>
      </c>
      <c r="L81" s="96">
        <f t="shared" si="28"/>
        <v>43.038465583000004</v>
      </c>
      <c r="M81" s="75"/>
      <c r="N81" s="150" t="s">
        <v>490</v>
      </c>
      <c r="O81" s="29">
        <f>O82+O83</f>
        <v>1.9316373921834695</v>
      </c>
      <c r="P81" s="28">
        <f t="shared" ref="P81:R81" si="30">P82+P83</f>
        <v>10.989093223783227</v>
      </c>
      <c r="Q81" s="28">
        <f t="shared" si="30"/>
        <v>12.895607745280868</v>
      </c>
      <c r="R81" s="28">
        <f t="shared" si="30"/>
        <v>14.754489934131207</v>
      </c>
      <c r="S81" s="142">
        <f t="shared" si="29"/>
        <v>40.570828295378774</v>
      </c>
      <c r="T81" s="318">
        <f t="shared" ref="T81" si="31">S81</f>
        <v>40.570828295378774</v>
      </c>
      <c r="U81" s="147" t="s">
        <v>23</v>
      </c>
      <c r="Z81" s="8">
        <v>2.1042666437999999</v>
      </c>
      <c r="AA81" s="8">
        <v>11.965358685</v>
      </c>
      <c r="AB81" s="8">
        <v>15.266798762700001</v>
      </c>
      <c r="AC81" s="8">
        <v>10.378258540999999</v>
      </c>
      <c r="AD81" s="96">
        <v>39.714682632500001</v>
      </c>
    </row>
    <row r="82" spans="2:30" hidden="1" x14ac:dyDescent="0.25">
      <c r="C82" s="149" t="s">
        <v>24</v>
      </c>
      <c r="D82" t="s">
        <v>410</v>
      </c>
      <c r="E82" t="s">
        <v>411</v>
      </c>
      <c r="F82" t="s">
        <v>412</v>
      </c>
      <c r="G82" t="s">
        <v>413</v>
      </c>
      <c r="H82" s="16">
        <f>VLOOKUP(D82,Résultats!$B$2:$AX$476,'T energie vecteurs'!S5,FALSE)</f>
        <v>1.646632592</v>
      </c>
      <c r="I82" s="16">
        <f>VLOOKUP(E82,Résultats!$B$2:$AX$476,'T energie vecteurs'!S5,FALSE)</f>
        <v>9.0406829050000006</v>
      </c>
      <c r="J82" s="16">
        <f>VLOOKUP(F82,Résultats!$B$2:$AX$476,'T energie vecteurs'!S5,FALSE)</f>
        <v>9.8733106379999995</v>
      </c>
      <c r="K82" s="16">
        <f>VLOOKUP(G82,Résultats!$B$2:$AX$476,'T energie vecteurs'!S5,FALSE)</f>
        <v>13.392092809999999</v>
      </c>
      <c r="L82" s="95">
        <f t="shared" si="28"/>
        <v>33.952718945000001</v>
      </c>
      <c r="M82" s="16"/>
      <c r="N82" s="149" t="s">
        <v>491</v>
      </c>
      <c r="O82" s="143">
        <f>'[2]Bilan 2030 AMS'!$U$46/11.63</f>
        <v>7.9598072737532236E-2</v>
      </c>
      <c r="P82" s="30">
        <f>SUM('[2]Bilan 2030 AMS'!$U$41:$U$43)/11.63</f>
        <v>1.062435627302436</v>
      </c>
      <c r="Q82" s="30">
        <f>'[2]Bilan 2030 AMS'!$U$13/11.63</f>
        <v>12.895607745280868</v>
      </c>
      <c r="R82" s="30">
        <f>('[2]Bilan 2030 AMS'!$U$22+'[2]Bilan 2030 AMS'!$U$30+SUM('[2]Bilan 2030 AMS'!$U$36:$U$40)+SUM('[2]Bilan 2030 AMS'!$U$44:$U$45)+'[2]Bilan 2030 AMS'!$U$47)/11.63</f>
        <v>13.492674028058465</v>
      </c>
      <c r="S82" s="95">
        <f t="shared" si="29"/>
        <v>27.530315473379304</v>
      </c>
      <c r="T82" s="95"/>
      <c r="U82" s="149" t="s">
        <v>24</v>
      </c>
      <c r="V82" t="s">
        <v>410</v>
      </c>
      <c r="W82" t="s">
        <v>411</v>
      </c>
      <c r="X82" t="s">
        <v>412</v>
      </c>
      <c r="Y82" t="s">
        <v>413</v>
      </c>
      <c r="Z82" s="16">
        <v>1.2531849340000001</v>
      </c>
      <c r="AA82" s="16">
        <v>6.8660711210000001</v>
      </c>
      <c r="AB82" s="16">
        <v>14.927080050000001</v>
      </c>
      <c r="AC82" s="16">
        <v>7.835008492</v>
      </c>
      <c r="AD82" s="95">
        <v>30.881344597000002</v>
      </c>
    </row>
    <row r="83" spans="2:30" hidden="1" x14ac:dyDescent="0.25">
      <c r="C83" s="149" t="s">
        <v>47</v>
      </c>
      <c r="D83" t="s">
        <v>414</v>
      </c>
      <c r="E83" t="s">
        <v>415</v>
      </c>
      <c r="F83" t="s">
        <v>416</v>
      </c>
      <c r="G83" t="s">
        <v>417</v>
      </c>
      <c r="H83" s="16">
        <f>VLOOKUP(D83,Résultats!$B$2:$AX$476,'T energie vecteurs'!S5,FALSE)</f>
        <v>0.85142439839999995</v>
      </c>
      <c r="I83" s="16">
        <f>VLOOKUP(E83,Résultats!$B$2:$AX$476,'T energie vecteurs'!S5,FALSE)</f>
        <v>2.1477268930000002</v>
      </c>
      <c r="J83" s="16">
        <f>VLOOKUP(F83,Résultats!$B$2:$AX$476,'T energie vecteurs'!S5,FALSE)</f>
        <v>0</v>
      </c>
      <c r="K83" s="16">
        <f>VLOOKUP(G83,Résultats!$B$2:$AX$476,'T energie vecteurs'!S5,FALSE)</f>
        <v>2.3460516760000001</v>
      </c>
      <c r="L83" s="95">
        <f>SUM(H83:K83)</f>
        <v>5.3452029674000006</v>
      </c>
      <c r="M83" s="16"/>
      <c r="N83" s="149" t="s">
        <v>47</v>
      </c>
      <c r="O83" s="22">
        <f>'[2]Bilan 2030 AMS'!$E$52/11.63</f>
        <v>1.8520393194459372</v>
      </c>
      <c r="P83" s="16">
        <f>('[2]Bilan 2030 AMS'!$E$54+'[2]Bilan 2030 AMS'!$E$56)/11.63</f>
        <v>9.9266575964807906</v>
      </c>
      <c r="Q83" s="16">
        <v>0</v>
      </c>
      <c r="R83" s="16">
        <f>('[2]Bilan 2030 AMS'!$E$53+'[2]Bilan 2030 AMS'!$E$55+'[2]Bilan 2030 AMS'!$E$57)/11.63</f>
        <v>1.2618159060727419</v>
      </c>
      <c r="S83" s="95">
        <f t="shared" si="29"/>
        <v>13.040512821999471</v>
      </c>
      <c r="T83" s="95"/>
      <c r="U83" s="149" t="s">
        <v>47</v>
      </c>
      <c r="V83" t="s">
        <v>414</v>
      </c>
      <c r="W83" t="s">
        <v>415</v>
      </c>
      <c r="X83" t="s">
        <v>416</v>
      </c>
      <c r="Y83" t="s">
        <v>417</v>
      </c>
      <c r="Z83" s="16">
        <v>0.85108170979999997</v>
      </c>
      <c r="AA83" s="16">
        <v>2.1778862299999999</v>
      </c>
      <c r="AB83" s="16">
        <v>0</v>
      </c>
      <c r="AC83" s="16">
        <v>2.107004426</v>
      </c>
      <c r="AD83" s="95">
        <v>5.1359723657999998</v>
      </c>
    </row>
    <row r="84" spans="2:30" hidden="1" x14ac:dyDescent="0.25">
      <c r="C84" s="149" t="s">
        <v>25</v>
      </c>
      <c r="D84" t="s">
        <v>418</v>
      </c>
      <c r="E84" t="s">
        <v>419</v>
      </c>
      <c r="F84" t="s">
        <v>420</v>
      </c>
      <c r="G84" t="s">
        <v>421</v>
      </c>
      <c r="H84" s="16">
        <f>VLOOKUP(D84,Résultats!$B$2:$AX$476,'T energie vecteurs'!S5,FALSE)</f>
        <v>0</v>
      </c>
      <c r="I84" s="16">
        <f>VLOOKUP(E84,Résultats!$B$2:$AX$476,'T energie vecteurs'!S5,FALSE)</f>
        <v>2.9357068970000002</v>
      </c>
      <c r="J84" s="16">
        <f>VLOOKUP(F84,Résultats!$B$2:$AX$476,'T energie vecteurs'!S5,FALSE)</f>
        <v>0.35039326700000001</v>
      </c>
      <c r="K84" s="16">
        <f>VLOOKUP(G84,Résultats!$B$2:$AX$476,'T energie vecteurs'!S5,FALSE)</f>
        <v>0.45444350659999999</v>
      </c>
      <c r="L84" s="95">
        <f t="shared" si="28"/>
        <v>3.7405436706000001</v>
      </c>
      <c r="M84" s="16"/>
      <c r="N84" s="150" t="s">
        <v>25</v>
      </c>
      <c r="O84" s="29">
        <f>'[2]Bilan 2030 AMS'!$T$46/11.63</f>
        <v>0</v>
      </c>
      <c r="P84" s="28">
        <f>SUM('[2]Bilan 2030 AMS'!$T$41:$T$43)/11.63</f>
        <v>2.9892692881103491</v>
      </c>
      <c r="Q84" s="28">
        <f>'[2]Bilan 2030 AMS'!$T$13/11.63</f>
        <v>0.66835109694132144</v>
      </c>
      <c r="R84" s="28">
        <f>('[2]Bilan 2030 AMS'!$T$22+'[2]Bilan 2030 AMS'!$T$30+SUM('[2]Bilan 2030 AMS'!$T$36:$T$40)+SUM('[2]Bilan 2030 AMS'!$T$44:$T$45)+'[2]Bilan 2030 AMS'!$T$47)/11.63</f>
        <v>1.2068345110920244</v>
      </c>
      <c r="S84" s="142">
        <f t="shared" si="29"/>
        <v>4.8644548961436946</v>
      </c>
      <c r="T84" s="318">
        <f>S84</f>
        <v>4.8644548961436946</v>
      </c>
      <c r="U84" s="149" t="s">
        <v>25</v>
      </c>
      <c r="V84" t="s">
        <v>418</v>
      </c>
      <c r="W84" t="s">
        <v>419</v>
      </c>
      <c r="X84" t="s">
        <v>420</v>
      </c>
      <c r="Y84" t="s">
        <v>421</v>
      </c>
      <c r="Z84" s="16">
        <v>0</v>
      </c>
      <c r="AA84" s="16">
        <v>2.921401334</v>
      </c>
      <c r="AB84" s="16">
        <v>0.33971871269999998</v>
      </c>
      <c r="AC84" s="16">
        <v>0.43624562300000003</v>
      </c>
      <c r="AD84" s="95">
        <v>3.6973656696999999</v>
      </c>
    </row>
    <row r="85" spans="2:30" hidden="1" x14ac:dyDescent="0.25">
      <c r="C85" s="23" t="s">
        <v>26</v>
      </c>
      <c r="D85" s="10"/>
      <c r="E85" s="10"/>
      <c r="F85" s="10"/>
      <c r="G85" s="10"/>
      <c r="H85" s="9">
        <f>SUM(H76,H79:H81)</f>
        <v>2.7866947036999998</v>
      </c>
      <c r="I85" s="9">
        <f>SUM(I76,I79:I81)</f>
        <v>60.863947870000004</v>
      </c>
      <c r="J85" s="9">
        <f>SUM(J76,J79:J81)</f>
        <v>41.221807423000001</v>
      </c>
      <c r="K85" s="9">
        <f>SUM(K76,K79:K81)</f>
        <v>45.787287894150097</v>
      </c>
      <c r="L85" s="98">
        <f>SUM(H85:K85)</f>
        <v>150.6597378908501</v>
      </c>
      <c r="M85" s="79"/>
      <c r="N85" s="151" t="s">
        <v>26</v>
      </c>
      <c r="O85" s="32">
        <f>O76+O79+O80+O81+O84</f>
        <v>1.9316373921834695</v>
      </c>
      <c r="P85" s="31">
        <f>P76+P79+P80+P81+P84</f>
        <v>46.567847597270919</v>
      </c>
      <c r="Q85" s="31">
        <f>Q76+Q79+Q80+Q81+Q84</f>
        <v>41.314616149289513</v>
      </c>
      <c r="R85" s="31">
        <f>R76+R79+R80+R81+R84</f>
        <v>49.28838174800881</v>
      </c>
      <c r="S85" s="144">
        <f t="shared" si="29"/>
        <v>139.10248288675271</v>
      </c>
      <c r="T85" s="319">
        <f>SUM(T76:T84)</f>
        <v>128.88875468987248</v>
      </c>
      <c r="U85" s="23" t="s">
        <v>26</v>
      </c>
      <c r="V85" s="10"/>
      <c r="W85" s="10"/>
      <c r="X85" s="10"/>
      <c r="Y85" s="10"/>
      <c r="Z85" s="9">
        <v>2.3632460540999998</v>
      </c>
      <c r="AA85" s="9">
        <v>53.149782829700001</v>
      </c>
      <c r="AB85" s="9">
        <v>47.512089058299999</v>
      </c>
      <c r="AC85" s="9">
        <v>41.5119242403294</v>
      </c>
      <c r="AD85" s="98">
        <v>144.53704218242939</v>
      </c>
    </row>
    <row r="86" spans="2:30" s="3" customFormat="1" hidden="1" x14ac:dyDescent="0.25">
      <c r="O86" s="77"/>
      <c r="P86" s="77"/>
      <c r="Q86" s="77"/>
      <c r="R86" s="78"/>
      <c r="S86" s="45"/>
    </row>
    <row r="87" spans="2:30" s="3" customFormat="1" hidden="1" x14ac:dyDescent="0.25">
      <c r="B87" s="60"/>
      <c r="K87" s="47"/>
      <c r="O87" s="79"/>
      <c r="P87" s="79"/>
      <c r="Q87" s="79"/>
      <c r="R87" s="80"/>
      <c r="S87" s="81"/>
      <c r="AC87" s="47"/>
    </row>
    <row r="88" spans="2:30" s="3" customFormat="1" ht="31.5" x14ac:dyDescent="0.35">
      <c r="B88" s="60"/>
      <c r="C88" s="145">
        <v>2035</v>
      </c>
      <c r="D88" s="146"/>
      <c r="E88" s="146"/>
      <c r="F88" s="146"/>
      <c r="G88" s="146"/>
      <c r="H88" s="76" t="s">
        <v>36</v>
      </c>
      <c r="I88" s="76" t="s">
        <v>49</v>
      </c>
      <c r="J88" s="76" t="s">
        <v>38</v>
      </c>
      <c r="K88" s="76" t="s">
        <v>48</v>
      </c>
      <c r="L88" s="93" t="s">
        <v>1</v>
      </c>
      <c r="N88" s="145">
        <v>2035</v>
      </c>
      <c r="O88" s="141" t="s">
        <v>36</v>
      </c>
      <c r="P88" s="76" t="s">
        <v>49</v>
      </c>
      <c r="Q88" s="76" t="s">
        <v>38</v>
      </c>
      <c r="R88" s="76" t="s">
        <v>48</v>
      </c>
      <c r="S88" s="93" t="s">
        <v>1</v>
      </c>
      <c r="T88" s="317" t="s">
        <v>543</v>
      </c>
      <c r="U88" s="145">
        <v>2035</v>
      </c>
      <c r="V88" s="146"/>
      <c r="W88" s="146"/>
      <c r="X88" s="146"/>
      <c r="Y88" s="146"/>
      <c r="Z88" s="76" t="s">
        <v>36</v>
      </c>
      <c r="AA88" s="76" t="s">
        <v>49</v>
      </c>
      <c r="AB88" s="76" t="s">
        <v>38</v>
      </c>
      <c r="AC88" s="76" t="s">
        <v>48</v>
      </c>
      <c r="AD88" s="93" t="s">
        <v>1</v>
      </c>
    </row>
    <row r="89" spans="2:30" s="3" customFormat="1" x14ac:dyDescent="0.25">
      <c r="B89" s="60"/>
      <c r="C89" s="147" t="s">
        <v>18</v>
      </c>
      <c r="D89"/>
      <c r="E89"/>
      <c r="F89"/>
      <c r="G89"/>
      <c r="H89" s="8">
        <f>SUM(H90:H91)</f>
        <v>0</v>
      </c>
      <c r="I89" s="8">
        <f>SUM(I90:I91)</f>
        <v>35.791319599999994</v>
      </c>
      <c r="J89" s="8">
        <f>SUM(J90:J91)</f>
        <v>4.4630059549999999</v>
      </c>
      <c r="K89" s="8">
        <f>SUM(K90:K91)</f>
        <v>2.2449120579358004</v>
      </c>
      <c r="L89" s="96">
        <f t="shared" ref="L89:L98" si="32">SUM(H89:K89)</f>
        <v>42.499237612935794</v>
      </c>
      <c r="N89" s="150" t="s">
        <v>18</v>
      </c>
      <c r="O89" s="29">
        <f>'[2]Bilan 2035 AMS'!$X$46/11.63</f>
        <v>0</v>
      </c>
      <c r="P89" s="28">
        <f>SUM('[2]Bilan 2035 AMS'!$X$41:$X$43)/11.63</f>
        <v>21.730689498011905</v>
      </c>
      <c r="Q89" s="28">
        <f>'[2]Bilan 2035 AMS'!$X$13/11.63</f>
        <v>5.5762370969707487</v>
      </c>
      <c r="R89" s="28">
        <f>('[2]Bilan 2035 AMS'!$X$22+'[2]Bilan 2035 AMS'!$X$30+SUM('[2]Bilan 2035 AMS'!$X$36:$X$40)+SUM('[2]Bilan 2035 AMS'!$X$44:$X$45)+'[2]Bilan 2035 AMS'!$X$47)/11.63</f>
        <v>0.86916506855092779</v>
      </c>
      <c r="S89" s="142">
        <f>SUM(O89:R89)</f>
        <v>28.176091663533583</v>
      </c>
      <c r="T89" s="318">
        <f>S89</f>
        <v>28.176091663533583</v>
      </c>
      <c r="U89" s="147" t="s">
        <v>18</v>
      </c>
      <c r="V89"/>
      <c r="W89"/>
      <c r="X89"/>
      <c r="Y89"/>
      <c r="Z89" s="8">
        <v>0</v>
      </c>
      <c r="AA89" s="8">
        <v>28.590726369999999</v>
      </c>
      <c r="AB89" s="8">
        <v>6.0775777899999994</v>
      </c>
      <c r="AC89" s="8">
        <v>0.50850881628089994</v>
      </c>
      <c r="AD89" s="96">
        <v>35.1768129762809</v>
      </c>
    </row>
    <row r="90" spans="2:30" s="3" customFormat="1" x14ac:dyDescent="0.25">
      <c r="B90" s="60"/>
      <c r="C90" s="148" t="s">
        <v>19</v>
      </c>
      <c r="D90" t="s">
        <v>394</v>
      </c>
      <c r="E90" t="s">
        <v>395</v>
      </c>
      <c r="F90" t="s">
        <v>396</v>
      </c>
      <c r="G90" t="s">
        <v>397</v>
      </c>
      <c r="H90" s="16">
        <f>VLOOKUP(D90,Résultats!$B$2:$AX$476,'T energie vecteurs'!T5,FALSE)</f>
        <v>0</v>
      </c>
      <c r="I90" s="16">
        <f>VLOOKUP(E90,Résultats!$B$2:$AX$476,'T energie vecteurs'!T5,FALSE)</f>
        <v>18.079038319999999</v>
      </c>
      <c r="J90" s="16">
        <f>VLOOKUP(F90,Résultats!$B$2:$AX$476,'T energie vecteurs'!T5,FALSE)</f>
        <v>1.1597425320000001</v>
      </c>
      <c r="K90" s="16">
        <f>VLOOKUP(G90,Résultats!$B$2:$AX$476,'T energie vecteurs'!T5,FALSE)</f>
        <v>4.4563935799999997E-5</v>
      </c>
      <c r="L90" s="95">
        <f t="shared" si="32"/>
        <v>19.238825415935796</v>
      </c>
      <c r="N90" s="148" t="s">
        <v>19</v>
      </c>
      <c r="O90" s="143"/>
      <c r="P90" s="16"/>
      <c r="Q90" s="34"/>
      <c r="R90" s="16"/>
      <c r="S90" s="95"/>
      <c r="T90" s="95"/>
      <c r="U90" s="148" t="s">
        <v>19</v>
      </c>
      <c r="V90" t="s">
        <v>394</v>
      </c>
      <c r="W90" t="s">
        <v>395</v>
      </c>
      <c r="X90" t="s">
        <v>396</v>
      </c>
      <c r="Y90" t="s">
        <v>397</v>
      </c>
      <c r="Z90" s="16">
        <v>0</v>
      </c>
      <c r="AA90" s="16">
        <v>14.93524934</v>
      </c>
      <c r="AB90" s="16">
        <v>1.6584664410000001</v>
      </c>
      <c r="AC90" s="16">
        <v>2.65895809E-5</v>
      </c>
      <c r="AD90" s="95">
        <v>16.593742370580902</v>
      </c>
    </row>
    <row r="91" spans="2:30" s="3" customFormat="1" x14ac:dyDescent="0.25">
      <c r="B91" s="60"/>
      <c r="C91" s="149" t="s">
        <v>20</v>
      </c>
      <c r="D91" t="s">
        <v>398</v>
      </c>
      <c r="E91" t="s">
        <v>399</v>
      </c>
      <c r="F91" t="s">
        <v>400</v>
      </c>
      <c r="G91" t="s">
        <v>401</v>
      </c>
      <c r="H91" s="16">
        <f>VLOOKUP(D91,Résultats!$B$2:$AX$476,'T energie vecteurs'!T5,FALSE)</f>
        <v>0</v>
      </c>
      <c r="I91" s="16">
        <f>VLOOKUP(E91,Résultats!$B$2:$AX$476,'T energie vecteurs'!T5,FALSE)</f>
        <v>17.712281279999999</v>
      </c>
      <c r="J91" s="16">
        <f>VLOOKUP(F91,Résultats!$B$2:$AX$476,'T energie vecteurs'!T5,FALSE)</f>
        <v>3.3032634230000002</v>
      </c>
      <c r="K91" s="16">
        <f>VLOOKUP(G91,Résultats!$B$2:$AX$476,'T energie vecteurs'!T5,FALSE)</f>
        <v>2.2448674940000002</v>
      </c>
      <c r="L91" s="95">
        <f t="shared" si="32"/>
        <v>23.260412197000001</v>
      </c>
      <c r="N91" s="149" t="s">
        <v>20</v>
      </c>
      <c r="O91" s="143"/>
      <c r="P91" s="16"/>
      <c r="Q91" s="34"/>
      <c r="R91" s="16"/>
      <c r="S91" s="95"/>
      <c r="T91" s="95"/>
      <c r="U91" s="149" t="s">
        <v>20</v>
      </c>
      <c r="V91" t="s">
        <v>398</v>
      </c>
      <c r="W91" t="s">
        <v>399</v>
      </c>
      <c r="X91" t="s">
        <v>400</v>
      </c>
      <c r="Y91" t="s">
        <v>401</v>
      </c>
      <c r="Z91" s="16">
        <v>0</v>
      </c>
      <c r="AA91" s="16">
        <v>13.65547703</v>
      </c>
      <c r="AB91" s="16">
        <v>4.4191113489999996</v>
      </c>
      <c r="AC91" s="16">
        <v>0.50848222669999998</v>
      </c>
      <c r="AD91" s="95">
        <v>18.583070605699998</v>
      </c>
    </row>
    <row r="92" spans="2:30" s="3" customFormat="1" x14ac:dyDescent="0.25">
      <c r="B92" s="60"/>
      <c r="C92" s="147" t="s">
        <v>21</v>
      </c>
      <c r="D92" t="s">
        <v>402</v>
      </c>
      <c r="E92" t="s">
        <v>403</v>
      </c>
      <c r="F92" t="s">
        <v>404</v>
      </c>
      <c r="G92" t="s">
        <v>405</v>
      </c>
      <c r="H92" s="8">
        <f>VLOOKUP(D92,Résultats!$B$2:$AX$476,'T energie vecteurs'!T5,FALSE)</f>
        <v>0.28130310050000001</v>
      </c>
      <c r="I92" s="293">
        <f>VLOOKUP(E92,Résultats!$B$2:$AX$476,'T energie vecteurs'!T5,FALSE)</f>
        <v>6.2229922740000001</v>
      </c>
      <c r="J92" s="8">
        <f>VLOOKUP(F92,Résultats!$B$2:$AX$476,'T energie vecteurs'!T5,FALSE)</f>
        <v>16.431595009999999</v>
      </c>
      <c r="K92" s="8">
        <f>VLOOKUP(G92,Résultats!$B$2:$AX$476,'T energie vecteurs'!T5,FALSE)+2</f>
        <v>20.23039575</v>
      </c>
      <c r="L92" s="96">
        <f t="shared" si="32"/>
        <v>43.166286134499998</v>
      </c>
      <c r="N92" s="150" t="s">
        <v>21</v>
      </c>
      <c r="O92" s="29">
        <f>'[2]Bilan 2035 AMS'!$V$46/11.63</f>
        <v>0</v>
      </c>
      <c r="P92" s="28">
        <f>SUM('[2]Bilan 2035 AMS'!$V$41:$V$43)/11.63</f>
        <v>0.10251745015919128</v>
      </c>
      <c r="Q92" s="28">
        <f>'[2]Bilan 2035 AMS'!$V$13/11.63</f>
        <v>13.303102379021182</v>
      </c>
      <c r="R92" s="28">
        <f>('[2]Bilan 2035 AMS'!$V$22+'[2]Bilan 2035 AMS'!$V$30+SUM('[2]Bilan 2035 AMS'!$V$36:$V$40)+SUM('[2]Bilan 2035 AMS'!$V$44:$V$45)+'[2]Bilan 2035 AMS'!$V$47)/11.63</f>
        <v>23.111817871405254</v>
      </c>
      <c r="S92" s="142">
        <f t="shared" ref="S92:S98" si="33">SUM(O92:R92)</f>
        <v>36.517437700585624</v>
      </c>
      <c r="T92" s="318">
        <f>S92-'[2]Bilan 2035 AMS'!$V$40/11.63</f>
        <v>27.392082341531609</v>
      </c>
      <c r="U92" s="147" t="s">
        <v>21</v>
      </c>
      <c r="V92" t="s">
        <v>402</v>
      </c>
      <c r="W92" t="s">
        <v>403</v>
      </c>
      <c r="X92" t="s">
        <v>404</v>
      </c>
      <c r="Y92" t="s">
        <v>405</v>
      </c>
      <c r="Z92" s="8">
        <v>0.22804254060000001</v>
      </c>
      <c r="AA92" s="293">
        <v>2.9946788799999999</v>
      </c>
      <c r="AB92" s="8">
        <v>14.779864910000001</v>
      </c>
      <c r="AC92" s="8">
        <v>22.938675180000001</v>
      </c>
      <c r="AD92" s="96">
        <v>40.9412615106</v>
      </c>
    </row>
    <row r="93" spans="2:30" s="3" customFormat="1" x14ac:dyDescent="0.25">
      <c r="B93" s="60"/>
      <c r="C93" s="147" t="s">
        <v>22</v>
      </c>
      <c r="D93" t="s">
        <v>406</v>
      </c>
      <c r="E93" t="s">
        <v>407</v>
      </c>
      <c r="F93" t="s">
        <v>408</v>
      </c>
      <c r="G93" t="s">
        <v>409</v>
      </c>
      <c r="H93" s="8">
        <f>VLOOKUP(D93,Résultats!$B$2:$AX$476,'T energie vecteurs'!T5,FALSE)</f>
        <v>0</v>
      </c>
      <c r="I93" s="8">
        <f>VLOOKUP(E93,Résultats!$B$2:$AX$476,'T energie vecteurs'!T5,FALSE)</f>
        <v>2.0182427619999999</v>
      </c>
      <c r="J93" s="8">
        <f>VLOOKUP(F93,Résultats!$B$2:$AX$476,'T energie vecteurs'!T5,FALSE)</f>
        <v>12.05463366</v>
      </c>
      <c r="K93" s="8">
        <f>VLOOKUP(G93,Résultats!$B$2:$AX$476,'T energie vecteurs'!T5,FALSE)</f>
        <v>8.1480962229999996</v>
      </c>
      <c r="L93" s="96">
        <f t="shared" si="32"/>
        <v>22.220972645</v>
      </c>
      <c r="N93" s="150" t="s">
        <v>22</v>
      </c>
      <c r="O93" s="29">
        <f>('[2]Bilan 2035 AMS'!$W$46)/11.63</f>
        <v>0</v>
      </c>
      <c r="P93" s="28">
        <f>SUM('[2]Bilan 2035 AMS'!$W$41:$W$43)/11.63</f>
        <v>0.18654564932707193</v>
      </c>
      <c r="Q93" s="28">
        <f>('[2]Bilan 2035 AMS'!$W$13)/11.63</f>
        <v>10.475484550291474</v>
      </c>
      <c r="R93" s="28">
        <f>('[2]Bilan 2035 AMS'!$W$22+'[2]Bilan 2035 AMS'!$W$30+SUM('[2]Bilan 2035 AMS'!$W$36:$W$40)+SUM('[2]Bilan 2035 AMS'!$W$44:$W$45)+'[2]Bilan 2035 AMS'!$W$47)/11.63</f>
        <v>9.8192809947899988</v>
      </c>
      <c r="S93" s="142">
        <f t="shared" si="33"/>
        <v>20.481311194408548</v>
      </c>
      <c r="T93" s="318">
        <f>S93-'[2]Bilan 2035 AMS'!$W$40/11.63</f>
        <v>16.836591575400341</v>
      </c>
      <c r="U93" s="147" t="s">
        <v>22</v>
      </c>
      <c r="V93" t="s">
        <v>406</v>
      </c>
      <c r="W93" t="s">
        <v>407</v>
      </c>
      <c r="X93" t="s">
        <v>408</v>
      </c>
      <c r="Y93" t="s">
        <v>409</v>
      </c>
      <c r="Z93" s="8">
        <v>0</v>
      </c>
      <c r="AA93" s="8">
        <v>0.93563671380000002</v>
      </c>
      <c r="AB93" s="8">
        <v>13.18889207</v>
      </c>
      <c r="AC93" s="8">
        <v>7.9145990839999998</v>
      </c>
      <c r="AD93" s="96">
        <v>22.039127867799998</v>
      </c>
    </row>
    <row r="94" spans="2:30" s="3" customFormat="1" x14ac:dyDescent="0.25">
      <c r="B94" s="60"/>
      <c r="C94" s="147" t="s">
        <v>490</v>
      </c>
      <c r="D94"/>
      <c r="E94"/>
      <c r="F94"/>
      <c r="G94"/>
      <c r="H94" s="8">
        <f>SUM(H95:H96)</f>
        <v>2.6530713708000002</v>
      </c>
      <c r="I94" s="8">
        <f t="shared" ref="I94:K94" si="34">SUM(I95:I96)</f>
        <v>11.975525976</v>
      </c>
      <c r="J94" s="8">
        <f t="shared" si="34"/>
        <v>10.33229978</v>
      </c>
      <c r="K94" s="8">
        <f t="shared" si="34"/>
        <v>16.259716514000001</v>
      </c>
      <c r="L94" s="96">
        <f t="shared" si="32"/>
        <v>41.220613640799996</v>
      </c>
      <c r="N94" s="150" t="s">
        <v>490</v>
      </c>
      <c r="O94" s="29">
        <f>O95+O96</f>
        <v>1.1271690519534607</v>
      </c>
      <c r="P94" s="28">
        <f t="shared" ref="P94:R94" si="35">P95+P96</f>
        <v>10.280328019614133</v>
      </c>
      <c r="Q94" s="28">
        <f t="shared" si="35"/>
        <v>13.210125889739416</v>
      </c>
      <c r="R94" s="28">
        <f t="shared" si="35"/>
        <v>14.36569372610775</v>
      </c>
      <c r="S94" s="142">
        <f t="shared" si="33"/>
        <v>38.983316687414757</v>
      </c>
      <c r="T94" s="318">
        <f t="shared" ref="T94" si="36">S94</f>
        <v>38.983316687414757</v>
      </c>
      <c r="U94" s="147" t="s">
        <v>490</v>
      </c>
      <c r="V94"/>
      <c r="W94"/>
      <c r="X94"/>
      <c r="Y94"/>
      <c r="Z94" s="8">
        <v>2.4367417504</v>
      </c>
      <c r="AA94" s="8">
        <v>10.406238740999999</v>
      </c>
      <c r="AB94" s="8">
        <v>13.919047109999999</v>
      </c>
      <c r="AC94" s="8">
        <v>11.244981903999999</v>
      </c>
      <c r="AD94" s="96">
        <v>38.007009505399999</v>
      </c>
    </row>
    <row r="95" spans="2:30" s="3" customFormat="1" x14ac:dyDescent="0.25">
      <c r="B95" s="60"/>
      <c r="C95" s="149" t="s">
        <v>24</v>
      </c>
      <c r="D95" t="s">
        <v>410</v>
      </c>
      <c r="E95" t="s">
        <v>411</v>
      </c>
      <c r="F95" t="s">
        <v>412</v>
      </c>
      <c r="G95" t="s">
        <v>413</v>
      </c>
      <c r="H95" s="16">
        <f>VLOOKUP(D95,Résultats!$B$2:$AX$476,'T energie vecteurs'!T5,FALSE)</f>
        <v>1.772168317</v>
      </c>
      <c r="I95" s="16">
        <f>VLOOKUP(E95,Résultats!$B$2:$AX$476,'T energie vecteurs'!T5,FALSE)</f>
        <v>9.7207622570000005</v>
      </c>
      <c r="J95" s="16">
        <f>VLOOKUP(F95,Résultats!$B$2:$AX$476,'T energie vecteurs'!T5,FALSE)</f>
        <v>10.33229978</v>
      </c>
      <c r="K95" s="16">
        <f>VLOOKUP(G95,Résultats!$B$2:$AX$476,'T energie vecteurs'!T5,FALSE)</f>
        <v>13.84577292</v>
      </c>
      <c r="L95" s="95">
        <f t="shared" si="32"/>
        <v>35.671003274</v>
      </c>
      <c r="N95" s="149" t="s">
        <v>491</v>
      </c>
      <c r="O95" s="143">
        <f>'[2]Bilan 2035 AMS'!$U$46/11.63</f>
        <v>5.1206344381448832E-2</v>
      </c>
      <c r="P95" s="30">
        <f>SUM('[2]Bilan 2035 AMS'!$U$41:$U$43)/11.63</f>
        <v>0.67012072888540719</v>
      </c>
      <c r="Q95" s="30">
        <f>'[2]Bilan 2035 AMS'!$U$13/11.63</f>
        <v>13.210125889739416</v>
      </c>
      <c r="R95" s="30">
        <f>('[2]Bilan 2035 AMS'!$U$22+'[2]Bilan 2035 AMS'!$U$30+SUM('[2]Bilan 2035 AMS'!$U$36:$U$40)+SUM('[2]Bilan 2035 AMS'!$U$44:$U$45)+'[2]Bilan 2035 AMS'!$U$47)/11.63</f>
        <v>13.122327447005626</v>
      </c>
      <c r="S95" s="95">
        <f t="shared" si="33"/>
        <v>27.053780410011896</v>
      </c>
      <c r="T95" s="95"/>
      <c r="U95" s="149" t="s">
        <v>24</v>
      </c>
      <c r="V95" t="s">
        <v>410</v>
      </c>
      <c r="W95" t="s">
        <v>411</v>
      </c>
      <c r="X95" t="s">
        <v>412</v>
      </c>
      <c r="Y95" t="s">
        <v>413</v>
      </c>
      <c r="Z95" s="16">
        <v>1.571886042</v>
      </c>
      <c r="AA95" s="16">
        <v>8.1319094199999995</v>
      </c>
      <c r="AB95" s="16">
        <v>13.919047109999999</v>
      </c>
      <c r="AC95" s="16">
        <v>9.0984446420000005</v>
      </c>
      <c r="AD95" s="95">
        <v>32.721287214</v>
      </c>
    </row>
    <row r="96" spans="2:30" s="3" customFormat="1" x14ac:dyDescent="0.25">
      <c r="B96" s="60"/>
      <c r="C96" s="149" t="s">
        <v>47</v>
      </c>
      <c r="D96" t="s">
        <v>414</v>
      </c>
      <c r="E96" t="s">
        <v>415</v>
      </c>
      <c r="F96" t="s">
        <v>416</v>
      </c>
      <c r="G96" t="s">
        <v>417</v>
      </c>
      <c r="H96" s="16">
        <f>VLOOKUP(D96,Résultats!$B$2:$AX$476,'T energie vecteurs'!T5,FALSE)</f>
        <v>0.8809030538</v>
      </c>
      <c r="I96" s="16">
        <f>VLOOKUP(E96,Résultats!$B$2:$AX$476,'T energie vecteurs'!T5,FALSE)</f>
        <v>2.2547637190000001</v>
      </c>
      <c r="J96" s="16">
        <f>VLOOKUP(F96,Résultats!$B$2:$AX$476,'T energie vecteurs'!T5,FALSE)</f>
        <v>0</v>
      </c>
      <c r="K96" s="16">
        <f>VLOOKUP(G96,Résultats!$B$2:$AX$476,'T energie vecteurs'!T5,FALSE)</f>
        <v>2.413943594</v>
      </c>
      <c r="L96" s="95">
        <f t="shared" si="32"/>
        <v>5.5496103667999996</v>
      </c>
      <c r="N96" s="149" t="s">
        <v>47</v>
      </c>
      <c r="O96" s="22">
        <f>'[2]Bilan 2035 AMS'!$E$52/11.63</f>
        <v>1.075962707572012</v>
      </c>
      <c r="P96" s="16">
        <f>('[2]Bilan 2035 AMS'!$E$54+'[2]Bilan 2035 AMS'!$E$56)/11.63</f>
        <v>9.6102072907287255</v>
      </c>
      <c r="Q96" s="16">
        <v>0</v>
      </c>
      <c r="R96" s="16">
        <f>('[2]Bilan 2035 AMS'!$E$53+'[2]Bilan 2035 AMS'!$E$55+'[2]Bilan 2035 AMS'!$E$57)/11.63</f>
        <v>1.2433662791021249</v>
      </c>
      <c r="S96" s="95">
        <f t="shared" si="33"/>
        <v>11.929536277402862</v>
      </c>
      <c r="T96" s="95"/>
      <c r="U96" s="149" t="s">
        <v>47</v>
      </c>
      <c r="V96" t="s">
        <v>414</v>
      </c>
      <c r="W96" t="s">
        <v>415</v>
      </c>
      <c r="X96" t="s">
        <v>416</v>
      </c>
      <c r="Y96" t="s">
        <v>417</v>
      </c>
      <c r="Z96" s="16">
        <v>0.86485570840000003</v>
      </c>
      <c r="AA96" s="16">
        <v>2.2743293210000002</v>
      </c>
      <c r="AB96" s="16">
        <v>0</v>
      </c>
      <c r="AC96" s="16">
        <v>2.1465372619999998</v>
      </c>
      <c r="AD96" s="95">
        <v>5.2857222913999999</v>
      </c>
    </row>
    <row r="97" spans="2:30" s="3" customFormat="1" x14ac:dyDescent="0.25">
      <c r="B97" s="60"/>
      <c r="C97" s="147" t="s">
        <v>25</v>
      </c>
      <c r="D97" t="s">
        <v>418</v>
      </c>
      <c r="E97" t="s">
        <v>419</v>
      </c>
      <c r="F97" t="s">
        <v>420</v>
      </c>
      <c r="G97" t="s">
        <v>421</v>
      </c>
      <c r="H97" s="8">
        <f>VLOOKUP(D97,Résultats!$B$2:$AX$476,'T energie vecteurs'!T5,FALSE)</f>
        <v>0</v>
      </c>
      <c r="I97" s="8">
        <f>VLOOKUP(E97,Résultats!$B$2:$AX$476,'T energie vecteurs'!T5,FALSE)</f>
        <v>3.0907154719999999</v>
      </c>
      <c r="J97" s="8">
        <f>VLOOKUP(F97,Résultats!$B$2:$AX$476,'T energie vecteurs'!T5,FALSE)</f>
        <v>0.36215808119999998</v>
      </c>
      <c r="K97" s="8">
        <f>VLOOKUP(G97,Résultats!$B$2:$AX$476,'T energie vecteurs'!T5,FALSE)</f>
        <v>0.47159079469999998</v>
      </c>
      <c r="L97" s="96">
        <f t="shared" si="32"/>
        <v>3.9244643478999999</v>
      </c>
      <c r="N97" s="150" t="s">
        <v>25</v>
      </c>
      <c r="O97" s="29">
        <f>'[2]Bilan 2035 AMS'!$T$46/11.63</f>
        <v>0</v>
      </c>
      <c r="P97" s="28">
        <f>SUM('[2]Bilan 2035 AMS'!$T$41:$T$43)/11.63</f>
        <v>2.3885046272256516</v>
      </c>
      <c r="Q97" s="28">
        <f>'[2]Bilan 2035 AMS'!$T$13/11.63</f>
        <v>0.74285940769933312</v>
      </c>
      <c r="R97" s="28">
        <f>('[2]Bilan 2035 AMS'!$T$22+'[2]Bilan 2035 AMS'!$T$30+SUM('[2]Bilan 2035 AMS'!$T$36:$T$40)+SUM('[2]Bilan 2035 AMS'!$T$44:$T$45)+'[2]Bilan 2035 AMS'!$T$47)/11.63</f>
        <v>1.4427552690285042</v>
      </c>
      <c r="S97" s="142">
        <f t="shared" si="33"/>
        <v>4.5741193039534886</v>
      </c>
      <c r="T97" s="318">
        <f>S97</f>
        <v>4.5741193039534886</v>
      </c>
      <c r="U97" s="149" t="s">
        <v>25</v>
      </c>
      <c r="V97" t="s">
        <v>418</v>
      </c>
      <c r="W97" t="s">
        <v>419</v>
      </c>
      <c r="X97" t="s">
        <v>420</v>
      </c>
      <c r="Y97" t="s">
        <v>421</v>
      </c>
      <c r="Z97" s="16">
        <v>0</v>
      </c>
      <c r="AA97" s="16">
        <v>3.0176946600000001</v>
      </c>
      <c r="AB97" s="16">
        <v>0.35359975119999998</v>
      </c>
      <c r="AC97" s="16">
        <v>0.44427558319999999</v>
      </c>
      <c r="AD97" s="95">
        <v>3.8155699944000001</v>
      </c>
    </row>
    <row r="98" spans="2:30" s="3" customFormat="1" x14ac:dyDescent="0.25">
      <c r="B98" s="60"/>
      <c r="C98" s="23" t="s">
        <v>26</v>
      </c>
      <c r="D98" s="10"/>
      <c r="E98" s="10"/>
      <c r="F98" s="10"/>
      <c r="G98" s="10"/>
      <c r="H98" s="9">
        <f>SUM(H89,H92:H94)</f>
        <v>2.9343744713000004</v>
      </c>
      <c r="I98" s="9">
        <f>SUM(I89,I92:I94)</f>
        <v>56.008080611999993</v>
      </c>
      <c r="J98" s="9">
        <f>SUM(J89,J92:J94)</f>
        <v>43.281534405000002</v>
      </c>
      <c r="K98" s="9">
        <f>SUM(K89,K92:K94)</f>
        <v>46.8831205449358</v>
      </c>
      <c r="L98" s="98">
        <f t="shared" si="32"/>
        <v>149.10711003323578</v>
      </c>
      <c r="N98" s="151" t="s">
        <v>26</v>
      </c>
      <c r="O98" s="32">
        <f>O89+O92+O93+O94+O97</f>
        <v>1.1271690519534607</v>
      </c>
      <c r="P98" s="31">
        <f>P89+P92+P93+P94+P97</f>
        <v>34.688585244337951</v>
      </c>
      <c r="Q98" s="31">
        <f>Q89+Q92+Q93+Q94+Q97</f>
        <v>43.307809323722154</v>
      </c>
      <c r="R98" s="31">
        <f>R89+R92+R93+R94+R97</f>
        <v>49.608712929882437</v>
      </c>
      <c r="S98" s="144">
        <f t="shared" si="33"/>
        <v>128.732276549896</v>
      </c>
      <c r="T98" s="319">
        <f>SUM(T89:T97)</f>
        <v>115.96220157183377</v>
      </c>
      <c r="U98" s="23" t="s">
        <v>26</v>
      </c>
      <c r="V98" s="10"/>
      <c r="W98" s="10"/>
      <c r="X98" s="10"/>
      <c r="Y98" s="10"/>
      <c r="Z98" s="9">
        <v>2.6647842910000001</v>
      </c>
      <c r="AA98" s="9">
        <v>42.927280704799998</v>
      </c>
      <c r="AB98" s="9">
        <v>47.965381880000002</v>
      </c>
      <c r="AC98" s="9">
        <v>42.6067649842809</v>
      </c>
      <c r="AD98" s="98">
        <v>136.16421186008091</v>
      </c>
    </row>
    <row r="99" spans="2:30" s="3" customFormat="1" x14ac:dyDescent="0.25">
      <c r="B99" s="60"/>
      <c r="K99" s="47"/>
      <c r="AC99" s="47"/>
    </row>
    <row r="100" spans="2:30" s="3" customFormat="1" hidden="1" x14ac:dyDescent="0.25">
      <c r="B100" s="60"/>
      <c r="K100" s="47"/>
      <c r="AC100" s="47"/>
    </row>
    <row r="101" spans="2:30" ht="31.5" hidden="1" x14ac:dyDescent="0.35">
      <c r="C101" s="145">
        <v>2040</v>
      </c>
      <c r="D101" s="146"/>
      <c r="E101" s="146"/>
      <c r="F101" s="146"/>
      <c r="G101" s="146"/>
      <c r="H101" s="76" t="s">
        <v>36</v>
      </c>
      <c r="I101" s="76" t="s">
        <v>49</v>
      </c>
      <c r="J101" s="76" t="s">
        <v>38</v>
      </c>
      <c r="K101" s="76" t="s">
        <v>48</v>
      </c>
      <c r="L101" s="93" t="s">
        <v>1</v>
      </c>
      <c r="M101" s="19"/>
      <c r="N101" s="145">
        <v>2040</v>
      </c>
      <c r="O101" s="141" t="s">
        <v>36</v>
      </c>
      <c r="P101" s="76" t="s">
        <v>49</v>
      </c>
      <c r="Q101" s="76" t="s">
        <v>38</v>
      </c>
      <c r="R101" s="76" t="s">
        <v>48</v>
      </c>
      <c r="S101" s="93" t="s">
        <v>1</v>
      </c>
      <c r="T101" s="317" t="s">
        <v>543</v>
      </c>
      <c r="U101" s="145">
        <v>2040</v>
      </c>
      <c r="V101" s="146"/>
      <c r="W101" s="146"/>
      <c r="X101" s="146"/>
      <c r="Y101" s="146"/>
      <c r="Z101" s="76" t="s">
        <v>36</v>
      </c>
      <c r="AA101" s="76" t="s">
        <v>49</v>
      </c>
      <c r="AB101" s="76" t="s">
        <v>38</v>
      </c>
      <c r="AC101" s="76" t="s">
        <v>48</v>
      </c>
      <c r="AD101" s="93" t="s">
        <v>1</v>
      </c>
    </row>
    <row r="102" spans="2:30" hidden="1" x14ac:dyDescent="0.25">
      <c r="C102" s="147" t="s">
        <v>18</v>
      </c>
      <c r="H102" s="8">
        <f>SUM(H103:H104)</f>
        <v>0</v>
      </c>
      <c r="I102" s="8">
        <f>SUM(I103:I104)</f>
        <v>33.588667960000002</v>
      </c>
      <c r="J102" s="8">
        <f>SUM(J103:J104)</f>
        <v>5.4706468729999997</v>
      </c>
      <c r="K102" s="8">
        <f>SUM(K103:K104)</f>
        <v>2.9871685550441001</v>
      </c>
      <c r="L102" s="96">
        <f t="shared" ref="L102:L111" si="37">SUM(H102:K102)</f>
        <v>42.046483388044102</v>
      </c>
      <c r="M102" s="75"/>
      <c r="N102" s="150" t="s">
        <v>18</v>
      </c>
      <c r="O102" s="29">
        <f>'[2]Bilan 2040 AMS'!$X$46/11.63</f>
        <v>0</v>
      </c>
      <c r="P102" s="28">
        <f>SUM('[2]Bilan 2040 AMS'!$X$41:$X$43)/11.63</f>
        <v>11.929027581040415</v>
      </c>
      <c r="Q102" s="28">
        <f>'[2]Bilan 2040 AMS'!$X$13/11.63</f>
        <v>8.4770890798493497</v>
      </c>
      <c r="R102" s="28">
        <f>('[2]Bilan 2040 AMS'!$X$22+'[2]Bilan 2040 AMS'!$X$30+SUM('[2]Bilan 2040 AMS'!$X$36:$X$40)+SUM('[2]Bilan 2040 AMS'!$X$44:$X$45)+'[2]Bilan 2040 AMS'!$X$47)/11.63</f>
        <v>1.0341627996732725</v>
      </c>
      <c r="S102" s="142">
        <f>SUM(O102:R102)</f>
        <v>21.440279460563037</v>
      </c>
      <c r="T102" s="318">
        <f>S102</f>
        <v>21.440279460563037</v>
      </c>
      <c r="U102" s="147" t="s">
        <v>18</v>
      </c>
      <c r="Z102" s="8">
        <v>0</v>
      </c>
      <c r="AA102" s="8">
        <v>20.148205963999999</v>
      </c>
      <c r="AB102" s="8">
        <v>8.8730697339999995</v>
      </c>
      <c r="AC102" s="8">
        <v>0.45473485098630001</v>
      </c>
      <c r="AD102" s="96">
        <v>29.476010548986295</v>
      </c>
    </row>
    <row r="103" spans="2:30" hidden="1" x14ac:dyDescent="0.25">
      <c r="C103" s="148" t="s">
        <v>19</v>
      </c>
      <c r="D103" t="s">
        <v>394</v>
      </c>
      <c r="E103" t="s">
        <v>395</v>
      </c>
      <c r="F103" t="s">
        <v>396</v>
      </c>
      <c r="G103" t="s">
        <v>397</v>
      </c>
      <c r="H103" s="16">
        <f>VLOOKUP(D103,Résultats!$B$2:$AX$476,'T energie vecteurs'!U5,FALSE)</f>
        <v>0</v>
      </c>
      <c r="I103" s="16">
        <f>VLOOKUP(E103,Résultats!$B$2:$AX$476,'T energie vecteurs'!U5,FALSE)</f>
        <v>16.347337660000001</v>
      </c>
      <c r="J103" s="16">
        <f>VLOOKUP(F103,Résultats!$B$2:$AX$476,'T energie vecteurs'!U5,FALSE)</f>
        <v>1.908308254</v>
      </c>
      <c r="K103" s="16">
        <f>VLOOKUP(G103,Résultats!$B$2:$AX$476,'T energie vecteurs'!U5,FALSE)</f>
        <v>5.29570441E-5</v>
      </c>
      <c r="L103" s="95">
        <f t="shared" si="37"/>
        <v>18.255698871044103</v>
      </c>
      <c r="M103" s="16"/>
      <c r="N103" s="148" t="s">
        <v>19</v>
      </c>
      <c r="O103" s="143"/>
      <c r="P103" s="16"/>
      <c r="Q103" s="34"/>
      <c r="R103" s="16"/>
      <c r="S103" s="95"/>
      <c r="T103" s="95"/>
      <c r="U103" s="148" t="s">
        <v>19</v>
      </c>
      <c r="V103" t="s">
        <v>394</v>
      </c>
      <c r="W103" t="s">
        <v>395</v>
      </c>
      <c r="X103" t="s">
        <v>396</v>
      </c>
      <c r="Y103" t="s">
        <v>397</v>
      </c>
      <c r="Z103" s="16">
        <v>0</v>
      </c>
      <c r="AA103" s="16">
        <v>10.572704760000001</v>
      </c>
      <c r="AB103" s="16">
        <v>2.7416579599999999</v>
      </c>
      <c r="AC103" s="16">
        <v>1.90645863E-5</v>
      </c>
      <c r="AD103" s="95">
        <v>13.314381784586301</v>
      </c>
    </row>
    <row r="104" spans="2:30" hidden="1" x14ac:dyDescent="0.25">
      <c r="C104" s="149" t="s">
        <v>20</v>
      </c>
      <c r="D104" t="s">
        <v>398</v>
      </c>
      <c r="E104" t="s">
        <v>399</v>
      </c>
      <c r="F104" t="s">
        <v>400</v>
      </c>
      <c r="G104" t="s">
        <v>401</v>
      </c>
      <c r="H104" s="16">
        <f>VLOOKUP(D104,Résultats!$B$2:$AX$476,'T energie vecteurs'!U5,FALSE)</f>
        <v>0</v>
      </c>
      <c r="I104" s="16">
        <f>VLOOKUP(E104,Résultats!$B$2:$AX$476,'T energie vecteurs'!U5,FALSE)</f>
        <v>17.241330300000001</v>
      </c>
      <c r="J104" s="16">
        <f>VLOOKUP(F104,Résultats!$B$2:$AX$476,'T energie vecteurs'!U5,FALSE)</f>
        <v>3.5623386190000002</v>
      </c>
      <c r="K104" s="16">
        <f>VLOOKUP(G104,Résultats!$B$2:$AX$476,'T energie vecteurs'!U5,FALSE)</f>
        <v>2.9871155979999999</v>
      </c>
      <c r="L104" s="95">
        <f t="shared" si="37"/>
        <v>23.790784517000002</v>
      </c>
      <c r="M104" s="16"/>
      <c r="N104" s="149" t="s">
        <v>20</v>
      </c>
      <c r="O104" s="143"/>
      <c r="P104" s="16"/>
      <c r="Q104" s="34"/>
      <c r="R104" s="16"/>
      <c r="S104" s="95"/>
      <c r="T104" s="95"/>
      <c r="U104" s="149" t="s">
        <v>20</v>
      </c>
      <c r="V104" t="s">
        <v>398</v>
      </c>
      <c r="W104" t="s">
        <v>399</v>
      </c>
      <c r="X104" t="s">
        <v>400</v>
      </c>
      <c r="Y104" t="s">
        <v>401</v>
      </c>
      <c r="Z104" s="16">
        <v>0</v>
      </c>
      <c r="AA104" s="16">
        <v>9.575501204</v>
      </c>
      <c r="AB104" s="16">
        <v>6.131411774</v>
      </c>
      <c r="AC104" s="16">
        <v>0.45471578639999999</v>
      </c>
      <c r="AD104" s="95">
        <v>16.1616287644</v>
      </c>
    </row>
    <row r="105" spans="2:30" hidden="1" x14ac:dyDescent="0.25">
      <c r="C105" s="147" t="s">
        <v>21</v>
      </c>
      <c r="D105" t="s">
        <v>402</v>
      </c>
      <c r="E105" t="s">
        <v>403</v>
      </c>
      <c r="F105" t="s">
        <v>404</v>
      </c>
      <c r="G105" t="s">
        <v>405</v>
      </c>
      <c r="H105" s="8">
        <f>VLOOKUP(D105,Résultats!$B$2:$AX$476,'T energie vecteurs'!U5,FALSE)</f>
        <v>0.26835392320000001</v>
      </c>
      <c r="I105" s="293">
        <f>VLOOKUP(E105,Résultats!$B$2:$AX$476,'T energie vecteurs'!U5,FALSE)</f>
        <v>6.2225483620000004</v>
      </c>
      <c r="J105" s="8">
        <f>VLOOKUP(F105,Résultats!$B$2:$AX$476,'T energie vecteurs'!U5,FALSE)</f>
        <v>16.94886048</v>
      </c>
      <c r="K105" s="8">
        <f>VLOOKUP(G105,Résultats!$B$2:$AX$476,'T energie vecteurs'!U5,FALSE)+2</f>
        <v>20.218917900000001</v>
      </c>
      <c r="L105" s="96">
        <f t="shared" si="37"/>
        <v>43.658680665200002</v>
      </c>
      <c r="M105" s="75"/>
      <c r="N105" s="150" t="s">
        <v>21</v>
      </c>
      <c r="O105" s="29">
        <f>'[2]Bilan 2040 AMS'!$V$46/11.63</f>
        <v>0</v>
      </c>
      <c r="P105" s="28">
        <f>SUM('[2]Bilan 2040 AMS'!$V$41:$V$43)/11.63</f>
        <v>3.940595509029942E-2</v>
      </c>
      <c r="Q105" s="28">
        <f>'[2]Bilan 2040 AMS'!$V$13/11.63</f>
        <v>13.005046344709536</v>
      </c>
      <c r="R105" s="28">
        <f>('[2]Bilan 2040 AMS'!$V$22+'[2]Bilan 2040 AMS'!$V$30+SUM('[2]Bilan 2040 AMS'!$V$36:$V$40)+SUM('[2]Bilan 2040 AMS'!$V$44:$V$45)+'[2]Bilan 2040 AMS'!$V$47)/11.63</f>
        <v>23.419883063855131</v>
      </c>
      <c r="S105" s="142">
        <f t="shared" ref="S105:S111" si="38">SUM(O105:R105)</f>
        <v>36.464335363654968</v>
      </c>
      <c r="T105" s="318">
        <f>S105-'[2]Bilan 2040 AMS'!$V$40/11.63</f>
        <v>24.69060797193552</v>
      </c>
      <c r="U105" s="147" t="s">
        <v>21</v>
      </c>
      <c r="V105" t="s">
        <v>402</v>
      </c>
      <c r="W105" t="s">
        <v>403</v>
      </c>
      <c r="X105" t="s">
        <v>404</v>
      </c>
      <c r="Y105" t="s">
        <v>405</v>
      </c>
      <c r="Z105" s="8">
        <v>0.1972211069</v>
      </c>
      <c r="AA105" s="293">
        <v>2.0539360590000002</v>
      </c>
      <c r="AB105" s="8">
        <v>14.37889579</v>
      </c>
      <c r="AC105" s="8">
        <v>23.398491669999999</v>
      </c>
      <c r="AD105" s="96">
        <v>40.028544625899997</v>
      </c>
    </row>
    <row r="106" spans="2:30" hidden="1" x14ac:dyDescent="0.25">
      <c r="C106" s="147" t="s">
        <v>22</v>
      </c>
      <c r="D106" t="s">
        <v>406</v>
      </c>
      <c r="E106" t="s">
        <v>407</v>
      </c>
      <c r="F106" t="s">
        <v>408</v>
      </c>
      <c r="G106" t="s">
        <v>409</v>
      </c>
      <c r="H106" s="8">
        <f>VLOOKUP(D106,Résultats!$B$2:$AX$476,'T energie vecteurs'!U5,FALSE)</f>
        <v>0</v>
      </c>
      <c r="I106" s="8">
        <f>VLOOKUP(E106,Résultats!$B$2:$AX$476,'T energie vecteurs'!U5,FALSE)</f>
        <v>1.880888943</v>
      </c>
      <c r="J106" s="8">
        <f>VLOOKUP(F106,Résultats!$B$2:$AX$476,'T energie vecteurs'!U5,FALSE)</f>
        <v>11.957900220000001</v>
      </c>
      <c r="K106" s="8">
        <f>VLOOKUP(G106,Résultats!$B$2:$AX$476,'T energie vecteurs'!U5,FALSE)</f>
        <v>7.694597474</v>
      </c>
      <c r="L106" s="96">
        <f t="shared" si="37"/>
        <v>21.533386637</v>
      </c>
      <c r="M106" s="75"/>
      <c r="N106" s="150" t="s">
        <v>22</v>
      </c>
      <c r="O106" s="29">
        <f>('[2]Bilan 2040 AMS'!$W$46)/11.63</f>
        <v>0</v>
      </c>
      <c r="P106" s="28">
        <f>SUM('[2]Bilan 2040 AMS'!$W$41:$W$43)/11.63</f>
        <v>6.2288453661439952E-2</v>
      </c>
      <c r="Q106" s="28">
        <f>('[2]Bilan 2040 AMS'!$W$13)/11.63</f>
        <v>10.436146233936347</v>
      </c>
      <c r="R106" s="28">
        <f>('[2]Bilan 2040 AMS'!$W$22+'[2]Bilan 2040 AMS'!$W$30+SUM('[2]Bilan 2040 AMS'!$W$36:$W$40)+SUM('[2]Bilan 2040 AMS'!$W$44:$W$45)+'[2]Bilan 2040 AMS'!$W$47)/11.63</f>
        <v>9.7634935188507423</v>
      </c>
      <c r="S106" s="142">
        <f t="shared" si="38"/>
        <v>20.26192820644853</v>
      </c>
      <c r="T106" s="318">
        <f>S106-'[2]Bilan 2040 AMS'!$W$40/11.63</f>
        <v>15.781567878414009</v>
      </c>
      <c r="U106" s="147" t="s">
        <v>22</v>
      </c>
      <c r="V106" t="s">
        <v>406</v>
      </c>
      <c r="W106" t="s">
        <v>407</v>
      </c>
      <c r="X106" t="s">
        <v>408</v>
      </c>
      <c r="Y106" t="s">
        <v>409</v>
      </c>
      <c r="Z106" s="8">
        <v>0</v>
      </c>
      <c r="AA106" s="8">
        <v>0.94322830400000002</v>
      </c>
      <c r="AB106" s="8">
        <v>11.96270846</v>
      </c>
      <c r="AC106" s="8">
        <v>7.8588873479999997</v>
      </c>
      <c r="AD106" s="96">
        <v>20.764824111999999</v>
      </c>
    </row>
    <row r="107" spans="2:30" hidden="1" x14ac:dyDescent="0.25">
      <c r="C107" s="147" t="s">
        <v>23</v>
      </c>
      <c r="H107" s="8">
        <f>SUM(H108:H110)</f>
        <v>2.8386524940000002</v>
      </c>
      <c r="I107" s="8">
        <f>SUM(I108:I110)</f>
        <v>16.235267271000001</v>
      </c>
      <c r="J107" s="8">
        <f>SUM(J108:J110)</f>
        <v>11.2873175653</v>
      </c>
      <c r="K107" s="8">
        <f>SUM(K108:K110)</f>
        <v>17.383869671900001</v>
      </c>
      <c r="L107" s="96">
        <f t="shared" si="37"/>
        <v>47.745107002200001</v>
      </c>
      <c r="M107" s="75"/>
      <c r="N107" s="150" t="s">
        <v>490</v>
      </c>
      <c r="O107" s="29">
        <f>O108+O109</f>
        <v>1.0449521879030526</v>
      </c>
      <c r="P107" s="28">
        <f t="shared" ref="P107:R107" si="39">P108+P109</f>
        <v>9.6454857925293265</v>
      </c>
      <c r="Q107" s="28">
        <f t="shared" si="39"/>
        <v>13.633134927355739</v>
      </c>
      <c r="R107" s="28">
        <f t="shared" si="39"/>
        <v>13.902936638787098</v>
      </c>
      <c r="S107" s="142">
        <f t="shared" si="38"/>
        <v>38.226509546575215</v>
      </c>
      <c r="T107" s="318">
        <f t="shared" ref="T107" si="40">S107</f>
        <v>38.226509546575215</v>
      </c>
      <c r="U107" s="147" t="s">
        <v>23</v>
      </c>
      <c r="Z107" s="8">
        <v>2.5322720060999999</v>
      </c>
      <c r="AA107" s="8">
        <v>14.009128661</v>
      </c>
      <c r="AB107" s="8">
        <v>13.4968335317</v>
      </c>
      <c r="AC107" s="8">
        <v>12.9391592573</v>
      </c>
      <c r="AD107" s="96">
        <v>42.977393456099996</v>
      </c>
    </row>
    <row r="108" spans="2:30" hidden="1" x14ac:dyDescent="0.25">
      <c r="C108" s="149" t="s">
        <v>24</v>
      </c>
      <c r="D108" t="s">
        <v>410</v>
      </c>
      <c r="E108" t="s">
        <v>411</v>
      </c>
      <c r="F108" t="s">
        <v>412</v>
      </c>
      <c r="G108" t="s">
        <v>413</v>
      </c>
      <c r="H108" s="16">
        <f>VLOOKUP(D108,Résultats!$B$2:$AX$476,'T energie vecteurs'!U5,FALSE)</f>
        <v>1.917221861</v>
      </c>
      <c r="I108" s="16">
        <f>VLOOKUP(E108,Résultats!$B$2:$AX$476,'T energie vecteurs'!U5,FALSE)</f>
        <v>10.5510412</v>
      </c>
      <c r="J108" s="16">
        <f>VLOOKUP(F108,Résultats!$B$2:$AX$476,'T energie vecteurs'!U5,FALSE)</f>
        <v>10.91155062</v>
      </c>
      <c r="K108" s="16">
        <f>VLOOKUP(G108,Résultats!$B$2:$AX$476,'T energie vecteurs'!U5,FALSE)</f>
        <v>14.399596730000001</v>
      </c>
      <c r="L108" s="95">
        <f t="shared" si="37"/>
        <v>37.779410411000001</v>
      </c>
      <c r="M108" s="16"/>
      <c r="N108" s="149" t="s">
        <v>491</v>
      </c>
      <c r="O108" s="143">
        <f>'[2]Bilan 2040 AMS'!$U$46/11.63</f>
        <v>2.6869092762521495E-2</v>
      </c>
      <c r="P108" s="30">
        <f>SUM('[2]Bilan 2040 AMS'!$U$41:$U$43)/11.63</f>
        <v>0.32770211462176457</v>
      </c>
      <c r="Q108" s="30">
        <f>'[2]Bilan 2040 AMS'!$U$13/11.63</f>
        <v>13.633134927355739</v>
      </c>
      <c r="R108" s="30">
        <f>('[2]Bilan 2040 AMS'!$U$22+'[2]Bilan 2040 AMS'!$U$30+SUM('[2]Bilan 2040 AMS'!$U$36:$U$40)+SUM('[2]Bilan 2040 AMS'!$U$44:$U$45)+'[2]Bilan 2040 AMS'!$U$47)/11.63</f>
        <v>12.662819172663614</v>
      </c>
      <c r="S108" s="95">
        <f t="shared" si="38"/>
        <v>26.65052530740364</v>
      </c>
      <c r="T108" s="95"/>
      <c r="U108" s="149" t="s">
        <v>24</v>
      </c>
      <c r="V108" t="s">
        <v>410</v>
      </c>
      <c r="W108" t="s">
        <v>411</v>
      </c>
      <c r="X108" t="s">
        <v>412</v>
      </c>
      <c r="Y108" t="s">
        <v>413</v>
      </c>
      <c r="Z108" s="16">
        <v>1.66197865</v>
      </c>
      <c r="AA108" s="16">
        <v>8.4872416560000001</v>
      </c>
      <c r="AB108" s="16">
        <v>13.133262220000001</v>
      </c>
      <c r="AC108" s="16">
        <v>10.30172256</v>
      </c>
      <c r="AD108" s="95">
        <v>33.584205086000004</v>
      </c>
    </row>
    <row r="109" spans="2:30" hidden="1" x14ac:dyDescent="0.25">
      <c r="C109" s="149" t="s">
        <v>47</v>
      </c>
      <c r="D109" t="s">
        <v>414</v>
      </c>
      <c r="E109" t="s">
        <v>415</v>
      </c>
      <c r="F109" t="s">
        <v>416</v>
      </c>
      <c r="G109" t="s">
        <v>417</v>
      </c>
      <c r="H109" s="16">
        <f>VLOOKUP(D109,Résultats!$B$2:$AX$476,'T energie vecteurs'!U5,FALSE)</f>
        <v>0.92143063300000005</v>
      </c>
      <c r="I109" s="16">
        <f>VLOOKUP(E109,Résultats!$B$2:$AX$476,'T energie vecteurs'!U5,FALSE)</f>
        <v>2.3922776909999999</v>
      </c>
      <c r="J109" s="16">
        <f>VLOOKUP(F109,Résultats!$B$2:$AX$476,'T energie vecteurs'!U5,FALSE)</f>
        <v>0</v>
      </c>
      <c r="K109" s="16">
        <f>VLOOKUP(G109,Résultats!$B$2:$AX$476,'T energie vecteurs'!U5,FALSE)</f>
        <v>2.4952695770000002</v>
      </c>
      <c r="L109" s="95">
        <f t="shared" si="37"/>
        <v>5.8089779010000004</v>
      </c>
      <c r="M109" s="16"/>
      <c r="N109" s="149" t="s">
        <v>47</v>
      </c>
      <c r="O109" s="22">
        <f>'[2]Bilan 2040 AMS'!$E$52/11.63</f>
        <v>1.0180830951405311</v>
      </c>
      <c r="P109" s="16">
        <f>('[2]Bilan 2040 AMS'!$E$54+'[2]Bilan 2040 AMS'!$E$56)/11.63</f>
        <v>9.3177836779075616</v>
      </c>
      <c r="Q109" s="16">
        <v>0</v>
      </c>
      <c r="R109" s="16">
        <f>('[2]Bilan 2040 AMS'!$E$53+'[2]Bilan 2040 AMS'!$E$55+'[2]Bilan 2040 AMS'!$E$57)/11.63</f>
        <v>1.2401174661234846</v>
      </c>
      <c r="S109" s="95">
        <f t="shared" si="38"/>
        <v>11.575984239171577</v>
      </c>
      <c r="T109" s="95"/>
      <c r="U109" s="149" t="s">
        <v>47</v>
      </c>
      <c r="V109" t="s">
        <v>414</v>
      </c>
      <c r="W109" t="s">
        <v>415</v>
      </c>
      <c r="X109" t="s">
        <v>416</v>
      </c>
      <c r="Y109" t="s">
        <v>417</v>
      </c>
      <c r="Z109" s="16">
        <v>0.87029335610000003</v>
      </c>
      <c r="AA109" s="16">
        <v>2.3845051239999999</v>
      </c>
      <c r="AB109" s="16">
        <v>0</v>
      </c>
      <c r="AC109" s="16">
        <v>2.1881881220000001</v>
      </c>
      <c r="AD109" s="95">
        <v>5.4429866020999995</v>
      </c>
    </row>
    <row r="110" spans="2:30" hidden="1" x14ac:dyDescent="0.25">
      <c r="C110" s="149" t="s">
        <v>25</v>
      </c>
      <c r="D110" t="s">
        <v>418</v>
      </c>
      <c r="E110" t="s">
        <v>419</v>
      </c>
      <c r="F110" t="s">
        <v>420</v>
      </c>
      <c r="G110" t="s">
        <v>421</v>
      </c>
      <c r="H110" s="16">
        <f>VLOOKUP(D110,Résultats!$B$2:$AX$476,'T energie vecteurs'!U5,FALSE)</f>
        <v>0</v>
      </c>
      <c r="I110" s="16">
        <f>VLOOKUP(E110,Résultats!$B$2:$AX$476,'T energie vecteurs'!U5,FALSE)</f>
        <v>3.29194838</v>
      </c>
      <c r="J110" s="16">
        <f>VLOOKUP(F110,Résultats!$B$2:$AX$476,'T energie vecteurs'!U5,FALSE)</f>
        <v>0.37576694529999999</v>
      </c>
      <c r="K110" s="16">
        <f>VLOOKUP(G110,Résultats!$B$2:$AX$476,'T energie vecteurs'!U5,FALSE)</f>
        <v>0.48900336490000001</v>
      </c>
      <c r="L110" s="95">
        <f t="shared" si="37"/>
        <v>4.1567186902</v>
      </c>
      <c r="M110" s="16"/>
      <c r="N110" s="150" t="s">
        <v>25</v>
      </c>
      <c r="O110" s="29">
        <f>'[2]Bilan 2040 AMS'!$T$46/11.63</f>
        <v>0</v>
      </c>
      <c r="P110" s="28">
        <f>SUM('[2]Bilan 2040 AMS'!$T$41:$T$43)/11.63</f>
        <v>1.7885166900417695</v>
      </c>
      <c r="Q110" s="28">
        <f>'[2]Bilan 2040 AMS'!$T$13/11.63</f>
        <v>0.81736771845734513</v>
      </c>
      <c r="R110" s="28">
        <f>('[2]Bilan 2040 AMS'!$T$22+'[2]Bilan 2040 AMS'!$T$30+SUM('[2]Bilan 2040 AMS'!$T$36:$T$40)+SUM('[2]Bilan 2040 AMS'!$T$44:$T$45)+'[2]Bilan 2040 AMS'!$T$47)/11.63</f>
        <v>1.6786760269649839</v>
      </c>
      <c r="S110" s="142">
        <f t="shared" si="38"/>
        <v>4.2845604354640985</v>
      </c>
      <c r="T110" s="318">
        <f>S110</f>
        <v>4.2845604354640985</v>
      </c>
      <c r="U110" s="149" t="s">
        <v>25</v>
      </c>
      <c r="V110" t="s">
        <v>418</v>
      </c>
      <c r="W110" t="s">
        <v>419</v>
      </c>
      <c r="X110" t="s">
        <v>420</v>
      </c>
      <c r="Y110" t="s">
        <v>421</v>
      </c>
      <c r="Z110" s="16">
        <v>0</v>
      </c>
      <c r="AA110" s="16">
        <v>3.137381881</v>
      </c>
      <c r="AB110" s="16">
        <v>0.36357131170000001</v>
      </c>
      <c r="AC110" s="16">
        <v>0.44924857530000001</v>
      </c>
      <c r="AD110" s="95">
        <v>3.9502017679999999</v>
      </c>
    </row>
    <row r="111" spans="2:30" hidden="1" x14ac:dyDescent="0.25">
      <c r="C111" s="23" t="s">
        <v>26</v>
      </c>
      <c r="D111" s="10"/>
      <c r="E111" s="10"/>
      <c r="F111" s="10"/>
      <c r="G111" s="10"/>
      <c r="H111" s="9">
        <f>SUM(H102,H105:H107)</f>
        <v>3.1070064172</v>
      </c>
      <c r="I111" s="9">
        <f>SUM(I102,I105:I107)</f>
        <v>57.927372536000007</v>
      </c>
      <c r="J111" s="9">
        <f>SUM(J102,J105:J107)</f>
        <v>45.6647251383</v>
      </c>
      <c r="K111" s="9">
        <f>SUM(K102,K105:K107)</f>
        <v>48.284553600944101</v>
      </c>
      <c r="L111" s="98">
        <f t="shared" si="37"/>
        <v>154.9836576924441</v>
      </c>
      <c r="M111" s="79"/>
      <c r="N111" s="151" t="s">
        <v>26</v>
      </c>
      <c r="O111" s="32">
        <f>O102+O105+O106+O107+O110</f>
        <v>1.0449521879030526</v>
      </c>
      <c r="P111" s="31">
        <f>P102+P105+P106+P107+P110</f>
        <v>23.464724472363251</v>
      </c>
      <c r="Q111" s="31">
        <f>Q102+Q105+Q106+Q107+Q110</f>
        <v>46.368784304308321</v>
      </c>
      <c r="R111" s="31">
        <f>R102+R105+R106+R107+R110</f>
        <v>49.799152048131226</v>
      </c>
      <c r="S111" s="144">
        <f t="shared" si="38"/>
        <v>120.67761301270585</v>
      </c>
      <c r="T111" s="319">
        <f>SUM(T102:T110)</f>
        <v>104.42352529295188</v>
      </c>
      <c r="U111" s="23" t="s">
        <v>26</v>
      </c>
      <c r="V111" s="10"/>
      <c r="W111" s="10"/>
      <c r="X111" s="10"/>
      <c r="Y111" s="10"/>
      <c r="Z111" s="9">
        <v>2.7294931129999997</v>
      </c>
      <c r="AA111" s="9">
        <v>37.154498988</v>
      </c>
      <c r="AB111" s="9">
        <v>48.711507515699999</v>
      </c>
      <c r="AC111" s="9">
        <v>44.651273126286299</v>
      </c>
      <c r="AD111" s="98">
        <v>133.24677274298631</v>
      </c>
    </row>
    <row r="112" spans="2:30" s="3" customFormat="1" hidden="1" x14ac:dyDescent="0.25"/>
    <row r="113" spans="3:30" s="3" customFormat="1" hidden="1" x14ac:dyDescent="0.25"/>
    <row r="114" spans="3:30" ht="31.5" x14ac:dyDescent="0.35">
      <c r="C114" s="145">
        <v>2050</v>
      </c>
      <c r="D114" s="146"/>
      <c r="E114" s="146"/>
      <c r="F114" s="146"/>
      <c r="G114" s="146"/>
      <c r="H114" s="76" t="s">
        <v>36</v>
      </c>
      <c r="I114" s="76" t="s">
        <v>49</v>
      </c>
      <c r="J114" s="76" t="s">
        <v>38</v>
      </c>
      <c r="K114" s="76" t="s">
        <v>48</v>
      </c>
      <c r="L114" s="93" t="s">
        <v>1</v>
      </c>
      <c r="M114" s="19"/>
      <c r="N114" s="145">
        <v>2050</v>
      </c>
      <c r="O114" s="141" t="s">
        <v>36</v>
      </c>
      <c r="P114" s="76" t="s">
        <v>49</v>
      </c>
      <c r="Q114" s="76" t="s">
        <v>38</v>
      </c>
      <c r="R114" s="76" t="s">
        <v>48</v>
      </c>
      <c r="S114" s="93" t="s">
        <v>1</v>
      </c>
      <c r="T114" s="317" t="s">
        <v>543</v>
      </c>
      <c r="U114" s="145">
        <v>2050</v>
      </c>
      <c r="V114" s="146"/>
      <c r="W114" s="146"/>
      <c r="X114" s="146"/>
      <c r="Y114" s="146"/>
      <c r="Z114" s="76" t="s">
        <v>36</v>
      </c>
      <c r="AA114" s="76" t="s">
        <v>49</v>
      </c>
      <c r="AB114" s="76" t="s">
        <v>38</v>
      </c>
      <c r="AC114" s="76" t="s">
        <v>48</v>
      </c>
      <c r="AD114" s="93" t="s">
        <v>1</v>
      </c>
    </row>
    <row r="115" spans="3:30" x14ac:dyDescent="0.25">
      <c r="C115" s="147" t="s">
        <v>18</v>
      </c>
      <c r="H115" s="8">
        <f>SUM(H116:H117)</f>
        <v>0</v>
      </c>
      <c r="I115" s="8">
        <f>SUM(I116:I117)</f>
        <v>30.891452909999998</v>
      </c>
      <c r="J115" s="8">
        <f>SUM(J116:J117)</f>
        <v>7.1577233049999993</v>
      </c>
      <c r="K115" s="8">
        <f>SUM(K116:K117)</f>
        <v>3.5216742849010001</v>
      </c>
      <c r="L115" s="96">
        <f t="shared" ref="L115:L124" si="41">SUM(H115:K115)</f>
        <v>41.570850499900999</v>
      </c>
      <c r="M115" s="75"/>
      <c r="N115" s="150" t="s">
        <v>18</v>
      </c>
      <c r="O115" s="29">
        <f>'[2]Bilan 2050 AMS'!$X$46/11.63</f>
        <v>0</v>
      </c>
      <c r="P115" s="28">
        <f>SUM('[2]Bilan 2050 AMS'!$X$41:$X$43)/11.63</f>
        <v>2.1033133279491807</v>
      </c>
      <c r="Q115" s="28">
        <f>'[2]Bilan 2050 AMS'!$X$13/11.63</f>
        <v>11.110771778329255</v>
      </c>
      <c r="R115" s="28">
        <f>('[2]Bilan 2050 AMS'!$X$22+'[2]Bilan 2050 AMS'!$X$30+SUM('[2]Bilan 2050 AMS'!$X$36:$X$40)+SUM('[2]Bilan 2050 AMS'!$X$44:$X$45)+'[2]Bilan 2050 AMS'!$X$47)/11.63</f>
        <v>1.2444308406947837</v>
      </c>
      <c r="S115" s="142">
        <f>SUM(O115:R115)</f>
        <v>14.45851594697322</v>
      </c>
      <c r="T115" s="318">
        <f>S115</f>
        <v>14.45851594697322</v>
      </c>
      <c r="U115" s="147" t="s">
        <v>18</v>
      </c>
      <c r="Z115" s="8">
        <v>0</v>
      </c>
      <c r="AA115" s="8">
        <v>6.3742445170000002</v>
      </c>
      <c r="AB115" s="8">
        <v>13.733721017000001</v>
      </c>
      <c r="AC115" s="8">
        <v>0.66529094194708005</v>
      </c>
      <c r="AD115" s="96">
        <v>20.773256475947083</v>
      </c>
    </row>
    <row r="116" spans="3:30" x14ac:dyDescent="0.25">
      <c r="C116" s="148" t="s">
        <v>19</v>
      </c>
      <c r="D116" t="s">
        <v>394</v>
      </c>
      <c r="E116" t="s">
        <v>395</v>
      </c>
      <c r="F116" t="s">
        <v>396</v>
      </c>
      <c r="G116" t="s">
        <v>397</v>
      </c>
      <c r="H116" s="16">
        <f>VLOOKUP(D116,Résultats!$B$2:$AX$476,'T energie vecteurs'!W5,FALSE)</f>
        <v>0</v>
      </c>
      <c r="I116" s="16">
        <f>VLOOKUP(E116,Résultats!$B$2:$AX$476,'T energie vecteurs'!W5,FALSE)</f>
        <v>12.733929979999999</v>
      </c>
      <c r="J116" s="16">
        <f>VLOOKUP(F116,Résultats!$B$2:$AX$476,'T energie vecteurs'!W5,FALSE)</f>
        <v>3.3245960229999998</v>
      </c>
      <c r="K116" s="16">
        <f>VLOOKUP(G116,Résultats!$B$2:$AX$476,'T energie vecteurs'!W5,FALSE)</f>
        <v>6.6332901000000006E-5</v>
      </c>
      <c r="L116" s="95">
        <f>SUM(H116:K116)</f>
        <v>16.058592335900997</v>
      </c>
      <c r="M116" s="16"/>
      <c r="N116" s="148" t="s">
        <v>19</v>
      </c>
      <c r="O116" s="143"/>
      <c r="P116" s="16"/>
      <c r="Q116" s="34"/>
      <c r="R116" s="16"/>
      <c r="S116" s="95"/>
      <c r="T116" s="95"/>
      <c r="U116" s="148" t="s">
        <v>19</v>
      </c>
      <c r="V116" t="s">
        <v>394</v>
      </c>
      <c r="W116" t="s">
        <v>395</v>
      </c>
      <c r="X116" t="s">
        <v>396</v>
      </c>
      <c r="Y116" t="s">
        <v>397</v>
      </c>
      <c r="Z116" s="16">
        <v>0</v>
      </c>
      <c r="AA116" s="16">
        <v>1.01620194</v>
      </c>
      <c r="AB116" s="16">
        <v>5.461545836</v>
      </c>
      <c r="AC116" s="16">
        <v>1.8372470800000001E-6</v>
      </c>
      <c r="AD116" s="95">
        <v>6.47774961324708</v>
      </c>
    </row>
    <row r="117" spans="3:30" x14ac:dyDescent="0.25">
      <c r="C117" s="149" t="s">
        <v>20</v>
      </c>
      <c r="D117" t="s">
        <v>398</v>
      </c>
      <c r="E117" t="s">
        <v>399</v>
      </c>
      <c r="F117" t="s">
        <v>400</v>
      </c>
      <c r="G117" t="s">
        <v>401</v>
      </c>
      <c r="H117" s="16">
        <f>VLOOKUP(D117,Résultats!$B$2:$AX$476,'T energie vecteurs'!W5,FALSE)</f>
        <v>0</v>
      </c>
      <c r="I117" s="34">
        <f>VLOOKUP(E117,Résultats!$B$2:$AX$476,'T energie vecteurs'!W5,FALSE)</f>
        <v>18.157522929999999</v>
      </c>
      <c r="J117" s="16">
        <f>VLOOKUP(F117,Résultats!$B$2:$AX$476,'T energie vecteurs'!W5,FALSE)</f>
        <v>3.833127282</v>
      </c>
      <c r="K117" s="16">
        <f>VLOOKUP(G117,Résultats!$B$2:$AX$476,'T energie vecteurs'!W5,FALSE)</f>
        <v>3.5216079520000001</v>
      </c>
      <c r="L117" s="95">
        <f>SUM(H117:K117)</f>
        <v>25.512258163999999</v>
      </c>
      <c r="M117" s="16"/>
      <c r="N117" s="149" t="s">
        <v>20</v>
      </c>
      <c r="O117" s="143"/>
      <c r="P117" s="16"/>
      <c r="Q117" s="34"/>
      <c r="R117" s="16"/>
      <c r="S117" s="95"/>
      <c r="T117" s="95"/>
      <c r="U117" s="149" t="s">
        <v>20</v>
      </c>
      <c r="V117" t="s">
        <v>398</v>
      </c>
      <c r="W117" t="s">
        <v>399</v>
      </c>
      <c r="X117" t="s">
        <v>400</v>
      </c>
      <c r="Y117" t="s">
        <v>401</v>
      </c>
      <c r="Z117" s="16">
        <v>0</v>
      </c>
      <c r="AA117" s="34">
        <v>5.358042577</v>
      </c>
      <c r="AB117" s="16">
        <v>8.2721751809999997</v>
      </c>
      <c r="AC117" s="16">
        <v>0.66528910470000002</v>
      </c>
      <c r="AD117" s="95">
        <v>14.2955068627</v>
      </c>
    </row>
    <row r="118" spans="3:30" x14ac:dyDescent="0.25">
      <c r="C118" s="147" t="s">
        <v>21</v>
      </c>
      <c r="D118" t="s">
        <v>402</v>
      </c>
      <c r="E118" t="s">
        <v>403</v>
      </c>
      <c r="F118" t="s">
        <v>404</v>
      </c>
      <c r="G118" t="s">
        <v>405</v>
      </c>
      <c r="H118" s="8">
        <f>VLOOKUP(D118,Résultats!$B$2:$AX$476,'T energie vecteurs'!W5,FALSE)</f>
        <v>0.2350284577</v>
      </c>
      <c r="I118" s="8">
        <f>VLOOKUP(E118,Résultats!$B$2:$AX$476,'T energie vecteurs'!W5,FALSE)</f>
        <v>5.7003003879999996</v>
      </c>
      <c r="J118" s="8">
        <f>VLOOKUP(F118,Résultats!$B$2:$AX$476,'T energie vecteurs'!W5,FALSE)</f>
        <v>17.355734529999999</v>
      </c>
      <c r="K118" s="8">
        <f>VLOOKUP(G118,Résultats!$B$2:$AX$476,'T energie vecteurs'!W5,FALSE)+2</f>
        <v>19.820530810000001</v>
      </c>
      <c r="L118" s="96">
        <f t="shared" si="41"/>
        <v>43.1115941857</v>
      </c>
      <c r="M118" s="75"/>
      <c r="N118" s="150" t="s">
        <v>21</v>
      </c>
      <c r="O118" s="29">
        <f>'[2]Bilan 2050 AMS'!$V$46/11.63</f>
        <v>0</v>
      </c>
      <c r="P118" s="28">
        <f>SUM('[2]Bilan 2050 AMS'!$V$41:$V$43)/11.63</f>
        <v>1.1494996834972571E-3</v>
      </c>
      <c r="Q118" s="28">
        <f>'[2]Bilan 2050 AMS'!$V$13/11.63</f>
        <v>11.674656052235431</v>
      </c>
      <c r="R118" s="28">
        <f>('[2]Bilan 2050 AMS'!$V$22+'[2]Bilan 2050 AMS'!$V$30+SUM('[2]Bilan 2050 AMS'!$V$36:$V$40)+SUM('[2]Bilan 2050 AMS'!$V$44:$V$45)+'[2]Bilan 2050 AMS'!$V$47)/11.63</f>
        <v>24.610837568478981</v>
      </c>
      <c r="S118" s="142">
        <f t="shared" ref="S118:S124" si="42">SUM(O118:R118)</f>
        <v>36.286643120397912</v>
      </c>
      <c r="T118" s="318">
        <f>S118-'[2]Bilan 2050 AMS'!$V$40/11.63</f>
        <v>21.646229384501765</v>
      </c>
      <c r="U118" s="147" t="s">
        <v>21</v>
      </c>
      <c r="V118" t="s">
        <v>402</v>
      </c>
      <c r="W118" t="s">
        <v>403</v>
      </c>
      <c r="X118" t="s">
        <v>404</v>
      </c>
      <c r="Y118" t="s">
        <v>405</v>
      </c>
      <c r="Z118" s="8">
        <v>0.144095213</v>
      </c>
      <c r="AA118" s="8">
        <v>0.87016526630000002</v>
      </c>
      <c r="AB118" s="8">
        <v>13.477343449999999</v>
      </c>
      <c r="AC118" s="8">
        <v>22.00550617</v>
      </c>
      <c r="AD118" s="316">
        <v>36.497110099300002</v>
      </c>
    </row>
    <row r="119" spans="3:30" x14ac:dyDescent="0.25">
      <c r="C119" s="147" t="s">
        <v>22</v>
      </c>
      <c r="D119" t="s">
        <v>406</v>
      </c>
      <c r="E119" t="s">
        <v>407</v>
      </c>
      <c r="F119" t="s">
        <v>408</v>
      </c>
      <c r="G119" t="s">
        <v>409</v>
      </c>
      <c r="H119" s="8">
        <f>VLOOKUP(D119,Résultats!$B$2:$AX$476,'T energie vecteurs'!W5,FALSE)</f>
        <v>0</v>
      </c>
      <c r="I119" s="8">
        <f>VLOOKUP(E119,Résultats!$B$2:$AX$476,'T energie vecteurs'!W5,FALSE)</f>
        <v>1.8839878590000001</v>
      </c>
      <c r="J119" s="8">
        <f>VLOOKUP(F119,Résultats!$B$2:$AX$476,'T energie vecteurs'!W5,FALSE)</f>
        <v>10.34926958</v>
      </c>
      <c r="K119" s="8">
        <f>VLOOKUP(G119,Résultats!$B$2:$AX$476,'T energie vecteurs'!W5,FALSE)</f>
        <v>6.4865898419999999</v>
      </c>
      <c r="L119" s="96">
        <f t="shared" si="41"/>
        <v>18.719847281</v>
      </c>
      <c r="M119" s="75"/>
      <c r="N119" s="150" t="s">
        <v>22</v>
      </c>
      <c r="O119" s="29">
        <f>('[2]Bilan 2050 AMS'!$W$46)/11.63</f>
        <v>0</v>
      </c>
      <c r="P119" s="28">
        <f>SUM('[2]Bilan 2050 AMS'!$W$41:$W$43)/11.63</f>
        <v>5.1222285568290988E-3</v>
      </c>
      <c r="Q119" s="28">
        <f>('[2]Bilan 2050 AMS'!$W$13)/11.63</f>
        <v>10.59138596649569</v>
      </c>
      <c r="R119" s="28">
        <f>('[2]Bilan 2050 AMS'!$W$22+'[2]Bilan 2050 AMS'!$W$30+SUM('[2]Bilan 2050 AMS'!$W$36:$W$40)+SUM('[2]Bilan 2050 AMS'!$W$44:$W$45)+'[2]Bilan 2050 AMS'!$W$47)/11.63</f>
        <v>9.456444841724398</v>
      </c>
      <c r="S119" s="142">
        <f t="shared" si="42"/>
        <v>20.052953036776916</v>
      </c>
      <c r="T119" s="318">
        <f>S119-'[2]Bilan 2050 AMS'!$W$40/11.63</f>
        <v>14.485251158685617</v>
      </c>
      <c r="U119" s="147" t="s">
        <v>22</v>
      </c>
      <c r="V119" t="s">
        <v>406</v>
      </c>
      <c r="W119" t="s">
        <v>407</v>
      </c>
      <c r="X119" t="s">
        <v>408</v>
      </c>
      <c r="Y119" t="s">
        <v>409</v>
      </c>
      <c r="Z119" s="8">
        <v>0</v>
      </c>
      <c r="AA119" s="8">
        <v>0.82494689629999995</v>
      </c>
      <c r="AB119" s="8">
        <v>8.8294995440000008</v>
      </c>
      <c r="AC119" s="8">
        <v>9.4646130199999998</v>
      </c>
      <c r="AD119" s="96">
        <v>19.119059460300001</v>
      </c>
    </row>
    <row r="120" spans="3:30" x14ac:dyDescent="0.25">
      <c r="C120" s="147" t="s">
        <v>24</v>
      </c>
      <c r="H120" s="8">
        <f>SUM(H121:H122)</f>
        <v>2.9370917465000002</v>
      </c>
      <c r="I120" s="8">
        <f t="shared" ref="I120:K120" si="43">SUM(I121:I122)</f>
        <v>13.435531337</v>
      </c>
      <c r="J120" s="8">
        <f t="shared" si="43"/>
        <v>12.397700650000001</v>
      </c>
      <c r="K120" s="8">
        <f t="shared" si="43"/>
        <v>18.300914027000001</v>
      </c>
      <c r="L120" s="96">
        <f>SUM(H120:K120)</f>
        <v>47.071237760500004</v>
      </c>
      <c r="M120" s="75"/>
      <c r="N120" s="150" t="s">
        <v>490</v>
      </c>
      <c r="O120" s="29">
        <f>O121+O122</f>
        <v>0</v>
      </c>
      <c r="P120" s="28">
        <f t="shared" ref="P120:R120" si="44">P121+P122</f>
        <v>8.7976190667572478</v>
      </c>
      <c r="Q120" s="28">
        <f t="shared" si="44"/>
        <v>15.093516254705882</v>
      </c>
      <c r="R120" s="28">
        <f t="shared" si="44"/>
        <v>12.373890980253208</v>
      </c>
      <c r="S120" s="142">
        <f t="shared" si="42"/>
        <v>36.26502630171634</v>
      </c>
      <c r="T120" s="318">
        <f t="shared" ref="T120" si="45">S120</f>
        <v>36.26502630171634</v>
      </c>
      <c r="U120" s="147" t="s">
        <v>24</v>
      </c>
      <c r="Z120" s="8">
        <v>2.5690103504000001</v>
      </c>
      <c r="AA120" s="8">
        <v>11.344581507000001</v>
      </c>
      <c r="AB120" s="8">
        <v>12.97891182</v>
      </c>
      <c r="AC120" s="8">
        <v>13.845264236999999</v>
      </c>
      <c r="AD120" s="96">
        <v>40.737767914399996</v>
      </c>
    </row>
    <row r="121" spans="3:30" x14ac:dyDescent="0.25">
      <c r="C121" s="149" t="s">
        <v>24</v>
      </c>
      <c r="D121" t="s">
        <v>410</v>
      </c>
      <c r="E121" t="s">
        <v>411</v>
      </c>
      <c r="F121" t="s">
        <v>412</v>
      </c>
      <c r="G121" t="s">
        <v>413</v>
      </c>
      <c r="H121" s="16">
        <f>VLOOKUP(D121,Résultats!$B$2:$AX$476,'T energie vecteurs'!W5,FALSE)</f>
        <v>1.949543104</v>
      </c>
      <c r="I121" s="16">
        <f>VLOOKUP(E121,Résultats!$B$2:$AX$476,'T energie vecteurs'!W5,FALSE)</f>
        <v>10.7245846</v>
      </c>
      <c r="J121" s="16">
        <f>VLOOKUP(F121,Résultats!$B$2:$AX$476,'T energie vecteurs'!W5,FALSE)</f>
        <v>12.397700650000001</v>
      </c>
      <c r="K121" s="16">
        <f>VLOOKUP(G121,Résultats!$B$2:$AX$476,'T energie vecteurs'!W5,FALSE)</f>
        <v>15.54299619</v>
      </c>
      <c r="L121" s="321">
        <f>SUM(H121:K121)</f>
        <v>40.614824544000001</v>
      </c>
      <c r="M121" s="16"/>
      <c r="N121" s="149" t="s">
        <v>491</v>
      </c>
      <c r="O121" s="143">
        <f>'[2]Bilan 2050 AMS'!$U$46/11.63</f>
        <v>0</v>
      </c>
      <c r="P121" s="30">
        <f>SUM('[2]Bilan 2050 AMS'!$U$41:$U$43)/11.63</f>
        <v>0</v>
      </c>
      <c r="Q121" s="30">
        <f>'[2]Bilan 2050 AMS'!$U$13/11.63</f>
        <v>15.093516254705882</v>
      </c>
      <c r="R121" s="30">
        <f>('[2]Bilan 2050 AMS'!$U$22+'[2]Bilan 2050 AMS'!$U$30+SUM('[2]Bilan 2050 AMS'!$U$36:$U$40)+SUM('[2]Bilan 2050 AMS'!$U$44:$U$45)+'[2]Bilan 2050 AMS'!$U$47)/11.63</f>
        <v>11.200328112947249</v>
      </c>
      <c r="S121" s="95">
        <f t="shared" si="42"/>
        <v>26.293844367653129</v>
      </c>
      <c r="T121" s="95"/>
      <c r="U121" s="149" t="s">
        <v>24</v>
      </c>
      <c r="V121" t="s">
        <v>410</v>
      </c>
      <c r="W121" t="s">
        <v>411</v>
      </c>
      <c r="X121" t="s">
        <v>412</v>
      </c>
      <c r="Y121" t="s">
        <v>413</v>
      </c>
      <c r="Z121" s="16">
        <v>1.670748847</v>
      </c>
      <c r="AA121" s="16">
        <v>8.7418104050000007</v>
      </c>
      <c r="AB121" s="16">
        <v>12.97891182</v>
      </c>
      <c r="AC121" s="16">
        <v>11.515066819999999</v>
      </c>
      <c r="AD121" s="321">
        <v>34.906537892000003</v>
      </c>
    </row>
    <row r="122" spans="3:30" x14ac:dyDescent="0.25">
      <c r="C122" s="149" t="s">
        <v>47</v>
      </c>
      <c r="D122" t="s">
        <v>414</v>
      </c>
      <c r="E122" t="s">
        <v>415</v>
      </c>
      <c r="F122" t="s">
        <v>416</v>
      </c>
      <c r="G122" t="s">
        <v>417</v>
      </c>
      <c r="H122" s="16">
        <f>VLOOKUP(D122,Résultats!$B$2:$AX$476,'T energie vecteurs'!W5,FALSE)</f>
        <v>0.98754864249999996</v>
      </c>
      <c r="I122" s="16">
        <f>VLOOKUP(E122,Résultats!$B$2:$AX$476,'T energie vecteurs'!W5,FALSE)</f>
        <v>2.710946737</v>
      </c>
      <c r="J122" s="16">
        <f>VLOOKUP(F122,Résultats!$B$2:$AX$476,'T energie vecteurs'!W5,FALSE)</f>
        <v>0</v>
      </c>
      <c r="K122" s="16">
        <f>VLOOKUP(G122,Résultats!$B$2:$AX$476,'T energie vecteurs'!W5,FALSE)</f>
        <v>2.7579178369999999</v>
      </c>
      <c r="L122" s="321">
        <f t="shared" si="41"/>
        <v>6.4564132164999997</v>
      </c>
      <c r="M122" s="16"/>
      <c r="N122" s="149" t="s">
        <v>47</v>
      </c>
      <c r="O122" s="22">
        <f>'[2]Bilan 2050 AMS'!$E$52/11.63</f>
        <v>0</v>
      </c>
      <c r="P122" s="16">
        <f>('[2]Bilan 2050 AMS'!$E$54+'[2]Bilan 2050 AMS'!$E$56)/11.63</f>
        <v>8.7976190667572478</v>
      </c>
      <c r="Q122" s="16">
        <v>0</v>
      </c>
      <c r="R122" s="16">
        <f>('[2]Bilan 2050 AMS'!$E$53+'[2]Bilan 2050 AMS'!$E$55+'[2]Bilan 2050 AMS'!$E$57)/11.63</f>
        <v>1.173562867305959</v>
      </c>
      <c r="S122" s="95">
        <f t="shared" si="42"/>
        <v>9.9711819340632069</v>
      </c>
      <c r="T122" s="95"/>
      <c r="U122" s="149" t="s">
        <v>47</v>
      </c>
      <c r="V122" t="s">
        <v>414</v>
      </c>
      <c r="W122" t="s">
        <v>415</v>
      </c>
      <c r="X122" t="s">
        <v>416</v>
      </c>
      <c r="Y122" t="s">
        <v>417</v>
      </c>
      <c r="Z122" s="16">
        <v>0.89826150339999999</v>
      </c>
      <c r="AA122" s="16">
        <v>2.6027711020000002</v>
      </c>
      <c r="AB122" s="16">
        <v>0</v>
      </c>
      <c r="AC122" s="16">
        <v>2.3301974169999999</v>
      </c>
      <c r="AD122" s="321">
        <v>5.8312300223999998</v>
      </c>
    </row>
    <row r="123" spans="3:30" x14ac:dyDescent="0.25">
      <c r="C123" s="147" t="s">
        <v>25</v>
      </c>
      <c r="D123" t="s">
        <v>418</v>
      </c>
      <c r="E123" t="s">
        <v>419</v>
      </c>
      <c r="F123" t="s">
        <v>420</v>
      </c>
      <c r="G123" t="s">
        <v>421</v>
      </c>
      <c r="H123" s="8">
        <f>VLOOKUP(D123,Résultats!$B$2:$AX$476,'T energie vecteurs'!W5,FALSE)</f>
        <v>0</v>
      </c>
      <c r="I123" s="8">
        <f>VLOOKUP(E123,Résultats!$B$2:$AX$476,'T energie vecteurs'!W5,FALSE)</f>
        <v>3.7429668629999999</v>
      </c>
      <c r="J123" s="8">
        <f>VLOOKUP(F123,Résultats!$B$2:$AX$476,'T energie vecteurs'!W5,FALSE)</f>
        <v>0.41564565980000001</v>
      </c>
      <c r="K123" s="8">
        <f>VLOOKUP(G123,Résultats!$B$2:$AX$476,'T energie vecteurs'!W5,FALSE)</f>
        <v>0.55124957919999995</v>
      </c>
      <c r="L123" s="322">
        <f t="shared" si="41"/>
        <v>4.7098621020000007</v>
      </c>
      <c r="M123" s="16"/>
      <c r="N123" s="150" t="s">
        <v>25</v>
      </c>
      <c r="O123" s="29">
        <f>'[2]Bilan 2050 AMS'!$T$46/11.63</f>
        <v>0</v>
      </c>
      <c r="P123" s="28">
        <f>SUM('[2]Bilan 2050 AMS'!$T$41:$T$43)/11.63</f>
        <v>0.58982132154870426</v>
      </c>
      <c r="Q123" s="28">
        <f>'[2]Bilan 2050 AMS'!$T$13/11.63</f>
        <v>0.96535834832442247</v>
      </c>
      <c r="R123" s="28">
        <f>('[2]Bilan 2050 AMS'!$T$22+'[2]Bilan 2050 AMS'!$T$30+SUM('[2]Bilan 2050 AMS'!$T$36:$T$40)+SUM('[2]Bilan 2050 AMS'!$T$44:$T$45)+'[2]Bilan 2050 AMS'!$T$47)/11.63</f>
        <v>2.1658310693719187</v>
      </c>
      <c r="S123" s="142">
        <f t="shared" si="42"/>
        <v>3.7210107392450453</v>
      </c>
      <c r="T123" s="318">
        <f>S123</f>
        <v>3.7210107392450453</v>
      </c>
      <c r="U123" s="149" t="s">
        <v>25</v>
      </c>
      <c r="V123" t="s">
        <v>418</v>
      </c>
      <c r="W123" t="s">
        <v>419</v>
      </c>
      <c r="X123" t="s">
        <v>420</v>
      </c>
      <c r="Y123" t="s">
        <v>421</v>
      </c>
      <c r="Z123" s="16">
        <v>0</v>
      </c>
      <c r="AA123" s="16">
        <v>3.455303529</v>
      </c>
      <c r="AB123" s="16">
        <v>0.40350280329999999</v>
      </c>
      <c r="AC123" s="16">
        <v>0.47360230419999999</v>
      </c>
      <c r="AD123" s="321">
        <v>4.3324086365000003</v>
      </c>
    </row>
    <row r="124" spans="3:30" x14ac:dyDescent="0.25">
      <c r="C124" s="23" t="s">
        <v>26</v>
      </c>
      <c r="D124" s="10"/>
      <c r="E124" s="10"/>
      <c r="F124" s="10"/>
      <c r="G124" s="10"/>
      <c r="H124" s="9">
        <f>SUM(H115,H118:H120)</f>
        <v>3.1721202042000001</v>
      </c>
      <c r="I124" s="9">
        <f>SUM(I115,I118:I120)</f>
        <v>51.911272494000002</v>
      </c>
      <c r="J124" s="9">
        <f>SUM(J115,J118:J120)</f>
        <v>47.260428064999999</v>
      </c>
      <c r="K124" s="9">
        <f>SUM(K115,K118:K120)</f>
        <v>48.129708963901003</v>
      </c>
      <c r="L124" s="98">
        <f t="shared" si="41"/>
        <v>150.47352972710101</v>
      </c>
      <c r="M124" s="79"/>
      <c r="N124" s="151" t="s">
        <v>26</v>
      </c>
      <c r="O124" s="32">
        <f>O115+O118+O119+O120+O123</f>
        <v>0</v>
      </c>
      <c r="P124" s="31">
        <f>P115+P118+P119+P120+P123</f>
        <v>11.49702544449546</v>
      </c>
      <c r="Q124" s="31">
        <f>Q115+Q118+Q119+Q120+Q123</f>
        <v>49.435688400090683</v>
      </c>
      <c r="R124" s="31">
        <f>R115+R118+R119+R120+R123</f>
        <v>49.851435300523292</v>
      </c>
      <c r="S124" s="144">
        <f t="shared" si="42"/>
        <v>110.78414914510944</v>
      </c>
      <c r="T124" s="319">
        <f>SUM(T115:T123)</f>
        <v>90.576033531121979</v>
      </c>
      <c r="U124" s="23" t="s">
        <v>26</v>
      </c>
      <c r="V124" s="10"/>
      <c r="W124" s="10"/>
      <c r="X124" s="10"/>
      <c r="Y124" s="10"/>
      <c r="Z124" s="9">
        <v>2.7131055634000001</v>
      </c>
      <c r="AA124" s="9">
        <v>19.413938186599999</v>
      </c>
      <c r="AB124" s="9">
        <v>49.019475831000001</v>
      </c>
      <c r="AC124" s="9">
        <v>45.980674368947078</v>
      </c>
      <c r="AD124" s="98">
        <v>117.12719394994708</v>
      </c>
    </row>
    <row r="125" spans="3:30" x14ac:dyDescent="0.25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O125" s="77"/>
      <c r="P125" s="77"/>
      <c r="Q125" s="77"/>
      <c r="R125" s="78"/>
      <c r="S125" s="45"/>
      <c r="U125" s="3"/>
      <c r="V125" s="3"/>
      <c r="W125" s="3"/>
      <c r="X125" s="3"/>
      <c r="Y125" s="3"/>
      <c r="Z125" s="3"/>
      <c r="AA125" s="3"/>
      <c r="AB125" s="3"/>
      <c r="AC125" s="3"/>
      <c r="AD125" s="3"/>
    </row>
    <row r="126" spans="3:30" x14ac:dyDescent="0.25">
      <c r="C126" s="3"/>
      <c r="D126" s="3"/>
      <c r="E126" s="3"/>
      <c r="F126" s="3">
        <f>0.1/0.028*51.84</f>
        <v>185.14285714285717</v>
      </c>
      <c r="G126" s="3"/>
      <c r="H126" s="3"/>
      <c r="I126" s="3"/>
      <c r="J126" s="3"/>
      <c r="K126" s="3"/>
      <c r="L126" s="3"/>
      <c r="M126" s="3"/>
      <c r="O126" s="3"/>
      <c r="P126" s="3"/>
      <c r="Q126" s="3"/>
      <c r="R126" s="3"/>
      <c r="S126" s="3"/>
      <c r="U126" s="3"/>
      <c r="V126" s="3"/>
      <c r="W126" s="3"/>
      <c r="X126" s="3">
        <v>185.14285714285717</v>
      </c>
      <c r="Y126" s="3"/>
      <c r="Z126" s="3"/>
      <c r="AA126" s="3"/>
      <c r="AB126" s="3"/>
      <c r="AC126" s="3"/>
      <c r="AD126" s="3"/>
    </row>
    <row r="127" spans="3:30" x14ac:dyDescent="0.25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O127" s="3"/>
      <c r="P127" s="3"/>
      <c r="Q127" s="3"/>
      <c r="R127" s="3"/>
      <c r="S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</row>
    <row r="128" spans="3:30" s="3" customFormat="1" x14ac:dyDescent="0.25">
      <c r="C128" s="60" t="s">
        <v>488</v>
      </c>
      <c r="F128" s="3">
        <f>0.1/0.028*51.84</f>
        <v>185.14285714285717</v>
      </c>
      <c r="N128" s="60" t="s">
        <v>489</v>
      </c>
      <c r="U128" s="60" t="s">
        <v>488</v>
      </c>
      <c r="X128" s="3">
        <v>185.14285714285717</v>
      </c>
    </row>
    <row r="129" spans="3:30" s="3" customFormat="1" ht="31.5" x14ac:dyDescent="0.35">
      <c r="C129" s="145">
        <v>2050</v>
      </c>
      <c r="D129" s="146"/>
      <c r="E129" s="146"/>
      <c r="F129" s="146"/>
      <c r="G129" s="146"/>
      <c r="H129" s="76" t="s">
        <v>36</v>
      </c>
      <c r="I129" s="76" t="s">
        <v>49</v>
      </c>
      <c r="J129" s="76" t="s">
        <v>38</v>
      </c>
      <c r="K129" s="76" t="s">
        <v>48</v>
      </c>
      <c r="L129" s="93" t="s">
        <v>1</v>
      </c>
      <c r="N129" s="145">
        <v>2050</v>
      </c>
      <c r="O129" s="141" t="s">
        <v>36</v>
      </c>
      <c r="P129" s="76" t="s">
        <v>49</v>
      </c>
      <c r="Q129" s="76" t="s">
        <v>38</v>
      </c>
      <c r="R129" s="76" t="s">
        <v>48</v>
      </c>
      <c r="S129" s="93" t="s">
        <v>1</v>
      </c>
      <c r="U129" s="145">
        <v>2050</v>
      </c>
      <c r="V129" s="146"/>
      <c r="W129" s="146"/>
      <c r="X129" s="146"/>
      <c r="Y129" s="146"/>
      <c r="Z129" s="76" t="s">
        <v>36</v>
      </c>
      <c r="AA129" s="76" t="s">
        <v>49</v>
      </c>
      <c r="AB129" s="76" t="s">
        <v>38</v>
      </c>
      <c r="AC129" s="76" t="s">
        <v>48</v>
      </c>
      <c r="AD129" s="93" t="s">
        <v>1</v>
      </c>
    </row>
    <row r="130" spans="3:30" s="3" customFormat="1" x14ac:dyDescent="0.25">
      <c r="C130" s="275" t="s">
        <v>18</v>
      </c>
      <c r="D130" s="276"/>
      <c r="E130" s="276"/>
      <c r="F130" s="276"/>
      <c r="G130" s="276"/>
      <c r="H130" s="277" t="e">
        <f>H115-#REF!</f>
        <v>#REF!</v>
      </c>
      <c r="I130" s="277" t="e">
        <f>I115-#REF!</f>
        <v>#REF!</v>
      </c>
      <c r="J130" s="277" t="e">
        <f>J115-#REF!</f>
        <v>#REF!</v>
      </c>
      <c r="K130" s="277" t="e">
        <f>K115-#REF!</f>
        <v>#REF!</v>
      </c>
      <c r="L130" s="278" t="e">
        <f>L115-#REF!</f>
        <v>#REF!</v>
      </c>
      <c r="N130" s="275" t="s">
        <v>18</v>
      </c>
      <c r="O130" s="284">
        <f>H115-O115</f>
        <v>0</v>
      </c>
      <c r="P130" s="285">
        <f t="shared" ref="P130:S139" si="46">I115-P115</f>
        <v>28.788139582050817</v>
      </c>
      <c r="Q130" s="285">
        <f t="shared" si="46"/>
        <v>-3.9530484733292557</v>
      </c>
      <c r="R130" s="285">
        <f t="shared" si="46"/>
        <v>2.2772434442062162</v>
      </c>
      <c r="S130" s="286">
        <f t="shared" si="46"/>
        <v>27.112334552927777</v>
      </c>
      <c r="U130" s="275" t="s">
        <v>18</v>
      </c>
      <c r="V130" s="276"/>
      <c r="W130" s="276"/>
      <c r="X130" s="276"/>
      <c r="Y130" s="276"/>
      <c r="Z130" s="277" t="e">
        <v>#REF!</v>
      </c>
      <c r="AA130" s="277" t="e">
        <v>#REF!</v>
      </c>
      <c r="AB130" s="277" t="e">
        <v>#REF!</v>
      </c>
      <c r="AC130" s="277" t="e">
        <v>#REF!</v>
      </c>
      <c r="AD130" s="278" t="e">
        <v>#REF!</v>
      </c>
    </row>
    <row r="131" spans="3:30" s="3" customFormat="1" x14ac:dyDescent="0.25">
      <c r="C131" s="148" t="s">
        <v>19</v>
      </c>
      <c r="D131" t="s">
        <v>394</v>
      </c>
      <c r="E131" t="s">
        <v>395</v>
      </c>
      <c r="F131" t="s">
        <v>396</v>
      </c>
      <c r="G131" t="s">
        <v>397</v>
      </c>
      <c r="H131" s="34" t="e">
        <f>H116-#REF!</f>
        <v>#REF!</v>
      </c>
      <c r="I131" s="34" t="e">
        <f>I116-#REF!</f>
        <v>#REF!</v>
      </c>
      <c r="J131" s="34" t="e">
        <f>J116-#REF!</f>
        <v>#REF!</v>
      </c>
      <c r="K131" s="34" t="e">
        <f>K116-#REF!</f>
        <v>#REF!</v>
      </c>
      <c r="L131" s="279" t="e">
        <f>L116-#REF!</f>
        <v>#REF!</v>
      </c>
      <c r="N131" s="148" t="s">
        <v>19</v>
      </c>
      <c r="O131" s="287">
        <f t="shared" ref="O131:O139" si="47">H116-O116</f>
        <v>0</v>
      </c>
      <c r="P131" s="34">
        <f t="shared" si="46"/>
        <v>12.733929979999999</v>
      </c>
      <c r="Q131" s="34">
        <f t="shared" si="46"/>
        <v>3.3245960229999998</v>
      </c>
      <c r="R131" s="34">
        <f t="shared" si="46"/>
        <v>6.6332901000000006E-5</v>
      </c>
      <c r="S131" s="279">
        <f t="shared" si="46"/>
        <v>16.058592335900997</v>
      </c>
      <c r="U131" s="148" t="s">
        <v>19</v>
      </c>
      <c r="V131" t="s">
        <v>394</v>
      </c>
      <c r="W131" t="s">
        <v>395</v>
      </c>
      <c r="X131" t="s">
        <v>396</v>
      </c>
      <c r="Y131" t="s">
        <v>397</v>
      </c>
      <c r="Z131" s="34" t="e">
        <v>#REF!</v>
      </c>
      <c r="AA131" s="34" t="e">
        <v>#REF!</v>
      </c>
      <c r="AB131" s="34" t="e">
        <v>#REF!</v>
      </c>
      <c r="AC131" s="34" t="e">
        <v>#REF!</v>
      </c>
      <c r="AD131" s="279" t="e">
        <v>#REF!</v>
      </c>
    </row>
    <row r="132" spans="3:30" s="3" customFormat="1" x14ac:dyDescent="0.25">
      <c r="C132" s="149" t="s">
        <v>20</v>
      </c>
      <c r="D132" t="s">
        <v>398</v>
      </c>
      <c r="E132" t="s">
        <v>399</v>
      </c>
      <c r="F132" t="s">
        <v>400</v>
      </c>
      <c r="G132" t="s">
        <v>401</v>
      </c>
      <c r="H132" s="34" t="e">
        <f>H117-#REF!</f>
        <v>#REF!</v>
      </c>
      <c r="I132" s="34" t="e">
        <f>I117-#REF!</f>
        <v>#REF!</v>
      </c>
      <c r="J132" s="34" t="e">
        <f>J117-#REF!</f>
        <v>#REF!</v>
      </c>
      <c r="K132" s="34" t="e">
        <f>K117-#REF!</f>
        <v>#REF!</v>
      </c>
      <c r="L132" s="279" t="e">
        <f>L117-#REF!</f>
        <v>#REF!</v>
      </c>
      <c r="N132" s="149" t="s">
        <v>20</v>
      </c>
      <c r="O132" s="287">
        <f t="shared" si="47"/>
        <v>0</v>
      </c>
      <c r="P132" s="34">
        <f t="shared" si="46"/>
        <v>18.157522929999999</v>
      </c>
      <c r="Q132" s="34">
        <f t="shared" si="46"/>
        <v>3.833127282</v>
      </c>
      <c r="R132" s="34">
        <f t="shared" si="46"/>
        <v>3.5216079520000001</v>
      </c>
      <c r="S132" s="279">
        <f t="shared" si="46"/>
        <v>25.512258163999999</v>
      </c>
      <c r="U132" s="149" t="s">
        <v>20</v>
      </c>
      <c r="V132" t="s">
        <v>398</v>
      </c>
      <c r="W132" t="s">
        <v>399</v>
      </c>
      <c r="X132" t="s">
        <v>400</v>
      </c>
      <c r="Y132" t="s">
        <v>401</v>
      </c>
      <c r="Z132" s="34" t="e">
        <v>#REF!</v>
      </c>
      <c r="AA132" s="34" t="e">
        <v>#REF!</v>
      </c>
      <c r="AB132" s="34" t="e">
        <v>#REF!</v>
      </c>
      <c r="AC132" s="34" t="e">
        <v>#REF!</v>
      </c>
      <c r="AD132" s="279" t="e">
        <v>#REF!</v>
      </c>
    </row>
    <row r="133" spans="3:30" s="3" customFormat="1" x14ac:dyDescent="0.25">
      <c r="C133" s="275" t="s">
        <v>21</v>
      </c>
      <c r="D133" s="276" t="s">
        <v>402</v>
      </c>
      <c r="E133" s="276" t="s">
        <v>403</v>
      </c>
      <c r="F133" s="276" t="s">
        <v>404</v>
      </c>
      <c r="G133" s="276" t="s">
        <v>405</v>
      </c>
      <c r="H133" s="277" t="e">
        <f>H118-#REF!</f>
        <v>#REF!</v>
      </c>
      <c r="I133" s="277" t="e">
        <f>I118-#REF!</f>
        <v>#REF!</v>
      </c>
      <c r="J133" s="277" t="e">
        <f>J118-#REF!</f>
        <v>#REF!</v>
      </c>
      <c r="K133" s="277" t="e">
        <f>K118-#REF!</f>
        <v>#REF!</v>
      </c>
      <c r="L133" s="278" t="e">
        <f>L118-#REF!</f>
        <v>#REF!</v>
      </c>
      <c r="N133" s="275" t="s">
        <v>21</v>
      </c>
      <c r="O133" s="288">
        <f t="shared" si="47"/>
        <v>0.2350284577</v>
      </c>
      <c r="P133" s="285">
        <f t="shared" si="46"/>
        <v>5.6991508883165025</v>
      </c>
      <c r="Q133" s="285">
        <f t="shared" si="46"/>
        <v>5.6810784777645686</v>
      </c>
      <c r="R133" s="285">
        <f t="shared" si="46"/>
        <v>-4.7903067584789802</v>
      </c>
      <c r="S133" s="286">
        <f t="shared" si="46"/>
        <v>6.8249510653020877</v>
      </c>
      <c r="U133" s="275" t="s">
        <v>21</v>
      </c>
      <c r="V133" s="276" t="s">
        <v>402</v>
      </c>
      <c r="W133" s="276" t="s">
        <v>403</v>
      </c>
      <c r="X133" s="276" t="s">
        <v>404</v>
      </c>
      <c r="Y133" s="276" t="s">
        <v>405</v>
      </c>
      <c r="Z133" s="277" t="e">
        <v>#REF!</v>
      </c>
      <c r="AA133" s="277" t="e">
        <v>#REF!</v>
      </c>
      <c r="AB133" s="277" t="e">
        <v>#REF!</v>
      </c>
      <c r="AC133" s="277" t="e">
        <v>#REF!</v>
      </c>
      <c r="AD133" s="278" t="e">
        <v>#REF!</v>
      </c>
    </row>
    <row r="134" spans="3:30" s="3" customFormat="1" x14ac:dyDescent="0.25">
      <c r="C134" s="275" t="s">
        <v>22</v>
      </c>
      <c r="D134" s="276" t="s">
        <v>406</v>
      </c>
      <c r="E134" s="276" t="s">
        <v>407</v>
      </c>
      <c r="F134" s="276" t="s">
        <v>408</v>
      </c>
      <c r="G134" s="276" t="s">
        <v>409</v>
      </c>
      <c r="H134" s="277" t="e">
        <f>H119-#REF!</f>
        <v>#REF!</v>
      </c>
      <c r="I134" s="277" t="e">
        <f>I119-#REF!</f>
        <v>#REF!</v>
      </c>
      <c r="J134" s="277" t="e">
        <f>J119-#REF!</f>
        <v>#REF!</v>
      </c>
      <c r="K134" s="277" t="e">
        <f>K119-#REF!</f>
        <v>#REF!</v>
      </c>
      <c r="L134" s="278" t="e">
        <f>L119-#REF!</f>
        <v>#REF!</v>
      </c>
      <c r="N134" s="275" t="s">
        <v>22</v>
      </c>
      <c r="O134" s="288">
        <f t="shared" si="47"/>
        <v>0</v>
      </c>
      <c r="P134" s="285">
        <f t="shared" si="46"/>
        <v>1.878865630443171</v>
      </c>
      <c r="Q134" s="285">
        <f t="shared" si="46"/>
        <v>-0.24211638649568989</v>
      </c>
      <c r="R134" s="285">
        <f t="shared" si="46"/>
        <v>-2.9698549997243981</v>
      </c>
      <c r="S134" s="286">
        <f t="shared" si="46"/>
        <v>-1.3331057557769164</v>
      </c>
      <c r="U134" s="275" t="s">
        <v>22</v>
      </c>
      <c r="V134" s="276" t="s">
        <v>406</v>
      </c>
      <c r="W134" s="276" t="s">
        <v>407</v>
      </c>
      <c r="X134" s="276" t="s">
        <v>408</v>
      </c>
      <c r="Y134" s="276" t="s">
        <v>409</v>
      </c>
      <c r="Z134" s="277" t="e">
        <v>#REF!</v>
      </c>
      <c r="AA134" s="277" t="e">
        <v>#REF!</v>
      </c>
      <c r="AB134" s="277" t="e">
        <v>#REF!</v>
      </c>
      <c r="AC134" s="277" t="e">
        <v>#REF!</v>
      </c>
      <c r="AD134" s="278" t="e">
        <v>#REF!</v>
      </c>
    </row>
    <row r="135" spans="3:30" s="3" customFormat="1" x14ac:dyDescent="0.25">
      <c r="C135" s="275" t="s">
        <v>23</v>
      </c>
      <c r="D135" s="276"/>
      <c r="E135" s="276"/>
      <c r="F135" s="276"/>
      <c r="G135" s="276"/>
      <c r="H135" s="277" t="e">
        <f>H120-#REF!</f>
        <v>#REF!</v>
      </c>
      <c r="I135" s="277" t="e">
        <f>I120-#REF!</f>
        <v>#REF!</v>
      </c>
      <c r="J135" s="277" t="e">
        <f>J120-#REF!</f>
        <v>#REF!</v>
      </c>
      <c r="K135" s="277" t="e">
        <f>K120-#REF!</f>
        <v>#REF!</v>
      </c>
      <c r="L135" s="278" t="e">
        <f>L120-#REF!</f>
        <v>#REF!</v>
      </c>
      <c r="N135" s="275" t="s">
        <v>23</v>
      </c>
      <c r="O135" s="288">
        <f t="shared" si="47"/>
        <v>2.9370917465000002</v>
      </c>
      <c r="P135" s="285">
        <f t="shared" si="46"/>
        <v>4.6379122702427527</v>
      </c>
      <c r="Q135" s="285">
        <f t="shared" si="46"/>
        <v>-2.6958156047058814</v>
      </c>
      <c r="R135" s="285">
        <f t="shared" si="46"/>
        <v>5.9270230467467933</v>
      </c>
      <c r="S135" s="286">
        <f t="shared" si="46"/>
        <v>10.806211458783665</v>
      </c>
      <c r="U135" s="275" t="s">
        <v>23</v>
      </c>
      <c r="V135" s="276"/>
      <c r="W135" s="276"/>
      <c r="X135" s="276"/>
      <c r="Y135" s="276"/>
      <c r="Z135" s="277" t="e">
        <v>#REF!</v>
      </c>
      <c r="AA135" s="277" t="e">
        <v>#REF!</v>
      </c>
      <c r="AB135" s="277" t="e">
        <v>#REF!</v>
      </c>
      <c r="AC135" s="277" t="e">
        <v>#REF!</v>
      </c>
      <c r="AD135" s="278" t="e">
        <v>#REF!</v>
      </c>
    </row>
    <row r="136" spans="3:30" s="3" customFormat="1" x14ac:dyDescent="0.25">
      <c r="C136" s="149" t="s">
        <v>24</v>
      </c>
      <c r="D136" t="s">
        <v>410</v>
      </c>
      <c r="E136" t="s">
        <v>411</v>
      </c>
      <c r="F136" t="s">
        <v>412</v>
      </c>
      <c r="G136" t="s">
        <v>413</v>
      </c>
      <c r="H136" s="34" t="e">
        <f>H121-#REF!</f>
        <v>#REF!</v>
      </c>
      <c r="I136" s="34" t="e">
        <f>I121-#REF!</f>
        <v>#REF!</v>
      </c>
      <c r="J136" s="34" t="e">
        <f>J121-#REF!</f>
        <v>#REF!</v>
      </c>
      <c r="K136" s="34" t="e">
        <f>K121-#REF!</f>
        <v>#REF!</v>
      </c>
      <c r="L136" s="279" t="e">
        <f>L121-#REF!</f>
        <v>#REF!</v>
      </c>
      <c r="N136" s="149" t="s">
        <v>24</v>
      </c>
      <c r="O136" s="287">
        <f t="shared" si="47"/>
        <v>1.949543104</v>
      </c>
      <c r="P136" s="270">
        <f t="shared" si="46"/>
        <v>10.7245846</v>
      </c>
      <c r="Q136" s="270">
        <f t="shared" si="46"/>
        <v>-2.6958156047058814</v>
      </c>
      <c r="R136" s="270">
        <f t="shared" si="46"/>
        <v>4.3426680770527515</v>
      </c>
      <c r="S136" s="279">
        <f t="shared" si="46"/>
        <v>14.320980176346872</v>
      </c>
      <c r="U136" s="149" t="s">
        <v>24</v>
      </c>
      <c r="V136" t="s">
        <v>410</v>
      </c>
      <c r="W136" t="s">
        <v>411</v>
      </c>
      <c r="X136" t="s">
        <v>412</v>
      </c>
      <c r="Y136" t="s">
        <v>413</v>
      </c>
      <c r="Z136" s="34" t="e">
        <v>#REF!</v>
      </c>
      <c r="AA136" s="34" t="e">
        <v>#REF!</v>
      </c>
      <c r="AB136" s="34" t="e">
        <v>#REF!</v>
      </c>
      <c r="AC136" s="34" t="e">
        <v>#REF!</v>
      </c>
      <c r="AD136" s="279" t="e">
        <v>#REF!</v>
      </c>
    </row>
    <row r="137" spans="3:30" s="3" customFormat="1" x14ac:dyDescent="0.25">
      <c r="C137" s="149" t="s">
        <v>47</v>
      </c>
      <c r="D137" t="s">
        <v>414</v>
      </c>
      <c r="E137" t="s">
        <v>415</v>
      </c>
      <c r="F137" t="s">
        <v>416</v>
      </c>
      <c r="G137" t="s">
        <v>417</v>
      </c>
      <c r="H137" s="34" t="e">
        <f>H122-#REF!</f>
        <v>#REF!</v>
      </c>
      <c r="I137" s="34" t="e">
        <f>I122-#REF!</f>
        <v>#REF!</v>
      </c>
      <c r="J137" s="34" t="e">
        <f>J122-#REF!</f>
        <v>#REF!</v>
      </c>
      <c r="K137" s="34" t="e">
        <f>K122-#REF!</f>
        <v>#REF!</v>
      </c>
      <c r="L137" s="279" t="e">
        <f>L122-#REF!</f>
        <v>#REF!</v>
      </c>
      <c r="N137" s="149" t="s">
        <v>47</v>
      </c>
      <c r="O137" s="289">
        <f t="shared" si="47"/>
        <v>0.98754864249999996</v>
      </c>
      <c r="P137" s="34">
        <f t="shared" si="46"/>
        <v>-6.0866723297572474</v>
      </c>
      <c r="Q137" s="34">
        <f t="shared" si="46"/>
        <v>0</v>
      </c>
      <c r="R137" s="34">
        <f t="shared" si="46"/>
        <v>1.5843549696940409</v>
      </c>
      <c r="S137" s="279">
        <f t="shared" si="46"/>
        <v>-3.5147687175632072</v>
      </c>
      <c r="U137" s="149" t="s">
        <v>47</v>
      </c>
      <c r="V137" t="s">
        <v>414</v>
      </c>
      <c r="W137" t="s">
        <v>415</v>
      </c>
      <c r="X137" t="s">
        <v>416</v>
      </c>
      <c r="Y137" t="s">
        <v>417</v>
      </c>
      <c r="Z137" s="34" t="e">
        <v>#REF!</v>
      </c>
      <c r="AA137" s="34" t="e">
        <v>#REF!</v>
      </c>
      <c r="AB137" s="34" t="e">
        <v>#REF!</v>
      </c>
      <c r="AC137" s="34" t="e">
        <v>#REF!</v>
      </c>
      <c r="AD137" s="279" t="e">
        <v>#REF!</v>
      </c>
    </row>
    <row r="138" spans="3:30" s="3" customFormat="1" x14ac:dyDescent="0.25">
      <c r="C138" s="149" t="s">
        <v>25</v>
      </c>
      <c r="D138" t="s">
        <v>418</v>
      </c>
      <c r="E138" t="s">
        <v>419</v>
      </c>
      <c r="F138" t="s">
        <v>420</v>
      </c>
      <c r="G138" t="s">
        <v>421</v>
      </c>
      <c r="H138" s="34" t="e">
        <f>H123-#REF!</f>
        <v>#REF!</v>
      </c>
      <c r="I138" s="34" t="e">
        <f>I123-#REF!</f>
        <v>#REF!</v>
      </c>
      <c r="J138" s="34" t="e">
        <f>J123-#REF!</f>
        <v>#REF!</v>
      </c>
      <c r="K138" s="34" t="e">
        <f>K123-#REF!</f>
        <v>#REF!</v>
      </c>
      <c r="L138" s="279" t="e">
        <f>L123-#REF!</f>
        <v>#REF!</v>
      </c>
      <c r="N138" s="149" t="s">
        <v>25</v>
      </c>
      <c r="O138" s="287">
        <f t="shared" si="47"/>
        <v>0</v>
      </c>
      <c r="P138" s="270">
        <f t="shared" si="46"/>
        <v>3.1531455414512957</v>
      </c>
      <c r="Q138" s="270">
        <f t="shared" si="46"/>
        <v>-0.54971268852442245</v>
      </c>
      <c r="R138" s="270">
        <f t="shared" si="46"/>
        <v>-1.6145814901719189</v>
      </c>
      <c r="S138" s="279">
        <f t="shared" si="46"/>
        <v>0.98885136275495533</v>
      </c>
      <c r="U138" s="149" t="s">
        <v>25</v>
      </c>
      <c r="V138" t="s">
        <v>418</v>
      </c>
      <c r="W138" t="s">
        <v>419</v>
      </c>
      <c r="X138" t="s">
        <v>420</v>
      </c>
      <c r="Y138" t="s">
        <v>421</v>
      </c>
      <c r="Z138" s="34" t="e">
        <v>#REF!</v>
      </c>
      <c r="AA138" s="34" t="e">
        <v>#REF!</v>
      </c>
      <c r="AB138" s="34" t="e">
        <v>#REF!</v>
      </c>
      <c r="AC138" s="34" t="e">
        <v>#REF!</v>
      </c>
      <c r="AD138" s="279" t="e">
        <v>#REF!</v>
      </c>
    </row>
    <row r="139" spans="3:30" s="3" customFormat="1" x14ac:dyDescent="0.25">
      <c r="C139" s="280" t="s">
        <v>26</v>
      </c>
      <c r="D139" s="281"/>
      <c r="E139" s="281"/>
      <c r="F139" s="281"/>
      <c r="G139" s="281"/>
      <c r="H139" s="282" t="e">
        <f>H124-#REF!</f>
        <v>#REF!</v>
      </c>
      <c r="I139" s="282" t="e">
        <f>I124-#REF!</f>
        <v>#REF!</v>
      </c>
      <c r="J139" s="282" t="e">
        <f>J124-#REF!</f>
        <v>#REF!</v>
      </c>
      <c r="K139" s="282" t="e">
        <f>K124-#REF!</f>
        <v>#REF!</v>
      </c>
      <c r="L139" s="283" t="e">
        <f>L124-#REF!</f>
        <v>#REF!</v>
      </c>
      <c r="N139" s="280" t="s">
        <v>26</v>
      </c>
      <c r="O139" s="290">
        <f t="shared" si="47"/>
        <v>3.1721202042000001</v>
      </c>
      <c r="P139" s="291">
        <f t="shared" si="46"/>
        <v>40.414247049504539</v>
      </c>
      <c r="Q139" s="291">
        <f t="shared" si="46"/>
        <v>-2.1752603350906838</v>
      </c>
      <c r="R139" s="291">
        <f t="shared" si="46"/>
        <v>-1.7217263366222895</v>
      </c>
      <c r="S139" s="292">
        <f t="shared" si="46"/>
        <v>39.689380581991571</v>
      </c>
      <c r="U139" s="280" t="s">
        <v>26</v>
      </c>
      <c r="V139" s="281"/>
      <c r="W139" s="281"/>
      <c r="X139" s="281"/>
      <c r="Y139" s="281"/>
      <c r="Z139" s="282" t="e">
        <v>#REF!</v>
      </c>
      <c r="AA139" s="282" t="e">
        <v>#REF!</v>
      </c>
      <c r="AB139" s="282" t="e">
        <v>#REF!</v>
      </c>
      <c r="AC139" s="282" t="e">
        <v>#REF!</v>
      </c>
      <c r="AD139" s="283" t="e">
        <v>#REF!</v>
      </c>
    </row>
    <row r="140" spans="3:30" s="3" customFormat="1" x14ac:dyDescent="0.25"/>
    <row r="141" spans="3:30" s="3" customFormat="1" x14ac:dyDescent="0.25"/>
    <row r="142" spans="3:30" s="3" customFormat="1" x14ac:dyDescent="0.25"/>
    <row r="143" spans="3:30" s="3" customFormat="1" x14ac:dyDescent="0.25"/>
    <row r="144" spans="3:30" s="3" customFormat="1" x14ac:dyDescent="0.25"/>
    <row r="145" s="3" customFormat="1" x14ac:dyDescent="0.25"/>
    <row r="146" s="3" customFormat="1" x14ac:dyDescent="0.25"/>
    <row r="147" s="3" customFormat="1" x14ac:dyDescent="0.25"/>
    <row r="148" s="3" customFormat="1" x14ac:dyDescent="0.25"/>
    <row r="149" s="3" customFormat="1" x14ac:dyDescent="0.25"/>
    <row r="150" s="3" customFormat="1" x14ac:dyDescent="0.25"/>
    <row r="151" s="3" customFormat="1" x14ac:dyDescent="0.25"/>
    <row r="152" s="3" customFormat="1" x14ac:dyDescent="0.25"/>
    <row r="153" s="3" customFormat="1" x14ac:dyDescent="0.25"/>
    <row r="154" s="3" customFormat="1" x14ac:dyDescent="0.25"/>
    <row r="155" s="3" customFormat="1" x14ac:dyDescent="0.25"/>
    <row r="156" s="3" customFormat="1" x14ac:dyDescent="0.25"/>
    <row r="157" s="3" customFormat="1" x14ac:dyDescent="0.25"/>
    <row r="158" s="3" customFormat="1" x14ac:dyDescent="0.25"/>
    <row r="159" s="3" customFormat="1" x14ac:dyDescent="0.25"/>
    <row r="160" s="3" customFormat="1" x14ac:dyDescent="0.25"/>
    <row r="161" s="3" customFormat="1" x14ac:dyDescent="0.25"/>
    <row r="162" s="3" customFormat="1" x14ac:dyDescent="0.25"/>
    <row r="163" s="3" customFormat="1" x14ac:dyDescent="0.25"/>
    <row r="164" s="3" customFormat="1" x14ac:dyDescent="0.25"/>
    <row r="165" s="3" customFormat="1" x14ac:dyDescent="0.25"/>
    <row r="166" s="3" customFormat="1" x14ac:dyDescent="0.25"/>
    <row r="167" s="3" customFormat="1" x14ac:dyDescent="0.25"/>
    <row r="168" s="3" customFormat="1" x14ac:dyDescent="0.25"/>
    <row r="169" s="3" customFormat="1" x14ac:dyDescent="0.25"/>
    <row r="170" s="3" customFormat="1" x14ac:dyDescent="0.25"/>
    <row r="171" s="3" customFormat="1" x14ac:dyDescent="0.25"/>
    <row r="172" s="3" customFormat="1" x14ac:dyDescent="0.25"/>
    <row r="173" s="3" customFormat="1" x14ac:dyDescent="0.25"/>
    <row r="174" s="3" customFormat="1" x14ac:dyDescent="0.25"/>
    <row r="175" s="3" customFormat="1" x14ac:dyDescent="0.25"/>
    <row r="176" s="3" customFormat="1" x14ac:dyDescent="0.25"/>
    <row r="177" s="3" customFormat="1" x14ac:dyDescent="0.25"/>
    <row r="178" s="3" customFormat="1" x14ac:dyDescent="0.25"/>
    <row r="179" s="3" customFormat="1" x14ac:dyDescent="0.25"/>
    <row r="180" s="3" customFormat="1" x14ac:dyDescent="0.25"/>
    <row r="181" s="3" customFormat="1" x14ac:dyDescent="0.25"/>
    <row r="182" s="3" customFormat="1" x14ac:dyDescent="0.25"/>
    <row r="183" s="3" customFormat="1" x14ac:dyDescent="0.25"/>
    <row r="184" s="3" customFormat="1" x14ac:dyDescent="0.25"/>
    <row r="185" s="3" customFormat="1" x14ac:dyDescent="0.25"/>
    <row r="186" s="3" customFormat="1" x14ac:dyDescent="0.25"/>
    <row r="187" s="3" customFormat="1" x14ac:dyDescent="0.25"/>
    <row r="188" s="3" customFormat="1" x14ac:dyDescent="0.25"/>
    <row r="189" s="3" customFormat="1" x14ac:dyDescent="0.25"/>
    <row r="190" s="3" customFormat="1" x14ac:dyDescent="0.25"/>
    <row r="191" s="3" customFormat="1" x14ac:dyDescent="0.25"/>
    <row r="192" s="3" customFormat="1" x14ac:dyDescent="0.25"/>
    <row r="193" spans="3:21" s="3" customFormat="1" x14ac:dyDescent="0.25"/>
    <row r="194" spans="3:21" s="3" customFormat="1" x14ac:dyDescent="0.25"/>
    <row r="195" spans="3:21" s="3" customFormat="1" x14ac:dyDescent="0.25"/>
    <row r="196" spans="3:21" s="3" customFormat="1" x14ac:dyDescent="0.25"/>
    <row r="197" spans="3:21" s="3" customFormat="1" x14ac:dyDescent="0.25"/>
    <row r="198" spans="3:21" s="3" customFormat="1" x14ac:dyDescent="0.25"/>
    <row r="199" spans="3:21" s="3" customFormat="1" x14ac:dyDescent="0.25"/>
    <row r="200" spans="3:21" s="3" customFormat="1" x14ac:dyDescent="0.25"/>
    <row r="201" spans="3:21" s="3" customFormat="1" x14ac:dyDescent="0.25"/>
    <row r="202" spans="3:21" s="3" customFormat="1" x14ac:dyDescent="0.25"/>
    <row r="203" spans="3:21" s="3" customFormat="1" x14ac:dyDescent="0.25"/>
    <row r="204" spans="3:21" s="3" customFormat="1" x14ac:dyDescent="0.25">
      <c r="C204" s="3">
        <f>0</f>
        <v>0</v>
      </c>
      <c r="U204" s="3">
        <v>0</v>
      </c>
    </row>
    <row r="205" spans="3:21" s="3" customFormat="1" x14ac:dyDescent="0.25"/>
    <row r="206" spans="3:21" s="3" customFormat="1" x14ac:dyDescent="0.25"/>
    <row r="207" spans="3:21" s="3" customFormat="1" x14ac:dyDescent="0.25"/>
    <row r="208" spans="3:21" s="3" customFormat="1" x14ac:dyDescent="0.25"/>
    <row r="209" s="3" customFormat="1" x14ac:dyDescent="0.25"/>
    <row r="210" s="3" customFormat="1" x14ac:dyDescent="0.25"/>
    <row r="211" s="3" customFormat="1" x14ac:dyDescent="0.25"/>
    <row r="212" s="3" customFormat="1" x14ac:dyDescent="0.25"/>
    <row r="213" s="3" customFormat="1" x14ac:dyDescent="0.25"/>
    <row r="214" s="3" customFormat="1" x14ac:dyDescent="0.25"/>
    <row r="215" s="3" customFormat="1" x14ac:dyDescent="0.25"/>
    <row r="216" s="3" customFormat="1" x14ac:dyDescent="0.25"/>
    <row r="217" s="3" customFormat="1" x14ac:dyDescent="0.25"/>
    <row r="218" s="3" customFormat="1" x14ac:dyDescent="0.25"/>
    <row r="219" s="3" customFormat="1" x14ac:dyDescent="0.25"/>
    <row r="220" s="3" customFormat="1" x14ac:dyDescent="0.25"/>
    <row r="221" s="3" customFormat="1" x14ac:dyDescent="0.25"/>
    <row r="222" s="3" customFormat="1" x14ac:dyDescent="0.25"/>
    <row r="223" s="3" customFormat="1" x14ac:dyDescent="0.25"/>
    <row r="224" s="3" customFormat="1" x14ac:dyDescent="0.25"/>
    <row r="225" s="3" customFormat="1" x14ac:dyDescent="0.25"/>
    <row r="226" s="3" customFormat="1" x14ac:dyDescent="0.25"/>
    <row r="227" s="3" customFormat="1" x14ac:dyDescent="0.25"/>
    <row r="228" s="3" customFormat="1" x14ac:dyDescent="0.25"/>
    <row r="229" s="3" customFormat="1" x14ac:dyDescent="0.25"/>
    <row r="230" s="3" customFormat="1" x14ac:dyDescent="0.25"/>
    <row r="231" s="3" customFormat="1" x14ac:dyDescent="0.25"/>
    <row r="232" s="3" customFormat="1" x14ac:dyDescent="0.25"/>
    <row r="233" s="3" customFormat="1" x14ac:dyDescent="0.25"/>
    <row r="234" s="3" customFormat="1" x14ac:dyDescent="0.25"/>
    <row r="235" s="3" customFormat="1" x14ac:dyDescent="0.25"/>
    <row r="236" s="3" customFormat="1" x14ac:dyDescent="0.25"/>
    <row r="237" s="3" customFormat="1" x14ac:dyDescent="0.25"/>
    <row r="238" s="3" customFormat="1" x14ac:dyDescent="0.25"/>
    <row r="239" s="3" customFormat="1" x14ac:dyDescent="0.25"/>
    <row r="240" s="3" customFormat="1" x14ac:dyDescent="0.25"/>
    <row r="241" s="3" customFormat="1" x14ac:dyDescent="0.25"/>
    <row r="242" s="3" customFormat="1" x14ac:dyDescent="0.25"/>
    <row r="243" s="3" customFormat="1" x14ac:dyDescent="0.25"/>
    <row r="244" s="3" customFormat="1" x14ac:dyDescent="0.25"/>
    <row r="245" s="3" customFormat="1" x14ac:dyDescent="0.25"/>
    <row r="246" s="3" customFormat="1" x14ac:dyDescent="0.25"/>
    <row r="247" s="3" customFormat="1" x14ac:dyDescent="0.25"/>
    <row r="248" s="3" customFormat="1" x14ac:dyDescent="0.25"/>
    <row r="249" s="3" customFormat="1" x14ac:dyDescent="0.25"/>
    <row r="250" s="3" customFormat="1" x14ac:dyDescent="0.25"/>
    <row r="251" s="3" customFormat="1" x14ac:dyDescent="0.25"/>
    <row r="252" s="3" customFormat="1" x14ac:dyDescent="0.25"/>
    <row r="253" s="3" customFormat="1" x14ac:dyDescent="0.25"/>
    <row r="254" s="3" customFormat="1" x14ac:dyDescent="0.25"/>
    <row r="255" s="3" customFormat="1" x14ac:dyDescent="0.25"/>
    <row r="256" s="3" customFormat="1" x14ac:dyDescent="0.25"/>
    <row r="257" s="3" customFormat="1" x14ac:dyDescent="0.25"/>
    <row r="258" s="3" customFormat="1" x14ac:dyDescent="0.25"/>
    <row r="259" s="3" customFormat="1" x14ac:dyDescent="0.25"/>
    <row r="260" s="3" customFormat="1" x14ac:dyDescent="0.25"/>
    <row r="261" s="3" customFormat="1" x14ac:dyDescent="0.25"/>
    <row r="262" s="3" customFormat="1" x14ac:dyDescent="0.25"/>
    <row r="263" s="3" customFormat="1" x14ac:dyDescent="0.25"/>
    <row r="264" s="3" customFormat="1" x14ac:dyDescent="0.25"/>
    <row r="265" s="3" customFormat="1" x14ac:dyDescent="0.25"/>
    <row r="266" s="3" customFormat="1" x14ac:dyDescent="0.25"/>
    <row r="267" s="3" customFormat="1" x14ac:dyDescent="0.25"/>
    <row r="268" s="3" customFormat="1" x14ac:dyDescent="0.25"/>
    <row r="269" s="3" customFormat="1" x14ac:dyDescent="0.25"/>
    <row r="270" s="3" customFormat="1" x14ac:dyDescent="0.25"/>
    <row r="271" s="3" customFormat="1" x14ac:dyDescent="0.25"/>
    <row r="272" s="3" customFormat="1" x14ac:dyDescent="0.25"/>
    <row r="273" s="3" customFormat="1" x14ac:dyDescent="0.25"/>
    <row r="274" s="3" customFormat="1" x14ac:dyDescent="0.25"/>
    <row r="275" s="3" customFormat="1" x14ac:dyDescent="0.25"/>
    <row r="276" s="3" customFormat="1" x14ac:dyDescent="0.25"/>
    <row r="277" s="3" customFormat="1" x14ac:dyDescent="0.25"/>
    <row r="278" s="3" customFormat="1" x14ac:dyDescent="0.25"/>
    <row r="279" s="3" customFormat="1" x14ac:dyDescent="0.25"/>
    <row r="280" s="3" customFormat="1" x14ac:dyDescent="0.25"/>
    <row r="281" s="3" customFormat="1" x14ac:dyDescent="0.25"/>
    <row r="282" s="3" customFormat="1" x14ac:dyDescent="0.25"/>
    <row r="283" s="3" customFormat="1" x14ac:dyDescent="0.25"/>
    <row r="284" s="3" customFormat="1" x14ac:dyDescent="0.25"/>
    <row r="285" s="3" customFormat="1" x14ac:dyDescent="0.25"/>
    <row r="286" s="3" customFormat="1" x14ac:dyDescent="0.25"/>
    <row r="287" s="3" customFormat="1" x14ac:dyDescent="0.25"/>
    <row r="288" s="3" customFormat="1" x14ac:dyDescent="0.25"/>
    <row r="289" s="3" customFormat="1" x14ac:dyDescent="0.25"/>
    <row r="290" s="3" customFormat="1" x14ac:dyDescent="0.25"/>
    <row r="291" s="3" customFormat="1" x14ac:dyDescent="0.25"/>
    <row r="292" s="3" customFormat="1" x14ac:dyDescent="0.25"/>
    <row r="293" s="3" customFormat="1" x14ac:dyDescent="0.25"/>
    <row r="294" s="3" customFormat="1" x14ac:dyDescent="0.25"/>
    <row r="295" s="3" customFormat="1" x14ac:dyDescent="0.25"/>
    <row r="296" s="3" customFormat="1" x14ac:dyDescent="0.25"/>
    <row r="297" s="3" customFormat="1" x14ac:dyDescent="0.25"/>
    <row r="298" s="3" customFormat="1" x14ac:dyDescent="0.25"/>
    <row r="299" s="3" customFormat="1" x14ac:dyDescent="0.25"/>
    <row r="300" s="3" customFormat="1" x14ac:dyDescent="0.25"/>
    <row r="301" s="3" customFormat="1" x14ac:dyDescent="0.25"/>
    <row r="302" s="3" customFormat="1" x14ac:dyDescent="0.25"/>
    <row r="303" s="3" customFormat="1" x14ac:dyDescent="0.25"/>
    <row r="304" s="3" customFormat="1" x14ac:dyDescent="0.25"/>
    <row r="305" s="3" customFormat="1" x14ac:dyDescent="0.25"/>
    <row r="306" s="3" customFormat="1" x14ac:dyDescent="0.25"/>
    <row r="307" s="3" customFormat="1" x14ac:dyDescent="0.25"/>
    <row r="308" s="3" customFormat="1" x14ac:dyDescent="0.25"/>
    <row r="309" s="3" customFormat="1" x14ac:dyDescent="0.25"/>
    <row r="310" s="3" customFormat="1" x14ac:dyDescent="0.25"/>
    <row r="311" s="3" customFormat="1" x14ac:dyDescent="0.25"/>
    <row r="312" s="3" customFormat="1" x14ac:dyDescent="0.25"/>
    <row r="313" s="3" customFormat="1" x14ac:dyDescent="0.25"/>
    <row r="314" s="3" customFormat="1" x14ac:dyDescent="0.25"/>
    <row r="315" s="3" customFormat="1" x14ac:dyDescent="0.25"/>
    <row r="316" s="3" customFormat="1" x14ac:dyDescent="0.25"/>
    <row r="317" s="3" customFormat="1" x14ac:dyDescent="0.25"/>
    <row r="318" s="3" customFormat="1" x14ac:dyDescent="0.25"/>
    <row r="319" s="3" customFormat="1" x14ac:dyDescent="0.25"/>
    <row r="320" s="3" customFormat="1" x14ac:dyDescent="0.25"/>
    <row r="321" s="3" customFormat="1" x14ac:dyDescent="0.25"/>
    <row r="322" s="3" customFormat="1" x14ac:dyDescent="0.25"/>
    <row r="323" s="3" customFormat="1" x14ac:dyDescent="0.25"/>
    <row r="324" s="3" customFormat="1" x14ac:dyDescent="0.25"/>
    <row r="325" s="3" customFormat="1" x14ac:dyDescent="0.25"/>
    <row r="326" s="3" customFormat="1" x14ac:dyDescent="0.25"/>
    <row r="327" s="3" customFormat="1" x14ac:dyDescent="0.25"/>
    <row r="328" s="3" customFormat="1" x14ac:dyDescent="0.25"/>
    <row r="329" s="3" customFormat="1" x14ac:dyDescent="0.25"/>
    <row r="330" s="3" customFormat="1" x14ac:dyDescent="0.25"/>
    <row r="331" s="3" customFormat="1" x14ac:dyDescent="0.25"/>
    <row r="332" s="3" customFormat="1" x14ac:dyDescent="0.25"/>
    <row r="333" s="3" customFormat="1" x14ac:dyDescent="0.25"/>
    <row r="334" s="3" customFormat="1" x14ac:dyDescent="0.25"/>
    <row r="335" s="3" customFormat="1" x14ac:dyDescent="0.25"/>
    <row r="336" s="3" customFormat="1" x14ac:dyDescent="0.25"/>
    <row r="337" s="3" customFormat="1" x14ac:dyDescent="0.25"/>
    <row r="338" s="3" customFormat="1" x14ac:dyDescent="0.25"/>
    <row r="339" s="3" customFormat="1" x14ac:dyDescent="0.25"/>
    <row r="340" s="3" customFormat="1" x14ac:dyDescent="0.25"/>
    <row r="341" s="3" customFormat="1" x14ac:dyDescent="0.25"/>
    <row r="342" s="3" customFormat="1" x14ac:dyDescent="0.25"/>
    <row r="343" s="3" customFormat="1" x14ac:dyDescent="0.25"/>
    <row r="344" s="3" customFormat="1" x14ac:dyDescent="0.25"/>
    <row r="345" s="3" customFormat="1" x14ac:dyDescent="0.25"/>
    <row r="346" s="3" customFormat="1" x14ac:dyDescent="0.25"/>
    <row r="347" s="3" customFormat="1" x14ac:dyDescent="0.25"/>
    <row r="348" s="3" customFormat="1" x14ac:dyDescent="0.25"/>
    <row r="349" s="3" customFormat="1" x14ac:dyDescent="0.25"/>
    <row r="350" s="3" customFormat="1" x14ac:dyDescent="0.25"/>
    <row r="351" s="3" customFormat="1" x14ac:dyDescent="0.25"/>
    <row r="352" s="3" customFormat="1" x14ac:dyDescent="0.25"/>
    <row r="353" s="3" customFormat="1" x14ac:dyDescent="0.25"/>
    <row r="354" s="3" customFormat="1" x14ac:dyDescent="0.25"/>
    <row r="355" s="3" customFormat="1" x14ac:dyDescent="0.25"/>
    <row r="356" s="3" customFormat="1" x14ac:dyDescent="0.25"/>
    <row r="357" s="3" customFormat="1" x14ac:dyDescent="0.25"/>
    <row r="358" s="3" customFormat="1" x14ac:dyDescent="0.25"/>
    <row r="359" s="3" customFormat="1" x14ac:dyDescent="0.25"/>
    <row r="360" s="3" customFormat="1" x14ac:dyDescent="0.25"/>
    <row r="361" s="3" customFormat="1" x14ac:dyDescent="0.25"/>
    <row r="362" s="3" customFormat="1" x14ac:dyDescent="0.25"/>
    <row r="363" s="3" customFormat="1" x14ac:dyDescent="0.25"/>
    <row r="364" s="3" customFormat="1" x14ac:dyDescent="0.25"/>
    <row r="365" s="3" customFormat="1" x14ac:dyDescent="0.25"/>
    <row r="366" s="3" customFormat="1" x14ac:dyDescent="0.25"/>
    <row r="367" s="3" customFormat="1" x14ac:dyDescent="0.25"/>
    <row r="368" s="3" customFormat="1" x14ac:dyDescent="0.25"/>
    <row r="369" s="3" customFormat="1" x14ac:dyDescent="0.25"/>
    <row r="370" s="3" customFormat="1" x14ac:dyDescent="0.25"/>
    <row r="371" s="3" customFormat="1" x14ac:dyDescent="0.25"/>
    <row r="372" s="3" customFormat="1" x14ac:dyDescent="0.25"/>
    <row r="373" s="3" customFormat="1" x14ac:dyDescent="0.25"/>
    <row r="374" s="3" customFormat="1" x14ac:dyDescent="0.25"/>
    <row r="375" s="3" customFormat="1" x14ac:dyDescent="0.25"/>
    <row r="376" s="3" customFormat="1" x14ac:dyDescent="0.25"/>
    <row r="377" s="3" customFormat="1" x14ac:dyDescent="0.25"/>
    <row r="378" s="3" customFormat="1" x14ac:dyDescent="0.25"/>
    <row r="379" s="3" customFormat="1" x14ac:dyDescent="0.25"/>
    <row r="380" s="3" customFormat="1" x14ac:dyDescent="0.25"/>
    <row r="381" s="3" customFormat="1" x14ac:dyDescent="0.25"/>
    <row r="382" s="3" customFormat="1" x14ac:dyDescent="0.25"/>
    <row r="383" s="3" customFormat="1" x14ac:dyDescent="0.25"/>
    <row r="384" s="3" customFormat="1" x14ac:dyDescent="0.25"/>
    <row r="385" s="3" customFormat="1" x14ac:dyDescent="0.25"/>
    <row r="386" s="3" customFormat="1" x14ac:dyDescent="0.25"/>
    <row r="387" s="3" customFormat="1" x14ac:dyDescent="0.25"/>
    <row r="388" s="3" customFormat="1" x14ac:dyDescent="0.25"/>
    <row r="389" s="3" customFormat="1" x14ac:dyDescent="0.25"/>
    <row r="390" s="3" customFormat="1" x14ac:dyDescent="0.25"/>
    <row r="391" s="3" customFormat="1" x14ac:dyDescent="0.25"/>
    <row r="392" s="3" customFormat="1" x14ac:dyDescent="0.25"/>
    <row r="393" s="3" customFormat="1" x14ac:dyDescent="0.25"/>
    <row r="394" s="3" customFormat="1" x14ac:dyDescent="0.25"/>
    <row r="395" s="3" customFormat="1" x14ac:dyDescent="0.25"/>
    <row r="396" s="3" customFormat="1" x14ac:dyDescent="0.25"/>
    <row r="397" s="3" customFormat="1" x14ac:dyDescent="0.25"/>
    <row r="398" s="3" customFormat="1" x14ac:dyDescent="0.25"/>
    <row r="399" s="3" customFormat="1" x14ac:dyDescent="0.25"/>
    <row r="400" s="3" customFormat="1" x14ac:dyDescent="0.25"/>
    <row r="401" s="3" customFormat="1" x14ac:dyDescent="0.25"/>
    <row r="402" s="3" customFormat="1" x14ac:dyDescent="0.25"/>
    <row r="403" s="3" customFormat="1" x14ac:dyDescent="0.25"/>
    <row r="404" s="3" customFormat="1" x14ac:dyDescent="0.25"/>
    <row r="405" s="3" customFormat="1" x14ac:dyDescent="0.25"/>
    <row r="406" s="3" customFormat="1" x14ac:dyDescent="0.25"/>
    <row r="407" s="3" customFormat="1" x14ac:dyDescent="0.25"/>
    <row r="408" s="3" customFormat="1" x14ac:dyDescent="0.25"/>
    <row r="409" s="3" customFormat="1" x14ac:dyDescent="0.25"/>
    <row r="410" s="3" customFormat="1" x14ac:dyDescent="0.25"/>
    <row r="411" s="3" customFormat="1" x14ac:dyDescent="0.25"/>
    <row r="412" s="3" customFormat="1" x14ac:dyDescent="0.25"/>
    <row r="413" s="3" customFormat="1" x14ac:dyDescent="0.25"/>
    <row r="414" s="3" customFormat="1" x14ac:dyDescent="0.25"/>
    <row r="415" s="3" customFormat="1" x14ac:dyDescent="0.25"/>
    <row r="416" s="3" customFormat="1" x14ac:dyDescent="0.25"/>
    <row r="417" s="3" customFormat="1" x14ac:dyDescent="0.25"/>
    <row r="418" s="3" customFormat="1" x14ac:dyDescent="0.25"/>
    <row r="419" s="3" customFormat="1" x14ac:dyDescent="0.25"/>
    <row r="420" s="3" customFormat="1" x14ac:dyDescent="0.25"/>
    <row r="421" s="3" customFormat="1" x14ac:dyDescent="0.25"/>
    <row r="422" s="3" customFormat="1" x14ac:dyDescent="0.25"/>
    <row r="423" s="3" customFormat="1" x14ac:dyDescent="0.25"/>
    <row r="424" s="3" customFormat="1" x14ac:dyDescent="0.25"/>
    <row r="425" s="3" customFormat="1" x14ac:dyDescent="0.25"/>
    <row r="426" s="3" customFormat="1" x14ac:dyDescent="0.25"/>
    <row r="427" s="3" customFormat="1" x14ac:dyDescent="0.25"/>
    <row r="428" s="3" customFormat="1" x14ac:dyDescent="0.25"/>
    <row r="429" s="3" customFormat="1" x14ac:dyDescent="0.25"/>
    <row r="430" s="3" customFormat="1" x14ac:dyDescent="0.25"/>
    <row r="431" s="3" customFormat="1" x14ac:dyDescent="0.25"/>
    <row r="432" s="3" customFormat="1" x14ac:dyDescent="0.25"/>
    <row r="433" s="3" customFormat="1" x14ac:dyDescent="0.25"/>
    <row r="434" s="3" customFormat="1" x14ac:dyDescent="0.25"/>
    <row r="435" s="3" customFormat="1" x14ac:dyDescent="0.25"/>
    <row r="436" s="3" customFormat="1" x14ac:dyDescent="0.25"/>
    <row r="437" s="3" customFormat="1" x14ac:dyDescent="0.25"/>
    <row r="438" s="3" customFormat="1" x14ac:dyDescent="0.25"/>
    <row r="439" s="3" customFormat="1" x14ac:dyDescent="0.25"/>
    <row r="440" s="3" customFormat="1" x14ac:dyDescent="0.25"/>
    <row r="441" s="3" customFormat="1" x14ac:dyDescent="0.25"/>
    <row r="442" s="3" customFormat="1" x14ac:dyDescent="0.25"/>
    <row r="443" s="3" customFormat="1" x14ac:dyDescent="0.25"/>
    <row r="444" s="3" customFormat="1" x14ac:dyDescent="0.25"/>
    <row r="445" s="3" customFormat="1" x14ac:dyDescent="0.25"/>
    <row r="446" s="3" customFormat="1" x14ac:dyDescent="0.25"/>
    <row r="447" s="3" customFormat="1" x14ac:dyDescent="0.25"/>
    <row r="448" s="3" customFormat="1" x14ac:dyDescent="0.25"/>
    <row r="449" s="3" customFormat="1" x14ac:dyDescent="0.25"/>
    <row r="450" s="3" customFormat="1" x14ac:dyDescent="0.25"/>
    <row r="451" s="3" customFormat="1" x14ac:dyDescent="0.25"/>
    <row r="452" s="3" customFormat="1" x14ac:dyDescent="0.25"/>
    <row r="453" s="3" customFormat="1" x14ac:dyDescent="0.25"/>
    <row r="454" s="3" customFormat="1" x14ac:dyDescent="0.25"/>
    <row r="455" s="3" customFormat="1" x14ac:dyDescent="0.25"/>
    <row r="456" s="3" customFormat="1" x14ac:dyDescent="0.25"/>
    <row r="457" s="3" customFormat="1" x14ac:dyDescent="0.25"/>
    <row r="458" s="3" customFormat="1" x14ac:dyDescent="0.25"/>
    <row r="459" s="3" customFormat="1" x14ac:dyDescent="0.25"/>
    <row r="460" s="3" customFormat="1" x14ac:dyDescent="0.25"/>
    <row r="461" s="3" customFormat="1" x14ac:dyDescent="0.25"/>
    <row r="462" s="3" customFormat="1" x14ac:dyDescent="0.25"/>
    <row r="463" s="3" customFormat="1" x14ac:dyDescent="0.25"/>
    <row r="464" s="3" customFormat="1" x14ac:dyDescent="0.25"/>
    <row r="465" s="3" customFormat="1" x14ac:dyDescent="0.25"/>
    <row r="466" s="3" customFormat="1" x14ac:dyDescent="0.25"/>
    <row r="467" s="3" customFormat="1" x14ac:dyDescent="0.25"/>
    <row r="468" s="3" customFormat="1" x14ac:dyDescent="0.25"/>
    <row r="469" s="3" customFormat="1" x14ac:dyDescent="0.25"/>
    <row r="470" s="3" customFormat="1" x14ac:dyDescent="0.25"/>
    <row r="471" s="3" customFormat="1" x14ac:dyDescent="0.25"/>
    <row r="472" s="3" customFormat="1" x14ac:dyDescent="0.25"/>
    <row r="473" s="3" customFormat="1" x14ac:dyDescent="0.25"/>
    <row r="474" s="3" customFormat="1" x14ac:dyDescent="0.25"/>
    <row r="475" s="3" customFormat="1" x14ac:dyDescent="0.25"/>
    <row r="476" s="3" customFormat="1" x14ac:dyDescent="0.25"/>
    <row r="477" s="3" customFormat="1" x14ac:dyDescent="0.25"/>
    <row r="478" s="3" customFormat="1" x14ac:dyDescent="0.25"/>
    <row r="479" s="3" customFormat="1" x14ac:dyDescent="0.25"/>
    <row r="480" s="3" customFormat="1" x14ac:dyDescent="0.25"/>
    <row r="481" s="3" customFormat="1" x14ac:dyDescent="0.25"/>
    <row r="482" s="3" customFormat="1" x14ac:dyDescent="0.25"/>
    <row r="483" s="3" customFormat="1" x14ac:dyDescent="0.25"/>
    <row r="484" s="3" customFormat="1" x14ac:dyDescent="0.25"/>
    <row r="485" s="3" customFormat="1" x14ac:dyDescent="0.25"/>
    <row r="486" s="3" customFormat="1" x14ac:dyDescent="0.25"/>
    <row r="487" s="3" customFormat="1" x14ac:dyDescent="0.25"/>
    <row r="488" s="3" customFormat="1" x14ac:dyDescent="0.25"/>
    <row r="489" s="3" customFormat="1" x14ac:dyDescent="0.25"/>
    <row r="490" s="3" customFormat="1" x14ac:dyDescent="0.25"/>
    <row r="491" s="3" customFormat="1" x14ac:dyDescent="0.25"/>
    <row r="492" s="3" customFormat="1" x14ac:dyDescent="0.25"/>
    <row r="493" s="3" customFormat="1" x14ac:dyDescent="0.25"/>
    <row r="494" s="3" customFormat="1" x14ac:dyDescent="0.25"/>
    <row r="495" s="3" customFormat="1" x14ac:dyDescent="0.25"/>
    <row r="496" s="3" customFormat="1" x14ac:dyDescent="0.25"/>
    <row r="497" s="3" customFormat="1" x14ac:dyDescent="0.25"/>
    <row r="498" s="3" customFormat="1" x14ac:dyDescent="0.25"/>
    <row r="499" s="3" customFormat="1" x14ac:dyDescent="0.25"/>
    <row r="500" s="3" customFormat="1" x14ac:dyDescent="0.25"/>
    <row r="501" s="3" customFormat="1" x14ac:dyDescent="0.25"/>
    <row r="502" s="3" customFormat="1" x14ac:dyDescent="0.25"/>
    <row r="503" s="3" customFormat="1" x14ac:dyDescent="0.25"/>
    <row r="504" s="3" customFormat="1" x14ac:dyDescent="0.25"/>
    <row r="505" s="3" customFormat="1" x14ac:dyDescent="0.25"/>
    <row r="506" s="3" customFormat="1" x14ac:dyDescent="0.25"/>
    <row r="507" s="3" customFormat="1" x14ac:dyDescent="0.25"/>
    <row r="508" s="3" customFormat="1" x14ac:dyDescent="0.25"/>
    <row r="509" s="3" customFormat="1" x14ac:dyDescent="0.25"/>
    <row r="510" s="3" customFormat="1" x14ac:dyDescent="0.25"/>
    <row r="511" s="3" customFormat="1" x14ac:dyDescent="0.25"/>
    <row r="512" s="3" customFormat="1" x14ac:dyDescent="0.25"/>
    <row r="513" s="3" customFormat="1" x14ac:dyDescent="0.25"/>
    <row r="514" s="3" customFormat="1" x14ac:dyDescent="0.25"/>
    <row r="515" s="3" customFormat="1" x14ac:dyDescent="0.25"/>
    <row r="516" s="3" customFormat="1" x14ac:dyDescent="0.25"/>
    <row r="517" s="3" customFormat="1" x14ac:dyDescent="0.25"/>
    <row r="518" s="3" customFormat="1" x14ac:dyDescent="0.25"/>
    <row r="519" s="3" customFormat="1" x14ac:dyDescent="0.25"/>
    <row r="520" s="3" customFormat="1" x14ac:dyDescent="0.25"/>
    <row r="521" s="3" customFormat="1" x14ac:dyDescent="0.25"/>
    <row r="522" s="3" customFormat="1" x14ac:dyDescent="0.25"/>
    <row r="523" s="3" customFormat="1" x14ac:dyDescent="0.25"/>
    <row r="524" s="3" customFormat="1" x14ac:dyDescent="0.25"/>
    <row r="525" s="3" customFormat="1" x14ac:dyDescent="0.25"/>
    <row r="526" s="3" customFormat="1" x14ac:dyDescent="0.25"/>
    <row r="527" s="3" customFormat="1" x14ac:dyDescent="0.25"/>
    <row r="528" s="3" customFormat="1" x14ac:dyDescent="0.25"/>
    <row r="529" s="3" customFormat="1" x14ac:dyDescent="0.25"/>
    <row r="530" s="3" customFormat="1" x14ac:dyDescent="0.25"/>
    <row r="531" s="3" customFormat="1" x14ac:dyDescent="0.25"/>
    <row r="532" s="3" customFormat="1" x14ac:dyDescent="0.25"/>
    <row r="533" s="3" customFormat="1" x14ac:dyDescent="0.25"/>
    <row r="534" s="3" customFormat="1" x14ac:dyDescent="0.25"/>
    <row r="535" s="3" customFormat="1" x14ac:dyDescent="0.25"/>
    <row r="536" s="3" customFormat="1" x14ac:dyDescent="0.25"/>
    <row r="537" s="3" customFormat="1" x14ac:dyDescent="0.25"/>
    <row r="538" s="3" customFormat="1" x14ac:dyDescent="0.25"/>
    <row r="539" s="3" customFormat="1" x14ac:dyDescent="0.25"/>
    <row r="540" s="3" customFormat="1" x14ac:dyDescent="0.25"/>
    <row r="541" s="3" customFormat="1" x14ac:dyDescent="0.25"/>
    <row r="542" s="3" customFormat="1" x14ac:dyDescent="0.25"/>
    <row r="543" s="3" customFormat="1" x14ac:dyDescent="0.25"/>
    <row r="544" s="3" customFormat="1" x14ac:dyDescent="0.25"/>
    <row r="545" s="3" customFormat="1" x14ac:dyDescent="0.25"/>
    <row r="546" s="3" customFormat="1" x14ac:dyDescent="0.25"/>
    <row r="547" s="3" customFormat="1" x14ac:dyDescent="0.25"/>
    <row r="548" s="3" customFormat="1" x14ac:dyDescent="0.25"/>
    <row r="549" s="3" customFormat="1" x14ac:dyDescent="0.25"/>
    <row r="550" s="3" customFormat="1" x14ac:dyDescent="0.25"/>
    <row r="551" s="3" customFormat="1" x14ac:dyDescent="0.25"/>
    <row r="552" s="3" customFormat="1" x14ac:dyDescent="0.25"/>
    <row r="553" s="3" customFormat="1" x14ac:dyDescent="0.25"/>
    <row r="554" s="3" customFormat="1" x14ac:dyDescent="0.25"/>
    <row r="555" s="3" customFormat="1" x14ac:dyDescent="0.25"/>
    <row r="556" s="3" customFormat="1" x14ac:dyDescent="0.25"/>
    <row r="557" s="3" customFormat="1" x14ac:dyDescent="0.25"/>
    <row r="558" s="3" customFormat="1" x14ac:dyDescent="0.25"/>
    <row r="559" s="3" customFormat="1" x14ac:dyDescent="0.25"/>
    <row r="560" s="3" customFormat="1" x14ac:dyDescent="0.25"/>
    <row r="561" s="3" customFormat="1" x14ac:dyDescent="0.25"/>
    <row r="562" s="3" customFormat="1" x14ac:dyDescent="0.25"/>
    <row r="563" s="3" customFormat="1" x14ac:dyDescent="0.25"/>
    <row r="564" s="3" customFormat="1" x14ac:dyDescent="0.25"/>
    <row r="565" s="3" customFormat="1" x14ac:dyDescent="0.25"/>
    <row r="566" s="3" customFormat="1" x14ac:dyDescent="0.25"/>
    <row r="567" s="3" customFormat="1" x14ac:dyDescent="0.25"/>
    <row r="568" s="3" customFormat="1" x14ac:dyDescent="0.25"/>
    <row r="569" s="3" customFormat="1" x14ac:dyDescent="0.25"/>
    <row r="570" s="3" customFormat="1" x14ac:dyDescent="0.25"/>
    <row r="571" s="3" customFormat="1" x14ac:dyDescent="0.25"/>
    <row r="572" s="3" customFormat="1" x14ac:dyDescent="0.25"/>
    <row r="573" s="3" customFormat="1" x14ac:dyDescent="0.25"/>
    <row r="574" s="3" customFormat="1" x14ac:dyDescent="0.25"/>
    <row r="575" s="3" customFormat="1" x14ac:dyDescent="0.25"/>
    <row r="576" s="3" customFormat="1" x14ac:dyDescent="0.25"/>
    <row r="577" s="3" customFormat="1" x14ac:dyDescent="0.25"/>
    <row r="578" s="3" customFormat="1" x14ac:dyDescent="0.25"/>
    <row r="579" s="3" customFormat="1" x14ac:dyDescent="0.25"/>
    <row r="580" s="3" customFormat="1" x14ac:dyDescent="0.25"/>
    <row r="581" s="3" customFormat="1" x14ac:dyDescent="0.25"/>
    <row r="582" s="3" customFormat="1" x14ac:dyDescent="0.25"/>
    <row r="583" s="3" customFormat="1" x14ac:dyDescent="0.25"/>
    <row r="584" s="3" customFormat="1" x14ac:dyDescent="0.25"/>
    <row r="585" s="3" customFormat="1" x14ac:dyDescent="0.25"/>
    <row r="586" s="3" customFormat="1" x14ac:dyDescent="0.25"/>
    <row r="587" s="3" customFormat="1" x14ac:dyDescent="0.25"/>
    <row r="588" s="3" customFormat="1" x14ac:dyDescent="0.25"/>
    <row r="589" s="3" customFormat="1" x14ac:dyDescent="0.25"/>
    <row r="590" s="3" customFormat="1" x14ac:dyDescent="0.25"/>
    <row r="591" s="3" customFormat="1" x14ac:dyDescent="0.25"/>
    <row r="592" s="3" customFormat="1" x14ac:dyDescent="0.25"/>
    <row r="593" s="3" customFormat="1" x14ac:dyDescent="0.25"/>
    <row r="594" s="3" customFormat="1" x14ac:dyDescent="0.25"/>
    <row r="595" s="3" customFormat="1" x14ac:dyDescent="0.25"/>
    <row r="596" s="3" customFormat="1" x14ac:dyDescent="0.25"/>
    <row r="597" s="3" customFormat="1" x14ac:dyDescent="0.25"/>
    <row r="598" s="3" customFormat="1" x14ac:dyDescent="0.25"/>
    <row r="599" s="3" customFormat="1" x14ac:dyDescent="0.25"/>
    <row r="600" s="3" customFormat="1" x14ac:dyDescent="0.25"/>
    <row r="601" s="3" customFormat="1" x14ac:dyDescent="0.25"/>
    <row r="602" s="3" customFormat="1" x14ac:dyDescent="0.25"/>
    <row r="603" s="3" customFormat="1" x14ac:dyDescent="0.25"/>
    <row r="604" s="3" customFormat="1" x14ac:dyDescent="0.25"/>
    <row r="605" s="3" customFormat="1" x14ac:dyDescent="0.25"/>
    <row r="606" s="3" customFormat="1" x14ac:dyDescent="0.25"/>
    <row r="607" s="3" customFormat="1" x14ac:dyDescent="0.25"/>
    <row r="608" s="3" customFormat="1" x14ac:dyDescent="0.25"/>
    <row r="609" s="3" customFormat="1" x14ac:dyDescent="0.25"/>
    <row r="610" s="3" customFormat="1" x14ac:dyDescent="0.25"/>
    <row r="611" s="3" customFormat="1" x14ac:dyDescent="0.25"/>
    <row r="612" s="3" customFormat="1" x14ac:dyDescent="0.25"/>
    <row r="613" s="3" customFormat="1" x14ac:dyDescent="0.25"/>
    <row r="614" s="3" customFormat="1" x14ac:dyDescent="0.25"/>
    <row r="615" s="3" customFormat="1" x14ac:dyDescent="0.25"/>
    <row r="616" s="3" customFormat="1" x14ac:dyDescent="0.25"/>
    <row r="617" s="3" customFormat="1" x14ac:dyDescent="0.25"/>
    <row r="618" s="3" customFormat="1" x14ac:dyDescent="0.25"/>
    <row r="619" s="3" customFormat="1" x14ac:dyDescent="0.25"/>
    <row r="620" s="3" customFormat="1" x14ac:dyDescent="0.25"/>
    <row r="621" s="3" customFormat="1" x14ac:dyDescent="0.25"/>
    <row r="622" s="3" customFormat="1" x14ac:dyDescent="0.25"/>
    <row r="623" s="3" customFormat="1" x14ac:dyDescent="0.25"/>
    <row r="624" s="3" customFormat="1" x14ac:dyDescent="0.25"/>
    <row r="625" s="3" customFormat="1" x14ac:dyDescent="0.25"/>
    <row r="626" s="3" customFormat="1" x14ac:dyDescent="0.25"/>
    <row r="627" s="3" customFormat="1" x14ac:dyDescent="0.25"/>
    <row r="628" s="3" customFormat="1" x14ac:dyDescent="0.25"/>
    <row r="629" s="3" customFormat="1" x14ac:dyDescent="0.25"/>
    <row r="630" s="3" customFormat="1" x14ac:dyDescent="0.25"/>
    <row r="631" s="3" customFormat="1" x14ac:dyDescent="0.25"/>
    <row r="632" s="3" customFormat="1" x14ac:dyDescent="0.25"/>
    <row r="633" s="3" customFormat="1" x14ac:dyDescent="0.25"/>
    <row r="634" s="3" customFormat="1" x14ac:dyDescent="0.25"/>
    <row r="635" s="3" customFormat="1" x14ac:dyDescent="0.25"/>
    <row r="636" s="3" customFormat="1" x14ac:dyDescent="0.25"/>
    <row r="637" s="3" customFormat="1" x14ac:dyDescent="0.25"/>
    <row r="638" s="3" customFormat="1" x14ac:dyDescent="0.25"/>
    <row r="639" s="3" customFormat="1" x14ac:dyDescent="0.25"/>
    <row r="640" s="3" customFormat="1" x14ac:dyDescent="0.25"/>
    <row r="641" s="3" customFormat="1" x14ac:dyDescent="0.25"/>
    <row r="642" s="3" customFormat="1" x14ac:dyDescent="0.25"/>
    <row r="643" s="3" customFormat="1" x14ac:dyDescent="0.25"/>
    <row r="644" s="3" customFormat="1" x14ac:dyDescent="0.25"/>
    <row r="645" s="3" customFormat="1" x14ac:dyDescent="0.25"/>
    <row r="646" s="3" customFormat="1" x14ac:dyDescent="0.25"/>
    <row r="647" s="3" customFormat="1" x14ac:dyDescent="0.25"/>
    <row r="648" s="3" customFormat="1" x14ac:dyDescent="0.25"/>
    <row r="649" s="3" customFormat="1" x14ac:dyDescent="0.25"/>
    <row r="650" s="3" customFormat="1" x14ac:dyDescent="0.25"/>
    <row r="651" s="3" customFormat="1" x14ac:dyDescent="0.25"/>
    <row r="652" s="3" customFormat="1" x14ac:dyDescent="0.25"/>
    <row r="653" s="3" customFormat="1" x14ac:dyDescent="0.25"/>
    <row r="654" s="3" customFormat="1" x14ac:dyDescent="0.25"/>
    <row r="655" s="3" customFormat="1" x14ac:dyDescent="0.25"/>
    <row r="656" s="3" customFormat="1" x14ac:dyDescent="0.25"/>
    <row r="657" s="3" customFormat="1" x14ac:dyDescent="0.25"/>
    <row r="658" s="3" customFormat="1" x14ac:dyDescent="0.25"/>
    <row r="659" s="3" customFormat="1" x14ac:dyDescent="0.25"/>
    <row r="660" s="3" customFormat="1" x14ac:dyDescent="0.25"/>
    <row r="661" s="3" customFormat="1" x14ac:dyDescent="0.25"/>
    <row r="662" s="3" customFormat="1" x14ac:dyDescent="0.25"/>
    <row r="663" s="3" customFormat="1" x14ac:dyDescent="0.25"/>
    <row r="664" s="3" customFormat="1" x14ac:dyDescent="0.25"/>
    <row r="665" s="3" customFormat="1" x14ac:dyDescent="0.25"/>
    <row r="666" s="3" customFormat="1" x14ac:dyDescent="0.25"/>
    <row r="667" s="3" customFormat="1" x14ac:dyDescent="0.25"/>
    <row r="668" s="3" customFormat="1" x14ac:dyDescent="0.25"/>
    <row r="669" s="3" customFormat="1" x14ac:dyDescent="0.25"/>
    <row r="670" s="3" customFormat="1" x14ac:dyDescent="0.25"/>
    <row r="671" s="3" customFormat="1" x14ac:dyDescent="0.25"/>
    <row r="672" s="3" customFormat="1" x14ac:dyDescent="0.25"/>
    <row r="673" s="3" customFormat="1" x14ac:dyDescent="0.25"/>
    <row r="674" s="3" customFormat="1" x14ac:dyDescent="0.25"/>
    <row r="675" s="3" customFormat="1" x14ac:dyDescent="0.25"/>
    <row r="676" s="3" customFormat="1" x14ac:dyDescent="0.25"/>
    <row r="677" s="3" customFormat="1" x14ac:dyDescent="0.25"/>
    <row r="678" s="3" customFormat="1" x14ac:dyDescent="0.25"/>
    <row r="679" s="3" customFormat="1" x14ac:dyDescent="0.25"/>
    <row r="680" s="3" customFormat="1" x14ac:dyDescent="0.25"/>
    <row r="681" s="3" customFormat="1" x14ac:dyDescent="0.25"/>
    <row r="682" s="3" customFormat="1" x14ac:dyDescent="0.25"/>
    <row r="683" s="3" customFormat="1" x14ac:dyDescent="0.25"/>
    <row r="684" s="3" customFormat="1" x14ac:dyDescent="0.25"/>
    <row r="685" s="3" customFormat="1" x14ac:dyDescent="0.25"/>
    <row r="686" s="3" customFormat="1" x14ac:dyDescent="0.25"/>
    <row r="687" s="3" customFormat="1" x14ac:dyDescent="0.25"/>
    <row r="688" s="3" customFormat="1" x14ac:dyDescent="0.25"/>
    <row r="689" s="3" customFormat="1" x14ac:dyDescent="0.25"/>
    <row r="690" s="3" customFormat="1" x14ac:dyDescent="0.25"/>
    <row r="691" s="3" customFormat="1" x14ac:dyDescent="0.25"/>
    <row r="692" s="3" customFormat="1" x14ac:dyDescent="0.25"/>
    <row r="693" s="3" customFormat="1" x14ac:dyDescent="0.25"/>
    <row r="694" s="3" customFormat="1" x14ac:dyDescent="0.25"/>
    <row r="695" s="3" customFormat="1" x14ac:dyDescent="0.25"/>
    <row r="696" s="3" customFormat="1" x14ac:dyDescent="0.25"/>
    <row r="697" s="3" customFormat="1" x14ac:dyDescent="0.25"/>
    <row r="698" s="3" customFormat="1" x14ac:dyDescent="0.25"/>
    <row r="699" s="3" customFormat="1" x14ac:dyDescent="0.25"/>
    <row r="700" s="3" customFormat="1" x14ac:dyDescent="0.25"/>
    <row r="701" s="3" customFormat="1" x14ac:dyDescent="0.25"/>
    <row r="702" s="3" customFormat="1" x14ac:dyDescent="0.25"/>
    <row r="703" s="3" customFormat="1" x14ac:dyDescent="0.25"/>
    <row r="704" s="3" customFormat="1" x14ac:dyDescent="0.25"/>
    <row r="705" s="3" customFormat="1" x14ac:dyDescent="0.25"/>
    <row r="706" s="3" customFormat="1" x14ac:dyDescent="0.25"/>
    <row r="707" s="3" customFormat="1" x14ac:dyDescent="0.25"/>
    <row r="708" s="3" customFormat="1" x14ac:dyDescent="0.25"/>
    <row r="709" s="3" customFormat="1" x14ac:dyDescent="0.25"/>
    <row r="710" s="3" customFormat="1" x14ac:dyDescent="0.25"/>
    <row r="711" s="3" customFormat="1" x14ac:dyDescent="0.25"/>
    <row r="712" s="3" customFormat="1" x14ac:dyDescent="0.25"/>
    <row r="713" s="3" customFormat="1" x14ac:dyDescent="0.25"/>
    <row r="714" s="3" customFormat="1" x14ac:dyDescent="0.25"/>
    <row r="715" s="3" customFormat="1" x14ac:dyDescent="0.25"/>
    <row r="716" s="3" customFormat="1" x14ac:dyDescent="0.25"/>
    <row r="717" s="3" customFormat="1" x14ac:dyDescent="0.25"/>
    <row r="718" s="3" customFormat="1" x14ac:dyDescent="0.25"/>
    <row r="719" s="3" customFormat="1" x14ac:dyDescent="0.25"/>
    <row r="720" s="3" customFormat="1" x14ac:dyDescent="0.25"/>
    <row r="721" s="3" customFormat="1" x14ac:dyDescent="0.25"/>
    <row r="722" s="3" customFormat="1" x14ac:dyDescent="0.25"/>
    <row r="723" s="3" customFormat="1" x14ac:dyDescent="0.25"/>
    <row r="724" s="3" customFormat="1" x14ac:dyDescent="0.25"/>
    <row r="725" s="3" customFormat="1" x14ac:dyDescent="0.25"/>
    <row r="726" s="3" customFormat="1" x14ac:dyDescent="0.25"/>
    <row r="727" s="3" customFormat="1" x14ac:dyDescent="0.25"/>
    <row r="728" s="3" customFormat="1" x14ac:dyDescent="0.25"/>
    <row r="729" s="3" customFormat="1" x14ac:dyDescent="0.25"/>
    <row r="730" s="3" customFormat="1" x14ac:dyDescent="0.25"/>
    <row r="731" s="3" customFormat="1" x14ac:dyDescent="0.25"/>
    <row r="732" s="3" customFormat="1" x14ac:dyDescent="0.25"/>
    <row r="733" s="3" customFormat="1" x14ac:dyDescent="0.25"/>
    <row r="734" s="3" customFormat="1" x14ac:dyDescent="0.25"/>
    <row r="735" s="3" customFormat="1" x14ac:dyDescent="0.25"/>
    <row r="736" s="3" customFormat="1" x14ac:dyDescent="0.25"/>
    <row r="737" s="3" customFormat="1" x14ac:dyDescent="0.25"/>
    <row r="738" s="3" customFormat="1" x14ac:dyDescent="0.25"/>
    <row r="739" s="3" customFormat="1" x14ac:dyDescent="0.25"/>
    <row r="740" s="3" customFormat="1" x14ac:dyDescent="0.25"/>
    <row r="741" s="3" customFormat="1" x14ac:dyDescent="0.25"/>
    <row r="742" s="3" customFormat="1" x14ac:dyDescent="0.25"/>
    <row r="743" s="3" customFormat="1" x14ac:dyDescent="0.25"/>
    <row r="744" s="3" customFormat="1" x14ac:dyDescent="0.25"/>
    <row r="745" s="3" customFormat="1" x14ac:dyDescent="0.25"/>
    <row r="746" s="3" customFormat="1" x14ac:dyDescent="0.25"/>
    <row r="747" s="3" customFormat="1" x14ac:dyDescent="0.25"/>
    <row r="748" s="3" customFormat="1" x14ac:dyDescent="0.25"/>
    <row r="749" s="3" customFormat="1" x14ac:dyDescent="0.25"/>
    <row r="750" s="3" customFormat="1" x14ac:dyDescent="0.25"/>
    <row r="751" s="3" customFormat="1" x14ac:dyDescent="0.25"/>
    <row r="752" s="3" customFormat="1" x14ac:dyDescent="0.25"/>
    <row r="753" s="3" customFormat="1" x14ac:dyDescent="0.25"/>
    <row r="754" s="3" customFormat="1" x14ac:dyDescent="0.25"/>
    <row r="755" s="3" customFormat="1" x14ac:dyDescent="0.25"/>
    <row r="756" s="3" customFormat="1" x14ac:dyDescent="0.25"/>
    <row r="757" s="3" customFormat="1" x14ac:dyDescent="0.25"/>
    <row r="758" s="3" customFormat="1" x14ac:dyDescent="0.25"/>
    <row r="759" s="3" customFormat="1" x14ac:dyDescent="0.25"/>
    <row r="760" s="3" customFormat="1" x14ac:dyDescent="0.25"/>
    <row r="761" s="3" customFormat="1" x14ac:dyDescent="0.25"/>
    <row r="762" s="3" customFormat="1" x14ac:dyDescent="0.25"/>
    <row r="763" s="3" customFormat="1" x14ac:dyDescent="0.25"/>
    <row r="764" s="3" customFormat="1" x14ac:dyDescent="0.25"/>
    <row r="765" s="3" customFormat="1" x14ac:dyDescent="0.25"/>
    <row r="766" s="3" customFormat="1" x14ac:dyDescent="0.25"/>
    <row r="767" s="3" customFormat="1" x14ac:dyDescent="0.25"/>
    <row r="768" s="3" customFormat="1" x14ac:dyDescent="0.25"/>
    <row r="769" s="3" customFormat="1" x14ac:dyDescent="0.25"/>
    <row r="770" s="3" customFormat="1" x14ac:dyDescent="0.25"/>
    <row r="771" s="3" customFormat="1" x14ac:dyDescent="0.25"/>
    <row r="772" s="3" customFormat="1" x14ac:dyDescent="0.25"/>
    <row r="773" s="3" customFormat="1" x14ac:dyDescent="0.25"/>
    <row r="774" s="3" customFormat="1" x14ac:dyDescent="0.25"/>
    <row r="775" s="3" customFormat="1" x14ac:dyDescent="0.25"/>
    <row r="776" s="3" customFormat="1" x14ac:dyDescent="0.25"/>
    <row r="777" s="3" customFormat="1" x14ac:dyDescent="0.25"/>
    <row r="778" s="3" customFormat="1" x14ac:dyDescent="0.25"/>
    <row r="779" s="3" customFormat="1" x14ac:dyDescent="0.25"/>
    <row r="780" s="3" customFormat="1" x14ac:dyDescent="0.25"/>
    <row r="781" s="3" customFormat="1" x14ac:dyDescent="0.25"/>
    <row r="782" s="3" customFormat="1" x14ac:dyDescent="0.25"/>
    <row r="783" s="3" customFormat="1" x14ac:dyDescent="0.25"/>
    <row r="784" s="3" customFormat="1" x14ac:dyDescent="0.25"/>
    <row r="785" s="3" customFormat="1" x14ac:dyDescent="0.25"/>
    <row r="786" s="3" customFormat="1" x14ac:dyDescent="0.25"/>
    <row r="787" s="3" customFormat="1" x14ac:dyDescent="0.25"/>
    <row r="788" s="3" customFormat="1" x14ac:dyDescent="0.25"/>
    <row r="789" s="3" customFormat="1" x14ac:dyDescent="0.25"/>
    <row r="790" s="3" customFormat="1" x14ac:dyDescent="0.25"/>
    <row r="791" s="3" customFormat="1" x14ac:dyDescent="0.25"/>
    <row r="792" s="3" customFormat="1" x14ac:dyDescent="0.25"/>
    <row r="793" s="3" customFormat="1" x14ac:dyDescent="0.25"/>
    <row r="794" s="3" customFormat="1" x14ac:dyDescent="0.25"/>
    <row r="795" s="3" customFormat="1" x14ac:dyDescent="0.25"/>
    <row r="796" s="3" customFormat="1" x14ac:dyDescent="0.25"/>
    <row r="797" s="3" customFormat="1" x14ac:dyDescent="0.25"/>
    <row r="798" s="3" customFormat="1" x14ac:dyDescent="0.25"/>
    <row r="799" s="3" customFormat="1" x14ac:dyDescent="0.25"/>
    <row r="800" s="3" customFormat="1" x14ac:dyDescent="0.25"/>
    <row r="801" s="3" customFormat="1" x14ac:dyDescent="0.25"/>
    <row r="802" s="3" customFormat="1" x14ac:dyDescent="0.25"/>
    <row r="803" s="3" customFormat="1" x14ac:dyDescent="0.25"/>
    <row r="804" s="3" customFormat="1" x14ac:dyDescent="0.25"/>
    <row r="805" s="3" customFormat="1" x14ac:dyDescent="0.25"/>
    <row r="806" s="3" customFormat="1" x14ac:dyDescent="0.25"/>
    <row r="807" s="3" customFormat="1" x14ac:dyDescent="0.25"/>
    <row r="808" s="3" customFormat="1" x14ac:dyDescent="0.25"/>
    <row r="809" s="3" customFormat="1" x14ac:dyDescent="0.25"/>
    <row r="810" s="3" customFormat="1" x14ac:dyDescent="0.25"/>
    <row r="811" s="3" customFormat="1" x14ac:dyDescent="0.25"/>
    <row r="812" s="3" customFormat="1" x14ac:dyDescent="0.25"/>
    <row r="813" s="3" customFormat="1" x14ac:dyDescent="0.25"/>
    <row r="814" s="3" customFormat="1" x14ac:dyDescent="0.25"/>
    <row r="815" s="3" customFormat="1" x14ac:dyDescent="0.25"/>
    <row r="816" s="3" customFormat="1" x14ac:dyDescent="0.25"/>
    <row r="817" s="3" customFormat="1" x14ac:dyDescent="0.25"/>
    <row r="818" s="3" customFormat="1" x14ac:dyDescent="0.25"/>
    <row r="819" s="3" customFormat="1" x14ac:dyDescent="0.25"/>
    <row r="820" s="3" customFormat="1" x14ac:dyDescent="0.25"/>
    <row r="821" s="3" customFormat="1" x14ac:dyDescent="0.25"/>
    <row r="822" s="3" customFormat="1" x14ac:dyDescent="0.25"/>
    <row r="823" s="3" customFormat="1" x14ac:dyDescent="0.25"/>
    <row r="824" s="3" customFormat="1" x14ac:dyDescent="0.25"/>
    <row r="825" s="3" customFormat="1" x14ac:dyDescent="0.25"/>
    <row r="826" s="3" customFormat="1" x14ac:dyDescent="0.25"/>
    <row r="827" s="3" customFormat="1" x14ac:dyDescent="0.25"/>
    <row r="828" s="3" customFormat="1" x14ac:dyDescent="0.25"/>
    <row r="829" s="3" customFormat="1" x14ac:dyDescent="0.25"/>
    <row r="830" s="3" customFormat="1" x14ac:dyDescent="0.25"/>
    <row r="831" s="3" customFormat="1" x14ac:dyDescent="0.25"/>
    <row r="832" s="3" customFormat="1" x14ac:dyDescent="0.25"/>
    <row r="833" s="3" customFormat="1" x14ac:dyDescent="0.25"/>
    <row r="834" s="3" customFormat="1" x14ac:dyDescent="0.25"/>
    <row r="835" s="3" customFormat="1" x14ac:dyDescent="0.25"/>
    <row r="836" s="3" customFormat="1" x14ac:dyDescent="0.25"/>
    <row r="837" s="3" customFormat="1" x14ac:dyDescent="0.25"/>
    <row r="838" s="3" customFormat="1" x14ac:dyDescent="0.25"/>
    <row r="839" s="3" customFormat="1" x14ac:dyDescent="0.25"/>
    <row r="840" s="3" customFormat="1" x14ac:dyDescent="0.25"/>
    <row r="841" s="3" customFormat="1" x14ac:dyDescent="0.25"/>
    <row r="842" s="3" customFormat="1" x14ac:dyDescent="0.25"/>
    <row r="843" s="3" customFormat="1" x14ac:dyDescent="0.25"/>
    <row r="844" s="3" customFormat="1" x14ac:dyDescent="0.25"/>
    <row r="845" s="3" customFormat="1" x14ac:dyDescent="0.25"/>
    <row r="846" s="3" customFormat="1" x14ac:dyDescent="0.25"/>
    <row r="847" s="3" customFormat="1" x14ac:dyDescent="0.25"/>
    <row r="848" s="3" customFormat="1" x14ac:dyDescent="0.25"/>
    <row r="849" s="3" customFormat="1" x14ac:dyDescent="0.25"/>
    <row r="850" s="3" customFormat="1" x14ac:dyDescent="0.25"/>
    <row r="851" s="3" customFormat="1" x14ac:dyDescent="0.25"/>
    <row r="852" s="3" customFormat="1" x14ac:dyDescent="0.25"/>
    <row r="853" s="3" customFormat="1" x14ac:dyDescent="0.25"/>
    <row r="854" s="3" customFormat="1" x14ac:dyDescent="0.25"/>
    <row r="855" s="3" customFormat="1" x14ac:dyDescent="0.25"/>
    <row r="856" s="3" customFormat="1" x14ac:dyDescent="0.25"/>
    <row r="857" s="3" customFormat="1" x14ac:dyDescent="0.25"/>
    <row r="858" s="3" customFormat="1" x14ac:dyDescent="0.25"/>
    <row r="859" s="3" customFormat="1" x14ac:dyDescent="0.25"/>
    <row r="860" s="3" customFormat="1" x14ac:dyDescent="0.25"/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Feuil15">
    <tabColor rgb="FF0070C0"/>
    <pageSetUpPr fitToPage="1"/>
  </sheetPr>
  <dimension ref="A1:BD67"/>
  <sheetViews>
    <sheetView showGridLines="0" topLeftCell="A29" zoomScaleNormal="100" workbookViewId="0">
      <selection activeCell="A36" sqref="A36"/>
    </sheetView>
  </sheetViews>
  <sheetFormatPr baseColWidth="10" defaultRowHeight="15" x14ac:dyDescent="0.25"/>
  <cols>
    <col min="1" max="1" width="15.7109375" customWidth="1"/>
    <col min="2" max="2" width="33.85546875" bestFit="1" customWidth="1"/>
    <col min="3" max="16" width="8.85546875" hidden="1" customWidth="1"/>
    <col min="17" max="17" width="14" customWidth="1"/>
    <col min="18" max="26" width="8.85546875" hidden="1" customWidth="1"/>
    <col min="27" max="27" width="14" customWidth="1"/>
    <col min="28" max="46" width="14" hidden="1" customWidth="1"/>
    <col min="47" max="47" width="14" customWidth="1"/>
    <col min="49" max="49" width="13.42578125" customWidth="1"/>
  </cols>
  <sheetData>
    <row r="1" spans="1:56" s="244" customFormat="1" ht="45" customHeight="1" x14ac:dyDescent="0.25">
      <c r="A1" s="239" t="str">
        <f>Résultats!B1</f>
        <v>SNBC3</v>
      </c>
      <c r="B1" s="240" t="s">
        <v>465</v>
      </c>
      <c r="C1" s="241">
        <v>2006</v>
      </c>
      <c r="D1" s="242">
        <v>2007</v>
      </c>
      <c r="E1" s="242">
        <v>2008</v>
      </c>
      <c r="F1" s="242">
        <v>2009</v>
      </c>
      <c r="G1" s="242">
        <v>2010</v>
      </c>
      <c r="H1" s="242">
        <v>2011</v>
      </c>
      <c r="I1" s="242">
        <v>2012</v>
      </c>
      <c r="J1" s="242">
        <v>2013</v>
      </c>
      <c r="K1" s="242">
        <v>2014</v>
      </c>
      <c r="L1" s="242">
        <v>2015</v>
      </c>
      <c r="M1" s="242">
        <v>2016</v>
      </c>
      <c r="N1" s="242">
        <v>2017</v>
      </c>
      <c r="O1" s="242">
        <v>2018</v>
      </c>
      <c r="P1" s="242">
        <v>2019</v>
      </c>
      <c r="Q1" s="242">
        <v>2020</v>
      </c>
      <c r="R1" s="242">
        <v>2021</v>
      </c>
      <c r="S1" s="242">
        <v>2022</v>
      </c>
      <c r="T1" s="242">
        <v>2023</v>
      </c>
      <c r="U1" s="242">
        <v>2024</v>
      </c>
      <c r="V1" s="242">
        <v>2025</v>
      </c>
      <c r="W1" s="242">
        <v>2026</v>
      </c>
      <c r="X1" s="242">
        <v>2027</v>
      </c>
      <c r="Y1" s="242">
        <v>2028</v>
      </c>
      <c r="Z1" s="242">
        <v>2029</v>
      </c>
      <c r="AA1" s="242">
        <v>2030</v>
      </c>
      <c r="AB1" s="242">
        <v>2031</v>
      </c>
      <c r="AC1" s="242">
        <v>2032</v>
      </c>
      <c r="AD1" s="242">
        <v>2033</v>
      </c>
      <c r="AE1" s="242">
        <v>2034</v>
      </c>
      <c r="AF1" s="242">
        <v>2035</v>
      </c>
      <c r="AG1" s="242">
        <v>2036</v>
      </c>
      <c r="AH1" s="242">
        <v>2037</v>
      </c>
      <c r="AI1" s="242">
        <v>2038</v>
      </c>
      <c r="AJ1" s="242">
        <v>2039</v>
      </c>
      <c r="AK1" s="242">
        <v>2040</v>
      </c>
      <c r="AL1" s="242">
        <v>2041</v>
      </c>
      <c r="AM1" s="242">
        <v>2042</v>
      </c>
      <c r="AN1" s="242">
        <v>2043</v>
      </c>
      <c r="AO1" s="242">
        <v>2044</v>
      </c>
      <c r="AP1" s="242">
        <v>2045</v>
      </c>
      <c r="AQ1" s="242">
        <v>2046</v>
      </c>
      <c r="AR1" s="242">
        <v>2047</v>
      </c>
      <c r="AS1" s="242">
        <v>2048</v>
      </c>
      <c r="AT1" s="242">
        <v>2049</v>
      </c>
      <c r="AU1" s="243">
        <v>2050</v>
      </c>
      <c r="AW1" s="266" t="s">
        <v>493</v>
      </c>
      <c r="AX1" s="242">
        <v>2020</v>
      </c>
      <c r="AY1" s="242">
        <v>2030</v>
      </c>
      <c r="AZ1" s="243">
        <v>2050</v>
      </c>
    </row>
    <row r="2" spans="1:56" x14ac:dyDescent="0.25">
      <c r="B2" s="245" t="s">
        <v>1</v>
      </c>
      <c r="C2" s="246">
        <f t="shared" ref="C2:AU2" si="0">C3+C4+C7</f>
        <v>842942.38378000003</v>
      </c>
      <c r="D2" s="247">
        <f t="shared" si="0"/>
        <v>869908.18143</v>
      </c>
      <c r="E2" s="247">
        <f t="shared" si="0"/>
        <v>881969.83794</v>
      </c>
      <c r="F2" s="247">
        <f t="shared" si="0"/>
        <v>903299.39937</v>
      </c>
      <c r="G2" s="247">
        <f t="shared" si="0"/>
        <v>918367.37527000008</v>
      </c>
      <c r="H2" s="247">
        <f t="shared" si="0"/>
        <v>951086.84881000011</v>
      </c>
      <c r="I2" s="247">
        <f t="shared" si="0"/>
        <v>985309.24421000003</v>
      </c>
      <c r="J2" s="247">
        <f t="shared" si="0"/>
        <v>1025837.17709</v>
      </c>
      <c r="K2" s="247">
        <f t="shared" si="0"/>
        <v>1077557.17405</v>
      </c>
      <c r="L2" s="247">
        <f t="shared" si="0"/>
        <v>1131721.14013</v>
      </c>
      <c r="M2" s="247">
        <f t="shared" si="0"/>
        <v>1133742.0499200001</v>
      </c>
      <c r="N2" s="247">
        <f t="shared" si="0"/>
        <v>1129997.2591300001</v>
      </c>
      <c r="O2" s="247">
        <f t="shared" si="0"/>
        <v>1129955.7875600001</v>
      </c>
      <c r="P2" s="247">
        <f t="shared" si="0"/>
        <v>1152025.2686700001</v>
      </c>
      <c r="Q2" s="247">
        <f t="shared" si="0"/>
        <v>1166953.0635299999</v>
      </c>
      <c r="R2" s="247">
        <f t="shared" si="0"/>
        <v>1181559.4389899999</v>
      </c>
      <c r="S2" s="247">
        <f t="shared" si="0"/>
        <v>1189979.8336100001</v>
      </c>
      <c r="T2" s="247">
        <f t="shared" si="0"/>
        <v>1196570.4024100001</v>
      </c>
      <c r="U2" s="247">
        <f t="shared" si="0"/>
        <v>1199387.3366999999</v>
      </c>
      <c r="V2" s="247">
        <f t="shared" si="0"/>
        <v>1222977.1488000001</v>
      </c>
      <c r="W2" s="247">
        <f t="shared" si="0"/>
        <v>1214308.42248</v>
      </c>
      <c r="X2" s="247">
        <f t="shared" si="0"/>
        <v>1211347.7441400001</v>
      </c>
      <c r="Y2" s="247">
        <f t="shared" si="0"/>
        <v>1210699.80088</v>
      </c>
      <c r="Z2" s="247">
        <f t="shared" si="0"/>
        <v>1211004.2313699999</v>
      </c>
      <c r="AA2" s="247">
        <f t="shared" si="0"/>
        <v>1225596.5112099999</v>
      </c>
      <c r="AB2" s="247">
        <f t="shared" si="0"/>
        <v>1218824.3251199999</v>
      </c>
      <c r="AC2" s="247">
        <f t="shared" si="0"/>
        <v>1219230.4736100002</v>
      </c>
      <c r="AD2" s="247">
        <f t="shared" si="0"/>
        <v>1220330.4327099998</v>
      </c>
      <c r="AE2" s="247">
        <f t="shared" si="0"/>
        <v>1221963.9391600001</v>
      </c>
      <c r="AF2" s="247">
        <f t="shared" si="0"/>
        <v>1233372.9025000001</v>
      </c>
      <c r="AG2" s="247">
        <f t="shared" si="0"/>
        <v>1231524.8375200001</v>
      </c>
      <c r="AH2" s="247">
        <f t="shared" si="0"/>
        <v>1232879.1388600001</v>
      </c>
      <c r="AI2" s="247">
        <f t="shared" si="0"/>
        <v>1235466.2019199999</v>
      </c>
      <c r="AJ2" s="247">
        <f t="shared" si="0"/>
        <v>1238664.0481400001</v>
      </c>
      <c r="AK2" s="247">
        <f t="shared" si="0"/>
        <v>1242262.60888</v>
      </c>
      <c r="AL2" s="247">
        <f t="shared" si="0"/>
        <v>1248577.0537100001</v>
      </c>
      <c r="AM2" s="247">
        <f t="shared" si="0"/>
        <v>1254056.2107800001</v>
      </c>
      <c r="AN2" s="247">
        <f t="shared" si="0"/>
        <v>1259412.94933</v>
      </c>
      <c r="AO2" s="247">
        <f t="shared" si="0"/>
        <v>1264737.1203599998</v>
      </c>
      <c r="AP2" s="247">
        <f t="shared" si="0"/>
        <v>1276493.6598400001</v>
      </c>
      <c r="AQ2" s="247">
        <f t="shared" si="0"/>
        <v>1279520.5381400001</v>
      </c>
      <c r="AR2" s="247">
        <f t="shared" si="0"/>
        <v>1283750.1843300001</v>
      </c>
      <c r="AS2" s="247">
        <f t="shared" si="0"/>
        <v>1288325.6584999999</v>
      </c>
      <c r="AT2" s="247">
        <f t="shared" si="0"/>
        <v>1292906.71003</v>
      </c>
      <c r="AU2" s="248">
        <f t="shared" si="0"/>
        <v>1297382.7958499999</v>
      </c>
      <c r="AW2" t="s">
        <v>494</v>
      </c>
      <c r="AX2" s="298">
        <f>Q8/Q7</f>
        <v>0.9168854972093593</v>
      </c>
      <c r="AY2" s="298">
        <f>AA8/AA7</f>
        <v>0.92408971949402674</v>
      </c>
      <c r="AZ2" s="298">
        <f>AU8/AU7</f>
        <v>0.92480807065834869</v>
      </c>
    </row>
    <row r="3" spans="1:56" x14ac:dyDescent="0.25">
      <c r="B3" s="249" t="s">
        <v>466</v>
      </c>
      <c r="C3" s="250">
        <f>Résultats!E286</f>
        <v>13442.05508</v>
      </c>
      <c r="D3" s="251">
        <f>Résultats!F286</f>
        <v>13760.431629999999</v>
      </c>
      <c r="E3" s="251">
        <f>Résultats!G286</f>
        <v>14213.16934</v>
      </c>
      <c r="F3" s="251">
        <f>Résultats!H286</f>
        <v>13758.41887</v>
      </c>
      <c r="G3" s="251">
        <f>Résultats!I286</f>
        <v>13323.880870000001</v>
      </c>
      <c r="H3" s="251">
        <f>Résultats!J286</f>
        <v>13696.888510000001</v>
      </c>
      <c r="I3" s="251">
        <f>Résultats!K286</f>
        <v>13995.444810000001</v>
      </c>
      <c r="J3" s="251">
        <f>Résultats!L286</f>
        <v>13916.811089999999</v>
      </c>
      <c r="K3" s="251">
        <f>Résultats!M286</f>
        <v>14151.318149999999</v>
      </c>
      <c r="L3" s="251">
        <f>Résultats!N286</f>
        <v>14639.68643</v>
      </c>
      <c r="M3" s="251">
        <f>Résultats!O286</f>
        <v>14969.41662</v>
      </c>
      <c r="N3" s="251">
        <f>Résultats!P286</f>
        <v>15283.19053</v>
      </c>
      <c r="O3" s="251">
        <f>Résultats!Q286</f>
        <v>15673.568359999999</v>
      </c>
      <c r="P3" s="251">
        <f>Résultats!R286</f>
        <v>16056.620070000001</v>
      </c>
      <c r="Q3" s="251">
        <f>Résultats!S286</f>
        <v>15607.584409999999</v>
      </c>
      <c r="R3" s="251">
        <f>Résultats!T286</f>
        <v>14988.299940000001</v>
      </c>
      <c r="S3" s="251">
        <f>Résultats!U286</f>
        <v>14822.01123</v>
      </c>
      <c r="T3" s="251">
        <f>Résultats!V286</f>
        <v>14711.000690000001</v>
      </c>
      <c r="U3" s="251">
        <f>Résultats!W286</f>
        <v>14950.261490000001</v>
      </c>
      <c r="V3" s="251">
        <f>Résultats!X286</f>
        <v>15138.96974</v>
      </c>
      <c r="W3" s="251">
        <f>Résultats!Y286</f>
        <v>15322.80559</v>
      </c>
      <c r="X3" s="251">
        <f>Résultats!Z286</f>
        <v>15478.45255</v>
      </c>
      <c r="Y3" s="251">
        <f>Résultats!AA286</f>
        <v>15651.83641</v>
      </c>
      <c r="Z3" s="251">
        <f>Résultats!AB286</f>
        <v>15814.77068</v>
      </c>
      <c r="AA3" s="251">
        <f>Résultats!AC286</f>
        <v>15998.293540000001</v>
      </c>
      <c r="AB3" s="251">
        <f>Résultats!AD286</f>
        <v>16208.44282</v>
      </c>
      <c r="AC3" s="251">
        <f>Résultats!AE286</f>
        <v>16387.571309999999</v>
      </c>
      <c r="AD3" s="251">
        <f>Résultats!AF286</f>
        <v>16572.48156</v>
      </c>
      <c r="AE3" s="251">
        <f>Résultats!AG286</f>
        <v>16776.315849999999</v>
      </c>
      <c r="AF3" s="251">
        <f>Résultats!AH286</f>
        <v>17020.374779999998</v>
      </c>
      <c r="AG3" s="251">
        <f>Résultats!AI286</f>
        <v>17323.05183</v>
      </c>
      <c r="AH3" s="251">
        <f>Résultats!AJ286</f>
        <v>17642.155989999999</v>
      </c>
      <c r="AI3" s="251">
        <f>Résultats!AK286</f>
        <v>17951.455819999999</v>
      </c>
      <c r="AJ3" s="251">
        <f>Résultats!AL286</f>
        <v>18268.430179999999</v>
      </c>
      <c r="AK3" s="251">
        <f>Résultats!AM286</f>
        <v>18603.148539999998</v>
      </c>
      <c r="AL3" s="251">
        <f>Résultats!AN286</f>
        <v>18966.946629999999</v>
      </c>
      <c r="AM3" s="251">
        <f>Résultats!AO286</f>
        <v>19332.658449999999</v>
      </c>
      <c r="AN3" s="251">
        <f>Résultats!AP286</f>
        <v>19738.050350000001</v>
      </c>
      <c r="AO3" s="251">
        <f>Résultats!AQ286</f>
        <v>20170.75908</v>
      </c>
      <c r="AP3" s="251">
        <f>Résultats!AR286</f>
        <v>20620.363580000001</v>
      </c>
      <c r="AQ3" s="251">
        <f>Résultats!AS286</f>
        <v>21082.516869999999</v>
      </c>
      <c r="AR3" s="251">
        <f>Résultats!AT286</f>
        <v>21540.47222</v>
      </c>
      <c r="AS3" s="251">
        <f>Résultats!AU286</f>
        <v>21991.802489999998</v>
      </c>
      <c r="AT3" s="251">
        <f>Résultats!AV286</f>
        <v>22450.160629999998</v>
      </c>
      <c r="AU3" s="252">
        <f>Résultats!AW286</f>
        <v>22908.225719999999</v>
      </c>
      <c r="AV3" s="253"/>
      <c r="AW3" t="s">
        <v>495</v>
      </c>
      <c r="AX3" s="298">
        <f>Q5/Q4</f>
        <v>0.68280448763112189</v>
      </c>
      <c r="AY3" s="298">
        <f>AA5/AA4</f>
        <v>0.49778035851670038</v>
      </c>
      <c r="AZ3" s="298">
        <f>AU5/AU4</f>
        <v>0.55393019402794141</v>
      </c>
    </row>
    <row r="4" spans="1:56" x14ac:dyDescent="0.25">
      <c r="B4" s="254" t="s">
        <v>467</v>
      </c>
      <c r="C4" s="255">
        <f>Résultats!E292</f>
        <v>248850.0986</v>
      </c>
      <c r="D4" s="256">
        <f>Résultats!F292</f>
        <v>262548.6398</v>
      </c>
      <c r="E4" s="256">
        <f>Résultats!G292</f>
        <v>270496.76199999999</v>
      </c>
      <c r="F4" s="256">
        <f>Résultats!H292</f>
        <v>280221.70850000001</v>
      </c>
      <c r="G4" s="256">
        <f>Résultats!I292</f>
        <v>287537.97360000003</v>
      </c>
      <c r="H4" s="256">
        <f>Résultats!J292</f>
        <v>303319.51569999999</v>
      </c>
      <c r="I4" s="256">
        <f>Résultats!K292</f>
        <v>321678.22450000001</v>
      </c>
      <c r="J4" s="256">
        <f>Résultats!L292</f>
        <v>343856.14110000001</v>
      </c>
      <c r="K4" s="256">
        <f>Résultats!M292</f>
        <v>370670.05820000003</v>
      </c>
      <c r="L4" s="256">
        <f>Résultats!N292</f>
        <v>399283.8884</v>
      </c>
      <c r="M4" s="256">
        <f>Résultats!O292</f>
        <v>398038.02429999999</v>
      </c>
      <c r="N4" s="256">
        <f>Résultats!P292</f>
        <v>394638.07209999999</v>
      </c>
      <c r="O4" s="256">
        <f>Résultats!Q292</f>
        <v>395867.11259999999</v>
      </c>
      <c r="P4" s="256">
        <f>Résultats!R292</f>
        <v>393171.38299999997</v>
      </c>
      <c r="Q4" s="256">
        <f>SUM(Q5:Q6)</f>
        <v>404971.15529999998</v>
      </c>
      <c r="R4" s="256">
        <f t="shared" ref="R4:AU4" si="1">SUM(R5:R6)</f>
        <v>344861.75205000001</v>
      </c>
      <c r="S4" s="256">
        <f t="shared" si="1"/>
        <v>346858.28928000003</v>
      </c>
      <c r="T4" s="256">
        <f t="shared" si="1"/>
        <v>342746.61512000003</v>
      </c>
      <c r="U4" s="256">
        <f t="shared" si="1"/>
        <v>340976.82540999999</v>
      </c>
      <c r="V4" s="256">
        <f t="shared" si="1"/>
        <v>308419.37145999999</v>
      </c>
      <c r="W4" s="256">
        <f t="shared" si="1"/>
        <v>300601.17768999998</v>
      </c>
      <c r="X4" s="256">
        <f t="shared" si="1"/>
        <v>299366.85129000002</v>
      </c>
      <c r="Y4" s="256">
        <f t="shared" si="1"/>
        <v>299952.97957000002</v>
      </c>
      <c r="Z4" s="256">
        <f t="shared" si="1"/>
        <v>301144.13879</v>
      </c>
      <c r="AA4" s="256">
        <f t="shared" si="1"/>
        <v>447810.24659999995</v>
      </c>
      <c r="AB4" s="256">
        <f t="shared" si="1"/>
        <v>278297.13150000002</v>
      </c>
      <c r="AC4" s="256">
        <f t="shared" si="1"/>
        <v>281571.16830000002</v>
      </c>
      <c r="AD4" s="256">
        <f t="shared" si="1"/>
        <v>284956.66775000002</v>
      </c>
      <c r="AE4" s="256">
        <f t="shared" si="1"/>
        <v>288585.03000999999</v>
      </c>
      <c r="AF4" s="256">
        <f t="shared" si="1"/>
        <v>283051.88532</v>
      </c>
      <c r="AG4" s="256">
        <f t="shared" si="1"/>
        <v>283634.25868999999</v>
      </c>
      <c r="AH4" s="256">
        <f t="shared" si="1"/>
        <v>286229.66087000002</v>
      </c>
      <c r="AI4" s="256">
        <f t="shared" si="1"/>
        <v>289584.06270000001</v>
      </c>
      <c r="AJ4" s="256">
        <f t="shared" si="1"/>
        <v>293156.90786000004</v>
      </c>
      <c r="AK4" s="256">
        <f t="shared" si="1"/>
        <v>296775.49774000002</v>
      </c>
      <c r="AL4" s="256">
        <f t="shared" si="1"/>
        <v>302379.31778000004</v>
      </c>
      <c r="AM4" s="256">
        <f t="shared" si="1"/>
        <v>306978.42872999999</v>
      </c>
      <c r="AN4" s="256">
        <f t="shared" si="1"/>
        <v>311040.73128000001</v>
      </c>
      <c r="AO4" s="256">
        <f t="shared" si="1"/>
        <v>314765.54077999998</v>
      </c>
      <c r="AP4" s="256">
        <f t="shared" si="1"/>
        <v>307009.25625999999</v>
      </c>
      <c r="AQ4" s="256">
        <f t="shared" si="1"/>
        <v>309508.31777000002</v>
      </c>
      <c r="AR4" s="256">
        <f t="shared" si="1"/>
        <v>312946.37411000003</v>
      </c>
      <c r="AS4" s="256">
        <f t="shared" si="1"/>
        <v>316693.70431</v>
      </c>
      <c r="AT4" s="256">
        <f t="shared" si="1"/>
        <v>320476.65529999998</v>
      </c>
      <c r="AU4" s="256">
        <f t="shared" si="1"/>
        <v>477058.61</v>
      </c>
      <c r="AV4" s="253"/>
      <c r="AW4" t="s">
        <v>496</v>
      </c>
      <c r="AX4" s="298">
        <f>Q10/(Q7+Q4)</f>
        <v>0.83455047388070214</v>
      </c>
      <c r="AY4" s="298">
        <f>AA10/(AA7+AA4)</f>
        <v>0.76626400738701084</v>
      </c>
      <c r="AZ4" s="298">
        <f>AU10/(AU7+AU4)</f>
        <v>0.78598185281784205</v>
      </c>
    </row>
    <row r="5" spans="1:56" x14ac:dyDescent="0.25">
      <c r="B5" s="258" t="s">
        <v>468</v>
      </c>
      <c r="C5" s="259">
        <f>Résultats!E287</f>
        <v>163461.30420000001</v>
      </c>
      <c r="D5" s="212">
        <f>Résultats!F287</f>
        <v>171749.55619999999</v>
      </c>
      <c r="E5" s="212">
        <f>Résultats!G287</f>
        <v>178951.21119999999</v>
      </c>
      <c r="F5" s="212">
        <f>Résultats!H287</f>
        <v>186028.40460000001</v>
      </c>
      <c r="G5" s="212">
        <f>Résultats!I287</f>
        <v>192550.06950000001</v>
      </c>
      <c r="H5" s="212">
        <f>Résultats!J287</f>
        <v>202031.46090000001</v>
      </c>
      <c r="I5" s="212">
        <f>Résultats!K287</f>
        <v>216502.04759999999</v>
      </c>
      <c r="J5" s="212">
        <f>Résultats!L287</f>
        <v>232317.84890000001</v>
      </c>
      <c r="K5" s="212">
        <f>Résultats!M287</f>
        <v>249847.08809999999</v>
      </c>
      <c r="L5" s="212">
        <f>Résultats!N287</f>
        <v>273455.1139</v>
      </c>
      <c r="M5" s="212">
        <f>Résultats!O287</f>
        <v>275027.99369999999</v>
      </c>
      <c r="N5" s="212">
        <f>Résultats!P287</f>
        <v>271774.2352</v>
      </c>
      <c r="O5" s="212">
        <f>Résultats!Q287</f>
        <v>269162.29320000001</v>
      </c>
      <c r="P5" s="212">
        <f>Résultats!R287</f>
        <v>271002.96600000001</v>
      </c>
      <c r="Q5" s="212">
        <f>Résultats!S287</f>
        <v>276516.12219999998</v>
      </c>
      <c r="R5" s="212">
        <f>Résultats!T287</f>
        <v>283259.80410000001</v>
      </c>
      <c r="S5" s="212">
        <f>Résultats!U287</f>
        <v>285078.54399999999</v>
      </c>
      <c r="T5" s="212">
        <f>Résultats!V287</f>
        <v>281022.85960000003</v>
      </c>
      <c r="U5" s="212">
        <f>Résultats!W287</f>
        <v>280555.4718</v>
      </c>
      <c r="V5" s="212">
        <f>Résultats!X287</f>
        <v>250611.00889999999</v>
      </c>
      <c r="W5" s="212">
        <f>Résultats!Y287</f>
        <v>242771.2365</v>
      </c>
      <c r="X5" s="212">
        <f>Résultats!Z287</f>
        <v>241028.17939999999</v>
      </c>
      <c r="Y5" s="212">
        <f>Résultats!AA287</f>
        <v>241372.64970000001</v>
      </c>
      <c r="Z5" s="212">
        <f>Résultats!AB287</f>
        <v>242415.77280000001</v>
      </c>
      <c r="AA5" s="212">
        <f>Résultats!AC287</f>
        <v>222911.14509999999</v>
      </c>
      <c r="AB5" s="212">
        <f>Résultats!AD287</f>
        <v>219641.8596</v>
      </c>
      <c r="AC5" s="212">
        <f>Résultats!AE287</f>
        <v>222789.24410000001</v>
      </c>
      <c r="AD5" s="212">
        <f>Résultats!AF287</f>
        <v>226032.63500000001</v>
      </c>
      <c r="AE5" s="212">
        <f>Résultats!AG287</f>
        <v>229590.85949999999</v>
      </c>
      <c r="AF5" s="212">
        <f>Résultats!AH287</f>
        <v>224785.85990000001</v>
      </c>
      <c r="AG5" s="212">
        <f>Résultats!AI287</f>
        <v>224835.0013</v>
      </c>
      <c r="AH5" s="212">
        <f>Résultats!AJ287</f>
        <v>227162.8431</v>
      </c>
      <c r="AI5" s="212">
        <f>Résultats!AK287</f>
        <v>230372.7316</v>
      </c>
      <c r="AJ5" s="212">
        <f>Résultats!AL287</f>
        <v>233827.91500000001</v>
      </c>
      <c r="AK5" s="212">
        <f>Résultats!AM287</f>
        <v>237331.93400000001</v>
      </c>
      <c r="AL5" s="212">
        <f>Résultats!AN287</f>
        <v>243014.94760000001</v>
      </c>
      <c r="AM5" s="212">
        <f>Résultats!AO287</f>
        <v>247585.8075</v>
      </c>
      <c r="AN5" s="212">
        <f>Résultats!AP287</f>
        <v>251572.14129999999</v>
      </c>
      <c r="AO5" s="212">
        <f>Résultats!AQ287</f>
        <v>255193.9613</v>
      </c>
      <c r="AP5" s="212">
        <f>Résultats!AR287</f>
        <v>247871.27600000001</v>
      </c>
      <c r="AQ5" s="212">
        <f>Résultats!AS287</f>
        <v>250049.58410000001</v>
      </c>
      <c r="AR5" s="212">
        <f>Résultats!AT287</f>
        <v>253301.61730000001</v>
      </c>
      <c r="AS5" s="212">
        <f>Résultats!AU287</f>
        <v>256922.66579999999</v>
      </c>
      <c r="AT5" s="212">
        <f>Résultats!AV287</f>
        <v>260601.55129999999</v>
      </c>
      <c r="AU5" s="260">
        <f>Résultats!AW287</f>
        <v>264257.16840000002</v>
      </c>
    </row>
    <row r="6" spans="1:56" x14ac:dyDescent="0.25">
      <c r="B6" s="261" t="s">
        <v>469</v>
      </c>
      <c r="C6" s="262">
        <f>Résultats!E290</f>
        <v>47168.088989999997</v>
      </c>
      <c r="D6" s="263">
        <f>Résultats!F290</f>
        <v>48083.418100000003</v>
      </c>
      <c r="E6" s="263">
        <f>Résultats!G290</f>
        <v>47737.366000000002</v>
      </c>
      <c r="F6" s="263">
        <f>Résultats!H290</f>
        <v>48714.701860000001</v>
      </c>
      <c r="G6" s="263">
        <f>Résultats!I290</f>
        <v>49199.905489999997</v>
      </c>
      <c r="H6" s="263">
        <f>Résultats!J290</f>
        <v>50585.083140000002</v>
      </c>
      <c r="I6" s="263">
        <f>Résultats!K290</f>
        <v>51037.351210000001</v>
      </c>
      <c r="J6" s="263">
        <f>Résultats!L290</f>
        <v>51900.752119999997</v>
      </c>
      <c r="K6" s="263">
        <f>Résultats!M290</f>
        <v>53545.477229999997</v>
      </c>
      <c r="L6" s="263">
        <f>Résultats!N290</f>
        <v>54350.48878</v>
      </c>
      <c r="M6" s="263">
        <f>Résultats!O290</f>
        <v>54352.171880000002</v>
      </c>
      <c r="N6" s="263">
        <f>Résultats!P290</f>
        <v>54623.889109999996</v>
      </c>
      <c r="O6" s="263">
        <f>Résultats!Q290</f>
        <v>54903.541109999998</v>
      </c>
      <c r="P6" s="263">
        <f>Résultats!R290</f>
        <v>62145.72393</v>
      </c>
      <c r="Q6" s="263">
        <f>Résultats!S289</f>
        <v>128455.0331</v>
      </c>
      <c r="R6" s="263">
        <f>Résultats!T290</f>
        <v>61601.947950000002</v>
      </c>
      <c r="S6" s="263">
        <f>Résultats!U290</f>
        <v>61779.745280000003</v>
      </c>
      <c r="T6" s="263">
        <f>Résultats!V290</f>
        <v>61723.755519999999</v>
      </c>
      <c r="U6" s="263">
        <f>Résultats!W290</f>
        <v>60421.353609999998</v>
      </c>
      <c r="V6" s="263">
        <f>Résultats!X290</f>
        <v>57808.362560000001</v>
      </c>
      <c r="W6" s="263">
        <f>Résultats!Y290</f>
        <v>57829.941189999998</v>
      </c>
      <c r="X6" s="263">
        <f>Résultats!Z290</f>
        <v>58338.671889999998</v>
      </c>
      <c r="Y6" s="263">
        <f>Résultats!AA290</f>
        <v>58580.329870000001</v>
      </c>
      <c r="Z6" s="263">
        <f>Résultats!AB290</f>
        <v>58728.365989999998</v>
      </c>
      <c r="AA6" s="263">
        <f>Résultats!AC289</f>
        <v>224899.10149999999</v>
      </c>
      <c r="AB6" s="263">
        <f>Résultats!AD290</f>
        <v>58655.2719</v>
      </c>
      <c r="AC6" s="263">
        <f>Résultats!AE290</f>
        <v>58781.924200000001</v>
      </c>
      <c r="AD6" s="263">
        <f>Résultats!AF290</f>
        <v>58924.032749999998</v>
      </c>
      <c r="AE6" s="263">
        <f>Résultats!AG290</f>
        <v>58994.170510000004</v>
      </c>
      <c r="AF6" s="263">
        <f>Résultats!AH290</f>
        <v>58266.025419999998</v>
      </c>
      <c r="AG6" s="263">
        <f>Résultats!AI290</f>
        <v>58799.257389999999</v>
      </c>
      <c r="AH6" s="263">
        <f>Résultats!AJ290</f>
        <v>59066.817770000001</v>
      </c>
      <c r="AI6" s="263">
        <f>Résultats!AK290</f>
        <v>59211.331100000003</v>
      </c>
      <c r="AJ6" s="263">
        <f>Résultats!AL290</f>
        <v>59328.992859999998</v>
      </c>
      <c r="AK6" s="263">
        <f>Résultats!AM290</f>
        <v>59443.563739999998</v>
      </c>
      <c r="AL6" s="263">
        <f>Résultats!AN290</f>
        <v>59364.370179999998</v>
      </c>
      <c r="AM6" s="263">
        <f>Résultats!AO290</f>
        <v>59392.621229999997</v>
      </c>
      <c r="AN6" s="263">
        <f>Résultats!AP290</f>
        <v>59468.589979999997</v>
      </c>
      <c r="AO6" s="263">
        <f>Résultats!AQ290</f>
        <v>59571.57948</v>
      </c>
      <c r="AP6" s="263">
        <f>Résultats!AR290</f>
        <v>59137.980259999997</v>
      </c>
      <c r="AQ6" s="263">
        <f>Résultats!AS290</f>
        <v>59458.733670000001</v>
      </c>
      <c r="AR6" s="263">
        <f>Résultats!AT290</f>
        <v>59644.756809999999</v>
      </c>
      <c r="AS6" s="263">
        <f>Résultats!AU290</f>
        <v>59771.038509999998</v>
      </c>
      <c r="AT6" s="263">
        <f>Résultats!AV290</f>
        <v>59875.103999999999</v>
      </c>
      <c r="AU6" s="264">
        <f>Résultats!AW289</f>
        <v>212801.44159999999</v>
      </c>
      <c r="AV6" s="253"/>
      <c r="BB6" t="s">
        <v>506</v>
      </c>
    </row>
    <row r="7" spans="1:56" x14ac:dyDescent="0.25">
      <c r="B7" s="258" t="s">
        <v>470</v>
      </c>
      <c r="C7" s="259">
        <f>Résultats!E291</f>
        <v>580650.23010000004</v>
      </c>
      <c r="D7" s="212">
        <f>Résultats!F291</f>
        <v>593599.11</v>
      </c>
      <c r="E7" s="212">
        <f>Résultats!G291</f>
        <v>597259.90659999999</v>
      </c>
      <c r="F7" s="212">
        <f>Résultats!H291</f>
        <v>609319.272</v>
      </c>
      <c r="G7" s="212">
        <f>Résultats!I291</f>
        <v>617505.52080000006</v>
      </c>
      <c r="H7" s="212">
        <f>Résultats!J291</f>
        <v>634070.44460000005</v>
      </c>
      <c r="I7" s="212">
        <f>Résultats!K291</f>
        <v>649635.57490000001</v>
      </c>
      <c r="J7" s="212">
        <f>Résultats!L291</f>
        <v>668064.22490000003</v>
      </c>
      <c r="K7" s="212">
        <f>Résultats!M291</f>
        <v>692735.7977</v>
      </c>
      <c r="L7" s="212">
        <f>Résultats!N291</f>
        <v>717797.56530000002</v>
      </c>
      <c r="M7" s="212">
        <f>Résultats!O291</f>
        <v>720734.60900000005</v>
      </c>
      <c r="N7" s="212">
        <f>Résultats!P291</f>
        <v>720075.99650000001</v>
      </c>
      <c r="O7" s="212">
        <f>Résultats!Q291</f>
        <v>718415.10660000006</v>
      </c>
      <c r="P7" s="212">
        <f>Résultats!R291</f>
        <v>742797.26560000004</v>
      </c>
      <c r="Q7" s="212">
        <f>SUM(Q8:Q9)</f>
        <v>746374.32381999993</v>
      </c>
      <c r="R7" s="212">
        <f t="shared" ref="R7:AU7" si="2">SUM(R8:R9)</f>
        <v>821709.38699999999</v>
      </c>
      <c r="S7" s="212">
        <f t="shared" si="2"/>
        <v>828299.5331</v>
      </c>
      <c r="T7" s="212">
        <f t="shared" si="2"/>
        <v>839112.78659999999</v>
      </c>
      <c r="U7" s="212">
        <f t="shared" si="2"/>
        <v>843460.24979999987</v>
      </c>
      <c r="V7" s="212">
        <f t="shared" si="2"/>
        <v>899418.80760000006</v>
      </c>
      <c r="W7" s="212">
        <f t="shared" si="2"/>
        <v>898384.43920000002</v>
      </c>
      <c r="X7" s="212">
        <f t="shared" si="2"/>
        <v>896502.44030000002</v>
      </c>
      <c r="Y7" s="212">
        <f t="shared" si="2"/>
        <v>895094.98489999992</v>
      </c>
      <c r="Z7" s="212">
        <f t="shared" si="2"/>
        <v>894045.32189999998</v>
      </c>
      <c r="AA7" s="212">
        <f t="shared" si="2"/>
        <v>761787.97106999997</v>
      </c>
      <c r="AB7" s="212">
        <f t="shared" si="2"/>
        <v>924318.75079999992</v>
      </c>
      <c r="AC7" s="212">
        <f t="shared" si="2"/>
        <v>921271.73400000005</v>
      </c>
      <c r="AD7" s="212">
        <f t="shared" si="2"/>
        <v>918801.28339999996</v>
      </c>
      <c r="AE7" s="212">
        <f t="shared" si="2"/>
        <v>916602.59329999995</v>
      </c>
      <c r="AF7" s="212">
        <f t="shared" si="2"/>
        <v>933300.64240000001</v>
      </c>
      <c r="AG7" s="212">
        <f t="shared" si="2"/>
        <v>930567.527</v>
      </c>
      <c r="AH7" s="212">
        <f t="shared" si="2"/>
        <v>929007.32200000004</v>
      </c>
      <c r="AI7" s="212">
        <f t="shared" si="2"/>
        <v>927930.68339999998</v>
      </c>
      <c r="AJ7" s="212">
        <f t="shared" si="2"/>
        <v>927238.71010000003</v>
      </c>
      <c r="AK7" s="212">
        <f t="shared" si="2"/>
        <v>926883.96259999997</v>
      </c>
      <c r="AL7" s="212">
        <f t="shared" si="2"/>
        <v>927230.78930000006</v>
      </c>
      <c r="AM7" s="212">
        <f t="shared" si="2"/>
        <v>927745.12360000005</v>
      </c>
      <c r="AN7" s="212">
        <f t="shared" si="2"/>
        <v>928634.16769999999</v>
      </c>
      <c r="AO7" s="212">
        <f t="shared" si="2"/>
        <v>929800.82049999991</v>
      </c>
      <c r="AP7" s="212">
        <f t="shared" si="2"/>
        <v>948864.04</v>
      </c>
      <c r="AQ7" s="212">
        <f t="shared" si="2"/>
        <v>948929.70350000006</v>
      </c>
      <c r="AR7" s="212">
        <f t="shared" si="2"/>
        <v>949263.33799999999</v>
      </c>
      <c r="AS7" s="212">
        <f t="shared" si="2"/>
        <v>949640.15170000005</v>
      </c>
      <c r="AT7" s="212">
        <f t="shared" si="2"/>
        <v>949979.89410000003</v>
      </c>
      <c r="AU7" s="212">
        <f t="shared" si="2"/>
        <v>797415.96013000002</v>
      </c>
      <c r="AW7" t="s">
        <v>502</v>
      </c>
      <c r="AX7" s="311">
        <f>Q3/Q2</f>
        <v>1.3374646245657472E-2</v>
      </c>
      <c r="AY7" s="311">
        <f>AA3/AA2</f>
        <v>1.3053475098591213E-2</v>
      </c>
      <c r="AZ7" s="311">
        <f>AU3/AU2</f>
        <v>1.7657260288387999E-2</v>
      </c>
      <c r="BB7" s="311">
        <f>[3]Trafic!$H$27/([3]Trafic!$H$30-[3]Trafic!$H$29)</f>
        <v>9.6732536609177803E-3</v>
      </c>
      <c r="BC7" s="311">
        <f>[3]Trafic!$J$27/([3]Trafic!$J$30-[3]Trafic!$J$29)</f>
        <v>1.4577967949865439E-2</v>
      </c>
      <c r="BD7" s="311">
        <f>[3]Trafic!$N$27/([3]Trafic!$N$30-[3]Trafic!$N$29)</f>
        <v>6.5864876836073186E-3</v>
      </c>
    </row>
    <row r="8" spans="1:56" x14ac:dyDescent="0.25">
      <c r="B8" s="258" t="s">
        <v>471</v>
      </c>
      <c r="C8" s="259">
        <f>Résultats!E288</f>
        <v>533482.14110000001</v>
      </c>
      <c r="D8" s="212">
        <f>Résultats!F288</f>
        <v>545515.90280000004</v>
      </c>
      <c r="E8" s="212">
        <f>Résultats!G288</f>
        <v>549527.43969999999</v>
      </c>
      <c r="F8" s="212">
        <f>Résultats!H288</f>
        <v>560609.57019999996</v>
      </c>
      <c r="G8" s="212">
        <f>Résultats!I288</f>
        <v>568310.99879999994</v>
      </c>
      <c r="H8" s="212">
        <f>Résultats!J288</f>
        <v>583490.93530000001</v>
      </c>
      <c r="I8" s="212">
        <f>Résultats!K288</f>
        <v>598610.53890000004</v>
      </c>
      <c r="J8" s="212">
        <f>Résultats!L288</f>
        <v>616179.696</v>
      </c>
      <c r="K8" s="212">
        <f>Résultats!M288</f>
        <v>639207.89040000003</v>
      </c>
      <c r="L8" s="212">
        <f>Résultats!N288</f>
        <v>663477.98120000004</v>
      </c>
      <c r="M8" s="212">
        <f>Résultats!O288</f>
        <v>666413.95250000001</v>
      </c>
      <c r="N8" s="212">
        <f>Résultats!P288</f>
        <v>665484.61840000004</v>
      </c>
      <c r="O8" s="212">
        <f>Résultats!Q288</f>
        <v>663545.62659999996</v>
      </c>
      <c r="P8" s="212">
        <f>Résultats!R288</f>
        <v>680945.75349999999</v>
      </c>
      <c r="Q8" s="212">
        <f>Résultats!S288</f>
        <v>684339.79299999995</v>
      </c>
      <c r="R8" s="212">
        <f>Résultats!T288</f>
        <v>685369.81229999999</v>
      </c>
      <c r="S8" s="212">
        <f>Résultats!U288</f>
        <v>687603.57209999999</v>
      </c>
      <c r="T8" s="212">
        <f>Résultats!V288</f>
        <v>690492.50199999998</v>
      </c>
      <c r="U8" s="212">
        <f>Résultats!W288</f>
        <v>693305.51599999995</v>
      </c>
      <c r="V8" s="212">
        <f>Résultats!X288</f>
        <v>700730.55090000003</v>
      </c>
      <c r="W8" s="212">
        <f>Résultats!Y288</f>
        <v>700130.72970000003</v>
      </c>
      <c r="X8" s="212">
        <f>Résultats!Z288</f>
        <v>699894.13230000006</v>
      </c>
      <c r="Y8" s="212">
        <f>Résultats!AA288</f>
        <v>700006.46129999997</v>
      </c>
      <c r="Z8" s="212">
        <f>Résultats!AB288</f>
        <v>700311.56689999998</v>
      </c>
      <c r="AA8" s="212">
        <f>Résultats!AC288</f>
        <v>703960.4325</v>
      </c>
      <c r="AB8" s="212">
        <f>Résultats!AD288</f>
        <v>702734.74679999996</v>
      </c>
      <c r="AC8" s="212">
        <f>Résultats!AE288</f>
        <v>703057.51540000003</v>
      </c>
      <c r="AD8" s="212">
        <f>Résultats!AF288</f>
        <v>703841.56189999997</v>
      </c>
      <c r="AE8" s="212">
        <f>Résultats!AG288</f>
        <v>704643.61549999996</v>
      </c>
      <c r="AF8" s="212">
        <f>Résultats!AH288</f>
        <v>708006.38130000001</v>
      </c>
      <c r="AG8" s="212">
        <f>Résultats!AI288</f>
        <v>708218.99040000001</v>
      </c>
      <c r="AH8" s="212">
        <f>Résultats!AJ288</f>
        <v>709178.02930000005</v>
      </c>
      <c r="AI8" s="212">
        <f>Résultats!AK288</f>
        <v>710393.06669999997</v>
      </c>
      <c r="AJ8" s="212">
        <f>Résultats!AL288</f>
        <v>711850.89300000004</v>
      </c>
      <c r="AK8" s="212">
        <f>Résultats!AM288</f>
        <v>713512.37650000001</v>
      </c>
      <c r="AL8" s="212">
        <f>Résultats!AN288</f>
        <v>716006.80660000001</v>
      </c>
      <c r="AM8" s="212">
        <f>Résultats!AO288</f>
        <v>718382.826</v>
      </c>
      <c r="AN8" s="212">
        <f>Résultats!AP288</f>
        <v>720766.03339999996</v>
      </c>
      <c r="AO8" s="212">
        <f>Résultats!AQ288</f>
        <v>723172.31059999997</v>
      </c>
      <c r="AP8" s="212">
        <f>Résultats!AR288</f>
        <v>727224.45530000003</v>
      </c>
      <c r="AQ8" s="212">
        <f>Résultats!AS288</f>
        <v>729073.37780000002</v>
      </c>
      <c r="AR8" s="212">
        <f>Résultats!AT288</f>
        <v>731151.76619999995</v>
      </c>
      <c r="AS8" s="212">
        <f>Résultats!AU288</f>
        <v>733274.54879999999</v>
      </c>
      <c r="AT8" s="212">
        <f>Résultats!AV288</f>
        <v>735395.41220000002</v>
      </c>
      <c r="AU8" s="260">
        <f>Résultats!AW288</f>
        <v>737456.7156</v>
      </c>
      <c r="AW8" t="s">
        <v>503</v>
      </c>
      <c r="AX8" s="311">
        <f>+Q6/Q2</f>
        <v>0.11007729197901685</v>
      </c>
      <c r="AY8" s="311">
        <f>+AA6/AA2</f>
        <v>0.18350174746986095</v>
      </c>
      <c r="AZ8" s="311">
        <f>+AU6/AU2</f>
        <v>0.16402363456698987</v>
      </c>
      <c r="BB8" s="311">
        <f>[3]Trafic!$H$25/[3]Trafic!$H$31</f>
        <v>8.6581998710879085E-2</v>
      </c>
      <c r="BC8" s="311">
        <f>[3]Trafic!$J$25/[3]Trafic!$J$31</f>
        <v>0.14233557304995703</v>
      </c>
      <c r="BD8" s="311">
        <f>[3]Trafic!$N$25/[3]Trafic!$N$31</f>
        <v>0.18954036770730018</v>
      </c>
    </row>
    <row r="9" spans="1:56" x14ac:dyDescent="0.25">
      <c r="B9" s="261" t="s">
        <v>472</v>
      </c>
      <c r="C9" s="262">
        <f>Résultats!E289</f>
        <v>85388.794389999995</v>
      </c>
      <c r="D9" s="263">
        <f>Résultats!F289</f>
        <v>90803.364149999994</v>
      </c>
      <c r="E9" s="263">
        <f>Résultats!G289</f>
        <v>91582.242670000007</v>
      </c>
      <c r="F9" s="263">
        <f>Résultats!H289</f>
        <v>94234.599180000005</v>
      </c>
      <c r="G9" s="263">
        <f>Résultats!I289</f>
        <v>95051.618849999999</v>
      </c>
      <c r="H9" s="263">
        <f>Résultats!J289</f>
        <v>101364.12639999999</v>
      </c>
      <c r="I9" s="263">
        <f>Résultats!K289</f>
        <v>105291.49310000001</v>
      </c>
      <c r="J9" s="263">
        <f>Résultats!L289</f>
        <v>111666.75260000001</v>
      </c>
      <c r="K9" s="263">
        <f>Résultats!M289</f>
        <v>120963.5733</v>
      </c>
      <c r="L9" s="263">
        <f>Résultats!N289</f>
        <v>126084.3023</v>
      </c>
      <c r="M9" s="263">
        <f>Résultats!O289</f>
        <v>123298.55379999999</v>
      </c>
      <c r="N9" s="263">
        <f>Résultats!P289</f>
        <v>123154.76519999999</v>
      </c>
      <c r="O9" s="263">
        <f>Résultats!Q289</f>
        <v>127068.26790000001</v>
      </c>
      <c r="P9" s="263">
        <f>Résultats!R289</f>
        <v>122606.63860000001</v>
      </c>
      <c r="Q9" s="263">
        <f>Résultats!S290</f>
        <v>62034.53082</v>
      </c>
      <c r="R9" s="263">
        <f>Résultats!T289</f>
        <v>136339.5747</v>
      </c>
      <c r="S9" s="263">
        <f>Résultats!U289</f>
        <v>140695.96100000001</v>
      </c>
      <c r="T9" s="263">
        <f>Résultats!V289</f>
        <v>148620.28460000001</v>
      </c>
      <c r="U9" s="263">
        <f>Résultats!W289</f>
        <v>150154.73379999999</v>
      </c>
      <c r="V9" s="263">
        <f>Résultats!X289</f>
        <v>198688.2567</v>
      </c>
      <c r="W9" s="263">
        <f>Résultats!Y289</f>
        <v>198253.7095</v>
      </c>
      <c r="X9" s="263">
        <f>Résultats!Z289</f>
        <v>196608.30799999999</v>
      </c>
      <c r="Y9" s="263">
        <f>Résultats!AA289</f>
        <v>195088.52359999999</v>
      </c>
      <c r="Z9" s="263">
        <f>Résultats!AB289</f>
        <v>193733.755</v>
      </c>
      <c r="AA9" s="263">
        <f>Résultats!AC290</f>
        <v>57827.538569999997</v>
      </c>
      <c r="AB9" s="263">
        <f>Résultats!AD289</f>
        <v>221584.00399999999</v>
      </c>
      <c r="AC9" s="263">
        <f>Résultats!AE289</f>
        <v>218214.21859999999</v>
      </c>
      <c r="AD9" s="263">
        <f>Résultats!AF289</f>
        <v>214959.72150000001</v>
      </c>
      <c r="AE9" s="263">
        <f>Résultats!AG289</f>
        <v>211958.97779999999</v>
      </c>
      <c r="AF9" s="263">
        <f>Résultats!AH289</f>
        <v>225294.2611</v>
      </c>
      <c r="AG9" s="263">
        <f>Résultats!AI289</f>
        <v>222348.53659999999</v>
      </c>
      <c r="AH9" s="263">
        <f>Résultats!AJ289</f>
        <v>219829.29269999999</v>
      </c>
      <c r="AI9" s="263">
        <f>Résultats!AK289</f>
        <v>217537.61670000001</v>
      </c>
      <c r="AJ9" s="263">
        <f>Résultats!AL289</f>
        <v>215387.81709999999</v>
      </c>
      <c r="AK9" s="263">
        <f>Résultats!AM289</f>
        <v>213371.58609999999</v>
      </c>
      <c r="AL9" s="263">
        <f>Résultats!AN289</f>
        <v>211223.98269999999</v>
      </c>
      <c r="AM9" s="263">
        <f>Résultats!AO289</f>
        <v>209362.29759999999</v>
      </c>
      <c r="AN9" s="263">
        <f>Résultats!AP289</f>
        <v>207868.13430000001</v>
      </c>
      <c r="AO9" s="263">
        <f>Résultats!AQ289</f>
        <v>206628.5099</v>
      </c>
      <c r="AP9" s="263">
        <f>Résultats!AR289</f>
        <v>221639.58470000001</v>
      </c>
      <c r="AQ9" s="263">
        <f>Résultats!AS289</f>
        <v>219856.32569999999</v>
      </c>
      <c r="AR9" s="263">
        <f>Résultats!AT289</f>
        <v>218111.57180000001</v>
      </c>
      <c r="AS9" s="263">
        <f>Résultats!AU289</f>
        <v>216365.6029</v>
      </c>
      <c r="AT9" s="263">
        <f>Résultats!AV289</f>
        <v>214584.48190000001</v>
      </c>
      <c r="AU9" s="264">
        <f>Résultats!AW290</f>
        <v>59959.244530000004</v>
      </c>
      <c r="AW9" t="s">
        <v>504</v>
      </c>
      <c r="AX9" s="311">
        <f>Q9/Q2</f>
        <v>5.3159405256923788E-2</v>
      </c>
      <c r="AY9" s="311">
        <f>AA9/AA2</f>
        <v>4.7183178183910102E-2</v>
      </c>
      <c r="AZ9" s="311">
        <f>AU9/AU2</f>
        <v>4.6215538483934344E-2</v>
      </c>
      <c r="BB9" s="311">
        <f>[3]Trafic!$H$26/[3]Trafic!$H$31</f>
        <v>5.0587052351781035E-2</v>
      </c>
      <c r="BC9" s="311">
        <f>[3]Trafic!$J$26/[3]Trafic!$J$31</f>
        <v>7.6007847942966056E-2</v>
      </c>
      <c r="BD9" s="311">
        <f>[3]Trafic!$N$26/[3]Trafic!$N$31</f>
        <v>9.8293993125704568E-2</v>
      </c>
    </row>
    <row r="10" spans="1:56" x14ac:dyDescent="0.25">
      <c r="B10" s="249" t="s">
        <v>473</v>
      </c>
      <c r="C10" s="250">
        <f t="shared" ref="C10:AU10" si="3">C5+C8</f>
        <v>696943.44530000002</v>
      </c>
      <c r="D10" s="251">
        <f t="shared" si="3"/>
        <v>717265.45900000003</v>
      </c>
      <c r="E10" s="251">
        <f t="shared" si="3"/>
        <v>728478.65090000001</v>
      </c>
      <c r="F10" s="251">
        <f t="shared" si="3"/>
        <v>746637.97479999997</v>
      </c>
      <c r="G10" s="251">
        <f t="shared" si="3"/>
        <v>760861.06829999993</v>
      </c>
      <c r="H10" s="251">
        <f t="shared" si="3"/>
        <v>785522.39620000008</v>
      </c>
      <c r="I10" s="251">
        <f t="shared" si="3"/>
        <v>815112.58649999998</v>
      </c>
      <c r="J10" s="251">
        <f t="shared" si="3"/>
        <v>848497.54489999998</v>
      </c>
      <c r="K10" s="251">
        <f t="shared" si="3"/>
        <v>889054.97849999997</v>
      </c>
      <c r="L10" s="251">
        <f t="shared" si="3"/>
        <v>936933.09510000004</v>
      </c>
      <c r="M10" s="251">
        <f t="shared" si="3"/>
        <v>941441.94620000001</v>
      </c>
      <c r="N10" s="251">
        <f t="shared" si="3"/>
        <v>937258.85360000003</v>
      </c>
      <c r="O10" s="251">
        <f t="shared" si="3"/>
        <v>932707.91980000003</v>
      </c>
      <c r="P10" s="251">
        <f t="shared" si="3"/>
        <v>951948.71950000001</v>
      </c>
      <c r="Q10" s="251">
        <f>Q5+Q8</f>
        <v>960855.91519999993</v>
      </c>
      <c r="R10" s="251">
        <f t="shared" si="3"/>
        <v>968629.61639999994</v>
      </c>
      <c r="S10" s="251">
        <f t="shared" si="3"/>
        <v>972682.11609999998</v>
      </c>
      <c r="T10" s="251">
        <f t="shared" si="3"/>
        <v>971515.36159999995</v>
      </c>
      <c r="U10" s="251">
        <f t="shared" si="3"/>
        <v>973860.9878</v>
      </c>
      <c r="V10" s="251">
        <f t="shared" si="3"/>
        <v>951341.55980000005</v>
      </c>
      <c r="W10" s="251">
        <f t="shared" si="3"/>
        <v>942901.96620000002</v>
      </c>
      <c r="X10" s="251">
        <f t="shared" si="3"/>
        <v>940922.31170000008</v>
      </c>
      <c r="Y10" s="251">
        <f t="shared" si="3"/>
        <v>941379.11100000003</v>
      </c>
      <c r="Z10" s="251">
        <f t="shared" si="3"/>
        <v>942727.33970000001</v>
      </c>
      <c r="AA10" s="251">
        <f t="shared" si="3"/>
        <v>926871.57759999996</v>
      </c>
      <c r="AB10" s="251">
        <f t="shared" si="3"/>
        <v>922376.60639999993</v>
      </c>
      <c r="AC10" s="251">
        <f t="shared" si="3"/>
        <v>925846.75950000004</v>
      </c>
      <c r="AD10" s="251">
        <f t="shared" si="3"/>
        <v>929874.19689999998</v>
      </c>
      <c r="AE10" s="251">
        <f t="shared" si="3"/>
        <v>934234.47499999998</v>
      </c>
      <c r="AF10" s="251">
        <f t="shared" si="3"/>
        <v>932792.24120000005</v>
      </c>
      <c r="AG10" s="251">
        <f t="shared" si="3"/>
        <v>933053.99170000001</v>
      </c>
      <c r="AH10" s="251">
        <f t="shared" si="3"/>
        <v>936340.87239999999</v>
      </c>
      <c r="AI10" s="251">
        <f t="shared" si="3"/>
        <v>940765.79829999991</v>
      </c>
      <c r="AJ10" s="251">
        <f t="shared" si="3"/>
        <v>945678.80800000008</v>
      </c>
      <c r="AK10" s="251">
        <f t="shared" si="3"/>
        <v>950844.31050000002</v>
      </c>
      <c r="AL10" s="251">
        <f t="shared" si="3"/>
        <v>959021.75420000008</v>
      </c>
      <c r="AM10" s="251">
        <f t="shared" si="3"/>
        <v>965968.6335</v>
      </c>
      <c r="AN10" s="251">
        <f t="shared" si="3"/>
        <v>972338.17469999997</v>
      </c>
      <c r="AO10" s="251">
        <f t="shared" si="3"/>
        <v>978366.27189999993</v>
      </c>
      <c r="AP10" s="251">
        <f t="shared" si="3"/>
        <v>975095.7313000001</v>
      </c>
      <c r="AQ10" s="251">
        <f t="shared" si="3"/>
        <v>979122.96189999999</v>
      </c>
      <c r="AR10" s="251">
        <f t="shared" si="3"/>
        <v>984453.3835</v>
      </c>
      <c r="AS10" s="251">
        <f t="shared" si="3"/>
        <v>990197.21459999995</v>
      </c>
      <c r="AT10" s="251">
        <f t="shared" si="3"/>
        <v>995996.96350000007</v>
      </c>
      <c r="AU10" s="252">
        <f t="shared" si="3"/>
        <v>1001713.8840000001</v>
      </c>
      <c r="AW10" t="s">
        <v>505</v>
      </c>
      <c r="AX10" s="311">
        <f>1-SUM(AX7:AX9)</f>
        <v>0.82338865651840187</v>
      </c>
      <c r="AY10" s="311">
        <f>1-SUM(AY7:AY9)</f>
        <v>0.75626159924763781</v>
      </c>
      <c r="AZ10" s="311">
        <f t="shared" ref="AZ10" si="4">1-SUM(AZ7:AZ9)</f>
        <v>0.7721035666606878</v>
      </c>
      <c r="BB10" s="311">
        <f>([3]Trafic!$H$23+[3]Trafic!$H$28)/[3]Trafic!$H$30</f>
        <v>0.84698145105670741</v>
      </c>
      <c r="BC10" s="311">
        <f>([3]Trafic!$J$23+[3]Trafic!$J$28)/[3]Trafic!$J$30</f>
        <v>0.75252158630631349</v>
      </c>
      <c r="BD10" s="311">
        <f>([3]Trafic!$N$23+[3]Trafic!$N$28)/[3]Trafic!$N$30</f>
        <v>0.6858880697768327</v>
      </c>
    </row>
    <row r="11" spans="1:56" x14ac:dyDescent="0.25">
      <c r="C11" s="265"/>
      <c r="D11" s="265"/>
      <c r="E11" s="265"/>
      <c r="F11" s="265"/>
      <c r="G11" s="265"/>
      <c r="H11" s="265"/>
      <c r="I11" s="265"/>
      <c r="J11" s="265"/>
      <c r="K11" s="265"/>
      <c r="L11" s="265"/>
      <c r="M11" s="265"/>
      <c r="N11" s="265"/>
      <c r="O11" s="265"/>
      <c r="P11" s="265"/>
      <c r="Q11" s="265"/>
      <c r="R11" s="265"/>
      <c r="S11" s="265"/>
      <c r="T11" s="265"/>
      <c r="U11" s="265"/>
      <c r="V11" s="265"/>
      <c r="W11" s="265"/>
      <c r="X11" s="265"/>
      <c r="Y11" s="265"/>
      <c r="Z11" s="265"/>
      <c r="AA11" s="265"/>
      <c r="AB11" s="265"/>
      <c r="AC11" s="265"/>
      <c r="AD11" s="265"/>
      <c r="AE11" s="265"/>
      <c r="AF11" s="265"/>
      <c r="AG11" s="265"/>
      <c r="AH11" s="265"/>
      <c r="AI11" s="265"/>
      <c r="AJ11" s="265"/>
      <c r="AK11" s="265"/>
      <c r="AL11" s="265"/>
      <c r="AM11" s="265"/>
      <c r="AN11" s="265"/>
      <c r="AO11" s="265"/>
      <c r="AP11" s="265"/>
      <c r="AQ11" s="265"/>
      <c r="AR11" s="265"/>
      <c r="AS11" s="265"/>
      <c r="AT11" s="265"/>
      <c r="AU11" s="265"/>
    </row>
    <row r="12" spans="1:56" s="244" customFormat="1" ht="45" customHeight="1" x14ac:dyDescent="0.25">
      <c r="A12" s="239" t="s">
        <v>474</v>
      </c>
      <c r="B12" s="240" t="s">
        <v>465</v>
      </c>
      <c r="C12" s="242">
        <v>2006</v>
      </c>
      <c r="D12" s="242">
        <v>2007</v>
      </c>
      <c r="E12" s="242">
        <v>2008</v>
      </c>
      <c r="F12" s="242">
        <v>2009</v>
      </c>
      <c r="G12" s="242">
        <v>2010</v>
      </c>
      <c r="H12" s="242">
        <v>2011</v>
      </c>
      <c r="I12" s="242">
        <v>2012</v>
      </c>
      <c r="J12" s="242">
        <v>2013</v>
      </c>
      <c r="K12" s="242">
        <v>2014</v>
      </c>
      <c r="L12" s="242">
        <v>2015</v>
      </c>
      <c r="M12" s="242">
        <v>2016</v>
      </c>
      <c r="N12" s="242">
        <v>2017</v>
      </c>
      <c r="O12" s="242">
        <v>2018</v>
      </c>
      <c r="P12" s="242">
        <v>2019</v>
      </c>
      <c r="Q12" s="242">
        <v>2020</v>
      </c>
      <c r="R12" s="242">
        <v>2021</v>
      </c>
      <c r="S12" s="242">
        <v>2022</v>
      </c>
      <c r="T12" s="242">
        <v>2023</v>
      </c>
      <c r="U12" s="242">
        <v>2024</v>
      </c>
      <c r="V12" s="242">
        <v>2025</v>
      </c>
      <c r="W12" s="242">
        <v>2026</v>
      </c>
      <c r="X12" s="242">
        <v>2027</v>
      </c>
      <c r="Y12" s="242">
        <v>2028</v>
      </c>
      <c r="Z12" s="242">
        <v>2029</v>
      </c>
      <c r="AA12" s="242">
        <v>2030</v>
      </c>
      <c r="AB12" s="242">
        <v>2031</v>
      </c>
      <c r="AC12" s="242">
        <v>2032</v>
      </c>
      <c r="AD12" s="242">
        <v>2033</v>
      </c>
      <c r="AE12" s="242">
        <v>2034</v>
      </c>
      <c r="AF12" s="242">
        <v>2035</v>
      </c>
      <c r="AG12" s="242">
        <v>2036</v>
      </c>
      <c r="AH12" s="242">
        <v>2037</v>
      </c>
      <c r="AI12" s="242">
        <v>2038</v>
      </c>
      <c r="AJ12" s="242">
        <v>2039</v>
      </c>
      <c r="AK12" s="242">
        <v>2040</v>
      </c>
      <c r="AL12" s="242">
        <v>2041</v>
      </c>
      <c r="AM12" s="242">
        <v>2042</v>
      </c>
      <c r="AN12" s="242">
        <v>2043</v>
      </c>
      <c r="AO12" s="242">
        <v>2044</v>
      </c>
      <c r="AP12" s="242">
        <v>2045</v>
      </c>
      <c r="AQ12" s="242">
        <v>2046</v>
      </c>
      <c r="AR12" s="242">
        <v>2047</v>
      </c>
      <c r="AS12" s="242">
        <v>2048</v>
      </c>
      <c r="AT12" s="242">
        <v>2049</v>
      </c>
      <c r="AU12" s="243">
        <v>2050</v>
      </c>
      <c r="AW12" s="266" t="s">
        <v>493</v>
      </c>
      <c r="AX12" s="242">
        <v>2020</v>
      </c>
      <c r="AY12" s="242">
        <v>2030</v>
      </c>
      <c r="AZ12" s="243">
        <v>2050</v>
      </c>
    </row>
    <row r="13" spans="1:56" x14ac:dyDescent="0.25">
      <c r="B13" s="245" t="s">
        <v>1</v>
      </c>
      <c r="C13" s="246">
        <f t="shared" ref="C13:AU13" si="5">C14+C15+C18</f>
        <v>842942.38378000003</v>
      </c>
      <c r="D13" s="247">
        <f t="shared" si="5"/>
        <v>869908.18143</v>
      </c>
      <c r="E13" s="247">
        <f t="shared" si="5"/>
        <v>881969.83794</v>
      </c>
      <c r="F13" s="247">
        <f t="shared" si="5"/>
        <v>903299.39937</v>
      </c>
      <c r="G13" s="247">
        <f t="shared" si="5"/>
        <v>918367.37527000008</v>
      </c>
      <c r="H13" s="247">
        <f t="shared" si="5"/>
        <v>951086.84881000011</v>
      </c>
      <c r="I13" s="247">
        <f t="shared" si="5"/>
        <v>985309.24421000003</v>
      </c>
      <c r="J13" s="247">
        <f t="shared" si="5"/>
        <v>1025837.17709</v>
      </c>
      <c r="K13" s="247">
        <f t="shared" si="5"/>
        <v>1077557.17405</v>
      </c>
      <c r="L13" s="247">
        <f t="shared" si="5"/>
        <v>1131721.14013</v>
      </c>
      <c r="M13" s="247">
        <f t="shared" si="5"/>
        <v>1133742.0499200001</v>
      </c>
      <c r="N13" s="247">
        <f t="shared" si="5"/>
        <v>1129997.2591300001</v>
      </c>
      <c r="O13" s="247">
        <f t="shared" si="5"/>
        <v>1129955.7875600001</v>
      </c>
      <c r="P13" s="247">
        <f t="shared" si="5"/>
        <v>1152025.2686700001</v>
      </c>
      <c r="Q13" s="247">
        <f t="shared" si="5"/>
        <v>1166174.91041</v>
      </c>
      <c r="R13" s="247">
        <f t="shared" si="5"/>
        <v>1182199.0937399999</v>
      </c>
      <c r="S13" s="247">
        <f t="shared" si="5"/>
        <v>1190585.8078300001</v>
      </c>
      <c r="T13" s="247">
        <f t="shared" si="5"/>
        <v>1196946.32079</v>
      </c>
      <c r="U13" s="247">
        <f t="shared" si="5"/>
        <v>1199630.2428599999</v>
      </c>
      <c r="V13" s="247">
        <f t="shared" si="5"/>
        <v>1214770.74444</v>
      </c>
      <c r="W13" s="247">
        <f t="shared" si="5"/>
        <v>1206077.0087600001</v>
      </c>
      <c r="X13" s="247">
        <f t="shared" si="5"/>
        <v>1203143.71428</v>
      </c>
      <c r="Y13" s="247">
        <f t="shared" si="5"/>
        <v>1202500.0335200001</v>
      </c>
      <c r="Z13" s="247">
        <f t="shared" si="5"/>
        <v>1202796.4050799999</v>
      </c>
      <c r="AA13" s="247">
        <f t="shared" si="5"/>
        <v>1214325.25917</v>
      </c>
      <c r="AB13" s="247">
        <f t="shared" si="5"/>
        <v>1207687.4173900001</v>
      </c>
      <c r="AC13" s="247">
        <f t="shared" si="5"/>
        <v>1208069.7643900001</v>
      </c>
      <c r="AD13" s="247">
        <f t="shared" si="5"/>
        <v>1209161.1816199999</v>
      </c>
      <c r="AE13" s="247">
        <f t="shared" si="5"/>
        <v>1210795.5466799999</v>
      </c>
      <c r="AF13" s="247">
        <f t="shared" si="5"/>
        <v>1221953.6268499999</v>
      </c>
      <c r="AG13" s="247">
        <f t="shared" si="5"/>
        <v>1220134.14852</v>
      </c>
      <c r="AH13" s="247">
        <f t="shared" si="5"/>
        <v>1221523.4055300001</v>
      </c>
      <c r="AI13" s="247">
        <f t="shared" si="5"/>
        <v>1224155.9300199999</v>
      </c>
      <c r="AJ13" s="247">
        <f t="shared" si="5"/>
        <v>1227413.48114</v>
      </c>
      <c r="AK13" s="247">
        <f t="shared" si="5"/>
        <v>1231089.7986699999</v>
      </c>
      <c r="AL13" s="247">
        <f t="shared" si="5"/>
        <v>1237441.54461</v>
      </c>
      <c r="AM13" s="247">
        <f t="shared" si="5"/>
        <v>1243014.4525600001</v>
      </c>
      <c r="AN13" s="247">
        <f t="shared" si="5"/>
        <v>1248503.6391700001</v>
      </c>
      <c r="AO13" s="247">
        <f t="shared" si="5"/>
        <v>1253996.73924</v>
      </c>
      <c r="AP13" s="247">
        <f t="shared" si="5"/>
        <v>1265909.6493899999</v>
      </c>
      <c r="AQ13" s="247">
        <f t="shared" si="5"/>
        <v>1268897.1647999999</v>
      </c>
      <c r="AR13" s="247">
        <f t="shared" si="5"/>
        <v>1273284.60362</v>
      </c>
      <c r="AS13" s="247">
        <f t="shared" si="5"/>
        <v>1278146.31874</v>
      </c>
      <c r="AT13" s="247">
        <f t="shared" si="5"/>
        <v>1283133.6175200001</v>
      </c>
      <c r="AU13" s="248">
        <f t="shared" si="5"/>
        <v>1288142.25046</v>
      </c>
      <c r="AW13" t="s">
        <v>494</v>
      </c>
      <c r="AX13" s="298">
        <f>Q19/Q18</f>
        <v>0.91725026742637061</v>
      </c>
      <c r="AY13" s="298">
        <f>AA19/AA18</f>
        <v>0.9227619897861139</v>
      </c>
      <c r="AZ13" s="298">
        <f>AU19/AU18</f>
        <v>0.92335790677371343</v>
      </c>
    </row>
    <row r="14" spans="1:56" x14ac:dyDescent="0.25">
      <c r="B14" s="249" t="s">
        <v>466</v>
      </c>
      <c r="C14" s="250">
        <f>Résultats!E294</f>
        <v>13442.05508</v>
      </c>
      <c r="D14" s="251">
        <f>Résultats!F294</f>
        <v>13760.431629999999</v>
      </c>
      <c r="E14" s="251">
        <f>Résultats!G294</f>
        <v>14213.16934</v>
      </c>
      <c r="F14" s="251">
        <f>Résultats!H294</f>
        <v>13758.41887</v>
      </c>
      <c r="G14" s="251">
        <f>Résultats!I294</f>
        <v>13323.880870000001</v>
      </c>
      <c r="H14" s="251">
        <f>Résultats!J294</f>
        <v>13696.888510000001</v>
      </c>
      <c r="I14" s="251">
        <f>Résultats!K294</f>
        <v>13995.444810000001</v>
      </c>
      <c r="J14" s="251">
        <f>Résultats!L294</f>
        <v>13916.811089999999</v>
      </c>
      <c r="K14" s="251">
        <f>Résultats!M294</f>
        <v>14151.318149999999</v>
      </c>
      <c r="L14" s="251">
        <f>Résultats!N294</f>
        <v>14639.68643</v>
      </c>
      <c r="M14" s="251">
        <f>Résultats!O294</f>
        <v>14969.41662</v>
      </c>
      <c r="N14" s="251">
        <f>Résultats!P294</f>
        <v>15283.19053</v>
      </c>
      <c r="O14" s="251">
        <f>Résultats!Q294</f>
        <v>15673.568359999999</v>
      </c>
      <c r="P14" s="251">
        <f>Résultats!R294</f>
        <v>16056.620070000001</v>
      </c>
      <c r="Q14" s="251">
        <f>Résultats!S294</f>
        <v>15607.584409999999</v>
      </c>
      <c r="R14" s="251">
        <f>Résultats!T294</f>
        <v>14988.299940000001</v>
      </c>
      <c r="S14" s="251">
        <f>Résultats!U294</f>
        <v>14822.01123</v>
      </c>
      <c r="T14" s="251">
        <f>Résultats!V294</f>
        <v>14711.000690000001</v>
      </c>
      <c r="U14" s="251">
        <f>Résultats!W294</f>
        <v>14937.90286</v>
      </c>
      <c r="V14" s="251">
        <f>Résultats!X294</f>
        <v>15106.251039999999</v>
      </c>
      <c r="W14" s="251">
        <f>Résultats!Y294</f>
        <v>15279.831759999999</v>
      </c>
      <c r="X14" s="251">
        <f>Résultats!Z294</f>
        <v>15430.334580000001</v>
      </c>
      <c r="Y14" s="251">
        <f>Résultats!AA294</f>
        <v>15598.251619999999</v>
      </c>
      <c r="Z14" s="251">
        <f>Résultats!AB294</f>
        <v>15755.888779999999</v>
      </c>
      <c r="AA14" s="251">
        <f>Résultats!AC294</f>
        <v>15935.042170000001</v>
      </c>
      <c r="AB14" s="251">
        <f>Résultats!AD294</f>
        <v>16141.12019</v>
      </c>
      <c r="AC14" s="251">
        <f>Résultats!AE294</f>
        <v>16316.513989999999</v>
      </c>
      <c r="AD14" s="251">
        <f>Résultats!AF294</f>
        <v>16497.554820000001</v>
      </c>
      <c r="AE14" s="251">
        <f>Résultats!AG294</f>
        <v>16698.583579999999</v>
      </c>
      <c r="AF14" s="251">
        <f>Résultats!AH294</f>
        <v>16940.40265</v>
      </c>
      <c r="AG14" s="251">
        <f>Résultats!AI294</f>
        <v>17241.66992</v>
      </c>
      <c r="AH14" s="251">
        <f>Résultats!AJ294</f>
        <v>17559.565630000001</v>
      </c>
      <c r="AI14" s="251">
        <f>Résultats!AK294</f>
        <v>17868.000120000001</v>
      </c>
      <c r="AJ14" s="251">
        <f>Résultats!AL294</f>
        <v>18184.33484</v>
      </c>
      <c r="AK14" s="251">
        <f>Résultats!AM294</f>
        <v>18519.003369999999</v>
      </c>
      <c r="AL14" s="251">
        <f>Résultats!AN294</f>
        <v>18883.337309999999</v>
      </c>
      <c r="AM14" s="251">
        <f>Résultats!AO294</f>
        <v>19249.399560000002</v>
      </c>
      <c r="AN14" s="251">
        <f>Résultats!AP294</f>
        <v>19655.49037</v>
      </c>
      <c r="AO14" s="251">
        <f>Résultats!AQ294</f>
        <v>20089.66084</v>
      </c>
      <c r="AP14" s="251">
        <f>Résultats!AR294</f>
        <v>20541.991989999999</v>
      </c>
      <c r="AQ14" s="251">
        <f>Résultats!AS294</f>
        <v>21009.438600000001</v>
      </c>
      <c r="AR14" s="251">
        <f>Résultats!AT294</f>
        <v>21473.85122</v>
      </c>
      <c r="AS14" s="251">
        <f>Résultats!AU294</f>
        <v>21932.748940000001</v>
      </c>
      <c r="AT14" s="251">
        <f>Résultats!AV294</f>
        <v>22404.23302</v>
      </c>
      <c r="AU14" s="252">
        <f>Résultats!AW294</f>
        <v>22877.79996</v>
      </c>
      <c r="AW14" t="s">
        <v>495</v>
      </c>
      <c r="AX14" s="298">
        <f>Q16/Q15</f>
        <v>0.68361701419417775</v>
      </c>
      <c r="AY14" s="298">
        <f>AA16/AA15</f>
        <v>0.50997682079053486</v>
      </c>
      <c r="AZ14" s="298">
        <f>AU16/AU15</f>
        <v>0.55790798856520341</v>
      </c>
    </row>
    <row r="15" spans="1:56" x14ac:dyDescent="0.25">
      <c r="B15" s="254" t="s">
        <v>467</v>
      </c>
      <c r="C15" s="255">
        <f>Résultats!E300</f>
        <v>248850.0986</v>
      </c>
      <c r="D15" s="256">
        <f>Résultats!F300</f>
        <v>262548.6398</v>
      </c>
      <c r="E15" s="256">
        <f>Résultats!G300</f>
        <v>270496.76199999999</v>
      </c>
      <c r="F15" s="256">
        <f>Résultats!H300</f>
        <v>280221.70850000001</v>
      </c>
      <c r="G15" s="256">
        <f>Résultats!I300</f>
        <v>287537.97360000003</v>
      </c>
      <c r="H15" s="256">
        <f>Résultats!J300</f>
        <v>303319.51569999999</v>
      </c>
      <c r="I15" s="256">
        <f>Résultats!K300</f>
        <v>321678.22450000001</v>
      </c>
      <c r="J15" s="256">
        <f>Résultats!L300</f>
        <v>343856.14110000001</v>
      </c>
      <c r="K15" s="256">
        <f>Résultats!M300</f>
        <v>370670.05820000003</v>
      </c>
      <c r="L15" s="256">
        <f>Résultats!N300</f>
        <v>399283.8884</v>
      </c>
      <c r="M15" s="256">
        <f>Résultats!O300</f>
        <v>398038.02429999999</v>
      </c>
      <c r="N15" s="256">
        <f>Résultats!P300</f>
        <v>394638.07209999999</v>
      </c>
      <c r="O15" s="256">
        <f>Résultats!Q300</f>
        <v>395867.11259999999</v>
      </c>
      <c r="P15" s="256">
        <f>Résultats!R300</f>
        <v>393171.38299999997</v>
      </c>
      <c r="Q15" s="256">
        <f>Résultats!S300</f>
        <v>404489.81880000001</v>
      </c>
      <c r="R15" s="256">
        <f>Résultats!T300</f>
        <v>419043.29969999997</v>
      </c>
      <c r="S15" s="256">
        <f>Résultats!U300</f>
        <v>425180.88890000002</v>
      </c>
      <c r="T15" s="256">
        <f>Résultats!V300</f>
        <v>428815.67729999998</v>
      </c>
      <c r="U15" s="256">
        <f>Résultats!W300</f>
        <v>429869.723</v>
      </c>
      <c r="V15" s="256">
        <f>Résultats!X300</f>
        <v>440280.4338</v>
      </c>
      <c r="W15" s="256">
        <f>Résultats!Y300</f>
        <v>432070.51419999998</v>
      </c>
      <c r="X15" s="256">
        <f>Résultats!Z300</f>
        <v>428738.21950000001</v>
      </c>
      <c r="Y15" s="256">
        <f>Résultats!AA300</f>
        <v>427588.93119999999</v>
      </c>
      <c r="Z15" s="256">
        <f>Résultats!AB300</f>
        <v>427289.64789999998</v>
      </c>
      <c r="AA15" s="256">
        <f>Résultats!AC300</f>
        <v>435883.80420000001</v>
      </c>
      <c r="AB15" s="256">
        <f>Résultats!AD300</f>
        <v>429444.81040000002</v>
      </c>
      <c r="AC15" s="256">
        <f>Résultats!AE300</f>
        <v>429195.12070000003</v>
      </c>
      <c r="AD15" s="256">
        <f>Résultats!AF300</f>
        <v>429168.44669999997</v>
      </c>
      <c r="AE15" s="256">
        <f>Résultats!AG300</f>
        <v>429707.29820000002</v>
      </c>
      <c r="AF15" s="256">
        <f>Résultats!AH300</f>
        <v>437925.91379999998</v>
      </c>
      <c r="AG15" s="256">
        <f>Résultats!AI300</f>
        <v>435038.4</v>
      </c>
      <c r="AH15" s="256">
        <f>Résultats!AJ300</f>
        <v>434847.7732</v>
      </c>
      <c r="AI15" s="256">
        <f>Résultats!AK300</f>
        <v>435769.5575</v>
      </c>
      <c r="AJ15" s="256">
        <f>Résultats!AL300</f>
        <v>437088.1899</v>
      </c>
      <c r="AK15" s="256">
        <f>Résultats!AM300</f>
        <v>438601.44280000002</v>
      </c>
      <c r="AL15" s="256">
        <f>Résultats!AN300</f>
        <v>442107.91019999998</v>
      </c>
      <c r="AM15" s="256">
        <f>Résultats!AO300</f>
        <v>444837.52519999997</v>
      </c>
      <c r="AN15" s="256">
        <f>Résultats!AP300</f>
        <v>447379.9951</v>
      </c>
      <c r="AO15" s="256">
        <f>Résultats!AQ300</f>
        <v>449836.94290000002</v>
      </c>
      <c r="AP15" s="256">
        <f>Résultats!AR300</f>
        <v>457475.00260000001</v>
      </c>
      <c r="AQ15" s="256">
        <f>Résultats!AS300</f>
        <v>457746.57290000003</v>
      </c>
      <c r="AR15" s="256">
        <f>Résultats!AT300</f>
        <v>459286.00520000001</v>
      </c>
      <c r="AS15" s="256">
        <f>Résultats!AU300</f>
        <v>461287.37550000002</v>
      </c>
      <c r="AT15" s="256">
        <f>Résultats!AV300</f>
        <v>463388.81400000001</v>
      </c>
      <c r="AU15" s="257">
        <f>Résultats!AW300</f>
        <v>465544.30430000002</v>
      </c>
      <c r="AW15" t="s">
        <v>496</v>
      </c>
      <c r="AX15" s="298">
        <f>Q21/(Q18+Q15)</f>
        <v>0.83511489809158723</v>
      </c>
      <c r="AY15" s="298">
        <f>AA21/(AA18+AA15)</f>
        <v>0.77262193755041297</v>
      </c>
      <c r="AZ15" s="298">
        <f>AU21/(AU18+AU15)</f>
        <v>0.78889342556455555</v>
      </c>
    </row>
    <row r="16" spans="1:56" x14ac:dyDescent="0.25">
      <c r="B16" s="258" t="s">
        <v>468</v>
      </c>
      <c r="C16" s="259">
        <f>Résultats!E295</f>
        <v>163461.30420000001</v>
      </c>
      <c r="D16" s="212">
        <f>Résultats!F295</f>
        <v>171749.55619999999</v>
      </c>
      <c r="E16" s="212">
        <f>Résultats!G295</f>
        <v>178951.21119999999</v>
      </c>
      <c r="F16" s="212">
        <f>Résultats!H295</f>
        <v>186028.40460000001</v>
      </c>
      <c r="G16" s="212">
        <f>Résultats!I295</f>
        <v>192550.06950000001</v>
      </c>
      <c r="H16" s="212">
        <f>Résultats!J295</f>
        <v>202031.46090000001</v>
      </c>
      <c r="I16" s="212">
        <f>Résultats!K295</f>
        <v>216502.04759999999</v>
      </c>
      <c r="J16" s="212">
        <f>Résultats!L295</f>
        <v>232317.84890000001</v>
      </c>
      <c r="K16" s="212">
        <f>Résultats!M295</f>
        <v>249847.08809999999</v>
      </c>
      <c r="L16" s="212">
        <f>Résultats!N295</f>
        <v>273455.1139</v>
      </c>
      <c r="M16" s="212">
        <f>Résultats!O295</f>
        <v>275027.99369999999</v>
      </c>
      <c r="N16" s="212">
        <f>Résultats!P295</f>
        <v>271774.2352</v>
      </c>
      <c r="O16" s="212">
        <f>Résultats!Q295</f>
        <v>269162.29320000001</v>
      </c>
      <c r="P16" s="212">
        <f>Résultats!R295</f>
        <v>271002.96600000001</v>
      </c>
      <c r="Q16" s="212">
        <f>Résultats!S295</f>
        <v>276516.12219999998</v>
      </c>
      <c r="R16" s="212">
        <f>Résultats!T295</f>
        <v>283259.80410000001</v>
      </c>
      <c r="S16" s="212">
        <f>Résultats!U295</f>
        <v>285078.54399999999</v>
      </c>
      <c r="T16" s="212">
        <f>Résultats!V295</f>
        <v>281022.85960000003</v>
      </c>
      <c r="U16" s="212">
        <f>Résultats!W295</f>
        <v>280570.43569999997</v>
      </c>
      <c r="V16" s="212">
        <f>Résultats!X295</f>
        <v>250630.6648</v>
      </c>
      <c r="W16" s="212">
        <f>Résultats!Y295</f>
        <v>242720.63510000001</v>
      </c>
      <c r="X16" s="212">
        <f>Résultats!Z295</f>
        <v>240877.78649999999</v>
      </c>
      <c r="Y16" s="212">
        <f>Résultats!AA295</f>
        <v>241127.90160000001</v>
      </c>
      <c r="Z16" s="212">
        <f>Résultats!AB295</f>
        <v>242077.8959</v>
      </c>
      <c r="AA16" s="212">
        <f>Résultats!AC295</f>
        <v>222290.6367</v>
      </c>
      <c r="AB16" s="212">
        <f>Résultats!AD295</f>
        <v>218831.10500000001</v>
      </c>
      <c r="AC16" s="212">
        <f>Résultats!AE295</f>
        <v>221802.60209999999</v>
      </c>
      <c r="AD16" s="212">
        <f>Résultats!AF295</f>
        <v>224885.55230000001</v>
      </c>
      <c r="AE16" s="212">
        <f>Résultats!AG295</f>
        <v>228293.31469999999</v>
      </c>
      <c r="AF16" s="212">
        <f>Résultats!AH295</f>
        <v>222976.549</v>
      </c>
      <c r="AG16" s="212">
        <f>Résultats!AI295</f>
        <v>222778.48929999999</v>
      </c>
      <c r="AH16" s="212">
        <f>Résultats!AJ295</f>
        <v>224913.37109999999</v>
      </c>
      <c r="AI16" s="212">
        <f>Résultats!AK295</f>
        <v>227962.26689999999</v>
      </c>
      <c r="AJ16" s="212">
        <f>Résultats!AL295</f>
        <v>231280.18359999999</v>
      </c>
      <c r="AK16" s="212">
        <f>Résultats!AM295</f>
        <v>234667.182</v>
      </c>
      <c r="AL16" s="212">
        <f>Résultats!AN295</f>
        <v>240244.12030000001</v>
      </c>
      <c r="AM16" s="212">
        <f>Résultats!AO295</f>
        <v>244724.74549999999</v>
      </c>
      <c r="AN16" s="212">
        <f>Résultats!AP295</f>
        <v>248629.1588</v>
      </c>
      <c r="AO16" s="212">
        <f>Résultats!AQ295</f>
        <v>252175.63680000001</v>
      </c>
      <c r="AP16" s="212">
        <f>Résultats!AR295</f>
        <v>243833.8254</v>
      </c>
      <c r="AQ16" s="212">
        <f>Résultats!AS295</f>
        <v>245710.6447</v>
      </c>
      <c r="AR16" s="212">
        <f>Résultats!AT295</f>
        <v>248818.973</v>
      </c>
      <c r="AS16" s="212">
        <f>Résultats!AU295</f>
        <v>252378.16130000001</v>
      </c>
      <c r="AT16" s="212">
        <f>Résultats!AV295</f>
        <v>256046.23749999999</v>
      </c>
      <c r="AU16" s="260">
        <f>Résultats!AW295</f>
        <v>259730.88639999999</v>
      </c>
    </row>
    <row r="17" spans="1:49" x14ac:dyDescent="0.25">
      <c r="B17" s="261" t="s">
        <v>469</v>
      </c>
      <c r="C17" s="262">
        <f>Résultats!E298</f>
        <v>47168.088989999997</v>
      </c>
      <c r="D17" s="263">
        <f>Résultats!F298</f>
        <v>48083.418100000003</v>
      </c>
      <c r="E17" s="263">
        <f>Résultats!G298</f>
        <v>47737.366000000002</v>
      </c>
      <c r="F17" s="263">
        <f>Résultats!H298</f>
        <v>48714.701860000001</v>
      </c>
      <c r="G17" s="263">
        <f>Résultats!I298</f>
        <v>49199.905489999997</v>
      </c>
      <c r="H17" s="263">
        <f>Résultats!J298</f>
        <v>50585.083140000002</v>
      </c>
      <c r="I17" s="263">
        <f>Résultats!K298</f>
        <v>51037.351210000001</v>
      </c>
      <c r="J17" s="263">
        <f>Résultats!L298</f>
        <v>51900.752119999997</v>
      </c>
      <c r="K17" s="263">
        <f>Résultats!M298</f>
        <v>53545.477229999997</v>
      </c>
      <c r="L17" s="263">
        <f>Résultats!N298</f>
        <v>54350.48878</v>
      </c>
      <c r="M17" s="263">
        <f>Résultats!O298</f>
        <v>54352.171880000002</v>
      </c>
      <c r="N17" s="263">
        <f>Résultats!P298</f>
        <v>54623.889109999996</v>
      </c>
      <c r="O17" s="263">
        <f>Résultats!Q298</f>
        <v>54903.541109999998</v>
      </c>
      <c r="P17" s="263">
        <f>Résultats!R298</f>
        <v>62145.72393</v>
      </c>
      <c r="Q17" s="263">
        <f>Résultats!S297</f>
        <v>128455.0331</v>
      </c>
      <c r="R17" s="263">
        <f>Résultats!T298</f>
        <v>61601.947950000002</v>
      </c>
      <c r="S17" s="263">
        <f>Résultats!U298</f>
        <v>61779.745280000003</v>
      </c>
      <c r="T17" s="263">
        <f>Résultats!V298</f>
        <v>61723.755519999999</v>
      </c>
      <c r="U17" s="263">
        <f>Résultats!W298</f>
        <v>60407.83455</v>
      </c>
      <c r="V17" s="263">
        <f>Résultats!X298</f>
        <v>57775.123630000002</v>
      </c>
      <c r="W17" s="263">
        <f>Résultats!Y298</f>
        <v>57794.369709999999</v>
      </c>
      <c r="X17" s="263">
        <f>Résultats!Z298</f>
        <v>58306.257380000003</v>
      </c>
      <c r="Y17" s="263">
        <f>Résultats!AA298</f>
        <v>58550.511659999996</v>
      </c>
      <c r="Z17" s="263">
        <f>Résultats!AB298</f>
        <v>58700.875319999999</v>
      </c>
      <c r="AA17" s="263">
        <f>Résultats!AC297</f>
        <v>225571.18429999999</v>
      </c>
      <c r="AB17" s="263">
        <f>Résultats!AD298</f>
        <v>58628.715640000002</v>
      </c>
      <c r="AC17" s="263">
        <f>Résultats!AE298</f>
        <v>58762.043559999998</v>
      </c>
      <c r="AD17" s="263">
        <f>Résultats!AF298</f>
        <v>58910.334669999997</v>
      </c>
      <c r="AE17" s="263">
        <f>Résultats!AG298</f>
        <v>58987.914989999997</v>
      </c>
      <c r="AF17" s="263">
        <f>Résultats!AH298</f>
        <v>58247.490380000003</v>
      </c>
      <c r="AG17" s="263">
        <f>Résultats!AI298</f>
        <v>58798.490160000001</v>
      </c>
      <c r="AH17" s="263">
        <f>Résultats!AJ298</f>
        <v>59078.656849999999</v>
      </c>
      <c r="AI17" s="263">
        <f>Résultats!AK298</f>
        <v>59233.722950000003</v>
      </c>
      <c r="AJ17" s="263">
        <f>Résultats!AL298</f>
        <v>59361.168700000002</v>
      </c>
      <c r="AK17" s="263">
        <f>Résultats!AM298</f>
        <v>59485.31323</v>
      </c>
      <c r="AL17" s="263">
        <f>Résultats!AN298</f>
        <v>59417.727509999997</v>
      </c>
      <c r="AM17" s="263">
        <f>Résultats!AO298</f>
        <v>59457.598960000003</v>
      </c>
      <c r="AN17" s="263">
        <f>Résultats!AP298</f>
        <v>59545.463539999997</v>
      </c>
      <c r="AO17" s="263">
        <f>Résultats!AQ298</f>
        <v>59661.254999999997</v>
      </c>
      <c r="AP17" s="263">
        <f>Résultats!AR298</f>
        <v>59190.766199999998</v>
      </c>
      <c r="AQ17" s="263">
        <f>Résultats!AS298</f>
        <v>59554.194940000001</v>
      </c>
      <c r="AR17" s="263">
        <f>Résultats!AT298</f>
        <v>59769.538509999998</v>
      </c>
      <c r="AS17" s="263">
        <f>Résultats!AU298</f>
        <v>59921.013760000002</v>
      </c>
      <c r="AT17" s="263">
        <f>Résultats!AV298</f>
        <v>60050.620340000001</v>
      </c>
      <c r="AU17" s="264">
        <f>Résultats!AW297</f>
        <v>220334.44130000001</v>
      </c>
      <c r="AW17" s="253"/>
    </row>
    <row r="18" spans="1:49" x14ac:dyDescent="0.25">
      <c r="B18" s="258" t="s">
        <v>470</v>
      </c>
      <c r="C18" s="259">
        <f>Résultats!E299</f>
        <v>580650.23010000004</v>
      </c>
      <c r="D18" s="212">
        <f>Résultats!F299</f>
        <v>593599.11</v>
      </c>
      <c r="E18" s="212">
        <f>Résultats!G299</f>
        <v>597259.90659999999</v>
      </c>
      <c r="F18" s="212">
        <f>Résultats!H299</f>
        <v>609319.272</v>
      </c>
      <c r="G18" s="212">
        <f>Résultats!I299</f>
        <v>617505.52080000006</v>
      </c>
      <c r="H18" s="212">
        <f>Résultats!J299</f>
        <v>634070.44460000005</v>
      </c>
      <c r="I18" s="212">
        <f>Résultats!K299</f>
        <v>649635.57490000001</v>
      </c>
      <c r="J18" s="212">
        <f>Résultats!L299</f>
        <v>668064.22490000003</v>
      </c>
      <c r="K18" s="212">
        <f>Résultats!M299</f>
        <v>692735.7977</v>
      </c>
      <c r="L18" s="212">
        <f>Résultats!N299</f>
        <v>717797.56530000002</v>
      </c>
      <c r="M18" s="212">
        <f>Résultats!O299</f>
        <v>720734.60900000005</v>
      </c>
      <c r="N18" s="212">
        <f>Résultats!P299</f>
        <v>720075.99650000001</v>
      </c>
      <c r="O18" s="212">
        <f>Résultats!Q299</f>
        <v>718415.10660000006</v>
      </c>
      <c r="P18" s="212">
        <f>Résultats!R299</f>
        <v>742797.26560000004</v>
      </c>
      <c r="Q18" s="212">
        <f>Résultats!S299</f>
        <v>746077.50719999999</v>
      </c>
      <c r="R18" s="212">
        <f>Résultats!T299</f>
        <v>748167.49410000001</v>
      </c>
      <c r="S18" s="212">
        <f>Résultats!U299</f>
        <v>750582.90769999998</v>
      </c>
      <c r="T18" s="212">
        <f>Résultats!V299</f>
        <v>753419.64280000003</v>
      </c>
      <c r="U18" s="212">
        <f>Résultats!W299</f>
        <v>754822.61699999997</v>
      </c>
      <c r="V18" s="212">
        <f>Résultats!X299</f>
        <v>759384.05960000004</v>
      </c>
      <c r="W18" s="212">
        <f>Résultats!Y299</f>
        <v>758726.66280000005</v>
      </c>
      <c r="X18" s="212">
        <f>Résultats!Z299</f>
        <v>758975.16020000004</v>
      </c>
      <c r="Y18" s="212">
        <f>Résultats!AA299</f>
        <v>759312.85069999995</v>
      </c>
      <c r="Z18" s="212">
        <f>Résultats!AB299</f>
        <v>759750.86840000004</v>
      </c>
      <c r="AA18" s="212">
        <f>Résultats!AC299</f>
        <v>762506.41280000005</v>
      </c>
      <c r="AB18" s="212">
        <f>Résultats!AD299</f>
        <v>762101.48679999996</v>
      </c>
      <c r="AC18" s="212">
        <f>Résultats!AE299</f>
        <v>762558.12970000005</v>
      </c>
      <c r="AD18" s="212">
        <f>Résultats!AF299</f>
        <v>763495.1801</v>
      </c>
      <c r="AE18" s="212">
        <f>Résultats!AG299</f>
        <v>764389.66489999997</v>
      </c>
      <c r="AF18" s="212">
        <f>Résultats!AH299</f>
        <v>767087.31039999996</v>
      </c>
      <c r="AG18" s="212">
        <f>Résultats!AI299</f>
        <v>767854.07860000001</v>
      </c>
      <c r="AH18" s="212">
        <f>Résultats!AJ299</f>
        <v>769116.06669999997</v>
      </c>
      <c r="AI18" s="212">
        <f>Résultats!AK299</f>
        <v>770518.37239999999</v>
      </c>
      <c r="AJ18" s="212">
        <f>Résultats!AL299</f>
        <v>772140.95640000002</v>
      </c>
      <c r="AK18" s="212">
        <f>Résultats!AM299</f>
        <v>773969.35250000004</v>
      </c>
      <c r="AL18" s="212">
        <f>Résultats!AN299</f>
        <v>776450.29709999997</v>
      </c>
      <c r="AM18" s="212">
        <f>Résultats!AO299</f>
        <v>778927.52780000004</v>
      </c>
      <c r="AN18" s="212">
        <f>Résultats!AP299</f>
        <v>781468.15370000002</v>
      </c>
      <c r="AO18" s="212">
        <f>Résultats!AQ299</f>
        <v>784070.13549999997</v>
      </c>
      <c r="AP18" s="212">
        <f>Résultats!AR299</f>
        <v>787892.65480000002</v>
      </c>
      <c r="AQ18" s="212">
        <f>Résultats!AS299</f>
        <v>790141.15330000001</v>
      </c>
      <c r="AR18" s="212">
        <f>Résultats!AT299</f>
        <v>792524.74719999998</v>
      </c>
      <c r="AS18" s="212">
        <f>Résultats!AU299</f>
        <v>794926.19429999997</v>
      </c>
      <c r="AT18" s="212">
        <f>Résultats!AV299</f>
        <v>797340.57050000003</v>
      </c>
      <c r="AU18" s="260">
        <f>Résultats!AW299</f>
        <v>799720.14619999996</v>
      </c>
    </row>
    <row r="19" spans="1:49" x14ac:dyDescent="0.25">
      <c r="B19" s="258" t="s">
        <v>471</v>
      </c>
      <c r="C19" s="259">
        <f>Résultats!E296</f>
        <v>533482.14110000001</v>
      </c>
      <c r="D19" s="212">
        <f>Résultats!F296</f>
        <v>545515.90280000004</v>
      </c>
      <c r="E19" s="212">
        <f>Résultats!G296</f>
        <v>549527.43969999999</v>
      </c>
      <c r="F19" s="212">
        <f>Résultats!H296</f>
        <v>560609.57019999996</v>
      </c>
      <c r="G19" s="212">
        <f>Résultats!I296</f>
        <v>568310.99879999994</v>
      </c>
      <c r="H19" s="212">
        <f>Résultats!J296</f>
        <v>583490.93530000001</v>
      </c>
      <c r="I19" s="212">
        <f>Résultats!K296</f>
        <v>598610.53890000004</v>
      </c>
      <c r="J19" s="212">
        <f>Résultats!L296</f>
        <v>616179.696</v>
      </c>
      <c r="K19" s="212">
        <f>Résultats!M296</f>
        <v>639207.89040000003</v>
      </c>
      <c r="L19" s="212">
        <f>Résultats!N296</f>
        <v>663477.98120000004</v>
      </c>
      <c r="M19" s="212">
        <f>Résultats!O296</f>
        <v>666413.95250000001</v>
      </c>
      <c r="N19" s="212">
        <f>Résultats!P296</f>
        <v>665484.61840000004</v>
      </c>
      <c r="O19" s="212">
        <f>Résultats!Q296</f>
        <v>663545.62659999996</v>
      </c>
      <c r="P19" s="212">
        <f>Résultats!R296</f>
        <v>680945.75349999999</v>
      </c>
      <c r="Q19" s="212">
        <f>Résultats!S296</f>
        <v>684339.79299999995</v>
      </c>
      <c r="R19" s="212">
        <f>Résultats!T296</f>
        <v>685369.81229999999</v>
      </c>
      <c r="S19" s="212">
        <f>Résultats!U296</f>
        <v>687603.57209999999</v>
      </c>
      <c r="T19" s="212">
        <f>Résultats!V296</f>
        <v>690492.50199999998</v>
      </c>
      <c r="U19" s="212">
        <f>Résultats!W296</f>
        <v>693227.48600000003</v>
      </c>
      <c r="V19" s="212">
        <f>Résultats!X296</f>
        <v>700497.71089999995</v>
      </c>
      <c r="W19" s="212">
        <f>Résultats!Y296</f>
        <v>699822.07490000001</v>
      </c>
      <c r="X19" s="212">
        <f>Résultats!Z296</f>
        <v>699560.58290000004</v>
      </c>
      <c r="Y19" s="212">
        <f>Résultats!AA296</f>
        <v>699653.96739999996</v>
      </c>
      <c r="Z19" s="212">
        <f>Résultats!AB296</f>
        <v>699941.10759999999</v>
      </c>
      <c r="AA19" s="212">
        <f>Résultats!AC296</f>
        <v>703611.93469999998</v>
      </c>
      <c r="AB19" s="212">
        <f>Résultats!AD296</f>
        <v>702379.10759999999</v>
      </c>
      <c r="AC19" s="212">
        <f>Résultats!AE296</f>
        <v>702701.85620000004</v>
      </c>
      <c r="AD19" s="212">
        <f>Résultats!AF296</f>
        <v>703489.32400000002</v>
      </c>
      <c r="AE19" s="212">
        <f>Résultats!AG296</f>
        <v>704304.94570000004</v>
      </c>
      <c r="AF19" s="212">
        <f>Résultats!AH296</f>
        <v>707747.47499999998</v>
      </c>
      <c r="AG19" s="212">
        <f>Résultats!AI296</f>
        <v>707964.3922</v>
      </c>
      <c r="AH19" s="212">
        <f>Résultats!AJ296</f>
        <v>708944.72930000001</v>
      </c>
      <c r="AI19" s="212">
        <f>Résultats!AK296</f>
        <v>710189.99710000004</v>
      </c>
      <c r="AJ19" s="212">
        <f>Résultats!AL296</f>
        <v>711682.83030000003</v>
      </c>
      <c r="AK19" s="212">
        <f>Résultats!AM296</f>
        <v>713384.48679999996</v>
      </c>
      <c r="AL19" s="212">
        <f>Résultats!AN296</f>
        <v>715930.09979999997</v>
      </c>
      <c r="AM19" s="212">
        <f>Résultats!AO296</f>
        <v>718364.14560000005</v>
      </c>
      <c r="AN19" s="212">
        <f>Résultats!AP296</f>
        <v>720813.40249999997</v>
      </c>
      <c r="AO19" s="212">
        <f>Résultats!AQ296</f>
        <v>723295.96100000001</v>
      </c>
      <c r="AP19" s="212">
        <f>Résultats!AR296</f>
        <v>727588.82299999997</v>
      </c>
      <c r="AQ19" s="212">
        <f>Résultats!AS296</f>
        <v>729471.06019999995</v>
      </c>
      <c r="AR19" s="212">
        <f>Résultats!AT296</f>
        <v>731635.95570000005</v>
      </c>
      <c r="AS19" s="212">
        <f>Résultats!AU296</f>
        <v>733882.54410000006</v>
      </c>
      <c r="AT19" s="212">
        <f>Résultats!AV296</f>
        <v>736163.92859999998</v>
      </c>
      <c r="AU19" s="260">
        <f>Résultats!AW296</f>
        <v>738427.92020000005</v>
      </c>
    </row>
    <row r="20" spans="1:49" x14ac:dyDescent="0.25">
      <c r="B20" s="261" t="s">
        <v>472</v>
      </c>
      <c r="C20" s="262">
        <f>Résultats!E297</f>
        <v>85388.794389999995</v>
      </c>
      <c r="D20" s="263">
        <f>Résultats!F297</f>
        <v>90803.364149999994</v>
      </c>
      <c r="E20" s="263">
        <f>Résultats!G297</f>
        <v>91582.242670000007</v>
      </c>
      <c r="F20" s="263">
        <f>Résultats!H297</f>
        <v>94234.599180000005</v>
      </c>
      <c r="G20" s="263">
        <f>Résultats!I297</f>
        <v>95051.618849999999</v>
      </c>
      <c r="H20" s="263">
        <f>Résultats!J297</f>
        <v>101364.12639999999</v>
      </c>
      <c r="I20" s="263">
        <f>Résultats!K297</f>
        <v>105291.49310000001</v>
      </c>
      <c r="J20" s="263">
        <f>Résultats!L297</f>
        <v>111666.75260000001</v>
      </c>
      <c r="K20" s="263">
        <f>Résultats!M297</f>
        <v>120963.5733</v>
      </c>
      <c r="L20" s="263">
        <f>Résultats!N297</f>
        <v>126084.3023</v>
      </c>
      <c r="M20" s="263">
        <f>Résultats!O297</f>
        <v>123298.55379999999</v>
      </c>
      <c r="N20" s="263">
        <f>Résultats!P297</f>
        <v>123154.76519999999</v>
      </c>
      <c r="O20" s="263">
        <f>Résultats!Q297</f>
        <v>127068.26790000001</v>
      </c>
      <c r="P20" s="263">
        <f>Résultats!R297</f>
        <v>122606.63860000001</v>
      </c>
      <c r="Q20" s="263">
        <f>Résultats!S298</f>
        <v>62034.53082</v>
      </c>
      <c r="R20" s="263">
        <f>Résultats!T297</f>
        <v>136339.5747</v>
      </c>
      <c r="S20" s="263">
        <f>Résultats!U297</f>
        <v>140695.96100000001</v>
      </c>
      <c r="T20" s="263">
        <f>Résultats!V297</f>
        <v>148620.28460000001</v>
      </c>
      <c r="U20" s="263">
        <f>Résultats!W297</f>
        <v>150135.5289</v>
      </c>
      <c r="V20" s="263">
        <f>Résultats!X297</f>
        <v>198555.58660000001</v>
      </c>
      <c r="W20" s="263">
        <f>Résultats!Y297</f>
        <v>198138.5025</v>
      </c>
      <c r="X20" s="263">
        <f>Résultats!Z297</f>
        <v>196581.27900000001</v>
      </c>
      <c r="Y20" s="263">
        <f>Résultats!AA297</f>
        <v>195162.2003</v>
      </c>
      <c r="Z20" s="263">
        <f>Résultats!AB297</f>
        <v>193912.6097</v>
      </c>
      <c r="AA20" s="263">
        <f>Résultats!AC298</f>
        <v>57793.27491</v>
      </c>
      <c r="AB20" s="263">
        <f>Résultats!AD297</f>
        <v>222414.91990000001</v>
      </c>
      <c r="AC20" s="263">
        <f>Résultats!AE297</f>
        <v>219229.81770000001</v>
      </c>
      <c r="AD20" s="263">
        <f>Résultats!AF297</f>
        <v>216162.34820000001</v>
      </c>
      <c r="AE20" s="263">
        <f>Résultats!AG297</f>
        <v>213351.99549999999</v>
      </c>
      <c r="AF20" s="263">
        <f>Résultats!AH297</f>
        <v>227551.36110000001</v>
      </c>
      <c r="AG20" s="263">
        <f>Résultats!AI297</f>
        <v>224786.0061</v>
      </c>
      <c r="AH20" s="263">
        <f>Résultats!AJ297</f>
        <v>222477.0704</v>
      </c>
      <c r="AI20" s="263">
        <f>Résultats!AK297</f>
        <v>220405.7262</v>
      </c>
      <c r="AJ20" s="263">
        <f>Résultats!AL297</f>
        <v>218474.93659999999</v>
      </c>
      <c r="AK20" s="263">
        <f>Résultats!AM297</f>
        <v>216674.3781</v>
      </c>
      <c r="AL20" s="263">
        <f>Résultats!AN297</f>
        <v>214765.11180000001</v>
      </c>
      <c r="AM20" s="263">
        <f>Résultats!AO297</f>
        <v>213132.625</v>
      </c>
      <c r="AN20" s="263">
        <f>Résultats!AP297</f>
        <v>211872.20699999999</v>
      </c>
      <c r="AO20" s="263">
        <f>Résultats!AQ297</f>
        <v>210875.22719999999</v>
      </c>
      <c r="AP20" s="263">
        <f>Résultats!AR297</f>
        <v>227799.41769999999</v>
      </c>
      <c r="AQ20" s="263">
        <f>Résultats!AS297</f>
        <v>226215.21090000001</v>
      </c>
      <c r="AR20" s="263">
        <f>Résultats!AT297</f>
        <v>224715.82560000001</v>
      </c>
      <c r="AS20" s="263">
        <f>Résultats!AU297</f>
        <v>223245.66080000001</v>
      </c>
      <c r="AT20" s="263">
        <f>Résultats!AV297</f>
        <v>221770.70819999999</v>
      </c>
      <c r="AU20" s="264">
        <f>Résultats!AW298</f>
        <v>60162.884189999997</v>
      </c>
    </row>
    <row r="21" spans="1:49" x14ac:dyDescent="0.25">
      <c r="B21" s="249" t="s">
        <v>473</v>
      </c>
      <c r="C21" s="250">
        <f t="shared" ref="C21:AU21" si="6">C16+C19</f>
        <v>696943.44530000002</v>
      </c>
      <c r="D21" s="251">
        <f t="shared" si="6"/>
        <v>717265.45900000003</v>
      </c>
      <c r="E21" s="251">
        <f t="shared" si="6"/>
        <v>728478.65090000001</v>
      </c>
      <c r="F21" s="251">
        <f t="shared" si="6"/>
        <v>746637.97479999997</v>
      </c>
      <c r="G21" s="251">
        <f t="shared" si="6"/>
        <v>760861.06829999993</v>
      </c>
      <c r="H21" s="251">
        <f t="shared" si="6"/>
        <v>785522.39620000008</v>
      </c>
      <c r="I21" s="251">
        <f t="shared" si="6"/>
        <v>815112.58649999998</v>
      </c>
      <c r="J21" s="251">
        <f t="shared" si="6"/>
        <v>848497.54489999998</v>
      </c>
      <c r="K21" s="251">
        <f t="shared" si="6"/>
        <v>889054.97849999997</v>
      </c>
      <c r="L21" s="251">
        <f t="shared" si="6"/>
        <v>936933.09510000004</v>
      </c>
      <c r="M21" s="251">
        <f t="shared" si="6"/>
        <v>941441.94620000001</v>
      </c>
      <c r="N21" s="251">
        <f t="shared" si="6"/>
        <v>937258.85360000003</v>
      </c>
      <c r="O21" s="251">
        <f t="shared" si="6"/>
        <v>932707.91980000003</v>
      </c>
      <c r="P21" s="251">
        <f t="shared" si="6"/>
        <v>951948.71950000001</v>
      </c>
      <c r="Q21" s="251">
        <f t="shared" si="6"/>
        <v>960855.91519999993</v>
      </c>
      <c r="R21" s="251">
        <f t="shared" si="6"/>
        <v>968629.61639999994</v>
      </c>
      <c r="S21" s="251">
        <f t="shared" si="6"/>
        <v>972682.11609999998</v>
      </c>
      <c r="T21" s="251">
        <f t="shared" si="6"/>
        <v>971515.36159999995</v>
      </c>
      <c r="U21" s="251">
        <f t="shared" si="6"/>
        <v>973797.92170000006</v>
      </c>
      <c r="V21" s="251">
        <f t="shared" si="6"/>
        <v>951128.37569999998</v>
      </c>
      <c r="W21" s="251">
        <f t="shared" si="6"/>
        <v>942542.71</v>
      </c>
      <c r="X21" s="251">
        <f t="shared" si="6"/>
        <v>940438.36939999997</v>
      </c>
      <c r="Y21" s="251">
        <f t="shared" si="6"/>
        <v>940781.86899999995</v>
      </c>
      <c r="Z21" s="251">
        <f t="shared" si="6"/>
        <v>942019.00349999999</v>
      </c>
      <c r="AA21" s="251">
        <f t="shared" si="6"/>
        <v>925902.57140000002</v>
      </c>
      <c r="AB21" s="251">
        <f t="shared" si="6"/>
        <v>921210.21259999997</v>
      </c>
      <c r="AC21" s="251">
        <f t="shared" si="6"/>
        <v>924504.45830000006</v>
      </c>
      <c r="AD21" s="251">
        <f t="shared" si="6"/>
        <v>928374.8763</v>
      </c>
      <c r="AE21" s="251">
        <f t="shared" si="6"/>
        <v>932598.26040000003</v>
      </c>
      <c r="AF21" s="251">
        <f t="shared" si="6"/>
        <v>930724.02399999998</v>
      </c>
      <c r="AG21" s="251">
        <f t="shared" si="6"/>
        <v>930742.88150000002</v>
      </c>
      <c r="AH21" s="251">
        <f t="shared" si="6"/>
        <v>933858.1004</v>
      </c>
      <c r="AI21" s="251">
        <f t="shared" si="6"/>
        <v>938152.26399999997</v>
      </c>
      <c r="AJ21" s="251">
        <f t="shared" si="6"/>
        <v>942963.01390000002</v>
      </c>
      <c r="AK21" s="251">
        <f t="shared" si="6"/>
        <v>948051.66879999998</v>
      </c>
      <c r="AL21" s="251">
        <f t="shared" si="6"/>
        <v>956174.22010000004</v>
      </c>
      <c r="AM21" s="251">
        <f t="shared" si="6"/>
        <v>963088.89110000001</v>
      </c>
      <c r="AN21" s="251">
        <f t="shared" si="6"/>
        <v>969442.56129999994</v>
      </c>
      <c r="AO21" s="251">
        <f t="shared" si="6"/>
        <v>975471.59779999999</v>
      </c>
      <c r="AP21" s="251">
        <f t="shared" si="6"/>
        <v>971422.64839999995</v>
      </c>
      <c r="AQ21" s="251">
        <f t="shared" si="6"/>
        <v>975181.70490000001</v>
      </c>
      <c r="AR21" s="251">
        <f t="shared" si="6"/>
        <v>980454.92870000005</v>
      </c>
      <c r="AS21" s="251">
        <f t="shared" si="6"/>
        <v>986260.70540000009</v>
      </c>
      <c r="AT21" s="251">
        <f t="shared" si="6"/>
        <v>992210.16610000003</v>
      </c>
      <c r="AU21" s="252">
        <f t="shared" si="6"/>
        <v>998158.80660000001</v>
      </c>
      <c r="AW21" s="253"/>
    </row>
    <row r="22" spans="1:49" x14ac:dyDescent="0.25">
      <c r="C22" s="212"/>
      <c r="D22" s="212"/>
      <c r="E22" s="212"/>
      <c r="F22" s="212"/>
      <c r="G22" s="212"/>
      <c r="H22" s="212"/>
      <c r="I22" s="212"/>
      <c r="J22" s="212"/>
      <c r="K22" s="212"/>
      <c r="L22" s="212"/>
      <c r="M22" s="212"/>
      <c r="N22" s="212"/>
      <c r="O22" s="212"/>
      <c r="P22" s="212"/>
      <c r="Q22" s="212"/>
      <c r="R22" s="212"/>
      <c r="S22" s="212"/>
      <c r="T22" s="212"/>
      <c r="U22" s="212"/>
      <c r="V22" s="212"/>
      <c r="W22" s="212"/>
      <c r="X22" s="212"/>
      <c r="Y22" s="212"/>
      <c r="Z22" s="212"/>
      <c r="AA22" s="212"/>
      <c r="AB22" s="212"/>
      <c r="AC22" s="212"/>
      <c r="AD22" s="212"/>
      <c r="AE22" s="212"/>
      <c r="AF22" s="212"/>
      <c r="AG22" s="212"/>
      <c r="AH22" s="212"/>
      <c r="AI22" s="212"/>
      <c r="AJ22" s="212"/>
      <c r="AK22" s="212"/>
      <c r="AL22" s="212"/>
      <c r="AM22" s="212"/>
      <c r="AN22" s="212"/>
      <c r="AO22" s="212"/>
      <c r="AP22" s="212"/>
      <c r="AQ22" s="212"/>
      <c r="AR22" s="212"/>
      <c r="AS22" s="212"/>
      <c r="AT22" s="212"/>
      <c r="AU22" s="212"/>
      <c r="AW22" s="253"/>
    </row>
    <row r="23" spans="1:49" s="244" customFormat="1" ht="45" customHeight="1" x14ac:dyDescent="0.25">
      <c r="A23" s="239" t="str">
        <f>"Ecarts "&amp;Résultats!B1&amp;"  - TEND"</f>
        <v>Ecarts SNBC3  - TEND</v>
      </c>
      <c r="B23" s="266" t="s">
        <v>475</v>
      </c>
      <c r="C23" s="242">
        <v>2006</v>
      </c>
      <c r="D23" s="242">
        <v>2007</v>
      </c>
      <c r="E23" s="242">
        <v>2008</v>
      </c>
      <c r="F23" s="242">
        <v>2009</v>
      </c>
      <c r="G23" s="242">
        <v>2010</v>
      </c>
      <c r="H23" s="242">
        <v>2011</v>
      </c>
      <c r="I23" s="242">
        <v>2012</v>
      </c>
      <c r="J23" s="242">
        <v>2013</v>
      </c>
      <c r="K23" s="242">
        <v>2014</v>
      </c>
      <c r="L23" s="242">
        <v>2015</v>
      </c>
      <c r="M23" s="242">
        <v>2016</v>
      </c>
      <c r="N23" s="242">
        <v>2017</v>
      </c>
      <c r="O23" s="242">
        <v>2018</v>
      </c>
      <c r="P23" s="242">
        <v>2019</v>
      </c>
      <c r="Q23" s="242">
        <v>2020</v>
      </c>
      <c r="R23" s="242">
        <v>2021</v>
      </c>
      <c r="S23" s="242">
        <v>2022</v>
      </c>
      <c r="T23" s="242">
        <v>2023</v>
      </c>
      <c r="U23" s="242">
        <v>2024</v>
      </c>
      <c r="V23" s="242">
        <v>2025</v>
      </c>
      <c r="W23" s="242">
        <v>2026</v>
      </c>
      <c r="X23" s="242">
        <v>2027</v>
      </c>
      <c r="Y23" s="242">
        <v>2028</v>
      </c>
      <c r="Z23" s="242">
        <v>2029</v>
      </c>
      <c r="AA23" s="242">
        <v>2030</v>
      </c>
      <c r="AB23" s="242">
        <v>2031</v>
      </c>
      <c r="AC23" s="242">
        <v>2032</v>
      </c>
      <c r="AD23" s="242">
        <v>2033</v>
      </c>
      <c r="AE23" s="242">
        <v>2034</v>
      </c>
      <c r="AF23" s="242">
        <v>2035</v>
      </c>
      <c r="AG23" s="242">
        <v>2036</v>
      </c>
      <c r="AH23" s="242">
        <v>2037</v>
      </c>
      <c r="AI23" s="242">
        <v>2038</v>
      </c>
      <c r="AJ23" s="242">
        <v>2039</v>
      </c>
      <c r="AK23" s="242">
        <v>2040</v>
      </c>
      <c r="AL23" s="242">
        <v>2041</v>
      </c>
      <c r="AM23" s="242">
        <v>2042</v>
      </c>
      <c r="AN23" s="242">
        <v>2043</v>
      </c>
      <c r="AO23" s="242">
        <v>2044</v>
      </c>
      <c r="AP23" s="242">
        <v>2045</v>
      </c>
      <c r="AQ23" s="242">
        <v>2046</v>
      </c>
      <c r="AR23" s="242">
        <v>2047</v>
      </c>
      <c r="AS23" s="242">
        <v>2048</v>
      </c>
      <c r="AT23" s="242">
        <v>2049</v>
      </c>
      <c r="AU23" s="243">
        <v>2050</v>
      </c>
      <c r="AV23" s="267"/>
    </row>
    <row r="24" spans="1:49" x14ac:dyDescent="0.25">
      <c r="B24" s="245" t="s">
        <v>1</v>
      </c>
      <c r="C24" s="247">
        <f t="shared" ref="C24:AU25" si="7">C2-C13</f>
        <v>0</v>
      </c>
      <c r="D24" s="247">
        <f t="shared" si="7"/>
        <v>0</v>
      </c>
      <c r="E24" s="247">
        <f t="shared" si="7"/>
        <v>0</v>
      </c>
      <c r="F24" s="247">
        <f t="shared" si="7"/>
        <v>0</v>
      </c>
      <c r="G24" s="247">
        <f t="shared" si="7"/>
        <v>0</v>
      </c>
      <c r="H24" s="247">
        <f t="shared" si="7"/>
        <v>0</v>
      </c>
      <c r="I24" s="247">
        <f t="shared" si="7"/>
        <v>0</v>
      </c>
      <c r="J24" s="247">
        <f t="shared" si="7"/>
        <v>0</v>
      </c>
      <c r="K24" s="247">
        <f t="shared" si="7"/>
        <v>0</v>
      </c>
      <c r="L24" s="247">
        <f t="shared" si="7"/>
        <v>0</v>
      </c>
      <c r="M24" s="247">
        <f t="shared" si="7"/>
        <v>0</v>
      </c>
      <c r="N24" s="247">
        <f t="shared" si="7"/>
        <v>0</v>
      </c>
      <c r="O24" s="247">
        <f t="shared" si="7"/>
        <v>0</v>
      </c>
      <c r="P24" s="247">
        <f t="shared" si="7"/>
        <v>0</v>
      </c>
      <c r="Q24" s="247">
        <f t="shared" si="7"/>
        <v>778.15311999991536</v>
      </c>
      <c r="R24" s="247">
        <f t="shared" si="7"/>
        <v>-639.65474999998696</v>
      </c>
      <c r="S24" s="247">
        <f t="shared" si="7"/>
        <v>-605.97421999997459</v>
      </c>
      <c r="T24" s="247">
        <f t="shared" si="7"/>
        <v>-375.91837999993004</v>
      </c>
      <c r="U24" s="247">
        <f t="shared" si="7"/>
        <v>-242.90616000001319</v>
      </c>
      <c r="V24" s="247">
        <f t="shared" si="7"/>
        <v>8206.4043600000441</v>
      </c>
      <c r="W24" s="247">
        <f t="shared" si="7"/>
        <v>8231.4137199998368</v>
      </c>
      <c r="X24" s="247">
        <f t="shared" si="7"/>
        <v>8204.0298600001261</v>
      </c>
      <c r="Y24" s="247">
        <f t="shared" si="7"/>
        <v>8199.7673599999398</v>
      </c>
      <c r="Z24" s="247">
        <f t="shared" si="7"/>
        <v>8207.8262899999972</v>
      </c>
      <c r="AA24" s="247">
        <f t="shared" si="7"/>
        <v>11271.252039999934</v>
      </c>
      <c r="AB24" s="247">
        <f t="shared" si="7"/>
        <v>11136.907729999861</v>
      </c>
      <c r="AC24" s="247">
        <f t="shared" si="7"/>
        <v>11160.709220000077</v>
      </c>
      <c r="AD24" s="247">
        <f t="shared" si="7"/>
        <v>11169.251089999918</v>
      </c>
      <c r="AE24" s="247">
        <f t="shared" si="7"/>
        <v>11168.392480000155</v>
      </c>
      <c r="AF24" s="247">
        <f t="shared" si="7"/>
        <v>11419.2756500002</v>
      </c>
      <c r="AG24" s="247">
        <f t="shared" si="7"/>
        <v>11390.689000000013</v>
      </c>
      <c r="AH24" s="247">
        <f t="shared" si="7"/>
        <v>11355.733329999959</v>
      </c>
      <c r="AI24" s="247">
        <f t="shared" si="7"/>
        <v>11310.271900000051</v>
      </c>
      <c r="AJ24" s="247">
        <f t="shared" si="7"/>
        <v>11250.567000000039</v>
      </c>
      <c r="AK24" s="247">
        <f t="shared" si="7"/>
        <v>11172.810210000025</v>
      </c>
      <c r="AL24" s="247">
        <f t="shared" si="7"/>
        <v>11135.509100000141</v>
      </c>
      <c r="AM24" s="247">
        <f t="shared" si="7"/>
        <v>11041.75821999996</v>
      </c>
      <c r="AN24" s="247">
        <f t="shared" si="7"/>
        <v>10909.310159999877</v>
      </c>
      <c r="AO24" s="247">
        <f t="shared" si="7"/>
        <v>10740.381119999802</v>
      </c>
      <c r="AP24" s="247">
        <f t="shared" si="7"/>
        <v>10584.010450000176</v>
      </c>
      <c r="AQ24" s="247">
        <f t="shared" si="7"/>
        <v>10623.373340000166</v>
      </c>
      <c r="AR24" s="247">
        <f t="shared" si="7"/>
        <v>10465.580710000126</v>
      </c>
      <c r="AS24" s="247">
        <f t="shared" si="7"/>
        <v>10179.339759999886</v>
      </c>
      <c r="AT24" s="247">
        <f t="shared" si="7"/>
        <v>9773.0925099998713</v>
      </c>
      <c r="AU24" s="247">
        <f t="shared" si="7"/>
        <v>9240.5453899998683</v>
      </c>
      <c r="AV24" s="268"/>
    </row>
    <row r="25" spans="1:49" x14ac:dyDescent="0.25">
      <c r="B25" s="249" t="s">
        <v>466</v>
      </c>
      <c r="C25" s="251">
        <f t="shared" si="7"/>
        <v>0</v>
      </c>
      <c r="D25" s="251">
        <f t="shared" si="7"/>
        <v>0</v>
      </c>
      <c r="E25" s="251">
        <f t="shared" si="7"/>
        <v>0</v>
      </c>
      <c r="F25" s="251">
        <f t="shared" si="7"/>
        <v>0</v>
      </c>
      <c r="G25" s="251">
        <f t="shared" si="7"/>
        <v>0</v>
      </c>
      <c r="H25" s="251">
        <f t="shared" si="7"/>
        <v>0</v>
      </c>
      <c r="I25" s="251">
        <f t="shared" si="7"/>
        <v>0</v>
      </c>
      <c r="J25" s="251">
        <f t="shared" si="7"/>
        <v>0</v>
      </c>
      <c r="K25" s="251">
        <f t="shared" si="7"/>
        <v>0</v>
      </c>
      <c r="L25" s="251">
        <f t="shared" si="7"/>
        <v>0</v>
      </c>
      <c r="M25" s="251">
        <f t="shared" si="7"/>
        <v>0</v>
      </c>
      <c r="N25" s="251">
        <f t="shared" si="7"/>
        <v>0</v>
      </c>
      <c r="O25" s="251">
        <f t="shared" si="7"/>
        <v>0</v>
      </c>
      <c r="P25" s="251">
        <f t="shared" si="7"/>
        <v>0</v>
      </c>
      <c r="Q25" s="251">
        <f t="shared" si="7"/>
        <v>0</v>
      </c>
      <c r="R25" s="251">
        <f t="shared" si="7"/>
        <v>0</v>
      </c>
      <c r="S25" s="251">
        <f t="shared" si="7"/>
        <v>0</v>
      </c>
      <c r="T25" s="251">
        <f t="shared" si="7"/>
        <v>0</v>
      </c>
      <c r="U25" s="251">
        <f t="shared" si="7"/>
        <v>12.35863000000063</v>
      </c>
      <c r="V25" s="251">
        <f t="shared" si="7"/>
        <v>32.718700000001263</v>
      </c>
      <c r="W25" s="251">
        <f t="shared" si="7"/>
        <v>42.973830000000817</v>
      </c>
      <c r="X25" s="251">
        <f t="shared" si="7"/>
        <v>48.117969999999332</v>
      </c>
      <c r="Y25" s="251">
        <f t="shared" si="7"/>
        <v>53.584790000000794</v>
      </c>
      <c r="Z25" s="251">
        <f t="shared" si="7"/>
        <v>58.881900000000314</v>
      </c>
      <c r="AA25" s="251">
        <f t="shared" si="7"/>
        <v>63.251369999999952</v>
      </c>
      <c r="AB25" s="251">
        <f t="shared" si="7"/>
        <v>67.322630000000572</v>
      </c>
      <c r="AC25" s="251">
        <f t="shared" si="7"/>
        <v>71.057319999999891</v>
      </c>
      <c r="AD25" s="251">
        <f t="shared" si="7"/>
        <v>74.926739999998972</v>
      </c>
      <c r="AE25" s="251">
        <f t="shared" si="7"/>
        <v>77.732270000000426</v>
      </c>
      <c r="AF25" s="251">
        <f t="shared" si="7"/>
        <v>79.972129999998288</v>
      </c>
      <c r="AG25" s="251">
        <f t="shared" si="7"/>
        <v>81.381910000000062</v>
      </c>
      <c r="AH25" s="251">
        <f t="shared" si="7"/>
        <v>82.590359999998327</v>
      </c>
      <c r="AI25" s="251">
        <f t="shared" si="7"/>
        <v>83.455699999998615</v>
      </c>
      <c r="AJ25" s="251">
        <f t="shared" si="7"/>
        <v>84.095339999999851</v>
      </c>
      <c r="AK25" s="251">
        <f t="shared" si="7"/>
        <v>84.14516999999978</v>
      </c>
      <c r="AL25" s="251">
        <f t="shared" si="7"/>
        <v>83.60931999999957</v>
      </c>
      <c r="AM25" s="251">
        <f t="shared" si="7"/>
        <v>83.258889999997336</v>
      </c>
      <c r="AN25" s="251">
        <f t="shared" si="7"/>
        <v>82.559980000001815</v>
      </c>
      <c r="AO25" s="251">
        <f t="shared" si="7"/>
        <v>81.09823999999935</v>
      </c>
      <c r="AP25" s="251">
        <f t="shared" si="7"/>
        <v>78.37159000000247</v>
      </c>
      <c r="AQ25" s="251">
        <f t="shared" si="7"/>
        <v>73.078269999998156</v>
      </c>
      <c r="AR25" s="251">
        <f t="shared" si="7"/>
        <v>66.620999999999185</v>
      </c>
      <c r="AS25" s="251">
        <f t="shared" si="7"/>
        <v>59.053549999996903</v>
      </c>
      <c r="AT25" s="251">
        <f t="shared" si="7"/>
        <v>45.927609999998822</v>
      </c>
      <c r="AU25" s="251">
        <f t="shared" si="7"/>
        <v>30.425759999998263</v>
      </c>
      <c r="AV25" s="268"/>
    </row>
    <row r="26" spans="1:49" x14ac:dyDescent="0.25">
      <c r="B26" s="254" t="s">
        <v>467</v>
      </c>
      <c r="C26" s="256">
        <f t="shared" ref="C26:E26" si="8">SUM(C27:C28)</f>
        <v>0</v>
      </c>
      <c r="D26" s="256">
        <f t="shared" si="8"/>
        <v>0</v>
      </c>
      <c r="E26" s="256">
        <f t="shared" si="8"/>
        <v>0</v>
      </c>
      <c r="F26" s="256">
        <f>SUM(F27:F28)</f>
        <v>0</v>
      </c>
      <c r="G26" s="256">
        <f t="shared" ref="G26:AU26" si="9">SUM(G27:G28)</f>
        <v>0</v>
      </c>
      <c r="H26" s="256">
        <f t="shared" si="9"/>
        <v>0</v>
      </c>
      <c r="I26" s="256">
        <f t="shared" si="9"/>
        <v>0</v>
      </c>
      <c r="J26" s="256">
        <f t="shared" si="9"/>
        <v>0</v>
      </c>
      <c r="K26" s="256">
        <f t="shared" si="9"/>
        <v>0</v>
      </c>
      <c r="L26" s="256">
        <f t="shared" si="9"/>
        <v>0</v>
      </c>
      <c r="M26" s="256">
        <f t="shared" si="9"/>
        <v>0</v>
      </c>
      <c r="N26" s="256">
        <f t="shared" si="9"/>
        <v>0</v>
      </c>
      <c r="O26" s="256">
        <f t="shared" si="9"/>
        <v>0</v>
      </c>
      <c r="P26" s="256">
        <f t="shared" si="9"/>
        <v>0</v>
      </c>
      <c r="Q26" s="256">
        <f t="shared" si="9"/>
        <v>0</v>
      </c>
      <c r="R26" s="256">
        <f t="shared" si="9"/>
        <v>0</v>
      </c>
      <c r="S26" s="256">
        <f t="shared" si="9"/>
        <v>0</v>
      </c>
      <c r="T26" s="256">
        <f t="shared" si="9"/>
        <v>0</v>
      </c>
      <c r="U26" s="256">
        <f t="shared" si="9"/>
        <v>-1.4448399999746471</v>
      </c>
      <c r="V26" s="256">
        <f t="shared" si="9"/>
        <v>13.583029999987048</v>
      </c>
      <c r="W26" s="256">
        <f t="shared" si="9"/>
        <v>86.172879999983707</v>
      </c>
      <c r="X26" s="256">
        <f t="shared" si="9"/>
        <v>182.80741000000125</v>
      </c>
      <c r="Y26" s="256">
        <f t="shared" si="9"/>
        <v>274.56631000000198</v>
      </c>
      <c r="Z26" s="256">
        <f t="shared" si="9"/>
        <v>365.36757000000216</v>
      </c>
      <c r="AA26" s="256">
        <f t="shared" si="9"/>
        <v>-51.574400000012247</v>
      </c>
      <c r="AB26" s="256">
        <f t="shared" si="9"/>
        <v>837.31085999998322</v>
      </c>
      <c r="AC26" s="256">
        <f t="shared" si="9"/>
        <v>1006.5226400000247</v>
      </c>
      <c r="AD26" s="256">
        <f t="shared" si="9"/>
        <v>1160.780780000001</v>
      </c>
      <c r="AE26" s="256">
        <f t="shared" si="9"/>
        <v>1303.8003200000094</v>
      </c>
      <c r="AF26" s="256">
        <f t="shared" si="9"/>
        <v>1827.8459400000065</v>
      </c>
      <c r="AG26" s="256">
        <f t="shared" si="9"/>
        <v>2057.2792300000146</v>
      </c>
      <c r="AH26" s="256">
        <f t="shared" si="9"/>
        <v>2237.6329200000109</v>
      </c>
      <c r="AI26" s="256">
        <f t="shared" si="9"/>
        <v>2388.0728500000114</v>
      </c>
      <c r="AJ26" s="256">
        <f t="shared" si="9"/>
        <v>2515.5555600000152</v>
      </c>
      <c r="AK26" s="256">
        <f t="shared" si="9"/>
        <v>2623.0025100000057</v>
      </c>
      <c r="AL26" s="256">
        <f t="shared" si="9"/>
        <v>2717.4699700000056</v>
      </c>
      <c r="AM26" s="256">
        <f t="shared" si="9"/>
        <v>2796.0842699999994</v>
      </c>
      <c r="AN26" s="256">
        <f t="shared" si="9"/>
        <v>2866.1089399999837</v>
      </c>
      <c r="AO26" s="256">
        <f t="shared" si="9"/>
        <v>2928.6489799999908</v>
      </c>
      <c r="AP26" s="256">
        <f t="shared" si="9"/>
        <v>3984.6646600000095</v>
      </c>
      <c r="AQ26" s="256">
        <f t="shared" si="9"/>
        <v>4243.4781300000031</v>
      </c>
      <c r="AR26" s="256">
        <f t="shared" si="9"/>
        <v>4357.8626000000149</v>
      </c>
      <c r="AS26" s="256">
        <f t="shared" si="9"/>
        <v>4394.5292499999778</v>
      </c>
      <c r="AT26" s="256">
        <f t="shared" si="9"/>
        <v>4379.7974600000016</v>
      </c>
      <c r="AU26" s="256">
        <f t="shared" si="9"/>
        <v>-3006.7176999999792</v>
      </c>
      <c r="AV26" s="268"/>
    </row>
    <row r="27" spans="1:49" x14ac:dyDescent="0.25">
      <c r="B27" s="258" t="s">
        <v>468</v>
      </c>
      <c r="C27" s="212">
        <f t="shared" ref="C27:AU28" si="10">C5-C16</f>
        <v>0</v>
      </c>
      <c r="D27" s="212">
        <f t="shared" si="10"/>
        <v>0</v>
      </c>
      <c r="E27" s="212">
        <f t="shared" si="10"/>
        <v>0</v>
      </c>
      <c r="F27" s="212">
        <f t="shared" si="10"/>
        <v>0</v>
      </c>
      <c r="G27" s="212">
        <f t="shared" si="10"/>
        <v>0</v>
      </c>
      <c r="H27" s="212">
        <f t="shared" si="10"/>
        <v>0</v>
      </c>
      <c r="I27" s="212">
        <f t="shared" si="10"/>
        <v>0</v>
      </c>
      <c r="J27" s="212">
        <f t="shared" si="10"/>
        <v>0</v>
      </c>
      <c r="K27" s="212">
        <f t="shared" si="10"/>
        <v>0</v>
      </c>
      <c r="L27" s="212">
        <f t="shared" si="10"/>
        <v>0</v>
      </c>
      <c r="M27" s="212">
        <f t="shared" si="10"/>
        <v>0</v>
      </c>
      <c r="N27" s="212">
        <f t="shared" si="10"/>
        <v>0</v>
      </c>
      <c r="O27" s="212">
        <f t="shared" si="10"/>
        <v>0</v>
      </c>
      <c r="P27" s="212">
        <f t="shared" si="10"/>
        <v>0</v>
      </c>
      <c r="Q27" s="212">
        <f t="shared" si="10"/>
        <v>0</v>
      </c>
      <c r="R27" s="212">
        <f t="shared" si="10"/>
        <v>0</v>
      </c>
      <c r="S27" s="212">
        <f t="shared" si="10"/>
        <v>0</v>
      </c>
      <c r="T27" s="212">
        <f t="shared" si="10"/>
        <v>0</v>
      </c>
      <c r="U27" s="212">
        <f t="shared" si="10"/>
        <v>-14.963899999973364</v>
      </c>
      <c r="V27" s="212">
        <f t="shared" si="10"/>
        <v>-19.65590000001248</v>
      </c>
      <c r="W27" s="212">
        <f t="shared" si="10"/>
        <v>50.601399999985006</v>
      </c>
      <c r="X27" s="212">
        <f t="shared" si="10"/>
        <v>150.39290000000619</v>
      </c>
      <c r="Y27" s="212">
        <f t="shared" si="10"/>
        <v>244.74809999999707</v>
      </c>
      <c r="Z27" s="212">
        <f t="shared" si="10"/>
        <v>337.87690000000293</v>
      </c>
      <c r="AA27" s="212">
        <f t="shared" si="10"/>
        <v>620.50839999999152</v>
      </c>
      <c r="AB27" s="212">
        <f t="shared" si="10"/>
        <v>810.75459999998566</v>
      </c>
      <c r="AC27" s="212">
        <f t="shared" si="10"/>
        <v>986.64200000002165</v>
      </c>
      <c r="AD27" s="212">
        <f t="shared" si="10"/>
        <v>1147.082699999999</v>
      </c>
      <c r="AE27" s="212">
        <f t="shared" si="10"/>
        <v>1297.5448000000033</v>
      </c>
      <c r="AF27" s="212">
        <f t="shared" si="10"/>
        <v>1809.3109000000113</v>
      </c>
      <c r="AG27" s="212">
        <f t="shared" si="10"/>
        <v>2056.512000000017</v>
      </c>
      <c r="AH27" s="212">
        <f t="shared" si="10"/>
        <v>2249.4720000000088</v>
      </c>
      <c r="AI27" s="212">
        <f t="shared" si="10"/>
        <v>2410.4647000000114</v>
      </c>
      <c r="AJ27" s="212">
        <f t="shared" si="10"/>
        <v>2547.7314000000188</v>
      </c>
      <c r="AK27" s="212">
        <f t="shared" si="10"/>
        <v>2664.7520000000077</v>
      </c>
      <c r="AL27" s="212">
        <f t="shared" si="10"/>
        <v>2770.8273000000045</v>
      </c>
      <c r="AM27" s="212">
        <f t="shared" si="10"/>
        <v>2861.0620000000054</v>
      </c>
      <c r="AN27" s="212">
        <f t="shared" si="10"/>
        <v>2942.9824999999837</v>
      </c>
      <c r="AO27" s="212">
        <f t="shared" si="10"/>
        <v>3018.3244999999879</v>
      </c>
      <c r="AP27" s="212">
        <f t="shared" si="10"/>
        <v>4037.450600000011</v>
      </c>
      <c r="AQ27" s="212">
        <f t="shared" si="10"/>
        <v>4338.9394000000029</v>
      </c>
      <c r="AR27" s="212">
        <f t="shared" si="10"/>
        <v>4482.6443000000145</v>
      </c>
      <c r="AS27" s="212">
        <f t="shared" si="10"/>
        <v>4544.5044999999809</v>
      </c>
      <c r="AT27" s="212">
        <f t="shared" si="10"/>
        <v>4555.3138000000035</v>
      </c>
      <c r="AU27" s="212">
        <f t="shared" si="10"/>
        <v>4526.2820000000356</v>
      </c>
      <c r="AV27" s="268"/>
    </row>
    <row r="28" spans="1:49" x14ac:dyDescent="0.25">
      <c r="B28" s="261" t="s">
        <v>469</v>
      </c>
      <c r="C28" s="263">
        <f t="shared" si="10"/>
        <v>0</v>
      </c>
      <c r="D28" s="263">
        <f t="shared" si="10"/>
        <v>0</v>
      </c>
      <c r="E28" s="263">
        <f t="shared" si="10"/>
        <v>0</v>
      </c>
      <c r="F28" s="263">
        <f t="shared" si="10"/>
        <v>0</v>
      </c>
      <c r="G28" s="263">
        <f t="shared" si="10"/>
        <v>0</v>
      </c>
      <c r="H28" s="263">
        <f t="shared" si="10"/>
        <v>0</v>
      </c>
      <c r="I28" s="263">
        <f t="shared" si="10"/>
        <v>0</v>
      </c>
      <c r="J28" s="263">
        <f t="shared" si="10"/>
        <v>0</v>
      </c>
      <c r="K28" s="263">
        <f t="shared" si="10"/>
        <v>0</v>
      </c>
      <c r="L28" s="263">
        <f t="shared" si="10"/>
        <v>0</v>
      </c>
      <c r="M28" s="263">
        <f t="shared" si="10"/>
        <v>0</v>
      </c>
      <c r="N28" s="263">
        <f t="shared" si="10"/>
        <v>0</v>
      </c>
      <c r="O28" s="263">
        <f t="shared" si="10"/>
        <v>0</v>
      </c>
      <c r="P28" s="263">
        <f t="shared" si="10"/>
        <v>0</v>
      </c>
      <c r="Q28" s="263">
        <f t="shared" si="10"/>
        <v>0</v>
      </c>
      <c r="R28" s="263">
        <f t="shared" si="10"/>
        <v>0</v>
      </c>
      <c r="S28" s="263">
        <f t="shared" si="10"/>
        <v>0</v>
      </c>
      <c r="T28" s="263">
        <f t="shared" si="10"/>
        <v>0</v>
      </c>
      <c r="U28" s="263">
        <f t="shared" si="10"/>
        <v>13.519059999998717</v>
      </c>
      <c r="V28" s="263">
        <f t="shared" si="10"/>
        <v>33.238929999999527</v>
      </c>
      <c r="W28" s="263">
        <f t="shared" si="10"/>
        <v>35.571479999998701</v>
      </c>
      <c r="X28" s="263">
        <f t="shared" si="10"/>
        <v>32.414509999995062</v>
      </c>
      <c r="Y28" s="263">
        <f t="shared" si="10"/>
        <v>29.81821000000491</v>
      </c>
      <c r="Z28" s="263">
        <f t="shared" si="10"/>
        <v>27.490669999999227</v>
      </c>
      <c r="AA28" s="263">
        <f t="shared" si="10"/>
        <v>-672.08280000000377</v>
      </c>
      <c r="AB28" s="263">
        <f t="shared" si="10"/>
        <v>26.556259999997565</v>
      </c>
      <c r="AC28" s="263">
        <f t="shared" si="10"/>
        <v>19.880640000003041</v>
      </c>
      <c r="AD28" s="263">
        <f t="shared" si="10"/>
        <v>13.698080000001937</v>
      </c>
      <c r="AE28" s="263">
        <f t="shared" si="10"/>
        <v>6.2555200000060722</v>
      </c>
      <c r="AF28" s="263">
        <f t="shared" si="10"/>
        <v>18.535039999995206</v>
      </c>
      <c r="AG28" s="263">
        <f t="shared" si="10"/>
        <v>0.76722999999765307</v>
      </c>
      <c r="AH28" s="263">
        <f t="shared" si="10"/>
        <v>-11.839079999997921</v>
      </c>
      <c r="AI28" s="263">
        <f t="shared" si="10"/>
        <v>-22.391849999999977</v>
      </c>
      <c r="AJ28" s="263">
        <f t="shared" si="10"/>
        <v>-32.175840000003518</v>
      </c>
      <c r="AK28" s="263">
        <f t="shared" si="10"/>
        <v>-41.74949000000197</v>
      </c>
      <c r="AL28" s="263">
        <f t="shared" si="10"/>
        <v>-53.35732999999891</v>
      </c>
      <c r="AM28" s="263">
        <f t="shared" si="10"/>
        <v>-64.977730000005977</v>
      </c>
      <c r="AN28" s="263">
        <f t="shared" si="10"/>
        <v>-76.873559999999998</v>
      </c>
      <c r="AO28" s="263">
        <f t="shared" si="10"/>
        <v>-89.67551999999705</v>
      </c>
      <c r="AP28" s="263">
        <f t="shared" si="10"/>
        <v>-52.785940000001574</v>
      </c>
      <c r="AQ28" s="263">
        <f t="shared" si="10"/>
        <v>-95.461269999999786</v>
      </c>
      <c r="AR28" s="263">
        <f t="shared" si="10"/>
        <v>-124.78169999999955</v>
      </c>
      <c r="AS28" s="263">
        <f t="shared" si="10"/>
        <v>-149.97525000000314</v>
      </c>
      <c r="AT28" s="263">
        <f t="shared" si="10"/>
        <v>-175.51634000000195</v>
      </c>
      <c r="AU28" s="263">
        <f t="shared" si="10"/>
        <v>-7532.9997000000149</v>
      </c>
      <c r="AV28" s="268"/>
    </row>
    <row r="29" spans="1:49" x14ac:dyDescent="0.25">
      <c r="B29" s="258" t="s">
        <v>470</v>
      </c>
      <c r="C29" s="212">
        <f t="shared" ref="C29:E29" si="11">SUM(C30:C31)</f>
        <v>0</v>
      </c>
      <c r="D29" s="212">
        <f t="shared" si="11"/>
        <v>0</v>
      </c>
      <c r="E29" s="212">
        <f t="shared" si="11"/>
        <v>0</v>
      </c>
      <c r="F29" s="212">
        <f>SUM(F30:F31)</f>
        <v>0</v>
      </c>
      <c r="G29" s="212">
        <f t="shared" ref="G29:AU29" si="12">SUM(G30:G31)</f>
        <v>0</v>
      </c>
      <c r="H29" s="212">
        <f t="shared" si="12"/>
        <v>0</v>
      </c>
      <c r="I29" s="212">
        <f t="shared" si="12"/>
        <v>0</v>
      </c>
      <c r="J29" s="212">
        <f t="shared" si="12"/>
        <v>0</v>
      </c>
      <c r="K29" s="212">
        <f t="shared" si="12"/>
        <v>0</v>
      </c>
      <c r="L29" s="212">
        <f t="shared" si="12"/>
        <v>0</v>
      </c>
      <c r="M29" s="212">
        <f t="shared" si="12"/>
        <v>0</v>
      </c>
      <c r="N29" s="212">
        <f t="shared" si="12"/>
        <v>0</v>
      </c>
      <c r="O29" s="212">
        <f t="shared" si="12"/>
        <v>0</v>
      </c>
      <c r="P29" s="212">
        <f t="shared" si="12"/>
        <v>0</v>
      </c>
      <c r="Q29" s="212">
        <f t="shared" si="12"/>
        <v>0</v>
      </c>
      <c r="R29" s="212">
        <f t="shared" si="12"/>
        <v>0</v>
      </c>
      <c r="S29" s="212">
        <f t="shared" si="12"/>
        <v>0</v>
      </c>
      <c r="T29" s="212">
        <f t="shared" si="12"/>
        <v>0</v>
      </c>
      <c r="U29" s="212">
        <f t="shared" si="12"/>
        <v>97.234899999893969</v>
      </c>
      <c r="V29" s="212">
        <f t="shared" si="12"/>
        <v>365.51010000007227</v>
      </c>
      <c r="W29" s="212">
        <f t="shared" si="12"/>
        <v>423.86180000001332</v>
      </c>
      <c r="X29" s="212">
        <f t="shared" si="12"/>
        <v>360.57839999999851</v>
      </c>
      <c r="Y29" s="212">
        <f t="shared" si="12"/>
        <v>278.81719999999041</v>
      </c>
      <c r="Z29" s="212">
        <f t="shared" si="12"/>
        <v>191.60459999999148</v>
      </c>
      <c r="AA29" s="212">
        <f t="shared" si="12"/>
        <v>382.76146000000881</v>
      </c>
      <c r="AB29" s="212">
        <f t="shared" si="12"/>
        <v>-475.27670000004582</v>
      </c>
      <c r="AC29" s="212">
        <f t="shared" si="12"/>
        <v>-659.93990000002668</v>
      </c>
      <c r="AD29" s="212">
        <f t="shared" si="12"/>
        <v>-850.38880000004428</v>
      </c>
      <c r="AE29" s="212">
        <f t="shared" si="12"/>
        <v>-1054.3479000000807</v>
      </c>
      <c r="AF29" s="212">
        <f t="shared" si="12"/>
        <v>-1998.1936999999743</v>
      </c>
      <c r="AG29" s="212">
        <f t="shared" si="12"/>
        <v>-2182.8712999999989</v>
      </c>
      <c r="AH29" s="212">
        <f t="shared" si="12"/>
        <v>-2414.4776999999594</v>
      </c>
      <c r="AI29" s="212">
        <f t="shared" si="12"/>
        <v>-2665.0399000000616</v>
      </c>
      <c r="AJ29" s="212">
        <f t="shared" si="12"/>
        <v>-2919.0567999999912</v>
      </c>
      <c r="AK29" s="212">
        <f t="shared" si="12"/>
        <v>-3174.9022999999579</v>
      </c>
      <c r="AL29" s="212">
        <f t="shared" si="12"/>
        <v>-3464.4222999999765</v>
      </c>
      <c r="AM29" s="212">
        <f t="shared" si="12"/>
        <v>-3751.6470000000554</v>
      </c>
      <c r="AN29" s="212">
        <f t="shared" si="12"/>
        <v>-4051.4418000000005</v>
      </c>
      <c r="AO29" s="212">
        <f t="shared" si="12"/>
        <v>-4370.3677000000316</v>
      </c>
      <c r="AP29" s="212">
        <f t="shared" si="12"/>
        <v>-6524.2006999999285</v>
      </c>
      <c r="AQ29" s="212">
        <f t="shared" si="12"/>
        <v>-6756.5675999999512</v>
      </c>
      <c r="AR29" s="212">
        <f t="shared" si="12"/>
        <v>-7088.4433000001009</v>
      </c>
      <c r="AS29" s="212">
        <f t="shared" si="12"/>
        <v>-7488.0532000000821</v>
      </c>
      <c r="AT29" s="212">
        <f t="shared" si="12"/>
        <v>-7954.7426999999443</v>
      </c>
      <c r="AU29" s="212">
        <f t="shared" si="12"/>
        <v>-1174.844260000049</v>
      </c>
      <c r="AV29" s="268"/>
    </row>
    <row r="30" spans="1:49" x14ac:dyDescent="0.25">
      <c r="B30" s="258" t="s">
        <v>471</v>
      </c>
      <c r="C30" s="212">
        <f t="shared" ref="C30:AU31" si="13">C8-C19</f>
        <v>0</v>
      </c>
      <c r="D30" s="212">
        <f t="shared" si="13"/>
        <v>0</v>
      </c>
      <c r="E30" s="212">
        <f t="shared" si="13"/>
        <v>0</v>
      </c>
      <c r="F30" s="212">
        <f t="shared" si="13"/>
        <v>0</v>
      </c>
      <c r="G30" s="212">
        <f t="shared" si="13"/>
        <v>0</v>
      </c>
      <c r="H30" s="212">
        <f t="shared" si="13"/>
        <v>0</v>
      </c>
      <c r="I30" s="212">
        <f t="shared" si="13"/>
        <v>0</v>
      </c>
      <c r="J30" s="212">
        <f t="shared" si="13"/>
        <v>0</v>
      </c>
      <c r="K30" s="212">
        <f t="shared" si="13"/>
        <v>0</v>
      </c>
      <c r="L30" s="212">
        <f t="shared" si="13"/>
        <v>0</v>
      </c>
      <c r="M30" s="212">
        <f t="shared" si="13"/>
        <v>0</v>
      </c>
      <c r="N30" s="212">
        <f t="shared" si="13"/>
        <v>0</v>
      </c>
      <c r="O30" s="212">
        <f t="shared" si="13"/>
        <v>0</v>
      </c>
      <c r="P30" s="212">
        <f t="shared" si="13"/>
        <v>0</v>
      </c>
      <c r="Q30" s="212">
        <f t="shared" si="13"/>
        <v>0</v>
      </c>
      <c r="R30" s="212">
        <f t="shared" si="13"/>
        <v>0</v>
      </c>
      <c r="S30" s="212">
        <f t="shared" si="13"/>
        <v>0</v>
      </c>
      <c r="T30" s="212">
        <f t="shared" si="13"/>
        <v>0</v>
      </c>
      <c r="U30" s="212">
        <f t="shared" si="13"/>
        <v>78.029999999911524</v>
      </c>
      <c r="V30" s="212">
        <f t="shared" si="13"/>
        <v>232.84000000008382</v>
      </c>
      <c r="W30" s="212">
        <f t="shared" si="13"/>
        <v>308.65480000001844</v>
      </c>
      <c r="X30" s="212">
        <f t="shared" si="13"/>
        <v>333.54940000001807</v>
      </c>
      <c r="Y30" s="212">
        <f t="shared" si="13"/>
        <v>352.4939000000013</v>
      </c>
      <c r="Z30" s="212">
        <f t="shared" si="13"/>
        <v>370.45929999998771</v>
      </c>
      <c r="AA30" s="212">
        <f t="shared" si="13"/>
        <v>348.49780000001192</v>
      </c>
      <c r="AB30" s="212">
        <f t="shared" si="13"/>
        <v>355.63919999997597</v>
      </c>
      <c r="AC30" s="212">
        <f t="shared" si="13"/>
        <v>355.6591999999946</v>
      </c>
      <c r="AD30" s="212">
        <f t="shared" si="13"/>
        <v>352.23789999994915</v>
      </c>
      <c r="AE30" s="212">
        <f t="shared" si="13"/>
        <v>338.66979999991599</v>
      </c>
      <c r="AF30" s="212">
        <f t="shared" si="13"/>
        <v>258.90630000003148</v>
      </c>
      <c r="AG30" s="212">
        <f t="shared" si="13"/>
        <v>254.59820000000764</v>
      </c>
      <c r="AH30" s="212">
        <f t="shared" si="13"/>
        <v>233.30000000004657</v>
      </c>
      <c r="AI30" s="212">
        <f t="shared" si="13"/>
        <v>203.06959999992978</v>
      </c>
      <c r="AJ30" s="212">
        <f t="shared" si="13"/>
        <v>168.0627000000095</v>
      </c>
      <c r="AK30" s="212">
        <f t="shared" si="13"/>
        <v>127.88970000005793</v>
      </c>
      <c r="AL30" s="212">
        <f t="shared" si="13"/>
        <v>76.706800000043586</v>
      </c>
      <c r="AM30" s="212">
        <f t="shared" si="13"/>
        <v>18.680399999953806</v>
      </c>
      <c r="AN30" s="212">
        <f t="shared" si="13"/>
        <v>-47.369100000010803</v>
      </c>
      <c r="AO30" s="212">
        <f t="shared" si="13"/>
        <v>-123.65040000004228</v>
      </c>
      <c r="AP30" s="212">
        <f t="shared" si="13"/>
        <v>-364.36769999994431</v>
      </c>
      <c r="AQ30" s="212">
        <f t="shared" si="13"/>
        <v>-397.68239999993239</v>
      </c>
      <c r="AR30" s="212">
        <f t="shared" si="13"/>
        <v>-484.18950000009499</v>
      </c>
      <c r="AS30" s="212">
        <f t="shared" si="13"/>
        <v>-607.9953000000678</v>
      </c>
      <c r="AT30" s="212">
        <f t="shared" si="13"/>
        <v>-768.51639999996405</v>
      </c>
      <c r="AU30" s="212">
        <f t="shared" si="13"/>
        <v>-971.20460000005551</v>
      </c>
      <c r="AV30" s="268"/>
    </row>
    <row r="31" spans="1:49" x14ac:dyDescent="0.25">
      <c r="B31" s="261" t="s">
        <v>472</v>
      </c>
      <c r="C31" s="263">
        <f t="shared" si="13"/>
        <v>0</v>
      </c>
      <c r="D31" s="263">
        <f t="shared" si="13"/>
        <v>0</v>
      </c>
      <c r="E31" s="263">
        <f t="shared" si="13"/>
        <v>0</v>
      </c>
      <c r="F31" s="263">
        <f t="shared" si="13"/>
        <v>0</v>
      </c>
      <c r="G31" s="263">
        <f t="shared" si="13"/>
        <v>0</v>
      </c>
      <c r="H31" s="263">
        <f t="shared" si="13"/>
        <v>0</v>
      </c>
      <c r="I31" s="263">
        <f t="shared" si="13"/>
        <v>0</v>
      </c>
      <c r="J31" s="263">
        <f t="shared" si="13"/>
        <v>0</v>
      </c>
      <c r="K31" s="263">
        <f t="shared" si="13"/>
        <v>0</v>
      </c>
      <c r="L31" s="263">
        <f t="shared" si="13"/>
        <v>0</v>
      </c>
      <c r="M31" s="263">
        <f t="shared" si="13"/>
        <v>0</v>
      </c>
      <c r="N31" s="263">
        <f t="shared" si="13"/>
        <v>0</v>
      </c>
      <c r="O31" s="263">
        <f t="shared" si="13"/>
        <v>0</v>
      </c>
      <c r="P31" s="263">
        <f t="shared" si="13"/>
        <v>0</v>
      </c>
      <c r="Q31" s="263">
        <f t="shared" si="13"/>
        <v>0</v>
      </c>
      <c r="R31" s="263">
        <f t="shared" si="13"/>
        <v>0</v>
      </c>
      <c r="S31" s="263">
        <f t="shared" si="13"/>
        <v>0</v>
      </c>
      <c r="T31" s="263">
        <f t="shared" si="13"/>
        <v>0</v>
      </c>
      <c r="U31" s="263">
        <f t="shared" si="13"/>
        <v>19.204899999982445</v>
      </c>
      <c r="V31" s="263">
        <f t="shared" si="13"/>
        <v>132.67009999998845</v>
      </c>
      <c r="W31" s="263">
        <f t="shared" si="13"/>
        <v>115.20699999999488</v>
      </c>
      <c r="X31" s="263">
        <f t="shared" si="13"/>
        <v>27.028999999980442</v>
      </c>
      <c r="Y31" s="263">
        <f t="shared" si="13"/>
        <v>-73.676700000010896</v>
      </c>
      <c r="Z31" s="263">
        <f t="shared" si="13"/>
        <v>-178.85469999999623</v>
      </c>
      <c r="AA31" s="263">
        <f t="shared" si="13"/>
        <v>34.263659999996889</v>
      </c>
      <c r="AB31" s="263">
        <f t="shared" si="13"/>
        <v>-830.91590000002179</v>
      </c>
      <c r="AC31" s="263">
        <f t="shared" si="13"/>
        <v>-1015.5991000000213</v>
      </c>
      <c r="AD31" s="263">
        <f t="shared" si="13"/>
        <v>-1202.6266999999934</v>
      </c>
      <c r="AE31" s="263">
        <f t="shared" si="13"/>
        <v>-1393.0176999999967</v>
      </c>
      <c r="AF31" s="263">
        <f t="shared" si="13"/>
        <v>-2257.1000000000058</v>
      </c>
      <c r="AG31" s="263">
        <f t="shared" si="13"/>
        <v>-2437.4695000000065</v>
      </c>
      <c r="AH31" s="263">
        <f t="shared" si="13"/>
        <v>-2647.777700000006</v>
      </c>
      <c r="AI31" s="263">
        <f t="shared" si="13"/>
        <v>-2868.1094999999914</v>
      </c>
      <c r="AJ31" s="263">
        <f t="shared" si="13"/>
        <v>-3087.1195000000007</v>
      </c>
      <c r="AK31" s="263">
        <f t="shared" si="13"/>
        <v>-3302.7920000000158</v>
      </c>
      <c r="AL31" s="263">
        <f t="shared" si="13"/>
        <v>-3541.1291000000201</v>
      </c>
      <c r="AM31" s="263">
        <f t="shared" si="13"/>
        <v>-3770.3274000000092</v>
      </c>
      <c r="AN31" s="263">
        <f t="shared" si="13"/>
        <v>-4004.0726999999897</v>
      </c>
      <c r="AO31" s="263">
        <f t="shared" si="13"/>
        <v>-4246.7172999999893</v>
      </c>
      <c r="AP31" s="263">
        <f t="shared" si="13"/>
        <v>-6159.8329999999842</v>
      </c>
      <c r="AQ31" s="263">
        <f t="shared" si="13"/>
        <v>-6358.8852000000188</v>
      </c>
      <c r="AR31" s="263">
        <f t="shared" si="13"/>
        <v>-6604.2538000000059</v>
      </c>
      <c r="AS31" s="263">
        <f t="shared" si="13"/>
        <v>-6880.0579000000143</v>
      </c>
      <c r="AT31" s="263">
        <f t="shared" si="13"/>
        <v>-7186.2262999999803</v>
      </c>
      <c r="AU31" s="263">
        <f t="shared" si="13"/>
        <v>-203.63965999999346</v>
      </c>
      <c r="AV31" s="268"/>
    </row>
    <row r="32" spans="1:49" x14ac:dyDescent="0.25">
      <c r="B32" s="249" t="s">
        <v>473</v>
      </c>
      <c r="C32" s="251">
        <f t="shared" ref="C32:E32" si="14">SUM(C27,C30)</f>
        <v>0</v>
      </c>
      <c r="D32" s="251">
        <f t="shared" si="14"/>
        <v>0</v>
      </c>
      <c r="E32" s="251">
        <f t="shared" si="14"/>
        <v>0</v>
      </c>
      <c r="F32" s="251">
        <f>SUM(F27,F30)</f>
        <v>0</v>
      </c>
      <c r="G32" s="251">
        <f t="shared" ref="G32:AU32" si="15">SUM(G27,G30)</f>
        <v>0</v>
      </c>
      <c r="H32" s="251">
        <f t="shared" si="15"/>
        <v>0</v>
      </c>
      <c r="I32" s="251">
        <f t="shared" si="15"/>
        <v>0</v>
      </c>
      <c r="J32" s="251">
        <f t="shared" si="15"/>
        <v>0</v>
      </c>
      <c r="K32" s="251">
        <f t="shared" si="15"/>
        <v>0</v>
      </c>
      <c r="L32" s="251">
        <f t="shared" si="15"/>
        <v>0</v>
      </c>
      <c r="M32" s="251">
        <f t="shared" si="15"/>
        <v>0</v>
      </c>
      <c r="N32" s="251">
        <f t="shared" si="15"/>
        <v>0</v>
      </c>
      <c r="O32" s="251">
        <f t="shared" si="15"/>
        <v>0</v>
      </c>
      <c r="P32" s="251">
        <f t="shared" si="15"/>
        <v>0</v>
      </c>
      <c r="Q32" s="251">
        <f t="shared" si="15"/>
        <v>0</v>
      </c>
      <c r="R32" s="251">
        <f t="shared" si="15"/>
        <v>0</v>
      </c>
      <c r="S32" s="251">
        <f t="shared" si="15"/>
        <v>0</v>
      </c>
      <c r="T32" s="251">
        <f t="shared" si="15"/>
        <v>0</v>
      </c>
      <c r="U32" s="251">
        <f t="shared" si="15"/>
        <v>63.06609999993816</v>
      </c>
      <c r="V32" s="251">
        <f t="shared" si="15"/>
        <v>213.18410000007134</v>
      </c>
      <c r="W32" s="251">
        <f t="shared" si="15"/>
        <v>359.25620000000345</v>
      </c>
      <c r="X32" s="251">
        <f t="shared" si="15"/>
        <v>483.94230000002426</v>
      </c>
      <c r="Y32" s="251">
        <f t="shared" si="15"/>
        <v>597.24199999999837</v>
      </c>
      <c r="Z32" s="251">
        <f t="shared" si="15"/>
        <v>708.33619999999064</v>
      </c>
      <c r="AA32" s="251">
        <f t="shared" si="15"/>
        <v>969.00620000000345</v>
      </c>
      <c r="AB32" s="251">
        <f t="shared" si="15"/>
        <v>1166.3937999999616</v>
      </c>
      <c r="AC32" s="251">
        <f t="shared" si="15"/>
        <v>1342.3012000000163</v>
      </c>
      <c r="AD32" s="251">
        <f t="shared" si="15"/>
        <v>1499.3205999999482</v>
      </c>
      <c r="AE32" s="251">
        <f t="shared" si="15"/>
        <v>1636.2145999999193</v>
      </c>
      <c r="AF32" s="251">
        <f t="shared" si="15"/>
        <v>2068.2172000000428</v>
      </c>
      <c r="AG32" s="251">
        <f t="shared" si="15"/>
        <v>2311.1102000000246</v>
      </c>
      <c r="AH32" s="251">
        <f t="shared" si="15"/>
        <v>2482.7720000000554</v>
      </c>
      <c r="AI32" s="251">
        <f t="shared" si="15"/>
        <v>2613.5342999999411</v>
      </c>
      <c r="AJ32" s="251">
        <f t="shared" si="15"/>
        <v>2715.7941000000283</v>
      </c>
      <c r="AK32" s="251">
        <f t="shared" si="15"/>
        <v>2792.6417000000656</v>
      </c>
      <c r="AL32" s="251">
        <f t="shared" si="15"/>
        <v>2847.5341000000481</v>
      </c>
      <c r="AM32" s="251">
        <f t="shared" si="15"/>
        <v>2879.7423999999592</v>
      </c>
      <c r="AN32" s="251">
        <f t="shared" si="15"/>
        <v>2895.6133999999729</v>
      </c>
      <c r="AO32" s="251">
        <f t="shared" si="15"/>
        <v>2894.6740999999456</v>
      </c>
      <c r="AP32" s="251">
        <f t="shared" si="15"/>
        <v>3673.0829000000667</v>
      </c>
      <c r="AQ32" s="251">
        <f t="shared" si="15"/>
        <v>3941.2570000000705</v>
      </c>
      <c r="AR32" s="251">
        <f t="shared" si="15"/>
        <v>3998.4547999999195</v>
      </c>
      <c r="AS32" s="251">
        <f t="shared" si="15"/>
        <v>3936.5091999999131</v>
      </c>
      <c r="AT32" s="251">
        <f t="shared" si="15"/>
        <v>3786.7974000000395</v>
      </c>
      <c r="AU32" s="251">
        <f t="shared" si="15"/>
        <v>3555.0773999999801</v>
      </c>
      <c r="AV32" s="268"/>
    </row>
    <row r="36" spans="1:50" s="244" customFormat="1" ht="45" customHeight="1" x14ac:dyDescent="0.25">
      <c r="A36" s="239" t="str">
        <f>[4]Résultats!B1</f>
        <v>SNBC3</v>
      </c>
      <c r="B36" s="240" t="s">
        <v>497</v>
      </c>
      <c r="C36" s="241">
        <v>2006</v>
      </c>
      <c r="D36" s="242">
        <v>2007</v>
      </c>
      <c r="E36" s="242">
        <v>2008</v>
      </c>
      <c r="F36" s="242">
        <v>2009</v>
      </c>
      <c r="G36" s="242">
        <v>2010</v>
      </c>
      <c r="H36" s="242">
        <v>2011</v>
      </c>
      <c r="I36" s="242">
        <v>2012</v>
      </c>
      <c r="J36" s="242">
        <v>2013</v>
      </c>
      <c r="K36" s="242">
        <v>2014</v>
      </c>
      <c r="L36" s="242">
        <v>2015</v>
      </c>
      <c r="M36" s="242">
        <v>2016</v>
      </c>
      <c r="N36" s="242">
        <v>2017</v>
      </c>
      <c r="O36" s="242">
        <v>2018</v>
      </c>
      <c r="P36" s="242">
        <v>2019</v>
      </c>
      <c r="Q36" s="242">
        <v>2020</v>
      </c>
      <c r="R36" s="242">
        <v>2021</v>
      </c>
      <c r="S36" s="242">
        <v>2022</v>
      </c>
      <c r="T36" s="242">
        <v>2023</v>
      </c>
      <c r="U36" s="242">
        <v>2024</v>
      </c>
      <c r="V36" s="242">
        <v>2025</v>
      </c>
      <c r="W36" s="242">
        <v>2026</v>
      </c>
      <c r="X36" s="242">
        <v>2027</v>
      </c>
      <c r="Y36" s="242">
        <v>2028</v>
      </c>
      <c r="Z36" s="242">
        <v>2029</v>
      </c>
      <c r="AA36" s="242">
        <v>2030</v>
      </c>
      <c r="AB36" s="242">
        <v>2031</v>
      </c>
      <c r="AC36" s="242">
        <v>2032</v>
      </c>
      <c r="AD36" s="242">
        <v>2033</v>
      </c>
      <c r="AE36" s="242">
        <v>2034</v>
      </c>
      <c r="AF36" s="242">
        <v>2035</v>
      </c>
      <c r="AG36" s="242">
        <v>2036</v>
      </c>
      <c r="AH36" s="242">
        <v>2037</v>
      </c>
      <c r="AI36" s="242">
        <v>2038</v>
      </c>
      <c r="AJ36" s="242">
        <v>2039</v>
      </c>
      <c r="AK36" s="242">
        <v>2040</v>
      </c>
      <c r="AL36" s="242">
        <v>2041</v>
      </c>
      <c r="AM36" s="242">
        <v>2042</v>
      </c>
      <c r="AN36" s="242">
        <v>2043</v>
      </c>
      <c r="AO36" s="242">
        <v>2044</v>
      </c>
      <c r="AP36" s="242">
        <v>2045</v>
      </c>
      <c r="AQ36" s="242">
        <v>2046</v>
      </c>
      <c r="AR36" s="242">
        <v>2047</v>
      </c>
      <c r="AS36" s="242">
        <v>2048</v>
      </c>
      <c r="AT36" s="242">
        <v>2049</v>
      </c>
      <c r="AU36" s="243">
        <v>2050</v>
      </c>
      <c r="AW36" s="242" t="s">
        <v>498</v>
      </c>
      <c r="AX36" s="242" t="s">
        <v>499</v>
      </c>
    </row>
    <row r="37" spans="1:50" x14ac:dyDescent="0.25">
      <c r="B37" s="245" t="s">
        <v>500</v>
      </c>
      <c r="C37" s="246">
        <f t="shared" ref="C37:AU37" si="16">C38+C39+C42</f>
        <v>1</v>
      </c>
      <c r="D37" s="247">
        <f t="shared" si="16"/>
        <v>1</v>
      </c>
      <c r="E37" s="247">
        <f t="shared" si="16"/>
        <v>1</v>
      </c>
      <c r="F37" s="247">
        <f t="shared" si="16"/>
        <v>1</v>
      </c>
      <c r="G37" s="247">
        <f t="shared" si="16"/>
        <v>1</v>
      </c>
      <c r="H37" s="247">
        <f t="shared" si="16"/>
        <v>0.99999999999999978</v>
      </c>
      <c r="I37" s="247">
        <f t="shared" si="16"/>
        <v>1</v>
      </c>
      <c r="J37" s="247">
        <f t="shared" si="16"/>
        <v>1</v>
      </c>
      <c r="K37" s="247">
        <f t="shared" si="16"/>
        <v>1</v>
      </c>
      <c r="L37" s="247">
        <f t="shared" si="16"/>
        <v>1</v>
      </c>
      <c r="M37" s="247">
        <f t="shared" si="16"/>
        <v>1</v>
      </c>
      <c r="N37" s="247">
        <f t="shared" si="16"/>
        <v>0.99999999999999989</v>
      </c>
      <c r="O37" s="247">
        <f t="shared" si="16"/>
        <v>0.99999999999999989</v>
      </c>
      <c r="P37" s="247">
        <f t="shared" si="16"/>
        <v>0.99999999999999989</v>
      </c>
      <c r="Q37" s="247">
        <f t="shared" si="16"/>
        <v>0.99999999999999978</v>
      </c>
      <c r="R37" s="247">
        <f t="shared" si="16"/>
        <v>1</v>
      </c>
      <c r="S37" s="247">
        <f t="shared" si="16"/>
        <v>1</v>
      </c>
      <c r="T37" s="247">
        <f t="shared" si="16"/>
        <v>0.99999999999999978</v>
      </c>
      <c r="U37" s="247">
        <f t="shared" si="16"/>
        <v>1</v>
      </c>
      <c r="V37" s="247">
        <f t="shared" si="16"/>
        <v>1</v>
      </c>
      <c r="W37" s="247">
        <f t="shared" si="16"/>
        <v>1</v>
      </c>
      <c r="X37" s="247">
        <f t="shared" si="16"/>
        <v>1</v>
      </c>
      <c r="Y37" s="247">
        <f t="shared" si="16"/>
        <v>0.99999999999999989</v>
      </c>
      <c r="Z37" s="247">
        <f t="shared" si="16"/>
        <v>1</v>
      </c>
      <c r="AA37" s="247">
        <f t="shared" si="16"/>
        <v>1</v>
      </c>
      <c r="AB37" s="247">
        <f t="shared" si="16"/>
        <v>1</v>
      </c>
      <c r="AC37" s="247">
        <f t="shared" si="16"/>
        <v>0.99999999999999989</v>
      </c>
      <c r="AD37" s="247">
        <f t="shared" si="16"/>
        <v>1</v>
      </c>
      <c r="AE37" s="247">
        <f t="shared" si="16"/>
        <v>0.99999999999999978</v>
      </c>
      <c r="AF37" s="247">
        <f t="shared" si="16"/>
        <v>0.99999999999999989</v>
      </c>
      <c r="AG37" s="247">
        <f t="shared" si="16"/>
        <v>1</v>
      </c>
      <c r="AH37" s="247">
        <f t="shared" si="16"/>
        <v>1</v>
      </c>
      <c r="AI37" s="247">
        <f t="shared" si="16"/>
        <v>1</v>
      </c>
      <c r="AJ37" s="247">
        <f t="shared" si="16"/>
        <v>0.99999999999999989</v>
      </c>
      <c r="AK37" s="247">
        <f t="shared" si="16"/>
        <v>1</v>
      </c>
      <c r="AL37" s="247">
        <f t="shared" si="16"/>
        <v>0.99999999999999989</v>
      </c>
      <c r="AM37" s="247">
        <f t="shared" si="16"/>
        <v>1</v>
      </c>
      <c r="AN37" s="247">
        <f t="shared" si="16"/>
        <v>1</v>
      </c>
      <c r="AO37" s="247">
        <f t="shared" si="16"/>
        <v>1</v>
      </c>
      <c r="AP37" s="247">
        <f t="shared" si="16"/>
        <v>0.99999999999999989</v>
      </c>
      <c r="AQ37" s="247">
        <f t="shared" si="16"/>
        <v>1</v>
      </c>
      <c r="AR37" s="247">
        <f t="shared" si="16"/>
        <v>1</v>
      </c>
      <c r="AS37" s="247">
        <f t="shared" si="16"/>
        <v>1</v>
      </c>
      <c r="AT37" s="247">
        <f t="shared" si="16"/>
        <v>1</v>
      </c>
      <c r="AU37" s="248">
        <f t="shared" si="16"/>
        <v>1</v>
      </c>
    </row>
    <row r="38" spans="1:50" x14ac:dyDescent="0.25">
      <c r="B38" s="249" t="s">
        <v>466</v>
      </c>
      <c r="C38" s="299"/>
      <c r="D38" s="251"/>
      <c r="E38" s="251"/>
      <c r="F38" s="251"/>
      <c r="G38" s="251"/>
      <c r="H38" s="251"/>
      <c r="I38" s="251"/>
      <c r="J38" s="251"/>
      <c r="K38" s="251"/>
      <c r="L38" s="251"/>
      <c r="M38" s="251"/>
      <c r="N38" s="251"/>
      <c r="O38" s="251"/>
      <c r="P38" s="251"/>
      <c r="Q38" s="251"/>
      <c r="R38" s="251"/>
      <c r="S38" s="251"/>
      <c r="T38" s="251"/>
      <c r="U38" s="251"/>
      <c r="V38" s="251"/>
      <c r="W38" s="251"/>
      <c r="X38" s="251"/>
      <c r="Y38" s="251"/>
      <c r="Z38" s="251"/>
      <c r="AA38" s="251"/>
      <c r="AB38" s="251"/>
      <c r="AC38" s="251"/>
      <c r="AD38" s="251"/>
      <c r="AE38" s="251"/>
      <c r="AF38" s="251"/>
      <c r="AG38" s="251"/>
      <c r="AH38" s="251"/>
      <c r="AI38" s="251"/>
      <c r="AJ38" s="251"/>
      <c r="AK38" s="251"/>
      <c r="AL38" s="251"/>
      <c r="AM38" s="251"/>
      <c r="AN38" s="251"/>
      <c r="AO38" s="251"/>
      <c r="AP38" s="251"/>
      <c r="AQ38" s="251"/>
      <c r="AR38" s="251"/>
      <c r="AS38" s="251"/>
      <c r="AT38" s="251"/>
      <c r="AU38" s="252"/>
      <c r="AV38" s="253"/>
      <c r="AW38" s="253"/>
    </row>
    <row r="39" spans="1:50" x14ac:dyDescent="0.25">
      <c r="B39" s="254" t="s">
        <v>467</v>
      </c>
      <c r="C39" s="300">
        <f>C4/(C$2-C$3)</f>
        <v>0.29999999998794452</v>
      </c>
      <c r="D39" s="300">
        <f t="shared" ref="D39:AU45" si="17">D4/(D$2-D$3)</f>
        <v>0.3066627692023165</v>
      </c>
      <c r="E39" s="300">
        <f t="shared" si="17"/>
        <v>0.31171960042255559</v>
      </c>
      <c r="F39" s="300">
        <f t="shared" si="17"/>
        <v>0.31501832365552274</v>
      </c>
      <c r="G39" s="300">
        <f t="shared" si="17"/>
        <v>0.3177062487926326</v>
      </c>
      <c r="H39" s="300">
        <f t="shared" si="17"/>
        <v>0.32357879702800135</v>
      </c>
      <c r="I39" s="300">
        <f t="shared" si="17"/>
        <v>0.33117847671752126</v>
      </c>
      <c r="J39" s="300">
        <f t="shared" si="17"/>
        <v>0.33980553475687236</v>
      </c>
      <c r="K39" s="300">
        <f t="shared" si="17"/>
        <v>0.34856875777337915</v>
      </c>
      <c r="L39" s="300">
        <f t="shared" si="17"/>
        <v>0.35743489167910802</v>
      </c>
      <c r="M39" s="300">
        <f t="shared" si="17"/>
        <v>0.35578098038197692</v>
      </c>
      <c r="N39" s="300">
        <f t="shared" si="17"/>
        <v>0.35402627742523851</v>
      </c>
      <c r="O39" s="300">
        <f t="shared" si="17"/>
        <v>0.35526647179581949</v>
      </c>
      <c r="P39" s="300">
        <f t="shared" si="17"/>
        <v>0.34611112153892232</v>
      </c>
      <c r="Q39" s="300">
        <f t="shared" si="17"/>
        <v>0.35173730443578827</v>
      </c>
      <c r="R39" s="300">
        <f t="shared" si="17"/>
        <v>0.2956199930771809</v>
      </c>
      <c r="S39" s="300">
        <f t="shared" si="17"/>
        <v>0.29515889923408062</v>
      </c>
      <c r="T39" s="300">
        <f t="shared" si="17"/>
        <v>0.29000625169219724</v>
      </c>
      <c r="U39" s="300">
        <f t="shared" si="17"/>
        <v>0.28788091199318883</v>
      </c>
      <c r="V39" s="300">
        <f t="shared" si="17"/>
        <v>0.25534825509492287</v>
      </c>
      <c r="W39" s="300">
        <f t="shared" si="17"/>
        <v>0.25071291386273437</v>
      </c>
      <c r="X39" s="300">
        <f t="shared" si="17"/>
        <v>0.25033409035193871</v>
      </c>
      <c r="Y39" s="300">
        <f t="shared" si="17"/>
        <v>0.25099660305519889</v>
      </c>
      <c r="Z39" s="300">
        <f t="shared" si="17"/>
        <v>0.25196351599029765</v>
      </c>
      <c r="AA39" s="300">
        <f t="shared" si="17"/>
        <v>0.37021404302545907</v>
      </c>
      <c r="AB39" s="300">
        <f t="shared" si="17"/>
        <v>0.23140982552779649</v>
      </c>
      <c r="AC39" s="300">
        <f t="shared" si="17"/>
        <v>0.23408806566642862</v>
      </c>
      <c r="AD39" s="300">
        <f t="shared" si="17"/>
        <v>0.23672256326761465</v>
      </c>
      <c r="AE39" s="300">
        <f t="shared" si="17"/>
        <v>0.2394523677710966</v>
      </c>
      <c r="AF39" s="300">
        <f t="shared" si="17"/>
        <v>0.23270546890757768</v>
      </c>
      <c r="AG39" s="300">
        <f t="shared" si="17"/>
        <v>0.2335972999156955</v>
      </c>
      <c r="AH39" s="300">
        <f t="shared" si="17"/>
        <v>0.23553402744048932</v>
      </c>
      <c r="AI39" s="300">
        <f t="shared" si="17"/>
        <v>0.23784850543092739</v>
      </c>
      <c r="AJ39" s="300">
        <f t="shared" si="17"/>
        <v>0.24021465133580033</v>
      </c>
      <c r="AK39" s="300">
        <f t="shared" si="17"/>
        <v>0.242531118631273</v>
      </c>
      <c r="AL39" s="300">
        <f t="shared" si="17"/>
        <v>0.24591479529887014</v>
      </c>
      <c r="AM39" s="300">
        <f t="shared" si="17"/>
        <v>0.24862118176227593</v>
      </c>
      <c r="AN39" s="300">
        <f t="shared" si="17"/>
        <v>0.25090508127245553</v>
      </c>
      <c r="AO39" s="300">
        <f t="shared" si="17"/>
        <v>0.25291181778067096</v>
      </c>
      <c r="AP39" s="300">
        <f t="shared" si="17"/>
        <v>0.24445878192830103</v>
      </c>
      <c r="AQ39" s="300">
        <f t="shared" si="17"/>
        <v>0.24594641336221551</v>
      </c>
      <c r="AR39" s="300">
        <f t="shared" si="17"/>
        <v>0.24793532414423947</v>
      </c>
      <c r="AS39" s="300">
        <f t="shared" si="17"/>
        <v>0.25008705469491854</v>
      </c>
      <c r="AT39" s="300">
        <f t="shared" si="17"/>
        <v>0.25225314116515979</v>
      </c>
      <c r="AU39" s="301">
        <f t="shared" si="17"/>
        <v>0.374317872777437</v>
      </c>
      <c r="AV39" s="253"/>
      <c r="AW39" s="302">
        <f t="shared" ref="AW39:AW44" si="18">AA39-P39</f>
        <v>2.4102921486536755E-2</v>
      </c>
      <c r="AX39" s="302">
        <f t="shared" ref="AX39:AX44" si="19">AU39-P39</f>
        <v>2.8206751238514682E-2</v>
      </c>
    </row>
    <row r="40" spans="1:50" x14ac:dyDescent="0.25">
      <c r="B40" s="258" t="s">
        <v>468</v>
      </c>
      <c r="C40" s="303">
        <f>C5/(C$2-C$3)</f>
        <v>0.1970599631421219</v>
      </c>
      <c r="D40" s="303">
        <f t="shared" si="17"/>
        <v>0.20060737908862281</v>
      </c>
      <c r="E40" s="303">
        <f t="shared" si="17"/>
        <v>0.20622280147810551</v>
      </c>
      <c r="F40" s="303">
        <f t="shared" si="17"/>
        <v>0.20912853783918506</v>
      </c>
      <c r="G40" s="303">
        <f t="shared" si="17"/>
        <v>0.21275228283658495</v>
      </c>
      <c r="H40" s="303">
        <f t="shared" si="17"/>
        <v>0.21552552241475076</v>
      </c>
      <c r="I40" s="303">
        <f t="shared" si="17"/>
        <v>0.22289608953742615</v>
      </c>
      <c r="J40" s="303">
        <f t="shared" si="17"/>
        <v>0.2295811574761803</v>
      </c>
      <c r="K40" s="303">
        <f t="shared" si="17"/>
        <v>0.23494988927679458</v>
      </c>
      <c r="L40" s="303">
        <f t="shared" si="17"/>
        <v>0.24479424754055426</v>
      </c>
      <c r="M40" s="303">
        <f t="shared" si="17"/>
        <v>0.24583010480758777</v>
      </c>
      <c r="N40" s="303">
        <f t="shared" si="17"/>
        <v>0.24380623054424055</v>
      </c>
      <c r="O40" s="303">
        <f t="shared" si="17"/>
        <v>0.24155666182418786</v>
      </c>
      <c r="P40" s="303">
        <f t="shared" si="17"/>
        <v>0.23856553289035901</v>
      </c>
      <c r="Q40" s="303">
        <f t="shared" si="17"/>
        <v>0.24016780993603037</v>
      </c>
      <c r="R40" s="303">
        <f t="shared" si="17"/>
        <v>0.2428139996080079</v>
      </c>
      <c r="S40" s="303">
        <f t="shared" si="17"/>
        <v>0.24258745384738353</v>
      </c>
      <c r="T40" s="303">
        <f t="shared" si="17"/>
        <v>0.23778028011709168</v>
      </c>
      <c r="U40" s="303">
        <f t="shared" si="17"/>
        <v>0.23686819475003151</v>
      </c>
      <c r="V40" s="303">
        <f t="shared" si="17"/>
        <v>0.20748723897355023</v>
      </c>
      <c r="W40" s="303">
        <f t="shared" si="17"/>
        <v>0.20248052443674383</v>
      </c>
      <c r="X40" s="303">
        <f t="shared" si="17"/>
        <v>0.2015506051497773</v>
      </c>
      <c r="Y40" s="303">
        <f t="shared" si="17"/>
        <v>0.20197737402703164</v>
      </c>
      <c r="Z40" s="303">
        <f t="shared" si="17"/>
        <v>0.20282623029494415</v>
      </c>
      <c r="AA40" s="303">
        <f t="shared" si="17"/>
        <v>0.18428527906513018</v>
      </c>
      <c r="AB40" s="303">
        <f t="shared" si="17"/>
        <v>0.18263675279253377</v>
      </c>
      <c r="AC40" s="303">
        <f t="shared" si="17"/>
        <v>0.18521890404307703</v>
      </c>
      <c r="AD40" s="303">
        <f t="shared" si="17"/>
        <v>0.18777249594410708</v>
      </c>
      <c r="AE40" s="303">
        <f t="shared" si="17"/>
        <v>0.19050217166140304</v>
      </c>
      <c r="AF40" s="303">
        <f t="shared" si="17"/>
        <v>0.18480321681194786</v>
      </c>
      <c r="AG40" s="303">
        <f t="shared" si="17"/>
        <v>0.18517103495464882</v>
      </c>
      <c r="AH40" s="303">
        <f t="shared" si="17"/>
        <v>0.18692884293523904</v>
      </c>
      <c r="AI40" s="303">
        <f t="shared" si="17"/>
        <v>0.18921555762502318</v>
      </c>
      <c r="AJ40" s="303">
        <f t="shared" si="17"/>
        <v>0.19160009390304447</v>
      </c>
      <c r="AK40" s="303">
        <f t="shared" si="17"/>
        <v>0.19395260012459359</v>
      </c>
      <c r="AL40" s="303">
        <f t="shared" si="17"/>
        <v>0.1976357759266443</v>
      </c>
      <c r="AM40" s="303">
        <f t="shared" si="17"/>
        <v>0.20051922313524367</v>
      </c>
      <c r="AN40" s="303">
        <f t="shared" si="17"/>
        <v>0.20293396398280922</v>
      </c>
      <c r="AO40" s="303">
        <f t="shared" si="17"/>
        <v>0.20504648786870674</v>
      </c>
      <c r="AP40" s="303">
        <f t="shared" si="17"/>
        <v>0.19736965244675755</v>
      </c>
      <c r="AQ40" s="303">
        <f t="shared" si="17"/>
        <v>0.19869837041927027</v>
      </c>
      <c r="AR40" s="303">
        <f t="shared" si="17"/>
        <v>0.20068108719949787</v>
      </c>
      <c r="AS40" s="303">
        <f t="shared" si="17"/>
        <v>0.20288699112058733</v>
      </c>
      <c r="AT40" s="303">
        <f t="shared" si="17"/>
        <v>0.20512433221197104</v>
      </c>
      <c r="AU40" s="304">
        <f t="shared" si="17"/>
        <v>0.20734597189573195</v>
      </c>
      <c r="AW40" s="302">
        <f t="shared" si="18"/>
        <v>-5.428025382522883E-2</v>
      </c>
      <c r="AX40" s="302">
        <f t="shared" si="19"/>
        <v>-3.1219560994627055E-2</v>
      </c>
    </row>
    <row r="41" spans="1:50" x14ac:dyDescent="0.25">
      <c r="B41" s="261" t="s">
        <v>469</v>
      </c>
      <c r="C41" s="305">
        <f t="shared" ref="C41:R45" si="20">C6/(C$2-C$3)</f>
        <v>5.6863255333391156E-2</v>
      </c>
      <c r="D41" s="305">
        <f t="shared" si="20"/>
        <v>5.6162523479425727E-2</v>
      </c>
      <c r="E41" s="305">
        <f t="shared" si="20"/>
        <v>5.5012387374697269E-2</v>
      </c>
      <c r="F41" s="305">
        <f t="shared" si="20"/>
        <v>5.4763864653675734E-2</v>
      </c>
      <c r="G41" s="305">
        <f t="shared" si="20"/>
        <v>5.4361923812973376E-2</v>
      </c>
      <c r="H41" s="305">
        <f t="shared" si="20"/>
        <v>5.3963756048561545E-2</v>
      </c>
      <c r="I41" s="305">
        <f t="shared" si="20"/>
        <v>5.254465780423051E-2</v>
      </c>
      <c r="J41" s="305">
        <f t="shared" si="20"/>
        <v>5.1289364127690654E-2</v>
      </c>
      <c r="K41" s="305">
        <f t="shared" si="20"/>
        <v>5.035281396366062E-2</v>
      </c>
      <c r="L41" s="305">
        <f t="shared" si="20"/>
        <v>4.8654006921321782E-2</v>
      </c>
      <c r="M41" s="305">
        <f t="shared" si="20"/>
        <v>4.8581964075827912E-2</v>
      </c>
      <c r="N41" s="305">
        <f t="shared" si="20"/>
        <v>4.9002601338479231E-2</v>
      </c>
      <c r="O41" s="305">
        <f t="shared" si="20"/>
        <v>4.9272563237541422E-2</v>
      </c>
      <c r="P41" s="305">
        <f t="shared" si="20"/>
        <v>5.4707252710354412E-2</v>
      </c>
      <c r="Q41" s="305">
        <f t="shared" si="20"/>
        <v>0.11156949449975793</v>
      </c>
      <c r="R41" s="305">
        <f t="shared" si="20"/>
        <v>5.2805993469173002E-2</v>
      </c>
      <c r="S41" s="305">
        <f t="shared" si="17"/>
        <v>5.2571445386697051E-2</v>
      </c>
      <c r="T41" s="305">
        <f t="shared" si="17"/>
        <v>5.2225971575105563E-2</v>
      </c>
      <c r="U41" s="305">
        <f t="shared" si="17"/>
        <v>5.1012717243157327E-2</v>
      </c>
      <c r="V41" s="305">
        <f t="shared" si="17"/>
        <v>4.7861016121372613E-2</v>
      </c>
      <c r="W41" s="305">
        <f t="shared" si="17"/>
        <v>4.8232389425990556E-2</v>
      </c>
      <c r="X41" s="305">
        <f t="shared" si="17"/>
        <v>4.8783485202161393E-2</v>
      </c>
      <c r="Y41" s="305">
        <f t="shared" si="17"/>
        <v>4.9019229028167244E-2</v>
      </c>
      <c r="Z41" s="305">
        <f t="shared" si="17"/>
        <v>4.9137285695353507E-2</v>
      </c>
      <c r="AA41" s="305">
        <f t="shared" si="17"/>
        <v>0.18592876396032892</v>
      </c>
      <c r="AB41" s="305">
        <f t="shared" si="17"/>
        <v>4.8773072735262678E-2</v>
      </c>
      <c r="AC41" s="305">
        <f t="shared" si="17"/>
        <v>4.886916162335158E-2</v>
      </c>
      <c r="AD41" s="305">
        <f t="shared" si="17"/>
        <v>4.8950067323507547E-2</v>
      </c>
      <c r="AE41" s="305">
        <f t="shared" si="17"/>
        <v>4.8950196109693568E-2</v>
      </c>
      <c r="AF41" s="305">
        <f t="shared" si="17"/>
        <v>4.7902252095629816E-2</v>
      </c>
      <c r="AG41" s="305">
        <f t="shared" si="17"/>
        <v>4.8426264961046711E-2</v>
      </c>
      <c r="AH41" s="305">
        <f t="shared" si="17"/>
        <v>4.8605184505250261E-2</v>
      </c>
      <c r="AI41" s="305">
        <f t="shared" si="17"/>
        <v>4.8632947805904207E-2</v>
      </c>
      <c r="AJ41" s="305">
        <f t="shared" si="17"/>
        <v>4.8614557432755855E-2</v>
      </c>
      <c r="AK41" s="305">
        <f t="shared" si="17"/>
        <v>4.8578518506679387E-2</v>
      </c>
      <c r="AL41" s="305">
        <f t="shared" si="17"/>
        <v>4.8279019372225819E-2</v>
      </c>
      <c r="AM41" s="305">
        <f t="shared" si="17"/>
        <v>4.8101958627032287E-2</v>
      </c>
      <c r="AN41" s="305">
        <f t="shared" si="17"/>
        <v>4.7971117289646287E-2</v>
      </c>
      <c r="AO41" s="305">
        <f t="shared" si="17"/>
        <v>4.7865329911964183E-2</v>
      </c>
      <c r="AP41" s="305">
        <f t="shared" si="17"/>
        <v>4.7089129481543507E-2</v>
      </c>
      <c r="AQ41" s="305">
        <f t="shared" si="17"/>
        <v>4.724804294294524E-2</v>
      </c>
      <c r="AR41" s="305">
        <f t="shared" si="17"/>
        <v>4.7254236944741582E-2</v>
      </c>
      <c r="AS41" s="305">
        <f t="shared" si="17"/>
        <v>4.7200063574331222E-2</v>
      </c>
      <c r="AT41" s="305">
        <f t="shared" si="17"/>
        <v>4.7128808953188751E-2</v>
      </c>
      <c r="AU41" s="306">
        <f t="shared" si="17"/>
        <v>0.16697190088170505</v>
      </c>
      <c r="AV41" s="253"/>
      <c r="AW41" s="302">
        <f t="shared" si="18"/>
        <v>0.1312215112499745</v>
      </c>
      <c r="AX41" s="302">
        <f t="shared" si="19"/>
        <v>0.11226464817135064</v>
      </c>
    </row>
    <row r="42" spans="1:50" x14ac:dyDescent="0.25">
      <c r="B42" s="258" t="s">
        <v>470</v>
      </c>
      <c r="C42" s="303">
        <f t="shared" si="20"/>
        <v>0.70000000001205542</v>
      </c>
      <c r="D42" s="303">
        <f t="shared" si="17"/>
        <v>0.6933372307976835</v>
      </c>
      <c r="E42" s="303">
        <f t="shared" si="17"/>
        <v>0.68828039957744436</v>
      </c>
      <c r="F42" s="303">
        <f t="shared" si="17"/>
        <v>0.68498167634447737</v>
      </c>
      <c r="G42" s="303">
        <f t="shared" si="17"/>
        <v>0.68229375120736735</v>
      </c>
      <c r="H42" s="303">
        <f t="shared" si="17"/>
        <v>0.67642120297199848</v>
      </c>
      <c r="I42" s="303">
        <f t="shared" si="17"/>
        <v>0.66882152328247879</v>
      </c>
      <c r="J42" s="303">
        <f t="shared" si="17"/>
        <v>0.66019446524312764</v>
      </c>
      <c r="K42" s="303">
        <f t="shared" si="17"/>
        <v>0.65143124222662085</v>
      </c>
      <c r="L42" s="303">
        <f t="shared" si="17"/>
        <v>0.64256510832089209</v>
      </c>
      <c r="M42" s="303">
        <f t="shared" si="17"/>
        <v>0.64421901961802308</v>
      </c>
      <c r="N42" s="303">
        <f t="shared" si="17"/>
        <v>0.64597372257476138</v>
      </c>
      <c r="O42" s="303">
        <f t="shared" si="17"/>
        <v>0.64473352820418039</v>
      </c>
      <c r="P42" s="303">
        <f t="shared" si="17"/>
        <v>0.65388887846107757</v>
      </c>
      <c r="Q42" s="303">
        <f t="shared" si="17"/>
        <v>0.64826269556421157</v>
      </c>
      <c r="R42" s="303">
        <f t="shared" si="17"/>
        <v>0.70438000692281921</v>
      </c>
      <c r="S42" s="303">
        <f t="shared" si="17"/>
        <v>0.70484110076591944</v>
      </c>
      <c r="T42" s="303">
        <f t="shared" si="17"/>
        <v>0.7099937483078026</v>
      </c>
      <c r="U42" s="303">
        <f t="shared" si="17"/>
        <v>0.71211908800681112</v>
      </c>
      <c r="V42" s="303">
        <f t="shared" si="17"/>
        <v>0.74465174490507724</v>
      </c>
      <c r="W42" s="303">
        <f t="shared" si="17"/>
        <v>0.74928708613726569</v>
      </c>
      <c r="X42" s="303">
        <f t="shared" si="17"/>
        <v>0.74966590964806123</v>
      </c>
      <c r="Y42" s="303">
        <f t="shared" si="17"/>
        <v>0.749003396944801</v>
      </c>
      <c r="Z42" s="303">
        <f t="shared" si="17"/>
        <v>0.74803648400970246</v>
      </c>
      <c r="AA42" s="303">
        <f t="shared" si="17"/>
        <v>0.62978595697454098</v>
      </c>
      <c r="AB42" s="303">
        <f t="shared" si="17"/>
        <v>0.76859017447220357</v>
      </c>
      <c r="AC42" s="303">
        <f t="shared" si="17"/>
        <v>0.7659119343335713</v>
      </c>
      <c r="AD42" s="303">
        <f t="shared" si="17"/>
        <v>0.76327743673238546</v>
      </c>
      <c r="AE42" s="303">
        <f t="shared" si="17"/>
        <v>0.7605476322289032</v>
      </c>
      <c r="AF42" s="303">
        <f t="shared" si="17"/>
        <v>0.76729453109242218</v>
      </c>
      <c r="AG42" s="303">
        <f t="shared" si="17"/>
        <v>0.76640270008430444</v>
      </c>
      <c r="AH42" s="303">
        <f t="shared" si="17"/>
        <v>0.76446597255951076</v>
      </c>
      <c r="AI42" s="303">
        <f t="shared" si="17"/>
        <v>0.76215149456907272</v>
      </c>
      <c r="AJ42" s="303">
        <f t="shared" si="17"/>
        <v>0.75978534866419956</v>
      </c>
      <c r="AK42" s="303">
        <f t="shared" si="17"/>
        <v>0.75746888136872703</v>
      </c>
      <c r="AL42" s="303">
        <f t="shared" si="17"/>
        <v>0.75408520470112972</v>
      </c>
      <c r="AM42" s="303">
        <f t="shared" si="17"/>
        <v>0.75137881823772401</v>
      </c>
      <c r="AN42" s="303">
        <f t="shared" si="17"/>
        <v>0.74909491872754441</v>
      </c>
      <c r="AO42" s="303">
        <f t="shared" si="17"/>
        <v>0.74708818221932916</v>
      </c>
      <c r="AP42" s="303">
        <f t="shared" si="17"/>
        <v>0.75554121807169883</v>
      </c>
      <c r="AQ42" s="303">
        <f t="shared" si="17"/>
        <v>0.75405358663778443</v>
      </c>
      <c r="AR42" s="303">
        <f t="shared" si="17"/>
        <v>0.75206467585576053</v>
      </c>
      <c r="AS42" s="303">
        <f t="shared" si="17"/>
        <v>0.74991294530508146</v>
      </c>
      <c r="AT42" s="303">
        <f t="shared" si="17"/>
        <v>0.74774685883484027</v>
      </c>
      <c r="AU42" s="304">
        <f t="shared" si="17"/>
        <v>0.62568212722256311</v>
      </c>
      <c r="AW42" s="302">
        <f t="shared" si="18"/>
        <v>-2.4102921486536588E-2</v>
      </c>
      <c r="AX42" s="302">
        <f t="shared" si="19"/>
        <v>-2.820675123851446E-2</v>
      </c>
    </row>
    <row r="43" spans="1:50" x14ac:dyDescent="0.25">
      <c r="B43" s="258" t="s">
        <v>471</v>
      </c>
      <c r="C43" s="303">
        <f t="shared" si="20"/>
        <v>0.64313674466660875</v>
      </c>
      <c r="D43" s="303">
        <f t="shared" si="17"/>
        <v>0.6371749536542437</v>
      </c>
      <c r="E43" s="303">
        <f t="shared" si="17"/>
        <v>0.63327365790986445</v>
      </c>
      <c r="F43" s="303">
        <f t="shared" si="17"/>
        <v>0.63022343263475988</v>
      </c>
      <c r="G43" s="303">
        <f t="shared" si="17"/>
        <v>0.62793777571625164</v>
      </c>
      <c r="H43" s="303">
        <f t="shared" si="17"/>
        <v>0.62246339305070097</v>
      </c>
      <c r="I43" s="303">
        <f t="shared" si="17"/>
        <v>0.61628954439829209</v>
      </c>
      <c r="J43" s="303">
        <f t="shared" si="17"/>
        <v>0.60892113322680175</v>
      </c>
      <c r="K43" s="303">
        <f t="shared" si="17"/>
        <v>0.60109495058122897</v>
      </c>
      <c r="L43" s="303">
        <f t="shared" si="17"/>
        <v>0.59393876695600545</v>
      </c>
      <c r="M43" s="303">
        <f t="shared" si="17"/>
        <v>0.59566522514436615</v>
      </c>
      <c r="N43" s="303">
        <f t="shared" si="17"/>
        <v>0.59700028657196402</v>
      </c>
      <c r="O43" s="303">
        <f t="shared" si="17"/>
        <v>0.59549153272533872</v>
      </c>
      <c r="P43" s="303">
        <f t="shared" si="17"/>
        <v>0.59944062218549499</v>
      </c>
      <c r="Q43" s="303">
        <f t="shared" si="17"/>
        <v>0.59438266394467165</v>
      </c>
      <c r="R43" s="303">
        <f t="shared" si="17"/>
        <v>0.58750794474320067</v>
      </c>
      <c r="S43" s="303">
        <f t="shared" si="17"/>
        <v>0.58511593847660737</v>
      </c>
      <c r="T43" s="303">
        <f t="shared" si="17"/>
        <v>0.58424250887635432</v>
      </c>
      <c r="U43" s="303">
        <f t="shared" si="17"/>
        <v>0.58534600994069463</v>
      </c>
      <c r="V43" s="303">
        <f t="shared" si="17"/>
        <v>0.58015267529077741</v>
      </c>
      <c r="W43" s="303">
        <f t="shared" si="17"/>
        <v>0.58393588700091392</v>
      </c>
      <c r="X43" s="303">
        <f t="shared" si="17"/>
        <v>0.58525972463883325</v>
      </c>
      <c r="Y43" s="303">
        <f t="shared" si="17"/>
        <v>0.58575595466617991</v>
      </c>
      <c r="Z43" s="303">
        <f t="shared" si="17"/>
        <v>0.58594188614723908</v>
      </c>
      <c r="AA43" s="303">
        <f t="shared" si="17"/>
        <v>0.58197872832188069</v>
      </c>
      <c r="AB43" s="303">
        <f t="shared" si="17"/>
        <v>0.58433848840913483</v>
      </c>
      <c r="AC43" s="303">
        <f t="shared" si="17"/>
        <v>0.58449654070008472</v>
      </c>
      <c r="AD43" s="303">
        <f t="shared" si="17"/>
        <v>0.58470356206377783</v>
      </c>
      <c r="AE43" s="303">
        <f t="shared" si="17"/>
        <v>0.58467544959076501</v>
      </c>
      <c r="AF43" s="303">
        <f t="shared" si="17"/>
        <v>0.58207334236163188</v>
      </c>
      <c r="AG43" s="303">
        <f t="shared" si="17"/>
        <v>0.58327948348184744</v>
      </c>
      <c r="AH43" s="303">
        <f t="shared" si="17"/>
        <v>0.58357179652741398</v>
      </c>
      <c r="AI43" s="303">
        <f t="shared" si="17"/>
        <v>0.583477998090425</v>
      </c>
      <c r="AJ43" s="303">
        <f t="shared" si="17"/>
        <v>0.58329518930092694</v>
      </c>
      <c r="AK43" s="303">
        <f t="shared" si="17"/>
        <v>0.58309717664565519</v>
      </c>
      <c r="AL43" s="303">
        <f t="shared" si="17"/>
        <v>0.58230393722147211</v>
      </c>
      <c r="AM43" s="303">
        <f t="shared" si="17"/>
        <v>0.58181673512614784</v>
      </c>
      <c r="AN43" s="303">
        <f t="shared" si="17"/>
        <v>0.58141536461942045</v>
      </c>
      <c r="AO43" s="303">
        <f t="shared" si="17"/>
        <v>0.58106368057082836</v>
      </c>
      <c r="AP43" s="303">
        <f t="shared" si="17"/>
        <v>0.57905877723945542</v>
      </c>
      <c r="AQ43" s="303">
        <f t="shared" si="17"/>
        <v>0.579347862570322</v>
      </c>
      <c r="AR43" s="303">
        <f t="shared" si="17"/>
        <v>0.57926330243312296</v>
      </c>
      <c r="AS43" s="303">
        <f t="shared" si="17"/>
        <v>0.57905310303431501</v>
      </c>
      <c r="AT43" s="303">
        <f t="shared" si="17"/>
        <v>0.57884341857051791</v>
      </c>
      <c r="AU43" s="304">
        <f t="shared" si="17"/>
        <v>0.57863588092211005</v>
      </c>
      <c r="AW43" s="302">
        <f t="shared" si="18"/>
        <v>-1.7461893863614297E-2</v>
      </c>
      <c r="AX43" s="302">
        <f t="shared" si="19"/>
        <v>-2.080474126338494E-2</v>
      </c>
    </row>
    <row r="44" spans="1:50" x14ac:dyDescent="0.25">
      <c r="B44" s="261" t="s">
        <v>472</v>
      </c>
      <c r="C44" s="305">
        <f t="shared" si="20"/>
        <v>0.10294003683376719</v>
      </c>
      <c r="D44" s="305">
        <f t="shared" si="17"/>
        <v>0.10606038989323055</v>
      </c>
      <c r="E44" s="305">
        <f t="shared" si="17"/>
        <v>0.10553908253768274</v>
      </c>
      <c r="F44" s="305">
        <f t="shared" si="17"/>
        <v>0.10593620895018452</v>
      </c>
      <c r="G44" s="305">
        <f t="shared" si="17"/>
        <v>0.10502436561130646</v>
      </c>
      <c r="H44" s="305">
        <f t="shared" si="17"/>
        <v>0.10813442717858814</v>
      </c>
      <c r="I44" s="305">
        <f t="shared" si="17"/>
        <v>0.10840110905975049</v>
      </c>
      <c r="J44" s="305">
        <f t="shared" si="17"/>
        <v>0.11035132442427788</v>
      </c>
      <c r="K44" s="305">
        <f t="shared" si="17"/>
        <v>0.11375108819353268</v>
      </c>
      <c r="L44" s="305">
        <f t="shared" si="17"/>
        <v>0.11286939003631584</v>
      </c>
      <c r="M44" s="305">
        <f t="shared" si="17"/>
        <v>0.11020876818939614</v>
      </c>
      <c r="N44" s="305">
        <f t="shared" si="17"/>
        <v>0.11048103605140054</v>
      </c>
      <c r="O44" s="305">
        <f t="shared" si="17"/>
        <v>0.11403598272547934</v>
      </c>
      <c r="P44" s="305">
        <f t="shared" si="17"/>
        <v>0.10793135774574755</v>
      </c>
      <c r="Q44" s="305">
        <f t="shared" si="17"/>
        <v>5.388003161953997E-2</v>
      </c>
      <c r="R44" s="305">
        <f t="shared" si="17"/>
        <v>0.11687206217961853</v>
      </c>
      <c r="S44" s="305">
        <f t="shared" si="17"/>
        <v>0.11972516228931201</v>
      </c>
      <c r="T44" s="305">
        <f t="shared" si="17"/>
        <v>0.12575123943144834</v>
      </c>
      <c r="U44" s="305">
        <f t="shared" si="17"/>
        <v>0.12677307806611648</v>
      </c>
      <c r="V44" s="305">
        <f t="shared" si="17"/>
        <v>0.16449906961429975</v>
      </c>
      <c r="W44" s="305">
        <f t="shared" si="17"/>
        <v>0.1653511991363518</v>
      </c>
      <c r="X44" s="305">
        <f t="shared" si="17"/>
        <v>0.16440618500922802</v>
      </c>
      <c r="Y44" s="305">
        <f t="shared" si="17"/>
        <v>0.16324744227862112</v>
      </c>
      <c r="Z44" s="305">
        <f t="shared" si="17"/>
        <v>0.16209459786246339</v>
      </c>
      <c r="AA44" s="305">
        <f t="shared" si="17"/>
        <v>4.7807228652660252E-2</v>
      </c>
      <c r="AB44" s="305">
        <f t="shared" si="17"/>
        <v>0.18425168606306871</v>
      </c>
      <c r="AC44" s="305">
        <f t="shared" si="17"/>
        <v>0.1814153936334866</v>
      </c>
      <c r="AD44" s="305">
        <f t="shared" si="17"/>
        <v>0.17857387466860766</v>
      </c>
      <c r="AE44" s="305">
        <f t="shared" si="17"/>
        <v>0.17587218263813814</v>
      </c>
      <c r="AF44" s="305">
        <f t="shared" si="17"/>
        <v>0.18522118873079033</v>
      </c>
      <c r="AG44" s="305">
        <f t="shared" si="17"/>
        <v>0.18312321660245703</v>
      </c>
      <c r="AH44" s="305">
        <f t="shared" si="17"/>
        <v>0.18089417603209682</v>
      </c>
      <c r="AI44" s="305">
        <f t="shared" si="17"/>
        <v>0.17867349647864772</v>
      </c>
      <c r="AJ44" s="305">
        <f t="shared" si="17"/>
        <v>0.17649015936327261</v>
      </c>
      <c r="AK44" s="305">
        <f t="shared" si="17"/>
        <v>0.1743717047230719</v>
      </c>
      <c r="AL44" s="305">
        <f t="shared" si="17"/>
        <v>0.17178126747965763</v>
      </c>
      <c r="AM44" s="305">
        <f t="shared" si="17"/>
        <v>0.16956208311157614</v>
      </c>
      <c r="AN44" s="305">
        <f t="shared" si="17"/>
        <v>0.16767955410812393</v>
      </c>
      <c r="AO44" s="305">
        <f t="shared" si="17"/>
        <v>0.16602450164850083</v>
      </c>
      <c r="AP44" s="305">
        <f t="shared" si="17"/>
        <v>0.17648244083224343</v>
      </c>
      <c r="AQ44" s="305">
        <f t="shared" si="17"/>
        <v>0.17470572406746238</v>
      </c>
      <c r="AR44" s="305">
        <f t="shared" si="17"/>
        <v>0.1728013734226376</v>
      </c>
      <c r="AS44" s="305">
        <f t="shared" si="17"/>
        <v>0.17085984227076639</v>
      </c>
      <c r="AT44" s="305">
        <f t="shared" si="17"/>
        <v>0.16890344026432239</v>
      </c>
      <c r="AU44" s="306">
        <f t="shared" si="17"/>
        <v>4.7046246300453051E-2</v>
      </c>
      <c r="AW44" s="302">
        <f t="shared" si="18"/>
        <v>-6.01241290930873E-2</v>
      </c>
      <c r="AX44" s="302">
        <f t="shared" si="19"/>
        <v>-6.0885111445294501E-2</v>
      </c>
    </row>
    <row r="45" spans="1:50" x14ac:dyDescent="0.25">
      <c r="B45" s="249" t="s">
        <v>473</v>
      </c>
      <c r="C45" s="307">
        <f t="shared" si="20"/>
        <v>0.84019670780873068</v>
      </c>
      <c r="D45" s="307">
        <f t="shared" si="17"/>
        <v>0.83778233274286651</v>
      </c>
      <c r="E45" s="307">
        <f t="shared" si="17"/>
        <v>0.83949645938797002</v>
      </c>
      <c r="F45" s="307">
        <f t="shared" si="17"/>
        <v>0.83935197047394494</v>
      </c>
      <c r="G45" s="307">
        <f t="shared" si="17"/>
        <v>0.84069005855283663</v>
      </c>
      <c r="H45" s="307">
        <f t="shared" si="17"/>
        <v>0.83798891546545184</v>
      </c>
      <c r="I45" s="307">
        <f t="shared" si="17"/>
        <v>0.8391856339357181</v>
      </c>
      <c r="J45" s="307">
        <f t="shared" ref="J45:AU45" si="21">J10/(J$2-J$3)</f>
        <v>0.83850229070298199</v>
      </c>
      <c r="K45" s="307">
        <f t="shared" si="21"/>
        <v>0.83604483985802347</v>
      </c>
      <c r="L45" s="307">
        <f t="shared" si="21"/>
        <v>0.83873301449655968</v>
      </c>
      <c r="M45" s="307">
        <f t="shared" si="21"/>
        <v>0.84149532995195397</v>
      </c>
      <c r="N45" s="307">
        <f t="shared" si="21"/>
        <v>0.84080651711620458</v>
      </c>
      <c r="O45" s="307">
        <f t="shared" si="21"/>
        <v>0.83704819454952661</v>
      </c>
      <c r="P45" s="307">
        <f t="shared" si="21"/>
        <v>0.83800615507585396</v>
      </c>
      <c r="Q45" s="307">
        <f t="shared" si="21"/>
        <v>0.83455047388070203</v>
      </c>
      <c r="R45" s="307">
        <f t="shared" si="21"/>
        <v>0.83032194435120854</v>
      </c>
      <c r="S45" s="307">
        <f t="shared" si="21"/>
        <v>0.82770339232399093</v>
      </c>
      <c r="T45" s="307">
        <f t="shared" si="21"/>
        <v>0.82202278899344594</v>
      </c>
      <c r="U45" s="307">
        <f t="shared" si="21"/>
        <v>0.82221420469072626</v>
      </c>
      <c r="V45" s="307">
        <f t="shared" si="21"/>
        <v>0.78763991426432767</v>
      </c>
      <c r="W45" s="307">
        <f t="shared" si="21"/>
        <v>0.78641641143765773</v>
      </c>
      <c r="X45" s="307">
        <f t="shared" si="21"/>
        <v>0.78681032978861065</v>
      </c>
      <c r="Y45" s="307">
        <f t="shared" si="21"/>
        <v>0.78773332869321167</v>
      </c>
      <c r="Z45" s="307">
        <f t="shared" si="21"/>
        <v>0.78876811644218325</v>
      </c>
      <c r="AA45" s="307">
        <f t="shared" si="21"/>
        <v>0.76626400738701084</v>
      </c>
      <c r="AB45" s="307">
        <f t="shared" si="21"/>
        <v>0.7669752412016686</v>
      </c>
      <c r="AC45" s="307">
        <f t="shared" si="21"/>
        <v>0.76971544474316167</v>
      </c>
      <c r="AD45" s="307">
        <f t="shared" si="21"/>
        <v>0.77247605800788488</v>
      </c>
      <c r="AE45" s="307">
        <f t="shared" si="21"/>
        <v>0.77517762125216816</v>
      </c>
      <c r="AF45" s="307">
        <f t="shared" si="21"/>
        <v>0.76687655917357977</v>
      </c>
      <c r="AG45" s="307">
        <f t="shared" si="21"/>
        <v>0.76845051843649625</v>
      </c>
      <c r="AH45" s="307">
        <f t="shared" si="21"/>
        <v>0.7705006394626529</v>
      </c>
      <c r="AI45" s="307">
        <f t="shared" si="21"/>
        <v>0.77269355571544807</v>
      </c>
      <c r="AJ45" s="307">
        <f t="shared" si="21"/>
        <v>0.7748952832039715</v>
      </c>
      <c r="AK45" s="307">
        <f t="shared" si="21"/>
        <v>0.77704977677024878</v>
      </c>
      <c r="AL45" s="307">
        <f t="shared" si="21"/>
        <v>0.77993971314811639</v>
      </c>
      <c r="AM45" s="307">
        <f t="shared" si="21"/>
        <v>0.78233595826139146</v>
      </c>
      <c r="AN45" s="307">
        <f t="shared" si="21"/>
        <v>0.78434932860222972</v>
      </c>
      <c r="AO45" s="307">
        <f t="shared" si="21"/>
        <v>0.78611016843953507</v>
      </c>
      <c r="AP45" s="307">
        <f t="shared" si="21"/>
        <v>0.77642842968621295</v>
      </c>
      <c r="AQ45" s="307">
        <f t="shared" si="21"/>
        <v>0.7780462329895923</v>
      </c>
      <c r="AR45" s="307">
        <f t="shared" si="21"/>
        <v>0.7799443896326208</v>
      </c>
      <c r="AS45" s="307">
        <f t="shared" si="21"/>
        <v>0.7819400941549024</v>
      </c>
      <c r="AT45" s="307">
        <f t="shared" si="21"/>
        <v>0.78396775078248904</v>
      </c>
      <c r="AU45" s="308">
        <f t="shared" si="21"/>
        <v>0.78598185281784205</v>
      </c>
      <c r="AW45" s="309">
        <f>AA45-P45</f>
        <v>-7.1742147688843128E-2</v>
      </c>
      <c r="AX45" s="309">
        <f>AU45-P45</f>
        <v>-5.2024302258011912E-2</v>
      </c>
    </row>
    <row r="46" spans="1:50" x14ac:dyDescent="0.25">
      <c r="C46" s="265"/>
      <c r="D46" s="265"/>
      <c r="E46" s="265"/>
      <c r="F46" s="265"/>
      <c r="G46" s="265"/>
      <c r="H46" s="265"/>
      <c r="I46" s="265"/>
      <c r="J46" s="265"/>
      <c r="K46" s="265"/>
      <c r="L46" s="265"/>
      <c r="M46" s="265"/>
      <c r="N46" s="265"/>
      <c r="O46" s="265"/>
      <c r="P46" s="265"/>
      <c r="Q46" s="265"/>
      <c r="R46" s="265"/>
      <c r="S46" s="265"/>
      <c r="T46" s="265"/>
      <c r="U46" s="265"/>
      <c r="V46" s="265"/>
      <c r="W46" s="265"/>
      <c r="X46" s="265"/>
      <c r="Y46" s="265"/>
      <c r="Z46" s="265"/>
      <c r="AA46" s="265"/>
      <c r="AB46" s="265"/>
      <c r="AC46" s="265"/>
      <c r="AD46" s="265"/>
      <c r="AE46" s="265"/>
      <c r="AF46" s="265"/>
      <c r="AG46" s="265"/>
      <c r="AH46" s="265"/>
      <c r="AI46" s="265"/>
      <c r="AJ46" s="265"/>
      <c r="AK46" s="265"/>
      <c r="AL46" s="265"/>
      <c r="AM46" s="265"/>
      <c r="AN46" s="265"/>
      <c r="AO46" s="265"/>
      <c r="AP46" s="265"/>
      <c r="AQ46" s="265"/>
      <c r="AR46" s="265"/>
      <c r="AS46" s="265"/>
      <c r="AT46" s="265"/>
      <c r="AU46" s="265"/>
    </row>
    <row r="47" spans="1:50" s="244" customFormat="1" ht="45" customHeight="1" x14ac:dyDescent="0.25">
      <c r="A47" s="239" t="s">
        <v>474</v>
      </c>
      <c r="B47" s="240" t="s">
        <v>497</v>
      </c>
      <c r="C47" s="242">
        <v>2006</v>
      </c>
      <c r="D47" s="242">
        <v>2007</v>
      </c>
      <c r="E47" s="242">
        <v>2008</v>
      </c>
      <c r="F47" s="242">
        <v>2009</v>
      </c>
      <c r="G47" s="242">
        <v>2010</v>
      </c>
      <c r="H47" s="242">
        <v>2011</v>
      </c>
      <c r="I47" s="242">
        <v>2012</v>
      </c>
      <c r="J47" s="242">
        <v>2013</v>
      </c>
      <c r="K47" s="242">
        <v>2014</v>
      </c>
      <c r="L47" s="242">
        <v>2015</v>
      </c>
      <c r="M47" s="242">
        <v>2016</v>
      </c>
      <c r="N47" s="242">
        <v>2017</v>
      </c>
      <c r="O47" s="242">
        <v>2018</v>
      </c>
      <c r="P47" s="242">
        <v>2019</v>
      </c>
      <c r="Q47" s="242">
        <v>2020</v>
      </c>
      <c r="R47" s="242">
        <v>2021</v>
      </c>
      <c r="S47" s="242">
        <v>2022</v>
      </c>
      <c r="T47" s="242">
        <v>2023</v>
      </c>
      <c r="U47" s="242">
        <v>2024</v>
      </c>
      <c r="V47" s="242">
        <v>2025</v>
      </c>
      <c r="W47" s="242">
        <v>2026</v>
      </c>
      <c r="X47" s="242">
        <v>2027</v>
      </c>
      <c r="Y47" s="242">
        <v>2028</v>
      </c>
      <c r="Z47" s="242">
        <v>2029</v>
      </c>
      <c r="AA47" s="242">
        <v>2030</v>
      </c>
      <c r="AB47" s="242">
        <v>2031</v>
      </c>
      <c r="AC47" s="242">
        <v>2032</v>
      </c>
      <c r="AD47" s="242">
        <v>2033</v>
      </c>
      <c r="AE47" s="242">
        <v>2034</v>
      </c>
      <c r="AF47" s="242">
        <v>2035</v>
      </c>
      <c r="AG47" s="242">
        <v>2036</v>
      </c>
      <c r="AH47" s="242">
        <v>2037</v>
      </c>
      <c r="AI47" s="242">
        <v>2038</v>
      </c>
      <c r="AJ47" s="242">
        <v>2039</v>
      </c>
      <c r="AK47" s="242">
        <v>2040</v>
      </c>
      <c r="AL47" s="242">
        <v>2041</v>
      </c>
      <c r="AM47" s="242">
        <v>2042</v>
      </c>
      <c r="AN47" s="242">
        <v>2043</v>
      </c>
      <c r="AO47" s="242">
        <v>2044</v>
      </c>
      <c r="AP47" s="242">
        <v>2045</v>
      </c>
      <c r="AQ47" s="242">
        <v>2046</v>
      </c>
      <c r="AR47" s="242">
        <v>2047</v>
      </c>
      <c r="AS47" s="242">
        <v>2048</v>
      </c>
      <c r="AT47" s="242">
        <v>2049</v>
      </c>
      <c r="AU47" s="243">
        <v>2050</v>
      </c>
      <c r="AW47" s="242" t="s">
        <v>498</v>
      </c>
      <c r="AX47" s="242" t="s">
        <v>499</v>
      </c>
    </row>
    <row r="48" spans="1:50" x14ac:dyDescent="0.25">
      <c r="B48" s="245" t="s">
        <v>1</v>
      </c>
      <c r="C48" s="246">
        <f t="shared" ref="C48:AU48" si="22">C49+C50+C53</f>
        <v>1</v>
      </c>
      <c r="D48" s="247">
        <f t="shared" si="22"/>
        <v>1</v>
      </c>
      <c r="E48" s="247">
        <f t="shared" si="22"/>
        <v>1</v>
      </c>
      <c r="F48" s="247">
        <f t="shared" si="22"/>
        <v>1</v>
      </c>
      <c r="G48" s="247">
        <f t="shared" si="22"/>
        <v>1</v>
      </c>
      <c r="H48" s="247">
        <f t="shared" si="22"/>
        <v>0.99999999999999978</v>
      </c>
      <c r="I48" s="247">
        <f t="shared" si="22"/>
        <v>1</v>
      </c>
      <c r="J48" s="247">
        <f t="shared" si="22"/>
        <v>1</v>
      </c>
      <c r="K48" s="247">
        <f t="shared" si="22"/>
        <v>1</v>
      </c>
      <c r="L48" s="247">
        <f t="shared" si="22"/>
        <v>1</v>
      </c>
      <c r="M48" s="247">
        <f t="shared" si="22"/>
        <v>1</v>
      </c>
      <c r="N48" s="247">
        <f t="shared" si="22"/>
        <v>0.99999999999999989</v>
      </c>
      <c r="O48" s="247">
        <f t="shared" si="22"/>
        <v>0.99999999999999989</v>
      </c>
      <c r="P48" s="247">
        <f t="shared" si="22"/>
        <v>0.99999999999999989</v>
      </c>
      <c r="Q48" s="247">
        <f t="shared" si="22"/>
        <v>0.9993241358618139</v>
      </c>
      <c r="R48" s="247">
        <f t="shared" si="22"/>
        <v>1.0005483203969208</v>
      </c>
      <c r="S48" s="247">
        <f t="shared" si="22"/>
        <v>1.0005156534794388</v>
      </c>
      <c r="T48" s="247">
        <f t="shared" si="22"/>
        <v>1.0003180736891824</v>
      </c>
      <c r="U48" s="247">
        <f t="shared" si="22"/>
        <v>1.0002155157039092</v>
      </c>
      <c r="V48" s="247">
        <f t="shared" si="22"/>
        <v>0.99323279740473092</v>
      </c>
      <c r="W48" s="247">
        <f t="shared" si="22"/>
        <v>0.99317052700662112</v>
      </c>
      <c r="X48" s="247">
        <f t="shared" si="22"/>
        <v>0.99317993032569973</v>
      </c>
      <c r="Y48" s="247">
        <f t="shared" si="22"/>
        <v>0.99318338442288978</v>
      </c>
      <c r="Z48" s="247">
        <f t="shared" si="22"/>
        <v>0.99318188064903512</v>
      </c>
      <c r="AA48" s="247">
        <f t="shared" si="22"/>
        <v>0.99073411277705969</v>
      </c>
      <c r="AB48" s="247">
        <f t="shared" si="22"/>
        <v>0.99079541085152689</v>
      </c>
      <c r="AC48" s="247">
        <f t="shared" si="22"/>
        <v>0.99078046528038266</v>
      </c>
      <c r="AD48" s="247">
        <f t="shared" si="22"/>
        <v>0.99078359205070998</v>
      </c>
      <c r="AE48" s="247">
        <f t="shared" si="22"/>
        <v>0.99079756546160003</v>
      </c>
      <c r="AF48" s="247">
        <f t="shared" si="22"/>
        <v>0.9906776174985592</v>
      </c>
      <c r="AG48" s="247">
        <f t="shared" si="22"/>
        <v>0.99068580920956795</v>
      </c>
      <c r="AH48" s="247">
        <f t="shared" si="22"/>
        <v>0.99072350238767715</v>
      </c>
      <c r="AI48" s="247">
        <f t="shared" si="22"/>
        <v>0.99077890741285701</v>
      </c>
      <c r="AJ48" s="247">
        <f t="shared" si="22"/>
        <v>0.9908501214723584</v>
      </c>
      <c r="AK48" s="247">
        <f t="shared" si="22"/>
        <v>0.99093811195075554</v>
      </c>
      <c r="AL48" s="247">
        <f t="shared" si="22"/>
        <v>0.99101186651251139</v>
      </c>
      <c r="AM48" s="247">
        <f t="shared" si="22"/>
        <v>0.99112473451298411</v>
      </c>
      <c r="AN48" s="247">
        <f t="shared" si="22"/>
        <v>0.99126646011070463</v>
      </c>
      <c r="AO48" s="247">
        <f t="shared" si="22"/>
        <v>0.99143534389838628</v>
      </c>
      <c r="AP48" s="247">
        <f t="shared" si="22"/>
        <v>0.99163479397859167</v>
      </c>
      <c r="AQ48" s="247">
        <f t="shared" si="22"/>
        <v>0.9916163570301596</v>
      </c>
      <c r="AR48" s="247">
        <f t="shared" si="22"/>
        <v>0.99176130589851319</v>
      </c>
      <c r="AS48" s="247">
        <f t="shared" si="22"/>
        <v>0.99200820055314076</v>
      </c>
      <c r="AT48" s="247">
        <f t="shared" si="22"/>
        <v>0.99234356743283059</v>
      </c>
      <c r="AU48" s="248">
        <f t="shared" si="22"/>
        <v>0.99277339866494119</v>
      </c>
    </row>
    <row r="49" spans="1:50" x14ac:dyDescent="0.25">
      <c r="B49" s="249" t="s">
        <v>466</v>
      </c>
      <c r="C49" s="299"/>
      <c r="D49" s="251"/>
      <c r="E49" s="251"/>
      <c r="F49" s="251"/>
      <c r="G49" s="251"/>
      <c r="H49" s="251"/>
      <c r="I49" s="251"/>
      <c r="J49" s="251"/>
      <c r="K49" s="251"/>
      <c r="L49" s="251"/>
      <c r="M49" s="251"/>
      <c r="N49" s="251"/>
      <c r="O49" s="251"/>
      <c r="P49" s="251"/>
      <c r="Q49" s="251"/>
      <c r="R49" s="251"/>
      <c r="S49" s="251"/>
      <c r="T49" s="251"/>
      <c r="U49" s="251"/>
      <c r="V49" s="251"/>
      <c r="W49" s="251"/>
      <c r="X49" s="251"/>
      <c r="Y49" s="251"/>
      <c r="Z49" s="251"/>
      <c r="AA49" s="251"/>
      <c r="AB49" s="251"/>
      <c r="AC49" s="251"/>
      <c r="AD49" s="251"/>
      <c r="AE49" s="251"/>
      <c r="AF49" s="251"/>
      <c r="AG49" s="251"/>
      <c r="AH49" s="251"/>
      <c r="AI49" s="251"/>
      <c r="AJ49" s="251"/>
      <c r="AK49" s="251"/>
      <c r="AL49" s="251"/>
      <c r="AM49" s="251"/>
      <c r="AN49" s="251"/>
      <c r="AO49" s="251"/>
      <c r="AP49" s="251"/>
      <c r="AQ49" s="251"/>
      <c r="AR49" s="251"/>
      <c r="AS49" s="251"/>
      <c r="AT49" s="251"/>
      <c r="AU49" s="252"/>
      <c r="AW49" s="253"/>
    </row>
    <row r="50" spans="1:50" x14ac:dyDescent="0.25">
      <c r="B50" s="254" t="s">
        <v>467</v>
      </c>
      <c r="C50" s="300">
        <f>C15/(C$2-C$3)</f>
        <v>0.29999999998794452</v>
      </c>
      <c r="D50" s="300">
        <f t="shared" ref="D50:AU51" si="23">D15/(D$2-D$3)</f>
        <v>0.3066627692023165</v>
      </c>
      <c r="E50" s="300">
        <f t="shared" si="23"/>
        <v>0.31171960042255559</v>
      </c>
      <c r="F50" s="300">
        <f t="shared" si="23"/>
        <v>0.31501832365552274</v>
      </c>
      <c r="G50" s="300">
        <f t="shared" si="23"/>
        <v>0.3177062487926326</v>
      </c>
      <c r="H50" s="300">
        <f t="shared" si="23"/>
        <v>0.32357879702800135</v>
      </c>
      <c r="I50" s="300">
        <f t="shared" si="23"/>
        <v>0.33117847671752126</v>
      </c>
      <c r="J50" s="300">
        <f t="shared" si="23"/>
        <v>0.33980553475687236</v>
      </c>
      <c r="K50" s="300">
        <f t="shared" si="23"/>
        <v>0.34856875777337915</v>
      </c>
      <c r="L50" s="300">
        <f t="shared" si="23"/>
        <v>0.35743489167910802</v>
      </c>
      <c r="M50" s="300">
        <f t="shared" si="23"/>
        <v>0.35578098038197692</v>
      </c>
      <c r="N50" s="300">
        <f t="shared" si="23"/>
        <v>0.35402627742523851</v>
      </c>
      <c r="O50" s="300">
        <f t="shared" si="23"/>
        <v>0.35526647179581949</v>
      </c>
      <c r="P50" s="300">
        <f t="shared" si="23"/>
        <v>0.34611112153892232</v>
      </c>
      <c r="Q50" s="300">
        <f t="shared" si="23"/>
        <v>0.35131924008522702</v>
      </c>
      <c r="R50" s="300">
        <f t="shared" si="23"/>
        <v>0.35920938352825094</v>
      </c>
      <c r="S50" s="300">
        <f t="shared" si="23"/>
        <v>0.36180747879369785</v>
      </c>
      <c r="T50" s="300">
        <f t="shared" si="23"/>
        <v>0.36283137966828366</v>
      </c>
      <c r="U50" s="300">
        <f t="shared" si="23"/>
        <v>0.36293166770702817</v>
      </c>
      <c r="V50" s="300">
        <f t="shared" si="23"/>
        <v>0.36451938797186245</v>
      </c>
      <c r="W50" s="300">
        <f t="shared" si="23"/>
        <v>0.36036338394177747</v>
      </c>
      <c r="X50" s="300">
        <f t="shared" si="23"/>
        <v>0.35851595363734079</v>
      </c>
      <c r="Y50" s="300">
        <f t="shared" si="23"/>
        <v>0.35780064391778144</v>
      </c>
      <c r="Z50" s="300">
        <f t="shared" si="23"/>
        <v>0.35750787800063061</v>
      </c>
      <c r="AA50" s="300">
        <f t="shared" si="23"/>
        <v>0.36035420508441668</v>
      </c>
      <c r="AB50" s="300">
        <f t="shared" si="23"/>
        <v>0.35709224925475613</v>
      </c>
      <c r="AC50" s="300">
        <f t="shared" si="23"/>
        <v>0.35681727005190805</v>
      </c>
      <c r="AD50" s="300">
        <f t="shared" si="23"/>
        <v>0.3565238728350642</v>
      </c>
      <c r="AE50" s="300">
        <f t="shared" si="23"/>
        <v>0.35654805101617781</v>
      </c>
      <c r="AF50" s="300">
        <f t="shared" si="23"/>
        <v>0.36003206621428496</v>
      </c>
      <c r="AG50" s="300">
        <f t="shared" si="23"/>
        <v>0.35829168193224059</v>
      </c>
      <c r="AH50" s="300">
        <f t="shared" si="23"/>
        <v>0.35782960799384911</v>
      </c>
      <c r="AI50" s="300">
        <f t="shared" si="23"/>
        <v>0.35791727278530089</v>
      </c>
      <c r="AJ50" s="300">
        <f t="shared" si="23"/>
        <v>0.35815286737151003</v>
      </c>
      <c r="AK50" s="300">
        <f t="shared" si="23"/>
        <v>0.3584342351900196</v>
      </c>
      <c r="AL50" s="300">
        <f t="shared" si="23"/>
        <v>0.3595512981345686</v>
      </c>
      <c r="AM50" s="300">
        <f t="shared" si="23"/>
        <v>0.36027297313683204</v>
      </c>
      <c r="AN50" s="300">
        <f t="shared" si="23"/>
        <v>0.36088493480678091</v>
      </c>
      <c r="AO50" s="300">
        <f t="shared" si="23"/>
        <v>0.36144070488724761</v>
      </c>
      <c r="AP50" s="300">
        <f t="shared" si="23"/>
        <v>0.36426843692143457</v>
      </c>
      <c r="AQ50" s="300">
        <f t="shared" si="23"/>
        <v>0.36374184915205265</v>
      </c>
      <c r="AR50" s="300">
        <f t="shared" si="23"/>
        <v>0.3638745612503842</v>
      </c>
      <c r="AS50" s="300">
        <f t="shared" si="23"/>
        <v>0.36426995401784262</v>
      </c>
      <c r="AT50" s="300">
        <f t="shared" si="23"/>
        <v>0.36474196163485106</v>
      </c>
      <c r="AU50" s="301">
        <f t="shared" si="23"/>
        <v>0.36528332162211224</v>
      </c>
      <c r="AW50" s="302">
        <f t="shared" ref="AW50:AW55" si="24">AA50-P50</f>
        <v>1.4243083545494362E-2</v>
      </c>
      <c r="AX50" s="302">
        <f t="shared" ref="AX50:AX55" si="25">AU50-P50</f>
        <v>1.9172200083189928E-2</v>
      </c>
    </row>
    <row r="51" spans="1:50" x14ac:dyDescent="0.25">
      <c r="B51" s="258" t="s">
        <v>468</v>
      </c>
      <c r="C51" s="303">
        <f>C16/(C$2-C$3)</f>
        <v>0.1970599631421219</v>
      </c>
      <c r="D51" s="303">
        <f t="shared" si="23"/>
        <v>0.20060737908862281</v>
      </c>
      <c r="E51" s="303">
        <f t="shared" si="23"/>
        <v>0.20622280147810551</v>
      </c>
      <c r="F51" s="303">
        <f t="shared" si="23"/>
        <v>0.20912853783918506</v>
      </c>
      <c r="G51" s="303">
        <f t="shared" si="23"/>
        <v>0.21275228283658495</v>
      </c>
      <c r="H51" s="303">
        <f t="shared" si="23"/>
        <v>0.21552552241475076</v>
      </c>
      <c r="I51" s="303">
        <f t="shared" si="23"/>
        <v>0.22289608953742615</v>
      </c>
      <c r="J51" s="303">
        <f t="shared" si="23"/>
        <v>0.2295811574761803</v>
      </c>
      <c r="K51" s="303">
        <f t="shared" si="23"/>
        <v>0.23494988927679458</v>
      </c>
      <c r="L51" s="303">
        <f t="shared" si="23"/>
        <v>0.24479424754055426</v>
      </c>
      <c r="M51" s="303">
        <f t="shared" si="23"/>
        <v>0.24583010480758777</v>
      </c>
      <c r="N51" s="303">
        <f t="shared" si="23"/>
        <v>0.24380623054424055</v>
      </c>
      <c r="O51" s="303">
        <f t="shared" si="23"/>
        <v>0.24155666182418786</v>
      </c>
      <c r="P51" s="303">
        <f t="shared" si="23"/>
        <v>0.23856553289035901</v>
      </c>
      <c r="Q51" s="303">
        <f t="shared" si="23"/>
        <v>0.24016780993603037</v>
      </c>
      <c r="R51" s="303">
        <f t="shared" si="23"/>
        <v>0.2428139996080079</v>
      </c>
      <c r="S51" s="303">
        <f t="shared" si="23"/>
        <v>0.24258745384738353</v>
      </c>
      <c r="T51" s="303">
        <f t="shared" si="23"/>
        <v>0.23778028011709168</v>
      </c>
      <c r="U51" s="303">
        <f t="shared" si="23"/>
        <v>0.23688082851531392</v>
      </c>
      <c r="V51" s="303">
        <f t="shared" si="23"/>
        <v>0.20750351259392488</v>
      </c>
      <c r="W51" s="303">
        <f t="shared" si="23"/>
        <v>0.20243832092797176</v>
      </c>
      <c r="X51" s="303">
        <f t="shared" si="23"/>
        <v>0.20142484483378154</v>
      </c>
      <c r="Y51" s="303">
        <f t="shared" si="23"/>
        <v>0.2017725721217721</v>
      </c>
      <c r="Z51" s="303">
        <f t="shared" si="23"/>
        <v>0.20254353293932578</v>
      </c>
      <c r="AA51" s="303">
        <f t="shared" si="23"/>
        <v>0.1837722918674512</v>
      </c>
      <c r="AB51" s="303">
        <f t="shared" si="23"/>
        <v>0.18196259356020317</v>
      </c>
      <c r="AC51" s="303">
        <f t="shared" si="23"/>
        <v>0.18439864563849781</v>
      </c>
      <c r="AD51" s="303">
        <f t="shared" si="23"/>
        <v>0.18681957787706202</v>
      </c>
      <c r="AE51" s="303">
        <f t="shared" si="23"/>
        <v>0.18942553863356265</v>
      </c>
      <c r="AF51" s="303">
        <f t="shared" si="23"/>
        <v>0.1833157278983584</v>
      </c>
      <c r="AG51" s="303">
        <f t="shared" si="23"/>
        <v>0.18347731977135961</v>
      </c>
      <c r="AH51" s="303">
        <f t="shared" si="23"/>
        <v>0.1850777866954203</v>
      </c>
      <c r="AI51" s="303">
        <f t="shared" si="23"/>
        <v>0.18723573380135178</v>
      </c>
      <c r="AJ51" s="303">
        <f t="shared" si="23"/>
        <v>0.18951246644641792</v>
      </c>
      <c r="AK51" s="303">
        <f t="shared" si="23"/>
        <v>0.19177490928300961</v>
      </c>
      <c r="AL51" s="303">
        <f t="shared" si="23"/>
        <v>0.19538235650202684</v>
      </c>
      <c r="AM51" s="303">
        <f t="shared" si="23"/>
        <v>0.1982020550577408</v>
      </c>
      <c r="AN51" s="303">
        <f t="shared" si="23"/>
        <v>0.20055996858899955</v>
      </c>
      <c r="AO51" s="303">
        <f t="shared" si="23"/>
        <v>0.20262128613266134</v>
      </c>
      <c r="AP51" s="303">
        <f t="shared" si="23"/>
        <v>0.1941547974036385</v>
      </c>
      <c r="AQ51" s="303">
        <f t="shared" si="23"/>
        <v>0.19525049350625298</v>
      </c>
      <c r="AR51" s="303">
        <f t="shared" si="23"/>
        <v>0.19712966127004078</v>
      </c>
      <c r="AS51" s="303">
        <f t="shared" si="23"/>
        <v>0.19929828149363404</v>
      </c>
      <c r="AT51" s="303">
        <f t="shared" si="23"/>
        <v>0.20153875992132378</v>
      </c>
      <c r="AU51" s="304">
        <f t="shared" si="23"/>
        <v>0.20379448322260893</v>
      </c>
      <c r="AW51" s="302">
        <f t="shared" si="24"/>
        <v>-5.4793241022907807E-2</v>
      </c>
      <c r="AX51" s="302">
        <f t="shared" si="25"/>
        <v>-3.4771049667750076E-2</v>
      </c>
    </row>
    <row r="52" spans="1:50" x14ac:dyDescent="0.25">
      <c r="B52" s="261" t="s">
        <v>469</v>
      </c>
      <c r="C52" s="305">
        <f t="shared" ref="C52:AU56" si="26">C17/(C$2-C$3)</f>
        <v>5.6863255333391156E-2</v>
      </c>
      <c r="D52" s="305">
        <f t="shared" si="26"/>
        <v>5.6162523479425727E-2</v>
      </c>
      <c r="E52" s="305">
        <f t="shared" si="26"/>
        <v>5.5012387374697269E-2</v>
      </c>
      <c r="F52" s="305">
        <f t="shared" si="26"/>
        <v>5.4763864653675734E-2</v>
      </c>
      <c r="G52" s="305">
        <f t="shared" si="26"/>
        <v>5.4361923812973376E-2</v>
      </c>
      <c r="H52" s="305">
        <f t="shared" si="26"/>
        <v>5.3963756048561545E-2</v>
      </c>
      <c r="I52" s="305">
        <f t="shared" si="26"/>
        <v>5.254465780423051E-2</v>
      </c>
      <c r="J52" s="305">
        <f t="shared" si="26"/>
        <v>5.1289364127690654E-2</v>
      </c>
      <c r="K52" s="305">
        <f t="shared" si="26"/>
        <v>5.035281396366062E-2</v>
      </c>
      <c r="L52" s="305">
        <f t="shared" si="26"/>
        <v>4.8654006921321782E-2</v>
      </c>
      <c r="M52" s="305">
        <f t="shared" si="26"/>
        <v>4.8581964075827912E-2</v>
      </c>
      <c r="N52" s="305">
        <f t="shared" si="26"/>
        <v>4.9002601338479231E-2</v>
      </c>
      <c r="O52" s="305">
        <f t="shared" si="26"/>
        <v>4.9272563237541422E-2</v>
      </c>
      <c r="P52" s="305">
        <f t="shared" si="26"/>
        <v>5.4707252710354412E-2</v>
      </c>
      <c r="Q52" s="305">
        <f t="shared" si="26"/>
        <v>0.11156949449975793</v>
      </c>
      <c r="R52" s="305">
        <f t="shared" si="26"/>
        <v>5.2805993469173002E-2</v>
      </c>
      <c r="S52" s="305">
        <f t="shared" si="26"/>
        <v>5.2571445386697051E-2</v>
      </c>
      <c r="T52" s="305">
        <f t="shared" si="26"/>
        <v>5.2225971575105563E-2</v>
      </c>
      <c r="U52" s="305">
        <f t="shared" si="26"/>
        <v>5.1001303331618293E-2</v>
      </c>
      <c r="V52" s="305">
        <f t="shared" si="26"/>
        <v>4.7833496764412176E-2</v>
      </c>
      <c r="W52" s="305">
        <f t="shared" si="26"/>
        <v>4.8202721447076623E-2</v>
      </c>
      <c r="X52" s="305">
        <f t="shared" si="26"/>
        <v>4.8756379806757441E-2</v>
      </c>
      <c r="Y52" s="305">
        <f t="shared" si="26"/>
        <v>4.8994277552672931E-2</v>
      </c>
      <c r="Z52" s="305">
        <f t="shared" si="26"/>
        <v>4.9114284597281462E-2</v>
      </c>
      <c r="AA52" s="305">
        <f t="shared" si="26"/>
        <v>0.18648438878697146</v>
      </c>
      <c r="AB52" s="305">
        <f t="shared" si="26"/>
        <v>4.8750990655364312E-2</v>
      </c>
      <c r="AC52" s="305">
        <f t="shared" si="26"/>
        <v>4.8852633579696013E-2</v>
      </c>
      <c r="AD52" s="305">
        <f t="shared" si="26"/>
        <v>4.8938687892960964E-2</v>
      </c>
      <c r="AE52" s="305">
        <f t="shared" si="26"/>
        <v>4.8945005614969742E-2</v>
      </c>
      <c r="AF52" s="305">
        <f t="shared" si="26"/>
        <v>4.7887013881725872E-2</v>
      </c>
      <c r="AG52" s="305">
        <f t="shared" si="26"/>
        <v>4.8425633080902045E-2</v>
      </c>
      <c r="AH52" s="305">
        <f t="shared" si="26"/>
        <v>4.8614926703822954E-2</v>
      </c>
      <c r="AI52" s="305">
        <f t="shared" si="26"/>
        <v>4.8651339246395357E-2</v>
      </c>
      <c r="AJ52" s="305">
        <f t="shared" si="26"/>
        <v>4.8640922522507478E-2</v>
      </c>
      <c r="AK52" s="305">
        <f t="shared" si="26"/>
        <v>4.8612637059555527E-2</v>
      </c>
      <c r="AL52" s="305">
        <f t="shared" si="26"/>
        <v>4.832241307051504E-2</v>
      </c>
      <c r="AM52" s="305">
        <f t="shared" si="26"/>
        <v>4.8154583953468624E-2</v>
      </c>
      <c r="AN52" s="305">
        <f t="shared" si="26"/>
        <v>4.8033128354049749E-2</v>
      </c>
      <c r="AO52" s="305">
        <f t="shared" si="26"/>
        <v>4.7937383538664946E-2</v>
      </c>
      <c r="AP52" s="305">
        <f t="shared" si="26"/>
        <v>4.7131160743898712E-2</v>
      </c>
      <c r="AQ52" s="305">
        <f t="shared" si="26"/>
        <v>4.7323899892899486E-2</v>
      </c>
      <c r="AR52" s="305">
        <f t="shared" si="26"/>
        <v>4.7353096665755302E-2</v>
      </c>
      <c r="AS52" s="305">
        <f t="shared" si="26"/>
        <v>4.7318496205100924E-2</v>
      </c>
      <c r="AT52" s="305">
        <f t="shared" si="26"/>
        <v>4.7266961131697247E-2</v>
      </c>
      <c r="AU52" s="306">
        <f t="shared" si="26"/>
        <v>0.17288257173897575</v>
      </c>
      <c r="AW52" s="302">
        <f t="shared" si="24"/>
        <v>0.13177713607661706</v>
      </c>
      <c r="AX52" s="302">
        <f t="shared" si="25"/>
        <v>0.11817531902862134</v>
      </c>
    </row>
    <row r="53" spans="1:50" x14ac:dyDescent="0.25">
      <c r="B53" s="258" t="s">
        <v>470</v>
      </c>
      <c r="C53" s="303">
        <f t="shared" si="26"/>
        <v>0.70000000001205542</v>
      </c>
      <c r="D53" s="303">
        <f t="shared" si="26"/>
        <v>0.6933372307976835</v>
      </c>
      <c r="E53" s="303">
        <f t="shared" si="26"/>
        <v>0.68828039957744436</v>
      </c>
      <c r="F53" s="303">
        <f t="shared" si="26"/>
        <v>0.68498167634447737</v>
      </c>
      <c r="G53" s="303">
        <f t="shared" si="26"/>
        <v>0.68229375120736735</v>
      </c>
      <c r="H53" s="303">
        <f t="shared" si="26"/>
        <v>0.67642120297199848</v>
      </c>
      <c r="I53" s="303">
        <f t="shared" si="26"/>
        <v>0.66882152328247879</v>
      </c>
      <c r="J53" s="303">
        <f t="shared" si="26"/>
        <v>0.66019446524312764</v>
      </c>
      <c r="K53" s="303">
        <f t="shared" si="26"/>
        <v>0.65143124222662085</v>
      </c>
      <c r="L53" s="303">
        <f t="shared" si="26"/>
        <v>0.64256510832089209</v>
      </c>
      <c r="M53" s="303">
        <f t="shared" si="26"/>
        <v>0.64421901961802308</v>
      </c>
      <c r="N53" s="303">
        <f t="shared" si="26"/>
        <v>0.64597372257476138</v>
      </c>
      <c r="O53" s="303">
        <f t="shared" si="26"/>
        <v>0.64473352820418039</v>
      </c>
      <c r="P53" s="303">
        <f t="shared" si="26"/>
        <v>0.65388887846107757</v>
      </c>
      <c r="Q53" s="303">
        <f t="shared" si="26"/>
        <v>0.64800489577658682</v>
      </c>
      <c r="R53" s="303">
        <f t="shared" si="26"/>
        <v>0.64133893686866972</v>
      </c>
      <c r="S53" s="303">
        <f t="shared" si="26"/>
        <v>0.63870817468574093</v>
      </c>
      <c r="T53" s="303">
        <f t="shared" si="26"/>
        <v>0.63748669402089864</v>
      </c>
      <c r="U53" s="303">
        <f t="shared" si="26"/>
        <v>0.63728384799688109</v>
      </c>
      <c r="V53" s="303">
        <f t="shared" si="26"/>
        <v>0.62871340943286846</v>
      </c>
      <c r="W53" s="303">
        <f t="shared" si="26"/>
        <v>0.63280714306484365</v>
      </c>
      <c r="X53" s="303">
        <f t="shared" si="26"/>
        <v>0.63466397668835894</v>
      </c>
      <c r="Y53" s="303">
        <f t="shared" si="26"/>
        <v>0.63538274050510835</v>
      </c>
      <c r="Z53" s="303">
        <f t="shared" si="26"/>
        <v>0.63567400264840446</v>
      </c>
      <c r="AA53" s="303">
        <f t="shared" si="26"/>
        <v>0.63037990769264296</v>
      </c>
      <c r="AB53" s="303">
        <f t="shared" si="26"/>
        <v>0.63370316159677076</v>
      </c>
      <c r="AC53" s="303">
        <f t="shared" si="26"/>
        <v>0.63396319522847466</v>
      </c>
      <c r="AD53" s="303">
        <f t="shared" si="26"/>
        <v>0.63425971921564583</v>
      </c>
      <c r="AE53" s="303">
        <f t="shared" si="26"/>
        <v>0.63424951444542221</v>
      </c>
      <c r="AF53" s="303">
        <f t="shared" si="26"/>
        <v>0.63064555128427424</v>
      </c>
      <c r="AG53" s="303">
        <f t="shared" si="26"/>
        <v>0.63239412727732736</v>
      </c>
      <c r="AH53" s="303">
        <f t="shared" si="26"/>
        <v>0.63289389439382804</v>
      </c>
      <c r="AI53" s="303">
        <f t="shared" si="26"/>
        <v>0.63286163462755618</v>
      </c>
      <c r="AJ53" s="303">
        <f t="shared" si="26"/>
        <v>0.63269725410084832</v>
      </c>
      <c r="AK53" s="303">
        <f t="shared" si="26"/>
        <v>0.63250387676073594</v>
      </c>
      <c r="AL53" s="303">
        <f t="shared" si="26"/>
        <v>0.63146056837794273</v>
      </c>
      <c r="AM53" s="303">
        <f t="shared" si="26"/>
        <v>0.63085176137615206</v>
      </c>
      <c r="AN53" s="303">
        <f t="shared" si="26"/>
        <v>0.63038152530392377</v>
      </c>
      <c r="AO53" s="303">
        <f t="shared" si="26"/>
        <v>0.62999463901113872</v>
      </c>
      <c r="AP53" s="303">
        <f t="shared" si="26"/>
        <v>0.62736635705715704</v>
      </c>
      <c r="AQ53" s="303">
        <f t="shared" si="26"/>
        <v>0.62787450787810695</v>
      </c>
      <c r="AR53" s="303">
        <f t="shared" si="26"/>
        <v>0.62788674464812899</v>
      </c>
      <c r="AS53" s="303">
        <f t="shared" si="26"/>
        <v>0.62773824653529808</v>
      </c>
      <c r="AT53" s="303">
        <f t="shared" si="26"/>
        <v>0.62760160579797952</v>
      </c>
      <c r="AU53" s="304">
        <f t="shared" si="26"/>
        <v>0.627490077042829</v>
      </c>
      <c r="AW53" s="302">
        <f t="shared" si="24"/>
        <v>-2.3508970768434612E-2</v>
      </c>
      <c r="AX53" s="302">
        <f t="shared" si="25"/>
        <v>-2.6398801418248574E-2</v>
      </c>
    </row>
    <row r="54" spans="1:50" x14ac:dyDescent="0.25">
      <c r="B54" s="258" t="s">
        <v>471</v>
      </c>
      <c r="C54" s="303">
        <f t="shared" si="26"/>
        <v>0.64313674466660875</v>
      </c>
      <c r="D54" s="303">
        <f t="shared" si="26"/>
        <v>0.6371749536542437</v>
      </c>
      <c r="E54" s="303">
        <f t="shared" si="26"/>
        <v>0.63327365790986445</v>
      </c>
      <c r="F54" s="303">
        <f t="shared" si="26"/>
        <v>0.63022343263475988</v>
      </c>
      <c r="G54" s="303">
        <f t="shared" si="26"/>
        <v>0.62793777571625164</v>
      </c>
      <c r="H54" s="303">
        <f t="shared" si="26"/>
        <v>0.62246339305070097</v>
      </c>
      <c r="I54" s="303">
        <f t="shared" si="26"/>
        <v>0.61628954439829209</v>
      </c>
      <c r="J54" s="303">
        <f t="shared" si="26"/>
        <v>0.60892113322680175</v>
      </c>
      <c r="K54" s="303">
        <f t="shared" si="26"/>
        <v>0.60109495058122897</v>
      </c>
      <c r="L54" s="303">
        <f t="shared" si="26"/>
        <v>0.59393876695600545</v>
      </c>
      <c r="M54" s="303">
        <f t="shared" si="26"/>
        <v>0.59566522514436615</v>
      </c>
      <c r="N54" s="303">
        <f t="shared" si="26"/>
        <v>0.59700028657196402</v>
      </c>
      <c r="O54" s="303">
        <f t="shared" si="26"/>
        <v>0.59549153272533872</v>
      </c>
      <c r="P54" s="303">
        <f t="shared" si="26"/>
        <v>0.59944062218549499</v>
      </c>
      <c r="Q54" s="303">
        <f t="shared" si="26"/>
        <v>0.59438266394467165</v>
      </c>
      <c r="R54" s="303">
        <f t="shared" si="26"/>
        <v>0.58750794474320067</v>
      </c>
      <c r="S54" s="303">
        <f t="shared" si="26"/>
        <v>0.58511593847660737</v>
      </c>
      <c r="T54" s="303">
        <f t="shared" si="26"/>
        <v>0.58424250887635432</v>
      </c>
      <c r="U54" s="303">
        <f t="shared" si="26"/>
        <v>0.58528013054394745</v>
      </c>
      <c r="V54" s="303">
        <f t="shared" si="26"/>
        <v>0.57995990112281615</v>
      </c>
      <c r="W54" s="303">
        <f t="shared" si="26"/>
        <v>0.58367845705709132</v>
      </c>
      <c r="X54" s="303">
        <f t="shared" si="26"/>
        <v>0.58498080669826424</v>
      </c>
      <c r="Y54" s="303">
        <f t="shared" si="26"/>
        <v>0.58546099253036621</v>
      </c>
      <c r="Z54" s="303">
        <f t="shared" si="26"/>
        <v>0.58563192750705317</v>
      </c>
      <c r="AA54" s="303">
        <f t="shared" si="26"/>
        <v>0.58169061794365007</v>
      </c>
      <c r="AB54" s="303">
        <f t="shared" si="26"/>
        <v>0.58404276705268654</v>
      </c>
      <c r="AC54" s="303">
        <f t="shared" si="26"/>
        <v>0.58420085852968662</v>
      </c>
      <c r="AD54" s="303">
        <f t="shared" si="26"/>
        <v>0.58441094684186923</v>
      </c>
      <c r="AE54" s="303">
        <f t="shared" si="26"/>
        <v>0.58439443956921355</v>
      </c>
      <c r="AF54" s="303">
        <f t="shared" si="26"/>
        <v>0.58186048770469678</v>
      </c>
      <c r="AG54" s="303">
        <f t="shared" si="26"/>
        <v>0.58306979988312391</v>
      </c>
      <c r="AH54" s="303">
        <f t="shared" si="26"/>
        <v>0.58337981751156054</v>
      </c>
      <c r="AI54" s="303">
        <f t="shared" si="26"/>
        <v>0.5833112078312922</v>
      </c>
      <c r="AJ54" s="303">
        <f t="shared" si="26"/>
        <v>0.58315747764617609</v>
      </c>
      <c r="AK54" s="303">
        <f t="shared" si="26"/>
        <v>0.5829926625188534</v>
      </c>
      <c r="AL54" s="303">
        <f t="shared" si="26"/>
        <v>0.58224155419488632</v>
      </c>
      <c r="AM54" s="303">
        <f t="shared" si="26"/>
        <v>0.58180160590959995</v>
      </c>
      <c r="AN54" s="303">
        <f t="shared" si="26"/>
        <v>0.58145357552458521</v>
      </c>
      <c r="AO54" s="303">
        <f t="shared" si="26"/>
        <v>0.58116303276597592</v>
      </c>
      <c r="AP54" s="303">
        <f t="shared" si="26"/>
        <v>0.57934890817948337</v>
      </c>
      <c r="AQ54" s="303">
        <f t="shared" si="26"/>
        <v>0.57966387527279795</v>
      </c>
      <c r="AR54" s="303">
        <f t="shared" si="26"/>
        <v>0.57964690707136546</v>
      </c>
      <c r="AS54" s="303">
        <f t="shared" si="26"/>
        <v>0.57953322547368169</v>
      </c>
      <c r="AT54" s="303">
        <f t="shared" si="26"/>
        <v>0.57944833213514391</v>
      </c>
      <c r="AU54" s="304">
        <f t="shared" si="26"/>
        <v>0.57939792405954271</v>
      </c>
      <c r="AW54" s="302">
        <f t="shared" si="24"/>
        <v>-1.7750004241844919E-2</v>
      </c>
      <c r="AX54" s="302">
        <f t="shared" si="25"/>
        <v>-2.0042698125952274E-2</v>
      </c>
    </row>
    <row r="55" spans="1:50" x14ac:dyDescent="0.25">
      <c r="B55" s="261" t="s">
        <v>472</v>
      </c>
      <c r="C55" s="305">
        <f t="shared" si="26"/>
        <v>0.10294003683376719</v>
      </c>
      <c r="D55" s="305">
        <f t="shared" si="26"/>
        <v>0.10606038989323055</v>
      </c>
      <c r="E55" s="305">
        <f t="shared" si="26"/>
        <v>0.10553908253768274</v>
      </c>
      <c r="F55" s="305">
        <f t="shared" si="26"/>
        <v>0.10593620895018452</v>
      </c>
      <c r="G55" s="305">
        <f t="shared" si="26"/>
        <v>0.10502436561130646</v>
      </c>
      <c r="H55" s="305">
        <f t="shared" si="26"/>
        <v>0.10813442717858814</v>
      </c>
      <c r="I55" s="305">
        <f t="shared" si="26"/>
        <v>0.10840110905975049</v>
      </c>
      <c r="J55" s="305">
        <f t="shared" si="26"/>
        <v>0.11035132442427788</v>
      </c>
      <c r="K55" s="305">
        <f t="shared" si="26"/>
        <v>0.11375108819353268</v>
      </c>
      <c r="L55" s="305">
        <f t="shared" si="26"/>
        <v>0.11286939003631584</v>
      </c>
      <c r="M55" s="305">
        <f t="shared" si="26"/>
        <v>0.11020876818939614</v>
      </c>
      <c r="N55" s="305">
        <f t="shared" si="26"/>
        <v>0.11048103605140054</v>
      </c>
      <c r="O55" s="305">
        <f t="shared" si="26"/>
        <v>0.11403598272547934</v>
      </c>
      <c r="P55" s="305">
        <f t="shared" si="26"/>
        <v>0.10793135774574755</v>
      </c>
      <c r="Q55" s="305">
        <f t="shared" si="26"/>
        <v>5.388003161953997E-2</v>
      </c>
      <c r="R55" s="305">
        <f t="shared" si="26"/>
        <v>0.11687206217961853</v>
      </c>
      <c r="S55" s="305">
        <f t="shared" si="26"/>
        <v>0.11972516228931201</v>
      </c>
      <c r="T55" s="305">
        <f t="shared" si="26"/>
        <v>0.12575123943144834</v>
      </c>
      <c r="U55" s="305">
        <f t="shared" si="26"/>
        <v>0.12675686369694319</v>
      </c>
      <c r="V55" s="305">
        <f t="shared" si="26"/>
        <v>0.16438922865853262</v>
      </c>
      <c r="W55" s="305">
        <f t="shared" si="26"/>
        <v>0.16525511207877824</v>
      </c>
      <c r="X55" s="305">
        <f t="shared" si="26"/>
        <v>0.16438358304077708</v>
      </c>
      <c r="Y55" s="305">
        <f t="shared" si="26"/>
        <v>0.16330909394632862</v>
      </c>
      <c r="Z55" s="305">
        <f t="shared" si="26"/>
        <v>0.16224424334201498</v>
      </c>
      <c r="AA55" s="305">
        <f t="shared" si="26"/>
        <v>4.7778902172429492E-2</v>
      </c>
      <c r="AB55" s="305">
        <f t="shared" si="26"/>
        <v>0.18494260983368357</v>
      </c>
      <c r="AC55" s="305">
        <f t="shared" si="26"/>
        <v>0.18225972592164996</v>
      </c>
      <c r="AD55" s="305">
        <f t="shared" si="26"/>
        <v>0.17957293490231252</v>
      </c>
      <c r="AE55" s="305">
        <f t="shared" si="26"/>
        <v>0.17702803395378156</v>
      </c>
      <c r="AF55" s="305">
        <f t="shared" si="26"/>
        <v>0.18707681853264624</v>
      </c>
      <c r="AG55" s="305">
        <f t="shared" si="26"/>
        <v>0.18513068317739281</v>
      </c>
      <c r="AH55" s="305">
        <f t="shared" si="26"/>
        <v>0.18307299196456359</v>
      </c>
      <c r="AI55" s="305">
        <f t="shared" si="26"/>
        <v>0.18102920470245959</v>
      </c>
      <c r="AJ55" s="305">
        <f t="shared" si="26"/>
        <v>0.17901976489001187</v>
      </c>
      <c r="AK55" s="305">
        <f t="shared" si="26"/>
        <v>0.17707081514312481</v>
      </c>
      <c r="AL55" s="305">
        <f t="shared" si="26"/>
        <v>0.17466114710947728</v>
      </c>
      <c r="AM55" s="305">
        <f t="shared" si="26"/>
        <v>0.17261566331816178</v>
      </c>
      <c r="AN55" s="305">
        <f t="shared" si="26"/>
        <v>0.17090949181461015</v>
      </c>
      <c r="AO55" s="305">
        <f t="shared" si="26"/>
        <v>0.16943670804594224</v>
      </c>
      <c r="AP55" s="305">
        <f t="shared" si="26"/>
        <v>0.18138726126145713</v>
      </c>
      <c r="AQ55" s="305">
        <f t="shared" si="26"/>
        <v>0.17975872238166041</v>
      </c>
      <c r="AR55" s="305">
        <f t="shared" si="26"/>
        <v>0.17803366860832417</v>
      </c>
      <c r="AS55" s="305">
        <f t="shared" si="26"/>
        <v>0.1762928944373395</v>
      </c>
      <c r="AT55" s="305">
        <f t="shared" si="26"/>
        <v>0.17455985275902267</v>
      </c>
      <c r="AU55" s="306">
        <f t="shared" si="26"/>
        <v>4.7206029527810209E-2</v>
      </c>
      <c r="AW55" s="302">
        <f t="shared" si="24"/>
        <v>-6.015245557331806E-2</v>
      </c>
      <c r="AX55" s="302">
        <f t="shared" si="25"/>
        <v>-6.0725328217937344E-2</v>
      </c>
    </row>
    <row r="56" spans="1:50" x14ac:dyDescent="0.25">
      <c r="B56" s="249" t="s">
        <v>473</v>
      </c>
      <c r="C56" s="307">
        <f t="shared" si="26"/>
        <v>0.84019670780873068</v>
      </c>
      <c r="D56" s="307">
        <f t="shared" si="26"/>
        <v>0.83778233274286651</v>
      </c>
      <c r="E56" s="307">
        <f t="shared" si="26"/>
        <v>0.83949645938797002</v>
      </c>
      <c r="F56" s="307">
        <f t="shared" si="26"/>
        <v>0.83935197047394494</v>
      </c>
      <c r="G56" s="307">
        <f t="shared" si="26"/>
        <v>0.84069005855283663</v>
      </c>
      <c r="H56" s="307">
        <f t="shared" si="26"/>
        <v>0.83798891546545184</v>
      </c>
      <c r="I56" s="307">
        <f t="shared" si="26"/>
        <v>0.8391856339357181</v>
      </c>
      <c r="J56" s="307">
        <f t="shared" si="26"/>
        <v>0.83850229070298199</v>
      </c>
      <c r="K56" s="307">
        <f t="shared" si="26"/>
        <v>0.83604483985802347</v>
      </c>
      <c r="L56" s="307">
        <f t="shared" si="26"/>
        <v>0.83873301449655968</v>
      </c>
      <c r="M56" s="307">
        <f t="shared" si="26"/>
        <v>0.84149532995195397</v>
      </c>
      <c r="N56" s="307">
        <f t="shared" si="26"/>
        <v>0.84080651711620458</v>
      </c>
      <c r="O56" s="307">
        <f t="shared" si="26"/>
        <v>0.83704819454952661</v>
      </c>
      <c r="P56" s="307">
        <f t="shared" si="26"/>
        <v>0.83800615507585396</v>
      </c>
      <c r="Q56" s="307">
        <f t="shared" si="26"/>
        <v>0.83455047388070203</v>
      </c>
      <c r="R56" s="307">
        <f t="shared" si="26"/>
        <v>0.83032194435120854</v>
      </c>
      <c r="S56" s="307">
        <f t="shared" si="26"/>
        <v>0.82770339232399093</v>
      </c>
      <c r="T56" s="307">
        <f t="shared" si="26"/>
        <v>0.82202278899344594</v>
      </c>
      <c r="U56" s="307">
        <f t="shared" si="26"/>
        <v>0.82216095905926145</v>
      </c>
      <c r="V56" s="307">
        <f t="shared" si="26"/>
        <v>0.78746341371674111</v>
      </c>
      <c r="W56" s="307">
        <f t="shared" si="26"/>
        <v>0.78611677798506308</v>
      </c>
      <c r="X56" s="307">
        <f t="shared" si="26"/>
        <v>0.78640565153204578</v>
      </c>
      <c r="Y56" s="307">
        <f t="shared" si="26"/>
        <v>0.78723356465213823</v>
      </c>
      <c r="Z56" s="307">
        <f t="shared" si="26"/>
        <v>0.78817546044637898</v>
      </c>
      <c r="AA56" s="307">
        <f t="shared" si="26"/>
        <v>0.76546290981110132</v>
      </c>
      <c r="AB56" s="307">
        <f t="shared" si="26"/>
        <v>0.76600536061288971</v>
      </c>
      <c r="AC56" s="307">
        <f t="shared" si="26"/>
        <v>0.76859950416818446</v>
      </c>
      <c r="AD56" s="307">
        <f t="shared" si="26"/>
        <v>0.77123052471893128</v>
      </c>
      <c r="AE56" s="307">
        <f t="shared" si="26"/>
        <v>0.77381997820277626</v>
      </c>
      <c r="AF56" s="307">
        <f t="shared" si="26"/>
        <v>0.76517621560305515</v>
      </c>
      <c r="AG56" s="307">
        <f t="shared" si="26"/>
        <v>0.76654711965448352</v>
      </c>
      <c r="AH56" s="307">
        <f t="shared" si="26"/>
        <v>0.76845760420698084</v>
      </c>
      <c r="AI56" s="307">
        <f t="shared" si="26"/>
        <v>0.77054694163264403</v>
      </c>
      <c r="AJ56" s="307">
        <f t="shared" si="26"/>
        <v>0.77266994409259393</v>
      </c>
      <c r="AK56" s="307">
        <f t="shared" si="26"/>
        <v>0.77476757180186306</v>
      </c>
      <c r="AL56" s="307">
        <f t="shared" si="26"/>
        <v>0.77762391069691328</v>
      </c>
      <c r="AM56" s="307">
        <f t="shared" si="26"/>
        <v>0.78000366096734075</v>
      </c>
      <c r="AN56" s="307">
        <f t="shared" si="26"/>
        <v>0.7820135441135847</v>
      </c>
      <c r="AO56" s="307">
        <f t="shared" si="26"/>
        <v>0.78378431889863731</v>
      </c>
      <c r="AP56" s="307">
        <f t="shared" si="26"/>
        <v>0.77350370558312187</v>
      </c>
      <c r="AQ56" s="307">
        <f t="shared" si="26"/>
        <v>0.77491436877905095</v>
      </c>
      <c r="AR56" s="307">
        <f t="shared" si="26"/>
        <v>0.77677656834140618</v>
      </c>
      <c r="AS56" s="307">
        <f t="shared" si="26"/>
        <v>0.77883150696731573</v>
      </c>
      <c r="AT56" s="307">
        <f t="shared" si="26"/>
        <v>0.78098709205646766</v>
      </c>
      <c r="AU56" s="308">
        <f t="shared" si="26"/>
        <v>0.78319240728215167</v>
      </c>
      <c r="AW56" s="309">
        <f>AA56-P56</f>
        <v>-7.2543245264752643E-2</v>
      </c>
      <c r="AX56" s="309">
        <f>AU56-P56</f>
        <v>-5.4813747793702294E-2</v>
      </c>
    </row>
    <row r="57" spans="1:50" x14ac:dyDescent="0.25">
      <c r="C57" s="212"/>
      <c r="D57" s="212"/>
      <c r="E57" s="212"/>
      <c r="F57" s="212"/>
      <c r="G57" s="212"/>
      <c r="H57" s="212"/>
      <c r="I57" s="212"/>
      <c r="J57" s="212"/>
      <c r="K57" s="212"/>
      <c r="L57" s="212"/>
      <c r="M57" s="212"/>
      <c r="N57" s="212"/>
      <c r="O57" s="212"/>
      <c r="P57" s="212"/>
      <c r="Q57" s="212"/>
      <c r="R57" s="212"/>
      <c r="S57" s="212"/>
      <c r="T57" s="212"/>
      <c r="U57" s="212"/>
      <c r="V57" s="212"/>
      <c r="W57" s="212"/>
      <c r="X57" s="212"/>
      <c r="Y57" s="212"/>
      <c r="Z57" s="212"/>
      <c r="AA57" s="212"/>
      <c r="AB57" s="212"/>
      <c r="AC57" s="212"/>
      <c r="AD57" s="212"/>
      <c r="AE57" s="212"/>
      <c r="AF57" s="212"/>
      <c r="AG57" s="212"/>
      <c r="AH57" s="212"/>
      <c r="AI57" s="212"/>
      <c r="AJ57" s="212"/>
      <c r="AK57" s="212"/>
      <c r="AL57" s="212"/>
      <c r="AM57" s="212"/>
      <c r="AN57" s="212"/>
      <c r="AO57" s="212"/>
      <c r="AP57" s="212"/>
      <c r="AQ57" s="212"/>
      <c r="AR57" s="212"/>
      <c r="AS57" s="212"/>
      <c r="AT57" s="212"/>
      <c r="AU57" s="212"/>
      <c r="AW57" s="253"/>
    </row>
    <row r="58" spans="1:50" s="244" customFormat="1" ht="45" customHeight="1" x14ac:dyDescent="0.25">
      <c r="A58" s="239" t="str">
        <f>"Ecarts "&amp;[4]Résultats!B1&amp;"  - TEND"</f>
        <v>Ecarts SNBC3  - TEND</v>
      </c>
      <c r="B58" s="266" t="s">
        <v>501</v>
      </c>
      <c r="C58" s="242">
        <v>2006</v>
      </c>
      <c r="D58" s="242">
        <v>2007</v>
      </c>
      <c r="E58" s="242">
        <v>2008</v>
      </c>
      <c r="F58" s="242">
        <v>2009</v>
      </c>
      <c r="G58" s="242">
        <v>2010</v>
      </c>
      <c r="H58" s="242">
        <v>2011</v>
      </c>
      <c r="I58" s="242">
        <v>2012</v>
      </c>
      <c r="J58" s="242">
        <v>2013</v>
      </c>
      <c r="K58" s="242">
        <v>2014</v>
      </c>
      <c r="L58" s="242">
        <v>2015</v>
      </c>
      <c r="M58" s="242">
        <v>2016</v>
      </c>
      <c r="N58" s="242">
        <v>2017</v>
      </c>
      <c r="O58" s="242">
        <v>2018</v>
      </c>
      <c r="P58" s="242">
        <v>2019</v>
      </c>
      <c r="Q58" s="242">
        <v>2020</v>
      </c>
      <c r="R58" s="242">
        <v>2021</v>
      </c>
      <c r="S58" s="242">
        <v>2022</v>
      </c>
      <c r="T58" s="242">
        <v>2023</v>
      </c>
      <c r="U58" s="242">
        <v>2024</v>
      </c>
      <c r="V58" s="242">
        <v>2025</v>
      </c>
      <c r="W58" s="242">
        <v>2026</v>
      </c>
      <c r="X58" s="242">
        <v>2027</v>
      </c>
      <c r="Y58" s="242">
        <v>2028</v>
      </c>
      <c r="Z58" s="242">
        <v>2029</v>
      </c>
      <c r="AA58" s="242">
        <v>2030</v>
      </c>
      <c r="AB58" s="242">
        <v>2031</v>
      </c>
      <c r="AC58" s="242">
        <v>2032</v>
      </c>
      <c r="AD58" s="242">
        <v>2033</v>
      </c>
      <c r="AE58" s="242">
        <v>2034</v>
      </c>
      <c r="AF58" s="242">
        <v>2035</v>
      </c>
      <c r="AG58" s="242">
        <v>2036</v>
      </c>
      <c r="AH58" s="242">
        <v>2037</v>
      </c>
      <c r="AI58" s="242">
        <v>2038</v>
      </c>
      <c r="AJ58" s="242">
        <v>2039</v>
      </c>
      <c r="AK58" s="242">
        <v>2040</v>
      </c>
      <c r="AL58" s="242">
        <v>2041</v>
      </c>
      <c r="AM58" s="242">
        <v>2042</v>
      </c>
      <c r="AN58" s="242">
        <v>2043</v>
      </c>
      <c r="AO58" s="242">
        <v>2044</v>
      </c>
      <c r="AP58" s="242">
        <v>2045</v>
      </c>
      <c r="AQ58" s="242">
        <v>2046</v>
      </c>
      <c r="AR58" s="242">
        <v>2047</v>
      </c>
      <c r="AS58" s="242">
        <v>2048</v>
      </c>
      <c r="AT58" s="242">
        <v>2049</v>
      </c>
      <c r="AU58" s="243">
        <v>2050</v>
      </c>
      <c r="AV58" s="267"/>
    </row>
    <row r="59" spans="1:50" x14ac:dyDescent="0.25">
      <c r="B59" s="245" t="s">
        <v>1</v>
      </c>
      <c r="C59" s="310"/>
      <c r="D59" s="310"/>
      <c r="E59" s="310"/>
      <c r="F59" s="310"/>
      <c r="G59" s="310"/>
      <c r="H59" s="310"/>
      <c r="I59" s="310"/>
      <c r="J59" s="310"/>
      <c r="K59" s="310"/>
      <c r="L59" s="310"/>
      <c r="M59" s="310"/>
      <c r="N59" s="310"/>
      <c r="O59" s="310"/>
      <c r="P59" s="310"/>
      <c r="Q59" s="310"/>
      <c r="R59" s="310"/>
      <c r="S59" s="310"/>
      <c r="T59" s="310"/>
      <c r="U59" s="310"/>
      <c r="V59" s="310"/>
      <c r="W59" s="310"/>
      <c r="X59" s="310"/>
      <c r="Y59" s="310"/>
      <c r="Z59" s="310"/>
      <c r="AA59" s="310"/>
      <c r="AB59" s="310"/>
      <c r="AC59" s="310"/>
      <c r="AD59" s="310"/>
      <c r="AE59" s="310"/>
      <c r="AF59" s="310"/>
      <c r="AG59" s="310"/>
      <c r="AH59" s="310"/>
      <c r="AI59" s="310"/>
      <c r="AJ59" s="310"/>
      <c r="AK59" s="310"/>
      <c r="AL59" s="310"/>
      <c r="AM59" s="310"/>
      <c r="AN59" s="310"/>
      <c r="AO59" s="310"/>
      <c r="AP59" s="310"/>
      <c r="AQ59" s="310"/>
      <c r="AR59" s="310"/>
      <c r="AS59" s="310"/>
      <c r="AT59" s="310"/>
      <c r="AU59" s="310"/>
      <c r="AV59" s="268"/>
    </row>
    <row r="60" spans="1:50" x14ac:dyDescent="0.25">
      <c r="B60" s="249" t="s">
        <v>466</v>
      </c>
      <c r="C60" s="307"/>
      <c r="D60" s="307"/>
      <c r="E60" s="307"/>
      <c r="F60" s="307"/>
      <c r="G60" s="307"/>
      <c r="H60" s="307"/>
      <c r="I60" s="307"/>
      <c r="J60" s="307"/>
      <c r="K60" s="307"/>
      <c r="L60" s="307"/>
      <c r="M60" s="307"/>
      <c r="N60" s="307"/>
      <c r="O60" s="307"/>
      <c r="P60" s="307"/>
      <c r="Q60" s="307"/>
      <c r="R60" s="307"/>
      <c r="S60" s="307"/>
      <c r="T60" s="307"/>
      <c r="U60" s="307"/>
      <c r="V60" s="307"/>
      <c r="W60" s="307"/>
      <c r="X60" s="307"/>
      <c r="Y60" s="307"/>
      <c r="Z60" s="307"/>
      <c r="AA60" s="307"/>
      <c r="AB60" s="307"/>
      <c r="AC60" s="307"/>
      <c r="AD60" s="307"/>
      <c r="AE60" s="307"/>
      <c r="AF60" s="307"/>
      <c r="AG60" s="307"/>
      <c r="AH60" s="307"/>
      <c r="AI60" s="307"/>
      <c r="AJ60" s="307"/>
      <c r="AK60" s="307"/>
      <c r="AL60" s="307"/>
      <c r="AM60" s="307"/>
      <c r="AN60" s="307"/>
      <c r="AO60" s="307"/>
      <c r="AP60" s="307"/>
      <c r="AQ60" s="307"/>
      <c r="AR60" s="307"/>
      <c r="AS60" s="307"/>
      <c r="AT60" s="307"/>
      <c r="AU60" s="307"/>
      <c r="AV60" s="268"/>
    </row>
    <row r="61" spans="1:50" x14ac:dyDescent="0.25">
      <c r="B61" s="254" t="s">
        <v>467</v>
      </c>
      <c r="C61" s="300">
        <f t="shared" ref="C61:AU66" si="27">C39-C50</f>
        <v>0</v>
      </c>
      <c r="D61" s="300">
        <f t="shared" si="27"/>
        <v>0</v>
      </c>
      <c r="E61" s="300">
        <f t="shared" si="27"/>
        <v>0</v>
      </c>
      <c r="F61" s="300">
        <f t="shared" si="27"/>
        <v>0</v>
      </c>
      <c r="G61" s="300">
        <f t="shared" si="27"/>
        <v>0</v>
      </c>
      <c r="H61" s="300">
        <f t="shared" si="27"/>
        <v>0</v>
      </c>
      <c r="I61" s="300">
        <f t="shared" si="27"/>
        <v>0</v>
      </c>
      <c r="J61" s="300">
        <f t="shared" si="27"/>
        <v>0</v>
      </c>
      <c r="K61" s="300">
        <f t="shared" si="27"/>
        <v>0</v>
      </c>
      <c r="L61" s="300">
        <f t="shared" si="27"/>
        <v>0</v>
      </c>
      <c r="M61" s="300">
        <f t="shared" si="27"/>
        <v>0</v>
      </c>
      <c r="N61" s="300">
        <f t="shared" si="27"/>
        <v>0</v>
      </c>
      <c r="O61" s="300">
        <f t="shared" si="27"/>
        <v>0</v>
      </c>
      <c r="P61" s="300">
        <f t="shared" si="27"/>
        <v>0</v>
      </c>
      <c r="Q61" s="300">
        <f t="shared" si="27"/>
        <v>4.1806435056124247E-4</v>
      </c>
      <c r="R61" s="300">
        <f t="shared" si="27"/>
        <v>-6.3589390451070038E-2</v>
      </c>
      <c r="S61" s="300">
        <f t="shared" si="27"/>
        <v>-6.6648579559617227E-2</v>
      </c>
      <c r="T61" s="300">
        <f t="shared" si="27"/>
        <v>-7.2825127976086423E-2</v>
      </c>
      <c r="U61" s="300">
        <f t="shared" si="27"/>
        <v>-7.5050755713839346E-2</v>
      </c>
      <c r="V61" s="300">
        <f t="shared" si="27"/>
        <v>-0.10917113287693958</v>
      </c>
      <c r="W61" s="300">
        <f t="shared" si="27"/>
        <v>-0.10965047007904311</v>
      </c>
      <c r="X61" s="300">
        <f t="shared" si="27"/>
        <v>-0.10818186328540208</v>
      </c>
      <c r="Y61" s="300">
        <f t="shared" si="27"/>
        <v>-0.10680404086258255</v>
      </c>
      <c r="Z61" s="300">
        <f t="shared" si="27"/>
        <v>-0.10554436201033296</v>
      </c>
      <c r="AA61" s="300">
        <f t="shared" si="27"/>
        <v>9.8598379410423931E-3</v>
      </c>
      <c r="AB61" s="300">
        <f t="shared" si="27"/>
        <v>-0.12568242372695965</v>
      </c>
      <c r="AC61" s="300">
        <f t="shared" si="27"/>
        <v>-0.12272920438547943</v>
      </c>
      <c r="AD61" s="300">
        <f t="shared" si="27"/>
        <v>-0.11980130956744955</v>
      </c>
      <c r="AE61" s="300">
        <f t="shared" si="27"/>
        <v>-0.11709568324508121</v>
      </c>
      <c r="AF61" s="300">
        <f t="shared" si="27"/>
        <v>-0.12732659730670728</v>
      </c>
      <c r="AG61" s="300">
        <f t="shared" si="27"/>
        <v>-0.12469438201654509</v>
      </c>
      <c r="AH61" s="300">
        <f t="shared" si="27"/>
        <v>-0.12229558055335979</v>
      </c>
      <c r="AI61" s="300">
        <f t="shared" si="27"/>
        <v>-0.1200687673543735</v>
      </c>
      <c r="AJ61" s="300">
        <f t="shared" si="27"/>
        <v>-0.1179382160357097</v>
      </c>
      <c r="AK61" s="300">
        <f t="shared" si="27"/>
        <v>-0.11590311655874661</v>
      </c>
      <c r="AL61" s="300">
        <f t="shared" si="27"/>
        <v>-0.11363650283569846</v>
      </c>
      <c r="AM61" s="300">
        <f t="shared" si="27"/>
        <v>-0.11165179137455611</v>
      </c>
      <c r="AN61" s="300">
        <f t="shared" si="27"/>
        <v>-0.10997985353432538</v>
      </c>
      <c r="AO61" s="300">
        <f t="shared" si="27"/>
        <v>-0.10852888710657665</v>
      </c>
      <c r="AP61" s="300">
        <f t="shared" si="27"/>
        <v>-0.11980965499313354</v>
      </c>
      <c r="AQ61" s="300">
        <f t="shared" si="27"/>
        <v>-0.11779543578983714</v>
      </c>
      <c r="AR61" s="300">
        <f t="shared" si="27"/>
        <v>-0.11593923710614473</v>
      </c>
      <c r="AS61" s="300">
        <f t="shared" si="27"/>
        <v>-0.11418289932292408</v>
      </c>
      <c r="AT61" s="300">
        <f t="shared" si="27"/>
        <v>-0.11248882046969128</v>
      </c>
      <c r="AU61" s="301">
        <f t="shared" si="27"/>
        <v>9.0345511553247548E-3</v>
      </c>
      <c r="AV61" s="268"/>
    </row>
    <row r="62" spans="1:50" x14ac:dyDescent="0.25">
      <c r="B62" s="258" t="s">
        <v>468</v>
      </c>
      <c r="C62" s="303">
        <f t="shared" si="27"/>
        <v>0</v>
      </c>
      <c r="D62" s="303">
        <f t="shared" si="27"/>
        <v>0</v>
      </c>
      <c r="E62" s="303">
        <f t="shared" si="27"/>
        <v>0</v>
      </c>
      <c r="F62" s="303">
        <f t="shared" si="27"/>
        <v>0</v>
      </c>
      <c r="G62" s="303">
        <f t="shared" si="27"/>
        <v>0</v>
      </c>
      <c r="H62" s="303">
        <f t="shared" si="27"/>
        <v>0</v>
      </c>
      <c r="I62" s="303">
        <f t="shared" si="27"/>
        <v>0</v>
      </c>
      <c r="J62" s="303">
        <f t="shared" si="27"/>
        <v>0</v>
      </c>
      <c r="K62" s="303">
        <f t="shared" si="27"/>
        <v>0</v>
      </c>
      <c r="L62" s="303">
        <f t="shared" si="27"/>
        <v>0</v>
      </c>
      <c r="M62" s="303">
        <f t="shared" si="27"/>
        <v>0</v>
      </c>
      <c r="N62" s="303">
        <f t="shared" si="27"/>
        <v>0</v>
      </c>
      <c r="O62" s="303">
        <f t="shared" si="27"/>
        <v>0</v>
      </c>
      <c r="P62" s="303">
        <f t="shared" si="27"/>
        <v>0</v>
      </c>
      <c r="Q62" s="303">
        <f t="shared" si="27"/>
        <v>0</v>
      </c>
      <c r="R62" s="303">
        <f t="shared" si="27"/>
        <v>0</v>
      </c>
      <c r="S62" s="303">
        <f t="shared" si="27"/>
        <v>0</v>
      </c>
      <c r="T62" s="303">
        <f t="shared" si="27"/>
        <v>0</v>
      </c>
      <c r="U62" s="303">
        <f t="shared" si="27"/>
        <v>-1.2633765282404896E-5</v>
      </c>
      <c r="V62" s="303">
        <f t="shared" si="27"/>
        <v>-1.6273620374651632E-5</v>
      </c>
      <c r="W62" s="303">
        <f t="shared" si="27"/>
        <v>4.2203508772070686E-5</v>
      </c>
      <c r="X62" s="303">
        <f t="shared" si="27"/>
        <v>1.2576031599575987E-4</v>
      </c>
      <c r="Y62" s="303">
        <f t="shared" si="27"/>
        <v>2.0480190525953845E-4</v>
      </c>
      <c r="Z62" s="303">
        <f t="shared" si="27"/>
        <v>2.8269735561836651E-4</v>
      </c>
      <c r="AA62" s="303">
        <f t="shared" si="27"/>
        <v>5.1298719767897683E-4</v>
      </c>
      <c r="AB62" s="303">
        <f t="shared" si="27"/>
        <v>6.7415923233060671E-4</v>
      </c>
      <c r="AC62" s="303">
        <f t="shared" si="27"/>
        <v>8.2025840457922161E-4</v>
      </c>
      <c r="AD62" s="303">
        <f t="shared" si="27"/>
        <v>9.5291806704506099E-4</v>
      </c>
      <c r="AE62" s="303">
        <f t="shared" si="27"/>
        <v>1.0766330278403902E-3</v>
      </c>
      <c r="AF62" s="303">
        <f t="shared" si="27"/>
        <v>1.4874889135894631E-3</v>
      </c>
      <c r="AG62" s="303">
        <f t="shared" si="27"/>
        <v>1.6937151832892017E-3</v>
      </c>
      <c r="AH62" s="303">
        <f t="shared" si="27"/>
        <v>1.851056239818738E-3</v>
      </c>
      <c r="AI62" s="303">
        <f t="shared" si="27"/>
        <v>1.9798238236714005E-3</v>
      </c>
      <c r="AJ62" s="303">
        <f t="shared" si="27"/>
        <v>2.0876274566265507E-3</v>
      </c>
      <c r="AK62" s="303">
        <f t="shared" si="27"/>
        <v>2.1776908415839791E-3</v>
      </c>
      <c r="AL62" s="303">
        <f t="shared" si="27"/>
        <v>2.2534194246174588E-3</v>
      </c>
      <c r="AM62" s="303">
        <f t="shared" si="27"/>
        <v>2.3171680775028736E-3</v>
      </c>
      <c r="AN62" s="303">
        <f t="shared" si="27"/>
        <v>2.3739953938096692E-3</v>
      </c>
      <c r="AO62" s="303">
        <f t="shared" si="27"/>
        <v>2.425201736045407E-3</v>
      </c>
      <c r="AP62" s="303">
        <f t="shared" si="27"/>
        <v>3.2148550431190526E-3</v>
      </c>
      <c r="AQ62" s="303">
        <f t="shared" si="27"/>
        <v>3.4478769130172893E-3</v>
      </c>
      <c r="AR62" s="303">
        <f t="shared" si="27"/>
        <v>3.5514259294570916E-3</v>
      </c>
      <c r="AS62" s="303">
        <f t="shared" si="27"/>
        <v>3.5887096269532903E-3</v>
      </c>
      <c r="AT62" s="303">
        <f t="shared" si="27"/>
        <v>3.5855722906472653E-3</v>
      </c>
      <c r="AU62" s="304">
        <f t="shared" si="27"/>
        <v>3.5514886731230211E-3</v>
      </c>
      <c r="AV62" s="268"/>
    </row>
    <row r="63" spans="1:50" x14ac:dyDescent="0.25">
      <c r="B63" s="261" t="s">
        <v>469</v>
      </c>
      <c r="C63" s="305">
        <f t="shared" si="27"/>
        <v>0</v>
      </c>
      <c r="D63" s="305">
        <f t="shared" si="27"/>
        <v>0</v>
      </c>
      <c r="E63" s="305">
        <f t="shared" si="27"/>
        <v>0</v>
      </c>
      <c r="F63" s="305">
        <f t="shared" si="27"/>
        <v>0</v>
      </c>
      <c r="G63" s="305">
        <f t="shared" si="27"/>
        <v>0</v>
      </c>
      <c r="H63" s="305">
        <f t="shared" si="27"/>
        <v>0</v>
      </c>
      <c r="I63" s="305">
        <f t="shared" si="27"/>
        <v>0</v>
      </c>
      <c r="J63" s="305">
        <f t="shared" si="27"/>
        <v>0</v>
      </c>
      <c r="K63" s="305">
        <f t="shared" si="27"/>
        <v>0</v>
      </c>
      <c r="L63" s="305">
        <f t="shared" si="27"/>
        <v>0</v>
      </c>
      <c r="M63" s="305">
        <f t="shared" si="27"/>
        <v>0</v>
      </c>
      <c r="N63" s="305">
        <f t="shared" si="27"/>
        <v>0</v>
      </c>
      <c r="O63" s="305">
        <f t="shared" si="27"/>
        <v>0</v>
      </c>
      <c r="P63" s="305">
        <f t="shared" si="27"/>
        <v>0</v>
      </c>
      <c r="Q63" s="305">
        <f t="shared" si="27"/>
        <v>0</v>
      </c>
      <c r="R63" s="305">
        <f t="shared" si="27"/>
        <v>0</v>
      </c>
      <c r="S63" s="305">
        <f t="shared" si="27"/>
        <v>0</v>
      </c>
      <c r="T63" s="305">
        <f t="shared" si="27"/>
        <v>0</v>
      </c>
      <c r="U63" s="305">
        <f t="shared" si="27"/>
        <v>1.1413911539033539E-5</v>
      </c>
      <c r="V63" s="305">
        <f t="shared" si="27"/>
        <v>2.7519356960437058E-5</v>
      </c>
      <c r="W63" s="305">
        <f t="shared" si="27"/>
        <v>2.9667978913933135E-5</v>
      </c>
      <c r="X63" s="305">
        <f t="shared" si="27"/>
        <v>2.7105395403952126E-5</v>
      </c>
      <c r="Y63" s="305">
        <f t="shared" si="27"/>
        <v>2.4951475494312814E-5</v>
      </c>
      <c r="Z63" s="305">
        <f t="shared" si="27"/>
        <v>2.3001098072045201E-5</v>
      </c>
      <c r="AA63" s="305">
        <f t="shared" si="27"/>
        <v>-5.5562482664253676E-4</v>
      </c>
      <c r="AB63" s="305">
        <f t="shared" si="27"/>
        <v>2.2082079898365359E-5</v>
      </c>
      <c r="AC63" s="305">
        <f t="shared" si="27"/>
        <v>1.6528043655567037E-5</v>
      </c>
      <c r="AD63" s="305">
        <f t="shared" si="27"/>
        <v>1.1379430546583358E-5</v>
      </c>
      <c r="AE63" s="305">
        <f t="shared" si="27"/>
        <v>5.1904947238265442E-6</v>
      </c>
      <c r="AF63" s="305">
        <f t="shared" si="27"/>
        <v>1.523821390394392E-5</v>
      </c>
      <c r="AG63" s="305">
        <f t="shared" si="27"/>
        <v>6.3188014466641906E-7</v>
      </c>
      <c r="AH63" s="305">
        <f t="shared" si="27"/>
        <v>-9.7421985726930949E-6</v>
      </c>
      <c r="AI63" s="305">
        <f t="shared" si="27"/>
        <v>-1.8391440491150046E-5</v>
      </c>
      <c r="AJ63" s="305">
        <f t="shared" si="27"/>
        <v>-2.6365089751623216E-5</v>
      </c>
      <c r="AK63" s="305">
        <f t="shared" si="27"/>
        <v>-3.4118552876140351E-5</v>
      </c>
      <c r="AL63" s="305">
        <f t="shared" si="27"/>
        <v>-4.3393698289220795E-5</v>
      </c>
      <c r="AM63" s="305">
        <f t="shared" si="27"/>
        <v>-5.2625326436336883E-5</v>
      </c>
      <c r="AN63" s="305">
        <f t="shared" si="27"/>
        <v>-6.2011064403462435E-5</v>
      </c>
      <c r="AO63" s="305">
        <f t="shared" si="27"/>
        <v>-7.2053626700763207E-5</v>
      </c>
      <c r="AP63" s="305">
        <f t="shared" si="27"/>
        <v>-4.2031262355204935E-5</v>
      </c>
      <c r="AQ63" s="305">
        <f t="shared" si="27"/>
        <v>-7.5856949954246355E-5</v>
      </c>
      <c r="AR63" s="305">
        <f t="shared" si="27"/>
        <v>-9.8859721013720703E-5</v>
      </c>
      <c r="AS63" s="305">
        <f t="shared" si="27"/>
        <v>-1.1843263076970201E-4</v>
      </c>
      <c r="AT63" s="305">
        <f t="shared" si="27"/>
        <v>-1.381521785084952E-4</v>
      </c>
      <c r="AU63" s="306">
        <f t="shared" si="27"/>
        <v>-5.9106708572707056E-3</v>
      </c>
      <c r="AV63" s="268"/>
    </row>
    <row r="64" spans="1:50" x14ac:dyDescent="0.25">
      <c r="B64" s="258" t="s">
        <v>470</v>
      </c>
      <c r="C64" s="303">
        <f t="shared" si="27"/>
        <v>0</v>
      </c>
      <c r="D64" s="303">
        <f t="shared" si="27"/>
        <v>0</v>
      </c>
      <c r="E64" s="303">
        <f t="shared" si="27"/>
        <v>0</v>
      </c>
      <c r="F64" s="303">
        <f t="shared" si="27"/>
        <v>0</v>
      </c>
      <c r="G64" s="303">
        <f t="shared" si="27"/>
        <v>0</v>
      </c>
      <c r="H64" s="303">
        <f t="shared" si="27"/>
        <v>0</v>
      </c>
      <c r="I64" s="303">
        <f t="shared" si="27"/>
        <v>0</v>
      </c>
      <c r="J64" s="303">
        <f t="shared" si="27"/>
        <v>0</v>
      </c>
      <c r="K64" s="303">
        <f t="shared" si="27"/>
        <v>0</v>
      </c>
      <c r="L64" s="303">
        <f t="shared" si="27"/>
        <v>0</v>
      </c>
      <c r="M64" s="303">
        <f t="shared" si="27"/>
        <v>0</v>
      </c>
      <c r="N64" s="303">
        <f t="shared" si="27"/>
        <v>0</v>
      </c>
      <c r="O64" s="303">
        <f t="shared" si="27"/>
        <v>0</v>
      </c>
      <c r="P64" s="303">
        <f t="shared" si="27"/>
        <v>0</v>
      </c>
      <c r="Q64" s="303">
        <f t="shared" si="27"/>
        <v>2.577997876247462E-4</v>
      </c>
      <c r="R64" s="303">
        <f t="shared" si="27"/>
        <v>6.3041070054149495E-2</v>
      </c>
      <c r="S64" s="303">
        <f t="shared" si="27"/>
        <v>6.6132926080178511E-2</v>
      </c>
      <c r="T64" s="303">
        <f t="shared" si="27"/>
        <v>7.250705428690396E-2</v>
      </c>
      <c r="U64" s="303">
        <f t="shared" si="27"/>
        <v>7.4835240009930026E-2</v>
      </c>
      <c r="V64" s="303">
        <f t="shared" si="27"/>
        <v>0.11593833547220878</v>
      </c>
      <c r="W64" s="303">
        <f t="shared" si="27"/>
        <v>0.11647994307242204</v>
      </c>
      <c r="X64" s="303">
        <f t="shared" si="27"/>
        <v>0.11500193295970229</v>
      </c>
      <c r="Y64" s="303">
        <f t="shared" si="27"/>
        <v>0.11362065643969266</v>
      </c>
      <c r="Z64" s="303">
        <f t="shared" si="27"/>
        <v>0.11236248136129801</v>
      </c>
      <c r="AA64" s="303">
        <f t="shared" si="27"/>
        <v>-5.9395071810197653E-4</v>
      </c>
      <c r="AB64" s="303">
        <f t="shared" si="27"/>
        <v>0.13488701287543281</v>
      </c>
      <c r="AC64" s="303">
        <f t="shared" si="27"/>
        <v>0.13194873910509664</v>
      </c>
      <c r="AD64" s="303">
        <f t="shared" si="27"/>
        <v>0.12901771751673963</v>
      </c>
      <c r="AE64" s="303">
        <f t="shared" si="27"/>
        <v>0.12629811778348099</v>
      </c>
      <c r="AF64" s="303">
        <f t="shared" si="27"/>
        <v>0.13664897980814794</v>
      </c>
      <c r="AG64" s="303">
        <f t="shared" si="27"/>
        <v>0.13400857280697709</v>
      </c>
      <c r="AH64" s="303">
        <f t="shared" si="27"/>
        <v>0.13157207816568273</v>
      </c>
      <c r="AI64" s="303">
        <f t="shared" si="27"/>
        <v>0.12928985994151654</v>
      </c>
      <c r="AJ64" s="303">
        <f t="shared" si="27"/>
        <v>0.12708809456335124</v>
      </c>
      <c r="AK64" s="303">
        <f t="shared" si="27"/>
        <v>0.12496500460799109</v>
      </c>
      <c r="AL64" s="303">
        <f t="shared" si="27"/>
        <v>0.12262463632318699</v>
      </c>
      <c r="AM64" s="303">
        <f t="shared" si="27"/>
        <v>0.12052705686157195</v>
      </c>
      <c r="AN64" s="303">
        <f t="shared" si="27"/>
        <v>0.11871339342362064</v>
      </c>
      <c r="AO64" s="303">
        <f t="shared" si="27"/>
        <v>0.11709354320819043</v>
      </c>
      <c r="AP64" s="303">
        <f t="shared" si="27"/>
        <v>0.12817486101454179</v>
      </c>
      <c r="AQ64" s="303">
        <f t="shared" si="27"/>
        <v>0.12617907875967749</v>
      </c>
      <c r="AR64" s="303">
        <f t="shared" si="27"/>
        <v>0.12417793120763154</v>
      </c>
      <c r="AS64" s="303">
        <f t="shared" si="27"/>
        <v>0.12217469876978337</v>
      </c>
      <c r="AT64" s="303">
        <f t="shared" si="27"/>
        <v>0.12014525303686074</v>
      </c>
      <c r="AU64" s="304">
        <f t="shared" si="27"/>
        <v>-1.8079498202658861E-3</v>
      </c>
      <c r="AV64" s="268"/>
    </row>
    <row r="65" spans="2:48" x14ac:dyDescent="0.25">
      <c r="B65" s="258" t="s">
        <v>471</v>
      </c>
      <c r="C65" s="303">
        <f t="shared" si="27"/>
        <v>0</v>
      </c>
      <c r="D65" s="303">
        <f t="shared" si="27"/>
        <v>0</v>
      </c>
      <c r="E65" s="303">
        <f t="shared" si="27"/>
        <v>0</v>
      </c>
      <c r="F65" s="303">
        <f t="shared" si="27"/>
        <v>0</v>
      </c>
      <c r="G65" s="303">
        <f t="shared" si="27"/>
        <v>0</v>
      </c>
      <c r="H65" s="303">
        <f t="shared" si="27"/>
        <v>0</v>
      </c>
      <c r="I65" s="303">
        <f t="shared" si="27"/>
        <v>0</v>
      </c>
      <c r="J65" s="303">
        <f t="shared" si="27"/>
        <v>0</v>
      </c>
      <c r="K65" s="303">
        <f t="shared" si="27"/>
        <v>0</v>
      </c>
      <c r="L65" s="303">
        <f t="shared" si="27"/>
        <v>0</v>
      </c>
      <c r="M65" s="303">
        <f t="shared" si="27"/>
        <v>0</v>
      </c>
      <c r="N65" s="303">
        <f t="shared" si="27"/>
        <v>0</v>
      </c>
      <c r="O65" s="303">
        <f t="shared" si="27"/>
        <v>0</v>
      </c>
      <c r="P65" s="303">
        <f t="shared" si="27"/>
        <v>0</v>
      </c>
      <c r="Q65" s="303">
        <f t="shared" si="27"/>
        <v>0</v>
      </c>
      <c r="R65" s="303">
        <f t="shared" si="27"/>
        <v>0</v>
      </c>
      <c r="S65" s="303">
        <f t="shared" si="27"/>
        <v>0</v>
      </c>
      <c r="T65" s="303">
        <f t="shared" si="27"/>
        <v>0</v>
      </c>
      <c r="U65" s="303">
        <f t="shared" si="27"/>
        <v>6.5879396747181573E-5</v>
      </c>
      <c r="V65" s="303">
        <f t="shared" si="27"/>
        <v>1.9277416796126268E-4</v>
      </c>
      <c r="W65" s="303">
        <f t="shared" si="27"/>
        <v>2.5742994382260687E-4</v>
      </c>
      <c r="X65" s="303">
        <f t="shared" si="27"/>
        <v>2.7891794056900121E-4</v>
      </c>
      <c r="Y65" s="303">
        <f t="shared" si="27"/>
        <v>2.9496213581370334E-4</v>
      </c>
      <c r="Z65" s="303">
        <f t="shared" si="27"/>
        <v>3.0995864018590336E-4</v>
      </c>
      <c r="AA65" s="303">
        <f t="shared" si="27"/>
        <v>2.8811037823062158E-4</v>
      </c>
      <c r="AB65" s="303">
        <f t="shared" si="27"/>
        <v>2.9572135644828634E-4</v>
      </c>
      <c r="AC65" s="303">
        <f t="shared" si="27"/>
        <v>2.9568217039810385E-4</v>
      </c>
      <c r="AD65" s="303">
        <f t="shared" si="27"/>
        <v>2.9261522190859868E-4</v>
      </c>
      <c r="AE65" s="303">
        <f t="shared" si="27"/>
        <v>2.8101002155145327E-4</v>
      </c>
      <c r="AF65" s="303">
        <f t="shared" si="27"/>
        <v>2.1285465693510197E-4</v>
      </c>
      <c r="AG65" s="303">
        <f t="shared" si="27"/>
        <v>2.0968359872353126E-4</v>
      </c>
      <c r="AH65" s="303">
        <f t="shared" si="27"/>
        <v>1.9197901585343846E-4</v>
      </c>
      <c r="AI65" s="303">
        <f t="shared" si="27"/>
        <v>1.6679025913279855E-4</v>
      </c>
      <c r="AJ65" s="303">
        <f t="shared" si="27"/>
        <v>1.3771165475084945E-4</v>
      </c>
      <c r="AK65" s="303">
        <f t="shared" si="27"/>
        <v>1.0451412680179129E-4</v>
      </c>
      <c r="AL65" s="303">
        <f t="shared" si="27"/>
        <v>6.2383026585788315E-5</v>
      </c>
      <c r="AM65" s="303">
        <f t="shared" si="27"/>
        <v>1.5129216547893343E-5</v>
      </c>
      <c r="AN65" s="303">
        <f t="shared" si="27"/>
        <v>-3.8210905164759446E-5</v>
      </c>
      <c r="AO65" s="303">
        <f t="shared" si="27"/>
        <v>-9.9352195147561773E-5</v>
      </c>
      <c r="AP65" s="303">
        <f t="shared" si="27"/>
        <v>-2.9013094002794393E-4</v>
      </c>
      <c r="AQ65" s="303">
        <f t="shared" si="27"/>
        <v>-3.1601270247594293E-4</v>
      </c>
      <c r="AR65" s="303">
        <f t="shared" si="27"/>
        <v>-3.8360463824249624E-4</v>
      </c>
      <c r="AS65" s="303">
        <f t="shared" si="27"/>
        <v>-4.8012243936668142E-4</v>
      </c>
      <c r="AT65" s="303">
        <f t="shared" si="27"/>
        <v>-6.0491356462599732E-4</v>
      </c>
      <c r="AU65" s="304">
        <f t="shared" si="27"/>
        <v>-7.6204313743266638E-4</v>
      </c>
      <c r="AV65" s="268"/>
    </row>
    <row r="66" spans="2:48" x14ac:dyDescent="0.25">
      <c r="B66" s="261" t="s">
        <v>472</v>
      </c>
      <c r="C66" s="305">
        <f t="shared" si="27"/>
        <v>0</v>
      </c>
      <c r="D66" s="305">
        <f t="shared" si="27"/>
        <v>0</v>
      </c>
      <c r="E66" s="305">
        <f t="shared" si="27"/>
        <v>0</v>
      </c>
      <c r="F66" s="305">
        <f t="shared" si="27"/>
        <v>0</v>
      </c>
      <c r="G66" s="305">
        <f t="shared" si="27"/>
        <v>0</v>
      </c>
      <c r="H66" s="305">
        <f t="shared" si="27"/>
        <v>0</v>
      </c>
      <c r="I66" s="305">
        <f t="shared" si="27"/>
        <v>0</v>
      </c>
      <c r="J66" s="305">
        <f t="shared" si="27"/>
        <v>0</v>
      </c>
      <c r="K66" s="305">
        <f t="shared" si="27"/>
        <v>0</v>
      </c>
      <c r="L66" s="305">
        <f t="shared" si="27"/>
        <v>0</v>
      </c>
      <c r="M66" s="305">
        <f t="shared" si="27"/>
        <v>0</v>
      </c>
      <c r="N66" s="305">
        <f t="shared" si="27"/>
        <v>0</v>
      </c>
      <c r="O66" s="305">
        <f t="shared" si="27"/>
        <v>0</v>
      </c>
      <c r="P66" s="305">
        <f t="shared" si="27"/>
        <v>0</v>
      </c>
      <c r="Q66" s="305">
        <f t="shared" si="27"/>
        <v>0</v>
      </c>
      <c r="R66" s="305">
        <f t="shared" si="27"/>
        <v>0</v>
      </c>
      <c r="S66" s="305">
        <f t="shared" si="27"/>
        <v>0</v>
      </c>
      <c r="T66" s="305">
        <f t="shared" si="27"/>
        <v>0</v>
      </c>
      <c r="U66" s="305">
        <f t="shared" si="27"/>
        <v>1.6214369173289667E-5</v>
      </c>
      <c r="V66" s="305">
        <f t="shared" si="27"/>
        <v>1.0984095576713204E-4</v>
      </c>
      <c r="W66" s="305">
        <f t="shared" si="27"/>
        <v>9.6087057573551737E-5</v>
      </c>
      <c r="X66" s="305">
        <f t="shared" si="27"/>
        <v>2.2601968450941534E-5</v>
      </c>
      <c r="Y66" s="305">
        <f t="shared" si="27"/>
        <v>-6.1651667707496305E-5</v>
      </c>
      <c r="Z66" s="305">
        <f t="shared" si="27"/>
        <v>-1.4964547955159668E-4</v>
      </c>
      <c r="AA66" s="305">
        <f t="shared" si="27"/>
        <v>2.8326480230760065E-5</v>
      </c>
      <c r="AB66" s="305">
        <f t="shared" si="27"/>
        <v>-6.9092377061485966E-4</v>
      </c>
      <c r="AC66" s="305">
        <f t="shared" si="27"/>
        <v>-8.4433228816335748E-4</v>
      </c>
      <c r="AD66" s="305">
        <f t="shared" si="27"/>
        <v>-9.9906023370485708E-4</v>
      </c>
      <c r="AE66" s="305">
        <f t="shared" si="27"/>
        <v>-1.1558513156434136E-3</v>
      </c>
      <c r="AF66" s="305">
        <f t="shared" si="27"/>
        <v>-1.8556298018559125E-3</v>
      </c>
      <c r="AG66" s="305">
        <f t="shared" ref="AG66:AU66" si="28">AG44-AG55</f>
        <v>-2.007466574935779E-3</v>
      </c>
      <c r="AH66" s="305">
        <f t="shared" si="28"/>
        <v>-2.1788159324667711E-3</v>
      </c>
      <c r="AI66" s="305">
        <f t="shared" si="28"/>
        <v>-2.3557082238118698E-3</v>
      </c>
      <c r="AJ66" s="305">
        <f t="shared" si="28"/>
        <v>-2.5296055267392537E-3</v>
      </c>
      <c r="AK66" s="305">
        <f t="shared" si="28"/>
        <v>-2.6991104200529137E-3</v>
      </c>
      <c r="AL66" s="305">
        <f t="shared" si="28"/>
        <v>-2.8798796298196427E-3</v>
      </c>
      <c r="AM66" s="305">
        <f t="shared" si="28"/>
        <v>-3.0535802065856377E-3</v>
      </c>
      <c r="AN66" s="305">
        <f t="shared" si="28"/>
        <v>-3.2299377064862189E-3</v>
      </c>
      <c r="AO66" s="305">
        <f t="shared" si="28"/>
        <v>-3.4122063974414141E-3</v>
      </c>
      <c r="AP66" s="305">
        <f t="shared" si="28"/>
        <v>-4.9048204292136965E-3</v>
      </c>
      <c r="AQ66" s="305">
        <f t="shared" si="28"/>
        <v>-5.0529983141980317E-3</v>
      </c>
      <c r="AR66" s="305">
        <f t="shared" si="28"/>
        <v>-5.2322951856865751E-3</v>
      </c>
      <c r="AS66" s="305">
        <f t="shared" si="28"/>
        <v>-5.4330521665731102E-3</v>
      </c>
      <c r="AT66" s="305">
        <f t="shared" si="28"/>
        <v>-5.6564124947002803E-3</v>
      </c>
      <c r="AU66" s="306">
        <f t="shared" si="28"/>
        <v>-1.5978322735715755E-4</v>
      </c>
      <c r="AV66" s="268"/>
    </row>
    <row r="67" spans="2:48" x14ac:dyDescent="0.25">
      <c r="B67" s="249" t="s">
        <v>473</v>
      </c>
      <c r="C67" s="307">
        <f t="shared" ref="C67:AU67" si="29">C45-C56</f>
        <v>0</v>
      </c>
      <c r="D67" s="307">
        <f t="shared" si="29"/>
        <v>0</v>
      </c>
      <c r="E67" s="307">
        <f t="shared" si="29"/>
        <v>0</v>
      </c>
      <c r="F67" s="307">
        <f t="shared" si="29"/>
        <v>0</v>
      </c>
      <c r="G67" s="307">
        <f t="shared" si="29"/>
        <v>0</v>
      </c>
      <c r="H67" s="307">
        <f t="shared" si="29"/>
        <v>0</v>
      </c>
      <c r="I67" s="307">
        <f t="shared" si="29"/>
        <v>0</v>
      </c>
      <c r="J67" s="307">
        <f t="shared" si="29"/>
        <v>0</v>
      </c>
      <c r="K67" s="307">
        <f t="shared" si="29"/>
        <v>0</v>
      </c>
      <c r="L67" s="307">
        <f t="shared" si="29"/>
        <v>0</v>
      </c>
      <c r="M67" s="307">
        <f t="shared" si="29"/>
        <v>0</v>
      </c>
      <c r="N67" s="307">
        <f t="shared" si="29"/>
        <v>0</v>
      </c>
      <c r="O67" s="307">
        <f t="shared" si="29"/>
        <v>0</v>
      </c>
      <c r="P67" s="307">
        <f t="shared" si="29"/>
        <v>0</v>
      </c>
      <c r="Q67" s="307">
        <f t="shared" si="29"/>
        <v>0</v>
      </c>
      <c r="R67" s="307">
        <f t="shared" si="29"/>
        <v>0</v>
      </c>
      <c r="S67" s="307">
        <f t="shared" si="29"/>
        <v>0</v>
      </c>
      <c r="T67" s="307">
        <f t="shared" si="29"/>
        <v>0</v>
      </c>
      <c r="U67" s="307">
        <f t="shared" si="29"/>
        <v>5.3245631464804433E-5</v>
      </c>
      <c r="V67" s="307">
        <f t="shared" si="29"/>
        <v>1.7650054758655553E-4</v>
      </c>
      <c r="W67" s="307">
        <f t="shared" si="29"/>
        <v>2.996334525946498E-4</v>
      </c>
      <c r="X67" s="307">
        <f t="shared" si="29"/>
        <v>4.0467825656487211E-4</v>
      </c>
      <c r="Y67" s="307">
        <f t="shared" si="29"/>
        <v>4.9976404107343608E-4</v>
      </c>
      <c r="Z67" s="307">
        <f t="shared" si="29"/>
        <v>5.9265599580426986E-4</v>
      </c>
      <c r="AA67" s="307">
        <f t="shared" si="29"/>
        <v>8.0109757590951514E-4</v>
      </c>
      <c r="AB67" s="307">
        <f t="shared" si="29"/>
        <v>9.6988058877889305E-4</v>
      </c>
      <c r="AC67" s="307">
        <f t="shared" si="29"/>
        <v>1.1159405749772144E-3</v>
      </c>
      <c r="AD67" s="307">
        <f t="shared" si="29"/>
        <v>1.2455332889536042E-3</v>
      </c>
      <c r="AE67" s="307">
        <f t="shared" si="29"/>
        <v>1.3576430493918989E-3</v>
      </c>
      <c r="AF67" s="307">
        <f t="shared" si="29"/>
        <v>1.7003435705246206E-3</v>
      </c>
      <c r="AG67" s="307">
        <f t="shared" si="29"/>
        <v>1.9033987820127329E-3</v>
      </c>
      <c r="AH67" s="307">
        <f t="shared" si="29"/>
        <v>2.0430352556720655E-3</v>
      </c>
      <c r="AI67" s="307">
        <f t="shared" si="29"/>
        <v>2.1466140828040325E-3</v>
      </c>
      <c r="AJ67" s="307">
        <f t="shared" si="29"/>
        <v>2.2253391113775667E-3</v>
      </c>
      <c r="AK67" s="307">
        <f t="shared" si="29"/>
        <v>2.2822049683857148E-3</v>
      </c>
      <c r="AL67" s="307">
        <f t="shared" si="29"/>
        <v>2.3158024512031083E-3</v>
      </c>
      <c r="AM67" s="307">
        <f t="shared" si="29"/>
        <v>2.3322972940507114E-3</v>
      </c>
      <c r="AN67" s="307">
        <f t="shared" si="29"/>
        <v>2.3357844886450208E-3</v>
      </c>
      <c r="AO67" s="307">
        <f t="shared" si="29"/>
        <v>2.325849540897762E-3</v>
      </c>
      <c r="AP67" s="307">
        <f t="shared" si="29"/>
        <v>2.9247241030910809E-3</v>
      </c>
      <c r="AQ67" s="307">
        <f t="shared" si="29"/>
        <v>3.1318642105413463E-3</v>
      </c>
      <c r="AR67" s="307">
        <f t="shared" si="29"/>
        <v>3.1678212912146231E-3</v>
      </c>
      <c r="AS67" s="307">
        <f t="shared" si="29"/>
        <v>3.1085871875866644E-3</v>
      </c>
      <c r="AT67" s="307">
        <f t="shared" si="29"/>
        <v>2.980658726021379E-3</v>
      </c>
      <c r="AU67" s="308">
        <f t="shared" si="29"/>
        <v>2.7894455356903824E-3</v>
      </c>
      <c r="AV67" s="268"/>
    </row>
  </sheetData>
  <pageMargins left="0.7" right="0.7" top="0.75" bottom="0.75" header="0.3" footer="0.3"/>
  <pageSetup paperSize="9" scale="1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1"/>
  <dimension ref="A1:CU300"/>
  <sheetViews>
    <sheetView workbookViewId="0">
      <pane xSplit="2" ySplit="1" topLeftCell="C2" activePane="bottomRight" state="frozen"/>
      <selection pane="topRight" activeCell="B1" sqref="B1"/>
      <selection pane="bottomLeft" activeCell="A2" sqref="A2"/>
      <selection pane="bottomRight" activeCell="B2" sqref="B2:AW300"/>
    </sheetView>
  </sheetViews>
  <sheetFormatPr baseColWidth="10" defaultColWidth="11.42578125" defaultRowHeight="15" x14ac:dyDescent="0.25"/>
  <cols>
    <col min="1" max="1" width="39.28515625" customWidth="1"/>
    <col min="2" max="2" width="65.42578125" customWidth="1"/>
    <col min="47" max="49" width="11.7109375" customWidth="1"/>
    <col min="50" max="50" width="21.85546875" customWidth="1"/>
    <col min="51" max="52" width="11.7109375" customWidth="1"/>
  </cols>
  <sheetData>
    <row r="1" spans="1:49" ht="51.75" thickBot="1" x14ac:dyDescent="0.3">
      <c r="A1" s="234" t="s">
        <v>484</v>
      </c>
      <c r="B1" s="269" t="s">
        <v>492</v>
      </c>
      <c r="C1" s="235">
        <v>2</v>
      </c>
      <c r="D1" s="235">
        <f>C1+1</f>
        <v>3</v>
      </c>
      <c r="E1" s="235">
        <f t="shared" ref="E1:AW1" si="0">D1+1</f>
        <v>4</v>
      </c>
      <c r="F1" s="235">
        <f t="shared" si="0"/>
        <v>5</v>
      </c>
      <c r="G1" s="235">
        <f t="shared" si="0"/>
        <v>6</v>
      </c>
      <c r="H1" s="235">
        <f t="shared" si="0"/>
        <v>7</v>
      </c>
      <c r="I1" s="235">
        <f t="shared" si="0"/>
        <v>8</v>
      </c>
      <c r="J1" s="235">
        <f t="shared" si="0"/>
        <v>9</v>
      </c>
      <c r="K1" s="235">
        <f t="shared" si="0"/>
        <v>10</v>
      </c>
      <c r="L1" s="235">
        <f t="shared" si="0"/>
        <v>11</v>
      </c>
      <c r="M1" s="235">
        <f t="shared" si="0"/>
        <v>12</v>
      </c>
      <c r="N1" s="235">
        <f t="shared" si="0"/>
        <v>13</v>
      </c>
      <c r="O1" s="235">
        <f t="shared" si="0"/>
        <v>14</v>
      </c>
      <c r="P1" s="235">
        <f t="shared" si="0"/>
        <v>15</v>
      </c>
      <c r="Q1" s="235">
        <f t="shared" si="0"/>
        <v>16</v>
      </c>
      <c r="R1" s="235">
        <f t="shared" si="0"/>
        <v>17</v>
      </c>
      <c r="S1" s="235">
        <f t="shared" si="0"/>
        <v>18</v>
      </c>
      <c r="T1" s="235">
        <f t="shared" si="0"/>
        <v>19</v>
      </c>
      <c r="U1" s="235">
        <f t="shared" si="0"/>
        <v>20</v>
      </c>
      <c r="V1" s="235">
        <f t="shared" si="0"/>
        <v>21</v>
      </c>
      <c r="W1" s="235">
        <f t="shared" si="0"/>
        <v>22</v>
      </c>
      <c r="X1" s="235">
        <f t="shared" si="0"/>
        <v>23</v>
      </c>
      <c r="Y1" s="235">
        <f t="shared" si="0"/>
        <v>24</v>
      </c>
      <c r="Z1" s="235">
        <f t="shared" si="0"/>
        <v>25</v>
      </c>
      <c r="AA1" s="235">
        <f t="shared" si="0"/>
        <v>26</v>
      </c>
      <c r="AB1" s="235">
        <f t="shared" si="0"/>
        <v>27</v>
      </c>
      <c r="AC1" s="235">
        <f t="shared" si="0"/>
        <v>28</v>
      </c>
      <c r="AD1" s="235">
        <f t="shared" si="0"/>
        <v>29</v>
      </c>
      <c r="AE1" s="235">
        <f t="shared" si="0"/>
        <v>30</v>
      </c>
      <c r="AF1" s="235">
        <f t="shared" si="0"/>
        <v>31</v>
      </c>
      <c r="AG1" s="235">
        <f t="shared" si="0"/>
        <v>32</v>
      </c>
      <c r="AH1" s="235">
        <f t="shared" si="0"/>
        <v>33</v>
      </c>
      <c r="AI1" s="235">
        <f t="shared" si="0"/>
        <v>34</v>
      </c>
      <c r="AJ1" s="235">
        <f t="shared" si="0"/>
        <v>35</v>
      </c>
      <c r="AK1" s="235">
        <f t="shared" si="0"/>
        <v>36</v>
      </c>
      <c r="AL1" s="235">
        <f t="shared" si="0"/>
        <v>37</v>
      </c>
      <c r="AM1" s="235">
        <f t="shared" si="0"/>
        <v>38</v>
      </c>
      <c r="AN1" s="235">
        <f t="shared" si="0"/>
        <v>39</v>
      </c>
      <c r="AO1" s="235">
        <f t="shared" si="0"/>
        <v>40</v>
      </c>
      <c r="AP1" s="235">
        <f t="shared" si="0"/>
        <v>41</v>
      </c>
      <c r="AQ1" s="235">
        <f t="shared" si="0"/>
        <v>42</v>
      </c>
      <c r="AR1" s="235">
        <f t="shared" si="0"/>
        <v>43</v>
      </c>
      <c r="AS1" s="235">
        <f t="shared" si="0"/>
        <v>44</v>
      </c>
      <c r="AT1" s="235">
        <f t="shared" si="0"/>
        <v>45</v>
      </c>
      <c r="AU1" s="235">
        <f t="shared" si="0"/>
        <v>46</v>
      </c>
      <c r="AV1" s="235">
        <f t="shared" si="0"/>
        <v>47</v>
      </c>
      <c r="AW1" s="235">
        <f t="shared" si="0"/>
        <v>48</v>
      </c>
    </row>
    <row r="2" spans="1:49" x14ac:dyDescent="0.25">
      <c r="B2" s="193"/>
      <c r="C2" s="16">
        <v>2004</v>
      </c>
      <c r="D2" s="16">
        <v>2005</v>
      </c>
      <c r="E2" s="16">
        <v>2006</v>
      </c>
      <c r="F2" s="22">
        <v>2007</v>
      </c>
      <c r="G2">
        <v>2008</v>
      </c>
      <c r="H2">
        <v>2009</v>
      </c>
      <c r="I2">
        <v>2010</v>
      </c>
      <c r="J2">
        <v>2011</v>
      </c>
      <c r="K2">
        <v>2012</v>
      </c>
      <c r="L2">
        <v>2013</v>
      </c>
      <c r="M2">
        <v>2014</v>
      </c>
      <c r="N2">
        <v>2015</v>
      </c>
      <c r="O2">
        <v>2016</v>
      </c>
      <c r="P2">
        <v>2017</v>
      </c>
      <c r="Q2">
        <v>2018</v>
      </c>
      <c r="R2">
        <v>2019</v>
      </c>
      <c r="S2">
        <v>2020</v>
      </c>
      <c r="T2">
        <v>2021</v>
      </c>
      <c r="U2">
        <v>2022</v>
      </c>
      <c r="V2">
        <v>2023</v>
      </c>
      <c r="W2">
        <v>2024</v>
      </c>
      <c r="X2">
        <v>2025</v>
      </c>
      <c r="Y2">
        <v>2026</v>
      </c>
      <c r="Z2">
        <v>2027</v>
      </c>
      <c r="AA2">
        <v>2028</v>
      </c>
      <c r="AB2">
        <v>2029</v>
      </c>
      <c r="AC2">
        <v>2030</v>
      </c>
      <c r="AD2">
        <v>2031</v>
      </c>
      <c r="AE2">
        <v>2032</v>
      </c>
      <c r="AF2">
        <v>2033</v>
      </c>
      <c r="AG2">
        <v>2034</v>
      </c>
      <c r="AH2">
        <v>2035</v>
      </c>
      <c r="AI2">
        <v>2036</v>
      </c>
      <c r="AJ2">
        <v>2037</v>
      </c>
      <c r="AK2">
        <v>2038</v>
      </c>
      <c r="AL2">
        <v>2039</v>
      </c>
      <c r="AM2">
        <v>2040</v>
      </c>
      <c r="AN2">
        <v>2041</v>
      </c>
      <c r="AO2">
        <v>2042</v>
      </c>
      <c r="AP2">
        <v>2043</v>
      </c>
      <c r="AQ2">
        <v>2044</v>
      </c>
      <c r="AR2">
        <v>2045</v>
      </c>
      <c r="AS2">
        <v>2046</v>
      </c>
      <c r="AT2">
        <v>2047</v>
      </c>
      <c r="AU2">
        <v>2048</v>
      </c>
      <c r="AV2">
        <v>2049</v>
      </c>
      <c r="AW2">
        <v>2050</v>
      </c>
    </row>
    <row r="3" spans="1:49" x14ac:dyDescent="0.25">
      <c r="B3" s="13" t="s">
        <v>103</v>
      </c>
      <c r="C3">
        <v>78.155731330970795</v>
      </c>
      <c r="D3" s="39">
        <v>79.410546877677106</v>
      </c>
      <c r="E3" s="39">
        <v>67.551490139999999</v>
      </c>
      <c r="F3" s="39">
        <v>68.689415120000007</v>
      </c>
      <c r="G3">
        <v>65.725412309999996</v>
      </c>
      <c r="H3">
        <v>64.004613550000002</v>
      </c>
      <c r="I3">
        <v>63.387190449999999</v>
      </c>
      <c r="J3">
        <v>61.930867190000001</v>
      </c>
      <c r="K3">
        <v>60.190908020000002</v>
      </c>
      <c r="L3">
        <v>59.079060400000003</v>
      </c>
      <c r="M3">
        <v>59.200045780000004</v>
      </c>
      <c r="N3">
        <v>59.927097619999998</v>
      </c>
      <c r="O3">
        <v>58.890292109999997</v>
      </c>
      <c r="P3">
        <v>57.330030540000003</v>
      </c>
      <c r="Q3">
        <v>55.046081229999999</v>
      </c>
      <c r="R3">
        <v>53.644836400000003</v>
      </c>
      <c r="S3">
        <v>52.364997629999998</v>
      </c>
      <c r="T3">
        <v>52.348711600000001</v>
      </c>
      <c r="U3">
        <v>52.192902080000003</v>
      </c>
      <c r="V3">
        <v>52.138813749999997</v>
      </c>
      <c r="W3">
        <v>51.35954718</v>
      </c>
      <c r="X3">
        <v>50.199045699999999</v>
      </c>
      <c r="Y3">
        <v>49.324061489999998</v>
      </c>
      <c r="Z3">
        <v>48.681345649999997</v>
      </c>
      <c r="AA3">
        <v>48.02794497</v>
      </c>
      <c r="AB3">
        <v>47.37909234</v>
      </c>
      <c r="AC3">
        <v>46.615496929999999</v>
      </c>
      <c r="AD3">
        <v>45.913694049999997</v>
      </c>
      <c r="AE3">
        <v>45.269330009999997</v>
      </c>
      <c r="AF3">
        <v>44.635815389999998</v>
      </c>
      <c r="AG3">
        <v>44.001772799999998</v>
      </c>
      <c r="AH3">
        <v>43.379731319999998</v>
      </c>
      <c r="AI3">
        <v>42.822252489999997</v>
      </c>
      <c r="AJ3">
        <v>42.283635949999997</v>
      </c>
      <c r="AK3">
        <v>41.745426180000003</v>
      </c>
      <c r="AL3">
        <v>41.219079729999997</v>
      </c>
      <c r="AM3">
        <v>40.701343680000001</v>
      </c>
      <c r="AN3">
        <v>40.162238649999999</v>
      </c>
      <c r="AO3">
        <v>39.617882889999997</v>
      </c>
      <c r="AP3">
        <v>39.062246049999999</v>
      </c>
      <c r="AQ3">
        <v>38.508237370000003</v>
      </c>
      <c r="AR3">
        <v>37.919191009999999</v>
      </c>
      <c r="AS3">
        <v>37.455198189999997</v>
      </c>
      <c r="AT3">
        <v>37.003151080000002</v>
      </c>
      <c r="AU3">
        <v>36.557199820000001</v>
      </c>
      <c r="AV3">
        <v>36.120901490000001</v>
      </c>
      <c r="AW3">
        <v>35.708826739999999</v>
      </c>
    </row>
    <row r="4" spans="1:49" x14ac:dyDescent="0.25">
      <c r="B4" s="13" t="s">
        <v>104</v>
      </c>
      <c r="C4">
        <v>77.477678819662401</v>
      </c>
      <c r="D4" s="39">
        <v>78.721608013977402</v>
      </c>
      <c r="E4" s="39">
        <v>66.677101919999998</v>
      </c>
      <c r="F4" s="39">
        <v>67.521857929999996</v>
      </c>
      <c r="G4">
        <v>64.342905090000002</v>
      </c>
      <c r="H4">
        <v>62.400979079999999</v>
      </c>
      <c r="I4">
        <v>61.54523038</v>
      </c>
      <c r="J4">
        <v>59.884279970000001</v>
      </c>
      <c r="K4">
        <v>57.962797049999999</v>
      </c>
      <c r="L4">
        <v>56.658462479999997</v>
      </c>
      <c r="M4">
        <v>56.541328780000001</v>
      </c>
      <c r="N4">
        <v>57.000671529999998</v>
      </c>
      <c r="O4">
        <v>55.97268407</v>
      </c>
      <c r="P4">
        <v>54.446431420000003</v>
      </c>
      <c r="Q4">
        <v>52.233065959999998</v>
      </c>
      <c r="R4">
        <v>50.857332300000003</v>
      </c>
      <c r="S4">
        <v>49.595839269999999</v>
      </c>
      <c r="T4">
        <v>49.447423639999997</v>
      </c>
      <c r="U4">
        <v>49.171955079999996</v>
      </c>
      <c r="V4">
        <v>48.99692649</v>
      </c>
      <c r="W4">
        <v>48.264618570000003</v>
      </c>
      <c r="X4">
        <v>47.17404896</v>
      </c>
      <c r="Y4">
        <v>46.351791329999998</v>
      </c>
      <c r="Z4">
        <v>45.747805569999997</v>
      </c>
      <c r="AA4">
        <v>45.13377886</v>
      </c>
      <c r="AB4">
        <v>44.524026110000001</v>
      </c>
      <c r="AC4">
        <v>43.806444999999997</v>
      </c>
      <c r="AD4">
        <v>43.14693278</v>
      </c>
      <c r="AE4">
        <v>42.541398149999999</v>
      </c>
      <c r="AF4">
        <v>41.946059159999997</v>
      </c>
      <c r="AG4">
        <v>41.350223999999997</v>
      </c>
      <c r="AH4">
        <v>40.765666760000002</v>
      </c>
      <c r="AI4">
        <v>40.241781629999998</v>
      </c>
      <c r="AJ4">
        <v>39.735622149999998</v>
      </c>
      <c r="AK4">
        <v>39.229844929999999</v>
      </c>
      <c r="AL4">
        <v>38.735216139999999</v>
      </c>
      <c r="AM4">
        <v>38.24867888</v>
      </c>
      <c r="AN4">
        <v>37.742060340000002</v>
      </c>
      <c r="AO4">
        <v>37.230507490000001</v>
      </c>
      <c r="AP4">
        <v>36.708353350000003</v>
      </c>
      <c r="AQ4">
        <v>36.187729249999997</v>
      </c>
      <c r="AR4">
        <v>35.634178859999999</v>
      </c>
      <c r="AS4">
        <v>35.198146260000001</v>
      </c>
      <c r="AT4">
        <v>34.773339530000001</v>
      </c>
      <c r="AU4">
        <v>34.354261319999999</v>
      </c>
      <c r="AV4">
        <v>33.944254350000001</v>
      </c>
      <c r="AW4">
        <v>33.557011240000001</v>
      </c>
    </row>
    <row r="5" spans="1:49" x14ac:dyDescent="0.25">
      <c r="B5" s="13" t="s">
        <v>105</v>
      </c>
      <c r="C5">
        <v>0.67805251130835598</v>
      </c>
      <c r="D5" s="39">
        <v>0.68893886369971102</v>
      </c>
      <c r="E5">
        <v>0.8743882194</v>
      </c>
      <c r="F5">
        <v>1.167557188</v>
      </c>
      <c r="G5">
        <v>1.382507216</v>
      </c>
      <c r="H5">
        <v>1.6036344709999999</v>
      </c>
      <c r="I5">
        <v>1.8419600709999999</v>
      </c>
      <c r="J5">
        <v>2.0465872169999999</v>
      </c>
      <c r="K5">
        <v>2.2281109670000001</v>
      </c>
      <c r="L5">
        <v>2.4205979279999998</v>
      </c>
      <c r="M5">
        <v>2.6587170059999998</v>
      </c>
      <c r="N5">
        <v>2.9264260929999999</v>
      </c>
      <c r="O5">
        <v>2.917608049</v>
      </c>
      <c r="P5">
        <v>2.8835991189999999</v>
      </c>
      <c r="Q5">
        <v>2.8130152690000001</v>
      </c>
      <c r="R5">
        <v>2.7875041</v>
      </c>
      <c r="S5">
        <v>2.7691583560000002</v>
      </c>
      <c r="T5">
        <v>2.9012879649999999</v>
      </c>
      <c r="U5">
        <v>3.020947005</v>
      </c>
      <c r="V5">
        <v>3.141887256</v>
      </c>
      <c r="W5">
        <v>3.0949286169999999</v>
      </c>
      <c r="X5">
        <v>3.0249967459999998</v>
      </c>
      <c r="Y5">
        <v>2.9722701580000002</v>
      </c>
      <c r="Z5">
        <v>2.9335400730000001</v>
      </c>
      <c r="AA5">
        <v>2.8941661189999999</v>
      </c>
      <c r="AB5">
        <v>2.8550662299999998</v>
      </c>
      <c r="AC5">
        <v>2.8090519359999999</v>
      </c>
      <c r="AD5">
        <v>2.7667612629999998</v>
      </c>
      <c r="AE5">
        <v>2.7279318570000002</v>
      </c>
      <c r="AF5">
        <v>2.6897562380000002</v>
      </c>
      <c r="AG5">
        <v>2.6515488029999998</v>
      </c>
      <c r="AH5">
        <v>2.6140645550000001</v>
      </c>
      <c r="AI5">
        <v>2.5804708559999998</v>
      </c>
      <c r="AJ5">
        <v>2.548013799</v>
      </c>
      <c r="AK5">
        <v>2.5155812540000002</v>
      </c>
      <c r="AL5">
        <v>2.4838635939999998</v>
      </c>
      <c r="AM5">
        <v>2.4526647960000001</v>
      </c>
      <c r="AN5">
        <v>2.4201783030000001</v>
      </c>
      <c r="AO5">
        <v>2.3873753999999998</v>
      </c>
      <c r="AP5">
        <v>2.3538926990000002</v>
      </c>
      <c r="AQ5">
        <v>2.3205081110000001</v>
      </c>
      <c r="AR5">
        <v>2.2850121510000001</v>
      </c>
      <c r="AS5">
        <v>2.2570519230000001</v>
      </c>
      <c r="AT5">
        <v>2.2298115439999999</v>
      </c>
      <c r="AU5">
        <v>2.2029385010000002</v>
      </c>
      <c r="AV5">
        <v>2.1766471439999999</v>
      </c>
      <c r="AW5">
        <v>2.1518155019999998</v>
      </c>
    </row>
    <row r="6" spans="1:49" x14ac:dyDescent="0.25">
      <c r="B6" s="13" t="s">
        <v>106</v>
      </c>
      <c r="C6">
        <v>28.634797354551999</v>
      </c>
      <c r="D6" s="39">
        <v>29.094538288267</v>
      </c>
      <c r="E6" s="39">
        <v>26.011154829999999</v>
      </c>
      <c r="F6" s="39">
        <v>26.60079597</v>
      </c>
      <c r="G6" s="39">
        <v>26.967052760000001</v>
      </c>
      <c r="H6" s="39">
        <v>24.795980870000001</v>
      </c>
      <c r="I6" s="39">
        <v>25.622019479999999</v>
      </c>
      <c r="J6" s="39">
        <v>26.409952489999998</v>
      </c>
      <c r="K6" s="39">
        <v>26.662159979999998</v>
      </c>
      <c r="L6" s="39">
        <v>26.49601436</v>
      </c>
      <c r="M6">
        <v>26.28062641</v>
      </c>
      <c r="N6">
        <v>25.650294760000001</v>
      </c>
      <c r="O6">
        <v>24.191159590000002</v>
      </c>
      <c r="P6">
        <v>23.75545954</v>
      </c>
      <c r="Q6">
        <v>23.605403129999999</v>
      </c>
      <c r="R6">
        <v>22.75979792</v>
      </c>
      <c r="S6">
        <v>21.822424869999999</v>
      </c>
      <c r="T6">
        <v>21.696684619999999</v>
      </c>
      <c r="U6">
        <v>21.614635450000002</v>
      </c>
      <c r="V6">
        <v>21.585960870000001</v>
      </c>
      <c r="W6">
        <v>21.515526529999999</v>
      </c>
      <c r="X6">
        <v>21.59393365</v>
      </c>
      <c r="Y6">
        <v>21.752294979999999</v>
      </c>
      <c r="Z6">
        <v>21.815700110000002</v>
      </c>
      <c r="AA6">
        <v>21.917364280000001</v>
      </c>
      <c r="AB6">
        <v>21.97188899</v>
      </c>
      <c r="AC6">
        <v>22.070978270000001</v>
      </c>
      <c r="AD6">
        <v>22.10908427</v>
      </c>
      <c r="AE6">
        <v>22.148072209999999</v>
      </c>
      <c r="AF6">
        <v>22.184272289999999</v>
      </c>
      <c r="AG6">
        <v>22.215899480000001</v>
      </c>
      <c r="AH6">
        <v>22.260483199999999</v>
      </c>
      <c r="AI6">
        <v>22.268149229999999</v>
      </c>
      <c r="AJ6">
        <v>22.264015879999999</v>
      </c>
      <c r="AK6">
        <v>22.248302349999999</v>
      </c>
      <c r="AL6">
        <v>22.22580348</v>
      </c>
      <c r="AM6">
        <v>22.197959839999999</v>
      </c>
      <c r="AN6">
        <v>22.109492029999998</v>
      </c>
      <c r="AO6">
        <v>22.017042969999999</v>
      </c>
      <c r="AP6">
        <v>21.91969667</v>
      </c>
      <c r="AQ6">
        <v>21.8137705</v>
      </c>
      <c r="AR6">
        <v>21.723400989999998</v>
      </c>
      <c r="AS6">
        <v>21.59274856</v>
      </c>
      <c r="AT6">
        <v>21.460364930000001</v>
      </c>
      <c r="AU6">
        <v>21.325595060000001</v>
      </c>
      <c r="AV6">
        <v>21.19013829</v>
      </c>
      <c r="AW6">
        <v>21.061825880000001</v>
      </c>
    </row>
    <row r="7" spans="1:49" x14ac:dyDescent="0.25">
      <c r="B7" s="13" t="s">
        <v>107</v>
      </c>
      <c r="C7">
        <v>0.36749349586970598</v>
      </c>
      <c r="D7">
        <v>0.37339372281503302</v>
      </c>
      <c r="E7">
        <v>0.4232294553</v>
      </c>
      <c r="F7">
        <v>0.43422553530000002</v>
      </c>
      <c r="G7">
        <v>0.4416301225</v>
      </c>
      <c r="H7">
        <v>0.40739056969999998</v>
      </c>
      <c r="I7">
        <v>0.42232570149999998</v>
      </c>
      <c r="J7">
        <v>0.43672318739999999</v>
      </c>
      <c r="K7">
        <v>0.44232189440000003</v>
      </c>
      <c r="L7">
        <v>0.44098938259999998</v>
      </c>
      <c r="M7">
        <v>0.43882137249999997</v>
      </c>
      <c r="N7">
        <v>0.42968371579999998</v>
      </c>
      <c r="O7">
        <v>0.41335269749999998</v>
      </c>
      <c r="P7">
        <v>0.41450492519999999</v>
      </c>
      <c r="Q7">
        <v>0.42113423080000001</v>
      </c>
      <c r="R7">
        <v>0.41573188680000001</v>
      </c>
      <c r="S7">
        <v>0.40872975750000001</v>
      </c>
      <c r="T7">
        <v>0.44954248219999998</v>
      </c>
      <c r="U7">
        <v>0.49224461580000001</v>
      </c>
      <c r="V7">
        <v>0.53739971099999995</v>
      </c>
      <c r="W7">
        <v>0.53564619179999995</v>
      </c>
      <c r="X7">
        <v>0.5375981997</v>
      </c>
      <c r="Y7">
        <v>0.54154073140000003</v>
      </c>
      <c r="Z7">
        <v>0.54311925260000005</v>
      </c>
      <c r="AA7">
        <v>0.54565026309999998</v>
      </c>
      <c r="AB7">
        <v>0.54700769920000003</v>
      </c>
      <c r="AC7">
        <v>0.54947460589999997</v>
      </c>
      <c r="AD7">
        <v>0.55042328519999995</v>
      </c>
      <c r="AE7">
        <v>0.55139392109999996</v>
      </c>
      <c r="AF7">
        <v>0.55229515100000004</v>
      </c>
      <c r="AG7">
        <v>0.55308253510000005</v>
      </c>
      <c r="AH7">
        <v>0.55419248229999996</v>
      </c>
      <c r="AI7">
        <v>0.55438333419999997</v>
      </c>
      <c r="AJ7">
        <v>0.55428043120000003</v>
      </c>
      <c r="AK7">
        <v>0.55388923020000003</v>
      </c>
      <c r="AL7">
        <v>0.55332910300000004</v>
      </c>
      <c r="AM7">
        <v>0.55263591339999996</v>
      </c>
      <c r="AN7">
        <v>0.5504334367</v>
      </c>
      <c r="AO7">
        <v>0.54813184370000001</v>
      </c>
      <c r="AP7" s="39">
        <v>0.54570832989999996</v>
      </c>
      <c r="AQ7" s="39">
        <v>0.54307121339999997</v>
      </c>
      <c r="AR7" s="39">
        <v>0.54082139250000005</v>
      </c>
      <c r="AS7" s="39">
        <v>0.5375686958</v>
      </c>
      <c r="AT7" s="39">
        <v>0.53427289980000003</v>
      </c>
      <c r="AU7" s="39">
        <v>0.53091769639999997</v>
      </c>
      <c r="AV7" s="39">
        <v>0.52754539209999995</v>
      </c>
      <c r="AW7" s="39">
        <v>0.52435095249999997</v>
      </c>
    </row>
    <row r="8" spans="1:49" x14ac:dyDescent="0.25">
      <c r="B8" t="s">
        <v>108</v>
      </c>
      <c r="C8">
        <v>1.4676116307532601</v>
      </c>
      <c r="D8" s="39">
        <v>1.4911746101974399</v>
      </c>
      <c r="E8" s="39">
        <v>1.33314278</v>
      </c>
      <c r="F8" s="39">
        <v>1.365346459</v>
      </c>
      <c r="G8" s="39">
        <v>1.386158609</v>
      </c>
      <c r="H8" s="39">
        <v>1.2764151189999999</v>
      </c>
      <c r="I8" s="39">
        <v>1.3208551980000001</v>
      </c>
      <c r="J8" s="39">
        <v>1.3634545890000001</v>
      </c>
      <c r="K8" s="39">
        <v>1.3784772190000001</v>
      </c>
      <c r="L8" s="39">
        <v>1.371879667</v>
      </c>
      <c r="M8">
        <v>1.3627066859999999</v>
      </c>
      <c r="N8">
        <v>1.3319571079999999</v>
      </c>
      <c r="O8">
        <v>1.4068715359999999</v>
      </c>
      <c r="P8">
        <v>1.541228764</v>
      </c>
      <c r="Q8">
        <v>1.703274822</v>
      </c>
      <c r="R8">
        <v>1.822142307</v>
      </c>
      <c r="S8">
        <v>1.9350830370000001</v>
      </c>
      <c r="T8">
        <v>1.859842349</v>
      </c>
      <c r="U8">
        <v>1.7868856980000001</v>
      </c>
      <c r="V8">
        <v>1.7165043419999999</v>
      </c>
      <c r="W8">
        <v>1.710903439</v>
      </c>
      <c r="X8">
        <v>1.7171383330000001</v>
      </c>
      <c r="Y8">
        <v>1.729731143</v>
      </c>
      <c r="Z8">
        <v>1.7347730859999999</v>
      </c>
      <c r="AA8">
        <v>1.742857367</v>
      </c>
      <c r="AB8">
        <v>1.7471931439999999</v>
      </c>
      <c r="AC8">
        <v>1.7550726720000001</v>
      </c>
      <c r="AD8">
        <v>1.7581028409999999</v>
      </c>
      <c r="AE8">
        <v>1.7612031420000001</v>
      </c>
      <c r="AF8">
        <v>1.7640817529999999</v>
      </c>
      <c r="AG8">
        <v>1.7665967309999999</v>
      </c>
      <c r="AH8">
        <v>1.7701420050000001</v>
      </c>
      <c r="AI8">
        <v>1.770751604</v>
      </c>
      <c r="AJ8">
        <v>1.7704229220000001</v>
      </c>
      <c r="AK8">
        <v>1.76917339</v>
      </c>
      <c r="AL8">
        <v>1.767384292</v>
      </c>
      <c r="AM8">
        <v>1.7651701799999999</v>
      </c>
      <c r="AN8">
        <v>1.758135266</v>
      </c>
      <c r="AO8">
        <v>1.750783765</v>
      </c>
      <c r="AP8">
        <v>1.743042838</v>
      </c>
      <c r="AQ8">
        <v>1.7346196439999999</v>
      </c>
      <c r="AR8">
        <v>1.7274335080000001</v>
      </c>
      <c r="AS8">
        <v>1.7170440950000001</v>
      </c>
      <c r="AT8">
        <v>1.706517018</v>
      </c>
      <c r="AU8">
        <v>1.695800188</v>
      </c>
      <c r="AV8">
        <v>1.685028736</v>
      </c>
      <c r="AW8">
        <v>1.6748254010000001</v>
      </c>
    </row>
    <row r="9" spans="1:49" x14ac:dyDescent="0.25">
      <c r="B9" t="s">
        <v>109</v>
      </c>
      <c r="C9">
        <v>1.4643633957556199</v>
      </c>
      <c r="D9">
        <v>1.4878742237362399</v>
      </c>
      <c r="E9">
        <v>1.330192163</v>
      </c>
      <c r="F9">
        <v>1.2526395690000001</v>
      </c>
      <c r="G9">
        <v>1.169342468</v>
      </c>
      <c r="H9">
        <v>0.99007085080000001</v>
      </c>
      <c r="I9">
        <v>0.9420524482</v>
      </c>
      <c r="J9">
        <v>0.8941411642</v>
      </c>
      <c r="K9">
        <v>0.83120958590000005</v>
      </c>
      <c r="L9">
        <v>0.76062834820000003</v>
      </c>
      <c r="M9">
        <v>0.69471138020000001</v>
      </c>
      <c r="N9">
        <v>0.62436392860000001</v>
      </c>
      <c r="O9">
        <v>0.52290092769999996</v>
      </c>
      <c r="P9">
        <v>0.44359335370000003</v>
      </c>
      <c r="Q9">
        <v>0.42113423080000001</v>
      </c>
      <c r="R9">
        <v>0.41573188680000001</v>
      </c>
      <c r="S9">
        <v>0.40872975750000001</v>
      </c>
      <c r="T9">
        <v>0.41158454729999999</v>
      </c>
      <c r="U9">
        <v>0.41538693030000001</v>
      </c>
      <c r="V9">
        <v>0.42036440219999999</v>
      </c>
      <c r="W9">
        <v>0.41899276559999998</v>
      </c>
      <c r="X9">
        <v>0.4205196638</v>
      </c>
      <c r="Y9">
        <v>0.42360358799999998</v>
      </c>
      <c r="Z9">
        <v>0.42483833770000001</v>
      </c>
      <c r="AA9">
        <v>0.42681814280000002</v>
      </c>
      <c r="AB9">
        <v>0.42787995550000002</v>
      </c>
      <c r="AC9">
        <v>0.42980961750000002</v>
      </c>
      <c r="AD9">
        <v>0.43055169269999999</v>
      </c>
      <c r="AE9">
        <v>0.43131094269999998</v>
      </c>
      <c r="AF9">
        <v>0.43201590210000002</v>
      </c>
      <c r="AG9">
        <v>0.43263180909999999</v>
      </c>
      <c r="AH9">
        <v>0.43350003129999998</v>
      </c>
      <c r="AI9">
        <v>0.4336493193</v>
      </c>
      <c r="AJ9">
        <v>0.43356882660000001</v>
      </c>
      <c r="AK9">
        <v>0.43326282160000001</v>
      </c>
      <c r="AL9">
        <v>0.43282467930000001</v>
      </c>
      <c r="AM9">
        <v>0.43228245310000002</v>
      </c>
      <c r="AN9">
        <v>0.43055963339999997</v>
      </c>
      <c r="AO9">
        <v>0.42875928299999999</v>
      </c>
      <c r="AP9">
        <v>0.42686356390000002</v>
      </c>
      <c r="AQ9">
        <v>0.42480076049999999</v>
      </c>
      <c r="AR9">
        <v>0.42304090729999999</v>
      </c>
      <c r="AS9">
        <v>0.4204965853</v>
      </c>
      <c r="AT9">
        <v>0.41791855020000002</v>
      </c>
      <c r="AU9">
        <v>0.41529404549999999</v>
      </c>
      <c r="AV9">
        <v>0.4126561641</v>
      </c>
      <c r="AW9">
        <v>0.410157412</v>
      </c>
    </row>
    <row r="10" spans="1:49" x14ac:dyDescent="0.25">
      <c r="B10" t="s">
        <v>110</v>
      </c>
      <c r="C10">
        <v>0.29584764130791702</v>
      </c>
      <c r="D10" s="39">
        <v>0.300597570883747</v>
      </c>
      <c r="E10" s="39">
        <v>0.4232294553</v>
      </c>
      <c r="F10">
        <v>0.72906345500000003</v>
      </c>
      <c r="G10">
        <v>1.0164730289999999</v>
      </c>
      <c r="H10">
        <v>1.1669725209999999</v>
      </c>
      <c r="I10">
        <v>1.4199892300000001</v>
      </c>
      <c r="J10">
        <v>1.6540299350000001</v>
      </c>
      <c r="K10">
        <v>1.8263024320000001</v>
      </c>
      <c r="L10">
        <v>1.928056464</v>
      </c>
      <c r="M10">
        <v>1.9733636139999999</v>
      </c>
      <c r="N10">
        <v>1.9234799789999999</v>
      </c>
      <c r="O10">
        <v>2.0305865829999998</v>
      </c>
      <c r="P10">
        <v>2.223489533</v>
      </c>
      <c r="Q10">
        <v>2.4562860199999998</v>
      </c>
      <c r="R10">
        <v>2.6267787870000001</v>
      </c>
      <c r="S10">
        <v>2.78872103</v>
      </c>
      <c r="T10">
        <v>2.9399454719999998</v>
      </c>
      <c r="U10">
        <v>3.1009041530000001</v>
      </c>
      <c r="V10">
        <v>3.2743156550000001</v>
      </c>
      <c r="W10">
        <v>3.2636316600000002</v>
      </c>
      <c r="X10">
        <v>3.2755250239999998</v>
      </c>
      <c r="Y10">
        <v>3.2995464229999998</v>
      </c>
      <c r="Z10">
        <v>3.3091641749999998</v>
      </c>
      <c r="AA10">
        <v>3.3245853350000001</v>
      </c>
      <c r="AB10">
        <v>3.3328560399999998</v>
      </c>
      <c r="AC10">
        <v>3.347886623</v>
      </c>
      <c r="AD10">
        <v>3.3536668189999999</v>
      </c>
      <c r="AE10">
        <v>3.3595807940000002</v>
      </c>
      <c r="AF10">
        <v>3.365071886</v>
      </c>
      <c r="AG10">
        <v>3.3698693280000001</v>
      </c>
      <c r="AH10">
        <v>3.3766321110000002</v>
      </c>
      <c r="AI10">
        <v>3.3777949500000002</v>
      </c>
      <c r="AJ10">
        <v>3.3771679739999998</v>
      </c>
      <c r="AK10">
        <v>3.3747844300000001</v>
      </c>
      <c r="AL10">
        <v>3.3713716379999998</v>
      </c>
      <c r="AM10">
        <v>3.3671481120000002</v>
      </c>
      <c r="AN10">
        <v>3.3537286709999998</v>
      </c>
      <c r="AO10">
        <v>3.3397053250000002</v>
      </c>
      <c r="AP10">
        <v>3.3249391300000002</v>
      </c>
      <c r="AQ10">
        <v>3.3088714769999998</v>
      </c>
      <c r="AR10">
        <v>3.295163573</v>
      </c>
      <c r="AS10">
        <v>3.2753452599999999</v>
      </c>
      <c r="AT10">
        <v>3.2552643479999999</v>
      </c>
      <c r="AU10">
        <v>3.2348214729999998</v>
      </c>
      <c r="AV10">
        <v>3.2142744040000002</v>
      </c>
      <c r="AW10">
        <v>3.1948110449999998</v>
      </c>
    </row>
    <row r="11" spans="1:49" x14ac:dyDescent="0.25">
      <c r="B11" t="s">
        <v>111</v>
      </c>
      <c r="C11">
        <v>6.65657192942814E-2</v>
      </c>
      <c r="D11" s="39">
        <v>6.7634453448843099E-2</v>
      </c>
      <c r="E11" s="39">
        <v>0.4232294553</v>
      </c>
      <c r="F11" s="39">
        <v>0.4544564344</v>
      </c>
      <c r="G11" s="39">
        <v>0.48949182279999998</v>
      </c>
      <c r="H11" s="39">
        <v>0.4849201205</v>
      </c>
      <c r="I11">
        <v>0.54858377869999997</v>
      </c>
      <c r="J11">
        <v>0.6302100263</v>
      </c>
      <c r="K11">
        <v>0.72280353890000004</v>
      </c>
      <c r="L11">
        <v>0.83236345950000001</v>
      </c>
      <c r="M11">
        <v>0.97571858619999996</v>
      </c>
      <c r="N11">
        <v>1.1468601869999999</v>
      </c>
      <c r="O11">
        <v>1.1826919389999999</v>
      </c>
      <c r="P11">
        <v>1.268507512</v>
      </c>
      <c r="Q11">
        <v>1.375717855</v>
      </c>
      <c r="R11">
        <v>1.4470934419999999</v>
      </c>
      <c r="S11">
        <v>1.513586898</v>
      </c>
      <c r="T11">
        <v>1.5653226849999999</v>
      </c>
      <c r="U11">
        <v>1.621588917</v>
      </c>
      <c r="V11">
        <v>1.6835924870000001</v>
      </c>
      <c r="W11">
        <v>1.6780989740000001</v>
      </c>
      <c r="X11">
        <v>1.6842143220000001</v>
      </c>
      <c r="Y11">
        <v>1.696565681</v>
      </c>
      <c r="Z11">
        <v>1.7015109500000001</v>
      </c>
      <c r="AA11">
        <v>1.7094402259999999</v>
      </c>
      <c r="AB11">
        <v>1.713692869</v>
      </c>
      <c r="AC11">
        <v>1.7214213169999999</v>
      </c>
      <c r="AD11">
        <v>1.724393386</v>
      </c>
      <c r="AE11">
        <v>1.727434242</v>
      </c>
      <c r="AF11">
        <v>1.7302576599999999</v>
      </c>
      <c r="AG11">
        <v>1.7327244159999999</v>
      </c>
      <c r="AH11">
        <v>1.7362017139999999</v>
      </c>
      <c r="AI11">
        <v>1.7367996240000001</v>
      </c>
      <c r="AJ11">
        <v>1.7364772449999999</v>
      </c>
      <c r="AK11">
        <v>1.7352516710000001</v>
      </c>
      <c r="AL11">
        <v>1.733496876</v>
      </c>
      <c r="AM11">
        <v>1.7313252180000001</v>
      </c>
      <c r="AN11">
        <v>1.724425189</v>
      </c>
      <c r="AO11">
        <v>1.7172146450000001</v>
      </c>
      <c r="AP11">
        <v>1.70962214</v>
      </c>
      <c r="AQ11">
        <v>1.701360451</v>
      </c>
      <c r="AR11">
        <v>1.6943121000000001</v>
      </c>
      <c r="AS11">
        <v>1.6841218899999999</v>
      </c>
      <c r="AT11">
        <v>1.673796657</v>
      </c>
      <c r="AU11">
        <v>1.6632853089999999</v>
      </c>
      <c r="AV11">
        <v>1.652720387</v>
      </c>
      <c r="AW11">
        <v>1.642712688</v>
      </c>
    </row>
    <row r="12" spans="1:49" x14ac:dyDescent="0.25">
      <c r="B12" t="s">
        <v>112</v>
      </c>
      <c r="C12">
        <v>3.32767453113023</v>
      </c>
      <c r="D12" s="39">
        <v>3.3811014220943498</v>
      </c>
      <c r="E12">
        <v>3.0227787679999998</v>
      </c>
      <c r="F12" s="39">
        <v>2.9824322959999998</v>
      </c>
      <c r="G12" s="39">
        <v>2.917015111</v>
      </c>
      <c r="H12" s="39">
        <v>2.587710687</v>
      </c>
      <c r="I12">
        <v>2.5797464080000001</v>
      </c>
      <c r="J12">
        <v>2.5654320259999999</v>
      </c>
      <c r="K12">
        <v>2.498719205</v>
      </c>
      <c r="L12">
        <v>2.3956971039999999</v>
      </c>
      <c r="M12" s="39">
        <v>2.2925367310000002</v>
      </c>
      <c r="N12">
        <v>2.1587491660000002</v>
      </c>
      <c r="O12">
        <v>2.2969129530000001</v>
      </c>
      <c r="P12">
        <v>2.5321177600000002</v>
      </c>
      <c r="Q12">
        <v>2.813627672</v>
      </c>
      <c r="R12">
        <v>3.0243718560000001</v>
      </c>
      <c r="S12">
        <v>3.2253812549999998</v>
      </c>
      <c r="T12">
        <v>3.3928464909999998</v>
      </c>
      <c r="U12">
        <v>3.5713856050000001</v>
      </c>
      <c r="V12">
        <v>3.7640770090000002</v>
      </c>
      <c r="W12">
        <v>3.7517949370000001</v>
      </c>
      <c r="X12">
        <v>3.7654672709999999</v>
      </c>
      <c r="Y12">
        <v>3.7930817129999999</v>
      </c>
      <c r="Z12">
        <v>3.8041380550000001</v>
      </c>
      <c r="AA12">
        <v>3.8218658620000001</v>
      </c>
      <c r="AB12">
        <v>3.8313736719999998</v>
      </c>
      <c r="AC12">
        <v>3.8486524809999998</v>
      </c>
      <c r="AD12">
        <v>3.8552972589999999</v>
      </c>
      <c r="AE12">
        <v>3.862095826</v>
      </c>
      <c r="AF12">
        <v>3.8684082580000001</v>
      </c>
      <c r="AG12">
        <v>3.8739232860000001</v>
      </c>
      <c r="AH12">
        <v>3.8816976240000001</v>
      </c>
      <c r="AI12">
        <v>3.8830343960000002</v>
      </c>
      <c r="AJ12">
        <v>3.8823136389999999</v>
      </c>
      <c r="AK12">
        <v>3.879573572</v>
      </c>
      <c r="AL12">
        <v>3.8756503069999999</v>
      </c>
      <c r="AM12">
        <v>3.87079504</v>
      </c>
      <c r="AN12">
        <v>3.8553683630000002</v>
      </c>
      <c r="AO12">
        <v>3.8392474509999999</v>
      </c>
      <c r="AP12">
        <v>3.8222725770000001</v>
      </c>
      <c r="AQ12">
        <v>3.8038015770000002</v>
      </c>
      <c r="AR12">
        <v>3.7880432900000001</v>
      </c>
      <c r="AS12">
        <v>3.7652606190000002</v>
      </c>
      <c r="AT12">
        <v>3.7421760700000002</v>
      </c>
      <c r="AU12">
        <v>3.718675417</v>
      </c>
      <c r="AV12">
        <v>3.6950549850000001</v>
      </c>
      <c r="AW12">
        <v>3.6726803609999998</v>
      </c>
    </row>
    <row r="13" spans="1:49" x14ac:dyDescent="0.25">
      <c r="B13" t="s">
        <v>113</v>
      </c>
      <c r="C13">
        <v>0.21556468620722</v>
      </c>
      <c r="D13" s="39">
        <v>0.21902564697065</v>
      </c>
      <c r="E13" s="39">
        <v>0.4232294553</v>
      </c>
      <c r="F13" s="39">
        <v>0.45779440440000002</v>
      </c>
      <c r="G13" s="39">
        <v>0.49238382050000001</v>
      </c>
      <c r="H13" s="39">
        <v>0.4818142359</v>
      </c>
      <c r="I13" s="39">
        <v>0.53145189459999997</v>
      </c>
      <c r="J13" s="39">
        <v>0.58651268850000005</v>
      </c>
      <c r="K13" s="39">
        <v>0.63583792900000002</v>
      </c>
      <c r="L13" s="39">
        <v>0.68049251649999998</v>
      </c>
      <c r="M13">
        <v>0.72892471670000003</v>
      </c>
      <c r="N13">
        <v>0.77039352149999996</v>
      </c>
      <c r="O13">
        <v>0.71672118139999996</v>
      </c>
      <c r="P13">
        <v>0.69337556580000004</v>
      </c>
      <c r="Q13">
        <v>0.67776890199999995</v>
      </c>
      <c r="R13">
        <v>0.64173321940000005</v>
      </c>
      <c r="S13">
        <v>0.6030172452</v>
      </c>
      <c r="T13">
        <v>0.62670975200000001</v>
      </c>
      <c r="U13">
        <v>0.65228364260000005</v>
      </c>
      <c r="V13">
        <v>0.68024702199999998</v>
      </c>
      <c r="W13">
        <v>0.67802739619999997</v>
      </c>
      <c r="X13">
        <v>0.68049827129999996</v>
      </c>
      <c r="Y13">
        <v>0.68548877539999997</v>
      </c>
      <c r="Z13">
        <v>0.68748688650000001</v>
      </c>
      <c r="AA13">
        <v>0.69069066999999995</v>
      </c>
      <c r="AB13">
        <v>0.69240892899999995</v>
      </c>
      <c r="AC13">
        <v>0.69553156920000003</v>
      </c>
      <c r="AD13">
        <v>0.69673241890000004</v>
      </c>
      <c r="AE13">
        <v>0.69796106150000004</v>
      </c>
      <c r="AF13">
        <v>0.69910184909999995</v>
      </c>
      <c r="AG13">
        <v>0.70009852939999995</v>
      </c>
      <c r="AH13">
        <v>0.70150351399999999</v>
      </c>
      <c r="AI13">
        <v>0.70174509659999995</v>
      </c>
      <c r="AJ13">
        <v>0.70161484080000003</v>
      </c>
      <c r="AK13">
        <v>0.70111965379999996</v>
      </c>
      <c r="AL13">
        <v>0.70041063800000003</v>
      </c>
      <c r="AM13">
        <v>0.69953319030000005</v>
      </c>
      <c r="AN13">
        <v>0.69674526879999998</v>
      </c>
      <c r="AO13">
        <v>0.69383188470000001</v>
      </c>
      <c r="AP13">
        <v>0.69076417180000005</v>
      </c>
      <c r="AQ13">
        <v>0.68742607789999999</v>
      </c>
      <c r="AR13">
        <v>0.68457822749999997</v>
      </c>
      <c r="AS13">
        <v>0.68046092489999999</v>
      </c>
      <c r="AT13">
        <v>0.6762890667</v>
      </c>
      <c r="AU13">
        <v>0.67204200979999995</v>
      </c>
      <c r="AV13">
        <v>0.66777330639999999</v>
      </c>
      <c r="AW13">
        <v>0.66372974630000003</v>
      </c>
    </row>
    <row r="14" spans="1:49" x14ac:dyDescent="0.25">
      <c r="B14" t="s">
        <v>114</v>
      </c>
      <c r="C14">
        <v>35.839918454870201</v>
      </c>
      <c r="D14" s="39">
        <v>36.415339938413297</v>
      </c>
      <c r="E14">
        <v>33.390186370000002</v>
      </c>
      <c r="F14">
        <v>34.27675412</v>
      </c>
      <c r="G14">
        <v>34.87954774</v>
      </c>
      <c r="H14">
        <v>32.191274980000003</v>
      </c>
      <c r="I14">
        <v>33.387024140000001</v>
      </c>
      <c r="J14">
        <v>34.540456110000001</v>
      </c>
      <c r="K14">
        <v>34.997831779999999</v>
      </c>
      <c r="L14">
        <v>34.906121300000002</v>
      </c>
      <c r="M14">
        <v>34.747409490000003</v>
      </c>
      <c r="N14">
        <v>34.03578237</v>
      </c>
      <c r="O14">
        <v>32.761197410000001</v>
      </c>
      <c r="P14">
        <v>32.87227695</v>
      </c>
      <c r="Q14">
        <v>33.474346869999998</v>
      </c>
      <c r="R14">
        <v>33.153381299999999</v>
      </c>
      <c r="S14">
        <v>32.705673849999997</v>
      </c>
      <c r="T14">
        <v>32.942478399999999</v>
      </c>
      <c r="U14">
        <v>33.255315019999998</v>
      </c>
      <c r="V14">
        <v>33.662461499999999</v>
      </c>
      <c r="W14">
        <v>33.552621889999998</v>
      </c>
      <c r="X14">
        <v>33.674894739999999</v>
      </c>
      <c r="Y14">
        <v>33.921853040000002</v>
      </c>
      <c r="Z14">
        <v>34.02073086</v>
      </c>
      <c r="AA14">
        <v>34.179272140000002</v>
      </c>
      <c r="AB14">
        <v>34.2643013</v>
      </c>
      <c r="AC14">
        <v>34.418827149999998</v>
      </c>
      <c r="AD14">
        <v>34.478251970000002</v>
      </c>
      <c r="AE14">
        <v>34.539052140000003</v>
      </c>
      <c r="AF14">
        <v>34.595504750000003</v>
      </c>
      <c r="AG14">
        <v>34.644826119999998</v>
      </c>
      <c r="AH14">
        <v>34.714352679999998</v>
      </c>
      <c r="AI14">
        <v>34.726307560000002</v>
      </c>
      <c r="AJ14">
        <v>34.719861760000001</v>
      </c>
      <c r="AK14">
        <v>34.695357110000003</v>
      </c>
      <c r="AL14">
        <v>34.660271010000002</v>
      </c>
      <c r="AM14">
        <v>34.616849950000002</v>
      </c>
      <c r="AN14">
        <v>34.47888786</v>
      </c>
      <c r="AO14">
        <v>34.334717169999998</v>
      </c>
      <c r="AP14">
        <v>34.182909420000001</v>
      </c>
      <c r="AQ14">
        <v>34.017721700000003</v>
      </c>
      <c r="AR14">
        <v>33.876793990000003</v>
      </c>
      <c r="AS14">
        <v>33.673046630000002</v>
      </c>
      <c r="AT14">
        <v>33.466599539999997</v>
      </c>
      <c r="AU14">
        <v>33.256431190000001</v>
      </c>
      <c r="AV14">
        <v>33.04519166</v>
      </c>
      <c r="AW14">
        <v>32.845093489999996</v>
      </c>
    </row>
    <row r="15" spans="1:49" x14ac:dyDescent="0.25">
      <c r="B15" t="s">
        <v>115</v>
      </c>
      <c r="C15">
        <v>36.006525643363197</v>
      </c>
      <c r="D15" s="39">
        <v>36.584622059208101</v>
      </c>
      <c r="E15" s="39">
        <v>32.766873199999999</v>
      </c>
      <c r="F15" s="39">
        <v>33.612310770000001</v>
      </c>
      <c r="G15" s="39">
        <v>33.2943712</v>
      </c>
      <c r="H15" s="39">
        <v>32.463734539999997</v>
      </c>
      <c r="I15" s="39">
        <v>33.736998100000001</v>
      </c>
      <c r="J15" s="39">
        <v>34.216574790000003</v>
      </c>
      <c r="K15" s="39">
        <v>33.497859259999998</v>
      </c>
      <c r="L15" s="39">
        <v>33.349717290000001</v>
      </c>
      <c r="M15">
        <v>33.997879419999997</v>
      </c>
      <c r="N15">
        <v>35.134966349999999</v>
      </c>
      <c r="O15">
        <v>35.960571850000001</v>
      </c>
      <c r="P15" s="39">
        <v>36.216565199999998</v>
      </c>
      <c r="Q15">
        <v>34.982173889999999</v>
      </c>
      <c r="R15">
        <v>34.23497107</v>
      </c>
      <c r="S15">
        <v>33.714567129999999</v>
      </c>
      <c r="T15">
        <v>33.459401909999997</v>
      </c>
      <c r="U15">
        <v>33.424224469999999</v>
      </c>
      <c r="V15">
        <v>33.493442080000001</v>
      </c>
      <c r="W15">
        <v>34.14174311</v>
      </c>
      <c r="X15">
        <v>34.565941960000004</v>
      </c>
      <c r="Y15">
        <v>34.978281959999997</v>
      </c>
      <c r="Z15">
        <v>35.477326689999998</v>
      </c>
      <c r="AA15">
        <v>35.77931779</v>
      </c>
      <c r="AB15">
        <v>36.07792019</v>
      </c>
      <c r="AC15">
        <v>36.349840780000001</v>
      </c>
      <c r="AD15">
        <v>36.684580830000002</v>
      </c>
      <c r="AE15">
        <v>36.94744601</v>
      </c>
      <c r="AF15">
        <v>37.223808310000003</v>
      </c>
      <c r="AG15">
        <v>37.45155887</v>
      </c>
      <c r="AH15">
        <v>37.66514257</v>
      </c>
      <c r="AI15">
        <v>37.815689089999999</v>
      </c>
      <c r="AJ15">
        <v>37.968878850000003</v>
      </c>
      <c r="AK15">
        <v>38.11370934</v>
      </c>
      <c r="AL15">
        <v>38.259799289999997</v>
      </c>
      <c r="AM15">
        <v>38.409411679999998</v>
      </c>
      <c r="AN15">
        <v>38.396255859999997</v>
      </c>
      <c r="AO15">
        <v>38.398004739999998</v>
      </c>
      <c r="AP15">
        <v>38.39405593</v>
      </c>
      <c r="AQ15">
        <v>38.401227310000003</v>
      </c>
      <c r="AR15">
        <v>38.392826759999998</v>
      </c>
      <c r="AS15">
        <v>38.411529539999997</v>
      </c>
      <c r="AT15">
        <v>38.436164869999999</v>
      </c>
      <c r="AU15">
        <v>38.460171840000001</v>
      </c>
      <c r="AV15">
        <v>38.485957239999998</v>
      </c>
      <c r="AW15">
        <v>38.526735260000002</v>
      </c>
    </row>
    <row r="16" spans="1:49" x14ac:dyDescent="0.25">
      <c r="B16" t="s">
        <v>116</v>
      </c>
      <c r="C16">
        <v>33.108335480742298</v>
      </c>
      <c r="D16">
        <v>33.639900516080203</v>
      </c>
      <c r="E16">
        <v>29.611875959999999</v>
      </c>
      <c r="F16">
        <v>29.45438777</v>
      </c>
      <c r="G16">
        <v>28.291245450000002</v>
      </c>
      <c r="H16">
        <v>26.749625160000001</v>
      </c>
      <c r="I16">
        <v>26.95699406</v>
      </c>
      <c r="J16">
        <v>26.51274562</v>
      </c>
      <c r="K16">
        <v>25.170697759999999</v>
      </c>
      <c r="L16">
        <v>24.296841919999999</v>
      </c>
      <c r="M16">
        <v>24.011228979999999</v>
      </c>
      <c r="N16">
        <v>24.05569758</v>
      </c>
      <c r="O16">
        <v>24.514166469999999</v>
      </c>
      <c r="P16">
        <v>24.58131436</v>
      </c>
      <c r="Q16">
        <v>23.639978169999999</v>
      </c>
      <c r="R16">
        <v>23.033915830000002</v>
      </c>
      <c r="S16">
        <v>22.584370639999999</v>
      </c>
      <c r="T16">
        <v>21.506803999999999</v>
      </c>
      <c r="U16">
        <v>20.55686051</v>
      </c>
      <c r="V16">
        <v>19.647700279999999</v>
      </c>
      <c r="W16">
        <v>19.573973970000001</v>
      </c>
      <c r="X16">
        <v>19.366268739999999</v>
      </c>
      <c r="Y16">
        <v>19.146647810000001</v>
      </c>
      <c r="Z16">
        <v>18.96805827</v>
      </c>
      <c r="AA16">
        <v>18.680234120000001</v>
      </c>
      <c r="AB16">
        <v>18.38692021</v>
      </c>
      <c r="AC16">
        <v>18.076619359999999</v>
      </c>
      <c r="AD16">
        <v>17.793424559999998</v>
      </c>
      <c r="AE16">
        <v>17.472078270000001</v>
      </c>
      <c r="AF16">
        <v>17.153725900000001</v>
      </c>
      <c r="AG16">
        <v>16.810220489999999</v>
      </c>
      <c r="AH16">
        <v>16.457797110000001</v>
      </c>
      <c r="AI16">
        <v>16.076051320000001</v>
      </c>
      <c r="AJ16">
        <v>15.69366698</v>
      </c>
      <c r="AK16">
        <v>15.30618965</v>
      </c>
      <c r="AL16">
        <v>14.91758519</v>
      </c>
      <c r="AM16">
        <v>14.52870089</v>
      </c>
      <c r="AN16">
        <v>14.078498059999999</v>
      </c>
      <c r="AO16">
        <v>13.633991630000001</v>
      </c>
      <c r="AP16">
        <v>13.18777663</v>
      </c>
      <c r="AQ16">
        <v>12.74557212</v>
      </c>
      <c r="AR16">
        <v>12.298567159999999</v>
      </c>
      <c r="AS16">
        <v>11.860311039999999</v>
      </c>
      <c r="AT16">
        <v>11.42387003</v>
      </c>
      <c r="AU16">
        <v>10.98723893</v>
      </c>
      <c r="AV16">
        <v>10.551101689999999</v>
      </c>
      <c r="AW16">
        <v>10.11889774</v>
      </c>
    </row>
    <row r="17" spans="2:49" x14ac:dyDescent="0.25">
      <c r="B17" t="s">
        <v>117</v>
      </c>
      <c r="C17">
        <v>1.54983431156195</v>
      </c>
      <c r="D17">
        <v>1.57471740274219</v>
      </c>
      <c r="E17">
        <v>1.3861615430000001</v>
      </c>
      <c r="F17" s="39">
        <v>2.2617018280000001</v>
      </c>
      <c r="G17" s="39">
        <v>3.0163235180000001</v>
      </c>
      <c r="H17" s="39">
        <v>3.6369272910000001</v>
      </c>
      <c r="I17">
        <v>4.4307721170000001</v>
      </c>
      <c r="J17">
        <v>5.0695969349999999</v>
      </c>
      <c r="K17">
        <v>5.42917703</v>
      </c>
      <c r="L17">
        <v>5.7516384809999996</v>
      </c>
      <c r="M17">
        <v>6.0716003629999999</v>
      </c>
      <c r="N17">
        <v>6.3077829899999998</v>
      </c>
      <c r="O17">
        <v>6.5301359090000002</v>
      </c>
      <c r="P17">
        <v>6.6511476280000004</v>
      </c>
      <c r="Q17">
        <v>6.4963086729999997</v>
      </c>
      <c r="R17">
        <v>6.4277458059999999</v>
      </c>
      <c r="S17">
        <v>6.3990423270000001</v>
      </c>
      <c r="T17">
        <v>6.5185723820000003</v>
      </c>
      <c r="U17">
        <v>6.6835131939999997</v>
      </c>
      <c r="V17">
        <v>6.87366806</v>
      </c>
      <c r="W17">
        <v>7.3447362050000002</v>
      </c>
      <c r="X17">
        <v>7.771687461</v>
      </c>
      <c r="Y17">
        <v>8.199897043</v>
      </c>
      <c r="Z17">
        <v>8.6532194750000002</v>
      </c>
      <c r="AA17">
        <v>9.0613669819999902</v>
      </c>
      <c r="AB17">
        <v>9.4714261860000004</v>
      </c>
      <c r="AC17">
        <v>9.8770035529999998</v>
      </c>
      <c r="AD17">
        <v>10.30272785</v>
      </c>
      <c r="AE17">
        <v>10.71071532</v>
      </c>
      <c r="AF17">
        <v>11.12513837</v>
      </c>
      <c r="AG17">
        <v>11.527081190000001</v>
      </c>
      <c r="AH17">
        <v>11.926568899999999</v>
      </c>
      <c r="AI17">
        <v>12.30741997</v>
      </c>
      <c r="AJ17">
        <v>12.690443289999999</v>
      </c>
      <c r="AK17">
        <v>13.071892030000001</v>
      </c>
      <c r="AL17">
        <v>13.45498843</v>
      </c>
      <c r="AM17">
        <v>13.84055442</v>
      </c>
      <c r="AN17">
        <v>14.16728193</v>
      </c>
      <c r="AO17">
        <v>14.49933665</v>
      </c>
      <c r="AP17">
        <v>14.82900573</v>
      </c>
      <c r="AQ17">
        <v>15.162827679999999</v>
      </c>
      <c r="AR17">
        <v>15.49022707</v>
      </c>
      <c r="AS17">
        <v>15.828512099999999</v>
      </c>
      <c r="AT17">
        <v>16.169254209999998</v>
      </c>
      <c r="AU17">
        <v>16.509734460000001</v>
      </c>
      <c r="AV17">
        <v>16.850988709999999</v>
      </c>
      <c r="AW17">
        <v>17.19893922</v>
      </c>
    </row>
    <row r="18" spans="2:49" x14ac:dyDescent="0.25">
      <c r="B18" t="s">
        <v>118</v>
      </c>
      <c r="C18">
        <v>0.19372928894524399</v>
      </c>
      <c r="D18">
        <v>0.196839675342774</v>
      </c>
      <c r="E18">
        <v>0.41865197459999998</v>
      </c>
      <c r="F18">
        <v>0.42930691970000001</v>
      </c>
      <c r="G18">
        <v>0.42510931480000003</v>
      </c>
      <c r="H18">
        <v>0.41437822089999998</v>
      </c>
      <c r="I18">
        <v>0.43050812249999998</v>
      </c>
      <c r="J18">
        <v>0.43651106589999999</v>
      </c>
      <c r="K18">
        <v>0.42723465579999997</v>
      </c>
      <c r="L18">
        <v>0.4251593293</v>
      </c>
      <c r="M18">
        <v>0.43315859919999999</v>
      </c>
      <c r="N18">
        <v>0.44738474630000002</v>
      </c>
      <c r="O18">
        <v>0.51267342999999999</v>
      </c>
      <c r="P18">
        <v>0.57138981430000002</v>
      </c>
      <c r="Q18">
        <v>0.60500923470000001</v>
      </c>
      <c r="R18">
        <v>0.64395370789999995</v>
      </c>
      <c r="S18">
        <v>0.68515223270000003</v>
      </c>
      <c r="T18">
        <v>0.87824339659999995</v>
      </c>
      <c r="U18">
        <v>1.0801222100000001</v>
      </c>
      <c r="V18">
        <v>1.290497016</v>
      </c>
      <c r="W18">
        <v>1.3663765240000001</v>
      </c>
      <c r="X18">
        <v>1.4339036540000001</v>
      </c>
      <c r="Y18">
        <v>1.501529828</v>
      </c>
      <c r="Z18">
        <v>1.573598837</v>
      </c>
      <c r="AA18">
        <v>1.6373624250000001</v>
      </c>
      <c r="AB18">
        <v>1.701388041</v>
      </c>
      <c r="AC18">
        <v>1.7645352780000001</v>
      </c>
      <c r="AD18">
        <v>1.831195406</v>
      </c>
      <c r="AE18">
        <v>1.894636507</v>
      </c>
      <c r="AF18">
        <v>1.9591496370000001</v>
      </c>
      <c r="AG18">
        <v>2.0214127140000002</v>
      </c>
      <c r="AH18">
        <v>2.0831980510000001</v>
      </c>
      <c r="AI18">
        <v>2.1416962640000001</v>
      </c>
      <c r="AJ18">
        <v>2.2005417409999999</v>
      </c>
      <c r="AK18">
        <v>2.259086361</v>
      </c>
      <c r="AL18">
        <v>2.3178886969999999</v>
      </c>
      <c r="AM18">
        <v>2.3770897770000001</v>
      </c>
      <c r="AN18">
        <v>2.4261893969999999</v>
      </c>
      <c r="AO18">
        <v>2.4762048760000002</v>
      </c>
      <c r="AP18">
        <v>2.5258176649999999</v>
      </c>
      <c r="AQ18">
        <v>2.5761406149999999</v>
      </c>
      <c r="AR18">
        <v>2.6253776740000001</v>
      </c>
      <c r="AS18" s="39">
        <v>2.6764606340000001</v>
      </c>
      <c r="AT18">
        <v>2.7279588370000001</v>
      </c>
      <c r="AU18">
        <v>2.7794128150000001</v>
      </c>
      <c r="AV18">
        <v>2.830996909</v>
      </c>
      <c r="AW18">
        <v>2.883703691</v>
      </c>
    </row>
    <row r="19" spans="2:49" x14ac:dyDescent="0.25">
      <c r="B19" t="s">
        <v>119</v>
      </c>
      <c r="C19">
        <v>0.57343869527792402</v>
      </c>
      <c r="D19" s="39">
        <v>0.58264543901461296</v>
      </c>
      <c r="E19" s="39">
        <v>0.51287977090000003</v>
      </c>
      <c r="F19">
        <v>0.50974501719999998</v>
      </c>
      <c r="G19">
        <v>0.48922472350000001</v>
      </c>
      <c r="H19">
        <v>0.46219726519999998</v>
      </c>
      <c r="I19">
        <v>0.46540867540000003</v>
      </c>
      <c r="J19">
        <v>0.45737356219999997</v>
      </c>
      <c r="K19">
        <v>0.43387532099999998</v>
      </c>
      <c r="L19">
        <v>0.4251593293</v>
      </c>
      <c r="M19">
        <v>0.43315859919999999</v>
      </c>
      <c r="N19">
        <v>0.44738474630000002</v>
      </c>
      <c r="O19">
        <v>0.63759773730000002</v>
      </c>
      <c r="P19">
        <v>0.82279098370000003</v>
      </c>
      <c r="Q19">
        <v>0.96893107180000004</v>
      </c>
      <c r="R19">
        <v>1.1183927300000001</v>
      </c>
      <c r="S19">
        <v>1.268662854</v>
      </c>
      <c r="T19">
        <v>1.310166634</v>
      </c>
      <c r="U19">
        <v>1.3610611560000001</v>
      </c>
      <c r="V19">
        <v>1.417527022</v>
      </c>
      <c r="W19">
        <v>1.46081127</v>
      </c>
      <c r="X19">
        <v>1.494698818</v>
      </c>
      <c r="Y19">
        <v>1.528257553</v>
      </c>
      <c r="Z19">
        <v>1.5658289649999999</v>
      </c>
      <c r="AA19">
        <v>1.594838604</v>
      </c>
      <c r="AB19">
        <v>1.623827049</v>
      </c>
      <c r="AC19">
        <v>1.6517328469999999</v>
      </c>
      <c r="AD19">
        <v>1.6826374319999999</v>
      </c>
      <c r="AE19">
        <v>1.71036009</v>
      </c>
      <c r="AF19">
        <v>1.7388258270000001</v>
      </c>
      <c r="AG19">
        <v>1.7651168070000001</v>
      </c>
      <c r="AH19">
        <v>1.790829413</v>
      </c>
      <c r="AI19">
        <v>1.813606915</v>
      </c>
      <c r="AJ19">
        <v>1.836572691</v>
      </c>
      <c r="AK19">
        <v>1.8591912880000001</v>
      </c>
      <c r="AL19">
        <v>1.8819283149999999</v>
      </c>
      <c r="AM19">
        <v>1.9048963059999999</v>
      </c>
      <c r="AN19">
        <v>1.9197831599999999</v>
      </c>
      <c r="AO19">
        <v>1.935407162</v>
      </c>
      <c r="AP19">
        <v>1.9507330009999999</v>
      </c>
      <c r="AQ19">
        <v>1.9666171750000001</v>
      </c>
      <c r="AR19">
        <v>1.9816910320000001</v>
      </c>
      <c r="AS19">
        <v>1.998161531</v>
      </c>
      <c r="AT19">
        <v>2.0149412230000001</v>
      </c>
      <c r="AU19">
        <v>2.0316880899999998</v>
      </c>
      <c r="AV19">
        <v>2.0485294000000001</v>
      </c>
      <c r="AW19">
        <v>2.0661749139999999</v>
      </c>
    </row>
    <row r="20" spans="2:49" x14ac:dyDescent="0.25">
      <c r="B20" t="s">
        <v>120</v>
      </c>
      <c r="C20">
        <v>0.19372928894524399</v>
      </c>
      <c r="D20" s="39">
        <v>0.196839675342774</v>
      </c>
      <c r="E20">
        <v>0.41865197459999998</v>
      </c>
      <c r="F20" s="39">
        <v>0.42930691970000001</v>
      </c>
      <c r="G20">
        <v>0.42510931480000003</v>
      </c>
      <c r="H20" s="39">
        <v>0.41437822089999998</v>
      </c>
      <c r="I20" s="39">
        <v>0.43050812249999998</v>
      </c>
      <c r="J20" s="39">
        <v>0.43651106589999999</v>
      </c>
      <c r="K20" s="39">
        <v>0.42723465579999997</v>
      </c>
      <c r="L20" s="39">
        <v>0.4251593293</v>
      </c>
      <c r="M20">
        <v>0.43315859919999999</v>
      </c>
      <c r="N20">
        <v>0.44738474630000002</v>
      </c>
      <c r="O20">
        <v>0.48716004670000002</v>
      </c>
      <c r="P20">
        <v>0.52004596830000005</v>
      </c>
      <c r="Q20">
        <v>0.53068521000000002</v>
      </c>
      <c r="R20">
        <v>0.5470586771</v>
      </c>
      <c r="S20">
        <v>0.56598142890000003</v>
      </c>
      <c r="T20">
        <v>0.62057937839999999</v>
      </c>
      <c r="U20">
        <v>0.68015237289999997</v>
      </c>
      <c r="V20">
        <v>0.74337089469999995</v>
      </c>
      <c r="W20">
        <v>0.80016341160000004</v>
      </c>
      <c r="X20">
        <v>0.85221721669999995</v>
      </c>
      <c r="Y20">
        <v>0.90447097750000005</v>
      </c>
      <c r="Z20">
        <v>0.95956724780000002</v>
      </c>
      <c r="AA20">
        <v>1.0096960479999999</v>
      </c>
      <c r="AB20">
        <v>1.060076697</v>
      </c>
      <c r="AC20">
        <v>1.1099898399999999</v>
      </c>
      <c r="AD20">
        <v>1.1622073310000001</v>
      </c>
      <c r="AE20">
        <v>1.212454964</v>
      </c>
      <c r="AF20">
        <v>1.2634620029999999</v>
      </c>
      <c r="AG20">
        <v>1.3130760180000001</v>
      </c>
      <c r="AH20">
        <v>1.362432343</v>
      </c>
      <c r="AI20">
        <v>1.4096745550000001</v>
      </c>
      <c r="AJ20">
        <v>1.457179885</v>
      </c>
      <c r="AK20">
        <v>1.504517366</v>
      </c>
      <c r="AL20">
        <v>1.55205707</v>
      </c>
      <c r="AM20">
        <v>1.599894071</v>
      </c>
      <c r="AN20">
        <v>1.640927826</v>
      </c>
      <c r="AO20">
        <v>1.682576947</v>
      </c>
      <c r="AP20">
        <v>1.723947025</v>
      </c>
      <c r="AQ20">
        <v>1.765798588</v>
      </c>
      <c r="AR20">
        <v>1.806899746</v>
      </c>
      <c r="AS20">
        <v>1.84927025</v>
      </c>
      <c r="AT20">
        <v>1.891927927</v>
      </c>
      <c r="AU20">
        <v>1.9345549849999999</v>
      </c>
      <c r="AV20">
        <v>1.977272825</v>
      </c>
      <c r="AW20">
        <v>2.020777464</v>
      </c>
    </row>
    <row r="21" spans="2:49" x14ac:dyDescent="0.25">
      <c r="B21" t="s">
        <v>121</v>
      </c>
      <c r="C21">
        <v>0.38745857789048899</v>
      </c>
      <c r="D21" s="39">
        <v>0.39367935068554899</v>
      </c>
      <c r="E21" s="39">
        <v>0.41865197459999998</v>
      </c>
      <c r="F21" s="39">
        <v>0.52786231279999996</v>
      </c>
      <c r="G21" s="39">
        <v>0.64735887719999996</v>
      </c>
      <c r="H21">
        <v>0.78622837940000001</v>
      </c>
      <c r="I21">
        <v>1.022807003</v>
      </c>
      <c r="J21">
        <v>1.3038365439999999</v>
      </c>
      <c r="K21" s="39">
        <v>1.6096398380000001</v>
      </c>
      <c r="L21" s="39">
        <v>2.0257588979999999</v>
      </c>
      <c r="M21">
        <v>2.6155742829999999</v>
      </c>
      <c r="N21">
        <v>3.4293315390000001</v>
      </c>
      <c r="O21">
        <v>3.2788382550000001</v>
      </c>
      <c r="P21">
        <v>3.0698764459999999</v>
      </c>
      <c r="Q21">
        <v>2.7412615329999999</v>
      </c>
      <c r="R21">
        <v>2.4639043190000001</v>
      </c>
      <c r="S21">
        <v>2.2113576429999999</v>
      </c>
      <c r="T21">
        <v>2.6250361139999998</v>
      </c>
      <c r="U21">
        <v>3.0625150219999999</v>
      </c>
      <c r="V21">
        <v>3.520678808</v>
      </c>
      <c r="W21">
        <v>3.5956817320000001</v>
      </c>
      <c r="X21">
        <v>3.6471660689999998</v>
      </c>
      <c r="Y21">
        <v>3.697478748</v>
      </c>
      <c r="Z21">
        <v>3.7570538930000001</v>
      </c>
      <c r="AA21">
        <v>3.795819614</v>
      </c>
      <c r="AB21">
        <v>3.8342820130000002</v>
      </c>
      <c r="AC21">
        <v>3.8699599029999998</v>
      </c>
      <c r="AD21">
        <v>3.912388247</v>
      </c>
      <c r="AE21">
        <v>3.9472008550000002</v>
      </c>
      <c r="AF21">
        <v>3.9835065740000002</v>
      </c>
      <c r="AG21">
        <v>4.0146516569999999</v>
      </c>
      <c r="AH21">
        <v>4.0443167579999999</v>
      </c>
      <c r="AI21">
        <v>4.0672400590000004</v>
      </c>
      <c r="AJ21">
        <v>4.0904742650000001</v>
      </c>
      <c r="AK21">
        <v>4.1128326409999998</v>
      </c>
      <c r="AL21">
        <v>4.1353515850000004</v>
      </c>
      <c r="AM21">
        <v>4.1582762210000004</v>
      </c>
      <c r="AN21">
        <v>4.163575486</v>
      </c>
      <c r="AO21">
        <v>4.1704874759999999</v>
      </c>
      <c r="AP21">
        <v>4.1767758800000001</v>
      </c>
      <c r="AQ21">
        <v>4.1842711330000002</v>
      </c>
      <c r="AR21">
        <v>4.1900640830000002</v>
      </c>
      <c r="AS21">
        <v>4.1988139919999998</v>
      </c>
      <c r="AT21">
        <v>4.2082126469999999</v>
      </c>
      <c r="AU21">
        <v>4.2175425559999997</v>
      </c>
      <c r="AV21">
        <v>4.2270677030000003</v>
      </c>
      <c r="AW21">
        <v>4.2382422210000001</v>
      </c>
    </row>
    <row r="22" spans="2:49" x14ac:dyDescent="0.25">
      <c r="B22" t="s">
        <v>122</v>
      </c>
      <c r="C22">
        <v>5.5705789795526002</v>
      </c>
      <c r="D22" s="39">
        <v>5.6600164269241402</v>
      </c>
      <c r="E22">
        <v>4.7606703819999998</v>
      </c>
      <c r="F22">
        <v>4.8013044579999997</v>
      </c>
      <c r="G22">
        <v>4.0003632610000004</v>
      </c>
      <c r="H22">
        <v>3.5072477809999998</v>
      </c>
      <c r="I22">
        <v>3.4836958779999998</v>
      </c>
      <c r="J22">
        <v>3.3331722269999999</v>
      </c>
      <c r="K22">
        <v>3.2187509410000001</v>
      </c>
      <c r="L22">
        <v>3.4374174150000001</v>
      </c>
      <c r="M22">
        <v>3.5288717809999999</v>
      </c>
      <c r="N22">
        <v>3.5910665370000001</v>
      </c>
      <c r="O22">
        <v>2.8329629700000001</v>
      </c>
      <c r="P22">
        <v>2.3860619719999998</v>
      </c>
      <c r="Q22">
        <v>2.0990921760000001</v>
      </c>
      <c r="R22">
        <v>1.912048771</v>
      </c>
      <c r="S22">
        <v>1.739122941</v>
      </c>
      <c r="T22">
        <v>1.7062631690000001</v>
      </c>
      <c r="U22">
        <v>1.6854159989999999</v>
      </c>
      <c r="V22">
        <v>1.678433906</v>
      </c>
      <c r="W22">
        <v>1.417231149</v>
      </c>
      <c r="X22">
        <v>1.192215252</v>
      </c>
      <c r="Y22">
        <v>1.036351628</v>
      </c>
      <c r="Z22">
        <v>0.91412237060000001</v>
      </c>
      <c r="AA22">
        <v>0.81167607639999995</v>
      </c>
      <c r="AB22">
        <v>0.7259541706</v>
      </c>
      <c r="AC22">
        <v>0.65272240459999997</v>
      </c>
      <c r="AD22">
        <v>0.59693578729999996</v>
      </c>
      <c r="AE22">
        <v>0.54829294790000005</v>
      </c>
      <c r="AF22">
        <v>0.50656557260000001</v>
      </c>
      <c r="AG22">
        <v>0.47073425200000002</v>
      </c>
      <c r="AH22">
        <v>0.43935486210000002</v>
      </c>
      <c r="AI22">
        <v>0.41291616450000002</v>
      </c>
      <c r="AJ22">
        <v>0.38941077750000003</v>
      </c>
      <c r="AK22">
        <v>0.36856967039999999</v>
      </c>
      <c r="AL22">
        <v>0.35008981630000002</v>
      </c>
      <c r="AM22">
        <v>0.3335909058</v>
      </c>
      <c r="AN22">
        <v>0.31521271760000003</v>
      </c>
      <c r="AO22">
        <v>0.29809677309999999</v>
      </c>
      <c r="AP22">
        <v>0.28214175479999998</v>
      </c>
      <c r="AQ22">
        <v>0.26742166029999997</v>
      </c>
      <c r="AR22">
        <v>0.25346858919999998</v>
      </c>
      <c r="AS22">
        <v>0.2425731582</v>
      </c>
      <c r="AT22">
        <v>0.23267316260000001</v>
      </c>
      <c r="AU22">
        <v>0.22353388660000001</v>
      </c>
      <c r="AV22">
        <v>0.21507012489999999</v>
      </c>
      <c r="AW22">
        <v>0.20732549820000001</v>
      </c>
    </row>
    <row r="23" spans="2:49" x14ac:dyDescent="0.25">
      <c r="B23" t="s">
        <v>123</v>
      </c>
      <c r="C23">
        <v>155.572754408756</v>
      </c>
      <c r="D23" s="39">
        <v>158.07052530222199</v>
      </c>
      <c r="E23" s="39">
        <v>138.4692201</v>
      </c>
      <c r="F23" s="39">
        <v>141.3797845</v>
      </c>
      <c r="G23">
        <v>137.89969450000001</v>
      </c>
      <c r="H23">
        <v>132.16687089999999</v>
      </c>
      <c r="I23">
        <v>133.9949086</v>
      </c>
      <c r="J23">
        <v>134.02107029999999</v>
      </c>
      <c r="K23">
        <v>131.90535</v>
      </c>
      <c r="L23">
        <v>130.77231639999999</v>
      </c>
      <c r="M23">
        <v>131.47420650000001</v>
      </c>
      <c r="N23">
        <v>132.68891289999999</v>
      </c>
      <c r="O23">
        <v>130.4450243</v>
      </c>
      <c r="P23">
        <v>128.80493469999999</v>
      </c>
      <c r="Q23">
        <v>125.6016942</v>
      </c>
      <c r="R23">
        <v>122.9452375</v>
      </c>
      <c r="S23">
        <v>120.52436160000001</v>
      </c>
      <c r="T23">
        <v>120.4568551</v>
      </c>
      <c r="U23">
        <v>120.55785760000001</v>
      </c>
      <c r="V23">
        <v>120.9731512</v>
      </c>
      <c r="W23">
        <v>120.47114329999999</v>
      </c>
      <c r="X23">
        <v>119.6320977</v>
      </c>
      <c r="Y23">
        <v>119.26054809999999</v>
      </c>
      <c r="Z23">
        <v>119.09352560000001</v>
      </c>
      <c r="AA23">
        <v>118.79821099999999</v>
      </c>
      <c r="AB23">
        <v>118.44726799999999</v>
      </c>
      <c r="AC23">
        <v>118.0368873</v>
      </c>
      <c r="AD23">
        <v>117.67346259999999</v>
      </c>
      <c r="AE23">
        <v>117.3041211</v>
      </c>
      <c r="AF23">
        <v>116.96169399999999</v>
      </c>
      <c r="AG23">
        <v>116.56889200000001</v>
      </c>
      <c r="AH23">
        <v>116.19858139999999</v>
      </c>
      <c r="AI23">
        <v>115.77716529999999</v>
      </c>
      <c r="AJ23">
        <v>115.3617873</v>
      </c>
      <c r="AK23">
        <v>114.9230623</v>
      </c>
      <c r="AL23">
        <v>114.4892399</v>
      </c>
      <c r="AM23">
        <v>114.0611962</v>
      </c>
      <c r="AN23">
        <v>113.3525951</v>
      </c>
      <c r="AO23">
        <v>112.6487016</v>
      </c>
      <c r="AP23">
        <v>111.9213532</v>
      </c>
      <c r="AQ23">
        <v>111.194608</v>
      </c>
      <c r="AR23">
        <v>110.4422804</v>
      </c>
      <c r="AS23">
        <v>109.7823475</v>
      </c>
      <c r="AT23">
        <v>109.1385887</v>
      </c>
      <c r="AU23">
        <v>108.49733670000001</v>
      </c>
      <c r="AV23">
        <v>107.8671205</v>
      </c>
      <c r="AW23">
        <v>107.287981</v>
      </c>
    </row>
    <row r="24" spans="2:49" x14ac:dyDescent="0.25">
      <c r="B24" t="s">
        <v>124</v>
      </c>
      <c r="C24">
        <v>2.7703288319169999</v>
      </c>
      <c r="D24">
        <v>2.8148073574016701</v>
      </c>
      <c r="E24">
        <v>2.86</v>
      </c>
      <c r="F24">
        <v>2.9751176500000001</v>
      </c>
      <c r="G24">
        <v>2.854489488</v>
      </c>
      <c r="H24">
        <v>2.988447029</v>
      </c>
      <c r="I24">
        <v>3.1270391630000001</v>
      </c>
      <c r="J24">
        <v>2.978537561</v>
      </c>
      <c r="K24">
        <v>2.8837608769999998</v>
      </c>
      <c r="L24">
        <v>2.8180529280000002</v>
      </c>
      <c r="M24">
        <v>3.0183896319999999</v>
      </c>
      <c r="N24">
        <v>3.1940712150000001</v>
      </c>
      <c r="O24">
        <v>3.2858806970000001</v>
      </c>
      <c r="P24">
        <v>3.3102955550000002</v>
      </c>
      <c r="Q24">
        <v>3.0942387459999998</v>
      </c>
      <c r="R24">
        <v>3.062971761</v>
      </c>
      <c r="S24">
        <v>3.0826485269999999</v>
      </c>
      <c r="T24">
        <v>3.151585286</v>
      </c>
      <c r="U24">
        <v>3.215864662</v>
      </c>
      <c r="V24">
        <v>3.309198334</v>
      </c>
      <c r="W24">
        <v>3.388654313</v>
      </c>
      <c r="X24">
        <v>3.482595833</v>
      </c>
      <c r="Y24">
        <v>3.5532076290000001</v>
      </c>
      <c r="Z24">
        <v>3.6055543839999999</v>
      </c>
      <c r="AA24">
        <v>3.6475184120000002</v>
      </c>
      <c r="AB24">
        <v>3.6853496780000001</v>
      </c>
      <c r="AC24">
        <v>3.7405436710000002</v>
      </c>
      <c r="AD24">
        <v>3.766142162</v>
      </c>
      <c r="AE24">
        <v>3.7995523200000001</v>
      </c>
      <c r="AF24">
        <v>3.835984598</v>
      </c>
      <c r="AG24">
        <v>3.8747444579999999</v>
      </c>
      <c r="AH24">
        <v>3.9244643479999999</v>
      </c>
      <c r="AI24">
        <v>3.963725852</v>
      </c>
      <c r="AJ24">
        <v>4.0107913220000002</v>
      </c>
      <c r="AK24">
        <v>4.0571810289999997</v>
      </c>
      <c r="AL24">
        <v>4.1059972010000001</v>
      </c>
      <c r="AM24">
        <v>4.1567186899999999</v>
      </c>
      <c r="AN24">
        <v>4.2108436630000003</v>
      </c>
      <c r="AO24">
        <v>4.2675718150000002</v>
      </c>
      <c r="AP24">
        <v>4.3245222520000004</v>
      </c>
      <c r="AQ24">
        <v>4.3817003010000004</v>
      </c>
      <c r="AR24">
        <v>4.4463693009999998</v>
      </c>
      <c r="AS24">
        <v>4.4957500320000001</v>
      </c>
      <c r="AT24">
        <v>4.546457706</v>
      </c>
      <c r="AU24">
        <v>4.5984025559999999</v>
      </c>
      <c r="AV24">
        <v>4.6525692750000003</v>
      </c>
      <c r="AW24">
        <v>4.7098621019999998</v>
      </c>
    </row>
    <row r="25" spans="2:49" x14ac:dyDescent="0.25">
      <c r="B25" t="s">
        <v>125</v>
      </c>
      <c r="C25">
        <v>46.663857241186399</v>
      </c>
      <c r="D25">
        <v>47.413060563046002</v>
      </c>
      <c r="E25">
        <v>48.17429259</v>
      </c>
      <c r="F25">
        <v>49.2025115</v>
      </c>
      <c r="G25">
        <v>46.572148499999997</v>
      </c>
      <c r="H25">
        <v>42.508576220000002</v>
      </c>
      <c r="I25">
        <v>43.024070680000001</v>
      </c>
      <c r="J25">
        <v>43.455717100000001</v>
      </c>
      <c r="K25">
        <v>41.322925089999998</v>
      </c>
      <c r="L25">
        <v>40.941676139999998</v>
      </c>
      <c r="M25">
        <v>41.51900337</v>
      </c>
      <c r="N25">
        <v>42.437477979999997</v>
      </c>
      <c r="O25">
        <v>40.185899329999998</v>
      </c>
      <c r="P25">
        <v>38.394923499999997</v>
      </c>
      <c r="Q25">
        <v>36.108009279999997</v>
      </c>
      <c r="R25">
        <v>34.450233609999998</v>
      </c>
      <c r="S25">
        <v>32.831714789999999</v>
      </c>
      <c r="T25">
        <v>32.922508870000001</v>
      </c>
      <c r="U25">
        <v>33.045421810000001</v>
      </c>
      <c r="V25">
        <v>33.467209680000003</v>
      </c>
      <c r="W25">
        <v>33.41083055</v>
      </c>
      <c r="X25">
        <v>33.130110719999998</v>
      </c>
      <c r="Y25">
        <v>33.1527143</v>
      </c>
      <c r="Z25">
        <v>33.373422650000002</v>
      </c>
      <c r="AA25">
        <v>33.570912929999999</v>
      </c>
      <c r="AB25">
        <v>33.754179829999998</v>
      </c>
      <c r="AC25">
        <v>33.952718939999997</v>
      </c>
      <c r="AD25">
        <v>34.303667470000001</v>
      </c>
      <c r="AE25">
        <v>34.615323529999998</v>
      </c>
      <c r="AF25">
        <v>34.954018849999997</v>
      </c>
      <c r="AG25">
        <v>35.304805350000002</v>
      </c>
      <c r="AH25">
        <v>35.671003280000001</v>
      </c>
      <c r="AI25">
        <v>36.094534709999998</v>
      </c>
      <c r="AJ25">
        <v>36.512901769999999</v>
      </c>
      <c r="AK25">
        <v>36.925643479999998</v>
      </c>
      <c r="AL25">
        <v>37.348336430000003</v>
      </c>
      <c r="AM25">
        <v>37.779410409999997</v>
      </c>
      <c r="AN25">
        <v>38.002235710000001</v>
      </c>
      <c r="AO25">
        <v>38.232460690000003</v>
      </c>
      <c r="AP25">
        <v>38.446100989999998</v>
      </c>
      <c r="AQ25">
        <v>38.659252700000003</v>
      </c>
      <c r="AR25">
        <v>38.850909139999999</v>
      </c>
      <c r="AS25">
        <v>39.181071979999999</v>
      </c>
      <c r="AT25">
        <v>39.521411890000003</v>
      </c>
      <c r="AU25">
        <v>39.865106070000003</v>
      </c>
      <c r="AV25">
        <v>40.219146680000001</v>
      </c>
      <c r="AW25">
        <v>40.614824540000001</v>
      </c>
    </row>
    <row r="26" spans="2:49" x14ac:dyDescent="0.25">
      <c r="B26" t="s">
        <v>126</v>
      </c>
      <c r="C26">
        <v>39.525714811669303</v>
      </c>
      <c r="D26">
        <v>40.160312947925298</v>
      </c>
      <c r="E26">
        <v>40.805099759999997</v>
      </c>
      <c r="F26">
        <v>40.686524370000001</v>
      </c>
      <c r="G26">
        <v>40.319396679999997</v>
      </c>
      <c r="H26">
        <v>40.241775459999999</v>
      </c>
      <c r="I26">
        <v>40.262670139999997</v>
      </c>
      <c r="J26">
        <v>40.052181560000001</v>
      </c>
      <c r="K26">
        <v>39.593129920000003</v>
      </c>
      <c r="L26">
        <v>39.220544480000001</v>
      </c>
      <c r="M26">
        <v>39.016534290000003</v>
      </c>
      <c r="N26">
        <v>39.030392560000003</v>
      </c>
      <c r="O26">
        <v>39.307002339999997</v>
      </c>
      <c r="P26">
        <v>39.392887690000002</v>
      </c>
      <c r="Q26">
        <v>39.073065200000002</v>
      </c>
      <c r="R26">
        <v>38.74787036</v>
      </c>
      <c r="S26">
        <v>38.39747938</v>
      </c>
      <c r="T26">
        <v>37.916501459999999</v>
      </c>
      <c r="U26">
        <v>37.77458841</v>
      </c>
      <c r="V26">
        <v>37.669203940000003</v>
      </c>
      <c r="W26">
        <v>37.90706204</v>
      </c>
      <c r="X26">
        <v>38.131762119999998</v>
      </c>
      <c r="Y26">
        <v>38.412459300000002</v>
      </c>
      <c r="Z26">
        <v>38.828215129999997</v>
      </c>
      <c r="AA26">
        <v>39.203291929999999</v>
      </c>
      <c r="AB26">
        <v>39.588594409999999</v>
      </c>
      <c r="AC26">
        <v>39.940291029999997</v>
      </c>
      <c r="AD26">
        <v>40.265506889999997</v>
      </c>
      <c r="AE26">
        <v>40.539859329999999</v>
      </c>
      <c r="AF26">
        <v>40.786465759999999</v>
      </c>
      <c r="AG26">
        <v>40.990424619999999</v>
      </c>
      <c r="AH26">
        <v>41.166286130000003</v>
      </c>
      <c r="AI26">
        <v>41.303924610000003</v>
      </c>
      <c r="AJ26">
        <v>41.421100350000003</v>
      </c>
      <c r="AK26">
        <v>41.518408610000002</v>
      </c>
      <c r="AL26">
        <v>41.597412069999997</v>
      </c>
      <c r="AM26">
        <v>41.658680670000003</v>
      </c>
      <c r="AN26">
        <v>41.696246109999997</v>
      </c>
      <c r="AO26">
        <v>41.711962100000001</v>
      </c>
      <c r="AP26">
        <v>41.701965960000003</v>
      </c>
      <c r="AQ26">
        <v>41.674625929999998</v>
      </c>
      <c r="AR26">
        <v>41.619886469999997</v>
      </c>
      <c r="AS26">
        <v>41.55667802</v>
      </c>
      <c r="AT26">
        <v>41.473736649999999</v>
      </c>
      <c r="AU26">
        <v>41.368865880000001</v>
      </c>
      <c r="AV26">
        <v>41.241887159999997</v>
      </c>
      <c r="AW26">
        <v>41.111594189999998</v>
      </c>
    </row>
    <row r="27" spans="2:49" x14ac:dyDescent="0.25">
      <c r="B27" t="s">
        <v>127</v>
      </c>
      <c r="C27">
        <v>21.072806770403201</v>
      </c>
      <c r="D27">
        <v>21.411137499294501</v>
      </c>
      <c r="E27">
        <v>21.754900240000001</v>
      </c>
      <c r="F27">
        <v>22.63565741</v>
      </c>
      <c r="G27">
        <v>22.8499491</v>
      </c>
      <c r="H27">
        <v>21.819995089999999</v>
      </c>
      <c r="I27">
        <v>22.629595720000001</v>
      </c>
      <c r="J27">
        <v>23.159429119999999</v>
      </c>
      <c r="K27">
        <v>23.326856540000001</v>
      </c>
      <c r="L27">
        <v>23.513211590000001</v>
      </c>
      <c r="M27">
        <v>23.957200780000001</v>
      </c>
      <c r="N27">
        <v>24.499368230000002</v>
      </c>
      <c r="O27">
        <v>24.057040870000002</v>
      </c>
      <c r="P27">
        <v>23.71946324</v>
      </c>
      <c r="Q27">
        <v>23.19129526</v>
      </c>
      <c r="R27">
        <v>22.426704619999999</v>
      </c>
      <c r="S27">
        <v>21.748811740000001</v>
      </c>
      <c r="T27">
        <v>21.688369160000001</v>
      </c>
      <c r="U27">
        <v>21.61393996</v>
      </c>
      <c r="V27">
        <v>21.525087169999999</v>
      </c>
      <c r="W27">
        <v>21.781983289999999</v>
      </c>
      <c r="X27">
        <v>22.014078919999999</v>
      </c>
      <c r="Y27">
        <v>22.32018038</v>
      </c>
      <c r="Z27">
        <v>22.463806959999999</v>
      </c>
      <c r="AA27">
        <v>22.540926590000002</v>
      </c>
      <c r="AB27">
        <v>22.568472249999999</v>
      </c>
      <c r="AC27">
        <v>22.562458289999999</v>
      </c>
      <c r="AD27">
        <v>22.52696667</v>
      </c>
      <c r="AE27">
        <v>22.47205009</v>
      </c>
      <c r="AF27">
        <v>22.409096900000002</v>
      </c>
      <c r="AG27">
        <v>22.322778169999999</v>
      </c>
      <c r="AH27">
        <v>22.22097265</v>
      </c>
      <c r="AI27">
        <v>22.100990939999999</v>
      </c>
      <c r="AJ27">
        <v>21.97095492</v>
      </c>
      <c r="AK27">
        <v>21.83158371</v>
      </c>
      <c r="AL27">
        <v>21.68499276</v>
      </c>
      <c r="AM27">
        <v>21.53338664</v>
      </c>
      <c r="AN27">
        <v>21.256416900000001</v>
      </c>
      <c r="AO27">
        <v>20.96124923</v>
      </c>
      <c r="AP27">
        <v>20.66603095</v>
      </c>
      <c r="AQ27">
        <v>20.372385749999999</v>
      </c>
      <c r="AR27">
        <v>20.083730030000002</v>
      </c>
      <c r="AS27">
        <v>19.802798760000002</v>
      </c>
      <c r="AT27">
        <v>19.526907779999998</v>
      </c>
      <c r="AU27">
        <v>19.254304680000001</v>
      </c>
      <c r="AV27">
        <v>18.985559200000001</v>
      </c>
      <c r="AW27">
        <v>18.71984728</v>
      </c>
    </row>
    <row r="28" spans="2:49" x14ac:dyDescent="0.25">
      <c r="B28" t="s">
        <v>128</v>
      </c>
      <c r="C28">
        <v>23.690458989791001</v>
      </c>
      <c r="D28">
        <v>24.070816971768199</v>
      </c>
      <c r="E28">
        <v>24.457281720000001</v>
      </c>
      <c r="F28">
        <v>25.366623229999998</v>
      </c>
      <c r="G28">
        <v>24.93791135</v>
      </c>
      <c r="H28">
        <v>25.085904289999998</v>
      </c>
      <c r="I28">
        <v>25.18112339</v>
      </c>
      <c r="J28">
        <v>25.045666000000001</v>
      </c>
      <c r="K28">
        <v>24.808085089999999</v>
      </c>
      <c r="L28">
        <v>24.582342709999999</v>
      </c>
      <c r="M28">
        <v>24.429451010000001</v>
      </c>
      <c r="N28">
        <v>24.21736744</v>
      </c>
      <c r="O28">
        <v>24.099472509999998</v>
      </c>
      <c r="P28">
        <v>23.853193959999999</v>
      </c>
      <c r="Q28">
        <v>23.573093149999998</v>
      </c>
      <c r="R28">
        <v>23.320966049999999</v>
      </c>
      <c r="S28">
        <v>23.318924970000001</v>
      </c>
      <c r="T28">
        <v>23.236517939999999</v>
      </c>
      <c r="U28">
        <v>23.043569170000001</v>
      </c>
      <c r="V28">
        <v>22.746440750000001</v>
      </c>
      <c r="W28">
        <v>22.49806323</v>
      </c>
      <c r="X28">
        <v>21.905240429999999</v>
      </c>
      <c r="Y28">
        <v>21.53921442</v>
      </c>
      <c r="Z28">
        <v>21.260619930000001</v>
      </c>
      <c r="AA28">
        <v>21.009310200000002</v>
      </c>
      <c r="AB28">
        <v>20.762258790000001</v>
      </c>
      <c r="AC28">
        <v>20.297379079999999</v>
      </c>
      <c r="AD28">
        <v>19.983621889999998</v>
      </c>
      <c r="AE28">
        <v>19.803518059999998</v>
      </c>
      <c r="AF28">
        <v>19.625605969999999</v>
      </c>
      <c r="AG28">
        <v>19.44701654</v>
      </c>
      <c r="AH28">
        <v>19.238825420000001</v>
      </c>
      <c r="AI28">
        <v>18.999722169999998</v>
      </c>
      <c r="AJ28">
        <v>18.797734760000001</v>
      </c>
      <c r="AK28">
        <v>18.609883329999999</v>
      </c>
      <c r="AL28">
        <v>18.42978909</v>
      </c>
      <c r="AM28">
        <v>18.25569887</v>
      </c>
      <c r="AN28">
        <v>18.0692451</v>
      </c>
      <c r="AO28">
        <v>17.86973132</v>
      </c>
      <c r="AP28">
        <v>17.665576569999999</v>
      </c>
      <c r="AQ28">
        <v>17.460037849999999</v>
      </c>
      <c r="AR28">
        <v>17.169375559999999</v>
      </c>
      <c r="AS28">
        <v>16.926298989999999</v>
      </c>
      <c r="AT28">
        <v>16.70030882</v>
      </c>
      <c r="AU28">
        <v>16.482190150000001</v>
      </c>
      <c r="AV28">
        <v>16.26866712</v>
      </c>
      <c r="AW28">
        <v>16.058592340000001</v>
      </c>
    </row>
    <row r="29" spans="2:49" x14ac:dyDescent="0.25">
      <c r="B29" t="s">
        <v>129</v>
      </c>
      <c r="C29">
        <v>22.212930412666701</v>
      </c>
      <c r="D29">
        <v>22.569566195417998</v>
      </c>
      <c r="E29">
        <v>22.937925329999999</v>
      </c>
      <c r="F29">
        <v>23.479190809999999</v>
      </c>
      <c r="G29">
        <v>22.61001971</v>
      </c>
      <c r="H29">
        <v>20.903516230000001</v>
      </c>
      <c r="I29">
        <v>21.33880645</v>
      </c>
      <c r="J29">
        <v>20.779490150000001</v>
      </c>
      <c r="K29">
        <v>21.00726079</v>
      </c>
      <c r="L29">
        <v>20.52794154</v>
      </c>
      <c r="M29">
        <v>20.47607331</v>
      </c>
      <c r="N29">
        <v>20.481031269999999</v>
      </c>
      <c r="O29">
        <v>20.290192810000001</v>
      </c>
      <c r="P29">
        <v>20.56496465</v>
      </c>
      <c r="Q29">
        <v>20.3764112</v>
      </c>
      <c r="R29">
        <v>20.286659329999999</v>
      </c>
      <c r="S29">
        <v>20.074577439999999</v>
      </c>
      <c r="T29">
        <v>20.451123710000001</v>
      </c>
      <c r="U29">
        <v>20.768930900000001</v>
      </c>
      <c r="V29">
        <v>21.203006970000001</v>
      </c>
      <c r="W29">
        <v>21.468993350000002</v>
      </c>
      <c r="X29">
        <v>21.831756639999998</v>
      </c>
      <c r="Y29">
        <v>22.0667796</v>
      </c>
      <c r="Z29">
        <v>22.28248649</v>
      </c>
      <c r="AA29">
        <v>22.435943269999999</v>
      </c>
      <c r="AB29">
        <v>22.552283509999999</v>
      </c>
      <c r="AC29">
        <v>22.821143930000002</v>
      </c>
      <c r="AD29">
        <v>22.922564470000001</v>
      </c>
      <c r="AE29">
        <v>22.978128760000001</v>
      </c>
      <c r="AF29">
        <v>23.05898371</v>
      </c>
      <c r="AG29">
        <v>23.125657440000001</v>
      </c>
      <c r="AH29">
        <v>23.260412200000001</v>
      </c>
      <c r="AI29">
        <v>23.378778329999999</v>
      </c>
      <c r="AJ29">
        <v>23.48785968</v>
      </c>
      <c r="AK29">
        <v>23.582410339999999</v>
      </c>
      <c r="AL29">
        <v>23.682787739999998</v>
      </c>
      <c r="AM29">
        <v>23.790784519999999</v>
      </c>
      <c r="AN29">
        <v>23.895628909999999</v>
      </c>
      <c r="AO29">
        <v>24.035040380000002</v>
      </c>
      <c r="AP29">
        <v>24.178713420000001</v>
      </c>
      <c r="AQ29">
        <v>24.327951639999998</v>
      </c>
      <c r="AR29">
        <v>24.553212129999999</v>
      </c>
      <c r="AS29">
        <v>24.740350129999999</v>
      </c>
      <c r="AT29">
        <v>24.926210309999998</v>
      </c>
      <c r="AU29">
        <v>25.112385639999999</v>
      </c>
      <c r="AV29">
        <v>25.305502789999998</v>
      </c>
      <c r="AW29">
        <v>25.512258169999999</v>
      </c>
    </row>
    <row r="30" spans="2:49" x14ac:dyDescent="0.25">
      <c r="B30" t="s">
        <v>130</v>
      </c>
      <c r="C30">
        <v>30998.430217312201</v>
      </c>
      <c r="D30">
        <v>31496.120041177499</v>
      </c>
      <c r="E30">
        <v>32001.800439999999</v>
      </c>
      <c r="F30">
        <v>32688.379000000001</v>
      </c>
      <c r="G30">
        <v>33314.794710000002</v>
      </c>
      <c r="H30">
        <v>34142.844949999999</v>
      </c>
      <c r="I30">
        <v>34863.837440000003</v>
      </c>
      <c r="J30">
        <v>35489.148800000003</v>
      </c>
      <c r="K30">
        <v>35731.31351</v>
      </c>
      <c r="L30">
        <v>35839.916219999999</v>
      </c>
      <c r="M30">
        <v>35948.063869999998</v>
      </c>
      <c r="N30">
        <v>35911.307350000003</v>
      </c>
      <c r="O30">
        <v>35978.501450000003</v>
      </c>
      <c r="P30">
        <v>36321.204380000003</v>
      </c>
      <c r="Q30">
        <v>36708.886160000002</v>
      </c>
      <c r="R30">
        <v>37113.743849999999</v>
      </c>
      <c r="S30">
        <v>37468.153879999998</v>
      </c>
      <c r="T30">
        <v>37679.582190000001</v>
      </c>
      <c r="U30">
        <v>37785.530330000001</v>
      </c>
      <c r="V30">
        <v>37733.513099999996</v>
      </c>
      <c r="W30">
        <v>37791.387499999997</v>
      </c>
      <c r="X30">
        <v>37114.885020000002</v>
      </c>
      <c r="Y30">
        <v>36994.301809999997</v>
      </c>
      <c r="Z30">
        <v>37081.220289999997</v>
      </c>
      <c r="AA30">
        <v>37250.009299999998</v>
      </c>
      <c r="AB30">
        <v>37450.677770000002</v>
      </c>
      <c r="AC30">
        <v>37136.00647</v>
      </c>
      <c r="AD30">
        <v>37202.100559999999</v>
      </c>
      <c r="AE30">
        <v>37319.641949999997</v>
      </c>
      <c r="AF30">
        <v>37462.784959999997</v>
      </c>
      <c r="AG30">
        <v>37619.637450000002</v>
      </c>
      <c r="AH30">
        <v>37399.192340000001</v>
      </c>
      <c r="AI30">
        <v>37419.360200000003</v>
      </c>
      <c r="AJ30">
        <v>37547.201099999998</v>
      </c>
      <c r="AK30">
        <v>37717.020199999999</v>
      </c>
      <c r="AL30">
        <v>37907.858330000003</v>
      </c>
      <c r="AM30">
        <v>38111.790990000001</v>
      </c>
      <c r="AN30">
        <v>38224.932780000003</v>
      </c>
      <c r="AO30">
        <v>38297.572139999997</v>
      </c>
      <c r="AP30">
        <v>38352.304980000001</v>
      </c>
      <c r="AQ30">
        <v>38396.995199999998</v>
      </c>
      <c r="AR30">
        <v>38166.660320000003</v>
      </c>
      <c r="AS30">
        <v>38048.024680000002</v>
      </c>
      <c r="AT30">
        <v>37973.786169999999</v>
      </c>
      <c r="AU30">
        <v>37913.747730000003</v>
      </c>
      <c r="AV30">
        <v>37856.213680000001</v>
      </c>
      <c r="AW30">
        <v>37796.341200000003</v>
      </c>
    </row>
    <row r="31" spans="2:49" x14ac:dyDescent="0.25">
      <c r="B31" t="s">
        <v>131</v>
      </c>
      <c r="C31">
        <v>17.998489648965599</v>
      </c>
      <c r="D31">
        <v>18.287461222056098</v>
      </c>
      <c r="E31">
        <v>18.581072330000001</v>
      </c>
      <c r="F31">
        <v>19.84014668</v>
      </c>
      <c r="G31">
        <v>49.886290529999997</v>
      </c>
      <c r="H31">
        <v>82.736925459999995</v>
      </c>
      <c r="I31">
        <v>117.4896083</v>
      </c>
      <c r="J31">
        <v>164.5564589</v>
      </c>
      <c r="K31">
        <v>207.75886850000001</v>
      </c>
      <c r="L31">
        <v>245.75472450000001</v>
      </c>
      <c r="M31">
        <v>281.27473029999999</v>
      </c>
      <c r="N31">
        <v>300.95006590000003</v>
      </c>
      <c r="O31">
        <v>316.57364389999998</v>
      </c>
      <c r="P31">
        <v>326.11699279999999</v>
      </c>
      <c r="Q31">
        <v>353.80833250000001</v>
      </c>
      <c r="R31">
        <v>384.86953340000002</v>
      </c>
      <c r="S31">
        <v>438.02428259999999</v>
      </c>
      <c r="T31">
        <v>481.30141029999999</v>
      </c>
      <c r="U31">
        <v>554.04431799999998</v>
      </c>
      <c r="V31">
        <v>634.59476119999999</v>
      </c>
      <c r="W31">
        <v>719.51442710000003</v>
      </c>
      <c r="X31">
        <v>765.85393899999997</v>
      </c>
      <c r="Y31">
        <v>834.20731509999996</v>
      </c>
      <c r="Z31">
        <v>909.47021329999995</v>
      </c>
      <c r="AA31">
        <v>986.3049499</v>
      </c>
      <c r="AB31">
        <v>1062.1549110000001</v>
      </c>
      <c r="AC31">
        <v>1108.2873999999999</v>
      </c>
      <c r="AD31">
        <v>1169.544836</v>
      </c>
      <c r="AE31">
        <v>1230.0485799999999</v>
      </c>
      <c r="AF31">
        <v>1288.800665</v>
      </c>
      <c r="AG31">
        <v>1344.7516840000001</v>
      </c>
      <c r="AH31">
        <v>1379.0688090000001</v>
      </c>
      <c r="AI31">
        <v>1422.6406380000001</v>
      </c>
      <c r="AJ31">
        <v>1468.8572389999999</v>
      </c>
      <c r="AK31">
        <v>1515.093267</v>
      </c>
      <c r="AL31">
        <v>1560.3927819999999</v>
      </c>
      <c r="AM31">
        <v>1604.3689469999999</v>
      </c>
      <c r="AN31">
        <v>1643.059184</v>
      </c>
      <c r="AO31">
        <v>1679.092118</v>
      </c>
      <c r="AP31">
        <v>1713.6233709999999</v>
      </c>
      <c r="AQ31">
        <v>1747.2269899999999</v>
      </c>
      <c r="AR31">
        <v>1765.448713</v>
      </c>
      <c r="AS31">
        <v>1789.428829</v>
      </c>
      <c r="AT31">
        <v>1815.820741</v>
      </c>
      <c r="AU31">
        <v>1843.1819929999999</v>
      </c>
      <c r="AV31">
        <v>1870.8467350000001</v>
      </c>
      <c r="AW31">
        <v>1898.4719729999999</v>
      </c>
    </row>
    <row r="32" spans="2:49" x14ac:dyDescent="0.25">
      <c r="B32" t="s">
        <v>132</v>
      </c>
      <c r="C32">
        <v>1571.8931047778699</v>
      </c>
      <c r="D32">
        <v>1597.13035701831</v>
      </c>
      <c r="E32">
        <v>1622.772802</v>
      </c>
      <c r="F32">
        <v>1973.0996210000001</v>
      </c>
      <c r="G32">
        <v>2310.7588989999999</v>
      </c>
      <c r="H32">
        <v>2680.073586</v>
      </c>
      <c r="I32">
        <v>3016.2664719999998</v>
      </c>
      <c r="J32">
        <v>3326.4818620000001</v>
      </c>
      <c r="K32">
        <v>3553.5030109999998</v>
      </c>
      <c r="L32">
        <v>3745.3129530000001</v>
      </c>
      <c r="M32">
        <v>3928.0219710000001</v>
      </c>
      <c r="N32">
        <v>4076.6385409999998</v>
      </c>
      <c r="O32">
        <v>4234.9951460000002</v>
      </c>
      <c r="P32">
        <v>4416.5683300000001</v>
      </c>
      <c r="Q32">
        <v>4604.3028109999996</v>
      </c>
      <c r="R32">
        <v>4788.3279229999998</v>
      </c>
      <c r="S32">
        <v>4969.0474880000002</v>
      </c>
      <c r="T32">
        <v>5106.7795720000004</v>
      </c>
      <c r="U32">
        <v>5242.2048610000002</v>
      </c>
      <c r="V32">
        <v>5346.5361849999999</v>
      </c>
      <c r="W32">
        <v>5457.2409479999997</v>
      </c>
      <c r="X32">
        <v>5420.1539730000004</v>
      </c>
      <c r="Y32">
        <v>5467.5630819999997</v>
      </c>
      <c r="Z32">
        <v>5534.8440119999996</v>
      </c>
      <c r="AA32">
        <v>5599.5003210000004</v>
      </c>
      <c r="AB32">
        <v>5652.9845109999997</v>
      </c>
      <c r="AC32">
        <v>5612.0802469999999</v>
      </c>
      <c r="AD32">
        <v>5614.5630739999997</v>
      </c>
      <c r="AE32">
        <v>5611.0501290000002</v>
      </c>
      <c r="AF32">
        <v>5598.8405519999997</v>
      </c>
      <c r="AG32">
        <v>5577.2034290000001</v>
      </c>
      <c r="AH32">
        <v>5499.1453920000004</v>
      </c>
      <c r="AI32">
        <v>5443.064128</v>
      </c>
      <c r="AJ32">
        <v>5392.7326579999999</v>
      </c>
      <c r="AK32">
        <v>5341.2291070000001</v>
      </c>
      <c r="AL32">
        <v>5286.9433330000002</v>
      </c>
      <c r="AM32">
        <v>5229.7331119999999</v>
      </c>
      <c r="AN32">
        <v>5159.5344379999997</v>
      </c>
      <c r="AO32">
        <v>5082.4450129999996</v>
      </c>
      <c r="AP32">
        <v>5001.3857479999997</v>
      </c>
      <c r="AQ32">
        <v>4917.7126989999997</v>
      </c>
      <c r="AR32">
        <v>4808.3388729999997</v>
      </c>
      <c r="AS32">
        <v>4708.3667390000001</v>
      </c>
      <c r="AT32">
        <v>4611.9782310000001</v>
      </c>
      <c r="AU32">
        <v>4516.8155530000004</v>
      </c>
      <c r="AV32">
        <v>4422.1236799999997</v>
      </c>
      <c r="AW32">
        <v>4327.7126669999998</v>
      </c>
    </row>
    <row r="33" spans="2:49" x14ac:dyDescent="0.25">
      <c r="B33" t="s">
        <v>133</v>
      </c>
      <c r="C33">
        <v>3720.5673609549599</v>
      </c>
      <c r="D33">
        <v>3780.3022733867101</v>
      </c>
      <c r="E33">
        <v>3840.9962489999998</v>
      </c>
      <c r="F33">
        <v>4323.9358240000001</v>
      </c>
      <c r="G33">
        <v>4770.047998</v>
      </c>
      <c r="H33">
        <v>5260.6028990000004</v>
      </c>
      <c r="I33">
        <v>5705.2536909999999</v>
      </c>
      <c r="J33">
        <v>6108.5505999999996</v>
      </c>
      <c r="K33">
        <v>6389.5134939999998</v>
      </c>
      <c r="L33">
        <v>6620.0534429999998</v>
      </c>
      <c r="M33">
        <v>6838.5546370000002</v>
      </c>
      <c r="N33">
        <v>7016.6657189999996</v>
      </c>
      <c r="O33">
        <v>7212.5112550000003</v>
      </c>
      <c r="P33">
        <v>7457.9270630000001</v>
      </c>
      <c r="Q33">
        <v>7705.2778010000002</v>
      </c>
      <c r="R33">
        <v>7946.9543370000001</v>
      </c>
      <c r="S33">
        <v>8169.3013259999998</v>
      </c>
      <c r="T33">
        <v>8336.3832450000009</v>
      </c>
      <c r="U33">
        <v>8475.9262839999901</v>
      </c>
      <c r="V33">
        <v>8559.7718189999996</v>
      </c>
      <c r="W33">
        <v>8652.5475459999998</v>
      </c>
      <c r="X33">
        <v>8536.7852710000006</v>
      </c>
      <c r="Y33">
        <v>8542.7196999999996</v>
      </c>
      <c r="Z33">
        <v>8577.6652840000006</v>
      </c>
      <c r="AA33">
        <v>8609.160656</v>
      </c>
      <c r="AB33">
        <v>8625.2024560000009</v>
      </c>
      <c r="AC33">
        <v>8511.6644620000006</v>
      </c>
      <c r="AD33">
        <v>8459.1989709999998</v>
      </c>
      <c r="AE33">
        <v>8399.4437209999996</v>
      </c>
      <c r="AF33">
        <v>8328.596931</v>
      </c>
      <c r="AG33">
        <v>8246.1535609999901</v>
      </c>
      <c r="AH33">
        <v>8088.8676400000004</v>
      </c>
      <c r="AI33">
        <v>7962.212493</v>
      </c>
      <c r="AJ33">
        <v>7844.3273680000002</v>
      </c>
      <c r="AK33">
        <v>7725.6830499999996</v>
      </c>
      <c r="AL33">
        <v>7604.2351870000002</v>
      </c>
      <c r="AM33">
        <v>7479.9470520000004</v>
      </c>
      <c r="AN33">
        <v>7339.2247180000004</v>
      </c>
      <c r="AO33">
        <v>7190.1641749999999</v>
      </c>
      <c r="AP33">
        <v>7036.7126870000002</v>
      </c>
      <c r="AQ33">
        <v>6880.6587</v>
      </c>
      <c r="AR33">
        <v>6693.3726829999996</v>
      </c>
      <c r="AS33">
        <v>6518.9669990000002</v>
      </c>
      <c r="AT33">
        <v>6350.0852080000004</v>
      </c>
      <c r="AU33">
        <v>6183.7697850000004</v>
      </c>
      <c r="AV33">
        <v>6019.1751960000001</v>
      </c>
      <c r="AW33">
        <v>5856.1769480000003</v>
      </c>
    </row>
    <row r="34" spans="2:49" x14ac:dyDescent="0.25">
      <c r="B34" t="s">
        <v>134</v>
      </c>
      <c r="C34">
        <v>5208.7853750706299</v>
      </c>
      <c r="D34">
        <v>5292.4141090967596</v>
      </c>
      <c r="E34">
        <v>5377.3855290000001</v>
      </c>
      <c r="F34">
        <v>5766.1441089999998</v>
      </c>
      <c r="G34">
        <v>6121.954017</v>
      </c>
      <c r="H34">
        <v>6524.1251499999998</v>
      </c>
      <c r="I34">
        <v>6885.3677520000001</v>
      </c>
      <c r="J34">
        <v>7207.7198099999996</v>
      </c>
      <c r="K34">
        <v>7413.8328220000003</v>
      </c>
      <c r="L34">
        <v>7574.2282539999997</v>
      </c>
      <c r="M34">
        <v>7726.097068</v>
      </c>
      <c r="N34">
        <v>7833.40744</v>
      </c>
      <c r="O34">
        <v>7962.0797000000002</v>
      </c>
      <c r="P34">
        <v>8149.678527</v>
      </c>
      <c r="Q34">
        <v>8334.6877270000005</v>
      </c>
      <c r="R34">
        <v>8518.5348329999997</v>
      </c>
      <c r="S34">
        <v>8673.4606050000002</v>
      </c>
      <c r="T34">
        <v>8792.9969180000007</v>
      </c>
      <c r="U34">
        <v>8873.3203290000001</v>
      </c>
      <c r="V34">
        <v>8895.9143569999997</v>
      </c>
      <c r="W34">
        <v>8928.2988800000003</v>
      </c>
      <c r="X34">
        <v>8767.143967</v>
      </c>
      <c r="Y34">
        <v>8722.2460780000001</v>
      </c>
      <c r="Z34">
        <v>8706.1240070000003</v>
      </c>
      <c r="AA34">
        <v>8688.0252689999998</v>
      </c>
      <c r="AB34">
        <v>8656.69686</v>
      </c>
      <c r="AC34">
        <v>8507.0390530000004</v>
      </c>
      <c r="AD34">
        <v>8415.3065569999999</v>
      </c>
      <c r="AE34">
        <v>8318.2008659999901</v>
      </c>
      <c r="AF34">
        <v>8212.1381990000009</v>
      </c>
      <c r="AG34">
        <v>8096.8477409999996</v>
      </c>
      <c r="AH34">
        <v>7914.7210580000001</v>
      </c>
      <c r="AI34">
        <v>7761.7327660000001</v>
      </c>
      <c r="AJ34">
        <v>7617.9427699999997</v>
      </c>
      <c r="AK34">
        <v>7474.5533180000002</v>
      </c>
      <c r="AL34">
        <v>7329.7373530000004</v>
      </c>
      <c r="AM34">
        <v>7183.5081769999997</v>
      </c>
      <c r="AN34">
        <v>7023.3977850000001</v>
      </c>
      <c r="AO34">
        <v>6856.7072690000005</v>
      </c>
      <c r="AP34">
        <v>6687.021436</v>
      </c>
      <c r="AQ34">
        <v>6515.9429289999998</v>
      </c>
      <c r="AR34">
        <v>6318.6146390000004</v>
      </c>
      <c r="AS34">
        <v>6133.5873369999999</v>
      </c>
      <c r="AT34">
        <v>5954.4014630000001</v>
      </c>
      <c r="AU34">
        <v>5778.4722849999998</v>
      </c>
      <c r="AV34">
        <v>5605.1024070000003</v>
      </c>
      <c r="AW34">
        <v>5434.2258890000003</v>
      </c>
    </row>
    <row r="35" spans="2:49" x14ac:dyDescent="0.25">
      <c r="B35" t="s">
        <v>135</v>
      </c>
      <c r="C35">
        <v>13521.9613593495</v>
      </c>
      <c r="D35">
        <v>13739.0608227762</v>
      </c>
      <c r="E35" s="39">
        <v>13959.64589</v>
      </c>
      <c r="F35" s="39">
        <v>13632.25121</v>
      </c>
      <c r="G35" s="39">
        <v>13307.09303</v>
      </c>
      <c r="H35" s="39">
        <v>13036.83049</v>
      </c>
      <c r="I35">
        <v>12769.69643</v>
      </c>
      <c r="J35">
        <v>12501.365589999999</v>
      </c>
      <c r="K35" s="39">
        <v>12186.124659999999</v>
      </c>
      <c r="L35" s="39">
        <v>11871.76598</v>
      </c>
      <c r="M35" s="39">
        <v>11574.103080000001</v>
      </c>
      <c r="N35" s="39">
        <v>11261.712960000001</v>
      </c>
      <c r="O35" s="39">
        <v>10984.15403</v>
      </c>
      <c r="P35">
        <v>10790.55176</v>
      </c>
      <c r="Q35">
        <v>10604.5488</v>
      </c>
      <c r="R35">
        <v>10426.104579999999</v>
      </c>
      <c r="S35">
        <v>10225.286990000001</v>
      </c>
      <c r="T35">
        <v>10033.64748</v>
      </c>
      <c r="U35">
        <v>9776.6866150000005</v>
      </c>
      <c r="V35">
        <v>9480.6832720000002</v>
      </c>
      <c r="W35">
        <v>9204.8955800000003</v>
      </c>
      <c r="X35">
        <v>8844.4605769999998</v>
      </c>
      <c r="Y35">
        <v>8558.9709180000009</v>
      </c>
      <c r="Z35">
        <v>8301.7777590000005</v>
      </c>
      <c r="AA35">
        <v>8055.9380110000002</v>
      </c>
      <c r="AB35">
        <v>7815.1034900000004</v>
      </c>
      <c r="AC35">
        <v>7527.2805669999998</v>
      </c>
      <c r="AD35">
        <v>7279.2276590000001</v>
      </c>
      <c r="AE35">
        <v>7039.009204</v>
      </c>
      <c r="AF35">
        <v>6804.3008620000001</v>
      </c>
      <c r="AG35">
        <v>6574.7750580000002</v>
      </c>
      <c r="AH35">
        <v>6322.6559900000002</v>
      </c>
      <c r="AI35">
        <v>6092.9993809999996</v>
      </c>
      <c r="AJ35">
        <v>5875.9156210000001</v>
      </c>
      <c r="AK35">
        <v>5666.7459660000004</v>
      </c>
      <c r="AL35">
        <v>5464.3274199999996</v>
      </c>
      <c r="AM35">
        <v>5268.3917899999997</v>
      </c>
      <c r="AN35">
        <v>5072.1755919999996</v>
      </c>
      <c r="AO35">
        <v>4878.8615149999996</v>
      </c>
      <c r="AP35">
        <v>4689.9355500000001</v>
      </c>
      <c r="AQ35">
        <v>4505.9439929999999</v>
      </c>
      <c r="AR35">
        <v>4316.0876920000001</v>
      </c>
      <c r="AS35">
        <v>4136.8578209999996</v>
      </c>
      <c r="AT35">
        <v>3965.26764</v>
      </c>
      <c r="AU35">
        <v>3800.0325320000002</v>
      </c>
      <c r="AV35">
        <v>3640.7060390000001</v>
      </c>
      <c r="AW35">
        <v>3487.1114389999998</v>
      </c>
    </row>
    <row r="36" spans="2:49" x14ac:dyDescent="0.25">
      <c r="B36" t="s">
        <v>136</v>
      </c>
      <c r="C36">
        <v>4769.5635809194901</v>
      </c>
      <c r="D36" s="39">
        <v>4846.1404669702097</v>
      </c>
      <c r="E36">
        <v>4923.9468200000001</v>
      </c>
      <c r="F36">
        <v>4800.2817850000001</v>
      </c>
      <c r="G36">
        <v>4669.8058629999996</v>
      </c>
      <c r="H36">
        <v>4553.6453760000004</v>
      </c>
      <c r="I36">
        <v>4440.2972870000003</v>
      </c>
      <c r="J36">
        <v>4324.430918</v>
      </c>
      <c r="K36">
        <v>4196.0140039999997</v>
      </c>
      <c r="L36">
        <v>4066.7247029999999</v>
      </c>
      <c r="M36">
        <v>3943.5637499999998</v>
      </c>
      <c r="N36">
        <v>3814.8950359999999</v>
      </c>
      <c r="O36">
        <v>3697.7909719999998</v>
      </c>
      <c r="P36">
        <v>3617.763074</v>
      </c>
      <c r="Q36">
        <v>3538.1775640000001</v>
      </c>
      <c r="R36">
        <v>3459.1960819999999</v>
      </c>
      <c r="S36">
        <v>3365.7939299999998</v>
      </c>
      <c r="T36">
        <v>3251.6556</v>
      </c>
      <c r="U36">
        <v>3110.5436119999999</v>
      </c>
      <c r="V36">
        <v>2959.7610370000002</v>
      </c>
      <c r="W36">
        <v>2816.726271</v>
      </c>
      <c r="X36">
        <v>2669.2741259999998</v>
      </c>
      <c r="Y36">
        <v>2536.2042849999998</v>
      </c>
      <c r="Z36">
        <v>2411.4332439999998</v>
      </c>
      <c r="AA36">
        <v>2292.5953399999999</v>
      </c>
      <c r="AB36">
        <v>2178.8091850000001</v>
      </c>
      <c r="AC36">
        <v>2065.0677949999999</v>
      </c>
      <c r="AD36">
        <v>1959.6741509999999</v>
      </c>
      <c r="AE36">
        <v>1859.297129</v>
      </c>
      <c r="AF36">
        <v>1763.5164150000001</v>
      </c>
      <c r="AG36">
        <v>1672.219836</v>
      </c>
      <c r="AH36">
        <v>1583.01648</v>
      </c>
      <c r="AI36">
        <v>1499.3154870000001</v>
      </c>
      <c r="AJ36">
        <v>1420.15121</v>
      </c>
      <c r="AK36">
        <v>1344.966915</v>
      </c>
      <c r="AL36">
        <v>1273.5374440000001</v>
      </c>
      <c r="AM36">
        <v>1205.7108800000001</v>
      </c>
      <c r="AN36">
        <v>1140.5836870000001</v>
      </c>
      <c r="AO36">
        <v>1078.286975</v>
      </c>
      <c r="AP36">
        <v>1018.834487</v>
      </c>
      <c r="AQ36">
        <v>962.16911909999999</v>
      </c>
      <c r="AR36">
        <v>907.67367330000002</v>
      </c>
      <c r="AS36">
        <v>856.09014109999998</v>
      </c>
      <c r="AT36">
        <v>807.16736779999997</v>
      </c>
      <c r="AU36">
        <v>760.74760679999997</v>
      </c>
      <c r="AV36">
        <v>716.71984440000006</v>
      </c>
      <c r="AW36">
        <v>674.98668929999997</v>
      </c>
    </row>
    <row r="37" spans="2:49" x14ac:dyDescent="0.25">
      <c r="B37" t="s">
        <v>137</v>
      </c>
      <c r="C37">
        <v>2185.3248924602099</v>
      </c>
      <c r="D37">
        <v>2220.4109904720199</v>
      </c>
      <c r="E37">
        <v>2256.0604069999999</v>
      </c>
      <c r="F37">
        <v>2168.6277380000001</v>
      </c>
      <c r="G37">
        <v>2077.8708369999999</v>
      </c>
      <c r="H37">
        <v>1992.3541290000001</v>
      </c>
      <c r="I37">
        <v>1910.0245480000001</v>
      </c>
      <c r="J37">
        <v>1827.117994</v>
      </c>
      <c r="K37">
        <v>1744.397665</v>
      </c>
      <c r="L37">
        <v>1661.616383</v>
      </c>
      <c r="M37">
        <v>1583.061144</v>
      </c>
      <c r="N37">
        <v>1510.920443</v>
      </c>
      <c r="O37">
        <v>1442.985531</v>
      </c>
      <c r="P37">
        <v>1391.901646</v>
      </c>
      <c r="Q37">
        <v>1339.990041</v>
      </c>
      <c r="R37">
        <v>1287.1685110000001</v>
      </c>
      <c r="S37">
        <v>1231.9647600000001</v>
      </c>
      <c r="T37">
        <v>1173.03619</v>
      </c>
      <c r="U37">
        <v>1107.8675129999999</v>
      </c>
      <c r="V37">
        <v>1042.6988349999999</v>
      </c>
      <c r="W37">
        <v>981.36360990000003</v>
      </c>
      <c r="X37">
        <v>923.63633870000001</v>
      </c>
      <c r="Y37">
        <v>869.3047894</v>
      </c>
      <c r="Z37">
        <v>818.16921349999996</v>
      </c>
      <c r="AA37">
        <v>770.04161269999997</v>
      </c>
      <c r="AB37">
        <v>724.74504730000001</v>
      </c>
      <c r="AC37">
        <v>682.11298569999997</v>
      </c>
      <c r="AD37">
        <v>641.98869239999999</v>
      </c>
      <c r="AE37">
        <v>604.22465169999998</v>
      </c>
      <c r="AF37">
        <v>568.68202510000003</v>
      </c>
      <c r="AG37">
        <v>535.23014130000001</v>
      </c>
      <c r="AH37">
        <v>503.74601530000001</v>
      </c>
      <c r="AI37">
        <v>474.11389680000002</v>
      </c>
      <c r="AJ37">
        <v>446.22484400000002</v>
      </c>
      <c r="AK37">
        <v>419.97632379999999</v>
      </c>
      <c r="AL37">
        <v>395.27183409999998</v>
      </c>
      <c r="AM37">
        <v>372.02054980000003</v>
      </c>
      <c r="AN37">
        <v>350.00749949999999</v>
      </c>
      <c r="AO37">
        <v>329.17371980000001</v>
      </c>
      <c r="AP37">
        <v>309.46271860000002</v>
      </c>
      <c r="AQ37">
        <v>290.82038610000001</v>
      </c>
      <c r="AR37">
        <v>273.19490819999999</v>
      </c>
      <c r="AS37">
        <v>256.53668210000001</v>
      </c>
      <c r="AT37">
        <v>240.79823529999999</v>
      </c>
      <c r="AU37">
        <v>225.93414670000001</v>
      </c>
      <c r="AV37">
        <v>211.90096990000001</v>
      </c>
      <c r="AW37">
        <v>198.65715929999999</v>
      </c>
    </row>
    <row r="38" spans="2:49" x14ac:dyDescent="0.25">
      <c r="B38" t="s">
        <v>138</v>
      </c>
      <c r="C38">
        <v>6.9573204344700098E-3</v>
      </c>
      <c r="D38" s="39">
        <v>7.06902246445449E-3</v>
      </c>
      <c r="E38">
        <v>7.1825179100000001E-3</v>
      </c>
      <c r="F38">
        <v>1.1408635699999999E-2</v>
      </c>
      <c r="G38">
        <v>2.1608730400000001E-2</v>
      </c>
      <c r="H38">
        <v>5.4968236500000003E-2</v>
      </c>
      <c r="I38">
        <v>0.10728814759999999</v>
      </c>
      <c r="J38">
        <v>0.1854052152</v>
      </c>
      <c r="K38">
        <v>0.27977290630000001</v>
      </c>
      <c r="L38">
        <v>0.41186033</v>
      </c>
      <c r="M38">
        <v>0.6179895044</v>
      </c>
      <c r="N38">
        <v>0.89131600109999998</v>
      </c>
      <c r="O38">
        <v>1.2903585820000001</v>
      </c>
      <c r="P38">
        <v>1.4919916369999999</v>
      </c>
      <c r="Q38">
        <v>1.8464088750000001</v>
      </c>
      <c r="R38">
        <v>2.4696404429999999</v>
      </c>
      <c r="S38">
        <v>3.4798610499999998</v>
      </c>
      <c r="T38">
        <v>4.9857965399999999</v>
      </c>
      <c r="U38">
        <v>8.8509550380000004</v>
      </c>
      <c r="V38">
        <v>15.04360282</v>
      </c>
      <c r="W38">
        <v>23.35265089</v>
      </c>
      <c r="X38">
        <v>30.706030080000001</v>
      </c>
      <c r="Y38">
        <v>42.521358599999999</v>
      </c>
      <c r="Z38">
        <v>58.371363080000002</v>
      </c>
      <c r="AA38">
        <v>78.243608510000001</v>
      </c>
      <c r="AB38">
        <v>102.21936650000001</v>
      </c>
      <c r="AC38">
        <v>123.9502464</v>
      </c>
      <c r="AD38">
        <v>153.84485369999999</v>
      </c>
      <c r="AE38">
        <v>188.54124419999999</v>
      </c>
      <c r="AF38">
        <v>227.76188070000001</v>
      </c>
      <c r="AG38">
        <v>271.42801120000001</v>
      </c>
      <c r="AH38">
        <v>310.24902939999998</v>
      </c>
      <c r="AI38">
        <v>358.03742729999999</v>
      </c>
      <c r="AJ38">
        <v>412.49758009999999</v>
      </c>
      <c r="AK38">
        <v>472.17220049999997</v>
      </c>
      <c r="AL38">
        <v>536.48468109999999</v>
      </c>
      <c r="AM38">
        <v>605.13584579999997</v>
      </c>
      <c r="AN38">
        <v>675.21345299999996</v>
      </c>
      <c r="AO38">
        <v>748.15186740000001</v>
      </c>
      <c r="AP38">
        <v>824.67267300000003</v>
      </c>
      <c r="AQ38">
        <v>904.99387920000004</v>
      </c>
      <c r="AR38">
        <v>974.96241880000002</v>
      </c>
      <c r="AS38">
        <v>1053.898958</v>
      </c>
      <c r="AT38">
        <v>1138.8615990000001</v>
      </c>
      <c r="AU38">
        <v>1228.2938509999999</v>
      </c>
      <c r="AV38">
        <v>1321.4255840000001</v>
      </c>
      <c r="AW38">
        <v>1417.833241</v>
      </c>
    </row>
    <row r="39" spans="2:49" x14ac:dyDescent="0.25">
      <c r="B39" t="s">
        <v>139</v>
      </c>
      <c r="C39">
        <v>1.59483191497851E-2</v>
      </c>
      <c r="D39">
        <v>1.6204374572364899E-2</v>
      </c>
      <c r="E39">
        <v>1.6464540999999999E-2</v>
      </c>
      <c r="F39">
        <v>2.7908665999999999E-2</v>
      </c>
      <c r="G39">
        <v>5.0116800599999997E-2</v>
      </c>
      <c r="H39">
        <v>9.7364229799999896E-2</v>
      </c>
      <c r="I39">
        <v>0.16648863389999999</v>
      </c>
      <c r="J39">
        <v>0.26519840259999999</v>
      </c>
      <c r="K39">
        <v>0.38339918239999998</v>
      </c>
      <c r="L39">
        <v>0.54177873850000002</v>
      </c>
      <c r="M39">
        <v>0.77237145500000004</v>
      </c>
      <c r="N39">
        <v>1.0664183410000001</v>
      </c>
      <c r="O39">
        <v>1.486284473</v>
      </c>
      <c r="P39">
        <v>1.8320501039999999</v>
      </c>
      <c r="Q39">
        <v>2.3497281619999999</v>
      </c>
      <c r="R39">
        <v>3.1315270669999999</v>
      </c>
      <c r="S39">
        <v>4.2612433960000002</v>
      </c>
      <c r="T39">
        <v>5.7979745149999999</v>
      </c>
      <c r="U39">
        <v>9.0249782920000001</v>
      </c>
      <c r="V39">
        <v>13.851058119999999</v>
      </c>
      <c r="W39">
        <v>20.260529569999999</v>
      </c>
      <c r="X39">
        <v>25.697027309999999</v>
      </c>
      <c r="Y39">
        <v>34.573111079999997</v>
      </c>
      <c r="Z39">
        <v>46.389217549999998</v>
      </c>
      <c r="AA39">
        <v>61.024234909999997</v>
      </c>
      <c r="AB39">
        <v>78.454015940000005</v>
      </c>
      <c r="AC39">
        <v>93.821680599999894</v>
      </c>
      <c r="AD39">
        <v>114.9910952</v>
      </c>
      <c r="AE39">
        <v>139.2719759</v>
      </c>
      <c r="AF39">
        <v>166.3908261</v>
      </c>
      <c r="AG39">
        <v>196.20368629999999</v>
      </c>
      <c r="AH39">
        <v>222.05889930000001</v>
      </c>
      <c r="AI39">
        <v>253.79200539999999</v>
      </c>
      <c r="AJ39">
        <v>289.58897050000002</v>
      </c>
      <c r="AK39">
        <v>328.31790599999999</v>
      </c>
      <c r="AL39">
        <v>369.50286840000001</v>
      </c>
      <c r="AM39">
        <v>412.87419940000001</v>
      </c>
      <c r="AN39">
        <v>456.24349569999998</v>
      </c>
      <c r="AO39">
        <v>500.53607269999998</v>
      </c>
      <c r="AP39">
        <v>546.15776700000004</v>
      </c>
      <c r="AQ39">
        <v>593.17085050000003</v>
      </c>
      <c r="AR39">
        <v>632.60190469999998</v>
      </c>
      <c r="AS39">
        <v>676.69671619999997</v>
      </c>
      <c r="AT39">
        <v>723.39796120000005</v>
      </c>
      <c r="AU39">
        <v>771.61691169999995</v>
      </c>
      <c r="AV39">
        <v>820.80081859999996</v>
      </c>
      <c r="AW39">
        <v>870.62142740000002</v>
      </c>
    </row>
    <row r="40" spans="2:49" x14ac:dyDescent="0.25">
      <c r="B40" t="s">
        <v>140</v>
      </c>
      <c r="C40">
        <v>6.5291776385026298E-2</v>
      </c>
      <c r="D40" s="39">
        <v>6.63400569741113E-2</v>
      </c>
      <c r="E40">
        <v>6.7405168000000001E-2</v>
      </c>
      <c r="F40">
        <v>0.1170271178</v>
      </c>
      <c r="G40">
        <v>0.2060978799</v>
      </c>
      <c r="H40">
        <v>0.35376968089999999</v>
      </c>
      <c r="I40">
        <v>0.55735199199999996</v>
      </c>
      <c r="J40">
        <v>0.83605227739999999</v>
      </c>
      <c r="K40">
        <v>1.1668847339999999</v>
      </c>
      <c r="L40">
        <v>1.5903565129999999</v>
      </c>
      <c r="M40">
        <v>2.158714324</v>
      </c>
      <c r="N40">
        <v>2.8472666219999998</v>
      </c>
      <c r="O40">
        <v>3.800436049</v>
      </c>
      <c r="P40">
        <v>5.0321651530000002</v>
      </c>
      <c r="Q40">
        <v>6.689326264</v>
      </c>
      <c r="R40">
        <v>8.8807542379999997</v>
      </c>
      <c r="S40">
        <v>11.66406469</v>
      </c>
      <c r="T40">
        <v>14.99700704</v>
      </c>
      <c r="U40">
        <v>19.710342690000001</v>
      </c>
      <c r="V40">
        <v>25.577138519999998</v>
      </c>
      <c r="W40">
        <v>33.164836450000003</v>
      </c>
      <c r="X40">
        <v>38.801746790000003</v>
      </c>
      <c r="Y40">
        <v>48.548762019999998</v>
      </c>
      <c r="Z40">
        <v>61.261185740000002</v>
      </c>
      <c r="AA40">
        <v>76.457265620000001</v>
      </c>
      <c r="AB40">
        <v>93.867538699999997</v>
      </c>
      <c r="AC40">
        <v>107.9020179</v>
      </c>
      <c r="AD40">
        <v>127.3931918</v>
      </c>
      <c r="AE40">
        <v>148.93843770000001</v>
      </c>
      <c r="AF40">
        <v>172.09924659999999</v>
      </c>
      <c r="AG40">
        <v>196.5400549</v>
      </c>
      <c r="AH40">
        <v>215.9697817</v>
      </c>
      <c r="AI40">
        <v>239.66320949999999</v>
      </c>
      <c r="AJ40">
        <v>265.51521430000003</v>
      </c>
      <c r="AK40">
        <v>292.30076869999999</v>
      </c>
      <c r="AL40">
        <v>319.49163609999999</v>
      </c>
      <c r="AM40">
        <v>346.78022490000001</v>
      </c>
      <c r="AN40">
        <v>372.02152919999997</v>
      </c>
      <c r="AO40">
        <v>395.96189709999999</v>
      </c>
      <c r="AP40">
        <v>418.85384720000002</v>
      </c>
      <c r="AQ40">
        <v>440.67848420000001</v>
      </c>
      <c r="AR40">
        <v>455.72262280000001</v>
      </c>
      <c r="AS40">
        <v>471.99455210000002</v>
      </c>
      <c r="AT40">
        <v>487.89597140000001</v>
      </c>
      <c r="AU40">
        <v>502.64255400000002</v>
      </c>
      <c r="AV40">
        <v>515.87033970000005</v>
      </c>
      <c r="AW40">
        <v>527.37269819999995</v>
      </c>
    </row>
    <row r="41" spans="2:49" x14ac:dyDescent="0.25">
      <c r="B41" t="s">
        <v>141</v>
      </c>
      <c r="C41">
        <v>1.5338215665531501</v>
      </c>
      <c r="D41">
        <v>1.55844756793281</v>
      </c>
      <c r="E41">
        <v>1.5834689479999999</v>
      </c>
      <c r="F41">
        <v>2.7567227569999999</v>
      </c>
      <c r="G41">
        <v>4.8441439910000001</v>
      </c>
      <c r="H41">
        <v>8.1917021660000007</v>
      </c>
      <c r="I41">
        <v>12.764713090000001</v>
      </c>
      <c r="J41">
        <v>18.982715809999998</v>
      </c>
      <c r="K41">
        <v>26.353309429999999</v>
      </c>
      <c r="L41">
        <v>35.715232640000004</v>
      </c>
      <c r="M41">
        <v>48.098603570000002</v>
      </c>
      <c r="N41">
        <v>62.955936280000003</v>
      </c>
      <c r="O41">
        <v>83.399420219999996</v>
      </c>
      <c r="P41">
        <v>111.8326483</v>
      </c>
      <c r="Q41">
        <v>149.5286993</v>
      </c>
      <c r="R41">
        <v>198.36308750000001</v>
      </c>
      <c r="S41">
        <v>259.00158850000003</v>
      </c>
      <c r="T41">
        <v>329.82252089999997</v>
      </c>
      <c r="U41">
        <v>420.938828</v>
      </c>
      <c r="V41">
        <v>528.91905510000004</v>
      </c>
      <c r="W41">
        <v>667.85508709999999</v>
      </c>
      <c r="X41">
        <v>767.36523079999995</v>
      </c>
      <c r="Y41">
        <v>942.84326250000004</v>
      </c>
      <c r="Z41">
        <v>1171.0072230000001</v>
      </c>
      <c r="AA41">
        <v>1441.8907850000001</v>
      </c>
      <c r="AB41">
        <v>1750.00866</v>
      </c>
      <c r="AC41">
        <v>1993.908743</v>
      </c>
      <c r="AD41">
        <v>2334.0926800000002</v>
      </c>
      <c r="AE41">
        <v>2708.3378029999999</v>
      </c>
      <c r="AF41">
        <v>3108.9430779999998</v>
      </c>
      <c r="AG41">
        <v>3530.151515</v>
      </c>
      <c r="AH41">
        <v>3862.1565439999999</v>
      </c>
      <c r="AI41">
        <v>4268.2567529999997</v>
      </c>
      <c r="AJ41">
        <v>4711.83248</v>
      </c>
      <c r="AK41">
        <v>5172.2134770000002</v>
      </c>
      <c r="AL41">
        <v>5641.1026879999999</v>
      </c>
      <c r="AM41">
        <v>6114.1305009999996</v>
      </c>
      <c r="AN41">
        <v>6555.9733619999997</v>
      </c>
      <c r="AO41">
        <v>6980.9646590000002</v>
      </c>
      <c r="AP41">
        <v>7395.0053969999999</v>
      </c>
      <c r="AQ41">
        <v>7799.3679439999996</v>
      </c>
      <c r="AR41">
        <v>8094.7132799999999</v>
      </c>
      <c r="AS41">
        <v>8422.5033110000004</v>
      </c>
      <c r="AT41">
        <v>8757.2916550000009</v>
      </c>
      <c r="AU41">
        <v>9087.1735570000001</v>
      </c>
      <c r="AV41">
        <v>9407.2267589999901</v>
      </c>
      <c r="AW41">
        <v>9715.193953</v>
      </c>
    </row>
    <row r="42" spans="2:49" x14ac:dyDescent="0.25">
      <c r="B42" t="s">
        <v>142</v>
      </c>
      <c r="C42">
        <v>0.60453762790594801</v>
      </c>
      <c r="D42" s="39">
        <v>0.61424367506521405</v>
      </c>
      <c r="E42">
        <v>0.62410555599999995</v>
      </c>
      <c r="F42">
        <v>1.0871213550000001</v>
      </c>
      <c r="G42">
        <v>1.9094584729999999</v>
      </c>
      <c r="H42">
        <v>3.219025212</v>
      </c>
      <c r="I42">
        <v>5.0043315499999999</v>
      </c>
      <c r="J42">
        <v>7.4280593599999998</v>
      </c>
      <c r="K42">
        <v>10.300096910000001</v>
      </c>
      <c r="L42" s="39">
        <v>13.941445480000001</v>
      </c>
      <c r="M42" s="39">
        <v>18.74094062</v>
      </c>
      <c r="N42" s="39">
        <v>24.485151729999998</v>
      </c>
      <c r="O42" s="39">
        <v>32.376636849999997</v>
      </c>
      <c r="P42" s="39">
        <v>43.544008869999999</v>
      </c>
      <c r="Q42" s="39">
        <v>58.302239389999997</v>
      </c>
      <c r="R42">
        <v>77.332213510000003</v>
      </c>
      <c r="S42">
        <v>100.8337633</v>
      </c>
      <c r="T42">
        <v>128.10455970000001</v>
      </c>
      <c r="U42">
        <v>162.1451687</v>
      </c>
      <c r="V42">
        <v>201.62105940000001</v>
      </c>
      <c r="W42">
        <v>252.23454749999999</v>
      </c>
      <c r="X42">
        <v>287.7443298</v>
      </c>
      <c r="Y42">
        <v>350.9764303</v>
      </c>
      <c r="Z42">
        <v>432.94328849999999</v>
      </c>
      <c r="AA42">
        <v>529.71291289999999</v>
      </c>
      <c r="AB42">
        <v>639.08094670000003</v>
      </c>
      <c r="AC42">
        <v>724.24982980000004</v>
      </c>
      <c r="AD42">
        <v>843.26721210000005</v>
      </c>
      <c r="AE42">
        <v>973.30392070000005</v>
      </c>
      <c r="AF42">
        <v>1111.4787550000001</v>
      </c>
      <c r="AG42">
        <v>1255.5828320000001</v>
      </c>
      <c r="AH42">
        <v>1367.0419440000001</v>
      </c>
      <c r="AI42">
        <v>1503.271027</v>
      </c>
      <c r="AJ42">
        <v>1651.0412859999999</v>
      </c>
      <c r="AK42">
        <v>1802.9849879999999</v>
      </c>
      <c r="AL42">
        <v>1956.1672040000001</v>
      </c>
      <c r="AM42">
        <v>2109.0629479999998</v>
      </c>
      <c r="AN42">
        <v>2249.32114</v>
      </c>
      <c r="AO42">
        <v>2381.9378080000001</v>
      </c>
      <c r="AP42">
        <v>2508.958087</v>
      </c>
      <c r="AQ42">
        <v>2630.8615289999998</v>
      </c>
      <c r="AR42">
        <v>2715.4411519999999</v>
      </c>
      <c r="AS42">
        <v>2809.0824469999998</v>
      </c>
      <c r="AT42">
        <v>2903.3476679999999</v>
      </c>
      <c r="AU42">
        <v>2994.4182700000001</v>
      </c>
      <c r="AV42">
        <v>3080.8241969999999</v>
      </c>
      <c r="AW42">
        <v>3161.9747080000002</v>
      </c>
    </row>
    <row r="43" spans="2:49" x14ac:dyDescent="0.25">
      <c r="B43" t="s">
        <v>143</v>
      </c>
      <c r="C43">
        <v>8.2417488223721705E-3</v>
      </c>
      <c r="D43">
        <v>8.3740727655845504E-3</v>
      </c>
      <c r="E43">
        <v>8.5085212099999998E-3</v>
      </c>
      <c r="F43">
        <v>1.5650115400000001E-2</v>
      </c>
      <c r="G43">
        <v>2.6308649600000001E-2</v>
      </c>
      <c r="H43">
        <v>3.0576940600000001E-2</v>
      </c>
      <c r="I43">
        <v>3.1390164499999998E-2</v>
      </c>
      <c r="J43">
        <v>4.0204046E-2</v>
      </c>
      <c r="K43">
        <v>5.0809735500000001E-2</v>
      </c>
      <c r="L43">
        <v>6.44832511E-2</v>
      </c>
      <c r="M43">
        <v>8.2793034799999998E-2</v>
      </c>
      <c r="N43">
        <v>0.10490368880000001</v>
      </c>
      <c r="O43">
        <v>0.13555518659999999</v>
      </c>
      <c r="P43">
        <v>0.21443277559999999</v>
      </c>
      <c r="Q43">
        <v>0.26081983800000003</v>
      </c>
      <c r="R43">
        <v>0.3335502897</v>
      </c>
      <c r="S43">
        <v>0.42435466820000001</v>
      </c>
      <c r="T43">
        <v>0.53077136039999995</v>
      </c>
      <c r="U43">
        <v>0.66826706709999995</v>
      </c>
      <c r="V43">
        <v>0.83182819569999999</v>
      </c>
      <c r="W43">
        <v>1.042926319</v>
      </c>
      <c r="X43">
        <v>1.1941398050000001</v>
      </c>
      <c r="Y43">
        <v>1.4616952780000001</v>
      </c>
      <c r="Z43">
        <v>1.8102273760000001</v>
      </c>
      <c r="AA43">
        <v>2.224663429</v>
      </c>
      <c r="AB43">
        <v>2.69675463</v>
      </c>
      <c r="AC43">
        <v>3.0712073630000001</v>
      </c>
      <c r="AD43">
        <v>3.5938828969999999</v>
      </c>
      <c r="AE43">
        <v>4.1697471129999997</v>
      </c>
      <c r="AF43">
        <v>4.7871258240000003</v>
      </c>
      <c r="AG43">
        <v>5.4373624029999998</v>
      </c>
      <c r="AH43">
        <v>5.9515899389999998</v>
      </c>
      <c r="AI43">
        <v>6.5810438180000004</v>
      </c>
      <c r="AJ43">
        <v>7.2697901270000003</v>
      </c>
      <c r="AK43">
        <v>7.986229582</v>
      </c>
      <c r="AL43">
        <v>8.7177284840000002</v>
      </c>
      <c r="AM43">
        <v>9.4576715740000008</v>
      </c>
      <c r="AN43">
        <v>10.151921270000001</v>
      </c>
      <c r="AO43">
        <v>10.82271162</v>
      </c>
      <c r="AP43">
        <v>11.4793197</v>
      </c>
      <c r="AQ43">
        <v>12.12385613</v>
      </c>
      <c r="AR43">
        <v>12.600875569999999</v>
      </c>
      <c r="AS43">
        <v>13.13146675</v>
      </c>
      <c r="AT43">
        <v>13.676275090000001</v>
      </c>
      <c r="AU43">
        <v>14.21683107</v>
      </c>
      <c r="AV43">
        <v>14.74546574</v>
      </c>
      <c r="AW43">
        <v>15.25865467</v>
      </c>
    </row>
    <row r="44" spans="2:49" x14ac:dyDescent="0.25">
      <c r="B44" t="s">
        <v>144</v>
      </c>
      <c r="C44">
        <v>0.101255771246286</v>
      </c>
      <c r="D44" s="39">
        <v>0.10288146540575301</v>
      </c>
      <c r="E44">
        <v>0.1045332606</v>
      </c>
      <c r="F44">
        <v>0.18273494009999999</v>
      </c>
      <c r="G44">
        <v>0.3200394231</v>
      </c>
      <c r="H44">
        <v>0.52897748209999995</v>
      </c>
      <c r="I44">
        <v>0.8100899386</v>
      </c>
      <c r="J44">
        <v>1.1879314949999999</v>
      </c>
      <c r="K44">
        <v>1.63471342</v>
      </c>
      <c r="L44">
        <v>2.1946151899999999</v>
      </c>
      <c r="M44">
        <v>2.9160719660000001</v>
      </c>
      <c r="N44">
        <v>3.7661574799999999</v>
      </c>
      <c r="O44">
        <v>4.9224829330000004</v>
      </c>
      <c r="P44">
        <v>6.7496837799999998</v>
      </c>
      <c r="Q44">
        <v>9.1158546000000005</v>
      </c>
      <c r="R44">
        <v>12.07727189</v>
      </c>
      <c r="S44">
        <v>15.609628669999999</v>
      </c>
      <c r="T44">
        <v>19.5431472</v>
      </c>
      <c r="U44">
        <v>23.598263209999999</v>
      </c>
      <c r="V44">
        <v>27.709093670000001</v>
      </c>
      <c r="W44">
        <v>32.889662829999999</v>
      </c>
      <c r="X44">
        <v>36.068319469999999</v>
      </c>
      <c r="Y44">
        <v>42.161024609999998</v>
      </c>
      <c r="Z44">
        <v>49.954055820000001</v>
      </c>
      <c r="AA44">
        <v>58.889670979999998</v>
      </c>
      <c r="AB44">
        <v>68.654023199999997</v>
      </c>
      <c r="AC44">
        <v>75.570232939999997</v>
      </c>
      <c r="AD44">
        <v>85.41370216</v>
      </c>
      <c r="AE44">
        <v>95.804543150000001</v>
      </c>
      <c r="AF44">
        <v>106.4483953</v>
      </c>
      <c r="AG44">
        <v>117.11253840000001</v>
      </c>
      <c r="AH44">
        <v>124.5431628</v>
      </c>
      <c r="AI44">
        <v>133.6799398</v>
      </c>
      <c r="AJ44">
        <v>143.30407410000001</v>
      </c>
      <c r="AK44">
        <v>152.7966807</v>
      </c>
      <c r="AL44">
        <v>161.94617500000001</v>
      </c>
      <c r="AM44">
        <v>170.66909279999999</v>
      </c>
      <c r="AN44">
        <v>178.02497640000001</v>
      </c>
      <c r="AO44">
        <v>184.46633840000001</v>
      </c>
      <c r="AP44">
        <v>190.2018917</v>
      </c>
      <c r="AQ44">
        <v>195.32384010000001</v>
      </c>
      <c r="AR44">
        <v>197.88688859999999</v>
      </c>
      <c r="AS44">
        <v>200.88268249999999</v>
      </c>
      <c r="AT44">
        <v>203.79615089999999</v>
      </c>
      <c r="AU44">
        <v>206.43185500000001</v>
      </c>
      <c r="AV44">
        <v>208.74564340000001</v>
      </c>
      <c r="AW44">
        <v>210.7437506</v>
      </c>
    </row>
    <row r="45" spans="2:49" x14ac:dyDescent="0.25">
      <c r="B45" t="s">
        <v>145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</row>
    <row r="46" spans="2:49" x14ac:dyDescent="0.25">
      <c r="B46" t="s">
        <v>146</v>
      </c>
      <c r="C46">
        <v>30996.0941631817</v>
      </c>
      <c r="D46">
        <v>31493.7464809423</v>
      </c>
      <c r="E46">
        <v>31999.388770000001</v>
      </c>
      <c r="F46">
        <v>32684.18043</v>
      </c>
      <c r="G46">
        <v>33307.416940000003</v>
      </c>
      <c r="H46">
        <v>34130.368560000003</v>
      </c>
      <c r="I46">
        <v>34844.395790000002</v>
      </c>
      <c r="J46">
        <v>35460.223230000003</v>
      </c>
      <c r="K46">
        <v>35691.144520000002</v>
      </c>
      <c r="L46">
        <v>35785.456440000002</v>
      </c>
      <c r="M46">
        <v>35874.676379999997</v>
      </c>
      <c r="N46">
        <v>35815.190199999997</v>
      </c>
      <c r="O46">
        <v>35851.090270000001</v>
      </c>
      <c r="P46">
        <v>36150.507400000002</v>
      </c>
      <c r="Q46">
        <v>36480.793080000003</v>
      </c>
      <c r="R46">
        <v>36811.1558</v>
      </c>
      <c r="S46">
        <v>37072.879379999998</v>
      </c>
      <c r="T46">
        <v>37175.800410000003</v>
      </c>
      <c r="U46">
        <v>37140.593529999998</v>
      </c>
      <c r="V46">
        <v>36919.960270000003</v>
      </c>
      <c r="W46">
        <v>36760.58726</v>
      </c>
      <c r="X46">
        <v>35927.308190000003</v>
      </c>
      <c r="Y46">
        <v>35531.21617</v>
      </c>
      <c r="Z46">
        <v>35259.48373</v>
      </c>
      <c r="AA46">
        <v>35001.566160000002</v>
      </c>
      <c r="AB46">
        <v>34715.696459999999</v>
      </c>
      <c r="AC46">
        <v>34013.532509999997</v>
      </c>
      <c r="AD46">
        <v>33539.503940000002</v>
      </c>
      <c r="AE46">
        <v>33061.274279999998</v>
      </c>
      <c r="AF46">
        <v>32564.875650000002</v>
      </c>
      <c r="AG46">
        <v>32047.18145</v>
      </c>
      <c r="AH46">
        <v>31291.221379999999</v>
      </c>
      <c r="AI46">
        <v>30656.07879</v>
      </c>
      <c r="AJ46">
        <v>30066.151709999998</v>
      </c>
      <c r="AK46">
        <v>29488.247950000001</v>
      </c>
      <c r="AL46">
        <v>28914.445350000002</v>
      </c>
      <c r="AM46" s="39">
        <v>28343.680509999998</v>
      </c>
      <c r="AN46" s="39">
        <v>27727.982899999999</v>
      </c>
      <c r="AO46" s="39">
        <v>27094.730780000002</v>
      </c>
      <c r="AP46" s="39">
        <v>26456.975999999999</v>
      </c>
      <c r="AQ46" s="39">
        <v>25820.474819999999</v>
      </c>
      <c r="AR46" s="39">
        <v>25082.731179999999</v>
      </c>
      <c r="AS46" s="39">
        <v>24399.83455</v>
      </c>
      <c r="AT46" s="39">
        <v>23745.518889999999</v>
      </c>
      <c r="AU46" s="39">
        <v>23108.9539</v>
      </c>
      <c r="AV46" s="39">
        <v>22486.57487</v>
      </c>
      <c r="AW46" s="39">
        <v>21877.34276</v>
      </c>
    </row>
    <row r="47" spans="2:49" x14ac:dyDescent="0.25">
      <c r="B47" t="s">
        <v>147</v>
      </c>
      <c r="C47">
        <v>2.3360541304970401</v>
      </c>
      <c r="D47">
        <v>2.3735602351802898</v>
      </c>
      <c r="E47">
        <v>2.411668513</v>
      </c>
      <c r="F47" s="39">
        <v>4.1985735870000003</v>
      </c>
      <c r="G47" s="39">
        <v>7.3777739469999997</v>
      </c>
      <c r="H47">
        <v>12.476383950000001</v>
      </c>
      <c r="I47">
        <v>19.441653519999999</v>
      </c>
      <c r="J47">
        <v>28.925566610000001</v>
      </c>
      <c r="K47">
        <v>40.168986330000003</v>
      </c>
      <c r="L47">
        <v>54.459772149999999</v>
      </c>
      <c r="M47">
        <v>73.387484479999998</v>
      </c>
      <c r="N47">
        <v>96.117150150000001</v>
      </c>
      <c r="O47">
        <v>127.4111743</v>
      </c>
      <c r="P47" s="39">
        <v>170.69698059999999</v>
      </c>
      <c r="Q47" s="39">
        <v>228.0930765</v>
      </c>
      <c r="R47" s="39">
        <v>302.5880449</v>
      </c>
      <c r="S47" s="39">
        <v>395.27450429999999</v>
      </c>
      <c r="T47" s="39">
        <v>503.78177729999999</v>
      </c>
      <c r="U47" s="39">
        <v>644.93680289999998</v>
      </c>
      <c r="V47" s="39">
        <v>813.55283580000003</v>
      </c>
      <c r="W47" s="39">
        <v>1030.8002409999999</v>
      </c>
      <c r="X47" s="39">
        <v>1187.576824</v>
      </c>
      <c r="Y47" s="39">
        <v>1463.085644</v>
      </c>
      <c r="Z47" s="39">
        <v>1821.7365609999999</v>
      </c>
      <c r="AA47" s="39">
        <v>2248.4431410000002</v>
      </c>
      <c r="AB47" s="39">
        <v>2734.9813060000001</v>
      </c>
      <c r="AC47" s="39">
        <v>3122.473958</v>
      </c>
      <c r="AD47" s="39">
        <v>3662.5966170000002</v>
      </c>
      <c r="AE47" s="39">
        <v>4258.3676720000003</v>
      </c>
      <c r="AF47" s="39">
        <v>4897.9093080000002</v>
      </c>
      <c r="AG47" s="39">
        <v>5572.4560000000001</v>
      </c>
      <c r="AH47" s="39">
        <v>6107.9709510000002</v>
      </c>
      <c r="AI47">
        <v>6763.2814070000004</v>
      </c>
      <c r="AJ47">
        <v>7481.049395</v>
      </c>
      <c r="AK47">
        <v>8228.77225</v>
      </c>
      <c r="AL47">
        <v>8993.4129809999995</v>
      </c>
      <c r="AM47">
        <v>9768.1104830000004</v>
      </c>
      <c r="AN47">
        <v>10496.94988</v>
      </c>
      <c r="AO47">
        <v>11202.841350000001</v>
      </c>
      <c r="AP47">
        <v>11895.32898</v>
      </c>
      <c r="AQ47">
        <v>12576.52038</v>
      </c>
      <c r="AR47">
        <v>13083.92914</v>
      </c>
      <c r="AS47">
        <v>13648.190130000001</v>
      </c>
      <c r="AT47">
        <v>14228.26728</v>
      </c>
      <c r="AU47">
        <v>14804.793830000001</v>
      </c>
      <c r="AV47">
        <v>15369.63881</v>
      </c>
      <c r="AW47">
        <v>15918.99843</v>
      </c>
    </row>
    <row r="48" spans="2:49" x14ac:dyDescent="0.25">
      <c r="B48" t="s">
        <v>148</v>
      </c>
      <c r="C48">
        <v>2.1906436884240502E-2</v>
      </c>
      <c r="D48">
        <v>2.2258151814254699E-2</v>
      </c>
      <c r="E48">
        <v>2.2615513600000001E-2</v>
      </c>
      <c r="F48" s="39">
        <v>2.4388332200000001E-2</v>
      </c>
      <c r="G48" s="39">
        <v>5.8671874700000001E-2</v>
      </c>
      <c r="H48">
        <v>9.6155563200000002E-2</v>
      </c>
      <c r="I48">
        <v>0.13575504790000001</v>
      </c>
      <c r="J48">
        <v>0.18924099929999999</v>
      </c>
      <c r="K48" s="39">
        <v>0.2382777432</v>
      </c>
      <c r="L48" s="39">
        <v>0.281396955</v>
      </c>
      <c r="M48" s="39">
        <v>0.32170987080000002</v>
      </c>
      <c r="N48" s="39">
        <v>0.34408751770000001</v>
      </c>
      <c r="O48" s="39">
        <v>0.36189726280000001</v>
      </c>
      <c r="P48" s="39">
        <v>0.37286083209999998</v>
      </c>
      <c r="Q48" s="39">
        <v>0.40433401159999999</v>
      </c>
      <c r="R48" s="39">
        <v>0.43961072289999997</v>
      </c>
      <c r="S48" s="39">
        <v>0.4998452357</v>
      </c>
      <c r="T48" s="39">
        <v>0.54887710639999998</v>
      </c>
      <c r="U48" s="39">
        <v>0.63119686330000002</v>
      </c>
      <c r="V48" s="39">
        <v>0.72230641480000002</v>
      </c>
      <c r="W48" s="39">
        <v>0.81835865119999995</v>
      </c>
      <c r="X48" s="39">
        <v>0.87067555900000004</v>
      </c>
      <c r="Y48" s="39">
        <v>0.94794804340000005</v>
      </c>
      <c r="Z48" s="39">
        <v>1.03304672</v>
      </c>
      <c r="AA48" s="39">
        <v>1.1199186219999999</v>
      </c>
      <c r="AB48" s="39">
        <v>1.2056667619999999</v>
      </c>
      <c r="AC48" s="39">
        <v>1.257745959</v>
      </c>
      <c r="AD48" s="39">
        <v>1.3269565839999999</v>
      </c>
      <c r="AE48" s="39">
        <v>1.395309696</v>
      </c>
      <c r="AF48" s="39">
        <v>1.4616751029999999</v>
      </c>
      <c r="AG48" s="39">
        <v>1.524866461</v>
      </c>
      <c r="AH48" s="39">
        <v>1.5635596060000001</v>
      </c>
      <c r="AI48" s="39">
        <v>1.612730614</v>
      </c>
      <c r="AJ48" s="39">
        <v>1.6648954140000001</v>
      </c>
      <c r="AK48" s="39">
        <v>1.7170809899999999</v>
      </c>
      <c r="AL48" s="39">
        <v>1.768205719</v>
      </c>
      <c r="AM48" s="39">
        <v>1.817832414</v>
      </c>
      <c r="AN48">
        <v>1.8614741239999999</v>
      </c>
      <c r="AO48">
        <v>1.902106742</v>
      </c>
      <c r="AP48">
        <v>1.9410388059999999</v>
      </c>
      <c r="AQ48">
        <v>1.9789202210000001</v>
      </c>
      <c r="AR48">
        <v>1.9993975980000001</v>
      </c>
      <c r="AS48">
        <v>2.0263901620000002</v>
      </c>
      <c r="AT48">
        <v>2.0561111350000001</v>
      </c>
      <c r="AU48">
        <v>2.0869284879999999</v>
      </c>
      <c r="AV48">
        <v>2.1180891910000001</v>
      </c>
      <c r="AW48">
        <v>2.149205544</v>
      </c>
    </row>
    <row r="49" spans="2:99" x14ac:dyDescent="0.25">
      <c r="B49" t="s">
        <v>149</v>
      </c>
      <c r="C49">
        <v>2298.5980133353301</v>
      </c>
      <c r="D49">
        <v>2335.5027479420201</v>
      </c>
      <c r="E49">
        <v>2373</v>
      </c>
      <c r="F49" s="39">
        <v>2446.6775899999998</v>
      </c>
      <c r="G49" s="39">
        <v>2424.2765530000001</v>
      </c>
      <c r="H49">
        <v>2660.3639440000002</v>
      </c>
      <c r="I49">
        <v>2598.8489709999999</v>
      </c>
      <c r="J49">
        <v>2542.822412</v>
      </c>
      <c r="K49" s="39">
        <v>2194.0678939999998</v>
      </c>
      <c r="L49" s="39">
        <v>2073.8249529999998</v>
      </c>
      <c r="M49" s="39">
        <v>2079.3430400000002</v>
      </c>
      <c r="N49" s="39">
        <v>1940.3869999999999</v>
      </c>
      <c r="O49" s="39">
        <v>2042.316</v>
      </c>
      <c r="P49" s="39">
        <v>2141.6280000000002</v>
      </c>
      <c r="Q49" s="39">
        <v>2203.7420000000002</v>
      </c>
      <c r="R49" s="39">
        <v>2240.3020000000001</v>
      </c>
      <c r="S49" s="39">
        <v>2210.0972230000002</v>
      </c>
      <c r="T49" s="39">
        <v>2084.8360039999998</v>
      </c>
      <c r="U49" s="39">
        <v>2199.2582649999999</v>
      </c>
      <c r="V49" s="39">
        <v>2170.6610230000001</v>
      </c>
      <c r="W49" s="39">
        <v>2277.4928190000001</v>
      </c>
      <c r="X49" s="39">
        <v>1546.520311</v>
      </c>
      <c r="Y49" s="39">
        <v>2062.6453270000002</v>
      </c>
      <c r="Z49" s="39">
        <v>2263.0538839999999</v>
      </c>
      <c r="AA49" s="39">
        <v>2350.0372590000002</v>
      </c>
      <c r="AB49" s="39">
        <v>2391.8454820000002</v>
      </c>
      <c r="AC49" s="39">
        <v>1888.309747</v>
      </c>
      <c r="AD49" s="39">
        <v>2250.5650569999998</v>
      </c>
      <c r="AE49" s="39">
        <v>2305.9002500000001</v>
      </c>
      <c r="AF49" s="39">
        <v>2338.41606</v>
      </c>
      <c r="AG49" s="39">
        <v>2360.5457249999999</v>
      </c>
      <c r="AH49" s="39">
        <v>1992.4747359999999</v>
      </c>
      <c r="AI49" s="39">
        <v>2220.1203529999998</v>
      </c>
      <c r="AJ49" s="39">
        <v>2328.9797429999999</v>
      </c>
      <c r="AK49" s="39">
        <v>2378.4779819999999</v>
      </c>
      <c r="AL49" s="39">
        <v>2409.4863839999998</v>
      </c>
      <c r="AM49" s="39">
        <v>2433.806677</v>
      </c>
      <c r="AN49">
        <v>2368.2773499999998</v>
      </c>
      <c r="AO49">
        <v>2347.9329760000001</v>
      </c>
      <c r="AP49">
        <v>2348.000634</v>
      </c>
      <c r="AQ49">
        <v>2355.0700379999998</v>
      </c>
      <c r="AR49">
        <v>2096.7557419999998</v>
      </c>
      <c r="AS49">
        <v>2208.599745</v>
      </c>
      <c r="AT49">
        <v>2259.9961269999999</v>
      </c>
      <c r="AU49">
        <v>2284.0224400000002</v>
      </c>
      <c r="AV49">
        <v>2297.3571109999998</v>
      </c>
      <c r="AW49">
        <v>2306.1408750000001</v>
      </c>
    </row>
    <row r="50" spans="2:99" x14ac:dyDescent="0.25">
      <c r="B50" t="s">
        <v>150</v>
      </c>
      <c r="C50">
        <v>2297.4487143286601</v>
      </c>
      <c r="D50">
        <v>2334.33499656805</v>
      </c>
      <c r="E50">
        <v>2371.8135000000002</v>
      </c>
      <c r="F50" s="39">
        <v>2444.7580429999998</v>
      </c>
      <c r="G50" s="39">
        <v>2420.8664309999999</v>
      </c>
      <c r="H50">
        <v>2654.8595559999999</v>
      </c>
      <c r="I50">
        <v>2591.1975000000002</v>
      </c>
      <c r="J50">
        <v>2532.2692069999998</v>
      </c>
      <c r="K50" s="39">
        <v>2181.2335680000001</v>
      </c>
      <c r="L50" s="39">
        <v>2057.324873</v>
      </c>
      <c r="M50" s="39">
        <v>2057.4200409999999</v>
      </c>
      <c r="N50" s="39">
        <v>1913.6210229999999</v>
      </c>
      <c r="O50" s="39">
        <v>2005.735533</v>
      </c>
      <c r="P50" s="39">
        <v>2091.9716349999999</v>
      </c>
      <c r="Q50" s="39">
        <v>2137.8110550000001</v>
      </c>
      <c r="R50" s="39">
        <v>2154.4023780000002</v>
      </c>
      <c r="S50" s="39">
        <v>2102.2813609999998</v>
      </c>
      <c r="T50" s="39">
        <v>1956.565006</v>
      </c>
      <c r="U50" s="39">
        <v>2030.115362</v>
      </c>
      <c r="V50" s="39">
        <v>1964.1075310000001</v>
      </c>
      <c r="W50" s="39">
        <v>2012.389365</v>
      </c>
      <c r="X50" s="39">
        <v>1329.108418</v>
      </c>
      <c r="Y50" s="39">
        <v>1717.279047</v>
      </c>
      <c r="Z50" s="39">
        <v>1818.3391059999999</v>
      </c>
      <c r="AA50" s="39">
        <v>1816.169705</v>
      </c>
      <c r="AB50" s="39">
        <v>1773.045957</v>
      </c>
      <c r="AC50" s="39">
        <v>1339.9358420000001</v>
      </c>
      <c r="AD50" s="39">
        <v>1526.7674589999999</v>
      </c>
      <c r="AE50" s="39">
        <v>1494.6823360000001</v>
      </c>
      <c r="AF50" s="39">
        <v>1448.382208</v>
      </c>
      <c r="AG50" s="39">
        <v>1397.8867210000001</v>
      </c>
      <c r="AH50" s="39">
        <v>1129.1682559999999</v>
      </c>
      <c r="AI50" s="39">
        <v>1205.5174870000001</v>
      </c>
      <c r="AJ50" s="39">
        <v>1213.371672</v>
      </c>
      <c r="AK50" s="39">
        <v>1190.693397</v>
      </c>
      <c r="AL50" s="39">
        <v>1160.8002269999999</v>
      </c>
      <c r="AM50" s="39">
        <v>1130.0848820000001</v>
      </c>
      <c r="AN50" s="39">
        <v>1061.443252</v>
      </c>
      <c r="AO50" s="39">
        <v>1017.223054</v>
      </c>
      <c r="AP50" s="39">
        <v>984.68418250000002</v>
      </c>
      <c r="AQ50" s="39">
        <v>957.29255339999997</v>
      </c>
      <c r="AR50" s="39">
        <v>827.13362710000001</v>
      </c>
      <c r="AS50" s="39">
        <v>846.53819569999996</v>
      </c>
      <c r="AT50" s="39">
        <v>842.60670159999995</v>
      </c>
      <c r="AU50" s="39">
        <v>829.20778710000002</v>
      </c>
      <c r="AV50">
        <v>812.95972080000001</v>
      </c>
      <c r="AW50" s="39">
        <v>796.17882329999998</v>
      </c>
    </row>
    <row r="51" spans="2:99" x14ac:dyDescent="0.25">
      <c r="B51" t="s">
        <v>151</v>
      </c>
      <c r="C51">
        <v>1.1492990066676601</v>
      </c>
      <c r="D51">
        <v>1.1677513739710099</v>
      </c>
      <c r="E51">
        <v>1.1865000000000001</v>
      </c>
      <c r="F51" s="39">
        <v>2.2810333319999998</v>
      </c>
      <c r="G51" s="39">
        <v>31.13735191</v>
      </c>
      <c r="H51">
        <v>35.594380909999998</v>
      </c>
      <c r="I51">
        <v>39.303213769999999</v>
      </c>
      <c r="J51">
        <v>53.528779049999997</v>
      </c>
      <c r="K51" s="39">
        <v>52.253014819999997</v>
      </c>
      <c r="L51" s="39">
        <v>49.422593829999997</v>
      </c>
      <c r="M51" s="39">
        <v>49.03651558</v>
      </c>
      <c r="N51" s="39">
        <v>35.145445760000001</v>
      </c>
      <c r="O51" s="39">
        <v>32.175831690000003</v>
      </c>
      <c r="P51" s="39">
        <v>25.372031100000001</v>
      </c>
      <c r="Q51" s="39">
        <v>43.997189259999999</v>
      </c>
      <c r="R51" s="39">
        <v>48.751617520000003</v>
      </c>
      <c r="S51" s="39">
        <v>72.398225929999995</v>
      </c>
      <c r="T51" s="39">
        <v>65.178341790000005</v>
      </c>
      <c r="U51" s="39">
        <v>99.481874989999994</v>
      </c>
      <c r="V51" s="39">
        <v>113.1412854</v>
      </c>
      <c r="W51" s="39">
        <v>122.24876949999999</v>
      </c>
      <c r="X51" s="39">
        <v>88.663889940000004</v>
      </c>
      <c r="Y51" s="39">
        <v>113.4036078</v>
      </c>
      <c r="Z51" s="39">
        <v>124.3339168</v>
      </c>
      <c r="AA51" s="39">
        <v>130.33298439999999</v>
      </c>
      <c r="AB51" s="39">
        <v>133.86789970000001</v>
      </c>
      <c r="AC51" s="39">
        <v>108.61218940000001</v>
      </c>
      <c r="AD51" s="39">
        <v>126.45081279999999</v>
      </c>
      <c r="AE51" s="39">
        <v>129.30049829999999</v>
      </c>
      <c r="AF51" s="39">
        <v>131.10788389999999</v>
      </c>
      <c r="AG51" s="39">
        <v>131.76282269999999</v>
      </c>
      <c r="AH51" s="39">
        <v>113.4201654</v>
      </c>
      <c r="AI51" s="39">
        <v>124.69352379999999</v>
      </c>
      <c r="AJ51" s="39">
        <v>129.90134420000001</v>
      </c>
      <c r="AK51" s="39">
        <v>132.63939540000001</v>
      </c>
      <c r="AL51" s="39">
        <v>134.42264789999999</v>
      </c>
      <c r="AM51" s="39">
        <v>135.7639762</v>
      </c>
      <c r="AN51" s="39">
        <v>133.62331080000001</v>
      </c>
      <c r="AO51" s="39">
        <v>133.8340752</v>
      </c>
      <c r="AP51" s="39">
        <v>135.07569179999999</v>
      </c>
      <c r="AQ51" s="39">
        <v>136.8339422</v>
      </c>
      <c r="AR51" s="39">
        <v>124.11426760000001</v>
      </c>
      <c r="AS51" s="39">
        <v>131.62942839999999</v>
      </c>
      <c r="AT51" s="39">
        <v>136.172821</v>
      </c>
      <c r="AU51" s="39">
        <v>139.44895289999999</v>
      </c>
      <c r="AV51">
        <v>142.14809529999999</v>
      </c>
      <c r="AW51" s="39">
        <v>144.55315899999999</v>
      </c>
    </row>
    <row r="52" spans="2:99" x14ac:dyDescent="0.25">
      <c r="B52" t="s">
        <v>152</v>
      </c>
      <c r="C52">
        <v>413.74764240035898</v>
      </c>
      <c r="D52">
        <v>420.39049462956399</v>
      </c>
      <c r="E52">
        <v>427.14</v>
      </c>
      <c r="F52" s="39">
        <v>439.57932310000001</v>
      </c>
      <c r="G52" s="39">
        <v>446.17975710000002</v>
      </c>
      <c r="H52">
        <v>496.40642730000002</v>
      </c>
      <c r="I52">
        <v>483.59693299999998</v>
      </c>
      <c r="J52">
        <v>476.11004550000001</v>
      </c>
      <c r="K52" s="39">
        <v>409.97765170000002</v>
      </c>
      <c r="L52" s="39">
        <v>387.25260730000002</v>
      </c>
      <c r="M52" s="39">
        <v>388.7012302</v>
      </c>
      <c r="N52" s="39">
        <v>364.65777910000003</v>
      </c>
      <c r="O52" s="39">
        <v>382.57172420000001</v>
      </c>
      <c r="P52" s="39">
        <v>393.32294200000001</v>
      </c>
      <c r="Q52" s="39">
        <v>408.5628974</v>
      </c>
      <c r="R52" s="39">
        <v>414.2402525</v>
      </c>
      <c r="S52" s="39">
        <v>420.13596050000001</v>
      </c>
      <c r="T52" s="39">
        <v>386.18445860000003</v>
      </c>
      <c r="U52" s="39">
        <v>419.13526510000003</v>
      </c>
      <c r="V52" s="39">
        <v>412.69631570000001</v>
      </c>
      <c r="W52" s="39">
        <v>425.20689229999999</v>
      </c>
      <c r="X52" s="39">
        <v>283.92719779999999</v>
      </c>
      <c r="Y52" s="39">
        <v>366.2416958</v>
      </c>
      <c r="Z52" s="39">
        <v>388.90228810000002</v>
      </c>
      <c r="AA52" s="39">
        <v>390.23536810000002</v>
      </c>
      <c r="AB52" s="39">
        <v>382.8665618</v>
      </c>
      <c r="AC52" s="39">
        <v>291.6242373</v>
      </c>
      <c r="AD52" s="39">
        <v>332.60519369999997</v>
      </c>
      <c r="AE52" s="39">
        <v>326.75547160000002</v>
      </c>
      <c r="AF52" s="39">
        <v>317.85219549999999</v>
      </c>
      <c r="AG52" s="39">
        <v>307.70643819999998</v>
      </c>
      <c r="AH52" s="39">
        <v>250.0127535</v>
      </c>
      <c r="AI52" s="39">
        <v>267.39787619999998</v>
      </c>
      <c r="AJ52" s="39">
        <v>269.84877299999999</v>
      </c>
      <c r="AK52" s="39">
        <v>265.71601729999998</v>
      </c>
      <c r="AL52" s="39">
        <v>259.90417380000002</v>
      </c>
      <c r="AM52" s="39">
        <v>253.78644539999999</v>
      </c>
      <c r="AN52" s="39">
        <v>239.25298950000001</v>
      </c>
      <c r="AO52" s="39">
        <v>230.02571979999999</v>
      </c>
      <c r="AP52" s="39">
        <v>223.27876000000001</v>
      </c>
      <c r="AQ52" s="39">
        <v>217.6152491</v>
      </c>
      <c r="AR52" s="39">
        <v>188.66936770000001</v>
      </c>
      <c r="AS52" s="39">
        <v>193.21926120000001</v>
      </c>
      <c r="AT52" s="39">
        <v>192.4683465</v>
      </c>
      <c r="AU52" s="39">
        <v>189.5273363</v>
      </c>
      <c r="AV52">
        <v>185.8556768</v>
      </c>
      <c r="AW52" s="39">
        <v>181.9717177</v>
      </c>
    </row>
    <row r="53" spans="2:99" x14ac:dyDescent="0.25">
      <c r="B53" t="s">
        <v>153</v>
      </c>
      <c r="C53">
        <v>652.80183578723302</v>
      </c>
      <c r="D53">
        <v>663.28278041553403</v>
      </c>
      <c r="E53">
        <v>673.93200000000002</v>
      </c>
      <c r="F53" s="39">
        <v>694.19436810000002</v>
      </c>
      <c r="G53" s="39">
        <v>683.92864489999999</v>
      </c>
      <c r="H53">
        <v>752.90754089999996</v>
      </c>
      <c r="I53">
        <v>733.98395100000005</v>
      </c>
      <c r="J53">
        <v>717.08586209999999</v>
      </c>
      <c r="K53" s="39">
        <v>616.93317690000003</v>
      </c>
      <c r="L53" s="39">
        <v>581.96319100000005</v>
      </c>
      <c r="M53" s="39">
        <v>582.60413419999998</v>
      </c>
      <c r="N53" s="39">
        <v>554.23158679999995</v>
      </c>
      <c r="O53" s="39">
        <v>581.7621504</v>
      </c>
      <c r="P53" s="39">
        <v>606.04137109999999</v>
      </c>
      <c r="Q53" s="39">
        <v>620.24709089999999</v>
      </c>
      <c r="R53" s="39">
        <v>626.94042620000005</v>
      </c>
      <c r="S53" s="39">
        <v>619.69470539999998</v>
      </c>
      <c r="T53" s="39">
        <v>575.54698540000004</v>
      </c>
      <c r="U53" s="39">
        <v>602.67544129999999</v>
      </c>
      <c r="V53" s="39">
        <v>582.42943379999997</v>
      </c>
      <c r="W53" s="39">
        <v>596.29171659999997</v>
      </c>
      <c r="X53" s="39">
        <v>393.21111029999997</v>
      </c>
      <c r="Y53" s="39">
        <v>508.09826839999999</v>
      </c>
      <c r="Z53" s="39">
        <v>537.45850770000004</v>
      </c>
      <c r="AA53" s="39">
        <v>536.06391819999999</v>
      </c>
      <c r="AB53" s="39">
        <v>522.46301440000002</v>
      </c>
      <c r="AC53" s="39">
        <v>393.82685679999997</v>
      </c>
      <c r="AD53" s="39">
        <v>448.2206534</v>
      </c>
      <c r="AE53" s="39">
        <v>437.84468980000003</v>
      </c>
      <c r="AF53" s="39">
        <v>423.23813489999998</v>
      </c>
      <c r="AG53" s="39">
        <v>407.47409629999999</v>
      </c>
      <c r="AH53" s="39">
        <v>327.7819356</v>
      </c>
      <c r="AI53" s="39">
        <v>349.16059669999999</v>
      </c>
      <c r="AJ53" s="39">
        <v>350.48031580000003</v>
      </c>
      <c r="AK53" s="39">
        <v>342.7867033</v>
      </c>
      <c r="AL53" s="39">
        <v>333.00408160000001</v>
      </c>
      <c r="AM53" s="39">
        <v>323.01981699999999</v>
      </c>
      <c r="AN53" s="39">
        <v>301.87808289999998</v>
      </c>
      <c r="AO53" s="39">
        <v>287.7980718</v>
      </c>
      <c r="AP53" s="39">
        <v>277.09726410000002</v>
      </c>
      <c r="AQ53" s="39">
        <v>267.84436820000002</v>
      </c>
      <c r="AR53" s="39">
        <v>229.723601</v>
      </c>
      <c r="AS53" s="39">
        <v>233.72679650000001</v>
      </c>
      <c r="AT53" s="39">
        <v>231.05483530000001</v>
      </c>
      <c r="AU53" s="39">
        <v>225.66514470000001</v>
      </c>
      <c r="AV53">
        <v>219.49049099999999</v>
      </c>
      <c r="AW53" s="39">
        <v>213.2002018</v>
      </c>
    </row>
    <row r="54" spans="2:99" x14ac:dyDescent="0.25">
      <c r="B54" t="s">
        <v>154</v>
      </c>
      <c r="C54">
        <v>643.60744373389196</v>
      </c>
      <c r="D54">
        <v>653.94076942376603</v>
      </c>
      <c r="E54">
        <v>664.44</v>
      </c>
      <c r="F54" s="39">
        <v>684.51478399999996</v>
      </c>
      <c r="G54" s="39">
        <v>672.94783399999994</v>
      </c>
      <c r="H54">
        <v>738.878604</v>
      </c>
      <c r="I54">
        <v>720.06948460000001</v>
      </c>
      <c r="J54">
        <v>701.04728469999998</v>
      </c>
      <c r="K54" s="39">
        <v>602.53760109999996</v>
      </c>
      <c r="L54" s="39">
        <v>568.15623730000004</v>
      </c>
      <c r="M54" s="39">
        <v>568.45136820000005</v>
      </c>
      <c r="N54" s="39">
        <v>532.24571089999995</v>
      </c>
      <c r="O54" s="39">
        <v>559.50966860000005</v>
      </c>
      <c r="P54" s="39">
        <v>585.70281269999998</v>
      </c>
      <c r="Q54" s="39">
        <v>592.4931259</v>
      </c>
      <c r="R54" s="39">
        <v>600.5814924</v>
      </c>
      <c r="S54" s="39">
        <v>580.85251319999998</v>
      </c>
      <c r="T54" s="39">
        <v>553.20934380000006</v>
      </c>
      <c r="U54" s="39">
        <v>568.82323940000003</v>
      </c>
      <c r="V54" s="39">
        <v>544.55404729999998</v>
      </c>
      <c r="W54" s="39">
        <v>555.67360289999999</v>
      </c>
      <c r="X54" s="39">
        <v>364.0391386</v>
      </c>
      <c r="Y54" s="39">
        <v>470.81646269999999</v>
      </c>
      <c r="Z54" s="39">
        <v>496.95122789999999</v>
      </c>
      <c r="AA54" s="39">
        <v>494.02620300000001</v>
      </c>
      <c r="AB54" s="39">
        <v>479.73190080000001</v>
      </c>
      <c r="AC54" s="39">
        <v>359.5596559</v>
      </c>
      <c r="AD54" s="39">
        <v>408.68156549999998</v>
      </c>
      <c r="AE54" s="39">
        <v>397.9123419</v>
      </c>
      <c r="AF54" s="39">
        <v>383.24326639999998</v>
      </c>
      <c r="AG54" s="39">
        <v>367.77649509999998</v>
      </c>
      <c r="AH54" s="39">
        <v>294.1584785</v>
      </c>
      <c r="AI54" s="39">
        <v>312.58353469999997</v>
      </c>
      <c r="AJ54" s="39">
        <v>312.78251920000002</v>
      </c>
      <c r="AK54" s="39">
        <v>304.72482910000002</v>
      </c>
      <c r="AL54" s="39">
        <v>294.86364200000003</v>
      </c>
      <c r="AM54" s="39">
        <v>284.93184430000002</v>
      </c>
      <c r="AN54" s="39">
        <v>264.94926320000002</v>
      </c>
      <c r="AO54" s="39">
        <v>251.36887619999999</v>
      </c>
      <c r="AP54" s="39">
        <v>240.8954406</v>
      </c>
      <c r="AQ54" s="39">
        <v>231.7541094</v>
      </c>
      <c r="AR54" s="39">
        <v>197.57734260000001</v>
      </c>
      <c r="AS54" s="39">
        <v>200.2540783</v>
      </c>
      <c r="AT54" s="39">
        <v>197.10782710000001</v>
      </c>
      <c r="AU54" s="39">
        <v>191.6264688</v>
      </c>
      <c r="AV54">
        <v>185.5414437</v>
      </c>
      <c r="AW54" s="39">
        <v>179.44238200000001</v>
      </c>
    </row>
    <row r="55" spans="2:99" x14ac:dyDescent="0.25">
      <c r="B55" t="s">
        <v>155</v>
      </c>
      <c r="C55">
        <v>413.74764240035898</v>
      </c>
      <c r="D55">
        <v>420.39049462956399</v>
      </c>
      <c r="E55">
        <v>427.14</v>
      </c>
      <c r="F55" s="39">
        <v>440.38584090000001</v>
      </c>
      <c r="G55" s="39">
        <v>424.61564320000002</v>
      </c>
      <c r="H55">
        <v>461.6275794</v>
      </c>
      <c r="I55">
        <v>449.89161419999999</v>
      </c>
      <c r="J55">
        <v>434.0024583</v>
      </c>
      <c r="K55" s="39">
        <v>372.33417659999998</v>
      </c>
      <c r="L55" s="39">
        <v>355.87818540000001</v>
      </c>
      <c r="M55" s="39">
        <v>355.28422490000003</v>
      </c>
      <c r="N55" s="39">
        <v>324.18554599999999</v>
      </c>
      <c r="O55" s="39">
        <v>341.83528159999997</v>
      </c>
      <c r="P55" s="39">
        <v>355.6054365</v>
      </c>
      <c r="Q55" s="39">
        <v>353.52463110000002</v>
      </c>
      <c r="R55" s="39">
        <v>351.78321990000001</v>
      </c>
      <c r="S55" s="39">
        <v>320.48763020000001</v>
      </c>
      <c r="T55" s="39">
        <v>319.62484230000001</v>
      </c>
      <c r="U55" s="39">
        <v>300.46399639999998</v>
      </c>
      <c r="V55" s="39">
        <v>279.09586999999999</v>
      </c>
      <c r="W55" s="39">
        <v>281.89955930000002</v>
      </c>
      <c r="X55" s="39">
        <v>181.0294432</v>
      </c>
      <c r="Y55" s="39">
        <v>234.77272719999999</v>
      </c>
      <c r="Z55" s="39">
        <v>246.27571879999999</v>
      </c>
      <c r="AA55" s="39">
        <v>242.50012050000001</v>
      </c>
      <c r="AB55" s="39">
        <v>233.04418519999999</v>
      </c>
      <c r="AC55" s="39">
        <v>171.88904690000001</v>
      </c>
      <c r="AD55" s="39">
        <v>194.7283023</v>
      </c>
      <c r="AE55" s="39">
        <v>187.97140709999999</v>
      </c>
      <c r="AF55" s="39">
        <v>179.3510225</v>
      </c>
      <c r="AG55" s="39">
        <v>170.72718829999999</v>
      </c>
      <c r="AH55" s="39">
        <v>134.6324056</v>
      </c>
      <c r="AI55" s="39">
        <v>142.26433230000001</v>
      </c>
      <c r="AJ55" s="39">
        <v>141.32796769999999</v>
      </c>
      <c r="AK55" s="39">
        <v>136.4724405</v>
      </c>
      <c r="AL55" s="39">
        <v>130.9194521</v>
      </c>
      <c r="AM55" s="39">
        <v>125.495395</v>
      </c>
      <c r="AN55" s="39">
        <v>115.5229607</v>
      </c>
      <c r="AO55" s="39">
        <v>108.6011367</v>
      </c>
      <c r="AP55" s="39">
        <v>103.22143130000001</v>
      </c>
      <c r="AQ55" s="39">
        <v>98.534681120000002</v>
      </c>
      <c r="AR55" s="39">
        <v>83.231213940000004</v>
      </c>
      <c r="AS55" s="39">
        <v>83.946207790000003</v>
      </c>
      <c r="AT55" s="39">
        <v>82.204777300000003</v>
      </c>
      <c r="AU55" s="39">
        <v>79.534499150000002</v>
      </c>
      <c r="AV55">
        <v>76.70037232</v>
      </c>
      <c r="AW55" s="39">
        <v>73.949527590000002</v>
      </c>
    </row>
    <row r="56" spans="2:99" x14ac:dyDescent="0.25">
      <c r="B56" t="s">
        <v>156</v>
      </c>
      <c r="C56">
        <v>137.915880800119</v>
      </c>
      <c r="D56">
        <v>140.13016487652101</v>
      </c>
      <c r="E56">
        <v>142.38</v>
      </c>
      <c r="F56" s="39">
        <v>147.1520405</v>
      </c>
      <c r="G56" s="39">
        <v>133.5395762</v>
      </c>
      <c r="H56">
        <v>140.67883570000001</v>
      </c>
      <c r="I56">
        <v>137.10240690000001</v>
      </c>
      <c r="J56">
        <v>128.34998139999999</v>
      </c>
      <c r="K56" s="39">
        <v>109.4267868</v>
      </c>
      <c r="L56" s="39">
        <v>101.4914694</v>
      </c>
      <c r="M56" s="39">
        <v>100.50890510000001</v>
      </c>
      <c r="N56" s="39">
        <v>88.227292489999996</v>
      </c>
      <c r="O56" s="39">
        <v>92.715163090000004</v>
      </c>
      <c r="P56" s="39">
        <v>104.8616502</v>
      </c>
      <c r="Q56" s="39">
        <v>101.3026437</v>
      </c>
      <c r="R56" s="39">
        <v>97.927396450000003</v>
      </c>
      <c r="S56" s="39">
        <v>79.557652020000006</v>
      </c>
      <c r="T56" s="39">
        <v>54.151366039999999</v>
      </c>
      <c r="U56" s="39">
        <v>39.535545800000001</v>
      </c>
      <c r="V56" s="39">
        <v>32.19057892</v>
      </c>
      <c r="W56" s="39">
        <v>31.0688241</v>
      </c>
      <c r="X56" s="39">
        <v>18.23763533</v>
      </c>
      <c r="Y56" s="39">
        <v>23.94628436</v>
      </c>
      <c r="Z56" s="39">
        <v>24.41744662</v>
      </c>
      <c r="AA56" s="39">
        <v>23.0111104</v>
      </c>
      <c r="AB56" s="39">
        <v>21.072394580000001</v>
      </c>
      <c r="AC56" s="39">
        <v>14.42385575</v>
      </c>
      <c r="AD56" s="39">
        <v>16.080932650000001</v>
      </c>
      <c r="AE56" s="39">
        <v>14.89792789</v>
      </c>
      <c r="AF56" s="39">
        <v>13.589704660000001</v>
      </c>
      <c r="AG56" s="39">
        <v>12.4396807</v>
      </c>
      <c r="AH56" s="39">
        <v>9.1625172349999904</v>
      </c>
      <c r="AI56" s="39">
        <v>9.4176230309999998</v>
      </c>
      <c r="AJ56" s="39">
        <v>9.0307521309999998</v>
      </c>
      <c r="AK56" s="39">
        <v>8.3540117970000001</v>
      </c>
      <c r="AL56" s="39">
        <v>7.6862293360000002</v>
      </c>
      <c r="AM56" s="39">
        <v>7.087403643</v>
      </c>
      <c r="AN56" s="39">
        <v>6.2166453610000003</v>
      </c>
      <c r="AO56" s="39">
        <v>5.5951746020000002</v>
      </c>
      <c r="AP56" s="39">
        <v>5.1155945880000004</v>
      </c>
      <c r="AQ56" s="39">
        <v>4.7102033240000001</v>
      </c>
      <c r="AR56" s="39">
        <v>3.817834103</v>
      </c>
      <c r="AS56" s="39">
        <v>3.7624234950000002</v>
      </c>
      <c r="AT56" s="39">
        <v>3.5980942649999998</v>
      </c>
      <c r="AU56" s="39">
        <v>3.4053851470000001</v>
      </c>
      <c r="AV56" s="39">
        <v>3.2236417570000002</v>
      </c>
      <c r="AW56" s="39">
        <v>3.0618351700000002</v>
      </c>
    </row>
    <row r="57" spans="2:99" x14ac:dyDescent="0.25">
      <c r="B57" t="s">
        <v>157</v>
      </c>
      <c r="C57">
        <v>34.478970200029899</v>
      </c>
      <c r="D57">
        <v>35.032541219130302</v>
      </c>
      <c r="E57">
        <v>35.594999999999999</v>
      </c>
      <c r="F57" s="39">
        <v>36.650653490000003</v>
      </c>
      <c r="G57" s="39">
        <v>28.517623960000002</v>
      </c>
      <c r="H57">
        <v>28.766187949999999</v>
      </c>
      <c r="I57">
        <v>27.249896490000001</v>
      </c>
      <c r="J57">
        <v>22.144796500000002</v>
      </c>
      <c r="K57" s="39">
        <v>17.771160519999999</v>
      </c>
      <c r="L57" s="39">
        <v>13.160589079999999</v>
      </c>
      <c r="M57" s="39">
        <v>12.83366243</v>
      </c>
      <c r="N57" s="39">
        <v>14.927661649999999</v>
      </c>
      <c r="O57" s="39">
        <v>15.165713009999999</v>
      </c>
      <c r="P57" s="39">
        <v>21.065391420000001</v>
      </c>
      <c r="Q57" s="39">
        <v>17.683476800000001</v>
      </c>
      <c r="R57" s="39">
        <v>14.177972690000001</v>
      </c>
      <c r="S57" s="39">
        <v>9.1546741120000004</v>
      </c>
      <c r="T57" s="39">
        <v>2.6696679670000001</v>
      </c>
      <c r="U57" s="39">
        <v>0</v>
      </c>
      <c r="V57" s="39">
        <v>0</v>
      </c>
      <c r="W57" s="39">
        <v>0</v>
      </c>
      <c r="X57" s="39">
        <v>0</v>
      </c>
      <c r="Y57" s="39">
        <v>0</v>
      </c>
      <c r="Z57" s="39">
        <v>0</v>
      </c>
      <c r="AA57" s="39">
        <v>0</v>
      </c>
      <c r="AB57" s="39">
        <v>0</v>
      </c>
      <c r="AC57" s="39">
        <v>0</v>
      </c>
      <c r="AD57" s="39">
        <v>0</v>
      </c>
      <c r="AE57" s="39">
        <v>0</v>
      </c>
      <c r="AF57" s="39">
        <v>0</v>
      </c>
      <c r="AG57" s="39">
        <v>0</v>
      </c>
      <c r="AH57" s="39">
        <v>0</v>
      </c>
      <c r="AI57" s="39">
        <v>0</v>
      </c>
      <c r="AJ57" s="39">
        <v>0</v>
      </c>
      <c r="AK57" s="39">
        <v>0</v>
      </c>
      <c r="AL57" s="39">
        <v>0</v>
      </c>
      <c r="AM57" s="39">
        <v>0</v>
      </c>
      <c r="AN57" s="39">
        <v>0</v>
      </c>
      <c r="AO57" s="39">
        <v>0</v>
      </c>
      <c r="AP57" s="39">
        <v>0</v>
      </c>
      <c r="AQ57" s="39">
        <v>0</v>
      </c>
      <c r="AR57">
        <v>0</v>
      </c>
      <c r="AS57">
        <v>0</v>
      </c>
      <c r="AT57">
        <v>0</v>
      </c>
      <c r="AU57">
        <v>0</v>
      </c>
      <c r="AV57" s="39">
        <v>0</v>
      </c>
      <c r="AW57" s="39">
        <v>0</v>
      </c>
      <c r="CT57" s="39"/>
      <c r="CU57" s="39"/>
    </row>
    <row r="58" spans="2:99" x14ac:dyDescent="0.25">
      <c r="B58" t="s">
        <v>158</v>
      </c>
      <c r="C58">
        <v>1.1492990066676601</v>
      </c>
      <c r="D58">
        <v>1.1677513739710099</v>
      </c>
      <c r="E58">
        <v>1.1865000000000001</v>
      </c>
      <c r="F58" s="39">
        <v>1.919546843</v>
      </c>
      <c r="G58" s="39">
        <v>3.4101219079999998</v>
      </c>
      <c r="H58">
        <v>5.5043875680000003</v>
      </c>
      <c r="I58">
        <v>7.6514706849999996</v>
      </c>
      <c r="J58">
        <v>10.553204040000001</v>
      </c>
      <c r="K58" s="39">
        <v>12.83432588</v>
      </c>
      <c r="L58" s="39">
        <v>16.500080069999999</v>
      </c>
      <c r="M58" s="39">
        <v>21.922999799999999</v>
      </c>
      <c r="N58" s="39">
        <v>26.76597731</v>
      </c>
      <c r="O58" s="39">
        <v>36.580467409999997</v>
      </c>
      <c r="P58" s="39">
        <v>49.656365000000001</v>
      </c>
      <c r="Q58" s="39">
        <v>65.930944909999994</v>
      </c>
      <c r="R58" s="39">
        <v>85.899622280000003</v>
      </c>
      <c r="S58" s="39">
        <v>107.81586160000001</v>
      </c>
      <c r="T58" s="39">
        <v>128.27099820000001</v>
      </c>
      <c r="U58" s="39">
        <v>169.14290220000001</v>
      </c>
      <c r="V58" s="39">
        <v>206.55349179999999</v>
      </c>
      <c r="W58" s="39">
        <v>265.10345410000002</v>
      </c>
      <c r="X58" s="39">
        <v>217.41189209999999</v>
      </c>
      <c r="Y58" s="39">
        <v>345.3662807</v>
      </c>
      <c r="Z58" s="39">
        <v>444.71477820000001</v>
      </c>
      <c r="AA58" s="39">
        <v>533.86755410000001</v>
      </c>
      <c r="AB58" s="39">
        <v>618.79952590000005</v>
      </c>
      <c r="AC58" s="39">
        <v>548.37390530000005</v>
      </c>
      <c r="AD58" s="39">
        <v>723.79759790000003</v>
      </c>
      <c r="AE58" s="39">
        <v>811.21791389999999</v>
      </c>
      <c r="AF58" s="39">
        <v>890.03385279999998</v>
      </c>
      <c r="AG58" s="39">
        <v>962.65900390000002</v>
      </c>
      <c r="AH58" s="39">
        <v>863.30647999999997</v>
      </c>
      <c r="AI58" s="39">
        <v>1014.602865</v>
      </c>
      <c r="AJ58" s="39">
        <v>1115.6080710000001</v>
      </c>
      <c r="AK58" s="39">
        <v>1187.784584</v>
      </c>
      <c r="AL58" s="39">
        <v>1248.686158</v>
      </c>
      <c r="AM58" s="39">
        <v>1303.7217949999999</v>
      </c>
      <c r="AN58">
        <v>1306.834098</v>
      </c>
      <c r="AO58">
        <v>1330.709922</v>
      </c>
      <c r="AP58">
        <v>1363.3164509999999</v>
      </c>
      <c r="AQ58">
        <v>1397.777484</v>
      </c>
      <c r="AR58">
        <v>1269.6221149999999</v>
      </c>
      <c r="AS58">
        <v>1362.061549</v>
      </c>
      <c r="AT58">
        <v>1417.3894250000001</v>
      </c>
      <c r="AU58">
        <v>1454.8146529999999</v>
      </c>
      <c r="AV58">
        <v>1484.3973900000001</v>
      </c>
      <c r="AW58">
        <v>1509.9620520000001</v>
      </c>
    </row>
    <row r="59" spans="2:99" x14ac:dyDescent="0.25">
      <c r="B59" t="s">
        <v>159</v>
      </c>
      <c r="C59">
        <v>3.4228836395600501E-3</v>
      </c>
      <c r="D59">
        <v>3.4778391435562701E-3</v>
      </c>
      <c r="E59">
        <v>3.5336769799999999E-3</v>
      </c>
      <c r="F59" s="39">
        <v>4.6211562400000003E-3</v>
      </c>
      <c r="G59" s="39">
        <v>1.0827569699999999E-2</v>
      </c>
      <c r="H59">
        <v>3.45479863E-2</v>
      </c>
      <c r="I59">
        <v>5.5343164E-2</v>
      </c>
      <c r="J59">
        <v>8.4017915700000001E-2</v>
      </c>
      <c r="K59" s="39">
        <v>0.104564978</v>
      </c>
      <c r="L59" s="39">
        <v>0.14747493349999999</v>
      </c>
      <c r="M59" s="39">
        <v>0.22878149249999999</v>
      </c>
      <c r="N59" s="39">
        <v>0.30731591940000003</v>
      </c>
      <c r="O59" s="39">
        <v>0.44806496070000001</v>
      </c>
      <c r="P59" s="39">
        <v>0.26615098399999998</v>
      </c>
      <c r="Q59" s="39">
        <v>0.42901682029999999</v>
      </c>
      <c r="R59" s="39">
        <v>0.71555201199999996</v>
      </c>
      <c r="S59" s="39">
        <v>1.133702628</v>
      </c>
      <c r="T59" s="39">
        <v>1.6799285429999999</v>
      </c>
      <c r="U59" s="39">
        <v>4.1421471939999996</v>
      </c>
      <c r="V59" s="39">
        <v>6.7132921919999999</v>
      </c>
      <c r="W59" s="39">
        <v>9.1939658860000009</v>
      </c>
      <c r="X59" s="39">
        <v>8.7270645380000005</v>
      </c>
      <c r="Y59" s="39">
        <v>13.62156558</v>
      </c>
      <c r="Z59" s="39">
        <v>18.35126086</v>
      </c>
      <c r="AA59" s="39">
        <v>23.305855019999999</v>
      </c>
      <c r="AB59" s="39">
        <v>28.57832316</v>
      </c>
      <c r="AC59" s="39">
        <v>27.74378385</v>
      </c>
      <c r="AD59" s="39">
        <v>37.185798249999998</v>
      </c>
      <c r="AE59" s="39">
        <v>43.746087760000002</v>
      </c>
      <c r="AF59" s="39">
        <v>50.31129799</v>
      </c>
      <c r="AG59" s="39">
        <v>57.063888110000001</v>
      </c>
      <c r="AH59" s="39">
        <v>54.78737185</v>
      </c>
      <c r="AI59" s="39">
        <v>66.038340849999997</v>
      </c>
      <c r="AJ59" s="39">
        <v>75.521177870000002</v>
      </c>
      <c r="AK59" s="39">
        <v>83.939183909999997</v>
      </c>
      <c r="AL59" s="39">
        <v>92.087315919999995</v>
      </c>
      <c r="AM59" s="39">
        <v>100.2090872</v>
      </c>
      <c r="AN59">
        <v>105.884462</v>
      </c>
      <c r="AO59">
        <v>113.1296914</v>
      </c>
      <c r="AP59">
        <v>121.32031859999999</v>
      </c>
      <c r="AQ59">
        <v>130.0002829</v>
      </c>
      <c r="AR59">
        <v>124.8166535</v>
      </c>
      <c r="AS59">
        <v>138.3854676</v>
      </c>
      <c r="AT59">
        <v>149.61901810000001</v>
      </c>
      <c r="AU59">
        <v>159.73235120000001</v>
      </c>
      <c r="AV59">
        <v>169.4232767</v>
      </c>
      <c r="AW59">
        <v>178.996756</v>
      </c>
    </row>
    <row r="60" spans="2:99" x14ac:dyDescent="0.25">
      <c r="B60" t="s">
        <v>160</v>
      </c>
      <c r="C60">
        <v>7.8463024968376607E-3</v>
      </c>
      <c r="D60">
        <v>7.9722774213828399E-3</v>
      </c>
      <c r="E60">
        <v>8.10027491E-3</v>
      </c>
      <c r="F60" s="39">
        <v>1.23496748E-2</v>
      </c>
      <c r="G60" s="39">
        <v>2.37431112E-2</v>
      </c>
      <c r="H60">
        <v>5.0003853199999997E-2</v>
      </c>
      <c r="I60">
        <v>7.4479436800000007E-2</v>
      </c>
      <c r="J60">
        <v>0.1078666435</v>
      </c>
      <c r="K60" s="39">
        <v>0.13278669200000001</v>
      </c>
      <c r="L60" s="39">
        <v>0.1794665111</v>
      </c>
      <c r="M60" s="39">
        <v>0.26039054709999998</v>
      </c>
      <c r="N60" s="39">
        <v>0.33652731629999999</v>
      </c>
      <c r="O60" s="39">
        <v>0.47851914039999999</v>
      </c>
      <c r="P60" s="39">
        <v>0.42007985479999999</v>
      </c>
      <c r="Q60" s="39">
        <v>0.60928056350000004</v>
      </c>
      <c r="R60" s="39">
        <v>0.89928531290000002</v>
      </c>
      <c r="S60" s="39">
        <v>1.286292682</v>
      </c>
      <c r="T60" s="39">
        <v>1.7497932890000001</v>
      </c>
      <c r="U60" s="39">
        <v>3.5491134710000001</v>
      </c>
      <c r="V60" s="39">
        <v>5.3569609060000003</v>
      </c>
      <c r="W60" s="39">
        <v>7.2242395689999999</v>
      </c>
      <c r="X60" s="39">
        <v>6.6282936039999996</v>
      </c>
      <c r="Y60" s="39">
        <v>10.38767361</v>
      </c>
      <c r="Z60" s="39">
        <v>13.84981889</v>
      </c>
      <c r="AA60" s="39">
        <v>17.363794859999999</v>
      </c>
      <c r="AB60" s="39">
        <v>21.019441910000001</v>
      </c>
      <c r="AC60" s="39">
        <v>19.98260677</v>
      </c>
      <c r="AD60" s="39">
        <v>26.688336960000001</v>
      </c>
      <c r="AE60" s="39">
        <v>31.045062770000001</v>
      </c>
      <c r="AF60" s="39">
        <v>35.311319439999998</v>
      </c>
      <c r="AG60" s="39">
        <v>39.600555829999998</v>
      </c>
      <c r="AH60" s="39">
        <v>37.396606339999998</v>
      </c>
      <c r="AI60" s="39">
        <v>44.795394270000003</v>
      </c>
      <c r="AJ60" s="39">
        <v>50.725906539999997</v>
      </c>
      <c r="AK60" s="39">
        <v>55.763580840000003</v>
      </c>
      <c r="AL60" s="39">
        <v>60.497780409999997</v>
      </c>
      <c r="AM60" s="39">
        <v>65.106793859999996</v>
      </c>
      <c r="AN60">
        <v>67.799722259999996</v>
      </c>
      <c r="AO60">
        <v>71.449927959999997</v>
      </c>
      <c r="AP60">
        <v>75.5939142</v>
      </c>
      <c r="AQ60">
        <v>79.91415379</v>
      </c>
      <c r="AR60">
        <v>75.380802790000004</v>
      </c>
      <c r="AS60">
        <v>82.668098349999994</v>
      </c>
      <c r="AT60">
        <v>88.216380920000006</v>
      </c>
      <c r="AU60">
        <v>92.873145690000001</v>
      </c>
      <c r="AV60">
        <v>97.110423159999996</v>
      </c>
      <c r="AW60">
        <v>101.12065990000001</v>
      </c>
    </row>
    <row r="61" spans="2:99" x14ac:dyDescent="0.25">
      <c r="B61" t="s">
        <v>161</v>
      </c>
      <c r="C61">
        <v>3.2122446463563603E-2</v>
      </c>
      <c r="D61">
        <v>3.2638182731835802E-2</v>
      </c>
      <c r="E61">
        <v>3.31621993E-2</v>
      </c>
      <c r="F61" s="39">
        <v>5.3329234000000003E-2</v>
      </c>
      <c r="G61" s="39">
        <v>9.5507253599999994E-2</v>
      </c>
      <c r="H61">
        <v>0.1590071844</v>
      </c>
      <c r="I61">
        <v>0.2230396435</v>
      </c>
      <c r="J61">
        <v>0.30935464499999998</v>
      </c>
      <c r="K61" s="39">
        <v>0.37681533230000003</v>
      </c>
      <c r="L61" s="39">
        <v>0.48765043930000002</v>
      </c>
      <c r="M61" s="39">
        <v>0.65582741909999998</v>
      </c>
      <c r="N61" s="39">
        <v>0.80728158559999996</v>
      </c>
      <c r="O61" s="39">
        <v>1.109769091</v>
      </c>
      <c r="P61" s="39">
        <v>1.421750906</v>
      </c>
      <c r="Q61" s="39">
        <v>1.908769369</v>
      </c>
      <c r="R61" s="39">
        <v>2.5258942869999998</v>
      </c>
      <c r="S61" s="39">
        <v>3.2273481629999998</v>
      </c>
      <c r="T61" s="39">
        <v>3.916145582</v>
      </c>
      <c r="U61" s="39">
        <v>5.5465027080000002</v>
      </c>
      <c r="V61" s="39">
        <v>7.0262277539999998</v>
      </c>
      <c r="W61" s="39">
        <v>9.0922354930000004</v>
      </c>
      <c r="X61" s="39">
        <v>7.5877830739999998</v>
      </c>
      <c r="Y61" s="39">
        <v>12.02947092</v>
      </c>
      <c r="Z61" s="39">
        <v>15.56823325</v>
      </c>
      <c r="AA61" s="39">
        <v>18.799679040000001</v>
      </c>
      <c r="AB61" s="39">
        <v>21.907759290000001</v>
      </c>
      <c r="AC61" s="39">
        <v>19.556099110000002</v>
      </c>
      <c r="AD61" s="39">
        <v>25.838351469999999</v>
      </c>
      <c r="AE61" s="39">
        <v>29.038963020000001</v>
      </c>
      <c r="AF61" s="39">
        <v>31.92189346</v>
      </c>
      <c r="AG61" s="39">
        <v>34.564293460000002</v>
      </c>
      <c r="AH61" s="39">
        <v>30.99090648</v>
      </c>
      <c r="AI61" s="39">
        <v>36.397532599999998</v>
      </c>
      <c r="AJ61" s="39">
        <v>39.949840600000002</v>
      </c>
      <c r="AK61" s="39">
        <v>42.404096459999998</v>
      </c>
      <c r="AL61" s="39">
        <v>44.385030260000001</v>
      </c>
      <c r="AM61" s="39">
        <v>46.08221442</v>
      </c>
      <c r="AN61">
        <v>45.760844300000002</v>
      </c>
      <c r="AO61">
        <v>46.084506470000001</v>
      </c>
      <c r="AP61">
        <v>46.602243369999997</v>
      </c>
      <c r="AQ61">
        <v>47.05679645</v>
      </c>
      <c r="AR61">
        <v>41.751925569999997</v>
      </c>
      <c r="AS61">
        <v>44.059894069999999</v>
      </c>
      <c r="AT61">
        <v>44.858140290000001</v>
      </c>
      <c r="AU61" s="39">
        <v>44.863617830000003</v>
      </c>
      <c r="AV61">
        <v>44.447820120000003</v>
      </c>
      <c r="AW61">
        <v>43.744254779999999</v>
      </c>
    </row>
    <row r="62" spans="2:99" x14ac:dyDescent="0.25">
      <c r="B62" t="s">
        <v>162</v>
      </c>
      <c r="C62">
        <v>0.75461419315223899</v>
      </c>
      <c r="D62">
        <v>0.76672976811017601</v>
      </c>
      <c r="E62">
        <v>0.77903986250000001</v>
      </c>
      <c r="F62" s="39">
        <v>1.260344602</v>
      </c>
      <c r="G62" s="39">
        <v>2.2390409849999999</v>
      </c>
      <c r="H62">
        <v>3.613986095</v>
      </c>
      <c r="I62">
        <v>5.0235545420000003</v>
      </c>
      <c r="J62">
        <v>6.9200619430000003</v>
      </c>
      <c r="K62" s="39">
        <v>8.4146429890000007</v>
      </c>
      <c r="L62" s="39">
        <v>10.81135523</v>
      </c>
      <c r="M62" s="39">
        <v>14.347708730000001</v>
      </c>
      <c r="N62" s="39">
        <v>17.502755910000001</v>
      </c>
      <c r="O62" s="39">
        <v>23.90606043</v>
      </c>
      <c r="P62" s="39">
        <v>32.603199060000001</v>
      </c>
      <c r="Q62" s="39">
        <v>43.287683479999998</v>
      </c>
      <c r="R62" s="39">
        <v>56.310823110000001</v>
      </c>
      <c r="S62" s="39">
        <v>70.556655430000006</v>
      </c>
      <c r="T62" s="39">
        <v>83.771011779999995</v>
      </c>
      <c r="U62" s="39">
        <v>109.4397805</v>
      </c>
      <c r="V62" s="39">
        <v>132.74133459999999</v>
      </c>
      <c r="W62" s="39">
        <v>170.0489177</v>
      </c>
      <c r="X62" s="39">
        <v>138.795737</v>
      </c>
      <c r="Y62" s="39">
        <v>220.61716290000001</v>
      </c>
      <c r="Z62" s="39">
        <v>283.62532900000002</v>
      </c>
      <c r="AA62" s="39">
        <v>339.76633950000002</v>
      </c>
      <c r="AB62" s="39">
        <v>392.93498030000001</v>
      </c>
      <c r="AC62" s="39">
        <v>346.8417685</v>
      </c>
      <c r="AD62" s="39">
        <v>457.47268650000001</v>
      </c>
      <c r="AE62" s="39">
        <v>511.54469269999998</v>
      </c>
      <c r="AF62" s="39">
        <v>559.919264</v>
      </c>
      <c r="AG62" s="39">
        <v>604.08744079999997</v>
      </c>
      <c r="AH62" s="39">
        <v>539.66100070000005</v>
      </c>
      <c r="AI62" s="39">
        <v>633.28588839999998</v>
      </c>
      <c r="AJ62" s="39">
        <v>694.6496535</v>
      </c>
      <c r="AK62" s="39">
        <v>737.54761310000004</v>
      </c>
      <c r="AL62" s="39">
        <v>773.13706249999996</v>
      </c>
      <c r="AM62" s="39">
        <v>804.85738319999996</v>
      </c>
      <c r="AN62">
        <v>803.62573099999997</v>
      </c>
      <c r="AO62">
        <v>815.22780650000004</v>
      </c>
      <c r="AP62">
        <v>832.0625738</v>
      </c>
      <c r="AQ62">
        <v>849.84480029999997</v>
      </c>
      <c r="AR62">
        <v>768.03430209999999</v>
      </c>
      <c r="AS62">
        <v>821.37010940000005</v>
      </c>
      <c r="AT62">
        <v>851.50633849999997</v>
      </c>
      <c r="AU62">
        <v>870.45546039999999</v>
      </c>
      <c r="AV62">
        <v>884.47392009999999</v>
      </c>
      <c r="AW62">
        <v>895.9188666</v>
      </c>
    </row>
    <row r="63" spans="2:99" x14ac:dyDescent="0.25">
      <c r="B63" t="s">
        <v>163</v>
      </c>
      <c r="C63">
        <v>0.29742225840361802</v>
      </c>
      <c r="D63">
        <v>0.302197468966243</v>
      </c>
      <c r="E63">
        <v>0.30704934709999998</v>
      </c>
      <c r="F63" s="39">
        <v>0.49734160440000003</v>
      </c>
      <c r="G63" s="39">
        <v>0.88212879259999999</v>
      </c>
      <c r="H63">
        <v>1.4145869550000001</v>
      </c>
      <c r="I63">
        <v>1.9623527249999999</v>
      </c>
      <c r="J63">
        <v>2.6989660450000001</v>
      </c>
      <c r="K63" s="39">
        <v>3.28058082</v>
      </c>
      <c r="L63" s="39">
        <v>4.2078538999999999</v>
      </c>
      <c r="M63" s="39">
        <v>5.5662746409999997</v>
      </c>
      <c r="N63" s="39">
        <v>6.774962843</v>
      </c>
      <c r="O63" s="39">
        <v>9.2381684679999996</v>
      </c>
      <c r="P63" s="39">
        <v>12.786203860000001</v>
      </c>
      <c r="Q63" s="39">
        <v>16.935430960000001</v>
      </c>
      <c r="R63" s="39">
        <v>21.94508609</v>
      </c>
      <c r="S63" s="39">
        <v>27.36816048</v>
      </c>
      <c r="T63" s="39">
        <v>32.312484580000003</v>
      </c>
      <c r="U63" s="39">
        <v>41.157528910000003</v>
      </c>
      <c r="V63" s="39">
        <v>49.013841810000002</v>
      </c>
      <c r="W63" s="39">
        <v>62.473550430000003</v>
      </c>
      <c r="X63" s="39">
        <v>50.347108599999999</v>
      </c>
      <c r="Y63" s="39">
        <v>80.158237619999994</v>
      </c>
      <c r="Z63" s="39">
        <v>102.61253050000001</v>
      </c>
      <c r="AA63" s="39">
        <v>122.2368766</v>
      </c>
      <c r="AB63" s="39">
        <v>140.5276169</v>
      </c>
      <c r="AC63" s="39">
        <v>122.76188</v>
      </c>
      <c r="AD63" s="39">
        <v>161.62031350000001</v>
      </c>
      <c r="AE63" s="39">
        <v>179.6406623</v>
      </c>
      <c r="AF63" s="39">
        <v>195.42800650000001</v>
      </c>
      <c r="AG63" s="39">
        <v>209.48518010000001</v>
      </c>
      <c r="AH63" s="39">
        <v>185.316925</v>
      </c>
      <c r="AI63" s="39">
        <v>216.64331569999999</v>
      </c>
      <c r="AJ63" s="39">
        <v>236.19796579999999</v>
      </c>
      <c r="AK63" s="39">
        <v>249.06377749999999</v>
      </c>
      <c r="AL63" s="39">
        <v>259.24015700000001</v>
      </c>
      <c r="AM63" s="39">
        <v>267.96440269999999</v>
      </c>
      <c r="AN63">
        <v>265.0548167</v>
      </c>
      <c r="AO63">
        <v>266.50483129999998</v>
      </c>
      <c r="AP63">
        <v>269.65128499999997</v>
      </c>
      <c r="AQ63">
        <v>273.04549559999998</v>
      </c>
      <c r="AR63">
        <v>244.0257757</v>
      </c>
      <c r="AS63">
        <v>259.21697510000001</v>
      </c>
      <c r="AT63">
        <v>266.60156790000002</v>
      </c>
      <c r="AU63">
        <v>270.2895934</v>
      </c>
      <c r="AV63">
        <v>272.39463929999999</v>
      </c>
      <c r="AW63">
        <v>273.70202360000002</v>
      </c>
    </row>
    <row r="64" spans="2:99" x14ac:dyDescent="0.25">
      <c r="B64" t="s">
        <v>164</v>
      </c>
      <c r="C64">
        <v>4.0548006191711396E-3</v>
      </c>
      <c r="D64">
        <v>4.1199017546743504E-3</v>
      </c>
      <c r="E64">
        <v>4.1860481099999999E-3</v>
      </c>
      <c r="F64" s="39">
        <v>7.6095628600000003E-3</v>
      </c>
      <c r="G64" s="39">
        <v>1.1519290499999999E-2</v>
      </c>
      <c r="H64">
        <v>5.7152667199999998E-3</v>
      </c>
      <c r="I64" s="39">
        <v>2.4949556999999999E-3</v>
      </c>
      <c r="J64" s="39">
        <v>1.05403405E-2</v>
      </c>
      <c r="K64" s="39">
        <v>1.2816912099999999E-2</v>
      </c>
      <c r="L64" s="39">
        <v>1.6468051099999999E-2</v>
      </c>
      <c r="M64" s="39">
        <v>2.18563625E-2</v>
      </c>
      <c r="N64" s="39">
        <v>2.6664270899999998E-2</v>
      </c>
      <c r="O64" s="39">
        <v>3.6421200600000002E-2</v>
      </c>
      <c r="P64" s="39">
        <v>8.5655348300000003E-2</v>
      </c>
      <c r="Q64" s="39">
        <v>5.71087012E-2</v>
      </c>
      <c r="R64" s="39">
        <v>8.5771443500000003E-2</v>
      </c>
      <c r="S64" s="39">
        <v>0.107481893</v>
      </c>
      <c r="T64" s="39">
        <v>0.1276344257</v>
      </c>
      <c r="U64" s="39">
        <v>0.1669830045</v>
      </c>
      <c r="V64" s="39">
        <v>0.2028709561</v>
      </c>
      <c r="W64" s="39">
        <v>0.26002919369999999</v>
      </c>
      <c r="X64" s="39">
        <v>0.21256209249999999</v>
      </c>
      <c r="Y64" s="39">
        <v>0.33779899079999998</v>
      </c>
      <c r="Z64" s="39">
        <v>0.43451417329999997</v>
      </c>
      <c r="AA64" s="39">
        <v>0.5209200168</v>
      </c>
      <c r="AB64" s="39">
        <v>0.60295375559999997</v>
      </c>
      <c r="AC64" s="39">
        <v>0.5330853579</v>
      </c>
      <c r="AD64" s="39">
        <v>0.70333479099999996</v>
      </c>
      <c r="AE64" s="39">
        <v>0.78726909270000001</v>
      </c>
      <c r="AF64" s="39">
        <v>0.86265795249999999</v>
      </c>
      <c r="AG64" s="39">
        <v>0.93183221589999998</v>
      </c>
      <c r="AH64" s="39">
        <v>0.83407238269999995</v>
      </c>
      <c r="AI64" s="39">
        <v>0.97954740500000004</v>
      </c>
      <c r="AJ64" s="39">
        <v>1.0758665329999999</v>
      </c>
      <c r="AK64" s="39">
        <v>1.144074169</v>
      </c>
      <c r="AL64" s="39">
        <v>1.201277113</v>
      </c>
      <c r="AM64" s="39">
        <v>1.2527506479999999</v>
      </c>
      <c r="AN64">
        <v>1.2538752280000001</v>
      </c>
      <c r="AO64">
        <v>1.275071378</v>
      </c>
      <c r="AP64">
        <v>1.3046746469999999</v>
      </c>
      <c r="AQ64">
        <v>1.3360617159999999</v>
      </c>
      <c r="AR64">
        <v>1.211798599</v>
      </c>
      <c r="AS64">
        <v>1.2989372480000001</v>
      </c>
      <c r="AT64">
        <v>1.350419796</v>
      </c>
      <c r="AU64">
        <v>1.3847704970000001</v>
      </c>
      <c r="AV64">
        <v>1.411667658</v>
      </c>
      <c r="AW64" s="39">
        <v>1.4347805339999999</v>
      </c>
      <c r="BV64" s="39"/>
    </row>
    <row r="65" spans="2:49" x14ac:dyDescent="0.25">
      <c r="B65" t="s">
        <v>165</v>
      </c>
      <c r="C65">
        <v>4.9816121892674002E-2</v>
      </c>
      <c r="D65">
        <v>5.0615935843142099E-2</v>
      </c>
      <c r="E65">
        <v>5.1428591099999997E-2</v>
      </c>
      <c r="F65" s="39">
        <v>8.3951008800000004E-2</v>
      </c>
      <c r="G65" s="39">
        <v>0.14735490470000001</v>
      </c>
      <c r="H65">
        <v>0.22654022730000001</v>
      </c>
      <c r="I65">
        <v>0.31020621799999998</v>
      </c>
      <c r="J65">
        <v>0.42239650290000003</v>
      </c>
      <c r="K65" s="39">
        <v>0.51211815760000001</v>
      </c>
      <c r="L65" s="39">
        <v>0.64981100820000004</v>
      </c>
      <c r="M65" s="39">
        <v>0.84216061109999996</v>
      </c>
      <c r="N65" s="39">
        <v>1.0104694729999999</v>
      </c>
      <c r="O65" s="39">
        <v>1.3634641139999999</v>
      </c>
      <c r="P65" s="39">
        <v>2.0733249929999999</v>
      </c>
      <c r="Q65" s="39">
        <v>2.7036550099999999</v>
      </c>
      <c r="R65" s="39">
        <v>3.4172100209999998</v>
      </c>
      <c r="S65" s="39">
        <v>4.1362203739999996</v>
      </c>
      <c r="T65" s="39">
        <v>4.7139999640000001</v>
      </c>
      <c r="U65" s="39">
        <v>5.1408464110000001</v>
      </c>
      <c r="V65" s="39">
        <v>5.4989635909999999</v>
      </c>
      <c r="W65" s="39">
        <v>6.8105158489999997</v>
      </c>
      <c r="X65" s="39">
        <v>5.1133426799999997</v>
      </c>
      <c r="Y65" s="39">
        <v>8.2143709959999995</v>
      </c>
      <c r="Z65" s="39">
        <v>10.27309148</v>
      </c>
      <c r="AA65" s="39">
        <v>11.87408903</v>
      </c>
      <c r="AB65" s="39">
        <v>13.228450520000001</v>
      </c>
      <c r="AC65" s="39">
        <v>10.954681689999999</v>
      </c>
      <c r="AD65" s="39">
        <v>14.288777039999999</v>
      </c>
      <c r="AE65" s="39">
        <v>15.415176410000001</v>
      </c>
      <c r="AF65" s="39">
        <v>16.279413529999999</v>
      </c>
      <c r="AG65" s="39">
        <v>16.925813420000001</v>
      </c>
      <c r="AH65" s="39">
        <v>14.31959721</v>
      </c>
      <c r="AI65" s="39">
        <v>16.462845380000001</v>
      </c>
      <c r="AJ65" s="39">
        <v>17.487660210000001</v>
      </c>
      <c r="AK65" s="39">
        <v>17.922258039999999</v>
      </c>
      <c r="AL65" s="39">
        <v>18.13753436</v>
      </c>
      <c r="AM65" s="39">
        <v>18.249163360000001</v>
      </c>
      <c r="AN65">
        <v>17.454646440000001</v>
      </c>
      <c r="AO65">
        <v>17.038086839999998</v>
      </c>
      <c r="AP65">
        <v>16.781441780000002</v>
      </c>
      <c r="AQ65">
        <v>16.579893739999999</v>
      </c>
      <c r="AR65">
        <v>14.40085691</v>
      </c>
      <c r="AS65">
        <v>15.06206759</v>
      </c>
      <c r="AT65">
        <v>15.237559360000001</v>
      </c>
      <c r="AU65">
        <v>15.21571346</v>
      </c>
      <c r="AV65">
        <v>15.135642710000001</v>
      </c>
      <c r="AW65">
        <v>15.044709989999999</v>
      </c>
    </row>
    <row r="66" spans="2:49" x14ac:dyDescent="0.25">
      <c r="B66" t="s">
        <v>166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</row>
    <row r="67" spans="2:49" x14ac:dyDescent="0.25">
      <c r="B67" t="s">
        <v>167</v>
      </c>
      <c r="C67">
        <v>5.2121797950038999</v>
      </c>
      <c r="D67">
        <v>5.29586302754001</v>
      </c>
      <c r="E67">
        <v>5.3808898210000002</v>
      </c>
      <c r="F67">
        <v>5.4330005960000003</v>
      </c>
      <c r="G67">
        <v>4.4695161150000002</v>
      </c>
      <c r="H67">
        <v>3.878414802</v>
      </c>
      <c r="I67">
        <v>3.852534629</v>
      </c>
      <c r="J67">
        <v>3.673538073</v>
      </c>
      <c r="K67">
        <v>3.5398524249999999</v>
      </c>
      <c r="L67">
        <v>3.810247398</v>
      </c>
      <c r="M67">
        <v>3.9268856099999998</v>
      </c>
      <c r="N67">
        <v>4.0066068560000003</v>
      </c>
      <c r="O67">
        <v>3.0922471900000001</v>
      </c>
      <c r="P67">
        <v>2.5523905459999998</v>
      </c>
      <c r="Q67">
        <v>2.2066454229999999</v>
      </c>
      <c r="R67">
        <v>1.9852239679999999</v>
      </c>
      <c r="S67">
        <v>1.78210523</v>
      </c>
      <c r="T67">
        <v>1.749321575</v>
      </c>
      <c r="U67">
        <v>1.7307843510000001</v>
      </c>
      <c r="V67">
        <v>1.728604518</v>
      </c>
      <c r="W67">
        <v>1.6848839499999999</v>
      </c>
      <c r="X67">
        <v>1.6246796160000001</v>
      </c>
      <c r="Y67">
        <v>1.61908177</v>
      </c>
      <c r="Z67">
        <v>1.6272015200000001</v>
      </c>
      <c r="AA67">
        <v>1.6337510260000001</v>
      </c>
      <c r="AB67">
        <v>1.6411525950000001</v>
      </c>
      <c r="AC67">
        <v>1.646632592</v>
      </c>
      <c r="AD67">
        <v>1.6742308690000001</v>
      </c>
      <c r="AE67">
        <v>1.6979059830000001</v>
      </c>
      <c r="AF67">
        <v>1.7220486580000001</v>
      </c>
      <c r="AG67">
        <v>1.7474876500000001</v>
      </c>
      <c r="AH67">
        <v>1.772168317</v>
      </c>
      <c r="AI67">
        <v>1.8023359050000001</v>
      </c>
      <c r="AJ67">
        <v>1.831087208</v>
      </c>
      <c r="AK67">
        <v>1.8595529340000001</v>
      </c>
      <c r="AL67">
        <v>1.8883486540000001</v>
      </c>
      <c r="AM67">
        <v>1.917221861</v>
      </c>
      <c r="AN67">
        <v>1.9213411760000001</v>
      </c>
      <c r="AO67">
        <v>1.9218626750000001</v>
      </c>
      <c r="AP67">
        <v>1.919083914</v>
      </c>
      <c r="AQ67">
        <v>1.914719058</v>
      </c>
      <c r="AR67">
        <v>1.906004687</v>
      </c>
      <c r="AS67">
        <v>1.914206112</v>
      </c>
      <c r="AT67">
        <v>1.923238571</v>
      </c>
      <c r="AU67">
        <v>1.9319545929999999</v>
      </c>
      <c r="AV67">
        <v>1.9403368409999999</v>
      </c>
      <c r="AW67">
        <v>1.949543104</v>
      </c>
    </row>
    <row r="68" spans="2:49" x14ac:dyDescent="0.25">
      <c r="B68" t="s">
        <v>168</v>
      </c>
      <c r="C68">
        <v>0.35839918454870201</v>
      </c>
      <c r="D68">
        <v>0.36415339938413299</v>
      </c>
      <c r="E68">
        <v>0.37</v>
      </c>
      <c r="F68">
        <v>0.36697518940000001</v>
      </c>
      <c r="G68">
        <v>0.36292270409999999</v>
      </c>
      <c r="H68">
        <v>0.35834051779999998</v>
      </c>
      <c r="I68">
        <v>0.35576999110000002</v>
      </c>
      <c r="J68">
        <v>0.35293397679999999</v>
      </c>
      <c r="K68">
        <v>0.34839871150000001</v>
      </c>
      <c r="L68">
        <v>0.34215283949999997</v>
      </c>
      <c r="M68">
        <v>0.33599150160000002</v>
      </c>
      <c r="N68">
        <v>0.33140152020000002</v>
      </c>
      <c r="O68">
        <v>0.32997207779999999</v>
      </c>
      <c r="P68">
        <v>0.32997231560000001</v>
      </c>
      <c r="Q68">
        <v>0.32905792509999998</v>
      </c>
      <c r="R68">
        <v>0.32453094710000002</v>
      </c>
      <c r="S68">
        <v>0.31875528339999998</v>
      </c>
      <c r="T68">
        <v>0.31184433290000002</v>
      </c>
      <c r="U68">
        <v>0.30519817570000002</v>
      </c>
      <c r="V68">
        <v>0.29894364029999998</v>
      </c>
      <c r="W68">
        <v>0.29463271320000001</v>
      </c>
      <c r="X68">
        <v>0.29152856939999999</v>
      </c>
      <c r="Y68">
        <v>0.2899957661</v>
      </c>
      <c r="Z68">
        <v>0.28951741380000001</v>
      </c>
      <c r="AA68">
        <v>0.2893592083</v>
      </c>
      <c r="AB68">
        <v>0.2891305173</v>
      </c>
      <c r="AC68">
        <v>0.28863771329999999</v>
      </c>
      <c r="AD68">
        <v>0.2878147975</v>
      </c>
      <c r="AE68">
        <v>0.2866390593</v>
      </c>
      <c r="AF68">
        <v>0.2851416302</v>
      </c>
      <c r="AG68">
        <v>0.28335237660000001</v>
      </c>
      <c r="AH68">
        <v>0.28130310050000001</v>
      </c>
      <c r="AI68">
        <v>0.27901569389999997</v>
      </c>
      <c r="AJ68">
        <v>0.276528353</v>
      </c>
      <c r="AK68" s="39">
        <v>0.27390198580000003</v>
      </c>
      <c r="AL68" s="39">
        <v>0.27116993779999998</v>
      </c>
      <c r="AM68" s="39">
        <v>0.26835392320000001</v>
      </c>
      <c r="AN68" s="39">
        <v>0.2654509236</v>
      </c>
      <c r="AO68" s="39">
        <v>0.26242542019999998</v>
      </c>
      <c r="AP68" s="39">
        <v>0.25928153500000001</v>
      </c>
      <c r="AQ68" s="39">
        <v>0.25603931019999998</v>
      </c>
      <c r="AR68" s="39">
        <v>0.25271164979999999</v>
      </c>
      <c r="AS68" s="39">
        <v>0.2493113649</v>
      </c>
      <c r="AT68" s="39">
        <v>0.2458334284</v>
      </c>
      <c r="AU68" s="39">
        <v>0.24228187609999999</v>
      </c>
      <c r="AV68">
        <v>0.23866309359999999</v>
      </c>
      <c r="AW68">
        <v>0.2350284577</v>
      </c>
    </row>
    <row r="69" spans="2:49" x14ac:dyDescent="0.25">
      <c r="B69" t="s">
        <v>169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</row>
    <row r="70" spans="2:49" x14ac:dyDescent="0.25">
      <c r="B70" t="s">
        <v>170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</row>
    <row r="71" spans="2:49" x14ac:dyDescent="0.25">
      <c r="B71" t="s">
        <v>171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</row>
    <row r="72" spans="2:49" x14ac:dyDescent="0.25">
      <c r="B72" t="s">
        <v>172</v>
      </c>
      <c r="C72">
        <v>2.1503951072922098</v>
      </c>
      <c r="D72">
        <v>2.1849203963048001</v>
      </c>
      <c r="E72">
        <v>2.2200000000000002</v>
      </c>
      <c r="F72">
        <v>2.3061789269999999</v>
      </c>
      <c r="G72">
        <v>2.194080976</v>
      </c>
      <c r="H72">
        <v>2.3316476800000001</v>
      </c>
      <c r="I72">
        <v>2.425838336</v>
      </c>
      <c r="J72">
        <v>2.282435875</v>
      </c>
      <c r="K72">
        <v>2.1873830609999998</v>
      </c>
      <c r="L72">
        <v>2.1390528799999999</v>
      </c>
      <c r="M72">
        <v>2.3052808200000001</v>
      </c>
      <c r="N72">
        <v>2.479654236</v>
      </c>
      <c r="O72">
        <v>2.5835449509999999</v>
      </c>
      <c r="P72">
        <v>2.596780366</v>
      </c>
      <c r="Q72">
        <v>2.4024730060000001</v>
      </c>
      <c r="R72">
        <v>2.3810543900000001</v>
      </c>
      <c r="S72">
        <v>2.3996914199999999</v>
      </c>
      <c r="T72">
        <v>2.4595693550000002</v>
      </c>
      <c r="U72">
        <v>2.5142346770000001</v>
      </c>
      <c r="V72">
        <v>2.5920387580000002</v>
      </c>
      <c r="W72">
        <v>2.6539789040000001</v>
      </c>
      <c r="X72">
        <v>2.7312425720000002</v>
      </c>
      <c r="Y72">
        <v>2.7837980510000002</v>
      </c>
      <c r="Z72">
        <v>2.824934335</v>
      </c>
      <c r="AA72">
        <v>2.8587557389999998</v>
      </c>
      <c r="AB72">
        <v>2.8902330530000002</v>
      </c>
      <c r="AC72">
        <v>2.9357068970000002</v>
      </c>
      <c r="AD72">
        <v>2.9581349459999999</v>
      </c>
      <c r="AE72">
        <v>2.9866329779999998</v>
      </c>
      <c r="AF72">
        <v>3.0169776939999999</v>
      </c>
      <c r="AG72">
        <v>3.0495555059999999</v>
      </c>
      <c r="AH72">
        <v>3.0907154719999999</v>
      </c>
      <c r="AI72">
        <v>3.1250579479999998</v>
      </c>
      <c r="AJ72">
        <v>3.1658628489999998</v>
      </c>
      <c r="AK72">
        <v>3.2061580310000002</v>
      </c>
      <c r="AL72">
        <v>3.2484237450000002</v>
      </c>
      <c r="AM72">
        <v>3.29194838</v>
      </c>
      <c r="AN72">
        <v>3.3372556929999999</v>
      </c>
      <c r="AO72">
        <v>3.3842708250000002</v>
      </c>
      <c r="AP72">
        <v>3.4313929519999999</v>
      </c>
      <c r="AQ72">
        <v>3.4788612369999998</v>
      </c>
      <c r="AR72">
        <v>3.5321942439999998</v>
      </c>
      <c r="AS72">
        <v>3.5719956709999998</v>
      </c>
      <c r="AT72">
        <v>3.6124614770000001</v>
      </c>
      <c r="AU72">
        <v>3.6538914240000002</v>
      </c>
      <c r="AV72">
        <v>3.6971190439999999</v>
      </c>
      <c r="AW72">
        <v>3.7429668629999999</v>
      </c>
    </row>
    <row r="73" spans="2:49" x14ac:dyDescent="0.25">
      <c r="B73" t="s">
        <v>173</v>
      </c>
      <c r="C73">
        <v>17.283948650263198</v>
      </c>
      <c r="D73">
        <v>17.561448036494799</v>
      </c>
      <c r="E73">
        <v>17.843402770000001</v>
      </c>
      <c r="F73">
        <v>18.153582109999999</v>
      </c>
      <c r="G73">
        <v>16.95813081</v>
      </c>
      <c r="H73">
        <v>16.058643409999998</v>
      </c>
      <c r="I73">
        <v>15.460493749999999</v>
      </c>
      <c r="J73">
        <v>15.377348359999999</v>
      </c>
      <c r="K73">
        <v>14.11799139</v>
      </c>
      <c r="L73">
        <v>13.831739750000001</v>
      </c>
      <c r="M73">
        <v>14.16695415</v>
      </c>
      <c r="N73">
        <v>14.89950777</v>
      </c>
      <c r="O73">
        <v>14.056731389999999</v>
      </c>
      <c r="P73">
        <v>12.72362111</v>
      </c>
      <c r="Q73">
        <v>11.24968576</v>
      </c>
      <c r="R73">
        <v>10.25442563</v>
      </c>
      <c r="S73">
        <v>9.3444810749999903</v>
      </c>
      <c r="T73">
        <v>9.2466272959999998</v>
      </c>
      <c r="U73">
        <v>9.1537849359999903</v>
      </c>
      <c r="V73">
        <v>9.140644322</v>
      </c>
      <c r="W73">
        <v>8.9055742020000004</v>
      </c>
      <c r="X73">
        <v>8.6604671329999903</v>
      </c>
      <c r="Y73">
        <v>8.6610104119999995</v>
      </c>
      <c r="Z73">
        <v>8.7410656289999995</v>
      </c>
      <c r="AA73">
        <v>8.8298891420000007</v>
      </c>
      <c r="AB73">
        <v>8.9256789869999995</v>
      </c>
      <c r="AC73">
        <v>9.0406829050000006</v>
      </c>
      <c r="AD73">
        <v>9.1738881689999996</v>
      </c>
      <c r="AE73">
        <v>9.3006495820000001</v>
      </c>
      <c r="AF73">
        <v>9.4312481740000003</v>
      </c>
      <c r="AG73">
        <v>9.5694112550000003</v>
      </c>
      <c r="AH73">
        <v>9.7207622570000005</v>
      </c>
      <c r="AI73">
        <v>9.8840251220000006</v>
      </c>
      <c r="AJ73">
        <v>10.04779489</v>
      </c>
      <c r="AK73">
        <v>10.21295576</v>
      </c>
      <c r="AL73">
        <v>10.381437030000001</v>
      </c>
      <c r="AM73">
        <v>10.5510412</v>
      </c>
      <c r="AN73">
        <v>10.570482739999999</v>
      </c>
      <c r="AO73">
        <v>10.56520643</v>
      </c>
      <c r="AP73">
        <v>10.54471049</v>
      </c>
      <c r="AQ73">
        <v>10.51970551</v>
      </c>
      <c r="AR73">
        <v>10.48481595</v>
      </c>
      <c r="AS73">
        <v>10.52253402</v>
      </c>
      <c r="AT73">
        <v>10.569350569999999</v>
      </c>
      <c r="AU73">
        <v>10.61586803</v>
      </c>
      <c r="AV73">
        <v>10.663076849999999</v>
      </c>
      <c r="AW73">
        <v>10.7245846</v>
      </c>
    </row>
    <row r="74" spans="2:49" x14ac:dyDescent="0.25">
      <c r="B74" t="s">
        <v>174</v>
      </c>
      <c r="C74">
        <v>9.6518912203120095</v>
      </c>
      <c r="D74">
        <v>9.8068554558467902</v>
      </c>
      <c r="E74">
        <v>9.9643076920000002</v>
      </c>
      <c r="F74">
        <v>9.5495204170000001</v>
      </c>
      <c r="G74">
        <v>8.8736175750000008</v>
      </c>
      <c r="H74">
        <v>9.1082547900000002</v>
      </c>
      <c r="I74">
        <v>8.5071438829999995</v>
      </c>
      <c r="J74">
        <v>7.924431674</v>
      </c>
      <c r="K74">
        <v>7.4799623649999996</v>
      </c>
      <c r="L74">
        <v>7.2889126620000004</v>
      </c>
      <c r="M74">
        <v>7.1506053100000004</v>
      </c>
      <c r="N74">
        <v>7.2407211670000002</v>
      </c>
      <c r="O74">
        <v>7.2546442439999996</v>
      </c>
      <c r="P74">
        <v>7.011869441</v>
      </c>
      <c r="Q74">
        <v>6.6995402869999996</v>
      </c>
      <c r="R74">
        <v>6.6285230100000003</v>
      </c>
      <c r="S74">
        <v>6.4528228150000002</v>
      </c>
      <c r="T74">
        <v>6.3902400239999997</v>
      </c>
      <c r="U74">
        <v>6.3040235940000002</v>
      </c>
      <c r="V74">
        <v>6.231540689</v>
      </c>
      <c r="W74">
        <v>6.1587969019999997</v>
      </c>
      <c r="X74">
        <v>6.144782234</v>
      </c>
      <c r="Y74">
        <v>6.0747480549999997</v>
      </c>
      <c r="Z74">
        <v>6.0969260289999996</v>
      </c>
      <c r="AA74">
        <v>6.1197904550000004</v>
      </c>
      <c r="AB74">
        <v>6.1510803640000002</v>
      </c>
      <c r="AC74">
        <v>6.1773463160000004</v>
      </c>
      <c r="AD74">
        <v>6.2035016519999999</v>
      </c>
      <c r="AE74">
        <v>6.2194058429999997</v>
      </c>
      <c r="AF74">
        <v>6.2235754480000001</v>
      </c>
      <c r="AG74">
        <v>6.226456722</v>
      </c>
      <c r="AH74">
        <v>6.2229922740000001</v>
      </c>
      <c r="AI74">
        <v>6.2286830030000004</v>
      </c>
      <c r="AJ74">
        <v>6.231268257</v>
      </c>
      <c r="AK74">
        <v>6.2311239939999998</v>
      </c>
      <c r="AL74">
        <v>6.2284597809999998</v>
      </c>
      <c r="AM74">
        <v>6.2225483620000004</v>
      </c>
      <c r="AN74">
        <v>6.198117291</v>
      </c>
      <c r="AO74">
        <v>6.1676885229999998</v>
      </c>
      <c r="AP74">
        <v>6.1325689990000001</v>
      </c>
      <c r="AQ74">
        <v>6.0950805219999999</v>
      </c>
      <c r="AR74">
        <v>6.0516846969999998</v>
      </c>
      <c r="AS74">
        <v>5.9898647929999997</v>
      </c>
      <c r="AT74">
        <v>5.9225893960000002</v>
      </c>
      <c r="AU74">
        <v>5.8515707360000002</v>
      </c>
      <c r="AV74">
        <v>5.7766177939999999</v>
      </c>
      <c r="AW74">
        <v>5.7003003879999996</v>
      </c>
    </row>
    <row r="75" spans="2:49" x14ac:dyDescent="0.25">
      <c r="B75" t="s">
        <v>175</v>
      </c>
      <c r="C75">
        <v>4.6065844460580001</v>
      </c>
      <c r="D75">
        <v>4.68054464938142</v>
      </c>
      <c r="E75">
        <v>4.7556923080000004</v>
      </c>
      <c r="F75">
        <v>4.7683510299999998</v>
      </c>
      <c r="G75">
        <v>4.4869176670000002</v>
      </c>
      <c r="H75">
        <v>4.3324933530000003</v>
      </c>
      <c r="I75">
        <v>4.2417808509999997</v>
      </c>
      <c r="J75">
        <v>4.0289649430000001</v>
      </c>
      <c r="K75">
        <v>3.8082707519999999</v>
      </c>
      <c r="L75">
        <v>3.7176682680000002</v>
      </c>
      <c r="M75">
        <v>3.7101192150000002</v>
      </c>
      <c r="N75">
        <v>3.7806868680000001</v>
      </c>
      <c r="O75">
        <v>3.569971341</v>
      </c>
      <c r="P75">
        <v>3.3228929800000002</v>
      </c>
      <c r="Q75">
        <v>3.0925987099999999</v>
      </c>
      <c r="R75">
        <v>2.9131636470000002</v>
      </c>
      <c r="S75">
        <v>2.7276801470000001</v>
      </c>
      <c r="T75">
        <v>2.7378923730000002</v>
      </c>
      <c r="U75">
        <v>2.752774252</v>
      </c>
      <c r="V75">
        <v>2.7707803900000001</v>
      </c>
      <c r="W75">
        <v>2.6771965780000002</v>
      </c>
      <c r="X75">
        <v>2.5863682579999998</v>
      </c>
      <c r="Y75">
        <v>2.4786229830000002</v>
      </c>
      <c r="Z75">
        <v>2.4001754360000001</v>
      </c>
      <c r="AA75">
        <v>2.332327281</v>
      </c>
      <c r="AB75">
        <v>2.2738590049999998</v>
      </c>
      <c r="AC75">
        <v>2.221612929</v>
      </c>
      <c r="AD75">
        <v>2.1749710609999999</v>
      </c>
      <c r="AE75">
        <v>2.1317095849999999</v>
      </c>
      <c r="AF75">
        <v>2.0901509950000001</v>
      </c>
      <c r="AG75">
        <v>2.052749844</v>
      </c>
      <c r="AH75">
        <v>2.0182427619999999</v>
      </c>
      <c r="AI75">
        <v>1.9871744950000001</v>
      </c>
      <c r="AJ75">
        <v>1.958221233</v>
      </c>
      <c r="AK75">
        <v>1.931133666</v>
      </c>
      <c r="AL75">
        <v>1.905496743</v>
      </c>
      <c r="AM75">
        <v>1.880888943</v>
      </c>
      <c r="AN75">
        <v>1.879945193</v>
      </c>
      <c r="AO75">
        <v>1.8826059930000001</v>
      </c>
      <c r="AP75">
        <v>1.8853943280000001</v>
      </c>
      <c r="AQ75">
        <v>1.8880452599999999</v>
      </c>
      <c r="AR75">
        <v>1.889782139</v>
      </c>
      <c r="AS75">
        <v>1.890062943</v>
      </c>
      <c r="AT75">
        <v>1.8894577880000001</v>
      </c>
      <c r="AU75">
        <v>1.888279408</v>
      </c>
      <c r="AV75">
        <v>1.8864116769999999</v>
      </c>
      <c r="AW75">
        <v>1.8839878590000001</v>
      </c>
    </row>
    <row r="76" spans="2:49" x14ac:dyDescent="0.25">
      <c r="B76" t="s">
        <v>176</v>
      </c>
      <c r="C76">
        <v>23.690015269078899</v>
      </c>
      <c r="D76">
        <v>24.070366126976499</v>
      </c>
      <c r="E76">
        <v>24.45682364</v>
      </c>
      <c r="F76">
        <v>25.365800520000001</v>
      </c>
      <c r="G76">
        <v>24.936493469999998</v>
      </c>
      <c r="H76">
        <v>25.083510830000002</v>
      </c>
      <c r="I76">
        <v>25.17740062</v>
      </c>
      <c r="J76">
        <v>25.040174830000002</v>
      </c>
      <c r="K76">
        <v>24.80049271</v>
      </c>
      <c r="L76">
        <v>24.572062150000001</v>
      </c>
      <c r="M76">
        <v>24.415579950000001</v>
      </c>
      <c r="N76">
        <v>24.199172430000001</v>
      </c>
      <c r="O76">
        <v>24.07529177</v>
      </c>
      <c r="P76">
        <v>23.821150729999999</v>
      </c>
      <c r="Q76">
        <v>23.530822629999999</v>
      </c>
      <c r="R76">
        <v>23.26555334</v>
      </c>
      <c r="S76">
        <v>23.2464543</v>
      </c>
      <c r="T76">
        <v>23.144045460000001</v>
      </c>
      <c r="U76">
        <v>22.925047580000001</v>
      </c>
      <c r="V76">
        <v>22.596756110000001</v>
      </c>
      <c r="W76">
        <v>22.308184390000001</v>
      </c>
      <c r="X76">
        <v>21.686224249999999</v>
      </c>
      <c r="Y76">
        <v>21.269413230000001</v>
      </c>
      <c r="Z76">
        <v>20.924712450000001</v>
      </c>
      <c r="AA76">
        <v>20.594760279999999</v>
      </c>
      <c r="AB76">
        <v>20.25804939</v>
      </c>
      <c r="AC76">
        <v>19.721782279999999</v>
      </c>
      <c r="AD76">
        <v>19.308463119999999</v>
      </c>
      <c r="AE76">
        <v>19.01381709</v>
      </c>
      <c r="AF76">
        <v>18.71187617</v>
      </c>
      <c r="AG76">
        <v>18.401270610000001</v>
      </c>
      <c r="AH76">
        <v>18.079038319999999</v>
      </c>
      <c r="AI76">
        <v>17.708084710000001</v>
      </c>
      <c r="AJ76">
        <v>17.36081231</v>
      </c>
      <c r="AK76">
        <v>17.020314129999999</v>
      </c>
      <c r="AL76">
        <v>16.682645409999999</v>
      </c>
      <c r="AM76">
        <v>16.347337660000001</v>
      </c>
      <c r="AN76">
        <v>16.004909860000001</v>
      </c>
      <c r="AO76">
        <v>15.652078059999999</v>
      </c>
      <c r="AP76">
        <v>15.29544877</v>
      </c>
      <c r="AQ76">
        <v>14.937908350000001</v>
      </c>
      <c r="AR76">
        <v>14.52855654</v>
      </c>
      <c r="AS76">
        <v>14.15245174</v>
      </c>
      <c r="AT76">
        <v>13.788613979999999</v>
      </c>
      <c r="AU76">
        <v>13.43175216</v>
      </c>
      <c r="AV76">
        <v>13.080292099999999</v>
      </c>
      <c r="AW76">
        <v>12.733929979999999</v>
      </c>
    </row>
    <row r="77" spans="2:49" x14ac:dyDescent="0.25">
      <c r="B77" t="s">
        <v>177</v>
      </c>
      <c r="C77">
        <v>20.7498358478441</v>
      </c>
      <c r="D77">
        <v>21.0829811741058</v>
      </c>
      <c r="E77">
        <v>21.427087029999999</v>
      </c>
      <c r="F77">
        <v>21.88274535</v>
      </c>
      <c r="G77">
        <v>21.03744305</v>
      </c>
      <c r="H77">
        <v>19.517223869999999</v>
      </c>
      <c r="I77">
        <v>19.881804150000001</v>
      </c>
      <c r="J77">
        <v>19.302032400000002</v>
      </c>
      <c r="K77">
        <v>19.483497549999999</v>
      </c>
      <c r="L77">
        <v>19.000437770000001</v>
      </c>
      <c r="M77">
        <v>18.945809969999999</v>
      </c>
      <c r="N77">
        <v>18.962823440000001</v>
      </c>
      <c r="O77">
        <v>18.784270169999999</v>
      </c>
      <c r="P77">
        <v>18.984936659999999</v>
      </c>
      <c r="Q77">
        <v>18.758729120000002</v>
      </c>
      <c r="R77">
        <v>18.617818440000001</v>
      </c>
      <c r="S77">
        <v>18.361075939999999</v>
      </c>
      <c r="T77">
        <v>18.534383030000001</v>
      </c>
      <c r="U77">
        <v>18.676830890000002</v>
      </c>
      <c r="V77">
        <v>18.93034553</v>
      </c>
      <c r="W77">
        <v>19.08557137</v>
      </c>
      <c r="X77">
        <v>19.037712549999998</v>
      </c>
      <c r="Y77">
        <v>18.974026819999999</v>
      </c>
      <c r="Z77">
        <v>18.925720250000001</v>
      </c>
      <c r="AA77">
        <v>18.83007525</v>
      </c>
      <c r="AB77">
        <v>18.71767376</v>
      </c>
      <c r="AC77">
        <v>18.619089649999999</v>
      </c>
      <c r="AD77">
        <v>18.46726731</v>
      </c>
      <c r="AE77">
        <v>18.269963690000001</v>
      </c>
      <c r="AF77">
        <v>18.091257429999999</v>
      </c>
      <c r="AG77">
        <v>17.900819980000001</v>
      </c>
      <c r="AH77">
        <v>17.712281279999999</v>
      </c>
      <c r="AI77">
        <v>17.632945200000002</v>
      </c>
      <c r="AJ77">
        <v>17.542560290000001</v>
      </c>
      <c r="AK77">
        <v>17.439535190000001</v>
      </c>
      <c r="AL77">
        <v>17.339037359999999</v>
      </c>
      <c r="AM77">
        <v>17.241330300000001</v>
      </c>
      <c r="AN77">
        <v>17.258163790000001</v>
      </c>
      <c r="AO77">
        <v>17.29675237</v>
      </c>
      <c r="AP77">
        <v>17.336102919999998</v>
      </c>
      <c r="AQ77">
        <v>17.37816235</v>
      </c>
      <c r="AR77">
        <v>17.425808629999999</v>
      </c>
      <c r="AS77">
        <v>17.572498499999998</v>
      </c>
      <c r="AT77">
        <v>17.71447873</v>
      </c>
      <c r="AU77">
        <v>17.8558062</v>
      </c>
      <c r="AV77">
        <v>18.001841519999999</v>
      </c>
      <c r="AW77">
        <v>18.157522929999999</v>
      </c>
    </row>
    <row r="78" spans="2:49" x14ac:dyDescent="0.25">
      <c r="B78" t="s">
        <v>178</v>
      </c>
      <c r="C78">
        <v>0.28090746897060398</v>
      </c>
      <c r="D78">
        <v>0.28541752924702302</v>
      </c>
      <c r="E78">
        <v>0.28999999999999998</v>
      </c>
      <c r="F78">
        <v>0.30263501539999998</v>
      </c>
      <c r="G78">
        <v>0.30356236590000002</v>
      </c>
      <c r="H78">
        <v>0.2953258225</v>
      </c>
      <c r="I78">
        <v>0.31287879880000002</v>
      </c>
      <c r="J78">
        <v>0.31434320500000001</v>
      </c>
      <c r="K78">
        <v>0.32116972789999998</v>
      </c>
      <c r="L78">
        <v>0.31429423140000001</v>
      </c>
      <c r="M78">
        <v>0.32697432840000001</v>
      </c>
      <c r="N78">
        <v>0.31984049019999999</v>
      </c>
      <c r="O78">
        <v>0.30678961809999999</v>
      </c>
      <c r="P78">
        <v>0.31228444840000003</v>
      </c>
      <c r="Q78">
        <v>0.3125887853</v>
      </c>
      <c r="R78">
        <v>0.31100424310000002</v>
      </c>
      <c r="S78">
        <v>0.31209402739999997</v>
      </c>
      <c r="T78">
        <v>0.31617359119999999</v>
      </c>
      <c r="U78">
        <v>0.3196090573</v>
      </c>
      <c r="V78">
        <v>0.32537683820000002</v>
      </c>
      <c r="W78">
        <v>0.32773931880000001</v>
      </c>
      <c r="X78">
        <v>0.33072418790000002</v>
      </c>
      <c r="Y78">
        <v>0.33765211709999998</v>
      </c>
      <c r="Z78">
        <v>0.3408682985</v>
      </c>
      <c r="AA78">
        <v>0.34422816969999998</v>
      </c>
      <c r="AB78">
        <v>0.34654809069999998</v>
      </c>
      <c r="AC78">
        <v>0.35039326700000001</v>
      </c>
      <c r="AD78">
        <v>0.35123348630000001</v>
      </c>
      <c r="AE78">
        <v>0.35319041870000001</v>
      </c>
      <c r="AF78">
        <v>0.35563791210000001</v>
      </c>
      <c r="AG78">
        <v>0.35834828629999999</v>
      </c>
      <c r="AH78">
        <v>0.36215808119999998</v>
      </c>
      <c r="AI78">
        <v>0.36449463329999998</v>
      </c>
      <c r="AJ78">
        <v>0.3672637641</v>
      </c>
      <c r="AK78">
        <v>0.36990108379999997</v>
      </c>
      <c r="AL78">
        <v>0.3727030985</v>
      </c>
      <c r="AM78">
        <v>0.37576694529999999</v>
      </c>
      <c r="AN78">
        <v>0.37937810259999999</v>
      </c>
      <c r="AO78">
        <v>0.383251446</v>
      </c>
      <c r="AP78">
        <v>0.3871460753</v>
      </c>
      <c r="AQ78">
        <v>0.39082103639999999</v>
      </c>
      <c r="AR78">
        <v>0.39528241149999999</v>
      </c>
      <c r="AS78">
        <v>0.39897351260000002</v>
      </c>
      <c r="AT78">
        <v>0.40290529889999999</v>
      </c>
      <c r="AU78">
        <v>0.40693944100000001</v>
      </c>
      <c r="AV78">
        <v>0.41116730800000001</v>
      </c>
      <c r="AW78">
        <v>0.41564565980000001</v>
      </c>
    </row>
    <row r="79" spans="2:49" x14ac:dyDescent="0.25">
      <c r="B79" t="s">
        <v>179</v>
      </c>
      <c r="C79">
        <v>11.323476938849501</v>
      </c>
      <c r="D79">
        <v>11.5052790237851</v>
      </c>
      <c r="E79">
        <v>11.69</v>
      </c>
      <c r="F79">
        <v>11.971025839999999</v>
      </c>
      <c r="G79">
        <v>11.941108659999999</v>
      </c>
      <c r="H79">
        <v>10.418143990000001</v>
      </c>
      <c r="I79">
        <v>11.04166388</v>
      </c>
      <c r="J79">
        <v>11.5069129</v>
      </c>
      <c r="K79">
        <v>11.368543620000001</v>
      </c>
      <c r="L79">
        <v>11.214977230000001</v>
      </c>
      <c r="M79">
        <v>11.163215340000001</v>
      </c>
      <c r="N79">
        <v>10.966752</v>
      </c>
      <c r="O79">
        <v>10.19789271</v>
      </c>
      <c r="P79">
        <v>9.967748555</v>
      </c>
      <c r="Q79">
        <v>9.7898514750000007</v>
      </c>
      <c r="R79">
        <v>9.4109518239999996</v>
      </c>
      <c r="S79">
        <v>8.9832429129999998</v>
      </c>
      <c r="T79">
        <v>9.0885370489999904</v>
      </c>
      <c r="U79">
        <v>9.2418766580000007</v>
      </c>
      <c r="V79">
        <v>9.4948497140000008</v>
      </c>
      <c r="W79">
        <v>9.5743486129999997</v>
      </c>
      <c r="X79">
        <v>9.6329417040000003</v>
      </c>
      <c r="Y79">
        <v>9.6771507230000005</v>
      </c>
      <c r="Z79">
        <v>9.7202016239999995</v>
      </c>
      <c r="AA79">
        <v>9.7840317500000005</v>
      </c>
      <c r="AB79">
        <v>9.8320003249999903</v>
      </c>
      <c r="AC79">
        <v>9.8733106379999995</v>
      </c>
      <c r="AD79">
        <v>9.9635586230000008</v>
      </c>
      <c r="AE79">
        <v>10.047352269999999</v>
      </c>
      <c r="AF79">
        <v>10.13812233</v>
      </c>
      <c r="AG79">
        <v>10.236222140000001</v>
      </c>
      <c r="AH79">
        <v>10.33229978</v>
      </c>
      <c r="AI79">
        <v>10.456436979999999</v>
      </c>
      <c r="AJ79">
        <v>10.57354947</v>
      </c>
      <c r="AK79">
        <v>10.685213790000001</v>
      </c>
      <c r="AL79">
        <v>10.79770897</v>
      </c>
      <c r="AM79">
        <v>10.91155062</v>
      </c>
      <c r="AN79">
        <v>11.044786289999999</v>
      </c>
      <c r="AO79">
        <v>11.19827845</v>
      </c>
      <c r="AP79">
        <v>11.35463367</v>
      </c>
      <c r="AQ79">
        <v>11.510403070000001</v>
      </c>
      <c r="AR79">
        <v>11.663268889999999</v>
      </c>
      <c r="AS79">
        <v>11.81444172</v>
      </c>
      <c r="AT79">
        <v>11.95752485</v>
      </c>
      <c r="AU79">
        <v>12.09952603</v>
      </c>
      <c r="AV79">
        <v>12.2441861</v>
      </c>
      <c r="AW79">
        <v>12.397700650000001</v>
      </c>
    </row>
    <row r="80" spans="2:49" x14ac:dyDescent="0.25">
      <c r="B80" t="s">
        <v>180</v>
      </c>
      <c r="C80">
        <v>12.401465507675301</v>
      </c>
      <c r="D80">
        <v>12.6005750477687</v>
      </c>
      <c r="E80">
        <v>12.802881360000001</v>
      </c>
      <c r="F80">
        <v>12.96019656</v>
      </c>
      <c r="G80">
        <v>13.34772596</v>
      </c>
      <c r="H80">
        <v>13.0313275</v>
      </c>
      <c r="I80">
        <v>13.288519859999999</v>
      </c>
      <c r="J80">
        <v>13.65066732</v>
      </c>
      <c r="K80">
        <v>13.97993771</v>
      </c>
      <c r="L80">
        <v>14.02920316</v>
      </c>
      <c r="M80">
        <v>13.970486620000001</v>
      </c>
      <c r="N80">
        <v>13.752200009999999</v>
      </c>
      <c r="O80">
        <v>13.657236660000001</v>
      </c>
      <c r="P80">
        <v>13.88751055</v>
      </c>
      <c r="Q80">
        <v>14.31734971</v>
      </c>
      <c r="R80">
        <v>14.38065724</v>
      </c>
      <c r="S80">
        <v>14.445102029999999</v>
      </c>
      <c r="T80">
        <v>14.427125309999999</v>
      </c>
      <c r="U80">
        <v>14.51751367</v>
      </c>
      <c r="V80">
        <v>14.615124310000001</v>
      </c>
      <c r="W80">
        <v>14.66942416</v>
      </c>
      <c r="X80">
        <v>14.76701905</v>
      </c>
      <c r="Y80">
        <v>14.97520774</v>
      </c>
      <c r="Z80">
        <v>15.13562864</v>
      </c>
      <c r="AA80">
        <v>15.33633699</v>
      </c>
      <c r="AB80">
        <v>15.51590347</v>
      </c>
      <c r="AC80">
        <v>15.688101809999999</v>
      </c>
      <c r="AD80">
        <v>15.84591167</v>
      </c>
      <c r="AE80">
        <v>16.003729379999999</v>
      </c>
      <c r="AF80">
        <v>16.152291210000001</v>
      </c>
      <c r="AG80">
        <v>16.295024850000001</v>
      </c>
      <c r="AH80">
        <v>16.431595009999999</v>
      </c>
      <c r="AI80">
        <v>16.556189969999998</v>
      </c>
      <c r="AJ80">
        <v>16.667114210000001</v>
      </c>
      <c r="AK80">
        <v>16.769426379999999</v>
      </c>
      <c r="AL80">
        <v>16.863275049999999</v>
      </c>
      <c r="AM80">
        <v>16.94886048</v>
      </c>
      <c r="AN80">
        <v>17.034644289999999</v>
      </c>
      <c r="AO80">
        <v>17.108343309999999</v>
      </c>
      <c r="AP80">
        <v>17.171442089999999</v>
      </c>
      <c r="AQ80">
        <v>17.221241920000001</v>
      </c>
      <c r="AR80">
        <v>17.264238509999998</v>
      </c>
      <c r="AS80">
        <v>17.299395749999999</v>
      </c>
      <c r="AT80">
        <v>17.325037380000001</v>
      </c>
      <c r="AU80">
        <v>17.340761669999999</v>
      </c>
      <c r="AV80">
        <v>17.347117839999999</v>
      </c>
      <c r="AW80">
        <v>17.355734529999999</v>
      </c>
    </row>
    <row r="81" spans="2:99" x14ac:dyDescent="0.25">
      <c r="B81" t="s">
        <v>181</v>
      </c>
      <c r="C81">
        <v>10.826676236859401</v>
      </c>
      <c r="D81">
        <v>11.000502025829901</v>
      </c>
      <c r="E81">
        <v>11.17711864</v>
      </c>
      <c r="F81">
        <v>11.653960570000001</v>
      </c>
      <c r="G81">
        <v>11.97922823</v>
      </c>
      <c r="H81">
        <v>10.96568377</v>
      </c>
      <c r="I81">
        <v>11.32528514</v>
      </c>
      <c r="J81">
        <v>11.753451070000001</v>
      </c>
      <c r="K81">
        <v>12.03325968</v>
      </c>
      <c r="L81">
        <v>12.031526339999999</v>
      </c>
      <c r="M81">
        <v>11.94304876</v>
      </c>
      <c r="N81">
        <v>11.577119919999999</v>
      </c>
      <c r="O81">
        <v>11.029402810000001</v>
      </c>
      <c r="P81">
        <v>11.070493580000001</v>
      </c>
      <c r="Q81">
        <v>11.4391859</v>
      </c>
      <c r="R81">
        <v>11.331976170000001</v>
      </c>
      <c r="S81">
        <v>11.13643673</v>
      </c>
      <c r="T81">
        <v>11.14457123</v>
      </c>
      <c r="U81">
        <v>11.09293415</v>
      </c>
      <c r="V81">
        <v>11.019922129999999</v>
      </c>
      <c r="W81">
        <v>11.08269905</v>
      </c>
      <c r="X81">
        <v>11.17845099</v>
      </c>
      <c r="Y81">
        <v>11.40486625</v>
      </c>
      <c r="Z81">
        <v>11.53664903</v>
      </c>
      <c r="AA81">
        <v>11.67892194</v>
      </c>
      <c r="AB81">
        <v>11.782457900000001</v>
      </c>
      <c r="AC81">
        <v>11.864377470000001</v>
      </c>
      <c r="AD81">
        <v>11.92016591</v>
      </c>
      <c r="AE81">
        <v>11.97056665</v>
      </c>
      <c r="AF81">
        <v>12.009455409999999</v>
      </c>
      <c r="AG81">
        <v>12.03767652</v>
      </c>
      <c r="AH81">
        <v>12.05463366</v>
      </c>
      <c r="AI81">
        <v>12.058726780000001</v>
      </c>
      <c r="AJ81">
        <v>12.048084749999999</v>
      </c>
      <c r="AK81">
        <v>12.02634915</v>
      </c>
      <c r="AL81">
        <v>11.9956329</v>
      </c>
      <c r="AM81">
        <v>11.957900220000001</v>
      </c>
      <c r="AN81">
        <v>11.81427178</v>
      </c>
      <c r="AO81">
        <v>11.650006039999999</v>
      </c>
      <c r="AP81">
        <v>11.48285602</v>
      </c>
      <c r="AQ81">
        <v>11.31161217</v>
      </c>
      <c r="AR81">
        <v>11.144486949999999</v>
      </c>
      <c r="AS81">
        <v>10.98195269</v>
      </c>
      <c r="AT81">
        <v>10.82117371</v>
      </c>
      <c r="AU81">
        <v>10.66169878</v>
      </c>
      <c r="AV81">
        <v>10.504412179999999</v>
      </c>
      <c r="AW81">
        <v>10.34926958</v>
      </c>
    </row>
    <row r="82" spans="2:99" x14ac:dyDescent="0.25">
      <c r="B82" t="s">
        <v>182</v>
      </c>
      <c r="C82" s="39">
        <v>4.42659733299524E-4</v>
      </c>
      <c r="D82" s="39">
        <v>4.4976677849999601E-4</v>
      </c>
      <c r="E82" s="39">
        <v>4.5698792999999998E-4</v>
      </c>
      <c r="F82" s="39">
        <v>8.2141451500000002E-4</v>
      </c>
      <c r="G82" s="39">
        <v>1.4155585100000001E-3</v>
      </c>
      <c r="H82">
        <v>2.3900095E-3</v>
      </c>
      <c r="I82">
        <v>3.71812394E-3</v>
      </c>
      <c r="J82" s="39">
        <v>5.4850080200000003E-3</v>
      </c>
      <c r="K82" s="39">
        <v>7.5848295899999998E-3</v>
      </c>
      <c r="L82" s="39">
        <v>1.0271789700000001E-2</v>
      </c>
      <c r="M82" s="39">
        <v>1.38611234E-2</v>
      </c>
      <c r="N82" s="39">
        <v>1.8184398500000001E-2</v>
      </c>
      <c r="O82" s="39">
        <v>2.41695681E-2</v>
      </c>
      <c r="P82" s="39">
        <v>3.2031828599999999E-2</v>
      </c>
      <c r="Q82" s="39">
        <v>4.2258361600000002E-2</v>
      </c>
      <c r="R82" s="39">
        <v>5.53997169E-2</v>
      </c>
      <c r="S82" s="39">
        <v>7.2456006399999995E-2</v>
      </c>
      <c r="T82" s="39">
        <v>9.2456454199999996E-2</v>
      </c>
      <c r="U82" s="39">
        <v>0.1185033176</v>
      </c>
      <c r="V82" s="39">
        <v>0.1496639015</v>
      </c>
      <c r="W82" s="39">
        <v>0.18985548299999999</v>
      </c>
      <c r="X82" s="39">
        <v>0.21899140219999999</v>
      </c>
      <c r="Y82" s="39">
        <v>0.26977434150000001</v>
      </c>
      <c r="Z82" s="39">
        <v>0.33587834519999998</v>
      </c>
      <c r="AA82" s="39">
        <v>0.41451845970000001</v>
      </c>
      <c r="AB82" s="39">
        <v>0.50417564349999999</v>
      </c>
      <c r="AC82" s="39">
        <v>0.57556165699999995</v>
      </c>
      <c r="AD82" s="39">
        <v>0.67512178060000005</v>
      </c>
      <c r="AE82" s="39">
        <v>0.78966193539999996</v>
      </c>
      <c r="AF82" s="39">
        <v>0.91368874060000005</v>
      </c>
      <c r="AG82" s="39">
        <v>1.0457029170000001</v>
      </c>
      <c r="AH82" s="39">
        <v>1.1597425320000001</v>
      </c>
      <c r="AI82" s="39">
        <v>1.291591301</v>
      </c>
      <c r="AJ82" s="39">
        <v>1.4368745869999999</v>
      </c>
      <c r="AK82" s="39">
        <v>1.589519616</v>
      </c>
      <c r="AL82" s="39">
        <v>1.7470924029999999</v>
      </c>
      <c r="AM82" s="39">
        <v>1.908308254</v>
      </c>
      <c r="AN82" s="39">
        <v>2.0642807099999998</v>
      </c>
      <c r="AO82" s="39">
        <v>2.21759723</v>
      </c>
      <c r="AP82" s="39">
        <v>2.3700703110000001</v>
      </c>
      <c r="AQ82" s="39">
        <v>2.5220705670000001</v>
      </c>
      <c r="AR82" s="39">
        <v>2.6407591359999998</v>
      </c>
      <c r="AS82" s="39">
        <v>2.773786189</v>
      </c>
      <c r="AT82" s="39">
        <v>2.9116325170000001</v>
      </c>
      <c r="AU82" s="39">
        <v>3.0503743459999999</v>
      </c>
      <c r="AV82" s="39">
        <v>3.1883100299999998</v>
      </c>
      <c r="AW82" s="39">
        <v>3.3245960229999998</v>
      </c>
    </row>
    <row r="83" spans="2:99" x14ac:dyDescent="0.25">
      <c r="B83" t="s">
        <v>183</v>
      </c>
      <c r="C83">
        <v>1.1996237928359601</v>
      </c>
      <c r="D83">
        <v>1.2188841408592499</v>
      </c>
      <c r="E83">
        <v>1.238794476</v>
      </c>
      <c r="F83">
        <v>1.2961445439999999</v>
      </c>
      <c r="G83">
        <v>1.281178065</v>
      </c>
      <c r="H83">
        <v>1.144919016</v>
      </c>
      <c r="I83">
        <v>1.2158896370000001</v>
      </c>
      <c r="J83">
        <v>1.240105279</v>
      </c>
      <c r="K83">
        <v>1.268233261</v>
      </c>
      <c r="L83">
        <v>1.274752994</v>
      </c>
      <c r="M83">
        <v>1.2792156750000001</v>
      </c>
      <c r="N83">
        <v>1.268838986</v>
      </c>
      <c r="O83">
        <v>1.2658803240000001</v>
      </c>
      <c r="P83">
        <v>1.332752317</v>
      </c>
      <c r="Q83">
        <v>1.363320708</v>
      </c>
      <c r="R83">
        <v>1.4049790879999999</v>
      </c>
      <c r="S83">
        <v>1.4349099599999999</v>
      </c>
      <c r="T83">
        <v>1.5778756949999999</v>
      </c>
      <c r="U83">
        <v>1.7033605300000001</v>
      </c>
      <c r="V83">
        <v>1.8408042339999999</v>
      </c>
      <c r="W83">
        <v>1.918843114</v>
      </c>
      <c r="X83">
        <v>2.1969392299999999</v>
      </c>
      <c r="Y83">
        <v>2.351639424</v>
      </c>
      <c r="Z83">
        <v>2.4681144220000002</v>
      </c>
      <c r="AA83">
        <v>2.5703555859999998</v>
      </c>
      <c r="AB83">
        <v>2.6519667220000001</v>
      </c>
      <c r="AC83">
        <v>2.870062581</v>
      </c>
      <c r="AD83">
        <v>2.9413440089999998</v>
      </c>
      <c r="AE83">
        <v>3.0146617180000002</v>
      </c>
      <c r="AF83">
        <v>3.0910666660000001</v>
      </c>
      <c r="AG83">
        <v>3.1640798079999999</v>
      </c>
      <c r="AH83">
        <v>3.3032634230000002</v>
      </c>
      <c r="AI83">
        <v>3.3545141040000002</v>
      </c>
      <c r="AJ83">
        <v>3.4072733450000001</v>
      </c>
      <c r="AK83">
        <v>3.4578610919999999</v>
      </c>
      <c r="AL83">
        <v>3.50916826</v>
      </c>
      <c r="AM83">
        <v>3.5623386190000002</v>
      </c>
      <c r="AN83">
        <v>3.5833030300000002</v>
      </c>
      <c r="AO83">
        <v>3.6113693950000001</v>
      </c>
      <c r="AP83">
        <v>3.641000612</v>
      </c>
      <c r="AQ83">
        <v>3.671330518</v>
      </c>
      <c r="AR83">
        <v>3.773512083</v>
      </c>
      <c r="AS83">
        <v>3.7797743690000001</v>
      </c>
      <c r="AT83">
        <v>3.790951019</v>
      </c>
      <c r="AU83">
        <v>3.8033962909999999</v>
      </c>
      <c r="AV83">
        <v>3.817228772</v>
      </c>
      <c r="AW83">
        <v>3.833127282</v>
      </c>
    </row>
    <row r="84" spans="2:99" x14ac:dyDescent="0.25">
      <c r="B84" t="s">
        <v>184</v>
      </c>
      <c r="C84">
        <v>0.33902625565417799</v>
      </c>
      <c r="D84">
        <v>0.34446943184985501</v>
      </c>
      <c r="E84">
        <v>0.35</v>
      </c>
      <c r="F84">
        <v>0.3663037079</v>
      </c>
      <c r="G84">
        <v>0.35684614640000001</v>
      </c>
      <c r="H84">
        <v>0.36147352649999998</v>
      </c>
      <c r="I84">
        <v>0.38832202840000002</v>
      </c>
      <c r="J84">
        <v>0.38175848200000001</v>
      </c>
      <c r="K84">
        <v>0.37520808789999999</v>
      </c>
      <c r="L84">
        <v>0.36470581699999999</v>
      </c>
      <c r="M84">
        <v>0.38613448350000001</v>
      </c>
      <c r="N84">
        <v>0.39457648909999998</v>
      </c>
      <c r="O84">
        <v>0.39554612810000001</v>
      </c>
      <c r="P84">
        <v>0.40123074050000002</v>
      </c>
      <c r="Q84">
        <v>0.37917695439999999</v>
      </c>
      <c r="R84">
        <v>0.37091312859999997</v>
      </c>
      <c r="S84">
        <v>0.3708630798</v>
      </c>
      <c r="T84">
        <v>0.37584233970000003</v>
      </c>
      <c r="U84">
        <v>0.38202092809999999</v>
      </c>
      <c r="V84">
        <v>0.39178273819999998</v>
      </c>
      <c r="W84">
        <v>0.40693609040000001</v>
      </c>
      <c r="X84">
        <v>0.4206290734</v>
      </c>
      <c r="Y84">
        <v>0.43175746079999999</v>
      </c>
      <c r="Z84">
        <v>0.43975175010000001</v>
      </c>
      <c r="AA84">
        <v>0.44453450360000002</v>
      </c>
      <c r="AB84">
        <v>0.44856853460000001</v>
      </c>
      <c r="AC84">
        <v>0.45444350659999999</v>
      </c>
      <c r="AD84">
        <v>0.4567737301</v>
      </c>
      <c r="AE84">
        <v>0.45972892300000001</v>
      </c>
      <c r="AF84">
        <v>0.46336899129999998</v>
      </c>
      <c r="AG84">
        <v>0.4668406658</v>
      </c>
      <c r="AH84">
        <v>0.47159079469999998</v>
      </c>
      <c r="AI84">
        <v>0.47417327129999998</v>
      </c>
      <c r="AJ84">
        <v>0.47766470830000002</v>
      </c>
      <c r="AK84">
        <v>0.4811219142</v>
      </c>
      <c r="AL84">
        <v>0.48487035680000001</v>
      </c>
      <c r="AM84">
        <v>0.48900336490000001</v>
      </c>
      <c r="AN84">
        <v>0.49420986719999999</v>
      </c>
      <c r="AO84">
        <v>0.50004954400000001</v>
      </c>
      <c r="AP84">
        <v>0.50598322500000004</v>
      </c>
      <c r="AQ84">
        <v>0.5120180272</v>
      </c>
      <c r="AR84">
        <v>0.51889264629999998</v>
      </c>
      <c r="AS84">
        <v>0.52478084859999996</v>
      </c>
      <c r="AT84">
        <v>0.53109092940000002</v>
      </c>
      <c r="AU84">
        <v>0.5375716908</v>
      </c>
      <c r="AV84">
        <v>0.5442829226</v>
      </c>
      <c r="AW84">
        <v>0.55124957919999995</v>
      </c>
    </row>
    <row r="85" spans="2:99" x14ac:dyDescent="0.25">
      <c r="B85" t="s">
        <v>185</v>
      </c>
      <c r="C85">
        <v>12.8442518570697</v>
      </c>
      <c r="D85">
        <v>13.0504704752259</v>
      </c>
      <c r="E85">
        <v>13.26</v>
      </c>
      <c r="F85">
        <v>13.64490296</v>
      </c>
      <c r="G85">
        <v>13.203392920000001</v>
      </c>
      <c r="H85">
        <v>12.153374019999999</v>
      </c>
      <c r="I85">
        <v>12.669378419999999</v>
      </c>
      <c r="J85">
        <v>12.897917769999999</v>
      </c>
      <c r="K85">
        <v>12.29653766</v>
      </c>
      <c r="L85">
        <v>12.08471177</v>
      </c>
      <c r="M85">
        <v>12.26194827</v>
      </c>
      <c r="N85">
        <v>12.564611360000001</v>
      </c>
      <c r="O85">
        <v>12.83902803</v>
      </c>
      <c r="P85" s="39">
        <v>13.15116329</v>
      </c>
      <c r="Q85" s="39">
        <v>12.86182662</v>
      </c>
      <c r="R85" s="39">
        <v>12.79963218</v>
      </c>
      <c r="S85" s="39">
        <v>12.72188557</v>
      </c>
      <c r="T85" s="39">
        <v>12.838022949999999</v>
      </c>
      <c r="U85" s="39">
        <v>12.918975870000001</v>
      </c>
      <c r="V85" s="39">
        <v>13.10311113</v>
      </c>
      <c r="W85" s="39">
        <v>13.24602378</v>
      </c>
      <c r="X85" s="39">
        <v>13.21202227</v>
      </c>
      <c r="Y85" s="39">
        <v>13.19547139</v>
      </c>
      <c r="Z85" s="39">
        <v>13.28495388</v>
      </c>
      <c r="AA85" s="39">
        <v>13.32324101</v>
      </c>
      <c r="AB85" s="39">
        <v>13.355347930000001</v>
      </c>
      <c r="AC85" s="39">
        <v>13.392092809999999</v>
      </c>
      <c r="AD85" s="39">
        <v>13.49198981</v>
      </c>
      <c r="AE85" s="39">
        <v>13.5694157</v>
      </c>
      <c r="AF85">
        <v>13.66259969</v>
      </c>
      <c r="AG85">
        <v>13.75168431</v>
      </c>
      <c r="AH85">
        <v>13.84577292</v>
      </c>
      <c r="AI85">
        <v>13.9517367</v>
      </c>
      <c r="AJ85">
        <v>14.06047021</v>
      </c>
      <c r="AK85">
        <v>14.167920990000001</v>
      </c>
      <c r="AL85">
        <v>14.28084177</v>
      </c>
      <c r="AM85">
        <v>14.399596730000001</v>
      </c>
      <c r="AN85">
        <v>14.465625510000001</v>
      </c>
      <c r="AO85">
        <v>14.54711314</v>
      </c>
      <c r="AP85">
        <v>14.627672909999999</v>
      </c>
      <c r="AQ85">
        <v>14.71442506</v>
      </c>
      <c r="AR85">
        <v>14.796819620000001</v>
      </c>
      <c r="AS85">
        <v>14.92989013</v>
      </c>
      <c r="AT85">
        <v>15.071297899999999</v>
      </c>
      <c r="AU85">
        <v>15.21775742</v>
      </c>
      <c r="AV85">
        <v>15.371546889999999</v>
      </c>
      <c r="AW85">
        <v>15.54299619</v>
      </c>
    </row>
    <row r="86" spans="2:99" x14ac:dyDescent="0.25">
      <c r="B86" t="s">
        <v>186</v>
      </c>
      <c r="C86">
        <v>17.113958899133198</v>
      </c>
      <c r="D86">
        <v>17.388729044925601</v>
      </c>
      <c r="E86">
        <v>17.667910710000001</v>
      </c>
      <c r="F86">
        <v>17.809832199999999</v>
      </c>
      <c r="G86">
        <v>17.735130439999999</v>
      </c>
      <c r="H86">
        <v>17.743852650000001</v>
      </c>
      <c r="I86">
        <v>18.11123641</v>
      </c>
      <c r="J86">
        <v>18.124148590000001</v>
      </c>
      <c r="K86" s="39">
        <v>17.784831130000001</v>
      </c>
      <c r="L86" s="39">
        <v>17.560275820000001</v>
      </c>
      <c r="M86" s="39">
        <v>17.559450859999998</v>
      </c>
      <c r="N86" s="39">
        <v>17.706069859999999</v>
      </c>
      <c r="O86" s="39">
        <v>18.065149359999999</v>
      </c>
      <c r="P86" s="39">
        <v>18.163535379999999</v>
      </c>
      <c r="Q86" s="39">
        <v>17.727117270000001</v>
      </c>
      <c r="R86" s="39">
        <v>17.414159160000001</v>
      </c>
      <c r="S86" s="39">
        <v>17.18079925</v>
      </c>
      <c r="T86" s="39">
        <v>16.787291790000001</v>
      </c>
      <c r="U86" s="39">
        <v>16.647852969999999</v>
      </c>
      <c r="V86" s="39">
        <v>16.5235953</v>
      </c>
      <c r="W86" s="39">
        <v>16.784208270000001</v>
      </c>
      <c r="X86" s="39">
        <v>16.928432269999998</v>
      </c>
      <c r="Y86" s="39">
        <v>17.072507730000002</v>
      </c>
      <c r="Z86">
        <v>17.306143049999999</v>
      </c>
      <c r="AA86">
        <v>17.457805270000001</v>
      </c>
      <c r="AB86">
        <v>17.632480059999999</v>
      </c>
      <c r="AC86">
        <v>17.78620518</v>
      </c>
      <c r="AD86">
        <v>17.928278769999999</v>
      </c>
      <c r="AE86">
        <v>18.03008505</v>
      </c>
      <c r="AF86">
        <v>18.125457470000001</v>
      </c>
      <c r="AG86">
        <v>18.18559067</v>
      </c>
      <c r="AH86">
        <v>18.23039575</v>
      </c>
      <c r="AI86">
        <v>18.240035949999999</v>
      </c>
      <c r="AJ86">
        <v>18.246189529999999</v>
      </c>
      <c r="AK86">
        <v>18.243956239999999</v>
      </c>
      <c r="AL86">
        <v>18.234507310000001</v>
      </c>
      <c r="AM86">
        <v>18.218917900000001</v>
      </c>
      <c r="AN86">
        <v>18.19803361</v>
      </c>
      <c r="AO86">
        <v>18.17350484</v>
      </c>
      <c r="AP86">
        <v>18.13867333</v>
      </c>
      <c r="AQ86">
        <v>18.102264179999999</v>
      </c>
      <c r="AR86">
        <v>18.051251610000001</v>
      </c>
      <c r="AS86">
        <v>18.018106110000002</v>
      </c>
      <c r="AT86" s="39">
        <v>17.980276450000002</v>
      </c>
      <c r="AU86" s="39">
        <v>17.934251589999999</v>
      </c>
      <c r="AV86">
        <v>17.879488429999999</v>
      </c>
      <c r="AW86">
        <v>17.820530810000001</v>
      </c>
    </row>
    <row r="87" spans="2:99" x14ac:dyDescent="0.25">
      <c r="B87" t="s">
        <v>187</v>
      </c>
      <c r="C87">
        <v>5.6395460874857797</v>
      </c>
      <c r="D87">
        <v>5.7300908240832298</v>
      </c>
      <c r="E87">
        <v>5.8220892859999998</v>
      </c>
      <c r="F87">
        <v>6.2133458150000003</v>
      </c>
      <c r="G87">
        <v>6.3838032120000001</v>
      </c>
      <c r="H87">
        <v>6.5218179709999999</v>
      </c>
      <c r="I87">
        <v>7.0625297250000001</v>
      </c>
      <c r="J87">
        <v>7.3770131069999998</v>
      </c>
      <c r="K87">
        <v>7.4853261050000004</v>
      </c>
      <c r="L87">
        <v>7.7640169820000002</v>
      </c>
      <c r="M87">
        <v>8.3040327999999999</v>
      </c>
      <c r="N87">
        <v>9.1415614349999998</v>
      </c>
      <c r="O87">
        <v>9.4576667190000006</v>
      </c>
      <c r="P87">
        <v>9.3260766870000005</v>
      </c>
      <c r="Q87">
        <v>8.6595106469999994</v>
      </c>
      <c r="R87">
        <v>8.1815648050000007</v>
      </c>
      <c r="S87">
        <v>7.8846948670000003</v>
      </c>
      <c r="T87">
        <v>7.8059055529999997</v>
      </c>
      <c r="U87">
        <v>7.7682315610000003</v>
      </c>
      <c r="V87">
        <v>7.7343846579999997</v>
      </c>
      <c r="W87">
        <v>8.0220876600000004</v>
      </c>
      <c r="X87">
        <v>8.2492596729999903</v>
      </c>
      <c r="Y87">
        <v>8.4366911479999995</v>
      </c>
      <c r="Z87">
        <v>8.5269824920000001</v>
      </c>
      <c r="AA87">
        <v>8.5296773770000005</v>
      </c>
      <c r="AB87">
        <v>8.5121553409999997</v>
      </c>
      <c r="AC87">
        <v>8.476467886</v>
      </c>
      <c r="AD87">
        <v>8.4318296959999994</v>
      </c>
      <c r="AE87">
        <v>8.3697738580000003</v>
      </c>
      <c r="AF87">
        <v>8.3094904940000003</v>
      </c>
      <c r="AG87">
        <v>8.2323518070000006</v>
      </c>
      <c r="AH87">
        <v>8.1480962229999996</v>
      </c>
      <c r="AI87">
        <v>8.0550896689999902</v>
      </c>
      <c r="AJ87">
        <v>7.9646489440000003</v>
      </c>
      <c r="AK87">
        <v>7.8741008929999996</v>
      </c>
      <c r="AL87">
        <v>7.7838631119999997</v>
      </c>
      <c r="AM87">
        <v>7.694597474</v>
      </c>
      <c r="AN87">
        <v>7.5621999300000002</v>
      </c>
      <c r="AO87">
        <v>7.4286371979999997</v>
      </c>
      <c r="AP87">
        <v>7.2977805980000001</v>
      </c>
      <c r="AQ87">
        <v>7.1727283210000001</v>
      </c>
      <c r="AR87">
        <v>7.0494609449999999</v>
      </c>
      <c r="AS87">
        <v>6.9307831330000003</v>
      </c>
      <c r="AT87">
        <v>6.8162762810000004</v>
      </c>
      <c r="AU87">
        <v>6.7043264880000004</v>
      </c>
      <c r="AV87">
        <v>6.594735343</v>
      </c>
      <c r="AW87">
        <v>6.4865898419999999</v>
      </c>
    </row>
    <row r="88" spans="2:99" x14ac:dyDescent="0.25">
      <c r="B88" t="s">
        <v>188</v>
      </c>
      <c r="C88" s="39">
        <v>1.0609788529198101E-6</v>
      </c>
      <c r="D88" s="39">
        <v>1.0780132115867701E-6</v>
      </c>
      <c r="E88" s="39">
        <v>1.0953210600000001E-6</v>
      </c>
      <c r="F88" s="39">
        <v>1.2870020300000001E-6</v>
      </c>
      <c r="G88" s="39">
        <v>2.3139638699999998E-6</v>
      </c>
      <c r="H88" s="39">
        <v>3.45845446E-6</v>
      </c>
      <c r="I88" s="39">
        <v>4.6477410099999999E-6</v>
      </c>
      <c r="J88" s="39">
        <v>6.16659201E-6</v>
      </c>
      <c r="K88" s="39">
        <v>7.5463309200000004E-6</v>
      </c>
      <c r="L88" s="39">
        <v>8.7704254400000007E-6</v>
      </c>
      <c r="M88" s="39">
        <v>9.9375681000000003E-6</v>
      </c>
      <c r="N88" s="39">
        <v>1.06100426E-5</v>
      </c>
      <c r="O88" s="39">
        <v>1.11737046E-5</v>
      </c>
      <c r="P88" s="39">
        <v>1.14036039E-5</v>
      </c>
      <c r="Q88" s="39">
        <v>1.21560034E-5</v>
      </c>
      <c r="R88" s="39">
        <v>1.29993192E-5</v>
      </c>
      <c r="S88" s="39">
        <v>1.46634596E-5</v>
      </c>
      <c r="T88" s="39">
        <v>1.6021909499999999E-5</v>
      </c>
      <c r="U88" s="39">
        <v>1.8267784099999999E-5</v>
      </c>
      <c r="V88" s="39">
        <v>2.07440645E-5</v>
      </c>
      <c r="W88" s="39">
        <v>2.33597131E-5</v>
      </c>
      <c r="X88" s="39">
        <v>2.4772644800000001E-5</v>
      </c>
      <c r="Y88" s="39">
        <v>2.68454797E-5</v>
      </c>
      <c r="Z88" s="39">
        <v>2.9132400599999999E-5</v>
      </c>
      <c r="AA88" s="39">
        <v>3.1465504400000003E-5</v>
      </c>
      <c r="AB88" s="39">
        <v>3.3765084100000001E-5</v>
      </c>
      <c r="AC88" s="39">
        <v>3.51395501E-5</v>
      </c>
      <c r="AD88" s="39">
        <v>3.6985904200000002E-5</v>
      </c>
      <c r="AE88" s="39">
        <v>3.9041161199999998E-5</v>
      </c>
      <c r="AF88" s="39">
        <v>4.1062186999999999E-5</v>
      </c>
      <c r="AG88" s="39">
        <v>4.3015560799999999E-5</v>
      </c>
      <c r="AH88" s="39">
        <v>4.4563935799999997E-5</v>
      </c>
      <c r="AI88" s="39">
        <v>4.6163462999999998E-5</v>
      </c>
      <c r="AJ88" s="39">
        <v>4.7863309299999999E-5</v>
      </c>
      <c r="AK88" s="39">
        <v>4.9579780300000003E-5</v>
      </c>
      <c r="AL88" s="39">
        <v>5.1281998100000001E-5</v>
      </c>
      <c r="AM88" s="39">
        <v>5.29570441E-5</v>
      </c>
      <c r="AN88" s="39">
        <v>5.4528162700000001E-5</v>
      </c>
      <c r="AO88" s="39">
        <v>5.6027061699999999E-5</v>
      </c>
      <c r="AP88" s="39">
        <v>5.7490627299999997E-5</v>
      </c>
      <c r="AQ88" s="39">
        <v>5.8937156000000002E-5</v>
      </c>
      <c r="AR88" s="39">
        <v>5.9881330400000001E-5</v>
      </c>
      <c r="AS88" s="39">
        <v>6.10596572E-5</v>
      </c>
      <c r="AT88" s="39">
        <v>6.23304125E-5</v>
      </c>
      <c r="AU88" s="39">
        <v>6.3645881799999994E-5</v>
      </c>
      <c r="AV88" s="39">
        <v>6.4983898999999997E-5</v>
      </c>
      <c r="AW88" s="39">
        <v>6.6332901000000006E-5</v>
      </c>
      <c r="BA88" s="39"/>
      <c r="BB88" s="39"/>
      <c r="BC88" s="39"/>
      <c r="BD88" s="39"/>
      <c r="BE88" s="39"/>
      <c r="BF88" s="39"/>
      <c r="BG88" s="39"/>
      <c r="BH88" s="39"/>
      <c r="BI88" s="39"/>
      <c r="BJ88" s="39"/>
      <c r="BK88" s="39"/>
      <c r="BL88" s="39"/>
      <c r="BM88" s="39"/>
      <c r="BN88" s="39"/>
      <c r="BO88" s="39"/>
      <c r="BP88" s="39"/>
      <c r="BQ88" s="39"/>
      <c r="BR88" s="39"/>
      <c r="BS88" s="39"/>
      <c r="BT88" s="39"/>
      <c r="BU88" s="39"/>
      <c r="BV88" s="39"/>
      <c r="BW88" s="39"/>
      <c r="BX88" s="39"/>
      <c r="BY88" s="39"/>
      <c r="BZ88" s="39"/>
      <c r="CA88" s="39"/>
      <c r="CB88" s="39"/>
      <c r="CC88" s="39"/>
      <c r="CD88" s="39"/>
      <c r="CE88" s="39"/>
      <c r="CF88" s="39"/>
      <c r="CG88" s="39"/>
      <c r="CH88" s="39"/>
      <c r="CI88" s="39"/>
      <c r="CJ88" s="39"/>
      <c r="CK88" s="39"/>
      <c r="CL88" s="39"/>
      <c r="CM88" s="39"/>
      <c r="CN88" s="39"/>
      <c r="CO88" s="39"/>
      <c r="CP88" s="39"/>
      <c r="CQ88" s="39"/>
      <c r="CR88" s="39"/>
      <c r="CS88" s="39"/>
      <c r="CT88" s="39"/>
      <c r="CU88" s="39"/>
    </row>
    <row r="89" spans="2:99" x14ac:dyDescent="0.25">
      <c r="B89" t="s">
        <v>189</v>
      </c>
      <c r="C89" s="39">
        <v>0.26347077198670499</v>
      </c>
      <c r="D89" s="39">
        <v>0.26770088045298701</v>
      </c>
      <c r="E89" s="39">
        <v>0.27204382430000001</v>
      </c>
      <c r="F89" s="39">
        <v>0.30030092200000003</v>
      </c>
      <c r="G89" s="39">
        <v>0.29139859150000003</v>
      </c>
      <c r="H89" s="39">
        <v>0.24137334590000001</v>
      </c>
      <c r="I89" s="39">
        <v>0.2411126633</v>
      </c>
      <c r="J89" s="39">
        <v>0.23735247379999999</v>
      </c>
      <c r="K89" s="39">
        <v>0.25552998240000002</v>
      </c>
      <c r="L89" s="39">
        <v>0.2527507685</v>
      </c>
      <c r="M89" s="39">
        <v>0.25104766179999999</v>
      </c>
      <c r="N89" s="39">
        <v>0.24936884200000001</v>
      </c>
      <c r="O89" s="39">
        <v>0.24004232149999999</v>
      </c>
      <c r="P89" s="39">
        <v>0.24727566919999999</v>
      </c>
      <c r="Q89" s="39">
        <v>0.25436137269999998</v>
      </c>
      <c r="R89" s="39">
        <v>0.26386180209999999</v>
      </c>
      <c r="S89" s="39">
        <v>0.2785915444</v>
      </c>
      <c r="T89" s="39">
        <v>0.3388649829</v>
      </c>
      <c r="U89" s="39">
        <v>0.3887394797</v>
      </c>
      <c r="V89" s="39">
        <v>0.43185720550000001</v>
      </c>
      <c r="W89" s="39">
        <v>0.46457886809999999</v>
      </c>
      <c r="X89" s="39">
        <v>0.59710485930000001</v>
      </c>
      <c r="Y89" s="39">
        <v>0.74111335820000002</v>
      </c>
      <c r="Z89" s="39">
        <v>0.8886518175</v>
      </c>
      <c r="AA89" s="39">
        <v>1.0355124309999999</v>
      </c>
      <c r="AB89" s="39">
        <v>1.182643036</v>
      </c>
      <c r="AC89" s="39">
        <v>1.331991696</v>
      </c>
      <c r="AD89" s="39">
        <v>1.5139531479999999</v>
      </c>
      <c r="AE89" s="39">
        <v>1.6935033530000001</v>
      </c>
      <c r="AF89" s="39">
        <v>1.876659616</v>
      </c>
      <c r="AG89" s="39">
        <v>2.0607576459999999</v>
      </c>
      <c r="AH89" s="39">
        <v>2.2448674940000002</v>
      </c>
      <c r="AI89" s="39">
        <v>2.3913190279999998</v>
      </c>
      <c r="AJ89" s="39">
        <v>2.538026044</v>
      </c>
      <c r="AK89" s="39">
        <v>2.685014062</v>
      </c>
      <c r="AL89" s="39">
        <v>2.8345821230000001</v>
      </c>
      <c r="AM89" s="39">
        <v>2.9871155979999999</v>
      </c>
      <c r="AN89" s="39">
        <v>3.0541620809999999</v>
      </c>
      <c r="AO89" s="39">
        <v>3.1269186100000002</v>
      </c>
      <c r="AP89" s="39">
        <v>3.201609897</v>
      </c>
      <c r="AQ89" s="39">
        <v>3.2784587699999999</v>
      </c>
      <c r="AR89" s="39">
        <v>3.3538914200000001</v>
      </c>
      <c r="AS89" s="39">
        <v>3.3880772549999998</v>
      </c>
      <c r="AT89" s="39">
        <v>3.4207805649999998</v>
      </c>
      <c r="AU89" s="39">
        <v>3.4531831460000002</v>
      </c>
      <c r="AV89">
        <v>3.4864324980000001</v>
      </c>
      <c r="AW89">
        <v>3.5216079520000001</v>
      </c>
    </row>
    <row r="90" spans="2:99" x14ac:dyDescent="0.25">
      <c r="B90" t="s">
        <v>190</v>
      </c>
      <c r="C90">
        <v>2318131524.4374599</v>
      </c>
      <c r="D90">
        <v>2355349875.8831902</v>
      </c>
      <c r="E90">
        <v>2393165780</v>
      </c>
      <c r="F90">
        <v>2417743066</v>
      </c>
      <c r="G90">
        <v>2442572755</v>
      </c>
      <c r="H90">
        <v>2467657440</v>
      </c>
      <c r="I90">
        <v>2492999739</v>
      </c>
      <c r="J90">
        <v>2518602297</v>
      </c>
      <c r="K90">
        <v>2544467789</v>
      </c>
      <c r="L90">
        <v>2570598913</v>
      </c>
      <c r="M90">
        <v>2596998398</v>
      </c>
      <c r="N90">
        <v>2623669000</v>
      </c>
      <c r="O90">
        <v>2653988446</v>
      </c>
      <c r="P90">
        <v>2684658267</v>
      </c>
      <c r="Q90">
        <v>2715682513</v>
      </c>
      <c r="R90">
        <v>2745467125</v>
      </c>
      <c r="S90">
        <v>2775151740</v>
      </c>
      <c r="T90">
        <v>2804229571</v>
      </c>
      <c r="U90">
        <v>2833057577</v>
      </c>
      <c r="V90">
        <v>2863783189</v>
      </c>
      <c r="W90">
        <v>2894524521</v>
      </c>
      <c r="X90">
        <v>2924411523</v>
      </c>
      <c r="Y90">
        <v>2953544095</v>
      </c>
      <c r="Z90">
        <v>2981851909</v>
      </c>
      <c r="AA90">
        <v>3009484025</v>
      </c>
      <c r="AB90">
        <v>3036284686</v>
      </c>
      <c r="AC90">
        <v>3062184172</v>
      </c>
      <c r="AD90">
        <v>3087964217</v>
      </c>
      <c r="AE90">
        <v>3113483048</v>
      </c>
      <c r="AF90">
        <v>3138686341</v>
      </c>
      <c r="AG90">
        <v>3163564425</v>
      </c>
      <c r="AH90">
        <v>3188384924</v>
      </c>
      <c r="AI90">
        <v>3212818008</v>
      </c>
      <c r="AJ90">
        <v>3236712515</v>
      </c>
      <c r="AK90">
        <v>3260337894</v>
      </c>
      <c r="AL90">
        <v>3283638812</v>
      </c>
      <c r="AM90">
        <v>3306510935</v>
      </c>
      <c r="AN90">
        <v>3328474335</v>
      </c>
      <c r="AO90">
        <v>3349315510</v>
      </c>
      <c r="AP90">
        <v>3369011741</v>
      </c>
      <c r="AQ90">
        <v>3387834688</v>
      </c>
      <c r="AR90">
        <v>3405571666</v>
      </c>
      <c r="AS90">
        <v>3422253727</v>
      </c>
      <c r="AT90">
        <v>3438013091</v>
      </c>
      <c r="AU90">
        <v>3452736286</v>
      </c>
      <c r="AV90">
        <v>3466409026</v>
      </c>
      <c r="AW90">
        <v>3479017918</v>
      </c>
    </row>
    <row r="91" spans="2:99" x14ac:dyDescent="0.25">
      <c r="B91" t="s">
        <v>191</v>
      </c>
      <c r="C91">
        <v>640398.31806251395</v>
      </c>
      <c r="D91">
        <v>650680.12020171306</v>
      </c>
      <c r="E91">
        <v>661127</v>
      </c>
      <c r="F91">
        <v>1873259.4809999999</v>
      </c>
      <c r="G91">
        <v>3556588.62</v>
      </c>
      <c r="H91">
        <v>5352173.8</v>
      </c>
      <c r="I91">
        <v>6916544.5559999999</v>
      </c>
      <c r="J91">
        <v>8503599.2019999996</v>
      </c>
      <c r="K91">
        <v>10259479.130000001</v>
      </c>
      <c r="L91">
        <v>12191814.560000001</v>
      </c>
      <c r="M91">
        <v>14291457.460000001</v>
      </c>
      <c r="N91">
        <v>16492559.82</v>
      </c>
      <c r="O91">
        <v>18510135.510000002</v>
      </c>
      <c r="P91">
        <v>20754506.620000001</v>
      </c>
      <c r="Q91">
        <v>23481810.719999999</v>
      </c>
      <c r="R91">
        <v>27409910.379999999</v>
      </c>
      <c r="S91">
        <v>32173865.84</v>
      </c>
      <c r="T91">
        <v>37880581.020000003</v>
      </c>
      <c r="U91">
        <v>44249521.259999998</v>
      </c>
      <c r="V91">
        <v>51054586.549999997</v>
      </c>
      <c r="W91">
        <v>57029895.850000001</v>
      </c>
      <c r="X91">
        <v>62491361.659999996</v>
      </c>
      <c r="Y91">
        <v>67153544.75</v>
      </c>
      <c r="Z91">
        <v>70895864.359999999</v>
      </c>
      <c r="AA91">
        <v>74615049.019999996</v>
      </c>
      <c r="AB91">
        <v>78627383.319999903</v>
      </c>
      <c r="AC91">
        <v>83167333.25</v>
      </c>
      <c r="AD91">
        <v>88405294.239999995</v>
      </c>
      <c r="AE91">
        <v>94429031.599999994</v>
      </c>
      <c r="AF91">
        <v>101223094.3</v>
      </c>
      <c r="AG91">
        <v>108789204.40000001</v>
      </c>
      <c r="AH91">
        <v>117152281.40000001</v>
      </c>
      <c r="AI91">
        <v>126315433.59999999</v>
      </c>
      <c r="AJ91">
        <v>136314264.30000001</v>
      </c>
      <c r="AK91">
        <v>147196353.19999999</v>
      </c>
      <c r="AL91">
        <v>158990013.40000001</v>
      </c>
      <c r="AM91">
        <v>171715999.09999999</v>
      </c>
      <c r="AN91">
        <v>185333679.90000001</v>
      </c>
      <c r="AO91">
        <v>199808970.69999999</v>
      </c>
      <c r="AP91">
        <v>215141849.69999999</v>
      </c>
      <c r="AQ91">
        <v>231373997.40000001</v>
      </c>
      <c r="AR91">
        <v>248485265.59999999</v>
      </c>
      <c r="AS91">
        <v>266452416.19999999</v>
      </c>
      <c r="AT91">
        <v>285298897.30000001</v>
      </c>
      <c r="AU91">
        <v>304990613.19999999</v>
      </c>
      <c r="AV91">
        <v>325516123.89999998</v>
      </c>
      <c r="AW91">
        <v>346856094.80000001</v>
      </c>
    </row>
    <row r="92" spans="2:99" x14ac:dyDescent="0.25">
      <c r="B92" t="s">
        <v>192</v>
      </c>
      <c r="C92">
        <v>41062689.603059798</v>
      </c>
      <c r="D92">
        <v>41721964.366740197</v>
      </c>
      <c r="E92">
        <v>42391824</v>
      </c>
      <c r="F92">
        <v>48313250.600000001</v>
      </c>
      <c r="G92">
        <v>55391046.939999998</v>
      </c>
      <c r="H92">
        <v>62855851.890000001</v>
      </c>
      <c r="I92">
        <v>69239608.540000007</v>
      </c>
      <c r="J92">
        <v>75837435.239999995</v>
      </c>
      <c r="K92">
        <v>83217958.109999999</v>
      </c>
      <c r="L92" s="272">
        <v>91742946.420000002</v>
      </c>
      <c r="M92">
        <v>100756262.09999999</v>
      </c>
      <c r="N92">
        <v>109664428.2</v>
      </c>
      <c r="O92">
        <v>116923314.2</v>
      </c>
      <c r="P92">
        <v>124676551.09999999</v>
      </c>
      <c r="Q92">
        <v>133745627</v>
      </c>
      <c r="R92">
        <v>147425794.09999999</v>
      </c>
      <c r="S92">
        <v>162932278.40000001</v>
      </c>
      <c r="T92">
        <v>181297298.69999999</v>
      </c>
      <c r="U92">
        <v>199902474.5</v>
      </c>
      <c r="V92">
        <v>218994876.59999999</v>
      </c>
      <c r="W92">
        <v>234648385.5</v>
      </c>
      <c r="X92">
        <v>249073787.90000001</v>
      </c>
      <c r="Y92">
        <v>260623786.80000001</v>
      </c>
      <c r="Z92">
        <v>269820544.39999998</v>
      </c>
      <c r="AA92">
        <v>278662400.30000001</v>
      </c>
      <c r="AB92">
        <v>287980443.10000002</v>
      </c>
      <c r="AC92">
        <v>298314388.10000002</v>
      </c>
      <c r="AD92">
        <v>309935707.19999999</v>
      </c>
      <c r="AE92">
        <v>322926333.5</v>
      </c>
      <c r="AF92">
        <v>337115009.10000002</v>
      </c>
      <c r="AG92">
        <v>352366394.89999998</v>
      </c>
      <c r="AH92">
        <v>368579886.30000001</v>
      </c>
      <c r="AI92">
        <v>385646399.69999999</v>
      </c>
      <c r="AJ92">
        <v>403495916</v>
      </c>
      <c r="AK92">
        <v>422054145.80000001</v>
      </c>
      <c r="AL92">
        <v>441240642.80000001</v>
      </c>
      <c r="AM92">
        <v>460971843.89999998</v>
      </c>
      <c r="AN92">
        <v>481099113</v>
      </c>
      <c r="AO92">
        <v>501506511.30000001</v>
      </c>
      <c r="AP92">
        <v>522081691.5</v>
      </c>
      <c r="AQ92">
        <v>542789176.29999995</v>
      </c>
      <c r="AR92">
        <v>563528591.70000005</v>
      </c>
      <c r="AS92">
        <v>584213836.79999995</v>
      </c>
      <c r="AT92">
        <v>604832326.70000005</v>
      </c>
      <c r="AU92">
        <v>625294786.39999998</v>
      </c>
      <c r="AV92">
        <v>645539843</v>
      </c>
      <c r="AW92">
        <v>665499135</v>
      </c>
    </row>
    <row r="93" spans="2:99" x14ac:dyDescent="0.25">
      <c r="B93" t="s">
        <v>193</v>
      </c>
      <c r="C93">
        <v>291506404.18067801</v>
      </c>
      <c r="D93">
        <v>296186633.79021603</v>
      </c>
      <c r="E93">
        <v>300942006</v>
      </c>
      <c r="F93">
        <v>329947500.80000001</v>
      </c>
      <c r="G93">
        <v>360030582.19999999</v>
      </c>
      <c r="H93">
        <v>390075784.10000002</v>
      </c>
      <c r="I93">
        <v>415183648.39999998</v>
      </c>
      <c r="J93">
        <v>440202500.10000002</v>
      </c>
      <c r="K93">
        <v>467785081.39999998</v>
      </c>
      <c r="L93">
        <v>497817522.10000002</v>
      </c>
      <c r="M93">
        <v>526899074.39999998</v>
      </c>
      <c r="N93">
        <v>552322880.5</v>
      </c>
      <c r="O93">
        <v>572771289</v>
      </c>
      <c r="P93">
        <v>589999435.39999998</v>
      </c>
      <c r="Q93">
        <v>608449146</v>
      </c>
      <c r="R93">
        <v>632000524.39999998</v>
      </c>
      <c r="S93">
        <v>656645211.20000005</v>
      </c>
      <c r="T93">
        <v>681979132.79999995</v>
      </c>
      <c r="U93">
        <v>705610596.60000002</v>
      </c>
      <c r="V93">
        <v>728472322.89999998</v>
      </c>
      <c r="W93">
        <v>747566570.60000002</v>
      </c>
      <c r="X93">
        <v>763941353.60000002</v>
      </c>
      <c r="Y93">
        <v>777201950.60000002</v>
      </c>
      <c r="Z93">
        <v>788456279.5</v>
      </c>
      <c r="AA93">
        <v>798644123.5</v>
      </c>
      <c r="AB93">
        <v>808226932.39999998</v>
      </c>
      <c r="AC93">
        <v>817397448.5</v>
      </c>
      <c r="AD93">
        <v>826522633.10000002</v>
      </c>
      <c r="AE93">
        <v>835532936.29999995</v>
      </c>
      <c r="AF93">
        <v>844360846.39999998</v>
      </c>
      <c r="AG93">
        <v>852958636.60000002</v>
      </c>
      <c r="AH93">
        <v>861374531.60000002</v>
      </c>
      <c r="AI93">
        <v>869431819.89999998</v>
      </c>
      <c r="AJ93">
        <v>876971719.29999995</v>
      </c>
      <c r="AK93">
        <v>883982632.89999998</v>
      </c>
      <c r="AL93">
        <v>890384638.5</v>
      </c>
      <c r="AM93">
        <v>896105693.70000005</v>
      </c>
      <c r="AN93">
        <v>900997913.10000002</v>
      </c>
      <c r="AO93">
        <v>905090152.39999998</v>
      </c>
      <c r="AP93">
        <v>908387294.10000002</v>
      </c>
      <c r="AQ93">
        <v>910964294.10000002</v>
      </c>
      <c r="AR93">
        <v>912732784.89999998</v>
      </c>
      <c r="AS93">
        <v>913714670.39999998</v>
      </c>
      <c r="AT93">
        <v>913999120.60000002</v>
      </c>
      <c r="AU93">
        <v>913565158.20000005</v>
      </c>
      <c r="AV93">
        <v>912407820.60000002</v>
      </c>
      <c r="AW93">
        <v>910519324.70000005</v>
      </c>
    </row>
    <row r="94" spans="2:99" x14ac:dyDescent="0.25">
      <c r="B94" t="s">
        <v>194</v>
      </c>
      <c r="C94">
        <v>640671991.67983496</v>
      </c>
      <c r="D94">
        <v>650958187.73748195</v>
      </c>
      <c r="E94">
        <v>661409532</v>
      </c>
      <c r="F94">
        <v>679066338.79999995</v>
      </c>
      <c r="G94">
        <v>696820530.10000002</v>
      </c>
      <c r="H94">
        <v>714812013.79999995</v>
      </c>
      <c r="I94">
        <v>730318639.89999998</v>
      </c>
      <c r="J94">
        <v>745964798.20000005</v>
      </c>
      <c r="K94">
        <v>763541919.5</v>
      </c>
      <c r="L94">
        <v>782517436.89999998</v>
      </c>
      <c r="M94">
        <v>800558822.39999998</v>
      </c>
      <c r="N94">
        <v>815923014.20000005</v>
      </c>
      <c r="O94">
        <v>829842844.29999995</v>
      </c>
      <c r="P94">
        <v>840906855.79999995</v>
      </c>
      <c r="Q94">
        <v>852077038.39999998</v>
      </c>
      <c r="R94">
        <v>862801464.60000002</v>
      </c>
      <c r="S94">
        <v>873164689.60000002</v>
      </c>
      <c r="T94">
        <v>881435688.89999998</v>
      </c>
      <c r="U94">
        <v>888651355.79999995</v>
      </c>
      <c r="V94">
        <v>895718436.20000005</v>
      </c>
      <c r="W94">
        <v>903818067.79999995</v>
      </c>
      <c r="X94">
        <v>911043168.10000002</v>
      </c>
      <c r="Y94">
        <v>918751775.60000002</v>
      </c>
      <c r="Z94">
        <v>927137816.5</v>
      </c>
      <c r="AA94">
        <v>935015489.20000005</v>
      </c>
      <c r="AB94">
        <v>941892535.10000002</v>
      </c>
      <c r="AC94">
        <v>947360108.5</v>
      </c>
      <c r="AD94">
        <v>951645392.10000002</v>
      </c>
      <c r="AE94">
        <v>954564201.39999998</v>
      </c>
      <c r="AF94">
        <v>956209916.29999995</v>
      </c>
      <c r="AG94">
        <v>956660696.39999998</v>
      </c>
      <c r="AH94">
        <v>956121510.20000005</v>
      </c>
      <c r="AI94">
        <v>954455897.89999998</v>
      </c>
      <c r="AJ94">
        <v>951566533.39999998</v>
      </c>
      <c r="AK94">
        <v>947582920.29999995</v>
      </c>
      <c r="AL94">
        <v>942482696.39999998</v>
      </c>
      <c r="AM94">
        <v>936235697.5</v>
      </c>
      <c r="AN94">
        <v>928707803.5</v>
      </c>
      <c r="AO94">
        <v>919938887.70000005</v>
      </c>
      <c r="AP94">
        <v>910021139.29999995</v>
      </c>
      <c r="AQ94">
        <v>899105092.10000002</v>
      </c>
      <c r="AR94">
        <v>887151066.10000002</v>
      </c>
      <c r="AS94">
        <v>874256230.20000005</v>
      </c>
      <c r="AT94">
        <v>860501912.89999998</v>
      </c>
      <c r="AU94">
        <v>845920884.10000002</v>
      </c>
      <c r="AV94">
        <v>830565399.89999998</v>
      </c>
      <c r="AW94">
        <v>815986794.20000005</v>
      </c>
    </row>
    <row r="95" spans="2:99" x14ac:dyDescent="0.25">
      <c r="B95" t="s">
        <v>195</v>
      </c>
      <c r="C95">
        <v>762047427.55376601</v>
      </c>
      <c r="D95">
        <v>774282345.494367</v>
      </c>
      <c r="E95">
        <v>786713699</v>
      </c>
      <c r="F95">
        <v>767713822.20000005</v>
      </c>
      <c r="G95">
        <v>747563050.89999998</v>
      </c>
      <c r="H95">
        <v>727533592.60000002</v>
      </c>
      <c r="I95">
        <v>712574395.20000005</v>
      </c>
      <c r="J95">
        <v>697840365.79999995</v>
      </c>
      <c r="K95">
        <v>680704790.89999998</v>
      </c>
      <c r="L95">
        <v>661325662.10000002</v>
      </c>
      <c r="M95">
        <v>642915793.79999995</v>
      </c>
      <c r="N95">
        <v>628039249</v>
      </c>
      <c r="O95">
        <v>619509874</v>
      </c>
      <c r="P95">
        <v>613966063.20000005</v>
      </c>
      <c r="Q95">
        <v>607031931.39999998</v>
      </c>
      <c r="R95">
        <v>594042765.60000002</v>
      </c>
      <c r="S95">
        <v>579375608.10000002</v>
      </c>
      <c r="T95">
        <v>563199006.20000005</v>
      </c>
      <c r="U95">
        <v>548002331.29999995</v>
      </c>
      <c r="V95">
        <v>533916719.89999998</v>
      </c>
      <c r="W95">
        <v>523756960.19999999</v>
      </c>
      <c r="X95">
        <v>516047591.69999999</v>
      </c>
      <c r="Y95">
        <v>511398292.69999999</v>
      </c>
      <c r="Z95">
        <v>508874381.89999998</v>
      </c>
      <c r="AA95">
        <v>507052914.89999998</v>
      </c>
      <c r="AB95">
        <v>505241146.10000002</v>
      </c>
      <c r="AC95">
        <v>503089867.30000001</v>
      </c>
      <c r="AD95">
        <v>500459956.30000001</v>
      </c>
      <c r="AE95">
        <v>497321949.19999999</v>
      </c>
      <c r="AF95">
        <v>493745643.39999998</v>
      </c>
      <c r="AG95">
        <v>489789585.30000001</v>
      </c>
      <c r="AH95">
        <v>485509749</v>
      </c>
      <c r="AI95">
        <v>480958100</v>
      </c>
      <c r="AJ95">
        <v>476208869.30000001</v>
      </c>
      <c r="AK95">
        <v>471355439.89999998</v>
      </c>
      <c r="AL95">
        <v>466448991.60000002</v>
      </c>
      <c r="AM95">
        <v>461520529.19999999</v>
      </c>
      <c r="AN95">
        <v>456566635.60000002</v>
      </c>
      <c r="AO95">
        <v>451522265.10000002</v>
      </c>
      <c r="AP95">
        <v>446384810.60000002</v>
      </c>
      <c r="AQ95">
        <v>441174207.69999999</v>
      </c>
      <c r="AR95">
        <v>435906058.10000002</v>
      </c>
      <c r="AS95">
        <v>430590576</v>
      </c>
      <c r="AT95">
        <v>425197721.39999998</v>
      </c>
      <c r="AU95">
        <v>419723802.60000002</v>
      </c>
      <c r="AV95">
        <v>414172503.69999999</v>
      </c>
      <c r="AW95">
        <v>408551304.69999999</v>
      </c>
    </row>
    <row r="96" spans="2:99" x14ac:dyDescent="0.25">
      <c r="B96" t="s">
        <v>196</v>
      </c>
      <c r="C96">
        <v>399231640.45290101</v>
      </c>
      <c r="D96">
        <v>405641433.57550502</v>
      </c>
      <c r="E96">
        <v>412154138</v>
      </c>
      <c r="F96">
        <v>399772763.80000001</v>
      </c>
      <c r="G96">
        <v>386967503.60000002</v>
      </c>
      <c r="H96">
        <v>374327013.80000001</v>
      </c>
      <c r="I96">
        <v>364699399.60000002</v>
      </c>
      <c r="J96">
        <v>355234327.30000001</v>
      </c>
      <c r="K96">
        <v>344374421.30000001</v>
      </c>
      <c r="L96">
        <v>332323054.10000002</v>
      </c>
      <c r="M96">
        <v>321041054.10000002</v>
      </c>
      <c r="N96">
        <v>312006248.39999998</v>
      </c>
      <c r="O96">
        <v>306623420.30000001</v>
      </c>
      <c r="P96">
        <v>303099532.30000001</v>
      </c>
      <c r="Q96">
        <v>298924809.89999998</v>
      </c>
      <c r="R96">
        <v>291732369.5</v>
      </c>
      <c r="S96">
        <v>283770054.60000002</v>
      </c>
      <c r="T96">
        <v>275245048.30000001</v>
      </c>
      <c r="U96">
        <v>267298079</v>
      </c>
      <c r="V96">
        <v>260008249.69999999</v>
      </c>
      <c r="W96">
        <v>254593168</v>
      </c>
      <c r="X96">
        <v>250424985</v>
      </c>
      <c r="Y96">
        <v>247715345.69999999</v>
      </c>
      <c r="Z96">
        <v>245989272.90000001</v>
      </c>
      <c r="AA96">
        <v>244641292.80000001</v>
      </c>
      <c r="AB96">
        <v>243359862.5</v>
      </c>
      <c r="AC96">
        <v>241993215.5</v>
      </c>
      <c r="AD96">
        <v>240476669.5</v>
      </c>
      <c r="AE96">
        <v>238793561.90000001</v>
      </c>
      <c r="AF96">
        <v>236960482.59999999</v>
      </c>
      <c r="AG96">
        <v>234990707.80000001</v>
      </c>
      <c r="AH96">
        <v>232899475</v>
      </c>
      <c r="AI96">
        <v>230704659.90000001</v>
      </c>
      <c r="AJ96">
        <v>228442247</v>
      </c>
      <c r="AK96">
        <v>226152809.69999999</v>
      </c>
      <c r="AL96">
        <v>223855386.90000001</v>
      </c>
      <c r="AM96">
        <v>221558737.09999999</v>
      </c>
      <c r="AN96">
        <v>219252090</v>
      </c>
      <c r="AO96">
        <v>216889831.69999999</v>
      </c>
      <c r="AP96">
        <v>214461804.80000001</v>
      </c>
      <c r="AQ96">
        <v>211973638.19999999</v>
      </c>
      <c r="AR96">
        <v>209432506.5</v>
      </c>
      <c r="AS96">
        <v>206838921.5</v>
      </c>
      <c r="AT96">
        <v>204172451.59999999</v>
      </c>
      <c r="AU96">
        <v>201429341.80000001</v>
      </c>
      <c r="AV96">
        <v>198612667</v>
      </c>
      <c r="AW96">
        <v>195728317.59999999</v>
      </c>
    </row>
    <row r="97" spans="2:49" x14ac:dyDescent="0.25">
      <c r="B97" t="s">
        <v>197</v>
      </c>
      <c r="C97">
        <v>182970972.649156</v>
      </c>
      <c r="D97">
        <v>185908630.79867601</v>
      </c>
      <c r="E97">
        <v>188893454</v>
      </c>
      <c r="F97">
        <v>191056130.30000001</v>
      </c>
      <c r="G97">
        <v>192243452.80000001</v>
      </c>
      <c r="H97">
        <v>192701009.69999999</v>
      </c>
      <c r="I97">
        <v>194067502.40000001</v>
      </c>
      <c r="J97">
        <v>195019271.5</v>
      </c>
      <c r="K97">
        <v>194584138.30000001</v>
      </c>
      <c r="L97">
        <v>192680476.59999999</v>
      </c>
      <c r="M97">
        <v>190535933.80000001</v>
      </c>
      <c r="N97">
        <v>189220619.90000001</v>
      </c>
      <c r="O97">
        <v>189807568.80000001</v>
      </c>
      <c r="P97">
        <v>191255322.69999999</v>
      </c>
      <c r="Q97">
        <v>191972149.30000001</v>
      </c>
      <c r="R97">
        <v>190054296.90000001</v>
      </c>
      <c r="S97">
        <v>187090031.80000001</v>
      </c>
      <c r="T97">
        <v>183192815.30000001</v>
      </c>
      <c r="U97">
        <v>179343218.5</v>
      </c>
      <c r="V97">
        <v>175617997.69999999</v>
      </c>
      <c r="W97">
        <v>173111473.09999999</v>
      </c>
      <c r="X97">
        <v>171389274.80000001</v>
      </c>
      <c r="Y97">
        <v>170699399</v>
      </c>
      <c r="Z97">
        <v>170677750</v>
      </c>
      <c r="AA97">
        <v>170852755.40000001</v>
      </c>
      <c r="AB97">
        <v>170956383.5</v>
      </c>
      <c r="AC97">
        <v>170861811.19999999</v>
      </c>
      <c r="AD97">
        <v>170518564.90000001</v>
      </c>
      <c r="AE97">
        <v>169915033.69999999</v>
      </c>
      <c r="AF97">
        <v>169071349.09999999</v>
      </c>
      <c r="AG97">
        <v>168009199.5</v>
      </c>
      <c r="AH97">
        <v>166747490.90000001</v>
      </c>
      <c r="AI97">
        <v>165305697.40000001</v>
      </c>
      <c r="AJ97">
        <v>163712965.90000001</v>
      </c>
      <c r="AK97">
        <v>162013591.90000001</v>
      </c>
      <c r="AL97">
        <v>160236442.59999999</v>
      </c>
      <c r="AM97">
        <v>158402434.30000001</v>
      </c>
      <c r="AN97">
        <v>156517099.80000001</v>
      </c>
      <c r="AO97">
        <v>154558891.09999999</v>
      </c>
      <c r="AP97">
        <v>152533150.59999999</v>
      </c>
      <c r="AQ97">
        <v>150454281.90000001</v>
      </c>
      <c r="AR97">
        <v>148335393.19999999</v>
      </c>
      <c r="AS97">
        <v>146187076.40000001</v>
      </c>
      <c r="AT97">
        <v>144010660.19999999</v>
      </c>
      <c r="AU97">
        <v>141811699.69999999</v>
      </c>
      <c r="AV97">
        <v>139594667.69999999</v>
      </c>
      <c r="AW97">
        <v>137363550.59999999</v>
      </c>
    </row>
    <row r="98" spans="2:49" x14ac:dyDescent="0.25">
      <c r="B98" t="s">
        <v>198</v>
      </c>
      <c r="C98">
        <v>61.608374519870097</v>
      </c>
      <c r="D98">
        <v>61.608374519870097</v>
      </c>
      <c r="E98">
        <v>66.778422140000004</v>
      </c>
      <c r="F98">
        <v>66.585334329999995</v>
      </c>
      <c r="G98">
        <v>67.170615530000006</v>
      </c>
      <c r="H98">
        <v>67.045706289999998</v>
      </c>
      <c r="I98">
        <v>68.771873499999998</v>
      </c>
      <c r="J98">
        <v>68.968274829999999</v>
      </c>
      <c r="K98">
        <v>69.406290209999995</v>
      </c>
      <c r="L98">
        <v>69.135995359999995</v>
      </c>
      <c r="M98">
        <v>73.425634329999994</v>
      </c>
      <c r="N98">
        <v>77.772332289999994</v>
      </c>
      <c r="O98">
        <v>83.943580409999996</v>
      </c>
      <c r="P98">
        <v>90.423708419999997</v>
      </c>
      <c r="Q98">
        <v>100.5020397</v>
      </c>
      <c r="R98">
        <v>100.2414366</v>
      </c>
      <c r="S98">
        <v>99.407707639999998</v>
      </c>
      <c r="T98">
        <v>99.314313670000004</v>
      </c>
      <c r="U98">
        <v>99.67151192</v>
      </c>
      <c r="V98">
        <v>100.2493952</v>
      </c>
      <c r="W98">
        <v>101.3053311</v>
      </c>
      <c r="X98">
        <v>103.30944390000001</v>
      </c>
      <c r="Y98">
        <v>102.0034234</v>
      </c>
      <c r="Z98">
        <v>100.5224839</v>
      </c>
      <c r="AA98">
        <v>98.993696459999995</v>
      </c>
      <c r="AB98">
        <v>97.473956169999994</v>
      </c>
      <c r="AC98">
        <v>95.999267700000004</v>
      </c>
      <c r="AD98">
        <v>94.663067749999996</v>
      </c>
      <c r="AE98">
        <v>93.328547749999998</v>
      </c>
      <c r="AF98">
        <v>92.161349759999894</v>
      </c>
      <c r="AG98">
        <v>90.932186990000005</v>
      </c>
      <c r="AH98">
        <v>89.701158340000006</v>
      </c>
      <c r="AI98">
        <v>88.587645140000006</v>
      </c>
      <c r="AJ98">
        <v>87.488942489999999</v>
      </c>
      <c r="AK98">
        <v>86.425564300000005</v>
      </c>
      <c r="AL98">
        <v>85.425115969999894</v>
      </c>
      <c r="AM98">
        <v>84.492385670000004</v>
      </c>
      <c r="AN98">
        <v>85.240977650000005</v>
      </c>
      <c r="AO98">
        <v>86.231960119999997</v>
      </c>
      <c r="AP98">
        <v>87.451433350000002</v>
      </c>
      <c r="AQ98">
        <v>88.927760509999999</v>
      </c>
      <c r="AR98">
        <v>90.676193319999996</v>
      </c>
      <c r="AS98">
        <v>91.267774020000004</v>
      </c>
      <c r="AT98">
        <v>91.975592809999995</v>
      </c>
      <c r="AU98">
        <v>92.80800601</v>
      </c>
      <c r="AV98">
        <v>93.787998799999997</v>
      </c>
      <c r="AW98">
        <v>94.923729660000006</v>
      </c>
    </row>
    <row r="99" spans="2:49" x14ac:dyDescent="0.25">
      <c r="B99" t="s">
        <v>507</v>
      </c>
      <c r="C99">
        <v>61.608374519870097</v>
      </c>
      <c r="D99">
        <v>61.608374519870097</v>
      </c>
      <c r="E99">
        <v>66.778422140000004</v>
      </c>
      <c r="F99">
        <v>66.585334329999995</v>
      </c>
      <c r="G99">
        <v>67.170615530000006</v>
      </c>
      <c r="H99">
        <v>67.045706289999998</v>
      </c>
      <c r="I99">
        <v>68.771873499999998</v>
      </c>
      <c r="J99">
        <v>68.968274829999999</v>
      </c>
      <c r="K99">
        <v>69.406290209999995</v>
      </c>
      <c r="L99">
        <v>69.135995359999995</v>
      </c>
      <c r="M99">
        <v>73.425634329999994</v>
      </c>
      <c r="N99">
        <v>77.772332289999994</v>
      </c>
      <c r="O99">
        <v>83.943580409999996</v>
      </c>
      <c r="P99">
        <v>90.423708419999997</v>
      </c>
      <c r="Q99">
        <v>100.5020397</v>
      </c>
      <c r="R99">
        <v>100.2414366</v>
      </c>
      <c r="S99">
        <v>99.407707639999998</v>
      </c>
      <c r="T99">
        <v>99.314313670000004</v>
      </c>
      <c r="U99">
        <v>99.67151192</v>
      </c>
      <c r="V99">
        <v>100.2493952</v>
      </c>
      <c r="W99">
        <v>100.8781295</v>
      </c>
      <c r="X99">
        <v>102.3880229</v>
      </c>
      <c r="Y99">
        <v>100.5880749</v>
      </c>
      <c r="Z99">
        <v>98.620990689999999</v>
      </c>
      <c r="AA99">
        <v>96.620635870000001</v>
      </c>
      <c r="AB99">
        <v>94.64937639</v>
      </c>
      <c r="AC99">
        <v>92.738738170000005</v>
      </c>
      <c r="AD99">
        <v>90.973256509999999</v>
      </c>
      <c r="AE99">
        <v>89.224265430000003</v>
      </c>
      <c r="AF99">
        <v>87.647966749999995</v>
      </c>
      <c r="AG99">
        <v>86.027383549999996</v>
      </c>
      <c r="AH99">
        <v>84.41970843</v>
      </c>
      <c r="AI99">
        <v>82.942460580000002</v>
      </c>
      <c r="AJ99">
        <v>81.490508849999998</v>
      </c>
      <c r="AK99">
        <v>80.083558879999998</v>
      </c>
      <c r="AL99">
        <v>78.746216309999994</v>
      </c>
      <c r="AM99">
        <v>77.482332729999996</v>
      </c>
      <c r="AN99">
        <v>77.864869929999998</v>
      </c>
      <c r="AO99">
        <v>78.476009189999999</v>
      </c>
      <c r="AP99">
        <v>79.304505039999995</v>
      </c>
      <c r="AQ99">
        <v>80.374029579999998</v>
      </c>
      <c r="AR99">
        <v>81.69616431</v>
      </c>
      <c r="AS99">
        <v>81.896952040000002</v>
      </c>
      <c r="AT99">
        <v>82.201752909999996</v>
      </c>
      <c r="AU99">
        <v>82.613454610000005</v>
      </c>
      <c r="AV99">
        <v>83.148858570000002</v>
      </c>
      <c r="AW99">
        <v>83.809943189999998</v>
      </c>
    </row>
    <row r="100" spans="2:49" x14ac:dyDescent="0.25">
      <c r="B100" t="s">
        <v>199</v>
      </c>
      <c r="C100">
        <v>0.96116878123798499</v>
      </c>
      <c r="D100">
        <v>0.98039215686274495</v>
      </c>
      <c r="E100">
        <v>0.9911650837</v>
      </c>
      <c r="F100">
        <v>0.99854451550000001</v>
      </c>
      <c r="G100">
        <v>1.008751119</v>
      </c>
      <c r="H100">
        <v>1.031368952</v>
      </c>
      <c r="I100">
        <v>1.039948063</v>
      </c>
      <c r="J100">
        <v>1.0437415240000001</v>
      </c>
      <c r="K100">
        <v>1.0478185849999999</v>
      </c>
      <c r="L100">
        <v>1.0609472550000001</v>
      </c>
      <c r="M100">
        <v>1.0756659180000001</v>
      </c>
      <c r="N100">
        <v>1.0920397340000001</v>
      </c>
      <c r="O100">
        <v>1.102917063</v>
      </c>
      <c r="P100">
        <v>1.1106077009999999</v>
      </c>
      <c r="Q100">
        <v>1.121626046</v>
      </c>
      <c r="R100">
        <v>1.142237494</v>
      </c>
      <c r="S100">
        <v>1.1640016710000001</v>
      </c>
      <c r="T100">
        <v>1.1866133050000001</v>
      </c>
      <c r="U100">
        <v>1.2091852510000001</v>
      </c>
      <c r="V100">
        <v>1.23580003</v>
      </c>
      <c r="W100">
        <v>1.2625651389999999</v>
      </c>
      <c r="X100">
        <v>1.2893611009999999</v>
      </c>
      <c r="Y100">
        <v>1.317266356</v>
      </c>
      <c r="Z100">
        <v>1.345887743</v>
      </c>
      <c r="AA100">
        <v>1.37768497</v>
      </c>
      <c r="AB100">
        <v>1.4111341399999999</v>
      </c>
      <c r="AC100">
        <v>1.446263962</v>
      </c>
      <c r="AD100">
        <v>1.4821861160000001</v>
      </c>
      <c r="AE100">
        <v>1.5200593440000001</v>
      </c>
      <c r="AF100">
        <v>1.55644066</v>
      </c>
      <c r="AG100">
        <v>1.5962013150000001</v>
      </c>
      <c r="AH100">
        <v>1.6382561449999999</v>
      </c>
      <c r="AI100">
        <v>1.6806330199999999</v>
      </c>
      <c r="AJ100">
        <v>1.7248646080000001</v>
      </c>
      <c r="AK100">
        <v>1.770686097</v>
      </c>
      <c r="AL100">
        <v>1.8172756999999999</v>
      </c>
      <c r="AM100">
        <v>1.8643656260000001</v>
      </c>
      <c r="AN100">
        <v>1.9121792580000001</v>
      </c>
      <c r="AO100">
        <v>1.9604034100000001</v>
      </c>
      <c r="AP100">
        <v>2.0095643719999998</v>
      </c>
      <c r="AQ100">
        <v>2.0592075400000001</v>
      </c>
      <c r="AR100">
        <v>2.1098552769999999</v>
      </c>
      <c r="AS100">
        <v>2.1605991649999998</v>
      </c>
      <c r="AT100">
        <v>2.2118437420000001</v>
      </c>
      <c r="AU100">
        <v>2.2633341580000002</v>
      </c>
      <c r="AV100">
        <v>2.3142435680000002</v>
      </c>
      <c r="AW100">
        <v>2.3648481110000001</v>
      </c>
    </row>
    <row r="101" spans="2:49" x14ac:dyDescent="0.25">
      <c r="B101" t="s">
        <v>508</v>
      </c>
      <c r="C101">
        <v>0.96116878123798499</v>
      </c>
      <c r="D101">
        <v>0.98039215686274495</v>
      </c>
      <c r="E101">
        <v>0.9911650837</v>
      </c>
      <c r="F101">
        <v>0.99854451550000001</v>
      </c>
      <c r="G101">
        <v>1.008751119</v>
      </c>
      <c r="H101">
        <v>1.031368952</v>
      </c>
      <c r="I101">
        <v>1.039948063</v>
      </c>
      <c r="J101">
        <v>1.0437415240000001</v>
      </c>
      <c r="K101">
        <v>1.0478185849999999</v>
      </c>
      <c r="L101">
        <v>1.0609472550000001</v>
      </c>
      <c r="M101">
        <v>1.0756659180000001</v>
      </c>
      <c r="N101">
        <v>1.0920397340000001</v>
      </c>
      <c r="O101">
        <v>1.102917063</v>
      </c>
      <c r="P101">
        <v>1.1106077009999999</v>
      </c>
      <c r="Q101">
        <v>1.121626046</v>
      </c>
      <c r="R101">
        <v>1.142237494</v>
      </c>
      <c r="S101">
        <v>1.1640016710000001</v>
      </c>
      <c r="T101">
        <v>1.1866133050000001</v>
      </c>
      <c r="U101">
        <v>1.2091852510000001</v>
      </c>
      <c r="V101">
        <v>1.23580003</v>
      </c>
      <c r="W101">
        <v>1.2627622700000001</v>
      </c>
      <c r="X101">
        <v>1.289578256</v>
      </c>
      <c r="Y101">
        <v>1.3173282609999999</v>
      </c>
      <c r="Z101">
        <v>1.3456578459999999</v>
      </c>
      <c r="AA101">
        <v>1.377107235</v>
      </c>
      <c r="AB101">
        <v>1.4100928159999999</v>
      </c>
      <c r="AC101">
        <v>1.44463618</v>
      </c>
      <c r="AD101">
        <v>1.4799108700000001</v>
      </c>
      <c r="AE101">
        <v>1.517064376</v>
      </c>
      <c r="AF101">
        <v>1.5526644599999999</v>
      </c>
      <c r="AG101">
        <v>1.5915581889999999</v>
      </c>
      <c r="AH101">
        <v>1.6326752609999999</v>
      </c>
      <c r="AI101">
        <v>1.674038586</v>
      </c>
      <c r="AJ101">
        <v>1.7171979500000001</v>
      </c>
      <c r="AK101">
        <v>1.7618980209999999</v>
      </c>
      <c r="AL101">
        <v>1.8073281670000001</v>
      </c>
      <c r="AM101">
        <v>1.853224448</v>
      </c>
      <c r="AN101">
        <v>1.8998340949999999</v>
      </c>
      <c r="AO101">
        <v>1.9468655779999999</v>
      </c>
      <c r="AP101">
        <v>1.994881393</v>
      </c>
      <c r="AQ101">
        <v>2.0434740819999999</v>
      </c>
      <c r="AR101">
        <v>2.093271449</v>
      </c>
      <c r="AS101">
        <v>2.1433948140000001</v>
      </c>
      <c r="AT101">
        <v>2.194468912</v>
      </c>
      <c r="AU101">
        <v>2.246416253</v>
      </c>
      <c r="AV101">
        <v>2.298593468</v>
      </c>
      <c r="AW101">
        <v>2.3515575150000001</v>
      </c>
    </row>
    <row r="102" spans="2:49" x14ac:dyDescent="0.25">
      <c r="B102" t="s">
        <v>509</v>
      </c>
      <c r="C102">
        <v>0</v>
      </c>
      <c r="D102" s="39">
        <v>0</v>
      </c>
      <c r="E102" s="39">
        <v>0</v>
      </c>
      <c r="F102" s="39">
        <v>0</v>
      </c>
      <c r="G102" s="39">
        <v>0</v>
      </c>
      <c r="H102" s="39">
        <v>0</v>
      </c>
      <c r="I102" s="39">
        <v>0</v>
      </c>
      <c r="J102" s="39">
        <v>0</v>
      </c>
      <c r="K102" s="39">
        <v>0</v>
      </c>
      <c r="L102" s="39">
        <v>0</v>
      </c>
      <c r="M102" s="39">
        <v>0</v>
      </c>
      <c r="N102" s="39">
        <v>0</v>
      </c>
      <c r="O102" s="39">
        <v>0</v>
      </c>
      <c r="P102" s="39">
        <v>0</v>
      </c>
      <c r="Q102" s="39">
        <v>0</v>
      </c>
      <c r="R102" s="39">
        <v>0</v>
      </c>
      <c r="S102" s="39">
        <v>0</v>
      </c>
      <c r="T102" s="39">
        <v>0</v>
      </c>
      <c r="U102" s="39">
        <v>0</v>
      </c>
      <c r="V102" s="39">
        <v>0</v>
      </c>
      <c r="W102">
        <v>0.125863792598535</v>
      </c>
      <c r="X102">
        <v>0.179539162758901</v>
      </c>
      <c r="Y102">
        <v>0.21175128378643199</v>
      </c>
      <c r="Z102">
        <v>0.238152926663737</v>
      </c>
      <c r="AA102">
        <v>0.26789850983990299</v>
      </c>
      <c r="AB102">
        <v>0.29576956954713302</v>
      </c>
      <c r="AC102">
        <v>0.31760960262205901</v>
      </c>
      <c r="AD102">
        <v>0.33823137143251802</v>
      </c>
      <c r="AE102">
        <v>0.357985133296368</v>
      </c>
      <c r="AF102">
        <v>0.37550400818389101</v>
      </c>
      <c r="AG102" s="39">
        <v>0.38845724002922699</v>
      </c>
      <c r="AH102" s="39">
        <v>0.39705373841485397</v>
      </c>
      <c r="AI102">
        <v>0.40221421690660403</v>
      </c>
      <c r="AJ102">
        <v>0.40614058640639999</v>
      </c>
      <c r="AK102">
        <v>0.409069904562953</v>
      </c>
      <c r="AL102" s="39">
        <v>0.41091413094416201</v>
      </c>
      <c r="AM102">
        <v>0.41125037391633801</v>
      </c>
      <c r="AN102">
        <v>0.40969448484451298</v>
      </c>
      <c r="AO102">
        <v>0.40791504185668798</v>
      </c>
      <c r="AP102">
        <v>0.40511993436957999</v>
      </c>
      <c r="AQ102">
        <v>0.40217431127302899</v>
      </c>
      <c r="AR102">
        <v>0.39612933701733599</v>
      </c>
      <c r="AS102">
        <v>0.38981716998738303</v>
      </c>
      <c r="AT102">
        <v>0.39078973206036999</v>
      </c>
      <c r="AU102">
        <v>0.399591694873424</v>
      </c>
      <c r="AV102">
        <v>0.41546543407446901</v>
      </c>
      <c r="AW102">
        <v>0.43983362383437302</v>
      </c>
    </row>
    <row r="103" spans="2:49" x14ac:dyDescent="0.25">
      <c r="B103" t="s">
        <v>510</v>
      </c>
      <c r="C103" s="39">
        <v>0</v>
      </c>
      <c r="D103" s="39">
        <v>0</v>
      </c>
      <c r="E103" s="39">
        <v>0</v>
      </c>
      <c r="F103" s="39">
        <v>0</v>
      </c>
      <c r="G103" s="39">
        <v>0</v>
      </c>
      <c r="H103" s="39">
        <v>0</v>
      </c>
      <c r="I103" s="39">
        <v>0</v>
      </c>
      <c r="J103" s="39">
        <v>0</v>
      </c>
      <c r="K103" s="39">
        <v>0</v>
      </c>
      <c r="L103" s="39">
        <v>0</v>
      </c>
      <c r="M103" s="39">
        <v>0</v>
      </c>
      <c r="N103" s="39">
        <v>0</v>
      </c>
      <c r="O103" s="39">
        <v>0</v>
      </c>
      <c r="P103" s="39">
        <v>0</v>
      </c>
      <c r="Q103" s="39">
        <v>0</v>
      </c>
      <c r="R103" s="39">
        <v>0</v>
      </c>
      <c r="S103" s="39">
        <v>0</v>
      </c>
      <c r="T103" s="39">
        <v>0</v>
      </c>
      <c r="U103" s="39">
        <v>0</v>
      </c>
      <c r="V103" s="39">
        <v>0</v>
      </c>
      <c r="W103" s="39">
        <v>6.8782907790287895E-2</v>
      </c>
      <c r="X103">
        <v>0.148348890572291</v>
      </c>
      <c r="Y103">
        <v>0.167836809642496</v>
      </c>
      <c r="Z103">
        <v>0.17848333968473101</v>
      </c>
      <c r="AA103">
        <v>0.198535938395139</v>
      </c>
      <c r="AB103">
        <v>0.21848858564430501</v>
      </c>
      <c r="AC103">
        <v>0.23822645918476401</v>
      </c>
      <c r="AD103">
        <v>0.253773416341873</v>
      </c>
      <c r="AE103">
        <v>0.27026511891217098</v>
      </c>
      <c r="AF103">
        <v>0.285119949898549</v>
      </c>
      <c r="AG103">
        <v>0.29372584988711598</v>
      </c>
      <c r="AH103">
        <v>0.307402074868945</v>
      </c>
      <c r="AI103">
        <v>0.30129117691166601</v>
      </c>
      <c r="AJ103">
        <v>0.29666591736943199</v>
      </c>
      <c r="AK103">
        <v>0.29270431258594498</v>
      </c>
      <c r="AL103">
        <v>0.28803662680478798</v>
      </c>
      <c r="AM103">
        <v>0.28121687654183403</v>
      </c>
      <c r="AN103">
        <v>0.27175596287982701</v>
      </c>
      <c r="AO103">
        <v>0.26288033305339398</v>
      </c>
      <c r="AP103">
        <v>0.25244023491099998</v>
      </c>
      <c r="AQ103">
        <v>0.240669127002446</v>
      </c>
      <c r="AR103">
        <v>0.24993446727366</v>
      </c>
      <c r="AS103">
        <v>0.21750741579196201</v>
      </c>
      <c r="AT103">
        <v>0.199090948496638</v>
      </c>
      <c r="AU103">
        <v>0.19163281936926899</v>
      </c>
      <c r="AV103">
        <v>0.189650407856123</v>
      </c>
      <c r="AW103">
        <v>0.192489307672949</v>
      </c>
    </row>
    <row r="104" spans="2:49" x14ac:dyDescent="0.25">
      <c r="B104" t="s">
        <v>511</v>
      </c>
      <c r="C104">
        <v>0</v>
      </c>
      <c r="D104" s="39">
        <v>0</v>
      </c>
      <c r="E104" s="39">
        <v>0</v>
      </c>
      <c r="F104" s="39">
        <v>0</v>
      </c>
      <c r="G104" s="39">
        <v>0</v>
      </c>
      <c r="H104" s="39">
        <v>0</v>
      </c>
      <c r="I104" s="39">
        <v>0</v>
      </c>
      <c r="J104" s="39">
        <v>0</v>
      </c>
      <c r="K104" s="39">
        <v>0</v>
      </c>
      <c r="L104" s="39">
        <v>0</v>
      </c>
      <c r="M104" s="39">
        <v>0</v>
      </c>
      <c r="N104" s="39">
        <v>0</v>
      </c>
      <c r="O104" s="39">
        <v>0</v>
      </c>
      <c r="P104" s="39">
        <v>0</v>
      </c>
      <c r="Q104" s="39">
        <v>0</v>
      </c>
      <c r="R104" s="39">
        <v>0</v>
      </c>
      <c r="S104" s="39">
        <v>0</v>
      </c>
      <c r="T104">
        <v>0</v>
      </c>
      <c r="U104">
        <v>0</v>
      </c>
      <c r="V104">
        <v>0</v>
      </c>
      <c r="W104">
        <v>1.0506319120779699</v>
      </c>
      <c r="X104">
        <v>1.1377281713421401</v>
      </c>
      <c r="Y104">
        <v>1.29326991720295</v>
      </c>
      <c r="Z104">
        <v>1.4169053872578901</v>
      </c>
      <c r="AA104">
        <v>1.5559405284086301</v>
      </c>
      <c r="AB104">
        <v>1.69896897118477</v>
      </c>
      <c r="AC104">
        <v>1.8045461195008701</v>
      </c>
      <c r="AD104">
        <v>1.9113117900276799</v>
      </c>
      <c r="AE104">
        <v>2.0260512419213401</v>
      </c>
      <c r="AF104">
        <v>2.1363406540850098</v>
      </c>
      <c r="AG104">
        <v>2.23685422060138</v>
      </c>
      <c r="AH104">
        <v>2.3114107480963102</v>
      </c>
      <c r="AI104">
        <v>2.3979014309188398</v>
      </c>
      <c r="AJ104">
        <v>2.48435282318002</v>
      </c>
      <c r="AK104">
        <v>2.56682606765286</v>
      </c>
      <c r="AL104">
        <v>2.6455926795981801</v>
      </c>
      <c r="AM104" s="39">
        <v>2.7200750555609301</v>
      </c>
      <c r="AN104">
        <v>2.8048565625877102</v>
      </c>
      <c r="AO104">
        <v>2.8746844132440299</v>
      </c>
      <c r="AP104">
        <v>2.9388140173112398</v>
      </c>
      <c r="AQ104">
        <v>3.0003250824126102</v>
      </c>
      <c r="AR104">
        <v>3.0121702499787002</v>
      </c>
      <c r="AS104">
        <v>3.0655577826398601</v>
      </c>
      <c r="AT104">
        <v>3.1372112255242799</v>
      </c>
      <c r="AU104">
        <v>3.2151678086005102</v>
      </c>
      <c r="AV104">
        <v>3.2990688442364502</v>
      </c>
      <c r="AW104" s="39">
        <v>3.3903124879095898</v>
      </c>
    </row>
    <row r="105" spans="2:49" x14ac:dyDescent="0.25">
      <c r="B105" t="s">
        <v>512</v>
      </c>
      <c r="C105" s="39">
        <v>0</v>
      </c>
      <c r="D105" s="39">
        <v>0</v>
      </c>
      <c r="E105" s="39">
        <v>0</v>
      </c>
      <c r="F105" s="39">
        <v>0</v>
      </c>
      <c r="G105" s="39">
        <v>0</v>
      </c>
      <c r="H105" s="39">
        <v>0</v>
      </c>
      <c r="I105" s="39">
        <v>0</v>
      </c>
      <c r="J105" s="39">
        <v>0</v>
      </c>
      <c r="K105" s="39">
        <v>0</v>
      </c>
      <c r="L105" s="39">
        <v>0</v>
      </c>
      <c r="M105" s="39">
        <v>0</v>
      </c>
      <c r="N105" s="39">
        <v>0</v>
      </c>
      <c r="O105" s="39">
        <v>0</v>
      </c>
      <c r="P105" s="39">
        <v>0</v>
      </c>
      <c r="Q105" s="39">
        <v>0</v>
      </c>
      <c r="R105" s="39">
        <v>0</v>
      </c>
      <c r="S105" s="39">
        <v>0</v>
      </c>
      <c r="T105" s="39">
        <v>0</v>
      </c>
      <c r="U105" s="39">
        <v>0</v>
      </c>
      <c r="V105" s="39">
        <v>0</v>
      </c>
      <c r="W105" s="39">
        <v>2.7679799801782999E-3</v>
      </c>
      <c r="X105" s="39">
        <v>2.8511557828236802E-3</v>
      </c>
      <c r="Y105">
        <v>-9.1169524072398601E-4</v>
      </c>
      <c r="Z105">
        <v>-8.8229238256465302E-3</v>
      </c>
      <c r="AA105">
        <v>-1.9988456762998201E-2</v>
      </c>
      <c r="AB105">
        <v>-3.4771133409150501E-2</v>
      </c>
      <c r="AC105">
        <v>-5.3381211995062697E-2</v>
      </c>
      <c r="AD105" s="39">
        <v>-7.5207338955773903E-2</v>
      </c>
      <c r="AE105" s="39">
        <v>-0.10005329281462801</v>
      </c>
      <c r="AF105" s="39">
        <v>-0.127444513103847</v>
      </c>
      <c r="AG105" s="39">
        <v>-0.15745313652012399</v>
      </c>
      <c r="AH105">
        <v>-0.18959453005951099</v>
      </c>
      <c r="AI105" s="39">
        <v>-0.22333438890076401</v>
      </c>
      <c r="AJ105" s="39">
        <v>-0.25845499676179201</v>
      </c>
      <c r="AK105" s="39">
        <v>-0.29445891398450702</v>
      </c>
      <c r="AL105" s="39">
        <v>-0.33094280978195301</v>
      </c>
      <c r="AM105" s="39">
        <v>-0.36758238920325798</v>
      </c>
      <c r="AN105" s="39">
        <v>-0.403649634921599</v>
      </c>
      <c r="AO105">
        <v>-0.43880528336611702</v>
      </c>
      <c r="AP105">
        <v>-0.47202881281835901</v>
      </c>
      <c r="AQ105">
        <v>-0.50237498312264395</v>
      </c>
      <c r="AR105">
        <v>-0.52817528998888497</v>
      </c>
      <c r="AS105">
        <v>-0.54742352015304496</v>
      </c>
      <c r="AT105">
        <v>-0.55774455364292397</v>
      </c>
      <c r="AU105">
        <v>-0.55583555060697498</v>
      </c>
      <c r="AV105">
        <v>-0.53839173640036697</v>
      </c>
      <c r="AW105">
        <v>-0.50060737955199797</v>
      </c>
    </row>
    <row r="106" spans="2:49" x14ac:dyDescent="0.25">
      <c r="B106" t="s">
        <v>513</v>
      </c>
      <c r="C106">
        <v>0</v>
      </c>
      <c r="D106" s="39">
        <v>0</v>
      </c>
      <c r="E106" s="39">
        <v>0</v>
      </c>
      <c r="F106" s="39">
        <v>0</v>
      </c>
      <c r="G106" s="39">
        <v>0</v>
      </c>
      <c r="H106" s="39">
        <v>0</v>
      </c>
      <c r="I106" s="39">
        <v>0</v>
      </c>
      <c r="J106" s="39">
        <v>0</v>
      </c>
      <c r="K106" s="39">
        <v>0</v>
      </c>
      <c r="L106" s="39">
        <v>0</v>
      </c>
      <c r="M106" s="39">
        <v>0</v>
      </c>
      <c r="N106" s="39">
        <v>0</v>
      </c>
      <c r="O106" s="39">
        <v>0</v>
      </c>
      <c r="P106" s="39">
        <v>0</v>
      </c>
      <c r="Q106" s="39">
        <v>0</v>
      </c>
      <c r="R106" s="39">
        <v>0</v>
      </c>
      <c r="S106" s="39">
        <v>0</v>
      </c>
      <c r="T106" s="39">
        <v>0</v>
      </c>
      <c r="U106">
        <v>0</v>
      </c>
      <c r="V106" s="39">
        <v>0</v>
      </c>
      <c r="W106" s="39">
        <v>0.243124574082309</v>
      </c>
      <c r="X106">
        <v>0.267459513160894</v>
      </c>
      <c r="Y106">
        <v>0.26353794648605799</v>
      </c>
      <c r="Z106">
        <v>0.25064048183096599</v>
      </c>
      <c r="AA106">
        <v>0.24618795525550499</v>
      </c>
      <c r="AB106">
        <v>0.24609235853136899</v>
      </c>
      <c r="AC106">
        <v>0.249746420865815</v>
      </c>
      <c r="AD106">
        <v>0.24119839889820099</v>
      </c>
      <c r="AE106">
        <v>0.23617397114013</v>
      </c>
      <c r="AF106">
        <v>0.23211037167008</v>
      </c>
      <c r="AG106">
        <v>0.223035897630952</v>
      </c>
      <c r="AH106">
        <v>0.22635108980646401</v>
      </c>
      <c r="AI106">
        <v>0.20929853305415799</v>
      </c>
      <c r="AJ106">
        <v>0.19503229593480501</v>
      </c>
      <c r="AK106">
        <v>0.181748687462501</v>
      </c>
      <c r="AL106">
        <v>0.16880671364680699</v>
      </c>
      <c r="AM106">
        <v>0.154829865480588</v>
      </c>
      <c r="AN106">
        <v>0.14182766597761101</v>
      </c>
      <c r="AO106">
        <v>0.13114048493882899</v>
      </c>
      <c r="AP106">
        <v>0.119994952792978</v>
      </c>
      <c r="AQ106">
        <v>0.108769761037153</v>
      </c>
      <c r="AR106">
        <v>0.13050253631039499</v>
      </c>
      <c r="AS106">
        <v>0.10105064082719301</v>
      </c>
      <c r="AT106">
        <v>8.9061880816121403E-2</v>
      </c>
      <c r="AU106">
        <v>8.7220494313244801E-2</v>
      </c>
      <c r="AV106">
        <v>9.1485595854545701E-2</v>
      </c>
      <c r="AW106">
        <v>0.101980942307622</v>
      </c>
    </row>
    <row r="107" spans="2:49" x14ac:dyDescent="0.25">
      <c r="B107" t="s">
        <v>514</v>
      </c>
      <c r="C107">
        <v>0</v>
      </c>
      <c r="D107" s="39">
        <v>0</v>
      </c>
      <c r="E107" s="39">
        <v>0</v>
      </c>
      <c r="F107" s="39">
        <v>0</v>
      </c>
      <c r="G107" s="39">
        <v>0</v>
      </c>
      <c r="H107" s="39">
        <v>0</v>
      </c>
      <c r="I107" s="39">
        <v>0</v>
      </c>
      <c r="J107" s="39">
        <v>0</v>
      </c>
      <c r="K107" s="39">
        <v>0</v>
      </c>
      <c r="L107" s="39">
        <v>0</v>
      </c>
      <c r="M107" s="39">
        <v>0</v>
      </c>
      <c r="N107" s="39">
        <v>0</v>
      </c>
      <c r="O107" s="39">
        <v>0</v>
      </c>
      <c r="P107" s="39">
        <v>0</v>
      </c>
      <c r="Q107" s="39">
        <v>0</v>
      </c>
      <c r="R107" s="39">
        <v>0</v>
      </c>
      <c r="S107" s="39">
        <v>0</v>
      </c>
      <c r="T107" s="39">
        <v>0</v>
      </c>
      <c r="U107">
        <v>0</v>
      </c>
      <c r="V107" s="39">
        <v>0</v>
      </c>
      <c r="W107" s="39">
        <v>-8.4521294785375095E-2</v>
      </c>
      <c r="X107">
        <v>-9.1571229349345695E-2</v>
      </c>
      <c r="Y107">
        <v>-8.9696463977374796E-2</v>
      </c>
      <c r="Z107" s="39">
        <v>-8.4851726624017507E-2</v>
      </c>
      <c r="AA107">
        <v>-8.4472679288755098E-2</v>
      </c>
      <c r="AB107">
        <v>-8.6321386678458997E-2</v>
      </c>
      <c r="AC107">
        <v>-9.0574759203658803E-2</v>
      </c>
      <c r="AD107">
        <v>-9.1550556889283902E-2</v>
      </c>
      <c r="AE107">
        <v>-9.5257499970657897E-2</v>
      </c>
      <c r="AF107">
        <v>-0.10022617077271399</v>
      </c>
      <c r="AG107">
        <v>-0.104573819641068</v>
      </c>
      <c r="AH107" s="39">
        <v>-0.114912589173625</v>
      </c>
      <c r="AI107" s="39">
        <v>-0.11753785074975601</v>
      </c>
      <c r="AJ107">
        <v>-0.122134096514344</v>
      </c>
      <c r="AK107" s="39">
        <v>-0.12783092351537301</v>
      </c>
      <c r="AL107">
        <v>-0.13412971477654001</v>
      </c>
      <c r="AM107">
        <v>-0.14020566991761599</v>
      </c>
      <c r="AN107">
        <v>-0.147294714518661</v>
      </c>
      <c r="AO107">
        <v>-0.15499334575072801</v>
      </c>
      <c r="AP107">
        <v>-0.162488020394776</v>
      </c>
      <c r="AQ107" s="39">
        <v>-0.16973566709656299</v>
      </c>
      <c r="AR107">
        <v>-0.18891208192216</v>
      </c>
      <c r="AS107">
        <v>-0.18792237138602899</v>
      </c>
      <c r="AT107">
        <v>-0.19232828956718701</v>
      </c>
      <c r="AU107">
        <v>-0.19916961582485901</v>
      </c>
      <c r="AV107">
        <v>-0.20633270831956599</v>
      </c>
      <c r="AW107">
        <v>-0.21316735176809301</v>
      </c>
    </row>
    <row r="108" spans="2:49" x14ac:dyDescent="0.25">
      <c r="B108" t="s">
        <v>515</v>
      </c>
      <c r="C108" s="39">
        <v>0</v>
      </c>
      <c r="D108" s="39">
        <v>0</v>
      </c>
      <c r="E108" s="39">
        <v>0</v>
      </c>
      <c r="F108" s="39">
        <v>0</v>
      </c>
      <c r="G108" s="39">
        <v>0</v>
      </c>
      <c r="H108" s="39">
        <v>0</v>
      </c>
      <c r="I108" s="39">
        <v>0</v>
      </c>
      <c r="J108" s="39">
        <v>0</v>
      </c>
      <c r="K108" s="39">
        <v>0</v>
      </c>
      <c r="L108" s="39">
        <v>0</v>
      </c>
      <c r="M108" s="39">
        <v>0</v>
      </c>
      <c r="N108" s="39">
        <v>0</v>
      </c>
      <c r="O108" s="39">
        <v>0</v>
      </c>
      <c r="P108" s="39">
        <v>0</v>
      </c>
      <c r="Q108" s="39">
        <v>0</v>
      </c>
      <c r="R108" s="39">
        <v>0</v>
      </c>
      <c r="S108" s="39">
        <v>0</v>
      </c>
      <c r="T108" s="39">
        <v>0</v>
      </c>
      <c r="U108" s="39">
        <v>0</v>
      </c>
      <c r="V108" s="39">
        <v>0</v>
      </c>
      <c r="W108" s="39">
        <v>-2.2919820000000202E-2</v>
      </c>
      <c r="X108">
        <v>-6.3320610000000499E-2</v>
      </c>
      <c r="Y108">
        <v>-7.7215800000000806E-2</v>
      </c>
      <c r="Z108">
        <v>-7.9483040000000102E-2</v>
      </c>
      <c r="AA108">
        <v>-8.3971990000000704E-2</v>
      </c>
      <c r="AB108">
        <v>-9.1865400000000402E-2</v>
      </c>
      <c r="AC108">
        <v>-9.8185579999999995E-2</v>
      </c>
      <c r="AD108" s="39">
        <v>-0.102695229999999</v>
      </c>
      <c r="AE108">
        <v>-0.10771024999999899</v>
      </c>
      <c r="AF108">
        <v>-0.11229076</v>
      </c>
      <c r="AG108">
        <v>-0.11573218</v>
      </c>
      <c r="AH108">
        <v>-0.11716987</v>
      </c>
      <c r="AI108">
        <v>-0.11673086000000001</v>
      </c>
      <c r="AJ108">
        <v>-0.11604543</v>
      </c>
      <c r="AK108" s="39">
        <v>-0.115264019999999</v>
      </c>
      <c r="AL108">
        <v>-0.1140626</v>
      </c>
      <c r="AM108" s="39">
        <v>-0.112348789999999</v>
      </c>
      <c r="AN108" s="39">
        <v>-0.11012382</v>
      </c>
      <c r="AO108">
        <v>-0.10766928000000001</v>
      </c>
      <c r="AP108">
        <v>-0.105188819999999</v>
      </c>
      <c r="AQ108">
        <v>-0.10268073</v>
      </c>
      <c r="AR108">
        <v>-9.9543089999999598E-2</v>
      </c>
      <c r="AS108" s="39">
        <v>-9.5461880000000096E-2</v>
      </c>
      <c r="AT108" s="39">
        <v>-9.4920760000000104E-2</v>
      </c>
      <c r="AU108">
        <v>-9.9666210000000297E-2</v>
      </c>
      <c r="AV108">
        <v>-0.10933714999999899</v>
      </c>
      <c r="AW108">
        <v>-0.12449424000000001</v>
      </c>
    </row>
    <row r="109" spans="2:49" x14ac:dyDescent="0.25">
      <c r="B109" t="s">
        <v>516</v>
      </c>
      <c r="C109" s="39">
        <v>0</v>
      </c>
      <c r="D109" s="39">
        <v>0</v>
      </c>
      <c r="E109" s="39">
        <v>0</v>
      </c>
      <c r="F109" s="39">
        <v>0</v>
      </c>
      <c r="G109" s="39">
        <v>0</v>
      </c>
      <c r="H109" s="39">
        <v>0</v>
      </c>
      <c r="I109" s="39">
        <v>0</v>
      </c>
      <c r="J109" s="39">
        <v>0</v>
      </c>
      <c r="K109" s="39">
        <v>0</v>
      </c>
      <c r="L109" s="39">
        <v>0</v>
      </c>
      <c r="M109" s="39">
        <v>0</v>
      </c>
      <c r="N109" s="39">
        <v>0</v>
      </c>
      <c r="O109" s="39">
        <v>0</v>
      </c>
      <c r="P109" s="39">
        <v>0</v>
      </c>
      <c r="Q109" s="39">
        <v>0</v>
      </c>
      <c r="R109" s="39">
        <v>0</v>
      </c>
      <c r="S109" s="39">
        <v>0</v>
      </c>
      <c r="T109" s="39">
        <v>0</v>
      </c>
      <c r="U109" s="39">
        <v>0</v>
      </c>
      <c r="V109" s="39">
        <v>0</v>
      </c>
      <c r="W109" s="39">
        <v>3.7341038269311698E-2</v>
      </c>
      <c r="X109">
        <v>0.102988853944241</v>
      </c>
      <c r="Y109">
        <v>0.12562157852480299</v>
      </c>
      <c r="Z109">
        <v>0.12926001807616</v>
      </c>
      <c r="AA109">
        <v>0.13680358466709999</v>
      </c>
      <c r="AB109">
        <v>0.14960831698511701</v>
      </c>
      <c r="AC109">
        <v>0.159696962794631</v>
      </c>
      <c r="AD109">
        <v>0.16675383316995199</v>
      </c>
      <c r="AE109">
        <v>0.174680343187927</v>
      </c>
      <c r="AF109">
        <v>0.18195537895588901</v>
      </c>
      <c r="AG109">
        <v>0.18786452588803701</v>
      </c>
      <c r="AH109">
        <v>0.19013823648428299</v>
      </c>
      <c r="AI109">
        <v>0.18915349007069199</v>
      </c>
      <c r="AJ109">
        <v>0.18783895609422099</v>
      </c>
      <c r="AK109">
        <v>0.18642983979799599</v>
      </c>
      <c r="AL109">
        <v>0.18441060975051801</v>
      </c>
      <c r="AM109">
        <v>0.18166394488190399</v>
      </c>
      <c r="AN109">
        <v>0.17817495108289799</v>
      </c>
      <c r="AO109">
        <v>0.174292046654134</v>
      </c>
      <c r="AP109">
        <v>0.17035611377054199</v>
      </c>
      <c r="AQ109">
        <v>0.16630445477476799</v>
      </c>
      <c r="AR109">
        <v>0.16122596087906299</v>
      </c>
      <c r="AS109">
        <v>0.154588876440198</v>
      </c>
      <c r="AT109">
        <v>0.15368771732846501</v>
      </c>
      <c r="AU109">
        <v>0.16136364494743199</v>
      </c>
      <c r="AV109">
        <v>0.177016594649193</v>
      </c>
      <c r="AW109">
        <v>0.201564686166011</v>
      </c>
    </row>
    <row r="110" spans="2:49" x14ac:dyDescent="0.25">
      <c r="B110" t="s">
        <v>517</v>
      </c>
      <c r="C110" s="39">
        <v>0</v>
      </c>
      <c r="D110" s="39">
        <v>0</v>
      </c>
      <c r="E110" s="39">
        <v>0</v>
      </c>
      <c r="F110" s="39">
        <v>0</v>
      </c>
      <c r="G110" s="39">
        <v>0</v>
      </c>
      <c r="H110" s="39">
        <v>0</v>
      </c>
      <c r="I110" s="39">
        <v>0</v>
      </c>
      <c r="J110" s="39">
        <v>0</v>
      </c>
      <c r="K110" s="39">
        <v>0</v>
      </c>
      <c r="L110" s="39">
        <v>0</v>
      </c>
      <c r="M110" s="39">
        <v>0</v>
      </c>
      <c r="N110" s="39">
        <v>0</v>
      </c>
      <c r="O110" s="39">
        <v>0</v>
      </c>
      <c r="P110" s="39">
        <v>0</v>
      </c>
      <c r="Q110" s="39">
        <v>0</v>
      </c>
      <c r="R110" s="39">
        <v>0</v>
      </c>
      <c r="S110" s="39">
        <v>0</v>
      </c>
      <c r="T110" s="39">
        <v>0</v>
      </c>
      <c r="U110" s="39">
        <v>0</v>
      </c>
      <c r="V110" s="39">
        <v>0</v>
      </c>
      <c r="W110">
        <v>5.6087817167194097E-2</v>
      </c>
      <c r="X110">
        <v>6.7628049177792499E-2</v>
      </c>
      <c r="Y110">
        <v>0.111594675371695</v>
      </c>
      <c r="Z110">
        <v>0.15865638829364301</v>
      </c>
      <c r="AA110">
        <v>0.20059928449327399</v>
      </c>
      <c r="AB110">
        <v>0.23297700009907699</v>
      </c>
      <c r="AC110">
        <v>0.26148184067693497</v>
      </c>
      <c r="AD110">
        <v>0.29097362815815297</v>
      </c>
      <c r="AE110">
        <v>0.31588781216038703</v>
      </c>
      <c r="AF110">
        <v>0.33824111083500202</v>
      </c>
      <c r="AG110">
        <v>0.35639261380095899</v>
      </c>
      <c r="AH110">
        <v>0.37099108021458799</v>
      </c>
      <c r="AI110">
        <v>0.38296893519880199</v>
      </c>
      <c r="AJ110">
        <v>0.39127936647818101</v>
      </c>
      <c r="AK110">
        <v>0.396449883485328</v>
      </c>
      <c r="AL110">
        <v>0.39923747917114399</v>
      </c>
      <c r="AM110">
        <v>0.39964529626523798</v>
      </c>
      <c r="AN110" s="39">
        <v>0.398638659538819</v>
      </c>
      <c r="AO110">
        <v>0.39745471593668402</v>
      </c>
      <c r="AP110">
        <v>0.39620254406602601</v>
      </c>
      <c r="AQ110">
        <v>0.39566889077804401</v>
      </c>
      <c r="AR110">
        <v>0.39422724597797298</v>
      </c>
      <c r="AS110">
        <v>0.39629325557028999</v>
      </c>
      <c r="AT110">
        <v>0.40441794384478102</v>
      </c>
      <c r="AU110">
        <v>0.41984906326888399</v>
      </c>
      <c r="AV110">
        <v>0.44684846671672002</v>
      </c>
      <c r="AW110">
        <v>0.491323491137518</v>
      </c>
    </row>
    <row r="111" spans="2:49" x14ac:dyDescent="0.25">
      <c r="B111" t="s">
        <v>518</v>
      </c>
      <c r="C111" s="39">
        <v>0</v>
      </c>
      <c r="D111" s="39">
        <v>0</v>
      </c>
      <c r="E111" s="39">
        <v>0</v>
      </c>
      <c r="F111" s="39">
        <v>0</v>
      </c>
      <c r="G111" s="39">
        <v>0</v>
      </c>
      <c r="H111" s="39">
        <v>0</v>
      </c>
      <c r="I111" s="39">
        <v>0</v>
      </c>
      <c r="J111" s="39">
        <v>0</v>
      </c>
      <c r="K111" s="39">
        <v>0</v>
      </c>
      <c r="L111" s="39">
        <v>0</v>
      </c>
      <c r="M111" s="39">
        <v>0</v>
      </c>
      <c r="N111" s="39">
        <v>0</v>
      </c>
      <c r="O111" s="39">
        <v>0</v>
      </c>
      <c r="P111" s="39">
        <v>0</v>
      </c>
      <c r="Q111" s="39">
        <v>0</v>
      </c>
      <c r="R111" s="39">
        <v>0</v>
      </c>
      <c r="S111" s="39">
        <v>0</v>
      </c>
      <c r="T111" s="39">
        <v>0</v>
      </c>
      <c r="U111" s="39">
        <v>0</v>
      </c>
      <c r="V111" s="39">
        <v>0</v>
      </c>
      <c r="W111" s="39">
        <v>-2.5206159999999802E-4</v>
      </c>
      <c r="X111" s="39">
        <v>-5.8105200000001898E-5</v>
      </c>
      <c r="Y111" s="39">
        <v>9.9139399999999907E-5</v>
      </c>
      <c r="Z111" s="39">
        <v>2.024467E-4</v>
      </c>
      <c r="AA111" s="39">
        <v>2.3267390000000001E-4</v>
      </c>
      <c r="AB111" s="39">
        <v>3.1879919999999701E-4</v>
      </c>
      <c r="AC111" s="39">
        <v>4.0378170000000103E-4</v>
      </c>
      <c r="AD111" s="39">
        <v>4.2196749999999798E-4</v>
      </c>
      <c r="AE111" s="39">
        <v>4.4823769999999898E-4</v>
      </c>
      <c r="AF111" s="39">
        <v>4.6764269999999898E-4</v>
      </c>
      <c r="AG111" s="39">
        <v>4.9637369999999995E-4</v>
      </c>
      <c r="AH111" s="39">
        <v>5.1884959999999895E-4</v>
      </c>
      <c r="AI111" s="39">
        <v>5.3482349999999998E-4</v>
      </c>
      <c r="AJ111" s="39">
        <v>5.3583790000000199E-4</v>
      </c>
      <c r="AK111" s="39">
        <v>5.3086870000000196E-4</v>
      </c>
      <c r="AL111" s="39">
        <v>5.2151010000000002E-4</v>
      </c>
      <c r="AM111" s="39">
        <v>5.0975059999999999E-4</v>
      </c>
      <c r="AN111" s="39">
        <v>4.8504430000000098E-4</v>
      </c>
      <c r="AO111" s="39">
        <v>4.4871020000000002E-4</v>
      </c>
      <c r="AP111" s="39">
        <v>3.9304609999999898E-4</v>
      </c>
      <c r="AQ111" s="39">
        <v>3.1614019999999797E-4</v>
      </c>
      <c r="AR111" s="39">
        <v>1.91899299999999E-4</v>
      </c>
      <c r="AS111" s="39">
        <v>4.9271700000002397E-5</v>
      </c>
      <c r="AT111" s="39">
        <v>-2.0472169999999999E-4</v>
      </c>
      <c r="AU111" s="39">
        <v>-5.26492600000001E-4</v>
      </c>
      <c r="AV111" s="39">
        <v>-9.1528000000000095E-4</v>
      </c>
      <c r="AW111" s="39">
        <v>-1.41606119999999E-3</v>
      </c>
    </row>
    <row r="112" spans="2:49" x14ac:dyDescent="0.25">
      <c r="B112" t="s">
        <v>519</v>
      </c>
      <c r="C112" s="39">
        <v>0</v>
      </c>
      <c r="D112" s="39">
        <v>0</v>
      </c>
      <c r="E112" s="39">
        <v>0</v>
      </c>
      <c r="F112" s="39">
        <v>0</v>
      </c>
      <c r="G112" s="39">
        <v>0</v>
      </c>
      <c r="H112" s="39">
        <v>0</v>
      </c>
      <c r="I112" s="39">
        <v>0</v>
      </c>
      <c r="J112" s="39">
        <v>0</v>
      </c>
      <c r="K112" s="39">
        <v>0</v>
      </c>
      <c r="L112" s="39">
        <v>0</v>
      </c>
      <c r="M112" s="39">
        <v>0</v>
      </c>
      <c r="N112" s="39">
        <v>0</v>
      </c>
      <c r="O112" s="39">
        <v>0</v>
      </c>
      <c r="P112" s="39">
        <v>0</v>
      </c>
      <c r="Q112" s="39">
        <v>0</v>
      </c>
      <c r="R112" s="39">
        <v>0</v>
      </c>
      <c r="S112" s="39">
        <v>0</v>
      </c>
      <c r="T112" s="39">
        <v>0</v>
      </c>
      <c r="U112" s="39">
        <v>0</v>
      </c>
      <c r="V112" s="39">
        <v>0</v>
      </c>
      <c r="W112" s="39">
        <v>-2.5206149999999701E-4</v>
      </c>
      <c r="X112" s="39">
        <v>-5.8105199999998401E-5</v>
      </c>
      <c r="Y112" s="39">
        <v>9.9139499999997799E-5</v>
      </c>
      <c r="Z112" s="39">
        <v>2.0244670000000401E-4</v>
      </c>
      <c r="AA112" s="39">
        <v>2.3267390000000001E-4</v>
      </c>
      <c r="AB112" s="39">
        <v>3.18799099999996E-4</v>
      </c>
      <c r="AC112" s="39">
        <v>4.0378160000000002E-4</v>
      </c>
      <c r="AD112" s="39">
        <v>4.21967499999995E-4</v>
      </c>
      <c r="AE112" s="39">
        <v>4.4823759999999802E-4</v>
      </c>
      <c r="AF112" s="39">
        <v>4.6764259999999797E-4</v>
      </c>
      <c r="AG112" s="39">
        <v>4.9637360000000198E-4</v>
      </c>
      <c r="AH112" s="39">
        <v>5.1884960000000199E-4</v>
      </c>
      <c r="AI112" s="39">
        <v>5.3482349999999597E-4</v>
      </c>
      <c r="AJ112" s="39">
        <v>5.3583799999999595E-4</v>
      </c>
      <c r="AK112" s="39">
        <v>5.3086869999999903E-4</v>
      </c>
      <c r="AL112" s="39">
        <v>5.2151019999999799E-4</v>
      </c>
      <c r="AM112" s="39">
        <v>5.09750600000004E-4</v>
      </c>
      <c r="AN112" s="39">
        <v>4.8504430000000098E-4</v>
      </c>
      <c r="AO112" s="39">
        <v>4.4871020000000002E-4</v>
      </c>
      <c r="AP112" s="39">
        <v>3.9304620000000303E-4</v>
      </c>
      <c r="AQ112" s="39">
        <v>3.1614020000000198E-4</v>
      </c>
      <c r="AR112" s="39">
        <v>1.91899300000006E-4</v>
      </c>
      <c r="AS112" s="39">
        <v>4.9271800000000303E-5</v>
      </c>
      <c r="AT112" s="39">
        <v>-2.04721800000001E-4</v>
      </c>
      <c r="AU112" s="39">
        <v>-5.2649259999999699E-4</v>
      </c>
      <c r="AV112" s="39">
        <v>-9.1527990000000298E-4</v>
      </c>
      <c r="AW112" s="39">
        <v>-1.4160612E-3</v>
      </c>
    </row>
    <row r="113" spans="2:50" x14ac:dyDescent="0.25">
      <c r="B113" t="s">
        <v>520</v>
      </c>
      <c r="C113">
        <v>0</v>
      </c>
      <c r="D113" s="39">
        <v>0</v>
      </c>
      <c r="E113" s="39">
        <v>0</v>
      </c>
      <c r="F113" s="39">
        <v>0</v>
      </c>
      <c r="G113" s="39">
        <v>0</v>
      </c>
      <c r="H113" s="39">
        <v>0</v>
      </c>
      <c r="I113" s="39">
        <v>0</v>
      </c>
      <c r="J113" s="39">
        <v>0</v>
      </c>
      <c r="K113" s="39">
        <v>0</v>
      </c>
      <c r="L113" s="39">
        <v>0</v>
      </c>
      <c r="M113" s="39">
        <v>0</v>
      </c>
      <c r="N113" s="39">
        <v>0</v>
      </c>
      <c r="O113" s="39">
        <v>0</v>
      </c>
      <c r="P113" s="39">
        <v>0</v>
      </c>
      <c r="Q113" s="39">
        <v>0</v>
      </c>
      <c r="R113" s="39">
        <v>0</v>
      </c>
      <c r="S113" s="39">
        <v>0</v>
      </c>
      <c r="T113">
        <v>0</v>
      </c>
      <c r="U113" s="39">
        <v>0</v>
      </c>
      <c r="V113">
        <v>0</v>
      </c>
      <c r="W113">
        <v>-0.11506732863431</v>
      </c>
      <c r="X113">
        <v>-0.21810877895407299</v>
      </c>
      <c r="Y113">
        <v>-0.32817473971153899</v>
      </c>
      <c r="Z113">
        <v>-0.44307829670031601</v>
      </c>
      <c r="AA113">
        <v>-0.56340718452854099</v>
      </c>
      <c r="AB113">
        <v>-0.69476420952234696</v>
      </c>
      <c r="AC113">
        <v>-0.832121577120981</v>
      </c>
      <c r="AD113">
        <v>-0.96896173990206302</v>
      </c>
      <c r="AE113">
        <v>-1.10716665349779</v>
      </c>
      <c r="AF113">
        <v>-1.24330911457049</v>
      </c>
      <c r="AG113">
        <v>-1.3733434262928499</v>
      </c>
      <c r="AH113">
        <v>-1.49368380399339</v>
      </c>
      <c r="AI113">
        <v>-1.6031989706885601</v>
      </c>
      <c r="AJ113">
        <v>-1.70359610898775</v>
      </c>
      <c r="AK113">
        <v>-1.7954395356571</v>
      </c>
      <c r="AL113">
        <v>-1.87783791893225</v>
      </c>
      <c r="AM113">
        <v>-1.95078301031319</v>
      </c>
      <c r="AN113">
        <v>-2.0118236654237101</v>
      </c>
      <c r="AO113">
        <v>-2.05986370611146</v>
      </c>
      <c r="AP113">
        <v>-2.0930926137736598</v>
      </c>
      <c r="AQ113">
        <v>-2.1112153683332302</v>
      </c>
      <c r="AR113">
        <v>-2.1038005427608901</v>
      </c>
      <c r="AS113">
        <v>-2.0737054872195202</v>
      </c>
      <c r="AT113">
        <v>-2.0252280846825901</v>
      </c>
      <c r="AU113">
        <v>-1.95761032013097</v>
      </c>
      <c r="AV113">
        <v>-1.86957384640507</v>
      </c>
      <c r="AW113">
        <v>-1.75510303395283</v>
      </c>
    </row>
    <row r="114" spans="2:50" x14ac:dyDescent="0.25">
      <c r="B114" t="s">
        <v>521</v>
      </c>
      <c r="C114" s="39">
        <v>0</v>
      </c>
      <c r="D114" s="39">
        <v>0</v>
      </c>
      <c r="E114" s="39">
        <v>0</v>
      </c>
      <c r="F114" s="39">
        <v>0</v>
      </c>
      <c r="G114" s="39">
        <v>0</v>
      </c>
      <c r="H114" s="39">
        <v>0</v>
      </c>
      <c r="I114" s="39">
        <v>0</v>
      </c>
      <c r="J114" s="39">
        <v>0</v>
      </c>
      <c r="K114" s="39">
        <v>0</v>
      </c>
      <c r="L114" s="39">
        <v>0</v>
      </c>
      <c r="M114" s="39">
        <v>0</v>
      </c>
      <c r="N114" s="39">
        <v>0</v>
      </c>
      <c r="O114" s="39">
        <v>0</v>
      </c>
      <c r="P114" s="39">
        <v>0</v>
      </c>
      <c r="Q114" s="39">
        <v>0</v>
      </c>
      <c r="R114" s="39">
        <v>0</v>
      </c>
      <c r="S114" s="39">
        <v>0</v>
      </c>
      <c r="T114" s="39">
        <v>0</v>
      </c>
      <c r="U114" s="39">
        <v>0</v>
      </c>
      <c r="V114" s="39">
        <v>0</v>
      </c>
      <c r="W114">
        <v>-7.4739399999995603E-3</v>
      </c>
      <c r="X114" s="39">
        <v>-5.4160149999999498E-2</v>
      </c>
      <c r="Y114">
        <v>-7.0541400000000101E-2</v>
      </c>
      <c r="Z114">
        <v>-7.3873619999999904E-2</v>
      </c>
      <c r="AA114">
        <v>-7.4528819999999898E-2</v>
      </c>
      <c r="AB114">
        <v>-8.1822609999999907E-2</v>
      </c>
      <c r="AC114">
        <v>-9.0308429999999495E-2</v>
      </c>
      <c r="AD114">
        <v>-9.1253310000000101E-2</v>
      </c>
      <c r="AE114">
        <v>-9.25884500000001E-2</v>
      </c>
      <c r="AF114">
        <v>-9.29171999999992E-2</v>
      </c>
      <c r="AG114">
        <v>-9.2760190000000506E-2</v>
      </c>
      <c r="AH114">
        <v>-9.1478470000000395E-2</v>
      </c>
      <c r="AI114">
        <v>-8.6469929999999307E-2</v>
      </c>
      <c r="AJ114">
        <v>-8.1273939999999795E-2</v>
      </c>
      <c r="AK114">
        <v>-7.6408179999999604E-2</v>
      </c>
      <c r="AL114">
        <v>-7.1498409999999596E-2</v>
      </c>
      <c r="AM114">
        <v>-6.7068729999999993E-2</v>
      </c>
      <c r="AN114">
        <v>-6.1500259999999703E-2</v>
      </c>
      <c r="AO114">
        <v>-5.5897359999999799E-2</v>
      </c>
      <c r="AP114">
        <v>-5.0699680000000601E-2</v>
      </c>
      <c r="AQ114">
        <v>-4.6393420000000102E-2</v>
      </c>
      <c r="AR114">
        <v>-4.4284670000001303E-2</v>
      </c>
      <c r="AS114">
        <v>-4.0201850000000303E-2</v>
      </c>
      <c r="AT114">
        <v>-4.2834549999999597E-2</v>
      </c>
      <c r="AU114">
        <v>-5.5382269999999699E-2</v>
      </c>
      <c r="AV114">
        <v>-7.9562619999999598E-2</v>
      </c>
      <c r="AW114">
        <v>-0.11616132999999799</v>
      </c>
    </row>
    <row r="115" spans="2:50" x14ac:dyDescent="0.25">
      <c r="B115" s="40" t="s">
        <v>486</v>
      </c>
      <c r="C115">
        <v>96.864644472622402</v>
      </c>
      <c r="D115">
        <v>98.419837671387299</v>
      </c>
      <c r="E115">
        <v>92.912420977055802</v>
      </c>
      <c r="F115">
        <v>93.305346741907002</v>
      </c>
      <c r="G115">
        <v>88.587562204046506</v>
      </c>
      <c r="H115">
        <v>84.293516925454099</v>
      </c>
      <c r="I115">
        <v>83.4987896239398</v>
      </c>
      <c r="J115">
        <v>81.265865831582801</v>
      </c>
      <c r="K115">
        <v>78.086637248242099</v>
      </c>
      <c r="L115">
        <v>76.112805925446196</v>
      </c>
      <c r="M115">
        <v>75.344053664595904</v>
      </c>
      <c r="N115">
        <v>75.233870073404802</v>
      </c>
      <c r="O115">
        <v>73.447152214935102</v>
      </c>
      <c r="P115">
        <v>71.652886985224796</v>
      </c>
      <c r="Q115">
        <v>69.040538149902005</v>
      </c>
      <c r="R115">
        <v>67.447353796140902</v>
      </c>
      <c r="S115">
        <v>65.892276705972805</v>
      </c>
      <c r="T115">
        <v>65.197095298475702</v>
      </c>
      <c r="U115">
        <v>64.450867190448903</v>
      </c>
      <c r="V115">
        <v>63.886747759808699</v>
      </c>
      <c r="W115">
        <v>63.250490571306301</v>
      </c>
      <c r="X115">
        <v>62.231483894802203</v>
      </c>
      <c r="Y115">
        <v>61.381899899032199</v>
      </c>
      <c r="Z115">
        <v>60.765711963936297</v>
      </c>
      <c r="AA115">
        <v>60.086739410022702</v>
      </c>
      <c r="AB115">
        <v>59.396365232694301</v>
      </c>
      <c r="AC115">
        <v>58.592659960486301</v>
      </c>
      <c r="AD115">
        <v>57.875158890375197</v>
      </c>
      <c r="AE115">
        <v>57.176731824813601</v>
      </c>
      <c r="AF115">
        <v>56.492030748550498</v>
      </c>
      <c r="AG115">
        <v>55.7885939964195</v>
      </c>
      <c r="AH115">
        <v>55.092981444612299</v>
      </c>
      <c r="AI115">
        <v>54.428216337958602</v>
      </c>
      <c r="AJ115">
        <v>53.774150335631298</v>
      </c>
      <c r="AK115">
        <v>53.119405896358202</v>
      </c>
      <c r="AL115">
        <v>52.473751194805601</v>
      </c>
      <c r="AM115">
        <v>51.834062046749303</v>
      </c>
      <c r="AN115">
        <v>51.108200474855501</v>
      </c>
      <c r="AO115">
        <v>50.381750924275302</v>
      </c>
      <c r="AP115">
        <v>49.640829230869201</v>
      </c>
      <c r="AQ115">
        <v>48.904326841754198</v>
      </c>
      <c r="AR115">
        <v>48.127238276821203</v>
      </c>
      <c r="AS115">
        <v>47.4660839662087</v>
      </c>
      <c r="AT115">
        <v>46.815523695219703</v>
      </c>
      <c r="AU115">
        <v>46.166945393815404</v>
      </c>
      <c r="AV115">
        <v>45.525788806636797</v>
      </c>
      <c r="AW115">
        <v>44.920935379272301</v>
      </c>
      <c r="AX115">
        <v>9.0244863402317499</v>
      </c>
    </row>
    <row r="116" spans="2:50" x14ac:dyDescent="0.25">
      <c r="B116" t="s">
        <v>522</v>
      </c>
      <c r="C116">
        <v>0</v>
      </c>
      <c r="D116" s="39">
        <v>0</v>
      </c>
      <c r="E116" s="39">
        <v>0</v>
      </c>
      <c r="F116" s="39">
        <v>0</v>
      </c>
      <c r="G116" s="39">
        <v>0</v>
      </c>
      <c r="H116" s="39">
        <v>0</v>
      </c>
      <c r="I116" s="39">
        <v>0</v>
      </c>
      <c r="J116" s="39">
        <v>0</v>
      </c>
      <c r="K116" s="39">
        <v>0</v>
      </c>
      <c r="L116" s="39">
        <v>0</v>
      </c>
      <c r="M116" s="39">
        <v>0</v>
      </c>
      <c r="N116" s="39">
        <v>0</v>
      </c>
      <c r="O116" s="39">
        <v>0</v>
      </c>
      <c r="P116" s="39">
        <v>0</v>
      </c>
      <c r="Q116" s="39">
        <v>0</v>
      </c>
      <c r="R116" s="39">
        <v>0</v>
      </c>
      <c r="S116" s="39">
        <v>0</v>
      </c>
      <c r="T116" s="39">
        <v>0</v>
      </c>
      <c r="U116" s="39">
        <v>0</v>
      </c>
      <c r="V116" s="39">
        <v>0</v>
      </c>
      <c r="W116">
        <v>0.125863792598535</v>
      </c>
      <c r="X116">
        <v>0.179539162758901</v>
      </c>
      <c r="Y116">
        <v>0.21175128378643199</v>
      </c>
      <c r="Z116">
        <v>0.238152926663737</v>
      </c>
      <c r="AA116">
        <v>0.26789850983990299</v>
      </c>
      <c r="AB116">
        <v>0.29576956954713302</v>
      </c>
      <c r="AC116">
        <v>0.31760960262205901</v>
      </c>
      <c r="AD116">
        <v>0.33823137143251802</v>
      </c>
      <c r="AE116">
        <v>0.357985133296368</v>
      </c>
      <c r="AF116">
        <v>0.37550400818389101</v>
      </c>
      <c r="AG116" s="39">
        <v>0.38845724002922699</v>
      </c>
      <c r="AH116" s="39">
        <v>0.39705373841485397</v>
      </c>
      <c r="AI116">
        <v>0.40221421690660403</v>
      </c>
      <c r="AJ116">
        <v>0.40614058640639999</v>
      </c>
      <c r="AK116">
        <v>0.409069904562953</v>
      </c>
      <c r="AL116" s="39">
        <v>0.41091413094416201</v>
      </c>
      <c r="AM116">
        <v>0.41125037391633801</v>
      </c>
      <c r="AN116">
        <v>0.40969448484451298</v>
      </c>
      <c r="AO116">
        <v>0.40791504185668798</v>
      </c>
      <c r="AP116">
        <v>0.40511993436957999</v>
      </c>
      <c r="AQ116">
        <v>0.40217431127302899</v>
      </c>
      <c r="AR116">
        <v>0.39612933701733599</v>
      </c>
      <c r="AS116">
        <v>0.38981716998738303</v>
      </c>
      <c r="AT116">
        <v>0.39078973206036999</v>
      </c>
      <c r="AU116">
        <v>0.399591694873424</v>
      </c>
      <c r="AV116">
        <v>0.41546543407446901</v>
      </c>
      <c r="AW116">
        <v>0.43983362383437302</v>
      </c>
    </row>
    <row r="117" spans="2:50" x14ac:dyDescent="0.25">
      <c r="B117" t="s">
        <v>523</v>
      </c>
      <c r="C117" s="39">
        <v>0</v>
      </c>
      <c r="D117" s="39">
        <v>0</v>
      </c>
      <c r="E117" s="39">
        <v>0</v>
      </c>
      <c r="F117" s="39">
        <v>0</v>
      </c>
      <c r="G117" s="39">
        <v>0</v>
      </c>
      <c r="H117" s="39">
        <v>0</v>
      </c>
      <c r="I117" s="39">
        <v>0</v>
      </c>
      <c r="J117" s="39">
        <v>0</v>
      </c>
      <c r="K117" s="39">
        <v>0</v>
      </c>
      <c r="L117" s="39">
        <v>0</v>
      </c>
      <c r="M117" s="39">
        <v>0</v>
      </c>
      <c r="N117" s="39">
        <v>0</v>
      </c>
      <c r="O117" s="39">
        <v>0</v>
      </c>
      <c r="P117" s="39">
        <v>0</v>
      </c>
      <c r="Q117" s="39">
        <v>0</v>
      </c>
      <c r="R117" s="39">
        <v>0</v>
      </c>
      <c r="S117" s="39">
        <v>0</v>
      </c>
      <c r="T117" s="39">
        <v>0</v>
      </c>
      <c r="U117" s="39">
        <v>0</v>
      </c>
      <c r="V117" s="39">
        <v>0</v>
      </c>
      <c r="W117" s="39">
        <v>6.8782907790287895E-2</v>
      </c>
      <c r="X117">
        <v>0.148348890572291</v>
      </c>
      <c r="Y117">
        <v>0.167836809642496</v>
      </c>
      <c r="Z117">
        <v>0.17848333968473101</v>
      </c>
      <c r="AA117">
        <v>0.198535938395139</v>
      </c>
      <c r="AB117">
        <v>0.21848858564430501</v>
      </c>
      <c r="AC117">
        <v>0.23822645918476401</v>
      </c>
      <c r="AD117">
        <v>0.253773416341873</v>
      </c>
      <c r="AE117">
        <v>0.27026511891217098</v>
      </c>
      <c r="AF117">
        <v>0.285119949898549</v>
      </c>
      <c r="AG117">
        <v>0.29372584988711598</v>
      </c>
      <c r="AH117">
        <v>0.307402074868945</v>
      </c>
      <c r="AI117">
        <v>0.30129117691166601</v>
      </c>
      <c r="AJ117">
        <v>0.29666591736943199</v>
      </c>
      <c r="AK117">
        <v>0.29270431258594498</v>
      </c>
      <c r="AL117">
        <v>0.28803662680478798</v>
      </c>
      <c r="AM117">
        <v>0.28121687654183403</v>
      </c>
      <c r="AN117">
        <v>0.27175596287982701</v>
      </c>
      <c r="AO117">
        <v>0.26288033305339398</v>
      </c>
      <c r="AP117">
        <v>0.25244023491099998</v>
      </c>
      <c r="AQ117">
        <v>0.240669127002446</v>
      </c>
      <c r="AR117">
        <v>0.24993446727366</v>
      </c>
      <c r="AS117">
        <v>0.21750741579196201</v>
      </c>
      <c r="AT117">
        <v>0.199090948496638</v>
      </c>
      <c r="AU117">
        <v>0.19163281936926899</v>
      </c>
      <c r="AV117">
        <v>0.189650407856123</v>
      </c>
      <c r="AW117">
        <v>0.192489307672949</v>
      </c>
    </row>
    <row r="118" spans="2:50" x14ac:dyDescent="0.25">
      <c r="B118" t="s">
        <v>524</v>
      </c>
      <c r="C118">
        <v>0</v>
      </c>
      <c r="D118" s="39">
        <v>0</v>
      </c>
      <c r="E118" s="39">
        <v>0</v>
      </c>
      <c r="F118" s="39">
        <v>0</v>
      </c>
      <c r="G118" s="39">
        <v>0</v>
      </c>
      <c r="H118" s="39">
        <v>0</v>
      </c>
      <c r="I118" s="39">
        <v>0</v>
      </c>
      <c r="J118" s="39">
        <v>0</v>
      </c>
      <c r="K118" s="39">
        <v>0</v>
      </c>
      <c r="L118" s="39">
        <v>0</v>
      </c>
      <c r="M118" s="39">
        <v>0</v>
      </c>
      <c r="N118" s="39">
        <v>0</v>
      </c>
      <c r="O118" s="39">
        <v>0</v>
      </c>
      <c r="P118" s="39">
        <v>0</v>
      </c>
      <c r="Q118" s="39">
        <v>0</v>
      </c>
      <c r="R118" s="39">
        <v>0</v>
      </c>
      <c r="S118" s="39">
        <v>0</v>
      </c>
      <c r="T118">
        <v>0</v>
      </c>
      <c r="U118">
        <v>0</v>
      </c>
      <c r="V118">
        <v>0</v>
      </c>
      <c r="W118">
        <v>1.0506319120779699</v>
      </c>
      <c r="X118">
        <v>1.1377281713421401</v>
      </c>
      <c r="Y118">
        <v>1.29326991720295</v>
      </c>
      <c r="Z118">
        <v>1.4169053872578901</v>
      </c>
      <c r="AA118">
        <v>1.5559405284086301</v>
      </c>
      <c r="AB118">
        <v>1.69896897118477</v>
      </c>
      <c r="AC118">
        <v>1.8045461195008701</v>
      </c>
      <c r="AD118">
        <v>1.9113117900276799</v>
      </c>
      <c r="AE118">
        <v>2.0260512419213401</v>
      </c>
      <c r="AF118">
        <v>2.1363406540850098</v>
      </c>
      <c r="AG118">
        <v>2.23685422060138</v>
      </c>
      <c r="AH118">
        <v>2.3114107480963102</v>
      </c>
      <c r="AI118">
        <v>2.3979014309188398</v>
      </c>
      <c r="AJ118">
        <v>2.48435282318002</v>
      </c>
      <c r="AK118">
        <v>2.56682606765286</v>
      </c>
      <c r="AL118">
        <v>2.6455926795981801</v>
      </c>
      <c r="AM118" s="39">
        <v>2.7200750555609301</v>
      </c>
      <c r="AN118">
        <v>2.8048565625877102</v>
      </c>
      <c r="AO118">
        <v>2.8746844132440299</v>
      </c>
      <c r="AP118">
        <v>2.9388140173112398</v>
      </c>
      <c r="AQ118">
        <v>3.0003250824126102</v>
      </c>
      <c r="AR118">
        <v>3.0121702499787002</v>
      </c>
      <c r="AS118">
        <v>3.0655577826398601</v>
      </c>
      <c r="AT118">
        <v>3.1372112255242799</v>
      </c>
      <c r="AU118">
        <v>3.2151678086005102</v>
      </c>
      <c r="AV118">
        <v>3.2990688442364502</v>
      </c>
      <c r="AW118" s="39">
        <v>3.3903124879095898</v>
      </c>
    </row>
    <row r="119" spans="2:50" x14ac:dyDescent="0.25">
      <c r="B119" t="s">
        <v>525</v>
      </c>
      <c r="C119" s="39">
        <v>0</v>
      </c>
      <c r="D119" s="39">
        <v>0</v>
      </c>
      <c r="E119" s="39">
        <v>0</v>
      </c>
      <c r="F119" s="39">
        <v>0</v>
      </c>
      <c r="G119" s="39">
        <v>0</v>
      </c>
      <c r="H119" s="39">
        <v>0</v>
      </c>
      <c r="I119" s="39">
        <v>0</v>
      </c>
      <c r="J119" s="39">
        <v>0</v>
      </c>
      <c r="K119" s="39">
        <v>0</v>
      </c>
      <c r="L119" s="39">
        <v>0</v>
      </c>
      <c r="M119" s="39">
        <v>0</v>
      </c>
      <c r="N119" s="39">
        <v>0</v>
      </c>
      <c r="O119" s="39">
        <v>0</v>
      </c>
      <c r="P119" s="39">
        <v>0</v>
      </c>
      <c r="Q119" s="39">
        <v>0</v>
      </c>
      <c r="R119" s="39">
        <v>0</v>
      </c>
      <c r="S119" s="39">
        <v>0</v>
      </c>
      <c r="T119" s="39">
        <v>0</v>
      </c>
      <c r="U119" s="39">
        <v>0</v>
      </c>
      <c r="V119" s="39">
        <v>0</v>
      </c>
      <c r="W119" s="39">
        <v>2.7679799801782999E-3</v>
      </c>
      <c r="X119" s="39">
        <v>2.8511557828236802E-3</v>
      </c>
      <c r="Y119">
        <v>-9.1169524072398601E-4</v>
      </c>
      <c r="Z119">
        <v>-8.8229238256465302E-3</v>
      </c>
      <c r="AA119">
        <v>-1.9988456762998201E-2</v>
      </c>
      <c r="AB119">
        <v>-3.4771133409150501E-2</v>
      </c>
      <c r="AC119">
        <v>-5.3381211995062697E-2</v>
      </c>
      <c r="AD119" s="39">
        <v>-7.5207338955773903E-2</v>
      </c>
      <c r="AE119" s="39">
        <v>-0.10005329281462801</v>
      </c>
      <c r="AF119" s="39">
        <v>-0.127444513103847</v>
      </c>
      <c r="AG119" s="39">
        <v>-0.15745313652012399</v>
      </c>
      <c r="AH119">
        <v>-0.18959453005951099</v>
      </c>
      <c r="AI119" s="39">
        <v>-0.22333438890076401</v>
      </c>
      <c r="AJ119" s="39">
        <v>-0.25845499676179201</v>
      </c>
      <c r="AK119" s="39">
        <v>-0.29445891398450702</v>
      </c>
      <c r="AL119" s="39">
        <v>-0.33094280978195301</v>
      </c>
      <c r="AM119" s="39">
        <v>-0.36758238920325798</v>
      </c>
      <c r="AN119" s="39">
        <v>-0.403649634921599</v>
      </c>
      <c r="AO119">
        <v>-0.43880528336611702</v>
      </c>
      <c r="AP119">
        <v>-0.47202881281835901</v>
      </c>
      <c r="AQ119">
        <v>-0.50237498312264395</v>
      </c>
      <c r="AR119">
        <v>-0.52817528998888497</v>
      </c>
      <c r="AS119">
        <v>-0.54742352015304496</v>
      </c>
      <c r="AT119">
        <v>-0.55774455364292397</v>
      </c>
      <c r="AU119">
        <v>-0.55583555060697498</v>
      </c>
      <c r="AV119">
        <v>-0.53839173640036697</v>
      </c>
      <c r="AW119">
        <v>-0.50060737955199797</v>
      </c>
    </row>
    <row r="120" spans="2:50" x14ac:dyDescent="0.25">
      <c r="B120" t="s">
        <v>526</v>
      </c>
      <c r="C120">
        <v>0</v>
      </c>
      <c r="D120" s="39">
        <v>0</v>
      </c>
      <c r="E120" s="39">
        <v>0</v>
      </c>
      <c r="F120" s="39">
        <v>0</v>
      </c>
      <c r="G120" s="39">
        <v>0</v>
      </c>
      <c r="H120" s="39">
        <v>0</v>
      </c>
      <c r="I120" s="39">
        <v>0</v>
      </c>
      <c r="J120" s="39">
        <v>0</v>
      </c>
      <c r="K120" s="39">
        <v>0</v>
      </c>
      <c r="L120" s="39">
        <v>0</v>
      </c>
      <c r="M120" s="39">
        <v>0</v>
      </c>
      <c r="N120" s="39">
        <v>0</v>
      </c>
      <c r="O120" s="39">
        <v>0</v>
      </c>
      <c r="P120" s="39">
        <v>0</v>
      </c>
      <c r="Q120" s="39">
        <v>0</v>
      </c>
      <c r="R120" s="39">
        <v>0</v>
      </c>
      <c r="S120" s="39">
        <v>0</v>
      </c>
      <c r="T120" s="39">
        <v>0</v>
      </c>
      <c r="U120">
        <v>0</v>
      </c>
      <c r="V120" s="39">
        <v>0</v>
      </c>
      <c r="W120" s="39">
        <v>0.243124574082309</v>
      </c>
      <c r="X120">
        <v>0.267459513160894</v>
      </c>
      <c r="Y120">
        <v>0.26353794648605799</v>
      </c>
      <c r="Z120">
        <v>0.25064048183096599</v>
      </c>
      <c r="AA120">
        <v>0.24618795525550499</v>
      </c>
      <c r="AB120">
        <v>0.24609235853136899</v>
      </c>
      <c r="AC120">
        <v>0.249746420865815</v>
      </c>
      <c r="AD120">
        <v>0.24119839889820099</v>
      </c>
      <c r="AE120">
        <v>0.23617397114013</v>
      </c>
      <c r="AF120">
        <v>0.23211037167008</v>
      </c>
      <c r="AG120">
        <v>0.223035897630952</v>
      </c>
      <c r="AH120">
        <v>0.22635108980646401</v>
      </c>
      <c r="AI120">
        <v>0.20929853305415799</v>
      </c>
      <c r="AJ120">
        <v>0.19503229593480501</v>
      </c>
      <c r="AK120">
        <v>0.181748687462501</v>
      </c>
      <c r="AL120">
        <v>0.16880671364680699</v>
      </c>
      <c r="AM120">
        <v>0.154829865480588</v>
      </c>
      <c r="AN120">
        <v>0.14182766597761101</v>
      </c>
      <c r="AO120">
        <v>0.13114048493882899</v>
      </c>
      <c r="AP120">
        <v>0.119994952792978</v>
      </c>
      <c r="AQ120">
        <v>0.108769761037153</v>
      </c>
      <c r="AR120">
        <v>0.13050253631039499</v>
      </c>
      <c r="AS120">
        <v>0.10105064082719301</v>
      </c>
      <c r="AT120">
        <v>8.9061880816121403E-2</v>
      </c>
      <c r="AU120">
        <v>8.7220494313244801E-2</v>
      </c>
      <c r="AV120">
        <v>9.1485595854545701E-2</v>
      </c>
      <c r="AW120">
        <v>0.101980942307622</v>
      </c>
    </row>
    <row r="121" spans="2:50" x14ac:dyDescent="0.25">
      <c r="B121" t="s">
        <v>527</v>
      </c>
      <c r="C121" s="39">
        <v>0</v>
      </c>
      <c r="D121" s="39">
        <v>0</v>
      </c>
      <c r="E121" s="39">
        <v>0</v>
      </c>
      <c r="F121" s="39">
        <v>0</v>
      </c>
      <c r="G121" s="39">
        <v>0</v>
      </c>
      <c r="H121" s="39">
        <v>0</v>
      </c>
      <c r="I121" s="39">
        <v>0</v>
      </c>
      <c r="J121" s="39">
        <v>0</v>
      </c>
      <c r="K121" s="39">
        <v>0</v>
      </c>
      <c r="L121" s="39">
        <v>0</v>
      </c>
      <c r="M121" s="39">
        <v>0</v>
      </c>
      <c r="N121" s="39">
        <v>0</v>
      </c>
      <c r="O121" s="39">
        <v>0</v>
      </c>
      <c r="P121" s="39">
        <v>0</v>
      </c>
      <c r="Q121" s="39">
        <v>0</v>
      </c>
      <c r="R121" s="39">
        <v>0</v>
      </c>
      <c r="S121" s="39">
        <v>0</v>
      </c>
      <c r="T121" s="39">
        <v>0</v>
      </c>
      <c r="U121" s="39">
        <v>0</v>
      </c>
      <c r="V121" s="39">
        <v>0</v>
      </c>
      <c r="W121" s="39">
        <v>-2.2919820000000202E-2</v>
      </c>
      <c r="X121">
        <v>-6.3320610000000499E-2</v>
      </c>
      <c r="Y121">
        <v>-7.7215800000000806E-2</v>
      </c>
      <c r="Z121">
        <v>-7.9483040000000102E-2</v>
      </c>
      <c r="AA121">
        <v>-8.3971990000000704E-2</v>
      </c>
      <c r="AB121">
        <v>-9.1865400000000402E-2</v>
      </c>
      <c r="AC121">
        <v>-9.8185579999999995E-2</v>
      </c>
      <c r="AD121" s="39">
        <v>-0.102695229999999</v>
      </c>
      <c r="AE121">
        <v>-0.10771024999999899</v>
      </c>
      <c r="AF121">
        <v>-0.11229076</v>
      </c>
      <c r="AG121">
        <v>-0.11573218</v>
      </c>
      <c r="AH121">
        <v>-0.11716987</v>
      </c>
      <c r="AI121">
        <v>-0.11673086000000001</v>
      </c>
      <c r="AJ121">
        <v>-0.11604543</v>
      </c>
      <c r="AK121" s="39">
        <v>-0.115264019999999</v>
      </c>
      <c r="AL121">
        <v>-0.1140626</v>
      </c>
      <c r="AM121" s="39">
        <v>-0.112348789999999</v>
      </c>
      <c r="AN121" s="39">
        <v>-0.11012382</v>
      </c>
      <c r="AO121">
        <v>-0.10766928000000001</v>
      </c>
      <c r="AP121">
        <v>-0.105188819999999</v>
      </c>
      <c r="AQ121">
        <v>-0.10268073</v>
      </c>
      <c r="AR121">
        <v>-9.9543089999999598E-2</v>
      </c>
      <c r="AS121" s="39">
        <v>-9.5461880000000096E-2</v>
      </c>
      <c r="AT121" s="39">
        <v>-9.4920760000000104E-2</v>
      </c>
      <c r="AU121">
        <v>-9.9666210000000297E-2</v>
      </c>
      <c r="AV121">
        <v>-0.10933714999999899</v>
      </c>
      <c r="AW121">
        <v>-0.12449424000000001</v>
      </c>
    </row>
    <row r="122" spans="2:50" x14ac:dyDescent="0.25">
      <c r="B122" t="s">
        <v>528</v>
      </c>
      <c r="C122" s="39">
        <v>0</v>
      </c>
      <c r="D122" s="39">
        <v>0</v>
      </c>
      <c r="E122" s="39">
        <v>0</v>
      </c>
      <c r="F122" s="39">
        <v>0</v>
      </c>
      <c r="G122" s="39">
        <v>0</v>
      </c>
      <c r="H122" s="39">
        <v>0</v>
      </c>
      <c r="I122" s="39">
        <v>0</v>
      </c>
      <c r="J122" s="39">
        <v>0</v>
      </c>
      <c r="K122" s="39">
        <v>0</v>
      </c>
      <c r="L122" s="39">
        <v>0</v>
      </c>
      <c r="M122" s="39">
        <v>0</v>
      </c>
      <c r="N122" s="39">
        <v>0</v>
      </c>
      <c r="O122" s="39">
        <v>0</v>
      </c>
      <c r="P122" s="39">
        <v>0</v>
      </c>
      <c r="Q122" s="39">
        <v>0</v>
      </c>
      <c r="R122" s="39">
        <v>0</v>
      </c>
      <c r="S122" s="39">
        <v>0</v>
      </c>
      <c r="T122" s="39">
        <v>0</v>
      </c>
      <c r="U122" s="39">
        <v>0</v>
      </c>
      <c r="V122" s="39">
        <v>0</v>
      </c>
      <c r="W122" s="39">
        <v>3.7341038269311698E-2</v>
      </c>
      <c r="X122">
        <v>0.102988853944241</v>
      </c>
      <c r="Y122">
        <v>0.12562157852480299</v>
      </c>
      <c r="Z122">
        <v>0.12926001807616</v>
      </c>
      <c r="AA122">
        <v>0.13680358466709999</v>
      </c>
      <c r="AB122">
        <v>0.14960831698511701</v>
      </c>
      <c r="AC122">
        <v>0.159696962794631</v>
      </c>
      <c r="AD122">
        <v>0.16675383316995199</v>
      </c>
      <c r="AE122">
        <v>0.174680343187927</v>
      </c>
      <c r="AF122">
        <v>0.18195537895588901</v>
      </c>
      <c r="AG122">
        <v>0.18786452588803701</v>
      </c>
      <c r="AH122">
        <v>0.19013823648428299</v>
      </c>
      <c r="AI122">
        <v>0.18915349007069199</v>
      </c>
      <c r="AJ122">
        <v>0.18783895609422099</v>
      </c>
      <c r="AK122">
        <v>0.18642983979799599</v>
      </c>
      <c r="AL122">
        <v>0.18441060975051801</v>
      </c>
      <c r="AM122">
        <v>0.18166394488190399</v>
      </c>
      <c r="AN122">
        <v>0.17817495108289799</v>
      </c>
      <c r="AO122">
        <v>0.174292046654134</v>
      </c>
      <c r="AP122">
        <v>0.17035611377054199</v>
      </c>
      <c r="AQ122">
        <v>0.16630445477476799</v>
      </c>
      <c r="AR122">
        <v>0.16122596087906299</v>
      </c>
      <c r="AS122">
        <v>0.154588876440198</v>
      </c>
      <c r="AT122">
        <v>0.15368771732846501</v>
      </c>
      <c r="AU122">
        <v>0.16136364494743199</v>
      </c>
      <c r="AV122">
        <v>0.177016594649193</v>
      </c>
      <c r="AW122">
        <v>0.201564686166011</v>
      </c>
    </row>
    <row r="123" spans="2:50" x14ac:dyDescent="0.25">
      <c r="B123" t="s">
        <v>529</v>
      </c>
      <c r="C123" s="39">
        <v>0</v>
      </c>
      <c r="D123" s="39">
        <v>0</v>
      </c>
      <c r="E123" s="39">
        <v>0</v>
      </c>
      <c r="F123" s="39">
        <v>0</v>
      </c>
      <c r="G123" s="39">
        <v>0</v>
      </c>
      <c r="H123" s="39">
        <v>0</v>
      </c>
      <c r="I123" s="39">
        <v>0</v>
      </c>
      <c r="J123" s="39">
        <v>0</v>
      </c>
      <c r="K123" s="39">
        <v>0</v>
      </c>
      <c r="L123" s="39">
        <v>0</v>
      </c>
      <c r="M123" s="39">
        <v>0</v>
      </c>
      <c r="N123" s="39">
        <v>0</v>
      </c>
      <c r="O123" s="39">
        <v>0</v>
      </c>
      <c r="P123" s="39">
        <v>0</v>
      </c>
      <c r="Q123" s="39">
        <v>0</v>
      </c>
      <c r="R123" s="39">
        <v>0</v>
      </c>
      <c r="S123" s="39">
        <v>0</v>
      </c>
      <c r="T123" s="39">
        <v>0</v>
      </c>
      <c r="U123" s="39">
        <v>0</v>
      </c>
      <c r="V123">
        <v>0</v>
      </c>
      <c r="W123" s="39">
        <v>5.7048545492888098E-2</v>
      </c>
      <c r="X123">
        <v>7.0037069783768197E-2</v>
      </c>
      <c r="Y123">
        <v>0.115553682918556</v>
      </c>
      <c r="Z123">
        <v>0.16394191598114699</v>
      </c>
      <c r="AA123">
        <v>0.20692444627967699</v>
      </c>
      <c r="AB123" s="39">
        <v>0.24010974564252499</v>
      </c>
      <c r="AC123">
        <v>0.26923757300381101</v>
      </c>
      <c r="AD123">
        <v>0.29920444291804399</v>
      </c>
      <c r="AE123">
        <v>0.32450721277155198</v>
      </c>
      <c r="AF123">
        <v>0.34721749054618101</v>
      </c>
      <c r="AG123">
        <v>0.365708598723824</v>
      </c>
      <c r="AH123">
        <v>0.380566738479926</v>
      </c>
      <c r="AI123">
        <v>0.39273029553545902</v>
      </c>
      <c r="AJ123">
        <v>0.40119213714431201</v>
      </c>
      <c r="AK123">
        <v>0.40650198116789499</v>
      </c>
      <c r="AL123">
        <v>0.40942204821585698</v>
      </c>
      <c r="AM123">
        <v>0.40995086762194399</v>
      </c>
      <c r="AN123">
        <v>0.40905206780987802</v>
      </c>
      <c r="AO123">
        <v>0.40796549041839297</v>
      </c>
      <c r="AP123">
        <v>0.40679577684561402</v>
      </c>
      <c r="AQ123">
        <v>0.40631394970491702</v>
      </c>
      <c r="AR123">
        <v>0.40483368687567101</v>
      </c>
      <c r="AS123">
        <v>0.40677800748623</v>
      </c>
      <c r="AT123">
        <v>0.41476821892161198</v>
      </c>
      <c r="AU123">
        <v>0.43010229303581599</v>
      </c>
      <c r="AV123">
        <v>0.45708820089169699</v>
      </c>
      <c r="AW123">
        <v>0.50169878237187304</v>
      </c>
    </row>
    <row r="124" spans="2:50" x14ac:dyDescent="0.25">
      <c r="B124" t="s">
        <v>530</v>
      </c>
      <c r="C124" s="39">
        <v>0</v>
      </c>
      <c r="D124" s="39">
        <v>0</v>
      </c>
      <c r="E124" s="39">
        <v>0</v>
      </c>
      <c r="F124" s="39">
        <v>0</v>
      </c>
      <c r="G124" s="39">
        <v>0</v>
      </c>
      <c r="H124" s="39">
        <v>0</v>
      </c>
      <c r="I124" s="39">
        <v>0</v>
      </c>
      <c r="J124" s="39">
        <v>0</v>
      </c>
      <c r="K124" s="39">
        <v>0</v>
      </c>
      <c r="L124" s="39">
        <v>0</v>
      </c>
      <c r="M124" s="39">
        <v>0</v>
      </c>
      <c r="N124" s="39">
        <v>0</v>
      </c>
      <c r="O124" s="39">
        <v>0</v>
      </c>
      <c r="P124" s="39">
        <v>0</v>
      </c>
      <c r="Q124" s="39">
        <v>0</v>
      </c>
      <c r="R124" s="39">
        <v>0</v>
      </c>
      <c r="S124" s="39">
        <v>0</v>
      </c>
      <c r="T124" s="39">
        <v>0</v>
      </c>
      <c r="U124" s="39">
        <v>0</v>
      </c>
      <c r="V124">
        <v>0</v>
      </c>
      <c r="W124" s="39">
        <v>-2.4662233085004301E-2</v>
      </c>
      <c r="X124">
        <v>-3.03492074592237E-2</v>
      </c>
      <c r="Y124">
        <v>-2.0635262691059902E-2</v>
      </c>
      <c r="Z124">
        <v>-8.1603979291688901E-4</v>
      </c>
      <c r="AA124">
        <v>2.19276646735489E-2</v>
      </c>
      <c r="AB124">
        <v>5.30763048443239E-2</v>
      </c>
      <c r="AC124">
        <v>9.2521012268864597E-2</v>
      </c>
      <c r="AD124">
        <v>0.13377400861356301</v>
      </c>
      <c r="AE124">
        <v>0.177577057949762</v>
      </c>
      <c r="AF124">
        <v>0.22336506998641401</v>
      </c>
      <c r="AG124">
        <v>0.27192216891589399</v>
      </c>
      <c r="AH124">
        <v>0.32265852852604299</v>
      </c>
      <c r="AI124">
        <v>0.37502834118052703</v>
      </c>
      <c r="AJ124">
        <v>0.42749801229413598</v>
      </c>
      <c r="AK124">
        <v>0.47949361863308598</v>
      </c>
      <c r="AL124">
        <v>0.53061087804990803</v>
      </c>
      <c r="AM124">
        <v>0.58062087246037997</v>
      </c>
      <c r="AN124">
        <v>0.62823385623422801</v>
      </c>
      <c r="AO124">
        <v>0.67232035987361205</v>
      </c>
      <c r="AP124">
        <v>0.71095981277959897</v>
      </c>
      <c r="AQ124">
        <v>0.74205980544998995</v>
      </c>
      <c r="AR124">
        <v>0.76094314812757902</v>
      </c>
      <c r="AS124">
        <v>0.76579449821874102</v>
      </c>
      <c r="AT124">
        <v>0.745636265368809</v>
      </c>
      <c r="AU124">
        <v>0.69379818427874795</v>
      </c>
      <c r="AV124">
        <v>0.60368677140865101</v>
      </c>
      <c r="AW124">
        <v>0.46436571946060201</v>
      </c>
    </row>
    <row r="125" spans="2:50" x14ac:dyDescent="0.25">
      <c r="B125" t="s">
        <v>531</v>
      </c>
      <c r="C125" s="39">
        <v>0</v>
      </c>
      <c r="D125" s="39">
        <v>0</v>
      </c>
      <c r="E125" s="39">
        <v>0</v>
      </c>
      <c r="F125" s="39">
        <v>0</v>
      </c>
      <c r="G125" s="39">
        <v>0</v>
      </c>
      <c r="H125" s="39">
        <v>0</v>
      </c>
      <c r="I125" s="39">
        <v>0</v>
      </c>
      <c r="J125" s="39">
        <v>0</v>
      </c>
      <c r="K125" s="39">
        <v>0</v>
      </c>
      <c r="L125" s="39">
        <v>0</v>
      </c>
      <c r="M125" s="39">
        <v>0</v>
      </c>
      <c r="N125" s="39">
        <v>0</v>
      </c>
      <c r="O125" s="39">
        <v>0</v>
      </c>
      <c r="P125" s="39">
        <v>0</v>
      </c>
      <c r="Q125" s="39">
        <v>0</v>
      </c>
      <c r="R125" s="39">
        <v>0</v>
      </c>
      <c r="S125" s="39">
        <v>0</v>
      </c>
      <c r="T125" s="39">
        <v>0</v>
      </c>
      <c r="U125" s="39">
        <v>0</v>
      </c>
      <c r="V125" s="39">
        <v>0</v>
      </c>
      <c r="W125">
        <v>-2.5206149999999702E-2</v>
      </c>
      <c r="X125">
        <v>-5.81051999999984E-3</v>
      </c>
      <c r="Y125">
        <v>9.9139499999997792E-3</v>
      </c>
      <c r="Z125">
        <v>2.0244670000000398E-2</v>
      </c>
      <c r="AA125">
        <v>2.3267389999999999E-2</v>
      </c>
      <c r="AB125">
        <v>3.1879909999999602E-2</v>
      </c>
      <c r="AC125">
        <v>4.0378160000000003E-2</v>
      </c>
      <c r="AD125">
        <v>4.2196749999999499E-2</v>
      </c>
      <c r="AE125">
        <v>4.4823759999999803E-2</v>
      </c>
      <c r="AF125">
        <v>4.6764259999999801E-2</v>
      </c>
      <c r="AG125">
        <v>4.96373600000002E-2</v>
      </c>
      <c r="AH125">
        <v>5.1884960000000202E-2</v>
      </c>
      <c r="AI125">
        <v>5.3482349999999602E-2</v>
      </c>
      <c r="AJ125">
        <v>5.3583799999999598E-2</v>
      </c>
      <c r="AK125">
        <v>5.3086869999999897E-2</v>
      </c>
      <c r="AL125">
        <v>5.2151019999999798E-2</v>
      </c>
      <c r="AM125">
        <v>5.0975060000000398E-2</v>
      </c>
      <c r="AN125">
        <v>4.8504430000000098E-2</v>
      </c>
      <c r="AO125" s="39">
        <v>4.4871019999999998E-2</v>
      </c>
      <c r="AP125" s="39">
        <v>3.9304620000000297E-2</v>
      </c>
      <c r="AQ125" s="39">
        <v>3.1614020000000201E-2</v>
      </c>
      <c r="AR125">
        <v>1.9189930000000601E-2</v>
      </c>
      <c r="AS125">
        <v>4.9271800000000301E-3</v>
      </c>
      <c r="AT125" s="39">
        <v>-2.04721800000001E-2</v>
      </c>
      <c r="AU125">
        <v>-5.2649259999999698E-2</v>
      </c>
      <c r="AV125">
        <v>-9.1527990000000295E-2</v>
      </c>
      <c r="AW125">
        <v>-0.14160612</v>
      </c>
    </row>
    <row r="126" spans="2:50" x14ac:dyDescent="0.25">
      <c r="B126" t="s">
        <v>532</v>
      </c>
      <c r="C126">
        <v>0</v>
      </c>
      <c r="D126" s="39">
        <v>0</v>
      </c>
      <c r="E126" s="39">
        <v>0</v>
      </c>
      <c r="F126" s="39">
        <v>0</v>
      </c>
      <c r="G126" s="39">
        <v>0</v>
      </c>
      <c r="H126" s="39">
        <v>0</v>
      </c>
      <c r="I126" s="39">
        <v>0</v>
      </c>
      <c r="J126" s="39">
        <v>0</v>
      </c>
      <c r="K126" s="39">
        <v>0</v>
      </c>
      <c r="L126" s="39">
        <v>0</v>
      </c>
      <c r="M126" s="39">
        <v>0</v>
      </c>
      <c r="N126" s="39">
        <v>0</v>
      </c>
      <c r="O126" s="39">
        <v>0</v>
      </c>
      <c r="P126" s="39">
        <v>0</v>
      </c>
      <c r="Q126" s="39">
        <v>0</v>
      </c>
      <c r="R126" s="39">
        <v>0</v>
      </c>
      <c r="S126" s="39">
        <v>0</v>
      </c>
      <c r="T126">
        <v>0</v>
      </c>
      <c r="U126" s="39">
        <v>0</v>
      </c>
      <c r="V126">
        <v>0</v>
      </c>
      <c r="W126">
        <v>-0.11506732863431</v>
      </c>
      <c r="X126">
        <v>-0.21810877895407299</v>
      </c>
      <c r="Y126">
        <v>-0.32817473971153899</v>
      </c>
      <c r="Z126">
        <v>-0.44307829670031601</v>
      </c>
      <c r="AA126">
        <v>-0.56340718452854099</v>
      </c>
      <c r="AB126">
        <v>-0.69476420952234696</v>
      </c>
      <c r="AC126">
        <v>-0.832121577120981</v>
      </c>
      <c r="AD126">
        <v>-0.96896173990206302</v>
      </c>
      <c r="AE126">
        <v>-1.10716665349779</v>
      </c>
      <c r="AF126">
        <v>-1.24330911457049</v>
      </c>
      <c r="AG126">
        <v>-1.3733434262928499</v>
      </c>
      <c r="AH126">
        <v>-1.49368380399339</v>
      </c>
      <c r="AI126">
        <v>-1.6031989706885601</v>
      </c>
      <c r="AJ126">
        <v>-1.70359610898775</v>
      </c>
      <c r="AK126">
        <v>-1.7954395356571</v>
      </c>
      <c r="AL126">
        <v>-1.87783791893225</v>
      </c>
      <c r="AM126">
        <v>-1.95078301031319</v>
      </c>
      <c r="AN126">
        <v>-2.0118236654237101</v>
      </c>
      <c r="AO126">
        <v>-2.05986370611146</v>
      </c>
      <c r="AP126">
        <v>-2.0930926137736598</v>
      </c>
      <c r="AQ126">
        <v>-2.1112153683332302</v>
      </c>
      <c r="AR126">
        <v>-2.1038005427608901</v>
      </c>
      <c r="AS126">
        <v>-2.0737054872195202</v>
      </c>
      <c r="AT126">
        <v>-2.0252280846825901</v>
      </c>
      <c r="AU126">
        <v>-1.95761032013097</v>
      </c>
      <c r="AV126">
        <v>-1.86957384640507</v>
      </c>
      <c r="AW126">
        <v>-1.75510303395283</v>
      </c>
    </row>
    <row r="127" spans="2:50" x14ac:dyDescent="0.25">
      <c r="B127" t="s">
        <v>533</v>
      </c>
      <c r="C127" s="39">
        <v>0</v>
      </c>
      <c r="D127" s="39">
        <v>0</v>
      </c>
      <c r="E127" s="39">
        <v>0</v>
      </c>
      <c r="F127" s="39">
        <v>0</v>
      </c>
      <c r="G127" s="39">
        <v>0</v>
      </c>
      <c r="H127" s="39">
        <v>0</v>
      </c>
      <c r="I127" s="39">
        <v>0</v>
      </c>
      <c r="J127" s="39">
        <v>0</v>
      </c>
      <c r="K127" s="39">
        <v>0</v>
      </c>
      <c r="L127" s="39">
        <v>0</v>
      </c>
      <c r="M127" s="39">
        <v>0</v>
      </c>
      <c r="N127" s="39">
        <v>0</v>
      </c>
      <c r="O127" s="39">
        <v>0</v>
      </c>
      <c r="P127" s="39">
        <v>0</v>
      </c>
      <c r="Q127" s="39">
        <v>0</v>
      </c>
      <c r="R127" s="39">
        <v>0</v>
      </c>
      <c r="S127" s="39">
        <v>0</v>
      </c>
      <c r="T127" s="39">
        <v>0</v>
      </c>
      <c r="U127" s="39">
        <v>0</v>
      </c>
      <c r="V127" s="39">
        <v>0</v>
      </c>
      <c r="W127">
        <v>-7.4739399999995603E-3</v>
      </c>
      <c r="X127" s="39">
        <v>-5.4160149999999498E-2</v>
      </c>
      <c r="Y127">
        <v>-7.0541400000000101E-2</v>
      </c>
      <c r="Z127">
        <v>-7.3873619999999904E-2</v>
      </c>
      <c r="AA127">
        <v>-7.4528819999999898E-2</v>
      </c>
      <c r="AB127">
        <v>-8.1822609999999907E-2</v>
      </c>
      <c r="AC127">
        <v>-9.0308429999999495E-2</v>
      </c>
      <c r="AD127">
        <v>-9.1253310000000101E-2</v>
      </c>
      <c r="AE127">
        <v>-9.25884500000001E-2</v>
      </c>
      <c r="AF127">
        <v>-9.29171999999992E-2</v>
      </c>
      <c r="AG127">
        <v>-9.2760190000000506E-2</v>
      </c>
      <c r="AH127">
        <v>-9.1478470000000395E-2</v>
      </c>
      <c r="AI127">
        <v>-8.6469929999999307E-2</v>
      </c>
      <c r="AJ127">
        <v>-8.1273939999999795E-2</v>
      </c>
      <c r="AK127">
        <v>-7.6408179999999604E-2</v>
      </c>
      <c r="AL127">
        <v>-7.1498409999999596E-2</v>
      </c>
      <c r="AM127">
        <v>-6.7068729999999993E-2</v>
      </c>
      <c r="AN127">
        <v>-6.1500259999999703E-2</v>
      </c>
      <c r="AO127">
        <v>-5.5897359999999799E-2</v>
      </c>
      <c r="AP127">
        <v>-5.0699680000000601E-2</v>
      </c>
      <c r="AQ127">
        <v>-4.6393420000000102E-2</v>
      </c>
      <c r="AR127">
        <v>-4.4284670000001303E-2</v>
      </c>
      <c r="AS127">
        <v>-4.0201850000000303E-2</v>
      </c>
      <c r="AT127">
        <v>-4.2834549999999597E-2</v>
      </c>
      <c r="AU127">
        <v>-5.5382269999999699E-2</v>
      </c>
      <c r="AV127">
        <v>-7.9562619999999598E-2</v>
      </c>
      <c r="AW127">
        <v>-0.11616132999999799</v>
      </c>
    </row>
    <row r="128" spans="2:50" x14ac:dyDescent="0.25">
      <c r="B128" t="s">
        <v>200</v>
      </c>
      <c r="C128">
        <v>97.671940213512102</v>
      </c>
      <c r="D128">
        <v>99.240094806524297</v>
      </c>
      <c r="E128">
        <v>100</v>
      </c>
      <c r="F128">
        <v>103.94385774895601</v>
      </c>
      <c r="G128">
        <v>104.293344883104</v>
      </c>
      <c r="H128">
        <v>100.65077911688201</v>
      </c>
      <c r="I128">
        <v>103.132407857974</v>
      </c>
      <c r="J128">
        <v>105.46788714783899</v>
      </c>
      <c r="K128">
        <v>106.12448209084999</v>
      </c>
      <c r="L128">
        <v>106.41571378223399</v>
      </c>
      <c r="M128">
        <v>107.549543088364</v>
      </c>
      <c r="N128">
        <v>108.588090864273</v>
      </c>
      <c r="O128">
        <v>110.08292459284201</v>
      </c>
      <c r="P128">
        <v>113.154823256879</v>
      </c>
      <c r="Q128">
        <v>115.716601334372</v>
      </c>
      <c r="R128">
        <v>118.18731612683401</v>
      </c>
      <c r="S128">
        <v>118.45743176691801</v>
      </c>
      <c r="T128">
        <v>120.414137207446</v>
      </c>
      <c r="U128">
        <v>121.716623853474</v>
      </c>
      <c r="V128">
        <v>123.62332942339999</v>
      </c>
      <c r="W128">
        <v>124.843646786432</v>
      </c>
      <c r="X128">
        <v>125.967263948179</v>
      </c>
      <c r="Y128">
        <v>126.688278942289</v>
      </c>
      <c r="Z128">
        <v>127.666046788489</v>
      </c>
      <c r="AA128">
        <v>128.42822421948699</v>
      </c>
      <c r="AB128">
        <v>129.119533479989</v>
      </c>
      <c r="AC128">
        <v>130.004109644051</v>
      </c>
      <c r="AD128">
        <v>130.93037906116999</v>
      </c>
      <c r="AE128">
        <v>131.717087563098</v>
      </c>
      <c r="AF128">
        <v>132.708099593491</v>
      </c>
      <c r="AG128">
        <v>133.65375872388</v>
      </c>
      <c r="AH128">
        <v>134.762789458973</v>
      </c>
      <c r="AI128">
        <v>136.10361252458301</v>
      </c>
      <c r="AJ128">
        <v>137.46491979452199</v>
      </c>
      <c r="AK128">
        <v>138.821726200803</v>
      </c>
      <c r="AL128">
        <v>140.26358888290699</v>
      </c>
      <c r="AM128">
        <v>141.80646272998001</v>
      </c>
      <c r="AN128">
        <v>143.36413549753701</v>
      </c>
      <c r="AO128">
        <v>145.14031579826499</v>
      </c>
      <c r="AP128">
        <v>146.982883266112</v>
      </c>
      <c r="AQ128">
        <v>148.91040391484799</v>
      </c>
      <c r="AR128">
        <v>150.898037779259</v>
      </c>
      <c r="AS128">
        <v>152.95421314899201</v>
      </c>
      <c r="AT128">
        <v>154.98199155519799</v>
      </c>
      <c r="AU128">
        <v>156.995052601954</v>
      </c>
      <c r="AV128">
        <v>159.04462526567801</v>
      </c>
      <c r="AW128">
        <v>161.22624948336801</v>
      </c>
      <c r="AX128">
        <v>178.52723229718001</v>
      </c>
    </row>
    <row r="129" spans="2:50" x14ac:dyDescent="0.25">
      <c r="B129" t="s">
        <v>534</v>
      </c>
      <c r="C129" s="39">
        <v>0</v>
      </c>
      <c r="D129" s="39">
        <v>0</v>
      </c>
      <c r="E129" s="39">
        <v>0</v>
      </c>
      <c r="F129" s="39">
        <v>0</v>
      </c>
      <c r="G129" s="39">
        <v>0</v>
      </c>
      <c r="H129" s="39">
        <v>0</v>
      </c>
      <c r="I129" s="39">
        <v>0</v>
      </c>
      <c r="J129" s="39">
        <v>0</v>
      </c>
      <c r="K129" s="39">
        <v>0</v>
      </c>
      <c r="L129" s="39">
        <v>0</v>
      </c>
      <c r="M129" s="39">
        <v>0</v>
      </c>
      <c r="N129" s="39">
        <v>0</v>
      </c>
      <c r="O129" s="39">
        <v>0</v>
      </c>
      <c r="P129" s="39">
        <v>0</v>
      </c>
      <c r="Q129" s="39">
        <v>0</v>
      </c>
      <c r="R129" s="39">
        <v>0</v>
      </c>
      <c r="S129" s="39">
        <v>0</v>
      </c>
      <c r="T129" s="39">
        <v>0</v>
      </c>
      <c r="U129" s="39">
        <v>0</v>
      </c>
      <c r="V129" s="39">
        <v>0</v>
      </c>
      <c r="W129">
        <v>-0.75927983140178201</v>
      </c>
      <c r="X129">
        <v>-1.6538096600655401</v>
      </c>
      <c r="Y129">
        <v>-2.56840517824994</v>
      </c>
      <c r="Z129">
        <v>-3.5014732652021801</v>
      </c>
      <c r="AA129">
        <v>-4.4400978916823997</v>
      </c>
      <c r="AB129">
        <v>-5.3664527042607002</v>
      </c>
      <c r="AC129">
        <v>-6.2869701890077598</v>
      </c>
      <c r="AD129">
        <v>-7.2246347931370396</v>
      </c>
      <c r="AE129">
        <v>-8.16569600122269</v>
      </c>
      <c r="AF129">
        <v>-9.1103892077198001</v>
      </c>
      <c r="AG129">
        <v>-10.0576102263561</v>
      </c>
      <c r="AH129">
        <v>-11.003167469052499</v>
      </c>
      <c r="AI129">
        <v>-11.9401727379276</v>
      </c>
      <c r="AJ129">
        <v>-12.879276560877299</v>
      </c>
      <c r="AK129">
        <v>-13.816308799338801</v>
      </c>
      <c r="AL129">
        <v>-14.750693778108699</v>
      </c>
      <c r="AM129">
        <v>-15.683310969358701</v>
      </c>
      <c r="AN129">
        <v>-16.599646237037302</v>
      </c>
      <c r="AO129">
        <v>-17.515045759625099</v>
      </c>
      <c r="AP129">
        <v>-18.428085913752</v>
      </c>
      <c r="AQ129">
        <v>-19.337040138507</v>
      </c>
      <c r="AR129">
        <v>-20.2416482035751</v>
      </c>
      <c r="AS129">
        <v>-21.141024676655299</v>
      </c>
      <c r="AT129">
        <v>-22.035139125291</v>
      </c>
      <c r="AU129">
        <v>-22.922245274639099</v>
      </c>
      <c r="AV129">
        <v>-23.800138329193999</v>
      </c>
      <c r="AW129">
        <v>-24.6611265937807</v>
      </c>
    </row>
    <row r="130" spans="2:50" x14ac:dyDescent="0.25">
      <c r="B130" t="s">
        <v>201</v>
      </c>
      <c r="C130">
        <v>104.25370844285899</v>
      </c>
      <c r="D130">
        <v>105.927535453727</v>
      </c>
      <c r="E130">
        <v>100</v>
      </c>
      <c r="F130">
        <v>100.422899070672</v>
      </c>
      <c r="G130">
        <v>95.345230780201803</v>
      </c>
      <c r="H130">
        <v>90.723625580986507</v>
      </c>
      <c r="I130">
        <v>89.868274602982694</v>
      </c>
      <c r="J130">
        <v>87.465018107375499</v>
      </c>
      <c r="K130">
        <v>84.043270455222796</v>
      </c>
      <c r="L130">
        <v>81.918870614986702</v>
      </c>
      <c r="M130">
        <v>81.091476115127506</v>
      </c>
      <c r="N130">
        <v>80.972887459237995</v>
      </c>
      <c r="O130">
        <v>79.049874540533693</v>
      </c>
      <c r="P130">
        <v>77.118738519276206</v>
      </c>
      <c r="Q130">
        <v>74.307113541849404</v>
      </c>
      <c r="R130">
        <v>72.592397320910095</v>
      </c>
      <c r="S130">
        <v>70.918695275677393</v>
      </c>
      <c r="T130">
        <v>70.170483787712001</v>
      </c>
      <c r="U130">
        <v>69.367331636277896</v>
      </c>
      <c r="V130">
        <v>68.760179842461795</v>
      </c>
      <c r="W130">
        <v>68.075387452153095</v>
      </c>
      <c r="X130">
        <v>66.978648538466004</v>
      </c>
      <c r="Y130">
        <v>66.064256267942994</v>
      </c>
      <c r="Z130">
        <v>65.401064061114099</v>
      </c>
      <c r="AA130">
        <v>64.670297876384893</v>
      </c>
      <c r="AB130">
        <v>63.9272603254648</v>
      </c>
      <c r="AC130">
        <v>63.062246515947997</v>
      </c>
      <c r="AD130">
        <v>62.290012768763297</v>
      </c>
      <c r="AE130">
        <v>61.538308036266798</v>
      </c>
      <c r="AF130">
        <v>60.801376343966801</v>
      </c>
      <c r="AG130">
        <v>60.044279774171599</v>
      </c>
      <c r="AH130">
        <v>59.295604253189303</v>
      </c>
      <c r="AI130">
        <v>58.580129293368998</v>
      </c>
      <c r="AJ130">
        <v>57.876169590834898</v>
      </c>
      <c r="AK130">
        <v>57.171479698581699</v>
      </c>
      <c r="AL130">
        <v>56.476572930721098</v>
      </c>
      <c r="AM130">
        <v>55.788086782874203</v>
      </c>
      <c r="AN130">
        <v>55.006854775075098</v>
      </c>
      <c r="AO130">
        <v>54.224989936185999</v>
      </c>
      <c r="AP130">
        <v>53.427548985218799</v>
      </c>
      <c r="AQ130">
        <v>52.634864453516798</v>
      </c>
      <c r="AR130">
        <v>51.798497736600801</v>
      </c>
      <c r="AS130">
        <v>51.0869090128759</v>
      </c>
      <c r="AT130">
        <v>50.386722467150598</v>
      </c>
      <c r="AU130">
        <v>49.688669080333298</v>
      </c>
      <c r="AV130">
        <v>48.998603553640201</v>
      </c>
      <c r="AW130">
        <v>48.347610477575699</v>
      </c>
      <c r="AX130">
        <v>9.0244863084901095</v>
      </c>
    </row>
    <row r="131" spans="2:50" x14ac:dyDescent="0.25">
      <c r="B131" t="s">
        <v>202</v>
      </c>
      <c r="C131">
        <v>651205.12405279896</v>
      </c>
      <c r="D131">
        <v>661660.432957732</v>
      </c>
      <c r="E131">
        <v>672283.60519999999</v>
      </c>
      <c r="F131">
        <v>690924.66559999995</v>
      </c>
      <c r="G131">
        <v>678581.71100000001</v>
      </c>
      <c r="H131">
        <v>619435.65870000003</v>
      </c>
      <c r="I131">
        <v>636180.69220000005</v>
      </c>
      <c r="J131">
        <v>653802.57869999995</v>
      </c>
      <c r="K131">
        <v>644454.95090000005</v>
      </c>
      <c r="L131">
        <v>636957.33299999998</v>
      </c>
      <c r="M131">
        <v>640329.71609999996</v>
      </c>
      <c r="N131">
        <v>649163.82010000001</v>
      </c>
      <c r="O131">
        <v>659683.12349999999</v>
      </c>
      <c r="P131">
        <v>687399.4203</v>
      </c>
      <c r="Q131">
        <v>700150.70160000003</v>
      </c>
      <c r="R131">
        <v>714944.25320000004</v>
      </c>
      <c r="S131">
        <v>711782.85569999996</v>
      </c>
      <c r="T131">
        <v>721668.91099999996</v>
      </c>
      <c r="U131">
        <v>728687.83039999998</v>
      </c>
      <c r="V131">
        <v>741733.65659999999</v>
      </c>
      <c r="W131">
        <v>739433.10320000001</v>
      </c>
      <c r="X131">
        <v>733645.7108</v>
      </c>
      <c r="Y131">
        <v>731726.60950000002</v>
      </c>
      <c r="Z131">
        <v>731190.63989999995</v>
      </c>
      <c r="AA131">
        <v>730402.90520000004</v>
      </c>
      <c r="AB131">
        <v>729931.43720000004</v>
      </c>
      <c r="AC131">
        <v>729302.02879999997</v>
      </c>
      <c r="AD131">
        <v>735331.36360000004</v>
      </c>
      <c r="AE131">
        <v>739643.80020000006</v>
      </c>
      <c r="AF131">
        <v>744639.82609999995</v>
      </c>
      <c r="AG131">
        <v>749481.37659999996</v>
      </c>
      <c r="AH131">
        <v>754206.47950000002</v>
      </c>
      <c r="AI131">
        <v>761843.2156</v>
      </c>
      <c r="AJ131">
        <v>769125.81449999998</v>
      </c>
      <c r="AK131">
        <v>776164.5845</v>
      </c>
      <c r="AL131">
        <v>783429.86010000005</v>
      </c>
      <c r="AM131">
        <v>790945.30920000002</v>
      </c>
      <c r="AN131">
        <v>798239.45499999996</v>
      </c>
      <c r="AO131">
        <v>806729.01639999996</v>
      </c>
      <c r="AP131">
        <v>815523.55409999995</v>
      </c>
      <c r="AQ131">
        <v>824738.78240000003</v>
      </c>
      <c r="AR131">
        <v>833552.33900000004</v>
      </c>
      <c r="AS131">
        <v>843657.21459999995</v>
      </c>
      <c r="AT131">
        <v>853440.96770000004</v>
      </c>
      <c r="AU131">
        <v>863154.72219999996</v>
      </c>
      <c r="AV131">
        <v>873045.37159999995</v>
      </c>
      <c r="AW131">
        <v>883492.72530000005</v>
      </c>
    </row>
    <row r="132" spans="2:50" x14ac:dyDescent="0.25">
      <c r="B132" t="s">
        <v>203</v>
      </c>
      <c r="C132">
        <v>11699515.674308199</v>
      </c>
      <c r="D132">
        <v>11887355.182774801</v>
      </c>
      <c r="E132">
        <v>12078210.52</v>
      </c>
      <c r="F132">
        <v>12394208.23</v>
      </c>
      <c r="G132">
        <v>12130936.02</v>
      </c>
      <c r="H132">
        <v>11018218.310000001</v>
      </c>
      <c r="I132">
        <v>11233802.220000001</v>
      </c>
      <c r="J132">
        <v>11656711.98</v>
      </c>
      <c r="K132">
        <v>11446952.24</v>
      </c>
      <c r="L132">
        <v>11263843.59</v>
      </c>
      <c r="M132">
        <v>11300821.92</v>
      </c>
      <c r="N132">
        <v>11409654.07</v>
      </c>
      <c r="O132">
        <v>11619492.98</v>
      </c>
      <c r="P132">
        <v>12136393.41</v>
      </c>
      <c r="Q132">
        <v>12362443.25</v>
      </c>
      <c r="R132">
        <v>12640256.91</v>
      </c>
      <c r="S132">
        <v>12352596.75</v>
      </c>
      <c r="T132">
        <v>12674784.34</v>
      </c>
      <c r="U132">
        <v>12744445.359999999</v>
      </c>
      <c r="V132">
        <v>13043508.6</v>
      </c>
      <c r="W132">
        <v>13016471.4</v>
      </c>
      <c r="X132">
        <v>12983023.199999999</v>
      </c>
      <c r="Y132">
        <v>12831416.050000001</v>
      </c>
      <c r="Z132">
        <v>12770509.439999999</v>
      </c>
      <c r="AA132">
        <v>12734550.859999999</v>
      </c>
      <c r="AB132">
        <v>12706133.210000001</v>
      </c>
      <c r="AC132">
        <v>12712648.76</v>
      </c>
      <c r="AD132">
        <v>12771248.66</v>
      </c>
      <c r="AE132">
        <v>12818473.380000001</v>
      </c>
      <c r="AF132">
        <v>12885914.800000001</v>
      </c>
      <c r="AG132">
        <v>12944518.6</v>
      </c>
      <c r="AH132">
        <v>13036322.35</v>
      </c>
      <c r="AI132">
        <v>13126396.41</v>
      </c>
      <c r="AJ132">
        <v>13205779.060000001</v>
      </c>
      <c r="AK132">
        <v>13298254.99</v>
      </c>
      <c r="AL132">
        <v>13394446.949999999</v>
      </c>
      <c r="AM132">
        <v>13491599.890000001</v>
      </c>
      <c r="AN132">
        <v>13562707.640000001</v>
      </c>
      <c r="AO132">
        <v>13653010.109999999</v>
      </c>
      <c r="AP132">
        <v>13743107.369999999</v>
      </c>
      <c r="AQ132">
        <v>13851345.51</v>
      </c>
      <c r="AR132">
        <v>13955774.48</v>
      </c>
      <c r="AS132">
        <v>14058826.789999999</v>
      </c>
      <c r="AT132">
        <v>14160525.67</v>
      </c>
      <c r="AU132">
        <v>14253811.48</v>
      </c>
      <c r="AV132">
        <v>14348645.310000001</v>
      </c>
      <c r="AW132">
        <v>14502320.08</v>
      </c>
    </row>
    <row r="133" spans="2:50" x14ac:dyDescent="0.25">
      <c r="B133" t="s">
        <v>204</v>
      </c>
      <c r="C133">
        <v>12350720.798361</v>
      </c>
      <c r="D133">
        <v>12549015.615732601</v>
      </c>
      <c r="E133">
        <v>12750494.119999999</v>
      </c>
      <c r="F133">
        <v>13085132.9</v>
      </c>
      <c r="G133">
        <v>12809517.73</v>
      </c>
      <c r="H133">
        <v>11637653.970000001</v>
      </c>
      <c r="I133">
        <v>11869982.91</v>
      </c>
      <c r="J133">
        <v>12310514.560000001</v>
      </c>
      <c r="K133">
        <v>12091407.189999999</v>
      </c>
      <c r="L133">
        <v>11900800.92</v>
      </c>
      <c r="M133">
        <v>11941151.640000001</v>
      </c>
      <c r="N133">
        <v>12058817.890000001</v>
      </c>
      <c r="O133">
        <v>12279176.1</v>
      </c>
      <c r="P133">
        <v>12823792.83</v>
      </c>
      <c r="Q133">
        <v>13062593.949999999</v>
      </c>
      <c r="R133">
        <v>13355201.16</v>
      </c>
      <c r="S133">
        <v>13064379.609999999</v>
      </c>
      <c r="T133">
        <v>13396453.25</v>
      </c>
      <c r="U133">
        <v>13473133.189999999</v>
      </c>
      <c r="V133">
        <v>13785242.26</v>
      </c>
      <c r="W133">
        <v>13755904.5</v>
      </c>
      <c r="X133">
        <v>13716668.91</v>
      </c>
      <c r="Y133">
        <v>13563142.65</v>
      </c>
      <c r="Z133">
        <v>13501700.08</v>
      </c>
      <c r="AA133">
        <v>13464953.77</v>
      </c>
      <c r="AB133">
        <v>13436064.65</v>
      </c>
      <c r="AC133">
        <v>13441950.789999999</v>
      </c>
      <c r="AD133">
        <v>13506580.02</v>
      </c>
      <c r="AE133">
        <v>13558117.18</v>
      </c>
      <c r="AF133">
        <v>13630554.619999999</v>
      </c>
      <c r="AG133">
        <v>13693999.970000001</v>
      </c>
      <c r="AH133">
        <v>13790528.83</v>
      </c>
      <c r="AI133">
        <v>13888239.619999999</v>
      </c>
      <c r="AJ133">
        <v>13974904.869999999</v>
      </c>
      <c r="AK133">
        <v>14074419.58</v>
      </c>
      <c r="AL133">
        <v>14177876.810000001</v>
      </c>
      <c r="AM133">
        <v>14282545.199999999</v>
      </c>
      <c r="AN133">
        <v>14360947.1</v>
      </c>
      <c r="AO133">
        <v>14459739.130000001</v>
      </c>
      <c r="AP133">
        <v>14558630.93</v>
      </c>
      <c r="AQ133">
        <v>14676084.300000001</v>
      </c>
      <c r="AR133">
        <v>14789326.82</v>
      </c>
      <c r="AS133">
        <v>14902484.01</v>
      </c>
      <c r="AT133">
        <v>15013966.640000001</v>
      </c>
      <c r="AU133">
        <v>15116966.199999999</v>
      </c>
      <c r="AV133">
        <v>15221690.689999999</v>
      </c>
      <c r="AW133">
        <v>15385812.800000001</v>
      </c>
    </row>
    <row r="134" spans="2:50" x14ac:dyDescent="0.25">
      <c r="B134" t="s">
        <v>205</v>
      </c>
      <c r="C134">
        <v>144913116.15770999</v>
      </c>
      <c r="D134">
        <v>147239743.11109701</v>
      </c>
      <c r="E134">
        <v>149603724.80000001</v>
      </c>
      <c r="F134">
        <v>149826865.69999999</v>
      </c>
      <c r="G134">
        <v>144565259.59999999</v>
      </c>
      <c r="H134">
        <v>144209774.90000001</v>
      </c>
      <c r="I134">
        <v>141812378.09999999</v>
      </c>
      <c r="J134">
        <v>138083160.30000001</v>
      </c>
      <c r="K134">
        <v>133861813.5</v>
      </c>
      <c r="L134">
        <v>130740296</v>
      </c>
      <c r="M134">
        <v>128452338.90000001</v>
      </c>
      <c r="N134">
        <v>126971619.3</v>
      </c>
      <c r="O134">
        <v>127030878.40000001</v>
      </c>
      <c r="P134">
        <v>125469012</v>
      </c>
      <c r="Q134">
        <v>122691018.7</v>
      </c>
      <c r="R134">
        <v>120922686.59999999</v>
      </c>
      <c r="S134">
        <v>119713364.09999999</v>
      </c>
      <c r="T134">
        <v>117184878</v>
      </c>
      <c r="U134">
        <v>114652439.7</v>
      </c>
      <c r="V134">
        <v>111858083.5</v>
      </c>
      <c r="W134">
        <v>109942364.90000001</v>
      </c>
      <c r="X134">
        <v>107062711.2</v>
      </c>
      <c r="Y134">
        <v>104650608.7</v>
      </c>
      <c r="Z134">
        <v>102859718.90000001</v>
      </c>
      <c r="AA134">
        <v>101019234.59999999</v>
      </c>
      <c r="AB134">
        <v>99222909.980000004</v>
      </c>
      <c r="AC134">
        <v>96823027.549999997</v>
      </c>
      <c r="AD134">
        <v>94775371.829999998</v>
      </c>
      <c r="AE134">
        <v>93000316.719999999</v>
      </c>
      <c r="AF134">
        <v>91175369.260000005</v>
      </c>
      <c r="AG134">
        <v>89296222.359999999</v>
      </c>
      <c r="AH134">
        <v>87365164.609999999</v>
      </c>
      <c r="AI134">
        <v>85304934.209999904</v>
      </c>
      <c r="AJ134">
        <v>83316291.900000006</v>
      </c>
      <c r="AK134">
        <v>81349218.219999999</v>
      </c>
      <c r="AL134">
        <v>79395170.480000004</v>
      </c>
      <c r="AM134">
        <v>77452657.219999999</v>
      </c>
      <c r="AN134">
        <v>75458033.090000004</v>
      </c>
      <c r="AO134">
        <v>73436364.459999904</v>
      </c>
      <c r="AP134">
        <v>71403864.219999999</v>
      </c>
      <c r="AQ134">
        <v>69382107.890000001</v>
      </c>
      <c r="AR134">
        <v>67223025.120000005</v>
      </c>
      <c r="AS134">
        <v>65138120.439999998</v>
      </c>
      <c r="AT134">
        <v>63089959.909999996</v>
      </c>
      <c r="AU134">
        <v>61067199.700000003</v>
      </c>
      <c r="AV134">
        <v>59065506.520000003</v>
      </c>
      <c r="AW134">
        <v>57094053.759999998</v>
      </c>
    </row>
    <row r="135" spans="2:50" x14ac:dyDescent="0.25">
      <c r="B135" t="s">
        <v>206</v>
      </c>
      <c r="C135">
        <v>1098851.8998263199</v>
      </c>
      <c r="D135">
        <v>1116494.32251175</v>
      </c>
      <c r="E135">
        <v>1134420</v>
      </c>
      <c r="F135">
        <v>1125145.9310000001</v>
      </c>
      <c r="G135">
        <v>1112721.0109999999</v>
      </c>
      <c r="H135">
        <v>1098672.0279999999</v>
      </c>
      <c r="I135">
        <v>1090790.7930000001</v>
      </c>
      <c r="J135">
        <v>1082095.5730000001</v>
      </c>
      <c r="K135">
        <v>1068190.449</v>
      </c>
      <c r="L135">
        <v>1049040.6059999999</v>
      </c>
      <c r="M135">
        <v>1030149.944</v>
      </c>
      <c r="N135">
        <v>1016077.061</v>
      </c>
      <c r="O135">
        <v>1011694.39</v>
      </c>
      <c r="P135">
        <v>1011695.12</v>
      </c>
      <c r="Q135">
        <v>1008891.598</v>
      </c>
      <c r="R135">
        <v>995011.88370000001</v>
      </c>
      <c r="S135">
        <v>977303.69900000002</v>
      </c>
      <c r="T135">
        <v>956114.72479999997</v>
      </c>
      <c r="U135">
        <v>935737.60679999995</v>
      </c>
      <c r="V135">
        <v>916561.20109999995</v>
      </c>
      <c r="W135">
        <v>903343.89859999996</v>
      </c>
      <c r="X135">
        <v>893826.59380000003</v>
      </c>
      <c r="Y135">
        <v>889127.01870000002</v>
      </c>
      <c r="Z135">
        <v>887660.39080000005</v>
      </c>
      <c r="AA135">
        <v>887175.33250000002</v>
      </c>
      <c r="AB135">
        <v>886474.16619999998</v>
      </c>
      <c r="AC135">
        <v>884963.22889999999</v>
      </c>
      <c r="AD135">
        <v>882440.16910000006</v>
      </c>
      <c r="AE135">
        <v>878835.35580000002</v>
      </c>
      <c r="AF135">
        <v>874244.23809999996</v>
      </c>
      <c r="AG135">
        <v>868758.38679999998</v>
      </c>
      <c r="AH135">
        <v>862475.30599999998</v>
      </c>
      <c r="AI135">
        <v>855462.1176</v>
      </c>
      <c r="AJ135">
        <v>847835.93019999994</v>
      </c>
      <c r="AK135">
        <v>839783.48840000003</v>
      </c>
      <c r="AL135">
        <v>831407.02930000005</v>
      </c>
      <c r="AM135">
        <v>822773.1287</v>
      </c>
      <c r="AN135">
        <v>813872.53170000005</v>
      </c>
      <c r="AO135">
        <v>804596.33840000001</v>
      </c>
      <c r="AP135">
        <v>794957.18640000001</v>
      </c>
      <c r="AQ135">
        <v>785016.52500000002</v>
      </c>
      <c r="AR135">
        <v>774813.91839999997</v>
      </c>
      <c r="AS135">
        <v>764388.64480000001</v>
      </c>
      <c r="AT135">
        <v>753725.29139999999</v>
      </c>
      <c r="AU135">
        <v>742836.23219999997</v>
      </c>
      <c r="AV135">
        <v>731741.04509999999</v>
      </c>
      <c r="AW135">
        <v>720597.25139999995</v>
      </c>
    </row>
    <row r="136" spans="2:50" x14ac:dyDescent="0.25">
      <c r="B136" t="s">
        <v>207</v>
      </c>
      <c r="C136">
        <v>1098851.8998263199</v>
      </c>
      <c r="D136">
        <v>1116494.32251175</v>
      </c>
      <c r="E136">
        <v>1134420</v>
      </c>
      <c r="F136">
        <v>1125145.9310000001</v>
      </c>
      <c r="G136">
        <v>1112721.0109999999</v>
      </c>
      <c r="H136">
        <v>1098672.0279999999</v>
      </c>
      <c r="I136">
        <v>1090790.7930000001</v>
      </c>
      <c r="J136">
        <v>1082095.5730000001</v>
      </c>
      <c r="K136">
        <v>1068190.449</v>
      </c>
      <c r="L136">
        <v>1049040.6059999999</v>
      </c>
      <c r="M136">
        <v>1030149.944</v>
      </c>
      <c r="N136">
        <v>1016077.061</v>
      </c>
      <c r="O136">
        <v>1011694.39</v>
      </c>
      <c r="P136">
        <v>1011695.12</v>
      </c>
      <c r="Q136">
        <v>1008891.598</v>
      </c>
      <c r="R136">
        <v>995011.88370000001</v>
      </c>
      <c r="S136">
        <v>977303.69900000002</v>
      </c>
      <c r="T136">
        <v>956114.72479999997</v>
      </c>
      <c r="U136">
        <v>935737.60679999995</v>
      </c>
      <c r="V136">
        <v>916561.20109999995</v>
      </c>
      <c r="W136">
        <v>903343.89859999996</v>
      </c>
      <c r="X136">
        <v>893826.59380000003</v>
      </c>
      <c r="Y136">
        <v>889127.01870000002</v>
      </c>
      <c r="Z136">
        <v>887660.39080000005</v>
      </c>
      <c r="AA136">
        <v>887175.33250000002</v>
      </c>
      <c r="AB136">
        <v>886474.16619999998</v>
      </c>
      <c r="AC136">
        <v>884963.22889999999</v>
      </c>
      <c r="AD136">
        <v>882440.16910000006</v>
      </c>
      <c r="AE136">
        <v>878835.35580000002</v>
      </c>
      <c r="AF136">
        <v>874244.23809999996</v>
      </c>
      <c r="AG136">
        <v>868758.38679999998</v>
      </c>
      <c r="AH136">
        <v>862475.30599999998</v>
      </c>
      <c r="AI136">
        <v>855462.1176</v>
      </c>
      <c r="AJ136">
        <v>847835.93019999994</v>
      </c>
      <c r="AK136">
        <v>839783.48840000003</v>
      </c>
      <c r="AL136">
        <v>831407.02930000005</v>
      </c>
      <c r="AM136">
        <v>822773.1287</v>
      </c>
      <c r="AN136">
        <v>813872.53170000005</v>
      </c>
      <c r="AO136">
        <v>804596.33840000001</v>
      </c>
      <c r="AP136">
        <v>794957.18640000001</v>
      </c>
      <c r="AQ136">
        <v>785016.52500000002</v>
      </c>
      <c r="AR136">
        <v>774813.91839999997</v>
      </c>
      <c r="AS136">
        <v>764388.64480000001</v>
      </c>
      <c r="AT136">
        <v>753725.29139999999</v>
      </c>
      <c r="AU136">
        <v>742836.23219999997</v>
      </c>
      <c r="AV136">
        <v>731741.04509999999</v>
      </c>
      <c r="AW136">
        <v>720597.25139999995</v>
      </c>
    </row>
    <row r="137" spans="2:50" x14ac:dyDescent="0.25">
      <c r="B137" t="s">
        <v>208</v>
      </c>
      <c r="C137">
        <v>105875266.531468</v>
      </c>
      <c r="D137">
        <v>107575128.18195701</v>
      </c>
      <c r="E137">
        <v>109302281.7</v>
      </c>
      <c r="F137">
        <v>110416228.7</v>
      </c>
      <c r="G137">
        <v>106482012.2</v>
      </c>
      <c r="H137">
        <v>107241766.2</v>
      </c>
      <c r="I137">
        <v>105216992.5</v>
      </c>
      <c r="J137">
        <v>102545326.59999999</v>
      </c>
      <c r="K137">
        <v>100004696</v>
      </c>
      <c r="L137">
        <v>98299785.609999999</v>
      </c>
      <c r="M137">
        <v>96990316.180000007</v>
      </c>
      <c r="N137">
        <v>96205544.319999903</v>
      </c>
      <c r="O137">
        <v>95797513.890000001</v>
      </c>
      <c r="P137">
        <v>94203192.260000005</v>
      </c>
      <c r="Q137">
        <v>92283653.290000007</v>
      </c>
      <c r="R137">
        <v>91174438.180000007</v>
      </c>
      <c r="S137">
        <v>90492448.719999999</v>
      </c>
      <c r="T137">
        <v>89748344.349999994</v>
      </c>
      <c r="U137">
        <v>88589724.549999997</v>
      </c>
      <c r="V137">
        <v>87154332.859999999</v>
      </c>
      <c r="W137">
        <v>85424405.799999997</v>
      </c>
      <c r="X137">
        <v>82893276.969999999</v>
      </c>
      <c r="Y137">
        <v>80827557.700000003</v>
      </c>
      <c r="Z137">
        <v>79265092.980000004</v>
      </c>
      <c r="AA137">
        <v>77764078.469999999</v>
      </c>
      <c r="AB137">
        <v>76283428.370000005</v>
      </c>
      <c r="AC137">
        <v>74231806.879999995</v>
      </c>
      <c r="AD137">
        <v>72552580.280000001</v>
      </c>
      <c r="AE137">
        <v>71197469.75</v>
      </c>
      <c r="AF137">
        <v>69803019.859999999</v>
      </c>
      <c r="AG137">
        <v>68395753.129999995</v>
      </c>
      <c r="AH137">
        <v>66954103.729999997</v>
      </c>
      <c r="AI137">
        <v>65420284.490000002</v>
      </c>
      <c r="AJ137">
        <v>63960601.609999999</v>
      </c>
      <c r="AK137">
        <v>62529332.039999999</v>
      </c>
      <c r="AL137">
        <v>61116103.539999999</v>
      </c>
      <c r="AM137">
        <v>59717724.729999997</v>
      </c>
      <c r="AN137">
        <v>58269236.079999998</v>
      </c>
      <c r="AO137">
        <v>56795950.609999999</v>
      </c>
      <c r="AP137">
        <v>55319150.200000003</v>
      </c>
      <c r="AQ137">
        <v>53852435.670000002</v>
      </c>
      <c r="AR137">
        <v>52257659.460000001</v>
      </c>
      <c r="AS137">
        <v>50720634.579999998</v>
      </c>
      <c r="AT137">
        <v>49221570.590000004</v>
      </c>
      <c r="AU137">
        <v>47751093.490000002</v>
      </c>
      <c r="AV137">
        <v>46304523.079999998</v>
      </c>
      <c r="AW137">
        <v>44887177.960000001</v>
      </c>
    </row>
    <row r="138" spans="2:50" x14ac:dyDescent="0.25">
      <c r="B138" t="s">
        <v>209</v>
      </c>
      <c r="C138">
        <v>105875266.531468</v>
      </c>
      <c r="D138">
        <v>107575128.18195701</v>
      </c>
      <c r="E138">
        <v>109302281.7</v>
      </c>
      <c r="F138">
        <v>110416228.7</v>
      </c>
      <c r="G138">
        <v>106482012.2</v>
      </c>
      <c r="H138">
        <v>107241766.2</v>
      </c>
      <c r="I138">
        <v>105216992.5</v>
      </c>
      <c r="J138">
        <v>102545326.59999999</v>
      </c>
      <c r="K138">
        <v>100004696</v>
      </c>
      <c r="L138">
        <v>98299785.609999999</v>
      </c>
      <c r="M138">
        <v>96990316.180000007</v>
      </c>
      <c r="N138">
        <v>96205544.319999903</v>
      </c>
      <c r="O138">
        <v>95797513.890000001</v>
      </c>
      <c r="P138">
        <v>94203192.260000005</v>
      </c>
      <c r="Q138">
        <v>92283653.290000007</v>
      </c>
      <c r="R138">
        <v>91174438.180000007</v>
      </c>
      <c r="S138">
        <v>90492448.719999999</v>
      </c>
      <c r="T138">
        <v>89748344.349999994</v>
      </c>
      <c r="U138">
        <v>88589724.549999997</v>
      </c>
      <c r="V138">
        <v>87154332.859999999</v>
      </c>
      <c r="W138">
        <v>85424405.799999997</v>
      </c>
      <c r="X138">
        <v>82893276.969999999</v>
      </c>
      <c r="Y138">
        <v>80827557.700000003</v>
      </c>
      <c r="Z138">
        <v>79265092.980000004</v>
      </c>
      <c r="AA138">
        <v>77764078.469999999</v>
      </c>
      <c r="AB138">
        <v>76283428.370000005</v>
      </c>
      <c r="AC138">
        <v>74231806.879999995</v>
      </c>
      <c r="AD138">
        <v>72552580.280000001</v>
      </c>
      <c r="AE138">
        <v>71197469.75</v>
      </c>
      <c r="AF138">
        <v>69803019.859999999</v>
      </c>
      <c r="AG138">
        <v>68395753.129999995</v>
      </c>
      <c r="AH138">
        <v>66954103.729999997</v>
      </c>
      <c r="AI138">
        <v>65420284.490000002</v>
      </c>
      <c r="AJ138">
        <v>63960601.609999999</v>
      </c>
      <c r="AK138">
        <v>62529332.039999999</v>
      </c>
      <c r="AL138">
        <v>61116103.539999999</v>
      </c>
      <c r="AM138">
        <v>59717724.729999997</v>
      </c>
      <c r="AN138">
        <v>58269236.079999998</v>
      </c>
      <c r="AO138">
        <v>56795950.609999999</v>
      </c>
      <c r="AP138">
        <v>55319150.200000003</v>
      </c>
      <c r="AQ138">
        <v>53852435.670000002</v>
      </c>
      <c r="AR138">
        <v>52257659.460000001</v>
      </c>
      <c r="AS138">
        <v>50720634.579999998</v>
      </c>
      <c r="AT138">
        <v>49221570.590000004</v>
      </c>
      <c r="AU138">
        <v>47751093.490000002</v>
      </c>
      <c r="AV138">
        <v>46304523.079999998</v>
      </c>
      <c r="AW138">
        <v>44887177.960000001</v>
      </c>
    </row>
    <row r="139" spans="2:50" x14ac:dyDescent="0.25">
      <c r="B139" t="s">
        <v>210</v>
      </c>
      <c r="C139">
        <v>37938997.726415001</v>
      </c>
      <c r="D139">
        <v>38548120.6066292</v>
      </c>
      <c r="E139">
        <v>39167023.149999999</v>
      </c>
      <c r="F139">
        <v>38285491.020000003</v>
      </c>
      <c r="G139">
        <v>36970526.390000001</v>
      </c>
      <c r="H139">
        <v>35869336.719999999</v>
      </c>
      <c r="I139">
        <v>35504594.829999998</v>
      </c>
      <c r="J139">
        <v>34455738.090000004</v>
      </c>
      <c r="K139">
        <v>32788926.989999998</v>
      </c>
      <c r="L139">
        <v>31391469.75</v>
      </c>
      <c r="M139">
        <v>30431872.73</v>
      </c>
      <c r="N139">
        <v>29749997.969999999</v>
      </c>
      <c r="O139">
        <v>30221670.079999998</v>
      </c>
      <c r="P139">
        <v>30254124.649999999</v>
      </c>
      <c r="Q139">
        <v>29398473.859999999</v>
      </c>
      <c r="R139">
        <v>28753236.550000001</v>
      </c>
      <c r="S139">
        <v>28243611.690000001</v>
      </c>
      <c r="T139">
        <v>26480418.879999999</v>
      </c>
      <c r="U139">
        <v>25126977.52</v>
      </c>
      <c r="V139">
        <v>23787189.420000002</v>
      </c>
      <c r="W139">
        <v>23614615.23</v>
      </c>
      <c r="X139">
        <v>23275607.59</v>
      </c>
      <c r="Y139">
        <v>22933923.989999998</v>
      </c>
      <c r="Z139">
        <v>22706965.57</v>
      </c>
      <c r="AA139">
        <v>22367980.760000002</v>
      </c>
      <c r="AB139">
        <v>22053007.449999999</v>
      </c>
      <c r="AC139">
        <v>21706257.449999999</v>
      </c>
      <c r="AD139">
        <v>21340351.379999999</v>
      </c>
      <c r="AE139">
        <v>20924011.620000001</v>
      </c>
      <c r="AF139">
        <v>20498105.170000002</v>
      </c>
      <c r="AG139">
        <v>20031710.850000001</v>
      </c>
      <c r="AH139">
        <v>19548585.57</v>
      </c>
      <c r="AI139">
        <v>19029187.600000001</v>
      </c>
      <c r="AJ139">
        <v>18507854.370000001</v>
      </c>
      <c r="AK139">
        <v>17980102.699999999</v>
      </c>
      <c r="AL139">
        <v>17447659.899999999</v>
      </c>
      <c r="AM139">
        <v>16912159.359999999</v>
      </c>
      <c r="AN139">
        <v>16374924.470000001</v>
      </c>
      <c r="AO139">
        <v>15835817.51</v>
      </c>
      <c r="AP139">
        <v>15289756.84</v>
      </c>
      <c r="AQ139">
        <v>14744655.699999999</v>
      </c>
      <c r="AR139">
        <v>14190551.74</v>
      </c>
      <c r="AS139">
        <v>13653097.220000001</v>
      </c>
      <c r="AT139">
        <v>13114664.029999999</v>
      </c>
      <c r="AU139">
        <v>12573269.98</v>
      </c>
      <c r="AV139">
        <v>12029242.390000001</v>
      </c>
      <c r="AW139">
        <v>11486278.560000001</v>
      </c>
    </row>
    <row r="140" spans="2:50" x14ac:dyDescent="0.25">
      <c r="B140" t="s">
        <v>211</v>
      </c>
      <c r="C140">
        <v>37938997.726415001</v>
      </c>
      <c r="D140">
        <v>38548120.6066292</v>
      </c>
      <c r="E140">
        <v>39167023.149999999</v>
      </c>
      <c r="F140">
        <v>38285491.020000003</v>
      </c>
      <c r="G140">
        <v>36970526.390000001</v>
      </c>
      <c r="H140">
        <v>35869336.719999999</v>
      </c>
      <c r="I140">
        <v>35504594.829999998</v>
      </c>
      <c r="J140">
        <v>34455738.090000004</v>
      </c>
      <c r="K140">
        <v>32788926.989999998</v>
      </c>
      <c r="L140">
        <v>31391469.75</v>
      </c>
      <c r="M140">
        <v>30431872.73</v>
      </c>
      <c r="N140">
        <v>29749997.969999999</v>
      </c>
      <c r="O140">
        <v>30221670.079999998</v>
      </c>
      <c r="P140">
        <v>30254124.649999999</v>
      </c>
      <c r="Q140">
        <v>29398473.859999999</v>
      </c>
      <c r="R140">
        <v>28753236.550000001</v>
      </c>
      <c r="S140">
        <v>28243611.690000001</v>
      </c>
      <c r="T140">
        <v>26480418.879999999</v>
      </c>
      <c r="U140">
        <v>25126977.52</v>
      </c>
      <c r="V140">
        <v>23787189.420000002</v>
      </c>
      <c r="W140">
        <v>23614615.23</v>
      </c>
      <c r="X140">
        <v>23275607.59</v>
      </c>
      <c r="Y140">
        <v>22933923.989999998</v>
      </c>
      <c r="Z140">
        <v>22706965.57</v>
      </c>
      <c r="AA140">
        <v>22367980.760000002</v>
      </c>
      <c r="AB140">
        <v>22053007.449999999</v>
      </c>
      <c r="AC140">
        <v>21706257.449999999</v>
      </c>
      <c r="AD140">
        <v>21340351.379999999</v>
      </c>
      <c r="AE140">
        <v>20924011.620000001</v>
      </c>
      <c r="AF140">
        <v>20498105.170000002</v>
      </c>
      <c r="AG140">
        <v>20031710.850000001</v>
      </c>
      <c r="AH140">
        <v>19548585.57</v>
      </c>
      <c r="AI140">
        <v>19029187.600000001</v>
      </c>
      <c r="AJ140">
        <v>18507854.370000001</v>
      </c>
      <c r="AK140">
        <v>17980102.699999999</v>
      </c>
      <c r="AL140">
        <v>17447659.899999999</v>
      </c>
      <c r="AM140">
        <v>16912159.359999999</v>
      </c>
      <c r="AN140">
        <v>16374924.470000001</v>
      </c>
      <c r="AO140">
        <v>15835817.51</v>
      </c>
      <c r="AP140">
        <v>15289756.84</v>
      </c>
      <c r="AQ140">
        <v>14744655.699999999</v>
      </c>
      <c r="AR140">
        <v>14190551.74</v>
      </c>
      <c r="AS140">
        <v>13653097.220000001</v>
      </c>
      <c r="AT140">
        <v>13114664.029999999</v>
      </c>
      <c r="AU140">
        <v>12573269.98</v>
      </c>
      <c r="AV140">
        <v>12029242.390000001</v>
      </c>
      <c r="AW140">
        <v>11486278.560000001</v>
      </c>
    </row>
    <row r="141" spans="2:50" x14ac:dyDescent="0.25">
      <c r="B141" t="s">
        <v>212</v>
      </c>
      <c r="C141">
        <v>7249974.6999914004</v>
      </c>
      <c r="D141">
        <v>7366375.3888705196</v>
      </c>
      <c r="E141">
        <v>6262275.8710000003</v>
      </c>
      <c r="F141">
        <v>6465559.5120000001</v>
      </c>
      <c r="G141">
        <v>6124129.7300000004</v>
      </c>
      <c r="H141">
        <v>6432868.4800000004</v>
      </c>
      <c r="I141">
        <v>6668795.108</v>
      </c>
      <c r="J141">
        <v>6259483.2819999997</v>
      </c>
      <c r="K141">
        <v>5973373.2989999996</v>
      </c>
      <c r="L141">
        <v>5798765.8789999997</v>
      </c>
      <c r="M141">
        <v>6197529.5530000003</v>
      </c>
      <c r="N141">
        <v>6592710.7300000004</v>
      </c>
      <c r="O141">
        <v>6839339.4919999996</v>
      </c>
      <c r="P141">
        <v>6872114.8130000001</v>
      </c>
      <c r="Q141">
        <v>6361986.5089999996</v>
      </c>
      <c r="R141">
        <v>6290788.6969999997</v>
      </c>
      <c r="S141">
        <v>6327906.591</v>
      </c>
      <c r="T141">
        <v>6442376.5810000002</v>
      </c>
      <c r="U141">
        <v>6544522.3789999997</v>
      </c>
      <c r="V141">
        <v>6705188.608</v>
      </c>
      <c r="W141">
        <v>6813984.824</v>
      </c>
      <c r="X141">
        <v>6954518.8799999999</v>
      </c>
      <c r="Y141">
        <v>7030446.9560000002</v>
      </c>
      <c r="Z141">
        <v>7073852.824</v>
      </c>
      <c r="AA141">
        <v>7095258.2920000004</v>
      </c>
      <c r="AB141">
        <v>7109277.9349999996</v>
      </c>
      <c r="AC141">
        <v>7155992.4210000001</v>
      </c>
      <c r="AD141">
        <v>7145251.4560000002</v>
      </c>
      <c r="AE141">
        <v>7148005.8660000004</v>
      </c>
      <c r="AF141">
        <v>7154596.2779999999</v>
      </c>
      <c r="AG141">
        <v>7164938.5630000001</v>
      </c>
      <c r="AH141">
        <v>7194128.9069999997</v>
      </c>
      <c r="AI141">
        <v>7205134.6500000004</v>
      </c>
      <c r="AJ141">
        <v>7229799.0010000002</v>
      </c>
      <c r="AK141">
        <v>7252065.0630000001</v>
      </c>
      <c r="AL141">
        <v>7277485.8269999996</v>
      </c>
      <c r="AM141">
        <v>7304540.2589999996</v>
      </c>
      <c r="AN141">
        <v>7334777.9610000001</v>
      </c>
      <c r="AO141">
        <v>7367477.5970000001</v>
      </c>
      <c r="AP141">
        <v>7398839.3480000002</v>
      </c>
      <c r="AQ141">
        <v>7429328.7759999996</v>
      </c>
      <c r="AR141">
        <v>7470553.9720000001</v>
      </c>
      <c r="AS141">
        <v>7482142.5820000004</v>
      </c>
      <c r="AT141">
        <v>7494065.4359999998</v>
      </c>
      <c r="AU141">
        <v>7506723.4550000001</v>
      </c>
      <c r="AV141">
        <v>7521732.767</v>
      </c>
      <c r="AW141">
        <v>7540616.2740000002</v>
      </c>
    </row>
    <row r="142" spans="2:50" x14ac:dyDescent="0.25">
      <c r="B142" t="s">
        <v>213</v>
      </c>
      <c r="C142">
        <v>11428306.3019633</v>
      </c>
      <c r="D142">
        <v>11611791.4562317</v>
      </c>
      <c r="E142">
        <v>9982935.9829999898</v>
      </c>
      <c r="F142">
        <v>10143105.699999999</v>
      </c>
      <c r="G142">
        <v>9532236.7449999899</v>
      </c>
      <c r="H142">
        <v>9670185.4600000009</v>
      </c>
      <c r="I142">
        <v>9465004.3619999997</v>
      </c>
      <c r="J142">
        <v>9138485.4000000004</v>
      </c>
      <c r="K142">
        <v>8527897.7870000005</v>
      </c>
      <c r="L142">
        <v>8287850.5319999997</v>
      </c>
      <c r="M142">
        <v>8394207.7689999994</v>
      </c>
      <c r="N142">
        <v>8547911.8430000003</v>
      </c>
      <c r="O142">
        <v>7986364.9340000004</v>
      </c>
      <c r="P142">
        <v>7370129.7549999999</v>
      </c>
      <c r="Q142">
        <v>6613771.8940000003</v>
      </c>
      <c r="R142">
        <v>6121295.3870000001</v>
      </c>
      <c r="S142">
        <v>5864884.8020000001</v>
      </c>
      <c r="T142">
        <v>5738549.9589999998</v>
      </c>
      <c r="U142">
        <v>5672767.2369999997</v>
      </c>
      <c r="V142">
        <v>5642410.9550000001</v>
      </c>
      <c r="W142">
        <v>5640819.6100000003</v>
      </c>
      <c r="X142">
        <v>5631107.1169999996</v>
      </c>
      <c r="Y142">
        <v>5590917.1730000004</v>
      </c>
      <c r="Z142">
        <v>5576979.2410000004</v>
      </c>
      <c r="AA142">
        <v>5550450.1799999997</v>
      </c>
      <c r="AB142">
        <v>5523196.3279999997</v>
      </c>
      <c r="AC142">
        <v>5523997.0219999999</v>
      </c>
      <c r="AD142">
        <v>5484037.6189999999</v>
      </c>
      <c r="AE142">
        <v>5453742.7939999998</v>
      </c>
      <c r="AF142">
        <v>5423082.0899999999</v>
      </c>
      <c r="AG142">
        <v>5397054.2549999999</v>
      </c>
      <c r="AH142">
        <v>5388060.6009999998</v>
      </c>
      <c r="AI142">
        <v>5359446.5080000004</v>
      </c>
      <c r="AJ142">
        <v>5339628.2529999996</v>
      </c>
      <c r="AK142">
        <v>5316335.6179999998</v>
      </c>
      <c r="AL142">
        <v>5293353.6869999999</v>
      </c>
      <c r="AM142">
        <v>5270516.1359999999</v>
      </c>
      <c r="AN142">
        <v>5225548.7759999996</v>
      </c>
      <c r="AO142">
        <v>5172999.318</v>
      </c>
      <c r="AP142">
        <v>5115182.6679999996</v>
      </c>
      <c r="AQ142">
        <v>5053123.4620000003</v>
      </c>
      <c r="AR142">
        <v>4994353.7620000001</v>
      </c>
      <c r="AS142">
        <v>4936886.1550000003</v>
      </c>
      <c r="AT142">
        <v>4882953.0650000004</v>
      </c>
      <c r="AU142">
        <v>4828973.307</v>
      </c>
      <c r="AV142">
        <v>4774789.1359999999</v>
      </c>
      <c r="AW142">
        <v>4720840.7960000001</v>
      </c>
    </row>
    <row r="143" spans="2:50" x14ac:dyDescent="0.25">
      <c r="B143" t="s">
        <v>214</v>
      </c>
      <c r="C143">
        <v>1153294.1412084801</v>
      </c>
      <c r="D143">
        <v>1171810.6516891399</v>
      </c>
      <c r="E143">
        <v>1014014.031</v>
      </c>
      <c r="F143">
        <v>1087012.9469999999</v>
      </c>
      <c r="G143">
        <v>1011831.992</v>
      </c>
      <c r="H143">
        <v>886894.40689999994</v>
      </c>
      <c r="I143">
        <v>964276.09490000003</v>
      </c>
      <c r="J143">
        <v>930636.14549999998</v>
      </c>
      <c r="K143">
        <v>878575.64399999997</v>
      </c>
      <c r="L143">
        <v>870026.86060000001</v>
      </c>
      <c r="M143">
        <v>909155.12080000003</v>
      </c>
      <c r="N143">
        <v>998303.6017</v>
      </c>
      <c r="O143">
        <v>936107.61300000001</v>
      </c>
      <c r="P143">
        <v>857454.85800000001</v>
      </c>
      <c r="Q143">
        <v>739233.0477</v>
      </c>
      <c r="R143">
        <v>671042.30020000006</v>
      </c>
      <c r="S143">
        <v>586426.1875</v>
      </c>
      <c r="T143">
        <v>548668.09360000002</v>
      </c>
      <c r="U143">
        <v>535802.24230000004</v>
      </c>
      <c r="V143">
        <v>527998.11410000001</v>
      </c>
      <c r="W143">
        <v>532509.5564</v>
      </c>
      <c r="X143">
        <v>481205.15029999998</v>
      </c>
      <c r="Y143">
        <v>514834.78759999998</v>
      </c>
      <c r="Z143">
        <v>528737.41859999998</v>
      </c>
      <c r="AA143">
        <v>533643.94940000004</v>
      </c>
      <c r="AB143">
        <v>534753.72210000001</v>
      </c>
      <c r="AC143">
        <v>506009.18560000003</v>
      </c>
      <c r="AD143">
        <v>527141.44920000003</v>
      </c>
      <c r="AE143">
        <v>527604.96440000006</v>
      </c>
      <c r="AF143">
        <v>527434.90529999998</v>
      </c>
      <c r="AG143">
        <v>526487.38170000003</v>
      </c>
      <c r="AH143">
        <v>505669.66100000002</v>
      </c>
      <c r="AI143">
        <v>516743.15629999997</v>
      </c>
      <c r="AJ143">
        <v>519997.86570000002</v>
      </c>
      <c r="AK143">
        <v>519249.17989999999</v>
      </c>
      <c r="AL143">
        <v>517309.05320000002</v>
      </c>
      <c r="AM143">
        <v>514669.23550000001</v>
      </c>
      <c r="AN143">
        <v>505718.45779999997</v>
      </c>
      <c r="AO143">
        <v>499264.15250000003</v>
      </c>
      <c r="AP143">
        <v>493155.18109999999</v>
      </c>
      <c r="AQ143">
        <v>487017.72869999998</v>
      </c>
      <c r="AR143">
        <v>470383.39799999999</v>
      </c>
      <c r="AS143">
        <v>469610.33549999999</v>
      </c>
      <c r="AT143">
        <v>465687.30229999998</v>
      </c>
      <c r="AU143">
        <v>460407.5172</v>
      </c>
      <c r="AV143">
        <v>454525.1605</v>
      </c>
      <c r="AW143">
        <v>448438.45020000002</v>
      </c>
    </row>
    <row r="144" spans="2:50" x14ac:dyDescent="0.25">
      <c r="B144" t="s">
        <v>215</v>
      </c>
      <c r="C144">
        <v>6211298.5004764497</v>
      </c>
      <c r="D144">
        <v>6311022.9070030199</v>
      </c>
      <c r="E144">
        <v>5388522.5060000001</v>
      </c>
      <c r="F144">
        <v>5419613.1490000002</v>
      </c>
      <c r="G144">
        <v>4895417.517</v>
      </c>
      <c r="H144">
        <v>4387695.4419999998</v>
      </c>
      <c r="I144">
        <v>4071345.892</v>
      </c>
      <c r="J144">
        <v>4289572.477</v>
      </c>
      <c r="K144">
        <v>3828460.125</v>
      </c>
      <c r="L144">
        <v>3653617.5120000001</v>
      </c>
      <c r="M144">
        <v>3728326.9550000001</v>
      </c>
      <c r="N144">
        <v>3819698.017</v>
      </c>
      <c r="O144">
        <v>3664902.5060000001</v>
      </c>
      <c r="P144">
        <v>3399996.4470000002</v>
      </c>
      <c r="Q144">
        <v>3060669.5980000002</v>
      </c>
      <c r="R144">
        <v>2800375.8530000001</v>
      </c>
      <c r="S144">
        <v>2573459.594</v>
      </c>
      <c r="T144">
        <v>2463640.6919999998</v>
      </c>
      <c r="U144">
        <v>2366025.6850000001</v>
      </c>
      <c r="V144">
        <v>2277005.932</v>
      </c>
      <c r="W144">
        <v>2153420.804</v>
      </c>
      <c r="X144">
        <v>2017205.8230000001</v>
      </c>
      <c r="Y144">
        <v>1988606.084</v>
      </c>
      <c r="Z144">
        <v>1978285.7609999999</v>
      </c>
      <c r="AA144">
        <v>1967875.7830000001</v>
      </c>
      <c r="AB144">
        <v>1958359.237</v>
      </c>
      <c r="AC144">
        <v>1947494.7879999999</v>
      </c>
      <c r="AD144">
        <v>1949902.4450000001</v>
      </c>
      <c r="AE144">
        <v>1946458.3740000001</v>
      </c>
      <c r="AF144">
        <v>1943218.8559999999</v>
      </c>
      <c r="AG144">
        <v>1940684.4029999999</v>
      </c>
      <c r="AH144">
        <v>1936846.5020000001</v>
      </c>
      <c r="AI144">
        <v>1940062.7549999999</v>
      </c>
      <c r="AJ144">
        <v>1941848.1189999999</v>
      </c>
      <c r="AK144">
        <v>1942432.7849999999</v>
      </c>
      <c r="AL144">
        <v>1942971.1810000001</v>
      </c>
      <c r="AM144">
        <v>1943399.4790000001</v>
      </c>
      <c r="AN144">
        <v>1904222.165</v>
      </c>
      <c r="AO144">
        <v>1858641.99</v>
      </c>
      <c r="AP144">
        <v>1810641.73</v>
      </c>
      <c r="AQ144">
        <v>1762055.0079999999</v>
      </c>
      <c r="AR144">
        <v>1711097.63</v>
      </c>
      <c r="AS144">
        <v>1682512.21</v>
      </c>
      <c r="AT144">
        <v>1656261.1059999999</v>
      </c>
      <c r="AU144">
        <v>1629975.976</v>
      </c>
      <c r="AV144">
        <v>1603514.273</v>
      </c>
      <c r="AW144">
        <v>1577670.757</v>
      </c>
    </row>
    <row r="145" spans="2:49" x14ac:dyDescent="0.25">
      <c r="B145" t="s">
        <v>216</v>
      </c>
      <c r="C145">
        <v>19068539.7330263</v>
      </c>
      <c r="D145">
        <v>19374691.306334</v>
      </c>
      <c r="E145">
        <v>16594488.720000001</v>
      </c>
      <c r="F145">
        <v>16767737.609999999</v>
      </c>
      <c r="G145">
        <v>15202306.24</v>
      </c>
      <c r="H145">
        <v>13559459.439999999</v>
      </c>
      <c r="I145">
        <v>12960349.210000001</v>
      </c>
      <c r="J145">
        <v>13890533.26</v>
      </c>
      <c r="K145">
        <v>12407508.92</v>
      </c>
      <c r="L145">
        <v>11884068.9</v>
      </c>
      <c r="M145">
        <v>12162923.08</v>
      </c>
      <c r="N145">
        <v>12408860.960000001</v>
      </c>
      <c r="O145">
        <v>11970497</v>
      </c>
      <c r="P145">
        <v>11171731.289999999</v>
      </c>
      <c r="Q145">
        <v>10083284.59</v>
      </c>
      <c r="R145">
        <v>9285244.4499999899</v>
      </c>
      <c r="S145">
        <v>8386069.4759999998</v>
      </c>
      <c r="T145">
        <v>8257660.7209999999</v>
      </c>
      <c r="U145">
        <v>8046291.4369999999</v>
      </c>
      <c r="V145">
        <v>7949108.2589999996</v>
      </c>
      <c r="W145">
        <v>7569412.1519999998</v>
      </c>
      <c r="X145">
        <v>7180686.4119999995</v>
      </c>
      <c r="Y145">
        <v>7026121.8909999998</v>
      </c>
      <c r="Z145">
        <v>6966048.835</v>
      </c>
      <c r="AA145">
        <v>6929952.3090000004</v>
      </c>
      <c r="AB145">
        <v>6902226.7300000004</v>
      </c>
      <c r="AC145">
        <v>6895186.7640000004</v>
      </c>
      <c r="AD145">
        <v>6910061.6660000002</v>
      </c>
      <c r="AE145">
        <v>6915764.193</v>
      </c>
      <c r="AF145">
        <v>6926552.443</v>
      </c>
      <c r="AG145">
        <v>6937375.7659999998</v>
      </c>
      <c r="AH145">
        <v>6962949.9960000003</v>
      </c>
      <c r="AI145">
        <v>6987348.3190000001</v>
      </c>
      <c r="AJ145">
        <v>7004533.0640000002</v>
      </c>
      <c r="AK145">
        <v>7027019.8140000002</v>
      </c>
      <c r="AL145">
        <v>7049714.352</v>
      </c>
      <c r="AM145">
        <v>7070582.1440000003</v>
      </c>
      <c r="AN145">
        <v>6957734.898</v>
      </c>
      <c r="AO145">
        <v>6824729.4160000002</v>
      </c>
      <c r="AP145">
        <v>6680064.3739999998</v>
      </c>
      <c r="AQ145">
        <v>6537297.9840000002</v>
      </c>
      <c r="AR145">
        <v>6385829.2479999997</v>
      </c>
      <c r="AS145">
        <v>6296901.3269999996</v>
      </c>
      <c r="AT145">
        <v>6217236.1109999996</v>
      </c>
      <c r="AU145">
        <v>6134797.1940000001</v>
      </c>
      <c r="AV145">
        <v>6052145.8030000003</v>
      </c>
      <c r="AW145">
        <v>5993784.3449999997</v>
      </c>
    </row>
    <row r="146" spans="2:49" x14ac:dyDescent="0.25">
      <c r="B146" t="s">
        <v>217</v>
      </c>
      <c r="C146">
        <v>14426006.8404216</v>
      </c>
      <c r="D146">
        <v>14657621.046468699</v>
      </c>
      <c r="E146">
        <v>12566850.289999999</v>
      </c>
      <c r="F146">
        <v>12554232.859999999</v>
      </c>
      <c r="G146">
        <v>11550419.619999999</v>
      </c>
      <c r="H146">
        <v>10778167.630000001</v>
      </c>
      <c r="I146">
        <v>10030683.890000001</v>
      </c>
      <c r="J146">
        <v>9105092.3619999997</v>
      </c>
      <c r="K146">
        <v>8256920.8339999998</v>
      </c>
      <c r="L146">
        <v>8150416.3260000004</v>
      </c>
      <c r="M146">
        <v>8112444.4529999997</v>
      </c>
      <c r="N146">
        <v>8455017.81399999</v>
      </c>
      <c r="O146">
        <v>7837946.5710000005</v>
      </c>
      <c r="P146">
        <v>7020886.7779999999</v>
      </c>
      <c r="Q146">
        <v>6266799.5640000002</v>
      </c>
      <c r="R146">
        <v>5637228.648</v>
      </c>
      <c r="S146">
        <v>5210214.7189999996</v>
      </c>
      <c r="T146">
        <v>5006812.1540000001</v>
      </c>
      <c r="U146">
        <v>4792008.8470000001</v>
      </c>
      <c r="V146">
        <v>4589170.8219999997</v>
      </c>
      <c r="W146">
        <v>4353046.6610000003</v>
      </c>
      <c r="X146">
        <v>4105679.5180000002</v>
      </c>
      <c r="Y146">
        <v>4063221.0720000002</v>
      </c>
      <c r="Z146">
        <v>4077822.3450000002</v>
      </c>
      <c r="AA146">
        <v>4094026.7769999998</v>
      </c>
      <c r="AB146">
        <v>4113324.7790000001</v>
      </c>
      <c r="AC146">
        <v>4141672.45</v>
      </c>
      <c r="AD146">
        <v>4152214.95</v>
      </c>
      <c r="AE146">
        <v>4160370.1719999998</v>
      </c>
      <c r="AF146">
        <v>4168622.0010000002</v>
      </c>
      <c r="AG146">
        <v>4179720.6179999998</v>
      </c>
      <c r="AH146">
        <v>4196237.0319999997</v>
      </c>
      <c r="AI146">
        <v>4213023.7079999996</v>
      </c>
      <c r="AJ146">
        <v>4230816.7640000004</v>
      </c>
      <c r="AK146">
        <v>4247534.4309999999</v>
      </c>
      <c r="AL146">
        <v>4264644.28</v>
      </c>
      <c r="AM146">
        <v>4281667.04</v>
      </c>
      <c r="AN146">
        <v>4201017.3320000004</v>
      </c>
      <c r="AO146">
        <v>4102416.767</v>
      </c>
      <c r="AP146">
        <v>3997157.3139999998</v>
      </c>
      <c r="AQ146">
        <v>3890004.0180000002</v>
      </c>
      <c r="AR146">
        <v>3781442.1320000002</v>
      </c>
      <c r="AS146">
        <v>3721330.39</v>
      </c>
      <c r="AT146">
        <v>3668928.9029999999</v>
      </c>
      <c r="AU146">
        <v>3617657.9279999998</v>
      </c>
      <c r="AV146">
        <v>3566557.3530000001</v>
      </c>
      <c r="AW146">
        <v>3516530.304</v>
      </c>
    </row>
    <row r="147" spans="2:49" x14ac:dyDescent="0.25">
      <c r="B147" t="s">
        <v>218</v>
      </c>
      <c r="C147">
        <v>9279692.21316991</v>
      </c>
      <c r="D147">
        <v>9428680.6732538398</v>
      </c>
      <c r="E147">
        <v>8373820.3509999998</v>
      </c>
      <c r="F147">
        <v>8335675.4210000001</v>
      </c>
      <c r="G147">
        <v>7954968.8080000002</v>
      </c>
      <c r="H147">
        <v>7478352.4859999996</v>
      </c>
      <c r="I147">
        <v>7267001.3140000002</v>
      </c>
      <c r="J147">
        <v>7041887.8470000001</v>
      </c>
      <c r="K147">
        <v>6682012.733</v>
      </c>
      <c r="L147">
        <v>6629586.0290000001</v>
      </c>
      <c r="M147">
        <v>6594522.6919999998</v>
      </c>
      <c r="N147">
        <v>6812421.9369999999</v>
      </c>
      <c r="O147">
        <v>6626746.6770000001</v>
      </c>
      <c r="P147">
        <v>6366898.0700000003</v>
      </c>
      <c r="Q147">
        <v>6036999.6600000001</v>
      </c>
      <c r="R147">
        <v>5914918.7470000004</v>
      </c>
      <c r="S147">
        <v>5685714.0800000001</v>
      </c>
      <c r="T147">
        <v>5539266.4620000003</v>
      </c>
      <c r="U147">
        <v>5394396.125</v>
      </c>
      <c r="V147">
        <v>5275993.0420000004</v>
      </c>
      <c r="W147">
        <v>5065776.5429999996</v>
      </c>
      <c r="X147">
        <v>4828846.2939999998</v>
      </c>
      <c r="Y147">
        <v>4653036.7</v>
      </c>
      <c r="Z147">
        <v>4522350.8459999999</v>
      </c>
      <c r="AA147">
        <v>4386910.8789999997</v>
      </c>
      <c r="AB147">
        <v>4254648.8360000001</v>
      </c>
      <c r="AC147">
        <v>4129461.2850000001</v>
      </c>
      <c r="AD147">
        <v>4092635.9350000001</v>
      </c>
      <c r="AE147">
        <v>4054809.1310000001</v>
      </c>
      <c r="AF147">
        <v>4021755.2480000001</v>
      </c>
      <c r="AG147">
        <v>3986921.483</v>
      </c>
      <c r="AH147">
        <v>3956350.8679999998</v>
      </c>
      <c r="AI147">
        <v>3926281.3429999999</v>
      </c>
      <c r="AJ147">
        <v>3897438.077</v>
      </c>
      <c r="AK147">
        <v>3868746.4569999999</v>
      </c>
      <c r="AL147">
        <v>3840973.2480000001</v>
      </c>
      <c r="AM147">
        <v>3813452.4139999999</v>
      </c>
      <c r="AN147">
        <v>3755154.4079999998</v>
      </c>
      <c r="AO147">
        <v>3693304.9950000001</v>
      </c>
      <c r="AP147">
        <v>3627907.4330000002</v>
      </c>
      <c r="AQ147">
        <v>3561619.03</v>
      </c>
      <c r="AR147">
        <v>3493324.054</v>
      </c>
      <c r="AS147">
        <v>3439863.7009999999</v>
      </c>
      <c r="AT147">
        <v>3388184.55</v>
      </c>
      <c r="AU147">
        <v>3336531.3459999999</v>
      </c>
      <c r="AV147">
        <v>3284973.2620000001</v>
      </c>
      <c r="AW147">
        <v>3233613.5150000001</v>
      </c>
    </row>
    <row r="148" spans="2:49" x14ac:dyDescent="0.25">
      <c r="B148" t="s">
        <v>219</v>
      </c>
      <c r="C148">
        <v>10783636.5742715</v>
      </c>
      <c r="D148">
        <v>10956771.347537501</v>
      </c>
      <c r="E148">
        <v>9457747.6040000003</v>
      </c>
      <c r="F148">
        <v>9452424.3059999999</v>
      </c>
      <c r="G148">
        <v>9394096.9480000008</v>
      </c>
      <c r="H148">
        <v>8712896.193</v>
      </c>
      <c r="I148">
        <v>8998376.4979999997</v>
      </c>
      <c r="J148">
        <v>9049759.4399999995</v>
      </c>
      <c r="K148">
        <v>8836262.0079999994</v>
      </c>
      <c r="L148">
        <v>8788667.0460000001</v>
      </c>
      <c r="M148">
        <v>8776845.2060000002</v>
      </c>
      <c r="N148">
        <v>9015283.2109999899</v>
      </c>
      <c r="O148">
        <v>9068585.4279999901</v>
      </c>
      <c r="P148">
        <v>9181279.4079999998</v>
      </c>
      <c r="Q148">
        <v>9128990.0270000007</v>
      </c>
      <c r="R148">
        <v>9302298.9829999898</v>
      </c>
      <c r="S148">
        <v>9291824.1459999997</v>
      </c>
      <c r="T148">
        <v>9179484.0439999998</v>
      </c>
      <c r="U148">
        <v>9165773.1219999995</v>
      </c>
      <c r="V148">
        <v>9186045.24599999</v>
      </c>
      <c r="W148">
        <v>9244333.5040000007</v>
      </c>
      <c r="X148">
        <v>9266223.8900000006</v>
      </c>
      <c r="Y148">
        <v>9260581.2029999997</v>
      </c>
      <c r="Z148">
        <v>9263443.3890000004</v>
      </c>
      <c r="AA148">
        <v>9248761.9969999995</v>
      </c>
      <c r="AB148">
        <v>9224720.7489999998</v>
      </c>
      <c r="AC148">
        <v>9194380.193</v>
      </c>
      <c r="AD148">
        <v>9156322.5500000007</v>
      </c>
      <c r="AE148">
        <v>9114026.8939999994</v>
      </c>
      <c r="AF148">
        <v>9081566.6099999994</v>
      </c>
      <c r="AG148">
        <v>9041245.8890000004</v>
      </c>
      <c r="AH148">
        <v>9003743.9140000008</v>
      </c>
      <c r="AI148">
        <v>8971778.7090000007</v>
      </c>
      <c r="AJ148">
        <v>8946260.4639999997</v>
      </c>
      <c r="AK148">
        <v>8921775.6779999901</v>
      </c>
      <c r="AL148">
        <v>8900479.0899999999</v>
      </c>
      <c r="AM148">
        <v>8880411.8010000009</v>
      </c>
      <c r="AN148">
        <v>8862377.7850000001</v>
      </c>
      <c r="AO148">
        <v>8846670.5219999999</v>
      </c>
      <c r="AP148">
        <v>8827573.4169999994</v>
      </c>
      <c r="AQ148">
        <v>8806964.4409999996</v>
      </c>
      <c r="AR148">
        <v>8783672.8499999996</v>
      </c>
      <c r="AS148">
        <v>8757926.7180000003</v>
      </c>
      <c r="AT148">
        <v>8731640.3859999999</v>
      </c>
      <c r="AU148">
        <v>8705400.3289999999</v>
      </c>
      <c r="AV148">
        <v>8679814.4279999901</v>
      </c>
      <c r="AW148">
        <v>8653630.5510000009</v>
      </c>
    </row>
    <row r="149" spans="2:49" x14ac:dyDescent="0.25">
      <c r="B149" t="s">
        <v>220</v>
      </c>
      <c r="C149">
        <v>584010.86634464201</v>
      </c>
      <c r="D149">
        <v>593387.34970747295</v>
      </c>
      <c r="E149">
        <v>510539.89689999999</v>
      </c>
      <c r="F149">
        <v>524878.21849999996</v>
      </c>
      <c r="G149">
        <v>495742.02110000001</v>
      </c>
      <c r="H149">
        <v>429696.30339999998</v>
      </c>
      <c r="I149">
        <v>448626.41200000001</v>
      </c>
      <c r="J149">
        <v>448014.48220000003</v>
      </c>
      <c r="K149">
        <v>411686.63870000001</v>
      </c>
      <c r="L149">
        <v>385112.20169999998</v>
      </c>
      <c r="M149">
        <v>377247.12160000001</v>
      </c>
      <c r="N149">
        <v>396407.97230000002</v>
      </c>
      <c r="O149">
        <v>378201.87819999998</v>
      </c>
      <c r="P149">
        <v>362639.55650000001</v>
      </c>
      <c r="Q149">
        <v>335717.73080000002</v>
      </c>
      <c r="R149">
        <v>311306.37520000001</v>
      </c>
      <c r="S149">
        <v>294443.43579999998</v>
      </c>
      <c r="T149">
        <v>288940.62280000001</v>
      </c>
      <c r="U149">
        <v>285193.68839999998</v>
      </c>
      <c r="V149">
        <v>284609.78169999999</v>
      </c>
      <c r="W149">
        <v>285985.95870000002</v>
      </c>
      <c r="X149">
        <v>283905.33510000003</v>
      </c>
      <c r="Y149">
        <v>283981.25060000003</v>
      </c>
      <c r="Z149">
        <v>285825.67700000003</v>
      </c>
      <c r="AA149">
        <v>287661.2611</v>
      </c>
      <c r="AB149">
        <v>290050.91320000001</v>
      </c>
      <c r="AC149">
        <v>291567.32199999999</v>
      </c>
      <c r="AD149">
        <v>289690.16759999999</v>
      </c>
      <c r="AE149">
        <v>286503.51400000002</v>
      </c>
      <c r="AF149">
        <v>283590.58669999999</v>
      </c>
      <c r="AG149">
        <v>280732.45110000001</v>
      </c>
      <c r="AH149">
        <v>276698.1312</v>
      </c>
      <c r="AI149">
        <v>274975.18689999997</v>
      </c>
      <c r="AJ149">
        <v>272888.46269999997</v>
      </c>
      <c r="AK149">
        <v>270554.20030000003</v>
      </c>
      <c r="AL149">
        <v>268227.03820000001</v>
      </c>
      <c r="AM149">
        <v>265900.78769999999</v>
      </c>
      <c r="AN149">
        <v>262594.01169999997</v>
      </c>
      <c r="AO149">
        <v>259667.04190000001</v>
      </c>
      <c r="AP149">
        <v>256725.8947</v>
      </c>
      <c r="AQ149">
        <v>253854.4809</v>
      </c>
      <c r="AR149">
        <v>250027.68210000001</v>
      </c>
      <c r="AS149">
        <v>247644.3512</v>
      </c>
      <c r="AT149">
        <v>245097.85279999999</v>
      </c>
      <c r="AU149">
        <v>242458.24110000001</v>
      </c>
      <c r="AV149">
        <v>239813.40590000001</v>
      </c>
      <c r="AW149">
        <v>237368.93609999999</v>
      </c>
    </row>
    <row r="150" spans="2:49" x14ac:dyDescent="0.25">
      <c r="B150" t="s">
        <v>221</v>
      </c>
      <c r="C150">
        <v>22712835.5539211</v>
      </c>
      <c r="D150">
        <v>23077497.475414101</v>
      </c>
      <c r="E150">
        <v>23175579.43</v>
      </c>
      <c r="F150">
        <v>23253473.800000001</v>
      </c>
      <c r="G150">
        <v>19702902.02</v>
      </c>
      <c r="H150">
        <v>16418802.869999999</v>
      </c>
      <c r="I150">
        <v>17174420.859999999</v>
      </c>
      <c r="J150">
        <v>16761774.75</v>
      </c>
      <c r="K150">
        <v>15883198.300000001</v>
      </c>
      <c r="L150">
        <v>16596318.699999999</v>
      </c>
      <c r="M150">
        <v>16989046.649999999</v>
      </c>
      <c r="N150">
        <v>17343315.420000002</v>
      </c>
      <c r="O150">
        <v>14528612.720000001</v>
      </c>
      <c r="P150">
        <v>13150321.57</v>
      </c>
      <c r="Q150">
        <v>11996706.75</v>
      </c>
      <c r="R150">
        <v>11038648.77</v>
      </c>
      <c r="S150">
        <v>10271559.529999999</v>
      </c>
      <c r="T150">
        <v>10141600.869999999</v>
      </c>
      <c r="U150">
        <v>10065950.08</v>
      </c>
      <c r="V150">
        <v>10087907.08</v>
      </c>
      <c r="W150">
        <v>9912099.5130000003</v>
      </c>
      <c r="X150">
        <v>9616964.25</v>
      </c>
      <c r="Y150">
        <v>9551748.2929999996</v>
      </c>
      <c r="Z150">
        <v>9543552.9829999898</v>
      </c>
      <c r="AA150">
        <v>9523830.909</v>
      </c>
      <c r="AB150">
        <v>9503683.2670000009</v>
      </c>
      <c r="AC150">
        <v>9463759.2709999997</v>
      </c>
      <c r="AD150">
        <v>9568700.9829999898</v>
      </c>
      <c r="AE150">
        <v>9646541.0580000002</v>
      </c>
      <c r="AF150">
        <v>9727067.6170000006</v>
      </c>
      <c r="AG150">
        <v>9812755.4309999999</v>
      </c>
      <c r="AH150">
        <v>9888747.375</v>
      </c>
      <c r="AI150">
        <v>10004515.65</v>
      </c>
      <c r="AJ150">
        <v>10110598.439999999</v>
      </c>
      <c r="AK150">
        <v>10213716.65</v>
      </c>
      <c r="AL150">
        <v>10317496.57</v>
      </c>
      <c r="AM150">
        <v>10420625.51</v>
      </c>
      <c r="AN150">
        <v>10428249.1</v>
      </c>
      <c r="AO150">
        <v>10428224.800000001</v>
      </c>
      <c r="AP150">
        <v>10416083.35</v>
      </c>
      <c r="AQ150">
        <v>10398488.119999999</v>
      </c>
      <c r="AR150">
        <v>10358359.82</v>
      </c>
      <c r="AS150">
        <v>10390221.720000001</v>
      </c>
      <c r="AT150">
        <v>10421749.66</v>
      </c>
      <c r="AU150">
        <v>10450992.59</v>
      </c>
      <c r="AV150">
        <v>10478892.470000001</v>
      </c>
      <c r="AW150">
        <v>10511783.869999999</v>
      </c>
    </row>
    <row r="151" spans="2:49" x14ac:dyDescent="0.25">
      <c r="B151" t="s">
        <v>222</v>
      </c>
      <c r="C151">
        <v>611949.61832884501</v>
      </c>
      <c r="D151">
        <v>621774.66739182698</v>
      </c>
      <c r="E151">
        <v>544393.97349999996</v>
      </c>
      <c r="F151">
        <v>535183.02190000005</v>
      </c>
      <c r="G151">
        <v>479562.16970000003</v>
      </c>
      <c r="H151">
        <v>403580.94549999997</v>
      </c>
      <c r="I151">
        <v>428931.79969999997</v>
      </c>
      <c r="J151">
        <v>411836.14370000002</v>
      </c>
      <c r="K151">
        <v>370328.48499999999</v>
      </c>
      <c r="L151">
        <v>351566.90500000003</v>
      </c>
      <c r="M151">
        <v>351006.80200000003</v>
      </c>
      <c r="N151">
        <v>351152.30910000001</v>
      </c>
      <c r="O151">
        <v>325457.65330000001</v>
      </c>
      <c r="P151">
        <v>314686.1704</v>
      </c>
      <c r="Q151">
        <v>280108.86369999999</v>
      </c>
      <c r="R151">
        <v>257287.50649999999</v>
      </c>
      <c r="S151">
        <v>243435.6887</v>
      </c>
      <c r="T151">
        <v>237196.43479999999</v>
      </c>
      <c r="U151">
        <v>228561.51420000001</v>
      </c>
      <c r="V151">
        <v>222449.29819999999</v>
      </c>
      <c r="W151">
        <v>221048.94810000001</v>
      </c>
      <c r="X151">
        <v>216487.12270000001</v>
      </c>
      <c r="Y151">
        <v>212323.5687</v>
      </c>
      <c r="Z151">
        <v>211083.72450000001</v>
      </c>
      <c r="AA151">
        <v>209010.4877</v>
      </c>
      <c r="AB151">
        <v>206842.36429999999</v>
      </c>
      <c r="AC151">
        <v>204517.4069</v>
      </c>
      <c r="AD151">
        <v>202145.92629999999</v>
      </c>
      <c r="AE151">
        <v>199358.09210000001</v>
      </c>
      <c r="AF151">
        <v>196703.5808</v>
      </c>
      <c r="AG151">
        <v>193935.36970000001</v>
      </c>
      <c r="AH151">
        <v>191007.0215</v>
      </c>
      <c r="AI151">
        <v>188253.10750000001</v>
      </c>
      <c r="AJ151">
        <v>185349.19219999999</v>
      </c>
      <c r="AK151">
        <v>182379.18530000001</v>
      </c>
      <c r="AL151">
        <v>179363.538</v>
      </c>
      <c r="AM151">
        <v>176265.25469999999</v>
      </c>
      <c r="AN151">
        <v>172117.36739999999</v>
      </c>
      <c r="AO151">
        <v>168083.1992</v>
      </c>
      <c r="AP151">
        <v>163889.68179999999</v>
      </c>
      <c r="AQ151">
        <v>159686.93049999999</v>
      </c>
      <c r="AR151">
        <v>155230.22070000001</v>
      </c>
      <c r="AS151">
        <v>151404.38020000001</v>
      </c>
      <c r="AT151">
        <v>147526.0123</v>
      </c>
      <c r="AU151">
        <v>143583.41329999999</v>
      </c>
      <c r="AV151">
        <v>139583.82199999999</v>
      </c>
      <c r="AW151">
        <v>135576.34710000001</v>
      </c>
    </row>
    <row r="152" spans="2:49" x14ac:dyDescent="0.25">
      <c r="B152" t="s">
        <v>223</v>
      </c>
      <c r="C152">
        <v>18604230.451297902</v>
      </c>
      <c r="D152">
        <v>18902927.3889024</v>
      </c>
      <c r="E152">
        <v>16611231.98</v>
      </c>
      <c r="F152">
        <v>16884505.059999999</v>
      </c>
      <c r="G152">
        <v>15763286.800000001</v>
      </c>
      <c r="H152">
        <v>14527574.34</v>
      </c>
      <c r="I152">
        <v>14534092.1</v>
      </c>
      <c r="J152">
        <v>14074550.09</v>
      </c>
      <c r="K152">
        <v>13298850.23</v>
      </c>
      <c r="L152">
        <v>13051304.630000001</v>
      </c>
      <c r="M152">
        <v>13119233.130000001</v>
      </c>
      <c r="N152">
        <v>13442252.210000001</v>
      </c>
      <c r="O152">
        <v>12719870.09</v>
      </c>
      <c r="P152">
        <v>11996520.619999999</v>
      </c>
      <c r="Q152">
        <v>11105762.58</v>
      </c>
      <c r="R152">
        <v>10794524.85</v>
      </c>
      <c r="S152">
        <v>10393893.73</v>
      </c>
      <c r="T152">
        <v>10311676.220000001</v>
      </c>
      <c r="U152">
        <v>10166178.939999999</v>
      </c>
      <c r="V152">
        <v>10100121.91</v>
      </c>
      <c r="W152">
        <v>10103029.140000001</v>
      </c>
      <c r="X152">
        <v>10034100.779999999</v>
      </c>
      <c r="Y152">
        <v>9942926.591</v>
      </c>
      <c r="Z152">
        <v>9936545.1730000004</v>
      </c>
      <c r="AA152">
        <v>9900129.8340000007</v>
      </c>
      <c r="AB152">
        <v>9861061.9069999997</v>
      </c>
      <c r="AC152">
        <v>9839945.5749999899</v>
      </c>
      <c r="AD152">
        <v>9804630.9680000003</v>
      </c>
      <c r="AE152">
        <v>9761198.2029999997</v>
      </c>
      <c r="AF152">
        <v>9725432.1410000008</v>
      </c>
      <c r="AG152">
        <v>9693746.6469999999</v>
      </c>
      <c r="AH152">
        <v>9671817.15499999</v>
      </c>
      <c r="AI152">
        <v>9654637.2770000007</v>
      </c>
      <c r="AJ152">
        <v>9637818.6689999998</v>
      </c>
      <c r="AK152">
        <v>9618855.9859999996</v>
      </c>
      <c r="AL152">
        <v>9602379.8870000001</v>
      </c>
      <c r="AM152">
        <v>9586911.5360000003</v>
      </c>
      <c r="AN152">
        <v>9529478.3579999898</v>
      </c>
      <c r="AO152">
        <v>9479303.898</v>
      </c>
      <c r="AP152">
        <v>9422998.0189999994</v>
      </c>
      <c r="AQ152">
        <v>9364395.9419999998</v>
      </c>
      <c r="AR152">
        <v>9304320.807</v>
      </c>
      <c r="AS152">
        <v>9259468.1649999898</v>
      </c>
      <c r="AT152">
        <v>9211732.6079999898</v>
      </c>
      <c r="AU152">
        <v>9163419.1390000004</v>
      </c>
      <c r="AV152">
        <v>9114870.9460000005</v>
      </c>
      <c r="AW152">
        <v>9069661.6740000006</v>
      </c>
    </row>
    <row r="153" spans="2:49" x14ac:dyDescent="0.25">
      <c r="B153" t="s">
        <v>224</v>
      </c>
      <c r="C153">
        <v>583438.22926562198</v>
      </c>
      <c r="D153">
        <v>592805.51875492395</v>
      </c>
      <c r="E153">
        <v>519029.97649999999</v>
      </c>
      <c r="F153">
        <v>540349.12730000005</v>
      </c>
      <c r="G153">
        <v>527123.00300000003</v>
      </c>
      <c r="H153">
        <v>458029.96269999997</v>
      </c>
      <c r="I153">
        <v>456522.29790000001</v>
      </c>
      <c r="J153">
        <v>463485.41440000001</v>
      </c>
      <c r="K153">
        <v>442938.72690000001</v>
      </c>
      <c r="L153">
        <v>428890.23820000002</v>
      </c>
      <c r="M153">
        <v>400962.23599999998</v>
      </c>
      <c r="N153">
        <v>368876.36469999998</v>
      </c>
      <c r="O153">
        <v>359281.0675</v>
      </c>
      <c r="P153">
        <v>362385.39620000002</v>
      </c>
      <c r="Q153">
        <v>353504.2573</v>
      </c>
      <c r="R153">
        <v>358296.0662</v>
      </c>
      <c r="S153">
        <v>345832.59820000001</v>
      </c>
      <c r="T153">
        <v>342722.60019999999</v>
      </c>
      <c r="U153">
        <v>331393</v>
      </c>
      <c r="V153">
        <v>325841.27960000001</v>
      </c>
      <c r="W153">
        <v>323648.40130000003</v>
      </c>
      <c r="X153">
        <v>319733.86310000002</v>
      </c>
      <c r="Y153">
        <v>308372.73180000001</v>
      </c>
      <c r="Z153">
        <v>300938.2512</v>
      </c>
      <c r="AA153">
        <v>294278.28289999999</v>
      </c>
      <c r="AB153">
        <v>288005.54930000001</v>
      </c>
      <c r="AC153">
        <v>283081.2561</v>
      </c>
      <c r="AD153">
        <v>278726.48</v>
      </c>
      <c r="AE153">
        <v>273996.86239999998</v>
      </c>
      <c r="AF153">
        <v>269677.16869999998</v>
      </c>
      <c r="AG153">
        <v>264882.16729999997</v>
      </c>
      <c r="AH153">
        <v>260829.8181</v>
      </c>
      <c r="AI153">
        <v>255644.68489999999</v>
      </c>
      <c r="AJ153">
        <v>250162.83189999999</v>
      </c>
      <c r="AK153">
        <v>244917.35329999999</v>
      </c>
      <c r="AL153">
        <v>239624.72390000001</v>
      </c>
      <c r="AM153">
        <v>234277.83</v>
      </c>
      <c r="AN153">
        <v>228240.03229999999</v>
      </c>
      <c r="AO153">
        <v>222576.7219</v>
      </c>
      <c r="AP153">
        <v>216769.3786</v>
      </c>
      <c r="AQ153">
        <v>211188.83199999999</v>
      </c>
      <c r="AR153">
        <v>205493.9719</v>
      </c>
      <c r="AS153">
        <v>199678.20480000001</v>
      </c>
      <c r="AT153">
        <v>193852.72339999999</v>
      </c>
      <c r="AU153">
        <v>187759.2806</v>
      </c>
      <c r="AV153">
        <v>181550.6061</v>
      </c>
      <c r="AW153">
        <v>176661.15950000001</v>
      </c>
    </row>
    <row r="154" spans="2:49" x14ac:dyDescent="0.25">
      <c r="B154" t="s">
        <v>225</v>
      </c>
      <c r="C154">
        <v>640997.091904014</v>
      </c>
      <c r="D154">
        <v>651288.50755091803</v>
      </c>
      <c r="E154">
        <v>552934.97519999999</v>
      </c>
      <c r="F154">
        <v>572010.4436</v>
      </c>
      <c r="G154">
        <v>543686.55940000003</v>
      </c>
      <c r="H154">
        <v>545490.77229999995</v>
      </c>
      <c r="I154">
        <v>566715.745</v>
      </c>
      <c r="J154">
        <v>549572.8811</v>
      </c>
      <c r="K154">
        <v>522192.8738</v>
      </c>
      <c r="L154">
        <v>529109.88749999995</v>
      </c>
      <c r="M154">
        <v>542730.91040000005</v>
      </c>
      <c r="N154">
        <v>576753.50569999998</v>
      </c>
      <c r="O154">
        <v>618312.2574</v>
      </c>
      <c r="P154">
        <v>634227.59979999997</v>
      </c>
      <c r="Q154">
        <v>588884.60549999995</v>
      </c>
      <c r="R154">
        <v>601206.9523</v>
      </c>
      <c r="S154">
        <v>622425.46990000003</v>
      </c>
      <c r="T154">
        <v>723896.35710000002</v>
      </c>
      <c r="U154">
        <v>813521.07830000005</v>
      </c>
      <c r="V154">
        <v>915214.16610000003</v>
      </c>
      <c r="W154">
        <v>980197.77399999998</v>
      </c>
      <c r="X154">
        <v>1193302.5730000001</v>
      </c>
      <c r="Y154">
        <v>1266584.5090000001</v>
      </c>
      <c r="Z154">
        <v>1317349.7120000001</v>
      </c>
      <c r="AA154">
        <v>1352724.209</v>
      </c>
      <c r="AB154">
        <v>1375202.7309999999</v>
      </c>
      <c r="AC154">
        <v>1506250.27</v>
      </c>
      <c r="AD154">
        <v>1502784.0730000001</v>
      </c>
      <c r="AE154">
        <v>1502112.314</v>
      </c>
      <c r="AF154">
        <v>1501308.2169999999</v>
      </c>
      <c r="AG154">
        <v>1497304.9269999999</v>
      </c>
      <c r="AH154">
        <v>1544956.6869999999</v>
      </c>
      <c r="AI154">
        <v>1529204.9669999999</v>
      </c>
      <c r="AJ154">
        <v>1516328.34</v>
      </c>
      <c r="AK154">
        <v>1502242.68</v>
      </c>
      <c r="AL154">
        <v>1488047.149</v>
      </c>
      <c r="AM154">
        <v>1473574.26</v>
      </c>
      <c r="AN154">
        <v>1459123.635</v>
      </c>
      <c r="AO154">
        <v>1447476.612</v>
      </c>
      <c r="AP154">
        <v>1435973.7320000001</v>
      </c>
      <c r="AQ154">
        <v>1425059.003</v>
      </c>
      <c r="AR154">
        <v>1467123.675</v>
      </c>
      <c r="AS154">
        <v>1450600.6470000001</v>
      </c>
      <c r="AT154">
        <v>1438297.699</v>
      </c>
      <c r="AU154">
        <v>1427180.0319999999</v>
      </c>
      <c r="AV154">
        <v>1416754.656</v>
      </c>
      <c r="AW154">
        <v>1407253.4939999999</v>
      </c>
    </row>
    <row r="155" spans="2:49" x14ac:dyDescent="0.25">
      <c r="B155" t="s">
        <v>226</v>
      </c>
      <c r="C155">
        <v>2194958.1052306499</v>
      </c>
      <c r="D155">
        <v>2230198.86758945</v>
      </c>
      <c r="E155">
        <v>1880654.692</v>
      </c>
      <c r="F155">
        <v>1871234.8840000001</v>
      </c>
      <c r="G155">
        <v>1864159.8859999999</v>
      </c>
      <c r="H155">
        <v>1861162.298</v>
      </c>
      <c r="I155">
        <v>1867066.8770000001</v>
      </c>
      <c r="J155">
        <v>1879097.4180000001</v>
      </c>
      <c r="K155">
        <v>1880911.9609999999</v>
      </c>
      <c r="L155">
        <v>1879624.4990000001</v>
      </c>
      <c r="M155">
        <v>1891977.821</v>
      </c>
      <c r="N155">
        <v>1874450.42</v>
      </c>
      <c r="O155">
        <v>1897704.5649999999</v>
      </c>
      <c r="P155">
        <v>1916465.365</v>
      </c>
      <c r="Q155">
        <v>1940717.8149999999</v>
      </c>
      <c r="R155">
        <v>1965430.6429999999</v>
      </c>
      <c r="S155">
        <v>1956980.0430000001</v>
      </c>
      <c r="T155">
        <v>1934654.568</v>
      </c>
      <c r="U155">
        <v>1925171.4750000001</v>
      </c>
      <c r="V155">
        <v>1915828.4569999999</v>
      </c>
      <c r="W155">
        <v>1871280.284</v>
      </c>
      <c r="X155">
        <v>1776770.0419999999</v>
      </c>
      <c r="Y155">
        <v>1741378.9779999999</v>
      </c>
      <c r="Z155">
        <v>1715590.5249999999</v>
      </c>
      <c r="AA155">
        <v>1685111.395</v>
      </c>
      <c r="AB155">
        <v>1651620.1939999999</v>
      </c>
      <c r="AC155">
        <v>1598856.9920000001</v>
      </c>
      <c r="AD155">
        <v>1575690.4509999999</v>
      </c>
      <c r="AE155">
        <v>1539103.97</v>
      </c>
      <c r="AF155">
        <v>1502041.7660000001</v>
      </c>
      <c r="AG155">
        <v>1464856.375</v>
      </c>
      <c r="AH155">
        <v>1414965.264</v>
      </c>
      <c r="AI155">
        <v>1395122.915</v>
      </c>
      <c r="AJ155">
        <v>1370884.0120000001</v>
      </c>
      <c r="AK155">
        <v>1344391.2879999999</v>
      </c>
      <c r="AL155">
        <v>1317263.692</v>
      </c>
      <c r="AM155">
        <v>1290032.2819999999</v>
      </c>
      <c r="AN155">
        <v>1272158.2709999999</v>
      </c>
      <c r="AO155">
        <v>1255996.1740000001</v>
      </c>
      <c r="AP155">
        <v>1240482.949</v>
      </c>
      <c r="AQ155" s="39">
        <v>1225058.82</v>
      </c>
      <c r="AR155" s="39">
        <v>1202694.3330000001</v>
      </c>
      <c r="AS155" s="39">
        <v>1196906.7339999999</v>
      </c>
      <c r="AT155" s="39">
        <v>1189166.943</v>
      </c>
      <c r="AU155" s="39">
        <v>1180459.952</v>
      </c>
      <c r="AV155">
        <v>1171279.3810000001</v>
      </c>
      <c r="AW155">
        <v>1161908.3289999999</v>
      </c>
    </row>
    <row r="156" spans="2:49" x14ac:dyDescent="0.25">
      <c r="B156" t="s">
        <v>227</v>
      </c>
      <c r="C156">
        <v>48301536.741083004</v>
      </c>
      <c r="D156">
        <v>49077033.537035801</v>
      </c>
      <c r="E156">
        <v>41603683.310000002</v>
      </c>
      <c r="F156">
        <v>41334315.68</v>
      </c>
      <c r="G156">
        <v>40505800.729999997</v>
      </c>
      <c r="H156">
        <v>39040608.539999999</v>
      </c>
      <c r="I156">
        <v>38695879.420000002</v>
      </c>
      <c r="J156">
        <v>38424593.450000003</v>
      </c>
      <c r="K156">
        <v>37921961.100000001</v>
      </c>
      <c r="L156">
        <v>37195236.390000001</v>
      </c>
      <c r="M156">
        <v>36791681.119999997</v>
      </c>
      <c r="N156">
        <v>36339797</v>
      </c>
      <c r="O156">
        <v>36301728.600000001</v>
      </c>
      <c r="P156">
        <v>36446282.270000003</v>
      </c>
      <c r="Q156">
        <v>35939836.100000001</v>
      </c>
      <c r="R156">
        <v>35454480.68</v>
      </c>
      <c r="S156">
        <v>34856717.539999999</v>
      </c>
      <c r="T156">
        <v>35297373.590000004</v>
      </c>
      <c r="U156">
        <v>35521832.939999998</v>
      </c>
      <c r="V156">
        <v>35970151.780000001</v>
      </c>
      <c r="W156">
        <v>36073881.789999999</v>
      </c>
      <c r="X156">
        <v>35765872.039999999</v>
      </c>
      <c r="Y156">
        <v>35411616.689999998</v>
      </c>
      <c r="Z156">
        <v>35089376.530000001</v>
      </c>
      <c r="AA156">
        <v>34676570.229999997</v>
      </c>
      <c r="AB156">
        <v>34238371.710000001</v>
      </c>
      <c r="AC156">
        <v>33747069.310000002</v>
      </c>
      <c r="AD156">
        <v>33253983.07</v>
      </c>
      <c r="AE156">
        <v>32675334.91</v>
      </c>
      <c r="AF156">
        <v>32131814.18</v>
      </c>
      <c r="AG156">
        <v>31566162.710000001</v>
      </c>
      <c r="AH156">
        <v>30966881.960000001</v>
      </c>
      <c r="AI156">
        <v>30582101.760000002</v>
      </c>
      <c r="AJ156">
        <v>30171410.09</v>
      </c>
      <c r="AK156">
        <v>29737177.039999999</v>
      </c>
      <c r="AL156">
        <v>29306122.449999999</v>
      </c>
      <c r="AM156">
        <v>28878803.600000001</v>
      </c>
      <c r="AN156">
        <v>28649050.09</v>
      </c>
      <c r="AO156">
        <v>28466037.440000001</v>
      </c>
      <c r="AP156">
        <v>28286717.190000001</v>
      </c>
      <c r="AQ156">
        <v>28112766.02</v>
      </c>
      <c r="AR156">
        <v>27907285.260000002</v>
      </c>
      <c r="AS156">
        <v>27887273.600000001</v>
      </c>
      <c r="AT156">
        <v>27848346.27</v>
      </c>
      <c r="AU156">
        <v>27802742.75</v>
      </c>
      <c r="AV156">
        <v>27760214.960000001</v>
      </c>
      <c r="AW156">
        <v>27729756.879999999</v>
      </c>
    </row>
    <row r="157" spans="2:49" x14ac:dyDescent="0.25">
      <c r="B157" t="s">
        <v>228</v>
      </c>
      <c r="C157">
        <v>9397840.0105028208</v>
      </c>
      <c r="D157">
        <v>9548725.3716889191</v>
      </c>
      <c r="E157">
        <v>8095813.2759999996</v>
      </c>
      <c r="F157">
        <v>9224675.1850000005</v>
      </c>
      <c r="G157">
        <v>7735860.7419999996</v>
      </c>
      <c r="H157">
        <v>5539820.5470000003</v>
      </c>
      <c r="I157">
        <v>6509946.2390000001</v>
      </c>
      <c r="J157">
        <v>5041944.2439999999</v>
      </c>
      <c r="K157">
        <v>5892061.0010000002</v>
      </c>
      <c r="L157">
        <v>5276493.8030000003</v>
      </c>
      <c r="M157">
        <v>5319222.1459999997</v>
      </c>
      <c r="N157">
        <v>5485318.2690000003</v>
      </c>
      <c r="O157">
        <v>4981297.142</v>
      </c>
      <c r="P157">
        <v>5267730.0839999998</v>
      </c>
      <c r="Q157">
        <v>5152370.25</v>
      </c>
      <c r="R157">
        <v>5206529.0240000002</v>
      </c>
      <c r="S157">
        <v>5185019.9369999999</v>
      </c>
      <c r="T157">
        <v>5071865.7829999998</v>
      </c>
      <c r="U157">
        <v>5059145.29</v>
      </c>
      <c r="V157">
        <v>5053023.1770000001</v>
      </c>
      <c r="W157">
        <v>4986619.3890000004</v>
      </c>
      <c r="X157">
        <v>4877408.1739999996</v>
      </c>
      <c r="Y157">
        <v>4851600.08</v>
      </c>
      <c r="Z157">
        <v>4844156.2149999999</v>
      </c>
      <c r="AA157">
        <v>4833505.6140000001</v>
      </c>
      <c r="AB157">
        <v>4824415.3820000002</v>
      </c>
      <c r="AC157">
        <v>4812635.0630000001</v>
      </c>
      <c r="AD157">
        <v>4810546.5539999995</v>
      </c>
      <c r="AE157">
        <v>4802629.0559999999</v>
      </c>
      <c r="AF157">
        <v>4802155.8619999997</v>
      </c>
      <c r="AG157">
        <v>4799823.7790000001</v>
      </c>
      <c r="AH157">
        <v>4795345.8329999996</v>
      </c>
      <c r="AI157">
        <v>4802910.0369999995</v>
      </c>
      <c r="AJ157">
        <v>4811167.9859999996</v>
      </c>
      <c r="AK157">
        <v>4818347.7549999999</v>
      </c>
      <c r="AL157">
        <v>4827735.8559999997</v>
      </c>
      <c r="AM157">
        <v>4838852.8609999996</v>
      </c>
      <c r="AN157">
        <v>4815904.4479999999</v>
      </c>
      <c r="AO157">
        <v>4787796.6129999999</v>
      </c>
      <c r="AP157">
        <v>4753565.9460000005</v>
      </c>
      <c r="AQ157">
        <v>4715518.4369999999</v>
      </c>
      <c r="AR157">
        <v>4670630.6529999999</v>
      </c>
      <c r="AS157">
        <v>4646013.6260000002</v>
      </c>
      <c r="AT157">
        <v>4624098.43</v>
      </c>
      <c r="AU157">
        <v>4603395.1679999996</v>
      </c>
      <c r="AV157">
        <v>4584327.9210000001</v>
      </c>
      <c r="AW157">
        <v>4567336.1749999998</v>
      </c>
    </row>
    <row r="158" spans="2:49" x14ac:dyDescent="0.25">
      <c r="B158" t="s">
        <v>229</v>
      </c>
      <c r="C158">
        <v>2784044.1169573502</v>
      </c>
      <c r="D158">
        <v>2828742.8457796802</v>
      </c>
      <c r="E158">
        <v>2402692.5989999999</v>
      </c>
      <c r="F158">
        <v>2492148.8530000001</v>
      </c>
      <c r="G158">
        <v>2472992.4539999999</v>
      </c>
      <c r="H158">
        <v>2031376.503</v>
      </c>
      <c r="I158">
        <v>2070276.608</v>
      </c>
      <c r="J158">
        <v>2161945.7940000002</v>
      </c>
      <c r="K158">
        <v>2107628.9509999999</v>
      </c>
      <c r="L158">
        <v>2047722.496</v>
      </c>
      <c r="M158">
        <v>2043820.8810000001</v>
      </c>
      <c r="N158">
        <v>2150840.4989999998</v>
      </c>
      <c r="O158">
        <v>2145337.9879999999</v>
      </c>
      <c r="P158">
        <v>2139026.5060000001</v>
      </c>
      <c r="Q158">
        <v>2203213.389</v>
      </c>
      <c r="R158">
        <v>2226881.1880000001</v>
      </c>
      <c r="S158">
        <v>2187720.2489999998</v>
      </c>
      <c r="T158">
        <v>2145711.4900000002</v>
      </c>
      <c r="U158">
        <v>2125017.9890000001</v>
      </c>
      <c r="V158">
        <v>2115431.9330000002</v>
      </c>
      <c r="W158">
        <v>2118268.1129999999</v>
      </c>
      <c r="X158">
        <v>2108262.2910000002</v>
      </c>
      <c r="Y158">
        <v>2110418.2799999998</v>
      </c>
      <c r="Z158">
        <v>2109256.15</v>
      </c>
      <c r="AA158">
        <v>2107118.2740000002</v>
      </c>
      <c r="AB158">
        <v>2103480.7080000001</v>
      </c>
      <c r="AC158">
        <v>2097642.895</v>
      </c>
      <c r="AD158">
        <v>2098092.17</v>
      </c>
      <c r="AE158">
        <v>2093182.0349999999</v>
      </c>
      <c r="AF158">
        <v>2090137.7560000001</v>
      </c>
      <c r="AG158">
        <v>2087736.017</v>
      </c>
      <c r="AH158">
        <v>2084949.3859999999</v>
      </c>
      <c r="AI158">
        <v>2090869.0619999999</v>
      </c>
      <c r="AJ158">
        <v>2097038.683</v>
      </c>
      <c r="AK158">
        <v>2102124.2250000001</v>
      </c>
      <c r="AL158">
        <v>2108028.5550000002</v>
      </c>
      <c r="AM158">
        <v>2114930.0669999998</v>
      </c>
      <c r="AN158">
        <v>2119291.5129999998</v>
      </c>
      <c r="AO158">
        <v>2124273.128</v>
      </c>
      <c r="AP158">
        <v>2130308.7629999998</v>
      </c>
      <c r="AQ158">
        <v>2137354.983</v>
      </c>
      <c r="AR158">
        <v>2143086.338</v>
      </c>
      <c r="AS158">
        <v>2151911.6069999998</v>
      </c>
      <c r="AT158">
        <v>2159692.4739999999</v>
      </c>
      <c r="AU158">
        <v>2166876.0809999998</v>
      </c>
      <c r="AV158">
        <v>2174517</v>
      </c>
      <c r="AW158">
        <v>2182616.4909999999</v>
      </c>
    </row>
    <row r="159" spans="2:49" x14ac:dyDescent="0.25">
      <c r="B159" t="s">
        <v>230</v>
      </c>
      <c r="C159">
        <v>20640520.667746101</v>
      </c>
      <c r="D159">
        <v>20971910.903432399</v>
      </c>
      <c r="E159">
        <v>17996165.57</v>
      </c>
      <c r="F159">
        <v>18361010.640000001</v>
      </c>
      <c r="G159">
        <v>17728955.859999999</v>
      </c>
      <c r="H159">
        <v>17074584.149999999</v>
      </c>
      <c r="I159">
        <v>17334574.760000002</v>
      </c>
      <c r="J159">
        <v>17023402.629999999</v>
      </c>
      <c r="K159">
        <v>16398342.689999999</v>
      </c>
      <c r="L159">
        <v>16222702.57</v>
      </c>
      <c r="M159">
        <v>16528764.58</v>
      </c>
      <c r="N159">
        <v>17272296.43</v>
      </c>
      <c r="O159">
        <v>17128252.699999999</v>
      </c>
      <c r="P159">
        <v>16480246.27</v>
      </c>
      <c r="Q159">
        <v>15330323.98</v>
      </c>
      <c r="R159">
        <v>14459978.27</v>
      </c>
      <c r="S159">
        <v>13755700.449999999</v>
      </c>
      <c r="T159">
        <v>13370917.68</v>
      </c>
      <c r="U159">
        <v>13031119.439999999</v>
      </c>
      <c r="V159">
        <v>12696599.460000001</v>
      </c>
      <c r="W159">
        <v>12581096.25</v>
      </c>
      <c r="X159">
        <v>12414574.449999999</v>
      </c>
      <c r="Y159">
        <v>12183433.310000001</v>
      </c>
      <c r="Z159">
        <v>11919735.560000001</v>
      </c>
      <c r="AA159">
        <v>11604506.01</v>
      </c>
      <c r="AB159">
        <v>11291529.41</v>
      </c>
      <c r="AC159">
        <v>10978037.380000001</v>
      </c>
      <c r="AD159">
        <v>10670606.109999999</v>
      </c>
      <c r="AE159">
        <v>10360015.4</v>
      </c>
      <c r="AF159">
        <v>10057658.32</v>
      </c>
      <c r="AG159">
        <v>9754688.56399999</v>
      </c>
      <c r="AH159">
        <v>9456168.97299999</v>
      </c>
      <c r="AI159">
        <v>9162119.6600000001</v>
      </c>
      <c r="AJ159">
        <v>8877843.9330000002</v>
      </c>
      <c r="AK159">
        <v>8601141.3169999998</v>
      </c>
      <c r="AL159">
        <v>8331515.642</v>
      </c>
      <c r="AM159">
        <v>8068619.9450000003</v>
      </c>
      <c r="AN159">
        <v>7824014.2000000002</v>
      </c>
      <c r="AO159">
        <v>7589714.7189999996</v>
      </c>
      <c r="AP159">
        <v>7362216.8219999997</v>
      </c>
      <c r="AQ159">
        <v>7142518.8909999998</v>
      </c>
      <c r="AR159">
        <v>6927103.4220000003</v>
      </c>
      <c r="AS159">
        <v>6716345.3260000004</v>
      </c>
      <c r="AT159">
        <v>6510849.2319999998</v>
      </c>
      <c r="AU159">
        <v>6310194.9749999996</v>
      </c>
      <c r="AV159">
        <v>6113980.477</v>
      </c>
      <c r="AW159">
        <v>5921935.6840000004</v>
      </c>
    </row>
    <row r="160" spans="2:49" x14ac:dyDescent="0.25">
      <c r="B160" t="s">
        <v>231</v>
      </c>
      <c r="C160">
        <v>261855678.291933</v>
      </c>
      <c r="D160">
        <v>266059855.90652901</v>
      </c>
      <c r="E160">
        <v>239664588.40000001</v>
      </c>
      <c r="F160">
        <v>240806942.5</v>
      </c>
      <c r="G160">
        <v>225930982.19999999</v>
      </c>
      <c r="H160">
        <v>208878608.59999999</v>
      </c>
      <c r="I160">
        <v>207605004.59999999</v>
      </c>
      <c r="J160">
        <v>201232147.69999999</v>
      </c>
      <c r="K160">
        <v>191916532.80000001</v>
      </c>
      <c r="L160">
        <v>186688169.69999999</v>
      </c>
      <c r="M160">
        <v>185609494.69999999</v>
      </c>
      <c r="N160">
        <v>186495799.09999999</v>
      </c>
      <c r="O160">
        <v>178485308.40000001</v>
      </c>
      <c r="P160">
        <v>171739027.90000001</v>
      </c>
      <c r="Q160">
        <v>162974958.90000001</v>
      </c>
      <c r="R160">
        <v>157557202.09999999</v>
      </c>
      <c r="S160">
        <v>152328749.19999999</v>
      </c>
      <c r="T160">
        <v>151517210.80000001</v>
      </c>
      <c r="U160">
        <v>150744146.5</v>
      </c>
      <c r="V160">
        <v>150785529.19999999</v>
      </c>
      <c r="W160">
        <v>149977591.19999999</v>
      </c>
      <c r="X160">
        <v>148487383.90000001</v>
      </c>
      <c r="Y160">
        <v>147376983.69999999</v>
      </c>
      <c r="Z160">
        <v>146563158.69999999</v>
      </c>
      <c r="AA160">
        <v>145502571.90000001</v>
      </c>
      <c r="AB160">
        <v>144340634.90000001</v>
      </c>
      <c r="AC160">
        <v>143257112.90000001</v>
      </c>
      <c r="AD160">
        <v>142135614.5</v>
      </c>
      <c r="AE160">
        <v>140837138.09999999</v>
      </c>
      <c r="AF160">
        <v>139627044.19999999</v>
      </c>
      <c r="AG160">
        <v>138399075.09999999</v>
      </c>
      <c r="AH160">
        <v>137223787.5</v>
      </c>
      <c r="AI160">
        <v>136309963.30000001</v>
      </c>
      <c r="AJ160">
        <v>135381890</v>
      </c>
      <c r="AK160">
        <v>134416463</v>
      </c>
      <c r="AL160">
        <v>133473397.59999999</v>
      </c>
      <c r="AM160">
        <v>132543398.7</v>
      </c>
      <c r="AN160">
        <v>131318921.3</v>
      </c>
      <c r="AO160">
        <v>130098554.3</v>
      </c>
      <c r="AP160">
        <v>128826300</v>
      </c>
      <c r="AQ160">
        <v>127543862.09999999</v>
      </c>
      <c r="AR160">
        <v>126227350.90000001</v>
      </c>
      <c r="AS160">
        <v>125338377.8</v>
      </c>
      <c r="AT160">
        <v>124460174.09999999</v>
      </c>
      <c r="AU160">
        <v>123573628.90000001</v>
      </c>
      <c r="AV160">
        <v>122696404.40000001</v>
      </c>
      <c r="AW160">
        <v>121886620.5</v>
      </c>
    </row>
    <row r="161" spans="2:49" x14ac:dyDescent="0.25">
      <c r="B161" t="s">
        <v>232</v>
      </c>
      <c r="C161">
        <v>5733144.4507061103</v>
      </c>
      <c r="D161">
        <v>5825191.9393003099</v>
      </c>
      <c r="E161">
        <v>5064672.3430000003</v>
      </c>
      <c r="F161">
        <v>5068434.8779999996</v>
      </c>
      <c r="G161">
        <v>4905523.2960000001</v>
      </c>
      <c r="H161">
        <v>5023154.9000000004</v>
      </c>
      <c r="I161">
        <v>5061103.9639999997</v>
      </c>
      <c r="J161">
        <v>4957280.1500000004</v>
      </c>
      <c r="K161">
        <v>4806414.8839999996</v>
      </c>
      <c r="L161">
        <v>4789416.8669999996</v>
      </c>
      <c r="M161">
        <v>4866957.5379999997</v>
      </c>
      <c r="N161">
        <v>5088282.5619999999</v>
      </c>
      <c r="O161">
        <v>5110426.7390000001</v>
      </c>
      <c r="P161">
        <v>4905187.2740000002</v>
      </c>
      <c r="Q161">
        <v>4483795.9689999996</v>
      </c>
      <c r="R161">
        <v>4182076.0980000002</v>
      </c>
      <c r="S161">
        <v>3961400.6880000001</v>
      </c>
      <c r="T161">
        <v>3796748.5090000001</v>
      </c>
      <c r="U161">
        <v>3650480.895</v>
      </c>
      <c r="V161">
        <v>3505006.5460000001</v>
      </c>
      <c r="W161">
        <v>3478994.0980000002</v>
      </c>
      <c r="X161">
        <v>3430827.3539999998</v>
      </c>
      <c r="Y161">
        <v>3355131.77</v>
      </c>
      <c r="Z161">
        <v>3267245.4369999999</v>
      </c>
      <c r="AA161">
        <v>3160418.9709999999</v>
      </c>
      <c r="AB161">
        <v>3055459.3319999999</v>
      </c>
      <c r="AC161">
        <v>2951097.9610000001</v>
      </c>
      <c r="AD161">
        <v>2849543.43</v>
      </c>
      <c r="AE161">
        <v>2747328.14</v>
      </c>
      <c r="AF161">
        <v>2648673.9040000001</v>
      </c>
      <c r="AG161">
        <v>2550049.6239999998</v>
      </c>
      <c r="AH161">
        <v>2453304.6839999999</v>
      </c>
      <c r="AI161">
        <v>2358402.9559999998</v>
      </c>
      <c r="AJ161">
        <v>2267191.2289999998</v>
      </c>
      <c r="AK161">
        <v>2178769.801</v>
      </c>
      <c r="AL161">
        <v>2092929.3</v>
      </c>
      <c r="AM161">
        <v>2009540.2520000001</v>
      </c>
      <c r="AN161">
        <v>1930021.8810000001</v>
      </c>
      <c r="AO161">
        <v>1853455.4650000001</v>
      </c>
      <c r="AP161">
        <v>1778987.889</v>
      </c>
      <c r="AQ161">
        <v>1707000.905</v>
      </c>
      <c r="AR161">
        <v>1636360.888</v>
      </c>
      <c r="AS161">
        <v>1567246.953</v>
      </c>
      <c r="AT161">
        <v>1499862.628</v>
      </c>
      <c r="AU161">
        <v>1434036.1850000001</v>
      </c>
      <c r="AV161">
        <v>1369662.5759999999</v>
      </c>
      <c r="AW161">
        <v>1306631.514</v>
      </c>
    </row>
    <row r="162" spans="2:49" x14ac:dyDescent="0.25">
      <c r="B162" t="s">
        <v>233</v>
      </c>
      <c r="C162">
        <v>746221.21464997705</v>
      </c>
      <c r="D162">
        <v>758202.03762327298</v>
      </c>
      <c r="E162">
        <v>770375.21660000004</v>
      </c>
      <c r="F162">
        <v>786060.728</v>
      </c>
      <c r="G162">
        <v>645152.39879999997</v>
      </c>
      <c r="H162">
        <v>572918.67220000003</v>
      </c>
      <c r="I162">
        <v>402493.61680000002</v>
      </c>
      <c r="J162">
        <v>409695.95329999999</v>
      </c>
      <c r="K162">
        <v>379166.95270000002</v>
      </c>
      <c r="L162">
        <v>377243.70990000002</v>
      </c>
      <c r="M162">
        <v>382255.74550000002</v>
      </c>
      <c r="N162">
        <v>370546.67109999998</v>
      </c>
      <c r="O162">
        <v>310555.22039999999</v>
      </c>
      <c r="P162">
        <v>263007.23469999997</v>
      </c>
      <c r="Q162">
        <v>228899.52350000001</v>
      </c>
      <c r="R162">
        <v>203194.90779999999</v>
      </c>
      <c r="S162">
        <v>174690.2329</v>
      </c>
      <c r="T162">
        <v>165502.26680000001</v>
      </c>
      <c r="U162">
        <v>154964.158</v>
      </c>
      <c r="V162">
        <v>147008.128</v>
      </c>
      <c r="W162">
        <v>133992.38440000001</v>
      </c>
      <c r="X162">
        <v>122050.69530000001</v>
      </c>
      <c r="Y162">
        <v>119302.931</v>
      </c>
      <c r="Z162">
        <v>118980.4037</v>
      </c>
      <c r="AA162">
        <v>119333.1486</v>
      </c>
      <c r="AB162">
        <v>119856.1171</v>
      </c>
      <c r="AC162">
        <v>120755.09209999999</v>
      </c>
      <c r="AD162">
        <v>121975.9412</v>
      </c>
      <c r="AE162">
        <v>123053.9114</v>
      </c>
      <c r="AF162">
        <v>124228.93550000001</v>
      </c>
      <c r="AG162">
        <v>125424.6534</v>
      </c>
      <c r="AH162">
        <v>126894.84669999999</v>
      </c>
      <c r="AI162">
        <v>128243.867</v>
      </c>
      <c r="AJ162">
        <v>129418.2674</v>
      </c>
      <c r="AK162">
        <v>130680.4302</v>
      </c>
      <c r="AL162">
        <v>131946.54240000001</v>
      </c>
      <c r="AM162">
        <v>133193.03709999999</v>
      </c>
      <c r="AN162">
        <v>130542.3115</v>
      </c>
      <c r="AO162">
        <v>127301.97410000001</v>
      </c>
      <c r="AP162">
        <v>123877.1384</v>
      </c>
      <c r="AQ162">
        <v>120563.5128</v>
      </c>
      <c r="AR162">
        <v>117187.6924</v>
      </c>
      <c r="AS162">
        <v>115678.4314</v>
      </c>
      <c r="AT162">
        <v>114488.6934</v>
      </c>
      <c r="AU162">
        <v>113288.9237</v>
      </c>
      <c r="AV162">
        <v>112107.5585</v>
      </c>
      <c r="AW162">
        <v>111393.3051</v>
      </c>
    </row>
    <row r="163" spans="2:49" x14ac:dyDescent="0.25">
      <c r="B163" t="s">
        <v>234</v>
      </c>
      <c r="C163">
        <v>480333.66960581898</v>
      </c>
      <c r="D163">
        <v>488045.58203966799</v>
      </c>
      <c r="E163">
        <v>495881.31170000002</v>
      </c>
      <c r="F163">
        <v>501263.97460000002</v>
      </c>
      <c r="G163">
        <v>416902.13050000003</v>
      </c>
      <c r="H163">
        <v>385318.80560000002</v>
      </c>
      <c r="I163">
        <v>361169.77100000001</v>
      </c>
      <c r="J163">
        <v>324294.06890000001</v>
      </c>
      <c r="K163">
        <v>313029.53810000001</v>
      </c>
      <c r="L163">
        <v>337441.5319</v>
      </c>
      <c r="M163">
        <v>339278.16090000002</v>
      </c>
      <c r="N163">
        <v>340049.663</v>
      </c>
      <c r="O163">
        <v>252551.84940000001</v>
      </c>
      <c r="P163">
        <v>192505.92879999999</v>
      </c>
      <c r="Q163">
        <v>161953.068</v>
      </c>
      <c r="R163">
        <v>142420.38620000001</v>
      </c>
      <c r="S163">
        <v>125601.336</v>
      </c>
      <c r="T163">
        <v>122873.3285</v>
      </c>
      <c r="U163">
        <v>121122.3328</v>
      </c>
      <c r="V163">
        <v>120050.5085</v>
      </c>
      <c r="W163">
        <v>116700.6177</v>
      </c>
      <c r="X163">
        <v>113132.6465</v>
      </c>
      <c r="Y163">
        <v>114034.2451</v>
      </c>
      <c r="Z163">
        <v>116160.8391</v>
      </c>
      <c r="AA163">
        <v>118551.1902</v>
      </c>
      <c r="AB163">
        <v>121064.18090000001</v>
      </c>
      <c r="AC163">
        <v>123915.7965</v>
      </c>
      <c r="AD163">
        <v>126349.9528</v>
      </c>
      <c r="AE163">
        <v>128823.87579999999</v>
      </c>
      <c r="AF163">
        <v>131298.32519999999</v>
      </c>
      <c r="AG163">
        <v>133955.69330000001</v>
      </c>
      <c r="AH163">
        <v>136852.48790000001</v>
      </c>
      <c r="AI163">
        <v>139723.72630000001</v>
      </c>
      <c r="AJ163">
        <v>142616.17060000001</v>
      </c>
      <c r="AK163">
        <v>145498.33989999999</v>
      </c>
      <c r="AL163">
        <v>148418.15210000001</v>
      </c>
      <c r="AM163">
        <v>151366.15770000001</v>
      </c>
      <c r="AN163">
        <v>151594.1931</v>
      </c>
      <c r="AO163">
        <v>151179.0563</v>
      </c>
      <c r="AP163">
        <v>150379.73610000001</v>
      </c>
      <c r="AQ163">
        <v>149327.22349999999</v>
      </c>
      <c r="AR163">
        <v>148066.30499999999</v>
      </c>
      <c r="AS163">
        <v>148322.17860000001</v>
      </c>
      <c r="AT163">
        <v>148776.00399999999</v>
      </c>
      <c r="AU163">
        <v>149219.41810000001</v>
      </c>
      <c r="AV163">
        <v>149624.5729</v>
      </c>
      <c r="AW163">
        <v>150038.43830000001</v>
      </c>
    </row>
    <row r="164" spans="2:49" x14ac:dyDescent="0.25">
      <c r="B164" t="s">
        <v>235</v>
      </c>
      <c r="C164">
        <v>1469582.3108926199</v>
      </c>
      <c r="D164">
        <v>1493176.93024387</v>
      </c>
      <c r="E164">
        <v>1517150.3689999999</v>
      </c>
      <c r="F164">
        <v>1535020.372</v>
      </c>
      <c r="G164">
        <v>1321629.702</v>
      </c>
      <c r="H164">
        <v>1268549.5730000001</v>
      </c>
      <c r="I164">
        <v>1036820.534</v>
      </c>
      <c r="J164">
        <v>961460.85950000002</v>
      </c>
      <c r="K164">
        <v>960578.59389999998</v>
      </c>
      <c r="L164">
        <v>1029423.4669999999</v>
      </c>
      <c r="M164">
        <v>1034963.772</v>
      </c>
      <c r="N164">
        <v>1041728.078</v>
      </c>
      <c r="O164">
        <v>788361.05110000004</v>
      </c>
      <c r="P164">
        <v>608712.81480000005</v>
      </c>
      <c r="Q164">
        <v>512654.91800000001</v>
      </c>
      <c r="R164">
        <v>460196.1201</v>
      </c>
      <c r="S164">
        <v>399086.2353</v>
      </c>
      <c r="T164">
        <v>383260.72009999998</v>
      </c>
      <c r="U164">
        <v>370188.54969999997</v>
      </c>
      <c r="V164">
        <v>358741.09240000002</v>
      </c>
      <c r="W164">
        <v>331052.42589999997</v>
      </c>
      <c r="X164">
        <v>304940.69179999997</v>
      </c>
      <c r="Y164">
        <v>296858.56920000003</v>
      </c>
      <c r="Z164">
        <v>293065.82929999998</v>
      </c>
      <c r="AA164">
        <v>289979.55239999999</v>
      </c>
      <c r="AB164">
        <v>287075.55359999998</v>
      </c>
      <c r="AC164">
        <v>284569.33519999997</v>
      </c>
      <c r="AD164">
        <v>287913.7133</v>
      </c>
      <c r="AE164">
        <v>291305.64720000001</v>
      </c>
      <c r="AF164">
        <v>294895.89559999999</v>
      </c>
      <c r="AG164">
        <v>298595.09659999999</v>
      </c>
      <c r="AH164">
        <v>302679.32610000001</v>
      </c>
      <c r="AI164">
        <v>306720.68709999998</v>
      </c>
      <c r="AJ164">
        <v>310696.37800000003</v>
      </c>
      <c r="AK164">
        <v>314646.76199999999</v>
      </c>
      <c r="AL164">
        <v>318656.77789999999</v>
      </c>
      <c r="AM164">
        <v>322680.9509</v>
      </c>
      <c r="AN164">
        <v>319188.46370000002</v>
      </c>
      <c r="AO164">
        <v>314130.65669999999</v>
      </c>
      <c r="AP164">
        <v>308385.17619999999</v>
      </c>
      <c r="AQ164">
        <v>302372.64679999999</v>
      </c>
      <c r="AR164">
        <v>296116.09259999997</v>
      </c>
      <c r="AS164">
        <v>293740.4719</v>
      </c>
      <c r="AT164">
        <v>291972.43320000003</v>
      </c>
      <c r="AU164">
        <v>290282.69910000003</v>
      </c>
      <c r="AV164">
        <v>288616.42129999999</v>
      </c>
      <c r="AW164">
        <v>286995.0295</v>
      </c>
    </row>
    <row r="165" spans="2:49" x14ac:dyDescent="0.25">
      <c r="B165" t="s">
        <v>236</v>
      </c>
      <c r="C165">
        <v>225722.47732836599</v>
      </c>
      <c r="D165">
        <v>229346.52471387701</v>
      </c>
      <c r="E165">
        <v>233028.7574</v>
      </c>
      <c r="F165">
        <v>236352.56460000001</v>
      </c>
      <c r="G165">
        <v>213683.4234</v>
      </c>
      <c r="H165">
        <v>203612.54459999999</v>
      </c>
      <c r="I165">
        <v>192549.46739999999</v>
      </c>
      <c r="J165">
        <v>186529.5569</v>
      </c>
      <c r="K165">
        <v>188872.71460000001</v>
      </c>
      <c r="L165">
        <v>202208.98180000001</v>
      </c>
      <c r="M165">
        <v>206272.72700000001</v>
      </c>
      <c r="N165">
        <v>210927.0148</v>
      </c>
      <c r="O165">
        <v>175860.2071</v>
      </c>
      <c r="P165">
        <v>152353.87179999999</v>
      </c>
      <c r="Q165">
        <v>139658.65109999999</v>
      </c>
      <c r="R165">
        <v>135662.8284</v>
      </c>
      <c r="S165">
        <v>127826.53720000001</v>
      </c>
      <c r="T165">
        <v>124726.6891</v>
      </c>
      <c r="U165">
        <v>123252.4244</v>
      </c>
      <c r="V165">
        <v>121858.1081</v>
      </c>
      <c r="W165">
        <v>119344.296</v>
      </c>
      <c r="X165">
        <v>115948.90919999999</v>
      </c>
      <c r="Y165">
        <v>116679.68309999999</v>
      </c>
      <c r="Z165">
        <v>118376.71679999999</v>
      </c>
      <c r="AA165">
        <v>120016.6921</v>
      </c>
      <c r="AB165">
        <v>121658.4088</v>
      </c>
      <c r="AC165">
        <v>123274.7885</v>
      </c>
      <c r="AD165">
        <v>124775.9608</v>
      </c>
      <c r="AE165">
        <v>126209.7583</v>
      </c>
      <c r="AF165">
        <v>127775.64380000001</v>
      </c>
      <c r="AG165">
        <v>129268.69560000001</v>
      </c>
      <c r="AH165">
        <v>130818.3483</v>
      </c>
      <c r="AI165">
        <v>132380.7684</v>
      </c>
      <c r="AJ165">
        <v>134016.85430000001</v>
      </c>
      <c r="AK165">
        <v>135676.5361</v>
      </c>
      <c r="AL165">
        <v>137398.21160000001</v>
      </c>
      <c r="AM165">
        <v>139162.4866</v>
      </c>
      <c r="AN165">
        <v>138898.81020000001</v>
      </c>
      <c r="AO165">
        <v>138119.87239999999</v>
      </c>
      <c r="AP165">
        <v>137057.3559</v>
      </c>
      <c r="AQ165">
        <v>135836.0557</v>
      </c>
      <c r="AR165">
        <v>134436.16039999999</v>
      </c>
      <c r="AS165">
        <v>134319.78320000001</v>
      </c>
      <c r="AT165">
        <v>134435.77340000001</v>
      </c>
      <c r="AU165">
        <v>134586.65220000001</v>
      </c>
      <c r="AV165">
        <v>134745.5858</v>
      </c>
      <c r="AW165">
        <v>134889.375</v>
      </c>
    </row>
    <row r="166" spans="2:49" x14ac:dyDescent="0.25">
      <c r="B166" t="s">
        <v>237</v>
      </c>
      <c r="C166">
        <v>20679763.666016001</v>
      </c>
      <c r="D166">
        <v>21011783.9607329</v>
      </c>
      <c r="E166">
        <v>21366946.739999998</v>
      </c>
      <c r="F166">
        <v>21487980.09</v>
      </c>
      <c r="G166">
        <v>18146700.93</v>
      </c>
      <c r="H166">
        <v>15167549.619999999</v>
      </c>
      <c r="I166">
        <v>15851091.27</v>
      </c>
      <c r="J166">
        <v>15470457.689999999</v>
      </c>
      <c r="K166">
        <v>14717218.85</v>
      </c>
      <c r="L166">
        <v>15462674.18</v>
      </c>
      <c r="M166">
        <v>15865214.49</v>
      </c>
      <c r="N166">
        <v>16212773.109999999</v>
      </c>
      <c r="O166">
        <v>13419360.289999999</v>
      </c>
      <c r="P166">
        <v>12003150.470000001</v>
      </c>
      <c r="Q166">
        <v>10880497.77</v>
      </c>
      <c r="R166">
        <v>9970321.88199999</v>
      </c>
      <c r="S166">
        <v>9226551.6710000001</v>
      </c>
      <c r="T166">
        <v>9141755.318</v>
      </c>
      <c r="U166">
        <v>9112810.1520000007</v>
      </c>
      <c r="V166">
        <v>9174572.7070000004</v>
      </c>
      <c r="W166">
        <v>9025828.59799999</v>
      </c>
      <c r="X166">
        <v>8772841.02999999</v>
      </c>
      <c r="Y166">
        <v>8733458.7149999999</v>
      </c>
      <c r="Z166">
        <v>8744581.8589999899</v>
      </c>
      <c r="AA166">
        <v>8746765.0260000005</v>
      </c>
      <c r="AB166">
        <v>8748301.6030000001</v>
      </c>
      <c r="AC166">
        <v>8731507.9149999898</v>
      </c>
      <c r="AD166">
        <v>8848364.43899999</v>
      </c>
      <c r="AE166">
        <v>8940669.5319999997</v>
      </c>
      <c r="AF166">
        <v>9035279.7349999994</v>
      </c>
      <c r="AG166">
        <v>9135168.7400000002</v>
      </c>
      <c r="AH166">
        <v>9226208.0449999999</v>
      </c>
      <c r="AI166">
        <v>9354525.2180000003</v>
      </c>
      <c r="AJ166">
        <v>9473770.3420000002</v>
      </c>
      <c r="AK166">
        <v>9590338.8469999898</v>
      </c>
      <c r="AL166">
        <v>9707635.6359999999</v>
      </c>
      <c r="AM166">
        <v>9824425.5390000008</v>
      </c>
      <c r="AN166">
        <v>9850299.58699999</v>
      </c>
      <c r="AO166">
        <v>9868439.8129999898</v>
      </c>
      <c r="AP166">
        <v>9874802.4289999995</v>
      </c>
      <c r="AQ166">
        <v>9875664.02999999</v>
      </c>
      <c r="AR166">
        <v>9854920.784</v>
      </c>
      <c r="AS166">
        <v>9902822.4550000001</v>
      </c>
      <c r="AT166">
        <v>9950422.9570000004</v>
      </c>
      <c r="AU166">
        <v>9995865.3829999994</v>
      </c>
      <c r="AV166">
        <v>10040057.92</v>
      </c>
      <c r="AW166">
        <v>10089106.560000001</v>
      </c>
    </row>
    <row r="167" spans="2:49" x14ac:dyDescent="0.25">
      <c r="B167" t="s">
        <v>238</v>
      </c>
      <c r="C167">
        <v>2009388.6600685499</v>
      </c>
      <c r="D167">
        <v>2041650.04496113</v>
      </c>
      <c r="E167">
        <v>2074429.3970000001</v>
      </c>
      <c r="F167">
        <v>2145816.077</v>
      </c>
      <c r="G167">
        <v>1714146.85</v>
      </c>
      <c r="H167">
        <v>1629943.703</v>
      </c>
      <c r="I167">
        <v>1632609.449</v>
      </c>
      <c r="J167">
        <v>1504209.203</v>
      </c>
      <c r="K167">
        <v>1537213.3589999999</v>
      </c>
      <c r="L167">
        <v>1760976.88</v>
      </c>
      <c r="M167">
        <v>1836190.8770000001</v>
      </c>
      <c r="N167">
        <v>1846369.9480000001</v>
      </c>
      <c r="O167">
        <v>1203296.3759999999</v>
      </c>
      <c r="P167">
        <v>837724.68649999995</v>
      </c>
      <c r="Q167">
        <v>675728.51950000005</v>
      </c>
      <c r="R167">
        <v>610686.8321</v>
      </c>
      <c r="S167">
        <v>529113.97530000005</v>
      </c>
      <c r="T167">
        <v>527220.95279999997</v>
      </c>
      <c r="U167">
        <v>530543.02159999998</v>
      </c>
      <c r="V167">
        <v>540674.96250000002</v>
      </c>
      <c r="W167">
        <v>544764.39740000002</v>
      </c>
      <c r="X167">
        <v>548823.53020000004</v>
      </c>
      <c r="Y167">
        <v>556392.98190000001</v>
      </c>
      <c r="Z167">
        <v>568799.95719999995</v>
      </c>
      <c r="AA167">
        <v>580935.74490000005</v>
      </c>
      <c r="AB167">
        <v>593672.26060000004</v>
      </c>
      <c r="AC167">
        <v>608205.03370000003</v>
      </c>
      <c r="AD167">
        <v>622954.79550000001</v>
      </c>
      <c r="AE167">
        <v>638010.00159999996</v>
      </c>
      <c r="AF167">
        <v>653667.76100000006</v>
      </c>
      <c r="AG167">
        <v>670553.84719999996</v>
      </c>
      <c r="AH167">
        <v>688832.43030000001</v>
      </c>
      <c r="AI167">
        <v>707186.25289999996</v>
      </c>
      <c r="AJ167">
        <v>725673.99690000003</v>
      </c>
      <c r="AK167">
        <v>744441.95920000004</v>
      </c>
      <c r="AL167">
        <v>763821.14249999996</v>
      </c>
      <c r="AM167">
        <v>783781.80579999997</v>
      </c>
      <c r="AN167">
        <v>801466.25170000002</v>
      </c>
      <c r="AO167">
        <v>819943.27370000002</v>
      </c>
      <c r="AP167">
        <v>837955.82350000006</v>
      </c>
      <c r="AQ167">
        <v>855901.29830000002</v>
      </c>
      <c r="AR167">
        <v>873851.84510000004</v>
      </c>
      <c r="AS167">
        <v>893685.72360000003</v>
      </c>
      <c r="AT167">
        <v>913678.70530000003</v>
      </c>
      <c r="AU167">
        <v>933996.88210000005</v>
      </c>
      <c r="AV167">
        <v>954611.32</v>
      </c>
      <c r="AW167">
        <v>975944.27520000003</v>
      </c>
    </row>
    <row r="168" spans="2:49" x14ac:dyDescent="0.25">
      <c r="B168" t="s">
        <v>239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</row>
    <row r="169" spans="2:49" x14ac:dyDescent="0.25">
      <c r="B169" t="s">
        <v>240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</row>
    <row r="170" spans="2:49" x14ac:dyDescent="0.25">
      <c r="B170" t="s">
        <v>241</v>
      </c>
      <c r="C170">
        <v>20174774.421468802</v>
      </c>
      <c r="D170">
        <v>20498686.950521201</v>
      </c>
      <c r="E170">
        <v>20827800</v>
      </c>
      <c r="F170">
        <v>19626701.530000001</v>
      </c>
      <c r="G170">
        <v>18314286.030000001</v>
      </c>
      <c r="H170">
        <v>15978024.779999999</v>
      </c>
      <c r="I170">
        <v>14865728.58</v>
      </c>
      <c r="J170">
        <v>13982857.82</v>
      </c>
      <c r="K170">
        <v>13019117.789999999</v>
      </c>
      <c r="L170">
        <v>11933951.109999999</v>
      </c>
      <c r="M170">
        <v>10889886.369999999</v>
      </c>
      <c r="N170">
        <v>9799422.068</v>
      </c>
      <c r="O170">
        <v>8289525.6490000002</v>
      </c>
      <c r="P170">
        <v>7000217.5920000002</v>
      </c>
      <c r="Q170">
        <v>6548893.7470000004</v>
      </c>
      <c r="R170">
        <v>6443565.0779999997</v>
      </c>
      <c r="S170">
        <v>6336764.1960000005</v>
      </c>
      <c r="T170">
        <v>6305049.2340000002</v>
      </c>
      <c r="U170">
        <v>6291213.4270000001</v>
      </c>
      <c r="V170">
        <v>6291983.3799999999</v>
      </c>
      <c r="W170">
        <v>6473946.5729999999</v>
      </c>
      <c r="X170">
        <v>6708563.4479999999</v>
      </c>
      <c r="Y170">
        <v>6839523.1330000004</v>
      </c>
      <c r="Z170">
        <v>6946962.3930000002</v>
      </c>
      <c r="AA170">
        <v>7064005.8679999998</v>
      </c>
      <c r="AB170">
        <v>7162094.1600000001</v>
      </c>
      <c r="AC170">
        <v>7262848.9749999996</v>
      </c>
      <c r="AD170">
        <v>7312253.4239999996</v>
      </c>
      <c r="AE170">
        <v>7356209.1359999999</v>
      </c>
      <c r="AF170">
        <v>7399436.7089999998</v>
      </c>
      <c r="AG170">
        <v>7442742.1150000002</v>
      </c>
      <c r="AH170">
        <v>7486689.9939999999</v>
      </c>
      <c r="AI170">
        <v>7528348.4879999999</v>
      </c>
      <c r="AJ170">
        <v>7567208.8590000002</v>
      </c>
      <c r="AK170">
        <v>7603376.091</v>
      </c>
      <c r="AL170">
        <v>7638168.375</v>
      </c>
      <c r="AM170">
        <v>7671625.2869999995</v>
      </c>
      <c r="AN170">
        <v>7697799.085</v>
      </c>
      <c r="AO170">
        <v>7721296.7280000001</v>
      </c>
      <c r="AP170">
        <v>7742498.4210000001</v>
      </c>
      <c r="AQ170">
        <v>7760416.1279999996</v>
      </c>
      <c r="AR170">
        <v>7777488.75</v>
      </c>
      <c r="AS170">
        <v>7801794.9970000004</v>
      </c>
      <c r="AT170">
        <v>7826165.6409999998</v>
      </c>
      <c r="AU170">
        <v>7849008.8329999996</v>
      </c>
      <c r="AV170">
        <v>7870537.392</v>
      </c>
      <c r="AW170">
        <v>7894221.0120000001</v>
      </c>
    </row>
    <row r="171" spans="2:49" x14ac:dyDescent="0.25">
      <c r="B171" t="s">
        <v>242</v>
      </c>
      <c r="C171">
        <v>16278956.881142</v>
      </c>
      <c r="D171">
        <v>16540320.799446501</v>
      </c>
      <c r="E171">
        <v>16805881</v>
      </c>
      <c r="F171">
        <v>16816549.370000001</v>
      </c>
      <c r="G171">
        <v>15834381.439999999</v>
      </c>
      <c r="H171">
        <v>15173989.359999999</v>
      </c>
      <c r="I171">
        <v>14788043.09</v>
      </c>
      <c r="J171">
        <v>12914559.609999999</v>
      </c>
      <c r="K171">
        <v>11219320.82</v>
      </c>
      <c r="L171">
        <v>9843113.2339999899</v>
      </c>
      <c r="M171">
        <v>8816255.5529999901</v>
      </c>
      <c r="N171">
        <v>7977165.3799999999</v>
      </c>
      <c r="O171">
        <v>7258242.8619999997</v>
      </c>
      <c r="P171">
        <v>6500949.9170000004</v>
      </c>
      <c r="Q171">
        <v>5700035.5410000002</v>
      </c>
      <c r="R171">
        <v>5027403.375</v>
      </c>
      <c r="S171">
        <v>4393158.807</v>
      </c>
      <c r="T171">
        <v>5193137.8640000001</v>
      </c>
      <c r="U171">
        <v>5972802.9340000004</v>
      </c>
      <c r="V171">
        <v>6757260.1270000003</v>
      </c>
      <c r="W171">
        <v>6656266.1279999996</v>
      </c>
      <c r="X171">
        <v>6505863.5750000002</v>
      </c>
      <c r="Y171">
        <v>6392464.443</v>
      </c>
      <c r="Z171">
        <v>6309167.5999999996</v>
      </c>
      <c r="AA171">
        <v>6224485.9900000002</v>
      </c>
      <c r="AB171">
        <v>6140393.8119999999</v>
      </c>
      <c r="AC171">
        <v>6041430.8169999998</v>
      </c>
      <c r="AD171">
        <v>5950476.216</v>
      </c>
      <c r="AE171">
        <v>5866965.7659999998</v>
      </c>
      <c r="AF171">
        <v>5784861.4170000004</v>
      </c>
      <c r="AG171">
        <v>5702688.6399999997</v>
      </c>
      <c r="AH171">
        <v>5622071.2240000004</v>
      </c>
      <c r="AI171">
        <v>5549821.2139999997</v>
      </c>
      <c r="AJ171">
        <v>5480015.7819999997</v>
      </c>
      <c r="AK171">
        <v>5410263.068</v>
      </c>
      <c r="AL171">
        <v>5342047.8569999998</v>
      </c>
      <c r="AM171">
        <v>5274948.5640000002</v>
      </c>
      <c r="AN171">
        <v>5205079.824</v>
      </c>
      <c r="AO171">
        <v>5134530.5829999996</v>
      </c>
      <c r="AP171">
        <v>5062519.2980000004</v>
      </c>
      <c r="AQ171">
        <v>4990719.0259999996</v>
      </c>
      <c r="AR171">
        <v>4914377.824</v>
      </c>
      <c r="AS171">
        <v>4854243.727</v>
      </c>
      <c r="AT171">
        <v>4795657.8099999996</v>
      </c>
      <c r="AU171">
        <v>4737861.9239999996</v>
      </c>
      <c r="AV171">
        <v>4681317.0710000005</v>
      </c>
      <c r="AW171">
        <v>4627911.6260000002</v>
      </c>
    </row>
    <row r="172" spans="2:49" x14ac:dyDescent="0.25">
      <c r="B172" t="s">
        <v>243</v>
      </c>
      <c r="C172">
        <v>6501803.9853722304</v>
      </c>
      <c r="D172">
        <v>6606192.55142547</v>
      </c>
      <c r="E172">
        <v>5596698.8099999996</v>
      </c>
      <c r="F172">
        <v>5790082.4019999998</v>
      </c>
      <c r="G172">
        <v>5486017.3640000001</v>
      </c>
      <c r="H172">
        <v>5806042.7800000003</v>
      </c>
      <c r="I172">
        <v>6015779.8380000005</v>
      </c>
      <c r="J172">
        <v>5636914.3420000002</v>
      </c>
      <c r="K172">
        <v>5379977.5580000002</v>
      </c>
      <c r="L172">
        <v>5239500.74</v>
      </c>
      <c r="M172">
        <v>5623477.7960000001</v>
      </c>
      <c r="N172">
        <v>6024000.9850000003</v>
      </c>
      <c r="O172">
        <v>6271705.0599999996</v>
      </c>
      <c r="P172">
        <v>6298826.4929999998</v>
      </c>
      <c r="Q172">
        <v>5822571.2060000002</v>
      </c>
      <c r="R172">
        <v>5765435.8760000002</v>
      </c>
      <c r="S172">
        <v>5804926.6189999999</v>
      </c>
      <c r="T172">
        <v>5933813.9340000004</v>
      </c>
      <c r="U172">
        <v>6049911.5080000004</v>
      </c>
      <c r="V172">
        <v>6221374.7630000003</v>
      </c>
      <c r="W172">
        <v>6322850.1720000003</v>
      </c>
      <c r="X172">
        <v>6458408.9759999998</v>
      </c>
      <c r="Y172">
        <v>6532921.6469999999</v>
      </c>
      <c r="Z172">
        <v>6578903.6349999998</v>
      </c>
      <c r="AA172">
        <v>6606677.0520000001</v>
      </c>
      <c r="AB172">
        <v>6628020.6059999997</v>
      </c>
      <c r="AC172">
        <v>6680245.8629999999</v>
      </c>
      <c r="AD172">
        <v>6678851.875</v>
      </c>
      <c r="AE172">
        <v>6690345.7949999999</v>
      </c>
      <c r="AF172">
        <v>6705079.7309999997</v>
      </c>
      <c r="AG172">
        <v>6723822.1239999998</v>
      </c>
      <c r="AH172">
        <v>6760339.9819999998</v>
      </c>
      <c r="AI172">
        <v>6780783.398</v>
      </c>
      <c r="AJ172">
        <v>6814174.7630000003</v>
      </c>
      <c r="AK172">
        <v>6845320.2120000003</v>
      </c>
      <c r="AL172">
        <v>6879504.6560000004</v>
      </c>
      <c r="AM172">
        <v>6915152.7400000002</v>
      </c>
      <c r="AN172">
        <v>6953308.3799999999</v>
      </c>
      <c r="AO172">
        <v>6993704.1430000002</v>
      </c>
      <c r="AP172">
        <v>7032971.0669999998</v>
      </c>
      <c r="AQ172">
        <v>7071578.0410000002</v>
      </c>
      <c r="AR172">
        <v>7120638.6210000003</v>
      </c>
      <c r="AS172">
        <v>7141033.3229999999</v>
      </c>
      <c r="AT172">
        <v>7161770.9450000003</v>
      </c>
      <c r="AU172">
        <v>7183431.5789999999</v>
      </c>
      <c r="AV172">
        <v>7207608.6529999999</v>
      </c>
      <c r="AW172">
        <v>7235826.5489999996</v>
      </c>
    </row>
    <row r="173" spans="2:49" x14ac:dyDescent="0.25">
      <c r="B173" t="s">
        <v>244</v>
      </c>
      <c r="C173">
        <v>6377150.6112568304</v>
      </c>
      <c r="D173">
        <v>6479537.8270683698</v>
      </c>
      <c r="E173">
        <v>5489398.2220000001</v>
      </c>
      <c r="F173">
        <v>5625672.1500000004</v>
      </c>
      <c r="G173">
        <v>5294853.58</v>
      </c>
      <c r="H173">
        <v>5546588.4630000005</v>
      </c>
      <c r="I173">
        <v>5406173.335</v>
      </c>
      <c r="J173">
        <v>5179518.8569999998</v>
      </c>
      <c r="K173">
        <v>4836839.0319999997</v>
      </c>
      <c r="L173">
        <v>4765650.6459999997</v>
      </c>
      <c r="M173">
        <v>4889262.307</v>
      </c>
      <c r="N173">
        <v>5096636.6279999996</v>
      </c>
      <c r="O173">
        <v>4571546.82</v>
      </c>
      <c r="P173">
        <v>3966159.4759999998</v>
      </c>
      <c r="Q173">
        <v>3367866.9580000001</v>
      </c>
      <c r="R173">
        <v>2990287.8280000002</v>
      </c>
      <c r="S173">
        <v>2749650.9010000001</v>
      </c>
      <c r="T173">
        <v>2737290.8769999999</v>
      </c>
      <c r="U173">
        <v>2769241.2009999999</v>
      </c>
      <c r="V173">
        <v>2824987.577</v>
      </c>
      <c r="W173">
        <v>2824887.355</v>
      </c>
      <c r="X173">
        <v>2837009.0830000001</v>
      </c>
      <c r="Y173">
        <v>2849463.335</v>
      </c>
      <c r="Z173">
        <v>2870797.4470000002</v>
      </c>
      <c r="AA173">
        <v>2890840.1159999999</v>
      </c>
      <c r="AB173">
        <v>2911890.273</v>
      </c>
      <c r="AC173">
        <v>2949156.9470000002</v>
      </c>
      <c r="AD173">
        <v>2964978.1910000001</v>
      </c>
      <c r="AE173">
        <v>2986872.6519999998</v>
      </c>
      <c r="AF173">
        <v>3006958.88</v>
      </c>
      <c r="AG173">
        <v>3031393.5049999999</v>
      </c>
      <c r="AH173">
        <v>3065862.3190000001</v>
      </c>
      <c r="AI173">
        <v>3091162.8969999999</v>
      </c>
      <c r="AJ173">
        <v>3121293.8640000001</v>
      </c>
      <c r="AK173">
        <v>3149266.2059999998</v>
      </c>
      <c r="AL173">
        <v>3177285.7859999998</v>
      </c>
      <c r="AM173">
        <v>3204932.483</v>
      </c>
      <c r="AN173">
        <v>3213747.84</v>
      </c>
      <c r="AO173">
        <v>3215432.2149999999</v>
      </c>
      <c r="AP173">
        <v>3212562.8339999998</v>
      </c>
      <c r="AQ173">
        <v>3205874.906</v>
      </c>
      <c r="AR173">
        <v>3200328.429</v>
      </c>
      <c r="AS173">
        <v>3196653.5970000001</v>
      </c>
      <c r="AT173">
        <v>3195146.3229999999</v>
      </c>
      <c r="AU173">
        <v>3193619.9539999999</v>
      </c>
      <c r="AV173">
        <v>3191995.4380000001</v>
      </c>
      <c r="AW173">
        <v>3190775.662</v>
      </c>
    </row>
    <row r="174" spans="2:49" x14ac:dyDescent="0.25">
      <c r="B174" t="s">
        <v>245</v>
      </c>
      <c r="C174">
        <v>415184.68418409303</v>
      </c>
      <c r="D174">
        <v>421850.60858395998</v>
      </c>
      <c r="E174">
        <v>357387.52399999998</v>
      </c>
      <c r="F174">
        <v>387897.614</v>
      </c>
      <c r="G174">
        <v>361875.17009999999</v>
      </c>
      <c r="H174">
        <v>332322.64390000002</v>
      </c>
      <c r="I174">
        <v>361879.34879999998</v>
      </c>
      <c r="J174">
        <v>345664.85460000002</v>
      </c>
      <c r="K174">
        <v>326577.4448</v>
      </c>
      <c r="L174">
        <v>329992.2243</v>
      </c>
      <c r="M174">
        <v>354544.20500000002</v>
      </c>
      <c r="N174">
        <v>408275.48820000002</v>
      </c>
      <c r="O174">
        <v>364933.64720000001</v>
      </c>
      <c r="P174">
        <v>307866.71600000001</v>
      </c>
      <c r="Q174">
        <v>247139.28630000001</v>
      </c>
      <c r="R174">
        <v>211539.6635</v>
      </c>
      <c r="S174">
        <v>174081.70929999999</v>
      </c>
      <c r="T174">
        <v>166971.40599999999</v>
      </c>
      <c r="U174">
        <v>168948.26579999999</v>
      </c>
      <c r="V174">
        <v>173351.25200000001</v>
      </c>
      <c r="W174">
        <v>176092.52179999999</v>
      </c>
      <c r="X174">
        <v>161439.02720000001</v>
      </c>
      <c r="Y174">
        <v>176368.54629999999</v>
      </c>
      <c r="Z174">
        <v>183646.26809999999</v>
      </c>
      <c r="AA174">
        <v>188355.95850000001</v>
      </c>
      <c r="AB174">
        <v>191968.68520000001</v>
      </c>
      <c r="AC174">
        <v>184661.07620000001</v>
      </c>
      <c r="AD174">
        <v>196185.54490000001</v>
      </c>
      <c r="AE174">
        <v>199931.6949</v>
      </c>
      <c r="AF174">
        <v>203396.70439999999</v>
      </c>
      <c r="AG174">
        <v>206812.6954</v>
      </c>
      <c r="AH174">
        <v>202239.4503</v>
      </c>
      <c r="AI174">
        <v>210990.8316</v>
      </c>
      <c r="AJ174">
        <v>216548.56409999999</v>
      </c>
      <c r="AK174">
        <v>220508.34099999999</v>
      </c>
      <c r="AL174">
        <v>224012.81890000001</v>
      </c>
      <c r="AM174">
        <v>227208.31030000001</v>
      </c>
      <c r="AN174">
        <v>227681.36559999999</v>
      </c>
      <c r="AO174">
        <v>229207.73019999999</v>
      </c>
      <c r="AP174">
        <v>230860.8597</v>
      </c>
      <c r="AQ174">
        <v>232469.84099999999</v>
      </c>
      <c r="AR174">
        <v>228922.27960000001</v>
      </c>
      <c r="AS174">
        <v>232740.6263</v>
      </c>
      <c r="AT174">
        <v>234923.36749999999</v>
      </c>
      <c r="AU174">
        <v>236446.64840000001</v>
      </c>
      <c r="AV174">
        <v>237692.15119999999</v>
      </c>
      <c r="AW174">
        <v>238880.9523</v>
      </c>
    </row>
    <row r="175" spans="2:49" x14ac:dyDescent="0.25">
      <c r="B175" t="s">
        <v>246</v>
      </c>
      <c r="C175">
        <v>4757556.1935294</v>
      </c>
      <c r="D175">
        <v>4833940.2970916703</v>
      </c>
      <c r="E175">
        <v>4095264.8139999998</v>
      </c>
      <c r="F175">
        <v>4137800.463</v>
      </c>
      <c r="G175">
        <v>3740696.58</v>
      </c>
      <c r="H175">
        <v>3409655.395</v>
      </c>
      <c r="I175">
        <v>3079503.5109999999</v>
      </c>
      <c r="J175">
        <v>3220087.2239999999</v>
      </c>
      <c r="K175">
        <v>2877343.7560000001</v>
      </c>
      <c r="L175">
        <v>2766075.5639999998</v>
      </c>
      <c r="M175">
        <v>2842684.5329999998</v>
      </c>
      <c r="N175">
        <v>2947277.2609999999</v>
      </c>
      <c r="O175">
        <v>2752125.64</v>
      </c>
      <c r="P175">
        <v>2452212.0610000002</v>
      </c>
      <c r="Q175">
        <v>2125665.122</v>
      </c>
      <c r="R175">
        <v>1878496.9620000001</v>
      </c>
      <c r="S175">
        <v>1665586.9609999999</v>
      </c>
      <c r="T175">
        <v>1591618.5759999999</v>
      </c>
      <c r="U175">
        <v>1526959.1470000001</v>
      </c>
      <c r="V175">
        <v>1466013.8529999999</v>
      </c>
      <c r="W175">
        <v>1353791.1170000001</v>
      </c>
      <c r="X175">
        <v>1239869.6710000001</v>
      </c>
      <c r="Y175">
        <v>1226767.2930000001</v>
      </c>
      <c r="Z175">
        <v>1228462.959</v>
      </c>
      <c r="AA175">
        <v>1232709.5830000001</v>
      </c>
      <c r="AB175">
        <v>1238104.615</v>
      </c>
      <c r="AC175">
        <v>1242973.2930000001</v>
      </c>
      <c r="AD175">
        <v>1256062.3459999999</v>
      </c>
      <c r="AE175">
        <v>1265504.2620000001</v>
      </c>
      <c r="AF175">
        <v>1274691.8389999999</v>
      </c>
      <c r="AG175">
        <v>1284881.882</v>
      </c>
      <c r="AH175">
        <v>1294258.18</v>
      </c>
      <c r="AI175">
        <v>1308783.6980000001</v>
      </c>
      <c r="AJ175">
        <v>1322191.919</v>
      </c>
      <c r="AK175">
        <v>1334767.371</v>
      </c>
      <c r="AL175">
        <v>1347327.7960000001</v>
      </c>
      <c r="AM175">
        <v>1359796.9750000001</v>
      </c>
      <c r="AN175">
        <v>1334540.7390000001</v>
      </c>
      <c r="AO175">
        <v>1302436.787</v>
      </c>
      <c r="AP175">
        <v>1268051.865</v>
      </c>
      <c r="AQ175">
        <v>1233056.4720000001</v>
      </c>
      <c r="AR175">
        <v>1196341.8500000001</v>
      </c>
      <c r="AS175">
        <v>1180264.199</v>
      </c>
      <c r="AT175">
        <v>1166796.956</v>
      </c>
      <c r="AU175">
        <v>1153618.8870000001</v>
      </c>
      <c r="AV175">
        <v>1140521.5260000001</v>
      </c>
      <c r="AW175">
        <v>1128103.0079999999</v>
      </c>
    </row>
    <row r="176" spans="2:49" x14ac:dyDescent="0.25">
      <c r="B176" t="s">
        <v>247</v>
      </c>
      <c r="C176">
        <v>16503281.675133999</v>
      </c>
      <c r="D176">
        <v>16768247.200565999</v>
      </c>
      <c r="E176">
        <v>14205887.65</v>
      </c>
      <c r="F176">
        <v>14375330.27</v>
      </c>
      <c r="G176">
        <v>13098327.119999999</v>
      </c>
      <c r="H176">
        <v>11768723.15</v>
      </c>
      <c r="I176">
        <v>11303499.279999999</v>
      </c>
      <c r="J176">
        <v>12103599.130000001</v>
      </c>
      <c r="K176">
        <v>10803451.949999999</v>
      </c>
      <c r="L176">
        <v>10367094.01</v>
      </c>
      <c r="M176">
        <v>10647560.99</v>
      </c>
      <c r="N176">
        <v>10939914.65</v>
      </c>
      <c r="O176">
        <v>10488111.300000001</v>
      </c>
      <c r="P176">
        <v>9653702.5280000009</v>
      </c>
      <c r="Q176">
        <v>8583872.8420000002</v>
      </c>
      <c r="R176">
        <v>7800995.8650000002</v>
      </c>
      <c r="S176">
        <v>6950294.4369999999</v>
      </c>
      <c r="T176">
        <v>6860099.4939999999</v>
      </c>
      <c r="U176">
        <v>6705726.9790000003</v>
      </c>
      <c r="V176">
        <v>6643934.2290000003</v>
      </c>
      <c r="W176">
        <v>6288151.5429999996</v>
      </c>
      <c r="X176">
        <v>5932582.9270000001</v>
      </c>
      <c r="Y176">
        <v>5818144.4170000004</v>
      </c>
      <c r="Z176">
        <v>5784986.1789999995</v>
      </c>
      <c r="AA176">
        <v>5775929.6629999997</v>
      </c>
      <c r="AB176">
        <v>5774565.3150000004</v>
      </c>
      <c r="AC176">
        <v>5790932.6320000002</v>
      </c>
      <c r="AD176">
        <v>5825235.6349999998</v>
      </c>
      <c r="AE176">
        <v>5851891.7220000001</v>
      </c>
      <c r="AF176">
        <v>5881871.8569999998</v>
      </c>
      <c r="AG176">
        <v>5912723.6979999999</v>
      </c>
      <c r="AH176">
        <v>5956166.9570000004</v>
      </c>
      <c r="AI176">
        <v>5999463.682</v>
      </c>
      <c r="AJ176">
        <v>6036155.0870000003</v>
      </c>
      <c r="AK176">
        <v>6077209.1299999999</v>
      </c>
      <c r="AL176">
        <v>6118291.3909999998</v>
      </c>
      <c r="AM176">
        <v>6157531.4199999999</v>
      </c>
      <c r="AN176">
        <v>6067821.0949999997</v>
      </c>
      <c r="AO176">
        <v>5957126.4589999998</v>
      </c>
      <c r="AP176">
        <v>5835041.1749999998</v>
      </c>
      <c r="AQ176">
        <v>5713889.5350000001</v>
      </c>
      <c r="AR176">
        <v>5584595.426</v>
      </c>
      <c r="AS176">
        <v>5515950.4689999996</v>
      </c>
      <c r="AT176">
        <v>5456463.7609999999</v>
      </c>
      <c r="AU176">
        <v>5394824.625</v>
      </c>
      <c r="AV176">
        <v>5333156.7750000004</v>
      </c>
      <c r="AW176">
        <v>5293187.1840000004</v>
      </c>
    </row>
    <row r="177" spans="2:49" x14ac:dyDescent="0.25">
      <c r="B177" t="s">
        <v>248</v>
      </c>
      <c r="C177">
        <v>11632594.838881901</v>
      </c>
      <c r="D177">
        <v>11819359.911689499</v>
      </c>
      <c r="E177">
        <v>10013240.92</v>
      </c>
      <c r="F177">
        <v>10030889.050000001</v>
      </c>
      <c r="G177">
        <v>9270377.8469999898</v>
      </c>
      <c r="H177">
        <v>8757417.8900000006</v>
      </c>
      <c r="I177">
        <v>7968262.6090000002</v>
      </c>
      <c r="J177">
        <v>7193011.7470000004</v>
      </c>
      <c r="K177">
        <v>6513847.9589999998</v>
      </c>
      <c r="L177">
        <v>6440810.5149999997</v>
      </c>
      <c r="M177">
        <v>6439923.068</v>
      </c>
      <c r="N177">
        <v>6778708.0930000003</v>
      </c>
      <c r="O177">
        <v>6207587.1160000004</v>
      </c>
      <c r="P177">
        <v>5420955.1670000004</v>
      </c>
      <c r="Q177">
        <v>4709606.0319999997</v>
      </c>
      <c r="R177">
        <v>4124397.9530000002</v>
      </c>
      <c r="S177">
        <v>3708211.233</v>
      </c>
      <c r="T177">
        <v>3549292.0839999998</v>
      </c>
      <c r="U177">
        <v>3382976.91</v>
      </c>
      <c r="V177">
        <v>3221384.273</v>
      </c>
      <c r="W177">
        <v>2985082.7570000002</v>
      </c>
      <c r="X177">
        <v>2750929.3689999999</v>
      </c>
      <c r="Y177">
        <v>2727702.2370000002</v>
      </c>
      <c r="Z177">
        <v>2751461.7119999998</v>
      </c>
      <c r="AA177">
        <v>2781640.395</v>
      </c>
      <c r="AB177">
        <v>2815343.2459999998</v>
      </c>
      <c r="AC177">
        <v>2856198.8840000001</v>
      </c>
      <c r="AD177">
        <v>2884076.6719999998</v>
      </c>
      <c r="AE177">
        <v>2910457.7850000001</v>
      </c>
      <c r="AF177">
        <v>2936182.0469999998</v>
      </c>
      <c r="AG177">
        <v>2964894.19</v>
      </c>
      <c r="AH177">
        <v>2997579.9789999998</v>
      </c>
      <c r="AI177">
        <v>3031168.85</v>
      </c>
      <c r="AJ177">
        <v>3065171.6140000001</v>
      </c>
      <c r="AK177">
        <v>3098345.9909999999</v>
      </c>
      <c r="AL177">
        <v>3131837.7960000001</v>
      </c>
      <c r="AM177">
        <v>3165242.5860000001</v>
      </c>
      <c r="AN177">
        <v>3105463.784</v>
      </c>
      <c r="AO177">
        <v>3027741.6639999999</v>
      </c>
      <c r="AP177">
        <v>2944167.3569999998</v>
      </c>
      <c r="AQ177">
        <v>2859079.5019999999</v>
      </c>
      <c r="AR177">
        <v>2773092.3470000001</v>
      </c>
      <c r="AS177">
        <v>2733424.15</v>
      </c>
      <c r="AT177">
        <v>2701592.952</v>
      </c>
      <c r="AU177">
        <v>2671322.659</v>
      </c>
      <c r="AV177">
        <v>2641669.1370000001</v>
      </c>
      <c r="AW177">
        <v>2613350.327</v>
      </c>
    </row>
    <row r="178" spans="2:49" x14ac:dyDescent="0.25">
      <c r="B178" t="s">
        <v>249</v>
      </c>
      <c r="C178">
        <v>3166830.51938263</v>
      </c>
      <c r="D178">
        <v>3217675.0077116699</v>
      </c>
      <c r="E178">
        <v>2725981.38</v>
      </c>
      <c r="F178">
        <v>2740722.88</v>
      </c>
      <c r="G178">
        <v>2687362.8369999998</v>
      </c>
      <c r="H178">
        <v>2607800.7740000002</v>
      </c>
      <c r="I178">
        <v>2582972.0929999999</v>
      </c>
      <c r="J178">
        <v>2510444.0449999999</v>
      </c>
      <c r="K178">
        <v>2380151.855</v>
      </c>
      <c r="L178">
        <v>2372940.102</v>
      </c>
      <c r="M178">
        <v>2398279.213</v>
      </c>
      <c r="N178">
        <v>2562658.1869999999</v>
      </c>
      <c r="O178">
        <v>2522449.3840000001</v>
      </c>
      <c r="P178">
        <v>2377568.16</v>
      </c>
      <c r="Q178">
        <v>2193339.1189999999</v>
      </c>
      <c r="R178">
        <v>2107672.0469999998</v>
      </c>
      <c r="S178">
        <v>1989867.7420000001</v>
      </c>
      <c r="T178">
        <v>1976956.496</v>
      </c>
      <c r="U178">
        <v>1968541.0889999999</v>
      </c>
      <c r="V178">
        <v>1970533.0660000001</v>
      </c>
      <c r="W178">
        <v>1892519.8030000001</v>
      </c>
      <c r="X178">
        <v>1807348.62</v>
      </c>
      <c r="Y178">
        <v>1756975.17</v>
      </c>
      <c r="Z178">
        <v>1722779.216</v>
      </c>
      <c r="AA178">
        <v>1687561.8770000001</v>
      </c>
      <c r="AB178">
        <v>1653258.6629999999</v>
      </c>
      <c r="AC178">
        <v>1621297.3689999999</v>
      </c>
      <c r="AD178">
        <v>1623981.9720000001</v>
      </c>
      <c r="AE178">
        <v>1626461.8810000001</v>
      </c>
      <c r="AF178">
        <v>1630561.0959999999</v>
      </c>
      <c r="AG178">
        <v>1634372.304</v>
      </c>
      <c r="AH178">
        <v>1640029.942</v>
      </c>
      <c r="AI178">
        <v>1646973.4509999999</v>
      </c>
      <c r="AJ178">
        <v>1654598.5930000001</v>
      </c>
      <c r="AK178">
        <v>1662396.3430000001</v>
      </c>
      <c r="AL178">
        <v>1670688.0989999999</v>
      </c>
      <c r="AM178">
        <v>1679165.8219999999</v>
      </c>
      <c r="AN178">
        <v>1669973.0830000001</v>
      </c>
      <c r="AO178">
        <v>1657988.1910000001</v>
      </c>
      <c r="AP178">
        <v>1643951.6229999999</v>
      </c>
      <c r="AQ178">
        <v>1629210.8870000001</v>
      </c>
      <c r="AR178">
        <v>1613299.2520000001</v>
      </c>
      <c r="AS178">
        <v>1605778.588</v>
      </c>
      <c r="AT178">
        <v>1599499.1880000001</v>
      </c>
      <c r="AU178">
        <v>1593530.341</v>
      </c>
      <c r="AV178">
        <v>1587908.1229999999</v>
      </c>
      <c r="AW178">
        <v>1582742.757</v>
      </c>
    </row>
    <row r="179" spans="2:49" x14ac:dyDescent="0.25">
      <c r="B179" t="s">
        <v>250</v>
      </c>
      <c r="C179">
        <v>6723975.7599636996</v>
      </c>
      <c r="D179">
        <v>6831931.3657214995</v>
      </c>
      <c r="E179">
        <v>5798504.8339999998</v>
      </c>
      <c r="F179">
        <v>5844720.2230000002</v>
      </c>
      <c r="G179">
        <v>5863796.1529999999</v>
      </c>
      <c r="H179">
        <v>5514642.324</v>
      </c>
      <c r="I179">
        <v>5736416.0460000001</v>
      </c>
      <c r="J179">
        <v>5791952.7769999998</v>
      </c>
      <c r="K179">
        <v>5685499.6330000004</v>
      </c>
      <c r="L179">
        <v>5696817.068</v>
      </c>
      <c r="M179">
        <v>5740305.0209999997</v>
      </c>
      <c r="N179">
        <v>5982706.1220000004</v>
      </c>
      <c r="O179">
        <v>5992755.9819999998</v>
      </c>
      <c r="P179">
        <v>5997786.6129999999</v>
      </c>
      <c r="Q179">
        <v>5891171.2079999996</v>
      </c>
      <c r="R179">
        <v>5939919.4380000001</v>
      </c>
      <c r="S179">
        <v>5882368.0429999996</v>
      </c>
      <c r="T179">
        <v>5892298.7170000002</v>
      </c>
      <c r="U179">
        <v>5977622.8859999999</v>
      </c>
      <c r="V179">
        <v>6093237.5839999998</v>
      </c>
      <c r="W179">
        <v>6161050.3940000003</v>
      </c>
      <c r="X179">
        <v>6213166.0269999998</v>
      </c>
      <c r="Y179">
        <v>6248003.4500000002</v>
      </c>
      <c r="Z179">
        <v>6285293.29</v>
      </c>
      <c r="AA179">
        <v>6312609.6950000003</v>
      </c>
      <c r="AB179">
        <v>6334248.7429999998</v>
      </c>
      <c r="AC179">
        <v>6352068.4340000004</v>
      </c>
      <c r="AD179">
        <v>6364566.9119999995</v>
      </c>
      <c r="AE179">
        <v>6374300.9510000004</v>
      </c>
      <c r="AF179">
        <v>6390177.3320000004</v>
      </c>
      <c r="AG179">
        <v>6401265.4800000004</v>
      </c>
      <c r="AH179">
        <v>6414516.0820000004</v>
      </c>
      <c r="AI179">
        <v>6434107.858</v>
      </c>
      <c r="AJ179">
        <v>6458707.9910000004</v>
      </c>
      <c r="AK179">
        <v>6484245.4189999998</v>
      </c>
      <c r="AL179">
        <v>6512252.0310000004</v>
      </c>
      <c r="AM179">
        <v>6541168.3949999996</v>
      </c>
      <c r="AN179">
        <v>6571779.642</v>
      </c>
      <c r="AO179">
        <v>6604294.665</v>
      </c>
      <c r="AP179">
        <v>6634901.6500000004</v>
      </c>
      <c r="AQ179">
        <v>6665088.4189999998</v>
      </c>
      <c r="AR179">
        <v>6694012.909</v>
      </c>
      <c r="AS179">
        <v>6720204.4709999999</v>
      </c>
      <c r="AT179">
        <v>6746260.6500000004</v>
      </c>
      <c r="AU179">
        <v>6773108.1490000002</v>
      </c>
      <c r="AV179">
        <v>6801334.4680000003</v>
      </c>
      <c r="AW179">
        <v>6830079.2280000001</v>
      </c>
    </row>
    <row r="180" spans="2:49" x14ac:dyDescent="0.25">
      <c r="B180" t="s">
        <v>251</v>
      </c>
      <c r="C180">
        <v>312332.22295347298</v>
      </c>
      <c r="D180">
        <v>317346.817819711</v>
      </c>
      <c r="E180">
        <v>268852.98060000001</v>
      </c>
      <c r="F180">
        <v>279471.4241</v>
      </c>
      <c r="G180">
        <v>268192.01449999999</v>
      </c>
      <c r="H180">
        <v>234603.0393</v>
      </c>
      <c r="I180">
        <v>246896.2225</v>
      </c>
      <c r="J180">
        <v>249493.26130000001</v>
      </c>
      <c r="K180">
        <v>233093.83869999999</v>
      </c>
      <c r="L180">
        <v>220985.44529999999</v>
      </c>
      <c r="M180">
        <v>217994.34909999999</v>
      </c>
      <c r="N180">
        <v>230153.21710000001</v>
      </c>
      <c r="O180">
        <v>212321.81839999999</v>
      </c>
      <c r="P180">
        <v>196903.51240000001</v>
      </c>
      <c r="Q180">
        <v>178693.74239999999</v>
      </c>
      <c r="R180">
        <v>162417.2205</v>
      </c>
      <c r="S180">
        <v>150267.8989</v>
      </c>
      <c r="T180">
        <v>150389.10999999999</v>
      </c>
      <c r="U180">
        <v>151962.5252</v>
      </c>
      <c r="V180">
        <v>155545.11869999999</v>
      </c>
      <c r="W180">
        <v>156847.83100000001</v>
      </c>
      <c r="X180">
        <v>156950.24799999999</v>
      </c>
      <c r="Y180">
        <v>158515.14499999999</v>
      </c>
      <c r="Z180">
        <v>160780.3518</v>
      </c>
      <c r="AA180">
        <v>163380.3162</v>
      </c>
      <c r="AB180">
        <v>166324.3346</v>
      </c>
      <c r="AC180">
        <v>168834.3308</v>
      </c>
      <c r="AD180">
        <v>169387.8768</v>
      </c>
      <c r="AE180">
        <v>169221.79209999999</v>
      </c>
      <c r="AF180">
        <v>169152.44270000001</v>
      </c>
      <c r="AG180">
        <v>169164.50700000001</v>
      </c>
      <c r="AH180">
        <v>168455.6251</v>
      </c>
      <c r="AI180">
        <v>169186.88010000001</v>
      </c>
      <c r="AJ180">
        <v>169658.72390000001</v>
      </c>
      <c r="AK180">
        <v>169956.5062</v>
      </c>
      <c r="AL180">
        <v>170240.1599</v>
      </c>
      <c r="AM180">
        <v>170502.96369999999</v>
      </c>
      <c r="AN180">
        <v>170195.7879</v>
      </c>
      <c r="AO180">
        <v>170110.25750000001</v>
      </c>
      <c r="AP180">
        <v>170000.10269999999</v>
      </c>
      <c r="AQ180">
        <v>169904.7726</v>
      </c>
      <c r="AR180">
        <v>169162.36670000001</v>
      </c>
      <c r="AS180">
        <v>169292.43549999999</v>
      </c>
      <c r="AT180">
        <v>169286.747</v>
      </c>
      <c r="AU180">
        <v>169215.28880000001</v>
      </c>
      <c r="AV180">
        <v>169144.37119999999</v>
      </c>
      <c r="AW180">
        <v>169227.1948</v>
      </c>
    </row>
    <row r="181" spans="2:49" x14ac:dyDescent="0.25">
      <c r="B181" t="s">
        <v>252</v>
      </c>
      <c r="C181">
        <v>7845653.0561234802</v>
      </c>
      <c r="D181">
        <v>7971617.5536879301</v>
      </c>
      <c r="E181">
        <v>6753472.9170000004</v>
      </c>
      <c r="F181">
        <v>6917734.8729999997</v>
      </c>
      <c r="G181">
        <v>6604952.0990000004</v>
      </c>
      <c r="H181">
        <v>6302575.9160000002</v>
      </c>
      <c r="I181">
        <v>6324453.6840000004</v>
      </c>
      <c r="J181">
        <v>6111102.977</v>
      </c>
      <c r="K181">
        <v>5720710.5559999999</v>
      </c>
      <c r="L181">
        <v>5582470.8200000003</v>
      </c>
      <c r="M181">
        <v>5717504.9510000004</v>
      </c>
      <c r="N181">
        <v>6116612.9230000004</v>
      </c>
      <c r="O181">
        <v>5875304.3470000001</v>
      </c>
      <c r="P181">
        <v>5364072.1409999998</v>
      </c>
      <c r="Q181">
        <v>4771300.3739999998</v>
      </c>
      <c r="R181">
        <v>4462520.9220000003</v>
      </c>
      <c r="S181">
        <v>4137920.932</v>
      </c>
      <c r="T181">
        <v>4194675.9680000003</v>
      </c>
      <c r="U181">
        <v>4254888.2510000002</v>
      </c>
      <c r="V181">
        <v>4363749.9249999998</v>
      </c>
      <c r="W181">
        <v>4403442.4639999997</v>
      </c>
      <c r="X181">
        <v>4443888.4620000003</v>
      </c>
      <c r="Y181">
        <v>4454656.477</v>
      </c>
      <c r="Z181">
        <v>4488597.3990000002</v>
      </c>
      <c r="AA181">
        <v>4514966.5369999995</v>
      </c>
      <c r="AB181">
        <v>4541776.4249999998</v>
      </c>
      <c r="AC181">
        <v>4578498.7860000003</v>
      </c>
      <c r="AD181">
        <v>4609807.6940000001</v>
      </c>
      <c r="AE181">
        <v>4638454.49</v>
      </c>
      <c r="AF181">
        <v>4668487.67</v>
      </c>
      <c r="AG181">
        <v>4703082.5779999997</v>
      </c>
      <c r="AH181">
        <v>4742860.9469999997</v>
      </c>
      <c r="AI181">
        <v>4789580.1849999996</v>
      </c>
      <c r="AJ181">
        <v>4836611.43</v>
      </c>
      <c r="AK181">
        <v>4882572.4409999996</v>
      </c>
      <c r="AL181">
        <v>4929777.7970000003</v>
      </c>
      <c r="AM181">
        <v>4976808.7709999997</v>
      </c>
      <c r="AN181">
        <v>5005514.4160000002</v>
      </c>
      <c r="AO181">
        <v>5037320.9630000005</v>
      </c>
      <c r="AP181">
        <v>5065268.7740000002</v>
      </c>
      <c r="AQ181">
        <v>5091133.3909999998</v>
      </c>
      <c r="AR181">
        <v>5115531.0640000002</v>
      </c>
      <c r="AS181">
        <v>5141447.6239999998</v>
      </c>
      <c r="AT181">
        <v>5164016.409</v>
      </c>
      <c r="AU181">
        <v>5186111.46</v>
      </c>
      <c r="AV181">
        <v>5208228.1090000002</v>
      </c>
      <c r="AW181">
        <v>5232805.68</v>
      </c>
    </row>
    <row r="182" spans="2:49" x14ac:dyDescent="0.25">
      <c r="B182" t="s">
        <v>253</v>
      </c>
      <c r="C182">
        <v>3.3990718667427999</v>
      </c>
      <c r="D182">
        <v>3.4536450650243098</v>
      </c>
      <c r="E182">
        <v>2.9258928009999998</v>
      </c>
      <c r="F182">
        <v>3.1051400610000002</v>
      </c>
      <c r="G182">
        <v>3.0381859410000001</v>
      </c>
      <c r="H182">
        <v>2.8441321450000001</v>
      </c>
      <c r="I182">
        <v>2.819475234</v>
      </c>
      <c r="J182">
        <v>2.8105009480000001</v>
      </c>
      <c r="K182">
        <v>2.6891929010000002</v>
      </c>
      <c r="L182">
        <v>2.6907089420000001</v>
      </c>
      <c r="M182">
        <v>2.7015147179999999</v>
      </c>
      <c r="N182">
        <v>2.7796178889999998</v>
      </c>
      <c r="O182">
        <v>2.9402260039999999</v>
      </c>
      <c r="P182">
        <v>3.0503540070000001</v>
      </c>
      <c r="Q182">
        <v>3.0368973810000002</v>
      </c>
      <c r="R182">
        <v>3.126814827</v>
      </c>
      <c r="S182">
        <v>3.0447425890000002</v>
      </c>
      <c r="T182">
        <v>3.1475779890000002</v>
      </c>
      <c r="U182">
        <v>3.1682762769999999</v>
      </c>
      <c r="V182">
        <v>3.253442953</v>
      </c>
      <c r="W182">
        <v>3.2273379759999998</v>
      </c>
      <c r="X182">
        <v>3.2151288299999998</v>
      </c>
      <c r="Y182">
        <v>3.1375632790000001</v>
      </c>
      <c r="Z182">
        <v>3.0893188779999998</v>
      </c>
      <c r="AA182">
        <v>3.0578044499999999</v>
      </c>
      <c r="AB182">
        <v>3.0311522320000002</v>
      </c>
      <c r="AC182">
        <v>3.020361281</v>
      </c>
      <c r="AD182">
        <v>3.0169399019999998</v>
      </c>
      <c r="AE182">
        <v>3.0109027460000002</v>
      </c>
      <c r="AF182">
        <v>3.0082510259999999</v>
      </c>
      <c r="AG182">
        <v>3.0038362470000002</v>
      </c>
      <c r="AH182">
        <v>3.009081117</v>
      </c>
      <c r="AI182">
        <v>3.0102561959999998</v>
      </c>
      <c r="AJ182">
        <v>3.0092014539999998</v>
      </c>
      <c r="AK182">
        <v>3.0118269510000002</v>
      </c>
      <c r="AL182">
        <v>3.0149799900000001</v>
      </c>
      <c r="AM182">
        <v>3.017338911</v>
      </c>
      <c r="AN182">
        <v>3.005560097</v>
      </c>
      <c r="AO182">
        <v>2.9979543569999998</v>
      </c>
      <c r="AP182">
        <v>2.9892818760000002</v>
      </c>
      <c r="AQ182">
        <v>2.985028995</v>
      </c>
      <c r="AR182">
        <v>2.9807925769999999</v>
      </c>
      <c r="AS182">
        <v>2.9698414569999998</v>
      </c>
      <c r="AT182">
        <v>2.9585272389999999</v>
      </c>
      <c r="AU182">
        <v>2.9447177230000001</v>
      </c>
      <c r="AV182">
        <v>2.9311180399999999</v>
      </c>
      <c r="AW182">
        <v>2.9426909719999998</v>
      </c>
    </row>
    <row r="183" spans="2:49" x14ac:dyDescent="0.25">
      <c r="B183" t="s">
        <v>254</v>
      </c>
      <c r="C183">
        <v>600391.80946004798</v>
      </c>
      <c r="D183">
        <v>610031.29416316305</v>
      </c>
      <c r="E183">
        <v>516812.27750000003</v>
      </c>
      <c r="F183">
        <v>535307.35869999998</v>
      </c>
      <c r="G183">
        <v>508915.60800000001</v>
      </c>
      <c r="H183">
        <v>512926.33870000002</v>
      </c>
      <c r="I183">
        <v>532738.49820000003</v>
      </c>
      <c r="J183">
        <v>516109.23220000003</v>
      </c>
      <c r="K183">
        <v>490443.78529999999</v>
      </c>
      <c r="L183">
        <v>497907.52399999998</v>
      </c>
      <c r="M183">
        <v>511466.54710000003</v>
      </c>
      <c r="N183">
        <v>545091.75809999998</v>
      </c>
      <c r="O183">
        <v>584648.54460000002</v>
      </c>
      <c r="P183">
        <v>598605.42000000004</v>
      </c>
      <c r="Q183">
        <v>554258.93290000001</v>
      </c>
      <c r="R183">
        <v>566305.98300000001</v>
      </c>
      <c r="S183">
        <v>586722.21200000006</v>
      </c>
      <c r="T183">
        <v>684569.80189999996</v>
      </c>
      <c r="U183">
        <v>771573.54209999996</v>
      </c>
      <c r="V183">
        <v>870525.89839999995</v>
      </c>
      <c r="W183">
        <v>932580.17760000005</v>
      </c>
      <c r="X183">
        <v>1136309.5449999999</v>
      </c>
      <c r="Y183">
        <v>1206765.439</v>
      </c>
      <c r="Z183">
        <v>1256068.2150000001</v>
      </c>
      <c r="AA183">
        <v>1291053.5209999999</v>
      </c>
      <c r="AB183">
        <v>1313822.2180000001</v>
      </c>
      <c r="AC183">
        <v>1440558.8089999999</v>
      </c>
      <c r="AD183">
        <v>1438624.527</v>
      </c>
      <c r="AE183">
        <v>1439428.1429999999</v>
      </c>
      <c r="AF183">
        <v>1440036.42</v>
      </c>
      <c r="AG183">
        <v>1437624.898</v>
      </c>
      <c r="AH183">
        <v>1484870.7679999999</v>
      </c>
      <c r="AI183">
        <v>1471234.825</v>
      </c>
      <c r="AJ183">
        <v>1460333.16</v>
      </c>
      <c r="AK183">
        <v>1448225.4410000001</v>
      </c>
      <c r="AL183">
        <v>1435974.3559999999</v>
      </c>
      <c r="AM183">
        <v>1423395.8359999999</v>
      </c>
      <c r="AN183">
        <v>1410771.341</v>
      </c>
      <c r="AO183">
        <v>1400809.5179999999</v>
      </c>
      <c r="AP183">
        <v>1390965.3389999999</v>
      </c>
      <c r="AQ183">
        <v>1381672.5889999999</v>
      </c>
      <c r="AR183">
        <v>1423793.8529999999</v>
      </c>
      <c r="AS183">
        <v>1409020.0619999999</v>
      </c>
      <c r="AT183">
        <v>1398322.57</v>
      </c>
      <c r="AU183">
        <v>1388771.6680000001</v>
      </c>
      <c r="AV183">
        <v>1379892.273</v>
      </c>
      <c r="AW183">
        <v>1371918.42</v>
      </c>
    </row>
    <row r="184" spans="2:49" x14ac:dyDescent="0.25">
      <c r="B184" t="s">
        <v>255</v>
      </c>
      <c r="C184">
        <v>2139866.37253871</v>
      </c>
      <c r="D184">
        <v>2174222.6193092102</v>
      </c>
      <c r="E184">
        <v>1831643.385</v>
      </c>
      <c r="F184">
        <v>1819646.571</v>
      </c>
      <c r="G184">
        <v>1811495.382</v>
      </c>
      <c r="H184">
        <v>1808224.2290000001</v>
      </c>
      <c r="I184">
        <v>1811615.3259999999</v>
      </c>
      <c r="J184">
        <v>1821812.1580000001</v>
      </c>
      <c r="K184">
        <v>1822406.345</v>
      </c>
      <c r="L184">
        <v>1819601.6370000001</v>
      </c>
      <c r="M184">
        <v>1830361.7080000001</v>
      </c>
      <c r="N184">
        <v>1812035.68</v>
      </c>
      <c r="O184">
        <v>1835764.2339999999</v>
      </c>
      <c r="P184">
        <v>1852132.362</v>
      </c>
      <c r="Q184">
        <v>1874635.9990000001</v>
      </c>
      <c r="R184">
        <v>1893314.2069999999</v>
      </c>
      <c r="S184">
        <v>1871623.6540000001</v>
      </c>
      <c r="T184">
        <v>1840301.176</v>
      </c>
      <c r="U184">
        <v>1824799.57</v>
      </c>
      <c r="V184">
        <v>1812276.3910000001</v>
      </c>
      <c r="W184">
        <v>1765526.6410000001</v>
      </c>
      <c r="X184">
        <v>1654574.1880000001</v>
      </c>
      <c r="Y184">
        <v>1605395.2549999999</v>
      </c>
      <c r="Z184">
        <v>1565600.4140000001</v>
      </c>
      <c r="AA184">
        <v>1521992.004</v>
      </c>
      <c r="AB184">
        <v>1476206.791</v>
      </c>
      <c r="AC184">
        <v>1413940.4750000001</v>
      </c>
      <c r="AD184">
        <v>1377021.14</v>
      </c>
      <c r="AE184">
        <v>1328849.0900000001</v>
      </c>
      <c r="AF184">
        <v>1280884.4469999999</v>
      </c>
      <c r="AG184">
        <v>1233426.2549999999</v>
      </c>
      <c r="AH184">
        <v>1176016.183</v>
      </c>
      <c r="AI184">
        <v>1150023.318</v>
      </c>
      <c r="AJ184">
        <v>1120775.6429999999</v>
      </c>
      <c r="AK184">
        <v>1090097.0970000001</v>
      </c>
      <c r="AL184">
        <v>1059333.145</v>
      </c>
      <c r="AM184">
        <v>1028917.1360000001</v>
      </c>
      <c r="AN184">
        <v>1013283.509</v>
      </c>
      <c r="AO184">
        <v>999282.56299999997</v>
      </c>
      <c r="AP184">
        <v>986065.04709999997</v>
      </c>
      <c r="AQ184">
        <v>973189.42790000001</v>
      </c>
      <c r="AR184">
        <v>955076.0442</v>
      </c>
      <c r="AS184">
        <v>955996.45589999994</v>
      </c>
      <c r="AT184">
        <v>955454.98239999998</v>
      </c>
      <c r="AU184">
        <v>954222.12789999996</v>
      </c>
      <c r="AV184">
        <v>952687.95090000005</v>
      </c>
      <c r="AW184">
        <v>951079.35589999997</v>
      </c>
    </row>
    <row r="185" spans="2:49" x14ac:dyDescent="0.25">
      <c r="B185" t="s">
        <v>256</v>
      </c>
      <c r="C185">
        <v>48247577.676067904</v>
      </c>
      <c r="D185">
        <v>49022208.141778298</v>
      </c>
      <c r="E185">
        <v>41555596.969999999</v>
      </c>
      <c r="F185">
        <v>41279352.509999998</v>
      </c>
      <c r="G185">
        <v>40445283.170000002</v>
      </c>
      <c r="H185">
        <v>38975650.659999996</v>
      </c>
      <c r="I185">
        <v>38624816.170000002</v>
      </c>
      <c r="J185">
        <v>38348357.130000003</v>
      </c>
      <c r="K185">
        <v>37841533</v>
      </c>
      <c r="L185">
        <v>37111238.880000003</v>
      </c>
      <c r="M185">
        <v>36705541.329999998</v>
      </c>
      <c r="N185">
        <v>36253573.380000003</v>
      </c>
      <c r="O185">
        <v>36207024.090000004</v>
      </c>
      <c r="P185">
        <v>36341479.159999996</v>
      </c>
      <c r="Q185">
        <v>35824335.829999998</v>
      </c>
      <c r="R185">
        <v>35326502.549999997</v>
      </c>
      <c r="S185">
        <v>34714266.009999998</v>
      </c>
      <c r="T185">
        <v>35087619.439999998</v>
      </c>
      <c r="U185">
        <v>35264151.109999999</v>
      </c>
      <c r="V185">
        <v>35677633.399999999</v>
      </c>
      <c r="W185">
        <v>35750942.969999999</v>
      </c>
      <c r="X185">
        <v>35316440.57</v>
      </c>
      <c r="Y185">
        <v>34826956.530000001</v>
      </c>
      <c r="Z185">
        <v>34373433.329999998</v>
      </c>
      <c r="AA185">
        <v>33835804.840000004</v>
      </c>
      <c r="AB185">
        <v>33278498.789999999</v>
      </c>
      <c r="AC185">
        <v>32674941.109999999</v>
      </c>
      <c r="AD185">
        <v>32042247.48</v>
      </c>
      <c r="AE185">
        <v>31333111.760000002</v>
      </c>
      <c r="AF185">
        <v>30663926.66</v>
      </c>
      <c r="AG185">
        <v>29979786.239999998</v>
      </c>
      <c r="AH185">
        <v>29270151.010000002</v>
      </c>
      <c r="AI185">
        <v>28813748.760000002</v>
      </c>
      <c r="AJ185">
        <v>28337205.300000001</v>
      </c>
      <c r="AK185">
        <v>27843005.539999999</v>
      </c>
      <c r="AL185">
        <v>27356338.91</v>
      </c>
      <c r="AM185">
        <v>26877733.940000001</v>
      </c>
      <c r="AN185">
        <v>26662856.140000001</v>
      </c>
      <c r="AO185">
        <v>26493693.66</v>
      </c>
      <c r="AP185">
        <v>26330207.780000001</v>
      </c>
      <c r="AQ185">
        <v>26174021.02</v>
      </c>
      <c r="AR185">
        <v>25990814.789999999</v>
      </c>
      <c r="AS185">
        <v>26020343.800000001</v>
      </c>
      <c r="AT185">
        <v>26033275.690000001</v>
      </c>
      <c r="AU185">
        <v>26040990.07</v>
      </c>
      <c r="AV185">
        <v>26052627.07</v>
      </c>
      <c r="AW185">
        <v>26076684</v>
      </c>
    </row>
    <row r="186" spans="2:49" x14ac:dyDescent="0.25">
      <c r="B186" t="s">
        <v>257</v>
      </c>
      <c r="C186">
        <v>9181601.5739378203</v>
      </c>
      <c r="D186">
        <v>9329015.1570805702</v>
      </c>
      <c r="E186">
        <v>7903446.2929999996</v>
      </c>
      <c r="F186">
        <v>9009559.9189999998</v>
      </c>
      <c r="G186">
        <v>7556061.6600000001</v>
      </c>
      <c r="H186">
        <v>5420007.8540000003</v>
      </c>
      <c r="I186">
        <v>6387593.5329999998</v>
      </c>
      <c r="J186">
        <v>4947772.7920000004</v>
      </c>
      <c r="K186">
        <v>5781803.0669999998</v>
      </c>
      <c r="L186">
        <v>5180560.7779999999</v>
      </c>
      <c r="M186">
        <v>5236642.9119999995</v>
      </c>
      <c r="N186">
        <v>5414848.1430000002</v>
      </c>
      <c r="O186">
        <v>4926864.7180000003</v>
      </c>
      <c r="P186">
        <v>5215070.449</v>
      </c>
      <c r="Q186">
        <v>5104345.6639999999</v>
      </c>
      <c r="R186">
        <v>5159443.3459999999</v>
      </c>
      <c r="S186">
        <v>5139103.79</v>
      </c>
      <c r="T186">
        <v>5028970.4419999998</v>
      </c>
      <c r="U186">
        <v>5018369.5109999999</v>
      </c>
      <c r="V186">
        <v>5014400.8590000002</v>
      </c>
      <c r="W186">
        <v>4949816.3150000004</v>
      </c>
      <c r="X186">
        <v>4842965.2939999998</v>
      </c>
      <c r="Y186">
        <v>4817786.6950000003</v>
      </c>
      <c r="Z186">
        <v>4810513.9800000004</v>
      </c>
      <c r="AA186">
        <v>4800029.4160000002</v>
      </c>
      <c r="AB186">
        <v>4791090.8490000004</v>
      </c>
      <c r="AC186">
        <v>4779486.1050000004</v>
      </c>
      <c r="AD186">
        <v>4777540.0130000003</v>
      </c>
      <c r="AE186">
        <v>4769818.4139999999</v>
      </c>
      <c r="AF186">
        <v>4769493.4460000005</v>
      </c>
      <c r="AG186">
        <v>4767340.818</v>
      </c>
      <c r="AH186">
        <v>4763066.0460000001</v>
      </c>
      <c r="AI186">
        <v>4770824.909</v>
      </c>
      <c r="AJ186">
        <v>4779296.5259999996</v>
      </c>
      <c r="AK186">
        <v>4786712.3499999996</v>
      </c>
      <c r="AL186">
        <v>4796337.9970000004</v>
      </c>
      <c r="AM186">
        <v>4807690.4079999998</v>
      </c>
      <c r="AN186">
        <v>4785514.4160000002</v>
      </c>
      <c r="AO186">
        <v>4758268.6890000002</v>
      </c>
      <c r="AP186">
        <v>4724942.53</v>
      </c>
      <c r="AQ186">
        <v>4687813.3289999999</v>
      </c>
      <c r="AR186">
        <v>4643870.1390000004</v>
      </c>
      <c r="AS186">
        <v>4619873.8729999997</v>
      </c>
      <c r="AT186">
        <v>4598525.9369999999</v>
      </c>
      <c r="AU186">
        <v>4578380.95</v>
      </c>
      <c r="AV186">
        <v>4559867.8830000004</v>
      </c>
      <c r="AW186">
        <v>4543427.1359999999</v>
      </c>
    </row>
    <row r="187" spans="2:49" x14ac:dyDescent="0.25">
      <c r="B187" t="s">
        <v>258</v>
      </c>
      <c r="C187">
        <v>2568505.4482754301</v>
      </c>
      <c r="D187">
        <v>2609743.6340541099</v>
      </c>
      <c r="E187">
        <v>2210948.1340000001</v>
      </c>
      <c r="F187">
        <v>2296753.071</v>
      </c>
      <c r="G187">
        <v>2279665.5129999998</v>
      </c>
      <c r="H187">
        <v>1883087.767</v>
      </c>
      <c r="I187">
        <v>1947658.27</v>
      </c>
      <c r="J187">
        <v>2036029.7890000001</v>
      </c>
      <c r="K187">
        <v>1984446.1880000001</v>
      </c>
      <c r="L187">
        <v>1931292.736</v>
      </c>
      <c r="M187">
        <v>1932197.1669999999</v>
      </c>
      <c r="N187">
        <v>2042191.216</v>
      </c>
      <c r="O187">
        <v>2045602.611</v>
      </c>
      <c r="P187">
        <v>2043130.899</v>
      </c>
      <c r="Q187">
        <v>2105592.477</v>
      </c>
      <c r="R187">
        <v>2135234.6179999998</v>
      </c>
      <c r="S187">
        <v>2104286.1469999999</v>
      </c>
      <c r="T187">
        <v>2073513.365</v>
      </c>
      <c r="U187">
        <v>2062485.507</v>
      </c>
      <c r="V187">
        <v>2061511.02</v>
      </c>
      <c r="W187">
        <v>2070677.034</v>
      </c>
      <c r="X187">
        <v>2067071.686</v>
      </c>
      <c r="Y187">
        <v>2070690.4979999999</v>
      </c>
      <c r="Z187">
        <v>2069918.206</v>
      </c>
      <c r="AA187">
        <v>2068033.68</v>
      </c>
      <c r="AB187">
        <v>2064645.621</v>
      </c>
      <c r="AC187">
        <v>2059096.2620000001</v>
      </c>
      <c r="AD187">
        <v>2059805.6189999999</v>
      </c>
      <c r="AE187">
        <v>2055272.5619999999</v>
      </c>
      <c r="AF187">
        <v>2052560.0449999999</v>
      </c>
      <c r="AG187">
        <v>2050501.463</v>
      </c>
      <c r="AH187">
        <v>2048072.169</v>
      </c>
      <c r="AI187">
        <v>2054316.9820000001</v>
      </c>
      <c r="AJ187">
        <v>2060838.581</v>
      </c>
      <c r="AK187">
        <v>2066307.203</v>
      </c>
      <c r="AL187">
        <v>2072590.727</v>
      </c>
      <c r="AM187">
        <v>2079851.388</v>
      </c>
      <c r="AN187">
        <v>2085662.905</v>
      </c>
      <c r="AO187">
        <v>2092238.7990000001</v>
      </c>
      <c r="AP187">
        <v>2099835.5750000002</v>
      </c>
      <c r="AQ187">
        <v>2108377.818</v>
      </c>
      <c r="AR187">
        <v>2115568.1320000002</v>
      </c>
      <c r="AS187">
        <v>2125210.784</v>
      </c>
      <c r="AT187">
        <v>2133698.872</v>
      </c>
      <c r="AU187">
        <v>2141568.8429999999</v>
      </c>
      <c r="AV187">
        <v>2149880.4330000002</v>
      </c>
      <c r="AW187">
        <v>2158640.9360000002</v>
      </c>
    </row>
    <row r="188" spans="2:49" x14ac:dyDescent="0.25">
      <c r="B188" t="s">
        <v>259</v>
      </c>
      <c r="C188">
        <v>12693844.6626458</v>
      </c>
      <c r="D188">
        <v>12897648.444645001</v>
      </c>
      <c r="E188">
        <v>10926755.939999999</v>
      </c>
      <c r="F188">
        <v>10946622.970000001</v>
      </c>
      <c r="G188">
        <v>10277123.32</v>
      </c>
      <c r="H188">
        <v>9838641.4149999898</v>
      </c>
      <c r="I188">
        <v>9624429.6339999996</v>
      </c>
      <c r="J188">
        <v>9126046.8460000008</v>
      </c>
      <c r="K188">
        <v>8598235.0209999997</v>
      </c>
      <c r="L188">
        <v>8364250.267</v>
      </c>
      <c r="M188">
        <v>8326808.0810000002</v>
      </c>
      <c r="N188">
        <v>8464529.6439999994</v>
      </c>
      <c r="O188">
        <v>7999183.1720000003</v>
      </c>
      <c r="P188">
        <v>7451269.2379999999</v>
      </c>
      <c r="Q188">
        <v>6937155.6050000004</v>
      </c>
      <c r="R188">
        <v>6535518.71</v>
      </c>
      <c r="S188">
        <v>6119666.926</v>
      </c>
      <c r="T188">
        <v>6124455.5080000004</v>
      </c>
      <c r="U188">
        <v>6139634.3260000004</v>
      </c>
      <c r="V188">
        <v>6161739.5389999999</v>
      </c>
      <c r="W188">
        <v>5917638.5099999998</v>
      </c>
      <c r="X188">
        <v>5681413.0310000004</v>
      </c>
      <c r="Y188">
        <v>5411732.4309999999</v>
      </c>
      <c r="Z188">
        <v>5205752.6409999998</v>
      </c>
      <c r="AA188">
        <v>5023849.01</v>
      </c>
      <c r="AB188">
        <v>4863363.8820000002</v>
      </c>
      <c r="AC188">
        <v>4717458.8039999995</v>
      </c>
      <c r="AD188">
        <v>4584583.3360000001</v>
      </c>
      <c r="AE188">
        <v>4460002.3530000001</v>
      </c>
      <c r="AF188">
        <v>4340291.04</v>
      </c>
      <c r="AG188">
        <v>4230235.49</v>
      </c>
      <c r="AH188">
        <v>4127167.2990000001</v>
      </c>
      <c r="AI188">
        <v>4032037.281</v>
      </c>
      <c r="AJ188">
        <v>3942172.608</v>
      </c>
      <c r="AK188">
        <v>3856993.3960000002</v>
      </c>
      <c r="AL188">
        <v>3775609.1170000001</v>
      </c>
      <c r="AM188">
        <v>3697153.9190000002</v>
      </c>
      <c r="AN188">
        <v>3664286.8139999998</v>
      </c>
      <c r="AO188">
        <v>3638328.0320000001</v>
      </c>
      <c r="AP188">
        <v>3612636.2259999998</v>
      </c>
      <c r="AQ188">
        <v>3586721.2710000002</v>
      </c>
      <c r="AR188">
        <v>3559156.7579999999</v>
      </c>
      <c r="AS188">
        <v>3528982.85</v>
      </c>
      <c r="AT188">
        <v>3497386.034</v>
      </c>
      <c r="AU188">
        <v>3464967.577</v>
      </c>
      <c r="AV188">
        <v>3431552.3319999999</v>
      </c>
      <c r="AW188">
        <v>3397407.7289999998</v>
      </c>
    </row>
    <row r="189" spans="2:49" x14ac:dyDescent="0.25">
      <c r="B189" t="s">
        <v>260</v>
      </c>
      <c r="C189">
        <v>1234344.16589374</v>
      </c>
      <c r="D189">
        <v>1254161.9607370901</v>
      </c>
      <c r="E189">
        <v>1062513.1950000001</v>
      </c>
      <c r="F189">
        <v>1025191.1310000001</v>
      </c>
      <c r="G189">
        <v>941837.37170000002</v>
      </c>
      <c r="H189">
        <v>949713.09239999996</v>
      </c>
      <c r="I189">
        <v>894663.63650000002</v>
      </c>
      <c r="J189">
        <v>824256.91740000003</v>
      </c>
      <c r="K189">
        <v>768396.52159999998</v>
      </c>
      <c r="L189">
        <v>741988.21089999995</v>
      </c>
      <c r="M189">
        <v>723617.7267</v>
      </c>
      <c r="N189">
        <v>720162.75699999998</v>
      </c>
      <c r="O189">
        <v>667129.10400000005</v>
      </c>
      <c r="P189">
        <v>608837.27309999999</v>
      </c>
      <c r="Q189">
        <v>557986.34250000003</v>
      </c>
      <c r="R189">
        <v>518355.52130000002</v>
      </c>
      <c r="S189">
        <v>478674.41220000002</v>
      </c>
      <c r="T189">
        <v>480824.34759999998</v>
      </c>
      <c r="U189">
        <v>484266.29080000002</v>
      </c>
      <c r="V189">
        <v>488648.35930000001</v>
      </c>
      <c r="W189">
        <v>460525.54609999998</v>
      </c>
      <c r="X189">
        <v>434420.15990000003</v>
      </c>
      <c r="Y189">
        <v>405014.84779999999</v>
      </c>
      <c r="Z189">
        <v>383942.91619999998</v>
      </c>
      <c r="AA189">
        <v>366234.83679999999</v>
      </c>
      <c r="AB189">
        <v>351158.29109999997</v>
      </c>
      <c r="AC189">
        <v>337855.33289999998</v>
      </c>
      <c r="AD189">
        <v>326047.79320000001</v>
      </c>
      <c r="AE189">
        <v>315232.62359999999</v>
      </c>
      <c r="AF189">
        <v>304963.41310000001</v>
      </c>
      <c r="AG189">
        <v>295776.5097</v>
      </c>
      <c r="AH189">
        <v>287346.86849999998</v>
      </c>
      <c r="AI189">
        <v>279754.70880000002</v>
      </c>
      <c r="AJ189">
        <v>272685.18540000002</v>
      </c>
      <c r="AK189">
        <v>266081.07040000003</v>
      </c>
      <c r="AL189">
        <v>259847.69099999999</v>
      </c>
      <c r="AM189">
        <v>253890.51670000001</v>
      </c>
      <c r="AN189">
        <v>252655.68849999999</v>
      </c>
      <c r="AO189">
        <v>252137.60000000001</v>
      </c>
      <c r="AP189">
        <v>251661.43539999999</v>
      </c>
      <c r="AQ189">
        <v>251160.86660000001</v>
      </c>
      <c r="AR189">
        <v>250502.26860000001</v>
      </c>
      <c r="AS189">
        <v>249577.84770000001</v>
      </c>
      <c r="AT189">
        <v>248498.5852</v>
      </c>
      <c r="AU189">
        <v>247328.26300000001</v>
      </c>
      <c r="AV189">
        <v>246045.53899999999</v>
      </c>
      <c r="AW189">
        <v>244678.8474</v>
      </c>
    </row>
    <row r="190" spans="2:49" x14ac:dyDescent="0.25">
      <c r="B190" t="s">
        <v>261</v>
      </c>
      <c r="C190">
        <v>16278955.912495499</v>
      </c>
      <c r="D190">
        <v>16540319.8152481</v>
      </c>
      <c r="E190">
        <v>16805880</v>
      </c>
      <c r="F190">
        <v>16816548.390000001</v>
      </c>
      <c r="G190">
        <v>15834380.52</v>
      </c>
      <c r="H190">
        <v>15173988.49</v>
      </c>
      <c r="I190">
        <v>14788042.25</v>
      </c>
      <c r="J190">
        <v>12914558.810000001</v>
      </c>
      <c r="K190">
        <v>11219320.07</v>
      </c>
      <c r="L190">
        <v>9843112.5160000008</v>
      </c>
      <c r="M190">
        <v>8816254.8609999996</v>
      </c>
      <c r="N190">
        <v>7977164.7050000001</v>
      </c>
      <c r="O190">
        <v>7258242.1979999999</v>
      </c>
      <c r="P190">
        <v>6500949.2690000003</v>
      </c>
      <c r="Q190">
        <v>5700034.915</v>
      </c>
      <c r="R190">
        <v>5027402.7630000003</v>
      </c>
      <c r="S190">
        <v>4393158.2189999996</v>
      </c>
      <c r="T190">
        <v>5193137.3039999995</v>
      </c>
      <c r="U190">
        <v>5972802.4019999998</v>
      </c>
      <c r="V190">
        <v>6757259.6220000004</v>
      </c>
      <c r="W190">
        <v>6656265.6380000003</v>
      </c>
      <c r="X190">
        <v>6505863.1030000001</v>
      </c>
      <c r="Y190">
        <v>6392463.9850000003</v>
      </c>
      <c r="Z190">
        <v>6309167.1560000004</v>
      </c>
      <c r="AA190">
        <v>6224485.5599999996</v>
      </c>
      <c r="AB190">
        <v>6140393.3949999996</v>
      </c>
      <c r="AC190">
        <v>6041430.415</v>
      </c>
      <c r="AD190">
        <v>5950475.8269999996</v>
      </c>
      <c r="AE190">
        <v>5866965.3909999998</v>
      </c>
      <c r="AF190">
        <v>5784861.0539999995</v>
      </c>
      <c r="AG190">
        <v>5702688.29</v>
      </c>
      <c r="AH190">
        <v>5622070.8859999999</v>
      </c>
      <c r="AI190">
        <v>5549820.8880000003</v>
      </c>
      <c r="AJ190">
        <v>5480015.4689999996</v>
      </c>
      <c r="AK190">
        <v>5410262.767</v>
      </c>
      <c r="AL190">
        <v>5342047.5669999998</v>
      </c>
      <c r="AM190">
        <v>5274948.2850000001</v>
      </c>
      <c r="AN190">
        <v>5205079.5559999999</v>
      </c>
      <c r="AO190">
        <v>5134530.3260000004</v>
      </c>
      <c r="AP190">
        <v>5062519.0520000001</v>
      </c>
      <c r="AQ190">
        <v>4990718.79</v>
      </c>
      <c r="AR190">
        <v>4914377.5980000002</v>
      </c>
      <c r="AS190">
        <v>4854243.5109999999</v>
      </c>
      <c r="AT190">
        <v>4795657.6050000004</v>
      </c>
      <c r="AU190">
        <v>4737861.7280000001</v>
      </c>
      <c r="AV190">
        <v>4681316.8849999998</v>
      </c>
      <c r="AW190">
        <v>4627911.449</v>
      </c>
    </row>
    <row r="191" spans="2:49" x14ac:dyDescent="0.25">
      <c r="B191" t="s">
        <v>262</v>
      </c>
      <c r="C191">
        <v>4315668.6239754204</v>
      </c>
      <c r="D191">
        <v>4384958.0796759203</v>
      </c>
      <c r="E191">
        <v>4455360</v>
      </c>
      <c r="F191">
        <v>4620962.2130000005</v>
      </c>
      <c r="G191">
        <v>4688433.9220000003</v>
      </c>
      <c r="H191">
        <v>4441489.824</v>
      </c>
      <c r="I191">
        <v>4486157.6310000001</v>
      </c>
      <c r="J191">
        <v>4580755.7819999997</v>
      </c>
      <c r="K191">
        <v>4629708.6919999998</v>
      </c>
      <c r="L191">
        <v>4606467.9189999998</v>
      </c>
      <c r="M191">
        <v>4562486.5539999995</v>
      </c>
      <c r="N191">
        <v>4456128.1140000001</v>
      </c>
      <c r="O191">
        <v>4306217.1210000003</v>
      </c>
      <c r="P191">
        <v>4284438.909</v>
      </c>
      <c r="Q191">
        <v>4329437.7910000002</v>
      </c>
      <c r="R191">
        <v>4287562.0319999997</v>
      </c>
      <c r="S191">
        <v>4212546.784</v>
      </c>
      <c r="T191">
        <v>4524603.0640000002</v>
      </c>
      <c r="U191">
        <v>4885111.7750000004</v>
      </c>
      <c r="V191">
        <v>5261008.767</v>
      </c>
      <c r="W191">
        <v>5412739.3499999996</v>
      </c>
      <c r="X191">
        <v>5567773.7340000002</v>
      </c>
      <c r="Y191">
        <v>5630321.2079999996</v>
      </c>
      <c r="Z191">
        <v>5671816.8279999997</v>
      </c>
      <c r="AA191">
        <v>5720131.4330000002</v>
      </c>
      <c r="AB191">
        <v>5752145.9689999996</v>
      </c>
      <c r="AC191">
        <v>5785444.2019999996</v>
      </c>
      <c r="AD191">
        <v>5777169.0089999996</v>
      </c>
      <c r="AE191">
        <v>5764318.2640000004</v>
      </c>
      <c r="AF191">
        <v>5750693.585</v>
      </c>
      <c r="AG191">
        <v>5736919.3279999997</v>
      </c>
      <c r="AH191">
        <v>5723402.3530000001</v>
      </c>
      <c r="AI191">
        <v>5707901.017</v>
      </c>
      <c r="AJ191">
        <v>5690125.9869999997</v>
      </c>
      <c r="AK191">
        <v>5670213.6710000001</v>
      </c>
      <c r="AL191">
        <v>5649175.7439999999</v>
      </c>
      <c r="AM191">
        <v>5627066.9879999999</v>
      </c>
      <c r="AN191">
        <v>5599582.9610000001</v>
      </c>
      <c r="AO191">
        <v>5570145.9400000004</v>
      </c>
      <c r="AP191">
        <v>5539060.3020000001</v>
      </c>
      <c r="AQ191">
        <v>5505642.7810000004</v>
      </c>
      <c r="AR191">
        <v>5471659.3300000001</v>
      </c>
      <c r="AS191">
        <v>5442711.807</v>
      </c>
      <c r="AT191">
        <v>5413844.3789999997</v>
      </c>
      <c r="AU191">
        <v>5383970.4079999998</v>
      </c>
      <c r="AV191">
        <v>5353261.858</v>
      </c>
      <c r="AW191">
        <v>5324086.858</v>
      </c>
    </row>
    <row r="192" spans="2:49" x14ac:dyDescent="0.25">
      <c r="B192" t="s">
        <v>263</v>
      </c>
      <c r="C192">
        <v>4315668.6239754204</v>
      </c>
      <c r="D192">
        <v>4384958.0796759203</v>
      </c>
      <c r="E192">
        <v>4455360</v>
      </c>
      <c r="F192">
        <v>4620962.2130000005</v>
      </c>
      <c r="G192">
        <v>4688433.9220000003</v>
      </c>
      <c r="H192">
        <v>4441489.824</v>
      </c>
      <c r="I192">
        <v>4486157.6310000001</v>
      </c>
      <c r="J192">
        <v>4580755.7819999997</v>
      </c>
      <c r="K192">
        <v>4629708.6919999998</v>
      </c>
      <c r="L192">
        <v>4606467.9189999998</v>
      </c>
      <c r="M192">
        <v>4562486.5539999995</v>
      </c>
      <c r="N192">
        <v>4456128.1140000001</v>
      </c>
      <c r="O192">
        <v>4306217.1210000003</v>
      </c>
      <c r="P192">
        <v>4284438.909</v>
      </c>
      <c r="Q192">
        <v>4329437.7910000002</v>
      </c>
      <c r="R192">
        <v>4287562.0319999997</v>
      </c>
      <c r="S192">
        <v>4212546.784</v>
      </c>
      <c r="T192">
        <v>4524603.0640000002</v>
      </c>
      <c r="U192">
        <v>4885111.7750000004</v>
      </c>
      <c r="V192">
        <v>5261008.767</v>
      </c>
      <c r="W192">
        <v>5412739.3499999996</v>
      </c>
      <c r="X192">
        <v>5567773.7340000002</v>
      </c>
      <c r="Y192">
        <v>5630321.2079999996</v>
      </c>
      <c r="Z192">
        <v>5671816.8279999997</v>
      </c>
      <c r="AA192">
        <v>5720131.4330000002</v>
      </c>
      <c r="AB192">
        <v>5752145.9689999996</v>
      </c>
      <c r="AC192">
        <v>5785444.2019999996</v>
      </c>
      <c r="AD192">
        <v>5777169.0089999996</v>
      </c>
      <c r="AE192">
        <v>5764318.2640000004</v>
      </c>
      <c r="AF192">
        <v>5750693.585</v>
      </c>
      <c r="AG192">
        <v>5736919.3279999997</v>
      </c>
      <c r="AH192">
        <v>5723402.3530000001</v>
      </c>
      <c r="AI192">
        <v>5707901.017</v>
      </c>
      <c r="AJ192">
        <v>5690125.9869999997</v>
      </c>
      <c r="AK192">
        <v>5670213.6710000001</v>
      </c>
      <c r="AL192">
        <v>5649175.7439999999</v>
      </c>
      <c r="AM192">
        <v>5627066.9879999999</v>
      </c>
      <c r="AN192">
        <v>5599582.9610000001</v>
      </c>
      <c r="AO192">
        <v>5570145.9400000004</v>
      </c>
      <c r="AP192">
        <v>5539060.3020000001</v>
      </c>
      <c r="AQ192">
        <v>5505642.7810000004</v>
      </c>
      <c r="AR192">
        <v>5471659.3300000001</v>
      </c>
      <c r="AS192">
        <v>5442711.807</v>
      </c>
      <c r="AT192">
        <v>5413844.3789999997</v>
      </c>
      <c r="AU192">
        <v>5383970.4079999998</v>
      </c>
      <c r="AV192">
        <v>5353261.858</v>
      </c>
      <c r="AW192">
        <v>5324086.858</v>
      </c>
    </row>
    <row r="193" spans="2:49" x14ac:dyDescent="0.25">
      <c r="B193" t="s">
        <v>264</v>
      </c>
      <c r="C193">
        <v>8232235.5397947598</v>
      </c>
      <c r="D193">
        <v>8364406.7441781899</v>
      </c>
      <c r="E193">
        <v>8498700</v>
      </c>
      <c r="F193">
        <v>8378894.5810000002</v>
      </c>
      <c r="G193">
        <v>8245431.2439999999</v>
      </c>
      <c r="H193">
        <v>7592183.2419999996</v>
      </c>
      <c r="I193">
        <v>7455213.1639999999</v>
      </c>
      <c r="J193">
        <v>7400796.9560000002</v>
      </c>
      <c r="K193">
        <v>7271940.9890000001</v>
      </c>
      <c r="L193">
        <v>7033033.4189999998</v>
      </c>
      <c r="M193">
        <v>6769905.6229999997</v>
      </c>
      <c r="N193">
        <v>6426124.5710000005</v>
      </c>
      <c r="O193">
        <v>6733345.8130000001</v>
      </c>
      <c r="P193">
        <v>7296481.1150000002</v>
      </c>
      <c r="Q193">
        <v>8002345.2010000004</v>
      </c>
      <c r="R193">
        <v>8568756.9110000003</v>
      </c>
      <c r="S193">
        <v>9072249.0390000008</v>
      </c>
      <c r="T193">
        <v>8364580.6380000003</v>
      </c>
      <c r="U193">
        <v>7603692.4289999995</v>
      </c>
      <c r="V193">
        <v>6878725.3130000001</v>
      </c>
      <c r="W193">
        <v>6874683.6270000003</v>
      </c>
      <c r="X193">
        <v>6953657.7319999998</v>
      </c>
      <c r="Y193">
        <v>6922359.5870000003</v>
      </c>
      <c r="Z193">
        <v>6864287.3669999996</v>
      </c>
      <c r="AA193">
        <v>6813138.568</v>
      </c>
      <c r="AB193">
        <v>6740458.4970000004</v>
      </c>
      <c r="AC193">
        <v>6667394.6129999999</v>
      </c>
      <c r="AD193">
        <v>6545292.1279999996</v>
      </c>
      <c r="AE193">
        <v>6417956.2319999998</v>
      </c>
      <c r="AF193">
        <v>6289434.3200000003</v>
      </c>
      <c r="AG193">
        <v>6160490.0920000002</v>
      </c>
      <c r="AH193">
        <v>6031341.8940000003</v>
      </c>
      <c r="AI193">
        <v>5899579.3660000004</v>
      </c>
      <c r="AJ193">
        <v>5764692.693</v>
      </c>
      <c r="AK193">
        <v>5626949.2879999997</v>
      </c>
      <c r="AL193">
        <v>5487429.4589999998</v>
      </c>
      <c r="AM193">
        <v>5346250.8650000002</v>
      </c>
      <c r="AN193">
        <v>5199492.0980000002</v>
      </c>
      <c r="AO193">
        <v>5049986.4160000002</v>
      </c>
      <c r="AP193">
        <v>4898207.4289999995</v>
      </c>
      <c r="AQ193">
        <v>4743668.0530000003</v>
      </c>
      <c r="AR193">
        <v>4588057.2230000002</v>
      </c>
      <c r="AS193">
        <v>4435953.6229999997</v>
      </c>
      <c r="AT193">
        <v>4283077.4139999999</v>
      </c>
      <c r="AU193">
        <v>4128611.2579999999</v>
      </c>
      <c r="AV193">
        <v>3972757.6359999999</v>
      </c>
      <c r="AW193">
        <v>3817286.611</v>
      </c>
    </row>
    <row r="194" spans="2:49" x14ac:dyDescent="0.25">
      <c r="B194" t="s">
        <v>265</v>
      </c>
      <c r="C194">
        <v>20174774.421468802</v>
      </c>
      <c r="D194">
        <v>20498686.950521201</v>
      </c>
      <c r="E194">
        <v>20827800</v>
      </c>
      <c r="F194">
        <v>19626701.530000001</v>
      </c>
      <c r="G194">
        <v>18314286.030000001</v>
      </c>
      <c r="H194">
        <v>15978024.779999999</v>
      </c>
      <c r="I194">
        <v>14865728.58</v>
      </c>
      <c r="J194">
        <v>13982857.82</v>
      </c>
      <c r="K194">
        <v>13019117.789999999</v>
      </c>
      <c r="L194">
        <v>11933951.109999999</v>
      </c>
      <c r="M194">
        <v>10889886.369999999</v>
      </c>
      <c r="N194">
        <v>9799422.068</v>
      </c>
      <c r="O194">
        <v>8289525.6490000002</v>
      </c>
      <c r="P194">
        <v>7000217.5920000002</v>
      </c>
      <c r="Q194">
        <v>6548893.7470000004</v>
      </c>
      <c r="R194">
        <v>6443565.0779999997</v>
      </c>
      <c r="S194">
        <v>6336764.1960000005</v>
      </c>
      <c r="T194">
        <v>6305049.2340000002</v>
      </c>
      <c r="U194">
        <v>6291213.4270000001</v>
      </c>
      <c r="V194">
        <v>6291983.3799999999</v>
      </c>
      <c r="W194">
        <v>6473946.5729999999</v>
      </c>
      <c r="X194">
        <v>6708563.4479999999</v>
      </c>
      <c r="Y194">
        <v>6839523.1330000004</v>
      </c>
      <c r="Z194">
        <v>6946962.3930000002</v>
      </c>
      <c r="AA194">
        <v>7064005.8679999998</v>
      </c>
      <c r="AB194">
        <v>7162094.1600000001</v>
      </c>
      <c r="AC194">
        <v>7262848.9749999996</v>
      </c>
      <c r="AD194">
        <v>7312253.4239999996</v>
      </c>
      <c r="AE194">
        <v>7356209.1359999999</v>
      </c>
      <c r="AF194">
        <v>7399436.7089999998</v>
      </c>
      <c r="AG194">
        <v>7442742.1150000002</v>
      </c>
      <c r="AH194">
        <v>7486689.9939999999</v>
      </c>
      <c r="AI194">
        <v>7528348.4879999999</v>
      </c>
      <c r="AJ194">
        <v>7567208.8590000002</v>
      </c>
      <c r="AK194">
        <v>7603376.091</v>
      </c>
      <c r="AL194">
        <v>7638168.375</v>
      </c>
      <c r="AM194">
        <v>7671625.2869999995</v>
      </c>
      <c r="AN194">
        <v>7697799.085</v>
      </c>
      <c r="AO194">
        <v>7721296.7280000001</v>
      </c>
      <c r="AP194">
        <v>7742498.4210000001</v>
      </c>
      <c r="AQ194">
        <v>7760416.1279999996</v>
      </c>
      <c r="AR194">
        <v>7777488.75</v>
      </c>
      <c r="AS194">
        <v>7801794.9970000004</v>
      </c>
      <c r="AT194">
        <v>7826165.6409999998</v>
      </c>
      <c r="AU194">
        <v>7849008.8329999996</v>
      </c>
      <c r="AV194">
        <v>7870537.392</v>
      </c>
      <c r="AW194">
        <v>7894221.0120000001</v>
      </c>
    </row>
    <row r="195" spans="2:49" x14ac:dyDescent="0.25">
      <c r="B195" t="s">
        <v>266</v>
      </c>
      <c r="C195">
        <v>463787.91773491597</v>
      </c>
      <c r="D195">
        <v>471234.182770602</v>
      </c>
      <c r="E195">
        <v>478800</v>
      </c>
      <c r="F195">
        <v>476253.54379999998</v>
      </c>
      <c r="G195">
        <v>457446.47649999999</v>
      </c>
      <c r="H195">
        <v>432519.72769999999</v>
      </c>
      <c r="I195">
        <v>435872.7145</v>
      </c>
      <c r="J195">
        <v>450229.92129999999</v>
      </c>
      <c r="K195">
        <v>448917.29029999999</v>
      </c>
      <c r="L195">
        <v>455105.76280000003</v>
      </c>
      <c r="M195">
        <v>472354.79119999998</v>
      </c>
      <c r="N195">
        <v>497007.93170000002</v>
      </c>
      <c r="O195">
        <v>473003.29070000001</v>
      </c>
      <c r="P195">
        <v>440730.28129999997</v>
      </c>
      <c r="Q195">
        <v>391569.47810000001</v>
      </c>
      <c r="R195">
        <v>350075.25890000002</v>
      </c>
      <c r="S195">
        <v>312401.38130000001</v>
      </c>
      <c r="T195">
        <v>290076.55459999997</v>
      </c>
      <c r="U195">
        <v>270172.4999</v>
      </c>
      <c r="V195">
        <v>251445.78520000001</v>
      </c>
      <c r="W195">
        <v>250502.25640000001</v>
      </c>
      <c r="X195">
        <v>247844.1029</v>
      </c>
      <c r="Y195">
        <v>245033.45550000001</v>
      </c>
      <c r="Z195">
        <v>242747.91639999999</v>
      </c>
      <c r="AA195">
        <v>239064.42329999999</v>
      </c>
      <c r="AB195">
        <v>235310.67370000001</v>
      </c>
      <c r="AC195">
        <v>231339.53</v>
      </c>
      <c r="AD195">
        <v>227715.28200000001</v>
      </c>
      <c r="AE195">
        <v>223602.7819</v>
      </c>
      <c r="AF195">
        <v>219528.59710000001</v>
      </c>
      <c r="AG195">
        <v>215132.51070000001</v>
      </c>
      <c r="AH195">
        <v>210622.29459999999</v>
      </c>
      <c r="AI195">
        <v>205736.8186</v>
      </c>
      <c r="AJ195">
        <v>200843.1704</v>
      </c>
      <c r="AK195">
        <v>195884.3437</v>
      </c>
      <c r="AL195">
        <v>190911.09229999999</v>
      </c>
      <c r="AM195">
        <v>185934.25949999999</v>
      </c>
      <c r="AN195">
        <v>180172.6893</v>
      </c>
      <c r="AO195">
        <v>174484.02009999999</v>
      </c>
      <c r="AP195">
        <v>168773.48499999999</v>
      </c>
      <c r="AQ195">
        <v>163114.2751</v>
      </c>
      <c r="AR195">
        <v>157393.63039999999</v>
      </c>
      <c r="AS195">
        <v>151784.95079999999</v>
      </c>
      <c r="AT195">
        <v>146199.5006</v>
      </c>
      <c r="AU195">
        <v>140611.6177</v>
      </c>
      <c r="AV195">
        <v>135030.05499999999</v>
      </c>
      <c r="AW195">
        <v>129498.82950000001</v>
      </c>
    </row>
    <row r="196" spans="2:49" x14ac:dyDescent="0.25">
      <c r="B196" s="273" t="s">
        <v>267</v>
      </c>
      <c r="C196">
        <v>748170.71461916296</v>
      </c>
      <c r="D196">
        <v>760182.83744504896</v>
      </c>
      <c r="E196">
        <v>665577.06059999997</v>
      </c>
      <c r="F196">
        <v>675477.10950000002</v>
      </c>
      <c r="G196">
        <v>638112.36589999998</v>
      </c>
      <c r="H196">
        <v>626825.6997</v>
      </c>
      <c r="I196">
        <v>653015.26980000001</v>
      </c>
      <c r="J196">
        <v>622568.94010000001</v>
      </c>
      <c r="K196">
        <v>593395.74129999999</v>
      </c>
      <c r="L196">
        <v>559265.13950000005</v>
      </c>
      <c r="M196">
        <v>574051.75650000002</v>
      </c>
      <c r="N196">
        <v>568709.74490000005</v>
      </c>
      <c r="O196">
        <v>567634.4325</v>
      </c>
      <c r="P196">
        <v>573288.31960000005</v>
      </c>
      <c r="Q196">
        <v>539415.30319999997</v>
      </c>
      <c r="R196">
        <v>525352.82070000004</v>
      </c>
      <c r="S196">
        <v>522979.97220000002</v>
      </c>
      <c r="T196">
        <v>508562.64730000001</v>
      </c>
      <c r="U196">
        <v>494610.87119999999</v>
      </c>
      <c r="V196">
        <v>483813.84519999998</v>
      </c>
      <c r="W196">
        <v>491134.65210000001</v>
      </c>
      <c r="X196">
        <v>496109.90460000001</v>
      </c>
      <c r="Y196">
        <v>497525.3088</v>
      </c>
      <c r="Z196">
        <v>494949.18910000002</v>
      </c>
      <c r="AA196">
        <v>488581.23979999998</v>
      </c>
      <c r="AB196">
        <v>481257.32919999998</v>
      </c>
      <c r="AC196">
        <v>475746.55820000003</v>
      </c>
      <c r="AD196">
        <v>466399.58100000001</v>
      </c>
      <c r="AE196">
        <v>457660.07069999998</v>
      </c>
      <c r="AF196">
        <v>449516.54700000002</v>
      </c>
      <c r="AG196">
        <v>441116.43890000001</v>
      </c>
      <c r="AH196">
        <v>433788.92509999999</v>
      </c>
      <c r="AI196">
        <v>424351.25160000002</v>
      </c>
      <c r="AJ196">
        <v>415624.23839999997</v>
      </c>
      <c r="AK196">
        <v>406744.85070000001</v>
      </c>
      <c r="AL196">
        <v>397981.17099999997</v>
      </c>
      <c r="AM196">
        <v>389387.5196</v>
      </c>
      <c r="AN196">
        <v>381469.58140000002</v>
      </c>
      <c r="AO196">
        <v>373773.4534</v>
      </c>
      <c r="AP196">
        <v>365868.28159999999</v>
      </c>
      <c r="AQ196">
        <v>357750.73479999998</v>
      </c>
      <c r="AR196">
        <v>349915.35139999999</v>
      </c>
      <c r="AS196">
        <v>341109.2586</v>
      </c>
      <c r="AT196">
        <v>332294.49180000002</v>
      </c>
      <c r="AU196">
        <v>323291.87579999998</v>
      </c>
      <c r="AV196">
        <v>314124.11379999999</v>
      </c>
      <c r="AW196">
        <v>304789.72489999997</v>
      </c>
    </row>
    <row r="197" spans="2:49" x14ac:dyDescent="0.25">
      <c r="B197" s="273" t="s">
        <v>268</v>
      </c>
      <c r="C197">
        <v>5051155.6907064496</v>
      </c>
      <c r="D197">
        <v>5132253.62916335</v>
      </c>
      <c r="E197">
        <v>4493537.76</v>
      </c>
      <c r="F197">
        <v>4517433.5460000001</v>
      </c>
      <c r="G197">
        <v>4237383.165</v>
      </c>
      <c r="H197">
        <v>4123596.997</v>
      </c>
      <c r="I197">
        <v>4058831.0260000001</v>
      </c>
      <c r="J197">
        <v>3958966.5430000001</v>
      </c>
      <c r="K197">
        <v>3691058.7549999999</v>
      </c>
      <c r="L197">
        <v>3522199.8859999999</v>
      </c>
      <c r="M197">
        <v>3504945.463</v>
      </c>
      <c r="N197">
        <v>3451275.2149999999</v>
      </c>
      <c r="O197">
        <v>3414818.1140000001</v>
      </c>
      <c r="P197">
        <v>3403970.2790000001</v>
      </c>
      <c r="Q197">
        <v>3245904.9350000001</v>
      </c>
      <c r="R197">
        <v>3131007.5580000002</v>
      </c>
      <c r="S197">
        <v>3115233.9</v>
      </c>
      <c r="T197">
        <v>3001259.0819999999</v>
      </c>
      <c r="U197">
        <v>2903526.0350000001</v>
      </c>
      <c r="V197">
        <v>2817423.378</v>
      </c>
      <c r="W197">
        <v>2815932.2549999999</v>
      </c>
      <c r="X197">
        <v>2794098.034</v>
      </c>
      <c r="Y197">
        <v>2741453.838</v>
      </c>
      <c r="Z197">
        <v>2706181.7940000002</v>
      </c>
      <c r="AA197">
        <v>2659610.0630000001</v>
      </c>
      <c r="AB197">
        <v>2611306.0550000002</v>
      </c>
      <c r="AC197">
        <v>2574840.0750000002</v>
      </c>
      <c r="AD197">
        <v>2519059.4279999998</v>
      </c>
      <c r="AE197">
        <v>2466870.142</v>
      </c>
      <c r="AF197">
        <v>2416123.21</v>
      </c>
      <c r="AG197">
        <v>2365660.7510000002</v>
      </c>
      <c r="AH197">
        <v>2322198.281</v>
      </c>
      <c r="AI197">
        <v>2268283.611</v>
      </c>
      <c r="AJ197">
        <v>2218334.389</v>
      </c>
      <c r="AK197">
        <v>2167069.412</v>
      </c>
      <c r="AL197">
        <v>2116067.9019999998</v>
      </c>
      <c r="AM197">
        <v>2065583.6529999999</v>
      </c>
      <c r="AN197">
        <v>2011800.936</v>
      </c>
      <c r="AO197">
        <v>1957567.1029999999</v>
      </c>
      <c r="AP197">
        <v>1902619.834</v>
      </c>
      <c r="AQ197">
        <v>1847248.5560000001</v>
      </c>
      <c r="AR197">
        <v>1794025.3330000001</v>
      </c>
      <c r="AS197">
        <v>1740232.558</v>
      </c>
      <c r="AT197">
        <v>1687806.7409999999</v>
      </c>
      <c r="AU197">
        <v>1635353.3529999999</v>
      </c>
      <c r="AV197">
        <v>1582793.6980000001</v>
      </c>
      <c r="AW197">
        <v>1530065.135</v>
      </c>
    </row>
    <row r="198" spans="2:49" x14ac:dyDescent="0.25">
      <c r="B198" s="273" t="s">
        <v>269</v>
      </c>
      <c r="C198">
        <v>738109.45702439197</v>
      </c>
      <c r="D198">
        <v>749960.04310518701</v>
      </c>
      <c r="E198">
        <v>656626.50679999997</v>
      </c>
      <c r="F198">
        <v>699115.33259999997</v>
      </c>
      <c r="G198">
        <v>649956.82149999996</v>
      </c>
      <c r="H198">
        <v>554571.76300000004</v>
      </c>
      <c r="I198">
        <v>602396.74609999999</v>
      </c>
      <c r="J198">
        <v>584971.29090000002</v>
      </c>
      <c r="K198">
        <v>551998.19920000003</v>
      </c>
      <c r="L198">
        <v>540034.63619999995</v>
      </c>
      <c r="M198">
        <v>554610.91579999996</v>
      </c>
      <c r="N198">
        <v>590028.11360000004</v>
      </c>
      <c r="O198">
        <v>571173.96569999994</v>
      </c>
      <c r="P198">
        <v>549588.14199999999</v>
      </c>
      <c r="Q198">
        <v>492093.76140000002</v>
      </c>
      <c r="R198">
        <v>459502.63669999997</v>
      </c>
      <c r="S198">
        <v>412344.47820000001</v>
      </c>
      <c r="T198">
        <v>381696.6876</v>
      </c>
      <c r="U198">
        <v>366853.97649999999</v>
      </c>
      <c r="V198">
        <v>354646.86210000003</v>
      </c>
      <c r="W198">
        <v>356417.03460000001</v>
      </c>
      <c r="X198">
        <v>319766.12319999997</v>
      </c>
      <c r="Y198">
        <v>338466.24129999999</v>
      </c>
      <c r="Z198">
        <v>345091.15039999998</v>
      </c>
      <c r="AA198">
        <v>345287.99089999998</v>
      </c>
      <c r="AB198">
        <v>342785.03690000001</v>
      </c>
      <c r="AC198">
        <v>321348.10930000001</v>
      </c>
      <c r="AD198">
        <v>330955.90429999999</v>
      </c>
      <c r="AE198">
        <v>327673.26949999999</v>
      </c>
      <c r="AF198">
        <v>324038.2009</v>
      </c>
      <c r="AG198">
        <v>319674.6862</v>
      </c>
      <c r="AH198">
        <v>303430.2107</v>
      </c>
      <c r="AI198">
        <v>305752.3247</v>
      </c>
      <c r="AJ198">
        <v>303449.30160000001</v>
      </c>
      <c r="AK198">
        <v>298740.83889999997</v>
      </c>
      <c r="AL198">
        <v>293296.23420000001</v>
      </c>
      <c r="AM198">
        <v>287460.9252</v>
      </c>
      <c r="AN198">
        <v>278037.09220000001</v>
      </c>
      <c r="AO198">
        <v>270056.42229999998</v>
      </c>
      <c r="AP198">
        <v>262294.32140000002</v>
      </c>
      <c r="AQ198">
        <v>254547.88769999999</v>
      </c>
      <c r="AR198">
        <v>241461.11840000001</v>
      </c>
      <c r="AS198">
        <v>236869.70920000001</v>
      </c>
      <c r="AT198">
        <v>230763.93479999999</v>
      </c>
      <c r="AU198">
        <v>223960.8688</v>
      </c>
      <c r="AV198">
        <v>216833.00930000001</v>
      </c>
      <c r="AW198">
        <v>209557.49789999999</v>
      </c>
    </row>
    <row r="199" spans="2:49" x14ac:dyDescent="0.25">
      <c r="B199" s="273" t="s">
        <v>270</v>
      </c>
      <c r="C199">
        <v>1453742.3069470399</v>
      </c>
      <c r="D199">
        <v>1477082.6099113501</v>
      </c>
      <c r="E199">
        <v>1293257.692</v>
      </c>
      <c r="F199">
        <v>1281812.6869999999</v>
      </c>
      <c r="G199">
        <v>1154720.936</v>
      </c>
      <c r="H199">
        <v>978040.04760000005</v>
      </c>
      <c r="I199">
        <v>991842.38190000004</v>
      </c>
      <c r="J199">
        <v>1069485.2520000001</v>
      </c>
      <c r="K199">
        <v>951116.36860000005</v>
      </c>
      <c r="L199">
        <v>887541.94779999997</v>
      </c>
      <c r="M199">
        <v>885642.42249999999</v>
      </c>
      <c r="N199">
        <v>872420.75589999999</v>
      </c>
      <c r="O199">
        <v>912776.86529999995</v>
      </c>
      <c r="P199">
        <v>947784.38560000004</v>
      </c>
      <c r="Q199">
        <v>935004.47649999999</v>
      </c>
      <c r="R199">
        <v>921878.89080000005</v>
      </c>
      <c r="S199">
        <v>907872.63329999999</v>
      </c>
      <c r="T199">
        <v>872022.11609999998</v>
      </c>
      <c r="U199">
        <v>839066.53879999998</v>
      </c>
      <c r="V199">
        <v>810992.0784</v>
      </c>
      <c r="W199">
        <v>799629.68689999997</v>
      </c>
      <c r="X199">
        <v>777336.15150000004</v>
      </c>
      <c r="Y199">
        <v>761838.79090000002</v>
      </c>
      <c r="Z199">
        <v>749822.80249999999</v>
      </c>
      <c r="AA199">
        <v>735166.19940000004</v>
      </c>
      <c r="AB199">
        <v>720254.62150000001</v>
      </c>
      <c r="AC199">
        <v>704521.4952</v>
      </c>
      <c r="AD199">
        <v>693840.09900000005</v>
      </c>
      <c r="AE199">
        <v>680954.11170000001</v>
      </c>
      <c r="AF199">
        <v>668527.0172</v>
      </c>
      <c r="AG199">
        <v>655802.52130000002</v>
      </c>
      <c r="AH199">
        <v>642588.32290000003</v>
      </c>
      <c r="AI199">
        <v>631279.05669999996</v>
      </c>
      <c r="AJ199">
        <v>619656.19920000003</v>
      </c>
      <c r="AK199">
        <v>607665.41440000001</v>
      </c>
      <c r="AL199">
        <v>595643.38569999998</v>
      </c>
      <c r="AM199">
        <v>583602.50379999995</v>
      </c>
      <c r="AN199">
        <v>569681.42599999998</v>
      </c>
      <c r="AO199">
        <v>556205.20299999998</v>
      </c>
      <c r="AP199">
        <v>542589.86490000004</v>
      </c>
      <c r="AQ199">
        <v>528998.53639999998</v>
      </c>
      <c r="AR199">
        <v>514755.7806</v>
      </c>
      <c r="AS199">
        <v>502248.01179999998</v>
      </c>
      <c r="AT199">
        <v>489464.15010000003</v>
      </c>
      <c r="AU199">
        <v>476357.08850000001</v>
      </c>
      <c r="AV199">
        <v>462992.74729999999</v>
      </c>
      <c r="AW199">
        <v>449567.7488</v>
      </c>
    </row>
    <row r="200" spans="2:49" x14ac:dyDescent="0.25">
      <c r="B200" s="273" t="s">
        <v>271</v>
      </c>
      <c r="C200">
        <v>1819036.8432423901</v>
      </c>
      <c r="D200">
        <v>1848242.0681447799</v>
      </c>
      <c r="E200">
        <v>1618225.8559999999</v>
      </c>
      <c r="F200">
        <v>1606346.615</v>
      </c>
      <c r="G200">
        <v>1458826.72</v>
      </c>
      <c r="H200">
        <v>1217817.6170000001</v>
      </c>
      <c r="I200">
        <v>1254356.3149999999</v>
      </c>
      <c r="J200">
        <v>1377238.1710000001</v>
      </c>
      <c r="K200">
        <v>1224890.014</v>
      </c>
      <c r="L200">
        <v>1139731.1839999999</v>
      </c>
      <c r="M200">
        <v>1133106.3359999999</v>
      </c>
      <c r="N200">
        <v>1098399.642</v>
      </c>
      <c r="O200">
        <v>1171830.4720000001</v>
      </c>
      <c r="P200">
        <v>1255021.53</v>
      </c>
      <c r="Q200">
        <v>1270512.2239999999</v>
      </c>
      <c r="R200">
        <v>1281053.6769999999</v>
      </c>
      <c r="S200">
        <v>1261084.8060000001</v>
      </c>
      <c r="T200">
        <v>1232058.96</v>
      </c>
      <c r="U200">
        <v>1185600.2990000001</v>
      </c>
      <c r="V200">
        <v>1158165.9010000001</v>
      </c>
      <c r="W200">
        <v>1147268.2250000001</v>
      </c>
      <c r="X200">
        <v>1126052.79</v>
      </c>
      <c r="Y200">
        <v>1088674.5419999999</v>
      </c>
      <c r="Z200">
        <v>1062082.253</v>
      </c>
      <c r="AA200">
        <v>1034689.497</v>
      </c>
      <c r="AB200">
        <v>1007805.299</v>
      </c>
      <c r="AC200">
        <v>983499.03980000003</v>
      </c>
      <c r="AD200">
        <v>962850.08990000002</v>
      </c>
      <c r="AE200">
        <v>940818.55909999995</v>
      </c>
      <c r="AF200">
        <v>920451.6507</v>
      </c>
      <c r="AG200">
        <v>899227.4155</v>
      </c>
      <c r="AH200">
        <v>879888.19220000005</v>
      </c>
      <c r="AI200">
        <v>859640.77009999997</v>
      </c>
      <c r="AJ200">
        <v>838959.70880000002</v>
      </c>
      <c r="AK200">
        <v>819130.25360000005</v>
      </c>
      <c r="AL200">
        <v>799476.41890000005</v>
      </c>
      <c r="AM200">
        <v>779857.68700000003</v>
      </c>
      <c r="AN200">
        <v>759371.4915</v>
      </c>
      <c r="AO200">
        <v>740300.98300000001</v>
      </c>
      <c r="AP200">
        <v>721146.06099999999</v>
      </c>
      <c r="AQ200">
        <v>702844.93660000002</v>
      </c>
      <c r="AR200">
        <v>684046.12939999998</v>
      </c>
      <c r="AS200">
        <v>665272.42680000002</v>
      </c>
      <c r="AT200">
        <v>646283.65700000001</v>
      </c>
      <c r="AU200">
        <v>626683.64540000004</v>
      </c>
      <c r="AV200">
        <v>606881.46900000004</v>
      </c>
      <c r="AW200">
        <v>589203.85589999997</v>
      </c>
    </row>
    <row r="201" spans="2:49" x14ac:dyDescent="0.25">
      <c r="B201" s="273" t="s">
        <v>272</v>
      </c>
      <c r="C201">
        <v>2313078.33193391</v>
      </c>
      <c r="D201">
        <v>2350215.5527395001</v>
      </c>
      <c r="E201">
        <v>2057728.0649999999</v>
      </c>
      <c r="F201">
        <v>2022079.8430000001</v>
      </c>
      <c r="G201">
        <v>1863139.64</v>
      </c>
      <c r="H201">
        <v>1635430.939</v>
      </c>
      <c r="I201">
        <v>1701251.51</v>
      </c>
      <c r="J201">
        <v>1587786.5460000001</v>
      </c>
      <c r="K201">
        <v>1430043.3370000001</v>
      </c>
      <c r="L201">
        <v>1372164.2790000001</v>
      </c>
      <c r="M201">
        <v>1333243.2239999999</v>
      </c>
      <c r="N201">
        <v>1336260.058</v>
      </c>
      <c r="O201">
        <v>1377807.6059999999</v>
      </c>
      <c r="P201">
        <v>1407425.683</v>
      </c>
      <c r="Q201">
        <v>1395240.4639999999</v>
      </c>
      <c r="R201">
        <v>1370410.3089999999</v>
      </c>
      <c r="S201">
        <v>1376402.1510000001</v>
      </c>
      <c r="T201">
        <v>1334646.7420000001</v>
      </c>
      <c r="U201">
        <v>1287909.6040000001</v>
      </c>
      <c r="V201">
        <v>1247736.04</v>
      </c>
      <c r="W201">
        <v>1251263.2860000001</v>
      </c>
      <c r="X201">
        <v>1241617.503</v>
      </c>
      <c r="Y201">
        <v>1221484.5900000001</v>
      </c>
      <c r="Z201">
        <v>1210199.7930000001</v>
      </c>
      <c r="AA201">
        <v>1193835.192</v>
      </c>
      <c r="AB201">
        <v>1176917.352</v>
      </c>
      <c r="AC201">
        <v>1161557.77</v>
      </c>
      <c r="AD201">
        <v>1141788.325</v>
      </c>
      <c r="AE201">
        <v>1121088.5120000001</v>
      </c>
      <c r="AF201">
        <v>1101141.628</v>
      </c>
      <c r="AG201">
        <v>1080870.7350000001</v>
      </c>
      <c r="AH201">
        <v>1061804.5660000001</v>
      </c>
      <c r="AI201">
        <v>1042131.132</v>
      </c>
      <c r="AJ201">
        <v>1023028.98</v>
      </c>
      <c r="AK201">
        <v>1003690.1</v>
      </c>
      <c r="AL201">
        <v>984388.33200000005</v>
      </c>
      <c r="AM201">
        <v>965058.29610000004</v>
      </c>
      <c r="AN201">
        <v>943959.35470000003</v>
      </c>
      <c r="AO201">
        <v>923496.04720000003</v>
      </c>
      <c r="AP201">
        <v>902610.22140000004</v>
      </c>
      <c r="AQ201">
        <v>881597.29200000002</v>
      </c>
      <c r="AR201">
        <v>860283.4791</v>
      </c>
      <c r="AS201">
        <v>839584.06200000003</v>
      </c>
      <c r="AT201">
        <v>818559.94640000002</v>
      </c>
      <c r="AU201">
        <v>797115.85049999994</v>
      </c>
      <c r="AV201">
        <v>775263.64269999997</v>
      </c>
      <c r="AW201">
        <v>753141.53859999997</v>
      </c>
    </row>
    <row r="202" spans="2:49" x14ac:dyDescent="0.25">
      <c r="B202" s="273" t="s">
        <v>273</v>
      </c>
      <c r="C202">
        <v>4643279.3828946501</v>
      </c>
      <c r="D202">
        <v>4717828.7352982899</v>
      </c>
      <c r="E202">
        <v>4130688.602</v>
      </c>
      <c r="F202">
        <v>4059932.17</v>
      </c>
      <c r="G202">
        <v>3945976.2689999999</v>
      </c>
      <c r="H202">
        <v>3602002.139</v>
      </c>
      <c r="I202">
        <v>3647208.6869999999</v>
      </c>
      <c r="J202">
        <v>3569982.943</v>
      </c>
      <c r="K202">
        <v>3341282.2829999998</v>
      </c>
      <c r="L202">
        <v>3227222.4589999998</v>
      </c>
      <c r="M202">
        <v>3161279.7069999999</v>
      </c>
      <c r="N202">
        <v>3208035.673</v>
      </c>
      <c r="O202">
        <v>3315936.2409999999</v>
      </c>
      <c r="P202">
        <v>3380617.0950000002</v>
      </c>
      <c r="Q202">
        <v>3331005.6239999998</v>
      </c>
      <c r="R202">
        <v>3347050.58</v>
      </c>
      <c r="S202">
        <v>3296760.1030000001</v>
      </c>
      <c r="T202">
        <v>3179049.2450000001</v>
      </c>
      <c r="U202">
        <v>3055666.4849999999</v>
      </c>
      <c r="V202">
        <v>2946718.8829999999</v>
      </c>
      <c r="W202">
        <v>2842204.3139999998</v>
      </c>
      <c r="X202">
        <v>2716556.9819999998</v>
      </c>
      <c r="Y202">
        <v>2599202.9610000001</v>
      </c>
      <c r="Z202">
        <v>2506505.7999999998</v>
      </c>
      <c r="AA202">
        <v>2409369.4500000002</v>
      </c>
      <c r="AB202">
        <v>2314314.6189999999</v>
      </c>
      <c r="AC202">
        <v>2223594.5809999998</v>
      </c>
      <c r="AD202">
        <v>2180740.25</v>
      </c>
      <c r="AE202">
        <v>2137041.6030000001</v>
      </c>
      <c r="AF202">
        <v>2096298.2560000001</v>
      </c>
      <c r="AG202">
        <v>2053954.0830000001</v>
      </c>
      <c r="AH202">
        <v>2013641.5989999999</v>
      </c>
      <c r="AI202">
        <v>1972587.2050000001</v>
      </c>
      <c r="AJ202">
        <v>1932143.1059999999</v>
      </c>
      <c r="AK202">
        <v>1891703.352</v>
      </c>
      <c r="AL202">
        <v>1851628.371</v>
      </c>
      <c r="AM202">
        <v>1811605.6410000001</v>
      </c>
      <c r="AN202">
        <v>1765992.862</v>
      </c>
      <c r="AO202">
        <v>1721186.1470000001</v>
      </c>
      <c r="AP202">
        <v>1675570.6329999999</v>
      </c>
      <c r="AQ202">
        <v>1630035.496</v>
      </c>
      <c r="AR202">
        <v>1583908.71</v>
      </c>
      <c r="AS202">
        <v>1540344.6410000001</v>
      </c>
      <c r="AT202">
        <v>1496712.929</v>
      </c>
      <c r="AU202">
        <v>1452718.3060000001</v>
      </c>
      <c r="AV202">
        <v>1408448.7180000001</v>
      </c>
      <c r="AW202">
        <v>1363875.7290000001</v>
      </c>
    </row>
    <row r="203" spans="2:49" x14ac:dyDescent="0.25">
      <c r="B203" s="273" t="s">
        <v>274</v>
      </c>
      <c r="C203">
        <v>3833938.33697946</v>
      </c>
      <c r="D203">
        <v>3895493.45710216</v>
      </c>
      <c r="E203">
        <v>3426214.0129999998</v>
      </c>
      <c r="F203">
        <v>3371351.5189999999</v>
      </c>
      <c r="G203">
        <v>3316617.3709999998</v>
      </c>
      <c r="H203">
        <v>2994641.3250000002</v>
      </c>
      <c r="I203">
        <v>3069410.9849999999</v>
      </c>
      <c r="J203">
        <v>3071277.1060000001</v>
      </c>
      <c r="K203">
        <v>2961889.66</v>
      </c>
      <c r="L203">
        <v>2889640.9959999998</v>
      </c>
      <c r="M203">
        <v>2830267.4580000001</v>
      </c>
      <c r="N203">
        <v>2821650.074</v>
      </c>
      <c r="O203">
        <v>2899969.2390000001</v>
      </c>
      <c r="P203">
        <v>3031138.923</v>
      </c>
      <c r="Q203">
        <v>3098160.1680000001</v>
      </c>
      <c r="R203">
        <v>3226716.7170000002</v>
      </c>
      <c r="S203">
        <v>3281629.5649999999</v>
      </c>
      <c r="T203">
        <v>3162458.6379999998</v>
      </c>
      <c r="U203">
        <v>3064897.8119999999</v>
      </c>
      <c r="V203">
        <v>2970949.554</v>
      </c>
      <c r="W203">
        <v>2963938.8130000001</v>
      </c>
      <c r="X203">
        <v>2937108.9539999999</v>
      </c>
      <c r="Y203">
        <v>2895898.07</v>
      </c>
      <c r="Z203">
        <v>2859773.3820000002</v>
      </c>
      <c r="AA203">
        <v>2816135.61</v>
      </c>
      <c r="AB203">
        <v>2768813.5970000001</v>
      </c>
      <c r="AC203">
        <v>2719036.97</v>
      </c>
      <c r="AD203">
        <v>2666979.6770000001</v>
      </c>
      <c r="AE203">
        <v>2613516.1850000001</v>
      </c>
      <c r="AF203">
        <v>2563613.6349999998</v>
      </c>
      <c r="AG203">
        <v>2510711.713</v>
      </c>
      <c r="AH203">
        <v>2458409.483</v>
      </c>
      <c r="AI203">
        <v>2405290.0819999999</v>
      </c>
      <c r="AJ203">
        <v>2353535.6189999999</v>
      </c>
      <c r="AK203">
        <v>2301853.7230000002</v>
      </c>
      <c r="AL203">
        <v>2250828.8480000002</v>
      </c>
      <c r="AM203">
        <v>2200080.9190000002</v>
      </c>
      <c r="AN203">
        <v>2151699.3330000001</v>
      </c>
      <c r="AO203">
        <v>2104255.9840000002</v>
      </c>
      <c r="AP203">
        <v>2055614.4110000001</v>
      </c>
      <c r="AQ203">
        <v>2006039.9669999999</v>
      </c>
      <c r="AR203">
        <v>1955223.78</v>
      </c>
      <c r="AS203">
        <v>1903402.4639999999</v>
      </c>
      <c r="AT203">
        <v>1850943.963</v>
      </c>
      <c r="AU203">
        <v>1797705.5279999999</v>
      </c>
      <c r="AV203">
        <v>1743734.3740000001</v>
      </c>
      <c r="AW203">
        <v>1688661.9480000001</v>
      </c>
    </row>
    <row r="204" spans="2:49" x14ac:dyDescent="0.25">
      <c r="B204" s="273" t="s">
        <v>275</v>
      </c>
      <c r="C204">
        <v>271678.64339116903</v>
      </c>
      <c r="D204">
        <v>276040.53188776103</v>
      </c>
      <c r="E204">
        <v>241686.91630000001</v>
      </c>
      <c r="F204">
        <v>245406.79440000001</v>
      </c>
      <c r="G204">
        <v>227550.00659999999</v>
      </c>
      <c r="H204">
        <v>195093.264</v>
      </c>
      <c r="I204">
        <v>201730.18950000001</v>
      </c>
      <c r="J204">
        <v>198521.22089999999</v>
      </c>
      <c r="K204">
        <v>178592.8</v>
      </c>
      <c r="L204">
        <v>164126.75649999999</v>
      </c>
      <c r="M204">
        <v>159252.77249999999</v>
      </c>
      <c r="N204">
        <v>166254.75520000001</v>
      </c>
      <c r="O204">
        <v>165880.05979999999</v>
      </c>
      <c r="P204">
        <v>165736.0441</v>
      </c>
      <c r="Q204">
        <v>157023.9884</v>
      </c>
      <c r="R204">
        <v>148889.15460000001</v>
      </c>
      <c r="S204">
        <v>144175.53700000001</v>
      </c>
      <c r="T204">
        <v>138551.5128</v>
      </c>
      <c r="U204">
        <v>133231.16310000001</v>
      </c>
      <c r="V204">
        <v>129064.66310000001</v>
      </c>
      <c r="W204">
        <v>129138.1277</v>
      </c>
      <c r="X204">
        <v>126955.0871</v>
      </c>
      <c r="Y204">
        <v>125466.1056</v>
      </c>
      <c r="Z204">
        <v>125045.32520000001</v>
      </c>
      <c r="AA204">
        <v>124280.9449</v>
      </c>
      <c r="AB204">
        <v>123726.57859999999</v>
      </c>
      <c r="AC204">
        <v>122732.9912</v>
      </c>
      <c r="AD204">
        <v>120302.2908</v>
      </c>
      <c r="AE204">
        <v>117281.7219</v>
      </c>
      <c r="AF204">
        <v>114438.1441</v>
      </c>
      <c r="AG204">
        <v>111567.94409999999</v>
      </c>
      <c r="AH204">
        <v>108242.5061</v>
      </c>
      <c r="AI204">
        <v>105788.30680000001</v>
      </c>
      <c r="AJ204">
        <v>103229.73880000001</v>
      </c>
      <c r="AK204">
        <v>100597.69409999999</v>
      </c>
      <c r="AL204">
        <v>97986.87831</v>
      </c>
      <c r="AM204">
        <v>95397.823940000002</v>
      </c>
      <c r="AN204">
        <v>92398.223729999998</v>
      </c>
      <c r="AO204">
        <v>89556.784360000005</v>
      </c>
      <c r="AP204">
        <v>86725.791939999996</v>
      </c>
      <c r="AQ204">
        <v>83949.708299999998</v>
      </c>
      <c r="AR204">
        <v>80865.315430000002</v>
      </c>
      <c r="AS204">
        <v>78351.915760000004</v>
      </c>
      <c r="AT204">
        <v>75811.105779999998</v>
      </c>
      <c r="AU204">
        <v>73242.952290000001</v>
      </c>
      <c r="AV204">
        <v>70669.03469</v>
      </c>
      <c r="AW204">
        <v>68141.741309999998</v>
      </c>
    </row>
    <row r="205" spans="2:49" x14ac:dyDescent="0.25">
      <c r="B205" s="273" t="s">
        <v>276</v>
      </c>
      <c r="C205">
        <v>2033071.8879050901</v>
      </c>
      <c r="D205">
        <v>2065713.51468114</v>
      </c>
      <c r="E205">
        <v>1808632.689</v>
      </c>
      <c r="F205">
        <v>1765493.7109999999</v>
      </c>
      <c r="G205">
        <v>1556201.085</v>
      </c>
      <c r="H205">
        <v>1251253.2590000001</v>
      </c>
      <c r="I205">
        <v>1323329.585</v>
      </c>
      <c r="J205">
        <v>1291317.0589999999</v>
      </c>
      <c r="K205">
        <v>1165979.4450000001</v>
      </c>
      <c r="L205">
        <v>1133644.514</v>
      </c>
      <c r="M205">
        <v>1123832.162</v>
      </c>
      <c r="N205">
        <v>1130542.3130000001</v>
      </c>
      <c r="O205">
        <v>1109252.4339999999</v>
      </c>
      <c r="P205">
        <v>1147171.102</v>
      </c>
      <c r="Q205">
        <v>1116208.9750000001</v>
      </c>
      <c r="R205">
        <v>1068326.8870000001</v>
      </c>
      <c r="S205">
        <v>1045007.86</v>
      </c>
      <c r="T205">
        <v>999845.54669999995</v>
      </c>
      <c r="U205">
        <v>953139.92790000001</v>
      </c>
      <c r="V205">
        <v>913334.36869999999</v>
      </c>
      <c r="W205">
        <v>886270.9155</v>
      </c>
      <c r="X205">
        <v>844123.21990000003</v>
      </c>
      <c r="Y205">
        <v>818289.57779999997</v>
      </c>
      <c r="Z205">
        <v>798971.12430000002</v>
      </c>
      <c r="AA205">
        <v>777065.88249999995</v>
      </c>
      <c r="AB205">
        <v>755381.66399999999</v>
      </c>
      <c r="AC205">
        <v>732251.35629999998</v>
      </c>
      <c r="AD205">
        <v>720336.54339999997</v>
      </c>
      <c r="AE205">
        <v>705871.52549999999</v>
      </c>
      <c r="AF205">
        <v>691787.88199999998</v>
      </c>
      <c r="AG205">
        <v>677586.69059999997</v>
      </c>
      <c r="AH205">
        <v>662539.32990000001</v>
      </c>
      <c r="AI205">
        <v>649990.43590000004</v>
      </c>
      <c r="AJ205">
        <v>636828.09290000005</v>
      </c>
      <c r="AK205">
        <v>623377.80249999999</v>
      </c>
      <c r="AL205">
        <v>609860.93099999998</v>
      </c>
      <c r="AM205">
        <v>596199.97250000003</v>
      </c>
      <c r="AN205">
        <v>577949.51089999999</v>
      </c>
      <c r="AO205">
        <v>559784.98600000003</v>
      </c>
      <c r="AP205">
        <v>541280.91579999996</v>
      </c>
      <c r="AQ205">
        <v>522824.08870000002</v>
      </c>
      <c r="AR205">
        <v>503439.03879999998</v>
      </c>
      <c r="AS205">
        <v>487399.26620000001</v>
      </c>
      <c r="AT205">
        <v>471326.69949999999</v>
      </c>
      <c r="AU205">
        <v>455127.20779999997</v>
      </c>
      <c r="AV205">
        <v>438834.5453</v>
      </c>
      <c r="AW205">
        <v>422677.30310000002</v>
      </c>
    </row>
    <row r="206" spans="2:49" x14ac:dyDescent="0.25">
      <c r="B206" s="273" t="s">
        <v>277</v>
      </c>
      <c r="C206">
        <v>611949.61832884501</v>
      </c>
      <c r="D206">
        <v>621774.66739182698</v>
      </c>
      <c r="E206">
        <v>544393.97349999996</v>
      </c>
      <c r="F206">
        <v>535183.02190000005</v>
      </c>
      <c r="G206">
        <v>479562.16970000003</v>
      </c>
      <c r="H206">
        <v>403580.94549999997</v>
      </c>
      <c r="I206">
        <v>428931.79969999997</v>
      </c>
      <c r="J206">
        <v>411836.14370000002</v>
      </c>
      <c r="K206">
        <v>370328.48499999999</v>
      </c>
      <c r="L206">
        <v>351566.90500000003</v>
      </c>
      <c r="M206">
        <v>351006.80200000003</v>
      </c>
      <c r="N206">
        <v>351152.30910000001</v>
      </c>
      <c r="O206">
        <v>325457.65330000001</v>
      </c>
      <c r="P206">
        <v>314686.1704</v>
      </c>
      <c r="Q206">
        <v>280108.86369999999</v>
      </c>
      <c r="R206">
        <v>257287.50649999999</v>
      </c>
      <c r="S206">
        <v>243435.6887</v>
      </c>
      <c r="T206">
        <v>237196.43479999999</v>
      </c>
      <c r="U206">
        <v>228561.51420000001</v>
      </c>
      <c r="V206">
        <v>222449.29819999999</v>
      </c>
      <c r="W206">
        <v>221048.94810000001</v>
      </c>
      <c r="X206">
        <v>216487.12270000001</v>
      </c>
      <c r="Y206">
        <v>212323.5687</v>
      </c>
      <c r="Z206">
        <v>211083.72450000001</v>
      </c>
      <c r="AA206">
        <v>209010.4877</v>
      </c>
      <c r="AB206">
        <v>206842.36429999999</v>
      </c>
      <c r="AC206">
        <v>204517.4069</v>
      </c>
      <c r="AD206">
        <v>202145.92629999999</v>
      </c>
      <c r="AE206">
        <v>199358.09210000001</v>
      </c>
      <c r="AF206">
        <v>196703.5808</v>
      </c>
      <c r="AG206">
        <v>193935.36970000001</v>
      </c>
      <c r="AH206">
        <v>191007.0215</v>
      </c>
      <c r="AI206">
        <v>188253.10750000001</v>
      </c>
      <c r="AJ206">
        <v>185349.19219999999</v>
      </c>
      <c r="AK206">
        <v>182379.18530000001</v>
      </c>
      <c r="AL206">
        <v>179363.538</v>
      </c>
      <c r="AM206">
        <v>176265.25469999999</v>
      </c>
      <c r="AN206">
        <v>172117.36739999999</v>
      </c>
      <c r="AO206">
        <v>168083.1992</v>
      </c>
      <c r="AP206">
        <v>163889.68179999999</v>
      </c>
      <c r="AQ206">
        <v>159686.93049999999</v>
      </c>
      <c r="AR206">
        <v>155230.22070000001</v>
      </c>
      <c r="AS206">
        <v>151404.38020000001</v>
      </c>
      <c r="AT206">
        <v>147526.0123</v>
      </c>
      <c r="AU206">
        <v>143583.41329999999</v>
      </c>
      <c r="AV206">
        <v>139583.82199999999</v>
      </c>
      <c r="AW206">
        <v>135576.34710000001</v>
      </c>
    </row>
    <row r="207" spans="2:49" x14ac:dyDescent="0.25">
      <c r="B207" s="273" t="s">
        <v>278</v>
      </c>
      <c r="C207">
        <v>8749188.7351059392</v>
      </c>
      <c r="D207">
        <v>8889659.7902533505</v>
      </c>
      <c r="E207">
        <v>7783329.6699999999</v>
      </c>
      <c r="F207">
        <v>7820954.1129999999</v>
      </c>
      <c r="G207">
        <v>7444187.8470000001</v>
      </c>
      <c r="H207">
        <v>6595054.7209999999</v>
      </c>
      <c r="I207">
        <v>6577028.9699999997</v>
      </c>
      <c r="J207">
        <v>6459237.9050000003</v>
      </c>
      <c r="K207">
        <v>6040926.318</v>
      </c>
      <c r="L207">
        <v>5707856.9299999997</v>
      </c>
      <c r="M207">
        <v>5565537.3049999997</v>
      </c>
      <c r="N207">
        <v>5479269.335</v>
      </c>
      <c r="O207">
        <v>5641269.3710000003</v>
      </c>
      <c r="P207">
        <v>5794723.7960000001</v>
      </c>
      <c r="Q207">
        <v>5658733.6900000004</v>
      </c>
      <c r="R207">
        <v>5721317.0980000002</v>
      </c>
      <c r="S207">
        <v>5726858.8200000003</v>
      </c>
      <c r="T207">
        <v>5589779.2999999998</v>
      </c>
      <c r="U207">
        <v>5380747.6710000001</v>
      </c>
      <c r="V207">
        <v>5195697.0219999999</v>
      </c>
      <c r="W207">
        <v>5154822.2750000004</v>
      </c>
      <c r="X207">
        <v>5041388.7910000002</v>
      </c>
      <c r="Y207">
        <v>4931877.1320000002</v>
      </c>
      <c r="Z207">
        <v>4879147.8169999998</v>
      </c>
      <c r="AA207">
        <v>4804227.5530000003</v>
      </c>
      <c r="AB207">
        <v>4725613.2209999999</v>
      </c>
      <c r="AC207">
        <v>4653241.7560000001</v>
      </c>
      <c r="AD207">
        <v>4571868.4780000001</v>
      </c>
      <c r="AE207">
        <v>4484733.7110000001</v>
      </c>
      <c r="AF207">
        <v>4403276.71</v>
      </c>
      <c r="AG207">
        <v>4320110.2209999999</v>
      </c>
      <c r="AH207">
        <v>4240123.7779999999</v>
      </c>
      <c r="AI207">
        <v>4157870.84</v>
      </c>
      <c r="AJ207">
        <v>4075533.2420000001</v>
      </c>
      <c r="AK207">
        <v>3991841.5869999998</v>
      </c>
      <c r="AL207">
        <v>3908780.9470000002</v>
      </c>
      <c r="AM207">
        <v>3826320.9589999998</v>
      </c>
      <c r="AN207">
        <v>3722497.69</v>
      </c>
      <c r="AO207">
        <v>3622039.662</v>
      </c>
      <c r="AP207">
        <v>3519773.4210000001</v>
      </c>
      <c r="AQ207">
        <v>3417361.253</v>
      </c>
      <c r="AR207">
        <v>3314937.898</v>
      </c>
      <c r="AS207">
        <v>3224334.8169999998</v>
      </c>
      <c r="AT207">
        <v>3134037.4929999998</v>
      </c>
      <c r="AU207">
        <v>3043310.7969999998</v>
      </c>
      <c r="AV207">
        <v>2952031.5159999998</v>
      </c>
      <c r="AW207">
        <v>2860911.719</v>
      </c>
    </row>
    <row r="208" spans="2:49" x14ac:dyDescent="0.25">
      <c r="B208" s="273" t="s">
        <v>279</v>
      </c>
      <c r="C208">
        <v>583434.83019375498</v>
      </c>
      <c r="D208">
        <v>592802.06510985899</v>
      </c>
      <c r="E208">
        <v>519027.05060000002</v>
      </c>
      <c r="F208">
        <v>540346.02220000001</v>
      </c>
      <c r="G208">
        <v>527119.96490000002</v>
      </c>
      <c r="H208">
        <v>458027.11859999999</v>
      </c>
      <c r="I208">
        <v>456519.47840000002</v>
      </c>
      <c r="J208">
        <v>463482.60389999999</v>
      </c>
      <c r="K208">
        <v>442936.03769999999</v>
      </c>
      <c r="L208">
        <v>428887.54749999999</v>
      </c>
      <c r="M208">
        <v>400959.5344</v>
      </c>
      <c r="N208">
        <v>368873.58510000003</v>
      </c>
      <c r="O208">
        <v>359278.12729999999</v>
      </c>
      <c r="P208">
        <v>362382.34580000001</v>
      </c>
      <c r="Q208">
        <v>353501.22039999999</v>
      </c>
      <c r="R208">
        <v>358292.93939999997</v>
      </c>
      <c r="S208">
        <v>345829.55349999998</v>
      </c>
      <c r="T208">
        <v>342719.45270000002</v>
      </c>
      <c r="U208">
        <v>331389.83169999998</v>
      </c>
      <c r="V208">
        <v>325838.02620000002</v>
      </c>
      <c r="W208">
        <v>323645.174</v>
      </c>
      <c r="X208">
        <v>319730.64799999999</v>
      </c>
      <c r="Y208">
        <v>308369.59419999999</v>
      </c>
      <c r="Z208">
        <v>300935.16190000001</v>
      </c>
      <c r="AA208">
        <v>294275.22509999998</v>
      </c>
      <c r="AB208">
        <v>288002.51809999999</v>
      </c>
      <c r="AC208">
        <v>283078.23580000002</v>
      </c>
      <c r="AD208">
        <v>278723.46309999999</v>
      </c>
      <c r="AE208">
        <v>273993.85149999999</v>
      </c>
      <c r="AF208">
        <v>269674.1605</v>
      </c>
      <c r="AG208">
        <v>264879.16350000002</v>
      </c>
      <c r="AH208">
        <v>260826.80900000001</v>
      </c>
      <c r="AI208">
        <v>255641.6746</v>
      </c>
      <c r="AJ208">
        <v>250159.82269999999</v>
      </c>
      <c r="AK208">
        <v>244914.34150000001</v>
      </c>
      <c r="AL208">
        <v>239621.7089</v>
      </c>
      <c r="AM208">
        <v>234274.8126</v>
      </c>
      <c r="AN208">
        <v>228237.02669999999</v>
      </c>
      <c r="AO208">
        <v>222573.72399999999</v>
      </c>
      <c r="AP208">
        <v>216766.38930000001</v>
      </c>
      <c r="AQ208">
        <v>211185.8469</v>
      </c>
      <c r="AR208">
        <v>205490.99110000001</v>
      </c>
      <c r="AS208">
        <v>199675.23490000001</v>
      </c>
      <c r="AT208">
        <v>193849.76490000001</v>
      </c>
      <c r="AU208">
        <v>187756.33590000001</v>
      </c>
      <c r="AV208">
        <v>181547.67499999999</v>
      </c>
      <c r="AW208">
        <v>176658.21679999999</v>
      </c>
    </row>
    <row r="209" spans="2:49" x14ac:dyDescent="0.25">
      <c r="B209" s="273" t="s">
        <v>280</v>
      </c>
      <c r="C209">
        <v>40605.282443966003</v>
      </c>
      <c r="D209">
        <v>41257.2133877546</v>
      </c>
      <c r="E209">
        <v>36122.697679999997</v>
      </c>
      <c r="F209">
        <v>36703.084860000003</v>
      </c>
      <c r="G209">
        <v>34770.951309999997</v>
      </c>
      <c r="H209">
        <v>32564.433649999999</v>
      </c>
      <c r="I209">
        <v>33977.24682</v>
      </c>
      <c r="J209">
        <v>33463.648950000003</v>
      </c>
      <c r="K209">
        <v>31749.088530000001</v>
      </c>
      <c r="L209">
        <v>31202.36346</v>
      </c>
      <c r="M209">
        <v>31264.36332</v>
      </c>
      <c r="N209">
        <v>31661.747630000002</v>
      </c>
      <c r="O209">
        <v>33663.712749999999</v>
      </c>
      <c r="P209">
        <v>35622.179779999999</v>
      </c>
      <c r="Q209">
        <v>34625.672680000003</v>
      </c>
      <c r="R209">
        <v>34900.969290000001</v>
      </c>
      <c r="S209">
        <v>35703.25791</v>
      </c>
      <c r="T209">
        <v>39326.555119999997</v>
      </c>
      <c r="U209">
        <v>41947.536249999997</v>
      </c>
      <c r="V209">
        <v>44688.267769999999</v>
      </c>
      <c r="W209">
        <v>47617.596380000003</v>
      </c>
      <c r="X209">
        <v>56993.027670000003</v>
      </c>
      <c r="Y209">
        <v>59819.070460000003</v>
      </c>
      <c r="Z209">
        <v>61281.496890000002</v>
      </c>
      <c r="AA209">
        <v>61670.688099999999</v>
      </c>
      <c r="AB209">
        <v>61380.513550000003</v>
      </c>
      <c r="AC209">
        <v>65691.461030000006</v>
      </c>
      <c r="AD209">
        <v>64159.546280000002</v>
      </c>
      <c r="AE209">
        <v>62684.170689999999</v>
      </c>
      <c r="AF209">
        <v>61271.796719999998</v>
      </c>
      <c r="AG209">
        <v>59680.029560000003</v>
      </c>
      <c r="AH209">
        <v>60085.919179999997</v>
      </c>
      <c r="AI209">
        <v>57970.142359999998</v>
      </c>
      <c r="AJ209">
        <v>55995.179490000002</v>
      </c>
      <c r="AK209">
        <v>54017.238080000003</v>
      </c>
      <c r="AL209">
        <v>52072.793010000001</v>
      </c>
      <c r="AM209">
        <v>50178.424070000001</v>
      </c>
      <c r="AN209">
        <v>48352.293949999999</v>
      </c>
      <c r="AO209">
        <v>46667.093529999998</v>
      </c>
      <c r="AP209">
        <v>45008.393259999997</v>
      </c>
      <c r="AQ209">
        <v>43386.414089999998</v>
      </c>
      <c r="AR209">
        <v>43329.82213</v>
      </c>
      <c r="AS209">
        <v>41580.584909999998</v>
      </c>
      <c r="AT209">
        <v>39975.129059999999</v>
      </c>
      <c r="AU209">
        <v>38408.363729999997</v>
      </c>
      <c r="AV209">
        <v>36862.382790000003</v>
      </c>
      <c r="AW209">
        <v>35335.073340000003</v>
      </c>
    </row>
    <row r="210" spans="2:49" x14ac:dyDescent="0.25">
      <c r="B210" s="273" t="s">
        <v>281</v>
      </c>
      <c r="C210">
        <v>55091.732691944802</v>
      </c>
      <c r="D210">
        <v>55976.248280239903</v>
      </c>
      <c r="E210">
        <v>49011.306629999999</v>
      </c>
      <c r="F210">
        <v>51588.313370000003</v>
      </c>
      <c r="G210">
        <v>52664.504500000003</v>
      </c>
      <c r="H210">
        <v>52938.068919999998</v>
      </c>
      <c r="I210">
        <v>55451.55083</v>
      </c>
      <c r="J210">
        <v>57285.260589999998</v>
      </c>
      <c r="K210">
        <v>58505.61608</v>
      </c>
      <c r="L210">
        <v>60022.862730000001</v>
      </c>
      <c r="M210">
        <v>61616.113219999999</v>
      </c>
      <c r="N210">
        <v>62414.739849999998</v>
      </c>
      <c r="O210">
        <v>61940.330860000002</v>
      </c>
      <c r="P210">
        <v>64333.003129999997</v>
      </c>
      <c r="Q210">
        <v>66081.815839999996</v>
      </c>
      <c r="R210">
        <v>72116.43651</v>
      </c>
      <c r="S210">
        <v>85356.3891</v>
      </c>
      <c r="T210">
        <v>94353.392229999998</v>
      </c>
      <c r="U210">
        <v>100371.9047</v>
      </c>
      <c r="V210">
        <v>103552.0661</v>
      </c>
      <c r="W210">
        <v>105753.6433</v>
      </c>
      <c r="X210">
        <v>122195.8532</v>
      </c>
      <c r="Y210">
        <v>135983.7231</v>
      </c>
      <c r="Z210">
        <v>149990.1116</v>
      </c>
      <c r="AA210">
        <v>163119.3903</v>
      </c>
      <c r="AB210">
        <v>175413.40299999999</v>
      </c>
      <c r="AC210">
        <v>184916.51699999999</v>
      </c>
      <c r="AD210">
        <v>198669.31150000001</v>
      </c>
      <c r="AE210">
        <v>210254.8805</v>
      </c>
      <c r="AF210">
        <v>221157.31890000001</v>
      </c>
      <c r="AG210">
        <v>231430.1201</v>
      </c>
      <c r="AH210">
        <v>238949.08180000001</v>
      </c>
      <c r="AI210">
        <v>245099.5962</v>
      </c>
      <c r="AJ210">
        <v>250108.36869999999</v>
      </c>
      <c r="AK210">
        <v>254294.1912</v>
      </c>
      <c r="AL210">
        <v>257930.54730000001</v>
      </c>
      <c r="AM210">
        <v>261115.1458</v>
      </c>
      <c r="AN210">
        <v>258874.76120000001</v>
      </c>
      <c r="AO210">
        <v>256713.61139999999</v>
      </c>
      <c r="AP210">
        <v>254417.9014</v>
      </c>
      <c r="AQ210">
        <v>251869.39180000001</v>
      </c>
      <c r="AR210">
        <v>247618.28890000001</v>
      </c>
      <c r="AS210">
        <v>240910.27849999999</v>
      </c>
      <c r="AT210">
        <v>233711.96059999999</v>
      </c>
      <c r="AU210">
        <v>226237.82459999999</v>
      </c>
      <c r="AV210">
        <v>218591.42970000001</v>
      </c>
      <c r="AW210">
        <v>210828.97320000001</v>
      </c>
    </row>
    <row r="211" spans="2:49" x14ac:dyDescent="0.25">
      <c r="B211" s="273" t="s">
        <v>282</v>
      </c>
      <c r="C211">
        <v>53959.065015136701</v>
      </c>
      <c r="D211">
        <v>54825.395257508797</v>
      </c>
      <c r="E211">
        <v>48086.344689999998</v>
      </c>
      <c r="F211">
        <v>54963.171159999998</v>
      </c>
      <c r="G211">
        <v>60517.554689999997</v>
      </c>
      <c r="H211">
        <v>64957.887170000002</v>
      </c>
      <c r="I211">
        <v>71063.250929999995</v>
      </c>
      <c r="J211">
        <v>76236.311060000007</v>
      </c>
      <c r="K211">
        <v>80428.092720000001</v>
      </c>
      <c r="L211">
        <v>83997.509510000004</v>
      </c>
      <c r="M211">
        <v>86139.784729999999</v>
      </c>
      <c r="N211">
        <v>86223.619290000002</v>
      </c>
      <c r="O211">
        <v>94704.506890000004</v>
      </c>
      <c r="P211">
        <v>104803.11440000001</v>
      </c>
      <c r="Q211">
        <v>115500.2733</v>
      </c>
      <c r="R211">
        <v>127978.1299</v>
      </c>
      <c r="S211">
        <v>142451.52900000001</v>
      </c>
      <c r="T211">
        <v>209754.1513</v>
      </c>
      <c r="U211">
        <v>257681.8248</v>
      </c>
      <c r="V211">
        <v>292518.37689999997</v>
      </c>
      <c r="W211">
        <v>322938.821</v>
      </c>
      <c r="X211">
        <v>449431.46049999999</v>
      </c>
      <c r="Y211">
        <v>584660.16489999997</v>
      </c>
      <c r="Z211">
        <v>715943.20180000004</v>
      </c>
      <c r="AA211">
        <v>840765.39049999998</v>
      </c>
      <c r="AB211">
        <v>959872.92949999997</v>
      </c>
      <c r="AC211">
        <v>1072128.2050000001</v>
      </c>
      <c r="AD211">
        <v>1211735.588</v>
      </c>
      <c r="AE211">
        <v>1342223.156</v>
      </c>
      <c r="AF211">
        <v>1467887.5190000001</v>
      </c>
      <c r="AG211">
        <v>1586376.47</v>
      </c>
      <c r="AH211">
        <v>1696730.95</v>
      </c>
      <c r="AI211">
        <v>1768352.993</v>
      </c>
      <c r="AJ211">
        <v>1834204.79</v>
      </c>
      <c r="AK211">
        <v>1894171.5</v>
      </c>
      <c r="AL211">
        <v>1949783.537</v>
      </c>
      <c r="AM211">
        <v>2001069.6529999999</v>
      </c>
      <c r="AN211">
        <v>1986193.943</v>
      </c>
      <c r="AO211">
        <v>1972343.78</v>
      </c>
      <c r="AP211">
        <v>1956509.405</v>
      </c>
      <c r="AQ211">
        <v>1938745.0060000001</v>
      </c>
      <c r="AR211">
        <v>1916470.4650000001</v>
      </c>
      <c r="AS211">
        <v>1866929.798</v>
      </c>
      <c r="AT211">
        <v>1815070.5830000001</v>
      </c>
      <c r="AU211">
        <v>1761752.6810000001</v>
      </c>
      <c r="AV211">
        <v>1707587.889</v>
      </c>
      <c r="AW211">
        <v>1653072.879</v>
      </c>
    </row>
    <row r="212" spans="2:49" x14ac:dyDescent="0.25">
      <c r="B212" s="273" t="s">
        <v>283</v>
      </c>
      <c r="C212">
        <v>216238.436565001</v>
      </c>
      <c r="D212">
        <v>219710.21460835601</v>
      </c>
      <c r="E212">
        <v>192366.9828</v>
      </c>
      <c r="F212">
        <v>215115.2665</v>
      </c>
      <c r="G212">
        <v>179799.0816</v>
      </c>
      <c r="H212">
        <v>119812.69289999999</v>
      </c>
      <c r="I212">
        <v>122352.7062</v>
      </c>
      <c r="J212">
        <v>94171.452260000005</v>
      </c>
      <c r="K212">
        <v>110257.9338</v>
      </c>
      <c r="L212">
        <v>95933.024709999998</v>
      </c>
      <c r="M212">
        <v>82579.233689999906</v>
      </c>
      <c r="N212">
        <v>70470.125530000005</v>
      </c>
      <c r="O212">
        <v>54432.424489999998</v>
      </c>
      <c r="P212">
        <v>52659.635240000003</v>
      </c>
      <c r="Q212">
        <v>48024.586130000003</v>
      </c>
      <c r="R212">
        <v>47085.678399999997</v>
      </c>
      <c r="S212">
        <v>45916.147010000001</v>
      </c>
      <c r="T212">
        <v>42895.340880000003</v>
      </c>
      <c r="U212">
        <v>40775.779820000003</v>
      </c>
      <c r="V212">
        <v>38622.318070000001</v>
      </c>
      <c r="W212">
        <v>36803.074119999997</v>
      </c>
      <c r="X212">
        <v>34442.880389999998</v>
      </c>
      <c r="Y212">
        <v>33813.38452</v>
      </c>
      <c r="Z212">
        <v>33642.234490000003</v>
      </c>
      <c r="AA212">
        <v>33476.197990000001</v>
      </c>
      <c r="AB212">
        <v>33324.533750000002</v>
      </c>
      <c r="AC212">
        <v>33148.957999999999</v>
      </c>
      <c r="AD212">
        <v>33006.540990000001</v>
      </c>
      <c r="AE212">
        <v>32810.642760000002</v>
      </c>
      <c r="AF212">
        <v>32662.41603</v>
      </c>
      <c r="AG212">
        <v>32482.960360000001</v>
      </c>
      <c r="AH212">
        <v>32279.787219999998</v>
      </c>
      <c r="AI212">
        <v>32085.12846</v>
      </c>
      <c r="AJ212">
        <v>31871.460449999999</v>
      </c>
      <c r="AK212">
        <v>31635.405920000001</v>
      </c>
      <c r="AL212">
        <v>31397.858830000001</v>
      </c>
      <c r="AM212">
        <v>31162.45333</v>
      </c>
      <c r="AN212">
        <v>30390.032780000001</v>
      </c>
      <c r="AO212">
        <v>29527.92352</v>
      </c>
      <c r="AP212">
        <v>28623.41646</v>
      </c>
      <c r="AQ212">
        <v>27705.108100000001</v>
      </c>
      <c r="AR212">
        <v>26760.513279999999</v>
      </c>
      <c r="AS212">
        <v>26139.75315</v>
      </c>
      <c r="AT212">
        <v>25572.493419999999</v>
      </c>
      <c r="AU212">
        <v>25014.218199999999</v>
      </c>
      <c r="AV212">
        <v>24460.038140000001</v>
      </c>
      <c r="AW212">
        <v>23909.03975</v>
      </c>
    </row>
    <row r="213" spans="2:49" x14ac:dyDescent="0.25">
      <c r="B213" s="273" t="s">
        <v>284</v>
      </c>
      <c r="C213">
        <v>215538.66868192199</v>
      </c>
      <c r="D213">
        <v>218999.21172556799</v>
      </c>
      <c r="E213">
        <v>191744.46520000001</v>
      </c>
      <c r="F213">
        <v>195395.78099999999</v>
      </c>
      <c r="G213">
        <v>193326.94029999999</v>
      </c>
      <c r="H213">
        <v>148288.73540000001</v>
      </c>
      <c r="I213">
        <v>122618.3386</v>
      </c>
      <c r="J213">
        <v>125916.0053</v>
      </c>
      <c r="K213">
        <v>123182.7625</v>
      </c>
      <c r="L213">
        <v>116429.7599</v>
      </c>
      <c r="M213">
        <v>111623.7145</v>
      </c>
      <c r="N213">
        <v>108649.28320000001</v>
      </c>
      <c r="O213">
        <v>99735.376279999997</v>
      </c>
      <c r="P213">
        <v>95895.60643</v>
      </c>
      <c r="Q213">
        <v>97620.911840000001</v>
      </c>
      <c r="R213">
        <v>91646.570900000006</v>
      </c>
      <c r="S213">
        <v>83434.102280000006</v>
      </c>
      <c r="T213">
        <v>72198.125289999996</v>
      </c>
      <c r="U213">
        <v>62532.481670000001</v>
      </c>
      <c r="V213">
        <v>53920.913430000001</v>
      </c>
      <c r="W213">
        <v>47591.079299999998</v>
      </c>
      <c r="X213">
        <v>41190.605459999999</v>
      </c>
      <c r="Y213">
        <v>39727.781660000001</v>
      </c>
      <c r="Z213">
        <v>39337.943050000002</v>
      </c>
      <c r="AA213">
        <v>39084.594089999999</v>
      </c>
      <c r="AB213">
        <v>38835.087090000001</v>
      </c>
      <c r="AC213">
        <v>38546.633029999997</v>
      </c>
      <c r="AD213">
        <v>38286.550790000001</v>
      </c>
      <c r="AE213">
        <v>37909.472399999999</v>
      </c>
      <c r="AF213">
        <v>37577.711490000002</v>
      </c>
      <c r="AG213">
        <v>37234.553509999998</v>
      </c>
      <c r="AH213">
        <v>36877.216460000003</v>
      </c>
      <c r="AI213">
        <v>36552.079369999999</v>
      </c>
      <c r="AJ213">
        <v>36200.102319999998</v>
      </c>
      <c r="AK213">
        <v>35817.021829999998</v>
      </c>
      <c r="AL213">
        <v>35437.827720000001</v>
      </c>
      <c r="AM213">
        <v>35078.67884</v>
      </c>
      <c r="AN213">
        <v>33628.607459999999</v>
      </c>
      <c r="AO213">
        <v>32034.329030000001</v>
      </c>
      <c r="AP213">
        <v>30473.187979999999</v>
      </c>
      <c r="AQ213">
        <v>28977.16488</v>
      </c>
      <c r="AR213">
        <v>27518.205430000002</v>
      </c>
      <c r="AS213">
        <v>26700.822339999999</v>
      </c>
      <c r="AT213">
        <v>25993.60209</v>
      </c>
      <c r="AU213">
        <v>25307.238570000001</v>
      </c>
      <c r="AV213">
        <v>24636.567429999999</v>
      </c>
      <c r="AW213">
        <v>23975.555240000002</v>
      </c>
    </row>
    <row r="214" spans="2:49" x14ac:dyDescent="0.25">
      <c r="B214" s="273" t="s">
        <v>285</v>
      </c>
      <c r="C214">
        <v>7946676.0051002903</v>
      </c>
      <c r="D214">
        <v>8074262.4587873695</v>
      </c>
      <c r="E214">
        <v>7069409.6330000004</v>
      </c>
      <c r="F214">
        <v>7414387.6689999998</v>
      </c>
      <c r="G214">
        <v>7451832.5350000001</v>
      </c>
      <c r="H214">
        <v>7235942.733</v>
      </c>
      <c r="I214">
        <v>7710145.1270000003</v>
      </c>
      <c r="J214">
        <v>7897355.7829999998</v>
      </c>
      <c r="K214">
        <v>7800107.6710000001</v>
      </c>
      <c r="L214">
        <v>7858452.2989999996</v>
      </c>
      <c r="M214">
        <v>8201956.4989999998</v>
      </c>
      <c r="N214">
        <v>8807766.7860000003</v>
      </c>
      <c r="O214">
        <v>9129069.5289999899</v>
      </c>
      <c r="P214">
        <v>9028977.0319999997</v>
      </c>
      <c r="Q214">
        <v>8393168.3790000007</v>
      </c>
      <c r="R214">
        <v>7924459.5549999997</v>
      </c>
      <c r="S214">
        <v>7636033.5219999999</v>
      </c>
      <c r="T214">
        <v>7246462.1710000001</v>
      </c>
      <c r="U214">
        <v>6891485.1090000002</v>
      </c>
      <c r="V214">
        <v>6534859.9179999996</v>
      </c>
      <c r="W214">
        <v>6663457.7369999997</v>
      </c>
      <c r="X214">
        <v>6733161.415</v>
      </c>
      <c r="Y214">
        <v>6771700.8789999997</v>
      </c>
      <c r="Z214">
        <v>6713982.9210000001</v>
      </c>
      <c r="AA214">
        <v>6580656.9950000001</v>
      </c>
      <c r="AB214">
        <v>6428165.5240000002</v>
      </c>
      <c r="AC214">
        <v>6260578.5710000005</v>
      </c>
      <c r="AD214">
        <v>6086022.7709999997</v>
      </c>
      <c r="AE214">
        <v>5900013.0449999999</v>
      </c>
      <c r="AF214">
        <v>5717367.2769999998</v>
      </c>
      <c r="AG214">
        <v>5524453.074</v>
      </c>
      <c r="AH214">
        <v>5329001.6739999996</v>
      </c>
      <c r="AI214">
        <v>5130082.3789999997</v>
      </c>
      <c r="AJ214">
        <v>4935671.324</v>
      </c>
      <c r="AK214">
        <v>4744147.9210000001</v>
      </c>
      <c r="AL214">
        <v>4555906.5250000004</v>
      </c>
      <c r="AM214">
        <v>4371466.0259999996</v>
      </c>
      <c r="AN214">
        <v>4159727.3859999999</v>
      </c>
      <c r="AO214">
        <v>3951386.6880000001</v>
      </c>
      <c r="AP214">
        <v>3749580.5959999999</v>
      </c>
      <c r="AQ214">
        <v>3555797.62</v>
      </c>
      <c r="AR214">
        <v>3367946.6639999999</v>
      </c>
      <c r="AS214">
        <v>3187362.4750000001</v>
      </c>
      <c r="AT214">
        <v>3013463.1979999999</v>
      </c>
      <c r="AU214">
        <v>2845227.398</v>
      </c>
      <c r="AV214">
        <v>2682428.145</v>
      </c>
      <c r="AW214">
        <v>2524527.9550000001</v>
      </c>
    </row>
    <row r="215" spans="2:49" x14ac:dyDescent="0.25">
      <c r="B215" s="273" t="s">
        <v>286</v>
      </c>
      <c r="C215">
        <v>4498800.2848123703</v>
      </c>
      <c r="D215">
        <v>4571029.97856321</v>
      </c>
      <c r="E215">
        <v>4002159.148</v>
      </c>
      <c r="F215">
        <v>4043243.747</v>
      </c>
      <c r="G215">
        <v>3963685.9240000001</v>
      </c>
      <c r="H215">
        <v>4073441.8080000002</v>
      </c>
      <c r="I215">
        <v>4166440.327</v>
      </c>
      <c r="J215">
        <v>4133023.233</v>
      </c>
      <c r="K215">
        <v>4038018.3620000002</v>
      </c>
      <c r="L215">
        <v>4047428.656</v>
      </c>
      <c r="M215">
        <v>4143339.8119999999</v>
      </c>
      <c r="N215">
        <v>4368119.8049999997</v>
      </c>
      <c r="O215">
        <v>4443297.6349999998</v>
      </c>
      <c r="P215">
        <v>4296350.0010000002</v>
      </c>
      <c r="Q215">
        <v>3925809.6260000002</v>
      </c>
      <c r="R215">
        <v>3663720.577</v>
      </c>
      <c r="S215">
        <v>3482726.2760000001</v>
      </c>
      <c r="T215">
        <v>3315924.162</v>
      </c>
      <c r="U215">
        <v>3166214.6039999998</v>
      </c>
      <c r="V215">
        <v>3016358.1869999999</v>
      </c>
      <c r="W215">
        <v>3018468.5520000001</v>
      </c>
      <c r="X215">
        <v>2996407.1940000001</v>
      </c>
      <c r="Y215">
        <v>2950116.9219999998</v>
      </c>
      <c r="Z215">
        <v>2883302.52</v>
      </c>
      <c r="AA215">
        <v>2794184.1349999998</v>
      </c>
      <c r="AB215">
        <v>2704301.0410000002</v>
      </c>
      <c r="AC215">
        <v>2613242.628</v>
      </c>
      <c r="AD215">
        <v>2523495.6359999999</v>
      </c>
      <c r="AE215">
        <v>2432095.5159999998</v>
      </c>
      <c r="AF215">
        <v>2343710.4909999999</v>
      </c>
      <c r="AG215">
        <v>2254273.1140000001</v>
      </c>
      <c r="AH215">
        <v>2165957.8149999999</v>
      </c>
      <c r="AI215">
        <v>2078648.247</v>
      </c>
      <c r="AJ215">
        <v>1994506.044</v>
      </c>
      <c r="AK215">
        <v>1912688.73</v>
      </c>
      <c r="AL215">
        <v>1833081.6089999999</v>
      </c>
      <c r="AM215">
        <v>1755649.7350000001</v>
      </c>
      <c r="AN215">
        <v>1677366.192</v>
      </c>
      <c r="AO215">
        <v>1601317.865</v>
      </c>
      <c r="AP215">
        <v>1527326.453</v>
      </c>
      <c r="AQ215">
        <v>1455840.0379999999</v>
      </c>
      <c r="AR215">
        <v>1385858.6189999999</v>
      </c>
      <c r="AS215">
        <v>1317669.1059999999</v>
      </c>
      <c r="AT215">
        <v>1251364.0419999999</v>
      </c>
      <c r="AU215">
        <v>1186707.922</v>
      </c>
      <c r="AV215">
        <v>1123617.037</v>
      </c>
      <c r="AW215">
        <v>1061952.666</v>
      </c>
    </row>
    <row r="216" spans="2:49" x14ac:dyDescent="0.25">
      <c r="B216" s="273" t="s">
        <v>287</v>
      </c>
      <c r="C216">
        <v>0.96864644472622397</v>
      </c>
      <c r="D216">
        <v>0.984198376713873</v>
      </c>
      <c r="E216">
        <v>1</v>
      </c>
      <c r="F216">
        <v>0.97937183100000003</v>
      </c>
      <c r="G216">
        <v>0.92194940599999997</v>
      </c>
      <c r="H216">
        <v>0.87184969069999996</v>
      </c>
      <c r="I216">
        <v>0.84040607199999995</v>
      </c>
      <c r="J216">
        <v>0.79770229770000001</v>
      </c>
      <c r="K216">
        <v>0.75241377840000001</v>
      </c>
      <c r="L216">
        <v>0.71731396680000004</v>
      </c>
      <c r="M216">
        <v>0.69193541400000003</v>
      </c>
      <c r="N216">
        <v>0.67518842999999995</v>
      </c>
      <c r="O216">
        <v>0.6643900116</v>
      </c>
      <c r="P216">
        <v>0.64822348269999996</v>
      </c>
      <c r="Q216">
        <v>0.62609578809999999</v>
      </c>
      <c r="R216">
        <v>0.61233227059999995</v>
      </c>
      <c r="S216">
        <v>0.58835333180000005</v>
      </c>
      <c r="T216">
        <v>0.55974168930000001</v>
      </c>
      <c r="U216">
        <v>0.5322521509</v>
      </c>
      <c r="V216">
        <v>0.50525887540000003</v>
      </c>
      <c r="W216">
        <v>0.4894682756</v>
      </c>
      <c r="X216">
        <v>0.47279448590000001</v>
      </c>
      <c r="Y216">
        <v>0.45842771170000002</v>
      </c>
      <c r="Z216">
        <v>0.44401509430000002</v>
      </c>
      <c r="AA216">
        <v>0.42991155650000001</v>
      </c>
      <c r="AB216">
        <v>0.41608855420000002</v>
      </c>
      <c r="AC216">
        <v>0.40186596000000002</v>
      </c>
      <c r="AD216">
        <v>0.38838172230000001</v>
      </c>
      <c r="AE216">
        <v>0.3754229248</v>
      </c>
      <c r="AF216">
        <v>0.36264676019999997</v>
      </c>
      <c r="AG216">
        <v>0.34999024410000001</v>
      </c>
      <c r="AH216">
        <v>0.33750815499999998</v>
      </c>
      <c r="AI216">
        <v>0.32537237390000001</v>
      </c>
      <c r="AJ216">
        <v>0.313415634</v>
      </c>
      <c r="AK216">
        <v>0.30165670160000002</v>
      </c>
      <c r="AL216">
        <v>0.29009834740000001</v>
      </c>
      <c r="AM216">
        <v>0.2787322565</v>
      </c>
      <c r="AN216">
        <v>0.26780761539999998</v>
      </c>
      <c r="AO216">
        <v>0.25708991930000002</v>
      </c>
      <c r="AP216">
        <v>0.2465123977</v>
      </c>
      <c r="AQ216">
        <v>0.2361383128</v>
      </c>
      <c r="AR216">
        <v>0.22578405909999999</v>
      </c>
      <c r="AS216">
        <v>0.21563165279999999</v>
      </c>
      <c r="AT216">
        <v>0.20564323230000001</v>
      </c>
      <c r="AU216" s="39">
        <v>0.19580493630000001</v>
      </c>
      <c r="AV216">
        <v>0.1861441016</v>
      </c>
      <c r="AW216">
        <v>0.17675807860000001</v>
      </c>
    </row>
    <row r="217" spans="2:49" x14ac:dyDescent="0.25">
      <c r="B217" s="274" t="s">
        <v>288</v>
      </c>
      <c r="C217">
        <v>8232235.5397947598</v>
      </c>
      <c r="D217">
        <v>8364406.7441781899</v>
      </c>
      <c r="E217">
        <v>8498700</v>
      </c>
      <c r="F217">
        <v>8378894.5810000002</v>
      </c>
      <c r="G217">
        <v>8245431.2439999999</v>
      </c>
      <c r="H217">
        <v>7592183.2419999996</v>
      </c>
      <c r="I217">
        <v>7455213.1639999999</v>
      </c>
      <c r="J217">
        <v>7400796.9560000002</v>
      </c>
      <c r="K217">
        <v>7271940.9890000001</v>
      </c>
      <c r="L217">
        <v>7033033.4189999998</v>
      </c>
      <c r="M217">
        <v>6769905.6229999997</v>
      </c>
      <c r="N217">
        <v>6426124.5710000005</v>
      </c>
      <c r="O217">
        <v>6733345.8130000001</v>
      </c>
      <c r="P217">
        <v>7296481.1150000002</v>
      </c>
      <c r="Q217">
        <v>8002345.2010000004</v>
      </c>
      <c r="R217">
        <v>8568756.9110000003</v>
      </c>
      <c r="S217">
        <v>9072249.0390000008</v>
      </c>
      <c r="T217">
        <v>8364580.6380000003</v>
      </c>
      <c r="U217">
        <v>7603692.4289999995</v>
      </c>
      <c r="V217">
        <v>6878725.3130000001</v>
      </c>
      <c r="W217">
        <v>6874683.6270000003</v>
      </c>
      <c r="X217">
        <v>6953657.7319999998</v>
      </c>
      <c r="Y217">
        <v>6922359.5870000003</v>
      </c>
      <c r="Z217">
        <v>6864287.3669999996</v>
      </c>
      <c r="AA217">
        <v>6813138.568</v>
      </c>
      <c r="AB217">
        <v>6740458.4970000004</v>
      </c>
      <c r="AC217">
        <v>6667394.6129999999</v>
      </c>
      <c r="AD217">
        <v>6545292.1279999996</v>
      </c>
      <c r="AE217">
        <v>6417956.2319999998</v>
      </c>
      <c r="AF217">
        <v>6289434.3200000003</v>
      </c>
      <c r="AG217">
        <v>6160490.0920000002</v>
      </c>
      <c r="AH217">
        <v>6031341.8940000003</v>
      </c>
      <c r="AI217">
        <v>5899579.3660000004</v>
      </c>
      <c r="AJ217">
        <v>5764692.693</v>
      </c>
      <c r="AK217">
        <v>5626949.2879999997</v>
      </c>
      <c r="AL217">
        <v>5487429.4589999998</v>
      </c>
      <c r="AM217">
        <v>5346250.8650000002</v>
      </c>
      <c r="AN217">
        <v>5199492.0980000002</v>
      </c>
      <c r="AO217">
        <v>5049986.4160000002</v>
      </c>
      <c r="AP217">
        <v>4898207.4289999995</v>
      </c>
      <c r="AQ217">
        <v>4743668.0530000003</v>
      </c>
      <c r="AR217">
        <v>4588057.2230000002</v>
      </c>
      <c r="AS217">
        <v>4435953.6229999997</v>
      </c>
      <c r="AT217">
        <v>4283077.4139999999</v>
      </c>
      <c r="AU217">
        <v>4128611.2579999999</v>
      </c>
      <c r="AV217">
        <v>3972757.6359999999</v>
      </c>
      <c r="AW217">
        <v>3817286.611</v>
      </c>
    </row>
    <row r="218" spans="2:49" x14ac:dyDescent="0.25">
      <c r="B218" s="273" t="s">
        <v>289</v>
      </c>
      <c r="C218">
        <v>463787.91773491597</v>
      </c>
      <c r="D218">
        <v>471234.182770602</v>
      </c>
      <c r="E218">
        <v>478800</v>
      </c>
      <c r="F218">
        <v>476253.54379999998</v>
      </c>
      <c r="G218">
        <v>457446.47649999999</v>
      </c>
      <c r="H218">
        <v>432519.72769999999</v>
      </c>
      <c r="I218">
        <v>435872.7145</v>
      </c>
      <c r="J218">
        <v>450229.92129999999</v>
      </c>
      <c r="K218">
        <v>448917.29029999999</v>
      </c>
      <c r="L218">
        <v>455105.76280000003</v>
      </c>
      <c r="M218">
        <v>472354.79119999998</v>
      </c>
      <c r="N218">
        <v>497007.93170000002</v>
      </c>
      <c r="O218">
        <v>473003.29070000001</v>
      </c>
      <c r="P218">
        <v>440730.28129999997</v>
      </c>
      <c r="Q218">
        <v>391569.47810000001</v>
      </c>
      <c r="R218">
        <v>350075.25890000002</v>
      </c>
      <c r="S218">
        <v>312401.38130000001</v>
      </c>
      <c r="T218">
        <v>290076.55459999997</v>
      </c>
      <c r="U218">
        <v>270172.4999</v>
      </c>
      <c r="V218">
        <v>251445.78520000001</v>
      </c>
      <c r="W218">
        <v>250502.25640000001</v>
      </c>
      <c r="X218">
        <v>247844.1029</v>
      </c>
      <c r="Y218">
        <v>245033.45550000001</v>
      </c>
      <c r="Z218">
        <v>242747.91639999999</v>
      </c>
      <c r="AA218">
        <v>239064.42329999999</v>
      </c>
      <c r="AB218">
        <v>235310.67370000001</v>
      </c>
      <c r="AC218">
        <v>231339.53</v>
      </c>
      <c r="AD218">
        <v>227715.28200000001</v>
      </c>
      <c r="AE218">
        <v>223602.7819</v>
      </c>
      <c r="AF218">
        <v>219528.59710000001</v>
      </c>
      <c r="AG218">
        <v>215132.51070000001</v>
      </c>
      <c r="AH218">
        <v>210622.29459999999</v>
      </c>
      <c r="AI218">
        <v>205736.8186</v>
      </c>
      <c r="AJ218">
        <v>200843.1704</v>
      </c>
      <c r="AK218">
        <v>195884.3437</v>
      </c>
      <c r="AL218">
        <v>190911.09229999999</v>
      </c>
      <c r="AM218">
        <v>185934.25949999999</v>
      </c>
      <c r="AN218">
        <v>180172.6893</v>
      </c>
      <c r="AO218">
        <v>174484.02009999999</v>
      </c>
      <c r="AP218">
        <v>168773.48499999999</v>
      </c>
      <c r="AQ218">
        <v>163114.2751</v>
      </c>
      <c r="AR218">
        <v>157393.63039999999</v>
      </c>
      <c r="AS218">
        <v>151784.95079999999</v>
      </c>
      <c r="AT218">
        <v>146199.5006</v>
      </c>
      <c r="AU218">
        <v>140611.6177</v>
      </c>
      <c r="AV218">
        <v>135030.05499999999</v>
      </c>
      <c r="AW218">
        <v>129498.82950000001</v>
      </c>
    </row>
    <row r="219" spans="2:49" x14ac:dyDescent="0.25">
      <c r="B219" t="s">
        <v>290</v>
      </c>
      <c r="C219">
        <v>247860837.32111701</v>
      </c>
      <c r="D219">
        <v>251840323.237167</v>
      </c>
      <c r="E219">
        <v>226648707.09999999</v>
      </c>
      <c r="F219">
        <v>227780317.30000001</v>
      </c>
      <c r="G219">
        <v>213311088.90000001</v>
      </c>
      <c r="H219">
        <v>197743587.30000001</v>
      </c>
      <c r="I219">
        <v>195860879</v>
      </c>
      <c r="J219">
        <v>189331821.30000001</v>
      </c>
      <c r="K219">
        <v>180422315.19999999</v>
      </c>
      <c r="L219">
        <v>175263406.59999999</v>
      </c>
      <c r="M219">
        <v>174189216.69999999</v>
      </c>
      <c r="N219">
        <v>174868748.5</v>
      </c>
      <c r="O219">
        <v>167000093.59999999</v>
      </c>
      <c r="P219">
        <v>160047152.69999999</v>
      </c>
      <c r="Q219">
        <v>151361610.80000001</v>
      </c>
      <c r="R219">
        <v>145964588.80000001</v>
      </c>
      <c r="S219">
        <v>140854017.09999999</v>
      </c>
      <c r="T219">
        <v>140137636.59999999</v>
      </c>
      <c r="U219">
        <v>139369843.19999999</v>
      </c>
      <c r="V219">
        <v>139351607.59999999</v>
      </c>
      <c r="W219">
        <v>138515412.09999999</v>
      </c>
      <c r="X219">
        <v>137065741.59999999</v>
      </c>
      <c r="Y219">
        <v>135987484.80000001</v>
      </c>
      <c r="Z219">
        <v>135189628.19999999</v>
      </c>
      <c r="AA219">
        <v>134160578.40000001</v>
      </c>
      <c r="AB219">
        <v>133041764.59999999</v>
      </c>
      <c r="AC219">
        <v>132014659.8</v>
      </c>
      <c r="AD219">
        <v>130905367.5</v>
      </c>
      <c r="AE219">
        <v>129631090.7</v>
      </c>
      <c r="AF219">
        <v>128435161.09999999</v>
      </c>
      <c r="AG219">
        <v>127226558.59999999</v>
      </c>
      <c r="AH219">
        <v>126071703.40000001</v>
      </c>
      <c r="AI219">
        <v>125158866.59999999</v>
      </c>
      <c r="AJ219">
        <v>124229937.90000001</v>
      </c>
      <c r="AK219">
        <v>123264057.90000001</v>
      </c>
      <c r="AL219">
        <v>122317742.7</v>
      </c>
      <c r="AM219">
        <v>121383625.90000001</v>
      </c>
      <c r="AN219">
        <v>120161559.3</v>
      </c>
      <c r="AO219">
        <v>118937031.90000001</v>
      </c>
      <c r="AP219">
        <v>117663922.8</v>
      </c>
      <c r="AQ219">
        <v>116381816.7</v>
      </c>
      <c r="AR219">
        <v>115072674.5</v>
      </c>
      <c r="AS219">
        <v>114182586</v>
      </c>
      <c r="AT219">
        <v>113306061.7</v>
      </c>
      <c r="AU219">
        <v>112421795.40000001</v>
      </c>
      <c r="AV219">
        <v>111546046.40000001</v>
      </c>
      <c r="AW219">
        <v>110735609.2</v>
      </c>
    </row>
    <row r="220" spans="2:49" x14ac:dyDescent="0.25">
      <c r="B220" t="s">
        <v>291</v>
      </c>
      <c r="C220">
        <v>41023493.601484403</v>
      </c>
      <c r="D220">
        <v>41682139.060681202</v>
      </c>
      <c r="E220">
        <v>42351359.289999999</v>
      </c>
      <c r="F220">
        <v>41358703.909999996</v>
      </c>
      <c r="G220">
        <v>36192350.490000002</v>
      </c>
      <c r="H220">
        <v>31491683.989999998</v>
      </c>
      <c r="I220">
        <v>30275867.100000001</v>
      </c>
      <c r="J220">
        <v>28677010.109999999</v>
      </c>
      <c r="K220">
        <v>27178527.489999998</v>
      </c>
      <c r="L220">
        <v>27174940.699999999</v>
      </c>
      <c r="M220">
        <v>26597428.809999999</v>
      </c>
      <c r="N220">
        <v>25825849.489999998</v>
      </c>
      <c r="O220">
        <v>20658514.41</v>
      </c>
      <c r="P220">
        <v>17209779.780000001</v>
      </c>
      <c r="Q220">
        <v>15375475.439999999</v>
      </c>
      <c r="R220">
        <v>14384460.949999999</v>
      </c>
      <c r="S220">
        <v>13465185.109999999</v>
      </c>
      <c r="T220">
        <v>13302335.539999999</v>
      </c>
      <c r="U220">
        <v>13214350.83</v>
      </c>
      <c r="V220">
        <v>13206401.449999999</v>
      </c>
      <c r="W220">
        <v>13213482.369999999</v>
      </c>
      <c r="X220">
        <v>13207281.91</v>
      </c>
      <c r="Y220">
        <v>13315850.210000001</v>
      </c>
      <c r="Z220">
        <v>13455768.470000001</v>
      </c>
      <c r="AA220">
        <v>13599009.970000001</v>
      </c>
      <c r="AB220">
        <v>13726704.539999999</v>
      </c>
      <c r="AC220">
        <v>13849379.34</v>
      </c>
      <c r="AD220">
        <v>14009176.9</v>
      </c>
      <c r="AE220">
        <v>14147833.07</v>
      </c>
      <c r="AF220">
        <v>14287631.34</v>
      </c>
      <c r="AG220">
        <v>14432692.710000001</v>
      </c>
      <c r="AH220">
        <v>14575363.26</v>
      </c>
      <c r="AI220">
        <v>14737692.109999999</v>
      </c>
      <c r="AJ220">
        <v>14891557.689999999</v>
      </c>
      <c r="AK220">
        <v>15041587.83</v>
      </c>
      <c r="AL220">
        <v>15191562.99</v>
      </c>
      <c r="AM220">
        <v>15340512.73</v>
      </c>
      <c r="AN220">
        <v>15383163.789999999</v>
      </c>
      <c r="AO220">
        <v>15408747.43</v>
      </c>
      <c r="AP220">
        <v>15418834.08</v>
      </c>
      <c r="AQ220">
        <v>15419292.359999999</v>
      </c>
      <c r="AR220">
        <v>15401507.5</v>
      </c>
      <c r="AS220">
        <v>15458619.439999999</v>
      </c>
      <c r="AT220">
        <v>15519119.93</v>
      </c>
      <c r="AU220">
        <v>15576827.210000001</v>
      </c>
      <c r="AV220">
        <v>15631884.75</v>
      </c>
      <c r="AW220">
        <v>15692393.43</v>
      </c>
    </row>
    <row r="221" spans="2:49" x14ac:dyDescent="0.25">
      <c r="B221" t="s">
        <v>292</v>
      </c>
      <c r="C221">
        <v>156021257.172526</v>
      </c>
      <c r="D221">
        <v>158526228.92293701</v>
      </c>
      <c r="E221">
        <v>137849506.80000001</v>
      </c>
      <c r="F221">
        <v>139717902.19999999</v>
      </c>
      <c r="G221">
        <v>132230839.40000001</v>
      </c>
      <c r="H221">
        <v>124797447.90000001</v>
      </c>
      <c r="I221">
        <v>123453612.2</v>
      </c>
      <c r="J221">
        <v>118729932.90000001</v>
      </c>
      <c r="K221">
        <v>113240173.09999999</v>
      </c>
      <c r="L221">
        <v>109216061</v>
      </c>
      <c r="M221">
        <v>108827573.7</v>
      </c>
      <c r="N221">
        <v>109906163.8</v>
      </c>
      <c r="O221">
        <v>106225910.8</v>
      </c>
      <c r="P221">
        <v>102057527.40000001</v>
      </c>
      <c r="Q221">
        <v>96074801.109999999</v>
      </c>
      <c r="R221">
        <v>92044929.840000004</v>
      </c>
      <c r="S221">
        <v>88029559.040000007</v>
      </c>
      <c r="T221">
        <v>89279683.459999904</v>
      </c>
      <c r="U221">
        <v>90499525.489999995</v>
      </c>
      <c r="V221">
        <v>92265623.829999998</v>
      </c>
      <c r="W221">
        <v>91456238.680000007</v>
      </c>
      <c r="X221">
        <v>90144138.519999996</v>
      </c>
      <c r="Y221">
        <v>89225410.280000001</v>
      </c>
      <c r="Z221">
        <v>88581919.150000006</v>
      </c>
      <c r="AA221">
        <v>87864450.989999995</v>
      </c>
      <c r="AB221">
        <v>87128140.159999996</v>
      </c>
      <c r="AC221">
        <v>86502669.349999994</v>
      </c>
      <c r="AD221">
        <v>85725093.159999996</v>
      </c>
      <c r="AE221">
        <v>84857696.079999998</v>
      </c>
      <c r="AF221">
        <v>84053260.010000005</v>
      </c>
      <c r="AG221">
        <v>83257268.159999996</v>
      </c>
      <c r="AH221">
        <v>82524783.560000002</v>
      </c>
      <c r="AI221">
        <v>82056907.109999999</v>
      </c>
      <c r="AJ221">
        <v>81584406.700000003</v>
      </c>
      <c r="AK221">
        <v>81088429.799999997</v>
      </c>
      <c r="AL221">
        <v>80612544.409999996</v>
      </c>
      <c r="AM221">
        <v>80149593.859999999</v>
      </c>
      <c r="AN221">
        <v>79657033.709999904</v>
      </c>
      <c r="AO221">
        <v>79166477.030000001</v>
      </c>
      <c r="AP221">
        <v>78643266.329999998</v>
      </c>
      <c r="AQ221">
        <v>78114594.049999997</v>
      </c>
      <c r="AR221">
        <v>77582059.950000003</v>
      </c>
      <c r="AS221">
        <v>77383348.5</v>
      </c>
      <c r="AT221">
        <v>77190366.400000006</v>
      </c>
      <c r="AU221">
        <v>76991944.140000001</v>
      </c>
      <c r="AV221">
        <v>76802625.739999995</v>
      </c>
      <c r="AW221">
        <v>76664207.629999995</v>
      </c>
    </row>
    <row r="222" spans="2:49" x14ac:dyDescent="0.25">
      <c r="B222" t="s">
        <v>293</v>
      </c>
      <c r="C222">
        <v>50816086.547106199</v>
      </c>
      <c r="D222">
        <v>51631955.253548898</v>
      </c>
      <c r="E222">
        <v>46447840.990000002</v>
      </c>
      <c r="F222">
        <v>46703711.240000002</v>
      </c>
      <c r="G222">
        <v>44887898.93</v>
      </c>
      <c r="H222">
        <v>41454455.439999998</v>
      </c>
      <c r="I222">
        <v>42131399.689999998</v>
      </c>
      <c r="J222">
        <v>41924878.270000003</v>
      </c>
      <c r="K222">
        <v>40003614.619999997</v>
      </c>
      <c r="L222">
        <v>38872404.869999997</v>
      </c>
      <c r="M222">
        <v>38764214.219999999</v>
      </c>
      <c r="N222">
        <v>39136735.170000002</v>
      </c>
      <c r="O222">
        <v>40115668.390000001</v>
      </c>
      <c r="P222">
        <v>40779845.5</v>
      </c>
      <c r="Q222">
        <v>39911334.280000001</v>
      </c>
      <c r="R222">
        <v>39535198.030000001</v>
      </c>
      <c r="S222">
        <v>39359272.990000002</v>
      </c>
      <c r="T222">
        <v>37555617.630000003</v>
      </c>
      <c r="U222">
        <v>35655966.869999997</v>
      </c>
      <c r="V222">
        <v>33879582.299999997</v>
      </c>
      <c r="W222">
        <v>33845691.049999997</v>
      </c>
      <c r="X222">
        <v>33714321.140000001</v>
      </c>
      <c r="Y222">
        <v>33446224.309999999</v>
      </c>
      <c r="Z222">
        <v>33151940.57</v>
      </c>
      <c r="AA222">
        <v>32697117.449999999</v>
      </c>
      <c r="AB222">
        <v>32186919.879999999</v>
      </c>
      <c r="AC222">
        <v>31662611.059999999</v>
      </c>
      <c r="AD222">
        <v>31171097.460000001</v>
      </c>
      <c r="AE222">
        <v>30625561.539999999</v>
      </c>
      <c r="AF222">
        <v>30094269.789999999</v>
      </c>
      <c r="AG222">
        <v>29536597.73</v>
      </c>
      <c r="AH222">
        <v>28971556.57</v>
      </c>
      <c r="AI222">
        <v>28364267.399999999</v>
      </c>
      <c r="AJ222">
        <v>27753973.469999999</v>
      </c>
      <c r="AK222">
        <v>27134040.309999999</v>
      </c>
      <c r="AL222">
        <v>26513635.329999998</v>
      </c>
      <c r="AM222">
        <v>25893519.359999999</v>
      </c>
      <c r="AN222">
        <v>25121361.77</v>
      </c>
      <c r="AO222">
        <v>24361807.420000002</v>
      </c>
      <c r="AP222">
        <v>23601822.359999999</v>
      </c>
      <c r="AQ222">
        <v>22847930.289999999</v>
      </c>
      <c r="AR222">
        <v>22089107.039999999</v>
      </c>
      <c r="AS222">
        <v>21340618.010000002</v>
      </c>
      <c r="AT222">
        <v>20596575.399999999</v>
      </c>
      <c r="AU222">
        <v>19853024.059999999</v>
      </c>
      <c r="AV222">
        <v>19111535.949999999</v>
      </c>
      <c r="AW222">
        <v>18379008.140000001</v>
      </c>
    </row>
    <row r="223" spans="2:49" x14ac:dyDescent="0.25">
      <c r="B223" t="s">
        <v>294</v>
      </c>
      <c r="C223">
        <v>392773953.478827</v>
      </c>
      <c r="D223">
        <v>399080066.34826499</v>
      </c>
      <c r="E223">
        <v>376252431.89999998</v>
      </c>
      <c r="F223">
        <v>377607183</v>
      </c>
      <c r="G223">
        <v>357876348.5</v>
      </c>
      <c r="H223">
        <v>341953362.19999999</v>
      </c>
      <c r="I223">
        <v>337673257.10000002</v>
      </c>
      <c r="J223">
        <v>327414981.60000002</v>
      </c>
      <c r="K223">
        <v>314284128.69999999</v>
      </c>
      <c r="L223">
        <v>306003702.60000002</v>
      </c>
      <c r="M223">
        <v>302641555.60000002</v>
      </c>
      <c r="N223">
        <v>301840367.80000001</v>
      </c>
      <c r="O223">
        <v>294030971.89999998</v>
      </c>
      <c r="P223">
        <v>285516164.69999999</v>
      </c>
      <c r="Q223">
        <v>274052629.60000002</v>
      </c>
      <c r="R223">
        <v>266887275.40000001</v>
      </c>
      <c r="S223">
        <v>260567381.30000001</v>
      </c>
      <c r="T223">
        <v>257322514.59999999</v>
      </c>
      <c r="U223">
        <v>254022282.90000001</v>
      </c>
      <c r="V223">
        <v>251209691.09999999</v>
      </c>
      <c r="W223">
        <v>248457777</v>
      </c>
      <c r="X223">
        <v>244128452.69999999</v>
      </c>
      <c r="Y223">
        <v>240638093.5</v>
      </c>
      <c r="Z223">
        <v>238049347.09999999</v>
      </c>
      <c r="AA223">
        <v>235179813</v>
      </c>
      <c r="AB223">
        <v>232264674.59999999</v>
      </c>
      <c r="AC223">
        <v>228837687.30000001</v>
      </c>
      <c r="AD223">
        <v>225680739.30000001</v>
      </c>
      <c r="AE223">
        <v>222631407.40000001</v>
      </c>
      <c r="AF223">
        <v>219610530.40000001</v>
      </c>
      <c r="AG223">
        <v>216522781</v>
      </c>
      <c r="AH223">
        <v>213436868</v>
      </c>
      <c r="AI223">
        <v>210463800.80000001</v>
      </c>
      <c r="AJ223">
        <v>207546229.80000001</v>
      </c>
      <c r="AK223">
        <v>204613276.19999999</v>
      </c>
      <c r="AL223">
        <v>201712913.19999999</v>
      </c>
      <c r="AM223">
        <v>198836283.19999999</v>
      </c>
      <c r="AN223">
        <v>195619592.40000001</v>
      </c>
      <c r="AO223">
        <v>192373396.30000001</v>
      </c>
      <c r="AP223">
        <v>189067787</v>
      </c>
      <c r="AQ223">
        <v>185763924.59999999</v>
      </c>
      <c r="AR223">
        <v>182295699.59999999</v>
      </c>
      <c r="AS223">
        <v>179320706.40000001</v>
      </c>
      <c r="AT223">
        <v>176396021.59999999</v>
      </c>
      <c r="AU223">
        <v>173488995.09999999</v>
      </c>
      <c r="AV223">
        <v>170611553</v>
      </c>
      <c r="AW223">
        <v>167829663</v>
      </c>
    </row>
    <row r="224" spans="2:49" x14ac:dyDescent="0.25">
      <c r="B224" t="s">
        <v>295</v>
      </c>
      <c r="C224">
        <v>42122345.501310699</v>
      </c>
      <c r="D224">
        <v>42798633.383193001</v>
      </c>
      <c r="E224">
        <v>43485779.289999999</v>
      </c>
      <c r="F224">
        <v>42483849.840000004</v>
      </c>
      <c r="G224">
        <v>37305071.5</v>
      </c>
      <c r="H224">
        <v>32590356.010000002</v>
      </c>
      <c r="I224">
        <v>31366657.890000001</v>
      </c>
      <c r="J224">
        <v>29759105.690000001</v>
      </c>
      <c r="K224">
        <v>28246717.940000001</v>
      </c>
      <c r="L224">
        <v>28223981.309999999</v>
      </c>
      <c r="M224">
        <v>27627578.75</v>
      </c>
      <c r="N224">
        <v>26841926.550000001</v>
      </c>
      <c r="O224">
        <v>21670208.800000001</v>
      </c>
      <c r="P224">
        <v>18221474.899999999</v>
      </c>
      <c r="Q224">
        <v>16384367.039999999</v>
      </c>
      <c r="R224">
        <v>15379472.83</v>
      </c>
      <c r="S224">
        <v>14442488.810000001</v>
      </c>
      <c r="T224">
        <v>14258450.26</v>
      </c>
      <c r="U224">
        <v>14150088.439999999</v>
      </c>
      <c r="V224">
        <v>14122962.65</v>
      </c>
      <c r="W224">
        <v>14116826.27</v>
      </c>
      <c r="X224">
        <v>14101108.51</v>
      </c>
      <c r="Y224">
        <v>14204977.23</v>
      </c>
      <c r="Z224">
        <v>14343428.859999999</v>
      </c>
      <c r="AA224">
        <v>14486185.300000001</v>
      </c>
      <c r="AB224">
        <v>14613178.710000001</v>
      </c>
      <c r="AC224">
        <v>14734342.57</v>
      </c>
      <c r="AD224">
        <v>14891617.07</v>
      </c>
      <c r="AE224">
        <v>15026668.42</v>
      </c>
      <c r="AF224">
        <v>15161875.58</v>
      </c>
      <c r="AG224">
        <v>15301451.1</v>
      </c>
      <c r="AH224">
        <v>15437838.57</v>
      </c>
      <c r="AI224">
        <v>15593154.23</v>
      </c>
      <c r="AJ224">
        <v>15739393.619999999</v>
      </c>
      <c r="AK224">
        <v>15881371.310000001</v>
      </c>
      <c r="AL224">
        <v>16022970.02</v>
      </c>
      <c r="AM224">
        <v>16163285.859999999</v>
      </c>
      <c r="AN224">
        <v>16197036.32</v>
      </c>
      <c r="AO224">
        <v>16213343.77</v>
      </c>
      <c r="AP224">
        <v>16213791.26</v>
      </c>
      <c r="AQ224">
        <v>16204308.890000001</v>
      </c>
      <c r="AR224">
        <v>16176321.42</v>
      </c>
      <c r="AS224">
        <v>16223008.09</v>
      </c>
      <c r="AT224">
        <v>16272845.220000001</v>
      </c>
      <c r="AU224">
        <v>16319663.439999999</v>
      </c>
      <c r="AV224">
        <v>16363625.800000001</v>
      </c>
      <c r="AW224">
        <v>16412990.68</v>
      </c>
    </row>
    <row r="225" spans="2:49" x14ac:dyDescent="0.25">
      <c r="B225" t="s">
        <v>296</v>
      </c>
      <c r="C225">
        <v>261896523.70399499</v>
      </c>
      <c r="D225">
        <v>266101357.10489401</v>
      </c>
      <c r="E225">
        <v>247151788.5</v>
      </c>
      <c r="F225">
        <v>250134130.90000001</v>
      </c>
      <c r="G225">
        <v>238712851.59999999</v>
      </c>
      <c r="H225">
        <v>232039214.09999999</v>
      </c>
      <c r="I225">
        <v>228670604.69999999</v>
      </c>
      <c r="J225">
        <v>221275259.5</v>
      </c>
      <c r="K225">
        <v>213244869.09999999</v>
      </c>
      <c r="L225">
        <v>207515846.59999999</v>
      </c>
      <c r="M225">
        <v>205817889.90000001</v>
      </c>
      <c r="N225">
        <v>206111708.19999999</v>
      </c>
      <c r="O225">
        <v>202023424.69999999</v>
      </c>
      <c r="P225">
        <v>196260719.69999999</v>
      </c>
      <c r="Q225">
        <v>188358454.40000001</v>
      </c>
      <c r="R225">
        <v>183219368</v>
      </c>
      <c r="S225">
        <v>178522007.80000001</v>
      </c>
      <c r="T225">
        <v>179028027.80000001</v>
      </c>
      <c r="U225">
        <v>179089250</v>
      </c>
      <c r="V225">
        <v>179419956.69999999</v>
      </c>
      <c r="W225">
        <v>176880644.5</v>
      </c>
      <c r="X225">
        <v>173037415.5</v>
      </c>
      <c r="Y225">
        <v>170052968</v>
      </c>
      <c r="Z225">
        <v>167847012.09999999</v>
      </c>
      <c r="AA225">
        <v>165628529.5</v>
      </c>
      <c r="AB225">
        <v>163411568.5</v>
      </c>
      <c r="AC225">
        <v>160734476.19999999</v>
      </c>
      <c r="AD225">
        <v>158277673.40000001</v>
      </c>
      <c r="AE225">
        <v>156055165.80000001</v>
      </c>
      <c r="AF225">
        <v>153856279.90000001</v>
      </c>
      <c r="AG225">
        <v>151653021.30000001</v>
      </c>
      <c r="AH225">
        <v>149478887.30000001</v>
      </c>
      <c r="AI225">
        <v>147477191.59999999</v>
      </c>
      <c r="AJ225">
        <v>145545008.30000001</v>
      </c>
      <c r="AK225">
        <v>143617761.80000001</v>
      </c>
      <c r="AL225">
        <v>141728647.90000001</v>
      </c>
      <c r="AM225">
        <v>139867318.59999999</v>
      </c>
      <c r="AN225">
        <v>137926269.80000001</v>
      </c>
      <c r="AO225">
        <v>135962427.59999999</v>
      </c>
      <c r="AP225">
        <v>133962416.5</v>
      </c>
      <c r="AQ225">
        <v>131967029.7</v>
      </c>
      <c r="AR225">
        <v>129839719.40000001</v>
      </c>
      <c r="AS225">
        <v>128103983.09999999</v>
      </c>
      <c r="AT225">
        <v>126411937</v>
      </c>
      <c r="AU225">
        <v>124743037.59999999</v>
      </c>
      <c r="AV225">
        <v>123107148.8</v>
      </c>
      <c r="AW225">
        <v>121551385.59999999</v>
      </c>
    </row>
    <row r="226" spans="2:49" x14ac:dyDescent="0.25">
      <c r="B226" t="s">
        <v>297</v>
      </c>
      <c r="C226">
        <v>88755084.273521304</v>
      </c>
      <c r="D226">
        <v>90180075.860178098</v>
      </c>
      <c r="E226">
        <v>85614864.150000006</v>
      </c>
      <c r="F226">
        <v>84989202.260000005</v>
      </c>
      <c r="G226">
        <v>81858425.329999998</v>
      </c>
      <c r="H226">
        <v>77323792.150000006</v>
      </c>
      <c r="I226">
        <v>77635994.519999996</v>
      </c>
      <c r="J226">
        <v>76380616.359999999</v>
      </c>
      <c r="K226">
        <v>72792541.609999999</v>
      </c>
      <c r="L226">
        <v>70263874.620000005</v>
      </c>
      <c r="M226">
        <v>69196086.950000003</v>
      </c>
      <c r="N226">
        <v>68886733.140000001</v>
      </c>
      <c r="O226">
        <v>70337338.469999999</v>
      </c>
      <c r="P226">
        <v>71033970.150000006</v>
      </c>
      <c r="Q226">
        <v>69309808.140000001</v>
      </c>
      <c r="R226">
        <v>68288434.579999998</v>
      </c>
      <c r="S226">
        <v>67602884.680000007</v>
      </c>
      <c r="T226">
        <v>64036036.5</v>
      </c>
      <c r="U226">
        <v>60782944.380000003</v>
      </c>
      <c r="V226">
        <v>57666771.719999999</v>
      </c>
      <c r="W226">
        <v>57460306.289999999</v>
      </c>
      <c r="X226">
        <v>56989928.729999997</v>
      </c>
      <c r="Y226">
        <v>56380148.299999997</v>
      </c>
      <c r="Z226">
        <v>55858906.149999999</v>
      </c>
      <c r="AA226">
        <v>55065098.210000001</v>
      </c>
      <c r="AB226">
        <v>54239927.329999998</v>
      </c>
      <c r="AC226">
        <v>53368868.509999998</v>
      </c>
      <c r="AD226">
        <v>52511448.840000004</v>
      </c>
      <c r="AE226">
        <v>51549573.159999996</v>
      </c>
      <c r="AF226">
        <v>50592374.960000001</v>
      </c>
      <c r="AG226">
        <v>49568308.590000004</v>
      </c>
      <c r="AH226">
        <v>48520142.140000001</v>
      </c>
      <c r="AI226">
        <v>47393455</v>
      </c>
      <c r="AJ226">
        <v>46261827.840000004</v>
      </c>
      <c r="AK226">
        <v>45114143.009999998</v>
      </c>
      <c r="AL226">
        <v>43961295.240000002</v>
      </c>
      <c r="AM226">
        <v>42805678.719999999</v>
      </c>
      <c r="AN226">
        <v>41496286.240000002</v>
      </c>
      <c r="AO226">
        <v>40197624.93</v>
      </c>
      <c r="AP226">
        <v>38891579.189999998</v>
      </c>
      <c r="AQ226">
        <v>37592585.990000002</v>
      </c>
      <c r="AR226">
        <v>36279658.780000001</v>
      </c>
      <c r="AS226">
        <v>34993715.229999997</v>
      </c>
      <c r="AT226">
        <v>33711239.43</v>
      </c>
      <c r="AU226">
        <v>32426294.039999999</v>
      </c>
      <c r="AV226">
        <v>31140778.34</v>
      </c>
      <c r="AW226">
        <v>29865286.699999999</v>
      </c>
    </row>
    <row r="227" spans="2:49" x14ac:dyDescent="0.25">
      <c r="B227" t="s">
        <v>298</v>
      </c>
      <c r="C227">
        <v>419119515.24800497</v>
      </c>
      <c r="D227">
        <v>425848614.63336003</v>
      </c>
      <c r="E227">
        <v>402018807.30000001</v>
      </c>
      <c r="F227">
        <v>403718941.10000002</v>
      </c>
      <c r="G227">
        <v>383305759.60000002</v>
      </c>
      <c r="H227">
        <v>364726037.5</v>
      </c>
      <c r="I227">
        <v>361287365.69999999</v>
      </c>
      <c r="J227">
        <v>351625822.60000002</v>
      </c>
      <c r="K227">
        <v>337869753.5</v>
      </c>
      <c r="L227">
        <v>329329266.60000002</v>
      </c>
      <c r="M227">
        <v>326002985.10000002</v>
      </c>
      <c r="N227">
        <v>325526236.39999998</v>
      </c>
      <c r="O227">
        <v>317795362.80000001</v>
      </c>
      <c r="P227">
        <v>310031832.80000001</v>
      </c>
      <c r="Q227">
        <v>298728571.60000002</v>
      </c>
      <c r="R227">
        <v>291835089.89999998</v>
      </c>
      <c r="S227">
        <v>285106492.89999998</v>
      </c>
      <c r="T227">
        <v>282098542</v>
      </c>
      <c r="U227">
        <v>278869719.30000001</v>
      </c>
      <c r="V227">
        <v>276428854.89999998</v>
      </c>
      <c r="W227">
        <v>273675860.69999999</v>
      </c>
      <c r="X227">
        <v>269266764</v>
      </c>
      <c r="Y227">
        <v>265590735.09999999</v>
      </c>
      <c r="Z227">
        <v>262924577.69999999</v>
      </c>
      <c r="AA227">
        <v>259986760.19999999</v>
      </c>
      <c r="AB227">
        <v>256999609.5</v>
      </c>
      <c r="AC227">
        <v>253522091.30000001</v>
      </c>
      <c r="AD227">
        <v>250417566.40000001</v>
      </c>
      <c r="AE227">
        <v>247395572</v>
      </c>
      <c r="AF227">
        <v>244432968</v>
      </c>
      <c r="AG227">
        <v>241389297.40000001</v>
      </c>
      <c r="AH227">
        <v>238379481</v>
      </c>
      <c r="AI227">
        <v>235503137.09999999</v>
      </c>
      <c r="AJ227">
        <v>232673086.69999999</v>
      </c>
      <c r="AK227">
        <v>229840100.80000001</v>
      </c>
      <c r="AL227">
        <v>227046444.90000001</v>
      </c>
      <c r="AM227">
        <v>224278601.09999999</v>
      </c>
      <c r="AN227">
        <v>221137901.5</v>
      </c>
      <c r="AO227">
        <v>217994657.80000001</v>
      </c>
      <c r="AP227">
        <v>214788795.19999999</v>
      </c>
      <c r="AQ227">
        <v>211602054.30000001</v>
      </c>
      <c r="AR227">
        <v>208239702.80000001</v>
      </c>
      <c r="AS227">
        <v>205378982.30000001</v>
      </c>
      <c r="AT227">
        <v>202564100.69999999</v>
      </c>
      <c r="AU227">
        <v>199757794.80000001</v>
      </c>
      <c r="AV227">
        <v>196983601.59999999</v>
      </c>
      <c r="AW227">
        <v>194366487</v>
      </c>
    </row>
    <row r="228" spans="2:49" x14ac:dyDescent="0.25">
      <c r="B228" t="s">
        <v>299</v>
      </c>
      <c r="C228">
        <v>255.88316116441601</v>
      </c>
      <c r="D228">
        <v>259.991448084664</v>
      </c>
      <c r="E228">
        <v>230.85787869999999</v>
      </c>
      <c r="F228">
        <v>238.17865620000001</v>
      </c>
      <c r="G228">
        <v>238.4189992</v>
      </c>
      <c r="H228">
        <v>228.92589090000001</v>
      </c>
      <c r="I228">
        <v>236.28520270000001</v>
      </c>
      <c r="J228">
        <v>237.17127809999999</v>
      </c>
      <c r="K228">
        <v>234.3841572</v>
      </c>
      <c r="L228">
        <v>231.52802439999999</v>
      </c>
      <c r="M228">
        <v>230.60786479999999</v>
      </c>
      <c r="N228">
        <v>229.13562329999999</v>
      </c>
      <c r="O228">
        <v>221.1971471</v>
      </c>
      <c r="P228">
        <v>216.9361419</v>
      </c>
      <c r="Q228">
        <v>212.10844890000001</v>
      </c>
      <c r="R228">
        <v>205.874898</v>
      </c>
      <c r="S228">
        <v>199.62575409999999</v>
      </c>
      <c r="T228">
        <v>197.9659399</v>
      </c>
      <c r="U228">
        <v>196.63405710000001</v>
      </c>
      <c r="V228">
        <v>195.8115876</v>
      </c>
      <c r="W228">
        <v>199.506969</v>
      </c>
      <c r="X228">
        <v>203.215869</v>
      </c>
      <c r="Y228">
        <v>203.7091116</v>
      </c>
      <c r="Z228">
        <v>204.1136636</v>
      </c>
      <c r="AA228">
        <v>204.49795839999999</v>
      </c>
      <c r="AB228">
        <v>204.3715977</v>
      </c>
      <c r="AC228">
        <v>204.319042</v>
      </c>
      <c r="AD228">
        <v>202.93346980000001</v>
      </c>
      <c r="AE228">
        <v>201.5657061</v>
      </c>
      <c r="AF228">
        <v>200.23674199999999</v>
      </c>
      <c r="AG228">
        <v>198.86987020000001</v>
      </c>
      <c r="AH228">
        <v>197.5850839</v>
      </c>
      <c r="AI228">
        <v>196.26125490000001</v>
      </c>
      <c r="AJ228">
        <v>194.9239437</v>
      </c>
      <c r="AK228">
        <v>193.54340239999999</v>
      </c>
      <c r="AL228">
        <v>192.17404479999999</v>
      </c>
      <c r="AM228">
        <v>190.80961120000001</v>
      </c>
      <c r="AN228">
        <v>189.19402980000001</v>
      </c>
      <c r="AO228">
        <v>187.5818639</v>
      </c>
      <c r="AP228">
        <v>185.94147860000001</v>
      </c>
      <c r="AQ228">
        <v>184.2859497</v>
      </c>
      <c r="AR228">
        <v>182.66242980000001</v>
      </c>
      <c r="AS228">
        <v>181.4018499</v>
      </c>
      <c r="AT228">
        <v>180.15556470000001</v>
      </c>
      <c r="AU228">
        <v>178.90755530000001</v>
      </c>
      <c r="AV228">
        <v>177.67171500000001</v>
      </c>
      <c r="AW228">
        <v>176.5129652</v>
      </c>
    </row>
    <row r="229" spans="2:49" x14ac:dyDescent="0.25">
      <c r="B229" t="s">
        <v>300</v>
      </c>
      <c r="C229">
        <v>5.5705789795526002</v>
      </c>
      <c r="D229">
        <v>5.6600164269241402</v>
      </c>
      <c r="E229">
        <v>4.7606703819999998</v>
      </c>
      <c r="F229">
        <v>4.8013044579999997</v>
      </c>
      <c r="G229">
        <v>4.0003632610000004</v>
      </c>
      <c r="H229">
        <v>3.5072477809999998</v>
      </c>
      <c r="I229">
        <v>3.4836958779999998</v>
      </c>
      <c r="J229">
        <v>3.3331722269999999</v>
      </c>
      <c r="K229">
        <v>3.2187509410000001</v>
      </c>
      <c r="L229">
        <v>3.4374174150000001</v>
      </c>
      <c r="M229">
        <v>3.5288717809999999</v>
      </c>
      <c r="N229">
        <v>3.5910665370000001</v>
      </c>
      <c r="O229">
        <v>2.8329629700000001</v>
      </c>
      <c r="P229">
        <v>2.3860619719999998</v>
      </c>
      <c r="Q229">
        <v>2.0990921760000001</v>
      </c>
      <c r="R229">
        <v>1.912048771</v>
      </c>
      <c r="S229">
        <v>1.739122941</v>
      </c>
      <c r="T229">
        <v>1.7062631690000001</v>
      </c>
      <c r="U229">
        <v>1.6854159989999999</v>
      </c>
      <c r="V229">
        <v>1.678433906</v>
      </c>
      <c r="W229">
        <v>1.417231149</v>
      </c>
      <c r="X229">
        <v>1.192215252</v>
      </c>
      <c r="Y229">
        <v>1.036351628</v>
      </c>
      <c r="Z229">
        <v>0.91412237060000001</v>
      </c>
      <c r="AA229">
        <v>0.81167607639999995</v>
      </c>
      <c r="AB229">
        <v>0.7259541706</v>
      </c>
      <c r="AC229">
        <v>0.65272240459999997</v>
      </c>
      <c r="AD229">
        <v>0.59693578729999996</v>
      </c>
      <c r="AE229">
        <v>0.54829294790000005</v>
      </c>
      <c r="AF229">
        <v>0.50656557260000001</v>
      </c>
      <c r="AG229">
        <v>0.47073425200000002</v>
      </c>
      <c r="AH229">
        <v>0.43935486210000002</v>
      </c>
      <c r="AI229">
        <v>0.41291616450000002</v>
      </c>
      <c r="AJ229">
        <v>0.38941077750000003</v>
      </c>
      <c r="AK229">
        <v>0.36856967039999999</v>
      </c>
      <c r="AL229">
        <v>0.35008981630000002</v>
      </c>
      <c r="AM229">
        <v>0.3335909058</v>
      </c>
      <c r="AN229">
        <v>0.31521271760000003</v>
      </c>
      <c r="AO229">
        <v>0.29809677309999999</v>
      </c>
      <c r="AP229">
        <v>0.28214175479999998</v>
      </c>
      <c r="AQ229">
        <v>0.26742166029999997</v>
      </c>
      <c r="AR229">
        <v>0.25346858919999998</v>
      </c>
      <c r="AS229">
        <v>0.2425731582</v>
      </c>
      <c r="AT229">
        <v>0.23267316260000001</v>
      </c>
      <c r="AU229">
        <v>0.22353388660000001</v>
      </c>
      <c r="AV229">
        <v>0.21507012489999999</v>
      </c>
      <c r="AW229">
        <v>0.20732549820000001</v>
      </c>
    </row>
    <row r="230" spans="2:49" x14ac:dyDescent="0.25">
      <c r="B230" t="s">
        <v>301</v>
      </c>
      <c r="C230">
        <v>5.5705789795526002</v>
      </c>
      <c r="D230">
        <v>5.6600164269241402</v>
      </c>
      <c r="E230">
        <v>4.7606703819999998</v>
      </c>
      <c r="F230">
        <v>4.8013044579999997</v>
      </c>
      <c r="G230">
        <v>4.0003632610000004</v>
      </c>
      <c r="H230">
        <v>3.5072477809999998</v>
      </c>
      <c r="I230">
        <v>3.4836958779999998</v>
      </c>
      <c r="J230">
        <v>3.3331722269999999</v>
      </c>
      <c r="K230">
        <v>3.2187509410000001</v>
      </c>
      <c r="L230">
        <v>3.4374174150000001</v>
      </c>
      <c r="M230">
        <v>3.5288717809999999</v>
      </c>
      <c r="N230">
        <v>3.5910665370000001</v>
      </c>
      <c r="O230">
        <v>2.8329629700000001</v>
      </c>
      <c r="P230">
        <v>2.3860619719999998</v>
      </c>
      <c r="Q230">
        <v>2.0990921760000001</v>
      </c>
      <c r="R230">
        <v>1.912048771</v>
      </c>
      <c r="S230">
        <v>1.739122941</v>
      </c>
      <c r="T230">
        <v>1.7062631690000001</v>
      </c>
      <c r="U230">
        <v>1.6854159989999999</v>
      </c>
      <c r="V230">
        <v>1.678433906</v>
      </c>
      <c r="W230">
        <v>1.417231149</v>
      </c>
      <c r="X230">
        <v>1.192215252</v>
      </c>
      <c r="Y230">
        <v>1.036351628</v>
      </c>
      <c r="Z230">
        <v>0.91412237060000001</v>
      </c>
      <c r="AA230">
        <v>0.81167607639999995</v>
      </c>
      <c r="AB230">
        <v>0.7259541706</v>
      </c>
      <c r="AC230">
        <v>0.65272240459999997</v>
      </c>
      <c r="AD230">
        <v>0.59693578729999996</v>
      </c>
      <c r="AE230">
        <v>0.54829294790000005</v>
      </c>
      <c r="AF230">
        <v>0.50656557260000001</v>
      </c>
      <c r="AG230">
        <v>0.47073425200000002</v>
      </c>
      <c r="AH230">
        <v>0.43935486210000002</v>
      </c>
      <c r="AI230">
        <v>0.41291616450000002</v>
      </c>
      <c r="AJ230">
        <v>0.38941077750000003</v>
      </c>
      <c r="AK230">
        <v>0.36856967039999999</v>
      </c>
      <c r="AL230">
        <v>0.35008981630000002</v>
      </c>
      <c r="AM230">
        <v>0.3335909058</v>
      </c>
      <c r="AN230">
        <v>0.31521271760000003</v>
      </c>
      <c r="AO230">
        <v>0.29809677309999999</v>
      </c>
      <c r="AP230">
        <v>0.28214175479999998</v>
      </c>
      <c r="AQ230">
        <v>0.26742166029999997</v>
      </c>
      <c r="AR230">
        <v>0.25346858919999998</v>
      </c>
      <c r="AS230">
        <v>0.2425731582</v>
      </c>
      <c r="AT230">
        <v>0.23267316260000001</v>
      </c>
      <c r="AU230">
        <v>0.22353388660000001</v>
      </c>
      <c r="AV230">
        <v>0.21507012489999999</v>
      </c>
      <c r="AW230">
        <v>0.20732549820000001</v>
      </c>
    </row>
    <row r="231" spans="2:49" x14ac:dyDescent="0.25">
      <c r="B231" t="s">
        <v>302</v>
      </c>
      <c r="C231">
        <v>82.165927612137295</v>
      </c>
      <c r="D231">
        <v>83.485128157272499</v>
      </c>
      <c r="E231">
        <v>70.711797430000004</v>
      </c>
      <c r="F231">
        <v>71.559114660000006</v>
      </c>
      <c r="G231">
        <v>68.144366480000002</v>
      </c>
      <c r="H231">
        <v>66.043895919999997</v>
      </c>
      <c r="I231">
        <v>65.095490620000007</v>
      </c>
      <c r="J231">
        <v>62.984761020000001</v>
      </c>
      <c r="K231">
        <v>60.656291250000002</v>
      </c>
      <c r="L231">
        <v>59.021561689999999</v>
      </c>
      <c r="M231">
        <v>58.657903679999997</v>
      </c>
      <c r="N231">
        <v>58.915800670000003</v>
      </c>
      <c r="O231">
        <v>57.715216869999999</v>
      </c>
      <c r="P231">
        <v>56.007156049999999</v>
      </c>
      <c r="Q231">
        <v>53.60150994</v>
      </c>
      <c r="R231">
        <v>52.064293149999997</v>
      </c>
      <c r="S231">
        <v>50.65053297</v>
      </c>
      <c r="T231">
        <v>50.694173450000001</v>
      </c>
      <c r="U231">
        <v>50.605884099999997</v>
      </c>
      <c r="V231">
        <v>50.619185190000003</v>
      </c>
      <c r="W231">
        <v>49.86263099</v>
      </c>
      <c r="X231">
        <v>48.735953279999997</v>
      </c>
      <c r="Y231">
        <v>47.886471200000003</v>
      </c>
      <c r="Z231">
        <v>47.262487839999999</v>
      </c>
      <c r="AA231">
        <v>46.628131070000002</v>
      </c>
      <c r="AB231">
        <v>45.998189770000003</v>
      </c>
      <c r="AC231">
        <v>45.256849979999998</v>
      </c>
      <c r="AD231">
        <v>44.575501719999998</v>
      </c>
      <c r="AE231">
        <v>43.949918199999999</v>
      </c>
      <c r="AF231">
        <v>43.334867889999998</v>
      </c>
      <c r="AG231">
        <v>42.719304989999998</v>
      </c>
      <c r="AH231">
        <v>42.115393410000003</v>
      </c>
      <c r="AI231">
        <v>41.57416276</v>
      </c>
      <c r="AJ231">
        <v>41.051244650000001</v>
      </c>
      <c r="AK231">
        <v>40.528721439999998</v>
      </c>
      <c r="AL231">
        <v>40.017715789999997</v>
      </c>
      <c r="AM231">
        <v>39.515069580000002</v>
      </c>
      <c r="AN231">
        <v>38.991677209999999</v>
      </c>
      <c r="AO231">
        <v>38.463187150000003</v>
      </c>
      <c r="AP231">
        <v>37.923744800000001</v>
      </c>
      <c r="AQ231">
        <v>37.385883149999998</v>
      </c>
      <c r="AR231">
        <v>36.814005039999998</v>
      </c>
      <c r="AS231">
        <v>36.363535669999997</v>
      </c>
      <c r="AT231">
        <v>35.924663840000001</v>
      </c>
      <c r="AU231">
        <v>35.4917102</v>
      </c>
      <c r="AV231">
        <v>35.06812815</v>
      </c>
      <c r="AW231">
        <v>34.668063660000001</v>
      </c>
    </row>
    <row r="232" spans="2:49" x14ac:dyDescent="0.25">
      <c r="B232" t="s">
        <v>303</v>
      </c>
      <c r="C232">
        <v>0.67805251130835598</v>
      </c>
      <c r="D232">
        <v>0.68893886369971102</v>
      </c>
      <c r="E232">
        <v>0.8743882194</v>
      </c>
      <c r="F232">
        <v>1.167557188</v>
      </c>
      <c r="G232">
        <v>1.382507216</v>
      </c>
      <c r="H232">
        <v>1.6036344709999999</v>
      </c>
      <c r="I232">
        <v>1.8419600709999999</v>
      </c>
      <c r="J232">
        <v>2.0465872169999999</v>
      </c>
      <c r="K232">
        <v>2.2281109670000001</v>
      </c>
      <c r="L232">
        <v>2.4205979279999998</v>
      </c>
      <c r="M232">
        <v>2.6587170059999998</v>
      </c>
      <c r="N232">
        <v>2.9264260929999999</v>
      </c>
      <c r="O232">
        <v>2.917608049</v>
      </c>
      <c r="P232">
        <v>2.8835991189999999</v>
      </c>
      <c r="Q232">
        <v>2.8130152690000001</v>
      </c>
      <c r="R232">
        <v>2.7875041</v>
      </c>
      <c r="S232">
        <v>2.7691583560000002</v>
      </c>
      <c r="T232">
        <v>2.9012879649999999</v>
      </c>
      <c r="U232">
        <v>3.020947005</v>
      </c>
      <c r="V232">
        <v>3.141887256</v>
      </c>
      <c r="W232">
        <v>3.0949286169999999</v>
      </c>
      <c r="X232">
        <v>3.0249967459999998</v>
      </c>
      <c r="Y232">
        <v>2.9722701580000002</v>
      </c>
      <c r="Z232">
        <v>2.9335400730000001</v>
      </c>
      <c r="AA232">
        <v>2.8941661189999999</v>
      </c>
      <c r="AB232">
        <v>2.8550662299999998</v>
      </c>
      <c r="AC232">
        <v>2.8090519359999999</v>
      </c>
      <c r="AD232">
        <v>2.7667612629999998</v>
      </c>
      <c r="AE232">
        <v>2.7279318570000002</v>
      </c>
      <c r="AF232">
        <v>2.6897562380000002</v>
      </c>
      <c r="AG232">
        <v>2.6515488029999998</v>
      </c>
      <c r="AH232">
        <v>2.6140645550000001</v>
      </c>
      <c r="AI232">
        <v>2.5804708559999998</v>
      </c>
      <c r="AJ232">
        <v>2.548013799</v>
      </c>
      <c r="AK232">
        <v>2.5155812540000002</v>
      </c>
      <c r="AL232">
        <v>2.4838635939999998</v>
      </c>
      <c r="AM232">
        <v>2.4526647960000001</v>
      </c>
      <c r="AN232">
        <v>2.4201783030000001</v>
      </c>
      <c r="AO232">
        <v>2.3873753999999998</v>
      </c>
      <c r="AP232">
        <v>2.3538926990000002</v>
      </c>
      <c r="AQ232">
        <v>2.3205081110000001</v>
      </c>
      <c r="AR232">
        <v>2.2850121510000001</v>
      </c>
      <c r="AS232">
        <v>2.2570519230000001</v>
      </c>
      <c r="AT232">
        <v>2.2298115439999999</v>
      </c>
      <c r="AU232">
        <v>2.2029385010000002</v>
      </c>
      <c r="AV232">
        <v>2.1766471439999999</v>
      </c>
      <c r="AW232">
        <v>2.1518155019999998</v>
      </c>
    </row>
    <row r="233" spans="2:49" x14ac:dyDescent="0.25">
      <c r="B233" t="s">
        <v>304</v>
      </c>
      <c r="C233">
        <v>82.165927612137295</v>
      </c>
      <c r="D233">
        <v>83.485128157272499</v>
      </c>
      <c r="E233">
        <v>70.711797430000004</v>
      </c>
      <c r="F233">
        <v>71.559114660000006</v>
      </c>
      <c r="G233">
        <v>68.144366480000002</v>
      </c>
      <c r="H233">
        <v>66.043895919999997</v>
      </c>
      <c r="I233">
        <v>65.095490620000007</v>
      </c>
      <c r="J233">
        <v>62.984761020000001</v>
      </c>
      <c r="K233">
        <v>60.656291250000002</v>
      </c>
      <c r="L233">
        <v>59.021561689999999</v>
      </c>
      <c r="M233">
        <v>58.657903679999997</v>
      </c>
      <c r="N233">
        <v>58.915800670000003</v>
      </c>
      <c r="O233">
        <v>57.715216869999999</v>
      </c>
      <c r="P233">
        <v>56.007156049999999</v>
      </c>
      <c r="Q233">
        <v>53.60150994</v>
      </c>
      <c r="R233">
        <v>52.064293149999997</v>
      </c>
      <c r="S233">
        <v>50.65053297</v>
      </c>
      <c r="T233">
        <v>50.694173450000001</v>
      </c>
      <c r="U233">
        <v>50.605884099999997</v>
      </c>
      <c r="V233">
        <v>50.619185190000003</v>
      </c>
      <c r="W233">
        <v>49.86263099</v>
      </c>
      <c r="X233">
        <v>48.735953279999997</v>
      </c>
      <c r="Y233">
        <v>47.886471200000003</v>
      </c>
      <c r="Z233">
        <v>47.262487839999999</v>
      </c>
      <c r="AA233">
        <v>46.628131070000002</v>
      </c>
      <c r="AB233">
        <v>45.998189770000003</v>
      </c>
      <c r="AC233">
        <v>45.256849979999998</v>
      </c>
      <c r="AD233">
        <v>44.575501719999998</v>
      </c>
      <c r="AE233">
        <v>43.949918199999999</v>
      </c>
      <c r="AF233">
        <v>43.334867889999998</v>
      </c>
      <c r="AG233">
        <v>42.719304989999998</v>
      </c>
      <c r="AH233">
        <v>42.115393410000003</v>
      </c>
      <c r="AI233">
        <v>41.57416276</v>
      </c>
      <c r="AJ233">
        <v>41.051244650000001</v>
      </c>
      <c r="AK233">
        <v>40.528721439999998</v>
      </c>
      <c r="AL233">
        <v>40.017715789999997</v>
      </c>
      <c r="AM233">
        <v>39.515069580000002</v>
      </c>
      <c r="AN233">
        <v>38.991677209999999</v>
      </c>
      <c r="AO233">
        <v>38.463187150000003</v>
      </c>
      <c r="AP233">
        <v>37.923744800000001</v>
      </c>
      <c r="AQ233">
        <v>37.385883149999998</v>
      </c>
      <c r="AR233">
        <v>36.814005039999998</v>
      </c>
      <c r="AS233">
        <v>36.363535669999997</v>
      </c>
      <c r="AT233">
        <v>35.924663840000001</v>
      </c>
      <c r="AU233">
        <v>35.4917102</v>
      </c>
      <c r="AV233">
        <v>35.06812815</v>
      </c>
      <c r="AW233">
        <v>34.668063660000001</v>
      </c>
    </row>
    <row r="234" spans="2:49" x14ac:dyDescent="0.25">
      <c r="B234" t="s">
        <v>305</v>
      </c>
      <c r="C234">
        <v>0.67805251130835598</v>
      </c>
      <c r="D234">
        <v>0.68893886369971102</v>
      </c>
      <c r="E234">
        <v>0.8743882194</v>
      </c>
      <c r="F234">
        <v>1.167557188</v>
      </c>
      <c r="G234">
        <v>1.382507216</v>
      </c>
      <c r="H234">
        <v>1.6036344709999999</v>
      </c>
      <c r="I234">
        <v>1.8419600709999999</v>
      </c>
      <c r="J234">
        <v>2.0465872169999999</v>
      </c>
      <c r="K234">
        <v>2.2281109670000001</v>
      </c>
      <c r="L234">
        <v>2.4205979279999998</v>
      </c>
      <c r="M234">
        <v>2.6587170059999998</v>
      </c>
      <c r="N234">
        <v>2.9264260929999999</v>
      </c>
      <c r="O234">
        <v>2.917608049</v>
      </c>
      <c r="P234">
        <v>2.8835991189999999</v>
      </c>
      <c r="Q234">
        <v>2.8130152690000001</v>
      </c>
      <c r="R234">
        <v>2.7875041</v>
      </c>
      <c r="S234">
        <v>2.7691583560000002</v>
      </c>
      <c r="T234">
        <v>2.9012879649999999</v>
      </c>
      <c r="U234">
        <v>3.020947005</v>
      </c>
      <c r="V234">
        <v>3.141887256</v>
      </c>
      <c r="W234">
        <v>3.0949286169999999</v>
      </c>
      <c r="X234">
        <v>3.0249967459999998</v>
      </c>
      <c r="Y234">
        <v>2.9722701580000002</v>
      </c>
      <c r="Z234">
        <v>2.9335400730000001</v>
      </c>
      <c r="AA234">
        <v>2.8941661189999999</v>
      </c>
      <c r="AB234">
        <v>2.8550662299999998</v>
      </c>
      <c r="AC234">
        <v>2.8090519359999999</v>
      </c>
      <c r="AD234">
        <v>2.7667612629999998</v>
      </c>
      <c r="AE234">
        <v>2.7279318570000002</v>
      </c>
      <c r="AF234">
        <v>2.6897562380000002</v>
      </c>
      <c r="AG234">
        <v>2.6515488029999998</v>
      </c>
      <c r="AH234">
        <v>2.6140645550000001</v>
      </c>
      <c r="AI234">
        <v>2.5804708559999998</v>
      </c>
      <c r="AJ234">
        <v>2.548013799</v>
      </c>
      <c r="AK234">
        <v>2.5155812540000002</v>
      </c>
      <c r="AL234">
        <v>2.4838635939999998</v>
      </c>
      <c r="AM234">
        <v>2.4526647960000001</v>
      </c>
      <c r="AN234">
        <v>2.4201783030000001</v>
      </c>
      <c r="AO234">
        <v>2.3873753999999998</v>
      </c>
      <c r="AP234">
        <v>2.3538926990000002</v>
      </c>
      <c r="AQ234">
        <v>2.3205081110000001</v>
      </c>
      <c r="AR234">
        <v>2.2850121510000001</v>
      </c>
      <c r="AS234">
        <v>2.2570519230000001</v>
      </c>
      <c r="AT234">
        <v>2.2298115439999999</v>
      </c>
      <c r="AU234">
        <v>2.2029385010000002</v>
      </c>
      <c r="AV234">
        <v>2.1766471439999999</v>
      </c>
      <c r="AW234">
        <v>2.1518155019999998</v>
      </c>
    </row>
    <row r="235" spans="2:49" x14ac:dyDescent="0.25">
      <c r="B235" t="s">
        <v>306</v>
      </c>
      <c r="C235">
        <v>114.221490567207</v>
      </c>
      <c r="D235">
        <v>116.055353544252</v>
      </c>
      <c r="E235">
        <v>103.6846785</v>
      </c>
      <c r="F235">
        <v>108.3166131</v>
      </c>
      <c r="G235">
        <v>112.3264422</v>
      </c>
      <c r="H235">
        <v>106.99338059999999</v>
      </c>
      <c r="I235">
        <v>112.85490950000001</v>
      </c>
      <c r="J235">
        <v>114.7054852</v>
      </c>
      <c r="K235">
        <v>114.59975369999999</v>
      </c>
      <c r="L235">
        <v>113.0159893</v>
      </c>
      <c r="M235">
        <v>111.3464027</v>
      </c>
      <c r="N235">
        <v>108.23158429999999</v>
      </c>
      <c r="O235">
        <v>101.8171846</v>
      </c>
      <c r="P235">
        <v>99.200635790000007</v>
      </c>
      <c r="Q235">
        <v>97.646812460000007</v>
      </c>
      <c r="R235">
        <v>93.544277019999996</v>
      </c>
      <c r="S235">
        <v>89.132121889999894</v>
      </c>
      <c r="T235">
        <v>87.34968112</v>
      </c>
      <c r="U235">
        <v>85.758793760000003</v>
      </c>
      <c r="V235">
        <v>84.396164859999999</v>
      </c>
      <c r="W235">
        <v>87.659020889999894</v>
      </c>
      <c r="X235">
        <v>91.397149549999995</v>
      </c>
      <c r="Y235">
        <v>92.302875040000004</v>
      </c>
      <c r="Z235">
        <v>92.851384069999995</v>
      </c>
      <c r="AA235">
        <v>93.535987739999996</v>
      </c>
      <c r="AB235">
        <v>93.80089538</v>
      </c>
      <c r="AC235">
        <v>94.230018060000006</v>
      </c>
      <c r="AD235">
        <v>93.485603530000006</v>
      </c>
      <c r="AE235">
        <v>92.760649000000001</v>
      </c>
      <c r="AF235">
        <v>92.041297940000007</v>
      </c>
      <c r="AG235">
        <v>91.326827949999995</v>
      </c>
      <c r="AH235">
        <v>90.675634270000003</v>
      </c>
      <c r="AI235">
        <v>89.987476900000004</v>
      </c>
      <c r="AJ235">
        <v>89.268738929999998</v>
      </c>
      <c r="AK235">
        <v>88.519983740000001</v>
      </c>
      <c r="AL235">
        <v>87.767531750000003</v>
      </c>
      <c r="AM235">
        <v>87.007556690000001</v>
      </c>
      <c r="AN235">
        <v>86.198151920000001</v>
      </c>
      <c r="AO235">
        <v>85.382758499999994</v>
      </c>
      <c r="AP235">
        <v>84.557851319999997</v>
      </c>
      <c r="AQ235">
        <v>83.709658320000003</v>
      </c>
      <c r="AR235">
        <v>82.927476819999995</v>
      </c>
      <c r="AS235">
        <v>82.306879210000005</v>
      </c>
      <c r="AT235">
        <v>81.682292829999994</v>
      </c>
      <c r="AU235">
        <v>81.051247380000007</v>
      </c>
      <c r="AV235">
        <v>80.419996269999999</v>
      </c>
      <c r="AW235">
        <v>79.817514009999996</v>
      </c>
    </row>
    <row r="236" spans="2:49" x14ac:dyDescent="0.25">
      <c r="B236" t="s">
        <v>307</v>
      </c>
      <c r="C236">
        <v>1.2736350545564401</v>
      </c>
      <c r="D236">
        <v>1.2940836773262701</v>
      </c>
      <c r="E236">
        <v>1.4657924280000001</v>
      </c>
      <c r="F236">
        <v>1.5339597389999999</v>
      </c>
      <c r="G236">
        <v>1.5935679439999999</v>
      </c>
      <c r="H236">
        <v>1.5206317899999999</v>
      </c>
      <c r="I236">
        <v>1.606849658</v>
      </c>
      <c r="J236">
        <v>1.600212532</v>
      </c>
      <c r="K236">
        <v>1.566730886</v>
      </c>
      <c r="L236">
        <v>1.5144891359999999</v>
      </c>
      <c r="M236">
        <v>1.462960883</v>
      </c>
      <c r="N236">
        <v>1.394662061</v>
      </c>
      <c r="O236">
        <v>1.333907781</v>
      </c>
      <c r="P236">
        <v>1.3228170269999999</v>
      </c>
      <c r="Q236">
        <v>1.326969356</v>
      </c>
      <c r="R236">
        <v>1.2972589800000001</v>
      </c>
      <c r="S236">
        <v>1.2632782410000001</v>
      </c>
      <c r="T236">
        <v>1.38760489</v>
      </c>
      <c r="U236">
        <v>1.516877421</v>
      </c>
      <c r="V236">
        <v>1.652789192</v>
      </c>
      <c r="W236">
        <v>1.716687987</v>
      </c>
      <c r="X236">
        <v>1.7898943780000001</v>
      </c>
      <c r="Y236">
        <v>1.8076318339999999</v>
      </c>
      <c r="Z236">
        <v>1.818373671</v>
      </c>
      <c r="AA236">
        <v>1.831780744</v>
      </c>
      <c r="AB236">
        <v>1.8369686160000001</v>
      </c>
      <c r="AC236">
        <v>1.845372426</v>
      </c>
      <c r="AD236">
        <v>1.830794034</v>
      </c>
      <c r="AE236">
        <v>1.816596742</v>
      </c>
      <c r="AF236">
        <v>1.8025091870000001</v>
      </c>
      <c r="AG236">
        <v>1.788517221</v>
      </c>
      <c r="AH236">
        <v>1.775764439</v>
      </c>
      <c r="AI236">
        <v>1.762287771</v>
      </c>
      <c r="AJ236">
        <v>1.748212222</v>
      </c>
      <c r="AK236">
        <v>1.733548825</v>
      </c>
      <c r="AL236">
        <v>1.718813031</v>
      </c>
      <c r="AM236">
        <v>1.703929907</v>
      </c>
      <c r="AN236">
        <v>1.6880787669999999</v>
      </c>
      <c r="AO236">
        <v>1.672110346</v>
      </c>
      <c r="AP236">
        <v>1.6559556120000001</v>
      </c>
      <c r="AQ236" s="39">
        <v>1.639344854</v>
      </c>
      <c r="AR236" s="39">
        <v>1.624026846</v>
      </c>
      <c r="AS236" s="39">
        <v>1.6118732490000001</v>
      </c>
      <c r="AT236" s="39">
        <v>1.599641536</v>
      </c>
      <c r="AU236" s="39">
        <v>1.5872833310000001</v>
      </c>
      <c r="AV236" s="39">
        <v>1.574921099</v>
      </c>
      <c r="AW236" s="39">
        <v>1.563122267</v>
      </c>
    </row>
    <row r="237" spans="2:49" x14ac:dyDescent="0.25">
      <c r="B237" t="s">
        <v>308</v>
      </c>
      <c r="C237">
        <v>3.4574974609126801</v>
      </c>
      <c r="D237">
        <v>3.51300870100687</v>
      </c>
      <c r="E237">
        <v>3.1385469659999998</v>
      </c>
      <c r="F237">
        <v>3.2612013809999998</v>
      </c>
      <c r="G237">
        <v>3.3640114689999998</v>
      </c>
      <c r="H237">
        <v>3.187506333</v>
      </c>
      <c r="I237">
        <v>3.3447244309999999</v>
      </c>
      <c r="J237">
        <v>3.4643394829999998</v>
      </c>
      <c r="K237">
        <v>3.5324865000000001</v>
      </c>
      <c r="L237">
        <v>3.5603235660000001</v>
      </c>
      <c r="M237">
        <v>3.5892773299999998</v>
      </c>
      <c r="N237">
        <v>3.5738707110000001</v>
      </c>
      <c r="O237">
        <v>3.7561110480000002</v>
      </c>
      <c r="P237">
        <v>4.072568317</v>
      </c>
      <c r="Q237">
        <v>4.4474422799999997</v>
      </c>
      <c r="R237">
        <v>4.7155978489999999</v>
      </c>
      <c r="S237">
        <v>4.9643363569999996</v>
      </c>
      <c r="T237">
        <v>4.7125721169999997</v>
      </c>
      <c r="U237">
        <v>4.4711744409999996</v>
      </c>
      <c r="V237">
        <v>4.2409885349999996</v>
      </c>
      <c r="W237">
        <v>4.4049501920000003</v>
      </c>
      <c r="X237">
        <v>4.592794756</v>
      </c>
      <c r="Y237">
        <v>4.6383083340000004</v>
      </c>
      <c r="Z237">
        <v>4.6658714410000002</v>
      </c>
      <c r="AA237">
        <v>4.7002734339999996</v>
      </c>
      <c r="AB237">
        <v>4.7135852979999999</v>
      </c>
      <c r="AC237">
        <v>4.7351491259999996</v>
      </c>
      <c r="AD237">
        <v>4.6977415789999997</v>
      </c>
      <c r="AE237">
        <v>4.6613119159999998</v>
      </c>
      <c r="AF237">
        <v>4.6251638330000002</v>
      </c>
      <c r="AG237">
        <v>4.5892610280000001</v>
      </c>
      <c r="AH237">
        <v>4.5565379190000002</v>
      </c>
      <c r="AI237">
        <v>4.5219573479999999</v>
      </c>
      <c r="AJ237">
        <v>4.4858400730000003</v>
      </c>
      <c r="AK237">
        <v>4.4482144039999998</v>
      </c>
      <c r="AL237">
        <v>4.4104029669999996</v>
      </c>
      <c r="AM237">
        <v>4.372213489</v>
      </c>
      <c r="AN237">
        <v>4.3315401199999997</v>
      </c>
      <c r="AO237">
        <v>4.2905658149999999</v>
      </c>
      <c r="AP237">
        <v>4.2491134349999999</v>
      </c>
      <c r="AQ237">
        <v>4.2064909200000002</v>
      </c>
      <c r="AR237">
        <v>4.1671855469999999</v>
      </c>
      <c r="AS237">
        <v>4.1359999199999997</v>
      </c>
      <c r="AT237">
        <v>4.104613853</v>
      </c>
      <c r="AU237">
        <v>4.0729032109999999</v>
      </c>
      <c r="AV237">
        <v>4.041182236</v>
      </c>
      <c r="AW237">
        <v>4.0109069220000002</v>
      </c>
    </row>
    <row r="238" spans="2:49" x14ac:dyDescent="0.25">
      <c r="B238" t="s">
        <v>309</v>
      </c>
      <c r="C238">
        <v>5.0750954082325404</v>
      </c>
      <c r="D238">
        <v>5.1565777065978304</v>
      </c>
      <c r="E238">
        <v>4.6069232089999996</v>
      </c>
      <c r="F238">
        <v>4.4251166980000001</v>
      </c>
      <c r="G238">
        <v>4.2194283810000002</v>
      </c>
      <c r="H238">
        <v>3.6955524300000002</v>
      </c>
      <c r="I238">
        <v>3.584287314</v>
      </c>
      <c r="J238">
        <v>3.4991864989999999</v>
      </c>
      <c r="K238">
        <v>3.363120882</v>
      </c>
      <c r="L238">
        <v>3.19504111</v>
      </c>
      <c r="M238">
        <v>3.0361918769999998</v>
      </c>
      <c r="N238">
        <v>2.8497590119999998</v>
      </c>
      <c r="O238">
        <v>2.3702351209999999</v>
      </c>
      <c r="P238">
        <v>1.986256961</v>
      </c>
      <c r="Q238">
        <v>1.859735143</v>
      </c>
      <c r="R238">
        <v>1.8160311179999999</v>
      </c>
      <c r="S238">
        <v>1.7664383610000001</v>
      </c>
      <c r="T238">
        <v>1.758189008</v>
      </c>
      <c r="U238">
        <v>1.7535741419999999</v>
      </c>
      <c r="V238">
        <v>1.75353446</v>
      </c>
      <c r="W238">
        <v>1.8213281859999999</v>
      </c>
      <c r="X238">
        <v>1.8989968509999999</v>
      </c>
      <c r="Y238">
        <v>1.9178154890000001</v>
      </c>
      <c r="Z238">
        <v>1.92921209</v>
      </c>
      <c r="AA238">
        <v>1.943436387</v>
      </c>
      <c r="AB238">
        <v>1.9489404850000001</v>
      </c>
      <c r="AC238">
        <v>1.9578565459999999</v>
      </c>
      <c r="AD238">
        <v>1.9423895339999999</v>
      </c>
      <c r="AE238">
        <v>1.92732685</v>
      </c>
      <c r="AF238">
        <v>1.9123805920000001</v>
      </c>
      <c r="AG238">
        <v>1.897535749</v>
      </c>
      <c r="AH238">
        <v>1.884005626</v>
      </c>
      <c r="AI238">
        <v>1.8697074920000001</v>
      </c>
      <c r="AJ238">
        <v>1.854773972</v>
      </c>
      <c r="AK238">
        <v>1.8392167720000001</v>
      </c>
      <c r="AL238">
        <v>1.823582762</v>
      </c>
      <c r="AM238">
        <v>1.807792442</v>
      </c>
      <c r="AN238">
        <v>1.7909751</v>
      </c>
      <c r="AO238">
        <v>1.7740333290000001</v>
      </c>
      <c r="AP238">
        <v>1.7568938869999999</v>
      </c>
      <c r="AQ238">
        <v>1.7392706259999999</v>
      </c>
      <c r="AR238">
        <v>1.7230189140000001</v>
      </c>
      <c r="AS238">
        <v>1.710124497</v>
      </c>
      <c r="AT238">
        <v>1.697147204</v>
      </c>
      <c r="AU238">
        <v>1.684035709</v>
      </c>
      <c r="AV238">
        <v>1.6709199400000001</v>
      </c>
      <c r="AW238">
        <v>1.6584019139999999</v>
      </c>
    </row>
    <row r="239" spans="2:49" x14ac:dyDescent="0.25">
      <c r="B239" t="s">
        <v>310</v>
      </c>
      <c r="C239">
        <v>0.35516190417563898</v>
      </c>
      <c r="D239">
        <v>0.36086414342755202</v>
      </c>
      <c r="E239">
        <v>0.50773300079999995</v>
      </c>
      <c r="F239">
        <v>0.87309624330000002</v>
      </c>
      <c r="G239">
        <v>1.216610207</v>
      </c>
      <c r="H239">
        <v>1.4134331170000001</v>
      </c>
      <c r="I239">
        <v>1.7146940449999999</v>
      </c>
      <c r="J239">
        <v>1.997314531</v>
      </c>
      <c r="K239">
        <v>2.211966673</v>
      </c>
      <c r="L239">
        <v>2.347646949</v>
      </c>
      <c r="M239">
        <v>2.4171445</v>
      </c>
      <c r="N239">
        <v>2.3758845609999999</v>
      </c>
      <c r="O239">
        <v>2.5043835059999999</v>
      </c>
      <c r="P239">
        <v>2.7235743569999999</v>
      </c>
      <c r="Q239">
        <v>2.9834324209999998</v>
      </c>
      <c r="R239">
        <v>3.1732166450000001</v>
      </c>
      <c r="S239">
        <v>3.3511956839999999</v>
      </c>
      <c r="T239">
        <v>3.4809093930000001</v>
      </c>
      <c r="U239">
        <v>3.6168196940000001</v>
      </c>
      <c r="V239">
        <v>3.76185597</v>
      </c>
      <c r="W239">
        <v>3.9072937919999999</v>
      </c>
      <c r="X239">
        <v>4.0739163119999997</v>
      </c>
      <c r="Y239">
        <v>4.1142879189999997</v>
      </c>
      <c r="Z239">
        <v>4.1387370389999996</v>
      </c>
      <c r="AA239">
        <v>4.1692524110000004</v>
      </c>
      <c r="AB239">
        <v>4.1810603459999998</v>
      </c>
      <c r="AC239">
        <v>4.2001879659999997</v>
      </c>
      <c r="AD239">
        <v>4.1670065970000003</v>
      </c>
      <c r="AE239">
        <v>4.1346926340000003</v>
      </c>
      <c r="AF239">
        <v>4.1026284390000001</v>
      </c>
      <c r="AG239">
        <v>4.0707818119999999</v>
      </c>
      <c r="AH239">
        <v>4.0417556489999997</v>
      </c>
      <c r="AI239">
        <v>4.0110818750000004</v>
      </c>
      <c r="AJ239">
        <v>3.9790450079999999</v>
      </c>
      <c r="AK239">
        <v>3.9456701600000001</v>
      </c>
      <c r="AL239">
        <v>3.9121305309999999</v>
      </c>
      <c r="AM239">
        <v>3.878255571</v>
      </c>
      <c r="AN239">
        <v>3.8421773419999998</v>
      </c>
      <c r="AO239">
        <v>3.805832176</v>
      </c>
      <c r="AP239">
        <v>3.769062946</v>
      </c>
      <c r="AQ239">
        <v>3.7312557790000001</v>
      </c>
      <c r="AR239">
        <v>3.6963909940000002</v>
      </c>
      <c r="AS239">
        <v>3.6687286139999999</v>
      </c>
      <c r="AT239">
        <v>3.6408884389999998</v>
      </c>
      <c r="AU239">
        <v>3.6127603580000001</v>
      </c>
      <c r="AV239">
        <v>3.584623111</v>
      </c>
      <c r="AW239">
        <v>3.557768201</v>
      </c>
    </row>
    <row r="240" spans="2:49" x14ac:dyDescent="0.25">
      <c r="B240" t="s">
        <v>311</v>
      </c>
      <c r="C240">
        <v>7.99114284395189E-2</v>
      </c>
      <c r="D240">
        <v>8.1194432271199296E-2</v>
      </c>
      <c r="E240">
        <v>0.50773300079999995</v>
      </c>
      <c r="F240">
        <v>0.54423823179999997</v>
      </c>
      <c r="G240">
        <v>0.58586969919999998</v>
      </c>
      <c r="H240">
        <v>0.58733358769999999</v>
      </c>
      <c r="I240">
        <v>0.66243695290000004</v>
      </c>
      <c r="J240">
        <v>0.76100656720000004</v>
      </c>
      <c r="K240">
        <v>0.87543952810000003</v>
      </c>
      <c r="L240">
        <v>1.0135053469999999</v>
      </c>
      <c r="M240">
        <v>1.19514356</v>
      </c>
      <c r="N240">
        <v>1.4166029499999999</v>
      </c>
      <c r="O240">
        <v>1.458649541</v>
      </c>
      <c r="P240">
        <v>1.5538074180000001</v>
      </c>
      <c r="Q240">
        <v>1.670962265</v>
      </c>
      <c r="R240">
        <v>1.748126267</v>
      </c>
      <c r="S240">
        <v>1.8188717430000001</v>
      </c>
      <c r="T240">
        <v>1.8533494880000001</v>
      </c>
      <c r="U240">
        <v>1.8913821390000001</v>
      </c>
      <c r="V240">
        <v>1.9342766899999999</v>
      </c>
      <c r="W240">
        <v>2.0090581260000002</v>
      </c>
      <c r="X240">
        <v>2.0947323400000002</v>
      </c>
      <c r="Y240">
        <v>2.115490673</v>
      </c>
      <c r="Z240">
        <v>2.128061958</v>
      </c>
      <c r="AA240">
        <v>2.1437523970000001</v>
      </c>
      <c r="AB240">
        <v>2.1498238189999999</v>
      </c>
      <c r="AC240">
        <v>2.159658887</v>
      </c>
      <c r="AD240">
        <v>2.1425976410000001</v>
      </c>
      <c r="AE240">
        <v>2.1259823999999998</v>
      </c>
      <c r="AF240">
        <v>2.1094955849999999</v>
      </c>
      <c r="AG240">
        <v>2.0931206379999998</v>
      </c>
      <c r="AH240">
        <v>2.078195923</v>
      </c>
      <c r="AI240">
        <v>2.0624240359999999</v>
      </c>
      <c r="AJ240">
        <v>2.0459512719999999</v>
      </c>
      <c r="AK240">
        <v>2.0287905429999999</v>
      </c>
      <c r="AL240">
        <v>2.011545087</v>
      </c>
      <c r="AM240">
        <v>1.99412721</v>
      </c>
      <c r="AN240">
        <v>1.975576453</v>
      </c>
      <c r="AO240">
        <v>1.956888441</v>
      </c>
      <c r="AP240">
        <v>1.9379823839999999</v>
      </c>
      <c r="AQ240">
        <v>1.918542639</v>
      </c>
      <c r="AR240">
        <v>1.9006158120000001</v>
      </c>
      <c r="AS240">
        <v>1.8863923279999999</v>
      </c>
      <c r="AT240">
        <v>1.8720774250000001</v>
      </c>
      <c r="AU240">
        <v>1.857614487</v>
      </c>
      <c r="AV240">
        <v>1.8431468360000001</v>
      </c>
      <c r="AW240">
        <v>1.829338538</v>
      </c>
    </row>
    <row r="241" spans="2:49" x14ac:dyDescent="0.25">
      <c r="B241" t="s">
        <v>312</v>
      </c>
      <c r="C241">
        <v>4.4799793836545803</v>
      </c>
      <c r="D241">
        <v>4.5519069017495504</v>
      </c>
      <c r="E241">
        <v>4.0667060099999999</v>
      </c>
      <c r="F241">
        <v>4.0198502420000004</v>
      </c>
      <c r="G241">
        <v>3.9440833099999999</v>
      </c>
      <c r="H241">
        <v>3.554152717</v>
      </c>
      <c r="I241">
        <v>3.5463676359999998</v>
      </c>
      <c r="J241">
        <v>3.4697651199999999</v>
      </c>
      <c r="K241">
        <v>3.3413432240000001</v>
      </c>
      <c r="L241">
        <v>3.1801489510000001</v>
      </c>
      <c r="M241">
        <v>3.0274902419999998</v>
      </c>
      <c r="N241">
        <v>2.8468841899999999</v>
      </c>
      <c r="O241">
        <v>3.0285406109999999</v>
      </c>
      <c r="P241">
        <v>3.3202813309999999</v>
      </c>
      <c r="Q241">
        <v>3.6632431510000001</v>
      </c>
      <c r="R241">
        <v>3.9214439319999999</v>
      </c>
      <c r="S241">
        <v>4.1656316799999997</v>
      </c>
      <c r="T241">
        <v>4.3201311660000004</v>
      </c>
      <c r="U241">
        <v>4.4825823099999997</v>
      </c>
      <c r="V241">
        <v>4.6565729940000002</v>
      </c>
      <c r="W241">
        <v>4.8366016399999996</v>
      </c>
      <c r="X241">
        <v>5.0428535349999999</v>
      </c>
      <c r="Y241">
        <v>5.0928270959999997</v>
      </c>
      <c r="Z241">
        <v>5.1230911770000001</v>
      </c>
      <c r="AA241">
        <v>5.1608643020000002</v>
      </c>
      <c r="AB241">
        <v>5.1754806279999999</v>
      </c>
      <c r="AC241">
        <v>5.1991575460000004</v>
      </c>
      <c r="AD241">
        <v>5.1580843449999998</v>
      </c>
      <c r="AE241">
        <v>5.118084853</v>
      </c>
      <c r="AF241">
        <v>5.0783945340000001</v>
      </c>
      <c r="AG241">
        <v>5.0389735289999997</v>
      </c>
      <c r="AH241">
        <v>5.0030438049999999</v>
      </c>
      <c r="AI241">
        <v>4.9650746029999997</v>
      </c>
      <c r="AJ241">
        <v>4.9254181109999999</v>
      </c>
      <c r="AK241">
        <v>4.8841054140000004</v>
      </c>
      <c r="AL241">
        <v>4.8425887449999996</v>
      </c>
      <c r="AM241">
        <v>4.8006569900000002</v>
      </c>
      <c r="AN241">
        <v>4.7559979419999996</v>
      </c>
      <c r="AO241">
        <v>4.7110084690000003</v>
      </c>
      <c r="AP241">
        <v>4.6654940720000004</v>
      </c>
      <c r="AQ241">
        <v>4.6186948770000003</v>
      </c>
      <c r="AR241">
        <v>4.5755378770000004</v>
      </c>
      <c r="AS241">
        <v>4.5412962969999997</v>
      </c>
      <c r="AT241">
        <v>4.5068346349999997</v>
      </c>
      <c r="AU241">
        <v>4.4720165930000002</v>
      </c>
      <c r="AV241">
        <v>4.4371872049999999</v>
      </c>
      <c r="AW241">
        <v>4.4039451420000004</v>
      </c>
    </row>
    <row r="242" spans="2:49" x14ac:dyDescent="0.25">
      <c r="B242" t="s">
        <v>313</v>
      </c>
      <c r="C242">
        <v>1.4169855567767899</v>
      </c>
      <c r="D242">
        <v>1.4397357182278101</v>
      </c>
      <c r="E242">
        <v>2.7801289140000001</v>
      </c>
      <c r="F242">
        <v>3.0837312790000002</v>
      </c>
      <c r="G242">
        <v>3.4056353110000002</v>
      </c>
      <c r="H242">
        <v>3.4650539980000001</v>
      </c>
      <c r="I242">
        <v>3.915645681</v>
      </c>
      <c r="J242">
        <v>4.1645491979999996</v>
      </c>
      <c r="K242">
        <v>4.3650389970000001</v>
      </c>
      <c r="L242">
        <v>4.5278265690000001</v>
      </c>
      <c r="M242">
        <v>4.7042507990000004</v>
      </c>
      <c r="N242">
        <v>4.8343282390000004</v>
      </c>
      <c r="O242">
        <v>4.4632455550000003</v>
      </c>
      <c r="P242">
        <v>4.2620633359999998</v>
      </c>
      <c r="Q242">
        <v>4.1056568899999997</v>
      </c>
      <c r="R242">
        <v>3.8423899920000002</v>
      </c>
      <c r="S242">
        <v>3.569377003</v>
      </c>
      <c r="T242">
        <v>3.6677612530000001</v>
      </c>
      <c r="U242">
        <v>3.7736582699999999</v>
      </c>
      <c r="V242">
        <v>3.8898737369999998</v>
      </c>
      <c r="W242">
        <v>4.0402608779999998</v>
      </c>
      <c r="X242">
        <v>4.2125536419999996</v>
      </c>
      <c r="Y242">
        <v>4.2542991150000002</v>
      </c>
      <c r="Z242">
        <v>4.2795802500000004</v>
      </c>
      <c r="AA242">
        <v>4.311134075</v>
      </c>
      <c r="AB242">
        <v>4.3233438399999997</v>
      </c>
      <c r="AC242">
        <v>4.3431223809999997</v>
      </c>
      <c r="AD242">
        <v>4.3088118350000002</v>
      </c>
      <c r="AE242">
        <v>4.2753982119999998</v>
      </c>
      <c r="AF242">
        <v>4.2422428569999999</v>
      </c>
      <c r="AG242">
        <v>4.2093124739999999</v>
      </c>
      <c r="AH242">
        <v>4.1792985370000002</v>
      </c>
      <c r="AI242">
        <v>4.1475809190000001</v>
      </c>
      <c r="AJ242">
        <v>4.1144538219999998</v>
      </c>
      <c r="AK242">
        <v>4.0799432119999999</v>
      </c>
      <c r="AL242">
        <v>4.0452622140000001</v>
      </c>
      <c r="AM242">
        <v>4.0102344729999997</v>
      </c>
      <c r="AN242">
        <v>3.9729284840000001</v>
      </c>
      <c r="AO242">
        <v>3.9353464749999998</v>
      </c>
      <c r="AP242">
        <v>3.8973259699999998</v>
      </c>
      <c r="AQ242">
        <v>3.8582322069999999</v>
      </c>
      <c r="AR242">
        <v>3.822180957</v>
      </c>
      <c r="AS242">
        <v>3.7935772120000002</v>
      </c>
      <c r="AT242">
        <v>3.7647896219999999</v>
      </c>
      <c r="AU242">
        <v>3.7357043299999999</v>
      </c>
      <c r="AV242">
        <v>3.7066095589999999</v>
      </c>
      <c r="AW242">
        <v>3.6788407630000002</v>
      </c>
    </row>
    <row r="243" spans="2:49" x14ac:dyDescent="0.25">
      <c r="B243" t="s">
        <v>314</v>
      </c>
      <c r="C243">
        <v>114.221490567207</v>
      </c>
      <c r="D243">
        <v>116.055353544252</v>
      </c>
      <c r="E243">
        <v>103.6846785</v>
      </c>
      <c r="F243">
        <v>108.3166131</v>
      </c>
      <c r="G243">
        <v>112.3264422</v>
      </c>
      <c r="H243">
        <v>106.99338059999999</v>
      </c>
      <c r="I243">
        <v>112.85490950000001</v>
      </c>
      <c r="J243">
        <v>114.7054852</v>
      </c>
      <c r="K243">
        <v>114.59975369999999</v>
      </c>
      <c r="L243">
        <v>113.0159893</v>
      </c>
      <c r="M243">
        <v>111.3464027</v>
      </c>
      <c r="N243">
        <v>108.23158429999999</v>
      </c>
      <c r="O243">
        <v>101.8171846</v>
      </c>
      <c r="P243">
        <v>99.200635790000007</v>
      </c>
      <c r="Q243">
        <v>97.646812460000007</v>
      </c>
      <c r="R243">
        <v>93.544277019999996</v>
      </c>
      <c r="S243">
        <v>89.132121889999894</v>
      </c>
      <c r="T243">
        <v>87.34968112</v>
      </c>
      <c r="U243">
        <v>85.758793760000003</v>
      </c>
      <c r="V243">
        <v>84.396164859999999</v>
      </c>
      <c r="W243">
        <v>87.659020889999894</v>
      </c>
      <c r="X243">
        <v>91.397149549999995</v>
      </c>
      <c r="Y243">
        <v>92.302875040000004</v>
      </c>
      <c r="Z243">
        <v>92.851384069999995</v>
      </c>
      <c r="AA243">
        <v>93.535987739999996</v>
      </c>
      <c r="AB243">
        <v>93.80089538</v>
      </c>
      <c r="AC243">
        <v>94.230018060000006</v>
      </c>
      <c r="AD243">
        <v>93.485603530000006</v>
      </c>
      <c r="AE243">
        <v>92.760649000000001</v>
      </c>
      <c r="AF243">
        <v>92.041297940000007</v>
      </c>
      <c r="AG243">
        <v>91.326827949999995</v>
      </c>
      <c r="AH243">
        <v>90.675634270000003</v>
      </c>
      <c r="AI243">
        <v>89.987476900000004</v>
      </c>
      <c r="AJ243">
        <v>89.268738929999998</v>
      </c>
      <c r="AK243">
        <v>88.519983740000001</v>
      </c>
      <c r="AL243">
        <v>87.767531750000003</v>
      </c>
      <c r="AM243">
        <v>87.007556690000001</v>
      </c>
      <c r="AN243">
        <v>86.198151920000001</v>
      </c>
      <c r="AO243">
        <v>85.382758499999994</v>
      </c>
      <c r="AP243">
        <v>84.557851319999997</v>
      </c>
      <c r="AQ243">
        <v>83.709658320000003</v>
      </c>
      <c r="AR243">
        <v>82.927476819999995</v>
      </c>
      <c r="AS243">
        <v>82.306879210000005</v>
      </c>
      <c r="AT243">
        <v>81.682292829999994</v>
      </c>
      <c r="AU243">
        <v>81.051247380000007</v>
      </c>
      <c r="AV243">
        <v>80.419996269999999</v>
      </c>
      <c r="AW243">
        <v>79.817514009999996</v>
      </c>
    </row>
    <row r="244" spans="2:49" x14ac:dyDescent="0.25">
      <c r="B244" t="s">
        <v>315</v>
      </c>
      <c r="C244">
        <v>1.2736350545564401</v>
      </c>
      <c r="D244">
        <v>1.2940836773262701</v>
      </c>
      <c r="E244">
        <v>1.4657924280000001</v>
      </c>
      <c r="F244">
        <v>1.5339597389999999</v>
      </c>
      <c r="G244">
        <v>1.5935679439999999</v>
      </c>
      <c r="H244">
        <v>1.5206317899999999</v>
      </c>
      <c r="I244">
        <v>1.606849658</v>
      </c>
      <c r="J244">
        <v>1.600212532</v>
      </c>
      <c r="K244">
        <v>1.566730886</v>
      </c>
      <c r="L244">
        <v>1.5144891359999999</v>
      </c>
      <c r="M244">
        <v>1.462960883</v>
      </c>
      <c r="N244">
        <v>1.394662061</v>
      </c>
      <c r="O244">
        <v>1.333907781</v>
      </c>
      <c r="P244">
        <v>1.3228170269999999</v>
      </c>
      <c r="Q244">
        <v>1.326969356</v>
      </c>
      <c r="R244">
        <v>1.2972589800000001</v>
      </c>
      <c r="S244">
        <v>1.2632782410000001</v>
      </c>
      <c r="T244">
        <v>1.38760489</v>
      </c>
      <c r="U244">
        <v>1.516877421</v>
      </c>
      <c r="V244">
        <v>1.652789192</v>
      </c>
      <c r="W244">
        <v>1.716687987</v>
      </c>
      <c r="X244">
        <v>1.7898943780000001</v>
      </c>
      <c r="Y244">
        <v>1.8076318339999999</v>
      </c>
      <c r="Z244">
        <v>1.818373671</v>
      </c>
      <c r="AA244">
        <v>1.831780744</v>
      </c>
      <c r="AB244">
        <v>1.8369686160000001</v>
      </c>
      <c r="AC244">
        <v>1.845372426</v>
      </c>
      <c r="AD244">
        <v>1.830794034</v>
      </c>
      <c r="AE244">
        <v>1.816596742</v>
      </c>
      <c r="AF244">
        <v>1.8025091870000001</v>
      </c>
      <c r="AG244">
        <v>1.788517221</v>
      </c>
      <c r="AH244">
        <v>1.775764439</v>
      </c>
      <c r="AI244">
        <v>1.762287771</v>
      </c>
      <c r="AJ244">
        <v>1.748212222</v>
      </c>
      <c r="AK244">
        <v>1.733548825</v>
      </c>
      <c r="AL244">
        <v>1.718813031</v>
      </c>
      <c r="AM244">
        <v>1.703929907</v>
      </c>
      <c r="AN244">
        <v>1.6880787669999999</v>
      </c>
      <c r="AO244">
        <v>1.672110346</v>
      </c>
      <c r="AP244">
        <v>1.6559556120000001</v>
      </c>
      <c r="AQ244" s="39">
        <v>1.639344854</v>
      </c>
      <c r="AR244" s="39">
        <v>1.624026846</v>
      </c>
      <c r="AS244" s="39">
        <v>1.6118732490000001</v>
      </c>
      <c r="AT244" s="39">
        <v>1.599641536</v>
      </c>
      <c r="AU244" s="39">
        <v>1.5872833310000001</v>
      </c>
      <c r="AV244" s="39">
        <v>1.574921099</v>
      </c>
      <c r="AW244" s="39">
        <v>1.563122267</v>
      </c>
    </row>
    <row r="245" spans="2:49" x14ac:dyDescent="0.25">
      <c r="B245" t="s">
        <v>316</v>
      </c>
      <c r="C245">
        <v>3.4574974609126801</v>
      </c>
      <c r="D245">
        <v>3.51300870100687</v>
      </c>
      <c r="E245">
        <v>3.1385469659999998</v>
      </c>
      <c r="F245">
        <v>3.2612013809999998</v>
      </c>
      <c r="G245">
        <v>3.3640114689999998</v>
      </c>
      <c r="H245">
        <v>3.187506333</v>
      </c>
      <c r="I245">
        <v>3.3447244309999999</v>
      </c>
      <c r="J245">
        <v>3.4643394829999998</v>
      </c>
      <c r="K245">
        <v>3.5324865000000001</v>
      </c>
      <c r="L245">
        <v>3.5603235660000001</v>
      </c>
      <c r="M245">
        <v>3.5892773299999998</v>
      </c>
      <c r="N245">
        <v>3.5738707110000001</v>
      </c>
      <c r="O245">
        <v>3.7561110480000002</v>
      </c>
      <c r="P245">
        <v>4.072568317</v>
      </c>
      <c r="Q245">
        <v>4.4474422799999997</v>
      </c>
      <c r="R245">
        <v>4.7155978489999999</v>
      </c>
      <c r="S245">
        <v>4.9643363569999996</v>
      </c>
      <c r="T245">
        <v>4.7125721169999997</v>
      </c>
      <c r="U245">
        <v>4.4711744409999996</v>
      </c>
      <c r="V245">
        <v>4.2409885349999996</v>
      </c>
      <c r="W245">
        <v>4.4049501920000003</v>
      </c>
      <c r="X245">
        <v>4.592794756</v>
      </c>
      <c r="Y245">
        <v>4.6383083340000004</v>
      </c>
      <c r="Z245">
        <v>4.6658714410000002</v>
      </c>
      <c r="AA245">
        <v>4.7002734339999996</v>
      </c>
      <c r="AB245">
        <v>4.7135852979999999</v>
      </c>
      <c r="AC245">
        <v>4.7351491259999996</v>
      </c>
      <c r="AD245">
        <v>4.6977415789999997</v>
      </c>
      <c r="AE245">
        <v>4.6613119159999998</v>
      </c>
      <c r="AF245">
        <v>4.6251638330000002</v>
      </c>
      <c r="AG245">
        <v>4.5892610280000001</v>
      </c>
      <c r="AH245">
        <v>4.5565379190000002</v>
      </c>
      <c r="AI245">
        <v>4.5219573479999999</v>
      </c>
      <c r="AJ245">
        <v>4.4858400730000003</v>
      </c>
      <c r="AK245">
        <v>4.4482144039999998</v>
      </c>
      <c r="AL245">
        <v>4.4104029669999996</v>
      </c>
      <c r="AM245">
        <v>4.372213489</v>
      </c>
      <c r="AN245">
        <v>4.3315401199999997</v>
      </c>
      <c r="AO245">
        <v>4.2905658149999999</v>
      </c>
      <c r="AP245">
        <v>4.2491134349999999</v>
      </c>
      <c r="AQ245">
        <v>4.2064909200000002</v>
      </c>
      <c r="AR245">
        <v>4.1671855469999999</v>
      </c>
      <c r="AS245">
        <v>4.1359999199999997</v>
      </c>
      <c r="AT245">
        <v>4.104613853</v>
      </c>
      <c r="AU245">
        <v>4.0729032109999999</v>
      </c>
      <c r="AV245">
        <v>4.041182236</v>
      </c>
      <c r="AW245">
        <v>4.0109069220000002</v>
      </c>
    </row>
    <row r="246" spans="2:49" x14ac:dyDescent="0.25">
      <c r="B246" t="s">
        <v>317</v>
      </c>
      <c r="C246">
        <v>5.0750954082325404</v>
      </c>
      <c r="D246">
        <v>5.1565777065978304</v>
      </c>
      <c r="E246">
        <v>4.6069232089999996</v>
      </c>
      <c r="F246">
        <v>4.4251166980000001</v>
      </c>
      <c r="G246">
        <v>4.2194283810000002</v>
      </c>
      <c r="H246">
        <v>3.6955524300000002</v>
      </c>
      <c r="I246">
        <v>3.584287314</v>
      </c>
      <c r="J246">
        <v>3.4991864989999999</v>
      </c>
      <c r="K246">
        <v>3.363120882</v>
      </c>
      <c r="L246">
        <v>3.19504111</v>
      </c>
      <c r="M246">
        <v>3.0361918769999998</v>
      </c>
      <c r="N246">
        <v>2.8497590119999998</v>
      </c>
      <c r="O246">
        <v>2.3702351209999999</v>
      </c>
      <c r="P246">
        <v>1.986256961</v>
      </c>
      <c r="Q246">
        <v>1.859735143</v>
      </c>
      <c r="R246">
        <v>1.8160311179999999</v>
      </c>
      <c r="S246">
        <v>1.7664383610000001</v>
      </c>
      <c r="T246">
        <v>1.758189008</v>
      </c>
      <c r="U246">
        <v>1.7535741419999999</v>
      </c>
      <c r="V246">
        <v>1.75353446</v>
      </c>
      <c r="W246">
        <v>1.8213281859999999</v>
      </c>
      <c r="X246">
        <v>1.8989968509999999</v>
      </c>
      <c r="Y246">
        <v>1.9178154890000001</v>
      </c>
      <c r="Z246">
        <v>1.92921209</v>
      </c>
      <c r="AA246">
        <v>1.943436387</v>
      </c>
      <c r="AB246">
        <v>1.9489404850000001</v>
      </c>
      <c r="AC246">
        <v>1.9578565459999999</v>
      </c>
      <c r="AD246">
        <v>1.9423895339999999</v>
      </c>
      <c r="AE246">
        <v>1.92732685</v>
      </c>
      <c r="AF246">
        <v>1.9123805920000001</v>
      </c>
      <c r="AG246">
        <v>1.897535749</v>
      </c>
      <c r="AH246">
        <v>1.884005626</v>
      </c>
      <c r="AI246">
        <v>1.8697074920000001</v>
      </c>
      <c r="AJ246">
        <v>1.854773972</v>
      </c>
      <c r="AK246">
        <v>1.8392167720000001</v>
      </c>
      <c r="AL246">
        <v>1.823582762</v>
      </c>
      <c r="AM246">
        <v>1.807792442</v>
      </c>
      <c r="AN246">
        <v>1.7909751</v>
      </c>
      <c r="AO246">
        <v>1.7740333290000001</v>
      </c>
      <c r="AP246">
        <v>1.7568938869999999</v>
      </c>
      <c r="AQ246">
        <v>1.7392706259999999</v>
      </c>
      <c r="AR246">
        <v>1.7230189140000001</v>
      </c>
      <c r="AS246">
        <v>1.710124497</v>
      </c>
      <c r="AT246">
        <v>1.697147204</v>
      </c>
      <c r="AU246">
        <v>1.684035709</v>
      </c>
      <c r="AV246">
        <v>1.6709199400000001</v>
      </c>
      <c r="AW246">
        <v>1.6584019139999999</v>
      </c>
    </row>
    <row r="247" spans="2:49" x14ac:dyDescent="0.25">
      <c r="B247" t="s">
        <v>318</v>
      </c>
      <c r="C247">
        <v>0.35516190417563898</v>
      </c>
      <c r="D247">
        <v>0.36086414342755202</v>
      </c>
      <c r="E247">
        <v>0.50773300079999995</v>
      </c>
      <c r="F247">
        <v>0.87309624330000002</v>
      </c>
      <c r="G247">
        <v>1.216610207</v>
      </c>
      <c r="H247">
        <v>1.4134331170000001</v>
      </c>
      <c r="I247">
        <v>1.7146940449999999</v>
      </c>
      <c r="J247">
        <v>1.997314531</v>
      </c>
      <c r="K247">
        <v>2.211966673</v>
      </c>
      <c r="L247">
        <v>2.347646949</v>
      </c>
      <c r="M247">
        <v>2.4171445</v>
      </c>
      <c r="N247">
        <v>2.3758845609999999</v>
      </c>
      <c r="O247">
        <v>2.5043835059999999</v>
      </c>
      <c r="P247">
        <v>2.7235743569999999</v>
      </c>
      <c r="Q247">
        <v>2.9834324209999998</v>
      </c>
      <c r="R247">
        <v>3.1732166450000001</v>
      </c>
      <c r="S247">
        <v>3.3511956839999999</v>
      </c>
      <c r="T247">
        <v>3.4809093930000001</v>
      </c>
      <c r="U247">
        <v>3.6168196940000001</v>
      </c>
      <c r="V247">
        <v>3.76185597</v>
      </c>
      <c r="W247">
        <v>3.9072937919999999</v>
      </c>
      <c r="X247">
        <v>4.0739163119999997</v>
      </c>
      <c r="Y247">
        <v>4.1142879189999997</v>
      </c>
      <c r="Z247">
        <v>4.1387370389999996</v>
      </c>
      <c r="AA247">
        <v>4.1692524110000004</v>
      </c>
      <c r="AB247">
        <v>4.1810603459999998</v>
      </c>
      <c r="AC247">
        <v>4.2001879659999997</v>
      </c>
      <c r="AD247">
        <v>4.1670065970000003</v>
      </c>
      <c r="AE247">
        <v>4.1346926340000003</v>
      </c>
      <c r="AF247">
        <v>4.1026284390000001</v>
      </c>
      <c r="AG247">
        <v>4.0707818119999999</v>
      </c>
      <c r="AH247">
        <v>4.0417556489999997</v>
      </c>
      <c r="AI247">
        <v>4.0110818750000004</v>
      </c>
      <c r="AJ247">
        <v>3.9790450079999999</v>
      </c>
      <c r="AK247">
        <v>3.9456701600000001</v>
      </c>
      <c r="AL247">
        <v>3.9121305309999999</v>
      </c>
      <c r="AM247">
        <v>3.878255571</v>
      </c>
      <c r="AN247">
        <v>3.8421773419999998</v>
      </c>
      <c r="AO247">
        <v>3.805832176</v>
      </c>
      <c r="AP247">
        <v>3.769062946</v>
      </c>
      <c r="AQ247">
        <v>3.7312557790000001</v>
      </c>
      <c r="AR247">
        <v>3.6963909940000002</v>
      </c>
      <c r="AS247">
        <v>3.6687286139999999</v>
      </c>
      <c r="AT247">
        <v>3.6408884389999998</v>
      </c>
      <c r="AU247">
        <v>3.6127603580000001</v>
      </c>
      <c r="AV247">
        <v>3.584623111</v>
      </c>
      <c r="AW247">
        <v>3.557768201</v>
      </c>
    </row>
    <row r="248" spans="2:49" x14ac:dyDescent="0.25">
      <c r="B248" t="s">
        <v>319</v>
      </c>
      <c r="C248">
        <v>7.99114284395189E-2</v>
      </c>
      <c r="D248">
        <v>8.1194432271199296E-2</v>
      </c>
      <c r="E248">
        <v>0.50773300079999995</v>
      </c>
      <c r="F248">
        <v>0.54423823179999997</v>
      </c>
      <c r="G248">
        <v>0.58586969919999998</v>
      </c>
      <c r="H248">
        <v>0.58733358769999999</v>
      </c>
      <c r="I248">
        <v>0.66243695290000004</v>
      </c>
      <c r="J248">
        <v>0.76100656720000004</v>
      </c>
      <c r="K248">
        <v>0.87543952810000003</v>
      </c>
      <c r="L248">
        <v>1.0135053469999999</v>
      </c>
      <c r="M248">
        <v>1.19514356</v>
      </c>
      <c r="N248">
        <v>1.4166029499999999</v>
      </c>
      <c r="O248">
        <v>1.458649541</v>
      </c>
      <c r="P248">
        <v>1.5538074180000001</v>
      </c>
      <c r="Q248">
        <v>1.670962265</v>
      </c>
      <c r="R248">
        <v>1.748126267</v>
      </c>
      <c r="S248">
        <v>1.8188717430000001</v>
      </c>
      <c r="T248">
        <v>1.8533494880000001</v>
      </c>
      <c r="U248">
        <v>1.8913821390000001</v>
      </c>
      <c r="V248">
        <v>1.9342766899999999</v>
      </c>
      <c r="W248">
        <v>2.0090581260000002</v>
      </c>
      <c r="X248">
        <v>2.0947323400000002</v>
      </c>
      <c r="Y248">
        <v>2.115490673</v>
      </c>
      <c r="Z248">
        <v>2.128061958</v>
      </c>
      <c r="AA248">
        <v>2.1437523970000001</v>
      </c>
      <c r="AB248">
        <v>2.1498238189999999</v>
      </c>
      <c r="AC248">
        <v>2.159658887</v>
      </c>
      <c r="AD248">
        <v>2.1425976410000001</v>
      </c>
      <c r="AE248">
        <v>2.1259823999999998</v>
      </c>
      <c r="AF248">
        <v>2.1094955849999999</v>
      </c>
      <c r="AG248">
        <v>2.0931206379999998</v>
      </c>
      <c r="AH248">
        <v>2.078195923</v>
      </c>
      <c r="AI248">
        <v>2.0624240359999999</v>
      </c>
      <c r="AJ248">
        <v>2.0459512719999999</v>
      </c>
      <c r="AK248">
        <v>2.0287905429999999</v>
      </c>
      <c r="AL248">
        <v>2.011545087</v>
      </c>
      <c r="AM248">
        <v>1.99412721</v>
      </c>
      <c r="AN248">
        <v>1.975576453</v>
      </c>
      <c r="AO248">
        <v>1.956888441</v>
      </c>
      <c r="AP248">
        <v>1.9379823839999999</v>
      </c>
      <c r="AQ248">
        <v>1.918542639</v>
      </c>
      <c r="AR248">
        <v>1.9006158120000001</v>
      </c>
      <c r="AS248">
        <v>1.8863923279999999</v>
      </c>
      <c r="AT248">
        <v>1.8720774250000001</v>
      </c>
      <c r="AU248">
        <v>1.857614487</v>
      </c>
      <c r="AV248">
        <v>1.8431468360000001</v>
      </c>
      <c r="AW248">
        <v>1.829338538</v>
      </c>
    </row>
    <row r="249" spans="2:49" x14ac:dyDescent="0.25">
      <c r="B249" t="s">
        <v>320</v>
      </c>
      <c r="C249">
        <v>4.4799793836545803</v>
      </c>
      <c r="D249">
        <v>4.5519069017495504</v>
      </c>
      <c r="E249">
        <v>4.0667060099999999</v>
      </c>
      <c r="F249">
        <v>4.0198502420000004</v>
      </c>
      <c r="G249">
        <v>3.9440833099999999</v>
      </c>
      <c r="H249">
        <v>3.554152717</v>
      </c>
      <c r="I249">
        <v>3.5463676359999998</v>
      </c>
      <c r="J249">
        <v>3.4697651199999999</v>
      </c>
      <c r="K249">
        <v>3.3413432240000001</v>
      </c>
      <c r="L249">
        <v>3.1801489510000001</v>
      </c>
      <c r="M249">
        <v>3.0274902419999998</v>
      </c>
      <c r="N249">
        <v>2.8468841899999999</v>
      </c>
      <c r="O249">
        <v>3.0285406109999999</v>
      </c>
      <c r="P249">
        <v>3.3202813309999999</v>
      </c>
      <c r="Q249">
        <v>3.6632431510000001</v>
      </c>
      <c r="R249">
        <v>3.9214439319999999</v>
      </c>
      <c r="S249">
        <v>4.1656316799999997</v>
      </c>
      <c r="T249">
        <v>4.3201311660000004</v>
      </c>
      <c r="U249">
        <v>4.4825823099999997</v>
      </c>
      <c r="V249">
        <v>4.6565729940000002</v>
      </c>
      <c r="W249">
        <v>4.8366016399999996</v>
      </c>
      <c r="X249">
        <v>5.0428535349999999</v>
      </c>
      <c r="Y249">
        <v>5.0928270959999997</v>
      </c>
      <c r="Z249">
        <v>5.1230911770000001</v>
      </c>
      <c r="AA249">
        <v>5.1608643020000002</v>
      </c>
      <c r="AB249">
        <v>5.1754806279999999</v>
      </c>
      <c r="AC249">
        <v>5.1991575460000004</v>
      </c>
      <c r="AD249">
        <v>5.1580843449999998</v>
      </c>
      <c r="AE249">
        <v>5.118084853</v>
      </c>
      <c r="AF249">
        <v>5.0783945340000001</v>
      </c>
      <c r="AG249">
        <v>5.0389735289999997</v>
      </c>
      <c r="AH249">
        <v>5.0030438049999999</v>
      </c>
      <c r="AI249">
        <v>4.9650746029999997</v>
      </c>
      <c r="AJ249">
        <v>4.9254181109999999</v>
      </c>
      <c r="AK249">
        <v>4.8841054140000004</v>
      </c>
      <c r="AL249">
        <v>4.8425887449999996</v>
      </c>
      <c r="AM249">
        <v>4.8006569900000002</v>
      </c>
      <c r="AN249">
        <v>4.7559979419999996</v>
      </c>
      <c r="AO249">
        <v>4.7110084690000003</v>
      </c>
      <c r="AP249">
        <v>4.6654940720000004</v>
      </c>
      <c r="AQ249">
        <v>4.6186948770000003</v>
      </c>
      <c r="AR249">
        <v>4.5755378770000004</v>
      </c>
      <c r="AS249">
        <v>4.5412962969999997</v>
      </c>
      <c r="AT249">
        <v>4.5068346349999997</v>
      </c>
      <c r="AU249">
        <v>4.4720165930000002</v>
      </c>
      <c r="AV249">
        <v>4.4371872049999999</v>
      </c>
      <c r="AW249">
        <v>4.4039451420000004</v>
      </c>
    </row>
    <row r="250" spans="2:49" x14ac:dyDescent="0.25">
      <c r="B250" t="s">
        <v>321</v>
      </c>
      <c r="C250">
        <v>1.4169855567767899</v>
      </c>
      <c r="D250">
        <v>1.4397357182278101</v>
      </c>
      <c r="E250">
        <v>2.7801289140000001</v>
      </c>
      <c r="F250">
        <v>3.0837312790000002</v>
      </c>
      <c r="G250">
        <v>3.4056353110000002</v>
      </c>
      <c r="H250">
        <v>3.4650539980000001</v>
      </c>
      <c r="I250">
        <v>3.915645681</v>
      </c>
      <c r="J250">
        <v>4.1645491979999996</v>
      </c>
      <c r="K250">
        <v>4.3650389970000001</v>
      </c>
      <c r="L250">
        <v>4.5278265690000001</v>
      </c>
      <c r="M250">
        <v>4.7042507990000004</v>
      </c>
      <c r="N250">
        <v>4.8343282390000004</v>
      </c>
      <c r="O250">
        <v>4.4632455550000003</v>
      </c>
      <c r="P250">
        <v>4.2620633359999998</v>
      </c>
      <c r="Q250">
        <v>4.1056568899999997</v>
      </c>
      <c r="R250">
        <v>3.8423899920000002</v>
      </c>
      <c r="S250">
        <v>3.569377003</v>
      </c>
      <c r="T250">
        <v>3.6677612530000001</v>
      </c>
      <c r="U250">
        <v>3.7736582699999999</v>
      </c>
      <c r="V250">
        <v>3.8898737369999998</v>
      </c>
      <c r="W250">
        <v>4.0402608779999998</v>
      </c>
      <c r="X250">
        <v>4.2125536419999996</v>
      </c>
      <c r="Y250">
        <v>4.2542991150000002</v>
      </c>
      <c r="Z250">
        <v>4.2795802500000004</v>
      </c>
      <c r="AA250">
        <v>4.311134075</v>
      </c>
      <c r="AB250">
        <v>4.3233438399999997</v>
      </c>
      <c r="AC250">
        <v>4.3431223809999997</v>
      </c>
      <c r="AD250">
        <v>4.3088118350000002</v>
      </c>
      <c r="AE250">
        <v>4.2753982119999998</v>
      </c>
      <c r="AF250">
        <v>4.2422428569999999</v>
      </c>
      <c r="AG250">
        <v>4.2093124739999999</v>
      </c>
      <c r="AH250">
        <v>4.1792985370000002</v>
      </c>
      <c r="AI250">
        <v>4.1475809190000001</v>
      </c>
      <c r="AJ250">
        <v>4.1144538219999998</v>
      </c>
      <c r="AK250">
        <v>4.0799432119999999</v>
      </c>
      <c r="AL250">
        <v>4.0452622140000001</v>
      </c>
      <c r="AM250">
        <v>4.0102344729999997</v>
      </c>
      <c r="AN250">
        <v>3.9729284840000001</v>
      </c>
      <c r="AO250">
        <v>3.9353464749999998</v>
      </c>
      <c r="AP250">
        <v>3.8973259699999998</v>
      </c>
      <c r="AQ250">
        <v>3.8582322069999999</v>
      </c>
      <c r="AR250">
        <v>3.822180957</v>
      </c>
      <c r="AS250">
        <v>3.7935772120000002</v>
      </c>
      <c r="AT250">
        <v>3.7647896219999999</v>
      </c>
      <c r="AU250">
        <v>3.7357043299999999</v>
      </c>
      <c r="AV250">
        <v>3.7066095589999999</v>
      </c>
      <c r="AW250">
        <v>3.6788407630000002</v>
      </c>
    </row>
    <row r="251" spans="2:49" x14ac:dyDescent="0.25">
      <c r="B251" t="s">
        <v>322</v>
      </c>
      <c r="C251">
        <v>34.067295461021303</v>
      </c>
      <c r="D251">
        <v>34.614256909026899</v>
      </c>
      <c r="E251">
        <v>30.46956342</v>
      </c>
      <c r="F251">
        <v>30.30751369</v>
      </c>
      <c r="G251">
        <v>29.110681750000001</v>
      </c>
      <c r="H251">
        <v>27.524409510000002</v>
      </c>
      <c r="I251">
        <v>27.737784699999999</v>
      </c>
      <c r="J251">
        <v>27.319254709999999</v>
      </c>
      <c r="K251">
        <v>25.974855510000001</v>
      </c>
      <c r="L251">
        <v>25.112085239999999</v>
      </c>
      <c r="M251">
        <v>24.85737095</v>
      </c>
      <c r="N251">
        <v>24.946001389999999</v>
      </c>
      <c r="O251">
        <v>25.36147012</v>
      </c>
      <c r="P251">
        <v>25.37080649</v>
      </c>
      <c r="Q251">
        <v>24.341407220000001</v>
      </c>
      <c r="R251">
        <v>23.661015160000002</v>
      </c>
      <c r="S251">
        <v>23.143983729999999</v>
      </c>
      <c r="T251">
        <v>22.026426019999999</v>
      </c>
      <c r="U251">
        <v>21.04082786</v>
      </c>
      <c r="V251">
        <v>20.098121949999999</v>
      </c>
      <c r="W251">
        <v>20.022705469999998</v>
      </c>
      <c r="X251">
        <v>19.81023862</v>
      </c>
      <c r="Y251">
        <v>19.585582899999999</v>
      </c>
      <c r="Z251">
        <v>19.402899210000001</v>
      </c>
      <c r="AA251">
        <v>19.108476719999999</v>
      </c>
      <c r="AB251">
        <v>18.80843862</v>
      </c>
      <c r="AC251">
        <v>18.491024150000001</v>
      </c>
      <c r="AD251">
        <v>18.20133714</v>
      </c>
      <c r="AE251">
        <v>17.87262402</v>
      </c>
      <c r="AF251">
        <v>17.546973449999999</v>
      </c>
      <c r="AG251">
        <v>17.195593200000001</v>
      </c>
      <c r="AH251">
        <v>16.83509055</v>
      </c>
      <c r="AI251">
        <v>16.444593279999999</v>
      </c>
      <c r="AJ251">
        <v>16.05344281</v>
      </c>
      <c r="AK251">
        <v>15.657082600000001</v>
      </c>
      <c r="AL251">
        <v>15.25956942</v>
      </c>
      <c r="AM251">
        <v>14.86176998</v>
      </c>
      <c r="AN251">
        <v>14.4012463</v>
      </c>
      <c r="AO251">
        <v>13.946549600000001</v>
      </c>
      <c r="AP251">
        <v>13.490105160000001</v>
      </c>
      <c r="AQ251">
        <v>13.03776315</v>
      </c>
      <c r="AR251">
        <v>12.580510650000001</v>
      </c>
      <c r="AS251">
        <v>12.13220755</v>
      </c>
      <c r="AT251">
        <v>11.685761169999999</v>
      </c>
      <c r="AU251">
        <v>11.239120339999999</v>
      </c>
      <c r="AV251">
        <v>10.7929847</v>
      </c>
      <c r="AW251">
        <v>10.35087251</v>
      </c>
    </row>
    <row r="252" spans="2:49" x14ac:dyDescent="0.25">
      <c r="B252" t="s">
        <v>323</v>
      </c>
      <c r="C252">
        <v>1.54983431156195</v>
      </c>
      <c r="D252">
        <v>1.57471740274219</v>
      </c>
      <c r="E252">
        <v>1.3861615430000001</v>
      </c>
      <c r="F252">
        <v>2.2617018280000001</v>
      </c>
      <c r="G252">
        <v>3.0163235180000001</v>
      </c>
      <c r="H252">
        <v>3.6369272910000001</v>
      </c>
      <c r="I252">
        <v>4.4307721170000001</v>
      </c>
      <c r="J252">
        <v>5.0695969349999999</v>
      </c>
      <c r="K252">
        <v>5.42917703</v>
      </c>
      <c r="L252">
        <v>5.7516384809999996</v>
      </c>
      <c r="M252">
        <v>6.0716003629999999</v>
      </c>
      <c r="N252">
        <v>6.3077829899999998</v>
      </c>
      <c r="O252">
        <v>6.5301359090000002</v>
      </c>
      <c r="P252">
        <v>6.6511476280000004</v>
      </c>
      <c r="Q252">
        <v>6.4963086729999997</v>
      </c>
      <c r="R252">
        <v>6.4277458059999999</v>
      </c>
      <c r="S252">
        <v>6.3990423270000001</v>
      </c>
      <c r="T252">
        <v>6.5185723820000003</v>
      </c>
      <c r="U252">
        <v>6.6835131939999997</v>
      </c>
      <c r="V252">
        <v>6.87366806</v>
      </c>
      <c r="W252">
        <v>7.3447362050000002</v>
      </c>
      <c r="X252">
        <v>7.771687461</v>
      </c>
      <c r="Y252">
        <v>8.199897043</v>
      </c>
      <c r="Z252">
        <v>8.6532194750000002</v>
      </c>
      <c r="AA252">
        <v>9.0613669819999902</v>
      </c>
      <c r="AB252">
        <v>9.4714261860000004</v>
      </c>
      <c r="AC252">
        <v>9.8770035529999998</v>
      </c>
      <c r="AD252">
        <v>10.30272785</v>
      </c>
      <c r="AE252">
        <v>10.71071532</v>
      </c>
      <c r="AF252">
        <v>11.12513837</v>
      </c>
      <c r="AG252">
        <v>11.527081190000001</v>
      </c>
      <c r="AH252">
        <v>11.926568899999999</v>
      </c>
      <c r="AI252">
        <v>12.30741997</v>
      </c>
      <c r="AJ252">
        <v>12.690443289999999</v>
      </c>
      <c r="AK252">
        <v>13.071892030000001</v>
      </c>
      <c r="AL252">
        <v>13.45498843</v>
      </c>
      <c r="AM252">
        <v>13.84055442</v>
      </c>
      <c r="AN252">
        <v>14.16728193</v>
      </c>
      <c r="AO252">
        <v>14.49933665</v>
      </c>
      <c r="AP252">
        <v>14.82900573</v>
      </c>
      <c r="AQ252">
        <v>15.162827679999999</v>
      </c>
      <c r="AR252">
        <v>15.49022707</v>
      </c>
      <c r="AS252">
        <v>15.828512099999999</v>
      </c>
      <c r="AT252">
        <v>16.169254209999998</v>
      </c>
      <c r="AU252">
        <v>16.509734460000001</v>
      </c>
      <c r="AV252">
        <v>16.850988709999999</v>
      </c>
      <c r="AW252">
        <v>17.19893922</v>
      </c>
    </row>
    <row r="253" spans="2:49" x14ac:dyDescent="0.25">
      <c r="B253" t="s">
        <v>324</v>
      </c>
      <c r="C253">
        <v>0.19372928894524399</v>
      </c>
      <c r="D253">
        <v>0.196839675342774</v>
      </c>
      <c r="E253">
        <v>0.41865197459999998</v>
      </c>
      <c r="F253">
        <v>0.42930691970000001</v>
      </c>
      <c r="G253">
        <v>0.42510931480000003</v>
      </c>
      <c r="H253">
        <v>0.41437822089999998</v>
      </c>
      <c r="I253">
        <v>0.43050812249999998</v>
      </c>
      <c r="J253">
        <v>0.43651106589999999</v>
      </c>
      <c r="K253">
        <v>0.42723465579999997</v>
      </c>
      <c r="L253">
        <v>0.4251593293</v>
      </c>
      <c r="M253">
        <v>0.43315859919999999</v>
      </c>
      <c r="N253">
        <v>0.44738474630000002</v>
      </c>
      <c r="O253">
        <v>0.51267342999999999</v>
      </c>
      <c r="P253">
        <v>0.57138981430000002</v>
      </c>
      <c r="Q253">
        <v>0.60500923470000001</v>
      </c>
      <c r="R253">
        <v>0.64395370789999995</v>
      </c>
      <c r="S253">
        <v>0.68515223270000003</v>
      </c>
      <c r="T253">
        <v>0.87824339659999995</v>
      </c>
      <c r="U253">
        <v>1.0801222100000001</v>
      </c>
      <c r="V253">
        <v>1.290497016</v>
      </c>
      <c r="W253">
        <v>1.3663765240000001</v>
      </c>
      <c r="X253">
        <v>1.4339036540000001</v>
      </c>
      <c r="Y253">
        <v>1.501529828</v>
      </c>
      <c r="Z253">
        <v>1.573598837</v>
      </c>
      <c r="AA253">
        <v>1.6373624250000001</v>
      </c>
      <c r="AB253">
        <v>1.701388041</v>
      </c>
      <c r="AC253">
        <v>1.7645352780000001</v>
      </c>
      <c r="AD253">
        <v>1.831195406</v>
      </c>
      <c r="AE253">
        <v>1.894636507</v>
      </c>
      <c r="AF253">
        <v>1.9591496370000001</v>
      </c>
      <c r="AG253">
        <v>2.0214127140000002</v>
      </c>
      <c r="AH253">
        <v>2.0831980510000001</v>
      </c>
      <c r="AI253">
        <v>2.1416962640000001</v>
      </c>
      <c r="AJ253">
        <v>2.2005417409999999</v>
      </c>
      <c r="AK253">
        <v>2.259086361</v>
      </c>
      <c r="AL253">
        <v>2.3178886969999999</v>
      </c>
      <c r="AM253">
        <v>2.3770897770000001</v>
      </c>
      <c r="AN253">
        <v>2.4261893969999999</v>
      </c>
      <c r="AO253">
        <v>2.4762048760000002</v>
      </c>
      <c r="AP253">
        <v>2.5258176649999999</v>
      </c>
      <c r="AQ253">
        <v>2.5761406149999999</v>
      </c>
      <c r="AR253">
        <v>2.6253776740000001</v>
      </c>
      <c r="AS253">
        <v>2.6764606340000001</v>
      </c>
      <c r="AT253">
        <v>2.7279588370000001</v>
      </c>
      <c r="AU253">
        <v>2.7794128150000001</v>
      </c>
      <c r="AV253">
        <v>2.830996909</v>
      </c>
      <c r="AW253">
        <v>2.883703691</v>
      </c>
    </row>
    <row r="254" spans="2:49" x14ac:dyDescent="0.25">
      <c r="B254" t="s">
        <v>325</v>
      </c>
      <c r="C254">
        <v>0.71679836909740502</v>
      </c>
      <c r="D254">
        <v>0.72830679876826598</v>
      </c>
      <c r="E254">
        <v>0.64109971359999995</v>
      </c>
      <c r="F254">
        <v>0.63718127150000003</v>
      </c>
      <c r="G254">
        <v>0.61153090440000002</v>
      </c>
      <c r="H254">
        <v>0.57774658150000002</v>
      </c>
      <c r="I254">
        <v>0.58176084429999997</v>
      </c>
      <c r="J254">
        <v>0.57918815739999996</v>
      </c>
      <c r="K254">
        <v>0.55698196089999996</v>
      </c>
      <c r="L254">
        <v>0.55367512330000002</v>
      </c>
      <c r="M254">
        <v>0.572647609</v>
      </c>
      <c r="N254">
        <v>0.60086852550000003</v>
      </c>
      <c r="O254">
        <v>0.82882371300000002</v>
      </c>
      <c r="P254">
        <v>1.034053922</v>
      </c>
      <c r="Q254">
        <v>1.175905661</v>
      </c>
      <c r="R254">
        <v>1.3090325300000001</v>
      </c>
      <c r="S254">
        <v>1.4301714889999999</v>
      </c>
      <c r="T254">
        <v>1.465159549</v>
      </c>
      <c r="U254">
        <v>1.5098171339999999</v>
      </c>
      <c r="V254">
        <v>1.559688086</v>
      </c>
      <c r="W254">
        <v>1.6073132290000001</v>
      </c>
      <c r="X254">
        <v>1.644599294</v>
      </c>
      <c r="Y254">
        <v>1.68152357</v>
      </c>
      <c r="Z254">
        <v>1.7228629470000001</v>
      </c>
      <c r="AA254">
        <v>1.7547819069999999</v>
      </c>
      <c r="AB254">
        <v>1.786677547</v>
      </c>
      <c r="AC254">
        <v>1.817381964</v>
      </c>
      <c r="AD254">
        <v>1.8513859109999999</v>
      </c>
      <c r="AE254">
        <v>1.881888821</v>
      </c>
      <c r="AF254">
        <v>1.9132093320000001</v>
      </c>
      <c r="AG254">
        <v>1.9421369850000001</v>
      </c>
      <c r="AH254">
        <v>1.970428259</v>
      </c>
      <c r="AI254">
        <v>1.9954900719999999</v>
      </c>
      <c r="AJ254">
        <v>2.0207590409999998</v>
      </c>
      <c r="AK254">
        <v>2.045646015</v>
      </c>
      <c r="AL254">
        <v>2.070663294</v>
      </c>
      <c r="AM254">
        <v>2.095934701</v>
      </c>
      <c r="AN254">
        <v>2.1123145289999998</v>
      </c>
      <c r="AO254">
        <v>2.1295054320000002</v>
      </c>
      <c r="AP254">
        <v>2.14636827</v>
      </c>
      <c r="AQ254">
        <v>2.163845437</v>
      </c>
      <c r="AR254">
        <v>2.1804310230000001</v>
      </c>
      <c r="AS254">
        <v>2.1985533159999999</v>
      </c>
      <c r="AT254">
        <v>2.217015811</v>
      </c>
      <c r="AU254">
        <v>2.235442189</v>
      </c>
      <c r="AV254">
        <v>2.253972482</v>
      </c>
      <c r="AW254">
        <v>2.2733876309999999</v>
      </c>
    </row>
    <row r="255" spans="2:49" x14ac:dyDescent="0.25">
      <c r="B255" t="s">
        <v>326</v>
      </c>
      <c r="C255">
        <v>0.19372928894524399</v>
      </c>
      <c r="D255">
        <v>0.196839675342774</v>
      </c>
      <c r="E255">
        <v>0.41865197459999998</v>
      </c>
      <c r="F255">
        <v>0.42930691970000001</v>
      </c>
      <c r="G255">
        <v>0.42510931480000003</v>
      </c>
      <c r="H255">
        <v>0.41437822089999998</v>
      </c>
      <c r="I255">
        <v>0.43050812249999998</v>
      </c>
      <c r="J255">
        <v>0.43651106589999999</v>
      </c>
      <c r="K255">
        <v>0.42723465579999997</v>
      </c>
      <c r="L255">
        <v>0.4251593293</v>
      </c>
      <c r="M255">
        <v>0.43315859919999999</v>
      </c>
      <c r="N255">
        <v>0.44738474630000002</v>
      </c>
      <c r="O255">
        <v>0.48716004670000002</v>
      </c>
      <c r="P255">
        <v>0.52004596830000005</v>
      </c>
      <c r="Q255">
        <v>0.53068521000000002</v>
      </c>
      <c r="R255">
        <v>0.5470586771</v>
      </c>
      <c r="S255">
        <v>0.56598142890000003</v>
      </c>
      <c r="T255">
        <v>0.62057937839999999</v>
      </c>
      <c r="U255">
        <v>0.68015237289999997</v>
      </c>
      <c r="V255">
        <v>0.74337089469999995</v>
      </c>
      <c r="W255">
        <v>0.80016341160000004</v>
      </c>
      <c r="X255">
        <v>0.85221721669999995</v>
      </c>
      <c r="Y255">
        <v>0.90447097750000005</v>
      </c>
      <c r="Z255">
        <v>0.95956724780000002</v>
      </c>
      <c r="AA255">
        <v>1.0096960479999999</v>
      </c>
      <c r="AB255">
        <v>1.060076697</v>
      </c>
      <c r="AC255">
        <v>1.1099898399999999</v>
      </c>
      <c r="AD255">
        <v>1.1622073310000001</v>
      </c>
      <c r="AE255">
        <v>1.212454964</v>
      </c>
      <c r="AF255">
        <v>1.2634620029999999</v>
      </c>
      <c r="AG255">
        <v>1.3130760180000001</v>
      </c>
      <c r="AH255">
        <v>1.362432343</v>
      </c>
      <c r="AI255">
        <v>1.4096745550000001</v>
      </c>
      <c r="AJ255">
        <v>1.457179885</v>
      </c>
      <c r="AK255">
        <v>1.504517366</v>
      </c>
      <c r="AL255">
        <v>1.55205707</v>
      </c>
      <c r="AM255">
        <v>1.599894071</v>
      </c>
      <c r="AN255">
        <v>1.640927826</v>
      </c>
      <c r="AO255">
        <v>1.682576947</v>
      </c>
      <c r="AP255">
        <v>1.723947025</v>
      </c>
      <c r="AQ255">
        <v>1.765798588</v>
      </c>
      <c r="AR255">
        <v>1.806899746</v>
      </c>
      <c r="AS255">
        <v>1.84927025</v>
      </c>
      <c r="AT255">
        <v>1.891927927</v>
      </c>
      <c r="AU255">
        <v>1.9345549849999999</v>
      </c>
      <c r="AV255">
        <v>1.977272825</v>
      </c>
      <c r="AW255">
        <v>2.020777464</v>
      </c>
    </row>
    <row r="256" spans="2:49" x14ac:dyDescent="0.25">
      <c r="B256" t="s">
        <v>327</v>
      </c>
      <c r="C256">
        <v>0.38745857789048899</v>
      </c>
      <c r="D256">
        <v>0.39367935068554899</v>
      </c>
      <c r="E256">
        <v>0.41865197459999998</v>
      </c>
      <c r="F256">
        <v>0.52786231279999996</v>
      </c>
      <c r="G256">
        <v>0.64735887719999996</v>
      </c>
      <c r="H256">
        <v>0.78622837940000001</v>
      </c>
      <c r="I256">
        <v>1.022807003</v>
      </c>
      <c r="J256">
        <v>1.3038365439999999</v>
      </c>
      <c r="K256">
        <v>1.6096398380000001</v>
      </c>
      <c r="L256">
        <v>2.0257588979999999</v>
      </c>
      <c r="M256">
        <v>2.6155742829999999</v>
      </c>
      <c r="N256">
        <v>3.4293315390000001</v>
      </c>
      <c r="O256">
        <v>3.2788382550000001</v>
      </c>
      <c r="P256">
        <v>3.0698764459999999</v>
      </c>
      <c r="Q256">
        <v>2.7412615329999999</v>
      </c>
      <c r="R256">
        <v>2.4639043190000001</v>
      </c>
      <c r="S256">
        <v>2.2113576429999999</v>
      </c>
      <c r="T256">
        <v>2.6250361139999998</v>
      </c>
      <c r="U256">
        <v>3.0625150219999999</v>
      </c>
      <c r="V256">
        <v>3.520678808</v>
      </c>
      <c r="W256">
        <v>3.5956817320000001</v>
      </c>
      <c r="X256">
        <v>3.6471660689999998</v>
      </c>
      <c r="Y256">
        <v>3.697478748</v>
      </c>
      <c r="Z256">
        <v>3.7570538930000001</v>
      </c>
      <c r="AA256">
        <v>3.795819614</v>
      </c>
      <c r="AB256">
        <v>3.8342820130000002</v>
      </c>
      <c r="AC256">
        <v>3.8699599029999998</v>
      </c>
      <c r="AD256">
        <v>3.912388247</v>
      </c>
      <c r="AE256">
        <v>3.9472008550000002</v>
      </c>
      <c r="AF256">
        <v>3.9835065740000002</v>
      </c>
      <c r="AG256">
        <v>4.0146516569999999</v>
      </c>
      <c r="AH256">
        <v>4.0443167579999999</v>
      </c>
      <c r="AI256">
        <v>4.0672400590000004</v>
      </c>
      <c r="AJ256">
        <v>4.0904742650000001</v>
      </c>
      <c r="AK256">
        <v>4.1128326409999998</v>
      </c>
      <c r="AL256">
        <v>4.1353515850000004</v>
      </c>
      <c r="AM256">
        <v>4.1582762210000004</v>
      </c>
      <c r="AN256">
        <v>4.163575486</v>
      </c>
      <c r="AO256">
        <v>4.1704874759999999</v>
      </c>
      <c r="AP256">
        <v>4.1767758800000001</v>
      </c>
      <c r="AQ256">
        <v>4.1842711330000002</v>
      </c>
      <c r="AR256">
        <v>4.1900640830000002</v>
      </c>
      <c r="AS256">
        <v>4.1988139919999998</v>
      </c>
      <c r="AT256">
        <v>4.2082126469999999</v>
      </c>
      <c r="AU256">
        <v>4.2175425559999997</v>
      </c>
      <c r="AV256">
        <v>4.2270677030000003</v>
      </c>
      <c r="AW256">
        <v>4.2382422210000001</v>
      </c>
    </row>
    <row r="257" spans="2:49" x14ac:dyDescent="0.25">
      <c r="B257" t="s">
        <v>328</v>
      </c>
      <c r="C257">
        <v>34.067295461021303</v>
      </c>
      <c r="D257">
        <v>34.614256909026899</v>
      </c>
      <c r="E257">
        <v>30.46956342</v>
      </c>
      <c r="F257">
        <v>30.30751369</v>
      </c>
      <c r="G257">
        <v>29.110681750000001</v>
      </c>
      <c r="H257">
        <v>27.524409510000002</v>
      </c>
      <c r="I257">
        <v>27.737784699999999</v>
      </c>
      <c r="J257">
        <v>27.319254709999999</v>
      </c>
      <c r="K257">
        <v>25.974855510000001</v>
      </c>
      <c r="L257">
        <v>25.112085239999999</v>
      </c>
      <c r="M257">
        <v>24.85737095</v>
      </c>
      <c r="N257">
        <v>24.946001389999999</v>
      </c>
      <c r="O257">
        <v>25.36147012</v>
      </c>
      <c r="P257">
        <v>25.37080649</v>
      </c>
      <c r="Q257">
        <v>24.341407220000001</v>
      </c>
      <c r="R257">
        <v>23.661015160000002</v>
      </c>
      <c r="S257">
        <v>23.143983729999999</v>
      </c>
      <c r="T257">
        <v>22.026426019999999</v>
      </c>
      <c r="U257">
        <v>21.04082786</v>
      </c>
      <c r="V257">
        <v>20.098121949999999</v>
      </c>
      <c r="W257">
        <v>20.022705469999998</v>
      </c>
      <c r="X257">
        <v>19.81023862</v>
      </c>
      <c r="Y257">
        <v>19.585582899999999</v>
      </c>
      <c r="Z257">
        <v>19.402899210000001</v>
      </c>
      <c r="AA257">
        <v>19.108476719999999</v>
      </c>
      <c r="AB257">
        <v>18.80843862</v>
      </c>
      <c r="AC257">
        <v>18.491024150000001</v>
      </c>
      <c r="AD257">
        <v>18.20133714</v>
      </c>
      <c r="AE257">
        <v>17.87262402</v>
      </c>
      <c r="AF257">
        <v>17.546973449999999</v>
      </c>
      <c r="AG257">
        <v>17.195593200000001</v>
      </c>
      <c r="AH257">
        <v>16.83509055</v>
      </c>
      <c r="AI257">
        <v>16.444593279999999</v>
      </c>
      <c r="AJ257">
        <v>16.05344281</v>
      </c>
      <c r="AK257">
        <v>15.657082600000001</v>
      </c>
      <c r="AL257">
        <v>15.25956942</v>
      </c>
      <c r="AM257">
        <v>14.86176998</v>
      </c>
      <c r="AN257">
        <v>14.4012463</v>
      </c>
      <c r="AO257">
        <v>13.946549600000001</v>
      </c>
      <c r="AP257">
        <v>13.490105160000001</v>
      </c>
      <c r="AQ257">
        <v>13.03776315</v>
      </c>
      <c r="AR257">
        <v>12.580510650000001</v>
      </c>
      <c r="AS257">
        <v>12.13220755</v>
      </c>
      <c r="AT257">
        <v>11.685761169999999</v>
      </c>
      <c r="AU257">
        <v>11.239120339999999</v>
      </c>
      <c r="AV257">
        <v>10.7929847</v>
      </c>
      <c r="AW257">
        <v>10.35087251</v>
      </c>
    </row>
    <row r="258" spans="2:49" x14ac:dyDescent="0.25">
      <c r="B258" t="s">
        <v>329</v>
      </c>
      <c r="C258">
        <v>1.54983431156195</v>
      </c>
      <c r="D258">
        <v>1.57471740274219</v>
      </c>
      <c r="E258">
        <v>1.3861615430000001</v>
      </c>
      <c r="F258">
        <v>2.2617018280000001</v>
      </c>
      <c r="G258">
        <v>3.0163235180000001</v>
      </c>
      <c r="H258">
        <v>3.6369272910000001</v>
      </c>
      <c r="I258">
        <v>4.4307721170000001</v>
      </c>
      <c r="J258">
        <v>5.0695969349999999</v>
      </c>
      <c r="K258">
        <v>5.42917703</v>
      </c>
      <c r="L258">
        <v>5.7516384809999996</v>
      </c>
      <c r="M258">
        <v>6.0716003629999999</v>
      </c>
      <c r="N258">
        <v>6.3077829899999998</v>
      </c>
      <c r="O258">
        <v>6.5301359090000002</v>
      </c>
      <c r="P258">
        <v>6.6511476280000004</v>
      </c>
      <c r="Q258">
        <v>6.4963086729999997</v>
      </c>
      <c r="R258">
        <v>6.4277458059999999</v>
      </c>
      <c r="S258">
        <v>6.3990423270000001</v>
      </c>
      <c r="T258">
        <v>6.5185723820000003</v>
      </c>
      <c r="U258">
        <v>6.6835131939999997</v>
      </c>
      <c r="V258">
        <v>6.87366806</v>
      </c>
      <c r="W258">
        <v>7.3447362050000002</v>
      </c>
      <c r="X258">
        <v>7.771687461</v>
      </c>
      <c r="Y258">
        <v>8.199897043</v>
      </c>
      <c r="Z258">
        <v>8.6532194750000002</v>
      </c>
      <c r="AA258">
        <v>9.0613669819999902</v>
      </c>
      <c r="AB258">
        <v>9.4714261860000004</v>
      </c>
      <c r="AC258">
        <v>9.8770035529999998</v>
      </c>
      <c r="AD258">
        <v>10.30272785</v>
      </c>
      <c r="AE258">
        <v>10.71071532</v>
      </c>
      <c r="AF258">
        <v>11.12513837</v>
      </c>
      <c r="AG258">
        <v>11.527081190000001</v>
      </c>
      <c r="AH258">
        <v>11.926568899999999</v>
      </c>
      <c r="AI258">
        <v>12.30741997</v>
      </c>
      <c r="AJ258">
        <v>12.690443289999999</v>
      </c>
      <c r="AK258">
        <v>13.071892030000001</v>
      </c>
      <c r="AL258">
        <v>13.45498843</v>
      </c>
      <c r="AM258">
        <v>13.84055442</v>
      </c>
      <c r="AN258">
        <v>14.16728193</v>
      </c>
      <c r="AO258">
        <v>14.49933665</v>
      </c>
      <c r="AP258">
        <v>14.82900573</v>
      </c>
      <c r="AQ258">
        <v>15.162827679999999</v>
      </c>
      <c r="AR258">
        <v>15.49022707</v>
      </c>
      <c r="AS258">
        <v>15.828512099999999</v>
      </c>
      <c r="AT258">
        <v>16.169254209999998</v>
      </c>
      <c r="AU258">
        <v>16.509734460000001</v>
      </c>
      <c r="AV258">
        <v>16.850988709999999</v>
      </c>
      <c r="AW258">
        <v>17.19893922</v>
      </c>
    </row>
    <row r="259" spans="2:49" x14ac:dyDescent="0.25">
      <c r="B259" t="s">
        <v>330</v>
      </c>
      <c r="C259">
        <v>0.19372928894524399</v>
      </c>
      <c r="D259">
        <v>0.196839675342774</v>
      </c>
      <c r="E259">
        <v>0.41865197459999998</v>
      </c>
      <c r="F259">
        <v>0.42930691970000001</v>
      </c>
      <c r="G259">
        <v>0.42510931480000003</v>
      </c>
      <c r="H259">
        <v>0.41437822089999998</v>
      </c>
      <c r="I259">
        <v>0.43050812249999998</v>
      </c>
      <c r="J259">
        <v>0.43651106589999999</v>
      </c>
      <c r="K259">
        <v>0.42723465579999997</v>
      </c>
      <c r="L259">
        <v>0.4251593293</v>
      </c>
      <c r="M259">
        <v>0.43315859919999999</v>
      </c>
      <c r="N259">
        <v>0.44738474630000002</v>
      </c>
      <c r="O259">
        <v>0.51267342999999999</v>
      </c>
      <c r="P259">
        <v>0.57138981430000002</v>
      </c>
      <c r="Q259">
        <v>0.60500923470000001</v>
      </c>
      <c r="R259">
        <v>0.64395370789999995</v>
      </c>
      <c r="S259">
        <v>0.68515223270000003</v>
      </c>
      <c r="T259">
        <v>0.87824339659999995</v>
      </c>
      <c r="U259">
        <v>1.0801222100000001</v>
      </c>
      <c r="V259">
        <v>1.290497016</v>
      </c>
      <c r="W259">
        <v>1.3663765240000001</v>
      </c>
      <c r="X259">
        <v>1.4339036540000001</v>
      </c>
      <c r="Y259">
        <v>1.501529828</v>
      </c>
      <c r="Z259">
        <v>1.573598837</v>
      </c>
      <c r="AA259">
        <v>1.6373624250000001</v>
      </c>
      <c r="AB259">
        <v>1.701388041</v>
      </c>
      <c r="AC259">
        <v>1.7645352780000001</v>
      </c>
      <c r="AD259">
        <v>1.831195406</v>
      </c>
      <c r="AE259">
        <v>1.894636507</v>
      </c>
      <c r="AF259">
        <v>1.9591496370000001</v>
      </c>
      <c r="AG259">
        <v>2.0214127140000002</v>
      </c>
      <c r="AH259">
        <v>2.0831980510000001</v>
      </c>
      <c r="AI259">
        <v>2.1416962640000001</v>
      </c>
      <c r="AJ259">
        <v>2.2005417409999999</v>
      </c>
      <c r="AK259">
        <v>2.259086361</v>
      </c>
      <c r="AL259">
        <v>2.3178886969999999</v>
      </c>
      <c r="AM259">
        <v>2.3770897770000001</v>
      </c>
      <c r="AN259">
        <v>2.4261893969999999</v>
      </c>
      <c r="AO259">
        <v>2.4762048760000002</v>
      </c>
      <c r="AP259">
        <v>2.5258176649999999</v>
      </c>
      <c r="AQ259">
        <v>2.5761406149999999</v>
      </c>
      <c r="AR259">
        <v>2.6253776740000001</v>
      </c>
      <c r="AS259">
        <v>2.6764606340000001</v>
      </c>
      <c r="AT259">
        <v>2.7279588370000001</v>
      </c>
      <c r="AU259">
        <v>2.7794128150000001</v>
      </c>
      <c r="AV259">
        <v>2.830996909</v>
      </c>
      <c r="AW259">
        <v>2.883703691</v>
      </c>
    </row>
    <row r="260" spans="2:49" x14ac:dyDescent="0.25">
      <c r="B260" t="s">
        <v>331</v>
      </c>
      <c r="C260">
        <v>0.71679836909740502</v>
      </c>
      <c r="D260">
        <v>0.72830679876826598</v>
      </c>
      <c r="E260">
        <v>0.64109971359999995</v>
      </c>
      <c r="F260">
        <v>0.63718127150000003</v>
      </c>
      <c r="G260">
        <v>0.61153090440000002</v>
      </c>
      <c r="H260">
        <v>0.57774658150000002</v>
      </c>
      <c r="I260">
        <v>0.58176084429999997</v>
      </c>
      <c r="J260">
        <v>0.57918815739999996</v>
      </c>
      <c r="K260">
        <v>0.55698196089999996</v>
      </c>
      <c r="L260">
        <v>0.55367512330000002</v>
      </c>
      <c r="M260">
        <v>0.572647609</v>
      </c>
      <c r="N260">
        <v>0.60086852550000003</v>
      </c>
      <c r="O260">
        <v>0.82882371300000002</v>
      </c>
      <c r="P260">
        <v>1.034053922</v>
      </c>
      <c r="Q260">
        <v>1.175905661</v>
      </c>
      <c r="R260">
        <v>1.3090325300000001</v>
      </c>
      <c r="S260">
        <v>1.4301714889999999</v>
      </c>
      <c r="T260">
        <v>1.465159549</v>
      </c>
      <c r="U260">
        <v>1.5098171339999999</v>
      </c>
      <c r="V260">
        <v>1.559688086</v>
      </c>
      <c r="W260">
        <v>1.6073132290000001</v>
      </c>
      <c r="X260">
        <v>1.644599294</v>
      </c>
      <c r="Y260">
        <v>1.68152357</v>
      </c>
      <c r="Z260">
        <v>1.7228629470000001</v>
      </c>
      <c r="AA260">
        <v>1.7547819069999999</v>
      </c>
      <c r="AB260">
        <v>1.786677547</v>
      </c>
      <c r="AC260">
        <v>1.817381964</v>
      </c>
      <c r="AD260">
        <v>1.8513859109999999</v>
      </c>
      <c r="AE260">
        <v>1.881888821</v>
      </c>
      <c r="AF260">
        <v>1.9132093320000001</v>
      </c>
      <c r="AG260">
        <v>1.9421369850000001</v>
      </c>
      <c r="AH260">
        <v>1.970428259</v>
      </c>
      <c r="AI260">
        <v>1.9954900719999999</v>
      </c>
      <c r="AJ260">
        <v>2.0207590409999998</v>
      </c>
      <c r="AK260">
        <v>2.045646015</v>
      </c>
      <c r="AL260">
        <v>2.070663294</v>
      </c>
      <c r="AM260">
        <v>2.095934701</v>
      </c>
      <c r="AN260">
        <v>2.1123145289999998</v>
      </c>
      <c r="AO260">
        <v>2.1295054320000002</v>
      </c>
      <c r="AP260">
        <v>2.14636827</v>
      </c>
      <c r="AQ260">
        <v>2.163845437</v>
      </c>
      <c r="AR260">
        <v>2.1804310230000001</v>
      </c>
      <c r="AS260">
        <v>2.1985533159999999</v>
      </c>
      <c r="AT260">
        <v>2.217015811</v>
      </c>
      <c r="AU260">
        <v>2.235442189</v>
      </c>
      <c r="AV260">
        <v>2.253972482</v>
      </c>
      <c r="AW260">
        <v>2.2733876309999999</v>
      </c>
    </row>
    <row r="261" spans="2:49" x14ac:dyDescent="0.25">
      <c r="B261" t="s">
        <v>332</v>
      </c>
      <c r="C261">
        <v>0.19372928894524399</v>
      </c>
      <c r="D261">
        <v>0.196839675342774</v>
      </c>
      <c r="E261">
        <v>0.41865197459999998</v>
      </c>
      <c r="F261">
        <v>0.42930691970000001</v>
      </c>
      <c r="G261">
        <v>0.42510931480000003</v>
      </c>
      <c r="H261">
        <v>0.41437822089999998</v>
      </c>
      <c r="I261">
        <v>0.43050812249999998</v>
      </c>
      <c r="J261">
        <v>0.43651106589999999</v>
      </c>
      <c r="K261">
        <v>0.42723465579999997</v>
      </c>
      <c r="L261">
        <v>0.4251593293</v>
      </c>
      <c r="M261">
        <v>0.43315859919999999</v>
      </c>
      <c r="N261">
        <v>0.44738474630000002</v>
      </c>
      <c r="O261">
        <v>0.48716004670000002</v>
      </c>
      <c r="P261">
        <v>0.52004596830000005</v>
      </c>
      <c r="Q261">
        <v>0.53068521000000002</v>
      </c>
      <c r="R261">
        <v>0.5470586771</v>
      </c>
      <c r="S261">
        <v>0.56598142890000003</v>
      </c>
      <c r="T261">
        <v>0.62057937839999999</v>
      </c>
      <c r="U261">
        <v>0.68015237289999997</v>
      </c>
      <c r="V261">
        <v>0.74337089469999995</v>
      </c>
      <c r="W261">
        <v>0.80016341160000004</v>
      </c>
      <c r="X261">
        <v>0.85221721669999995</v>
      </c>
      <c r="Y261">
        <v>0.90447097750000005</v>
      </c>
      <c r="Z261">
        <v>0.95956724780000002</v>
      </c>
      <c r="AA261">
        <v>1.0096960479999999</v>
      </c>
      <c r="AB261">
        <v>1.060076697</v>
      </c>
      <c r="AC261">
        <v>1.1099898399999999</v>
      </c>
      <c r="AD261">
        <v>1.1622073310000001</v>
      </c>
      <c r="AE261">
        <v>1.212454964</v>
      </c>
      <c r="AF261">
        <v>1.2634620029999999</v>
      </c>
      <c r="AG261">
        <v>1.3130760180000001</v>
      </c>
      <c r="AH261">
        <v>1.362432343</v>
      </c>
      <c r="AI261">
        <v>1.4096745550000001</v>
      </c>
      <c r="AJ261">
        <v>1.457179885</v>
      </c>
      <c r="AK261">
        <v>1.504517366</v>
      </c>
      <c r="AL261">
        <v>1.55205707</v>
      </c>
      <c r="AM261">
        <v>1.599894071</v>
      </c>
      <c r="AN261">
        <v>1.640927826</v>
      </c>
      <c r="AO261">
        <v>1.682576947</v>
      </c>
      <c r="AP261">
        <v>1.723947025</v>
      </c>
      <c r="AQ261">
        <v>1.765798588</v>
      </c>
      <c r="AR261">
        <v>1.806899746</v>
      </c>
      <c r="AS261">
        <v>1.84927025</v>
      </c>
      <c r="AT261">
        <v>1.891927927</v>
      </c>
      <c r="AU261">
        <v>1.9345549849999999</v>
      </c>
      <c r="AV261">
        <v>1.977272825</v>
      </c>
      <c r="AW261">
        <v>2.020777464</v>
      </c>
    </row>
    <row r="262" spans="2:49" x14ac:dyDescent="0.25">
      <c r="B262" t="s">
        <v>333</v>
      </c>
      <c r="C262">
        <v>0.38745857789048899</v>
      </c>
      <c r="D262">
        <v>0.39367935068554899</v>
      </c>
      <c r="E262">
        <v>0.41865197459999998</v>
      </c>
      <c r="F262">
        <v>0.52786231279999996</v>
      </c>
      <c r="G262">
        <v>0.64735887719999996</v>
      </c>
      <c r="H262">
        <v>0.78622837940000001</v>
      </c>
      <c r="I262">
        <v>1.022807003</v>
      </c>
      <c r="J262">
        <v>1.3038365439999999</v>
      </c>
      <c r="K262">
        <v>1.6096398380000001</v>
      </c>
      <c r="L262">
        <v>2.0257588979999999</v>
      </c>
      <c r="M262">
        <v>2.6155742829999999</v>
      </c>
      <c r="N262">
        <v>3.4293315390000001</v>
      </c>
      <c r="O262">
        <v>3.2788382550000001</v>
      </c>
      <c r="P262">
        <v>3.0698764459999999</v>
      </c>
      <c r="Q262">
        <v>2.7412615329999999</v>
      </c>
      <c r="R262">
        <v>2.4639043190000001</v>
      </c>
      <c r="S262">
        <v>2.2113576429999999</v>
      </c>
      <c r="T262">
        <v>2.6250361139999998</v>
      </c>
      <c r="U262">
        <v>3.0625150219999999</v>
      </c>
      <c r="V262">
        <v>3.520678808</v>
      </c>
      <c r="W262">
        <v>3.5956817320000001</v>
      </c>
      <c r="X262">
        <v>3.6471660689999998</v>
      </c>
      <c r="Y262">
        <v>3.697478748</v>
      </c>
      <c r="Z262">
        <v>3.7570538930000001</v>
      </c>
      <c r="AA262">
        <v>3.795819614</v>
      </c>
      <c r="AB262">
        <v>3.8342820130000002</v>
      </c>
      <c r="AC262">
        <v>3.8699599029999998</v>
      </c>
      <c r="AD262">
        <v>3.912388247</v>
      </c>
      <c r="AE262">
        <v>3.9472008550000002</v>
      </c>
      <c r="AF262">
        <v>3.9835065740000002</v>
      </c>
      <c r="AG262">
        <v>4.0146516569999999</v>
      </c>
      <c r="AH262">
        <v>4.0443167579999999</v>
      </c>
      <c r="AI262">
        <v>4.0672400590000004</v>
      </c>
      <c r="AJ262">
        <v>4.0904742650000001</v>
      </c>
      <c r="AK262">
        <v>4.1128326409999998</v>
      </c>
      <c r="AL262">
        <v>4.1353515850000004</v>
      </c>
      <c r="AM262">
        <v>4.1582762210000004</v>
      </c>
      <c r="AN262">
        <v>4.163575486</v>
      </c>
      <c r="AO262">
        <v>4.1704874759999999</v>
      </c>
      <c r="AP262">
        <v>4.1767758800000001</v>
      </c>
      <c r="AQ262">
        <v>4.1842711330000002</v>
      </c>
      <c r="AR262">
        <v>4.1900640830000002</v>
      </c>
      <c r="AS262">
        <v>4.1988139919999998</v>
      </c>
      <c r="AT262">
        <v>4.2082126469999999</v>
      </c>
      <c r="AU262">
        <v>4.2175425559999997</v>
      </c>
      <c r="AV262">
        <v>4.2270677030000003</v>
      </c>
      <c r="AW262">
        <v>4.2382422210000001</v>
      </c>
    </row>
    <row r="263" spans="2:49" x14ac:dyDescent="0.25">
      <c r="B263" t="s">
        <v>334</v>
      </c>
      <c r="C263">
        <v>1.1905732046364299</v>
      </c>
      <c r="D263">
        <v>1.2096882425386799</v>
      </c>
      <c r="E263">
        <v>1.233563127</v>
      </c>
      <c r="F263">
        <v>1.2401228550000001</v>
      </c>
      <c r="G263">
        <v>1.1450377439999999</v>
      </c>
      <c r="H263">
        <v>0.9285584268</v>
      </c>
      <c r="I263">
        <v>1.0166488979999999</v>
      </c>
      <c r="J263">
        <v>1.040623759</v>
      </c>
      <c r="K263">
        <v>0.98416757779999997</v>
      </c>
      <c r="L263">
        <v>0.98224479129999998</v>
      </c>
      <c r="M263">
        <v>0.98915833330000003</v>
      </c>
      <c r="N263">
        <v>0.99899176540000001</v>
      </c>
      <c r="O263">
        <v>0.94524905889999999</v>
      </c>
      <c r="P263">
        <v>0.96197320490000005</v>
      </c>
      <c r="Q263">
        <v>0.94320268949999997</v>
      </c>
      <c r="R263">
        <v>0.89539677080000002</v>
      </c>
      <c r="S263">
        <v>0.86361226710000005</v>
      </c>
      <c r="T263">
        <v>0.86701324349999997</v>
      </c>
      <c r="U263">
        <v>0.87243580880000005</v>
      </c>
      <c r="V263">
        <v>0.88712185860000004</v>
      </c>
      <c r="W263">
        <v>0.88303673000000005</v>
      </c>
      <c r="X263">
        <v>0.86975475980000005</v>
      </c>
      <c r="Y263">
        <v>0.86510001130000003</v>
      </c>
      <c r="Z263">
        <v>0.86278988099999998</v>
      </c>
      <c r="AA263">
        <v>0.86014431250000001</v>
      </c>
      <c r="AB263">
        <v>0.85675443610000002</v>
      </c>
      <c r="AC263">
        <v>0.85142439839999995</v>
      </c>
      <c r="AD263">
        <v>0.85885283199999995</v>
      </c>
      <c r="AE263">
        <v>0.86411219829999997</v>
      </c>
      <c r="AF263">
        <v>0.86973791639999998</v>
      </c>
      <c r="AG263">
        <v>0.87575403169999999</v>
      </c>
      <c r="AH263">
        <v>0.8809030538</v>
      </c>
      <c r="AI263">
        <v>0.88985922470000001</v>
      </c>
      <c r="AJ263">
        <v>0.89796079439999998</v>
      </c>
      <c r="AK263">
        <v>0.90576778469999997</v>
      </c>
      <c r="AL263">
        <v>0.91362046190000001</v>
      </c>
      <c r="AM263" s="39">
        <v>0.92143063300000005</v>
      </c>
      <c r="AN263" s="39">
        <v>0.92665622849999996</v>
      </c>
      <c r="AO263" s="39">
        <v>0.93291598639999995</v>
      </c>
      <c r="AP263" s="39">
        <v>0.93903050079999995</v>
      </c>
      <c r="AQ263" s="39">
        <v>0.9451971334</v>
      </c>
      <c r="AR263" s="39">
        <v>0.95014003300000005</v>
      </c>
      <c r="AS263" s="39">
        <v>0.95793614890000001</v>
      </c>
      <c r="AT263" s="39">
        <v>0.96520507040000003</v>
      </c>
      <c r="AU263" s="39">
        <v>0.97235539630000001</v>
      </c>
      <c r="AV263">
        <v>0.97960400390000002</v>
      </c>
      <c r="AW263">
        <v>0.98754864249999996</v>
      </c>
    </row>
    <row r="264" spans="2:49" x14ac:dyDescent="0.25">
      <c r="B264" t="s">
        <v>335</v>
      </c>
      <c r="C264">
        <v>1.7112081308179601</v>
      </c>
      <c r="D264">
        <v>1.7386821308642</v>
      </c>
      <c r="E264">
        <v>1.7705559070000001</v>
      </c>
      <c r="F264">
        <v>1.792242173</v>
      </c>
      <c r="G264">
        <v>1.809625837</v>
      </c>
      <c r="H264">
        <v>1.70243758</v>
      </c>
      <c r="I264">
        <v>1.7792910639999999</v>
      </c>
      <c r="J264">
        <v>1.8086715250000001</v>
      </c>
      <c r="K264">
        <v>1.787724307</v>
      </c>
      <c r="L264">
        <v>1.7986002560000001</v>
      </c>
      <c r="M264">
        <v>1.816336959</v>
      </c>
      <c r="N264">
        <v>1.8927321319999999</v>
      </c>
      <c r="O264">
        <v>1.8930177560000001</v>
      </c>
      <c r="P264">
        <v>1.8987424770000001</v>
      </c>
      <c r="Q264">
        <v>1.8729726950000001</v>
      </c>
      <c r="R264">
        <v>1.891912104</v>
      </c>
      <c r="S264">
        <v>1.8762786469999999</v>
      </c>
      <c r="T264">
        <v>1.8844785559999999</v>
      </c>
      <c r="U264">
        <v>1.916383094</v>
      </c>
      <c r="V264">
        <v>1.957863626</v>
      </c>
      <c r="W264">
        <v>1.992979931</v>
      </c>
      <c r="X264">
        <v>2.0235726110000001</v>
      </c>
      <c r="Y264">
        <v>2.049836687</v>
      </c>
      <c r="Z264">
        <v>2.0772603890000001</v>
      </c>
      <c r="AA264">
        <v>2.1022189880000002</v>
      </c>
      <c r="AB264">
        <v>2.125465401</v>
      </c>
      <c r="AC264">
        <v>2.1477268930000002</v>
      </c>
      <c r="AD264">
        <v>2.168414367</v>
      </c>
      <c r="AE264">
        <v>2.188575572</v>
      </c>
      <c r="AF264">
        <v>2.2111677840000001</v>
      </c>
      <c r="AG264">
        <v>2.232428665</v>
      </c>
      <c r="AH264">
        <v>2.2547637190000001</v>
      </c>
      <c r="AI264">
        <v>2.279592547</v>
      </c>
      <c r="AJ264">
        <v>2.306468524</v>
      </c>
      <c r="AK264">
        <v>2.3340052569999998</v>
      </c>
      <c r="AL264">
        <v>2.3627814599999999</v>
      </c>
      <c r="AM264">
        <v>2.3922776909999999</v>
      </c>
      <c r="AN264">
        <v>2.422833094</v>
      </c>
      <c r="AO264">
        <v>2.454495375</v>
      </c>
      <c r="AP264">
        <v>2.4858787360000001</v>
      </c>
      <c r="AQ264">
        <v>2.517480199</v>
      </c>
      <c r="AR264">
        <v>2.5490906990000002</v>
      </c>
      <c r="AS264">
        <v>2.580244161</v>
      </c>
      <c r="AT264">
        <v>2.6117621529999999</v>
      </c>
      <c r="AU264">
        <v>2.6439825670000001</v>
      </c>
      <c r="AV264">
        <v>2.677153734</v>
      </c>
      <c r="AW264">
        <v>2.710946737</v>
      </c>
    </row>
    <row r="265" spans="2:49" x14ac:dyDescent="0.25">
      <c r="B265" t="s">
        <v>336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</row>
    <row r="266" spans="2:49" x14ac:dyDescent="0.25">
      <c r="B266" t="s">
        <v>337</v>
      </c>
      <c r="C266">
        <v>1.5692072404564801</v>
      </c>
      <c r="D266">
        <v>1.5944013702764701</v>
      </c>
      <c r="E266">
        <v>1.6275232150000001</v>
      </c>
      <c r="F266">
        <v>1.651518204</v>
      </c>
      <c r="G266">
        <v>1.675849071</v>
      </c>
      <c r="H266">
        <v>1.5597405689999999</v>
      </c>
      <c r="I266">
        <v>1.648657091</v>
      </c>
      <c r="J266">
        <v>1.701571994</v>
      </c>
      <c r="K266">
        <v>1.6926117140000001</v>
      </c>
      <c r="L266">
        <v>1.7030512739999999</v>
      </c>
      <c r="M266">
        <v>1.7202221660000001</v>
      </c>
      <c r="N266">
        <v>1.7681220660000001</v>
      </c>
      <c r="O266">
        <v>1.8246650870000001</v>
      </c>
      <c r="P266">
        <v>1.915815346</v>
      </c>
      <c r="Q266">
        <v>1.9674798440000001</v>
      </c>
      <c r="R266">
        <v>2.0583189530000001</v>
      </c>
      <c r="S266">
        <v>2.1026682569999999</v>
      </c>
      <c r="T266">
        <v>2.1117290660000001</v>
      </c>
      <c r="U266">
        <v>2.1388606550000002</v>
      </c>
      <c r="V266">
        <v>2.1736646529999999</v>
      </c>
      <c r="W266">
        <v>2.2186612719999999</v>
      </c>
      <c r="X266">
        <v>2.2496033049999999</v>
      </c>
      <c r="Y266">
        <v>2.270173684</v>
      </c>
      <c r="Z266">
        <v>2.2951700599999998</v>
      </c>
      <c r="AA266">
        <v>2.3144867439999999</v>
      </c>
      <c r="AB266">
        <v>2.3311518310000001</v>
      </c>
      <c r="AC266">
        <v>2.3460516760000001</v>
      </c>
      <c r="AD266">
        <v>2.3592367759999999</v>
      </c>
      <c r="AE266">
        <v>2.3712982729999998</v>
      </c>
      <c r="AF266">
        <v>2.386877213</v>
      </c>
      <c r="AG266">
        <v>2.3999554170000001</v>
      </c>
      <c r="AH266">
        <v>2.413943594</v>
      </c>
      <c r="AI266">
        <v>2.427498741</v>
      </c>
      <c r="AJ266">
        <v>2.4429563249999999</v>
      </c>
      <c r="AK266">
        <v>2.4590969380000001</v>
      </c>
      <c r="AL266">
        <v>2.4766370609999999</v>
      </c>
      <c r="AM266">
        <v>2.4952695770000002</v>
      </c>
      <c r="AN266">
        <v>2.5175337519999998</v>
      </c>
      <c r="AO266">
        <v>2.5423677100000002</v>
      </c>
      <c r="AP266">
        <v>2.5673274749999999</v>
      </c>
      <c r="AQ266">
        <v>2.592772895</v>
      </c>
      <c r="AR266">
        <v>2.6183275629999998</v>
      </c>
      <c r="AS266">
        <v>2.644376185</v>
      </c>
      <c r="AT266">
        <v>2.6714234270000001</v>
      </c>
      <c r="AU266" s="39">
        <v>2.699351499</v>
      </c>
      <c r="AV266">
        <v>2.728341382</v>
      </c>
      <c r="AW266">
        <v>2.7579178369999999</v>
      </c>
    </row>
    <row r="267" spans="2:49" x14ac:dyDescent="0.25">
      <c r="B267" t="s">
        <v>338</v>
      </c>
      <c r="C267">
        <v>0.99151022292981705</v>
      </c>
      <c r="D267">
        <v>0.99151022292981705</v>
      </c>
      <c r="E267">
        <v>0.98738657799999996</v>
      </c>
      <c r="F267">
        <v>0.98343459509999998</v>
      </c>
      <c r="G267">
        <v>0.9795290378</v>
      </c>
      <c r="H267">
        <v>0.97559417989999997</v>
      </c>
      <c r="I267">
        <v>0.97173454780000001</v>
      </c>
      <c r="J267">
        <v>0.96789140210000002</v>
      </c>
      <c r="K267">
        <v>0.96405033669999995</v>
      </c>
      <c r="L267">
        <v>0.96023832220000005</v>
      </c>
      <c r="M267">
        <v>0.95642617789999995</v>
      </c>
      <c r="N267">
        <v>0.95266201630000003</v>
      </c>
      <c r="O267">
        <v>0.95199984910000002</v>
      </c>
      <c r="P267">
        <v>0.95131421819999995</v>
      </c>
      <c r="Q267">
        <v>0.95057867139999996</v>
      </c>
      <c r="R267">
        <v>0.94980793480000003</v>
      </c>
      <c r="S267">
        <v>0.94894739679999995</v>
      </c>
      <c r="T267">
        <v>0.94650346110000005</v>
      </c>
      <c r="U267">
        <v>0.94416952659999998</v>
      </c>
      <c r="V267">
        <v>0.94192088299999999</v>
      </c>
      <c r="W267">
        <v>0.94199096490000001</v>
      </c>
      <c r="X267">
        <v>0.94207496970000004</v>
      </c>
      <c r="Y267">
        <v>0.94214435220000003</v>
      </c>
      <c r="Z267">
        <v>0.94220605530000001</v>
      </c>
      <c r="AA267">
        <v>0.94226697280000005</v>
      </c>
      <c r="AB267">
        <v>0.94232720459999997</v>
      </c>
      <c r="AC267">
        <v>0.94239404790000003</v>
      </c>
      <c r="AD267">
        <v>0.94245757200000002</v>
      </c>
      <c r="AE267">
        <v>0.94251891600000004</v>
      </c>
      <c r="AF267">
        <v>0.94258421660000002</v>
      </c>
      <c r="AG267">
        <v>0.94264962480000003</v>
      </c>
      <c r="AH267">
        <v>0.94271735550000002</v>
      </c>
      <c r="AI267">
        <v>0.94278569189999994</v>
      </c>
      <c r="AJ267">
        <v>0.94285696730000002</v>
      </c>
      <c r="AK267">
        <v>0.94293072359999996</v>
      </c>
      <c r="AL267">
        <v>0.94300694080000003</v>
      </c>
      <c r="AM267">
        <v>0.94308520110000005</v>
      </c>
      <c r="AN267">
        <v>0.94316838729999997</v>
      </c>
      <c r="AO267">
        <v>0.94325551590000001</v>
      </c>
      <c r="AP267">
        <v>0.94334539260000005</v>
      </c>
      <c r="AQ267">
        <v>0.94343772029999995</v>
      </c>
      <c r="AR267">
        <v>0.94353572590000001</v>
      </c>
      <c r="AS267">
        <v>0.94362365469999998</v>
      </c>
      <c r="AT267">
        <v>0.94371282519999999</v>
      </c>
      <c r="AU267">
        <v>0.94380428429999996</v>
      </c>
      <c r="AV267">
        <v>0.94389803480000001</v>
      </c>
      <c r="AW267">
        <v>0.94399197840000004</v>
      </c>
    </row>
    <row r="268" spans="2:49" x14ac:dyDescent="0.25">
      <c r="B268" t="s">
        <v>339</v>
      </c>
      <c r="C268">
        <v>8.4897770701825997E-3</v>
      </c>
      <c r="D268">
        <v>8.4897770701825997E-3</v>
      </c>
      <c r="E268">
        <v>1.2613421999999999E-2</v>
      </c>
      <c r="F268">
        <v>1.65654049E-2</v>
      </c>
      <c r="G268">
        <v>2.0470962200000001E-2</v>
      </c>
      <c r="H268">
        <v>2.44058201E-2</v>
      </c>
      <c r="I268">
        <v>2.8265452199999999E-2</v>
      </c>
      <c r="J268">
        <v>3.2108597900000001E-2</v>
      </c>
      <c r="K268">
        <v>3.5949663299999997E-2</v>
      </c>
      <c r="L268">
        <v>3.9761677799999999E-2</v>
      </c>
      <c r="M268">
        <v>4.35738221E-2</v>
      </c>
      <c r="N268">
        <v>4.7337983700000003E-2</v>
      </c>
      <c r="O268">
        <v>4.8000150900000003E-2</v>
      </c>
      <c r="P268">
        <v>4.8685781800000001E-2</v>
      </c>
      <c r="Q268">
        <v>4.9421328600000002E-2</v>
      </c>
      <c r="R268">
        <v>5.0192065199999997E-2</v>
      </c>
      <c r="S268">
        <v>5.1052603199999998E-2</v>
      </c>
      <c r="T268">
        <v>5.3496538900000001E-2</v>
      </c>
      <c r="U268">
        <v>5.5830473399999997E-2</v>
      </c>
      <c r="V268">
        <v>5.8079117E-2</v>
      </c>
      <c r="W268">
        <v>5.8009035100000002E-2</v>
      </c>
      <c r="X268">
        <v>5.7925030299999999E-2</v>
      </c>
      <c r="Y268">
        <v>5.78556478E-2</v>
      </c>
      <c r="Z268">
        <v>5.7793944700000002E-2</v>
      </c>
      <c r="AA268">
        <v>5.7733027200000002E-2</v>
      </c>
      <c r="AB268">
        <v>5.7672795399999997E-2</v>
      </c>
      <c r="AC268">
        <v>5.7605952100000003E-2</v>
      </c>
      <c r="AD268">
        <v>5.7542428E-2</v>
      </c>
      <c r="AE268">
        <v>5.7481084000000002E-2</v>
      </c>
      <c r="AF268">
        <v>5.7415783400000003E-2</v>
      </c>
      <c r="AG268">
        <v>5.7350375199999998E-2</v>
      </c>
      <c r="AH268">
        <v>5.72826445E-2</v>
      </c>
      <c r="AI268">
        <v>5.72143081E-2</v>
      </c>
      <c r="AJ268">
        <v>5.7143032699999999E-2</v>
      </c>
      <c r="AK268">
        <v>5.7069276400000001E-2</v>
      </c>
      <c r="AL268">
        <v>5.6993059200000001E-2</v>
      </c>
      <c r="AM268">
        <v>5.6914798900000001E-2</v>
      </c>
      <c r="AN268">
        <v>5.6831612699999999E-2</v>
      </c>
      <c r="AO268">
        <v>5.6744484099999999E-2</v>
      </c>
      <c r="AP268">
        <v>5.6654607400000001E-2</v>
      </c>
      <c r="AQ268">
        <v>5.6562279700000002E-2</v>
      </c>
      <c r="AR268">
        <v>5.6464274100000003E-2</v>
      </c>
      <c r="AS268">
        <v>5.6376345299999998E-2</v>
      </c>
      <c r="AT268">
        <v>5.6287174799999999E-2</v>
      </c>
      <c r="AU268">
        <v>5.6195715700000003E-2</v>
      </c>
      <c r="AV268">
        <v>5.6101965199999999E-2</v>
      </c>
      <c r="AW268">
        <v>5.6008021599999999E-2</v>
      </c>
    </row>
    <row r="269" spans="2:49" x14ac:dyDescent="0.25">
      <c r="B269" t="s">
        <v>340</v>
      </c>
      <c r="C269">
        <v>0.79896379760487002</v>
      </c>
      <c r="D269">
        <v>0.79896379760486902</v>
      </c>
      <c r="E269">
        <v>0.77900597940000005</v>
      </c>
      <c r="F269">
        <v>0.776059363</v>
      </c>
      <c r="G269">
        <v>0.77314800520000004</v>
      </c>
      <c r="H269">
        <v>0.77027023289999996</v>
      </c>
      <c r="I269">
        <v>0.76742447530000002</v>
      </c>
      <c r="J269">
        <v>0.76460925729999996</v>
      </c>
      <c r="K269">
        <v>0.76182319359999995</v>
      </c>
      <c r="L269">
        <v>0.7590649827</v>
      </c>
      <c r="M269">
        <v>0.75633340130000004</v>
      </c>
      <c r="N269">
        <v>0.75362729979999998</v>
      </c>
      <c r="O269">
        <v>0.73840889539999999</v>
      </c>
      <c r="P269">
        <v>0.72265938789999995</v>
      </c>
      <c r="Q269">
        <v>0.70517890100000002</v>
      </c>
      <c r="R269">
        <v>0.68650004990000002</v>
      </c>
      <c r="S269">
        <v>0.66723666879999999</v>
      </c>
      <c r="T269">
        <v>0.6586233239</v>
      </c>
      <c r="U269">
        <v>0.64996032790000002</v>
      </c>
      <c r="V269">
        <v>0.64124725019999995</v>
      </c>
      <c r="W269">
        <v>0.64124725019999995</v>
      </c>
      <c r="X269">
        <v>0.64124725019999995</v>
      </c>
      <c r="Y269">
        <v>0.64124725019999995</v>
      </c>
      <c r="Z269">
        <v>0.64124725019999995</v>
      </c>
      <c r="AA269">
        <v>0.64124725019999995</v>
      </c>
      <c r="AB269">
        <v>0.64124725019999995</v>
      </c>
      <c r="AC269">
        <v>0.64124725019999995</v>
      </c>
      <c r="AD269">
        <v>0.64124725019999995</v>
      </c>
      <c r="AE269">
        <v>0.64124725019999995</v>
      </c>
      <c r="AF269">
        <v>0.64124725019999995</v>
      </c>
      <c r="AG269">
        <v>0.64124725019999995</v>
      </c>
      <c r="AH269">
        <v>0.64124725019999995</v>
      </c>
      <c r="AI269">
        <v>0.64124725019999995</v>
      </c>
      <c r="AJ269">
        <v>0.64124725019999995</v>
      </c>
      <c r="AK269">
        <v>0.64124725019999995</v>
      </c>
      <c r="AL269">
        <v>0.64124725019999995</v>
      </c>
      <c r="AM269">
        <v>0.64124725019999995</v>
      </c>
      <c r="AN269">
        <v>0.64124725019999995</v>
      </c>
      <c r="AO269">
        <v>0.64124725019999995</v>
      </c>
      <c r="AP269">
        <v>0.64124725019999995</v>
      </c>
      <c r="AQ269">
        <v>0.64124725019999995</v>
      </c>
      <c r="AR269">
        <v>0.64124725019999995</v>
      </c>
      <c r="AS269">
        <v>0.64124725019999995</v>
      </c>
      <c r="AT269">
        <v>0.64124725019999995</v>
      </c>
      <c r="AU269">
        <v>0.64124725019999995</v>
      </c>
      <c r="AV269">
        <v>0.64124725019999995</v>
      </c>
      <c r="AW269">
        <v>0.64124725019999995</v>
      </c>
    </row>
    <row r="270" spans="2:49" x14ac:dyDescent="0.25">
      <c r="B270" t="s">
        <v>341</v>
      </c>
      <c r="C270">
        <v>1.02537481030392E-2</v>
      </c>
      <c r="D270">
        <v>1.02537481030392E-2</v>
      </c>
      <c r="E270">
        <v>1.2675264800000001E-2</v>
      </c>
      <c r="F270">
        <v>1.2668222099999999E-2</v>
      </c>
      <c r="G270">
        <v>1.2661578200000001E-2</v>
      </c>
      <c r="H270">
        <v>1.26553102E-2</v>
      </c>
      <c r="I270">
        <v>1.26493964E-2</v>
      </c>
      <c r="J270">
        <v>1.26438165E-2</v>
      </c>
      <c r="K270">
        <v>1.26385514E-2</v>
      </c>
      <c r="L270">
        <v>1.26335831E-2</v>
      </c>
      <c r="M270">
        <v>1.2628894599999999E-2</v>
      </c>
      <c r="N270">
        <v>1.26244701E-2</v>
      </c>
      <c r="O270">
        <v>1.2617142499999999E-2</v>
      </c>
      <c r="P270">
        <v>1.26095593E-2</v>
      </c>
      <c r="Q270">
        <v>1.2580805E-2</v>
      </c>
      <c r="R270">
        <v>1.2539652700000001E-2</v>
      </c>
      <c r="S270">
        <v>1.24972125E-2</v>
      </c>
      <c r="T270">
        <v>1.3646286000000001E-2</v>
      </c>
      <c r="U270">
        <v>1.48019832E-2</v>
      </c>
      <c r="V270">
        <v>1.5964361699999999E-2</v>
      </c>
      <c r="W270">
        <v>1.5964361699999999E-2</v>
      </c>
      <c r="X270">
        <v>1.5964361699999999E-2</v>
      </c>
      <c r="Y270">
        <v>1.5964361699999999E-2</v>
      </c>
      <c r="Z270">
        <v>1.5964361699999999E-2</v>
      </c>
      <c r="AA270">
        <v>1.5964361699999999E-2</v>
      </c>
      <c r="AB270">
        <v>1.5964361699999999E-2</v>
      </c>
      <c r="AC270">
        <v>1.5964361699999999E-2</v>
      </c>
      <c r="AD270">
        <v>1.5964361699999999E-2</v>
      </c>
      <c r="AE270">
        <v>1.5964361699999999E-2</v>
      </c>
      <c r="AF270">
        <v>1.5964361699999999E-2</v>
      </c>
      <c r="AG270">
        <v>1.5964361699999999E-2</v>
      </c>
      <c r="AH270">
        <v>1.5964361699999999E-2</v>
      </c>
      <c r="AI270" s="39">
        <v>1.5964361699999999E-2</v>
      </c>
      <c r="AJ270" s="39">
        <v>1.5964361699999999E-2</v>
      </c>
      <c r="AK270" s="39">
        <v>1.5964361699999999E-2</v>
      </c>
      <c r="AL270" s="39">
        <v>1.5964361699999999E-2</v>
      </c>
      <c r="AM270" s="39">
        <v>1.5964361699999999E-2</v>
      </c>
      <c r="AN270" s="39">
        <v>1.5964361699999999E-2</v>
      </c>
      <c r="AO270" s="39">
        <v>1.5964361699999999E-2</v>
      </c>
      <c r="AP270" s="39">
        <v>1.5964361699999999E-2</v>
      </c>
      <c r="AQ270" s="39">
        <v>1.5964361699999999E-2</v>
      </c>
      <c r="AR270" s="39">
        <v>1.5964361699999999E-2</v>
      </c>
      <c r="AS270" s="39">
        <v>1.5964361699999999E-2</v>
      </c>
      <c r="AT270" s="39">
        <v>1.5964361699999999E-2</v>
      </c>
      <c r="AU270" s="39">
        <v>1.5964361699999999E-2</v>
      </c>
      <c r="AV270" s="39">
        <v>1.5964361699999999E-2</v>
      </c>
      <c r="AW270" s="39">
        <v>1.5964361699999999E-2</v>
      </c>
    </row>
    <row r="271" spans="2:49" x14ac:dyDescent="0.25">
      <c r="B271" t="s">
        <v>342</v>
      </c>
      <c r="C271">
        <v>4.0949078402655603E-2</v>
      </c>
      <c r="D271">
        <v>4.0949078402655603E-2</v>
      </c>
      <c r="E271">
        <v>3.9926185699999998E-2</v>
      </c>
      <c r="F271">
        <v>3.9833014899999998E-2</v>
      </c>
      <c r="G271">
        <v>3.9741301100000001E-2</v>
      </c>
      <c r="H271">
        <v>3.9650965099999998E-2</v>
      </c>
      <c r="I271">
        <v>3.9561932600000002E-2</v>
      </c>
      <c r="J271">
        <v>3.94741339E-2</v>
      </c>
      <c r="K271">
        <v>3.9387503400000003E-2</v>
      </c>
      <c r="L271">
        <v>3.9301979600000002E-2</v>
      </c>
      <c r="M271">
        <v>3.9217504399999999E-2</v>
      </c>
      <c r="N271">
        <v>3.9134023499999997E-2</v>
      </c>
      <c r="O271">
        <v>4.2943227E-2</v>
      </c>
      <c r="P271">
        <v>4.6885366800000002E-2</v>
      </c>
      <c r="Q271">
        <v>5.0882988900000002E-2</v>
      </c>
      <c r="R271">
        <v>5.4960979399999998E-2</v>
      </c>
      <c r="S271">
        <v>5.9166585200000003E-2</v>
      </c>
      <c r="T271">
        <v>5.6457268499999998E-2</v>
      </c>
      <c r="U271">
        <v>5.3732334100000001E-2</v>
      </c>
      <c r="V271">
        <v>5.0991646600000003E-2</v>
      </c>
      <c r="W271">
        <v>5.0991646600000003E-2</v>
      </c>
      <c r="X271">
        <v>5.0991646600000003E-2</v>
      </c>
      <c r="Y271">
        <v>5.0991646600000003E-2</v>
      </c>
      <c r="Z271">
        <v>5.0991646600000003E-2</v>
      </c>
      <c r="AA271">
        <v>5.0991646600000003E-2</v>
      </c>
      <c r="AB271">
        <v>5.0991646600000003E-2</v>
      </c>
      <c r="AC271">
        <v>5.0991646600000003E-2</v>
      </c>
      <c r="AD271">
        <v>5.0991646600000003E-2</v>
      </c>
      <c r="AE271">
        <v>5.0991646600000003E-2</v>
      </c>
      <c r="AF271">
        <v>5.0991646600000003E-2</v>
      </c>
      <c r="AG271">
        <v>5.0991646600000003E-2</v>
      </c>
      <c r="AH271">
        <v>5.0991646600000003E-2</v>
      </c>
      <c r="AI271">
        <v>5.0991646600000003E-2</v>
      </c>
      <c r="AJ271">
        <v>5.0991646600000003E-2</v>
      </c>
      <c r="AK271">
        <v>5.0991646600000003E-2</v>
      </c>
      <c r="AL271">
        <v>5.0991646600000003E-2</v>
      </c>
      <c r="AM271">
        <v>5.0991646600000003E-2</v>
      </c>
      <c r="AN271">
        <v>5.0991646600000003E-2</v>
      </c>
      <c r="AO271">
        <v>5.0991646600000003E-2</v>
      </c>
      <c r="AP271">
        <v>5.0991646600000003E-2</v>
      </c>
      <c r="AQ271">
        <v>5.0991646600000003E-2</v>
      </c>
      <c r="AR271">
        <v>5.0991646600000003E-2</v>
      </c>
      <c r="AS271">
        <v>5.0991646600000003E-2</v>
      </c>
      <c r="AT271">
        <v>5.0991646600000003E-2</v>
      </c>
      <c r="AU271">
        <v>5.0991646600000003E-2</v>
      </c>
      <c r="AV271">
        <v>5.0991646600000003E-2</v>
      </c>
      <c r="AW271">
        <v>5.0991646600000003E-2</v>
      </c>
    </row>
    <row r="272" spans="2:49" x14ac:dyDescent="0.25">
      <c r="B272" t="s">
        <v>343</v>
      </c>
      <c r="C272">
        <v>4.0858446639591303E-2</v>
      </c>
      <c r="D272">
        <v>4.0858446639591303E-2</v>
      </c>
      <c r="E272">
        <v>3.9837817900000003E-2</v>
      </c>
      <c r="F272">
        <v>3.6544871299999997E-2</v>
      </c>
      <c r="G272">
        <v>3.3525161400000003E-2</v>
      </c>
      <c r="H272">
        <v>3.0755875700000001E-2</v>
      </c>
      <c r="I272">
        <v>2.8216125099999999E-2</v>
      </c>
      <c r="J272">
        <v>2.5886779299999999E-2</v>
      </c>
      <c r="K272">
        <v>2.3750316600000002E-2</v>
      </c>
      <c r="L272">
        <v>2.1790686600000001E-2</v>
      </c>
      <c r="M272">
        <v>1.9993184800000001E-2</v>
      </c>
      <c r="N272">
        <v>1.8344339000000001E-2</v>
      </c>
      <c r="O272">
        <v>1.59609834E-2</v>
      </c>
      <c r="P272">
        <v>1.34944517E-2</v>
      </c>
      <c r="Q272">
        <v>1.2580805E-2</v>
      </c>
      <c r="R272">
        <v>1.2539652700000001E-2</v>
      </c>
      <c r="S272">
        <v>1.24972125E-2</v>
      </c>
      <c r="T272">
        <v>1.2494037100000001E-2</v>
      </c>
      <c r="U272">
        <v>1.24908433E-2</v>
      </c>
      <c r="V272">
        <v>1.24876311E-2</v>
      </c>
      <c r="W272">
        <v>1.24876311E-2</v>
      </c>
      <c r="X272">
        <v>1.24876311E-2</v>
      </c>
      <c r="Y272">
        <v>1.24876311E-2</v>
      </c>
      <c r="Z272">
        <v>1.24876311E-2</v>
      </c>
      <c r="AA272">
        <v>1.24876311E-2</v>
      </c>
      <c r="AB272">
        <v>1.24876311E-2</v>
      </c>
      <c r="AC272">
        <v>1.24876311E-2</v>
      </c>
      <c r="AD272">
        <v>1.24876311E-2</v>
      </c>
      <c r="AE272">
        <v>1.24876311E-2</v>
      </c>
      <c r="AF272">
        <v>1.24876311E-2</v>
      </c>
      <c r="AG272">
        <v>1.24876311E-2</v>
      </c>
      <c r="AH272">
        <v>1.24876311E-2</v>
      </c>
      <c r="AI272">
        <v>1.24876311E-2</v>
      </c>
      <c r="AJ272">
        <v>1.24876311E-2</v>
      </c>
      <c r="AK272">
        <v>1.24876311E-2</v>
      </c>
      <c r="AL272">
        <v>1.24876311E-2</v>
      </c>
      <c r="AM272">
        <v>1.24876311E-2</v>
      </c>
      <c r="AN272">
        <v>1.24876311E-2</v>
      </c>
      <c r="AO272">
        <v>1.24876311E-2</v>
      </c>
      <c r="AP272">
        <v>1.24876311E-2</v>
      </c>
      <c r="AQ272">
        <v>1.24876311E-2</v>
      </c>
      <c r="AR272">
        <v>1.24876311E-2</v>
      </c>
      <c r="AS272">
        <v>1.24876311E-2</v>
      </c>
      <c r="AT272" s="39">
        <v>1.24876311E-2</v>
      </c>
      <c r="AU272" s="39">
        <v>1.24876311E-2</v>
      </c>
      <c r="AV272" s="39">
        <v>1.24876311E-2</v>
      </c>
      <c r="AW272" s="39">
        <v>1.24876311E-2</v>
      </c>
    </row>
    <row r="273" spans="2:49" x14ac:dyDescent="0.25">
      <c r="B273" t="s">
        <v>344</v>
      </c>
      <c r="C273">
        <v>8.2546962733871607E-3</v>
      </c>
      <c r="D273">
        <v>8.2546962733871607E-3</v>
      </c>
      <c r="E273">
        <v>1.2675264800000001E-2</v>
      </c>
      <c r="F273">
        <v>2.1269909399999998E-2</v>
      </c>
      <c r="G273">
        <v>2.91423798E-2</v>
      </c>
      <c r="H273">
        <v>3.62512054E-2</v>
      </c>
      <c r="I273">
        <v>4.2531170899999998E-2</v>
      </c>
      <c r="J273">
        <v>4.7886742699999998E-2</v>
      </c>
      <c r="K273">
        <v>5.2183302199999997E-2</v>
      </c>
      <c r="L273">
        <v>5.5235482799999999E-2</v>
      </c>
      <c r="M273">
        <v>5.6791675799999997E-2</v>
      </c>
      <c r="N273">
        <v>5.6513464499999999E-2</v>
      </c>
      <c r="O273">
        <v>6.1981451899999998E-2</v>
      </c>
      <c r="P273">
        <v>6.7640265300000002E-2</v>
      </c>
      <c r="Q273">
        <v>7.33781612E-2</v>
      </c>
      <c r="R273">
        <v>7.92310975E-2</v>
      </c>
      <c r="S273">
        <v>8.5267193800000002E-2</v>
      </c>
      <c r="T273">
        <v>8.9244817500000004E-2</v>
      </c>
      <c r="U273">
        <v>9.3245369999999994E-2</v>
      </c>
      <c r="V273">
        <v>9.7269050100000004E-2</v>
      </c>
      <c r="W273">
        <v>9.7269050100000004E-2</v>
      </c>
      <c r="X273">
        <v>9.7269050100000004E-2</v>
      </c>
      <c r="Y273">
        <v>9.7269050100000004E-2</v>
      </c>
      <c r="Z273">
        <v>9.7269050100000004E-2</v>
      </c>
      <c r="AA273">
        <v>9.7269050100000004E-2</v>
      </c>
      <c r="AB273">
        <v>9.7269050100000004E-2</v>
      </c>
      <c r="AC273">
        <v>9.7269050100000004E-2</v>
      </c>
      <c r="AD273">
        <v>9.7269050100000004E-2</v>
      </c>
      <c r="AE273">
        <v>9.7269050100000004E-2</v>
      </c>
      <c r="AF273">
        <v>9.7269050100000004E-2</v>
      </c>
      <c r="AG273">
        <v>9.7269050100000004E-2</v>
      </c>
      <c r="AH273">
        <v>9.7269050100000004E-2</v>
      </c>
      <c r="AI273">
        <v>9.7269050100000004E-2</v>
      </c>
      <c r="AJ273">
        <v>9.7269050100000004E-2</v>
      </c>
      <c r="AK273">
        <v>9.7269050100000004E-2</v>
      </c>
      <c r="AL273">
        <v>9.7269050100000004E-2</v>
      </c>
      <c r="AM273">
        <v>9.7269050100000004E-2</v>
      </c>
      <c r="AN273">
        <v>9.7269050100000004E-2</v>
      </c>
      <c r="AO273">
        <v>9.7269050100000004E-2</v>
      </c>
      <c r="AP273">
        <v>9.7269050100000004E-2</v>
      </c>
      <c r="AQ273">
        <v>9.7269050100000004E-2</v>
      </c>
      <c r="AR273">
        <v>9.7269050100000004E-2</v>
      </c>
      <c r="AS273">
        <v>9.7269050100000004E-2</v>
      </c>
      <c r="AT273">
        <v>9.7269050100000004E-2</v>
      </c>
      <c r="AU273">
        <v>9.7269050100000004E-2</v>
      </c>
      <c r="AV273">
        <v>9.7269050100000004E-2</v>
      </c>
      <c r="AW273">
        <v>9.7269050100000004E-2</v>
      </c>
    </row>
    <row r="274" spans="2:49" x14ac:dyDescent="0.25">
      <c r="B274" t="s">
        <v>345</v>
      </c>
      <c r="C274">
        <v>1.85730666151211E-3</v>
      </c>
      <c r="D274">
        <v>1.85730666151211E-3</v>
      </c>
      <c r="E274">
        <v>1.2675264800000001E-2</v>
      </c>
      <c r="F274">
        <v>1.32584443E-2</v>
      </c>
      <c r="G274">
        <v>1.4033777799999999E-2</v>
      </c>
      <c r="H274">
        <v>1.50637128E-2</v>
      </c>
      <c r="I274">
        <v>1.64310475E-2</v>
      </c>
      <c r="J274">
        <v>1.8245561800000001E-2</v>
      </c>
      <c r="K274">
        <v>2.0652809099999999E-2</v>
      </c>
      <c r="L274">
        <v>2.3845773399999999E-2</v>
      </c>
      <c r="M274">
        <v>2.8080325999999999E-2</v>
      </c>
      <c r="N274">
        <v>3.3695719800000003E-2</v>
      </c>
      <c r="O274">
        <v>3.6100387999999997E-2</v>
      </c>
      <c r="P274">
        <v>3.85889762E-2</v>
      </c>
      <c r="Q274">
        <v>4.1097675799999997E-2</v>
      </c>
      <c r="R274">
        <v>4.3648442000000003E-2</v>
      </c>
      <c r="S274">
        <v>4.62790311E-2</v>
      </c>
      <c r="T274">
        <v>4.75168464E-2</v>
      </c>
      <c r="U274">
        <v>4.8761796900000001E-2</v>
      </c>
      <c r="V274">
        <v>5.00139447E-2</v>
      </c>
      <c r="W274">
        <v>5.00139447E-2</v>
      </c>
      <c r="X274">
        <v>5.00139447E-2</v>
      </c>
      <c r="Y274">
        <v>5.00139447E-2</v>
      </c>
      <c r="Z274">
        <v>5.00139447E-2</v>
      </c>
      <c r="AA274">
        <v>5.00139447E-2</v>
      </c>
      <c r="AB274">
        <v>5.00139447E-2</v>
      </c>
      <c r="AC274">
        <v>5.00139447E-2</v>
      </c>
      <c r="AD274">
        <v>5.00139447E-2</v>
      </c>
      <c r="AE274">
        <v>5.00139447E-2</v>
      </c>
      <c r="AF274">
        <v>5.00139447E-2</v>
      </c>
      <c r="AG274">
        <v>5.00139447E-2</v>
      </c>
      <c r="AH274">
        <v>5.00139447E-2</v>
      </c>
      <c r="AI274">
        <v>5.00139447E-2</v>
      </c>
      <c r="AJ274">
        <v>5.00139447E-2</v>
      </c>
      <c r="AK274">
        <v>5.00139447E-2</v>
      </c>
      <c r="AL274">
        <v>5.00139447E-2</v>
      </c>
      <c r="AM274">
        <v>5.00139447E-2</v>
      </c>
      <c r="AN274">
        <v>5.00139447E-2</v>
      </c>
      <c r="AO274">
        <v>5.00139447E-2</v>
      </c>
      <c r="AP274">
        <v>5.00139447E-2</v>
      </c>
      <c r="AQ274">
        <v>5.00139447E-2</v>
      </c>
      <c r="AR274">
        <v>5.00139447E-2</v>
      </c>
      <c r="AS274">
        <v>5.00139447E-2</v>
      </c>
      <c r="AT274">
        <v>5.00139447E-2</v>
      </c>
      <c r="AU274">
        <v>5.00139447E-2</v>
      </c>
      <c r="AV274">
        <v>5.00139447E-2</v>
      </c>
      <c r="AW274">
        <v>5.00139447E-2</v>
      </c>
    </row>
    <row r="275" spans="2:49" x14ac:dyDescent="0.25">
      <c r="B275" t="s">
        <v>346</v>
      </c>
      <c r="C275">
        <v>9.2848272947954696E-2</v>
      </c>
      <c r="D275">
        <v>9.2848272947954599E-2</v>
      </c>
      <c r="E275">
        <v>9.0528957699999996E-2</v>
      </c>
      <c r="F275">
        <v>8.7010347700000004E-2</v>
      </c>
      <c r="G275">
        <v>8.3631104799999995E-2</v>
      </c>
      <c r="H275">
        <v>8.0385467500000002E-2</v>
      </c>
      <c r="I275">
        <v>7.7267934900000002E-2</v>
      </c>
      <c r="J275">
        <v>7.42732527E-2</v>
      </c>
      <c r="K275">
        <v>7.1396400200000001E-2</v>
      </c>
      <c r="L275">
        <v>6.8632578299999997E-2</v>
      </c>
      <c r="M275">
        <v>6.5977198400000006E-2</v>
      </c>
      <c r="N275">
        <v>6.3425871699999997E-2</v>
      </c>
      <c r="O275">
        <v>7.0110775400000006E-2</v>
      </c>
      <c r="P275">
        <v>7.7028973799999997E-2</v>
      </c>
      <c r="Q275">
        <v>8.4053250800000007E-2</v>
      </c>
      <c r="R275">
        <v>9.1223631999999999E-2</v>
      </c>
      <c r="S275">
        <v>9.86184009E-2</v>
      </c>
      <c r="T275">
        <v>0.102993055</v>
      </c>
      <c r="U275">
        <v>0.10739292659999999</v>
      </c>
      <c r="V275">
        <v>0.1118182343</v>
      </c>
      <c r="W275">
        <v>0.1118182343</v>
      </c>
      <c r="X275">
        <v>0.1118182343</v>
      </c>
      <c r="Y275">
        <v>0.1118182343</v>
      </c>
      <c r="Z275">
        <v>0.1118182343</v>
      </c>
      <c r="AA275">
        <v>0.1118182343</v>
      </c>
      <c r="AB275">
        <v>0.1118182343</v>
      </c>
      <c r="AC275">
        <v>0.1118182343</v>
      </c>
      <c r="AD275">
        <v>0.1118182343</v>
      </c>
      <c r="AE275">
        <v>0.1118182343</v>
      </c>
      <c r="AF275">
        <v>0.1118182343</v>
      </c>
      <c r="AG275">
        <v>0.1118182343</v>
      </c>
      <c r="AH275">
        <v>0.1118182343</v>
      </c>
      <c r="AI275">
        <v>0.1118182343</v>
      </c>
      <c r="AJ275">
        <v>0.1118182343</v>
      </c>
      <c r="AK275">
        <v>0.1118182343</v>
      </c>
      <c r="AL275">
        <v>0.1118182343</v>
      </c>
      <c r="AM275">
        <v>0.1118182343</v>
      </c>
      <c r="AN275">
        <v>0.1118182343</v>
      </c>
      <c r="AO275">
        <v>0.1118182343</v>
      </c>
      <c r="AP275">
        <v>0.1118182343</v>
      </c>
      <c r="AQ275">
        <v>0.1118182343</v>
      </c>
      <c r="AR275">
        <v>0.1118182343</v>
      </c>
      <c r="AS275">
        <v>0.1118182343</v>
      </c>
      <c r="AT275">
        <v>0.1118182343</v>
      </c>
      <c r="AU275">
        <v>0.1118182343</v>
      </c>
      <c r="AV275">
        <v>0.1118182343</v>
      </c>
      <c r="AW275">
        <v>0.1118182343</v>
      </c>
    </row>
    <row r="276" spans="2:49" x14ac:dyDescent="0.25">
      <c r="B276" t="s">
        <v>347</v>
      </c>
      <c r="C276">
        <v>6.0146533669896496E-3</v>
      </c>
      <c r="D276">
        <v>6.0146533669896496E-3</v>
      </c>
      <c r="E276">
        <v>1.2675264800000001E-2</v>
      </c>
      <c r="F276">
        <v>1.33558272E-2</v>
      </c>
      <c r="G276">
        <v>1.41166917E-2</v>
      </c>
      <c r="H276">
        <v>1.4967230600000001E-2</v>
      </c>
      <c r="I276">
        <v>1.59179175E-2</v>
      </c>
      <c r="J276">
        <v>1.6980455799999999E-2</v>
      </c>
      <c r="K276">
        <v>1.8167923499999999E-2</v>
      </c>
      <c r="L276">
        <v>1.94949336E-2</v>
      </c>
      <c r="M276">
        <v>2.09778147E-2</v>
      </c>
      <c r="N276">
        <v>2.2634811599999999E-2</v>
      </c>
      <c r="O276">
        <v>2.1877136299999999E-2</v>
      </c>
      <c r="P276">
        <v>2.1093019099999999E-2</v>
      </c>
      <c r="Q276">
        <v>2.02474123E-2</v>
      </c>
      <c r="R276">
        <v>1.9356493799999999E-2</v>
      </c>
      <c r="S276">
        <v>1.84376952E-2</v>
      </c>
      <c r="T276">
        <v>1.9024365599999999E-2</v>
      </c>
      <c r="U276">
        <v>1.9614417799999999E-2</v>
      </c>
      <c r="V276">
        <v>2.02078812E-2</v>
      </c>
      <c r="W276">
        <v>2.02078812E-2</v>
      </c>
      <c r="X276">
        <v>2.02078812E-2</v>
      </c>
      <c r="Y276">
        <v>2.02078812E-2</v>
      </c>
      <c r="Z276">
        <v>2.02078812E-2</v>
      </c>
      <c r="AA276">
        <v>2.02078812E-2</v>
      </c>
      <c r="AB276">
        <v>2.02078812E-2</v>
      </c>
      <c r="AC276">
        <v>2.02078812E-2</v>
      </c>
      <c r="AD276">
        <v>2.02078812E-2</v>
      </c>
      <c r="AE276">
        <v>2.02078812E-2</v>
      </c>
      <c r="AF276">
        <v>2.02078812E-2</v>
      </c>
      <c r="AG276">
        <v>2.02078812E-2</v>
      </c>
      <c r="AH276">
        <v>2.02078812E-2</v>
      </c>
      <c r="AI276">
        <v>2.02078812E-2</v>
      </c>
      <c r="AJ276">
        <v>2.02078812E-2</v>
      </c>
      <c r="AK276">
        <v>2.02078812E-2</v>
      </c>
      <c r="AL276">
        <v>2.02078812E-2</v>
      </c>
      <c r="AM276">
        <v>2.02078812E-2</v>
      </c>
      <c r="AN276">
        <v>2.02078812E-2</v>
      </c>
      <c r="AO276">
        <v>2.02078812E-2</v>
      </c>
      <c r="AP276">
        <v>2.02078812E-2</v>
      </c>
      <c r="AQ276">
        <v>2.02078812E-2</v>
      </c>
      <c r="AR276">
        <v>2.02078812E-2</v>
      </c>
      <c r="AS276">
        <v>2.02078812E-2</v>
      </c>
      <c r="AT276">
        <v>2.02078812E-2</v>
      </c>
      <c r="AU276">
        <v>2.02078812E-2</v>
      </c>
      <c r="AV276">
        <v>2.02078812E-2</v>
      </c>
      <c r="AW276">
        <v>2.02078812E-2</v>
      </c>
    </row>
    <row r="277" spans="2:49" x14ac:dyDescent="0.25">
      <c r="B277" t="s">
        <v>348</v>
      </c>
      <c r="C277">
        <v>0.92287069498865704</v>
      </c>
      <c r="D277">
        <v>0.92287069498865704</v>
      </c>
      <c r="E277">
        <v>0.90827002170000004</v>
      </c>
      <c r="F277">
        <v>0.88209099469999996</v>
      </c>
      <c r="G277">
        <v>0.85693182050000005</v>
      </c>
      <c r="H277">
        <v>0.83205391689999997</v>
      </c>
      <c r="I277">
        <v>0.80839682059999995</v>
      </c>
      <c r="J277">
        <v>0.78551707530000003</v>
      </c>
      <c r="K277">
        <v>0.76336885330000004</v>
      </c>
      <c r="L277">
        <v>0.74173579609999996</v>
      </c>
      <c r="M277">
        <v>0.72040366089999996</v>
      </c>
      <c r="N277">
        <v>0.69977394179999997</v>
      </c>
      <c r="O277">
        <v>0.69706673009999998</v>
      </c>
      <c r="P277">
        <v>0.69487216190000001</v>
      </c>
      <c r="Q277">
        <v>0.69303648139999996</v>
      </c>
      <c r="R277">
        <v>0.69137393629999999</v>
      </c>
      <c r="S277">
        <v>0.68925026280000001</v>
      </c>
      <c r="T277">
        <v>0.66398038020000005</v>
      </c>
      <c r="U277">
        <v>0.63818201060000002</v>
      </c>
      <c r="V277">
        <v>0.61180642139999997</v>
      </c>
      <c r="W277">
        <v>0.59935073910000003</v>
      </c>
      <c r="X277">
        <v>0.58713980440000002</v>
      </c>
      <c r="Y277">
        <v>0.57497206590000005</v>
      </c>
      <c r="Z277">
        <v>0.56292885469999998</v>
      </c>
      <c r="AA277">
        <v>0.55113216229999995</v>
      </c>
      <c r="AB277">
        <v>0.53940569110000003</v>
      </c>
      <c r="AC277">
        <v>0.52777361479999996</v>
      </c>
      <c r="AD277">
        <v>0.51615499129999998</v>
      </c>
      <c r="AE277">
        <v>0.50467981390000005</v>
      </c>
      <c r="AF277">
        <v>0.49331645889999998</v>
      </c>
      <c r="AG277">
        <v>0.4820438131</v>
      </c>
      <c r="AH277">
        <v>0.47086254970000002</v>
      </c>
      <c r="AI277">
        <v>0.45979334799999999</v>
      </c>
      <c r="AJ277">
        <v>0.44879484510000001</v>
      </c>
      <c r="AK277">
        <v>0.43786191340000002</v>
      </c>
      <c r="AL277">
        <v>0.42699420500000002</v>
      </c>
      <c r="AM277">
        <v>0.4161863616</v>
      </c>
      <c r="AN277">
        <v>0.40563418759999997</v>
      </c>
      <c r="AO277">
        <v>0.39511998479999999</v>
      </c>
      <c r="AP277">
        <v>0.38463310550000002</v>
      </c>
      <c r="AQ277">
        <v>0.37416072929999999</v>
      </c>
      <c r="AR277">
        <v>0.36372774590000001</v>
      </c>
      <c r="AS277">
        <v>0.35329112750000002</v>
      </c>
      <c r="AT277">
        <v>0.3428878715</v>
      </c>
      <c r="AU277">
        <v>0.33252548430000001</v>
      </c>
      <c r="AV277">
        <v>0.32220475700000001</v>
      </c>
      <c r="AW277">
        <v>0.3119032041</v>
      </c>
    </row>
    <row r="278" spans="2:49" x14ac:dyDescent="0.25">
      <c r="B278" t="s">
        <v>349</v>
      </c>
      <c r="C278">
        <v>4.1245617653124303E-2</v>
      </c>
      <c r="D278">
        <v>4.1245617653124303E-2</v>
      </c>
      <c r="E278">
        <v>4.0301958700000001E-2</v>
      </c>
      <c r="F278">
        <v>6.4136592500000006E-2</v>
      </c>
      <c r="G278">
        <v>8.6254061199999996E-2</v>
      </c>
      <c r="H278">
        <v>0.1068946449</v>
      </c>
      <c r="I278">
        <v>0.1252137934</v>
      </c>
      <c r="J278">
        <v>0.1411430541</v>
      </c>
      <c r="K278">
        <v>0.15427974899999999</v>
      </c>
      <c r="L278">
        <v>0.16408514129999999</v>
      </c>
      <c r="M278">
        <v>0.16998664799999999</v>
      </c>
      <c r="N278">
        <v>0.17092832229999999</v>
      </c>
      <c r="O278">
        <v>0.1728224153</v>
      </c>
      <c r="P278">
        <v>0.17442256510000001</v>
      </c>
      <c r="Q278">
        <v>0.17581514349999999</v>
      </c>
      <c r="R278">
        <v>0.1771056248</v>
      </c>
      <c r="S278">
        <v>0.1786581867</v>
      </c>
      <c r="T278">
        <v>0.183254572</v>
      </c>
      <c r="U278">
        <v>0.18793401000000001</v>
      </c>
      <c r="V278">
        <v>0.19271728739999999</v>
      </c>
      <c r="W278">
        <v>0.2019981991</v>
      </c>
      <c r="X278">
        <v>0.2110979861</v>
      </c>
      <c r="Y278">
        <v>0.2201405911</v>
      </c>
      <c r="Z278">
        <v>0.22908783429999999</v>
      </c>
      <c r="AA278">
        <v>0.23786983449999999</v>
      </c>
      <c r="AB278">
        <v>0.24659346569999999</v>
      </c>
      <c r="AC278">
        <v>0.25524682139999999</v>
      </c>
      <c r="AD278">
        <v>0.2638760369</v>
      </c>
      <c r="AE278">
        <v>0.27240735980000003</v>
      </c>
      <c r="AF278">
        <v>0.28086205079999998</v>
      </c>
      <c r="AG278">
        <v>0.28925076979999997</v>
      </c>
      <c r="AH278">
        <v>0.2975758691</v>
      </c>
      <c r="AI278">
        <v>0.3058261692</v>
      </c>
      <c r="AJ278">
        <v>0.3140278889</v>
      </c>
      <c r="AK278">
        <v>0.32218358130000002</v>
      </c>
      <c r="AL278">
        <v>0.33029370349999998</v>
      </c>
      <c r="AM278">
        <v>0.33836113600000001</v>
      </c>
      <c r="AN278">
        <v>0.34627156440000001</v>
      </c>
      <c r="AO278">
        <v>0.3541574193</v>
      </c>
      <c r="AP278">
        <v>0.3620240455</v>
      </c>
      <c r="AQ278">
        <v>0.36987919219999998</v>
      </c>
      <c r="AR278">
        <v>0.37770765849999999</v>
      </c>
      <c r="AS278">
        <v>0.38553557199999999</v>
      </c>
      <c r="AT278">
        <v>0.39333988879999998</v>
      </c>
      <c r="AU278">
        <v>0.40111578370000001</v>
      </c>
      <c r="AV278">
        <v>0.408862683</v>
      </c>
      <c r="AW278">
        <v>0.41659401099999999</v>
      </c>
    </row>
    <row r="279" spans="2:49" x14ac:dyDescent="0.25">
      <c r="B279" t="s">
        <v>350</v>
      </c>
      <c r="C279">
        <v>5.1557022066405396E-3</v>
      </c>
      <c r="D279">
        <v>5.1557022066405396E-3</v>
      </c>
      <c r="E279">
        <v>1.21720983E-2</v>
      </c>
      <c r="F279">
        <v>1.2174143700000001E-2</v>
      </c>
      <c r="G279">
        <v>1.2156323599999999E-2</v>
      </c>
      <c r="H279">
        <v>1.2179185699999999E-2</v>
      </c>
      <c r="I279">
        <v>1.2166176399999999E-2</v>
      </c>
      <c r="J279">
        <v>1.2152939499999999E-2</v>
      </c>
      <c r="K279">
        <v>1.2140634799999999E-2</v>
      </c>
      <c r="L279">
        <v>1.21291227E-2</v>
      </c>
      <c r="M279">
        <v>1.21271451E-2</v>
      </c>
      <c r="N279">
        <v>1.21232332E-2</v>
      </c>
      <c r="O279">
        <v>1.35680883E-2</v>
      </c>
      <c r="P279">
        <v>1.4984373E-2</v>
      </c>
      <c r="Q279">
        <v>1.6373881E-2</v>
      </c>
      <c r="R279">
        <v>1.77430513E-2</v>
      </c>
      <c r="S279">
        <v>1.91291211E-2</v>
      </c>
      <c r="T279">
        <v>2.4689780000000001E-2</v>
      </c>
      <c r="U279">
        <v>3.0372005300000001E-2</v>
      </c>
      <c r="V279">
        <v>3.6181712900000003E-2</v>
      </c>
      <c r="W279">
        <v>3.7578694400000001E-2</v>
      </c>
      <c r="X279">
        <v>3.89483204E-2</v>
      </c>
      <c r="Y279">
        <v>4.0311196899999999E-2</v>
      </c>
      <c r="Z279">
        <v>4.1659910600000002E-2</v>
      </c>
      <c r="AA279">
        <v>4.2982381100000001E-2</v>
      </c>
      <c r="AB279">
        <v>4.4296515100000003E-2</v>
      </c>
      <c r="AC279">
        <v>4.5600066699999997E-2</v>
      </c>
      <c r="AD279">
        <v>4.6901033699999997E-2</v>
      </c>
      <c r="AE279">
        <v>4.8186597499999997E-2</v>
      </c>
      <c r="AF279">
        <v>4.9460129499999998E-2</v>
      </c>
      <c r="AG279">
        <v>5.0723611100000003E-2</v>
      </c>
      <c r="AH279">
        <v>5.1977184400000001E-2</v>
      </c>
      <c r="AI279">
        <v>5.32188522E-2</v>
      </c>
      <c r="AJ279">
        <v>5.4452902999999997E-2</v>
      </c>
      <c r="AK279">
        <v>5.5679815299999998E-2</v>
      </c>
      <c r="AL279">
        <v>5.6899643299999997E-2</v>
      </c>
      <c r="AM279">
        <v>5.8112903100000002E-2</v>
      </c>
      <c r="AN279">
        <v>5.9300040900000003E-2</v>
      </c>
      <c r="AO279">
        <v>6.0483203499999999E-2</v>
      </c>
      <c r="AP279">
        <v>6.1663387700000002E-2</v>
      </c>
      <c r="AQ279">
        <v>6.2841893999999995E-2</v>
      </c>
      <c r="AR279">
        <v>6.40161858E-2</v>
      </c>
      <c r="AS279">
        <v>6.5190636699999999E-2</v>
      </c>
      <c r="AT279">
        <v>6.6361442000000007E-2</v>
      </c>
      <c r="AU279">
        <v>6.7527818399999995E-2</v>
      </c>
      <c r="AV279">
        <v>6.8689678200000007E-2</v>
      </c>
      <c r="AW279">
        <v>6.9849289600000003E-2</v>
      </c>
    </row>
    <row r="280" spans="2:49" x14ac:dyDescent="0.25">
      <c r="B280" t="s">
        <v>351</v>
      </c>
      <c r="C280">
        <v>1.5260878531656001E-2</v>
      </c>
      <c r="D280">
        <v>1.5260878531656001E-2</v>
      </c>
      <c r="E280">
        <v>1.49117247E-2</v>
      </c>
      <c r="F280">
        <v>1.4455180600000001E-2</v>
      </c>
      <c r="G280">
        <v>1.39897524E-2</v>
      </c>
      <c r="H280">
        <v>1.35846578E-2</v>
      </c>
      <c r="I280">
        <v>1.3152467399999999E-2</v>
      </c>
      <c r="J280">
        <v>1.2733774E-2</v>
      </c>
      <c r="K280">
        <v>1.23293411E-2</v>
      </c>
      <c r="L280">
        <v>1.21291227E-2</v>
      </c>
      <c r="M280">
        <v>1.21271451E-2</v>
      </c>
      <c r="N280">
        <v>1.21232332E-2</v>
      </c>
      <c r="O280">
        <v>1.68742554E-2</v>
      </c>
      <c r="P280">
        <v>2.1577225799999999E-2</v>
      </c>
      <c r="Q280">
        <v>2.6223008200000002E-2</v>
      </c>
      <c r="R280">
        <v>3.0815413199999999E-2</v>
      </c>
      <c r="S280">
        <v>3.5420457199999998E-2</v>
      </c>
      <c r="T280">
        <v>3.6832301900000003E-2</v>
      </c>
      <c r="U280">
        <v>3.8271740200000001E-2</v>
      </c>
      <c r="V280">
        <v>3.9743257900000002E-2</v>
      </c>
      <c r="W280">
        <v>4.01758807E-2</v>
      </c>
      <c r="X280">
        <v>4.0599665399999998E-2</v>
      </c>
      <c r="Y280">
        <v>4.1028749400000002E-2</v>
      </c>
      <c r="Z280">
        <v>4.1454208700000002E-2</v>
      </c>
      <c r="AA280">
        <v>4.1866088799999999E-2</v>
      </c>
      <c r="AB280">
        <v>4.2277174700000003E-2</v>
      </c>
      <c r="AC280">
        <v>4.2684965800000002E-2</v>
      </c>
      <c r="AD280">
        <v>4.3096129800000001E-2</v>
      </c>
      <c r="AE280">
        <v>4.34998656E-2</v>
      </c>
      <c r="AF280">
        <v>4.3897897800000002E-2</v>
      </c>
      <c r="AG280">
        <v>4.4292339700000002E-2</v>
      </c>
      <c r="AH280">
        <v>4.46823914E-2</v>
      </c>
      <c r="AI280">
        <v>4.5066184199999998E-2</v>
      </c>
      <c r="AJ280">
        <v>4.5446406500000001E-2</v>
      </c>
      <c r="AK280">
        <v>4.5823581299999999E-2</v>
      </c>
      <c r="AL280">
        <v>4.6197666800000002E-2</v>
      </c>
      <c r="AM280">
        <v>4.6569151699999999E-2</v>
      </c>
      <c r="AN280">
        <v>4.6922643399999998E-2</v>
      </c>
      <c r="AO280">
        <v>4.7273804500000002E-2</v>
      </c>
      <c r="AP280">
        <v>4.7623708899999999E-2</v>
      </c>
      <c r="AQ280">
        <v>4.7973292799999998E-2</v>
      </c>
      <c r="AR280">
        <v>4.8320781600000001E-2</v>
      </c>
      <c r="AS280">
        <v>4.8669283899999999E-2</v>
      </c>
      <c r="AT280">
        <v>4.9016284E-2</v>
      </c>
      <c r="AU280">
        <v>4.9361312400000003E-2</v>
      </c>
      <c r="AV280">
        <v>4.9704337299999998E-2</v>
      </c>
      <c r="AW280">
        <v>5.0047045499999998E-2</v>
      </c>
    </row>
    <row r="281" spans="2:49" x14ac:dyDescent="0.25">
      <c r="B281" t="s">
        <v>352</v>
      </c>
      <c r="C281">
        <v>5.1557022066405396E-3</v>
      </c>
      <c r="D281">
        <v>5.1557022066405396E-3</v>
      </c>
      <c r="E281">
        <v>1.21720983E-2</v>
      </c>
      <c r="F281">
        <v>1.2174143700000001E-2</v>
      </c>
      <c r="G281">
        <v>1.2156323599999999E-2</v>
      </c>
      <c r="H281">
        <v>1.2179185699999999E-2</v>
      </c>
      <c r="I281">
        <v>1.2166176399999999E-2</v>
      </c>
      <c r="J281">
        <v>1.2152939499999999E-2</v>
      </c>
      <c r="K281">
        <v>1.2140634799999999E-2</v>
      </c>
      <c r="L281">
        <v>1.21291227E-2</v>
      </c>
      <c r="M281">
        <v>1.21271451E-2</v>
      </c>
      <c r="N281">
        <v>1.21232332E-2</v>
      </c>
      <c r="O281">
        <v>1.2892867299999999E-2</v>
      </c>
      <c r="P281">
        <v>1.36379099E-2</v>
      </c>
      <c r="Q281">
        <v>1.4362386600000001E-2</v>
      </c>
      <c r="R281">
        <v>1.5073273200000001E-2</v>
      </c>
      <c r="S281">
        <v>1.5801929499999999E-2</v>
      </c>
      <c r="T281">
        <v>1.7446152600000001E-2</v>
      </c>
      <c r="U281">
        <v>1.9125235399999999E-2</v>
      </c>
      <c r="V281">
        <v>2.0841917500000001E-2</v>
      </c>
      <c r="W281">
        <v>2.20064497E-2</v>
      </c>
      <c r="X281">
        <v>2.3148298099999999E-2</v>
      </c>
      <c r="Y281">
        <v>2.4282106800000001E-2</v>
      </c>
      <c r="Z281">
        <v>2.5403860800000001E-2</v>
      </c>
      <c r="AA281">
        <v>2.6505518700000001E-2</v>
      </c>
      <c r="AB281">
        <v>2.75996435E-2</v>
      </c>
      <c r="AC281">
        <v>2.8684952600000001E-2</v>
      </c>
      <c r="AD281">
        <v>2.97667442E-2</v>
      </c>
      <c r="AE281">
        <v>3.08365637E-2</v>
      </c>
      <c r="AF281">
        <v>3.1896999199999998E-2</v>
      </c>
      <c r="AG281">
        <v>3.29492126E-2</v>
      </c>
      <c r="AH281">
        <v>3.3993598E-2</v>
      </c>
      <c r="AI281">
        <v>3.50288988E-2</v>
      </c>
      <c r="AJ281">
        <v>3.6058245799999999E-2</v>
      </c>
      <c r="AK281">
        <v>3.7081915299999997E-2</v>
      </c>
      <c r="AL281">
        <v>3.8099971599999997E-2</v>
      </c>
      <c r="AM281">
        <v>3.9112737799999998E-2</v>
      </c>
      <c r="AN281">
        <v>4.0106962500000003E-2</v>
      </c>
      <c r="AO281">
        <v>4.1098232499999998E-2</v>
      </c>
      <c r="AP281">
        <v>4.20871289E-2</v>
      </c>
      <c r="AQ281">
        <v>4.3074561599999998E-2</v>
      </c>
      <c r="AR281">
        <v>4.4058739E-2</v>
      </c>
      <c r="AS281">
        <v>4.5042734199999997E-2</v>
      </c>
      <c r="AT281">
        <v>4.6023812300000001E-2</v>
      </c>
      <c r="AU281">
        <v>4.7001394299999999E-2</v>
      </c>
      <c r="AV281">
        <v>4.7975408800000001E-2</v>
      </c>
      <c r="AW281">
        <v>4.8947425099999997E-2</v>
      </c>
    </row>
    <row r="282" spans="2:49" x14ac:dyDescent="0.25">
      <c r="B282" t="s">
        <v>353</v>
      </c>
      <c r="C282">
        <v>1.0311404413280999E-2</v>
      </c>
      <c r="D282">
        <v>1.0311404413280999E-2</v>
      </c>
      <c r="E282">
        <v>1.21720983E-2</v>
      </c>
      <c r="F282">
        <v>1.49689449E-2</v>
      </c>
      <c r="G282">
        <v>1.8511718600000001E-2</v>
      </c>
      <c r="H282">
        <v>2.3108409E-2</v>
      </c>
      <c r="I282">
        <v>2.8904565900000002E-2</v>
      </c>
      <c r="J282">
        <v>3.6300217599999997E-2</v>
      </c>
      <c r="K282">
        <v>4.5740786999999998E-2</v>
      </c>
      <c r="L282">
        <v>5.77916947E-2</v>
      </c>
      <c r="M282">
        <v>7.3228255899999997E-2</v>
      </c>
      <c r="N282">
        <v>9.2928036300000003E-2</v>
      </c>
      <c r="O282">
        <v>8.6775643700000002E-2</v>
      </c>
      <c r="P282">
        <v>8.0505764399999999E-2</v>
      </c>
      <c r="Q282">
        <v>7.41890994E-2</v>
      </c>
      <c r="R282">
        <v>6.7888701100000004E-2</v>
      </c>
      <c r="S282">
        <v>6.1740042699999997E-2</v>
      </c>
      <c r="T282">
        <v>7.3796813399999994E-2</v>
      </c>
      <c r="U282">
        <v>8.6114998499999998E-2</v>
      </c>
      <c r="V282">
        <v>9.8709402900000007E-2</v>
      </c>
      <c r="W282">
        <v>9.8890036900000006E-2</v>
      </c>
      <c r="X282">
        <v>9.9065925599999896E-2</v>
      </c>
      <c r="Y282">
        <v>9.9265289899999998E-2</v>
      </c>
      <c r="Z282">
        <v>9.9465331000000004E-2</v>
      </c>
      <c r="AA282">
        <v>9.9644014599999997E-2</v>
      </c>
      <c r="AB282">
        <v>9.9827509800000006E-2</v>
      </c>
      <c r="AC282">
        <v>0.1000095787</v>
      </c>
      <c r="AD282">
        <v>0.1002050641</v>
      </c>
      <c r="AE282">
        <v>0.1003897995</v>
      </c>
      <c r="AF282">
        <v>0.1005664639</v>
      </c>
      <c r="AG282">
        <v>0.1007402536</v>
      </c>
      <c r="AH282">
        <v>0.10090840750000001</v>
      </c>
      <c r="AI282">
        <v>0.1010665476</v>
      </c>
      <c r="AJ282">
        <v>0.10121971070000001</v>
      </c>
      <c r="AK282">
        <v>0.10136919329999999</v>
      </c>
      <c r="AL282">
        <v>0.1015148097</v>
      </c>
      <c r="AM282">
        <v>0.1016577099</v>
      </c>
      <c r="AN282">
        <v>0.1017646012</v>
      </c>
      <c r="AO282">
        <v>0.10186735550000001</v>
      </c>
      <c r="AP282">
        <v>0.1019686234</v>
      </c>
      <c r="AQ282">
        <v>0.1020703301</v>
      </c>
      <c r="AR282">
        <v>0.1021688892</v>
      </c>
      <c r="AS282">
        <v>0.1022706458</v>
      </c>
      <c r="AT282">
        <v>0.1023707014</v>
      </c>
      <c r="AU282">
        <v>0.10246820700000001</v>
      </c>
      <c r="AV282">
        <v>0.1025631357</v>
      </c>
      <c r="AW282">
        <v>0.1026590247</v>
      </c>
    </row>
    <row r="283" spans="2:49" x14ac:dyDescent="0.25">
      <c r="B283" t="s">
        <v>354</v>
      </c>
      <c r="C283">
        <v>0.99132434052165697</v>
      </c>
      <c r="D283">
        <v>0.99132434052165697</v>
      </c>
      <c r="E283">
        <v>0.82656901640000002</v>
      </c>
      <c r="F283">
        <v>0.82317449480000005</v>
      </c>
      <c r="G283">
        <v>0.81979390799999996</v>
      </c>
      <c r="H283">
        <v>0.81642719880000003</v>
      </c>
      <c r="I283">
        <v>0.81307431029999999</v>
      </c>
      <c r="J283">
        <v>0.80973518570000003</v>
      </c>
      <c r="K283">
        <v>0.80640976860000002</v>
      </c>
      <c r="L283">
        <v>0.80309800259999997</v>
      </c>
      <c r="M283">
        <v>0.79979983170000002</v>
      </c>
      <c r="N283">
        <v>0.7965152002</v>
      </c>
      <c r="O283">
        <v>0.79592063619999998</v>
      </c>
      <c r="P283">
        <v>0.79528828910000005</v>
      </c>
      <c r="Q283">
        <v>0.79461443899999995</v>
      </c>
      <c r="R283">
        <v>0.79389486139999998</v>
      </c>
      <c r="S283">
        <v>0.79312473819999996</v>
      </c>
      <c r="T283">
        <v>0.79099731900000003</v>
      </c>
      <c r="U283">
        <v>0.7889389014</v>
      </c>
      <c r="V283">
        <v>0.78694618199999999</v>
      </c>
      <c r="W283">
        <v>0.78111609230000001</v>
      </c>
      <c r="X283">
        <v>0.7752922283</v>
      </c>
      <c r="Y283">
        <v>0.7694313612</v>
      </c>
      <c r="Z283">
        <v>0.76356379630000004</v>
      </c>
      <c r="AA283">
        <v>0.75771553140000003</v>
      </c>
      <c r="AB283">
        <v>0.75188452640000003</v>
      </c>
      <c r="AC283">
        <v>0.74607057919999997</v>
      </c>
      <c r="AD283">
        <v>0.74025950129999996</v>
      </c>
      <c r="AE283">
        <v>0.73445783740000004</v>
      </c>
      <c r="AF283">
        <v>0.72867187629999997</v>
      </c>
      <c r="AG283">
        <v>0.72290267860000001</v>
      </c>
      <c r="AH283">
        <v>0.71714945370000005</v>
      </c>
      <c r="AI283">
        <v>0.71141326299999996</v>
      </c>
      <c r="AJ283">
        <v>0.70570197329999995</v>
      </c>
      <c r="AK283">
        <v>0.70001767250000002</v>
      </c>
      <c r="AL283">
        <v>0.69435993389999995</v>
      </c>
      <c r="AM283">
        <v>0.68872987409999997</v>
      </c>
      <c r="AN283">
        <v>0.68312812950000001</v>
      </c>
      <c r="AO283">
        <v>0.67755149349999999</v>
      </c>
      <c r="AP283">
        <v>0.6719988603</v>
      </c>
      <c r="AQ283">
        <v>0.66646813989999998</v>
      </c>
      <c r="AR283">
        <v>0.66095901089999998</v>
      </c>
      <c r="AS283">
        <v>0.65546619220000002</v>
      </c>
      <c r="AT283">
        <v>0.65000599619999999</v>
      </c>
      <c r="AU283">
        <v>0.64457948949999999</v>
      </c>
      <c r="AV283">
        <v>0.6391869859</v>
      </c>
      <c r="AW283">
        <v>0.63382932160000005</v>
      </c>
    </row>
    <row r="284" spans="2:49" x14ac:dyDescent="0.25">
      <c r="B284" t="s">
        <v>355</v>
      </c>
      <c r="C284">
        <v>0.91950930808135101</v>
      </c>
      <c r="D284">
        <v>0.91950930808135101</v>
      </c>
      <c r="E284">
        <v>0.79235364360000005</v>
      </c>
      <c r="F284">
        <v>0.76834820280000005</v>
      </c>
      <c r="G284">
        <v>0.74508343489999995</v>
      </c>
      <c r="H284">
        <v>0.72253527770000003</v>
      </c>
      <c r="I284">
        <v>0.70068055849999999</v>
      </c>
      <c r="J284">
        <v>0.67949695229999996</v>
      </c>
      <c r="K284">
        <v>0.65896294219999996</v>
      </c>
      <c r="L284">
        <v>0.63894550240000003</v>
      </c>
      <c r="M284">
        <v>0.61944281609999996</v>
      </c>
      <c r="N284">
        <v>0.60054869020000001</v>
      </c>
      <c r="O284">
        <v>0.59794377970000001</v>
      </c>
      <c r="P284">
        <v>0.59534354940000001</v>
      </c>
      <c r="Q284">
        <v>0.59274798679999996</v>
      </c>
      <c r="R284">
        <v>0.59015707920000005</v>
      </c>
      <c r="S284">
        <v>0.58757081410000001</v>
      </c>
      <c r="T284">
        <v>0.56380317130000002</v>
      </c>
      <c r="U284">
        <v>0.53946746840000004</v>
      </c>
      <c r="V284">
        <v>0.51454309379999996</v>
      </c>
      <c r="W284">
        <v>0.50287856779999995</v>
      </c>
      <c r="X284">
        <v>0.49143645380000001</v>
      </c>
      <c r="Y284">
        <v>0.48013579569999998</v>
      </c>
      <c r="Z284">
        <v>0.4689664764</v>
      </c>
      <c r="AA284">
        <v>0.45795211609999997</v>
      </c>
      <c r="AB284">
        <v>0.44703065790000002</v>
      </c>
      <c r="AC284">
        <v>0.43619884469999998</v>
      </c>
      <c r="AD284">
        <v>0.42544731879999997</v>
      </c>
      <c r="AE284">
        <v>0.41479160120000003</v>
      </c>
      <c r="AF284">
        <v>0.40421039120000002</v>
      </c>
      <c r="AG284">
        <v>0.39370716750000001</v>
      </c>
      <c r="AH284">
        <v>0.3832674163</v>
      </c>
      <c r="AI284">
        <v>0.37288694280000001</v>
      </c>
      <c r="AJ284">
        <v>0.36254879829999997</v>
      </c>
      <c r="AK284">
        <v>0.35225379709999999</v>
      </c>
      <c r="AL284">
        <v>0.34199964090000001</v>
      </c>
      <c r="AM284">
        <v>0.33178667360000003</v>
      </c>
      <c r="AN284">
        <v>0.32161571319999999</v>
      </c>
      <c r="AO284">
        <v>0.31144701720000001</v>
      </c>
      <c r="AP284">
        <v>0.30128492369999998</v>
      </c>
      <c r="AQ284">
        <v>0.29112804279999999</v>
      </c>
      <c r="AR284">
        <v>0.28097924320000001</v>
      </c>
      <c r="AS284">
        <v>0.27083468869999999</v>
      </c>
      <c r="AT284">
        <v>0.26070119180000001</v>
      </c>
      <c r="AU284">
        <v>0.25058043530000002</v>
      </c>
      <c r="AV284">
        <v>0.24047244910000001</v>
      </c>
      <c r="AW284">
        <v>0.23037789689999999</v>
      </c>
    </row>
    <row r="285" spans="2:49" x14ac:dyDescent="0.25">
      <c r="B285" t="s">
        <v>476</v>
      </c>
      <c r="C285">
        <v>383714635.27038902</v>
      </c>
      <c r="D285">
        <v>389875297.85567099</v>
      </c>
      <c r="E285">
        <v>396134871.89999998</v>
      </c>
      <c r="F285">
        <v>411154338.19999999</v>
      </c>
      <c r="G285">
        <v>421032156.19999999</v>
      </c>
      <c r="H285">
        <v>435442764.19999999</v>
      </c>
      <c r="I285">
        <v>447759932</v>
      </c>
      <c r="J285">
        <v>466484286.30000001</v>
      </c>
      <c r="K285">
        <v>487964247.89999998</v>
      </c>
      <c r="L285">
        <v>512133360.30000001</v>
      </c>
      <c r="M285">
        <v>541226480.20000005</v>
      </c>
      <c r="N285">
        <v>568499807.39999998</v>
      </c>
      <c r="O285">
        <v>572446603.5</v>
      </c>
      <c r="P285">
        <v>571484287</v>
      </c>
      <c r="Q285">
        <v>570171510</v>
      </c>
      <c r="R285">
        <v>583821520</v>
      </c>
      <c r="S285">
        <v>590102478.70000005</v>
      </c>
      <c r="T285">
        <v>594142215.29999995</v>
      </c>
      <c r="U285">
        <v>596524690.20000005</v>
      </c>
      <c r="V285">
        <v>596414362.79999995</v>
      </c>
      <c r="W285">
        <v>598041088.39999998</v>
      </c>
      <c r="X285">
        <v>588034793.29999995</v>
      </c>
      <c r="Y285">
        <v>586077812.89999998</v>
      </c>
      <c r="Z285">
        <v>587408195.5</v>
      </c>
      <c r="AA285">
        <v>590035177.79999995</v>
      </c>
      <c r="AB285">
        <v>593166662</v>
      </c>
      <c r="AC285">
        <v>588136024.20000005</v>
      </c>
      <c r="AD285">
        <v>589182779.60000002</v>
      </c>
      <c r="AE285">
        <v>594600225.5</v>
      </c>
      <c r="AF285">
        <v>600450411.10000002</v>
      </c>
      <c r="AG285">
        <v>606548915.5</v>
      </c>
      <c r="AH285">
        <v>610121597.29999995</v>
      </c>
      <c r="AI285">
        <v>613979066.60000002</v>
      </c>
      <c r="AJ285">
        <v>619617198.10000002</v>
      </c>
      <c r="AK285">
        <v>625976136.29999995</v>
      </c>
      <c r="AL285">
        <v>632717928.39999998</v>
      </c>
      <c r="AM285">
        <v>639715505.20000005</v>
      </c>
      <c r="AN285">
        <v>645865244</v>
      </c>
      <c r="AO285">
        <v>651351294.89999998</v>
      </c>
      <c r="AP285">
        <v>656546962</v>
      </c>
      <c r="AQ285">
        <v>661581767</v>
      </c>
      <c r="AR285">
        <v>661857234.89999998</v>
      </c>
      <c r="AS285">
        <v>664384643</v>
      </c>
      <c r="AT285">
        <v>667664061.29999995</v>
      </c>
      <c r="AU285">
        <v>671176968.70000005</v>
      </c>
      <c r="AV285">
        <v>674720043.29999995</v>
      </c>
      <c r="AW285">
        <v>678207292.29999995</v>
      </c>
    </row>
    <row r="286" spans="2:49" x14ac:dyDescent="0.25">
      <c r="B286" t="s">
        <v>477</v>
      </c>
      <c r="C286">
        <v>13020.598862561899</v>
      </c>
      <c r="D286">
        <v>13229.6487889324</v>
      </c>
      <c r="E286">
        <v>13442.05508</v>
      </c>
      <c r="F286">
        <v>13760.431629999999</v>
      </c>
      <c r="G286">
        <v>14213.16934</v>
      </c>
      <c r="H286">
        <v>13758.41887</v>
      </c>
      <c r="I286">
        <v>13323.880870000001</v>
      </c>
      <c r="J286">
        <v>13696.888510000001</v>
      </c>
      <c r="K286">
        <v>13995.444810000001</v>
      </c>
      <c r="L286">
        <v>13916.811089999999</v>
      </c>
      <c r="M286">
        <v>14151.318149999999</v>
      </c>
      <c r="N286">
        <v>14639.68643</v>
      </c>
      <c r="O286">
        <v>14969.41662</v>
      </c>
      <c r="P286">
        <v>15283.19053</v>
      </c>
      <c r="Q286">
        <v>15673.568359999999</v>
      </c>
      <c r="R286">
        <v>16056.620070000001</v>
      </c>
      <c r="S286">
        <v>15607.584409999999</v>
      </c>
      <c r="T286">
        <v>14988.299940000001</v>
      </c>
      <c r="U286">
        <v>14822.01123</v>
      </c>
      <c r="V286">
        <v>14711.000690000001</v>
      </c>
      <c r="W286">
        <v>14950.261490000001</v>
      </c>
      <c r="X286">
        <v>15138.96974</v>
      </c>
      <c r="Y286">
        <v>15322.80559</v>
      </c>
      <c r="Z286">
        <v>15478.45255</v>
      </c>
      <c r="AA286">
        <v>15651.83641</v>
      </c>
      <c r="AB286">
        <v>15814.77068</v>
      </c>
      <c r="AC286">
        <v>15998.293540000001</v>
      </c>
      <c r="AD286">
        <v>16208.44282</v>
      </c>
      <c r="AE286">
        <v>16387.571309999999</v>
      </c>
      <c r="AF286">
        <v>16572.48156</v>
      </c>
      <c r="AG286">
        <v>16776.315849999999</v>
      </c>
      <c r="AH286">
        <v>17020.374779999998</v>
      </c>
      <c r="AI286">
        <v>17323.05183</v>
      </c>
      <c r="AJ286">
        <v>17642.155989999999</v>
      </c>
      <c r="AK286">
        <v>17951.455819999999</v>
      </c>
      <c r="AL286">
        <v>18268.430179999999</v>
      </c>
      <c r="AM286">
        <v>18603.148539999998</v>
      </c>
      <c r="AN286">
        <v>18966.946629999999</v>
      </c>
      <c r="AO286">
        <v>19332.658449999999</v>
      </c>
      <c r="AP286">
        <v>19738.050350000001</v>
      </c>
      <c r="AQ286">
        <v>20170.75908</v>
      </c>
      <c r="AR286">
        <v>20620.363580000001</v>
      </c>
      <c r="AS286">
        <v>21082.516869999999</v>
      </c>
      <c r="AT286">
        <v>21540.47222</v>
      </c>
      <c r="AU286">
        <v>21991.802489999998</v>
      </c>
      <c r="AV286">
        <v>22450.160629999998</v>
      </c>
      <c r="AW286">
        <v>22908.225719999999</v>
      </c>
    </row>
    <row r="287" spans="2:49" x14ac:dyDescent="0.25">
      <c r="B287" t="s">
        <v>478</v>
      </c>
      <c r="C287">
        <v>158336.21117690401</v>
      </c>
      <c r="D287">
        <v>160878.35026264799</v>
      </c>
      <c r="E287">
        <v>163461.30420000001</v>
      </c>
      <c r="F287">
        <v>171749.55619999999</v>
      </c>
      <c r="G287">
        <v>178951.21119999999</v>
      </c>
      <c r="H287">
        <v>186028.40460000001</v>
      </c>
      <c r="I287">
        <v>192550.06950000001</v>
      </c>
      <c r="J287">
        <v>202031.46090000001</v>
      </c>
      <c r="K287">
        <v>216502.04759999999</v>
      </c>
      <c r="L287">
        <v>232317.84890000001</v>
      </c>
      <c r="M287">
        <v>249847.08809999999</v>
      </c>
      <c r="N287">
        <v>273455.1139</v>
      </c>
      <c r="O287">
        <v>275027.99369999999</v>
      </c>
      <c r="P287">
        <v>271774.2352</v>
      </c>
      <c r="Q287">
        <v>269162.29320000001</v>
      </c>
      <c r="R287">
        <v>271002.96600000001</v>
      </c>
      <c r="S287">
        <v>276516.12219999998</v>
      </c>
      <c r="T287">
        <v>283259.80410000001</v>
      </c>
      <c r="U287">
        <v>285078.54399999999</v>
      </c>
      <c r="V287">
        <v>281022.85960000003</v>
      </c>
      <c r="W287">
        <v>280555.4718</v>
      </c>
      <c r="X287">
        <v>250611.00889999999</v>
      </c>
      <c r="Y287">
        <v>242771.2365</v>
      </c>
      <c r="Z287">
        <v>241028.17939999999</v>
      </c>
      <c r="AA287">
        <v>241372.64970000001</v>
      </c>
      <c r="AB287">
        <v>242415.77280000001</v>
      </c>
      <c r="AC287">
        <v>222911.14509999999</v>
      </c>
      <c r="AD287">
        <v>219641.8596</v>
      </c>
      <c r="AE287">
        <v>222789.24410000001</v>
      </c>
      <c r="AF287">
        <v>226032.63500000001</v>
      </c>
      <c r="AG287">
        <v>229590.85949999999</v>
      </c>
      <c r="AH287">
        <v>224785.85990000001</v>
      </c>
      <c r="AI287">
        <v>224835.0013</v>
      </c>
      <c r="AJ287">
        <v>227162.8431</v>
      </c>
      <c r="AK287">
        <v>230372.7316</v>
      </c>
      <c r="AL287">
        <v>233827.91500000001</v>
      </c>
      <c r="AM287">
        <v>237331.93400000001</v>
      </c>
      <c r="AN287">
        <v>243014.94760000001</v>
      </c>
      <c r="AO287">
        <v>247585.8075</v>
      </c>
      <c r="AP287">
        <v>251572.14129999999</v>
      </c>
      <c r="AQ287">
        <v>255193.9613</v>
      </c>
      <c r="AR287">
        <v>247871.27600000001</v>
      </c>
      <c r="AS287">
        <v>250049.58410000001</v>
      </c>
      <c r="AT287">
        <v>253301.61730000001</v>
      </c>
      <c r="AU287">
        <v>256922.66579999999</v>
      </c>
      <c r="AV287">
        <v>260601.55129999999</v>
      </c>
      <c r="AW287">
        <v>264257.16840000002</v>
      </c>
    </row>
    <row r="288" spans="2:49" x14ac:dyDescent="0.25">
      <c r="B288" t="s">
        <v>479</v>
      </c>
      <c r="C288">
        <v>516755.579312385</v>
      </c>
      <c r="D288">
        <v>525052.257287574</v>
      </c>
      <c r="E288">
        <v>533482.14110000001</v>
      </c>
      <c r="F288">
        <v>545515.90280000004</v>
      </c>
      <c r="G288">
        <v>549527.43969999999</v>
      </c>
      <c r="H288">
        <v>560609.57019999996</v>
      </c>
      <c r="I288">
        <v>568310.99879999994</v>
      </c>
      <c r="J288">
        <v>583490.93530000001</v>
      </c>
      <c r="K288">
        <v>598610.53890000004</v>
      </c>
      <c r="L288">
        <v>616179.696</v>
      </c>
      <c r="M288">
        <v>639207.89040000003</v>
      </c>
      <c r="N288">
        <v>663477.98120000004</v>
      </c>
      <c r="O288">
        <v>666413.95250000001</v>
      </c>
      <c r="P288">
        <v>665484.61840000004</v>
      </c>
      <c r="Q288">
        <v>663545.62659999996</v>
      </c>
      <c r="R288">
        <v>680945.75349999999</v>
      </c>
      <c r="S288">
        <v>684339.79299999995</v>
      </c>
      <c r="T288">
        <v>685369.81229999999</v>
      </c>
      <c r="U288">
        <v>687603.57209999999</v>
      </c>
      <c r="V288">
        <v>690492.50199999998</v>
      </c>
      <c r="W288">
        <v>693305.51599999995</v>
      </c>
      <c r="X288">
        <v>700730.55090000003</v>
      </c>
      <c r="Y288">
        <v>700130.72970000003</v>
      </c>
      <c r="Z288">
        <v>699894.13230000006</v>
      </c>
      <c r="AA288">
        <v>700006.46129999997</v>
      </c>
      <c r="AB288">
        <v>700311.56689999998</v>
      </c>
      <c r="AC288">
        <v>703960.4325</v>
      </c>
      <c r="AD288">
        <v>702734.74679999996</v>
      </c>
      <c r="AE288">
        <v>703057.51540000003</v>
      </c>
      <c r="AF288">
        <v>703841.56189999997</v>
      </c>
      <c r="AG288">
        <v>704643.61549999996</v>
      </c>
      <c r="AH288">
        <v>708006.38130000001</v>
      </c>
      <c r="AI288">
        <v>708218.99040000001</v>
      </c>
      <c r="AJ288">
        <v>709178.02930000005</v>
      </c>
      <c r="AK288">
        <v>710393.06669999997</v>
      </c>
      <c r="AL288">
        <v>711850.89300000004</v>
      </c>
      <c r="AM288">
        <v>713512.37650000001</v>
      </c>
      <c r="AN288">
        <v>716006.80660000001</v>
      </c>
      <c r="AO288">
        <v>718382.826</v>
      </c>
      <c r="AP288">
        <v>720766.03339999996</v>
      </c>
      <c r="AQ288">
        <v>723172.31059999997</v>
      </c>
      <c r="AR288">
        <v>727224.45530000003</v>
      </c>
      <c r="AS288">
        <v>729073.37780000002</v>
      </c>
      <c r="AT288">
        <v>731151.76619999995</v>
      </c>
      <c r="AU288">
        <v>733274.54879999999</v>
      </c>
      <c r="AV288">
        <v>735395.41220000002</v>
      </c>
      <c r="AW288">
        <v>737456.7156</v>
      </c>
    </row>
    <row r="289" spans="2:49" x14ac:dyDescent="0.25">
      <c r="B289" t="s">
        <v>480</v>
      </c>
      <c r="C289">
        <v>82711.5521017555</v>
      </c>
      <c r="D289">
        <v>84039.512824558697</v>
      </c>
      <c r="E289">
        <v>85388.794389999995</v>
      </c>
      <c r="F289">
        <v>90803.364149999994</v>
      </c>
      <c r="G289">
        <v>91582.242670000007</v>
      </c>
      <c r="H289">
        <v>94234.599180000005</v>
      </c>
      <c r="I289">
        <v>95051.618849999999</v>
      </c>
      <c r="J289">
        <v>101364.12639999999</v>
      </c>
      <c r="K289">
        <v>105291.49310000001</v>
      </c>
      <c r="L289">
        <v>111666.75260000001</v>
      </c>
      <c r="M289">
        <v>120963.5733</v>
      </c>
      <c r="N289">
        <v>126084.3023</v>
      </c>
      <c r="O289">
        <v>123298.55379999999</v>
      </c>
      <c r="P289">
        <v>123154.76519999999</v>
      </c>
      <c r="Q289">
        <v>127068.26790000001</v>
      </c>
      <c r="R289">
        <v>122606.63860000001</v>
      </c>
      <c r="S289">
        <v>128455.0331</v>
      </c>
      <c r="T289">
        <v>136339.5747</v>
      </c>
      <c r="U289">
        <v>140695.96100000001</v>
      </c>
      <c r="V289">
        <v>148620.28460000001</v>
      </c>
      <c r="W289">
        <v>150154.73379999999</v>
      </c>
      <c r="X289">
        <v>198688.2567</v>
      </c>
      <c r="Y289">
        <v>198253.7095</v>
      </c>
      <c r="Z289">
        <v>196608.30799999999</v>
      </c>
      <c r="AA289">
        <v>195088.52359999999</v>
      </c>
      <c r="AB289">
        <v>193733.755</v>
      </c>
      <c r="AC289">
        <v>224899.10149999999</v>
      </c>
      <c r="AD289">
        <v>221584.00399999999</v>
      </c>
      <c r="AE289">
        <v>218214.21859999999</v>
      </c>
      <c r="AF289">
        <v>214959.72150000001</v>
      </c>
      <c r="AG289">
        <v>211958.97779999999</v>
      </c>
      <c r="AH289">
        <v>225294.2611</v>
      </c>
      <c r="AI289">
        <v>222348.53659999999</v>
      </c>
      <c r="AJ289">
        <v>219829.29269999999</v>
      </c>
      <c r="AK289">
        <v>217537.61670000001</v>
      </c>
      <c r="AL289">
        <v>215387.81709999999</v>
      </c>
      <c r="AM289">
        <v>213371.58609999999</v>
      </c>
      <c r="AN289">
        <v>211223.98269999999</v>
      </c>
      <c r="AO289">
        <v>209362.29759999999</v>
      </c>
      <c r="AP289">
        <v>207868.13430000001</v>
      </c>
      <c r="AQ289">
        <v>206628.5099</v>
      </c>
      <c r="AR289">
        <v>221639.58470000001</v>
      </c>
      <c r="AS289">
        <v>219856.32569999999</v>
      </c>
      <c r="AT289">
        <v>218111.57180000001</v>
      </c>
      <c r="AU289">
        <v>216365.6029</v>
      </c>
      <c r="AV289">
        <v>214584.48190000001</v>
      </c>
      <c r="AW289">
        <v>212801.44159999999</v>
      </c>
    </row>
    <row r="290" spans="2:49" x14ac:dyDescent="0.25">
      <c r="B290" t="s">
        <v>481</v>
      </c>
      <c r="C290">
        <v>45689.201708803201</v>
      </c>
      <c r="D290">
        <v>46422.756620829103</v>
      </c>
      <c r="E290">
        <v>47168.088989999997</v>
      </c>
      <c r="F290">
        <v>48083.418100000003</v>
      </c>
      <c r="G290">
        <v>47737.366000000002</v>
      </c>
      <c r="H290">
        <v>48714.701860000001</v>
      </c>
      <c r="I290">
        <v>49199.905489999997</v>
      </c>
      <c r="J290">
        <v>50585.083140000002</v>
      </c>
      <c r="K290">
        <v>51037.351210000001</v>
      </c>
      <c r="L290">
        <v>51900.752119999997</v>
      </c>
      <c r="M290">
        <v>53545.477229999997</v>
      </c>
      <c r="N290">
        <v>54350.48878</v>
      </c>
      <c r="O290">
        <v>54352.171880000002</v>
      </c>
      <c r="P290">
        <v>54623.889109999996</v>
      </c>
      <c r="Q290">
        <v>54903.541109999998</v>
      </c>
      <c r="R290">
        <v>62145.72393</v>
      </c>
      <c r="S290">
        <v>62034.53082</v>
      </c>
      <c r="T290">
        <v>61601.947950000002</v>
      </c>
      <c r="U290">
        <v>61779.745280000003</v>
      </c>
      <c r="V290">
        <v>61723.755519999999</v>
      </c>
      <c r="W290">
        <v>60421.353609999998</v>
      </c>
      <c r="X290">
        <v>57808.362560000001</v>
      </c>
      <c r="Y290">
        <v>57829.941189999998</v>
      </c>
      <c r="Z290">
        <v>58338.671889999998</v>
      </c>
      <c r="AA290">
        <v>58580.329870000001</v>
      </c>
      <c r="AB290">
        <v>58728.365989999998</v>
      </c>
      <c r="AC290">
        <v>57827.538569999997</v>
      </c>
      <c r="AD290">
        <v>58655.2719</v>
      </c>
      <c r="AE290">
        <v>58781.924200000001</v>
      </c>
      <c r="AF290">
        <v>58924.032749999998</v>
      </c>
      <c r="AG290">
        <v>58994.170510000004</v>
      </c>
      <c r="AH290">
        <v>58266.025419999998</v>
      </c>
      <c r="AI290">
        <v>58799.257389999999</v>
      </c>
      <c r="AJ290">
        <v>59066.817770000001</v>
      </c>
      <c r="AK290">
        <v>59211.331100000003</v>
      </c>
      <c r="AL290">
        <v>59328.992859999998</v>
      </c>
      <c r="AM290">
        <v>59443.563739999998</v>
      </c>
      <c r="AN290">
        <v>59364.370179999998</v>
      </c>
      <c r="AO290">
        <v>59392.621229999997</v>
      </c>
      <c r="AP290">
        <v>59468.589979999997</v>
      </c>
      <c r="AQ290">
        <v>59571.57948</v>
      </c>
      <c r="AR290">
        <v>59137.980259999997</v>
      </c>
      <c r="AS290">
        <v>59458.733670000001</v>
      </c>
      <c r="AT290">
        <v>59644.756809999999</v>
      </c>
      <c r="AU290">
        <v>59771.038509999998</v>
      </c>
      <c r="AV290">
        <v>59875.103999999999</v>
      </c>
      <c r="AW290">
        <v>59959.244530000004</v>
      </c>
    </row>
    <row r="291" spans="2:49" x14ac:dyDescent="0.25">
      <c r="B291" t="s">
        <v>482</v>
      </c>
      <c r="C291">
        <v>562444.78102118801</v>
      </c>
      <c r="D291">
        <v>571475.01390840299</v>
      </c>
      <c r="E291">
        <v>580650.23010000004</v>
      </c>
      <c r="F291">
        <v>593599.11</v>
      </c>
      <c r="G291">
        <v>597259.90659999999</v>
      </c>
      <c r="H291">
        <v>609319.272</v>
      </c>
      <c r="I291">
        <v>617505.52080000006</v>
      </c>
      <c r="J291">
        <v>634070.44460000005</v>
      </c>
      <c r="K291">
        <v>649635.57490000001</v>
      </c>
      <c r="L291">
        <v>668064.22490000003</v>
      </c>
      <c r="M291">
        <v>692735.7977</v>
      </c>
      <c r="N291">
        <v>717797.56530000002</v>
      </c>
      <c r="O291">
        <v>720734.60900000005</v>
      </c>
      <c r="P291">
        <v>720075.99650000001</v>
      </c>
      <c r="Q291">
        <v>718415.10660000006</v>
      </c>
      <c r="R291">
        <v>742797.26560000004</v>
      </c>
      <c r="S291">
        <v>746077.50719999999</v>
      </c>
      <c r="T291">
        <v>748167.49410000001</v>
      </c>
      <c r="U291">
        <v>750582.90769999998</v>
      </c>
      <c r="V291">
        <v>753419.64280000003</v>
      </c>
      <c r="W291">
        <v>754914.46950000001</v>
      </c>
      <c r="X291">
        <v>759651.07649999997</v>
      </c>
      <c r="Y291">
        <v>759071.94579999999</v>
      </c>
      <c r="Z291">
        <v>759342.25820000004</v>
      </c>
      <c r="AA291">
        <v>759696.33680000005</v>
      </c>
      <c r="AB291">
        <v>760150.02309999999</v>
      </c>
      <c r="AC291">
        <v>762890.53110000002</v>
      </c>
      <c r="AD291">
        <v>762485.16410000005</v>
      </c>
      <c r="AE291">
        <v>762935.15319999994</v>
      </c>
      <c r="AF291">
        <v>763862.59439999994</v>
      </c>
      <c r="AG291">
        <v>764736.04009999998</v>
      </c>
      <c r="AH291">
        <v>767366.41559999995</v>
      </c>
      <c r="AI291">
        <v>768111.22210000001</v>
      </c>
      <c r="AJ291">
        <v>769339.29240000003</v>
      </c>
      <c r="AK291">
        <v>770700.76529999997</v>
      </c>
      <c r="AL291">
        <v>772278.4976</v>
      </c>
      <c r="AM291">
        <v>774057.07779999997</v>
      </c>
      <c r="AN291">
        <v>776475.11479999998</v>
      </c>
      <c r="AO291">
        <v>778882.58680000005</v>
      </c>
      <c r="AP291">
        <v>781345.14969999995</v>
      </c>
      <c r="AQ291">
        <v>783857.91700000002</v>
      </c>
      <c r="AR291">
        <v>787477.02709999995</v>
      </c>
      <c r="AS291">
        <v>789649.55209999997</v>
      </c>
      <c r="AT291">
        <v>791917.17039999994</v>
      </c>
      <c r="AU291">
        <v>794169.40480000002</v>
      </c>
      <c r="AV291">
        <v>796397.45</v>
      </c>
      <c r="AW291">
        <v>798545.88009999995</v>
      </c>
    </row>
    <row r="292" spans="2:49" x14ac:dyDescent="0.25">
      <c r="B292" t="s">
        <v>483</v>
      </c>
      <c r="C292">
        <v>241047.76327865999</v>
      </c>
      <c r="D292">
        <v>244917.86308720699</v>
      </c>
      <c r="E292">
        <v>248850.0986</v>
      </c>
      <c r="F292">
        <v>262548.6398</v>
      </c>
      <c r="G292">
        <v>270496.76199999999</v>
      </c>
      <c r="H292">
        <v>280221.70850000001</v>
      </c>
      <c r="I292">
        <v>287537.97360000003</v>
      </c>
      <c r="J292">
        <v>303319.51569999999</v>
      </c>
      <c r="K292">
        <v>321678.22450000001</v>
      </c>
      <c r="L292">
        <v>343856.14110000001</v>
      </c>
      <c r="M292">
        <v>370670.05820000003</v>
      </c>
      <c r="N292">
        <v>399283.8884</v>
      </c>
      <c r="O292">
        <v>398038.02429999999</v>
      </c>
      <c r="P292">
        <v>394638.07209999999</v>
      </c>
      <c r="Q292">
        <v>395867.11259999999</v>
      </c>
      <c r="R292">
        <v>393171.38299999997</v>
      </c>
      <c r="S292">
        <v>404489.81880000001</v>
      </c>
      <c r="T292">
        <v>419043.29969999997</v>
      </c>
      <c r="U292">
        <v>425180.88890000002</v>
      </c>
      <c r="V292">
        <v>428815.67729999998</v>
      </c>
      <c r="W292">
        <v>429873.74650000001</v>
      </c>
      <c r="X292">
        <v>440367.3688</v>
      </c>
      <c r="Y292">
        <v>432210.80410000001</v>
      </c>
      <c r="Z292">
        <v>428889.99839999998</v>
      </c>
      <c r="AA292">
        <v>427733.70779999997</v>
      </c>
      <c r="AB292">
        <v>427421.57390000002</v>
      </c>
      <c r="AC292">
        <v>435897.72769999999</v>
      </c>
      <c r="AD292">
        <v>429488.50030000001</v>
      </c>
      <c r="AE292">
        <v>429225.15649999998</v>
      </c>
      <c r="AF292">
        <v>429167.73499999999</v>
      </c>
      <c r="AG292">
        <v>429663.00559999997</v>
      </c>
      <c r="AH292">
        <v>437594.50540000002</v>
      </c>
      <c r="AI292">
        <v>434768.54710000003</v>
      </c>
      <c r="AJ292">
        <v>434556.89309999999</v>
      </c>
      <c r="AK292">
        <v>435416.87469999999</v>
      </c>
      <c r="AL292">
        <v>436652.26299999998</v>
      </c>
      <c r="AM292">
        <v>438066.22659999999</v>
      </c>
      <c r="AN292">
        <v>441439.7586</v>
      </c>
      <c r="AO292">
        <v>444030.89240000001</v>
      </c>
      <c r="AP292">
        <v>446422.97389999998</v>
      </c>
      <c r="AQ292">
        <v>448714.83990000002</v>
      </c>
      <c r="AR292">
        <v>455628.2095</v>
      </c>
      <c r="AS292">
        <v>455995.49180000002</v>
      </c>
      <c r="AT292">
        <v>457433.315</v>
      </c>
      <c r="AU292">
        <v>459224.59149999998</v>
      </c>
      <c r="AV292">
        <v>461037.06410000002</v>
      </c>
      <c r="AW292">
        <v>462825.47</v>
      </c>
    </row>
    <row r="293" spans="2:49" x14ac:dyDescent="0.25">
      <c r="B293" t="s">
        <v>535</v>
      </c>
      <c r="C293">
        <v>383714635.27038902</v>
      </c>
      <c r="D293">
        <v>389875297.85567099</v>
      </c>
      <c r="E293">
        <v>396134871.89999998</v>
      </c>
      <c r="F293">
        <v>411154338.19999999</v>
      </c>
      <c r="G293">
        <v>421032156.19999999</v>
      </c>
      <c r="H293">
        <v>435442764.19999999</v>
      </c>
      <c r="I293">
        <v>447759932</v>
      </c>
      <c r="J293">
        <v>466484286.30000001</v>
      </c>
      <c r="K293">
        <v>487964247.89999998</v>
      </c>
      <c r="L293">
        <v>512133360.30000001</v>
      </c>
      <c r="M293">
        <v>541226480.20000005</v>
      </c>
      <c r="N293">
        <v>568499807.39999998</v>
      </c>
      <c r="O293">
        <v>572446603.5</v>
      </c>
      <c r="P293">
        <v>571484287</v>
      </c>
      <c r="Q293">
        <v>570171510</v>
      </c>
      <c r="R293">
        <v>583821520</v>
      </c>
      <c r="S293">
        <v>590102478.70000005</v>
      </c>
      <c r="T293">
        <v>594142215.29999995</v>
      </c>
      <c r="U293">
        <v>596524690.20000005</v>
      </c>
      <c r="V293">
        <v>596414362.79999995</v>
      </c>
      <c r="W293">
        <v>597996960.5</v>
      </c>
      <c r="X293">
        <v>587890666.5</v>
      </c>
      <c r="Y293">
        <v>585847655.39999998</v>
      </c>
      <c r="Z293">
        <v>587110416.5</v>
      </c>
      <c r="AA293">
        <v>589675951.39999998</v>
      </c>
      <c r="AB293">
        <v>592746767.10000002</v>
      </c>
      <c r="AC293">
        <v>587585585</v>
      </c>
      <c r="AD293">
        <v>588526897.39999998</v>
      </c>
      <c r="AE293">
        <v>593849867.89999998</v>
      </c>
      <c r="AF293">
        <v>599614782.29999995</v>
      </c>
      <c r="AG293">
        <v>605639175.79999995</v>
      </c>
      <c r="AH293">
        <v>608993553.79999995</v>
      </c>
      <c r="AI293">
        <v>612716923.20000005</v>
      </c>
      <c r="AJ293">
        <v>618260049.70000005</v>
      </c>
      <c r="AK293">
        <v>624546203.70000005</v>
      </c>
      <c r="AL293">
        <v>631230456.89999998</v>
      </c>
      <c r="AM293">
        <v>638184422.79999995</v>
      </c>
      <c r="AN293">
        <v>644310447.20000005</v>
      </c>
      <c r="AO293">
        <v>649786205.20000005</v>
      </c>
      <c r="AP293">
        <v>654981842.5</v>
      </c>
      <c r="AQ293">
        <v>660027594.10000002</v>
      </c>
      <c r="AR293">
        <v>659918182.10000002</v>
      </c>
      <c r="AS293">
        <v>662305216.89999998</v>
      </c>
      <c r="AT293">
        <v>665568870.60000002</v>
      </c>
      <c r="AU293">
        <v>669137679</v>
      </c>
      <c r="AV293">
        <v>672791096</v>
      </c>
      <c r="AW293">
        <v>676440960.5</v>
      </c>
    </row>
    <row r="294" spans="2:49" x14ac:dyDescent="0.25">
      <c r="B294" t="s">
        <v>536</v>
      </c>
      <c r="C294">
        <v>13020.598862561899</v>
      </c>
      <c r="D294">
        <v>13229.6487889324</v>
      </c>
      <c r="E294">
        <v>13442.05508</v>
      </c>
      <c r="F294">
        <v>13760.431629999999</v>
      </c>
      <c r="G294">
        <v>14213.16934</v>
      </c>
      <c r="H294">
        <v>13758.41887</v>
      </c>
      <c r="I294">
        <v>13323.880870000001</v>
      </c>
      <c r="J294">
        <v>13696.888510000001</v>
      </c>
      <c r="K294">
        <v>13995.444810000001</v>
      </c>
      <c r="L294">
        <v>13916.811089999999</v>
      </c>
      <c r="M294">
        <v>14151.318149999999</v>
      </c>
      <c r="N294">
        <v>14639.68643</v>
      </c>
      <c r="O294">
        <v>14969.41662</v>
      </c>
      <c r="P294">
        <v>15283.19053</v>
      </c>
      <c r="Q294">
        <v>15673.568359999999</v>
      </c>
      <c r="R294">
        <v>16056.620070000001</v>
      </c>
      <c r="S294">
        <v>15607.584409999999</v>
      </c>
      <c r="T294">
        <v>14988.299940000001</v>
      </c>
      <c r="U294">
        <v>14822.01123</v>
      </c>
      <c r="V294">
        <v>14711.000690000001</v>
      </c>
      <c r="W294">
        <v>14937.90286</v>
      </c>
      <c r="X294">
        <v>15106.251039999999</v>
      </c>
      <c r="Y294">
        <v>15279.831759999999</v>
      </c>
      <c r="Z294">
        <v>15430.334580000001</v>
      </c>
      <c r="AA294">
        <v>15598.251619999999</v>
      </c>
      <c r="AB294">
        <v>15755.888779999999</v>
      </c>
      <c r="AC294">
        <v>15935.042170000001</v>
      </c>
      <c r="AD294">
        <v>16141.12019</v>
      </c>
      <c r="AE294">
        <v>16316.513989999999</v>
      </c>
      <c r="AF294">
        <v>16497.554820000001</v>
      </c>
      <c r="AG294">
        <v>16698.583579999999</v>
      </c>
      <c r="AH294">
        <v>16940.40265</v>
      </c>
      <c r="AI294">
        <v>17241.66992</v>
      </c>
      <c r="AJ294">
        <v>17559.565630000001</v>
      </c>
      <c r="AK294">
        <v>17868.000120000001</v>
      </c>
      <c r="AL294">
        <v>18184.33484</v>
      </c>
      <c r="AM294">
        <v>18519.003369999999</v>
      </c>
      <c r="AN294">
        <v>18883.337309999999</v>
      </c>
      <c r="AO294">
        <v>19249.399560000002</v>
      </c>
      <c r="AP294">
        <v>19655.49037</v>
      </c>
      <c r="AQ294">
        <v>20089.66084</v>
      </c>
      <c r="AR294">
        <v>20541.991989999999</v>
      </c>
      <c r="AS294">
        <v>21009.438600000001</v>
      </c>
      <c r="AT294">
        <v>21473.85122</v>
      </c>
      <c r="AU294">
        <v>21932.748940000001</v>
      </c>
      <c r="AV294">
        <v>22404.23302</v>
      </c>
      <c r="AW294">
        <v>22877.79996</v>
      </c>
    </row>
    <row r="295" spans="2:49" x14ac:dyDescent="0.25">
      <c r="B295" t="s">
        <v>537</v>
      </c>
      <c r="C295">
        <v>158336.21117690401</v>
      </c>
      <c r="D295">
        <v>160878.35026264799</v>
      </c>
      <c r="E295">
        <v>163461.30420000001</v>
      </c>
      <c r="F295">
        <v>171749.55619999999</v>
      </c>
      <c r="G295">
        <v>178951.21119999999</v>
      </c>
      <c r="H295">
        <v>186028.40460000001</v>
      </c>
      <c r="I295">
        <v>192550.06950000001</v>
      </c>
      <c r="J295">
        <v>202031.46090000001</v>
      </c>
      <c r="K295">
        <v>216502.04759999999</v>
      </c>
      <c r="L295">
        <v>232317.84890000001</v>
      </c>
      <c r="M295">
        <v>249847.08809999999</v>
      </c>
      <c r="N295">
        <v>273455.1139</v>
      </c>
      <c r="O295">
        <v>275027.99369999999</v>
      </c>
      <c r="P295">
        <v>271774.2352</v>
      </c>
      <c r="Q295">
        <v>269162.29320000001</v>
      </c>
      <c r="R295">
        <v>271002.96600000001</v>
      </c>
      <c r="S295">
        <v>276516.12219999998</v>
      </c>
      <c r="T295">
        <v>283259.80410000001</v>
      </c>
      <c r="U295">
        <v>285078.54399999999</v>
      </c>
      <c r="V295">
        <v>281022.85960000003</v>
      </c>
      <c r="W295">
        <v>280570.43569999997</v>
      </c>
      <c r="X295">
        <v>250630.6648</v>
      </c>
      <c r="Y295">
        <v>242720.63510000001</v>
      </c>
      <c r="Z295">
        <v>240877.78649999999</v>
      </c>
      <c r="AA295">
        <v>241127.90160000001</v>
      </c>
      <c r="AB295">
        <v>242077.8959</v>
      </c>
      <c r="AC295">
        <v>222290.6367</v>
      </c>
      <c r="AD295">
        <v>218831.10500000001</v>
      </c>
      <c r="AE295">
        <v>221802.60209999999</v>
      </c>
      <c r="AF295">
        <v>224885.55230000001</v>
      </c>
      <c r="AG295">
        <v>228293.31469999999</v>
      </c>
      <c r="AH295">
        <v>222976.549</v>
      </c>
      <c r="AI295">
        <v>222778.48929999999</v>
      </c>
      <c r="AJ295">
        <v>224913.37109999999</v>
      </c>
      <c r="AK295">
        <v>227962.26689999999</v>
      </c>
      <c r="AL295">
        <v>231280.18359999999</v>
      </c>
      <c r="AM295">
        <v>234667.182</v>
      </c>
      <c r="AN295">
        <v>240244.12030000001</v>
      </c>
      <c r="AO295">
        <v>244724.74549999999</v>
      </c>
      <c r="AP295">
        <v>248629.1588</v>
      </c>
      <c r="AQ295">
        <v>252175.63680000001</v>
      </c>
      <c r="AR295">
        <v>243833.8254</v>
      </c>
      <c r="AS295">
        <v>245710.6447</v>
      </c>
      <c r="AT295">
        <v>248818.973</v>
      </c>
      <c r="AU295">
        <v>252378.16130000001</v>
      </c>
      <c r="AV295">
        <v>256046.23749999999</v>
      </c>
      <c r="AW295">
        <v>259730.88639999999</v>
      </c>
    </row>
    <row r="296" spans="2:49" x14ac:dyDescent="0.25">
      <c r="B296" t="s">
        <v>538</v>
      </c>
      <c r="C296">
        <v>516755.579312385</v>
      </c>
      <c r="D296">
        <v>525052.257287574</v>
      </c>
      <c r="E296">
        <v>533482.14110000001</v>
      </c>
      <c r="F296">
        <v>545515.90280000004</v>
      </c>
      <c r="G296">
        <v>549527.43969999999</v>
      </c>
      <c r="H296">
        <v>560609.57019999996</v>
      </c>
      <c r="I296">
        <v>568310.99879999994</v>
      </c>
      <c r="J296">
        <v>583490.93530000001</v>
      </c>
      <c r="K296">
        <v>598610.53890000004</v>
      </c>
      <c r="L296">
        <v>616179.696</v>
      </c>
      <c r="M296">
        <v>639207.89040000003</v>
      </c>
      <c r="N296">
        <v>663477.98120000004</v>
      </c>
      <c r="O296">
        <v>666413.95250000001</v>
      </c>
      <c r="P296">
        <v>665484.61840000004</v>
      </c>
      <c r="Q296">
        <v>663545.62659999996</v>
      </c>
      <c r="R296">
        <v>680945.75349999999</v>
      </c>
      <c r="S296">
        <v>684339.79299999995</v>
      </c>
      <c r="T296">
        <v>685369.81229999999</v>
      </c>
      <c r="U296">
        <v>687603.57209999999</v>
      </c>
      <c r="V296">
        <v>690492.50199999998</v>
      </c>
      <c r="W296">
        <v>693227.48600000003</v>
      </c>
      <c r="X296">
        <v>700497.71089999995</v>
      </c>
      <c r="Y296">
        <v>699822.07490000001</v>
      </c>
      <c r="Z296">
        <v>699560.58290000004</v>
      </c>
      <c r="AA296">
        <v>699653.96739999996</v>
      </c>
      <c r="AB296">
        <v>699941.10759999999</v>
      </c>
      <c r="AC296">
        <v>703611.93469999998</v>
      </c>
      <c r="AD296">
        <v>702379.10759999999</v>
      </c>
      <c r="AE296">
        <v>702701.85620000004</v>
      </c>
      <c r="AF296">
        <v>703489.32400000002</v>
      </c>
      <c r="AG296">
        <v>704304.94570000004</v>
      </c>
      <c r="AH296">
        <v>707747.47499999998</v>
      </c>
      <c r="AI296">
        <v>707964.3922</v>
      </c>
      <c r="AJ296">
        <v>708944.72930000001</v>
      </c>
      <c r="AK296">
        <v>710189.99710000004</v>
      </c>
      <c r="AL296">
        <v>711682.83030000003</v>
      </c>
      <c r="AM296">
        <v>713384.48679999996</v>
      </c>
      <c r="AN296">
        <v>715930.09979999997</v>
      </c>
      <c r="AO296">
        <v>718364.14560000005</v>
      </c>
      <c r="AP296">
        <v>720813.40249999997</v>
      </c>
      <c r="AQ296">
        <v>723295.96100000001</v>
      </c>
      <c r="AR296">
        <v>727588.82299999997</v>
      </c>
      <c r="AS296">
        <v>729471.06019999995</v>
      </c>
      <c r="AT296">
        <v>731635.95570000005</v>
      </c>
      <c r="AU296">
        <v>733882.54410000006</v>
      </c>
      <c r="AV296">
        <v>736163.92859999998</v>
      </c>
      <c r="AW296">
        <v>738427.92020000005</v>
      </c>
    </row>
    <row r="297" spans="2:49" x14ac:dyDescent="0.25">
      <c r="B297" t="s">
        <v>539</v>
      </c>
      <c r="C297">
        <v>82711.5521017555</v>
      </c>
      <c r="D297">
        <v>84039.512824558697</v>
      </c>
      <c r="E297">
        <v>85388.794389999995</v>
      </c>
      <c r="F297">
        <v>90803.364149999994</v>
      </c>
      <c r="G297">
        <v>91582.242670000007</v>
      </c>
      <c r="H297">
        <v>94234.599180000005</v>
      </c>
      <c r="I297">
        <v>95051.618849999999</v>
      </c>
      <c r="J297">
        <v>101364.12639999999</v>
      </c>
      <c r="K297">
        <v>105291.49310000001</v>
      </c>
      <c r="L297">
        <v>111666.75260000001</v>
      </c>
      <c r="M297">
        <v>120963.5733</v>
      </c>
      <c r="N297">
        <v>126084.3023</v>
      </c>
      <c r="O297">
        <v>123298.55379999999</v>
      </c>
      <c r="P297">
        <v>123154.76519999999</v>
      </c>
      <c r="Q297">
        <v>127068.26790000001</v>
      </c>
      <c r="R297">
        <v>122606.63860000001</v>
      </c>
      <c r="S297">
        <v>128455.0331</v>
      </c>
      <c r="T297">
        <v>136339.5747</v>
      </c>
      <c r="U297">
        <v>140695.96100000001</v>
      </c>
      <c r="V297">
        <v>148620.28460000001</v>
      </c>
      <c r="W297">
        <v>150135.5289</v>
      </c>
      <c r="X297">
        <v>198555.58660000001</v>
      </c>
      <c r="Y297">
        <v>198138.5025</v>
      </c>
      <c r="Z297">
        <v>196581.27900000001</v>
      </c>
      <c r="AA297">
        <v>195162.2003</v>
      </c>
      <c r="AB297">
        <v>193912.6097</v>
      </c>
      <c r="AC297">
        <v>225571.18429999999</v>
      </c>
      <c r="AD297">
        <v>222414.91990000001</v>
      </c>
      <c r="AE297">
        <v>219229.81770000001</v>
      </c>
      <c r="AF297">
        <v>216162.34820000001</v>
      </c>
      <c r="AG297">
        <v>213351.99549999999</v>
      </c>
      <c r="AH297">
        <v>227551.36110000001</v>
      </c>
      <c r="AI297">
        <v>224786.0061</v>
      </c>
      <c r="AJ297">
        <v>222477.0704</v>
      </c>
      <c r="AK297">
        <v>220405.7262</v>
      </c>
      <c r="AL297">
        <v>218474.93659999999</v>
      </c>
      <c r="AM297">
        <v>216674.3781</v>
      </c>
      <c r="AN297">
        <v>214765.11180000001</v>
      </c>
      <c r="AO297">
        <v>213132.625</v>
      </c>
      <c r="AP297">
        <v>211872.20699999999</v>
      </c>
      <c r="AQ297">
        <v>210875.22719999999</v>
      </c>
      <c r="AR297">
        <v>227799.41769999999</v>
      </c>
      <c r="AS297">
        <v>226215.21090000001</v>
      </c>
      <c r="AT297">
        <v>224715.82560000001</v>
      </c>
      <c r="AU297">
        <v>223245.66080000001</v>
      </c>
      <c r="AV297">
        <v>221770.70819999999</v>
      </c>
      <c r="AW297">
        <v>220334.44130000001</v>
      </c>
    </row>
    <row r="298" spans="2:49" x14ac:dyDescent="0.25">
      <c r="B298" t="s">
        <v>540</v>
      </c>
      <c r="C298">
        <v>45689.201708803201</v>
      </c>
      <c r="D298">
        <v>46422.756620829103</v>
      </c>
      <c r="E298">
        <v>47168.088989999997</v>
      </c>
      <c r="F298">
        <v>48083.418100000003</v>
      </c>
      <c r="G298">
        <v>47737.366000000002</v>
      </c>
      <c r="H298">
        <v>48714.701860000001</v>
      </c>
      <c r="I298">
        <v>49199.905489999997</v>
      </c>
      <c r="J298">
        <v>50585.083140000002</v>
      </c>
      <c r="K298">
        <v>51037.351210000001</v>
      </c>
      <c r="L298">
        <v>51900.752119999997</v>
      </c>
      <c r="M298">
        <v>53545.477229999997</v>
      </c>
      <c r="N298">
        <v>54350.48878</v>
      </c>
      <c r="O298">
        <v>54352.171880000002</v>
      </c>
      <c r="P298">
        <v>54623.889109999996</v>
      </c>
      <c r="Q298">
        <v>54903.541109999998</v>
      </c>
      <c r="R298">
        <v>62145.72393</v>
      </c>
      <c r="S298">
        <v>62034.53082</v>
      </c>
      <c r="T298">
        <v>61601.947950000002</v>
      </c>
      <c r="U298">
        <v>61779.745280000003</v>
      </c>
      <c r="V298">
        <v>61723.755519999999</v>
      </c>
      <c r="W298">
        <v>60407.83455</v>
      </c>
      <c r="X298">
        <v>57775.123630000002</v>
      </c>
      <c r="Y298">
        <v>57794.369709999999</v>
      </c>
      <c r="Z298">
        <v>58306.257380000003</v>
      </c>
      <c r="AA298">
        <v>58550.511659999996</v>
      </c>
      <c r="AB298">
        <v>58700.875319999999</v>
      </c>
      <c r="AC298">
        <v>57793.27491</v>
      </c>
      <c r="AD298">
        <v>58628.715640000002</v>
      </c>
      <c r="AE298">
        <v>58762.043559999998</v>
      </c>
      <c r="AF298">
        <v>58910.334669999997</v>
      </c>
      <c r="AG298">
        <v>58987.914989999997</v>
      </c>
      <c r="AH298">
        <v>58247.490380000003</v>
      </c>
      <c r="AI298">
        <v>58798.490160000001</v>
      </c>
      <c r="AJ298">
        <v>59078.656849999999</v>
      </c>
      <c r="AK298">
        <v>59233.722950000003</v>
      </c>
      <c r="AL298">
        <v>59361.168700000002</v>
      </c>
      <c r="AM298">
        <v>59485.31323</v>
      </c>
      <c r="AN298">
        <v>59417.727509999997</v>
      </c>
      <c r="AO298">
        <v>59457.598960000003</v>
      </c>
      <c r="AP298">
        <v>59545.463539999997</v>
      </c>
      <c r="AQ298">
        <v>59661.254999999997</v>
      </c>
      <c r="AR298">
        <v>59190.766199999998</v>
      </c>
      <c r="AS298">
        <v>59554.194940000001</v>
      </c>
      <c r="AT298">
        <v>59769.538509999998</v>
      </c>
      <c r="AU298">
        <v>59921.013760000002</v>
      </c>
      <c r="AV298">
        <v>60050.620340000001</v>
      </c>
      <c r="AW298">
        <v>60162.884189999997</v>
      </c>
    </row>
    <row r="299" spans="2:49" x14ac:dyDescent="0.25">
      <c r="B299" t="s">
        <v>541</v>
      </c>
      <c r="C299">
        <v>562444.78102118801</v>
      </c>
      <c r="D299">
        <v>571475.01390840299</v>
      </c>
      <c r="E299">
        <v>580650.23010000004</v>
      </c>
      <c r="F299">
        <v>593599.11</v>
      </c>
      <c r="G299">
        <v>597259.90659999999</v>
      </c>
      <c r="H299">
        <v>609319.272</v>
      </c>
      <c r="I299">
        <v>617505.52080000006</v>
      </c>
      <c r="J299">
        <v>634070.44460000005</v>
      </c>
      <c r="K299">
        <v>649635.57490000001</v>
      </c>
      <c r="L299">
        <v>668064.22490000003</v>
      </c>
      <c r="M299">
        <v>692735.7977</v>
      </c>
      <c r="N299">
        <v>717797.56530000002</v>
      </c>
      <c r="O299">
        <v>720734.60900000005</v>
      </c>
      <c r="P299">
        <v>720075.99650000001</v>
      </c>
      <c r="Q299">
        <v>718415.10660000006</v>
      </c>
      <c r="R299">
        <v>742797.26560000004</v>
      </c>
      <c r="S299">
        <v>746077.50719999999</v>
      </c>
      <c r="T299">
        <v>748167.49410000001</v>
      </c>
      <c r="U299">
        <v>750582.90769999998</v>
      </c>
      <c r="V299">
        <v>753419.64280000003</v>
      </c>
      <c r="W299">
        <v>754822.61699999997</v>
      </c>
      <c r="X299">
        <v>759384.05960000004</v>
      </c>
      <c r="Y299">
        <v>758726.66280000005</v>
      </c>
      <c r="Z299">
        <v>758975.16020000004</v>
      </c>
      <c r="AA299">
        <v>759312.85069999995</v>
      </c>
      <c r="AB299">
        <v>759750.86840000004</v>
      </c>
      <c r="AC299">
        <v>762506.41280000005</v>
      </c>
      <c r="AD299">
        <v>762101.48679999996</v>
      </c>
      <c r="AE299">
        <v>762558.12970000005</v>
      </c>
      <c r="AF299">
        <v>763495.1801</v>
      </c>
      <c r="AG299">
        <v>764389.66489999997</v>
      </c>
      <c r="AH299">
        <v>767087.31039999996</v>
      </c>
      <c r="AI299">
        <v>767854.07860000001</v>
      </c>
      <c r="AJ299">
        <v>769116.06669999997</v>
      </c>
      <c r="AK299">
        <v>770518.37239999999</v>
      </c>
      <c r="AL299">
        <v>772140.95640000002</v>
      </c>
      <c r="AM299">
        <v>773969.35250000004</v>
      </c>
      <c r="AN299">
        <v>776450.29709999997</v>
      </c>
      <c r="AO299">
        <v>778927.52780000004</v>
      </c>
      <c r="AP299">
        <v>781468.15370000002</v>
      </c>
      <c r="AQ299">
        <v>784070.13549999997</v>
      </c>
      <c r="AR299">
        <v>787892.65480000002</v>
      </c>
      <c r="AS299">
        <v>790141.15330000001</v>
      </c>
      <c r="AT299">
        <v>792524.74719999998</v>
      </c>
      <c r="AU299">
        <v>794926.19429999997</v>
      </c>
      <c r="AV299">
        <v>797340.57050000003</v>
      </c>
      <c r="AW299">
        <v>799720.14619999996</v>
      </c>
    </row>
    <row r="300" spans="2:49" x14ac:dyDescent="0.25">
      <c r="B300" t="s">
        <v>542</v>
      </c>
      <c r="C300">
        <v>241047.76327865999</v>
      </c>
      <c r="D300">
        <v>244917.86308720699</v>
      </c>
      <c r="E300">
        <v>248850.0986</v>
      </c>
      <c r="F300">
        <v>262548.6398</v>
      </c>
      <c r="G300">
        <v>270496.76199999999</v>
      </c>
      <c r="H300">
        <v>280221.70850000001</v>
      </c>
      <c r="I300">
        <v>287537.97360000003</v>
      </c>
      <c r="J300">
        <v>303319.51569999999</v>
      </c>
      <c r="K300">
        <v>321678.22450000001</v>
      </c>
      <c r="L300">
        <v>343856.14110000001</v>
      </c>
      <c r="M300">
        <v>370670.05820000003</v>
      </c>
      <c r="N300">
        <v>399283.8884</v>
      </c>
      <c r="O300">
        <v>398038.02429999999</v>
      </c>
      <c r="P300">
        <v>394638.07209999999</v>
      </c>
      <c r="Q300">
        <v>395867.11259999999</v>
      </c>
      <c r="R300">
        <v>393171.38299999997</v>
      </c>
      <c r="S300">
        <v>404489.81880000001</v>
      </c>
      <c r="T300">
        <v>419043.29969999997</v>
      </c>
      <c r="U300">
        <v>425180.88890000002</v>
      </c>
      <c r="V300">
        <v>428815.67729999998</v>
      </c>
      <c r="W300">
        <v>429869.723</v>
      </c>
      <c r="X300">
        <v>440280.4338</v>
      </c>
      <c r="Y300">
        <v>432070.51419999998</v>
      </c>
      <c r="Z300">
        <v>428738.21950000001</v>
      </c>
      <c r="AA300">
        <v>427588.93119999999</v>
      </c>
      <c r="AB300">
        <v>427289.64789999998</v>
      </c>
      <c r="AC300">
        <v>435883.80420000001</v>
      </c>
      <c r="AD300">
        <v>429444.81040000002</v>
      </c>
      <c r="AE300">
        <v>429195.12070000003</v>
      </c>
      <c r="AF300">
        <v>429168.44669999997</v>
      </c>
      <c r="AG300">
        <v>429707.29820000002</v>
      </c>
      <c r="AH300">
        <v>437925.91379999998</v>
      </c>
      <c r="AI300">
        <v>435038.4</v>
      </c>
      <c r="AJ300">
        <v>434847.7732</v>
      </c>
      <c r="AK300">
        <v>435769.5575</v>
      </c>
      <c r="AL300">
        <v>437088.1899</v>
      </c>
      <c r="AM300">
        <v>438601.44280000002</v>
      </c>
      <c r="AN300">
        <v>442107.91019999998</v>
      </c>
      <c r="AO300">
        <v>444837.52519999997</v>
      </c>
      <c r="AP300">
        <v>447379.9951</v>
      </c>
      <c r="AQ300">
        <v>449836.94290000002</v>
      </c>
      <c r="AR300">
        <v>457475.00260000001</v>
      </c>
      <c r="AS300">
        <v>457746.57290000003</v>
      </c>
      <c r="AT300">
        <v>459286.00520000001</v>
      </c>
      <c r="AU300">
        <v>461287.37550000002</v>
      </c>
      <c r="AV300">
        <v>463388.81400000001</v>
      </c>
      <c r="AW300">
        <v>465544.30430000002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9">
    <tabColor rgb="FF0070C0"/>
  </sheetPr>
  <dimension ref="A1:BV376"/>
  <sheetViews>
    <sheetView tabSelected="1" topLeftCell="A64" zoomScale="80" zoomScaleNormal="80" workbookViewId="0">
      <selection activeCell="I79" sqref="I79"/>
    </sheetView>
  </sheetViews>
  <sheetFormatPr baseColWidth="10" defaultRowHeight="15" x14ac:dyDescent="0.25"/>
  <cols>
    <col min="1" max="2" width="29.85546875" customWidth="1"/>
    <col min="6" max="7" width="11.42578125" customWidth="1"/>
    <col min="9" max="9" width="13.140625" customWidth="1"/>
    <col min="10" max="12" width="11.42578125" style="3"/>
    <col min="13" max="13" width="11.42578125" style="3" customWidth="1"/>
    <col min="14" max="15" width="11.42578125" style="3"/>
    <col min="16" max="16" width="13.42578125" style="3" customWidth="1"/>
    <col min="17" max="19" width="11.42578125" style="3"/>
    <col min="20" max="20" width="11.42578125" style="3" customWidth="1"/>
    <col min="21" max="74" width="11.42578125" style="3"/>
  </cols>
  <sheetData>
    <row r="1" spans="1:28" ht="23.25" x14ac:dyDescent="0.35">
      <c r="A1" s="1" t="s">
        <v>86</v>
      </c>
      <c r="B1" s="46"/>
      <c r="C1" s="3"/>
      <c r="D1" s="3"/>
      <c r="E1" s="3"/>
      <c r="F1" s="3"/>
      <c r="G1" s="3"/>
      <c r="H1" s="3"/>
      <c r="I1" s="3"/>
    </row>
    <row r="2" spans="1:28" ht="18.75" x14ac:dyDescent="0.3">
      <c r="A2" s="41"/>
      <c r="B2" s="41"/>
      <c r="C2" s="3"/>
      <c r="D2" s="3"/>
      <c r="E2" s="3"/>
      <c r="F2" s="3"/>
      <c r="G2" s="3"/>
      <c r="H2" s="3"/>
      <c r="I2" s="3"/>
      <c r="R2" s="41"/>
      <c r="V2" s="45"/>
      <c r="W2" s="45"/>
    </row>
    <row r="3" spans="1:28" ht="23.25" x14ac:dyDescent="0.35">
      <c r="A3" s="161" t="str">
        <f>Résultats!B1</f>
        <v>SNBC3</v>
      </c>
      <c r="B3" s="161"/>
      <c r="C3" s="3"/>
      <c r="D3" s="3"/>
      <c r="E3" s="3"/>
      <c r="F3" s="3"/>
      <c r="G3" s="3"/>
      <c r="H3" s="3"/>
      <c r="I3" s="3"/>
      <c r="R3" s="41"/>
      <c r="V3" s="45"/>
      <c r="W3" s="45"/>
    </row>
    <row r="4" spans="1:28" x14ac:dyDescent="0.25">
      <c r="A4" s="3"/>
      <c r="B4" s="3"/>
      <c r="C4" s="43"/>
      <c r="D4" s="43"/>
      <c r="E4" s="43"/>
      <c r="F4" s="43"/>
      <c r="G4" s="44"/>
      <c r="H4" s="3"/>
      <c r="I4" s="3"/>
      <c r="J4" s="44"/>
      <c r="K4" s="44"/>
      <c r="L4" s="44"/>
      <c r="M4" s="44"/>
      <c r="O4" s="42"/>
      <c r="Q4" s="44"/>
      <c r="R4" s="44"/>
      <c r="S4" s="44"/>
      <c r="T4" s="44"/>
      <c r="X4" s="44"/>
      <c r="Y4" s="44"/>
      <c r="Z4" s="44"/>
      <c r="AA4" s="44"/>
    </row>
    <row r="5" spans="1:28" ht="21" x14ac:dyDescent="0.35">
      <c r="A5" s="145">
        <v>2015</v>
      </c>
      <c r="B5" s="186"/>
      <c r="C5" s="4" t="s">
        <v>36</v>
      </c>
      <c r="D5" s="4" t="s">
        <v>37</v>
      </c>
      <c r="E5" s="4" t="s">
        <v>38</v>
      </c>
      <c r="F5" s="4" t="s">
        <v>39</v>
      </c>
      <c r="G5" s="4" t="s">
        <v>40</v>
      </c>
      <c r="H5" s="93" t="s">
        <v>1</v>
      </c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</row>
    <row r="6" spans="1:28" x14ac:dyDescent="0.25">
      <c r="A6" s="162" t="s">
        <v>18</v>
      </c>
      <c r="B6" s="187"/>
      <c r="C6" s="36">
        <f>C7+C8</f>
        <v>0</v>
      </c>
      <c r="D6" s="36">
        <f>D7+D8</f>
        <v>108.25752271503917</v>
      </c>
      <c r="E6" s="36">
        <f>E7+E8</f>
        <v>0.70226219876175477</v>
      </c>
      <c r="F6" s="36">
        <f>F7+F8</f>
        <v>0.35943574499816494</v>
      </c>
      <c r="G6" s="36">
        <f>G7+G8</f>
        <v>0</v>
      </c>
      <c r="H6" s="163">
        <f t="shared" ref="H6:H15" si="0">SUM(C6:G6)</f>
        <v>109.3192206587991</v>
      </c>
      <c r="I6" s="166"/>
      <c r="J6" s="166"/>
      <c r="K6" s="166" t="s">
        <v>89</v>
      </c>
      <c r="L6" s="166"/>
      <c r="M6" s="166"/>
      <c r="N6" s="38"/>
      <c r="O6" s="206"/>
      <c r="P6" s="206"/>
      <c r="Q6" s="206"/>
      <c r="R6" s="206"/>
      <c r="S6" s="206"/>
      <c r="T6" s="207"/>
      <c r="U6" s="38"/>
      <c r="V6" s="45"/>
      <c r="W6" s="82"/>
      <c r="X6" s="208"/>
      <c r="Y6" s="208"/>
      <c r="Z6" s="208"/>
      <c r="AA6" s="208"/>
      <c r="AB6" s="208"/>
    </row>
    <row r="7" spans="1:28" x14ac:dyDescent="0.25">
      <c r="A7" s="148" t="s">
        <v>19</v>
      </c>
      <c r="B7" s="35"/>
      <c r="C7" s="16">
        <v>0</v>
      </c>
      <c r="D7" s="16">
        <f>'T energie usages'!I12*3.2*Résultats!L283</f>
        <v>62.189782537939173</v>
      </c>
      <c r="E7" s="16">
        <f>'T energie usages'!J12/'T energie usages'!J$20*(Résultats!N$192+Résultats!N$193+Résultats!N$194)/1000000</f>
        <v>9.9222872152638451E-3</v>
      </c>
      <c r="F7" s="16">
        <f>'T energie usages'!K12*2.394*Résultats!L284</f>
        <v>1.6229498164904513E-5</v>
      </c>
      <c r="G7" s="16">
        <v>0</v>
      </c>
      <c r="H7" s="95">
        <f t="shared" si="0"/>
        <v>62.199721054652599</v>
      </c>
      <c r="I7" s="166"/>
      <c r="J7" s="166"/>
      <c r="K7" s="194"/>
      <c r="L7" s="195">
        <v>2020</v>
      </c>
      <c r="M7" s="195">
        <v>2030</v>
      </c>
      <c r="N7" s="196">
        <v>2050</v>
      </c>
      <c r="O7" s="206"/>
      <c r="P7" s="206"/>
      <c r="Q7" s="206"/>
      <c r="R7" s="206"/>
      <c r="S7" s="206"/>
      <c r="T7" s="207"/>
      <c r="U7" s="38"/>
      <c r="V7" s="45"/>
      <c r="W7" s="30"/>
      <c r="X7" s="208"/>
      <c r="Y7" s="208"/>
      <c r="Z7" s="208"/>
      <c r="AA7" s="208"/>
      <c r="AB7" s="208"/>
    </row>
    <row r="8" spans="1:28" x14ac:dyDescent="0.25">
      <c r="A8" s="149" t="s">
        <v>20</v>
      </c>
      <c r="B8" s="35"/>
      <c r="C8" s="16">
        <v>0</v>
      </c>
      <c r="D8" s="16">
        <f>(Résultats!N$183+Résultats!N$184+Résultats!N$185+Résultats!N$186+Résultats!N$187)/1000000</f>
        <v>46.067740177099999</v>
      </c>
      <c r="E8" s="16">
        <f>'T energie usages'!J13/'T energie usages'!J$20*(Résultats!N$192+Résultats!N$193+Résultats!N$194)/1000000</f>
        <v>0.69233991154649088</v>
      </c>
      <c r="F8" s="16">
        <f>(Résultats!N$209+Résultats!N$210+Résultats!N$211+Résultats!N$212+Résultats!N$213)/1000000</f>
        <v>0.35941951550000006</v>
      </c>
      <c r="G8" s="16">
        <v>0</v>
      </c>
      <c r="H8" s="95">
        <f t="shared" si="0"/>
        <v>47.11949960414649</v>
      </c>
      <c r="I8" s="166"/>
      <c r="J8" s="166"/>
      <c r="K8" s="197" t="s">
        <v>18</v>
      </c>
      <c r="L8" s="45">
        <f>H19</f>
        <v>104.62830193899198</v>
      </c>
      <c r="M8" s="45">
        <f>H45</f>
        <v>92.494767457199828</v>
      </c>
      <c r="N8" s="86">
        <f>H71</f>
        <v>65.456640506429579</v>
      </c>
      <c r="O8" s="206"/>
      <c r="P8" s="206"/>
      <c r="Q8" s="206"/>
      <c r="R8" s="206"/>
      <c r="S8" s="206"/>
      <c r="T8" s="207"/>
      <c r="U8" s="38"/>
      <c r="V8" s="45"/>
      <c r="W8" s="30"/>
      <c r="X8" s="208"/>
      <c r="Y8" s="208"/>
      <c r="Z8" s="208"/>
      <c r="AA8" s="208"/>
      <c r="AB8" s="208"/>
    </row>
    <row r="9" spans="1:28" x14ac:dyDescent="0.25">
      <c r="A9" s="162" t="s">
        <v>21</v>
      </c>
      <c r="B9" s="187"/>
      <c r="C9" s="36">
        <f>Résultats!N$135/1000000</f>
        <v>1.0160770610000001</v>
      </c>
      <c r="D9" s="36">
        <f>'T energie usages'!I14*3.2*Résultats!L283</f>
        <v>18.608027861123972</v>
      </c>
      <c r="E9" s="36">
        <f>'T energie usages'!J14/'T energie usages'!J$20*(Résultats!N$192+Résultats!N$193+Résultats!N$194)/1000000</f>
        <v>7.5038653789386718</v>
      </c>
      <c r="F9" s="36">
        <f>('T energie usages'!K14-8)*2.394*Résultats!L284</f>
        <v>17.90602040665831</v>
      </c>
      <c r="G9" s="36">
        <v>0</v>
      </c>
      <c r="H9" s="163">
        <f t="shared" si="0"/>
        <v>45.03399070772096</v>
      </c>
      <c r="I9" s="166"/>
      <c r="J9" s="166"/>
      <c r="K9" s="197" t="s">
        <v>87</v>
      </c>
      <c r="L9" s="45">
        <f>H22</f>
        <v>40.939432117275487</v>
      </c>
      <c r="M9" s="45">
        <f>H48</f>
        <v>35.444134217458242</v>
      </c>
      <c r="N9" s="86">
        <f>H74</f>
        <v>25.057652879666971</v>
      </c>
      <c r="O9" s="206"/>
      <c r="P9" s="206"/>
      <c r="Q9" s="206"/>
      <c r="R9" s="206"/>
      <c r="S9" s="206"/>
      <c r="T9" s="207"/>
      <c r="U9" s="38"/>
      <c r="V9" s="45"/>
      <c r="W9" s="82"/>
      <c r="X9" s="208"/>
      <c r="Y9" s="208"/>
      <c r="Z9" s="208"/>
      <c r="AA9" s="208"/>
      <c r="AB9" s="208"/>
    </row>
    <row r="10" spans="1:28" x14ac:dyDescent="0.25">
      <c r="A10" s="162" t="s">
        <v>22</v>
      </c>
      <c r="B10" s="187"/>
      <c r="C10" s="36">
        <f>(Résultats!N$168+Résultats!N$169)/1000000</f>
        <v>0</v>
      </c>
      <c r="D10" s="36">
        <f>(Résultats!N$188+Résultats!N$189)/1000000</f>
        <v>9.1846924009999995</v>
      </c>
      <c r="E10" s="36">
        <f>'T energie usages'!J15/'T energie usages'!J$20*(Résultats!N$192+Résultats!N$193+Résultats!N$194)/1000000</f>
        <v>6.3170364954217408</v>
      </c>
      <c r="F10" s="36">
        <f>(Résultats!N$214+Résultats!N$215)/1000000</f>
        <v>13.175886590999999</v>
      </c>
      <c r="G10" s="36">
        <v>0</v>
      </c>
      <c r="H10" s="163">
        <f t="shared" si="0"/>
        <v>28.67761548742174</v>
      </c>
      <c r="I10" s="166"/>
      <c r="J10" s="166"/>
      <c r="K10" s="157" t="s">
        <v>22</v>
      </c>
      <c r="L10" s="45">
        <f>H23</f>
        <v>23.774801494933776</v>
      </c>
      <c r="M10" s="45">
        <f>H49</f>
        <v>19.60366482998317</v>
      </c>
      <c r="N10" s="86">
        <f>H75</f>
        <v>10.959086935751616</v>
      </c>
      <c r="O10" s="206"/>
      <c r="P10" s="206"/>
      <c r="Q10" s="206"/>
      <c r="R10" s="206"/>
      <c r="S10" s="206"/>
      <c r="T10" s="207"/>
      <c r="U10" s="38"/>
      <c r="V10" s="45"/>
      <c r="W10" s="82"/>
      <c r="X10" s="208"/>
      <c r="Y10" s="208"/>
      <c r="Z10" s="208"/>
      <c r="AA10" s="208"/>
      <c r="AB10" s="208"/>
    </row>
    <row r="11" spans="1:28" x14ac:dyDescent="0.25">
      <c r="A11" s="162" t="s">
        <v>23</v>
      </c>
      <c r="B11" s="187"/>
      <c r="C11" s="36">
        <f>C12+C13</f>
        <v>20.022394484899998</v>
      </c>
      <c r="D11" s="36">
        <f>D12+D13</f>
        <v>55.064111713917896</v>
      </c>
      <c r="E11" s="36">
        <f>E12+E13</f>
        <v>6.1585106798778293</v>
      </c>
      <c r="F11" s="36">
        <f>F12+F13</f>
        <v>21.939880180688426</v>
      </c>
      <c r="G11" s="36">
        <f>G12+G13</f>
        <v>12.05881789</v>
      </c>
      <c r="H11" s="163">
        <f t="shared" si="0"/>
        <v>115.24371494938416</v>
      </c>
      <c r="I11" s="166"/>
      <c r="J11" s="166"/>
      <c r="K11" s="198" t="s">
        <v>88</v>
      </c>
      <c r="L11" s="199">
        <f>H24</f>
        <v>88.301833205998719</v>
      </c>
      <c r="M11" s="199">
        <f>H50</f>
        <v>84.181609776125498</v>
      </c>
      <c r="N11" s="89">
        <f>H76</f>
        <v>80.578126486037064</v>
      </c>
      <c r="O11" s="206"/>
      <c r="P11" s="206"/>
      <c r="Q11" s="206"/>
      <c r="R11" s="206"/>
      <c r="S11" s="206"/>
      <c r="T11" s="207"/>
      <c r="U11" s="38"/>
      <c r="V11" s="45"/>
      <c r="W11" s="82"/>
      <c r="X11" s="208"/>
      <c r="Y11" s="208"/>
      <c r="Z11" s="208"/>
      <c r="AA11" s="208"/>
      <c r="AB11" s="208"/>
    </row>
    <row r="12" spans="1:28" x14ac:dyDescent="0.25">
      <c r="A12" s="149" t="s">
        <v>24</v>
      </c>
      <c r="B12" s="35"/>
      <c r="C12" s="16">
        <f>(Résultats!N$162+Résultats!N$163+Résultats!N$164+Résultats!N$165+Résultats!N$166+Résultats!N$167)/1000000</f>
        <v>20.022394484899998</v>
      </c>
      <c r="D12" s="16">
        <f>(Résultats!N$171+Résultats!N$173+Résultats!N$174+Résultats!N$175+Résultats!N$176+Résultats!N$177+Résultats!N$178+Résultats!N$179+Résultats!N$180+Résultats!N$181+Résultats!N$182)/1000000</f>
        <v>49.040110728917895</v>
      </c>
      <c r="E12" s="16">
        <f>'T energie usages'!J17/'T energie usages'!J$20*(Résultats!N$192+Résultats!N$193+Résultats!N$194)/1000000</f>
        <v>5.9839902410062775</v>
      </c>
      <c r="F12" s="16">
        <f>(Résultats!N$197+Résultats!N$198+Résultats!N$199+Résultats!N$200+Résultats!N$201+Résultats!N$202+Résultats!N$203+Résultats!N$204+Résultats!N$205+Résultats!N$206+Résultats!N$207+Résultats!N$208+Résultats!N$216+Résultats!N$218)/1000000</f>
        <v>21.371170435788425</v>
      </c>
      <c r="G12" s="16">
        <f>Résultats!N$133/1000000</f>
        <v>12.05881789</v>
      </c>
      <c r="H12" s="95">
        <f t="shared" si="0"/>
        <v>108.47648378061261</v>
      </c>
      <c r="I12" s="166"/>
      <c r="J12" s="166"/>
      <c r="K12" s="200" t="s">
        <v>1</v>
      </c>
      <c r="L12" s="188">
        <f>SUM(L8:L11)</f>
        <v>257.64436875719991</v>
      </c>
      <c r="M12" s="188">
        <f t="shared" ref="M12:N12" si="1">SUM(M8:M11)</f>
        <v>231.72417628076673</v>
      </c>
      <c r="N12" s="188">
        <f t="shared" si="1"/>
        <v>182.05150680788523</v>
      </c>
      <c r="O12" s="206"/>
      <c r="P12" s="206"/>
      <c r="Q12" s="206"/>
      <c r="R12" s="206"/>
      <c r="S12" s="206"/>
      <c r="T12" s="207"/>
      <c r="U12" s="38"/>
      <c r="V12" s="45"/>
      <c r="W12" s="30"/>
      <c r="X12" s="208"/>
      <c r="Y12" s="208"/>
      <c r="Z12" s="208"/>
      <c r="AA12" s="208"/>
      <c r="AB12" s="208"/>
    </row>
    <row r="13" spans="1:28" x14ac:dyDescent="0.25">
      <c r="A13" s="149" t="s">
        <v>25</v>
      </c>
      <c r="B13" s="35"/>
      <c r="C13" s="16">
        <v>0</v>
      </c>
      <c r="D13" s="16">
        <f>(Résultats!N$172)/1000000</f>
        <v>6.0240009850000007</v>
      </c>
      <c r="E13" s="16">
        <f>'T energie usages'!J19/'T energie usages'!J$20*(Résultats!N$192+Résultats!N$193+Résultats!N$194)/1000000</f>
        <v>0.17452043887155139</v>
      </c>
      <c r="F13" s="16">
        <f>(Résultats!N$196)/1000000</f>
        <v>0.56870974490000004</v>
      </c>
      <c r="G13" s="16">
        <v>0</v>
      </c>
      <c r="H13" s="95">
        <f t="shared" si="0"/>
        <v>6.7672311687715521</v>
      </c>
      <c r="I13" s="166"/>
      <c r="J13" s="166"/>
      <c r="K13" s="166"/>
      <c r="L13" s="166"/>
      <c r="M13" s="166"/>
      <c r="N13" s="38"/>
      <c r="O13" s="206"/>
      <c r="P13" s="206"/>
      <c r="Q13" s="206"/>
      <c r="R13" s="206"/>
      <c r="S13" s="206"/>
      <c r="T13" s="207"/>
      <c r="U13" s="38"/>
      <c r="V13" s="45"/>
      <c r="W13" s="30"/>
      <c r="X13" s="208"/>
      <c r="Y13" s="208"/>
      <c r="Z13" s="208"/>
      <c r="AA13" s="208"/>
      <c r="AB13" s="208"/>
    </row>
    <row r="14" spans="1:28" x14ac:dyDescent="0.25">
      <c r="A14" s="48" t="s">
        <v>41</v>
      </c>
      <c r="B14" s="37"/>
      <c r="C14" s="37">
        <f>SUM(C9:C11)+C6</f>
        <v>21.038471545899998</v>
      </c>
      <c r="D14" s="37">
        <f>SUM(D9:D11)+D6</f>
        <v>191.11435469108102</v>
      </c>
      <c r="E14" s="37">
        <f>SUM(E9:E11)+E6</f>
        <v>20.681674752999996</v>
      </c>
      <c r="F14" s="37">
        <f>SUM(F9:F11)+F6</f>
        <v>53.3812229233449</v>
      </c>
      <c r="G14" s="37">
        <f>SUM(G9:G11)+G6</f>
        <v>12.05881789</v>
      </c>
      <c r="H14" s="167">
        <f t="shared" si="0"/>
        <v>298.27454180332592</v>
      </c>
      <c r="I14" s="166"/>
      <c r="J14" s="166"/>
      <c r="K14" s="166"/>
      <c r="L14" s="166"/>
      <c r="M14" s="166"/>
      <c r="N14" s="38"/>
      <c r="O14" s="206"/>
      <c r="P14" s="206"/>
      <c r="Q14" s="206"/>
      <c r="R14" s="206"/>
      <c r="S14" s="206"/>
      <c r="T14" s="207"/>
      <c r="U14" s="38"/>
      <c r="V14" s="45"/>
      <c r="W14" s="80"/>
      <c r="X14" s="208"/>
      <c r="Y14" s="208"/>
      <c r="Z14" s="208"/>
      <c r="AA14" s="208"/>
      <c r="AB14" s="208"/>
    </row>
    <row r="15" spans="1:28" x14ac:dyDescent="0.25">
      <c r="A15" s="164" t="s">
        <v>43</v>
      </c>
      <c r="B15" s="164"/>
      <c r="C15" s="165">
        <f>(Résultats!N$135+Résultats!N$162+Résultats!N$163+Résultats!N$164+Résultats!N$165+Résultats!N$166+Résultats!N$167+Résultats!N$168+Résultats!N$169)/1000000</f>
        <v>21.038471545899998</v>
      </c>
      <c r="D15" s="165">
        <f>(Résultats!N$137+Résultats!N$171+Résultats!N$172+Résultats!N$173+Résultats!N$174+Résultats!N$175+Résultats!N$176+Résultats!N$177+Résultats!N$178+Résultats!N$179+Résultats!N$180+Résultats!N$181+Résultats!N$182+Résultats!N$183+Résultats!N$184+Résultats!N$185+Résultats!N$186+Résultats!N$187+Résultats!N$188+Résultats!N$189)/1000000</f>
        <v>206.52208861201777</v>
      </c>
      <c r="E15" s="165">
        <f>(Résultats!N$192+Résultats!N$193+Résultats!N$194)/1000000</f>
        <v>20.681674752999999</v>
      </c>
      <c r="F15" s="165">
        <f>(Résultats!N$139+Résultats!N$196+Résultats!N$197+Résultats!N$198+Résultats!N$199+Résultats!N$200+Résultats!N$201+Résultats!N$202+Résultats!N$203+Résultats!N$204+Résultats!N$205+Résultats!N$206+Résultats!N$207+Résultats!N$208+Résultats!N$209+Résultats!N$210+Résultats!N$211+Résultats!N$212+Résultats!N$213+Résultats!N$214+Résultats!N$215+Résultats!N$216+Résultats!N$218)/1000000</f>
        <v>65.225184257188431</v>
      </c>
      <c r="G15" s="165">
        <f>Résultats!N$133/1000000</f>
        <v>12.05881789</v>
      </c>
      <c r="H15" s="188">
        <f t="shared" si="0"/>
        <v>325.52623705810618</v>
      </c>
      <c r="I15" s="166"/>
      <c r="J15" s="166"/>
      <c r="K15" s="166"/>
      <c r="L15" s="166"/>
      <c r="M15" s="207"/>
      <c r="N15" s="45"/>
      <c r="O15" s="166"/>
      <c r="P15" s="166"/>
      <c r="Q15" s="166"/>
      <c r="R15" s="166"/>
      <c r="S15" s="207"/>
      <c r="T15" s="207"/>
      <c r="U15" s="45"/>
      <c r="V15" s="45"/>
      <c r="W15" s="79"/>
      <c r="X15" s="208"/>
      <c r="Y15" s="208"/>
      <c r="Z15" s="208"/>
      <c r="AA15" s="208"/>
      <c r="AB15" s="208"/>
    </row>
    <row r="16" spans="1:28" x14ac:dyDescent="0.25">
      <c r="A16" s="164"/>
      <c r="B16" s="164"/>
      <c r="C16" s="189"/>
      <c r="D16" s="189"/>
      <c r="E16" s="189"/>
      <c r="F16" s="189"/>
      <c r="G16" s="189"/>
      <c r="H16" s="165">
        <f>Résultats!N227/1000000</f>
        <v>325.52623639999996</v>
      </c>
      <c r="I16" s="166"/>
      <c r="J16" s="166"/>
      <c r="K16" s="166"/>
      <c r="L16" s="166"/>
      <c r="M16" s="207"/>
      <c r="N16" s="209"/>
      <c r="O16" s="166"/>
      <c r="P16" s="166"/>
      <c r="Q16" s="166"/>
      <c r="R16" s="166"/>
      <c r="S16" s="207"/>
      <c r="T16" s="207"/>
      <c r="U16" s="209"/>
      <c r="V16" s="209"/>
      <c r="W16" s="210"/>
      <c r="X16" s="208"/>
      <c r="Y16" s="208"/>
      <c r="Z16" s="208"/>
      <c r="AA16" s="208"/>
      <c r="AB16" s="208"/>
    </row>
    <row r="17" spans="1:28" x14ac:dyDescent="0.25">
      <c r="A17" s="3"/>
      <c r="B17" s="3"/>
      <c r="C17" s="75"/>
      <c r="D17" s="75"/>
      <c r="E17" s="75"/>
      <c r="F17" s="75"/>
      <c r="G17" s="75"/>
      <c r="H17" s="45"/>
      <c r="I17" s="166"/>
      <c r="J17" s="166"/>
      <c r="K17" s="166"/>
      <c r="L17" s="166"/>
      <c r="M17" s="207"/>
      <c r="O17" s="166"/>
      <c r="P17" s="166"/>
      <c r="Q17" s="166"/>
      <c r="R17" s="166"/>
      <c r="S17" s="207"/>
      <c r="T17" s="207"/>
      <c r="X17" s="208"/>
      <c r="Y17" s="208"/>
      <c r="Z17" s="208"/>
      <c r="AA17" s="208"/>
      <c r="AB17" s="208"/>
    </row>
    <row r="18" spans="1:28" ht="21" x14ac:dyDescent="0.35">
      <c r="A18" s="145">
        <v>2020</v>
      </c>
      <c r="B18" s="186"/>
      <c r="C18" s="27" t="s">
        <v>36</v>
      </c>
      <c r="D18" s="27" t="s">
        <v>37</v>
      </c>
      <c r="E18" s="27" t="s">
        <v>38</v>
      </c>
      <c r="F18" s="27" t="s">
        <v>39</v>
      </c>
      <c r="G18" s="27" t="s">
        <v>40</v>
      </c>
      <c r="H18" s="190" t="s">
        <v>1</v>
      </c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W18" s="19"/>
      <c r="X18" s="19"/>
      <c r="Y18" s="19"/>
      <c r="Z18" s="19"/>
      <c r="AA18" s="19"/>
      <c r="AB18" s="208"/>
    </row>
    <row r="19" spans="1:28" x14ac:dyDescent="0.25">
      <c r="A19" s="162" t="s">
        <v>18</v>
      </c>
      <c r="B19" s="187"/>
      <c r="C19" s="36">
        <f>C20+C21</f>
        <v>0</v>
      </c>
      <c r="D19" s="36">
        <f>D20+D21</f>
        <v>103.41548335145043</v>
      </c>
      <c r="E19" s="36">
        <f>E20+E21</f>
        <v>0.81993653596632654</v>
      </c>
      <c r="F19" s="36">
        <f>F20+F21</f>
        <v>0.39288205157522194</v>
      </c>
      <c r="G19" s="36">
        <f>G20+G21</f>
        <v>0</v>
      </c>
      <c r="H19" s="163">
        <f>SUM(C19:G19)</f>
        <v>104.62830193899198</v>
      </c>
      <c r="I19" s="166"/>
      <c r="J19" s="166"/>
      <c r="K19" s="166"/>
      <c r="L19" s="166"/>
      <c r="M19" s="166"/>
      <c r="N19" s="38"/>
      <c r="O19" s="206"/>
      <c r="P19" s="206"/>
      <c r="Q19" s="206"/>
      <c r="R19" s="206"/>
      <c r="S19" s="206"/>
      <c r="T19" s="207"/>
      <c r="U19" s="75"/>
      <c r="W19" s="82"/>
      <c r="X19" s="208"/>
      <c r="Y19" s="208"/>
      <c r="Z19" s="208"/>
      <c r="AA19" s="208"/>
      <c r="AB19" s="208"/>
    </row>
    <row r="20" spans="1:28" x14ac:dyDescent="0.25">
      <c r="A20" s="148" t="s">
        <v>19</v>
      </c>
      <c r="B20" s="35"/>
      <c r="C20" s="16">
        <v>0</v>
      </c>
      <c r="D20" s="16">
        <f>'T energie usages'!I25*3.2*Résultats!S283</f>
        <v>58.999481538450439</v>
      </c>
      <c r="E20" s="16">
        <f>'T energie usages'!J25/'T energie usages'!J$33*(Résultats!S$192+Résultats!S$193+Résultats!S$194)/1000000</f>
        <v>3.9412676298812573E-2</v>
      </c>
      <c r="F20" s="16">
        <f>'T energie usages'!K25*2.394*Résultats!S284</f>
        <v>2.062627522189854E-5</v>
      </c>
      <c r="G20" s="16">
        <v>0</v>
      </c>
      <c r="H20" s="95">
        <f>SUM(C20:G20)</f>
        <v>59.038914841024472</v>
      </c>
      <c r="I20" s="166"/>
      <c r="J20" s="166"/>
      <c r="K20" s="166"/>
      <c r="L20" s="166"/>
      <c r="M20" s="166"/>
      <c r="N20" s="38"/>
      <c r="O20" s="206"/>
      <c r="P20" s="206"/>
      <c r="Q20" s="206"/>
      <c r="R20" s="206"/>
      <c r="S20" s="206"/>
      <c r="T20" s="207"/>
      <c r="U20" s="16"/>
      <c r="W20" s="30"/>
      <c r="X20" s="208"/>
      <c r="Y20" s="208"/>
      <c r="Z20" s="208"/>
      <c r="AA20" s="208"/>
      <c r="AB20" s="208"/>
    </row>
    <row r="21" spans="1:28" x14ac:dyDescent="0.25">
      <c r="A21" s="149" t="s">
        <v>20</v>
      </c>
      <c r="B21" s="35"/>
      <c r="C21" s="16">
        <v>0</v>
      </c>
      <c r="D21" s="16">
        <f>(Résultats!S$183+Résultats!S$184+Résultats!S$185+Résultats!S$186+Résultats!S$187)/1000000</f>
        <v>44.416001813000001</v>
      </c>
      <c r="E21" s="16">
        <f>'T energie usages'!J26/'T energie usages'!J$33*(Résultats!S$192+Résultats!S$193+Résultats!S$194)/1000000</f>
        <v>0.78052385966751392</v>
      </c>
      <c r="F21" s="16">
        <f>(Résultats!S$209+Résultats!S$210+Résultats!S$211+Résultats!S$212+Résultats!S$213)/1000000</f>
        <v>0.39286142530000001</v>
      </c>
      <c r="G21" s="16">
        <v>0</v>
      </c>
      <c r="H21" s="95">
        <f>SUM(C21:G21)</f>
        <v>45.58938709796751</v>
      </c>
      <c r="I21" s="166"/>
      <c r="J21" s="166"/>
      <c r="K21" s="166"/>
      <c r="L21" s="166"/>
      <c r="M21" s="166"/>
      <c r="N21" s="38"/>
      <c r="O21" s="206"/>
      <c r="P21" s="206"/>
      <c r="Q21" s="206"/>
      <c r="R21" s="206"/>
      <c r="S21" s="206"/>
      <c r="T21" s="207"/>
      <c r="U21" s="16"/>
      <c r="W21" s="30"/>
      <c r="X21" s="208"/>
      <c r="Y21" s="208"/>
      <c r="Z21" s="208"/>
      <c r="AA21" s="208"/>
      <c r="AB21" s="208"/>
    </row>
    <row r="22" spans="1:28" x14ac:dyDescent="0.25">
      <c r="A22" s="162" t="s">
        <v>21</v>
      </c>
      <c r="B22" s="187"/>
      <c r="C22" s="36">
        <f>Résultats!S$135/1000000</f>
        <v>0.97730369900000003</v>
      </c>
      <c r="D22" s="36">
        <f>'T energie usages'!I27*3.2*Résultats!S283</f>
        <v>16.377258898553162</v>
      </c>
      <c r="E22" s="36">
        <f>'T energie usages'!J27/'T energie usages'!J$33*(Résultats!S$192+Résultats!S$193+Résultats!S$194)/1000000</f>
        <v>7.8574594253611849</v>
      </c>
      <c r="F22" s="36">
        <f>('T energie usages'!K27-8)*2.394*Résultats!S284</f>
        <v>15.72741009436114</v>
      </c>
      <c r="G22" s="36">
        <v>0</v>
      </c>
      <c r="H22" s="163">
        <f>SUM(C22:G22)</f>
        <v>40.939432117275487</v>
      </c>
      <c r="I22" s="166"/>
      <c r="J22" s="166"/>
      <c r="K22" s="166"/>
      <c r="L22" s="166"/>
      <c r="M22" s="166"/>
      <c r="N22" s="38"/>
      <c r="O22" s="206"/>
      <c r="P22" s="206"/>
      <c r="Q22" s="206"/>
      <c r="R22" s="206"/>
      <c r="S22" s="206"/>
      <c r="T22" s="207"/>
      <c r="U22" s="75"/>
      <c r="W22" s="82"/>
      <c r="X22" s="208"/>
      <c r="Y22" s="208"/>
      <c r="Z22" s="208"/>
      <c r="AA22" s="208"/>
      <c r="AB22" s="208"/>
    </row>
    <row r="23" spans="1:28" x14ac:dyDescent="0.25">
      <c r="A23" s="162" t="s">
        <v>22</v>
      </c>
      <c r="B23" s="187"/>
      <c r="C23" s="36">
        <f>(Résultats!S$168+Résultats!S$169)/1000000</f>
        <v>0</v>
      </c>
      <c r="D23" s="36">
        <f>(Résultats!S$188+Résultats!S$189)/1000000</f>
        <v>6.5983413382</v>
      </c>
      <c r="E23" s="36">
        <f>'T energie usages'!J28/'T energie usages'!J$33*(Résultats!S$192+Résultats!S$193+Résultats!S$194)/1000000</f>
        <v>6.0577003587337757</v>
      </c>
      <c r="F23" s="36">
        <f>(Résultats!S$214+Résultats!S$215)/1000000</f>
        <v>11.118759798000001</v>
      </c>
      <c r="G23" s="36">
        <v>0</v>
      </c>
      <c r="H23" s="163">
        <f t="shared" ref="H23:H28" si="2">SUM(C23:G23)</f>
        <v>23.774801494933776</v>
      </c>
      <c r="I23" s="166"/>
      <c r="J23" s="166"/>
      <c r="K23" s="166"/>
      <c r="L23" s="166"/>
      <c r="M23" s="166"/>
      <c r="N23" s="38"/>
      <c r="O23" s="206"/>
      <c r="P23" s="206"/>
      <c r="Q23" s="206"/>
      <c r="R23" s="206"/>
      <c r="S23" s="206"/>
      <c r="T23" s="207"/>
      <c r="U23" s="75"/>
      <c r="W23" s="82"/>
      <c r="X23" s="208"/>
      <c r="Y23" s="208"/>
      <c r="Z23" s="208"/>
      <c r="AA23" s="208"/>
      <c r="AB23" s="208"/>
    </row>
    <row r="24" spans="1:28" x14ac:dyDescent="0.25">
      <c r="A24" s="162" t="s">
        <v>23</v>
      </c>
      <c r="B24" s="187"/>
      <c r="C24" s="36">
        <f>C25+C26</f>
        <v>10.582869987700001</v>
      </c>
      <c r="D24" s="36">
        <f>D25+D26</f>
        <v>37.606338327942581</v>
      </c>
      <c r="E24" s="36">
        <f>E25+E26</f>
        <v>5.0562282428027938</v>
      </c>
      <c r="F24" s="36">
        <f>F25+F26</f>
        <v>21.992017037553332</v>
      </c>
      <c r="G24" s="36">
        <f>G25+G26</f>
        <v>13.06437961</v>
      </c>
      <c r="H24" s="163">
        <f t="shared" si="2"/>
        <v>88.301833205998719</v>
      </c>
      <c r="I24" s="166"/>
      <c r="J24" s="166"/>
      <c r="K24" s="166"/>
      <c r="L24" s="166"/>
      <c r="M24" s="166"/>
      <c r="N24" s="38"/>
      <c r="O24" s="206"/>
      <c r="P24" s="206"/>
      <c r="Q24" s="206"/>
      <c r="R24" s="206"/>
      <c r="S24" s="206"/>
      <c r="T24" s="207"/>
      <c r="U24" s="75"/>
      <c r="W24" s="82"/>
      <c r="X24" s="208"/>
      <c r="Y24" s="208"/>
      <c r="Z24" s="208"/>
      <c r="AA24" s="208"/>
      <c r="AB24" s="208"/>
    </row>
    <row r="25" spans="1:28" x14ac:dyDescent="0.25">
      <c r="A25" s="149" t="s">
        <v>24</v>
      </c>
      <c r="B25" s="35"/>
      <c r="C25" s="16">
        <f>(Résultats!S$162+Résultats!S$163+Résultats!S$164+Résultats!S$165+Résultats!S$166+Résultats!S$167)/1000000</f>
        <v>10.582869987700001</v>
      </c>
      <c r="D25" s="16">
        <f>(Résultats!S$171+Résultats!S$173+Résultats!S$174+Résultats!S$175+Résultats!S$176+Résultats!S$177+Résultats!S$178+Résultats!S$179+Résultats!S$180+Résultats!S$181+Résultats!S$182)/1000000</f>
        <v>31.801411708942581</v>
      </c>
      <c r="E25" s="16">
        <f>'T energie usages'!J30/'T energie usages'!J$33*(Résultats!S$192+Résultats!S$193+Résultats!S$194)/1000000</f>
        <v>4.8864636989387131</v>
      </c>
      <c r="F25" s="16">
        <f>(Résultats!S$197+Résultats!S$198+Résultats!S$199+Résultats!S$200+Résultats!S$201+Résultats!S$202+Résultats!S$203+Résultats!S$204+Résultats!S$205+Résultats!S$206+Résultats!S$207+Résultats!S$208+Résultats!S$216+Résultats!S$218)/1000000</f>
        <v>21.46903706535333</v>
      </c>
      <c r="G25" s="16">
        <f>Résultats!S$133/1000000</f>
        <v>13.06437961</v>
      </c>
      <c r="H25" s="95">
        <f t="shared" si="2"/>
        <v>81.804162070934623</v>
      </c>
      <c r="I25" s="166"/>
      <c r="J25" s="166"/>
      <c r="K25" s="166"/>
      <c r="L25" s="166"/>
      <c r="M25" s="166"/>
      <c r="N25" s="38"/>
      <c r="O25" s="206"/>
      <c r="P25" s="206"/>
      <c r="Q25" s="206"/>
      <c r="R25" s="206"/>
      <c r="S25" s="206"/>
      <c r="T25" s="207"/>
      <c r="U25" s="16"/>
      <c r="W25" s="30"/>
      <c r="X25" s="208"/>
      <c r="Y25" s="208"/>
      <c r="Z25" s="208"/>
      <c r="AA25" s="208"/>
      <c r="AB25" s="208"/>
    </row>
    <row r="26" spans="1:28" x14ac:dyDescent="0.25">
      <c r="A26" s="149" t="s">
        <v>25</v>
      </c>
      <c r="B26" s="35"/>
      <c r="C26" s="16">
        <v>0</v>
      </c>
      <c r="D26" s="16">
        <f>(Résultats!S$172)/1000000</f>
        <v>5.8049266189999997</v>
      </c>
      <c r="E26" s="16">
        <f>'T energie usages'!J32/'T energie usages'!J$33*(Résultats!S$192+Résultats!S$193+Résultats!S$194)/1000000</f>
        <v>0.16976454386408107</v>
      </c>
      <c r="F26" s="16">
        <f>(Résultats!S$196)/1000000</f>
        <v>0.52297997220000003</v>
      </c>
      <c r="G26" s="16">
        <v>0</v>
      </c>
      <c r="H26" s="95">
        <f t="shared" si="2"/>
        <v>6.4976711350640803</v>
      </c>
      <c r="I26" s="166"/>
      <c r="J26" s="166"/>
      <c r="K26" s="166"/>
      <c r="L26" s="166"/>
      <c r="M26" s="166"/>
      <c r="N26" s="38"/>
      <c r="O26" s="206"/>
      <c r="P26" s="206"/>
      <c r="Q26" s="206"/>
      <c r="R26" s="206"/>
      <c r="S26" s="206"/>
      <c r="T26" s="207"/>
      <c r="U26" s="16"/>
      <c r="W26" s="30"/>
      <c r="X26" s="208"/>
      <c r="Y26" s="208"/>
      <c r="Z26" s="208"/>
      <c r="AA26" s="208"/>
      <c r="AB26" s="208"/>
    </row>
    <row r="27" spans="1:28" x14ac:dyDescent="0.25">
      <c r="A27" s="48" t="s">
        <v>41</v>
      </c>
      <c r="B27" s="37"/>
      <c r="C27" s="37">
        <f>SUM(C22:C24)+C19</f>
        <v>11.560173686700001</v>
      </c>
      <c r="D27" s="37">
        <f>SUM(D22:D24)+D19</f>
        <v>163.99742191614618</v>
      </c>
      <c r="E27" s="37">
        <f>SUM(E22:E24)+E19</f>
        <v>19.791324562864084</v>
      </c>
      <c r="F27" s="37">
        <f>SUM(F22:F24)+F19</f>
        <v>49.231068981489692</v>
      </c>
      <c r="G27" s="37">
        <f>SUM(G22:G24)+G19</f>
        <v>13.06437961</v>
      </c>
      <c r="H27" s="167">
        <f t="shared" si="2"/>
        <v>257.64436875719997</v>
      </c>
      <c r="I27" s="166"/>
      <c r="J27" s="166"/>
      <c r="K27" s="166"/>
      <c r="L27" s="166"/>
      <c r="M27" s="166"/>
      <c r="N27" s="38"/>
      <c r="O27" s="206"/>
      <c r="P27" s="206"/>
      <c r="Q27" s="206"/>
      <c r="R27" s="206"/>
      <c r="S27" s="206"/>
      <c r="T27" s="207"/>
      <c r="U27" s="79"/>
      <c r="W27" s="80"/>
      <c r="X27" s="208"/>
      <c r="Y27" s="208"/>
      <c r="Z27" s="208"/>
      <c r="AA27" s="208"/>
      <c r="AB27" s="208"/>
    </row>
    <row r="28" spans="1:28" x14ac:dyDescent="0.25">
      <c r="A28" s="164" t="s">
        <v>43</v>
      </c>
      <c r="B28" s="164"/>
      <c r="C28" s="165">
        <f>(Résultats!S$135+Résultats!S$162+Résultats!S$163+Résultats!S$164+Résultats!S$165+Résultats!S$166+Résultats!S$167+Résultats!S$168+Résultats!S$169)/1000000</f>
        <v>11.560173686700001</v>
      </c>
      <c r="D28" s="165">
        <f>(Résultats!S$137+Résultats!S$171+Résultats!S$172+Résultats!S$173+Résultats!S$174+Résultats!S$175+Résultats!S$176+Résultats!S$177+Résultats!S$178+Résultats!S$179+Résultats!S$180+Résultats!S$181+Résultats!S$182+Résultats!S$183+Résultats!S$184+Résultats!S$185+Résultats!S$186+Résultats!S$187+Résultats!S$188+Résultats!S$189)/1000000</f>
        <v>179.11313019914255</v>
      </c>
      <c r="E28" s="165">
        <f>(Résultats!S$192+Résultats!S$193+Résultats!S$194)/1000000</f>
        <v>19.621560019</v>
      </c>
      <c r="F28" s="165">
        <f>(Résultats!S$139+Résultats!S$196+Résultats!S$197+Résultats!S$198+Résultats!S$199+Résultats!S$200+Résultats!S$201+Résultats!S$202+Résultats!S$203+Résultats!S$204+Résultats!S$205+Résultats!S$206+Résultats!S$207+Résultats!S$208+Résultats!S$209+Résultats!S$210+Résultats!S$211+Résultats!S$212+Résultats!S$213+Résultats!S$214+Résultats!S$215+Résultats!S$216+Résultats!S$218)/1000000</f>
        <v>61.747249950853316</v>
      </c>
      <c r="G28" s="165">
        <f>Résultats!S$133/1000000</f>
        <v>13.06437961</v>
      </c>
      <c r="H28" s="188">
        <f t="shared" si="2"/>
        <v>285.10649346569585</v>
      </c>
      <c r="I28" s="166"/>
      <c r="J28" s="166"/>
      <c r="K28" s="166"/>
      <c r="L28" s="166"/>
      <c r="M28" s="166"/>
      <c r="N28" s="45"/>
      <c r="O28" s="166"/>
      <c r="P28" s="166"/>
      <c r="Q28" s="166"/>
      <c r="R28" s="166"/>
      <c r="S28" s="166"/>
      <c r="T28" s="207"/>
      <c r="U28" s="45"/>
      <c r="V28" s="45"/>
      <c r="W28" s="45"/>
      <c r="X28" s="208"/>
      <c r="Y28" s="208"/>
      <c r="Z28" s="208"/>
      <c r="AA28" s="208"/>
      <c r="AB28" s="208"/>
    </row>
    <row r="29" spans="1:28" x14ac:dyDescent="0.25">
      <c r="A29" s="164"/>
      <c r="B29" s="164"/>
      <c r="C29" s="189"/>
      <c r="D29" s="189"/>
      <c r="E29" s="189"/>
      <c r="F29" s="189"/>
      <c r="G29" s="189"/>
      <c r="H29" s="165">
        <f>Résultats!S227/1000000</f>
        <v>285.10649289999998</v>
      </c>
      <c r="I29" s="166"/>
      <c r="J29" s="166"/>
      <c r="K29" s="166"/>
      <c r="L29" s="166"/>
      <c r="M29" s="166"/>
      <c r="N29" s="45"/>
      <c r="O29" s="166"/>
      <c r="P29" s="166"/>
      <c r="Q29" s="166"/>
      <c r="R29" s="166"/>
      <c r="S29" s="166"/>
      <c r="T29" s="207"/>
      <c r="U29" s="45"/>
      <c r="V29" s="45"/>
      <c r="W29" s="45"/>
      <c r="X29" s="208"/>
      <c r="Y29" s="208"/>
      <c r="Z29" s="208"/>
      <c r="AA29" s="208"/>
      <c r="AB29" s="208"/>
    </row>
    <row r="30" spans="1:28" x14ac:dyDescent="0.25">
      <c r="A30" s="3"/>
      <c r="B30" s="3"/>
      <c r="C30" s="191"/>
      <c r="D30" s="191"/>
      <c r="E30" s="191"/>
      <c r="F30" s="191"/>
      <c r="G30" s="75"/>
      <c r="H30" s="45"/>
      <c r="I30" s="166"/>
      <c r="J30" s="166"/>
      <c r="K30" s="166"/>
      <c r="L30" s="166"/>
      <c r="N30" s="45"/>
      <c r="O30" s="166"/>
      <c r="P30" s="166"/>
      <c r="Q30" s="166"/>
      <c r="R30" s="166"/>
      <c r="S30" s="166"/>
      <c r="T30" s="207"/>
      <c r="U30" s="45"/>
      <c r="V30" s="45"/>
      <c r="W30" s="45"/>
      <c r="X30" s="208"/>
      <c r="Y30" s="208"/>
      <c r="Z30" s="208"/>
      <c r="AA30" s="208"/>
      <c r="AB30" s="208"/>
    </row>
    <row r="31" spans="1:28" ht="21" x14ac:dyDescent="0.35">
      <c r="A31" s="145">
        <v>2025</v>
      </c>
      <c r="B31" s="186"/>
      <c r="C31" s="27" t="s">
        <v>36</v>
      </c>
      <c r="D31" s="27" t="s">
        <v>37</v>
      </c>
      <c r="E31" s="27" t="s">
        <v>38</v>
      </c>
      <c r="F31" s="27" t="s">
        <v>39</v>
      </c>
      <c r="G31" s="27" t="s">
        <v>40</v>
      </c>
      <c r="H31" s="190" t="s">
        <v>1</v>
      </c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45"/>
      <c r="W31" s="19"/>
      <c r="X31" s="19"/>
      <c r="Y31" s="19"/>
      <c r="Z31" s="19"/>
      <c r="AA31" s="19"/>
      <c r="AB31" s="208"/>
    </row>
    <row r="32" spans="1:28" x14ac:dyDescent="0.25">
      <c r="A32" s="162" t="s">
        <v>18</v>
      </c>
      <c r="B32" s="187"/>
      <c r="C32" s="36">
        <f>C33+C34</f>
        <v>0</v>
      </c>
      <c r="D32" s="36">
        <f>D33+D34</f>
        <v>98.819476874027188</v>
      </c>
      <c r="E32" s="36">
        <f>E33+E34</f>
        <v>1.2227697826633455</v>
      </c>
      <c r="F32" s="36">
        <f>F33+F34</f>
        <v>0.7042829722086239</v>
      </c>
      <c r="G32" s="36">
        <f>G33+G34</f>
        <v>0</v>
      </c>
      <c r="H32" s="163">
        <f>SUM(C32:G32)</f>
        <v>100.74652962889917</v>
      </c>
      <c r="I32" s="166"/>
      <c r="J32" s="166"/>
      <c r="K32" s="166"/>
      <c r="L32" s="166"/>
      <c r="M32" s="166"/>
      <c r="N32" s="38"/>
      <c r="O32" s="206"/>
      <c r="P32" s="206"/>
      <c r="Q32" s="206"/>
      <c r="R32" s="206"/>
      <c r="S32" s="206"/>
      <c r="T32" s="207"/>
      <c r="U32" s="75"/>
      <c r="V32" s="45"/>
      <c r="W32" s="82"/>
      <c r="X32" s="208"/>
      <c r="Y32" s="208"/>
      <c r="Z32" s="208"/>
      <c r="AA32" s="208"/>
      <c r="AB32" s="208"/>
    </row>
    <row r="33" spans="1:28" x14ac:dyDescent="0.25">
      <c r="A33" s="148" t="s">
        <v>19</v>
      </c>
      <c r="B33" s="35"/>
      <c r="C33" s="16">
        <v>0</v>
      </c>
      <c r="D33" s="16">
        <f>'T energie usages'!I64*3.2*Résultats!X283</f>
        <v>53.802115591027189</v>
      </c>
      <c r="E33" s="16">
        <f>'T energie usages'!J64/'T energie usages'!J$72*(Résultats!X$192+Résultats!X$193+Résultats!X$194)/1000000</f>
        <v>0.11083764811135842</v>
      </c>
      <c r="F33" s="16">
        <f>'T energie usages'!K64*2.394*Résultats!X284</f>
        <v>2.9144988623951076E-5</v>
      </c>
      <c r="G33" s="16">
        <v>0</v>
      </c>
      <c r="H33" s="95">
        <f>SUM(C33:G33)</f>
        <v>53.912982384127169</v>
      </c>
      <c r="I33" s="166"/>
      <c r="J33" s="166"/>
      <c r="K33" s="166"/>
      <c r="L33" s="166"/>
      <c r="M33" s="166"/>
      <c r="N33" s="38"/>
      <c r="O33" s="206"/>
      <c r="P33" s="206"/>
      <c r="Q33" s="206"/>
      <c r="R33" s="206"/>
      <c r="S33" s="206"/>
      <c r="T33" s="207"/>
      <c r="U33" s="16"/>
      <c r="V33" s="45"/>
      <c r="W33" s="30"/>
      <c r="X33" s="208"/>
      <c r="Y33" s="208"/>
      <c r="Z33" s="208"/>
      <c r="AA33" s="208"/>
      <c r="AB33" s="208"/>
    </row>
    <row r="34" spans="1:28" x14ac:dyDescent="0.25">
      <c r="A34" s="149" t="s">
        <v>20</v>
      </c>
      <c r="B34" s="35"/>
      <c r="C34" s="16">
        <v>0</v>
      </c>
      <c r="D34" s="16">
        <f>(Résultats!X$183+Résultats!X$184+Résultats!X$185+Résultats!X$186+Résultats!X$187)/1000000</f>
        <v>45.017361283</v>
      </c>
      <c r="E34" s="16">
        <f>'T energie usages'!J65/'T energie usages'!J$72*(Résultats!X$192+Résultats!X$193+Résultats!X$194)/1000000</f>
        <v>1.111932134551987</v>
      </c>
      <c r="F34" s="16">
        <f>(Résultats!X$209+Résultats!X$210+Résultats!X$211+Résultats!X$212+Résultats!X$213)/1000000</f>
        <v>0.70425382721999996</v>
      </c>
      <c r="G34" s="16">
        <v>0</v>
      </c>
      <c r="H34" s="95">
        <f>SUM(C34:G34)</f>
        <v>46.833547244771985</v>
      </c>
      <c r="I34" s="166"/>
      <c r="J34" s="166"/>
      <c r="K34" s="166"/>
      <c r="L34" s="166"/>
      <c r="M34" s="166"/>
      <c r="N34" s="38"/>
      <c r="O34" s="206"/>
      <c r="P34" s="206"/>
      <c r="Q34" s="206"/>
      <c r="R34" s="206"/>
      <c r="S34" s="206"/>
      <c r="T34" s="207"/>
      <c r="U34" s="16"/>
      <c r="V34" s="45"/>
      <c r="W34" s="30"/>
      <c r="X34" s="208"/>
      <c r="Y34" s="208"/>
      <c r="Z34" s="208"/>
      <c r="AA34" s="208"/>
      <c r="AB34" s="208"/>
    </row>
    <row r="35" spans="1:28" x14ac:dyDescent="0.25">
      <c r="A35" s="162" t="s">
        <v>21</v>
      </c>
      <c r="B35" s="187"/>
      <c r="C35" s="36">
        <f>Résultats!X$135/1000000</f>
        <v>0.89382659380000007</v>
      </c>
      <c r="D35" s="36">
        <f>'T energie usages'!I66*3.2*Résultats!X283</f>
        <v>15.24480611397156</v>
      </c>
      <c r="E35" s="36">
        <f>'T energie usages'!J66/'T energie usages'!J$72*(Résultats!X$192+Résultats!X$193+Résultats!X$194)/1000000</f>
        <v>7.4739996395969301</v>
      </c>
      <c r="F35" s="36">
        <f>('T energie usages'!K66-8)*2.394*Résultats!X284</f>
        <v>12.857288220867307</v>
      </c>
      <c r="G35" s="36">
        <v>0</v>
      </c>
      <c r="H35" s="163">
        <f>SUM(C35:G35)</f>
        <v>36.469920568235793</v>
      </c>
      <c r="I35" s="166"/>
      <c r="J35" s="166"/>
      <c r="K35" s="166"/>
      <c r="L35" s="166"/>
      <c r="M35" s="166"/>
      <c r="N35" s="38"/>
      <c r="O35" s="206"/>
      <c r="P35" s="206"/>
      <c r="Q35" s="206"/>
      <c r="R35" s="206"/>
      <c r="S35" s="206"/>
      <c r="T35" s="207"/>
      <c r="U35" s="75"/>
      <c r="V35" s="45"/>
      <c r="W35" s="82"/>
      <c r="X35" s="208"/>
      <c r="Y35" s="208"/>
      <c r="Z35" s="208"/>
      <c r="AA35" s="208"/>
      <c r="AB35" s="208"/>
    </row>
    <row r="36" spans="1:28" x14ac:dyDescent="0.25">
      <c r="A36" s="162" t="s">
        <v>22</v>
      </c>
      <c r="B36" s="187"/>
      <c r="C36" s="36">
        <f>(Résultats!X$168+Résultats!X$169)/1000000</f>
        <v>0</v>
      </c>
      <c r="D36" s="36">
        <f>(Résultats!X$188+Résultats!X$189)/1000000</f>
        <v>6.115833190900001</v>
      </c>
      <c r="E36" s="36">
        <f>'T energie usages'!J67/'T energie usages'!J$72*(Résultats!X$192+Résultats!X$193+Résultats!X$194)/1000000</f>
        <v>5.6577253938405354</v>
      </c>
      <c r="F36" s="36">
        <f>(Résultats!X$214+Résultats!X$215)/1000000</f>
        <v>9.7295686090000011</v>
      </c>
      <c r="G36" s="36">
        <v>0</v>
      </c>
      <c r="H36" s="163">
        <f t="shared" ref="H36:H41" si="3">SUM(C36:G36)</f>
        <v>21.503127193740539</v>
      </c>
      <c r="I36" s="166"/>
      <c r="J36" s="166"/>
      <c r="K36" s="166"/>
      <c r="L36" s="166"/>
      <c r="M36" s="166"/>
      <c r="N36" s="38"/>
      <c r="O36" s="206"/>
      <c r="P36" s="206"/>
      <c r="Q36" s="206"/>
      <c r="R36" s="206"/>
      <c r="S36" s="206"/>
      <c r="T36" s="207"/>
      <c r="U36" s="75"/>
      <c r="V36" s="45"/>
      <c r="W36" s="82"/>
      <c r="X36" s="208"/>
      <c r="Y36" s="208"/>
      <c r="Z36" s="208"/>
      <c r="AA36" s="208"/>
      <c r="AB36" s="208"/>
    </row>
    <row r="37" spans="1:28" x14ac:dyDescent="0.25">
      <c r="A37" s="162" t="s">
        <v>23</v>
      </c>
      <c r="B37" s="187"/>
      <c r="C37" s="36">
        <f>C38+C39</f>
        <v>9.9777375029999913</v>
      </c>
      <c r="D37" s="36">
        <f>D38+D39</f>
        <v>38.507459200328832</v>
      </c>
      <c r="E37" s="36">
        <f>E38+E39</f>
        <v>5.0428888208906875</v>
      </c>
      <c r="F37" s="36">
        <f>F38+F39</f>
        <v>19.205175886694484</v>
      </c>
      <c r="G37" s="36">
        <f>G38+G39</f>
        <v>13.716668910000001</v>
      </c>
      <c r="H37" s="163">
        <f t="shared" si="3"/>
        <v>86.449930320913992</v>
      </c>
      <c r="I37" s="166"/>
      <c r="J37" s="166"/>
      <c r="K37" s="166"/>
      <c r="L37" s="166"/>
      <c r="M37" s="166"/>
      <c r="N37" s="38"/>
      <c r="O37" s="206"/>
      <c r="P37" s="206"/>
      <c r="Q37" s="206"/>
      <c r="R37" s="206"/>
      <c r="S37" s="206"/>
      <c r="T37" s="207"/>
      <c r="U37" s="75"/>
      <c r="V37" s="45"/>
      <c r="W37" s="82"/>
      <c r="X37" s="208"/>
      <c r="Y37" s="208"/>
      <c r="Z37" s="208"/>
      <c r="AA37" s="208"/>
      <c r="AB37" s="208"/>
    </row>
    <row r="38" spans="1:28" x14ac:dyDescent="0.25">
      <c r="A38" s="149" t="s">
        <v>24</v>
      </c>
      <c r="B38" s="35"/>
      <c r="C38" s="16">
        <f>(Résultats!X$162+Résultats!X$163+Résultats!X$164+Résultats!X$165+Résultats!X$166+Résultats!X$167)/1000000</f>
        <v>9.9777375029999913</v>
      </c>
      <c r="D38" s="16">
        <f>(Résultats!X$171+Résultats!X$173+Résultats!X$174+Résultats!X$175+Résultats!X$176+Résultats!X$177+Résultats!X$178+Résultats!X$179+Résultats!X$180+Résultats!X$181+Résultats!X$182)/1000000</f>
        <v>32.04905022432883</v>
      </c>
      <c r="E38" s="16">
        <f>'T energie usages'!J69/'T energie usages'!J$72*(Résultats!X$192+Résultats!X$193+Résultats!X$194)/1000000</f>
        <v>4.8755000978991916</v>
      </c>
      <c r="F38" s="16">
        <f>(Résultats!X$197+Résultats!X$198+Résultats!X$199+Résultats!X$200+Résultats!X$201+Résultats!X$202+Résultats!X$203+Résultats!X$204+Résultats!X$205+Résultats!X$206+Résultats!X$207+Résultats!X$208+Résultats!X$216+Résultats!X$218)/1000000</f>
        <v>18.709065982094483</v>
      </c>
      <c r="G38" s="16">
        <f>Résultats!X$133/1000000</f>
        <v>13.716668910000001</v>
      </c>
      <c r="H38" s="95">
        <f t="shared" si="3"/>
        <v>79.328022717322497</v>
      </c>
      <c r="I38" s="166"/>
      <c r="J38" s="166"/>
      <c r="K38" s="166"/>
      <c r="L38" s="166"/>
      <c r="M38" s="166"/>
      <c r="N38" s="38"/>
      <c r="O38" s="206"/>
      <c r="P38" s="206"/>
      <c r="Q38" s="206"/>
      <c r="R38" s="206"/>
      <c r="S38" s="206"/>
      <c r="T38" s="207"/>
      <c r="U38" s="16"/>
      <c r="V38" s="45"/>
      <c r="W38" s="30"/>
      <c r="X38" s="208"/>
      <c r="Y38" s="208"/>
      <c r="Z38" s="208"/>
      <c r="AA38" s="208"/>
      <c r="AB38" s="208"/>
    </row>
    <row r="39" spans="1:28" x14ac:dyDescent="0.25">
      <c r="A39" s="149" t="s">
        <v>25</v>
      </c>
      <c r="B39" s="35"/>
      <c r="C39" s="16">
        <v>0</v>
      </c>
      <c r="D39" s="16">
        <f>(Résultats!X$172)/1000000</f>
        <v>6.4584089759999994</v>
      </c>
      <c r="E39" s="16">
        <f>'T energie usages'!J71/'T energie usages'!J$72*(Résultats!X$192+Résultats!X$193+Résultats!X$194)/1000000</f>
        <v>0.16738872299149551</v>
      </c>
      <c r="F39" s="16">
        <f>(Résultats!X$196)/1000000</f>
        <v>0.49610990459999998</v>
      </c>
      <c r="G39" s="16">
        <v>0</v>
      </c>
      <c r="H39" s="95">
        <f t="shared" si="3"/>
        <v>7.1219076035914952</v>
      </c>
      <c r="I39" s="166"/>
      <c r="J39" s="166"/>
      <c r="K39" s="166"/>
      <c r="L39" s="166"/>
      <c r="M39" s="166"/>
      <c r="N39" s="38"/>
      <c r="O39" s="206"/>
      <c r="P39" s="206"/>
      <c r="Q39" s="206"/>
      <c r="R39" s="206"/>
      <c r="S39" s="206"/>
      <c r="T39" s="207"/>
      <c r="U39" s="16"/>
      <c r="V39" s="45"/>
      <c r="W39" s="30"/>
      <c r="X39" s="208"/>
      <c r="Y39" s="208"/>
      <c r="Z39" s="208"/>
      <c r="AA39" s="208"/>
      <c r="AB39" s="208"/>
    </row>
    <row r="40" spans="1:28" x14ac:dyDescent="0.25">
      <c r="A40" s="48" t="s">
        <v>41</v>
      </c>
      <c r="B40" s="37"/>
      <c r="C40" s="37">
        <f>SUM(C35:C37)+C32</f>
        <v>10.871564096799991</v>
      </c>
      <c r="D40" s="37">
        <f>SUM(D35:D37)+D32</f>
        <v>158.68757537922758</v>
      </c>
      <c r="E40" s="37">
        <f>SUM(E35:E37)+E32</f>
        <v>19.397383636991499</v>
      </c>
      <c r="F40" s="37">
        <f>SUM(F35:F37)+F32</f>
        <v>42.496315688770416</v>
      </c>
      <c r="G40" s="37">
        <f>SUM(G35:G37)+G32</f>
        <v>13.716668910000001</v>
      </c>
      <c r="H40" s="167">
        <f t="shared" si="3"/>
        <v>245.16950771178949</v>
      </c>
      <c r="I40" s="166"/>
      <c r="J40" s="166"/>
      <c r="K40" s="166"/>
      <c r="L40" s="166"/>
      <c r="M40" s="166"/>
      <c r="N40" s="38"/>
      <c r="O40" s="206"/>
      <c r="P40" s="206"/>
      <c r="Q40" s="206"/>
      <c r="R40" s="206"/>
      <c r="S40" s="206"/>
      <c r="T40" s="207"/>
      <c r="U40" s="79"/>
      <c r="V40" s="45"/>
      <c r="W40" s="80"/>
      <c r="X40" s="208"/>
      <c r="Y40" s="208"/>
      <c r="Z40" s="208"/>
      <c r="AA40" s="208"/>
      <c r="AB40" s="208"/>
    </row>
    <row r="41" spans="1:28" x14ac:dyDescent="0.25">
      <c r="A41" s="164" t="s">
        <v>43</v>
      </c>
      <c r="B41" s="164"/>
      <c r="C41" s="165">
        <f>(Résultats!X$135+Résultats!X$162+Résultats!X$163+Résultats!X$164+Résultats!X$165+Résultats!X$166+Résultats!X$167+Résultats!X$168+Résultats!X$169)/1000000</f>
        <v>10.87156409679999</v>
      </c>
      <c r="D41" s="165">
        <f>+(Résultats!X$137+Résultats!X$171+Résultats!X$172+Résultats!X$173+Résultats!X$174+Résultats!X$175+Résultats!X$176+Résultats!X$177+Résultats!X$178+Résultats!X$179+Résultats!X$180+Résultats!X$181+Résultats!X$182+Résultats!X$183+Résultats!X$184+Résultats!X$185+Résultats!X$186+Résultats!X$187+Résultats!X$188+Résultats!X$189)/1000000</f>
        <v>172.5339306442288</v>
      </c>
      <c r="E41" s="165">
        <f>(Résultats!X$192+Résultats!X$193+Résultats!X$194)/1000000</f>
        <v>19.229994914000002</v>
      </c>
      <c r="F41" s="165">
        <f>(Résultats!X$139+Résultats!X$196+Résultats!X$197+Résultats!X$198+Résultats!X$199+Résultats!X$200+Résultats!X$201+Résultats!X$202+Résultats!X$203+Résultats!X$204+Résultats!X$205+Résultats!X$206+Résultats!X$207+Résultats!X$208+Résultats!X$209+Résultats!X$210+Résultats!X$211+Résultats!X$212+Résultats!X$213+Résultats!X$214+Résultats!X$215+Résultats!X$216+Résultats!X$218)/1000000</f>
        <v>52.914605912914489</v>
      </c>
      <c r="G41" s="165">
        <f>Résultats!X$133/1000000</f>
        <v>13.716668910000001</v>
      </c>
      <c r="H41" s="188">
        <f t="shared" si="3"/>
        <v>269.2667644779433</v>
      </c>
      <c r="I41" s="166"/>
      <c r="J41" s="166"/>
      <c r="K41" s="166"/>
      <c r="L41" s="166"/>
      <c r="M41" s="207"/>
      <c r="N41" s="45"/>
      <c r="O41" s="166"/>
      <c r="P41" s="166"/>
      <c r="Q41" s="166"/>
      <c r="R41" s="166"/>
      <c r="S41" s="207"/>
      <c r="T41" s="207"/>
      <c r="U41" s="45"/>
      <c r="V41" s="45"/>
      <c r="W41" s="45"/>
      <c r="X41" s="208"/>
      <c r="Y41" s="208"/>
      <c r="Z41" s="208"/>
      <c r="AA41" s="208"/>
      <c r="AB41" s="208"/>
    </row>
    <row r="42" spans="1:28" x14ac:dyDescent="0.25">
      <c r="A42" s="164"/>
      <c r="B42" s="164"/>
      <c r="C42" s="189"/>
      <c r="D42" s="189"/>
      <c r="E42" s="189"/>
      <c r="F42" s="189"/>
      <c r="G42" s="189"/>
      <c r="H42" s="165">
        <f>Résultats!X227/1000000</f>
        <v>269.26676400000002</v>
      </c>
      <c r="I42" s="166"/>
      <c r="J42" s="166"/>
      <c r="K42" s="166"/>
      <c r="L42" s="166"/>
      <c r="M42" s="207"/>
      <c r="N42" s="45"/>
      <c r="O42" s="166"/>
      <c r="P42" s="166"/>
      <c r="Q42" s="166"/>
      <c r="R42" s="166"/>
      <c r="S42" s="207"/>
      <c r="T42" s="207"/>
      <c r="U42" s="45"/>
      <c r="V42" s="45"/>
      <c r="W42" s="45"/>
      <c r="X42" s="208"/>
      <c r="Y42" s="208"/>
      <c r="Z42" s="208"/>
      <c r="AA42" s="208"/>
      <c r="AB42" s="208"/>
    </row>
    <row r="43" spans="1:28" x14ac:dyDescent="0.25">
      <c r="A43" s="3"/>
      <c r="B43" s="3"/>
      <c r="C43" s="75"/>
      <c r="D43" s="75"/>
      <c r="E43" s="75"/>
      <c r="F43" s="75"/>
      <c r="G43" s="75"/>
      <c r="H43" s="45"/>
      <c r="I43" s="166"/>
      <c r="J43" s="166"/>
      <c r="K43" s="166"/>
      <c r="L43" s="166"/>
      <c r="M43" s="207"/>
      <c r="N43" s="45"/>
      <c r="O43" s="166"/>
      <c r="P43" s="166"/>
      <c r="Q43" s="166"/>
      <c r="R43" s="166"/>
      <c r="S43" s="207"/>
      <c r="T43" s="207"/>
      <c r="U43" s="45"/>
      <c r="V43" s="45"/>
      <c r="W43" s="79"/>
      <c r="X43" s="208"/>
      <c r="Y43" s="208"/>
      <c r="Z43" s="208"/>
      <c r="AA43" s="208"/>
      <c r="AB43" s="208"/>
    </row>
    <row r="44" spans="1:28" ht="21" x14ac:dyDescent="0.35">
      <c r="A44" s="145">
        <v>2030</v>
      </c>
      <c r="B44" s="186"/>
      <c r="C44" s="27" t="s">
        <v>36</v>
      </c>
      <c r="D44" s="27" t="s">
        <v>37</v>
      </c>
      <c r="E44" s="27" t="s">
        <v>38</v>
      </c>
      <c r="F44" s="27" t="s">
        <v>39</v>
      </c>
      <c r="G44" s="27" t="s">
        <v>40</v>
      </c>
      <c r="H44" s="190" t="s">
        <v>1</v>
      </c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W44" s="19"/>
      <c r="X44" s="19"/>
      <c r="Y44" s="19"/>
      <c r="Z44" s="19"/>
      <c r="AA44" s="19"/>
      <c r="AB44" s="208"/>
    </row>
    <row r="45" spans="1:28" x14ac:dyDescent="0.25">
      <c r="A45" s="162" t="s">
        <v>18</v>
      </c>
      <c r="B45" s="187"/>
      <c r="C45" s="36">
        <f>C46+C47</f>
        <v>0</v>
      </c>
      <c r="D45" s="36">
        <f>D46+D47</f>
        <v>89.452315652186869</v>
      </c>
      <c r="E45" s="36">
        <f>E46+E47</f>
        <v>1.6479833361251655</v>
      </c>
      <c r="F45" s="36">
        <f>F46+F47</f>
        <v>1.3944684688877897</v>
      </c>
      <c r="G45" s="36">
        <f>G46+G47</f>
        <v>0</v>
      </c>
      <c r="H45" s="163">
        <f>SUM(C45:G45)</f>
        <v>92.494767457199828</v>
      </c>
      <c r="I45" s="166"/>
      <c r="J45" s="166"/>
      <c r="K45" s="166"/>
      <c r="L45" s="166"/>
      <c r="M45" s="166"/>
      <c r="N45" s="38"/>
      <c r="O45" s="206"/>
      <c r="P45" s="206"/>
      <c r="Q45" s="206"/>
      <c r="R45" s="206"/>
      <c r="S45" s="206"/>
      <c r="T45" s="207"/>
      <c r="U45" s="75"/>
      <c r="W45" s="82"/>
      <c r="X45" s="208"/>
      <c r="Y45" s="208"/>
      <c r="Z45" s="208"/>
      <c r="AA45" s="208"/>
      <c r="AB45" s="208"/>
    </row>
    <row r="46" spans="1:28" x14ac:dyDescent="0.25">
      <c r="A46" s="148" t="s">
        <v>19</v>
      </c>
      <c r="B46" s="35"/>
      <c r="C46" s="16">
        <v>0</v>
      </c>
      <c r="D46" s="16">
        <f>'T energie usages'!I77*3.2*Résultats!AC283</f>
        <v>47.08429289118687</v>
      </c>
      <c r="E46" s="16">
        <f>'T energie usages'!J77/'T energie usages'!J$85*(Résultats!AC$192+Résultats!AC$193+Résultats!AC$194)/1000000</f>
        <v>0.27528132905146696</v>
      </c>
      <c r="F46" s="16">
        <f>'T energie usages'!K77*2.394*Résultats!AC284</f>
        <v>3.6694827789613255E-5</v>
      </c>
      <c r="G46" s="16">
        <v>0</v>
      </c>
      <c r="H46" s="95">
        <f>SUM(C46:G46)</f>
        <v>47.359610915066128</v>
      </c>
      <c r="I46" s="166"/>
      <c r="J46" s="166"/>
      <c r="K46" s="166"/>
      <c r="L46" s="166"/>
      <c r="M46" s="166"/>
      <c r="N46" s="38"/>
      <c r="O46" s="206"/>
      <c r="P46" s="206"/>
      <c r="Q46" s="206"/>
      <c r="R46" s="206"/>
      <c r="S46" s="206"/>
      <c r="T46" s="207"/>
      <c r="U46" s="16"/>
      <c r="W46" s="30"/>
      <c r="X46" s="208"/>
      <c r="Y46" s="208"/>
      <c r="Z46" s="208"/>
      <c r="AA46" s="208"/>
      <c r="AB46" s="208"/>
    </row>
    <row r="47" spans="1:28" x14ac:dyDescent="0.25">
      <c r="A47" s="149" t="s">
        <v>20</v>
      </c>
      <c r="B47" s="35"/>
      <c r="C47" s="16">
        <v>0</v>
      </c>
      <c r="D47" s="16">
        <f>(Résultats!AC$183+Résultats!AC$184+Résultats!AC$185+Résultats!AC$186+Résultats!AC$187)/1000000</f>
        <v>42.368022760999999</v>
      </c>
      <c r="E47" s="16">
        <f>'T energie usages'!J78/'T energie usages'!J$85*(Résultats!AC$192+Résultats!AC$193+Résultats!AC$194)/1000000</f>
        <v>1.3727020070736984</v>
      </c>
      <c r="F47" s="16">
        <f>(Résultats!AC$209+Résultats!AC$210+Résultats!AC$211+Résultats!AC$212+Résultats!AC$213)/1000000</f>
        <v>1.3944317740600001</v>
      </c>
      <c r="G47" s="16">
        <v>0</v>
      </c>
      <c r="H47" s="95">
        <f>SUM(C47:G47)</f>
        <v>45.1351565421337</v>
      </c>
      <c r="I47" s="166"/>
      <c r="J47" s="166"/>
      <c r="K47" s="166"/>
      <c r="L47" s="166"/>
      <c r="M47" s="166"/>
      <c r="N47" s="38"/>
      <c r="O47" s="206"/>
      <c r="P47" s="206"/>
      <c r="Q47" s="206"/>
      <c r="R47" s="206"/>
      <c r="S47" s="206"/>
      <c r="T47" s="207"/>
      <c r="U47" s="16"/>
      <c r="W47" s="30"/>
      <c r="X47" s="208"/>
      <c r="Y47" s="208"/>
      <c r="Z47" s="208"/>
      <c r="AA47" s="208"/>
      <c r="AB47" s="208"/>
    </row>
    <row r="48" spans="1:28" x14ac:dyDescent="0.25">
      <c r="A48" s="162" t="s">
        <v>21</v>
      </c>
      <c r="B48" s="187"/>
      <c r="C48" s="36">
        <f>Résultats!AC$135/1000000</f>
        <v>0.88496322890000001</v>
      </c>
      <c r="D48" s="36">
        <f>'T energie usages'!I79*3.2*Résultats!AC283</f>
        <v>14.747956300470742</v>
      </c>
      <c r="E48" s="36">
        <f>'T energie usages'!J79/'T energie usages'!J$85*(Résultats!AC$192+Résultats!AC$193+Résultats!AC$194)/1000000</f>
        <v>7.503351663593401</v>
      </c>
      <c r="F48" s="36">
        <f>('T energie usages'!K79-8)*2.394*Résultats!AC284</f>
        <v>12.307863024494095</v>
      </c>
      <c r="G48" s="36">
        <v>0</v>
      </c>
      <c r="H48" s="163">
        <f>SUM(C48:G48)</f>
        <v>35.444134217458242</v>
      </c>
      <c r="I48" s="166"/>
      <c r="J48" s="166"/>
      <c r="K48" s="166"/>
      <c r="L48" s="166"/>
      <c r="M48" s="166"/>
      <c r="N48" s="38"/>
      <c r="O48" s="206"/>
      <c r="P48" s="206"/>
      <c r="Q48" s="206"/>
      <c r="R48" s="206"/>
      <c r="S48" s="206"/>
      <c r="T48" s="207"/>
      <c r="U48" s="75"/>
      <c r="W48" s="82"/>
      <c r="X48" s="208"/>
      <c r="Y48" s="208"/>
      <c r="Z48" s="208"/>
      <c r="AA48" s="208"/>
      <c r="AB48" s="208"/>
    </row>
    <row r="49" spans="1:28" x14ac:dyDescent="0.25">
      <c r="A49" s="162" t="s">
        <v>22</v>
      </c>
      <c r="B49" s="187"/>
      <c r="C49" s="36">
        <f>(Résultats!AC$168+Résultats!AC$169)/1000000</f>
        <v>0</v>
      </c>
      <c r="D49" s="36">
        <f>(Résultats!AC$188+Résultats!AC$189)/1000000</f>
        <v>5.055314136899999</v>
      </c>
      <c r="E49" s="36">
        <f>'T energie usages'!J80/'T energie usages'!J$85*(Résultats!AC$192+Résultats!AC$193+Résultats!AC$194)/1000000</f>
        <v>5.6745294940831705</v>
      </c>
      <c r="F49" s="36">
        <f>(Résultats!AC$214+Résultats!AC$215)/1000000</f>
        <v>8.8738211990000018</v>
      </c>
      <c r="G49" s="36">
        <v>0</v>
      </c>
      <c r="H49" s="163">
        <f t="shared" ref="H49:H54" si="4">SUM(C49:G49)</f>
        <v>19.60366482998317</v>
      </c>
      <c r="I49" s="166"/>
      <c r="J49" s="166"/>
      <c r="K49" s="166"/>
      <c r="L49" s="166"/>
      <c r="M49" s="166"/>
      <c r="N49" s="38"/>
      <c r="O49" s="206"/>
      <c r="P49" s="206"/>
      <c r="Q49" s="206"/>
      <c r="R49" s="206"/>
      <c r="S49" s="206"/>
      <c r="T49" s="207"/>
      <c r="U49" s="75"/>
      <c r="W49" s="82"/>
      <c r="X49" s="208"/>
      <c r="Y49" s="208"/>
      <c r="Z49" s="208"/>
      <c r="AA49" s="208"/>
      <c r="AB49" s="208"/>
    </row>
    <row r="50" spans="1:28" x14ac:dyDescent="0.25">
      <c r="A50" s="162" t="s">
        <v>23</v>
      </c>
      <c r="B50" s="187"/>
      <c r="C50" s="36">
        <f>C51+C52</f>
        <v>9.9922279609999904</v>
      </c>
      <c r="D50" s="36">
        <f>D51+D52</f>
        <v>38.466301452361279</v>
      </c>
      <c r="E50" s="36">
        <f>E51+E52</f>
        <v>4.8898232961982604</v>
      </c>
      <c r="F50" s="36">
        <f>F51+F52</f>
        <v>17.39130627656596</v>
      </c>
      <c r="G50" s="36">
        <f>G51+G52</f>
        <v>13.44195079</v>
      </c>
      <c r="H50" s="163">
        <f t="shared" si="4"/>
        <v>84.181609776125498</v>
      </c>
      <c r="I50" s="166"/>
      <c r="J50" s="166"/>
      <c r="K50" s="166"/>
      <c r="L50" s="166"/>
      <c r="M50" s="166"/>
      <c r="N50" s="38"/>
      <c r="O50" s="206"/>
      <c r="P50" s="206"/>
      <c r="Q50" s="206"/>
      <c r="R50" s="206"/>
      <c r="S50" s="206"/>
      <c r="T50" s="207"/>
      <c r="U50" s="75"/>
      <c r="W50" s="82"/>
      <c r="X50" s="208"/>
      <c r="Y50" s="208"/>
      <c r="Z50" s="208"/>
      <c r="AA50" s="208"/>
      <c r="AB50" s="208"/>
    </row>
    <row r="51" spans="1:28" x14ac:dyDescent="0.25">
      <c r="A51" s="149" t="s">
        <v>24</v>
      </c>
      <c r="B51" s="35"/>
      <c r="C51" s="16">
        <f>(Résultats!AC$162+Résultats!AC$163+Résultats!AC$164+Résultats!AC$165+Résultats!AC$166+Résultats!AC$167)/1000000</f>
        <v>9.9922279609999904</v>
      </c>
      <c r="D51" s="16">
        <f>(Résultats!AC$171+Résultats!AC$173+Résultats!AC$174+Résultats!AC$175+Résultats!AC$176+Résultats!AC$177+Résultats!AC$178+Résultats!AC$179+Résultats!AC$180+Résultats!AC$181+Résultats!AC$182)/1000000</f>
        <v>31.786055589361279</v>
      </c>
      <c r="E51" s="16">
        <f>'T energie usages'!J82/'T energie usages'!J$85*(Résultats!AC$192+Résultats!AC$193+Résultats!AC$194)/1000000</f>
        <v>4.7222361696804747</v>
      </c>
      <c r="F51" s="16">
        <f>(Résultats!AC$197+Résultats!AC$198+Résultats!AC$199+Résultats!AC$200+Résultats!AC$201+Résultats!AC$202+Résultats!AC$203+Résultats!AC$204+Résultats!AC$205+Résultats!AC$206+Résultats!AC$207+Résultats!AC$208+Résultats!AC$216+Résultats!AC$218)/1000000</f>
        <v>16.915559718365959</v>
      </c>
      <c r="G51" s="16">
        <f>Résultats!AC$133/1000000</f>
        <v>13.44195079</v>
      </c>
      <c r="H51" s="95">
        <f t="shared" si="4"/>
        <v>76.858030228407699</v>
      </c>
      <c r="I51" s="166"/>
      <c r="J51" s="166"/>
      <c r="K51" s="166"/>
      <c r="L51" s="166"/>
      <c r="M51" s="166"/>
      <c r="N51" s="38"/>
      <c r="O51" s="206"/>
      <c r="P51" s="206"/>
      <c r="Q51" s="206"/>
      <c r="R51" s="206"/>
      <c r="S51" s="206"/>
      <c r="T51" s="207"/>
      <c r="U51" s="16"/>
      <c r="W51" s="30"/>
      <c r="X51" s="208"/>
      <c r="Y51" s="208"/>
      <c r="Z51" s="208"/>
      <c r="AA51" s="208"/>
      <c r="AB51" s="208"/>
    </row>
    <row r="52" spans="1:28" x14ac:dyDescent="0.25">
      <c r="A52" s="149" t="s">
        <v>25</v>
      </c>
      <c r="B52" s="35"/>
      <c r="C52" s="16">
        <v>0</v>
      </c>
      <c r="D52" s="16">
        <f>(Résultats!AC$172)/1000000</f>
        <v>6.6802458629999997</v>
      </c>
      <c r="E52" s="16">
        <f>'T energie usages'!J84/'T energie usages'!J$85*(Résultats!AC$192+Résultats!AC$193+Résultats!AC$194)/1000000</f>
        <v>0.16758712651778598</v>
      </c>
      <c r="F52" s="16">
        <f>(Résultats!AC$196)/1000000</f>
        <v>0.4757465582</v>
      </c>
      <c r="G52" s="16">
        <v>0</v>
      </c>
      <c r="H52" s="95">
        <f t="shared" si="4"/>
        <v>7.3235795477177854</v>
      </c>
      <c r="I52" s="166"/>
      <c r="J52" s="166"/>
      <c r="K52" s="166"/>
      <c r="L52" s="166"/>
      <c r="M52" s="166"/>
      <c r="N52" s="38"/>
      <c r="O52" s="206"/>
      <c r="P52" s="206"/>
      <c r="Q52" s="206"/>
      <c r="R52" s="206"/>
      <c r="S52" s="206"/>
      <c r="T52" s="207"/>
      <c r="U52" s="16"/>
      <c r="W52" s="30"/>
      <c r="X52" s="208"/>
      <c r="Y52" s="208"/>
      <c r="Z52" s="208"/>
      <c r="AA52" s="208"/>
      <c r="AB52" s="208"/>
    </row>
    <row r="53" spans="1:28" x14ac:dyDescent="0.25">
      <c r="A53" s="48" t="s">
        <v>41</v>
      </c>
      <c r="B53" s="37"/>
      <c r="C53" s="37">
        <f>SUM(C48:C50)+C45</f>
        <v>10.877191189899991</v>
      </c>
      <c r="D53" s="37">
        <f>SUM(D48:D50)+D45</f>
        <v>147.72188754191887</v>
      </c>
      <c r="E53" s="37">
        <f>SUM(E48:E50)+E45</f>
        <v>19.715687789999997</v>
      </c>
      <c r="F53" s="37">
        <f>SUM(F48:F50)+F45</f>
        <v>39.967458968947845</v>
      </c>
      <c r="G53" s="37">
        <f>SUM(G48:G50)+G45</f>
        <v>13.44195079</v>
      </c>
      <c r="H53" s="167">
        <f t="shared" si="4"/>
        <v>231.72417628076673</v>
      </c>
      <c r="I53" s="166"/>
      <c r="J53" s="166"/>
      <c r="K53" s="166"/>
      <c r="L53" s="166"/>
      <c r="M53" s="166"/>
      <c r="N53" s="38"/>
      <c r="O53" s="206"/>
      <c r="P53" s="206"/>
      <c r="Q53" s="206"/>
      <c r="R53" s="206"/>
      <c r="S53" s="206"/>
      <c r="T53" s="207"/>
      <c r="U53" s="79"/>
      <c r="W53" s="80"/>
      <c r="X53" s="208"/>
      <c r="Y53" s="208"/>
      <c r="Z53" s="208"/>
      <c r="AA53" s="208"/>
      <c r="AB53" s="208"/>
    </row>
    <row r="54" spans="1:28" x14ac:dyDescent="0.25">
      <c r="A54" s="164" t="s">
        <v>43</v>
      </c>
      <c r="B54" s="164"/>
      <c r="C54" s="165">
        <f>(Résultats!AC$135+Résultats!AC$162+Résultats!AC$163+Résultats!AC$164+Résultats!AC$165+Résultats!AC$166+Résultats!AC$167+Résultats!AC$168+Résultats!AC$169)/1000000</f>
        <v>10.877191189899991</v>
      </c>
      <c r="D54" s="165">
        <f>(Résultats!AC$137+Résultats!AC$171+Résultats!AC$172+Résultats!AC$173+Résultats!AC$174+Résultats!AC$175+Résultats!AC$176+Résultats!AC$177+Résultats!AC$178+Résultats!AC$179+Résultats!AC$180+Résultats!AC$181+Résultats!AC$182+Résultats!AC$183+Résultats!AC$184+Résultats!AC$185+Résultats!AC$186+Résultats!AC$187+Résultats!AC$188+Résultats!AC$189)/1000000</f>
        <v>160.12144523026123</v>
      </c>
      <c r="E54" s="165">
        <f>(Résultats!AC$192+Résultats!AC$193+Résultats!AC$194)/1000000</f>
        <v>19.71568779</v>
      </c>
      <c r="F54" s="165">
        <f>(Résultats!AC$139+Résultats!AC$196+Résultats!AC$197+Résultats!AC$198+Résultats!AC$199+Résultats!AC$200+Résultats!AC$201+Résultats!AC$202+Résultats!AC$203+Résultats!AC$204+Résultats!AC$205+Résultats!AC$206+Résultats!AC$207+Résultats!AC$208+Résultats!AC$209+Résultats!AC$210+Résultats!AC$211+Résultats!AC$212+Résultats!AC$213+Résultats!AC$214+Résultats!AC$215+Résultats!AC$216+Résultats!AC$218)/1000000</f>
        <v>49.365816699625945</v>
      </c>
      <c r="G54" s="165">
        <f>Résultats!AC$133/1000000</f>
        <v>13.44195079</v>
      </c>
      <c r="H54" s="188">
        <f t="shared" si="4"/>
        <v>253.52209169978718</v>
      </c>
      <c r="I54" s="166"/>
      <c r="J54" s="166"/>
      <c r="K54" s="166"/>
      <c r="L54" s="166"/>
      <c r="M54" s="207"/>
      <c r="O54" s="166"/>
      <c r="P54" s="166"/>
      <c r="Q54" s="166"/>
      <c r="R54" s="166"/>
      <c r="S54" s="207"/>
      <c r="T54" s="207"/>
      <c r="X54" s="208"/>
      <c r="Y54" s="208"/>
      <c r="Z54" s="208"/>
      <c r="AA54" s="208"/>
      <c r="AB54" s="208"/>
    </row>
    <row r="55" spans="1:28" x14ac:dyDescent="0.25">
      <c r="A55" s="164"/>
      <c r="B55" s="164"/>
      <c r="C55" s="189"/>
      <c r="D55" s="189"/>
      <c r="E55" s="189"/>
      <c r="F55" s="189"/>
      <c r="G55" s="189"/>
      <c r="H55" s="165">
        <f>Résultats!AC227/1000000</f>
        <v>253.5220913</v>
      </c>
      <c r="I55" s="166"/>
      <c r="J55" s="166"/>
      <c r="K55" s="166"/>
      <c r="L55" s="166"/>
      <c r="M55" s="207"/>
      <c r="O55" s="166"/>
      <c r="P55" s="166"/>
      <c r="Q55" s="166"/>
      <c r="R55" s="166"/>
      <c r="S55" s="207"/>
      <c r="T55" s="207"/>
      <c r="W55" s="79"/>
      <c r="X55" s="208"/>
      <c r="Y55" s="208"/>
      <c r="Z55" s="208"/>
      <c r="AA55" s="208"/>
      <c r="AB55" s="208"/>
    </row>
    <row r="56" spans="1:28" x14ac:dyDescent="0.25">
      <c r="A56" s="3"/>
      <c r="B56" s="3"/>
      <c r="C56" s="75"/>
      <c r="D56" s="75"/>
      <c r="E56" s="75"/>
      <c r="F56" s="75"/>
      <c r="G56" s="75"/>
      <c r="H56" s="45"/>
      <c r="I56" s="166"/>
      <c r="J56" s="166"/>
      <c r="K56" s="166"/>
      <c r="L56" s="166"/>
      <c r="M56" s="207"/>
      <c r="O56" s="166"/>
      <c r="P56" s="166"/>
      <c r="Q56" s="166"/>
      <c r="R56" s="166"/>
      <c r="S56" s="207"/>
      <c r="T56" s="207"/>
      <c r="W56" s="210"/>
      <c r="X56" s="208"/>
      <c r="Y56" s="208"/>
      <c r="Z56" s="208"/>
      <c r="AA56" s="208"/>
      <c r="AB56" s="208"/>
    </row>
    <row r="57" spans="1:28" ht="21" x14ac:dyDescent="0.35">
      <c r="A57" s="145">
        <v>2035</v>
      </c>
      <c r="B57" s="186"/>
      <c r="C57" s="27" t="s">
        <v>36</v>
      </c>
      <c r="D57" s="27" t="s">
        <v>37</v>
      </c>
      <c r="E57" s="27" t="s">
        <v>38</v>
      </c>
      <c r="F57" s="27" t="s">
        <v>39</v>
      </c>
      <c r="G57" s="27" t="s">
        <v>40</v>
      </c>
      <c r="H57" s="190" t="s">
        <v>1</v>
      </c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W57" s="19"/>
      <c r="X57" s="19"/>
      <c r="Y57" s="19"/>
      <c r="Z57" s="19"/>
      <c r="AA57" s="19"/>
      <c r="AB57" s="208"/>
    </row>
    <row r="58" spans="1:28" x14ac:dyDescent="0.25">
      <c r="A58" s="162" t="s">
        <v>18</v>
      </c>
      <c r="B58" s="187"/>
      <c r="C58" s="36">
        <f>C59+C60</f>
        <v>0</v>
      </c>
      <c r="D58" s="36">
        <f>D59+D60</f>
        <v>80.231368030749977</v>
      </c>
      <c r="E58" s="36">
        <f>E59+E60</f>
        <v>1.9840940664618267</v>
      </c>
      <c r="F58" s="36">
        <f>F59+F60</f>
        <v>2.064963843951455</v>
      </c>
      <c r="G58" s="36">
        <f>G59+G60</f>
        <v>0</v>
      </c>
      <c r="H58" s="163">
        <f t="shared" ref="H58:H67" si="5">SUM(C58:G58)</f>
        <v>84.280425941163259</v>
      </c>
      <c r="I58" s="166"/>
      <c r="J58" s="166"/>
      <c r="K58" s="166"/>
      <c r="L58" s="166"/>
      <c r="M58" s="166"/>
      <c r="N58" s="38"/>
      <c r="O58" s="166"/>
      <c r="P58" s="166"/>
      <c r="Q58" s="166"/>
      <c r="R58" s="166"/>
      <c r="S58" s="166"/>
      <c r="T58" s="207"/>
      <c r="U58" s="75"/>
      <c r="W58" s="82"/>
      <c r="X58" s="208"/>
      <c r="Y58" s="208"/>
      <c r="Z58" s="208"/>
      <c r="AA58" s="208"/>
      <c r="AB58" s="208"/>
    </row>
    <row r="59" spans="1:28" x14ac:dyDescent="0.25">
      <c r="A59" s="148" t="s">
        <v>19</v>
      </c>
      <c r="B59" s="35"/>
      <c r="C59" s="16">
        <v>0</v>
      </c>
      <c r="D59" s="16">
        <f>'T energie usages'!I90*3.2*Résultats!AH283</f>
        <v>41.489191854749976</v>
      </c>
      <c r="E59" s="16">
        <f>'T energie usages'!J90/'T energie usages'!J$98*(Résultats!AH$192+Résultats!AH$193+Résultats!AH$194)/1000000</f>
        <v>0.51558037331021556</v>
      </c>
      <c r="F59" s="16">
        <f>'T energie usages'!K90*2.394*Résultats!AH284</f>
        <v>4.0889291454934827E-5</v>
      </c>
      <c r="G59" s="16">
        <v>0</v>
      </c>
      <c r="H59" s="95">
        <f t="shared" si="5"/>
        <v>42.004813117351645</v>
      </c>
      <c r="I59" s="166"/>
      <c r="J59" s="166"/>
      <c r="K59" s="166"/>
      <c r="L59" s="166"/>
      <c r="M59" s="166"/>
      <c r="N59" s="38"/>
      <c r="O59" s="166"/>
      <c r="P59" s="166"/>
      <c r="Q59" s="166"/>
      <c r="R59" s="166"/>
      <c r="S59" s="166"/>
      <c r="T59" s="207"/>
      <c r="U59" s="16"/>
      <c r="W59" s="30"/>
      <c r="X59" s="208"/>
      <c r="Y59" s="208"/>
      <c r="Z59" s="208"/>
      <c r="AA59" s="208"/>
      <c r="AB59" s="208"/>
    </row>
    <row r="60" spans="1:28" x14ac:dyDescent="0.25">
      <c r="A60" s="149" t="s">
        <v>20</v>
      </c>
      <c r="B60" s="35"/>
      <c r="C60" s="16">
        <v>0</v>
      </c>
      <c r="D60" s="16">
        <f>(Résultats!AH$183+Résultats!AH$184+Résultats!AH$185+Résultats!AH$186+Résultats!AH$187)/1000000</f>
        <v>38.742176176000001</v>
      </c>
      <c r="E60" s="16">
        <f>'T energie usages'!J91/'T energie usages'!J$98*(Résultats!AH$192+Résultats!AH$193+Résultats!AH$194)/1000000</f>
        <v>1.4685136931516112</v>
      </c>
      <c r="F60" s="16">
        <f>(Résultats!AH$209+Résultats!AH$210+Résultats!AH$211+Résultats!AH$212+Résultats!AH$213)/1000000</f>
        <v>2.0649229546600001</v>
      </c>
      <c r="G60" s="16">
        <v>0</v>
      </c>
      <c r="H60" s="95">
        <f t="shared" si="5"/>
        <v>42.275612823811613</v>
      </c>
      <c r="I60" s="166"/>
      <c r="J60" s="166"/>
      <c r="K60" s="166"/>
      <c r="L60" s="166"/>
      <c r="M60" s="166"/>
      <c r="N60" s="38"/>
      <c r="O60" s="166"/>
      <c r="P60" s="166"/>
      <c r="Q60" s="166"/>
      <c r="R60" s="166"/>
      <c r="S60" s="166"/>
      <c r="T60" s="207"/>
      <c r="U60" s="16"/>
      <c r="W60" s="30"/>
      <c r="X60" s="208"/>
      <c r="Y60" s="208"/>
      <c r="Z60" s="208"/>
      <c r="AA60" s="208"/>
      <c r="AB60" s="208"/>
    </row>
    <row r="61" spans="1:28" x14ac:dyDescent="0.25">
      <c r="A61" s="162" t="s">
        <v>21</v>
      </c>
      <c r="B61" s="187"/>
      <c r="C61" s="36">
        <f>Résultats!AH$135/1000000</f>
        <v>0.862475306</v>
      </c>
      <c r="D61" s="36">
        <f>'T energie usages'!I92*3.2*Résultats!AH283</f>
        <v>14.281009630970949</v>
      </c>
      <c r="E61" s="36">
        <f>'T energie usages'!J92/'T energie usages'!J$98*(Résultats!AH$192+Résultats!AH$193+Résultats!AH$194)/1000000</f>
        <v>7.3049040244546912</v>
      </c>
      <c r="F61" s="36">
        <f>('T energie usages'!K92-8)*2.394*Résultats!AH284</f>
        <v>11.221904157553029</v>
      </c>
      <c r="G61" s="36">
        <v>0</v>
      </c>
      <c r="H61" s="163">
        <f t="shared" si="5"/>
        <v>33.67029311897867</v>
      </c>
      <c r="I61" s="166"/>
      <c r="J61" s="166"/>
      <c r="K61" s="166"/>
      <c r="L61" s="166"/>
      <c r="M61" s="166"/>
      <c r="N61" s="38"/>
      <c r="O61" s="166"/>
      <c r="P61" s="166"/>
      <c r="Q61" s="166"/>
      <c r="R61" s="166"/>
      <c r="S61" s="166"/>
      <c r="T61" s="207"/>
      <c r="U61" s="75"/>
      <c r="W61" s="82"/>
      <c r="X61" s="208"/>
      <c r="Y61" s="208"/>
      <c r="Z61" s="208"/>
      <c r="AA61" s="208"/>
      <c r="AB61" s="208"/>
    </row>
    <row r="62" spans="1:28" x14ac:dyDescent="0.25">
      <c r="A62" s="162" t="s">
        <v>22</v>
      </c>
      <c r="B62" s="187"/>
      <c r="C62" s="36">
        <f>(Résultats!AH$168+Résultats!AH$169)/1000000</f>
        <v>0</v>
      </c>
      <c r="D62" s="36">
        <f>(Résultats!AH$188+Résultats!AH$189)/1000000</f>
        <v>4.4145141675000001</v>
      </c>
      <c r="E62" s="36">
        <f>'T energie usages'!J93/'T energie usages'!J$98*(Résultats!AH$192+Résultats!AH$193+Résultats!AH$194)/1000000</f>
        <v>5.3590623358639489</v>
      </c>
      <c r="F62" s="36">
        <f>(Résultats!AH$214+Résultats!AH$215)/1000000</f>
        <v>7.4949594890000002</v>
      </c>
      <c r="G62" s="36">
        <v>0</v>
      </c>
      <c r="H62" s="163">
        <f t="shared" si="5"/>
        <v>17.268535992363947</v>
      </c>
      <c r="I62" s="166"/>
      <c r="J62" s="166"/>
      <c r="K62" s="166"/>
      <c r="L62" s="166"/>
      <c r="M62" s="166"/>
      <c r="N62" s="38"/>
      <c r="O62" s="166"/>
      <c r="P62" s="166"/>
      <c r="Q62" s="166"/>
      <c r="R62" s="166"/>
      <c r="S62" s="166"/>
      <c r="T62" s="207"/>
      <c r="U62" s="75"/>
      <c r="W62" s="82"/>
      <c r="X62" s="208"/>
      <c r="Y62" s="208"/>
      <c r="Z62" s="208"/>
      <c r="AA62" s="208"/>
      <c r="AB62" s="208"/>
    </row>
    <row r="63" spans="1:28" x14ac:dyDescent="0.25">
      <c r="A63" s="162" t="s">
        <v>23</v>
      </c>
      <c r="B63" s="187"/>
      <c r="C63" s="36">
        <f>C64+C65</f>
        <v>10.612285484299999</v>
      </c>
      <c r="D63" s="36">
        <f>D64+D65</f>
        <v>38.864383696481127</v>
      </c>
      <c r="E63" s="36">
        <f>E64+E65</f>
        <v>4.7543764450193198</v>
      </c>
      <c r="F63" s="36">
        <f>F64+F65</f>
        <v>15.78911165650816</v>
      </c>
      <c r="G63" s="36">
        <f>G64+G65</f>
        <v>13.79052883</v>
      </c>
      <c r="H63" s="163">
        <f t="shared" si="5"/>
        <v>83.810686112308602</v>
      </c>
      <c r="I63" s="166"/>
      <c r="J63" s="166"/>
      <c r="K63" s="166"/>
      <c r="L63" s="166"/>
      <c r="M63" s="166"/>
      <c r="N63" s="38"/>
      <c r="O63" s="166"/>
      <c r="P63" s="166"/>
      <c r="Q63" s="166"/>
      <c r="R63" s="166"/>
      <c r="S63" s="166"/>
      <c r="T63" s="207"/>
      <c r="U63" s="75"/>
      <c r="W63" s="82"/>
      <c r="X63" s="208"/>
      <c r="Y63" s="208"/>
      <c r="Z63" s="208"/>
      <c r="AA63" s="208"/>
      <c r="AB63" s="208"/>
    </row>
    <row r="64" spans="1:28" x14ac:dyDescent="0.25">
      <c r="A64" s="149" t="s">
        <v>24</v>
      </c>
      <c r="B64" s="35"/>
      <c r="C64" s="75">
        <f>(Résultats!AH$162+Résultats!AH$163+Résultats!AH$164+Résultats!AH$165+Résultats!AH$166+Résultats!AH$167)/1000000</f>
        <v>10.612285484299999</v>
      </c>
      <c r="D64" s="16">
        <f>(Résultats!AH$171+Résultats!AH$173+Résultats!AH$174+Résultats!AH$175+Résultats!AH$176+Résultats!AH$177+Résultats!AH$178+Résultats!AH$179+Résultats!AH$180+Résultats!AH$181+Résultats!AH$182)/1000000</f>
        <v>32.104043714481129</v>
      </c>
      <c r="E64" s="16">
        <f>'T energie usages'!J95/'T energie usages'!J$98*(Résultats!AH$192+Résultats!AH$193+Résultats!AH$194)/1000000</f>
        <v>4.5933738142195315</v>
      </c>
      <c r="F64" s="16">
        <f>(Résultats!AH$197+Résultats!AH$198+Résultats!AH$199+Résultats!AH$200+Résultats!AH$201+Résultats!AH$202+Résultats!AH$203+Résultats!AH$204+Résultats!AH$205+Résultats!AH$206+Résultats!AH$207+Résultats!AH$208+Résultats!AH$216+Résultats!AH$218)/1000000</f>
        <v>15.35532273140816</v>
      </c>
      <c r="G64" s="16">
        <f>Résultats!AH$133/1000000</f>
        <v>13.79052883</v>
      </c>
      <c r="H64" s="95">
        <f t="shared" si="5"/>
        <v>76.455554574408808</v>
      </c>
      <c r="I64" s="166"/>
      <c r="K64" s="166"/>
      <c r="L64" s="166"/>
      <c r="M64" s="166"/>
      <c r="N64" s="38"/>
      <c r="O64" s="166"/>
      <c r="P64" s="166"/>
      <c r="Q64" s="166"/>
      <c r="R64" s="166"/>
      <c r="S64" s="166"/>
      <c r="T64" s="207"/>
      <c r="U64" s="16"/>
      <c r="W64" s="30"/>
      <c r="X64" s="208"/>
      <c r="Y64" s="208"/>
      <c r="Z64" s="208"/>
      <c r="AA64" s="208"/>
      <c r="AB64" s="208"/>
    </row>
    <row r="65" spans="1:28" x14ac:dyDescent="0.25">
      <c r="A65" s="149" t="s">
        <v>25</v>
      </c>
      <c r="B65" s="35"/>
      <c r="C65" s="16">
        <v>0</v>
      </c>
      <c r="D65" s="16">
        <f>(Résultats!AH$172)/1000000</f>
        <v>6.7603399819999996</v>
      </c>
      <c r="E65" s="16">
        <f>'T energie usages'!J97/'T energie usages'!J$98*(Résultats!AH$192+Résultats!AH$193+Résultats!AH$194)/1000000</f>
        <v>0.16100263079978802</v>
      </c>
      <c r="F65" s="16">
        <f>(Résultats!AH$196)/1000000</f>
        <v>0.4337889251</v>
      </c>
      <c r="G65" s="16">
        <v>0</v>
      </c>
      <c r="H65" s="95">
        <f t="shared" si="5"/>
        <v>7.3551315378997879</v>
      </c>
      <c r="I65" s="166"/>
      <c r="K65" s="166"/>
      <c r="L65" s="166"/>
      <c r="M65" s="166"/>
      <c r="N65" s="38"/>
      <c r="O65" s="166"/>
      <c r="P65" s="166"/>
      <c r="Q65" s="166"/>
      <c r="R65" s="166"/>
      <c r="S65" s="166"/>
      <c r="T65" s="207"/>
      <c r="U65" s="16"/>
      <c r="W65" s="30"/>
      <c r="X65" s="208"/>
      <c r="Y65" s="208"/>
      <c r="Z65" s="208"/>
      <c r="AA65" s="208"/>
      <c r="AB65" s="208"/>
    </row>
    <row r="66" spans="1:28" x14ac:dyDescent="0.25">
      <c r="A66" s="48" t="s">
        <v>41</v>
      </c>
      <c r="B66" s="37"/>
      <c r="C66" s="37">
        <f>SUM(C61:C63)+C58</f>
        <v>11.4747607903</v>
      </c>
      <c r="D66" s="37">
        <f>SUM(D61:D63)+D58</f>
        <v>137.79127552570205</v>
      </c>
      <c r="E66" s="37">
        <f>SUM(E61:E63)+E58</f>
        <v>19.402436871799782</v>
      </c>
      <c r="F66" s="37">
        <f>SUM(F61:F63)+F58</f>
        <v>36.570939147012645</v>
      </c>
      <c r="G66" s="37">
        <f>SUM(G61:G63)+G58</f>
        <v>13.79052883</v>
      </c>
      <c r="H66" s="167">
        <f t="shared" si="5"/>
        <v>219.02994116481446</v>
      </c>
      <c r="I66" s="79"/>
      <c r="J66" s="211"/>
      <c r="K66" s="166"/>
      <c r="L66" s="166"/>
      <c r="M66" s="166"/>
      <c r="N66" s="38"/>
      <c r="O66" s="166"/>
      <c r="P66" s="166"/>
      <c r="Q66" s="166"/>
      <c r="R66" s="166"/>
      <c r="S66" s="166"/>
      <c r="T66" s="207"/>
      <c r="U66" s="79"/>
      <c r="W66" s="80"/>
      <c r="X66" s="208"/>
      <c r="Y66" s="208"/>
      <c r="Z66" s="208"/>
      <c r="AA66" s="208"/>
      <c r="AB66" s="208"/>
    </row>
    <row r="67" spans="1:28" x14ac:dyDescent="0.25">
      <c r="A67" s="164" t="s">
        <v>43</v>
      </c>
      <c r="B67" s="164"/>
      <c r="C67" s="165">
        <f>(Résultats!AH$135+Résultats!AH$162+Résultats!AH$163+Résultats!AH$164+Résultats!AH$165+Résultats!AH$166+Résultats!AH$167+Résultats!AH$168+Résultats!AH$169)/1000000</f>
        <v>11.474760790299998</v>
      </c>
      <c r="D67" s="165">
        <f>(Résultats!AH$137+Résultats!AH$171+Résultats!AH$172+Résultats!AH$173+Résultats!AH$174+Résultats!AH$175+Résultats!AH$176+Résultats!AH$177+Résultats!AH$178+Résultats!AH$179+Résultats!AH$180+Résultats!AH$181+Résultats!AH$182+Résultats!AH$183+Résultats!AH$184+Résultats!AH$185+Résultats!AH$186+Résultats!AH$187+Résultats!AH$188+Résultats!AH$189)/1000000</f>
        <v>148.97517776998112</v>
      </c>
      <c r="E67" s="165">
        <f>(Résultats!AH$192+Résultats!AH$193+Résultats!AH$194)/1000000</f>
        <v>19.241434241</v>
      </c>
      <c r="F67" s="165">
        <f>(Résultats!AH$139+Résultats!AH$196+Résultats!AH$197+Résultats!AH$198+Résultats!AH$199+Résultats!AH$200+Résultats!AH$201+Résultats!AH$202+Résultats!AH$203+Résultats!AH$204+Résultats!AH$205+Résultats!AH$206+Résultats!AH$207+Résultats!AH$208+Résultats!AH$209+Résultats!AH$210+Résultats!AH$211+Résultats!AH$212+Résultats!AH$213+Résultats!AH$214+Résultats!AH$215+Résultats!AH$216+Résultats!AH$218)/1000000</f>
        <v>44.897579670168156</v>
      </c>
      <c r="G67" s="165">
        <f>Résultats!AH$133/1000000</f>
        <v>13.79052883</v>
      </c>
      <c r="H67" s="188">
        <f t="shared" si="5"/>
        <v>238.37948130144926</v>
      </c>
      <c r="I67" s="45"/>
      <c r="K67" s="45"/>
      <c r="L67" s="166"/>
    </row>
    <row r="68" spans="1:28" x14ac:dyDescent="0.25">
      <c r="A68" s="164"/>
      <c r="B68" s="164"/>
      <c r="C68" s="165"/>
      <c r="D68" s="165"/>
      <c r="E68" s="165"/>
      <c r="F68" s="165"/>
      <c r="G68" s="165"/>
      <c r="H68" s="165">
        <f>Résultats!AH227/1000000</f>
        <v>238.379481</v>
      </c>
      <c r="I68" s="45"/>
      <c r="K68" s="45"/>
      <c r="L68" s="166"/>
    </row>
    <row r="69" spans="1:28" x14ac:dyDescent="0.25">
      <c r="A69" s="3"/>
      <c r="B69" s="3"/>
      <c r="C69" s="45"/>
      <c r="D69" s="45"/>
      <c r="E69" s="45"/>
      <c r="F69" s="45"/>
      <c r="G69" s="45"/>
      <c r="H69" s="45"/>
      <c r="I69" s="45"/>
      <c r="K69" s="45"/>
      <c r="L69" s="166"/>
    </row>
    <row r="70" spans="1:28" ht="21" x14ac:dyDescent="0.35">
      <c r="A70" s="145">
        <v>2050</v>
      </c>
      <c r="B70" s="186"/>
      <c r="C70" s="27" t="s">
        <v>36</v>
      </c>
      <c r="D70" s="27" t="s">
        <v>37</v>
      </c>
      <c r="E70" s="27" t="s">
        <v>38</v>
      </c>
      <c r="F70" s="27" t="s">
        <v>39</v>
      </c>
      <c r="G70" s="27" t="s">
        <v>40</v>
      </c>
      <c r="H70" s="190" t="s">
        <v>1</v>
      </c>
      <c r="I70" s="3"/>
    </row>
    <row r="71" spans="1:28" x14ac:dyDescent="0.25">
      <c r="A71" s="162" t="s">
        <v>18</v>
      </c>
      <c r="B71" s="187"/>
      <c r="C71" s="36">
        <f>C72+C73</f>
        <v>2.13634065408501E-6</v>
      </c>
      <c r="D71" s="36">
        <f>D72+D73</f>
        <v>60.929392089580965</v>
      </c>
      <c r="E71" s="36">
        <f>E72+E73</f>
        <v>2.5800881757456224</v>
      </c>
      <c r="F71" s="36">
        <f>F72+F73</f>
        <v>1.947158104762341</v>
      </c>
      <c r="G71" s="36">
        <f>G72+G73</f>
        <v>0</v>
      </c>
      <c r="H71" s="163">
        <f t="shared" ref="H71:H80" si="6">SUM(C71:G71)</f>
        <v>65.456640506429579</v>
      </c>
      <c r="I71" s="3"/>
    </row>
    <row r="72" spans="1:28" x14ac:dyDescent="0.25">
      <c r="A72" s="148" t="s">
        <v>19</v>
      </c>
      <c r="B72" s="35"/>
      <c r="C72" s="16">
        <f>Résultats!AF$118/1000000</f>
        <v>2.13634065408501E-6</v>
      </c>
      <c r="D72" s="16">
        <f>'T energie usages'!I116*3.2*Résultats!AW283</f>
        <v>25.827642241680969</v>
      </c>
      <c r="E72" s="16">
        <f>'T energie usages'!J116/'T energie usages'!J$124*(Résultats!AW$192+Résultats!AW$193+Résultats!AW$194)/1000000</f>
        <v>1.1983909579294951</v>
      </c>
      <c r="F72" s="16">
        <f>'T energie usages'!K116*2.394*Résultats!AW284</f>
        <v>3.6584232341008243E-5</v>
      </c>
      <c r="G72" s="16">
        <v>0</v>
      </c>
      <c r="H72" s="95">
        <f t="shared" si="6"/>
        <v>27.026071920183458</v>
      </c>
      <c r="I72" s="3"/>
    </row>
    <row r="73" spans="1:28" x14ac:dyDescent="0.25">
      <c r="A73" s="149" t="s">
        <v>20</v>
      </c>
      <c r="B73" s="35"/>
      <c r="C73" s="16">
        <v>0</v>
      </c>
      <c r="D73" s="16">
        <f>(Résultats!AW$183+Résultats!AW$184+Résultats!AW$185+Résultats!AW$186+Résultats!AW$187)/1000000</f>
        <v>35.101749847899995</v>
      </c>
      <c r="E73" s="16">
        <f>'T energie usages'!J117/'T energie usages'!J$124*(Résultats!AW$192+Résultats!AW$193+Résultats!AW$194)/1000000</f>
        <v>1.3816972178161275</v>
      </c>
      <c r="F73" s="192">
        <f>(Résultats!AW$209+Résultats!AW$210+Résultats!AW$211+Résultats!AW$212+Résultats!AW$213)/1000000</f>
        <v>1.9471215205299999</v>
      </c>
      <c r="G73" s="16">
        <v>0</v>
      </c>
      <c r="H73" s="95">
        <f t="shared" si="6"/>
        <v>38.430568586246117</v>
      </c>
      <c r="I73" s="3"/>
    </row>
    <row r="74" spans="1:28" x14ac:dyDescent="0.25">
      <c r="A74" s="162" t="s">
        <v>21</v>
      </c>
      <c r="B74" s="187"/>
      <c r="C74" s="36">
        <f>Résultats!AW$135/1000000</f>
        <v>0.72059725139999997</v>
      </c>
      <c r="D74" s="36">
        <f>'T energie usages'!I118*3.2*Résultats!AW283</f>
        <v>11.561656089095223</v>
      </c>
      <c r="E74" s="36">
        <f>'T energie usages'!J118/'T energie usages'!J$124*(Résultats!AW$192+Résultats!AW$193+Résultats!AW$194)/1000000</f>
        <v>6.2560850055425572</v>
      </c>
      <c r="F74" s="36">
        <f>('T energie usages'!K118-8)*2.394*Résultats!AW284</f>
        <v>6.519314533629192</v>
      </c>
      <c r="G74" s="36">
        <v>0</v>
      </c>
      <c r="H74" s="163">
        <f t="shared" si="6"/>
        <v>25.057652879666971</v>
      </c>
      <c r="I74" s="3"/>
    </row>
    <row r="75" spans="1:28" x14ac:dyDescent="0.25">
      <c r="A75" s="162" t="s">
        <v>22</v>
      </c>
      <c r="B75" s="187"/>
      <c r="C75" s="36">
        <f>(Résultats!AW$168+Résultats!AW$169)/1000000</f>
        <v>0</v>
      </c>
      <c r="D75" s="36">
        <f>(Résultats!AW$188+Résultats!AW$189)/1000000</f>
        <v>3.6420865763999997</v>
      </c>
      <c r="E75" s="36">
        <f>'T energie usages'!J119/'T energie usages'!J$124*(Résultats!AW$192+Résultats!AW$193+Résultats!AW$194)/1000000</f>
        <v>3.730519738351616</v>
      </c>
      <c r="F75" s="36">
        <f>(Résultats!AW$214+Résultats!AW$215)/1000000</f>
        <v>3.5864806210000002</v>
      </c>
      <c r="G75" s="36">
        <v>0</v>
      </c>
      <c r="H75" s="163">
        <f t="shared" si="6"/>
        <v>10.959086935751616</v>
      </c>
      <c r="I75" s="3"/>
    </row>
    <row r="76" spans="1:28" x14ac:dyDescent="0.25">
      <c r="A76" s="162" t="s">
        <v>23</v>
      </c>
      <c r="B76" s="187"/>
      <c r="C76" s="36">
        <f>C77+C78</f>
        <v>11.7483669831</v>
      </c>
      <c r="D76" s="36">
        <f>D77+D78</f>
        <v>38.142893110790972</v>
      </c>
      <c r="E76" s="36">
        <f>E77+E78</f>
        <v>4.6187260804780141</v>
      </c>
      <c r="F76" s="36">
        <f>F77+F78</f>
        <v>10.682327511668079</v>
      </c>
      <c r="G76" s="36">
        <f>G77+G78</f>
        <v>15.3858128</v>
      </c>
      <c r="H76" s="163">
        <f t="shared" si="6"/>
        <v>80.578126486037064</v>
      </c>
      <c r="I76" s="3"/>
    </row>
    <row r="77" spans="1:28" x14ac:dyDescent="0.25">
      <c r="A77" s="149" t="s">
        <v>24</v>
      </c>
      <c r="B77" s="35"/>
      <c r="C77" s="16">
        <f>(Résultats!AW$162+Résultats!AW$163+Résultats!AW$164+Résultats!AW$165+Résultats!AW$166+Résultats!AW$167)/1000000</f>
        <v>11.7483669831</v>
      </c>
      <c r="D77" s="16">
        <f>(Résultats!AW$171+Résultats!AW$173+Résultats!AW$174+Résultats!AW$175+Résultats!AW$176+Résultats!AW$177+Résultats!AW$178+Résultats!AW$179+Résultats!AW$180+Résultats!AW$181+Résultats!AW$182)/1000000</f>
        <v>30.907066561790973</v>
      </c>
      <c r="E77" s="16">
        <f>'T energie usages'!J121/'T energie usages'!J$124*(Résultats!AW$192+Résultats!AW$193+Résultats!AW$194)/1000000</f>
        <v>4.4689015613602043</v>
      </c>
      <c r="F77" s="16">
        <f>(Résultats!AW$197+Résultats!AW$198+Résultats!AW$199+Résultats!AW$200+Résultats!AW$201+Résultats!AW$202+Résultats!AW$203+Résultats!AW$204+Résultats!AW$205+Résultats!AW$206+Résultats!AW$207+Résultats!AW$208+Résultats!AW$216+Résultats!AW$218)/1000000</f>
        <v>10.37753778676808</v>
      </c>
      <c r="G77" s="16">
        <f>Résultats!AW$133/1000000</f>
        <v>15.3858128</v>
      </c>
      <c r="H77" s="95">
        <f t="shared" si="6"/>
        <v>72.887685693019264</v>
      </c>
      <c r="I77" s="3"/>
    </row>
    <row r="78" spans="1:28" x14ac:dyDescent="0.25">
      <c r="A78" s="149" t="s">
        <v>25</v>
      </c>
      <c r="B78" s="35"/>
      <c r="C78" s="16">
        <v>0</v>
      </c>
      <c r="D78" s="16">
        <f>(Résultats!AW$172)/1000000</f>
        <v>7.2358265489999996</v>
      </c>
      <c r="E78" s="16">
        <f>'T energie usages'!J123/'T energie usages'!J$124*(Résultats!AW$192+Résultats!AW$193+Résultats!AW$194)/1000000</f>
        <v>0.14982451911781011</v>
      </c>
      <c r="F78" s="16">
        <f>(Résultats!AW$196)/1000000</f>
        <v>0.30478972489999995</v>
      </c>
      <c r="G78" s="16">
        <v>0</v>
      </c>
      <c r="H78" s="95">
        <f t="shared" si="6"/>
        <v>7.6904407930178094</v>
      </c>
      <c r="I78" s="3"/>
    </row>
    <row r="79" spans="1:28" x14ac:dyDescent="0.25">
      <c r="A79" s="48" t="s">
        <v>41</v>
      </c>
      <c r="B79" s="37"/>
      <c r="C79" s="37">
        <f>SUM(C74:C76)+C71</f>
        <v>12.468966370840654</v>
      </c>
      <c r="D79" s="37">
        <f>SUM(D74:D76)+D71</f>
        <v>114.27602786586715</v>
      </c>
      <c r="E79" s="37">
        <f>SUM(E74:E76)+E71</f>
        <v>17.185419000117811</v>
      </c>
      <c r="F79" s="37">
        <f>SUM(F74:F76)+F71</f>
        <v>22.73528077105961</v>
      </c>
      <c r="G79" s="37">
        <f>SUM(G74:G76)+G71</f>
        <v>15.3858128</v>
      </c>
      <c r="H79" s="167">
        <f t="shared" si="6"/>
        <v>182.05150680788523</v>
      </c>
      <c r="I79" s="326">
        <f>(H79-'[6]T CO2'!$G$79)</f>
        <v>-63.145845951114353</v>
      </c>
    </row>
    <row r="80" spans="1:28" x14ac:dyDescent="0.25">
      <c r="A80" s="164" t="s">
        <v>43</v>
      </c>
      <c r="B80" s="164"/>
      <c r="C80" s="165">
        <f>(Résultats!AW$135+Résultats!AW$162+Résultats!AW$163+Résultats!AW$164+Résultats!AW$165+Résultats!AW$166+Résultats!AW$167+Résultats!AW$168+Résultats!AW$169)/1000000</f>
        <v>12.4689642345</v>
      </c>
      <c r="D80" s="165">
        <f>(Résultats!AW$137+Résultats!AW$171+Résultats!AW$172+Résultats!AW$173+Résultats!AW$174+Résultats!AW$175+Résultats!AW$176+Résultats!AW$177+Résultats!AW$178+Résultats!AW$179+Résultats!AW$180+Résultats!AW$181+Résultats!AW$182+Résultats!AW$183+Résultats!AW$184+Résultats!AW$185+Résultats!AW$186+Résultats!AW$187+Résultats!AW$188+Résultats!AW$189)/1000000</f>
        <v>121.773907495091</v>
      </c>
      <c r="E80" s="165">
        <f>(Résultats!AW$192+Résultats!AW$193+Résultats!AW$194)/1000000</f>
        <v>17.035594481</v>
      </c>
      <c r="F80" s="165">
        <f>(Résultats!AW$139+Résultats!AW$196+Résultats!AW$197+Résultats!AW$198+Résultats!AW$199+Résultats!AW$200+Résultats!AW$201+Résultats!AW$202+Résultats!AW$203+Résultats!AW$204+Résultats!AW$205+Résultats!AW$206+Résultats!AW$207+Résultats!AW$208+Résultats!AW$209+Résultats!AW$210+Résultats!AW$211+Résultats!AW$212+Résultats!AW$213+Résultats!AW$214+Résultats!AW$215+Résultats!AW$216+Résultats!AW$218)/1000000</f>
        <v>27.70220821319808</v>
      </c>
      <c r="G80" s="165">
        <f>Résultats!AW133/1000000</f>
        <v>15.3858128</v>
      </c>
      <c r="H80" s="188">
        <f t="shared" si="6"/>
        <v>194.36648722378908</v>
      </c>
      <c r="I80" s="47"/>
    </row>
    <row r="81" spans="1:9" x14ac:dyDescent="0.25">
      <c r="A81" s="164"/>
      <c r="B81" s="164"/>
      <c r="C81" s="165"/>
      <c r="D81" s="165"/>
      <c r="E81" s="165"/>
      <c r="F81" s="165"/>
      <c r="G81" s="165"/>
      <c r="H81" s="165">
        <f>Résultats!AW227/1000000</f>
        <v>194.36648700000001</v>
      </c>
      <c r="I81" s="3"/>
    </row>
    <row r="82" spans="1:9" x14ac:dyDescent="0.25">
      <c r="A82" s="3"/>
      <c r="B82" s="3"/>
      <c r="C82" s="3"/>
      <c r="D82" s="3"/>
      <c r="E82" s="3"/>
      <c r="F82" s="3"/>
      <c r="G82" s="3"/>
      <c r="H82" s="3"/>
      <c r="I82" s="3"/>
    </row>
    <row r="83" spans="1:9" x14ac:dyDescent="0.25">
      <c r="A83" s="3"/>
      <c r="B83" s="3"/>
      <c r="C83" s="3"/>
      <c r="D83" s="3"/>
      <c r="E83" s="3"/>
      <c r="F83" s="3"/>
      <c r="G83" s="3"/>
      <c r="H83" s="3"/>
      <c r="I83" s="3"/>
    </row>
    <row r="84" spans="1:9" s="3" customFormat="1" x14ac:dyDescent="0.25"/>
    <row r="85" spans="1:9" s="3" customFormat="1" x14ac:dyDescent="0.25">
      <c r="G85" s="45"/>
    </row>
    <row r="86" spans="1:9" s="3" customFormat="1" x14ac:dyDescent="0.25">
      <c r="H86" s="47"/>
    </row>
    <row r="87" spans="1:9" s="3" customFormat="1" x14ac:dyDescent="0.25">
      <c r="C87" s="45"/>
      <c r="H87" s="47"/>
    </row>
    <row r="88" spans="1:9" s="3" customFormat="1" x14ac:dyDescent="0.25">
      <c r="C88" s="45"/>
      <c r="H88" s="47"/>
    </row>
    <row r="89" spans="1:9" s="3" customFormat="1" x14ac:dyDescent="0.25">
      <c r="C89" s="45"/>
      <c r="H89" s="47"/>
    </row>
    <row r="90" spans="1:9" s="3" customFormat="1" x14ac:dyDescent="0.25">
      <c r="C90" s="45"/>
      <c r="H90" s="47"/>
    </row>
    <row r="91" spans="1:9" s="3" customFormat="1" x14ac:dyDescent="0.25">
      <c r="C91" s="45"/>
      <c r="H91" s="47"/>
    </row>
    <row r="92" spans="1:9" s="3" customFormat="1" x14ac:dyDescent="0.25">
      <c r="C92" s="45"/>
    </row>
    <row r="93" spans="1:9" s="3" customFormat="1" x14ac:dyDescent="0.25">
      <c r="C93" s="45"/>
    </row>
    <row r="94" spans="1:9" s="3" customFormat="1" x14ac:dyDescent="0.25">
      <c r="C94" s="45"/>
    </row>
    <row r="95" spans="1:9" s="3" customFormat="1" x14ac:dyDescent="0.25">
      <c r="C95" s="45"/>
    </row>
    <row r="96" spans="1:9" s="3" customFormat="1" x14ac:dyDescent="0.25">
      <c r="C96" s="45"/>
    </row>
    <row r="97" spans="3:5" s="3" customFormat="1" x14ac:dyDescent="0.25">
      <c r="C97" s="45"/>
    </row>
    <row r="98" spans="3:5" s="3" customFormat="1" x14ac:dyDescent="0.25">
      <c r="C98" s="45"/>
    </row>
    <row r="99" spans="3:5" s="3" customFormat="1" x14ac:dyDescent="0.25">
      <c r="C99" s="45"/>
    </row>
    <row r="100" spans="3:5" s="3" customFormat="1" x14ac:dyDescent="0.25">
      <c r="C100" s="45"/>
    </row>
    <row r="101" spans="3:5" s="3" customFormat="1" x14ac:dyDescent="0.25">
      <c r="C101" s="45"/>
    </row>
    <row r="102" spans="3:5" s="3" customFormat="1" x14ac:dyDescent="0.25">
      <c r="C102" s="45"/>
    </row>
    <row r="103" spans="3:5" s="3" customFormat="1" x14ac:dyDescent="0.25"/>
    <row r="104" spans="3:5" s="3" customFormat="1" x14ac:dyDescent="0.25">
      <c r="C104" s="45"/>
    </row>
    <row r="105" spans="3:5" s="3" customFormat="1" x14ac:dyDescent="0.25">
      <c r="C105" s="45"/>
    </row>
    <row r="106" spans="3:5" s="3" customFormat="1" x14ac:dyDescent="0.25">
      <c r="C106" s="45"/>
    </row>
    <row r="107" spans="3:5" s="3" customFormat="1" x14ac:dyDescent="0.25">
      <c r="C107" s="45"/>
    </row>
    <row r="108" spans="3:5" s="3" customFormat="1" x14ac:dyDescent="0.25">
      <c r="C108" s="45"/>
    </row>
    <row r="109" spans="3:5" s="3" customFormat="1" x14ac:dyDescent="0.25">
      <c r="C109" s="45"/>
    </row>
    <row r="110" spans="3:5" s="3" customFormat="1" x14ac:dyDescent="0.25">
      <c r="C110" s="45"/>
    </row>
    <row r="111" spans="3:5" s="3" customFormat="1" x14ac:dyDescent="0.25">
      <c r="C111" s="45"/>
    </row>
    <row r="112" spans="3:5" s="3" customFormat="1" x14ac:dyDescent="0.25">
      <c r="C112" s="45"/>
      <c r="D112" s="212"/>
      <c r="E112" s="212"/>
    </row>
    <row r="113" spans="3:3" s="3" customFormat="1" x14ac:dyDescent="0.25">
      <c r="C113" s="45"/>
    </row>
    <row r="114" spans="3:3" s="3" customFormat="1" x14ac:dyDescent="0.25">
      <c r="C114" s="45"/>
    </row>
    <row r="115" spans="3:3" s="3" customFormat="1" x14ac:dyDescent="0.25">
      <c r="C115" s="45"/>
    </row>
    <row r="116" spans="3:3" s="3" customFormat="1" x14ac:dyDescent="0.25">
      <c r="C116" s="45"/>
    </row>
    <row r="117" spans="3:3" s="3" customFormat="1" x14ac:dyDescent="0.25">
      <c r="C117" s="45"/>
    </row>
    <row r="118" spans="3:3" s="3" customFormat="1" x14ac:dyDescent="0.25">
      <c r="C118" s="45"/>
    </row>
    <row r="119" spans="3:3" s="3" customFormat="1" x14ac:dyDescent="0.25">
      <c r="C119" s="45"/>
    </row>
    <row r="120" spans="3:3" s="3" customFormat="1" x14ac:dyDescent="0.25">
      <c r="C120" s="45"/>
    </row>
    <row r="121" spans="3:3" s="3" customFormat="1" x14ac:dyDescent="0.25">
      <c r="C121" s="45"/>
    </row>
    <row r="122" spans="3:3" s="3" customFormat="1" x14ac:dyDescent="0.25"/>
    <row r="123" spans="3:3" s="3" customFormat="1" x14ac:dyDescent="0.25"/>
    <row r="124" spans="3:3" s="3" customFormat="1" x14ac:dyDescent="0.25"/>
    <row r="125" spans="3:3" s="3" customFormat="1" x14ac:dyDescent="0.25"/>
    <row r="126" spans="3:3" s="3" customFormat="1" x14ac:dyDescent="0.25"/>
    <row r="127" spans="3:3" s="3" customFormat="1" x14ac:dyDescent="0.25"/>
    <row r="128" spans="3:3" s="3" customFormat="1" x14ac:dyDescent="0.25"/>
    <row r="129" s="3" customFormat="1" x14ac:dyDescent="0.25"/>
    <row r="130" s="3" customFormat="1" x14ac:dyDescent="0.25"/>
    <row r="131" s="3" customFormat="1" x14ac:dyDescent="0.25"/>
    <row r="132" s="3" customFormat="1" x14ac:dyDescent="0.25"/>
    <row r="133" s="3" customFormat="1" x14ac:dyDescent="0.25"/>
    <row r="134" s="3" customFormat="1" x14ac:dyDescent="0.25"/>
    <row r="135" s="3" customFormat="1" x14ac:dyDescent="0.25"/>
    <row r="136" s="3" customFormat="1" x14ac:dyDescent="0.25"/>
    <row r="137" s="3" customFormat="1" x14ac:dyDescent="0.25"/>
    <row r="138" s="3" customFormat="1" x14ac:dyDescent="0.25"/>
    <row r="139" s="3" customFormat="1" x14ac:dyDescent="0.25"/>
    <row r="140" s="3" customFormat="1" x14ac:dyDescent="0.25"/>
    <row r="141" s="3" customFormat="1" x14ac:dyDescent="0.25"/>
    <row r="142" s="3" customFormat="1" x14ac:dyDescent="0.25"/>
    <row r="143" s="3" customFormat="1" x14ac:dyDescent="0.25"/>
    <row r="144" s="3" customFormat="1" x14ac:dyDescent="0.25"/>
    <row r="145" s="3" customFormat="1" x14ac:dyDescent="0.25"/>
    <row r="146" s="3" customFormat="1" x14ac:dyDescent="0.25"/>
    <row r="147" s="3" customFormat="1" x14ac:dyDescent="0.25"/>
    <row r="148" s="3" customFormat="1" x14ac:dyDescent="0.25"/>
    <row r="149" s="3" customFormat="1" x14ac:dyDescent="0.25"/>
    <row r="150" s="3" customFormat="1" x14ac:dyDescent="0.25"/>
    <row r="151" s="3" customFormat="1" x14ac:dyDescent="0.25"/>
    <row r="152" s="3" customFormat="1" x14ac:dyDescent="0.25"/>
    <row r="153" s="3" customFormat="1" x14ac:dyDescent="0.25"/>
    <row r="154" s="3" customFormat="1" x14ac:dyDescent="0.25"/>
    <row r="155" s="3" customFormat="1" x14ac:dyDescent="0.25"/>
    <row r="156" s="3" customFormat="1" x14ac:dyDescent="0.25"/>
    <row r="157" s="3" customFormat="1" x14ac:dyDescent="0.25"/>
    <row r="158" s="3" customFormat="1" x14ac:dyDescent="0.25"/>
    <row r="159" s="3" customFormat="1" x14ac:dyDescent="0.25"/>
    <row r="160" s="3" customFormat="1" x14ac:dyDescent="0.25"/>
    <row r="161" s="3" customFormat="1" x14ac:dyDescent="0.25"/>
    <row r="162" s="3" customFormat="1" x14ac:dyDescent="0.25"/>
    <row r="163" s="3" customFormat="1" x14ac:dyDescent="0.25"/>
    <row r="164" s="3" customFormat="1" x14ac:dyDescent="0.25"/>
    <row r="165" s="3" customFormat="1" x14ac:dyDescent="0.25"/>
    <row r="166" s="3" customFormat="1" x14ac:dyDescent="0.25"/>
    <row r="167" s="3" customFormat="1" x14ac:dyDescent="0.25"/>
    <row r="168" s="3" customFormat="1" x14ac:dyDescent="0.25"/>
    <row r="169" s="3" customFormat="1" x14ac:dyDescent="0.25"/>
    <row r="170" s="3" customFormat="1" x14ac:dyDescent="0.25"/>
    <row r="171" s="3" customFormat="1" x14ac:dyDescent="0.25"/>
    <row r="172" s="3" customFormat="1" x14ac:dyDescent="0.25"/>
    <row r="173" s="3" customFormat="1" x14ac:dyDescent="0.25"/>
    <row r="174" s="3" customFormat="1" x14ac:dyDescent="0.25"/>
    <row r="175" s="3" customFormat="1" x14ac:dyDescent="0.25"/>
    <row r="176" s="3" customFormat="1" x14ac:dyDescent="0.25"/>
    <row r="177" s="3" customFormat="1" x14ac:dyDescent="0.25"/>
    <row r="178" s="3" customFormat="1" x14ac:dyDescent="0.25"/>
    <row r="179" s="3" customFormat="1" x14ac:dyDescent="0.25"/>
    <row r="180" s="3" customFormat="1" x14ac:dyDescent="0.25"/>
    <row r="181" s="3" customFormat="1" x14ac:dyDescent="0.25"/>
    <row r="182" s="3" customFormat="1" x14ac:dyDescent="0.25"/>
    <row r="183" s="3" customFormat="1" x14ac:dyDescent="0.25"/>
    <row r="184" s="3" customFormat="1" x14ac:dyDescent="0.25"/>
    <row r="185" s="3" customFormat="1" x14ac:dyDescent="0.25"/>
    <row r="186" s="3" customFormat="1" x14ac:dyDescent="0.25"/>
    <row r="187" s="3" customFormat="1" x14ac:dyDescent="0.25"/>
    <row r="188" s="3" customFormat="1" x14ac:dyDescent="0.25"/>
    <row r="189" s="3" customFormat="1" x14ac:dyDescent="0.25"/>
    <row r="190" s="3" customFormat="1" x14ac:dyDescent="0.25"/>
    <row r="191" s="3" customFormat="1" x14ac:dyDescent="0.25"/>
    <row r="192" s="3" customFormat="1" x14ac:dyDescent="0.25"/>
    <row r="193" s="3" customFormat="1" x14ac:dyDescent="0.25"/>
    <row r="194" s="3" customFormat="1" x14ac:dyDescent="0.25"/>
    <row r="195" s="3" customFormat="1" x14ac:dyDescent="0.25"/>
    <row r="196" s="3" customFormat="1" x14ac:dyDescent="0.25"/>
    <row r="197" s="3" customFormat="1" x14ac:dyDescent="0.25"/>
    <row r="198" s="3" customFormat="1" x14ac:dyDescent="0.25"/>
    <row r="199" s="3" customFormat="1" x14ac:dyDescent="0.25"/>
    <row r="200" s="3" customFormat="1" x14ac:dyDescent="0.25"/>
    <row r="201" s="3" customFormat="1" x14ac:dyDescent="0.25"/>
    <row r="202" s="3" customFormat="1" x14ac:dyDescent="0.25"/>
    <row r="203" s="3" customFormat="1" x14ac:dyDescent="0.25"/>
    <row r="204" s="3" customFormat="1" x14ac:dyDescent="0.25"/>
    <row r="205" s="3" customFormat="1" x14ac:dyDescent="0.25"/>
    <row r="206" s="3" customFormat="1" x14ac:dyDescent="0.25"/>
    <row r="207" s="3" customFormat="1" x14ac:dyDescent="0.25"/>
    <row r="208" s="3" customFormat="1" x14ac:dyDescent="0.25"/>
    <row r="209" s="3" customFormat="1" x14ac:dyDescent="0.25"/>
    <row r="210" s="3" customFormat="1" x14ac:dyDescent="0.25"/>
    <row r="211" s="3" customFormat="1" x14ac:dyDescent="0.25"/>
    <row r="212" s="3" customFormat="1" x14ac:dyDescent="0.25"/>
    <row r="213" s="3" customFormat="1" x14ac:dyDescent="0.25"/>
    <row r="214" s="3" customFormat="1" x14ac:dyDescent="0.25"/>
    <row r="215" s="3" customFormat="1" x14ac:dyDescent="0.25"/>
    <row r="216" s="3" customFormat="1" x14ac:dyDescent="0.25"/>
    <row r="217" s="3" customFormat="1" x14ac:dyDescent="0.25"/>
    <row r="218" s="3" customFormat="1" x14ac:dyDescent="0.25"/>
    <row r="219" s="3" customFormat="1" x14ac:dyDescent="0.25"/>
    <row r="220" s="3" customFormat="1" x14ac:dyDescent="0.25"/>
    <row r="221" s="3" customFormat="1" x14ac:dyDescent="0.25"/>
    <row r="222" s="3" customFormat="1" x14ac:dyDescent="0.25"/>
    <row r="223" s="3" customFormat="1" x14ac:dyDescent="0.25"/>
    <row r="224" s="3" customFormat="1" x14ac:dyDescent="0.25"/>
    <row r="225" s="3" customFormat="1" x14ac:dyDescent="0.25"/>
    <row r="226" s="3" customFormat="1" x14ac:dyDescent="0.25"/>
    <row r="227" s="3" customFormat="1" x14ac:dyDescent="0.25"/>
    <row r="228" s="3" customFormat="1" x14ac:dyDescent="0.25"/>
    <row r="229" s="3" customFormat="1" x14ac:dyDescent="0.25"/>
    <row r="230" s="3" customFormat="1" x14ac:dyDescent="0.25"/>
    <row r="231" s="3" customFormat="1" x14ac:dyDescent="0.25"/>
    <row r="232" s="3" customFormat="1" x14ac:dyDescent="0.25"/>
    <row r="233" s="3" customFormat="1" x14ac:dyDescent="0.25"/>
    <row r="234" s="3" customFormat="1" x14ac:dyDescent="0.25"/>
    <row r="235" s="3" customFormat="1" x14ac:dyDescent="0.25"/>
    <row r="236" s="3" customFormat="1" x14ac:dyDescent="0.25"/>
    <row r="237" s="3" customFormat="1" x14ac:dyDescent="0.25"/>
    <row r="238" s="3" customFormat="1" x14ac:dyDescent="0.25"/>
    <row r="239" s="3" customFormat="1" x14ac:dyDescent="0.25"/>
    <row r="240" s="3" customFormat="1" x14ac:dyDescent="0.25"/>
    <row r="241" s="3" customFormat="1" x14ac:dyDescent="0.25"/>
    <row r="242" s="3" customFormat="1" x14ac:dyDescent="0.25"/>
    <row r="243" s="3" customFormat="1" x14ac:dyDescent="0.25"/>
    <row r="244" s="3" customFormat="1" x14ac:dyDescent="0.25"/>
    <row r="245" s="3" customFormat="1" x14ac:dyDescent="0.25"/>
    <row r="246" s="3" customFormat="1" x14ac:dyDescent="0.25"/>
    <row r="247" s="3" customFormat="1" x14ac:dyDescent="0.25"/>
    <row r="248" s="3" customFormat="1" x14ac:dyDescent="0.25"/>
    <row r="249" s="3" customFormat="1" x14ac:dyDescent="0.25"/>
    <row r="250" s="3" customFormat="1" x14ac:dyDescent="0.25"/>
    <row r="251" s="3" customFormat="1" x14ac:dyDescent="0.25"/>
    <row r="252" s="3" customFormat="1" x14ac:dyDescent="0.25"/>
    <row r="253" s="3" customFormat="1" x14ac:dyDescent="0.25"/>
    <row r="254" s="3" customFormat="1" x14ac:dyDescent="0.25"/>
    <row r="255" s="3" customFormat="1" x14ac:dyDescent="0.25"/>
    <row r="256" s="3" customFormat="1" x14ac:dyDescent="0.25"/>
    <row r="257" s="3" customFormat="1" x14ac:dyDescent="0.25"/>
    <row r="258" s="3" customFormat="1" x14ac:dyDescent="0.25"/>
    <row r="259" s="3" customFormat="1" x14ac:dyDescent="0.25"/>
    <row r="260" s="3" customFormat="1" x14ac:dyDescent="0.25"/>
    <row r="261" s="3" customFormat="1" x14ac:dyDescent="0.25"/>
    <row r="262" s="3" customFormat="1" x14ac:dyDescent="0.25"/>
    <row r="263" s="3" customFormat="1" x14ac:dyDescent="0.25"/>
    <row r="264" s="3" customFormat="1" x14ac:dyDescent="0.25"/>
    <row r="265" s="3" customFormat="1" x14ac:dyDescent="0.25"/>
    <row r="266" s="3" customFormat="1" x14ac:dyDescent="0.25"/>
    <row r="267" s="3" customFormat="1" x14ac:dyDescent="0.25"/>
    <row r="268" s="3" customFormat="1" x14ac:dyDescent="0.25"/>
    <row r="269" s="3" customFormat="1" x14ac:dyDescent="0.25"/>
    <row r="270" s="3" customFormat="1" x14ac:dyDescent="0.25"/>
    <row r="271" s="3" customFormat="1" x14ac:dyDescent="0.25"/>
    <row r="272" s="3" customFormat="1" x14ac:dyDescent="0.25"/>
    <row r="273" s="3" customFormat="1" x14ac:dyDescent="0.25"/>
    <row r="274" s="3" customFormat="1" x14ac:dyDescent="0.25"/>
    <row r="275" s="3" customFormat="1" x14ac:dyDescent="0.25"/>
    <row r="276" s="3" customFormat="1" x14ac:dyDescent="0.25"/>
    <row r="277" s="3" customFormat="1" x14ac:dyDescent="0.25"/>
    <row r="278" s="3" customFormat="1" x14ac:dyDescent="0.25"/>
    <row r="279" s="3" customFormat="1" x14ac:dyDescent="0.25"/>
    <row r="280" s="3" customFormat="1" x14ac:dyDescent="0.25"/>
    <row r="281" s="3" customFormat="1" x14ac:dyDescent="0.25"/>
    <row r="282" s="3" customFormat="1" x14ac:dyDescent="0.25"/>
    <row r="283" s="3" customFormat="1" x14ac:dyDescent="0.25"/>
    <row r="284" s="3" customFormat="1" x14ac:dyDescent="0.25"/>
    <row r="285" s="3" customFormat="1" x14ac:dyDescent="0.25"/>
    <row r="286" s="3" customFormat="1" x14ac:dyDescent="0.25"/>
    <row r="287" s="3" customFormat="1" x14ac:dyDescent="0.25"/>
    <row r="288" s="3" customFormat="1" x14ac:dyDescent="0.25"/>
    <row r="289" s="3" customFormat="1" x14ac:dyDescent="0.25"/>
    <row r="290" s="3" customFormat="1" x14ac:dyDescent="0.25"/>
    <row r="291" s="3" customFormat="1" x14ac:dyDescent="0.25"/>
    <row r="292" s="3" customFormat="1" x14ac:dyDescent="0.25"/>
    <row r="293" s="3" customFormat="1" x14ac:dyDescent="0.25"/>
    <row r="294" s="3" customFormat="1" x14ac:dyDescent="0.25"/>
    <row r="295" s="3" customFormat="1" x14ac:dyDescent="0.25"/>
    <row r="296" s="3" customFormat="1" x14ac:dyDescent="0.25"/>
    <row r="297" s="3" customFormat="1" x14ac:dyDescent="0.25"/>
    <row r="298" s="3" customFormat="1" x14ac:dyDescent="0.25"/>
    <row r="299" s="3" customFormat="1" x14ac:dyDescent="0.25"/>
    <row r="300" s="3" customFormat="1" x14ac:dyDescent="0.25"/>
    <row r="301" s="3" customFormat="1" x14ac:dyDescent="0.25"/>
    <row r="302" s="3" customFormat="1" x14ac:dyDescent="0.25"/>
    <row r="303" s="3" customFormat="1" x14ac:dyDescent="0.25"/>
    <row r="304" s="3" customFormat="1" x14ac:dyDescent="0.25"/>
    <row r="305" s="3" customFormat="1" x14ac:dyDescent="0.25"/>
    <row r="306" s="3" customFormat="1" x14ac:dyDescent="0.25"/>
    <row r="307" s="3" customFormat="1" x14ac:dyDescent="0.25"/>
    <row r="308" s="3" customFormat="1" x14ac:dyDescent="0.25"/>
    <row r="309" s="3" customFormat="1" x14ac:dyDescent="0.25"/>
    <row r="310" s="3" customFormat="1" x14ac:dyDescent="0.25"/>
    <row r="311" s="3" customFormat="1" x14ac:dyDescent="0.25"/>
    <row r="312" s="3" customFormat="1" x14ac:dyDescent="0.25"/>
    <row r="313" s="3" customFormat="1" x14ac:dyDescent="0.25"/>
    <row r="314" s="3" customFormat="1" x14ac:dyDescent="0.25"/>
    <row r="315" s="3" customFormat="1" x14ac:dyDescent="0.25"/>
    <row r="316" s="3" customFormat="1" x14ac:dyDescent="0.25"/>
    <row r="317" s="3" customFormat="1" x14ac:dyDescent="0.25"/>
    <row r="318" s="3" customFormat="1" x14ac:dyDescent="0.25"/>
    <row r="319" s="3" customFormat="1" x14ac:dyDescent="0.25"/>
    <row r="320" s="3" customFormat="1" x14ac:dyDescent="0.25"/>
    <row r="321" s="3" customFormat="1" x14ac:dyDescent="0.25"/>
    <row r="322" s="3" customFormat="1" x14ac:dyDescent="0.25"/>
    <row r="323" s="3" customFormat="1" x14ac:dyDescent="0.25"/>
    <row r="324" s="3" customFormat="1" x14ac:dyDescent="0.25"/>
    <row r="325" s="3" customFormat="1" x14ac:dyDescent="0.25"/>
    <row r="326" s="3" customFormat="1" x14ac:dyDescent="0.25"/>
    <row r="327" s="3" customFormat="1" x14ac:dyDescent="0.25"/>
    <row r="328" s="3" customFormat="1" x14ac:dyDescent="0.25"/>
    <row r="329" s="3" customFormat="1" x14ac:dyDescent="0.25"/>
    <row r="330" s="3" customFormat="1" x14ac:dyDescent="0.25"/>
    <row r="331" s="3" customFormat="1" x14ac:dyDescent="0.25"/>
    <row r="332" s="3" customFormat="1" x14ac:dyDescent="0.25"/>
    <row r="333" s="3" customFormat="1" x14ac:dyDescent="0.25"/>
    <row r="334" s="3" customFormat="1" x14ac:dyDescent="0.25"/>
    <row r="335" s="3" customFormat="1" x14ac:dyDescent="0.25"/>
    <row r="336" s="3" customFormat="1" x14ac:dyDescent="0.25"/>
    <row r="337" s="3" customFormat="1" x14ac:dyDescent="0.25"/>
    <row r="338" s="3" customFormat="1" x14ac:dyDescent="0.25"/>
    <row r="339" s="3" customFormat="1" x14ac:dyDescent="0.25"/>
    <row r="340" s="3" customFormat="1" x14ac:dyDescent="0.25"/>
    <row r="341" s="3" customFormat="1" x14ac:dyDescent="0.25"/>
    <row r="342" s="3" customFormat="1" x14ac:dyDescent="0.25"/>
    <row r="343" s="3" customFormat="1" x14ac:dyDescent="0.25"/>
    <row r="344" s="3" customFormat="1" x14ac:dyDescent="0.25"/>
    <row r="345" s="3" customFormat="1" x14ac:dyDescent="0.25"/>
    <row r="346" s="3" customFormat="1" x14ac:dyDescent="0.25"/>
    <row r="347" s="3" customFormat="1" x14ac:dyDescent="0.25"/>
    <row r="348" s="3" customFormat="1" x14ac:dyDescent="0.25"/>
    <row r="349" s="3" customFormat="1" x14ac:dyDescent="0.25"/>
    <row r="350" s="3" customFormat="1" x14ac:dyDescent="0.25"/>
    <row r="351" s="3" customFormat="1" x14ac:dyDescent="0.25"/>
    <row r="352" s="3" customFormat="1" x14ac:dyDescent="0.25"/>
    <row r="353" s="3" customFormat="1" x14ac:dyDescent="0.25"/>
    <row r="354" s="3" customFormat="1" x14ac:dyDescent="0.25"/>
    <row r="355" s="3" customFormat="1" x14ac:dyDescent="0.25"/>
    <row r="356" s="3" customFormat="1" x14ac:dyDescent="0.25"/>
    <row r="357" s="3" customFormat="1" x14ac:dyDescent="0.25"/>
    <row r="358" s="3" customFormat="1" x14ac:dyDescent="0.25"/>
    <row r="359" s="3" customFormat="1" x14ac:dyDescent="0.25"/>
    <row r="360" s="3" customFormat="1" x14ac:dyDescent="0.25"/>
    <row r="361" s="3" customFormat="1" x14ac:dyDescent="0.25"/>
    <row r="362" s="3" customFormat="1" x14ac:dyDescent="0.25"/>
    <row r="363" s="3" customFormat="1" x14ac:dyDescent="0.25"/>
    <row r="364" s="3" customFormat="1" x14ac:dyDescent="0.25"/>
    <row r="365" s="3" customFormat="1" x14ac:dyDescent="0.25"/>
    <row r="366" s="3" customFormat="1" x14ac:dyDescent="0.25"/>
    <row r="367" s="3" customFormat="1" x14ac:dyDescent="0.25"/>
    <row r="368" s="3" customFormat="1" x14ac:dyDescent="0.25"/>
    <row r="369" s="3" customFormat="1" x14ac:dyDescent="0.25"/>
    <row r="370" s="3" customFormat="1" x14ac:dyDescent="0.25"/>
    <row r="371" s="3" customFormat="1" x14ac:dyDescent="0.25"/>
    <row r="372" s="3" customFormat="1" x14ac:dyDescent="0.25"/>
    <row r="373" s="3" customFormat="1" x14ac:dyDescent="0.25"/>
    <row r="374" s="3" customFormat="1" x14ac:dyDescent="0.25"/>
    <row r="375" s="3" customFormat="1" x14ac:dyDescent="0.25"/>
    <row r="376" s="3" customFormat="1" x14ac:dyDescent="0.25"/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Feuil16">
    <tabColor rgb="FF0070C0"/>
  </sheetPr>
  <dimension ref="A1:BD32"/>
  <sheetViews>
    <sheetView topLeftCell="A2" zoomScale="80" zoomScaleNormal="80" workbookViewId="0">
      <selection activeCell="E2" sqref="E2"/>
    </sheetView>
  </sheetViews>
  <sheetFormatPr baseColWidth="10" defaultRowHeight="15" x14ac:dyDescent="0.25"/>
  <cols>
    <col min="2" max="2" width="19.7109375" customWidth="1"/>
    <col min="3" max="3" width="21.5703125" bestFit="1" customWidth="1"/>
    <col min="4" max="6" width="13.5703125" hidden="1" customWidth="1"/>
    <col min="7" max="8" width="7.140625" customWidth="1"/>
    <col min="9" max="18" width="7.140625" bestFit="1" customWidth="1"/>
    <col min="19" max="19" width="7.85546875" customWidth="1"/>
    <col min="20" max="22" width="7.140625" bestFit="1" customWidth="1"/>
    <col min="23" max="23" width="7.85546875" customWidth="1"/>
    <col min="30" max="30" width="19.7109375" hidden="1" customWidth="1"/>
    <col min="31" max="31" width="21.5703125" hidden="1" customWidth="1"/>
    <col min="32" max="34" width="13.5703125" hidden="1" customWidth="1"/>
    <col min="35" max="46" width="7.140625" hidden="1" customWidth="1"/>
    <col min="47" max="47" width="7.85546875" customWidth="1"/>
    <col min="48" max="50" width="7.140625" bestFit="1" customWidth="1"/>
    <col min="51" max="51" width="7.85546875" customWidth="1"/>
  </cols>
  <sheetData>
    <row r="1" spans="1:56" s="3" customFormat="1" ht="23.25" x14ac:dyDescent="0.35">
      <c r="A1" s="46" t="s">
        <v>99</v>
      </c>
      <c r="AC1" s="46" t="s">
        <v>99</v>
      </c>
    </row>
    <row r="2" spans="1:56" s="3" customFormat="1" ht="23.25" x14ac:dyDescent="0.35">
      <c r="A2" s="46"/>
      <c r="D2" s="7"/>
      <c r="E2" s="235">
        <f>'T energie vecteurs'!E5</f>
        <v>4</v>
      </c>
      <c r="F2" s="235">
        <f>E2+9</f>
        <v>13</v>
      </c>
      <c r="G2" s="235">
        <f>F2+3</f>
        <v>16</v>
      </c>
      <c r="H2" s="235">
        <f t="shared" ref="H2:S2" si="0">G2+1</f>
        <v>17</v>
      </c>
      <c r="I2" s="235">
        <f t="shared" si="0"/>
        <v>18</v>
      </c>
      <c r="J2" s="235">
        <f t="shared" si="0"/>
        <v>19</v>
      </c>
      <c r="K2" s="235">
        <f t="shared" si="0"/>
        <v>20</v>
      </c>
      <c r="L2" s="235">
        <f t="shared" si="0"/>
        <v>21</v>
      </c>
      <c r="M2" s="235">
        <f t="shared" si="0"/>
        <v>22</v>
      </c>
      <c r="N2" s="235">
        <f t="shared" si="0"/>
        <v>23</v>
      </c>
      <c r="O2" s="235">
        <f t="shared" si="0"/>
        <v>24</v>
      </c>
      <c r="P2" s="235">
        <f t="shared" si="0"/>
        <v>25</v>
      </c>
      <c r="Q2" s="235">
        <f t="shared" si="0"/>
        <v>26</v>
      </c>
      <c r="R2" s="235">
        <f t="shared" si="0"/>
        <v>27</v>
      </c>
      <c r="S2" s="235">
        <f t="shared" si="0"/>
        <v>28</v>
      </c>
      <c r="T2" s="235">
        <f>S2+5</f>
        <v>33</v>
      </c>
      <c r="U2" s="235">
        <f>T2+5</f>
        <v>38</v>
      </c>
      <c r="V2" s="235">
        <f>U2+5</f>
        <v>43</v>
      </c>
      <c r="W2" s="235">
        <f>V2+5</f>
        <v>48</v>
      </c>
      <c r="AC2" s="46"/>
      <c r="AF2" s="7"/>
      <c r="AG2" s="235">
        <v>3</v>
      </c>
      <c r="AH2" s="235">
        <v>12</v>
      </c>
      <c r="AI2" s="235">
        <v>15</v>
      </c>
      <c r="AJ2" s="235">
        <v>16</v>
      </c>
      <c r="AK2" s="235">
        <v>17</v>
      </c>
      <c r="AL2" s="235">
        <v>18</v>
      </c>
      <c r="AM2" s="235">
        <v>19</v>
      </c>
      <c r="AN2" s="235">
        <v>20</v>
      </c>
      <c r="AO2" s="235">
        <v>21</v>
      </c>
      <c r="AP2" s="235">
        <v>22</v>
      </c>
      <c r="AQ2" s="235">
        <v>23</v>
      </c>
      <c r="AR2" s="235">
        <v>24</v>
      </c>
      <c r="AS2" s="235">
        <v>25</v>
      </c>
      <c r="AT2" s="235">
        <v>26</v>
      </c>
      <c r="AU2" s="235">
        <v>27</v>
      </c>
      <c r="AV2" s="235">
        <v>32</v>
      </c>
      <c r="AW2" s="235">
        <v>37</v>
      </c>
      <c r="AX2" s="235">
        <v>42</v>
      </c>
      <c r="AY2" s="235">
        <v>47</v>
      </c>
    </row>
    <row r="3" spans="1:56" ht="23.25" x14ac:dyDescent="0.35">
      <c r="A3" s="228"/>
      <c r="B3" s="3"/>
      <c r="C3" s="42"/>
      <c r="D3" s="11"/>
      <c r="E3" s="238">
        <v>2006</v>
      </c>
      <c r="F3" s="49">
        <v>2015</v>
      </c>
      <c r="G3" s="20">
        <v>2018</v>
      </c>
      <c r="H3" s="4">
        <v>2019</v>
      </c>
      <c r="I3" s="190">
        <v>2020</v>
      </c>
      <c r="J3" s="91">
        <v>2021</v>
      </c>
      <c r="K3" s="27">
        <v>2022</v>
      </c>
      <c r="L3" s="4">
        <v>2023</v>
      </c>
      <c r="M3" s="27">
        <v>2024</v>
      </c>
      <c r="N3" s="83">
        <v>2025</v>
      </c>
      <c r="O3" s="91">
        <v>2026</v>
      </c>
      <c r="P3" s="4">
        <v>2027</v>
      </c>
      <c r="Q3" s="27">
        <v>2028</v>
      </c>
      <c r="R3" s="27">
        <v>2029</v>
      </c>
      <c r="S3" s="83">
        <v>2030</v>
      </c>
      <c r="T3" s="93">
        <v>2035</v>
      </c>
      <c r="U3" s="93">
        <v>2040</v>
      </c>
      <c r="V3" s="4">
        <v>2045</v>
      </c>
      <c r="W3" s="93">
        <v>2050</v>
      </c>
      <c r="X3" s="3"/>
      <c r="AC3" s="228"/>
      <c r="AD3" s="3"/>
      <c r="AE3" s="42"/>
      <c r="AF3" s="11"/>
      <c r="AG3" s="238">
        <v>2006</v>
      </c>
      <c r="AH3" s="49">
        <v>2015</v>
      </c>
      <c r="AI3" s="20">
        <v>2018</v>
      </c>
      <c r="AJ3" s="4">
        <v>2019</v>
      </c>
      <c r="AK3" s="190">
        <v>2020</v>
      </c>
      <c r="AL3" s="91">
        <v>2021</v>
      </c>
      <c r="AM3" s="27">
        <v>2022</v>
      </c>
      <c r="AN3" s="4">
        <v>2023</v>
      </c>
      <c r="AO3" s="27">
        <v>2024</v>
      </c>
      <c r="AP3" s="83">
        <v>2025</v>
      </c>
      <c r="AQ3" s="91">
        <v>2026</v>
      </c>
      <c r="AR3" s="4">
        <v>2027</v>
      </c>
      <c r="AS3" s="27">
        <v>2028</v>
      </c>
      <c r="AT3" s="27">
        <v>2029</v>
      </c>
      <c r="AU3" s="83">
        <v>2030</v>
      </c>
      <c r="AV3" s="93">
        <v>2035</v>
      </c>
      <c r="AW3" s="93">
        <v>2040</v>
      </c>
      <c r="AX3" s="4">
        <v>2045</v>
      </c>
      <c r="AY3" s="93">
        <v>2050</v>
      </c>
      <c r="AZ3" s="3"/>
    </row>
    <row r="4" spans="1:56" ht="23.25" x14ac:dyDescent="0.35">
      <c r="A4" s="161" t="str">
        <f>Résultats!B1</f>
        <v>SNBC3</v>
      </c>
      <c r="B4" s="229" t="s">
        <v>100</v>
      </c>
      <c r="C4" s="5" t="s">
        <v>92</v>
      </c>
      <c r="D4" s="12" t="s">
        <v>190</v>
      </c>
      <c r="E4" s="18">
        <f>VLOOKUP($D4,Résultats!$B$2:$AX$212,E$2,FALSE)</f>
        <v>2393165780</v>
      </c>
      <c r="F4" s="18">
        <f>VLOOKUP($D4,Résultats!$B$2:$AX$212,F$2,FALSE)</f>
        <v>2623669000</v>
      </c>
      <c r="G4" s="106">
        <f>VLOOKUP($D4,Résultats!$B$2:$AX$212,G$2,FALSE)/1000000</f>
        <v>2715.6825130000002</v>
      </c>
      <c r="H4" s="18">
        <f>VLOOKUP($D4,Résultats!$B$2:$AX$212,H$2,FALSE)/1000000</f>
        <v>2745.4671250000001</v>
      </c>
      <c r="I4" s="114">
        <f>VLOOKUP($D4,Résultats!$B$2:$AX$212,I$2,FALSE)/1000000</f>
        <v>2775.1517399999998</v>
      </c>
      <c r="J4" s="106">
        <f>VLOOKUP($D4,Résultats!$B$2:$AX$212,J$2,FALSE)/1000000</f>
        <v>2804.2295709999999</v>
      </c>
      <c r="K4" s="18">
        <f>VLOOKUP($D4,Résultats!$B$2:$AX$212,K$2,FALSE)/1000000</f>
        <v>2833.057577</v>
      </c>
      <c r="L4" s="18">
        <f>VLOOKUP($D4,Résultats!$B$2:$AX$212,L$2,FALSE)/1000000</f>
        <v>2863.7831890000002</v>
      </c>
      <c r="M4" s="18">
        <f>VLOOKUP($D4,Résultats!$B$2:$AX$212,M$2,FALSE)/1000000</f>
        <v>2894.5245209999998</v>
      </c>
      <c r="N4" s="107">
        <f>VLOOKUP($D4,Résultats!$B$2:$AX$212,N$2,FALSE)/1000000</f>
        <v>2924.4115230000002</v>
      </c>
      <c r="O4" s="106">
        <f>VLOOKUP($D4,Résultats!$B$2:$AX$212,O$2,FALSE)/1000000</f>
        <v>2953.5440950000002</v>
      </c>
      <c r="P4" s="18">
        <f>VLOOKUP($D4,Résultats!$B$2:$AX$212,P$2,FALSE)/1000000</f>
        <v>2981.851909</v>
      </c>
      <c r="Q4" s="18">
        <f>VLOOKUP($D4,Résultats!$B$2:$AX$212,Q$2,FALSE)/1000000</f>
        <v>3009.4840250000002</v>
      </c>
      <c r="R4" s="18">
        <f>VLOOKUP($D4,Résultats!$B$2:$AX$212,R$2,FALSE)/1000000</f>
        <v>3036.284686</v>
      </c>
      <c r="S4" s="107">
        <f>VLOOKUP($D4,Résultats!$B$2:$AX$212,S$2,FALSE)/1000000</f>
        <v>3062.1841720000002</v>
      </c>
      <c r="T4" s="114">
        <f>VLOOKUP($D4,Résultats!$B$2:$AX$212,T$2,FALSE)/1000000</f>
        <v>3188.384924</v>
      </c>
      <c r="U4" s="114">
        <f>VLOOKUP($D4,Résultats!$B$2:$AX$212,U$2,FALSE)/1000000</f>
        <v>3306.5109349999998</v>
      </c>
      <c r="V4" s="18">
        <f>VLOOKUP($D4,Résultats!$B$2:$AX$212,V$2,FALSE)/1000000</f>
        <v>3405.5716659999998</v>
      </c>
      <c r="W4" s="114">
        <f>VLOOKUP($D4,Résultats!$B$2:$AX$212,W$2,FALSE)/1000000</f>
        <v>3479.017918</v>
      </c>
      <c r="X4" s="3"/>
      <c r="AC4" s="161" t="s">
        <v>464</v>
      </c>
      <c r="AD4" s="229" t="s">
        <v>100</v>
      </c>
      <c r="AE4" s="5" t="s">
        <v>92</v>
      </c>
      <c r="AF4" s="12" t="s">
        <v>190</v>
      </c>
      <c r="AG4" s="18">
        <v>2355349875.8831902</v>
      </c>
      <c r="AH4" s="18">
        <v>2596998398</v>
      </c>
      <c r="AI4" s="106">
        <v>2655.7572249999998</v>
      </c>
      <c r="AJ4" s="18">
        <v>2671.9482079999998</v>
      </c>
      <c r="AK4" s="114">
        <v>2688.2378990000002</v>
      </c>
      <c r="AL4" s="106">
        <v>2704.626902</v>
      </c>
      <c r="AM4" s="18">
        <v>2721.2510619999998</v>
      </c>
      <c r="AN4" s="18">
        <v>2733.314965</v>
      </c>
      <c r="AO4" s="18">
        <v>2745.2011419999999</v>
      </c>
      <c r="AP4" s="107">
        <v>2756.950288</v>
      </c>
      <c r="AQ4" s="106">
        <v>2768.561725</v>
      </c>
      <c r="AR4" s="18">
        <v>2779.993097</v>
      </c>
      <c r="AS4" s="18">
        <v>2791.5774529999999</v>
      </c>
      <c r="AT4" s="18">
        <v>2802.855591</v>
      </c>
      <c r="AU4" s="107">
        <v>2814.3284440000002</v>
      </c>
      <c r="AV4" s="114">
        <v>2869.6227979999999</v>
      </c>
      <c r="AW4" s="114">
        <v>2921.4190490000001</v>
      </c>
      <c r="AX4" s="18">
        <v>2966.1644070000002</v>
      </c>
      <c r="AY4" s="114">
        <v>3002.7028059999998</v>
      </c>
      <c r="AZ4" s="3"/>
    </row>
    <row r="5" spans="1:56" x14ac:dyDescent="0.25">
      <c r="A5" s="3"/>
      <c r="B5" s="230"/>
      <c r="C5" s="35" t="s">
        <v>27</v>
      </c>
      <c r="D5" s="13" t="s">
        <v>191</v>
      </c>
      <c r="E5" s="25">
        <f>VLOOKUP($D5,Résultats!$B$2:$AX$212,E$2,FALSE)</f>
        <v>661127</v>
      </c>
      <c r="F5" s="25">
        <f>VLOOKUP($D5,Résultats!$B$2:$AX$212,F$2,FALSE)</f>
        <v>16492559.82</v>
      </c>
      <c r="G5" s="101">
        <f>VLOOKUP($D5,Résultats!$B$2:$AX$212,G$2,FALSE)/1000000</f>
        <v>23.481810719999999</v>
      </c>
      <c r="H5" s="25">
        <f>VLOOKUP($D5,Résultats!$B$2:$AX$212,H$2,FALSE)/1000000</f>
        <v>27.409910379999999</v>
      </c>
      <c r="I5" s="102">
        <f>VLOOKUP($D5,Résultats!$B$2:$AX$212,I$2,FALSE)/1000000</f>
        <v>32.173865839999998</v>
      </c>
      <c r="J5" s="101">
        <f>VLOOKUP($D5,Résultats!$B$2:$AX$212,J$2,FALSE)/1000000</f>
        <v>37.880581020000001</v>
      </c>
      <c r="K5" s="25">
        <f>VLOOKUP($D5,Résultats!$B$2:$AX$212,K$2,FALSE)/1000000</f>
        <v>44.249521259999995</v>
      </c>
      <c r="L5" s="25">
        <f>VLOOKUP($D5,Résultats!$B$2:$AX$212,L$2,FALSE)/1000000</f>
        <v>51.054586549999996</v>
      </c>
      <c r="M5" s="25">
        <f>VLOOKUP($D5,Résultats!$B$2:$AX$212,M$2,FALSE)/1000000</f>
        <v>57.029895850000003</v>
      </c>
      <c r="N5" s="102">
        <f>VLOOKUP($D5,Résultats!$B$2:$AX$212,N$2,FALSE)/1000000</f>
        <v>62.491361659999995</v>
      </c>
      <c r="O5" s="101">
        <f>VLOOKUP($D5,Résultats!$B$2:$AX$212,O$2,FALSE)/1000000</f>
        <v>67.153544749999995</v>
      </c>
      <c r="P5" s="25">
        <f>VLOOKUP($D5,Résultats!$B$2:$AX$212,P$2,FALSE)/1000000</f>
        <v>70.895864360000004</v>
      </c>
      <c r="Q5" s="25">
        <f>VLOOKUP($D5,Résultats!$B$2:$AX$212,Q$2,FALSE)/1000000</f>
        <v>74.615049020000001</v>
      </c>
      <c r="R5" s="25">
        <f>VLOOKUP($D5,Résultats!$B$2:$AX$212,R$2,FALSE)/1000000</f>
        <v>78.627383319999907</v>
      </c>
      <c r="S5" s="102">
        <f>VLOOKUP($D5,Résultats!$B$2:$AX$212,S$2,FALSE)/1000000</f>
        <v>83.167333249999999</v>
      </c>
      <c r="T5" s="105">
        <f>VLOOKUP($D5,Résultats!$B$2:$AX$212,T$2,FALSE)/1000000</f>
        <v>117.15228140000001</v>
      </c>
      <c r="U5" s="105">
        <f>VLOOKUP($D5,Résultats!$B$2:$AX$212,U$2,FALSE)/1000000</f>
        <v>171.7159991</v>
      </c>
      <c r="V5" s="25">
        <f>VLOOKUP($D5,Résultats!$B$2:$AX$212,V$2,FALSE)/1000000</f>
        <v>248.48526559999999</v>
      </c>
      <c r="W5" s="105">
        <f>VLOOKUP($D5,Résultats!$B$2:$AX$212,W$2,FALSE)/1000000</f>
        <v>346.85609479999999</v>
      </c>
      <c r="X5" s="3"/>
      <c r="AC5" s="3"/>
      <c r="AD5" s="230"/>
      <c r="AE5" s="35" t="s">
        <v>27</v>
      </c>
      <c r="AF5" s="13" t="s">
        <v>191</v>
      </c>
      <c r="AG5" s="25">
        <v>650680.12020171306</v>
      </c>
      <c r="AH5" s="25">
        <v>43187152.149999999</v>
      </c>
      <c r="AI5" s="101">
        <v>50.412683960000003</v>
      </c>
      <c r="AJ5" s="25">
        <v>52.585453389999998</v>
      </c>
      <c r="AK5" s="102">
        <v>55.248827470000002</v>
      </c>
      <c r="AL5" s="101">
        <v>58.446187070000001</v>
      </c>
      <c r="AM5" s="25">
        <v>61.862481409999994</v>
      </c>
      <c r="AN5" s="25">
        <v>65.420231920000006</v>
      </c>
      <c r="AO5" s="25">
        <v>69.449230379999989</v>
      </c>
      <c r="AP5" s="102">
        <v>74.034006009999999</v>
      </c>
      <c r="AQ5" s="101">
        <v>79.004304869999999</v>
      </c>
      <c r="AR5" s="25">
        <v>83.804995500000004</v>
      </c>
      <c r="AS5" s="25">
        <v>87.363160239999999</v>
      </c>
      <c r="AT5" s="25">
        <v>89.222456459999904</v>
      </c>
      <c r="AU5" s="102">
        <v>90.697099290000011</v>
      </c>
      <c r="AV5" s="105">
        <v>97.114109620000008</v>
      </c>
      <c r="AW5" s="105">
        <v>103.08508359999999</v>
      </c>
      <c r="AX5" s="25">
        <v>108.2989291</v>
      </c>
      <c r="AY5" s="105">
        <v>112.66037159999999</v>
      </c>
      <c r="AZ5" s="3"/>
    </row>
    <row r="6" spans="1:56" x14ac:dyDescent="0.25">
      <c r="A6" s="3"/>
      <c r="B6" s="230"/>
      <c r="C6" s="35" t="s">
        <v>28</v>
      </c>
      <c r="D6" s="13" t="s">
        <v>192</v>
      </c>
      <c r="E6" s="25">
        <f>VLOOKUP($D6,Résultats!$B$2:$AX$212,E$2,FALSE)</f>
        <v>42391824</v>
      </c>
      <c r="F6" s="25">
        <f>VLOOKUP($D6,Résultats!$B$2:$AX$212,F$2,FALSE)</f>
        <v>109664428.2</v>
      </c>
      <c r="G6" s="101">
        <f>VLOOKUP($D6,Résultats!$B$2:$AX$212,G$2,FALSE)/1000000</f>
        <v>133.74562700000001</v>
      </c>
      <c r="H6" s="25">
        <f>VLOOKUP($D6,Résultats!$B$2:$AX$212,H$2,FALSE)/1000000</f>
        <v>147.42579409999999</v>
      </c>
      <c r="I6" s="102">
        <f>VLOOKUP($D6,Résultats!$B$2:$AX$212,I$2,FALSE)/1000000</f>
        <v>162.9322784</v>
      </c>
      <c r="J6" s="101">
        <f>VLOOKUP($D6,Résultats!$B$2:$AX$212,J$2,FALSE)/1000000</f>
        <v>181.2972987</v>
      </c>
      <c r="K6" s="25">
        <f>VLOOKUP($D6,Résultats!$B$2:$AX$212,K$2,FALSE)/1000000</f>
        <v>199.90247450000001</v>
      </c>
      <c r="L6" s="25">
        <f>VLOOKUP($D6,Résultats!$B$2:$AX$212,L$2,FALSE)/1000000</f>
        <v>218.9948766</v>
      </c>
      <c r="M6" s="25">
        <f>VLOOKUP($D6,Résultats!$B$2:$AX$212,M$2,FALSE)/1000000</f>
        <v>234.64838549999999</v>
      </c>
      <c r="N6" s="102">
        <f>VLOOKUP($D6,Résultats!$B$2:$AX$212,N$2,FALSE)/1000000</f>
        <v>249.07378790000001</v>
      </c>
      <c r="O6" s="101">
        <f>VLOOKUP($D6,Résultats!$B$2:$AX$212,O$2,FALSE)/1000000</f>
        <v>260.6237868</v>
      </c>
      <c r="P6" s="25">
        <f>VLOOKUP($D6,Résultats!$B$2:$AX$212,P$2,FALSE)/1000000</f>
        <v>269.82054439999996</v>
      </c>
      <c r="Q6" s="25">
        <f>VLOOKUP($D6,Résultats!$B$2:$AX$212,Q$2,FALSE)/1000000</f>
        <v>278.6624003</v>
      </c>
      <c r="R6" s="25">
        <f>VLOOKUP($D6,Résultats!$B$2:$AX$212,R$2,FALSE)/1000000</f>
        <v>287.9804431</v>
      </c>
      <c r="S6" s="102">
        <f>VLOOKUP($D6,Résultats!$B$2:$AX$212,S$2,FALSE)/1000000</f>
        <v>298.31438810000003</v>
      </c>
      <c r="T6" s="105">
        <f>VLOOKUP($D6,Résultats!$B$2:$AX$212,T$2,FALSE)/1000000</f>
        <v>368.5798863</v>
      </c>
      <c r="U6" s="105">
        <f>VLOOKUP($D6,Résultats!$B$2:$AX$212,U$2,FALSE)/1000000</f>
        <v>460.97184389999995</v>
      </c>
      <c r="V6" s="25">
        <f>VLOOKUP($D6,Résultats!$B$2:$AX$212,V$2,FALSE)/1000000</f>
        <v>563.52859169999999</v>
      </c>
      <c r="W6" s="105">
        <f>VLOOKUP($D6,Résultats!$B$2:$AX$212,W$2,FALSE)/1000000</f>
        <v>665.49913500000002</v>
      </c>
      <c r="X6" s="3"/>
      <c r="AC6" s="3"/>
      <c r="AD6" s="230"/>
      <c r="AE6" s="35" t="s">
        <v>28</v>
      </c>
      <c r="AF6" s="13" t="s">
        <v>192</v>
      </c>
      <c r="AG6" s="25">
        <v>41721964.366740197</v>
      </c>
      <c r="AH6" s="25">
        <v>181120567.69999999</v>
      </c>
      <c r="AI6" s="101">
        <v>215.590058</v>
      </c>
      <c r="AJ6" s="25">
        <v>228.76262990000001</v>
      </c>
      <c r="AK6" s="102">
        <v>245.54528809999999</v>
      </c>
      <c r="AL6" s="101">
        <v>266.69365629999999</v>
      </c>
      <c r="AM6" s="25">
        <v>288.86536289999998</v>
      </c>
      <c r="AN6" s="25">
        <v>307.95133449999997</v>
      </c>
      <c r="AO6" s="25">
        <v>327.0308915</v>
      </c>
      <c r="AP6" s="102">
        <v>345.91796049999999</v>
      </c>
      <c r="AQ6" s="101">
        <v>364.40862630000004</v>
      </c>
      <c r="AR6" s="25">
        <v>382.0194525</v>
      </c>
      <c r="AS6" s="25">
        <v>398.17266369999999</v>
      </c>
      <c r="AT6" s="25">
        <v>412.14001530000002</v>
      </c>
      <c r="AU6" s="102">
        <v>424.70792360000002</v>
      </c>
      <c r="AV6" s="105">
        <v>482.66274469999996</v>
      </c>
      <c r="AW6" s="105">
        <v>537.15071260000002</v>
      </c>
      <c r="AX6" s="25">
        <v>585.07997970000008</v>
      </c>
      <c r="AY6" s="105">
        <v>625.4614967</v>
      </c>
      <c r="AZ6" s="3"/>
    </row>
    <row r="7" spans="1:56" x14ac:dyDescent="0.25">
      <c r="A7" s="3"/>
      <c r="B7" s="230"/>
      <c r="C7" s="35" t="s">
        <v>29</v>
      </c>
      <c r="D7" s="13" t="s">
        <v>193</v>
      </c>
      <c r="E7" s="25">
        <f>VLOOKUP($D7,Résultats!$B$2:$AX$212,E$2,FALSE)</f>
        <v>300942006</v>
      </c>
      <c r="F7" s="25">
        <f>VLOOKUP($D7,Résultats!$B$2:$AX$212,F$2,FALSE)</f>
        <v>552322880.5</v>
      </c>
      <c r="G7" s="101">
        <f>VLOOKUP($D7,Résultats!$B$2:$AX$212,G$2,FALSE)/1000000</f>
        <v>608.44914600000004</v>
      </c>
      <c r="H7" s="25">
        <f>VLOOKUP($D7,Résultats!$B$2:$AX$212,H$2,FALSE)/1000000</f>
        <v>632.00052440000002</v>
      </c>
      <c r="I7" s="102">
        <f>VLOOKUP($D7,Résultats!$B$2:$AX$212,I$2,FALSE)/1000000</f>
        <v>656.64521120000006</v>
      </c>
      <c r="J7" s="101">
        <f>VLOOKUP($D7,Résultats!$B$2:$AX$212,J$2,FALSE)/1000000</f>
        <v>681.9791328</v>
      </c>
      <c r="K7" s="25">
        <f>VLOOKUP($D7,Résultats!$B$2:$AX$212,K$2,FALSE)/1000000</f>
        <v>705.61059660000001</v>
      </c>
      <c r="L7" s="25">
        <f>VLOOKUP($D7,Résultats!$B$2:$AX$212,L$2,FALSE)/1000000</f>
        <v>728.47232289999999</v>
      </c>
      <c r="M7" s="25">
        <f>VLOOKUP($D7,Résultats!$B$2:$AX$212,M$2,FALSE)/1000000</f>
        <v>747.56657059999998</v>
      </c>
      <c r="N7" s="102">
        <f>VLOOKUP($D7,Résultats!$B$2:$AX$212,N$2,FALSE)/1000000</f>
        <v>763.94135360000007</v>
      </c>
      <c r="O7" s="101">
        <f>VLOOKUP($D7,Résultats!$B$2:$AX$212,O$2,FALSE)/1000000</f>
        <v>777.20195060000003</v>
      </c>
      <c r="P7" s="25">
        <f>VLOOKUP($D7,Résultats!$B$2:$AX$212,P$2,FALSE)/1000000</f>
        <v>788.45627950000005</v>
      </c>
      <c r="Q7" s="25">
        <f>VLOOKUP($D7,Résultats!$B$2:$AX$212,Q$2,FALSE)/1000000</f>
        <v>798.64412349999998</v>
      </c>
      <c r="R7" s="25">
        <f>VLOOKUP($D7,Résultats!$B$2:$AX$212,R$2,FALSE)/1000000</f>
        <v>808.22693240000001</v>
      </c>
      <c r="S7" s="102">
        <f>VLOOKUP($D7,Résultats!$B$2:$AX$212,S$2,FALSE)/1000000</f>
        <v>817.3974485</v>
      </c>
      <c r="T7" s="105">
        <f>VLOOKUP($D7,Résultats!$B$2:$AX$212,T$2,FALSE)/1000000</f>
        <v>861.37453160000007</v>
      </c>
      <c r="U7" s="105">
        <f>VLOOKUP($D7,Résultats!$B$2:$AX$212,U$2,FALSE)/1000000</f>
        <v>896.10569370000007</v>
      </c>
      <c r="V7" s="25">
        <f>VLOOKUP($D7,Résultats!$B$2:$AX$212,V$2,FALSE)/1000000</f>
        <v>912.73278489999996</v>
      </c>
      <c r="W7" s="105">
        <f>VLOOKUP($D7,Résultats!$B$2:$AX$212,W$2,FALSE)/1000000</f>
        <v>910.51932470000008</v>
      </c>
      <c r="X7" s="3"/>
      <c r="AC7" s="3"/>
      <c r="AD7" s="230"/>
      <c r="AE7" s="35" t="s">
        <v>29</v>
      </c>
      <c r="AF7" s="13" t="s">
        <v>193</v>
      </c>
      <c r="AG7" s="25">
        <v>296186633.79021603</v>
      </c>
      <c r="AH7" s="25">
        <v>569035477.39999998</v>
      </c>
      <c r="AI7" s="101">
        <v>632.75076910000007</v>
      </c>
      <c r="AJ7" s="25">
        <v>645.57478270000001</v>
      </c>
      <c r="AK7" s="102">
        <v>657.42506470000001</v>
      </c>
      <c r="AL7" s="101">
        <v>667.32190209999999</v>
      </c>
      <c r="AM7" s="25">
        <v>679.26979920000008</v>
      </c>
      <c r="AN7" s="25">
        <v>692.50705210000001</v>
      </c>
      <c r="AO7" s="25">
        <v>704.80679639999994</v>
      </c>
      <c r="AP7" s="102">
        <v>715.45919620000006</v>
      </c>
      <c r="AQ7" s="101">
        <v>724.50526070000001</v>
      </c>
      <c r="AR7" s="25">
        <v>732.1551892</v>
      </c>
      <c r="AS7" s="25">
        <v>738.47130540000001</v>
      </c>
      <c r="AT7" s="25">
        <v>743.1869147000001</v>
      </c>
      <c r="AU7" s="102">
        <v>744.57653449999998</v>
      </c>
      <c r="AV7" s="105">
        <v>744.73285629999998</v>
      </c>
      <c r="AW7" s="105">
        <v>744.52864450000004</v>
      </c>
      <c r="AX7" s="25">
        <v>744.18700850000005</v>
      </c>
      <c r="AY7" s="105">
        <v>743.80258720000006</v>
      </c>
      <c r="AZ7" s="3"/>
    </row>
    <row r="8" spans="1:56" x14ac:dyDescent="0.25">
      <c r="A8" s="3"/>
      <c r="B8" s="230"/>
      <c r="C8" s="35" t="s">
        <v>30</v>
      </c>
      <c r="D8" s="13" t="s">
        <v>194</v>
      </c>
      <c r="E8" s="25">
        <f>VLOOKUP($D8,Résultats!$B$2:$AX$212,E$2,FALSE)</f>
        <v>661409532</v>
      </c>
      <c r="F8" s="25">
        <f>VLOOKUP($D8,Résultats!$B$2:$AX$212,F$2,FALSE)</f>
        <v>815923014.20000005</v>
      </c>
      <c r="G8" s="101">
        <f>VLOOKUP($D8,Résultats!$B$2:$AX$212,G$2,FALSE)/1000000</f>
        <v>852.07703839999999</v>
      </c>
      <c r="H8" s="25">
        <f>VLOOKUP($D8,Résultats!$B$2:$AX$212,H$2,FALSE)/1000000</f>
        <v>862.80146460000003</v>
      </c>
      <c r="I8" s="102">
        <f>VLOOKUP($D8,Résultats!$B$2:$AX$212,I$2,FALSE)/1000000</f>
        <v>873.16468959999997</v>
      </c>
      <c r="J8" s="101">
        <f>VLOOKUP($D8,Résultats!$B$2:$AX$212,J$2,FALSE)/1000000</f>
        <v>881.43568889999995</v>
      </c>
      <c r="K8" s="25">
        <f>VLOOKUP($D8,Résultats!$B$2:$AX$212,K$2,FALSE)/1000000</f>
        <v>888.65135579999992</v>
      </c>
      <c r="L8" s="25">
        <f>VLOOKUP($D8,Résultats!$B$2:$AX$212,L$2,FALSE)/1000000</f>
        <v>895.71843620000004</v>
      </c>
      <c r="M8" s="25">
        <f>VLOOKUP($D8,Résultats!$B$2:$AX$212,M$2,FALSE)/1000000</f>
        <v>903.81806779999999</v>
      </c>
      <c r="N8" s="102">
        <f>VLOOKUP($D8,Résultats!$B$2:$AX$212,N$2,FALSE)/1000000</f>
        <v>911.0431681</v>
      </c>
      <c r="O8" s="101">
        <f>VLOOKUP($D8,Résultats!$B$2:$AX$212,O$2,FALSE)/1000000</f>
        <v>918.75177559999997</v>
      </c>
      <c r="P8" s="25">
        <f>VLOOKUP($D8,Résultats!$B$2:$AX$212,P$2,FALSE)/1000000</f>
        <v>927.13781649999999</v>
      </c>
      <c r="Q8" s="25">
        <f>VLOOKUP($D8,Résultats!$B$2:$AX$212,Q$2,FALSE)/1000000</f>
        <v>935.01548920000005</v>
      </c>
      <c r="R8" s="25">
        <f>VLOOKUP($D8,Résultats!$B$2:$AX$212,R$2,FALSE)/1000000</f>
        <v>941.89253510000003</v>
      </c>
      <c r="S8" s="102">
        <f>VLOOKUP($D8,Résultats!$B$2:$AX$212,S$2,FALSE)/1000000</f>
        <v>947.36010850000002</v>
      </c>
      <c r="T8" s="105">
        <f>VLOOKUP($D8,Résultats!$B$2:$AX$212,T$2,FALSE)/1000000</f>
        <v>956.1215102000001</v>
      </c>
      <c r="U8" s="105">
        <f>VLOOKUP($D8,Résultats!$B$2:$AX$212,U$2,FALSE)/1000000</f>
        <v>936.23569750000001</v>
      </c>
      <c r="V8" s="25">
        <f>VLOOKUP($D8,Résultats!$B$2:$AX$212,V$2,FALSE)/1000000</f>
        <v>887.15106609999998</v>
      </c>
      <c r="W8" s="105">
        <f>VLOOKUP($D8,Résultats!$B$2:$AX$212,W$2,FALSE)/1000000</f>
        <v>815.98679420000008</v>
      </c>
      <c r="X8" s="3"/>
      <c r="AC8" s="3"/>
      <c r="AD8" s="230"/>
      <c r="AE8" s="35" t="s">
        <v>30</v>
      </c>
      <c r="AF8" s="13" t="s">
        <v>194</v>
      </c>
      <c r="AG8" s="25">
        <v>650958187.73748195</v>
      </c>
      <c r="AH8" s="25">
        <v>633667547</v>
      </c>
      <c r="AI8" s="101">
        <v>628.52988640000001</v>
      </c>
      <c r="AJ8" s="25">
        <v>627.05710270000009</v>
      </c>
      <c r="AK8" s="102">
        <v>626.0079624</v>
      </c>
      <c r="AL8" s="101">
        <v>625.30736860000002</v>
      </c>
      <c r="AM8" s="25">
        <v>624.74556860000007</v>
      </c>
      <c r="AN8" s="25">
        <v>623.84060450000004</v>
      </c>
      <c r="AO8" s="25">
        <v>622.26125309999998</v>
      </c>
      <c r="AP8" s="102">
        <v>619.89497360000007</v>
      </c>
      <c r="AQ8" s="101">
        <v>616.94481870000004</v>
      </c>
      <c r="AR8" s="25">
        <v>613.84423860000004</v>
      </c>
      <c r="AS8" s="25">
        <v>611.24747579999996</v>
      </c>
      <c r="AT8" s="25">
        <v>609.73983529999998</v>
      </c>
      <c r="AU8" s="102">
        <v>609.83384439999998</v>
      </c>
      <c r="AV8" s="105">
        <v>612.04639099999997</v>
      </c>
      <c r="AW8" s="105">
        <v>613.18375549999996</v>
      </c>
      <c r="AX8" s="25">
        <v>613.83096479999995</v>
      </c>
      <c r="AY8" s="105">
        <v>614.26554610000005</v>
      </c>
      <c r="AZ8" s="3"/>
    </row>
    <row r="9" spans="1:56" x14ac:dyDescent="0.25">
      <c r="A9" s="3"/>
      <c r="B9" s="230"/>
      <c r="C9" s="35" t="s">
        <v>31</v>
      </c>
      <c r="D9" s="13" t="s">
        <v>195</v>
      </c>
      <c r="E9" s="25">
        <f>VLOOKUP($D9,Résultats!$B$2:$AX$212,E$2,FALSE)</f>
        <v>786713699</v>
      </c>
      <c r="F9" s="25">
        <f>VLOOKUP($D9,Résultats!$B$2:$AX$212,F$2,FALSE)</f>
        <v>628039249</v>
      </c>
      <c r="G9" s="101">
        <f>VLOOKUP($D9,Résultats!$B$2:$AX$212,G$2,FALSE)/1000000</f>
        <v>607.03193139999996</v>
      </c>
      <c r="H9" s="25">
        <f>VLOOKUP($D9,Résultats!$B$2:$AX$212,H$2,FALSE)/1000000</f>
        <v>594.04276560000005</v>
      </c>
      <c r="I9" s="102">
        <f>VLOOKUP($D9,Résultats!$B$2:$AX$212,I$2,FALSE)/1000000</f>
        <v>579.37560810000002</v>
      </c>
      <c r="J9" s="101">
        <f>VLOOKUP($D9,Résultats!$B$2:$AX$212,J$2,FALSE)/1000000</f>
        <v>563.1990062000001</v>
      </c>
      <c r="K9" s="25">
        <f>VLOOKUP($D9,Résultats!$B$2:$AX$212,K$2,FALSE)/1000000</f>
        <v>548.00233129999992</v>
      </c>
      <c r="L9" s="25">
        <f>VLOOKUP($D9,Résultats!$B$2:$AX$212,L$2,FALSE)/1000000</f>
        <v>533.91671989999998</v>
      </c>
      <c r="M9" s="25">
        <f>VLOOKUP($D9,Résultats!$B$2:$AX$212,M$2,FALSE)/1000000</f>
        <v>523.75696019999998</v>
      </c>
      <c r="N9" s="102">
        <f>VLOOKUP($D9,Résultats!$B$2:$AX$212,N$2,FALSE)/1000000</f>
        <v>516.0475917</v>
      </c>
      <c r="O9" s="101">
        <f>VLOOKUP($D9,Résultats!$B$2:$AX$212,O$2,FALSE)/1000000</f>
        <v>511.39829270000001</v>
      </c>
      <c r="P9" s="25">
        <f>VLOOKUP($D9,Résultats!$B$2:$AX$212,P$2,FALSE)/1000000</f>
        <v>508.8743819</v>
      </c>
      <c r="Q9" s="25">
        <f>VLOOKUP($D9,Résultats!$B$2:$AX$212,Q$2,FALSE)/1000000</f>
        <v>507.05291489999996</v>
      </c>
      <c r="R9" s="25">
        <f>VLOOKUP($D9,Résultats!$B$2:$AX$212,R$2,FALSE)/1000000</f>
        <v>505.24114610000004</v>
      </c>
      <c r="S9" s="102">
        <f>VLOOKUP($D9,Résultats!$B$2:$AX$212,S$2,FALSE)/1000000</f>
        <v>503.08986730000004</v>
      </c>
      <c r="T9" s="105">
        <f>VLOOKUP($D9,Résultats!$B$2:$AX$212,T$2,FALSE)/1000000</f>
        <v>485.509749</v>
      </c>
      <c r="U9" s="105">
        <f>VLOOKUP($D9,Résultats!$B$2:$AX$212,U$2,FALSE)/1000000</f>
        <v>461.5205292</v>
      </c>
      <c r="V9" s="25">
        <f>VLOOKUP($D9,Résultats!$B$2:$AX$212,V$2,FALSE)/1000000</f>
        <v>435.9060581</v>
      </c>
      <c r="W9" s="105">
        <f>VLOOKUP($D9,Résultats!$B$2:$AX$212,W$2,FALSE)/1000000</f>
        <v>408.5513047</v>
      </c>
      <c r="X9" s="3"/>
      <c r="AC9" s="3"/>
      <c r="AD9" s="230"/>
      <c r="AE9" s="35" t="s">
        <v>31</v>
      </c>
      <c r="AF9" s="13" t="s">
        <v>195</v>
      </c>
      <c r="AG9" s="25">
        <v>774282345.494367</v>
      </c>
      <c r="AH9" s="25">
        <v>688439089.5</v>
      </c>
      <c r="AI9" s="101">
        <v>670.45152770000004</v>
      </c>
      <c r="AJ9" s="25">
        <v>665.95475250000004</v>
      </c>
      <c r="AK9" s="102">
        <v>659.88800020000008</v>
      </c>
      <c r="AL9" s="101">
        <v>652.34777539999993</v>
      </c>
      <c r="AM9" s="25">
        <v>643.27403679999998</v>
      </c>
      <c r="AN9" s="25">
        <v>632.84907470000007</v>
      </c>
      <c r="AO9" s="25">
        <v>622.61724920000006</v>
      </c>
      <c r="AP9" s="102">
        <v>613.00283739999998</v>
      </c>
      <c r="AQ9" s="101">
        <v>604.12207049999995</v>
      </c>
      <c r="AR9" s="25">
        <v>596.24764210000001</v>
      </c>
      <c r="AS9" s="25">
        <v>590.12780510000005</v>
      </c>
      <c r="AT9" s="25">
        <v>586.09317070000009</v>
      </c>
      <c r="AU9" s="102">
        <v>584.34791289999998</v>
      </c>
      <c r="AV9" s="105">
        <v>581.87145939999994</v>
      </c>
      <c r="AW9" s="105">
        <v>578.55799479999996</v>
      </c>
      <c r="AX9" s="25">
        <v>574.87388099999998</v>
      </c>
      <c r="AY9" s="105">
        <v>571.04697310000006</v>
      </c>
      <c r="AZ9" s="3"/>
    </row>
    <row r="10" spans="1:56" x14ac:dyDescent="0.25">
      <c r="A10" s="3"/>
      <c r="B10" s="230"/>
      <c r="C10" s="35" t="s">
        <v>32</v>
      </c>
      <c r="D10" s="13" t="s">
        <v>196</v>
      </c>
      <c r="E10" s="25">
        <f>VLOOKUP($D10,Résultats!$B$2:$AX$212,E$2,FALSE)</f>
        <v>412154138</v>
      </c>
      <c r="F10" s="25">
        <f>VLOOKUP($D10,Résultats!$B$2:$AX$212,F$2,FALSE)</f>
        <v>312006248.39999998</v>
      </c>
      <c r="G10" s="101">
        <f>VLOOKUP($D10,Résultats!$B$2:$AX$212,G$2,FALSE)/1000000</f>
        <v>298.92480989999996</v>
      </c>
      <c r="H10" s="25">
        <f>VLOOKUP($D10,Résultats!$B$2:$AX$212,H$2,FALSE)/1000000</f>
        <v>291.7323695</v>
      </c>
      <c r="I10" s="102">
        <f>VLOOKUP($D10,Résultats!$B$2:$AX$212,I$2,FALSE)/1000000</f>
        <v>283.77005460000004</v>
      </c>
      <c r="J10" s="101">
        <f>VLOOKUP($D10,Résultats!$B$2:$AX$212,J$2,FALSE)/1000000</f>
        <v>275.24504830000001</v>
      </c>
      <c r="K10" s="25">
        <f>VLOOKUP($D10,Résultats!$B$2:$AX$212,K$2,FALSE)/1000000</f>
        <v>267.29807899999997</v>
      </c>
      <c r="L10" s="25">
        <f>VLOOKUP($D10,Résultats!$B$2:$AX$212,L$2,FALSE)/1000000</f>
        <v>260.00824969999996</v>
      </c>
      <c r="M10" s="25">
        <f>VLOOKUP($D10,Résultats!$B$2:$AX$212,M$2,FALSE)/1000000</f>
        <v>254.59316799999999</v>
      </c>
      <c r="N10" s="102">
        <f>VLOOKUP($D10,Résultats!$B$2:$AX$212,N$2,FALSE)/1000000</f>
        <v>250.42498499999999</v>
      </c>
      <c r="O10" s="101">
        <f>VLOOKUP($D10,Résultats!$B$2:$AX$212,O$2,FALSE)/1000000</f>
        <v>247.7153457</v>
      </c>
      <c r="P10" s="25">
        <f>VLOOKUP($D10,Résultats!$B$2:$AX$212,P$2,FALSE)/1000000</f>
        <v>245.9892729</v>
      </c>
      <c r="Q10" s="25">
        <f>VLOOKUP($D10,Résultats!$B$2:$AX$212,Q$2,FALSE)/1000000</f>
        <v>244.6412928</v>
      </c>
      <c r="R10" s="25">
        <f>VLOOKUP($D10,Résultats!$B$2:$AX$212,R$2,FALSE)/1000000</f>
        <v>243.35986249999999</v>
      </c>
      <c r="S10" s="102">
        <f>VLOOKUP($D10,Résultats!$B$2:$AX$212,S$2,FALSE)/1000000</f>
        <v>241.99321549999999</v>
      </c>
      <c r="T10" s="105">
        <f>VLOOKUP($D10,Résultats!$B$2:$AX$212,T$2,FALSE)/1000000</f>
        <v>232.899475</v>
      </c>
      <c r="U10" s="105">
        <f>VLOOKUP($D10,Résultats!$B$2:$AX$212,U$2,FALSE)/1000000</f>
        <v>221.5587371</v>
      </c>
      <c r="V10" s="25">
        <f>VLOOKUP($D10,Résultats!$B$2:$AX$212,V$2,FALSE)/1000000</f>
        <v>209.43250649999999</v>
      </c>
      <c r="W10" s="105">
        <f>VLOOKUP($D10,Résultats!$B$2:$AX$212,W$2,FALSE)/1000000</f>
        <v>195.7283176</v>
      </c>
      <c r="X10" s="3"/>
      <c r="Y10">
        <f>(K10+K11-S10-S11)*10</f>
        <v>337.86270799999983</v>
      </c>
      <c r="AC10" s="3"/>
      <c r="AD10" s="230"/>
      <c r="AE10" s="35" t="s">
        <v>32</v>
      </c>
      <c r="AF10" s="13" t="s">
        <v>196</v>
      </c>
      <c r="AG10" s="25">
        <v>405641433.57550502</v>
      </c>
      <c r="AH10" s="25">
        <v>358699989.39999998</v>
      </c>
      <c r="AI10" s="101">
        <v>349.78984839999998</v>
      </c>
      <c r="AJ10" s="25">
        <v>347.84470189999996</v>
      </c>
      <c r="AK10" s="102">
        <v>344.37584369999996</v>
      </c>
      <c r="AL10" s="101">
        <v>339.4637755</v>
      </c>
      <c r="AM10" s="25">
        <v>333.12609300000003</v>
      </c>
      <c r="AN10" s="25">
        <v>325.73093399999999</v>
      </c>
      <c r="AO10" s="25">
        <v>318.93370930000003</v>
      </c>
      <c r="AP10" s="102">
        <v>313.19780250000002</v>
      </c>
      <c r="AQ10" s="101">
        <v>308.52180600000003</v>
      </c>
      <c r="AR10" s="25">
        <v>304.94413470000001</v>
      </c>
      <c r="AS10" s="25">
        <v>302.85805119999998</v>
      </c>
      <c r="AT10" s="25">
        <v>302.32541989999999</v>
      </c>
      <c r="AU10" s="102">
        <v>302.79875079999999</v>
      </c>
      <c r="AV10" s="105">
        <v>303.19194399999998</v>
      </c>
      <c r="AW10" s="105">
        <v>301.2874711</v>
      </c>
      <c r="AX10" s="25">
        <v>298.19526869999999</v>
      </c>
      <c r="AY10" s="105">
        <v>294.5149955</v>
      </c>
      <c r="AZ10" s="3"/>
    </row>
    <row r="11" spans="1:56" x14ac:dyDescent="0.25">
      <c r="A11" s="3"/>
      <c r="B11" s="230"/>
      <c r="C11" s="56" t="s">
        <v>33</v>
      </c>
      <c r="D11" s="26" t="s">
        <v>197</v>
      </c>
      <c r="E11" s="17">
        <f>VLOOKUP($D11,Résultats!$B$2:$AX$212,E$2,FALSE)</f>
        <v>188893454</v>
      </c>
      <c r="F11" s="17">
        <f>VLOOKUP($D11,Résultats!$B$2:$AX$212,F$2,FALSE)</f>
        <v>189220619.90000001</v>
      </c>
      <c r="G11" s="88">
        <f>VLOOKUP($D11,Résultats!$B$2:$AX$212,G$2,FALSE)/1000000</f>
        <v>191.97214930000001</v>
      </c>
      <c r="H11" s="17">
        <f>VLOOKUP($D11,Résultats!$B$2:$AX$212,H$2,FALSE)/1000000</f>
        <v>190.0542969</v>
      </c>
      <c r="I11" s="89">
        <f>VLOOKUP($D11,Résultats!$B$2:$AX$212,I$2,FALSE)/1000000</f>
        <v>187.09003180000002</v>
      </c>
      <c r="J11" s="88">
        <f>VLOOKUP($D11,Résultats!$B$2:$AX$212,J$2,FALSE)/1000000</f>
        <v>183.19281530000001</v>
      </c>
      <c r="K11" s="17">
        <f>VLOOKUP($D11,Résultats!$B$2:$AX$212,K$2,FALSE)/1000000</f>
        <v>179.34321850000001</v>
      </c>
      <c r="L11" s="17">
        <f>VLOOKUP($D11,Résultats!$B$2:$AX$212,L$2,FALSE)/1000000</f>
        <v>175.61799769999999</v>
      </c>
      <c r="M11" s="17">
        <f>VLOOKUP($D11,Résultats!$B$2:$AX$212,M$2,FALSE)/1000000</f>
        <v>173.11147309999998</v>
      </c>
      <c r="N11" s="89">
        <f>VLOOKUP($D11,Résultats!$B$2:$AX$212,N$2,FALSE)/1000000</f>
        <v>171.38927480000001</v>
      </c>
      <c r="O11" s="88">
        <f>VLOOKUP($D11,Résultats!$B$2:$AX$212,O$2,FALSE)/1000000</f>
        <v>170.699399</v>
      </c>
      <c r="P11" s="17">
        <f>VLOOKUP($D11,Résultats!$B$2:$AX$212,P$2,FALSE)/1000000</f>
        <v>170.67775</v>
      </c>
      <c r="Q11" s="17">
        <f>VLOOKUP($D11,Résultats!$B$2:$AX$212,Q$2,FALSE)/1000000</f>
        <v>170.85275540000001</v>
      </c>
      <c r="R11" s="17">
        <f>VLOOKUP($D11,Résultats!$B$2:$AX$212,R$2,FALSE)/1000000</f>
        <v>170.95638349999999</v>
      </c>
      <c r="S11" s="89">
        <f>VLOOKUP($D11,Résultats!$B$2:$AX$212,S$2,FALSE)/1000000</f>
        <v>170.86181119999998</v>
      </c>
      <c r="T11" s="97">
        <f>VLOOKUP($D11,Résultats!$B$2:$AX$212,T$2,FALSE)/1000000</f>
        <v>166.7474909</v>
      </c>
      <c r="U11" s="97">
        <f>VLOOKUP($D11,Résultats!$B$2:$AX$212,U$2,FALSE)/1000000</f>
        <v>158.40243430000001</v>
      </c>
      <c r="V11" s="17">
        <f>VLOOKUP($D11,Résultats!$B$2:$AX$212,V$2,FALSE)/1000000</f>
        <v>148.3353932</v>
      </c>
      <c r="W11" s="97">
        <f>VLOOKUP($D11,Résultats!$B$2:$AX$212,W$2,FALSE)/1000000</f>
        <v>137.3635506</v>
      </c>
      <c r="X11" s="3"/>
      <c r="AC11" s="3"/>
      <c r="AD11" s="230"/>
      <c r="AE11" s="56" t="s">
        <v>33</v>
      </c>
      <c r="AF11" s="26" t="s">
        <v>197</v>
      </c>
      <c r="AG11" s="17">
        <v>185908630.79867601</v>
      </c>
      <c r="AH11" s="17">
        <v>122848574.7</v>
      </c>
      <c r="AI11" s="88">
        <v>108.23245179999999</v>
      </c>
      <c r="AJ11" s="17">
        <v>104.1687845</v>
      </c>
      <c r="AK11" s="89">
        <v>99.74691254999999</v>
      </c>
      <c r="AL11" s="88">
        <v>95.046236530000002</v>
      </c>
      <c r="AM11" s="17">
        <v>90.107720040000004</v>
      </c>
      <c r="AN11" s="17">
        <v>85.015733400000002</v>
      </c>
      <c r="AO11" s="17">
        <v>80.102011930000003</v>
      </c>
      <c r="AP11" s="89">
        <v>75.443511400000006</v>
      </c>
      <c r="AQ11" s="88">
        <v>71.054838119999999</v>
      </c>
      <c r="AR11" s="17">
        <v>66.977444469999995</v>
      </c>
      <c r="AS11" s="17">
        <v>63.336991279999999</v>
      </c>
      <c r="AT11" s="17">
        <v>60.147778989999999</v>
      </c>
      <c r="AU11" s="89">
        <v>57.366378259999998</v>
      </c>
      <c r="AV11" s="97">
        <v>48.003292939999994</v>
      </c>
      <c r="AW11" s="97">
        <v>43.625386599999999</v>
      </c>
      <c r="AX11" s="17">
        <v>41.698375349999999</v>
      </c>
      <c r="AY11" s="97">
        <v>40.95083563</v>
      </c>
      <c r="AZ11" s="3"/>
    </row>
    <row r="12" spans="1:56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</row>
    <row r="13" spans="1:56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</row>
    <row r="14" spans="1:56" x14ac:dyDescent="0.25">
      <c r="A14" s="3"/>
      <c r="B14" s="3"/>
      <c r="C14" s="42"/>
      <c r="D14" s="11"/>
      <c r="E14" s="237">
        <v>2006</v>
      </c>
      <c r="F14" s="24">
        <v>2015</v>
      </c>
      <c r="G14" s="20">
        <v>2018</v>
      </c>
      <c r="H14" s="4">
        <v>2019</v>
      </c>
      <c r="I14" s="190">
        <v>2020</v>
      </c>
      <c r="J14" s="91">
        <v>2021</v>
      </c>
      <c r="K14" s="27">
        <v>2022</v>
      </c>
      <c r="L14" s="4">
        <v>2023</v>
      </c>
      <c r="M14" s="27">
        <v>2024</v>
      </c>
      <c r="N14" s="83">
        <v>2025</v>
      </c>
      <c r="O14" s="91">
        <v>2026</v>
      </c>
      <c r="P14" s="4">
        <v>2027</v>
      </c>
      <c r="Q14" s="27">
        <v>2028</v>
      </c>
      <c r="R14" s="27">
        <v>2029</v>
      </c>
      <c r="S14" s="83">
        <v>2030</v>
      </c>
      <c r="T14" s="4">
        <v>2035</v>
      </c>
      <c r="U14" s="93">
        <v>2040</v>
      </c>
      <c r="V14" s="4">
        <v>2045</v>
      </c>
      <c r="W14" s="93">
        <v>2050</v>
      </c>
      <c r="X14" s="3"/>
      <c r="AC14" s="3"/>
      <c r="AD14" s="3"/>
      <c r="AE14" s="42"/>
      <c r="AF14" s="11"/>
      <c r="AG14" s="237">
        <v>2006</v>
      </c>
      <c r="AH14" s="24">
        <v>2015</v>
      </c>
      <c r="AI14" s="20">
        <v>2018</v>
      </c>
      <c r="AJ14" s="4">
        <v>2019</v>
      </c>
      <c r="AK14" s="190">
        <v>2020</v>
      </c>
      <c r="AL14" s="91">
        <v>2021</v>
      </c>
      <c r="AM14" s="27">
        <v>2022</v>
      </c>
      <c r="AN14" s="4">
        <v>2023</v>
      </c>
      <c r="AO14" s="27">
        <v>2024</v>
      </c>
      <c r="AP14" s="83">
        <v>2025</v>
      </c>
      <c r="AQ14" s="91">
        <v>2026</v>
      </c>
      <c r="AR14" s="4">
        <v>2027</v>
      </c>
      <c r="AS14" s="27">
        <v>2028</v>
      </c>
      <c r="AT14" s="27">
        <v>2029</v>
      </c>
      <c r="AU14" s="83">
        <v>2030</v>
      </c>
      <c r="AV14" s="4">
        <v>2035</v>
      </c>
      <c r="AW14" s="93">
        <v>2040</v>
      </c>
      <c r="AX14" s="4">
        <v>2045</v>
      </c>
      <c r="AY14" s="93">
        <v>2050</v>
      </c>
      <c r="AZ14" s="3"/>
    </row>
    <row r="15" spans="1:56" ht="15.75" thickBot="1" x14ac:dyDescent="0.3">
      <c r="A15" s="3"/>
      <c r="B15" s="229" t="s">
        <v>101</v>
      </c>
      <c r="C15" s="5" t="s">
        <v>44</v>
      </c>
      <c r="D15" s="12" t="s">
        <v>190</v>
      </c>
      <c r="E15" s="18">
        <f>E4/100</f>
        <v>23931657.800000001</v>
      </c>
      <c r="F15" s="18">
        <f>F4/100</f>
        <v>26236690</v>
      </c>
      <c r="G15" s="106">
        <f>G4*1000/100</f>
        <v>27156.825130000001</v>
      </c>
      <c r="H15" s="18">
        <f t="shared" ref="H15:W15" si="1">H4*1000/100</f>
        <v>27454.671249999999</v>
      </c>
      <c r="I15" s="233">
        <f t="shared" si="1"/>
        <v>27751.517399999997</v>
      </c>
      <c r="J15" s="106">
        <f t="shared" si="1"/>
        <v>28042.295709999999</v>
      </c>
      <c r="K15" s="18">
        <f t="shared" si="1"/>
        <v>28330.575769999999</v>
      </c>
      <c r="L15" s="18">
        <f t="shared" si="1"/>
        <v>28637.831890000001</v>
      </c>
      <c r="M15" s="18">
        <f t="shared" si="1"/>
        <v>28945.245209999997</v>
      </c>
      <c r="N15" s="107">
        <f t="shared" si="1"/>
        <v>29244.115229999999</v>
      </c>
      <c r="O15" s="106">
        <f t="shared" si="1"/>
        <v>29535.440950000004</v>
      </c>
      <c r="P15" s="18">
        <f t="shared" si="1"/>
        <v>29818.519090000002</v>
      </c>
      <c r="Q15" s="18">
        <f t="shared" si="1"/>
        <v>30094.840250000005</v>
      </c>
      <c r="R15" s="18">
        <f t="shared" si="1"/>
        <v>30362.846859999998</v>
      </c>
      <c r="S15" s="107">
        <f t="shared" si="1"/>
        <v>30621.841720000004</v>
      </c>
      <c r="T15" s="18">
        <f t="shared" si="1"/>
        <v>31883.84924</v>
      </c>
      <c r="U15" s="114">
        <f t="shared" si="1"/>
        <v>33065.109349999999</v>
      </c>
      <c r="V15" s="18">
        <f t="shared" si="1"/>
        <v>34055.716659999998</v>
      </c>
      <c r="W15" s="114">
        <f t="shared" si="1"/>
        <v>34790.179179999999</v>
      </c>
      <c r="X15" s="3"/>
      <c r="Y15" s="33" t="s">
        <v>102</v>
      </c>
      <c r="AC15" s="3"/>
      <c r="AD15" s="229" t="s">
        <v>101</v>
      </c>
      <c r="AE15" s="5" t="s">
        <v>44</v>
      </c>
      <c r="AF15" s="12" t="s">
        <v>190</v>
      </c>
      <c r="AG15" s="18">
        <v>23553498.758831903</v>
      </c>
      <c r="AH15" s="18">
        <v>25969983.98</v>
      </c>
      <c r="AI15" s="106">
        <v>26557.572249999997</v>
      </c>
      <c r="AJ15" s="18">
        <v>26719.482079999998</v>
      </c>
      <c r="AK15" s="233">
        <v>26882.378990000001</v>
      </c>
      <c r="AL15" s="106">
        <v>27046.269019999996</v>
      </c>
      <c r="AM15" s="18">
        <v>27212.510620000001</v>
      </c>
      <c r="AN15" s="18">
        <v>27333.149649999999</v>
      </c>
      <c r="AO15" s="18">
        <v>27452.011419999999</v>
      </c>
      <c r="AP15" s="107">
        <v>27569.50288</v>
      </c>
      <c r="AQ15" s="106">
        <v>27685.617249999999</v>
      </c>
      <c r="AR15" s="18">
        <v>27799.930970000001</v>
      </c>
      <c r="AS15" s="18">
        <v>27915.774529999999</v>
      </c>
      <c r="AT15" s="18">
        <v>28028.555909999999</v>
      </c>
      <c r="AU15" s="107">
        <v>28143.284440000003</v>
      </c>
      <c r="AV15" s="18">
        <v>28696.22798</v>
      </c>
      <c r="AW15" s="114">
        <v>29214.190490000001</v>
      </c>
      <c r="AX15" s="18">
        <v>29661.644070000002</v>
      </c>
      <c r="AY15" s="114">
        <v>30027.028059999997</v>
      </c>
      <c r="AZ15" s="3"/>
      <c r="BA15" s="33" t="s">
        <v>102</v>
      </c>
    </row>
    <row r="16" spans="1:56" x14ac:dyDescent="0.25">
      <c r="A16" s="3"/>
      <c r="B16" s="230"/>
      <c r="C16" s="35" t="s">
        <v>27</v>
      </c>
      <c r="D16" s="13" t="s">
        <v>191</v>
      </c>
      <c r="E16" s="74">
        <f>E5/E$4</f>
        <v>2.7625624832392512E-4</v>
      </c>
      <c r="F16" s="74">
        <f>F5/F$4</f>
        <v>6.2860672668694105E-3</v>
      </c>
      <c r="G16" s="108">
        <f>G5/G$4</f>
        <v>8.646743721916067E-3</v>
      </c>
      <c r="H16" s="74">
        <f t="shared" ref="H16:W16" si="2">H5/H$4</f>
        <v>9.9836964465564292E-3</v>
      </c>
      <c r="I16" s="109">
        <f t="shared" si="2"/>
        <v>1.1593551940334621E-2</v>
      </c>
      <c r="J16" s="108">
        <f t="shared" si="2"/>
        <v>1.3508373712246259E-2</v>
      </c>
      <c r="K16" s="74">
        <f t="shared" si="2"/>
        <v>1.561899822271067E-2</v>
      </c>
      <c r="L16" s="74">
        <f t="shared" si="2"/>
        <v>1.7827671712755483E-2</v>
      </c>
      <c r="M16" s="74">
        <f t="shared" si="2"/>
        <v>1.9702681886521842E-2</v>
      </c>
      <c r="N16" s="109">
        <f t="shared" si="2"/>
        <v>2.1368867263897726E-2</v>
      </c>
      <c r="O16" s="108">
        <f t="shared" si="2"/>
        <v>2.2736597995500721E-2</v>
      </c>
      <c r="P16" s="74">
        <f t="shared" si="2"/>
        <v>2.3775783145372834E-2</v>
      </c>
      <c r="Q16" s="74">
        <f t="shared" si="2"/>
        <v>2.4793302905138363E-2</v>
      </c>
      <c r="R16" s="74">
        <f t="shared" si="2"/>
        <v>2.5895919339363263E-2</v>
      </c>
      <c r="S16" s="109">
        <f t="shared" si="2"/>
        <v>2.7159481134565799E-2</v>
      </c>
      <c r="T16" s="74">
        <f t="shared" si="2"/>
        <v>3.6743456073373405E-2</v>
      </c>
      <c r="U16" s="115">
        <f t="shared" si="2"/>
        <v>5.193268749918712E-2</v>
      </c>
      <c r="V16" s="74">
        <f t="shared" si="2"/>
        <v>7.2964333148759525E-2</v>
      </c>
      <c r="W16" s="115">
        <f t="shared" si="2"/>
        <v>9.9699427532525864E-2</v>
      </c>
      <c r="X16" s="3"/>
      <c r="Y16" s="133"/>
      <c r="Z16" s="134">
        <v>2020</v>
      </c>
      <c r="AA16" s="134">
        <v>2030</v>
      </c>
      <c r="AB16" s="135">
        <v>2050</v>
      </c>
      <c r="AC16" s="3"/>
      <c r="AD16" s="230"/>
      <c r="AE16" s="35" t="s">
        <v>27</v>
      </c>
      <c r="AF16" s="13" t="s">
        <v>191</v>
      </c>
      <c r="AG16" s="74">
        <v>2.7625624832392523E-4</v>
      </c>
      <c r="AH16" s="74">
        <v>1.6629641428835412E-2</v>
      </c>
      <c r="AI16" s="108">
        <v>1.898241431311554E-2</v>
      </c>
      <c r="AJ16" s="74">
        <v>1.9680566124955369E-2</v>
      </c>
      <c r="AK16" s="109">
        <v>2.055206032566986E-2</v>
      </c>
      <c r="AL16" s="108">
        <v>2.160970410624127E-2</v>
      </c>
      <c r="AM16" s="74">
        <v>2.2733103267779265E-2</v>
      </c>
      <c r="AN16" s="74">
        <v>2.393439203227719E-2</v>
      </c>
      <c r="AO16" s="74">
        <v>2.529841231575591E-2</v>
      </c>
      <c r="AP16" s="109">
        <v>2.6853587579088043E-2</v>
      </c>
      <c r="AQ16" s="108">
        <v>2.8536226646707685E-2</v>
      </c>
      <c r="AR16" s="74">
        <v>3.0145756689265623E-2</v>
      </c>
      <c r="AS16" s="74">
        <v>3.1295266461661024E-2</v>
      </c>
      <c r="AT16" s="74">
        <v>3.1832698318990882E-2</v>
      </c>
      <c r="AU16" s="109">
        <v>3.2226906380938385E-2</v>
      </c>
      <c r="AV16" s="74">
        <v>3.3842116701778453E-2</v>
      </c>
      <c r="AW16" s="115">
        <v>3.528596270202522E-2</v>
      </c>
      <c r="AX16" s="74">
        <v>3.6511438423446764E-2</v>
      </c>
      <c r="AY16" s="115">
        <v>3.7519654417640692E-2</v>
      </c>
      <c r="AZ16" s="3"/>
      <c r="BA16" s="133"/>
      <c r="BB16" s="134">
        <v>2020</v>
      </c>
      <c r="BC16" s="134">
        <v>2030</v>
      </c>
      <c r="BD16" s="135">
        <v>2050</v>
      </c>
    </row>
    <row r="17" spans="1:56" x14ac:dyDescent="0.25">
      <c r="A17" s="3"/>
      <c r="B17" s="230"/>
      <c r="C17" s="35" t="s">
        <v>28</v>
      </c>
      <c r="D17" s="13" t="s">
        <v>192</v>
      </c>
      <c r="E17" s="68">
        <f t="shared" ref="E17:G22" si="3">E6/E$4</f>
        <v>1.77137013884596E-2</v>
      </c>
      <c r="F17" s="68">
        <f t="shared" si="3"/>
        <v>4.1798118665121252E-2</v>
      </c>
      <c r="G17" s="110">
        <f t="shared" si="3"/>
        <v>4.92493604682279E-2</v>
      </c>
      <c r="H17" s="68">
        <f t="shared" ref="H17:W17" si="4">H6/H$4</f>
        <v>5.3697890882594336E-2</v>
      </c>
      <c r="I17" s="111">
        <f t="shared" si="4"/>
        <v>5.8711124170817419E-2</v>
      </c>
      <c r="J17" s="110">
        <f t="shared" si="4"/>
        <v>6.4651375399107799E-2</v>
      </c>
      <c r="K17" s="68">
        <f t="shared" si="4"/>
        <v>7.0560681901736019E-2</v>
      </c>
      <c r="L17" s="68">
        <f t="shared" si="4"/>
        <v>7.6470480531199175E-2</v>
      </c>
      <c r="M17" s="68">
        <f t="shared" si="4"/>
        <v>8.1066297347839947E-2</v>
      </c>
      <c r="N17" s="111">
        <f t="shared" si="4"/>
        <v>8.5170567117889173E-2</v>
      </c>
      <c r="O17" s="110">
        <f t="shared" si="4"/>
        <v>8.824103464079143E-2</v>
      </c>
      <c r="P17" s="68">
        <f t="shared" si="4"/>
        <v>9.0487573707336635E-2</v>
      </c>
      <c r="Q17" s="68">
        <f t="shared" si="4"/>
        <v>9.2594743147041622E-2</v>
      </c>
      <c r="R17" s="68">
        <f t="shared" si="4"/>
        <v>9.4846324663773643E-2</v>
      </c>
      <c r="S17" s="111">
        <f t="shared" si="4"/>
        <v>9.7418826348763463E-2</v>
      </c>
      <c r="T17" s="68">
        <f t="shared" si="4"/>
        <v>0.11560081203670877</v>
      </c>
      <c r="U17" s="116">
        <f t="shared" si="4"/>
        <v>0.13941337348094993</v>
      </c>
      <c r="V17" s="68">
        <f t="shared" si="4"/>
        <v>0.16547253940537102</v>
      </c>
      <c r="W17" s="116">
        <f t="shared" si="4"/>
        <v>0.19128936690920487</v>
      </c>
      <c r="X17" s="3"/>
      <c r="Y17" s="136" t="s">
        <v>54</v>
      </c>
      <c r="Z17" s="137">
        <f>I16+I17</f>
        <v>7.0304676111152042E-2</v>
      </c>
      <c r="AA17" s="137">
        <f>S16+S17</f>
        <v>0.12457830748332926</v>
      </c>
      <c r="AB17" s="138">
        <f>W16+W17</f>
        <v>0.29098879444173076</v>
      </c>
      <c r="AC17" s="3"/>
      <c r="AD17" s="230"/>
      <c r="AE17" s="35" t="s">
        <v>28</v>
      </c>
      <c r="AF17" s="13" t="s">
        <v>192</v>
      </c>
      <c r="AG17" s="68">
        <v>1.7713701388459593E-2</v>
      </c>
      <c r="AH17" s="68">
        <v>6.9742271631543756E-2</v>
      </c>
      <c r="AI17" s="110">
        <v>8.1178375783200599E-2</v>
      </c>
      <c r="AJ17" s="68">
        <v>8.5616416222091693E-2</v>
      </c>
      <c r="AK17" s="111">
        <v>9.1340609471855363E-2</v>
      </c>
      <c r="AL17" s="110">
        <v>9.8606449600418852E-2</v>
      </c>
      <c r="AM17" s="68">
        <v>0.10615167668053996</v>
      </c>
      <c r="AN17" s="68">
        <v>0.1126658795064988</v>
      </c>
      <c r="AO17" s="68">
        <v>0.11912820758253932</v>
      </c>
      <c r="AP17" s="111">
        <v>0.12547123609941566</v>
      </c>
      <c r="AQ17" s="110">
        <v>0.13162380416134664</v>
      </c>
      <c r="AR17" s="68">
        <v>0.13741741046488648</v>
      </c>
      <c r="AS17" s="68">
        <v>0.14263357202290744</v>
      </c>
      <c r="AT17" s="68">
        <v>0.14704290032757525</v>
      </c>
      <c r="AU17" s="111">
        <v>0.15090915365811511</v>
      </c>
      <c r="AV17" s="68">
        <v>0.16819727841456883</v>
      </c>
      <c r="AW17" s="116">
        <v>0.18386636890858446</v>
      </c>
      <c r="AX17" s="68">
        <v>0.19725136554104705</v>
      </c>
      <c r="AY17" s="116">
        <v>0.20829950118613239</v>
      </c>
      <c r="AZ17" s="3"/>
      <c r="BA17" s="136" t="s">
        <v>54</v>
      </c>
      <c r="BB17" s="137">
        <v>0.11189266979752523</v>
      </c>
      <c r="BC17" s="137">
        <v>0.1831360600390535</v>
      </c>
      <c r="BD17" s="138">
        <v>0.24581915560377307</v>
      </c>
    </row>
    <row r="18" spans="1:56" x14ac:dyDescent="0.25">
      <c r="A18" s="3"/>
      <c r="B18" s="230"/>
      <c r="C18" s="35" t="s">
        <v>29</v>
      </c>
      <c r="D18" s="13" t="s">
        <v>193</v>
      </c>
      <c r="E18" s="68">
        <f t="shared" si="3"/>
        <v>0.12575058882882739</v>
      </c>
      <c r="F18" s="68">
        <f t="shared" si="3"/>
        <v>0.21051545774257346</v>
      </c>
      <c r="G18" s="110">
        <f t="shared" si="3"/>
        <v>0.22405017636905186</v>
      </c>
      <c r="H18" s="68">
        <f t="shared" ref="H18:W18" si="5">H7/H$4</f>
        <v>0.23019781174760925</v>
      </c>
      <c r="I18" s="111">
        <f t="shared" si="5"/>
        <v>0.23661596652008662</v>
      </c>
      <c r="J18" s="110">
        <f t="shared" si="5"/>
        <v>0.24319661266420617</v>
      </c>
      <c r="K18" s="68">
        <f t="shared" si="5"/>
        <v>0.24906327436775563</v>
      </c>
      <c r="L18" s="68">
        <f t="shared" si="5"/>
        <v>0.25437411801916959</v>
      </c>
      <c r="M18" s="68">
        <f t="shared" si="5"/>
        <v>0.25826921319074914</v>
      </c>
      <c r="N18" s="111">
        <f t="shared" si="5"/>
        <v>0.26122908749050228</v>
      </c>
      <c r="O18" s="110">
        <f t="shared" si="5"/>
        <v>0.26314215247902029</v>
      </c>
      <c r="P18" s="68">
        <f t="shared" si="5"/>
        <v>0.26441832242581703</v>
      </c>
      <c r="Q18" s="68">
        <f t="shared" si="5"/>
        <v>0.26537576437210025</v>
      </c>
      <c r="R18" s="68">
        <f t="shared" si="5"/>
        <v>0.26618944400261685</v>
      </c>
      <c r="S18" s="111">
        <f t="shared" si="5"/>
        <v>0.26693281742297503</v>
      </c>
      <c r="T18" s="68">
        <f t="shared" si="5"/>
        <v>0.27016014444057762</v>
      </c>
      <c r="U18" s="116">
        <f t="shared" si="5"/>
        <v>0.27101246943252588</v>
      </c>
      <c r="V18" s="68">
        <f t="shared" si="5"/>
        <v>0.26801162166469589</v>
      </c>
      <c r="W18" s="116">
        <f t="shared" si="5"/>
        <v>0.26171734269866442</v>
      </c>
      <c r="X18" s="3"/>
      <c r="Y18" s="136" t="s">
        <v>55</v>
      </c>
      <c r="Z18" s="137">
        <f>I18+I19+I20</f>
        <v>0.76002529104949057</v>
      </c>
      <c r="AA18" s="137">
        <f>S18+S19+S20</f>
        <v>0.74059798396084187</v>
      </c>
      <c r="AB18" s="138">
        <f>W18+W19+W20</f>
        <v>0.61369543759849066</v>
      </c>
      <c r="AC18" s="3"/>
      <c r="AD18" s="230"/>
      <c r="AE18" s="35" t="s">
        <v>29</v>
      </c>
      <c r="AF18" s="13" t="s">
        <v>193</v>
      </c>
      <c r="AG18" s="68">
        <v>0.12575058882882711</v>
      </c>
      <c r="AH18" s="68">
        <v>0.21911275641841962</v>
      </c>
      <c r="AI18" s="110">
        <v>0.23825625442852749</v>
      </c>
      <c r="AJ18" s="68">
        <v>0.24161201207684488</v>
      </c>
      <c r="AK18" s="111">
        <v>0.24455613282758795</v>
      </c>
      <c r="AL18" s="110">
        <v>0.24673344098091057</v>
      </c>
      <c r="AM18" s="68">
        <v>0.24961673279082403</v>
      </c>
      <c r="AN18" s="68">
        <v>0.25335794116943272</v>
      </c>
      <c r="AO18" s="68">
        <v>0.2567414043426039</v>
      </c>
      <c r="AP18" s="111">
        <v>0.25951109793823024</v>
      </c>
      <c r="AQ18" s="110">
        <v>0.26169012384941498</v>
      </c>
      <c r="AR18" s="68">
        <v>0.26336582993321006</v>
      </c>
      <c r="AS18" s="68">
        <v>0.264535488566292</v>
      </c>
      <c r="AT18" s="68">
        <v>0.2651534802885962</v>
      </c>
      <c r="AU18" s="111">
        <v>0.26456632525865909</v>
      </c>
      <c r="AV18" s="68">
        <v>0.25952290901056607</v>
      </c>
      <c r="AW18" s="116">
        <v>0.25485171144990371</v>
      </c>
      <c r="AX18" s="68">
        <v>0.25089202970130575</v>
      </c>
      <c r="AY18" s="116">
        <v>0.24771102411924817</v>
      </c>
      <c r="AZ18" s="3"/>
      <c r="BA18" s="136" t="s">
        <v>55</v>
      </c>
      <c r="BB18" s="137">
        <v>0.72289771229804389</v>
      </c>
      <c r="BC18" s="137">
        <v>0.68888842591678678</v>
      </c>
      <c r="BD18" s="138">
        <v>0.64245955428730506</v>
      </c>
    </row>
    <row r="19" spans="1:56" ht="15.75" thickBot="1" x14ac:dyDescent="0.3">
      <c r="A19" s="3"/>
      <c r="B19" s="230"/>
      <c r="C19" s="35" t="s">
        <v>30</v>
      </c>
      <c r="D19" s="13" t="s">
        <v>194</v>
      </c>
      <c r="E19" s="68">
        <f t="shared" si="3"/>
        <v>0.27637430617113368</v>
      </c>
      <c r="F19" s="68">
        <f t="shared" si="3"/>
        <v>0.31098549939035758</v>
      </c>
      <c r="G19" s="110">
        <f t="shared" si="3"/>
        <v>0.31376165450898563</v>
      </c>
      <c r="H19" s="68">
        <f t="shared" ref="H19:W19" si="6">H8/H$4</f>
        <v>0.31426399418277501</v>
      </c>
      <c r="I19" s="111">
        <f t="shared" si="6"/>
        <v>0.31463673752124272</v>
      </c>
      <c r="J19" s="110">
        <f t="shared" si="6"/>
        <v>0.31432365524398787</v>
      </c>
      <c r="K19" s="68">
        <f t="shared" si="6"/>
        <v>0.31367218337334901</v>
      </c>
      <c r="L19" s="68">
        <f t="shared" si="6"/>
        <v>0.31277452833738245</v>
      </c>
      <c r="M19" s="68">
        <f t="shared" si="6"/>
        <v>0.31225096254764118</v>
      </c>
      <c r="N19" s="111">
        <f t="shared" si="6"/>
        <v>0.31153042618482391</v>
      </c>
      <c r="O19" s="110">
        <f t="shared" si="6"/>
        <v>0.31106756698006904</v>
      </c>
      <c r="P19" s="68">
        <f t="shared" si="6"/>
        <v>0.3109268484131148</v>
      </c>
      <c r="Q19" s="68">
        <f t="shared" si="6"/>
        <v>0.31068963364907709</v>
      </c>
      <c r="R19" s="68">
        <f t="shared" si="6"/>
        <v>0.31021219434494096</v>
      </c>
      <c r="S19" s="111">
        <f t="shared" si="6"/>
        <v>0.3093739812133024</v>
      </c>
      <c r="T19" s="68">
        <f t="shared" si="6"/>
        <v>0.29987643681381304</v>
      </c>
      <c r="U19" s="116">
        <f t="shared" si="6"/>
        <v>0.28314913088288335</v>
      </c>
      <c r="V19" s="68">
        <f t="shared" si="6"/>
        <v>0.26049989637774956</v>
      </c>
      <c r="W19" s="116">
        <f t="shared" si="6"/>
        <v>0.23454515424545166</v>
      </c>
      <c r="X19" s="3"/>
      <c r="Y19" s="139" t="s">
        <v>60</v>
      </c>
      <c r="Z19" s="140">
        <f>I21+I22</f>
        <v>0.16967003267360078</v>
      </c>
      <c r="AA19" s="140">
        <f>S21+S22</f>
        <v>0.1348237086701263</v>
      </c>
      <c r="AB19" s="271">
        <f>W21+W22</f>
        <v>9.5743073491120767E-2</v>
      </c>
      <c r="AC19" s="3"/>
      <c r="AD19" s="230"/>
      <c r="AE19" s="35" t="s">
        <v>30</v>
      </c>
      <c r="AF19" s="13" t="s">
        <v>194</v>
      </c>
      <c r="AG19" s="68">
        <v>0.27637430617113345</v>
      </c>
      <c r="AH19" s="68">
        <v>0.24399997608315813</v>
      </c>
      <c r="AI19" s="110">
        <v>0.2366669213900002</v>
      </c>
      <c r="AJ19" s="68">
        <v>0.23468160828213183</v>
      </c>
      <c r="AK19" s="111">
        <v>0.23286925708207196</v>
      </c>
      <c r="AL19" s="110">
        <v>0.23119912330148079</v>
      </c>
      <c r="AM19" s="68">
        <v>0.22958027552990262</v>
      </c>
      <c r="AN19" s="68">
        <v>0.22823590127309021</v>
      </c>
      <c r="AO19" s="68">
        <v>0.22667237149939959</v>
      </c>
      <c r="AP19" s="111">
        <v>0.22484807807314372</v>
      </c>
      <c r="AQ19" s="110">
        <v>0.22283946683543782</v>
      </c>
      <c r="AR19" s="68">
        <v>0.22080782835843135</v>
      </c>
      <c r="AS19" s="68">
        <v>0.21896131706577443</v>
      </c>
      <c r="AT19" s="68">
        <v>0.21754236545681527</v>
      </c>
      <c r="AU19" s="111">
        <v>0.21668893895456073</v>
      </c>
      <c r="AV19" s="68">
        <v>0.21328461407073057</v>
      </c>
      <c r="AW19" s="116">
        <v>0.20989243419559833</v>
      </c>
      <c r="AX19" s="68">
        <v>0.2069443498652298</v>
      </c>
      <c r="AY19" s="116">
        <v>0.20457087690216122</v>
      </c>
      <c r="AZ19" s="3"/>
      <c r="BA19" s="139" t="s">
        <v>60</v>
      </c>
      <c r="BB19" s="140">
        <v>0.16520961794906971</v>
      </c>
      <c r="BC19" s="140">
        <v>0.12797551395532852</v>
      </c>
      <c r="BD19" s="271">
        <v>0.11172129005230631</v>
      </c>
    </row>
    <row r="20" spans="1:56" x14ac:dyDescent="0.25">
      <c r="A20" s="3"/>
      <c r="B20" s="230"/>
      <c r="C20" s="35" t="s">
        <v>31</v>
      </c>
      <c r="D20" s="13" t="s">
        <v>195</v>
      </c>
      <c r="E20" s="68">
        <f t="shared" si="3"/>
        <v>0.32873347328240671</v>
      </c>
      <c r="F20" s="68">
        <f t="shared" si="3"/>
        <v>0.23937442146856178</v>
      </c>
      <c r="G20" s="110">
        <f t="shared" si="3"/>
        <v>0.22352831323033229</v>
      </c>
      <c r="H20" s="68">
        <f t="shared" ref="H20:W20" si="7">H9/H$4</f>
        <v>0.21637220136081581</v>
      </c>
      <c r="I20" s="111">
        <f t="shared" si="7"/>
        <v>0.20877258700816123</v>
      </c>
      <c r="J20" s="110">
        <f t="shared" si="7"/>
        <v>0.20083912245428645</v>
      </c>
      <c r="K20" s="68">
        <f t="shared" si="7"/>
        <v>0.19343141337787217</v>
      </c>
      <c r="L20" s="68">
        <f t="shared" si="7"/>
        <v>0.18643754944536758</v>
      </c>
      <c r="M20" s="68">
        <f t="shared" si="7"/>
        <v>0.18094749462307286</v>
      </c>
      <c r="N20" s="111">
        <f t="shared" si="7"/>
        <v>0.17646202924635376</v>
      </c>
      <c r="O20" s="110">
        <f t="shared" si="7"/>
        <v>0.17314733630208423</v>
      </c>
      <c r="P20" s="68">
        <f t="shared" si="7"/>
        <v>0.1706571611970687</v>
      </c>
      <c r="Q20" s="68">
        <f t="shared" si="7"/>
        <v>0.16848499965039684</v>
      </c>
      <c r="R20" s="68">
        <f t="shared" si="7"/>
        <v>0.16640111134163921</v>
      </c>
      <c r="S20" s="111">
        <f t="shared" si="7"/>
        <v>0.16429118532456446</v>
      </c>
      <c r="T20" s="68">
        <f t="shared" si="7"/>
        <v>0.15227450906112741</v>
      </c>
      <c r="U20" s="116">
        <f t="shared" si="7"/>
        <v>0.13957931435058146</v>
      </c>
      <c r="V20" s="68">
        <f t="shared" si="7"/>
        <v>0.1279979107331462</v>
      </c>
      <c r="W20" s="116">
        <f t="shared" si="7"/>
        <v>0.11743294065437464</v>
      </c>
      <c r="X20" s="3"/>
      <c r="Y20" s="173" t="s">
        <v>92</v>
      </c>
      <c r="Z20" s="174">
        <f>SUM(Z17:Z19)</f>
        <v>0.99999999983424337</v>
      </c>
      <c r="AA20" s="174">
        <f t="shared" ref="AA20:AB20" si="8">SUM(AA17:AA19)</f>
        <v>1.0000000001142975</v>
      </c>
      <c r="AB20" s="174">
        <f t="shared" si="8"/>
        <v>1.0004273055313422</v>
      </c>
      <c r="AC20" s="3"/>
      <c r="AD20" s="230"/>
      <c r="AE20" s="35" t="s">
        <v>31</v>
      </c>
      <c r="AF20" s="13" t="s">
        <v>195</v>
      </c>
      <c r="AG20" s="68">
        <v>0.32873347328240687</v>
      </c>
      <c r="AH20" s="68">
        <v>0.26509030195404842</v>
      </c>
      <c r="AI20" s="110">
        <v>0.25245211474478813</v>
      </c>
      <c r="AJ20" s="68">
        <v>0.24923939412675924</v>
      </c>
      <c r="AK20" s="111">
        <v>0.24547232238838398</v>
      </c>
      <c r="AL20" s="110">
        <v>0.24119695582322501</v>
      </c>
      <c r="AM20" s="68">
        <v>0.23638908066322328</v>
      </c>
      <c r="AN20" s="68">
        <v>0.23153170520178237</v>
      </c>
      <c r="AO20" s="68">
        <v>0.22680205092235828</v>
      </c>
      <c r="AP20" s="111">
        <v>0.22234816495175047</v>
      </c>
      <c r="AQ20" s="110">
        <v>0.21820791100476547</v>
      </c>
      <c r="AR20" s="68">
        <v>0.21447810166990497</v>
      </c>
      <c r="AS20" s="68">
        <v>0.21139582011805283</v>
      </c>
      <c r="AT20" s="68">
        <v>0.20910573223320947</v>
      </c>
      <c r="AU20" s="111">
        <v>0.20763316170356694</v>
      </c>
      <c r="AV20" s="68">
        <v>0.20276931860366407</v>
      </c>
      <c r="AW20" s="116">
        <v>0.19804005693672738</v>
      </c>
      <c r="AX20" s="68">
        <v>0.19381052501450233</v>
      </c>
      <c r="AY20" s="116">
        <v>0.1901776532658957</v>
      </c>
      <c r="AZ20" s="3"/>
      <c r="BA20" s="173" t="s">
        <v>92</v>
      </c>
      <c r="BB20" s="174">
        <v>1.0000000000446387</v>
      </c>
      <c r="BC20" s="174">
        <v>0.99999999991116884</v>
      </c>
      <c r="BD20" s="174">
        <v>0.99999999994338451</v>
      </c>
    </row>
    <row r="21" spans="1:56" x14ac:dyDescent="0.25">
      <c r="A21" s="3"/>
      <c r="B21" s="230"/>
      <c r="C21" s="35" t="s">
        <v>32</v>
      </c>
      <c r="D21" s="13" t="s">
        <v>196</v>
      </c>
      <c r="E21" s="68">
        <f t="shared" si="3"/>
        <v>0.1722213067913749</v>
      </c>
      <c r="F21" s="68">
        <f t="shared" si="3"/>
        <v>0.11891982121220321</v>
      </c>
      <c r="G21" s="110">
        <f t="shared" si="3"/>
        <v>0.11007354816663723</v>
      </c>
      <c r="H21" s="68">
        <f t="shared" ref="H21:W21" si="9">H10/H$4</f>
        <v>0.10625964770931286</v>
      </c>
      <c r="I21" s="111">
        <f t="shared" si="9"/>
        <v>0.10225388778200649</v>
      </c>
      <c r="J21" s="110">
        <f t="shared" si="9"/>
        <v>9.8153536053699947E-2</v>
      </c>
      <c r="K21" s="68">
        <f t="shared" si="9"/>
        <v>9.4349681125453513E-2</v>
      </c>
      <c r="L21" s="68">
        <f t="shared" si="9"/>
        <v>9.0791876528471357E-2</v>
      </c>
      <c r="M21" s="68">
        <f t="shared" si="9"/>
        <v>8.7956818521628274E-2</v>
      </c>
      <c r="N21" s="111">
        <f t="shared" si="9"/>
        <v>8.5632607801757715E-2</v>
      </c>
      <c r="O21" s="110">
        <f t="shared" si="9"/>
        <v>8.3870542552370461E-2</v>
      </c>
      <c r="P21" s="68">
        <f t="shared" si="9"/>
        <v>8.2495469395224078E-2</v>
      </c>
      <c r="Q21" s="68">
        <f t="shared" si="9"/>
        <v>8.1290111782533883E-2</v>
      </c>
      <c r="R21" s="68">
        <f t="shared" si="9"/>
        <v>8.0150541753251134E-2</v>
      </c>
      <c r="S21" s="111">
        <f t="shared" si="9"/>
        <v>7.9026342606280039E-2</v>
      </c>
      <c r="T21" s="68">
        <f t="shared" si="9"/>
        <v>7.3046222633563043E-2</v>
      </c>
      <c r="U21" s="116">
        <f t="shared" si="9"/>
        <v>6.7006806103304187E-2</v>
      </c>
      <c r="V21" s="68">
        <f t="shared" si="9"/>
        <v>6.1497019308358318E-2</v>
      </c>
      <c r="W21" s="116">
        <f t="shared" si="9"/>
        <v>5.6259646317808928E-2</v>
      </c>
      <c r="X21" s="3"/>
      <c r="AC21" s="3"/>
      <c r="AD21" s="230"/>
      <c r="AE21" s="35" t="s">
        <v>32</v>
      </c>
      <c r="AF21" s="13" t="s">
        <v>196</v>
      </c>
      <c r="AG21" s="68">
        <v>0.17222130679137462</v>
      </c>
      <c r="AH21" s="68">
        <v>0.13812098986131141</v>
      </c>
      <c r="AI21" s="110">
        <v>0.13171002420976188</v>
      </c>
      <c r="AJ21" s="68">
        <v>0.13018392379707383</v>
      </c>
      <c r="AK21" s="111">
        <v>0.12810467549323093</v>
      </c>
      <c r="AL21" s="110">
        <v>0.12551223802772041</v>
      </c>
      <c r="AM21" s="68">
        <v>0.12241652291911904</v>
      </c>
      <c r="AN21" s="68">
        <v>0.11917065474377191</v>
      </c>
      <c r="AO21" s="68">
        <v>0.11617863056389478</v>
      </c>
      <c r="AP21" s="111">
        <v>0.11360299235834463</v>
      </c>
      <c r="AQ21" s="110">
        <v>0.11143757540749792</v>
      </c>
      <c r="AR21" s="68">
        <v>0.10969240716067864</v>
      </c>
      <c r="AS21" s="68">
        <v>0.10848993312885881</v>
      </c>
      <c r="AT21" s="68">
        <v>0.10786335937918821</v>
      </c>
      <c r="AU21" s="111">
        <v>0.107591831168658</v>
      </c>
      <c r="AV21" s="68">
        <v>0.1056556785830219</v>
      </c>
      <c r="AW21" s="116">
        <v>0.10313052186167217</v>
      </c>
      <c r="AX21" s="68">
        <v>0.10053227932891177</v>
      </c>
      <c r="AY21" s="116">
        <v>9.8083298457476459E-2</v>
      </c>
      <c r="AZ21" s="3"/>
    </row>
    <row r="22" spans="1:56" x14ac:dyDescent="0.25">
      <c r="A22" s="3"/>
      <c r="B22" s="230"/>
      <c r="C22" s="56" t="s">
        <v>33</v>
      </c>
      <c r="D22" s="26" t="s">
        <v>197</v>
      </c>
      <c r="E22" s="70">
        <f t="shared" si="3"/>
        <v>7.893036728947378E-2</v>
      </c>
      <c r="F22" s="70">
        <f t="shared" si="3"/>
        <v>7.212061426193625E-2</v>
      </c>
      <c r="G22" s="112">
        <f t="shared" si="3"/>
        <v>7.0690203431744078E-2</v>
      </c>
      <c r="H22" s="70">
        <f t="shared" ref="H22:W22" si="10">H11/H$4</f>
        <v>6.9224757845169974E-2</v>
      </c>
      <c r="I22" s="113">
        <f t="shared" si="10"/>
        <v>6.7416144891594296E-2</v>
      </c>
      <c r="J22" s="112">
        <f t="shared" si="10"/>
        <v>6.5327324550918525E-2</v>
      </c>
      <c r="K22" s="70">
        <f t="shared" si="10"/>
        <v>6.3303767617003848E-2</v>
      </c>
      <c r="L22" s="70">
        <f t="shared" si="10"/>
        <v>6.1323775617707903E-2</v>
      </c>
      <c r="M22" s="70">
        <f t="shared" si="10"/>
        <v>5.980653189982079E-2</v>
      </c>
      <c r="N22" s="113">
        <f t="shared" si="10"/>
        <v>5.8606414812707598E-2</v>
      </c>
      <c r="O22" s="112">
        <f t="shared" si="10"/>
        <v>5.7794769100950223E-2</v>
      </c>
      <c r="P22" s="70">
        <f t="shared" si="10"/>
        <v>5.7238841903868673E-2</v>
      </c>
      <c r="Q22" s="70">
        <f t="shared" si="10"/>
        <v>5.6771444533585784E-2</v>
      </c>
      <c r="R22" s="70">
        <f t="shared" si="10"/>
        <v>5.6304464561001966E-2</v>
      </c>
      <c r="S22" s="113">
        <f t="shared" si="10"/>
        <v>5.5797366063846263E-2</v>
      </c>
      <c r="T22" s="70">
        <f t="shared" si="10"/>
        <v>5.2298419066292137E-2</v>
      </c>
      <c r="U22" s="117">
        <f t="shared" si="10"/>
        <v>4.7906218190081389E-2</v>
      </c>
      <c r="V22" s="70">
        <f t="shared" si="10"/>
        <v>4.3556679391283146E-2</v>
      </c>
      <c r="W22" s="117">
        <f t="shared" si="10"/>
        <v>3.9483427173311846E-2</v>
      </c>
      <c r="X22" s="3"/>
      <c r="AC22" s="3"/>
      <c r="AD22" s="230"/>
      <c r="AE22" s="56" t="s">
        <v>33</v>
      </c>
      <c r="AF22" s="26" t="s">
        <v>197</v>
      </c>
      <c r="AG22" s="70">
        <v>7.8930367289473502E-2</v>
      </c>
      <c r="AH22" s="70">
        <v>4.7304062564924233E-2</v>
      </c>
      <c r="AI22" s="112">
        <v>4.0753895266160862E-2</v>
      </c>
      <c r="AJ22" s="70">
        <v>3.8986079216697153E-2</v>
      </c>
      <c r="AK22" s="113">
        <v>3.7104942455838792E-2</v>
      </c>
      <c r="AL22" s="112">
        <v>3.5142087975134698E-2</v>
      </c>
      <c r="AM22" s="70">
        <v>3.311260813023801E-2</v>
      </c>
      <c r="AN22" s="70">
        <v>3.1103526117049595E-2</v>
      </c>
      <c r="AO22" s="70">
        <v>2.9178922704236585E-2</v>
      </c>
      <c r="AP22" s="113">
        <v>2.7364842858566628E-2</v>
      </c>
      <c r="AQ22" s="112">
        <v>2.5664892163457183E-2</v>
      </c>
      <c r="AR22" s="70">
        <v>2.4092665748802755E-2</v>
      </c>
      <c r="AS22" s="70">
        <v>2.2688602536151806E-2</v>
      </c>
      <c r="AT22" s="70">
        <v>2.1459464120497387E-2</v>
      </c>
      <c r="AU22" s="113">
        <v>2.0383682786670507E-2</v>
      </c>
      <c r="AV22" s="70">
        <v>1.6728084601730989E-2</v>
      </c>
      <c r="AW22" s="117">
        <v>1.4932943842798909E-2</v>
      </c>
      <c r="AX22" s="70">
        <v>1.4058012176126823E-2</v>
      </c>
      <c r="AY22" s="117">
        <v>1.3637991594829849E-2</v>
      </c>
      <c r="AZ22" s="3"/>
    </row>
    <row r="23" spans="1:56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</row>
    <row r="24" spans="1:56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294">
        <v>2023</v>
      </c>
      <c r="M24" s="294">
        <v>2024</v>
      </c>
      <c r="N24" s="294">
        <v>2025</v>
      </c>
      <c r="O24" s="294">
        <v>2026</v>
      </c>
      <c r="P24" s="294">
        <v>2027</v>
      </c>
      <c r="Q24" s="294">
        <v>2028</v>
      </c>
      <c r="R24" s="294">
        <v>2029</v>
      </c>
      <c r="S24" s="295">
        <v>2030</v>
      </c>
      <c r="T24" s="294">
        <v>2035</v>
      </c>
      <c r="U24" s="294">
        <v>2040</v>
      </c>
      <c r="V24" s="294">
        <v>2045</v>
      </c>
      <c r="W24" s="294">
        <v>2050</v>
      </c>
      <c r="X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</row>
    <row r="25" spans="1:56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294">
        <v>27409.152760000001</v>
      </c>
      <c r="M25" s="294">
        <v>27534.384159999998</v>
      </c>
      <c r="N25" s="294">
        <v>27700.864130000002</v>
      </c>
      <c r="O25" s="294">
        <v>27827.24728</v>
      </c>
      <c r="P25" s="294">
        <v>27954.14676</v>
      </c>
      <c r="Q25" s="294">
        <v>28081.564560000003</v>
      </c>
      <c r="R25" s="294">
        <v>28209.502670000002</v>
      </c>
      <c r="S25" s="296">
        <v>28379.33238</v>
      </c>
      <c r="T25" s="294">
        <v>28988.170300000002</v>
      </c>
      <c r="U25" s="294">
        <v>29523.746120000003</v>
      </c>
      <c r="V25" s="294">
        <v>30025.638859999999</v>
      </c>
      <c r="W25" s="294">
        <v>30354.287279999997</v>
      </c>
      <c r="X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</row>
    <row r="26" spans="1:56" x14ac:dyDescent="0.25">
      <c r="B26" s="3"/>
      <c r="C26" s="3"/>
      <c r="D26" s="3"/>
      <c r="E26" s="3"/>
      <c r="F26" s="3"/>
      <c r="G26" s="3"/>
      <c r="H26" s="3"/>
      <c r="I26" s="3"/>
      <c r="J26" s="3"/>
      <c r="K26" s="3"/>
      <c r="L26" s="294">
        <v>4.1624116914148641E-2</v>
      </c>
      <c r="M26" s="294">
        <v>5.2596252256255291E-2</v>
      </c>
      <c r="N26" s="294">
        <v>6.5747814416647232E-2</v>
      </c>
      <c r="O26" s="294">
        <v>7.9997070734335318E-2</v>
      </c>
      <c r="P26" s="294">
        <v>9.530484041860271E-2</v>
      </c>
      <c r="Q26" s="294">
        <v>0.11128804035554064</v>
      </c>
      <c r="R26" s="294">
        <v>0.1277171678688088</v>
      </c>
      <c r="S26" s="294">
        <v>0.144310124817672</v>
      </c>
      <c r="T26" s="294">
        <v>0.23039888057370769</v>
      </c>
      <c r="U26" s="294">
        <v>0.31790028036591178</v>
      </c>
      <c r="V26" s="294">
        <v>0.40549770104042343</v>
      </c>
      <c r="W26" s="294">
        <v>0.47588868639053089</v>
      </c>
      <c r="X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</row>
    <row r="27" spans="1:56" x14ac:dyDescent="0.25">
      <c r="L27" s="297">
        <v>7.5898692499388284E-2</v>
      </c>
      <c r="M27" s="297">
        <v>8.7239713154347157E-2</v>
      </c>
      <c r="N27" s="297">
        <v>0.10006509916050045</v>
      </c>
      <c r="O27" s="297">
        <v>0.11371798001286168</v>
      </c>
      <c r="P27" s="297">
        <v>0.1274660875036488</v>
      </c>
      <c r="Q27" s="297">
        <v>0.14072834010214422</v>
      </c>
      <c r="R27" s="297">
        <v>0.15318021985532579</v>
      </c>
      <c r="S27" s="297">
        <v>0.16456568482531725</v>
      </c>
      <c r="T27" s="297">
        <v>0.20721591048469865</v>
      </c>
      <c r="U27" s="297">
        <v>0.22820456318840612</v>
      </c>
      <c r="V27" s="297">
        <v>0.23319455071871201</v>
      </c>
      <c r="W27" s="297">
        <v>0.22857891325195365</v>
      </c>
    </row>
    <row r="28" spans="1:56" x14ac:dyDescent="0.25">
      <c r="L28" s="297">
        <v>0.26241690854073663</v>
      </c>
      <c r="M28" s="297">
        <v>0.27026887864122834</v>
      </c>
      <c r="N28" s="297">
        <v>0.27839092335925619</v>
      </c>
      <c r="O28" s="297">
        <v>0.28610080486552525</v>
      </c>
      <c r="P28" s="297">
        <v>0.29266041443648771</v>
      </c>
      <c r="Q28" s="297">
        <v>0.29772521175365735</v>
      </c>
      <c r="R28" s="297">
        <v>0.30120146258501901</v>
      </c>
      <c r="S28" s="297">
        <v>0.30323983675052191</v>
      </c>
      <c r="T28" s="297">
        <v>0.29498535614715909</v>
      </c>
      <c r="U28" s="297">
        <v>0.26827909015361767</v>
      </c>
      <c r="V28" s="297">
        <v>0.23329132171544412</v>
      </c>
      <c r="W28" s="297">
        <v>0.20267551921910915</v>
      </c>
    </row>
    <row r="29" spans="1:56" x14ac:dyDescent="0.25">
      <c r="L29" s="297">
        <v>0.31103555008243167</v>
      </c>
      <c r="M29" s="297">
        <v>0.30726089883972912</v>
      </c>
      <c r="N29" s="297">
        <v>0.30173638121086294</v>
      </c>
      <c r="O29" s="297">
        <v>0.2935316151759873</v>
      </c>
      <c r="P29" s="297">
        <v>0.28335135949611795</v>
      </c>
      <c r="Q29" s="297">
        <v>0.27192376089603459</v>
      </c>
      <c r="R29" s="297">
        <v>0.25983147135716589</v>
      </c>
      <c r="S29" s="297">
        <v>0.24783389389937438</v>
      </c>
      <c r="T29" s="297">
        <v>0.18863571541112406</v>
      </c>
      <c r="U29" s="297">
        <v>0.13973920214024654</v>
      </c>
      <c r="V29" s="297">
        <v>0.10072426615471522</v>
      </c>
      <c r="W29" s="297">
        <v>7.4843140444838016E-2</v>
      </c>
    </row>
    <row r="30" spans="1:56" x14ac:dyDescent="0.25">
      <c r="L30" s="297">
        <v>0.19282409942685141</v>
      </c>
      <c r="M30" s="297">
        <v>0.18053517021170232</v>
      </c>
      <c r="N30" s="297">
        <v>0.16652767539494082</v>
      </c>
      <c r="O30" s="297">
        <v>0.15239289579490162</v>
      </c>
      <c r="P30" s="297">
        <v>0.13860999544240785</v>
      </c>
      <c r="Q30" s="297">
        <v>0.1257152202989647</v>
      </c>
      <c r="R30" s="297">
        <v>0.11391359910139104</v>
      </c>
      <c r="S30" s="297">
        <v>0.103079395238402</v>
      </c>
      <c r="T30" s="297">
        <v>6.3467552762376311E-2</v>
      </c>
      <c r="U30" s="297">
        <v>3.9545033860357556E-2</v>
      </c>
      <c r="V30" s="297">
        <v>2.4676156279460425E-2</v>
      </c>
      <c r="W30" s="297">
        <v>1.6744166140737666E-2</v>
      </c>
    </row>
    <row r="31" spans="1:56" x14ac:dyDescent="0.25">
      <c r="L31" s="297">
        <v>9.2131982375072877E-2</v>
      </c>
      <c r="M31" s="297">
        <v>8.1418386152131025E-2</v>
      </c>
      <c r="N31" s="297">
        <v>7.0011436534922269E-2</v>
      </c>
      <c r="O31" s="297">
        <v>5.9489629762617326E-2</v>
      </c>
      <c r="P31" s="297">
        <v>5.0197046650977808E-2</v>
      </c>
      <c r="Q31" s="297">
        <v>4.2209707883882945E-2</v>
      </c>
      <c r="R31" s="297">
        <v>3.5432382332034926E-2</v>
      </c>
      <c r="S31" s="297">
        <v>2.9674727658269173E-2</v>
      </c>
      <c r="T31" s="297">
        <v>1.2288807106945967E-2</v>
      </c>
      <c r="U31" s="297">
        <v>5.089130118830598E-3</v>
      </c>
      <c r="V31" s="297">
        <v>2.1033528640129659E-3</v>
      </c>
      <c r="W31" s="297">
        <v>1.0223712098306266E-3</v>
      </c>
    </row>
    <row r="32" spans="1:56" x14ac:dyDescent="0.25">
      <c r="L32" s="297">
        <v>2.4068650205151396E-2</v>
      </c>
      <c r="M32" s="297">
        <v>2.0680700846297775E-2</v>
      </c>
      <c r="N32" s="297">
        <v>1.7520670016729908E-2</v>
      </c>
      <c r="O32" s="297">
        <v>1.4770003520808185E-2</v>
      </c>
      <c r="P32" s="297">
        <v>1.2410255987366076E-2</v>
      </c>
      <c r="Q32" s="297">
        <v>1.0409718652798595E-2</v>
      </c>
      <c r="R32" s="297">
        <v>8.7236969569729744E-3</v>
      </c>
      <c r="S32" s="297">
        <v>7.2963369126303589E-3</v>
      </c>
      <c r="T32" s="297">
        <v>3.007777410842653E-3</v>
      </c>
      <c r="U32" s="297">
        <v>1.2427002258072527E-3</v>
      </c>
      <c r="V32" s="297">
        <v>5.126512452165023E-4</v>
      </c>
      <c r="W32" s="297">
        <v>2.4720344861940046E-4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euil11">
    <tabColor rgb="FF0070C0"/>
    <pageSetUpPr fitToPage="1"/>
  </sheetPr>
  <dimension ref="A1:CF648"/>
  <sheetViews>
    <sheetView topLeftCell="W1" zoomScale="80" zoomScaleNormal="80" workbookViewId="0">
      <selection activeCell="AM7" sqref="AM7"/>
    </sheetView>
  </sheetViews>
  <sheetFormatPr baseColWidth="10" defaultRowHeight="15" x14ac:dyDescent="0.25"/>
  <cols>
    <col min="1" max="1" width="11.42578125" style="3"/>
    <col min="2" max="2" width="17.140625" style="3" customWidth="1"/>
    <col min="3" max="3" width="28.140625" customWidth="1"/>
    <col min="4" max="4" width="41" hidden="1" customWidth="1"/>
    <col min="5" max="8" width="20.140625" hidden="1" customWidth="1"/>
    <col min="9" max="39" width="20.140625" customWidth="1"/>
    <col min="40" max="40" width="13" style="3" customWidth="1"/>
    <col min="41" max="84" width="11.42578125" style="3"/>
  </cols>
  <sheetData>
    <row r="1" spans="1:39" s="3" customFormat="1" ht="23.25" x14ac:dyDescent="0.35">
      <c r="A1" s="228" t="s">
        <v>69</v>
      </c>
      <c r="C1" s="228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</row>
    <row r="2" spans="1:39" s="3" customFormat="1" ht="23.25" x14ac:dyDescent="0.35">
      <c r="A2" s="46"/>
      <c r="E2" s="235">
        <f>Résultats!E1</f>
        <v>4</v>
      </c>
      <c r="F2" s="235">
        <f>Résultats!N1</f>
        <v>13</v>
      </c>
      <c r="G2" s="235">
        <f>F2+3</f>
        <v>16</v>
      </c>
      <c r="H2" s="235">
        <f t="shared" ref="H2:AA2" si="0">G2+1</f>
        <v>17</v>
      </c>
      <c r="I2" s="235">
        <f t="shared" si="0"/>
        <v>18</v>
      </c>
      <c r="J2" s="235">
        <f t="shared" si="0"/>
        <v>19</v>
      </c>
      <c r="K2" s="235">
        <f t="shared" si="0"/>
        <v>20</v>
      </c>
      <c r="L2" s="235">
        <f t="shared" si="0"/>
        <v>21</v>
      </c>
      <c r="M2" s="235">
        <f t="shared" si="0"/>
        <v>22</v>
      </c>
      <c r="N2" s="235">
        <f t="shared" si="0"/>
        <v>23</v>
      </c>
      <c r="O2" s="235">
        <f t="shared" si="0"/>
        <v>24</v>
      </c>
      <c r="P2" s="235">
        <f t="shared" si="0"/>
        <v>25</v>
      </c>
      <c r="Q2" s="235">
        <f t="shared" si="0"/>
        <v>26</v>
      </c>
      <c r="R2" s="235">
        <f t="shared" si="0"/>
        <v>27</v>
      </c>
      <c r="S2" s="235">
        <f t="shared" si="0"/>
        <v>28</v>
      </c>
      <c r="T2" s="235">
        <f t="shared" si="0"/>
        <v>29</v>
      </c>
      <c r="U2" s="235">
        <f t="shared" si="0"/>
        <v>30</v>
      </c>
      <c r="V2" s="235">
        <f t="shared" si="0"/>
        <v>31</v>
      </c>
      <c r="W2" s="235">
        <f t="shared" si="0"/>
        <v>32</v>
      </c>
      <c r="X2" s="235">
        <f>S2+5</f>
        <v>33</v>
      </c>
      <c r="Y2" s="235">
        <f t="shared" si="0"/>
        <v>34</v>
      </c>
      <c r="Z2" s="235">
        <f t="shared" ref="Z2" si="1">U2+5</f>
        <v>35</v>
      </c>
      <c r="AA2" s="235">
        <f t="shared" si="0"/>
        <v>36</v>
      </c>
      <c r="AB2" s="235">
        <f t="shared" ref="AB2" si="2">W2+5</f>
        <v>37</v>
      </c>
      <c r="AC2" s="235">
        <f>X2+5</f>
        <v>38</v>
      </c>
      <c r="AD2" s="235">
        <f t="shared" ref="AD2:AG2" si="3">Y2+5</f>
        <v>39</v>
      </c>
      <c r="AE2" s="235">
        <f t="shared" si="3"/>
        <v>40</v>
      </c>
      <c r="AF2" s="235">
        <f t="shared" si="3"/>
        <v>41</v>
      </c>
      <c r="AG2" s="235">
        <f t="shared" si="3"/>
        <v>42</v>
      </c>
      <c r="AH2" s="235">
        <f>AC2+5</f>
        <v>43</v>
      </c>
      <c r="AI2" s="235">
        <f t="shared" ref="AI2:AL2" si="4">AD2+5</f>
        <v>44</v>
      </c>
      <c r="AJ2" s="235">
        <f t="shared" si="4"/>
        <v>45</v>
      </c>
      <c r="AK2" s="235">
        <f t="shared" si="4"/>
        <v>46</v>
      </c>
      <c r="AL2" s="235">
        <f t="shared" si="4"/>
        <v>47</v>
      </c>
      <c r="AM2" s="236">
        <f>AH2+5</f>
        <v>48</v>
      </c>
    </row>
    <row r="3" spans="1:39" ht="23.25" x14ac:dyDescent="0.35">
      <c r="B3" s="46"/>
      <c r="D3" s="146"/>
      <c r="E3" s="92">
        <v>2006</v>
      </c>
      <c r="F3" s="92">
        <v>2015</v>
      </c>
      <c r="G3" s="92">
        <v>2018</v>
      </c>
      <c r="H3" s="92">
        <v>2019</v>
      </c>
      <c r="I3" s="92">
        <v>2020</v>
      </c>
      <c r="J3" s="20">
        <v>2021</v>
      </c>
      <c r="K3" s="4">
        <v>2022</v>
      </c>
      <c r="L3" s="4">
        <v>2023</v>
      </c>
      <c r="M3" s="4">
        <v>2024</v>
      </c>
      <c r="N3" s="92">
        <v>2025</v>
      </c>
      <c r="O3" s="20">
        <v>2026</v>
      </c>
      <c r="P3" s="4">
        <v>2027</v>
      </c>
      <c r="Q3" s="4">
        <v>2028</v>
      </c>
      <c r="R3" s="4">
        <v>2029</v>
      </c>
      <c r="S3" s="92">
        <v>2030</v>
      </c>
      <c r="T3" s="4">
        <v>2031</v>
      </c>
      <c r="U3" s="92">
        <v>2032</v>
      </c>
      <c r="V3" s="4">
        <v>2033</v>
      </c>
      <c r="W3" s="92">
        <v>2034</v>
      </c>
      <c r="X3" s="4">
        <v>2035</v>
      </c>
      <c r="Y3" s="92">
        <v>2036</v>
      </c>
      <c r="Z3" s="4">
        <v>2037</v>
      </c>
      <c r="AA3" s="92">
        <v>2038</v>
      </c>
      <c r="AB3" s="4">
        <v>2039</v>
      </c>
      <c r="AC3" s="93">
        <v>2040</v>
      </c>
      <c r="AD3" s="4">
        <v>2041</v>
      </c>
      <c r="AE3" s="93">
        <v>2042</v>
      </c>
      <c r="AF3" s="4">
        <v>2043</v>
      </c>
      <c r="AG3" s="93">
        <v>2044</v>
      </c>
      <c r="AH3" s="4">
        <v>2045</v>
      </c>
      <c r="AI3" s="93">
        <v>2046</v>
      </c>
      <c r="AJ3" s="4">
        <v>2047</v>
      </c>
      <c r="AK3" s="93">
        <v>2048</v>
      </c>
      <c r="AL3" s="4">
        <v>2049</v>
      </c>
      <c r="AM3" s="93">
        <v>2050</v>
      </c>
    </row>
    <row r="4" spans="1:39" x14ac:dyDescent="0.25">
      <c r="A4" s="152" t="str">
        <f>Résultats!B1</f>
        <v>SNBC3</v>
      </c>
      <c r="C4" s="175" t="s">
        <v>71</v>
      </c>
      <c r="D4" s="58" t="s">
        <v>130</v>
      </c>
      <c r="E4" s="59">
        <f t="shared" ref="E4:H4" si="5">E43</f>
        <v>32001.800439999999</v>
      </c>
      <c r="F4" s="59">
        <f t="shared" si="5"/>
        <v>35911.307350000003</v>
      </c>
      <c r="G4" s="59">
        <f t="shared" si="5"/>
        <v>36708.886160000002</v>
      </c>
      <c r="H4" s="59">
        <f t="shared" si="5"/>
        <v>37113.743849999999</v>
      </c>
      <c r="I4" s="59">
        <f t="shared" ref="I4:AM4" si="6">I43</f>
        <v>37468.153879999998</v>
      </c>
      <c r="J4" s="59">
        <f t="shared" si="6"/>
        <v>37679.582190000001</v>
      </c>
      <c r="K4" s="59">
        <f t="shared" si="6"/>
        <v>37785.530330000001</v>
      </c>
      <c r="L4" s="59">
        <f t="shared" si="6"/>
        <v>37733.513099999996</v>
      </c>
      <c r="M4" s="59">
        <f t="shared" si="6"/>
        <v>37791.387499999997</v>
      </c>
      <c r="N4" s="59">
        <f t="shared" si="6"/>
        <v>37114.885020000002</v>
      </c>
      <c r="O4" s="59">
        <f t="shared" si="6"/>
        <v>36994.301809999997</v>
      </c>
      <c r="P4" s="59">
        <f t="shared" si="6"/>
        <v>37081.220289999997</v>
      </c>
      <c r="Q4" s="59">
        <f t="shared" si="6"/>
        <v>37250.009299999998</v>
      </c>
      <c r="R4" s="59">
        <f t="shared" si="6"/>
        <v>37450.677770000002</v>
      </c>
      <c r="S4" s="59">
        <f t="shared" si="6"/>
        <v>37136.00647</v>
      </c>
      <c r="T4" s="59">
        <f t="shared" si="6"/>
        <v>37202.100559999999</v>
      </c>
      <c r="U4" s="59">
        <f t="shared" si="6"/>
        <v>37319.641949999997</v>
      </c>
      <c r="V4" s="59">
        <f t="shared" si="6"/>
        <v>37462.784959999997</v>
      </c>
      <c r="W4" s="59">
        <f t="shared" si="6"/>
        <v>37619.637450000002</v>
      </c>
      <c r="X4" s="59">
        <f t="shared" si="6"/>
        <v>37399.192340000001</v>
      </c>
      <c r="Y4" s="59">
        <f t="shared" si="6"/>
        <v>37419.360200000003</v>
      </c>
      <c r="Z4" s="59">
        <f t="shared" si="6"/>
        <v>37547.201099999998</v>
      </c>
      <c r="AA4" s="59">
        <f t="shared" si="6"/>
        <v>37717.020199999999</v>
      </c>
      <c r="AB4" s="59">
        <f t="shared" si="6"/>
        <v>37907.858330000003</v>
      </c>
      <c r="AC4" s="59">
        <f t="shared" si="6"/>
        <v>38111.790990000001</v>
      </c>
      <c r="AD4" s="59">
        <f t="shared" si="6"/>
        <v>38224.932780000003</v>
      </c>
      <c r="AE4" s="59">
        <f t="shared" si="6"/>
        <v>38297.572139999997</v>
      </c>
      <c r="AF4" s="59">
        <f t="shared" si="6"/>
        <v>38352.304980000001</v>
      </c>
      <c r="AG4" s="59">
        <f t="shared" si="6"/>
        <v>38396.995199999998</v>
      </c>
      <c r="AH4" s="59">
        <f t="shared" si="6"/>
        <v>38166.660320000003</v>
      </c>
      <c r="AI4" s="59">
        <f t="shared" si="6"/>
        <v>38048.024680000002</v>
      </c>
      <c r="AJ4" s="59">
        <f t="shared" si="6"/>
        <v>37973.786169999999</v>
      </c>
      <c r="AK4" s="59">
        <f t="shared" si="6"/>
        <v>37913.747730000003</v>
      </c>
      <c r="AL4" s="59">
        <f t="shared" si="6"/>
        <v>37856.213680000001</v>
      </c>
      <c r="AM4" s="103">
        <f t="shared" si="6"/>
        <v>37796.341200000003</v>
      </c>
    </row>
    <row r="5" spans="1:39" x14ac:dyDescent="0.25">
      <c r="C5" s="175" t="s">
        <v>72</v>
      </c>
      <c r="D5" s="58" t="s">
        <v>422</v>
      </c>
      <c r="E5" s="154"/>
      <c r="F5" s="154"/>
      <c r="G5" s="154">
        <f t="shared" ref="G5:AM5" si="7">G4/1000</f>
        <v>36.708886159999999</v>
      </c>
      <c r="H5" s="154">
        <f t="shared" si="7"/>
        <v>37.113743849999999</v>
      </c>
      <c r="I5" s="154">
        <f t="shared" si="7"/>
        <v>37.468153879999996</v>
      </c>
      <c r="J5" s="154">
        <f t="shared" si="7"/>
        <v>37.679582189999998</v>
      </c>
      <c r="K5" s="154">
        <f t="shared" si="7"/>
        <v>37.78553033</v>
      </c>
      <c r="L5" s="154">
        <f t="shared" si="7"/>
        <v>37.733513099999996</v>
      </c>
      <c r="M5" s="154">
        <f t="shared" si="7"/>
        <v>37.791387499999999</v>
      </c>
      <c r="N5" s="154">
        <f t="shared" si="7"/>
        <v>37.114885020000003</v>
      </c>
      <c r="O5" s="154">
        <f t="shared" si="7"/>
        <v>36.994301809999996</v>
      </c>
      <c r="P5" s="154">
        <f t="shared" si="7"/>
        <v>37.081220289999997</v>
      </c>
      <c r="Q5" s="154">
        <f t="shared" si="7"/>
        <v>37.250009299999995</v>
      </c>
      <c r="R5" s="154">
        <f t="shared" si="7"/>
        <v>37.450677769999999</v>
      </c>
      <c r="S5" s="154">
        <f t="shared" si="7"/>
        <v>37.136006469999998</v>
      </c>
      <c r="T5" s="154">
        <f t="shared" si="7"/>
        <v>37.202100559999998</v>
      </c>
      <c r="U5" s="154">
        <f t="shared" si="7"/>
        <v>37.319641949999998</v>
      </c>
      <c r="V5" s="154">
        <f t="shared" si="7"/>
        <v>37.46278496</v>
      </c>
      <c r="W5" s="154">
        <f t="shared" si="7"/>
        <v>37.619637449999999</v>
      </c>
      <c r="X5" s="154">
        <f t="shared" si="7"/>
        <v>37.399192339999999</v>
      </c>
      <c r="Y5" s="154">
        <f t="shared" si="7"/>
        <v>37.4193602</v>
      </c>
      <c r="Z5" s="154">
        <f t="shared" si="7"/>
        <v>37.547201099999995</v>
      </c>
      <c r="AA5" s="154">
        <f t="shared" si="7"/>
        <v>37.7170202</v>
      </c>
      <c r="AB5" s="154">
        <f t="shared" si="7"/>
        <v>37.907858330000003</v>
      </c>
      <c r="AC5" s="154">
        <f t="shared" si="7"/>
        <v>38.111790990000003</v>
      </c>
      <c r="AD5" s="154">
        <f t="shared" si="7"/>
        <v>38.224932780000003</v>
      </c>
      <c r="AE5" s="154">
        <f t="shared" si="7"/>
        <v>38.29757214</v>
      </c>
      <c r="AF5" s="154">
        <f t="shared" si="7"/>
        <v>38.35230498</v>
      </c>
      <c r="AG5" s="154">
        <f t="shared" si="7"/>
        <v>38.396995199999999</v>
      </c>
      <c r="AH5" s="154">
        <f t="shared" si="7"/>
        <v>38.166660320000005</v>
      </c>
      <c r="AI5" s="154">
        <f t="shared" si="7"/>
        <v>38.048024680000005</v>
      </c>
      <c r="AJ5" s="154">
        <f t="shared" si="7"/>
        <v>37.973786169999997</v>
      </c>
      <c r="AK5" s="154">
        <f t="shared" si="7"/>
        <v>37.913747730000004</v>
      </c>
      <c r="AL5" s="154">
        <f t="shared" si="7"/>
        <v>37.856213680000003</v>
      </c>
      <c r="AM5" s="176">
        <f t="shared" si="7"/>
        <v>37.796341200000001</v>
      </c>
    </row>
    <row r="6" spans="1:39" x14ac:dyDescent="0.25">
      <c r="C6" s="157" t="s">
        <v>73</v>
      </c>
      <c r="D6" s="3" t="s">
        <v>423</v>
      </c>
      <c r="E6" s="155"/>
      <c r="F6" s="155"/>
      <c r="G6" s="155">
        <f>G91</f>
        <v>6.2135657155553414E-3</v>
      </c>
      <c r="H6" s="155">
        <f t="shared" ref="H6:AM6" si="8">H91</f>
        <v>8.1529916820827549E-3</v>
      </c>
      <c r="I6" s="155">
        <f t="shared" si="8"/>
        <v>1.0549612494011675E-2</v>
      </c>
      <c r="J6" s="155">
        <f t="shared" si="8"/>
        <v>1.3370152958694471E-2</v>
      </c>
      <c r="K6" s="155">
        <f t="shared" si="8"/>
        <v>1.7068353871639307E-2</v>
      </c>
      <c r="L6" s="155">
        <f t="shared" si="8"/>
        <v>2.1560484804156763E-2</v>
      </c>
      <c r="M6" s="155">
        <f t="shared" si="8"/>
        <v>2.7276062330339156E-2</v>
      </c>
      <c r="N6" s="155">
        <f t="shared" si="8"/>
        <v>3.1997319225428117E-2</v>
      </c>
      <c r="O6" s="155">
        <f t="shared" si="8"/>
        <v>3.954894598401397E-2</v>
      </c>
      <c r="P6" s="155">
        <f t="shared" si="8"/>
        <v>4.912827967237321E-2</v>
      </c>
      <c r="Q6" s="155">
        <f t="shared" si="8"/>
        <v>6.0360874621311851E-2</v>
      </c>
      <c r="R6" s="155">
        <f t="shared" si="8"/>
        <v>7.302888676131962E-2</v>
      </c>
      <c r="S6" s="155">
        <f t="shared" si="8"/>
        <v>8.4082114767037849E-2</v>
      </c>
      <c r="T6" s="155">
        <f t="shared" si="8"/>
        <v>9.8451339087504475E-2</v>
      </c>
      <c r="U6" s="155">
        <f t="shared" si="8"/>
        <v>0.11410526600724798</v>
      </c>
      <c r="V6" s="155">
        <f t="shared" si="8"/>
        <v>0.13074066205247761</v>
      </c>
      <c r="W6" s="155">
        <f t="shared" si="8"/>
        <v>0.1481262547361418</v>
      </c>
      <c r="X6" s="155">
        <f t="shared" si="8"/>
        <v>0.16331825819851381</v>
      </c>
      <c r="Y6" s="155">
        <f t="shared" si="8"/>
        <v>0.18074283929098284</v>
      </c>
      <c r="Z6" s="155">
        <f t="shared" si="8"/>
        <v>0.19924386307985018</v>
      </c>
      <c r="AA6" s="155">
        <f t="shared" si="8"/>
        <v>0.21817132441443507</v>
      </c>
      <c r="AB6" s="155">
        <f t="shared" si="8"/>
        <v>0.23724402741799522</v>
      </c>
      <c r="AC6" s="155">
        <f t="shared" si="8"/>
        <v>0.25630153370548803</v>
      </c>
      <c r="AD6" s="155">
        <f t="shared" si="8"/>
        <v>0.27461002849669364</v>
      </c>
      <c r="AE6" s="155">
        <f t="shared" si="8"/>
        <v>0.29252092819479708</v>
      </c>
      <c r="AF6" s="155">
        <f t="shared" si="8"/>
        <v>0.31015942812832731</v>
      </c>
      <c r="AG6" s="155">
        <f t="shared" si="8"/>
        <v>0.32753918150345268</v>
      </c>
      <c r="AH6" s="155">
        <f t="shared" si="8"/>
        <v>0.34281042748568152</v>
      </c>
      <c r="AI6" s="155">
        <f t="shared" si="8"/>
        <v>0.35870955837489749</v>
      </c>
      <c r="AJ6" s="155">
        <f t="shared" si="8"/>
        <v>0.37468655920437549</v>
      </c>
      <c r="AK6" s="155">
        <f t="shared" si="8"/>
        <v>0.39048616178572648</v>
      </c>
      <c r="AL6" s="155">
        <f t="shared" si="8"/>
        <v>0.40600042412905146</v>
      </c>
      <c r="AM6" s="177">
        <f t="shared" si="8"/>
        <v>0.42117829198769108</v>
      </c>
    </row>
    <row r="7" spans="1:39" x14ac:dyDescent="0.25">
      <c r="C7" s="178" t="s">
        <v>75</v>
      </c>
      <c r="D7" s="7" t="s">
        <v>424</v>
      </c>
      <c r="E7" s="179"/>
      <c r="F7" s="179"/>
      <c r="G7" s="179">
        <f>G99</f>
        <v>0.99378643418909995</v>
      </c>
      <c r="H7" s="179">
        <f t="shared" ref="H7:AM7" si="9">H99</f>
        <v>0.99184700818050187</v>
      </c>
      <c r="I7" s="179">
        <f t="shared" si="9"/>
        <v>0.98945038762075244</v>
      </c>
      <c r="J7" s="179">
        <f t="shared" si="9"/>
        <v>0.98662984696964873</v>
      </c>
      <c r="K7" s="179">
        <f t="shared" si="9"/>
        <v>0.98293164620510953</v>
      </c>
      <c r="L7" s="179">
        <f t="shared" si="9"/>
        <v>0.97843951534955298</v>
      </c>
      <c r="M7" s="179">
        <f t="shared" si="9"/>
        <v>0.97272393769612198</v>
      </c>
      <c r="N7" s="179">
        <f t="shared" si="9"/>
        <v>0.96800268061291173</v>
      </c>
      <c r="O7" s="179">
        <f t="shared" si="9"/>
        <v>0.96045105412411091</v>
      </c>
      <c r="P7" s="179">
        <f t="shared" si="9"/>
        <v>0.95087172035459466</v>
      </c>
      <c r="Q7" s="179">
        <f t="shared" si="9"/>
        <v>0.93963912540553385</v>
      </c>
      <c r="R7" s="179">
        <f t="shared" si="9"/>
        <v>0.92697111313187319</v>
      </c>
      <c r="S7" s="179">
        <f t="shared" si="9"/>
        <v>0.91591788517910599</v>
      </c>
      <c r="T7" s="179">
        <f t="shared" si="9"/>
        <v>0.90154866083185503</v>
      </c>
      <c r="U7" s="179">
        <f t="shared" si="9"/>
        <v>0.88589473404634311</v>
      </c>
      <c r="V7" s="179">
        <f t="shared" si="9"/>
        <v>0.86925933789413623</v>
      </c>
      <c r="W7" s="179">
        <f t="shared" si="9"/>
        <v>0.85187374526385817</v>
      </c>
      <c r="X7" s="179">
        <f t="shared" si="9"/>
        <v>0.83668174156083919</v>
      </c>
      <c r="Y7" s="179">
        <f t="shared" si="9"/>
        <v>0.81925716062884468</v>
      </c>
      <c r="Z7" s="179">
        <f t="shared" si="9"/>
        <v>0.8007561370533155</v>
      </c>
      <c r="AA7" s="179">
        <f t="shared" si="9"/>
        <v>0.78182867558556501</v>
      </c>
      <c r="AB7" s="179">
        <f t="shared" si="9"/>
        <v>0.76275597260838446</v>
      </c>
      <c r="AC7" s="179">
        <f t="shared" si="9"/>
        <v>0.74369846637322767</v>
      </c>
      <c r="AD7" s="179">
        <f t="shared" si="9"/>
        <v>0.7253899715033062</v>
      </c>
      <c r="AE7" s="179">
        <f t="shared" si="9"/>
        <v>0.70747907154408995</v>
      </c>
      <c r="AF7" s="179">
        <f t="shared" si="9"/>
        <v>0.68984057187167258</v>
      </c>
      <c r="AG7" s="179">
        <f t="shared" si="9"/>
        <v>0.67246081849654737</v>
      </c>
      <c r="AH7" s="179">
        <f t="shared" si="9"/>
        <v>0.65718957251431831</v>
      </c>
      <c r="AI7" s="179">
        <f t="shared" si="9"/>
        <v>0.64129044162510251</v>
      </c>
      <c r="AJ7" s="179">
        <f t="shared" si="9"/>
        <v>0.62531344079562445</v>
      </c>
      <c r="AK7" s="179">
        <f t="shared" si="9"/>
        <v>0.60951383821427352</v>
      </c>
      <c r="AL7" s="179">
        <f t="shared" si="9"/>
        <v>0.59399957587094854</v>
      </c>
      <c r="AM7" s="180">
        <f t="shared" si="9"/>
        <v>0.57882170774773289</v>
      </c>
    </row>
    <row r="8" spans="1:39" s="3" customFormat="1" x14ac:dyDescent="0.25">
      <c r="C8" s="153" t="s">
        <v>70</v>
      </c>
      <c r="E8" s="231"/>
      <c r="F8" s="231"/>
      <c r="G8" s="231">
        <f>SUM(G6:G7)</f>
        <v>0.99999999990465527</v>
      </c>
      <c r="H8" s="231">
        <f t="shared" ref="H8:AM8" si="10">SUM(H6:H7)</f>
        <v>0.99999999986258459</v>
      </c>
      <c r="I8" s="231">
        <f t="shared" si="10"/>
        <v>1.0000000001147642</v>
      </c>
      <c r="J8" s="231">
        <f t="shared" si="10"/>
        <v>0.99999999992834321</v>
      </c>
      <c r="K8" s="231">
        <f t="shared" si="10"/>
        <v>1.0000000000767488</v>
      </c>
      <c r="L8" s="231">
        <f t="shared" si="10"/>
        <v>1.0000000001537097</v>
      </c>
      <c r="M8" s="231">
        <f t="shared" si="10"/>
        <v>1.0000000000264611</v>
      </c>
      <c r="N8" s="231">
        <f t="shared" si="10"/>
        <v>0.99999999983833987</v>
      </c>
      <c r="O8" s="231">
        <f t="shared" si="10"/>
        <v>1.0000000001081248</v>
      </c>
      <c r="P8" s="231">
        <f t="shared" si="10"/>
        <v>1.0000000000269678</v>
      </c>
      <c r="Q8" s="231">
        <f t="shared" si="10"/>
        <v>1.0000000000268456</v>
      </c>
      <c r="R8" s="231">
        <f t="shared" si="10"/>
        <v>0.99999999989319277</v>
      </c>
      <c r="S8" s="231">
        <f t="shared" si="10"/>
        <v>0.99999999994614386</v>
      </c>
      <c r="T8" s="231">
        <f t="shared" si="10"/>
        <v>0.99999999991935951</v>
      </c>
      <c r="U8" s="231">
        <f t="shared" si="10"/>
        <v>1.0000000000535911</v>
      </c>
      <c r="V8" s="231">
        <f t="shared" si="10"/>
        <v>0.99999999994661382</v>
      </c>
      <c r="W8" s="231">
        <f t="shared" si="10"/>
        <v>1</v>
      </c>
      <c r="X8" s="231">
        <f t="shared" si="10"/>
        <v>0.99999999975935294</v>
      </c>
      <c r="Y8" s="231">
        <f t="shared" si="10"/>
        <v>0.99999999991982746</v>
      </c>
      <c r="Z8" s="231">
        <f t="shared" si="10"/>
        <v>1.0000000001331657</v>
      </c>
      <c r="AA8" s="231">
        <f t="shared" si="10"/>
        <v>1</v>
      </c>
      <c r="AB8" s="231">
        <f t="shared" si="10"/>
        <v>1.0000000000263798</v>
      </c>
      <c r="AC8" s="231">
        <f t="shared" si="10"/>
        <v>1.0000000000787157</v>
      </c>
      <c r="AD8" s="231">
        <f t="shared" si="10"/>
        <v>0.99999999999999978</v>
      </c>
      <c r="AE8" s="231">
        <f t="shared" si="10"/>
        <v>0.99999999973888709</v>
      </c>
      <c r="AF8" s="231">
        <f t="shared" si="10"/>
        <v>0.99999999999999989</v>
      </c>
      <c r="AG8" s="231">
        <f t="shared" si="10"/>
        <v>1</v>
      </c>
      <c r="AH8" s="231">
        <f t="shared" si="10"/>
        <v>0.99999999999999978</v>
      </c>
      <c r="AI8" s="231">
        <f t="shared" si="10"/>
        <v>1</v>
      </c>
      <c r="AJ8" s="231">
        <f t="shared" si="10"/>
        <v>1</v>
      </c>
      <c r="AK8" s="231">
        <f t="shared" si="10"/>
        <v>1</v>
      </c>
      <c r="AL8" s="231">
        <f t="shared" si="10"/>
        <v>1</v>
      </c>
      <c r="AM8" s="231">
        <f t="shared" si="10"/>
        <v>0.99999999973542397</v>
      </c>
    </row>
    <row r="9" spans="1:39" s="3" customFormat="1" x14ac:dyDescent="0.25"/>
    <row r="10" spans="1:39" s="3" customFormat="1" x14ac:dyDescent="0.25"/>
    <row r="11" spans="1:39" s="3" customFormat="1" x14ac:dyDescent="0.25"/>
    <row r="12" spans="1:39" x14ac:dyDescent="0.25">
      <c r="C12" s="156"/>
      <c r="E12" s="20"/>
      <c r="F12" s="20"/>
      <c r="G12" s="20"/>
      <c r="H12" s="20"/>
      <c r="I12" s="20">
        <v>2020</v>
      </c>
      <c r="J12" s="93">
        <v>2030</v>
      </c>
      <c r="K12" s="93">
        <v>2050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</row>
    <row r="13" spans="1:39" x14ac:dyDescent="0.25">
      <c r="C13" s="157" t="s">
        <v>73</v>
      </c>
      <c r="D13" s="3"/>
      <c r="E13" s="181"/>
      <c r="F13" s="181"/>
      <c r="G13" s="181"/>
      <c r="H13" s="181"/>
      <c r="I13" s="181">
        <f>I91</f>
        <v>1.0549612494011675E-2</v>
      </c>
      <c r="J13" s="182">
        <f>S91</f>
        <v>8.4082114767037849E-2</v>
      </c>
      <c r="K13" s="182">
        <f>AM91</f>
        <v>0.42117829198769108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</row>
    <row r="14" spans="1:39" x14ac:dyDescent="0.25">
      <c r="C14" s="158" t="s">
        <v>59</v>
      </c>
      <c r="D14" s="3"/>
      <c r="E14" s="183"/>
      <c r="F14" s="183"/>
      <c r="G14" s="183"/>
      <c r="H14" s="183"/>
      <c r="I14" s="183">
        <f>I91</f>
        <v>1.0549612494011675E-2</v>
      </c>
      <c r="J14" s="183">
        <f>S91</f>
        <v>8.4082114767037849E-2</v>
      </c>
      <c r="K14" s="183">
        <f>AM91</f>
        <v>0.42117829198769108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</row>
    <row r="15" spans="1:39" x14ac:dyDescent="0.25">
      <c r="C15" s="157" t="s">
        <v>74</v>
      </c>
      <c r="D15" s="3"/>
      <c r="E15" s="181"/>
      <c r="F15" s="181"/>
      <c r="G15" s="181"/>
      <c r="H15" s="181"/>
      <c r="I15" s="181">
        <f>I99</f>
        <v>0.98945038762075244</v>
      </c>
      <c r="J15" s="181">
        <f>S99</f>
        <v>0.91591788517910599</v>
      </c>
      <c r="K15" s="182">
        <f>AM99</f>
        <v>0.57882170774773289</v>
      </c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</row>
    <row r="16" spans="1:39" x14ac:dyDescent="0.25">
      <c r="C16" s="158" t="s">
        <v>56</v>
      </c>
      <c r="D16" s="3"/>
      <c r="E16" s="184"/>
      <c r="F16" s="184"/>
      <c r="G16" s="184"/>
      <c r="H16" s="184"/>
      <c r="I16" s="184">
        <f>I100+I101</f>
        <v>0.14431113387431194</v>
      </c>
      <c r="J16" s="184">
        <f>S100+S101</f>
        <v>0.18096635276140935</v>
      </c>
      <c r="K16" s="184">
        <f>AM100+AM101</f>
        <v>0.164729824166155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</row>
    <row r="17" spans="1:39" x14ac:dyDescent="0.25">
      <c r="C17" s="159" t="s">
        <v>57</v>
      </c>
      <c r="D17" s="3"/>
      <c r="E17" s="183"/>
      <c r="F17" s="183"/>
      <c r="G17" s="183"/>
      <c r="H17" s="183"/>
      <c r="I17" s="183">
        <f>I102+I103+I104</f>
        <v>0.72242814545097089</v>
      </c>
      <c r="J17" s="183">
        <f>S102+S103+S104</f>
        <v>0.66097532867001352</v>
      </c>
      <c r="K17" s="183">
        <f>AM102+AM103+AM104</f>
        <v>0.39097737523863813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</row>
    <row r="18" spans="1:39" x14ac:dyDescent="0.25">
      <c r="C18" s="159" t="s">
        <v>58</v>
      </c>
      <c r="D18" s="3"/>
      <c r="E18" s="183"/>
      <c r="F18" s="183"/>
      <c r="G18" s="183"/>
      <c r="H18" s="183"/>
      <c r="I18" s="183">
        <f>I105+I106</f>
        <v>0.12271110833817256</v>
      </c>
      <c r="J18" s="183">
        <f>S105+S106</f>
        <v>7.3976203739604743E-2</v>
      </c>
      <c r="K18" s="183">
        <f>AM105+AM106</f>
        <v>2.3114508464644717E-2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</row>
    <row r="19" spans="1:39" x14ac:dyDescent="0.25">
      <c r="C19" s="160" t="s">
        <v>70</v>
      </c>
      <c r="E19" s="185"/>
      <c r="F19" s="185"/>
      <c r="G19" s="185"/>
      <c r="H19" s="185"/>
      <c r="I19" s="185">
        <f>SUM(I16:I18)</f>
        <v>0.98945038766345539</v>
      </c>
      <c r="J19" s="185">
        <f>SUM(J16:J18)</f>
        <v>0.91591788517102768</v>
      </c>
      <c r="K19" s="185">
        <f>SUM(K16:K18)</f>
        <v>0.57882170786943776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</row>
    <row r="20" spans="1:39" s="3" customFormat="1" x14ac:dyDescent="0.25"/>
    <row r="21" spans="1:39" s="3" customFormat="1" x14ac:dyDescent="0.25"/>
    <row r="22" spans="1:39" s="3" customFormat="1" x14ac:dyDescent="0.25"/>
    <row r="23" spans="1:39" s="3" customFormat="1" ht="23.25" x14ac:dyDescent="0.35">
      <c r="B23" s="46"/>
      <c r="C23" s="41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  <c r="AK23" s="42"/>
      <c r="AL23" s="42"/>
      <c r="AM23" s="42"/>
    </row>
    <row r="24" spans="1:39" s="3" customFormat="1" ht="23.25" x14ac:dyDescent="0.35">
      <c r="A24" s="228" t="s">
        <v>76</v>
      </c>
      <c r="C24" s="228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  <c r="AK24" s="42"/>
      <c r="AL24" s="42"/>
      <c r="AM24" s="42"/>
    </row>
    <row r="25" spans="1:39" x14ac:dyDescent="0.25">
      <c r="C25" s="11"/>
      <c r="D25" s="11"/>
      <c r="E25" s="93">
        <v>2006</v>
      </c>
      <c r="F25" s="93">
        <v>2015</v>
      </c>
      <c r="G25" s="93">
        <v>2018</v>
      </c>
      <c r="H25" s="93">
        <v>2019</v>
      </c>
      <c r="I25" s="93">
        <v>2020</v>
      </c>
      <c r="J25" s="20">
        <v>2021</v>
      </c>
      <c r="K25" s="4">
        <v>2022</v>
      </c>
      <c r="L25" s="4">
        <v>2023</v>
      </c>
      <c r="M25" s="4">
        <v>2024</v>
      </c>
      <c r="N25" s="92">
        <v>2025</v>
      </c>
      <c r="O25" s="20">
        <v>2026</v>
      </c>
      <c r="P25" s="4">
        <v>2027</v>
      </c>
      <c r="Q25" s="4">
        <v>2028</v>
      </c>
      <c r="R25" s="4">
        <v>2029</v>
      </c>
      <c r="S25" s="92">
        <v>2030</v>
      </c>
      <c r="T25" s="4">
        <v>2031</v>
      </c>
      <c r="U25" s="92">
        <v>2032</v>
      </c>
      <c r="V25" s="4">
        <v>2033</v>
      </c>
      <c r="W25" s="92">
        <v>2034</v>
      </c>
      <c r="X25" s="4">
        <v>2035</v>
      </c>
      <c r="Y25" s="92">
        <v>2036</v>
      </c>
      <c r="Z25" s="4">
        <v>2037</v>
      </c>
      <c r="AA25" s="92">
        <v>2038</v>
      </c>
      <c r="AB25" s="4">
        <v>2039</v>
      </c>
      <c r="AC25" s="93">
        <v>2040</v>
      </c>
      <c r="AD25" s="4">
        <v>2041</v>
      </c>
      <c r="AE25" s="93">
        <v>2042</v>
      </c>
      <c r="AF25" s="4">
        <v>2043</v>
      </c>
      <c r="AG25" s="93">
        <v>2044</v>
      </c>
      <c r="AH25" s="4">
        <v>2045</v>
      </c>
      <c r="AI25" s="93">
        <v>2046</v>
      </c>
      <c r="AJ25" s="4">
        <v>2047</v>
      </c>
      <c r="AK25" s="93">
        <v>2048</v>
      </c>
      <c r="AL25" s="4">
        <v>2049</v>
      </c>
      <c r="AM25" s="93">
        <v>2050</v>
      </c>
    </row>
    <row r="26" spans="1:39" x14ac:dyDescent="0.25">
      <c r="A26" s="152" t="str">
        <f>Résultats!B1</f>
        <v>SNBC3</v>
      </c>
      <c r="B26" s="60" t="s">
        <v>77</v>
      </c>
      <c r="C26" s="216" t="s">
        <v>51</v>
      </c>
      <c r="D26" s="50" t="s">
        <v>149</v>
      </c>
      <c r="E26" s="99">
        <f>VLOOKUP($D26,Résultats!$B$2:$AZ$251,E$2,FALSE)</f>
        <v>2373</v>
      </c>
      <c r="F26" s="99">
        <f>VLOOKUP($D26,Résultats!$B$2:$AZ$251,F$2,FALSE)</f>
        <v>1940.3869999999999</v>
      </c>
      <c r="G26" s="99">
        <f>VLOOKUP($D26,Résultats!$B$2:$AZ$251,G$2,FALSE)</f>
        <v>2203.7420000000002</v>
      </c>
      <c r="H26" s="99">
        <f>VLOOKUP($D26,Résultats!$B$2:$AZ$251,H$2,FALSE)</f>
        <v>2240.3020000000001</v>
      </c>
      <c r="I26" s="99">
        <f>VLOOKUP($D26,Résultats!$B$2:$AZ$251,I$2,FALSE)</f>
        <v>2210.0972230000002</v>
      </c>
      <c r="J26" s="51">
        <f>VLOOKUP($D26,Résultats!$B$2:$AZ$251,J$2,FALSE)</f>
        <v>2084.8360039999998</v>
      </c>
      <c r="K26" s="51">
        <f>VLOOKUP($D26,Résultats!$B$2:$AZ$251,K$2,FALSE)</f>
        <v>2199.2582649999999</v>
      </c>
      <c r="L26" s="51">
        <f>VLOOKUP($D26,Résultats!$B$2:$AZ$251,L$2,FALSE)</f>
        <v>2170.6610230000001</v>
      </c>
      <c r="M26" s="51">
        <f>VLOOKUP($D26,Résultats!$B$2:$AZ$251,M$2,FALSE)</f>
        <v>2277.4928190000001</v>
      </c>
      <c r="N26" s="51">
        <f>VLOOKUP($D26,Résultats!$B$2:$AZ$251,N$2,FALSE)</f>
        <v>1546.520311</v>
      </c>
      <c r="O26" s="51">
        <f>VLOOKUP($D26,Résultats!$B$2:$AZ$251,O$2,FALSE)</f>
        <v>2062.6453270000002</v>
      </c>
      <c r="P26" s="51">
        <f>VLOOKUP($D26,Résultats!$B$2:$AZ$251,P$2,FALSE)</f>
        <v>2263.0538839999999</v>
      </c>
      <c r="Q26" s="51">
        <f>VLOOKUP($D26,Résultats!$B$2:$AZ$251,Q$2,FALSE)</f>
        <v>2350.0372590000002</v>
      </c>
      <c r="R26" s="51">
        <f>VLOOKUP($D26,Résultats!$B$2:$AZ$251,R$2,FALSE)</f>
        <v>2391.8454820000002</v>
      </c>
      <c r="S26" s="51">
        <f>VLOOKUP($D26,Résultats!$B$2:$AZ$251,S$2,FALSE)</f>
        <v>1888.309747</v>
      </c>
      <c r="T26" s="51">
        <f>VLOOKUP($D26,Résultats!$B$2:$AZ$251,T$2,FALSE)</f>
        <v>2250.5650569999998</v>
      </c>
      <c r="U26" s="51">
        <f>VLOOKUP($D26,Résultats!$B$2:$AZ$251,U$2,FALSE)</f>
        <v>2305.9002500000001</v>
      </c>
      <c r="V26" s="51">
        <f>VLOOKUP($D26,Résultats!$B$2:$AZ$251,V$2,FALSE)</f>
        <v>2338.41606</v>
      </c>
      <c r="W26" s="51">
        <f>VLOOKUP($D26,Résultats!$B$2:$AZ$251,W$2,FALSE)</f>
        <v>2360.5457249999999</v>
      </c>
      <c r="X26" s="51">
        <f>VLOOKUP($D26,Résultats!$B$2:$AZ$251,X$2,FALSE)</f>
        <v>1992.4747359999999</v>
      </c>
      <c r="Y26" s="51">
        <f>VLOOKUP($D26,Résultats!$B$2:$AZ$251,Y$2,FALSE)</f>
        <v>2220.1203529999998</v>
      </c>
      <c r="Z26" s="51">
        <f>VLOOKUP($D26,Résultats!$B$2:$AZ$251,Z$2,FALSE)</f>
        <v>2328.9797429999999</v>
      </c>
      <c r="AA26" s="51">
        <f>VLOOKUP($D26,Résultats!$B$2:$AZ$251,AA$2,FALSE)</f>
        <v>2378.4779819999999</v>
      </c>
      <c r="AB26" s="51">
        <f>VLOOKUP($D26,Résultats!$B$2:$AZ$251,AB$2,FALSE)</f>
        <v>2409.4863839999998</v>
      </c>
      <c r="AC26" s="51">
        <f>VLOOKUP($D26,Résultats!$B$2:$AZ$251,AC$2,FALSE)</f>
        <v>2433.806677</v>
      </c>
      <c r="AD26" s="51">
        <f>VLOOKUP($D26,Résultats!$B$2:$AZ$251,AD$2,FALSE)</f>
        <v>2368.2773499999998</v>
      </c>
      <c r="AE26" s="51">
        <f>VLOOKUP($D26,Résultats!$B$2:$AZ$251,AE$2,FALSE)</f>
        <v>2347.9329760000001</v>
      </c>
      <c r="AF26" s="51">
        <f>VLOOKUP($D26,Résultats!$B$2:$AZ$251,AF$2,FALSE)</f>
        <v>2348.000634</v>
      </c>
      <c r="AG26" s="51">
        <f>VLOOKUP($D26,Résultats!$B$2:$AZ$251,AG$2,FALSE)</f>
        <v>2355.0700379999998</v>
      </c>
      <c r="AH26" s="51">
        <f>VLOOKUP($D26,Résultats!$B$2:$AZ$251,AH$2,FALSE)</f>
        <v>2096.7557419999998</v>
      </c>
      <c r="AI26" s="51">
        <f>VLOOKUP($D26,Résultats!$B$2:$AZ$251,AI$2,FALSE)</f>
        <v>2208.599745</v>
      </c>
      <c r="AJ26" s="51">
        <f>VLOOKUP($D26,Résultats!$B$2:$AZ$251,AJ$2,FALSE)</f>
        <v>2259.9961269999999</v>
      </c>
      <c r="AK26" s="51">
        <f>VLOOKUP($D26,Résultats!$B$2:$AZ$251,AK$2,FALSE)</f>
        <v>2284.0224400000002</v>
      </c>
      <c r="AL26" s="51">
        <f>VLOOKUP($D26,Résultats!$B$2:$AZ$251,AL$2,FALSE)</f>
        <v>2297.3571109999998</v>
      </c>
      <c r="AM26" s="100">
        <f>VLOOKUP($D26,Résultats!$B$2:$AZ$251,AM$2,FALSE)</f>
        <v>2306.1408750000001</v>
      </c>
    </row>
    <row r="27" spans="1:39" x14ac:dyDescent="0.25">
      <c r="C27" s="217" t="s">
        <v>462</v>
      </c>
      <c r="D27" s="52" t="s">
        <v>158</v>
      </c>
      <c r="E27" s="53">
        <f>VLOOKUP($D27,Résultats!$B$2:$AZ$251,E$2,FALSE)</f>
        <v>1.1865000000000001</v>
      </c>
      <c r="F27" s="53">
        <f>VLOOKUP($D27,Résultats!$B$2:$AZ$251,F$2,FALSE)</f>
        <v>26.76597731</v>
      </c>
      <c r="G27" s="53">
        <f>VLOOKUP($D27,Résultats!$B$2:$AZ$251,G$2,FALSE)</f>
        <v>65.930944909999994</v>
      </c>
      <c r="H27" s="53">
        <f>VLOOKUP($D27,Résultats!$B$2:$AZ$251,H$2,FALSE)</f>
        <v>85.899622280000003</v>
      </c>
      <c r="I27" s="53">
        <f>VLOOKUP($D27,Résultats!$B$2:$AZ$251,I$2,FALSE)</f>
        <v>107.81586160000001</v>
      </c>
      <c r="J27" s="53">
        <f>VLOOKUP($D27,Résultats!$B$2:$AZ$251,J$2,FALSE)</f>
        <v>128.27099820000001</v>
      </c>
      <c r="K27" s="53">
        <f>VLOOKUP($D27,Résultats!$B$2:$AZ$251,K$2,FALSE)</f>
        <v>169.14290220000001</v>
      </c>
      <c r="L27" s="53">
        <f>VLOOKUP($D27,Résultats!$B$2:$AZ$251,L$2,FALSE)</f>
        <v>206.55349179999999</v>
      </c>
      <c r="M27" s="53">
        <f>VLOOKUP($D27,Résultats!$B$2:$AZ$251,M$2,FALSE)</f>
        <v>265.10345410000002</v>
      </c>
      <c r="N27" s="53">
        <f>VLOOKUP($D27,Résultats!$B$2:$AZ$251,N$2,FALSE)</f>
        <v>217.41189209999999</v>
      </c>
      <c r="O27" s="53">
        <f>VLOOKUP($D27,Résultats!$B$2:$AZ$251,O$2,FALSE)</f>
        <v>345.3662807</v>
      </c>
      <c r="P27" s="53">
        <f>VLOOKUP($D27,Résultats!$B$2:$AZ$251,P$2,FALSE)</f>
        <v>444.71477820000001</v>
      </c>
      <c r="Q27" s="53">
        <f>VLOOKUP($D27,Résultats!$B$2:$AZ$251,Q$2,FALSE)</f>
        <v>533.86755410000001</v>
      </c>
      <c r="R27" s="53">
        <f>VLOOKUP($D27,Résultats!$B$2:$AZ$251,R$2,FALSE)</f>
        <v>618.79952590000005</v>
      </c>
      <c r="S27" s="53">
        <f>VLOOKUP($D27,Résultats!$B$2:$AZ$251,S$2,FALSE)</f>
        <v>548.37390530000005</v>
      </c>
      <c r="T27" s="53">
        <f>VLOOKUP($D27,Résultats!$B$2:$AZ$251,T$2,FALSE)</f>
        <v>723.79759790000003</v>
      </c>
      <c r="U27" s="53">
        <f>VLOOKUP($D27,Résultats!$B$2:$AZ$251,U$2,FALSE)</f>
        <v>811.21791389999999</v>
      </c>
      <c r="V27" s="53">
        <f>VLOOKUP($D27,Résultats!$B$2:$AZ$251,V$2,FALSE)</f>
        <v>890.03385279999998</v>
      </c>
      <c r="W27" s="53">
        <f>VLOOKUP($D27,Résultats!$B$2:$AZ$251,W$2,FALSE)</f>
        <v>962.65900390000002</v>
      </c>
      <c r="X27" s="53">
        <f>VLOOKUP($D27,Résultats!$B$2:$AZ$251,X$2,FALSE)</f>
        <v>863.30647999999997</v>
      </c>
      <c r="Y27" s="53">
        <f>VLOOKUP($D27,Résultats!$B$2:$AZ$251,Y$2,FALSE)</f>
        <v>1014.602865</v>
      </c>
      <c r="Z27" s="53">
        <f>VLOOKUP($D27,Résultats!$B$2:$AZ$251,Z$2,FALSE)</f>
        <v>1115.6080710000001</v>
      </c>
      <c r="AA27" s="53">
        <f>VLOOKUP($D27,Résultats!$B$2:$AZ$251,AA$2,FALSE)</f>
        <v>1187.784584</v>
      </c>
      <c r="AB27" s="53">
        <f>VLOOKUP($D27,Résultats!$B$2:$AZ$251,AB$2,FALSE)</f>
        <v>1248.686158</v>
      </c>
      <c r="AC27" s="53">
        <f>VLOOKUP($D27,Résultats!$B$2:$AZ$251,AC$2,FALSE)</f>
        <v>1303.7217949999999</v>
      </c>
      <c r="AD27" s="53">
        <f>VLOOKUP($D27,Résultats!$B$2:$AZ$251,AD$2,FALSE)</f>
        <v>1306.834098</v>
      </c>
      <c r="AE27" s="53">
        <f>VLOOKUP($D27,Résultats!$B$2:$AZ$251,AE$2,FALSE)</f>
        <v>1330.709922</v>
      </c>
      <c r="AF27" s="53">
        <f>VLOOKUP($D27,Résultats!$B$2:$AZ$251,AF$2,FALSE)</f>
        <v>1363.3164509999999</v>
      </c>
      <c r="AG27" s="53">
        <f>VLOOKUP($D27,Résultats!$B$2:$AZ$251,AG$2,FALSE)</f>
        <v>1397.777484</v>
      </c>
      <c r="AH27" s="53">
        <f>VLOOKUP($D27,Résultats!$B$2:$AZ$251,AH$2,FALSE)</f>
        <v>1269.6221149999999</v>
      </c>
      <c r="AI27" s="53">
        <f>VLOOKUP($D27,Résultats!$B$2:$AZ$251,AI$2,FALSE)</f>
        <v>1362.061549</v>
      </c>
      <c r="AJ27" s="53">
        <f>VLOOKUP($D27,Résultats!$B$2:$AZ$251,AJ$2,FALSE)</f>
        <v>1417.3894250000001</v>
      </c>
      <c r="AK27" s="53">
        <f>VLOOKUP($D27,Résultats!$B$2:$AZ$251,AK$2,FALSE)</f>
        <v>1454.8146529999999</v>
      </c>
      <c r="AL27" s="53">
        <f>VLOOKUP($D27,Résultats!$B$2:$AZ$251,AL$2,FALSE)</f>
        <v>1484.3973900000001</v>
      </c>
      <c r="AM27" s="213">
        <f>VLOOKUP($D27,Résultats!$B$2:$AZ$251,AM$2,FALSE)</f>
        <v>1509.9620520000001</v>
      </c>
    </row>
    <row r="28" spans="1:39" x14ac:dyDescent="0.25">
      <c r="C28" s="218" t="s">
        <v>27</v>
      </c>
      <c r="D28" s="54" t="s">
        <v>159</v>
      </c>
      <c r="E28" s="25">
        <f>VLOOKUP($D28,Résultats!$B$2:$AZ$251,E$2,FALSE)</f>
        <v>3.5336769799999999E-3</v>
      </c>
      <c r="F28" s="25">
        <f>VLOOKUP($D28,Résultats!$B$2:$AZ$251,F$2,FALSE)</f>
        <v>0.30731591940000003</v>
      </c>
      <c r="G28" s="25">
        <f>VLOOKUP($D28,Résultats!$B$2:$AZ$251,G$2,FALSE)</f>
        <v>0.42901682029999999</v>
      </c>
      <c r="H28" s="25">
        <f>VLOOKUP($D28,Résultats!$B$2:$AZ$251,H$2,FALSE)</f>
        <v>0.71555201199999996</v>
      </c>
      <c r="I28" s="25">
        <f>VLOOKUP($D28,Résultats!$B$2:$AZ$251,I$2,FALSE)</f>
        <v>1.133702628</v>
      </c>
      <c r="J28" s="25">
        <f>VLOOKUP($D28,Résultats!$B$2:$AZ$251,J$2,FALSE)</f>
        <v>1.6799285429999999</v>
      </c>
      <c r="K28" s="25">
        <f>VLOOKUP($D28,Résultats!$B$2:$AZ$251,K$2,FALSE)</f>
        <v>4.1421471939999996</v>
      </c>
      <c r="L28" s="25">
        <f>VLOOKUP($D28,Résultats!$B$2:$AZ$251,L$2,FALSE)</f>
        <v>6.7132921919999999</v>
      </c>
      <c r="M28" s="25">
        <f>VLOOKUP($D28,Résultats!$B$2:$AZ$251,M$2,FALSE)</f>
        <v>9.1939658860000009</v>
      </c>
      <c r="N28" s="25">
        <f>VLOOKUP($D28,Résultats!$B$2:$AZ$251,N$2,FALSE)</f>
        <v>8.7270645380000005</v>
      </c>
      <c r="O28" s="25">
        <f>VLOOKUP($D28,Résultats!$B$2:$AZ$251,O$2,FALSE)</f>
        <v>13.62156558</v>
      </c>
      <c r="P28" s="25">
        <f>VLOOKUP($D28,Résultats!$B$2:$AZ$251,P$2,FALSE)</f>
        <v>18.35126086</v>
      </c>
      <c r="Q28" s="25">
        <f>VLOOKUP($D28,Résultats!$B$2:$AZ$251,Q$2,FALSE)</f>
        <v>23.305855019999999</v>
      </c>
      <c r="R28" s="25">
        <f>VLOOKUP($D28,Résultats!$B$2:$AZ$251,R$2,FALSE)</f>
        <v>28.57832316</v>
      </c>
      <c r="S28" s="25">
        <f>VLOOKUP($D28,Résultats!$B$2:$AZ$251,S$2,FALSE)</f>
        <v>27.74378385</v>
      </c>
      <c r="T28" s="25">
        <f>VLOOKUP($D28,Résultats!$B$2:$AZ$251,T$2,FALSE)</f>
        <v>37.185798249999998</v>
      </c>
      <c r="U28" s="25">
        <f>VLOOKUP($D28,Résultats!$B$2:$AZ$251,U$2,FALSE)</f>
        <v>43.746087760000002</v>
      </c>
      <c r="V28" s="25">
        <f>VLOOKUP($D28,Résultats!$B$2:$AZ$251,V$2,FALSE)</f>
        <v>50.31129799</v>
      </c>
      <c r="W28" s="25">
        <f>VLOOKUP($D28,Résultats!$B$2:$AZ$251,W$2,FALSE)</f>
        <v>57.063888110000001</v>
      </c>
      <c r="X28" s="25">
        <f>VLOOKUP($D28,Résultats!$B$2:$AZ$251,X$2,FALSE)</f>
        <v>54.78737185</v>
      </c>
      <c r="Y28" s="25">
        <f>VLOOKUP($D28,Résultats!$B$2:$AZ$251,Y$2,FALSE)</f>
        <v>66.038340849999997</v>
      </c>
      <c r="Z28" s="25">
        <f>VLOOKUP($D28,Résultats!$B$2:$AZ$251,Z$2,FALSE)</f>
        <v>75.521177870000002</v>
      </c>
      <c r="AA28" s="25">
        <f>VLOOKUP($D28,Résultats!$B$2:$AZ$251,AA$2,FALSE)</f>
        <v>83.939183909999997</v>
      </c>
      <c r="AB28" s="25">
        <f>VLOOKUP($D28,Résultats!$B$2:$AZ$251,AB$2,FALSE)</f>
        <v>92.087315919999995</v>
      </c>
      <c r="AC28" s="25">
        <f>VLOOKUP($D28,Résultats!$B$2:$AZ$251,AC$2,FALSE)</f>
        <v>100.2090872</v>
      </c>
      <c r="AD28" s="25">
        <f>VLOOKUP($D28,Résultats!$B$2:$AZ$251,AD$2,FALSE)</f>
        <v>105.884462</v>
      </c>
      <c r="AE28" s="25">
        <f>VLOOKUP($D28,Résultats!$B$2:$AZ$251,AE$2,FALSE)</f>
        <v>113.1296914</v>
      </c>
      <c r="AF28" s="25">
        <f>VLOOKUP($D28,Résultats!$B$2:$AZ$251,AF$2,FALSE)</f>
        <v>121.32031859999999</v>
      </c>
      <c r="AG28" s="25">
        <f>VLOOKUP($D28,Résultats!$B$2:$AZ$251,AG$2,FALSE)</f>
        <v>130.0002829</v>
      </c>
      <c r="AH28" s="25">
        <f>VLOOKUP($D28,Résultats!$B$2:$AZ$251,AH$2,FALSE)</f>
        <v>124.8166535</v>
      </c>
      <c r="AI28" s="25">
        <f>VLOOKUP($D28,Résultats!$B$2:$AZ$251,AI$2,FALSE)</f>
        <v>138.3854676</v>
      </c>
      <c r="AJ28" s="25">
        <f>VLOOKUP($D28,Résultats!$B$2:$AZ$251,AJ$2,FALSE)</f>
        <v>149.61901810000001</v>
      </c>
      <c r="AK28" s="25">
        <f>VLOOKUP($D28,Résultats!$B$2:$AZ$251,AK$2,FALSE)</f>
        <v>159.73235120000001</v>
      </c>
      <c r="AL28" s="25">
        <f>VLOOKUP($D28,Résultats!$B$2:$AZ$251,AL$2,FALSE)</f>
        <v>169.4232767</v>
      </c>
      <c r="AM28" s="102">
        <f>VLOOKUP($D28,Résultats!$B$2:$AZ$251,AM$2,FALSE)</f>
        <v>178.996756</v>
      </c>
    </row>
    <row r="29" spans="1:39" x14ac:dyDescent="0.25">
      <c r="C29" s="218" t="s">
        <v>28</v>
      </c>
      <c r="D29" s="54" t="s">
        <v>160</v>
      </c>
      <c r="E29" s="25">
        <f>VLOOKUP($D29,Résultats!$B$2:$AZ$251,E$2,FALSE)</f>
        <v>8.10027491E-3</v>
      </c>
      <c r="F29" s="25">
        <f>VLOOKUP($D29,Résultats!$B$2:$AZ$251,F$2,FALSE)</f>
        <v>0.33652731629999999</v>
      </c>
      <c r="G29" s="25">
        <f>VLOOKUP($D29,Résultats!$B$2:$AZ$251,G$2,FALSE)</f>
        <v>0.60928056350000004</v>
      </c>
      <c r="H29" s="25">
        <f>VLOOKUP($D29,Résultats!$B$2:$AZ$251,H$2,FALSE)</f>
        <v>0.89928531290000002</v>
      </c>
      <c r="I29" s="25">
        <f>VLOOKUP($D29,Résultats!$B$2:$AZ$251,I$2,FALSE)</f>
        <v>1.286292682</v>
      </c>
      <c r="J29" s="25">
        <f>VLOOKUP($D29,Résultats!$B$2:$AZ$251,J$2,FALSE)</f>
        <v>1.7497932890000001</v>
      </c>
      <c r="K29" s="25">
        <f>VLOOKUP($D29,Résultats!$B$2:$AZ$251,K$2,FALSE)</f>
        <v>3.5491134710000001</v>
      </c>
      <c r="L29" s="25">
        <f>VLOOKUP($D29,Résultats!$B$2:$AZ$251,L$2,FALSE)</f>
        <v>5.3569609060000003</v>
      </c>
      <c r="M29" s="25">
        <f>VLOOKUP($D29,Résultats!$B$2:$AZ$251,M$2,FALSE)</f>
        <v>7.2242395689999999</v>
      </c>
      <c r="N29" s="25">
        <f>VLOOKUP($D29,Résultats!$B$2:$AZ$251,N$2,FALSE)</f>
        <v>6.6282936039999996</v>
      </c>
      <c r="O29" s="25">
        <f>VLOOKUP($D29,Résultats!$B$2:$AZ$251,O$2,FALSE)</f>
        <v>10.38767361</v>
      </c>
      <c r="P29" s="25">
        <f>VLOOKUP($D29,Résultats!$B$2:$AZ$251,P$2,FALSE)</f>
        <v>13.84981889</v>
      </c>
      <c r="Q29" s="25">
        <f>VLOOKUP($D29,Résultats!$B$2:$AZ$251,Q$2,FALSE)</f>
        <v>17.363794859999999</v>
      </c>
      <c r="R29" s="25">
        <f>VLOOKUP($D29,Résultats!$B$2:$AZ$251,R$2,FALSE)</f>
        <v>21.019441910000001</v>
      </c>
      <c r="S29" s="25">
        <f>VLOOKUP($D29,Résultats!$B$2:$AZ$251,S$2,FALSE)</f>
        <v>19.98260677</v>
      </c>
      <c r="T29" s="25">
        <f>VLOOKUP($D29,Résultats!$B$2:$AZ$251,T$2,FALSE)</f>
        <v>26.688336960000001</v>
      </c>
      <c r="U29" s="25">
        <f>VLOOKUP($D29,Résultats!$B$2:$AZ$251,U$2,FALSE)</f>
        <v>31.045062770000001</v>
      </c>
      <c r="V29" s="25">
        <f>VLOOKUP($D29,Résultats!$B$2:$AZ$251,V$2,FALSE)</f>
        <v>35.311319439999998</v>
      </c>
      <c r="W29" s="25">
        <f>VLOOKUP($D29,Résultats!$B$2:$AZ$251,W$2,FALSE)</f>
        <v>39.600555829999998</v>
      </c>
      <c r="X29" s="25">
        <f>VLOOKUP($D29,Résultats!$B$2:$AZ$251,X$2,FALSE)</f>
        <v>37.396606339999998</v>
      </c>
      <c r="Y29" s="25">
        <f>VLOOKUP($D29,Résultats!$B$2:$AZ$251,Y$2,FALSE)</f>
        <v>44.795394270000003</v>
      </c>
      <c r="Z29" s="25">
        <f>VLOOKUP($D29,Résultats!$B$2:$AZ$251,Z$2,FALSE)</f>
        <v>50.725906539999997</v>
      </c>
      <c r="AA29" s="25">
        <f>VLOOKUP($D29,Résultats!$B$2:$AZ$251,AA$2,FALSE)</f>
        <v>55.763580840000003</v>
      </c>
      <c r="AB29" s="25">
        <f>VLOOKUP($D29,Résultats!$B$2:$AZ$251,AB$2,FALSE)</f>
        <v>60.497780409999997</v>
      </c>
      <c r="AC29" s="25">
        <f>VLOOKUP($D29,Résultats!$B$2:$AZ$251,AC$2,FALSE)</f>
        <v>65.106793859999996</v>
      </c>
      <c r="AD29" s="25">
        <f>VLOOKUP($D29,Résultats!$B$2:$AZ$251,AD$2,FALSE)</f>
        <v>67.799722259999996</v>
      </c>
      <c r="AE29" s="25">
        <f>VLOOKUP($D29,Résultats!$B$2:$AZ$251,AE$2,FALSE)</f>
        <v>71.449927959999997</v>
      </c>
      <c r="AF29" s="25">
        <f>VLOOKUP($D29,Résultats!$B$2:$AZ$251,AF$2,FALSE)</f>
        <v>75.5939142</v>
      </c>
      <c r="AG29" s="25">
        <f>VLOOKUP($D29,Résultats!$B$2:$AZ$251,AG$2,FALSE)</f>
        <v>79.91415379</v>
      </c>
      <c r="AH29" s="25">
        <f>VLOOKUP($D29,Résultats!$B$2:$AZ$251,AH$2,FALSE)</f>
        <v>75.380802790000004</v>
      </c>
      <c r="AI29" s="25">
        <f>VLOOKUP($D29,Résultats!$B$2:$AZ$251,AI$2,FALSE)</f>
        <v>82.668098349999994</v>
      </c>
      <c r="AJ29" s="25">
        <f>VLOOKUP($D29,Résultats!$B$2:$AZ$251,AJ$2,FALSE)</f>
        <v>88.216380920000006</v>
      </c>
      <c r="AK29" s="25">
        <f>VLOOKUP($D29,Résultats!$B$2:$AZ$251,AK$2,FALSE)</f>
        <v>92.873145690000001</v>
      </c>
      <c r="AL29" s="25">
        <f>VLOOKUP($D29,Résultats!$B$2:$AZ$251,AL$2,FALSE)</f>
        <v>97.110423159999996</v>
      </c>
      <c r="AM29" s="102">
        <f>VLOOKUP($D29,Résultats!$B$2:$AZ$251,AM$2,FALSE)</f>
        <v>101.12065990000001</v>
      </c>
    </row>
    <row r="30" spans="1:39" x14ac:dyDescent="0.25">
      <c r="C30" s="218" t="s">
        <v>29</v>
      </c>
      <c r="D30" s="54" t="s">
        <v>161</v>
      </c>
      <c r="E30" s="25">
        <f>VLOOKUP($D30,Résultats!$B$2:$AZ$251,E$2,FALSE)</f>
        <v>3.31621993E-2</v>
      </c>
      <c r="F30" s="25">
        <f>VLOOKUP($D30,Résultats!$B$2:$AZ$251,F$2,FALSE)</f>
        <v>0.80728158559999996</v>
      </c>
      <c r="G30" s="25">
        <f>VLOOKUP($D30,Résultats!$B$2:$AZ$251,G$2,FALSE)</f>
        <v>1.908769369</v>
      </c>
      <c r="H30" s="25">
        <f>VLOOKUP($D30,Résultats!$B$2:$AZ$251,H$2,FALSE)</f>
        <v>2.5258942869999998</v>
      </c>
      <c r="I30" s="25">
        <f>VLOOKUP($D30,Résultats!$B$2:$AZ$251,I$2,FALSE)</f>
        <v>3.2273481629999998</v>
      </c>
      <c r="J30" s="25">
        <f>VLOOKUP($D30,Résultats!$B$2:$AZ$251,J$2,FALSE)</f>
        <v>3.916145582</v>
      </c>
      <c r="K30" s="25">
        <f>VLOOKUP($D30,Résultats!$B$2:$AZ$251,K$2,FALSE)</f>
        <v>5.5465027080000002</v>
      </c>
      <c r="L30" s="25">
        <f>VLOOKUP($D30,Résultats!$B$2:$AZ$251,L$2,FALSE)</f>
        <v>7.0262277539999998</v>
      </c>
      <c r="M30" s="25">
        <f>VLOOKUP($D30,Résultats!$B$2:$AZ$251,M$2,FALSE)</f>
        <v>9.0922354930000004</v>
      </c>
      <c r="N30" s="25">
        <f>VLOOKUP($D30,Résultats!$B$2:$AZ$251,N$2,FALSE)</f>
        <v>7.5877830739999998</v>
      </c>
      <c r="O30" s="25">
        <f>VLOOKUP($D30,Résultats!$B$2:$AZ$251,O$2,FALSE)</f>
        <v>12.02947092</v>
      </c>
      <c r="P30" s="25">
        <f>VLOOKUP($D30,Résultats!$B$2:$AZ$251,P$2,FALSE)</f>
        <v>15.56823325</v>
      </c>
      <c r="Q30" s="25">
        <f>VLOOKUP($D30,Résultats!$B$2:$AZ$251,Q$2,FALSE)</f>
        <v>18.799679040000001</v>
      </c>
      <c r="R30" s="25">
        <f>VLOOKUP($D30,Résultats!$B$2:$AZ$251,R$2,FALSE)</f>
        <v>21.907759290000001</v>
      </c>
      <c r="S30" s="25">
        <f>VLOOKUP($D30,Résultats!$B$2:$AZ$251,S$2,FALSE)</f>
        <v>19.556099110000002</v>
      </c>
      <c r="T30" s="25">
        <f>VLOOKUP($D30,Résultats!$B$2:$AZ$251,T$2,FALSE)</f>
        <v>25.838351469999999</v>
      </c>
      <c r="U30" s="25">
        <f>VLOOKUP($D30,Résultats!$B$2:$AZ$251,U$2,FALSE)</f>
        <v>29.038963020000001</v>
      </c>
      <c r="V30" s="25">
        <f>VLOOKUP($D30,Résultats!$B$2:$AZ$251,V$2,FALSE)</f>
        <v>31.92189346</v>
      </c>
      <c r="W30" s="25">
        <f>VLOOKUP($D30,Résultats!$B$2:$AZ$251,W$2,FALSE)</f>
        <v>34.564293460000002</v>
      </c>
      <c r="X30" s="25">
        <f>VLOOKUP($D30,Résultats!$B$2:$AZ$251,X$2,FALSE)</f>
        <v>30.99090648</v>
      </c>
      <c r="Y30" s="25">
        <f>VLOOKUP($D30,Résultats!$B$2:$AZ$251,Y$2,FALSE)</f>
        <v>36.397532599999998</v>
      </c>
      <c r="Z30" s="25">
        <f>VLOOKUP($D30,Résultats!$B$2:$AZ$251,Z$2,FALSE)</f>
        <v>39.949840600000002</v>
      </c>
      <c r="AA30" s="25">
        <f>VLOOKUP($D30,Résultats!$B$2:$AZ$251,AA$2,FALSE)</f>
        <v>42.404096459999998</v>
      </c>
      <c r="AB30" s="25">
        <f>VLOOKUP($D30,Résultats!$B$2:$AZ$251,AB$2,FALSE)</f>
        <v>44.385030260000001</v>
      </c>
      <c r="AC30" s="25">
        <f>VLOOKUP($D30,Résultats!$B$2:$AZ$251,AC$2,FALSE)</f>
        <v>46.08221442</v>
      </c>
      <c r="AD30" s="25">
        <f>VLOOKUP($D30,Résultats!$B$2:$AZ$251,AD$2,FALSE)</f>
        <v>45.760844300000002</v>
      </c>
      <c r="AE30" s="25">
        <f>VLOOKUP($D30,Résultats!$B$2:$AZ$251,AE$2,FALSE)</f>
        <v>46.084506470000001</v>
      </c>
      <c r="AF30" s="25">
        <f>VLOOKUP($D30,Résultats!$B$2:$AZ$251,AF$2,FALSE)</f>
        <v>46.602243369999997</v>
      </c>
      <c r="AG30" s="25">
        <f>VLOOKUP($D30,Résultats!$B$2:$AZ$251,AG$2,FALSE)</f>
        <v>47.05679645</v>
      </c>
      <c r="AH30" s="25">
        <f>VLOOKUP($D30,Résultats!$B$2:$AZ$251,AH$2,FALSE)</f>
        <v>41.751925569999997</v>
      </c>
      <c r="AI30" s="25">
        <f>VLOOKUP($D30,Résultats!$B$2:$AZ$251,AI$2,FALSE)</f>
        <v>44.059894069999999</v>
      </c>
      <c r="AJ30" s="25">
        <f>VLOOKUP($D30,Résultats!$B$2:$AZ$251,AJ$2,FALSE)</f>
        <v>44.858140290000001</v>
      </c>
      <c r="AK30" s="25">
        <f>VLOOKUP($D30,Résultats!$B$2:$AZ$251,AK$2,FALSE)</f>
        <v>44.863617830000003</v>
      </c>
      <c r="AL30" s="25">
        <f>VLOOKUP($D30,Résultats!$B$2:$AZ$251,AL$2,FALSE)</f>
        <v>44.447820120000003</v>
      </c>
      <c r="AM30" s="102">
        <f>VLOOKUP($D30,Résultats!$B$2:$AZ$251,AM$2,FALSE)</f>
        <v>43.744254779999999</v>
      </c>
    </row>
    <row r="31" spans="1:39" x14ac:dyDescent="0.25">
      <c r="C31" s="218" t="s">
        <v>30</v>
      </c>
      <c r="D31" s="54" t="s">
        <v>162</v>
      </c>
      <c r="E31" s="25">
        <f>VLOOKUP($D31,Résultats!$B$2:$AZ$251,E$2,FALSE)</f>
        <v>0.77903986250000001</v>
      </c>
      <c r="F31" s="25">
        <f>VLOOKUP($D31,Résultats!$B$2:$AZ$251,F$2,FALSE)</f>
        <v>17.502755910000001</v>
      </c>
      <c r="G31" s="25">
        <f>VLOOKUP($D31,Résultats!$B$2:$AZ$251,G$2,FALSE)</f>
        <v>43.287683479999998</v>
      </c>
      <c r="H31" s="25">
        <f>VLOOKUP($D31,Résultats!$B$2:$AZ$251,H$2,FALSE)</f>
        <v>56.310823110000001</v>
      </c>
      <c r="I31" s="25">
        <f>VLOOKUP($D31,Résultats!$B$2:$AZ$251,I$2,FALSE)</f>
        <v>70.556655430000006</v>
      </c>
      <c r="J31" s="25">
        <f>VLOOKUP($D31,Résultats!$B$2:$AZ$251,J$2,FALSE)</f>
        <v>83.771011779999995</v>
      </c>
      <c r="K31" s="25">
        <f>VLOOKUP($D31,Résultats!$B$2:$AZ$251,K$2,FALSE)</f>
        <v>109.4397805</v>
      </c>
      <c r="L31" s="25">
        <f>VLOOKUP($D31,Résultats!$B$2:$AZ$251,L$2,FALSE)</f>
        <v>132.74133459999999</v>
      </c>
      <c r="M31" s="25">
        <f>VLOOKUP($D31,Résultats!$B$2:$AZ$251,M$2,FALSE)</f>
        <v>170.0489177</v>
      </c>
      <c r="N31" s="25">
        <f>VLOOKUP($D31,Résultats!$B$2:$AZ$251,N$2,FALSE)</f>
        <v>138.795737</v>
      </c>
      <c r="O31" s="25">
        <f>VLOOKUP($D31,Résultats!$B$2:$AZ$251,O$2,FALSE)</f>
        <v>220.61716290000001</v>
      </c>
      <c r="P31" s="25">
        <f>VLOOKUP($D31,Résultats!$B$2:$AZ$251,P$2,FALSE)</f>
        <v>283.62532900000002</v>
      </c>
      <c r="Q31" s="25">
        <f>VLOOKUP($D31,Résultats!$B$2:$AZ$251,Q$2,FALSE)</f>
        <v>339.76633950000002</v>
      </c>
      <c r="R31" s="25">
        <f>VLOOKUP($D31,Résultats!$B$2:$AZ$251,R$2,FALSE)</f>
        <v>392.93498030000001</v>
      </c>
      <c r="S31" s="25">
        <f>VLOOKUP($D31,Résultats!$B$2:$AZ$251,S$2,FALSE)</f>
        <v>346.8417685</v>
      </c>
      <c r="T31" s="25">
        <f>VLOOKUP($D31,Résultats!$B$2:$AZ$251,T$2,FALSE)</f>
        <v>457.47268650000001</v>
      </c>
      <c r="U31" s="25">
        <f>VLOOKUP($D31,Résultats!$B$2:$AZ$251,U$2,FALSE)</f>
        <v>511.54469269999998</v>
      </c>
      <c r="V31" s="25">
        <f>VLOOKUP($D31,Résultats!$B$2:$AZ$251,V$2,FALSE)</f>
        <v>559.919264</v>
      </c>
      <c r="W31" s="25">
        <f>VLOOKUP($D31,Résultats!$B$2:$AZ$251,W$2,FALSE)</f>
        <v>604.08744079999997</v>
      </c>
      <c r="X31" s="25">
        <f>VLOOKUP($D31,Résultats!$B$2:$AZ$251,X$2,FALSE)</f>
        <v>539.66100070000005</v>
      </c>
      <c r="Y31" s="25">
        <f>VLOOKUP($D31,Résultats!$B$2:$AZ$251,Y$2,FALSE)</f>
        <v>633.28588839999998</v>
      </c>
      <c r="Z31" s="25">
        <f>VLOOKUP($D31,Résultats!$B$2:$AZ$251,Z$2,FALSE)</f>
        <v>694.6496535</v>
      </c>
      <c r="AA31" s="25">
        <f>VLOOKUP($D31,Résultats!$B$2:$AZ$251,AA$2,FALSE)</f>
        <v>737.54761310000004</v>
      </c>
      <c r="AB31" s="25">
        <f>VLOOKUP($D31,Résultats!$B$2:$AZ$251,AB$2,FALSE)</f>
        <v>773.13706249999996</v>
      </c>
      <c r="AC31" s="25">
        <f>VLOOKUP($D31,Résultats!$B$2:$AZ$251,AC$2,FALSE)</f>
        <v>804.85738319999996</v>
      </c>
      <c r="AD31" s="25">
        <f>VLOOKUP($D31,Résultats!$B$2:$AZ$251,AD$2,FALSE)</f>
        <v>803.62573099999997</v>
      </c>
      <c r="AE31" s="25">
        <f>VLOOKUP($D31,Résultats!$B$2:$AZ$251,AE$2,FALSE)</f>
        <v>815.22780650000004</v>
      </c>
      <c r="AF31" s="25">
        <f>VLOOKUP($D31,Résultats!$B$2:$AZ$251,AF$2,FALSE)</f>
        <v>832.0625738</v>
      </c>
      <c r="AG31" s="25">
        <f>VLOOKUP($D31,Résultats!$B$2:$AZ$251,AG$2,FALSE)</f>
        <v>849.84480029999997</v>
      </c>
      <c r="AH31" s="25">
        <f>VLOOKUP($D31,Résultats!$B$2:$AZ$251,AH$2,FALSE)</f>
        <v>768.03430209999999</v>
      </c>
      <c r="AI31" s="25">
        <f>VLOOKUP($D31,Résultats!$B$2:$AZ$251,AI$2,FALSE)</f>
        <v>821.37010940000005</v>
      </c>
      <c r="AJ31" s="25">
        <f>VLOOKUP($D31,Résultats!$B$2:$AZ$251,AJ$2,FALSE)</f>
        <v>851.50633849999997</v>
      </c>
      <c r="AK31" s="25">
        <f>VLOOKUP($D31,Résultats!$B$2:$AZ$251,AK$2,FALSE)</f>
        <v>870.45546039999999</v>
      </c>
      <c r="AL31" s="25">
        <f>VLOOKUP($D31,Résultats!$B$2:$AZ$251,AL$2,FALSE)</f>
        <v>884.47392009999999</v>
      </c>
      <c r="AM31" s="102">
        <f>VLOOKUP($D31,Résultats!$B$2:$AZ$251,AM$2,FALSE)</f>
        <v>895.9188666</v>
      </c>
    </row>
    <row r="32" spans="1:39" x14ac:dyDescent="0.25">
      <c r="C32" s="218" t="s">
        <v>31</v>
      </c>
      <c r="D32" s="54" t="s">
        <v>163</v>
      </c>
      <c r="E32" s="25">
        <f>VLOOKUP($D32,Résultats!$B$2:$AZ$251,E$2,FALSE)</f>
        <v>0.30704934709999998</v>
      </c>
      <c r="F32" s="25">
        <f>VLOOKUP($D32,Résultats!$B$2:$AZ$251,F$2,FALSE)</f>
        <v>6.774962843</v>
      </c>
      <c r="G32" s="25">
        <f>VLOOKUP($D32,Résultats!$B$2:$AZ$251,G$2,FALSE)</f>
        <v>16.935430960000001</v>
      </c>
      <c r="H32" s="25">
        <f>VLOOKUP($D32,Résultats!$B$2:$AZ$251,H$2,FALSE)</f>
        <v>21.94508609</v>
      </c>
      <c r="I32" s="25">
        <f>VLOOKUP($D32,Résultats!$B$2:$AZ$251,I$2,FALSE)</f>
        <v>27.36816048</v>
      </c>
      <c r="J32" s="25">
        <f>VLOOKUP($D32,Résultats!$B$2:$AZ$251,J$2,FALSE)</f>
        <v>32.312484580000003</v>
      </c>
      <c r="K32" s="25">
        <f>VLOOKUP($D32,Résultats!$B$2:$AZ$251,K$2,FALSE)</f>
        <v>41.157528910000003</v>
      </c>
      <c r="L32" s="25">
        <f>VLOOKUP($D32,Résultats!$B$2:$AZ$251,L$2,FALSE)</f>
        <v>49.013841810000002</v>
      </c>
      <c r="M32" s="25">
        <f>VLOOKUP($D32,Résultats!$B$2:$AZ$251,M$2,FALSE)</f>
        <v>62.473550430000003</v>
      </c>
      <c r="N32" s="25">
        <f>VLOOKUP($D32,Résultats!$B$2:$AZ$251,N$2,FALSE)</f>
        <v>50.347108599999999</v>
      </c>
      <c r="O32" s="25">
        <f>VLOOKUP($D32,Résultats!$B$2:$AZ$251,O$2,FALSE)</f>
        <v>80.158237619999994</v>
      </c>
      <c r="P32" s="25">
        <f>VLOOKUP($D32,Résultats!$B$2:$AZ$251,P$2,FALSE)</f>
        <v>102.61253050000001</v>
      </c>
      <c r="Q32" s="25">
        <f>VLOOKUP($D32,Résultats!$B$2:$AZ$251,Q$2,FALSE)</f>
        <v>122.2368766</v>
      </c>
      <c r="R32" s="25">
        <f>VLOOKUP($D32,Résultats!$B$2:$AZ$251,R$2,FALSE)</f>
        <v>140.5276169</v>
      </c>
      <c r="S32" s="25">
        <f>VLOOKUP($D32,Résultats!$B$2:$AZ$251,S$2,FALSE)</f>
        <v>122.76188</v>
      </c>
      <c r="T32" s="25">
        <f>VLOOKUP($D32,Résultats!$B$2:$AZ$251,T$2,FALSE)</f>
        <v>161.62031350000001</v>
      </c>
      <c r="U32" s="25">
        <f>VLOOKUP($D32,Résultats!$B$2:$AZ$251,U$2,FALSE)</f>
        <v>179.6406623</v>
      </c>
      <c r="V32" s="25">
        <f>VLOOKUP($D32,Résultats!$B$2:$AZ$251,V$2,FALSE)</f>
        <v>195.42800650000001</v>
      </c>
      <c r="W32" s="25">
        <f>VLOOKUP($D32,Résultats!$B$2:$AZ$251,W$2,FALSE)</f>
        <v>209.48518010000001</v>
      </c>
      <c r="X32" s="25">
        <f>VLOOKUP($D32,Résultats!$B$2:$AZ$251,X$2,FALSE)</f>
        <v>185.316925</v>
      </c>
      <c r="Y32" s="25">
        <f>VLOOKUP($D32,Résultats!$B$2:$AZ$251,Y$2,FALSE)</f>
        <v>216.64331569999999</v>
      </c>
      <c r="Z32" s="25">
        <f>VLOOKUP($D32,Résultats!$B$2:$AZ$251,Z$2,FALSE)</f>
        <v>236.19796579999999</v>
      </c>
      <c r="AA32" s="25">
        <f>VLOOKUP($D32,Résultats!$B$2:$AZ$251,AA$2,FALSE)</f>
        <v>249.06377749999999</v>
      </c>
      <c r="AB32" s="25">
        <f>VLOOKUP($D32,Résultats!$B$2:$AZ$251,AB$2,FALSE)</f>
        <v>259.24015700000001</v>
      </c>
      <c r="AC32" s="25">
        <f>VLOOKUP($D32,Résultats!$B$2:$AZ$251,AC$2,FALSE)</f>
        <v>267.96440269999999</v>
      </c>
      <c r="AD32" s="25">
        <f>VLOOKUP($D32,Résultats!$B$2:$AZ$251,AD$2,FALSE)</f>
        <v>265.0548167</v>
      </c>
      <c r="AE32" s="25">
        <f>VLOOKUP($D32,Résultats!$B$2:$AZ$251,AE$2,FALSE)</f>
        <v>266.50483129999998</v>
      </c>
      <c r="AF32" s="25">
        <f>VLOOKUP($D32,Résultats!$B$2:$AZ$251,AF$2,FALSE)</f>
        <v>269.65128499999997</v>
      </c>
      <c r="AG32" s="25">
        <f>VLOOKUP($D32,Résultats!$B$2:$AZ$251,AG$2,FALSE)</f>
        <v>273.04549559999998</v>
      </c>
      <c r="AH32" s="25">
        <f>VLOOKUP($D32,Résultats!$B$2:$AZ$251,AH$2,FALSE)</f>
        <v>244.0257757</v>
      </c>
      <c r="AI32" s="25">
        <f>VLOOKUP($D32,Résultats!$B$2:$AZ$251,AI$2,FALSE)</f>
        <v>259.21697510000001</v>
      </c>
      <c r="AJ32" s="25">
        <f>VLOOKUP($D32,Résultats!$B$2:$AZ$251,AJ$2,FALSE)</f>
        <v>266.60156790000002</v>
      </c>
      <c r="AK32" s="25">
        <f>VLOOKUP($D32,Résultats!$B$2:$AZ$251,AK$2,FALSE)</f>
        <v>270.2895934</v>
      </c>
      <c r="AL32" s="25">
        <f>VLOOKUP($D32,Résultats!$B$2:$AZ$251,AL$2,FALSE)</f>
        <v>272.39463929999999</v>
      </c>
      <c r="AM32" s="102">
        <f>VLOOKUP($D32,Résultats!$B$2:$AZ$251,AM$2,FALSE)</f>
        <v>273.70202360000002</v>
      </c>
    </row>
    <row r="33" spans="2:39" x14ac:dyDescent="0.25">
      <c r="C33" s="218" t="s">
        <v>32</v>
      </c>
      <c r="D33" s="54" t="s">
        <v>164</v>
      </c>
      <c r="E33" s="25">
        <f>VLOOKUP($D33,Résultats!$B$2:$AZ$251,E$2,FALSE)</f>
        <v>4.1860481099999999E-3</v>
      </c>
      <c r="F33" s="25">
        <f>VLOOKUP($D33,Résultats!$B$2:$AZ$251,F$2,FALSE)</f>
        <v>2.6664270899999998E-2</v>
      </c>
      <c r="G33" s="25">
        <f>VLOOKUP($D33,Résultats!$B$2:$AZ$251,G$2,FALSE)</f>
        <v>5.71087012E-2</v>
      </c>
      <c r="H33" s="25">
        <f>VLOOKUP($D33,Résultats!$B$2:$AZ$251,H$2,FALSE)</f>
        <v>8.5771443500000003E-2</v>
      </c>
      <c r="I33" s="25">
        <f>VLOOKUP($D33,Résultats!$B$2:$AZ$251,I$2,FALSE)</f>
        <v>0.107481893</v>
      </c>
      <c r="J33" s="25">
        <f>VLOOKUP($D33,Résultats!$B$2:$AZ$251,J$2,FALSE)</f>
        <v>0.1276344257</v>
      </c>
      <c r="K33" s="25">
        <f>VLOOKUP($D33,Résultats!$B$2:$AZ$251,K$2,FALSE)</f>
        <v>0.1669830045</v>
      </c>
      <c r="L33" s="25">
        <f>VLOOKUP($D33,Résultats!$B$2:$AZ$251,L$2,FALSE)</f>
        <v>0.2028709561</v>
      </c>
      <c r="M33" s="25">
        <f>VLOOKUP($D33,Résultats!$B$2:$AZ$251,M$2,FALSE)</f>
        <v>0.26002919369999999</v>
      </c>
      <c r="N33" s="25">
        <f>VLOOKUP($D33,Résultats!$B$2:$AZ$251,N$2,FALSE)</f>
        <v>0.21256209249999999</v>
      </c>
      <c r="O33" s="25">
        <f>VLOOKUP($D33,Résultats!$B$2:$AZ$251,O$2,FALSE)</f>
        <v>0.33779899079999998</v>
      </c>
      <c r="P33" s="25">
        <f>VLOOKUP($D33,Résultats!$B$2:$AZ$251,P$2,FALSE)</f>
        <v>0.43451417329999997</v>
      </c>
      <c r="Q33" s="25">
        <f>VLOOKUP($D33,Résultats!$B$2:$AZ$251,Q$2,FALSE)</f>
        <v>0.5209200168</v>
      </c>
      <c r="R33" s="25">
        <f>VLOOKUP($D33,Résultats!$B$2:$AZ$251,R$2,FALSE)</f>
        <v>0.60295375559999997</v>
      </c>
      <c r="S33" s="25">
        <f>VLOOKUP($D33,Résultats!$B$2:$AZ$251,S$2,FALSE)</f>
        <v>0.5330853579</v>
      </c>
      <c r="T33" s="25">
        <f>VLOOKUP($D33,Résultats!$B$2:$AZ$251,T$2,FALSE)</f>
        <v>0.70333479099999996</v>
      </c>
      <c r="U33" s="25">
        <f>VLOOKUP($D33,Résultats!$B$2:$AZ$251,U$2,FALSE)</f>
        <v>0.78726909270000001</v>
      </c>
      <c r="V33" s="25">
        <f>VLOOKUP($D33,Résultats!$B$2:$AZ$251,V$2,FALSE)</f>
        <v>0.86265795249999999</v>
      </c>
      <c r="W33" s="25">
        <f>VLOOKUP($D33,Résultats!$B$2:$AZ$251,W$2,FALSE)</f>
        <v>0.93183221589999998</v>
      </c>
      <c r="X33" s="25">
        <f>VLOOKUP($D33,Résultats!$B$2:$AZ$251,X$2,FALSE)</f>
        <v>0.83407238269999995</v>
      </c>
      <c r="Y33" s="25">
        <f>VLOOKUP($D33,Résultats!$B$2:$AZ$251,Y$2,FALSE)</f>
        <v>0.97954740500000004</v>
      </c>
      <c r="Z33" s="25">
        <f>VLOOKUP($D33,Résultats!$B$2:$AZ$251,Z$2,FALSE)</f>
        <v>1.0758665329999999</v>
      </c>
      <c r="AA33" s="25">
        <f>VLOOKUP($D33,Résultats!$B$2:$AZ$251,AA$2,FALSE)</f>
        <v>1.144074169</v>
      </c>
      <c r="AB33" s="25">
        <f>VLOOKUP($D33,Résultats!$B$2:$AZ$251,AB$2,FALSE)</f>
        <v>1.201277113</v>
      </c>
      <c r="AC33" s="25">
        <f>VLOOKUP($D33,Résultats!$B$2:$AZ$251,AC$2,FALSE)</f>
        <v>1.2527506479999999</v>
      </c>
      <c r="AD33" s="25">
        <f>VLOOKUP($D33,Résultats!$B$2:$AZ$251,AD$2,FALSE)</f>
        <v>1.2538752280000001</v>
      </c>
      <c r="AE33" s="25">
        <f>VLOOKUP($D33,Résultats!$B$2:$AZ$251,AE$2,FALSE)</f>
        <v>1.275071378</v>
      </c>
      <c r="AF33" s="25">
        <f>VLOOKUP($D33,Résultats!$B$2:$AZ$251,AF$2,FALSE)</f>
        <v>1.3046746469999999</v>
      </c>
      <c r="AG33" s="25">
        <f>VLOOKUP($D33,Résultats!$B$2:$AZ$251,AG$2,FALSE)</f>
        <v>1.3360617159999999</v>
      </c>
      <c r="AH33" s="25">
        <f>VLOOKUP($D33,Résultats!$B$2:$AZ$251,AH$2,FALSE)</f>
        <v>1.211798599</v>
      </c>
      <c r="AI33" s="25">
        <f>VLOOKUP($D33,Résultats!$B$2:$AZ$251,AI$2,FALSE)</f>
        <v>1.2989372480000001</v>
      </c>
      <c r="AJ33" s="25">
        <f>VLOOKUP($D33,Résultats!$B$2:$AZ$251,AJ$2,FALSE)</f>
        <v>1.350419796</v>
      </c>
      <c r="AK33" s="25">
        <f>VLOOKUP($D33,Résultats!$B$2:$AZ$251,AK$2,FALSE)</f>
        <v>1.3847704970000001</v>
      </c>
      <c r="AL33" s="25">
        <f>VLOOKUP($D33,Résultats!$B$2:$AZ$251,AL$2,FALSE)</f>
        <v>1.411667658</v>
      </c>
      <c r="AM33" s="102">
        <f>VLOOKUP($D33,Résultats!$B$2:$AZ$251,AM$2,FALSE)</f>
        <v>1.4347805339999999</v>
      </c>
    </row>
    <row r="34" spans="2:39" x14ac:dyDescent="0.25">
      <c r="C34" s="218" t="s">
        <v>33</v>
      </c>
      <c r="D34" s="54" t="s">
        <v>165</v>
      </c>
      <c r="E34" s="55">
        <f>VLOOKUP($D34,Résultats!$B$2:$AZ$251,E$2,FALSE)</f>
        <v>5.1428591099999997E-2</v>
      </c>
      <c r="F34" s="55">
        <f>VLOOKUP($D34,Résultats!$B$2:$AZ$251,F$2,FALSE)</f>
        <v>1.0104694729999999</v>
      </c>
      <c r="G34" s="55">
        <f>VLOOKUP($D34,Résultats!$B$2:$AZ$251,G$2,FALSE)</f>
        <v>2.7036550099999999</v>
      </c>
      <c r="H34" s="55">
        <f>VLOOKUP($D34,Résultats!$B$2:$AZ$251,H$2,FALSE)</f>
        <v>3.4172100209999998</v>
      </c>
      <c r="I34" s="55">
        <f>VLOOKUP($D34,Résultats!$B$2:$AZ$251,I$2,FALSE)</f>
        <v>4.1362203739999996</v>
      </c>
      <c r="J34" s="55">
        <f>VLOOKUP($D34,Résultats!$B$2:$AZ$251,J$2,FALSE)</f>
        <v>4.7139999640000001</v>
      </c>
      <c r="K34" s="55">
        <f>VLOOKUP($D34,Résultats!$B$2:$AZ$251,K$2,FALSE)</f>
        <v>5.1408464110000001</v>
      </c>
      <c r="L34" s="55">
        <f>VLOOKUP($D34,Résultats!$B$2:$AZ$251,L$2,FALSE)</f>
        <v>5.4989635909999999</v>
      </c>
      <c r="M34" s="55">
        <f>VLOOKUP($D34,Résultats!$B$2:$AZ$251,M$2,FALSE)</f>
        <v>6.8105158489999997</v>
      </c>
      <c r="N34" s="55">
        <f>VLOOKUP($D34,Résultats!$B$2:$AZ$251,N$2,FALSE)</f>
        <v>5.1133426799999997</v>
      </c>
      <c r="O34" s="55">
        <f>VLOOKUP($D34,Résultats!$B$2:$AZ$251,O$2,FALSE)</f>
        <v>8.2143709959999995</v>
      </c>
      <c r="P34" s="55">
        <f>VLOOKUP($D34,Résultats!$B$2:$AZ$251,P$2,FALSE)</f>
        <v>10.27309148</v>
      </c>
      <c r="Q34" s="55">
        <f>VLOOKUP($D34,Résultats!$B$2:$AZ$251,Q$2,FALSE)</f>
        <v>11.87408903</v>
      </c>
      <c r="R34" s="55">
        <f>VLOOKUP($D34,Résultats!$B$2:$AZ$251,R$2,FALSE)</f>
        <v>13.228450520000001</v>
      </c>
      <c r="S34" s="55">
        <f>VLOOKUP($D34,Résultats!$B$2:$AZ$251,S$2,FALSE)</f>
        <v>10.954681689999999</v>
      </c>
      <c r="T34" s="55">
        <f>VLOOKUP($D34,Résultats!$B$2:$AZ$251,T$2,FALSE)</f>
        <v>14.288777039999999</v>
      </c>
      <c r="U34" s="55">
        <f>VLOOKUP($D34,Résultats!$B$2:$AZ$251,U$2,FALSE)</f>
        <v>15.415176410000001</v>
      </c>
      <c r="V34" s="55">
        <f>VLOOKUP($D34,Résultats!$B$2:$AZ$251,V$2,FALSE)</f>
        <v>16.279413529999999</v>
      </c>
      <c r="W34" s="55">
        <f>VLOOKUP($D34,Résultats!$B$2:$AZ$251,W$2,FALSE)</f>
        <v>16.925813420000001</v>
      </c>
      <c r="X34" s="55">
        <f>VLOOKUP($D34,Résultats!$B$2:$AZ$251,X$2,FALSE)</f>
        <v>14.31959721</v>
      </c>
      <c r="Y34" s="55">
        <f>VLOOKUP($D34,Résultats!$B$2:$AZ$251,Y$2,FALSE)</f>
        <v>16.462845380000001</v>
      </c>
      <c r="Z34" s="55">
        <f>VLOOKUP($D34,Résultats!$B$2:$AZ$251,Z$2,FALSE)</f>
        <v>17.487660210000001</v>
      </c>
      <c r="AA34" s="55">
        <f>VLOOKUP($D34,Résultats!$B$2:$AZ$251,AA$2,FALSE)</f>
        <v>17.922258039999999</v>
      </c>
      <c r="AB34" s="55">
        <f>VLOOKUP($D34,Résultats!$B$2:$AZ$251,AB$2,FALSE)</f>
        <v>18.13753436</v>
      </c>
      <c r="AC34" s="55">
        <f>VLOOKUP($D34,Résultats!$B$2:$AZ$251,AC$2,FALSE)</f>
        <v>18.249163360000001</v>
      </c>
      <c r="AD34" s="55">
        <f>VLOOKUP($D34,Résultats!$B$2:$AZ$251,AD$2,FALSE)</f>
        <v>17.454646440000001</v>
      </c>
      <c r="AE34" s="55">
        <f>VLOOKUP($D34,Résultats!$B$2:$AZ$251,AE$2,FALSE)</f>
        <v>17.038086839999998</v>
      </c>
      <c r="AF34" s="55">
        <f>VLOOKUP($D34,Résultats!$B$2:$AZ$251,AF$2,FALSE)</f>
        <v>16.781441780000002</v>
      </c>
      <c r="AG34" s="55">
        <f>VLOOKUP($D34,Résultats!$B$2:$AZ$251,AG$2,FALSE)</f>
        <v>16.579893739999999</v>
      </c>
      <c r="AH34" s="55">
        <f>VLOOKUP($D34,Résultats!$B$2:$AZ$251,AH$2,FALSE)</f>
        <v>14.40085691</v>
      </c>
      <c r="AI34" s="55">
        <f>VLOOKUP($D34,Résultats!$B$2:$AZ$251,AI$2,FALSE)</f>
        <v>15.06206759</v>
      </c>
      <c r="AJ34" s="55">
        <f>VLOOKUP($D34,Résultats!$B$2:$AZ$251,AJ$2,FALSE)</f>
        <v>15.237559360000001</v>
      </c>
      <c r="AK34" s="55">
        <f>VLOOKUP($D34,Résultats!$B$2:$AZ$251,AK$2,FALSE)</f>
        <v>15.21571346</v>
      </c>
      <c r="AL34" s="55">
        <f>VLOOKUP($D34,Résultats!$B$2:$AZ$251,AL$2,FALSE)</f>
        <v>15.135642710000001</v>
      </c>
      <c r="AM34" s="214">
        <f>VLOOKUP($D34,Résultats!$B$2:$AZ$251,AM$2,FALSE)</f>
        <v>15.044709989999999</v>
      </c>
    </row>
    <row r="35" spans="2:39" x14ac:dyDescent="0.25">
      <c r="C35" s="217" t="s">
        <v>46</v>
      </c>
      <c r="D35" s="52" t="s">
        <v>150</v>
      </c>
      <c r="E35" s="53">
        <f>VLOOKUP($D35,Résultats!$B$2:$AZ$251,E$2,FALSE)</f>
        <v>2371.8135000000002</v>
      </c>
      <c r="F35" s="53">
        <f>VLOOKUP($D35,Résultats!$B$2:$AZ$251,F$2,FALSE)</f>
        <v>1913.6210229999999</v>
      </c>
      <c r="G35" s="53">
        <f>VLOOKUP($D35,Résultats!$B$2:$AZ$251,G$2,FALSE)</f>
        <v>2137.8110550000001</v>
      </c>
      <c r="H35" s="53">
        <f>VLOOKUP($D35,Résultats!$B$2:$AZ$251,H$2,FALSE)</f>
        <v>2154.4023780000002</v>
      </c>
      <c r="I35" s="53">
        <f>VLOOKUP($D35,Résultats!$B$2:$AZ$251,I$2,FALSE)</f>
        <v>2102.2813609999998</v>
      </c>
      <c r="J35" s="53">
        <f>VLOOKUP($D35,Résultats!$B$2:$AZ$251,J$2,FALSE)</f>
        <v>1956.565006</v>
      </c>
      <c r="K35" s="53">
        <f>VLOOKUP($D35,Résultats!$B$2:$AZ$251,K$2,FALSE)</f>
        <v>2030.115362</v>
      </c>
      <c r="L35" s="53">
        <f>VLOOKUP($D35,Résultats!$B$2:$AZ$251,L$2,FALSE)</f>
        <v>1964.1075310000001</v>
      </c>
      <c r="M35" s="53">
        <f>VLOOKUP($D35,Résultats!$B$2:$AZ$251,M$2,FALSE)</f>
        <v>2012.389365</v>
      </c>
      <c r="N35" s="53">
        <f>VLOOKUP($D35,Résultats!$B$2:$AZ$251,N$2,FALSE)</f>
        <v>1329.108418</v>
      </c>
      <c r="O35" s="53">
        <f>VLOOKUP($D35,Résultats!$B$2:$AZ$251,O$2,FALSE)</f>
        <v>1717.279047</v>
      </c>
      <c r="P35" s="53">
        <f>VLOOKUP($D35,Résultats!$B$2:$AZ$251,P$2,FALSE)</f>
        <v>1818.3391059999999</v>
      </c>
      <c r="Q35" s="53">
        <f>VLOOKUP($D35,Résultats!$B$2:$AZ$251,Q$2,FALSE)</f>
        <v>1816.169705</v>
      </c>
      <c r="R35" s="53">
        <f>VLOOKUP($D35,Résultats!$B$2:$AZ$251,R$2,FALSE)</f>
        <v>1773.045957</v>
      </c>
      <c r="S35" s="53">
        <f>VLOOKUP($D35,Résultats!$B$2:$AZ$251,S$2,FALSE)</f>
        <v>1339.9358420000001</v>
      </c>
      <c r="T35" s="53">
        <f>VLOOKUP($D35,Résultats!$B$2:$AZ$251,T$2,FALSE)</f>
        <v>1526.7674589999999</v>
      </c>
      <c r="U35" s="53">
        <f>VLOOKUP($D35,Résultats!$B$2:$AZ$251,U$2,FALSE)</f>
        <v>1494.6823360000001</v>
      </c>
      <c r="V35" s="53">
        <f>VLOOKUP($D35,Résultats!$B$2:$AZ$251,V$2,FALSE)</f>
        <v>1448.382208</v>
      </c>
      <c r="W35" s="53">
        <f>VLOOKUP($D35,Résultats!$B$2:$AZ$251,W$2,FALSE)</f>
        <v>1397.8867210000001</v>
      </c>
      <c r="X35" s="53">
        <f>VLOOKUP($D35,Résultats!$B$2:$AZ$251,X$2,FALSE)</f>
        <v>1129.1682559999999</v>
      </c>
      <c r="Y35" s="53">
        <f>VLOOKUP($D35,Résultats!$B$2:$AZ$251,Y$2,FALSE)</f>
        <v>1205.5174870000001</v>
      </c>
      <c r="Z35" s="53">
        <f>VLOOKUP($D35,Résultats!$B$2:$AZ$251,Z$2,FALSE)</f>
        <v>1213.371672</v>
      </c>
      <c r="AA35" s="53">
        <f>VLOOKUP($D35,Résultats!$B$2:$AZ$251,AA$2,FALSE)</f>
        <v>1190.693397</v>
      </c>
      <c r="AB35" s="53">
        <f>VLOOKUP($D35,Résultats!$B$2:$AZ$251,AB$2,FALSE)</f>
        <v>1160.8002269999999</v>
      </c>
      <c r="AC35" s="53">
        <f>VLOOKUP($D35,Résultats!$B$2:$AZ$251,AC$2,FALSE)</f>
        <v>1130.0848820000001</v>
      </c>
      <c r="AD35" s="53">
        <f>VLOOKUP($D35,Résultats!$B$2:$AZ$251,AD$2,FALSE)</f>
        <v>1061.443252</v>
      </c>
      <c r="AE35" s="53">
        <f>VLOOKUP($D35,Résultats!$B$2:$AZ$251,AE$2,FALSE)</f>
        <v>1017.223054</v>
      </c>
      <c r="AF35" s="53">
        <f>VLOOKUP($D35,Résultats!$B$2:$AZ$251,AF$2,FALSE)</f>
        <v>984.68418250000002</v>
      </c>
      <c r="AG35" s="53">
        <f>VLOOKUP($D35,Résultats!$B$2:$AZ$251,AG$2,FALSE)</f>
        <v>957.29255339999997</v>
      </c>
      <c r="AH35" s="53">
        <f>VLOOKUP($D35,Résultats!$B$2:$AZ$251,AH$2,FALSE)</f>
        <v>827.13362710000001</v>
      </c>
      <c r="AI35" s="53">
        <f>VLOOKUP($D35,Résultats!$B$2:$AZ$251,AI$2,FALSE)</f>
        <v>846.53819569999996</v>
      </c>
      <c r="AJ35" s="53">
        <f>VLOOKUP($D35,Résultats!$B$2:$AZ$251,AJ$2,FALSE)</f>
        <v>842.60670159999995</v>
      </c>
      <c r="AK35" s="53">
        <f>VLOOKUP($D35,Résultats!$B$2:$AZ$251,AK$2,FALSE)</f>
        <v>829.20778710000002</v>
      </c>
      <c r="AL35" s="53">
        <f>VLOOKUP($D35,Résultats!$B$2:$AZ$251,AL$2,FALSE)</f>
        <v>812.95972080000001</v>
      </c>
      <c r="AM35" s="213">
        <f>VLOOKUP($D35,Résultats!$B$2:$AZ$251,AM$2,FALSE)</f>
        <v>796.17882329999998</v>
      </c>
    </row>
    <row r="36" spans="2:39" x14ac:dyDescent="0.25">
      <c r="C36" s="218" t="s">
        <v>27</v>
      </c>
      <c r="D36" s="3" t="s">
        <v>151</v>
      </c>
      <c r="E36" s="25">
        <f>VLOOKUP($D36,Résultats!$B$2:$AZ$251,E$2,FALSE)</f>
        <v>1.1865000000000001</v>
      </c>
      <c r="F36" s="25">
        <f>VLOOKUP($D36,Résultats!$B$2:$AZ$251,F$2,FALSE)</f>
        <v>35.145445760000001</v>
      </c>
      <c r="G36" s="25">
        <f>VLOOKUP($D36,Résultats!$B$2:$AZ$251,G$2,FALSE)</f>
        <v>43.997189259999999</v>
      </c>
      <c r="H36" s="25">
        <f>VLOOKUP($D36,Résultats!$B$2:$AZ$251,H$2,FALSE)</f>
        <v>48.751617520000003</v>
      </c>
      <c r="I36" s="25">
        <f>VLOOKUP($D36,Résultats!$B$2:$AZ$251,I$2,FALSE)</f>
        <v>72.398225929999995</v>
      </c>
      <c r="J36" s="25">
        <f>VLOOKUP($D36,Résultats!$B$2:$AZ$251,J$2,FALSE)</f>
        <v>65.178341790000005</v>
      </c>
      <c r="K36" s="25">
        <f>VLOOKUP($D36,Résultats!$B$2:$AZ$251,K$2,FALSE)</f>
        <v>99.481874989999994</v>
      </c>
      <c r="L36" s="25">
        <f>VLOOKUP($D36,Résultats!$B$2:$AZ$251,L$2,FALSE)</f>
        <v>113.1412854</v>
      </c>
      <c r="M36" s="25">
        <f>VLOOKUP($D36,Résultats!$B$2:$AZ$251,M$2,FALSE)</f>
        <v>122.24876949999999</v>
      </c>
      <c r="N36" s="25">
        <f>VLOOKUP($D36,Résultats!$B$2:$AZ$251,N$2,FALSE)</f>
        <v>88.663889940000004</v>
      </c>
      <c r="O36" s="25">
        <f>VLOOKUP($D36,Résultats!$B$2:$AZ$251,O$2,FALSE)</f>
        <v>113.4036078</v>
      </c>
      <c r="P36" s="25">
        <f>VLOOKUP($D36,Résultats!$B$2:$AZ$251,P$2,FALSE)</f>
        <v>124.3339168</v>
      </c>
      <c r="Q36" s="25">
        <f>VLOOKUP($D36,Résultats!$B$2:$AZ$251,Q$2,FALSE)</f>
        <v>130.33298439999999</v>
      </c>
      <c r="R36" s="25">
        <f>VLOOKUP($D36,Résultats!$B$2:$AZ$251,R$2,FALSE)</f>
        <v>133.86789970000001</v>
      </c>
      <c r="S36" s="25">
        <f>VLOOKUP($D36,Résultats!$B$2:$AZ$251,S$2,FALSE)</f>
        <v>108.61218940000001</v>
      </c>
      <c r="T36" s="25">
        <f>VLOOKUP($D36,Résultats!$B$2:$AZ$251,T$2,FALSE)</f>
        <v>126.45081279999999</v>
      </c>
      <c r="U36" s="25">
        <f>VLOOKUP($D36,Résultats!$B$2:$AZ$251,U$2,FALSE)</f>
        <v>129.30049829999999</v>
      </c>
      <c r="V36" s="25">
        <f>VLOOKUP($D36,Résultats!$B$2:$AZ$251,V$2,FALSE)</f>
        <v>131.10788389999999</v>
      </c>
      <c r="W36" s="25">
        <f>VLOOKUP($D36,Résultats!$B$2:$AZ$251,W$2,FALSE)</f>
        <v>131.76282269999999</v>
      </c>
      <c r="X36" s="25">
        <f>VLOOKUP($D36,Résultats!$B$2:$AZ$251,X$2,FALSE)</f>
        <v>113.4201654</v>
      </c>
      <c r="Y36" s="25">
        <f>VLOOKUP($D36,Résultats!$B$2:$AZ$251,Y$2,FALSE)</f>
        <v>124.69352379999999</v>
      </c>
      <c r="Z36" s="25">
        <f>VLOOKUP($D36,Résultats!$B$2:$AZ$251,Z$2,FALSE)</f>
        <v>129.90134420000001</v>
      </c>
      <c r="AA36" s="25">
        <f>VLOOKUP($D36,Résultats!$B$2:$AZ$251,AA$2,FALSE)</f>
        <v>132.63939540000001</v>
      </c>
      <c r="AB36" s="25">
        <f>VLOOKUP($D36,Résultats!$B$2:$AZ$251,AB$2,FALSE)</f>
        <v>134.42264789999999</v>
      </c>
      <c r="AC36" s="25">
        <f>VLOOKUP($D36,Résultats!$B$2:$AZ$251,AC$2,FALSE)</f>
        <v>135.7639762</v>
      </c>
      <c r="AD36" s="25">
        <f>VLOOKUP($D36,Résultats!$B$2:$AZ$251,AD$2,FALSE)</f>
        <v>133.62331080000001</v>
      </c>
      <c r="AE36" s="25">
        <f>VLOOKUP($D36,Résultats!$B$2:$AZ$251,AE$2,FALSE)</f>
        <v>133.8340752</v>
      </c>
      <c r="AF36" s="25">
        <f>VLOOKUP($D36,Résultats!$B$2:$AZ$251,AF$2,FALSE)</f>
        <v>135.07569179999999</v>
      </c>
      <c r="AG36" s="25">
        <f>VLOOKUP($D36,Résultats!$B$2:$AZ$251,AG$2,FALSE)</f>
        <v>136.8339422</v>
      </c>
      <c r="AH36" s="25">
        <f>VLOOKUP($D36,Résultats!$B$2:$AZ$251,AH$2,FALSE)</f>
        <v>124.11426760000001</v>
      </c>
      <c r="AI36" s="25">
        <f>VLOOKUP($D36,Résultats!$B$2:$AZ$251,AI$2,FALSE)</f>
        <v>131.62942839999999</v>
      </c>
      <c r="AJ36" s="25">
        <f>VLOOKUP($D36,Résultats!$B$2:$AZ$251,AJ$2,FALSE)</f>
        <v>136.172821</v>
      </c>
      <c r="AK36" s="25">
        <f>VLOOKUP($D36,Résultats!$B$2:$AZ$251,AK$2,FALSE)</f>
        <v>139.44895289999999</v>
      </c>
      <c r="AL36" s="25">
        <f>VLOOKUP($D36,Résultats!$B$2:$AZ$251,AL$2,FALSE)</f>
        <v>142.14809529999999</v>
      </c>
      <c r="AM36" s="102">
        <f>VLOOKUP($D36,Résultats!$B$2:$AZ$251,AM$2,FALSE)</f>
        <v>144.55315899999999</v>
      </c>
    </row>
    <row r="37" spans="2:39" x14ac:dyDescent="0.25">
      <c r="C37" s="218" t="s">
        <v>28</v>
      </c>
      <c r="D37" s="3" t="s">
        <v>152</v>
      </c>
      <c r="E37" s="25">
        <f>VLOOKUP($D37,Résultats!$B$2:$AZ$251,E$2,FALSE)</f>
        <v>427.14</v>
      </c>
      <c r="F37" s="25">
        <f>VLOOKUP($D37,Résultats!$B$2:$AZ$251,F$2,FALSE)</f>
        <v>364.65777910000003</v>
      </c>
      <c r="G37" s="25">
        <f>VLOOKUP($D37,Résultats!$B$2:$AZ$251,G$2,FALSE)</f>
        <v>408.5628974</v>
      </c>
      <c r="H37" s="25">
        <f>VLOOKUP($D37,Résultats!$B$2:$AZ$251,H$2,FALSE)</f>
        <v>414.2402525</v>
      </c>
      <c r="I37" s="25">
        <f>VLOOKUP($D37,Résultats!$B$2:$AZ$251,I$2,FALSE)</f>
        <v>420.13596050000001</v>
      </c>
      <c r="J37" s="25">
        <f>VLOOKUP($D37,Résultats!$B$2:$AZ$251,J$2,FALSE)</f>
        <v>386.18445860000003</v>
      </c>
      <c r="K37" s="25">
        <f>VLOOKUP($D37,Résultats!$B$2:$AZ$251,K$2,FALSE)</f>
        <v>419.13526510000003</v>
      </c>
      <c r="L37" s="25">
        <f>VLOOKUP($D37,Résultats!$B$2:$AZ$251,L$2,FALSE)</f>
        <v>412.69631570000001</v>
      </c>
      <c r="M37" s="25">
        <f>VLOOKUP($D37,Résultats!$B$2:$AZ$251,M$2,FALSE)</f>
        <v>425.20689229999999</v>
      </c>
      <c r="N37" s="25">
        <f>VLOOKUP($D37,Résultats!$B$2:$AZ$251,N$2,FALSE)</f>
        <v>283.92719779999999</v>
      </c>
      <c r="O37" s="25">
        <f>VLOOKUP($D37,Résultats!$B$2:$AZ$251,O$2,FALSE)</f>
        <v>366.2416958</v>
      </c>
      <c r="P37" s="25">
        <f>VLOOKUP($D37,Résultats!$B$2:$AZ$251,P$2,FALSE)</f>
        <v>388.90228810000002</v>
      </c>
      <c r="Q37" s="25">
        <f>VLOOKUP($D37,Résultats!$B$2:$AZ$251,Q$2,FALSE)</f>
        <v>390.23536810000002</v>
      </c>
      <c r="R37" s="25">
        <f>VLOOKUP($D37,Résultats!$B$2:$AZ$251,R$2,FALSE)</f>
        <v>382.8665618</v>
      </c>
      <c r="S37" s="25">
        <f>VLOOKUP($D37,Résultats!$B$2:$AZ$251,S$2,FALSE)</f>
        <v>291.6242373</v>
      </c>
      <c r="T37" s="25">
        <f>VLOOKUP($D37,Résultats!$B$2:$AZ$251,T$2,FALSE)</f>
        <v>332.60519369999997</v>
      </c>
      <c r="U37" s="25">
        <f>VLOOKUP($D37,Résultats!$B$2:$AZ$251,U$2,FALSE)</f>
        <v>326.75547160000002</v>
      </c>
      <c r="V37" s="25">
        <f>VLOOKUP($D37,Résultats!$B$2:$AZ$251,V$2,FALSE)</f>
        <v>317.85219549999999</v>
      </c>
      <c r="W37" s="25">
        <f>VLOOKUP($D37,Résultats!$B$2:$AZ$251,W$2,FALSE)</f>
        <v>307.70643819999998</v>
      </c>
      <c r="X37" s="25">
        <f>VLOOKUP($D37,Résultats!$B$2:$AZ$251,X$2,FALSE)</f>
        <v>250.0127535</v>
      </c>
      <c r="Y37" s="25">
        <f>VLOOKUP($D37,Résultats!$B$2:$AZ$251,Y$2,FALSE)</f>
        <v>267.39787619999998</v>
      </c>
      <c r="Z37" s="25">
        <f>VLOOKUP($D37,Résultats!$B$2:$AZ$251,Z$2,FALSE)</f>
        <v>269.84877299999999</v>
      </c>
      <c r="AA37" s="25">
        <f>VLOOKUP($D37,Résultats!$B$2:$AZ$251,AA$2,FALSE)</f>
        <v>265.71601729999998</v>
      </c>
      <c r="AB37" s="25">
        <f>VLOOKUP($D37,Résultats!$B$2:$AZ$251,AB$2,FALSE)</f>
        <v>259.90417380000002</v>
      </c>
      <c r="AC37" s="25">
        <f>VLOOKUP($D37,Résultats!$B$2:$AZ$251,AC$2,FALSE)</f>
        <v>253.78644539999999</v>
      </c>
      <c r="AD37" s="25">
        <f>VLOOKUP($D37,Résultats!$B$2:$AZ$251,AD$2,FALSE)</f>
        <v>239.25298950000001</v>
      </c>
      <c r="AE37" s="25">
        <f>VLOOKUP($D37,Résultats!$B$2:$AZ$251,AE$2,FALSE)</f>
        <v>230.02571979999999</v>
      </c>
      <c r="AF37" s="25">
        <f>VLOOKUP($D37,Résultats!$B$2:$AZ$251,AF$2,FALSE)</f>
        <v>223.27876000000001</v>
      </c>
      <c r="AG37" s="25">
        <f>VLOOKUP($D37,Résultats!$B$2:$AZ$251,AG$2,FALSE)</f>
        <v>217.6152491</v>
      </c>
      <c r="AH37" s="25">
        <f>VLOOKUP($D37,Résultats!$B$2:$AZ$251,AH$2,FALSE)</f>
        <v>188.66936770000001</v>
      </c>
      <c r="AI37" s="25">
        <f>VLOOKUP($D37,Résultats!$B$2:$AZ$251,AI$2,FALSE)</f>
        <v>193.21926120000001</v>
      </c>
      <c r="AJ37" s="25">
        <f>VLOOKUP($D37,Résultats!$B$2:$AZ$251,AJ$2,FALSE)</f>
        <v>192.4683465</v>
      </c>
      <c r="AK37" s="25">
        <f>VLOOKUP($D37,Résultats!$B$2:$AZ$251,AK$2,FALSE)</f>
        <v>189.5273363</v>
      </c>
      <c r="AL37" s="25">
        <f>VLOOKUP($D37,Résultats!$B$2:$AZ$251,AL$2,FALSE)</f>
        <v>185.8556768</v>
      </c>
      <c r="AM37" s="102">
        <f>VLOOKUP($D37,Résultats!$B$2:$AZ$251,AM$2,FALSE)</f>
        <v>181.9717177</v>
      </c>
    </row>
    <row r="38" spans="2:39" x14ac:dyDescent="0.25">
      <c r="C38" s="218" t="s">
        <v>29</v>
      </c>
      <c r="D38" s="3" t="s">
        <v>153</v>
      </c>
      <c r="E38" s="25">
        <f>VLOOKUP($D38,Résultats!$B$2:$AZ$251,E$2,FALSE)</f>
        <v>673.93200000000002</v>
      </c>
      <c r="F38" s="25">
        <f>VLOOKUP($D38,Résultats!$B$2:$AZ$251,F$2,FALSE)</f>
        <v>554.23158679999995</v>
      </c>
      <c r="G38" s="25">
        <f>VLOOKUP($D38,Résultats!$B$2:$AZ$251,G$2,FALSE)</f>
        <v>620.24709089999999</v>
      </c>
      <c r="H38" s="25">
        <f>VLOOKUP($D38,Résultats!$B$2:$AZ$251,H$2,FALSE)</f>
        <v>626.94042620000005</v>
      </c>
      <c r="I38" s="25">
        <f>VLOOKUP($D38,Résultats!$B$2:$AZ$251,I$2,FALSE)</f>
        <v>619.69470539999998</v>
      </c>
      <c r="J38" s="25">
        <f>VLOOKUP($D38,Résultats!$B$2:$AZ$251,J$2,FALSE)</f>
        <v>575.54698540000004</v>
      </c>
      <c r="K38" s="25">
        <f>VLOOKUP($D38,Résultats!$B$2:$AZ$251,K$2,FALSE)</f>
        <v>602.67544129999999</v>
      </c>
      <c r="L38" s="25">
        <f>VLOOKUP($D38,Résultats!$B$2:$AZ$251,L$2,FALSE)</f>
        <v>582.42943379999997</v>
      </c>
      <c r="M38" s="25">
        <f>VLOOKUP($D38,Résultats!$B$2:$AZ$251,M$2,FALSE)</f>
        <v>596.29171659999997</v>
      </c>
      <c r="N38" s="25">
        <f>VLOOKUP($D38,Résultats!$B$2:$AZ$251,N$2,FALSE)</f>
        <v>393.21111029999997</v>
      </c>
      <c r="O38" s="25">
        <f>VLOOKUP($D38,Résultats!$B$2:$AZ$251,O$2,FALSE)</f>
        <v>508.09826839999999</v>
      </c>
      <c r="P38" s="25">
        <f>VLOOKUP($D38,Résultats!$B$2:$AZ$251,P$2,FALSE)</f>
        <v>537.45850770000004</v>
      </c>
      <c r="Q38" s="25">
        <f>VLOOKUP($D38,Résultats!$B$2:$AZ$251,Q$2,FALSE)</f>
        <v>536.06391819999999</v>
      </c>
      <c r="R38" s="25">
        <f>VLOOKUP($D38,Résultats!$B$2:$AZ$251,R$2,FALSE)</f>
        <v>522.46301440000002</v>
      </c>
      <c r="S38" s="25">
        <f>VLOOKUP($D38,Résultats!$B$2:$AZ$251,S$2,FALSE)</f>
        <v>393.82685679999997</v>
      </c>
      <c r="T38" s="25">
        <f>VLOOKUP($D38,Résultats!$B$2:$AZ$251,T$2,FALSE)</f>
        <v>448.2206534</v>
      </c>
      <c r="U38" s="25">
        <f>VLOOKUP($D38,Résultats!$B$2:$AZ$251,U$2,FALSE)</f>
        <v>437.84468980000003</v>
      </c>
      <c r="V38" s="25">
        <f>VLOOKUP($D38,Résultats!$B$2:$AZ$251,V$2,FALSE)</f>
        <v>423.23813489999998</v>
      </c>
      <c r="W38" s="25">
        <f>VLOOKUP($D38,Résultats!$B$2:$AZ$251,W$2,FALSE)</f>
        <v>407.47409629999999</v>
      </c>
      <c r="X38" s="25">
        <f>VLOOKUP($D38,Résultats!$B$2:$AZ$251,X$2,FALSE)</f>
        <v>327.7819356</v>
      </c>
      <c r="Y38" s="25">
        <f>VLOOKUP($D38,Résultats!$B$2:$AZ$251,Y$2,FALSE)</f>
        <v>349.16059669999999</v>
      </c>
      <c r="Z38" s="25">
        <f>VLOOKUP($D38,Résultats!$B$2:$AZ$251,Z$2,FALSE)</f>
        <v>350.48031580000003</v>
      </c>
      <c r="AA38" s="25">
        <f>VLOOKUP($D38,Résultats!$B$2:$AZ$251,AA$2,FALSE)</f>
        <v>342.7867033</v>
      </c>
      <c r="AB38" s="25">
        <f>VLOOKUP($D38,Résultats!$B$2:$AZ$251,AB$2,FALSE)</f>
        <v>333.00408160000001</v>
      </c>
      <c r="AC38" s="25">
        <f>VLOOKUP($D38,Résultats!$B$2:$AZ$251,AC$2,FALSE)</f>
        <v>323.01981699999999</v>
      </c>
      <c r="AD38" s="25">
        <f>VLOOKUP($D38,Résultats!$B$2:$AZ$251,AD$2,FALSE)</f>
        <v>301.87808289999998</v>
      </c>
      <c r="AE38" s="25">
        <f>VLOOKUP($D38,Résultats!$B$2:$AZ$251,AE$2,FALSE)</f>
        <v>287.7980718</v>
      </c>
      <c r="AF38" s="25">
        <f>VLOOKUP($D38,Résultats!$B$2:$AZ$251,AF$2,FALSE)</f>
        <v>277.09726410000002</v>
      </c>
      <c r="AG38" s="25">
        <f>VLOOKUP($D38,Résultats!$B$2:$AZ$251,AG$2,FALSE)</f>
        <v>267.84436820000002</v>
      </c>
      <c r="AH38" s="25">
        <f>VLOOKUP($D38,Résultats!$B$2:$AZ$251,AH$2,FALSE)</f>
        <v>229.723601</v>
      </c>
      <c r="AI38" s="25">
        <f>VLOOKUP($D38,Résultats!$B$2:$AZ$251,AI$2,FALSE)</f>
        <v>233.72679650000001</v>
      </c>
      <c r="AJ38" s="25">
        <f>VLOOKUP($D38,Résultats!$B$2:$AZ$251,AJ$2,FALSE)</f>
        <v>231.05483530000001</v>
      </c>
      <c r="AK38" s="25">
        <f>VLOOKUP($D38,Résultats!$B$2:$AZ$251,AK$2,FALSE)</f>
        <v>225.66514470000001</v>
      </c>
      <c r="AL38" s="25">
        <f>VLOOKUP($D38,Résultats!$B$2:$AZ$251,AL$2,FALSE)</f>
        <v>219.49049099999999</v>
      </c>
      <c r="AM38" s="102">
        <f>VLOOKUP($D38,Résultats!$B$2:$AZ$251,AM$2,FALSE)</f>
        <v>213.2002018</v>
      </c>
    </row>
    <row r="39" spans="2:39" x14ac:dyDescent="0.25">
      <c r="C39" s="218" t="s">
        <v>30</v>
      </c>
      <c r="D39" s="3" t="s">
        <v>154</v>
      </c>
      <c r="E39" s="25">
        <f>VLOOKUP($D39,Résultats!$B$2:$AZ$251,E$2,FALSE)</f>
        <v>664.44</v>
      </c>
      <c r="F39" s="25">
        <f>VLOOKUP($D39,Résultats!$B$2:$AZ$251,F$2,FALSE)</f>
        <v>532.24571089999995</v>
      </c>
      <c r="G39" s="25">
        <f>VLOOKUP($D39,Résultats!$B$2:$AZ$251,G$2,FALSE)</f>
        <v>592.4931259</v>
      </c>
      <c r="H39" s="25">
        <f>VLOOKUP($D39,Résultats!$B$2:$AZ$251,H$2,FALSE)</f>
        <v>600.5814924</v>
      </c>
      <c r="I39" s="25">
        <f>VLOOKUP($D39,Résultats!$B$2:$AZ$251,I$2,FALSE)</f>
        <v>580.85251319999998</v>
      </c>
      <c r="J39" s="25">
        <f>VLOOKUP($D39,Résultats!$B$2:$AZ$251,J$2,FALSE)</f>
        <v>553.20934380000006</v>
      </c>
      <c r="K39" s="25">
        <f>VLOOKUP($D39,Résultats!$B$2:$AZ$251,K$2,FALSE)</f>
        <v>568.82323940000003</v>
      </c>
      <c r="L39" s="25">
        <f>VLOOKUP($D39,Résultats!$B$2:$AZ$251,L$2,FALSE)</f>
        <v>544.55404729999998</v>
      </c>
      <c r="M39" s="25">
        <f>VLOOKUP($D39,Résultats!$B$2:$AZ$251,M$2,FALSE)</f>
        <v>555.67360289999999</v>
      </c>
      <c r="N39" s="25">
        <f>VLOOKUP($D39,Résultats!$B$2:$AZ$251,N$2,FALSE)</f>
        <v>364.0391386</v>
      </c>
      <c r="O39" s="25">
        <f>VLOOKUP($D39,Résultats!$B$2:$AZ$251,O$2,FALSE)</f>
        <v>470.81646269999999</v>
      </c>
      <c r="P39" s="25">
        <f>VLOOKUP($D39,Résultats!$B$2:$AZ$251,P$2,FALSE)</f>
        <v>496.95122789999999</v>
      </c>
      <c r="Q39" s="25">
        <f>VLOOKUP($D39,Résultats!$B$2:$AZ$251,Q$2,FALSE)</f>
        <v>494.02620300000001</v>
      </c>
      <c r="R39" s="25">
        <f>VLOOKUP($D39,Résultats!$B$2:$AZ$251,R$2,FALSE)</f>
        <v>479.73190080000001</v>
      </c>
      <c r="S39" s="25">
        <f>VLOOKUP($D39,Résultats!$B$2:$AZ$251,S$2,FALSE)</f>
        <v>359.5596559</v>
      </c>
      <c r="T39" s="25">
        <f>VLOOKUP($D39,Résultats!$B$2:$AZ$251,T$2,FALSE)</f>
        <v>408.68156549999998</v>
      </c>
      <c r="U39" s="25">
        <f>VLOOKUP($D39,Résultats!$B$2:$AZ$251,U$2,FALSE)</f>
        <v>397.9123419</v>
      </c>
      <c r="V39" s="25">
        <f>VLOOKUP($D39,Résultats!$B$2:$AZ$251,V$2,FALSE)</f>
        <v>383.24326639999998</v>
      </c>
      <c r="W39" s="25">
        <f>VLOOKUP($D39,Résultats!$B$2:$AZ$251,W$2,FALSE)</f>
        <v>367.77649509999998</v>
      </c>
      <c r="X39" s="25">
        <f>VLOOKUP($D39,Résultats!$B$2:$AZ$251,X$2,FALSE)</f>
        <v>294.1584785</v>
      </c>
      <c r="Y39" s="25">
        <f>VLOOKUP($D39,Résultats!$B$2:$AZ$251,Y$2,FALSE)</f>
        <v>312.58353469999997</v>
      </c>
      <c r="Z39" s="25">
        <f>VLOOKUP($D39,Résultats!$B$2:$AZ$251,Z$2,FALSE)</f>
        <v>312.78251920000002</v>
      </c>
      <c r="AA39" s="25">
        <f>VLOOKUP($D39,Résultats!$B$2:$AZ$251,AA$2,FALSE)</f>
        <v>304.72482910000002</v>
      </c>
      <c r="AB39" s="25">
        <f>VLOOKUP($D39,Résultats!$B$2:$AZ$251,AB$2,FALSE)</f>
        <v>294.86364200000003</v>
      </c>
      <c r="AC39" s="25">
        <f>VLOOKUP($D39,Résultats!$B$2:$AZ$251,AC$2,FALSE)</f>
        <v>284.93184430000002</v>
      </c>
      <c r="AD39" s="25">
        <f>VLOOKUP($D39,Résultats!$B$2:$AZ$251,AD$2,FALSE)</f>
        <v>264.94926320000002</v>
      </c>
      <c r="AE39" s="25">
        <f>VLOOKUP($D39,Résultats!$B$2:$AZ$251,AE$2,FALSE)</f>
        <v>251.36887619999999</v>
      </c>
      <c r="AF39" s="25">
        <f>VLOOKUP($D39,Résultats!$B$2:$AZ$251,AF$2,FALSE)</f>
        <v>240.8954406</v>
      </c>
      <c r="AG39" s="25">
        <f>VLOOKUP($D39,Résultats!$B$2:$AZ$251,AG$2,FALSE)</f>
        <v>231.7541094</v>
      </c>
      <c r="AH39" s="25">
        <f>VLOOKUP($D39,Résultats!$B$2:$AZ$251,AH$2,FALSE)</f>
        <v>197.57734260000001</v>
      </c>
      <c r="AI39" s="25">
        <f>VLOOKUP($D39,Résultats!$B$2:$AZ$251,AI$2,FALSE)</f>
        <v>200.2540783</v>
      </c>
      <c r="AJ39" s="25">
        <f>VLOOKUP($D39,Résultats!$B$2:$AZ$251,AJ$2,FALSE)</f>
        <v>197.10782710000001</v>
      </c>
      <c r="AK39" s="25">
        <f>VLOOKUP($D39,Résultats!$B$2:$AZ$251,AK$2,FALSE)</f>
        <v>191.6264688</v>
      </c>
      <c r="AL39" s="25">
        <f>VLOOKUP($D39,Résultats!$B$2:$AZ$251,AL$2,FALSE)</f>
        <v>185.5414437</v>
      </c>
      <c r="AM39" s="102">
        <f>VLOOKUP($D39,Résultats!$B$2:$AZ$251,AM$2,FALSE)</f>
        <v>179.44238200000001</v>
      </c>
    </row>
    <row r="40" spans="2:39" x14ac:dyDescent="0.25">
      <c r="C40" s="218" t="s">
        <v>31</v>
      </c>
      <c r="D40" s="3" t="s">
        <v>155</v>
      </c>
      <c r="E40" s="25">
        <f>VLOOKUP($D40,Résultats!$B$2:$AZ$251,E$2,FALSE)</f>
        <v>427.14</v>
      </c>
      <c r="F40" s="25">
        <f>VLOOKUP($D40,Résultats!$B$2:$AZ$251,F$2,FALSE)</f>
        <v>324.18554599999999</v>
      </c>
      <c r="G40" s="25">
        <f>VLOOKUP($D40,Résultats!$B$2:$AZ$251,G$2,FALSE)</f>
        <v>353.52463110000002</v>
      </c>
      <c r="H40" s="25">
        <f>VLOOKUP($D40,Résultats!$B$2:$AZ$251,H$2,FALSE)</f>
        <v>351.78321990000001</v>
      </c>
      <c r="I40" s="25">
        <f>VLOOKUP($D40,Résultats!$B$2:$AZ$251,I$2,FALSE)</f>
        <v>320.48763020000001</v>
      </c>
      <c r="J40" s="25">
        <f>VLOOKUP($D40,Résultats!$B$2:$AZ$251,J$2,FALSE)</f>
        <v>319.62484230000001</v>
      </c>
      <c r="K40" s="25">
        <f>VLOOKUP($D40,Résultats!$B$2:$AZ$251,K$2,FALSE)</f>
        <v>300.46399639999998</v>
      </c>
      <c r="L40" s="25">
        <f>VLOOKUP($D40,Résultats!$B$2:$AZ$251,L$2,FALSE)</f>
        <v>279.09586999999999</v>
      </c>
      <c r="M40" s="25">
        <f>VLOOKUP($D40,Résultats!$B$2:$AZ$251,M$2,FALSE)</f>
        <v>281.89955930000002</v>
      </c>
      <c r="N40" s="25">
        <f>VLOOKUP($D40,Résultats!$B$2:$AZ$251,N$2,FALSE)</f>
        <v>181.0294432</v>
      </c>
      <c r="O40" s="25">
        <f>VLOOKUP($D40,Résultats!$B$2:$AZ$251,O$2,FALSE)</f>
        <v>234.77272719999999</v>
      </c>
      <c r="P40" s="25">
        <f>VLOOKUP($D40,Résultats!$B$2:$AZ$251,P$2,FALSE)</f>
        <v>246.27571879999999</v>
      </c>
      <c r="Q40" s="25">
        <f>VLOOKUP($D40,Résultats!$B$2:$AZ$251,Q$2,FALSE)</f>
        <v>242.50012050000001</v>
      </c>
      <c r="R40" s="25">
        <f>VLOOKUP($D40,Résultats!$B$2:$AZ$251,R$2,FALSE)</f>
        <v>233.04418519999999</v>
      </c>
      <c r="S40" s="25">
        <f>VLOOKUP($D40,Résultats!$B$2:$AZ$251,S$2,FALSE)</f>
        <v>171.88904690000001</v>
      </c>
      <c r="T40" s="25">
        <f>VLOOKUP($D40,Résultats!$B$2:$AZ$251,T$2,FALSE)</f>
        <v>194.7283023</v>
      </c>
      <c r="U40" s="25">
        <f>VLOOKUP($D40,Résultats!$B$2:$AZ$251,U$2,FALSE)</f>
        <v>187.97140709999999</v>
      </c>
      <c r="V40" s="25">
        <f>VLOOKUP($D40,Résultats!$B$2:$AZ$251,V$2,FALSE)</f>
        <v>179.3510225</v>
      </c>
      <c r="W40" s="25">
        <f>VLOOKUP($D40,Résultats!$B$2:$AZ$251,W$2,FALSE)</f>
        <v>170.72718829999999</v>
      </c>
      <c r="X40" s="25">
        <f>VLOOKUP($D40,Résultats!$B$2:$AZ$251,X$2,FALSE)</f>
        <v>134.6324056</v>
      </c>
      <c r="Y40" s="25">
        <f>VLOOKUP($D40,Résultats!$B$2:$AZ$251,Y$2,FALSE)</f>
        <v>142.26433230000001</v>
      </c>
      <c r="Z40" s="25">
        <f>VLOOKUP($D40,Résultats!$B$2:$AZ$251,Z$2,FALSE)</f>
        <v>141.32796769999999</v>
      </c>
      <c r="AA40" s="25">
        <f>VLOOKUP($D40,Résultats!$B$2:$AZ$251,AA$2,FALSE)</f>
        <v>136.4724405</v>
      </c>
      <c r="AB40" s="25">
        <f>VLOOKUP($D40,Résultats!$B$2:$AZ$251,AB$2,FALSE)</f>
        <v>130.9194521</v>
      </c>
      <c r="AC40" s="25">
        <f>VLOOKUP($D40,Résultats!$B$2:$AZ$251,AC$2,FALSE)</f>
        <v>125.495395</v>
      </c>
      <c r="AD40" s="25">
        <f>VLOOKUP($D40,Résultats!$B$2:$AZ$251,AD$2,FALSE)</f>
        <v>115.5229607</v>
      </c>
      <c r="AE40" s="25">
        <f>VLOOKUP($D40,Résultats!$B$2:$AZ$251,AE$2,FALSE)</f>
        <v>108.6011367</v>
      </c>
      <c r="AF40" s="25">
        <f>VLOOKUP($D40,Résultats!$B$2:$AZ$251,AF$2,FALSE)</f>
        <v>103.22143130000001</v>
      </c>
      <c r="AG40" s="25">
        <f>VLOOKUP($D40,Résultats!$B$2:$AZ$251,AG$2,FALSE)</f>
        <v>98.534681120000002</v>
      </c>
      <c r="AH40" s="25">
        <f>VLOOKUP($D40,Résultats!$B$2:$AZ$251,AH$2,FALSE)</f>
        <v>83.231213940000004</v>
      </c>
      <c r="AI40" s="25">
        <f>VLOOKUP($D40,Résultats!$B$2:$AZ$251,AI$2,FALSE)</f>
        <v>83.946207790000003</v>
      </c>
      <c r="AJ40" s="25">
        <f>VLOOKUP($D40,Résultats!$B$2:$AZ$251,AJ$2,FALSE)</f>
        <v>82.204777300000003</v>
      </c>
      <c r="AK40" s="25">
        <f>VLOOKUP($D40,Résultats!$B$2:$AZ$251,AK$2,FALSE)</f>
        <v>79.534499150000002</v>
      </c>
      <c r="AL40" s="25">
        <f>VLOOKUP($D40,Résultats!$B$2:$AZ$251,AL$2,FALSE)</f>
        <v>76.70037232</v>
      </c>
      <c r="AM40" s="102">
        <f>VLOOKUP($D40,Résultats!$B$2:$AZ$251,AM$2,FALSE)</f>
        <v>73.949527590000002</v>
      </c>
    </row>
    <row r="41" spans="2:39" x14ac:dyDescent="0.25">
      <c r="C41" s="218" t="s">
        <v>32</v>
      </c>
      <c r="D41" s="3" t="s">
        <v>156</v>
      </c>
      <c r="E41" s="25">
        <f>VLOOKUP($D41,Résultats!$B$2:$AZ$251,E$2,FALSE)</f>
        <v>142.38</v>
      </c>
      <c r="F41" s="25">
        <f>VLOOKUP($D41,Résultats!$B$2:$AZ$251,F$2,FALSE)</f>
        <v>88.227292489999996</v>
      </c>
      <c r="G41" s="25">
        <f>VLOOKUP($D41,Résultats!$B$2:$AZ$251,G$2,FALSE)</f>
        <v>101.3026437</v>
      </c>
      <c r="H41" s="25">
        <f>VLOOKUP($D41,Résultats!$B$2:$AZ$251,H$2,FALSE)</f>
        <v>97.927396450000003</v>
      </c>
      <c r="I41" s="25">
        <f>VLOOKUP($D41,Résultats!$B$2:$AZ$251,I$2,FALSE)</f>
        <v>79.557652020000006</v>
      </c>
      <c r="J41" s="25">
        <f>VLOOKUP($D41,Résultats!$B$2:$AZ$251,J$2,FALSE)</f>
        <v>54.151366039999999</v>
      </c>
      <c r="K41" s="25">
        <f>VLOOKUP($D41,Résultats!$B$2:$AZ$251,K$2,FALSE)</f>
        <v>39.535545800000001</v>
      </c>
      <c r="L41" s="25">
        <f>VLOOKUP($D41,Résultats!$B$2:$AZ$251,L$2,FALSE)</f>
        <v>32.19057892</v>
      </c>
      <c r="M41" s="25">
        <f>VLOOKUP($D41,Résultats!$B$2:$AZ$251,M$2,FALSE)</f>
        <v>31.0688241</v>
      </c>
      <c r="N41" s="25">
        <f>VLOOKUP($D41,Résultats!$B$2:$AZ$251,N$2,FALSE)</f>
        <v>18.23763533</v>
      </c>
      <c r="O41" s="25">
        <f>VLOOKUP($D41,Résultats!$B$2:$AZ$251,O$2,FALSE)</f>
        <v>23.94628436</v>
      </c>
      <c r="P41" s="25">
        <f>VLOOKUP($D41,Résultats!$B$2:$AZ$251,P$2,FALSE)</f>
        <v>24.41744662</v>
      </c>
      <c r="Q41" s="25">
        <f>VLOOKUP($D41,Résultats!$B$2:$AZ$251,Q$2,FALSE)</f>
        <v>23.0111104</v>
      </c>
      <c r="R41" s="25">
        <f>VLOOKUP($D41,Résultats!$B$2:$AZ$251,R$2,FALSE)</f>
        <v>21.072394580000001</v>
      </c>
      <c r="S41" s="25">
        <f>VLOOKUP($D41,Résultats!$B$2:$AZ$251,S$2,FALSE)</f>
        <v>14.42385575</v>
      </c>
      <c r="T41" s="25">
        <f>VLOOKUP($D41,Résultats!$B$2:$AZ$251,T$2,FALSE)</f>
        <v>16.080932650000001</v>
      </c>
      <c r="U41" s="25">
        <f>VLOOKUP($D41,Résultats!$B$2:$AZ$251,U$2,FALSE)</f>
        <v>14.89792789</v>
      </c>
      <c r="V41" s="25">
        <f>VLOOKUP($D41,Résultats!$B$2:$AZ$251,V$2,FALSE)</f>
        <v>13.589704660000001</v>
      </c>
      <c r="W41" s="25">
        <f>VLOOKUP($D41,Résultats!$B$2:$AZ$251,W$2,FALSE)</f>
        <v>12.4396807</v>
      </c>
      <c r="X41" s="25">
        <f>VLOOKUP($D41,Résultats!$B$2:$AZ$251,X$2,FALSE)</f>
        <v>9.1625172349999904</v>
      </c>
      <c r="Y41" s="25">
        <f>VLOOKUP($D41,Résultats!$B$2:$AZ$251,Y$2,FALSE)</f>
        <v>9.4176230309999998</v>
      </c>
      <c r="Z41" s="25">
        <f>VLOOKUP($D41,Résultats!$B$2:$AZ$251,Z$2,FALSE)</f>
        <v>9.0307521309999998</v>
      </c>
      <c r="AA41" s="25">
        <f>VLOOKUP($D41,Résultats!$B$2:$AZ$251,AA$2,FALSE)</f>
        <v>8.3540117970000001</v>
      </c>
      <c r="AB41" s="25">
        <f>VLOOKUP($D41,Résultats!$B$2:$AZ$251,AB$2,FALSE)</f>
        <v>7.6862293360000002</v>
      </c>
      <c r="AC41" s="25">
        <f>VLOOKUP($D41,Résultats!$B$2:$AZ$251,AC$2,FALSE)</f>
        <v>7.087403643</v>
      </c>
      <c r="AD41" s="25">
        <f>VLOOKUP($D41,Résultats!$B$2:$AZ$251,AD$2,FALSE)</f>
        <v>6.2166453610000003</v>
      </c>
      <c r="AE41" s="25">
        <f>VLOOKUP($D41,Résultats!$B$2:$AZ$251,AE$2,FALSE)</f>
        <v>5.5951746020000002</v>
      </c>
      <c r="AF41" s="25">
        <f>VLOOKUP($D41,Résultats!$B$2:$AZ$251,AF$2,FALSE)</f>
        <v>5.1155945880000004</v>
      </c>
      <c r="AG41" s="25">
        <f>VLOOKUP($D41,Résultats!$B$2:$AZ$251,AG$2,FALSE)</f>
        <v>4.7102033240000001</v>
      </c>
      <c r="AH41" s="25">
        <f>VLOOKUP($D41,Résultats!$B$2:$AZ$251,AH$2,FALSE)</f>
        <v>3.817834103</v>
      </c>
      <c r="AI41" s="25">
        <f>VLOOKUP($D41,Résultats!$B$2:$AZ$251,AI$2,FALSE)</f>
        <v>3.7624234950000002</v>
      </c>
      <c r="AJ41" s="25">
        <f>VLOOKUP($D41,Résultats!$B$2:$AZ$251,AJ$2,FALSE)</f>
        <v>3.5980942649999998</v>
      </c>
      <c r="AK41" s="25">
        <f>VLOOKUP($D41,Résultats!$B$2:$AZ$251,AK$2,FALSE)</f>
        <v>3.4053851470000001</v>
      </c>
      <c r="AL41" s="25">
        <f>VLOOKUP($D41,Résultats!$B$2:$AZ$251,AL$2,FALSE)</f>
        <v>3.2236417570000002</v>
      </c>
      <c r="AM41" s="102">
        <f>VLOOKUP($D41,Résultats!$B$2:$AZ$251,AM$2,FALSE)</f>
        <v>3.0618351700000002</v>
      </c>
    </row>
    <row r="42" spans="2:39" x14ac:dyDescent="0.25">
      <c r="C42" s="219" t="s">
        <v>33</v>
      </c>
      <c r="D42" s="7" t="s">
        <v>157</v>
      </c>
      <c r="E42" s="57">
        <f>VLOOKUP($D42,Résultats!$B$2:$AZ$251,E$2,FALSE)</f>
        <v>35.594999999999999</v>
      </c>
      <c r="F42" s="57">
        <f>VLOOKUP($D42,Résultats!$B$2:$AZ$251,F$2,FALSE)</f>
        <v>14.927661649999999</v>
      </c>
      <c r="G42" s="57">
        <f>VLOOKUP($D42,Résultats!$B$2:$AZ$251,G$2,FALSE)</f>
        <v>17.683476800000001</v>
      </c>
      <c r="H42" s="57">
        <f>VLOOKUP($D42,Résultats!$B$2:$AZ$251,H$2,FALSE)</f>
        <v>14.177972690000001</v>
      </c>
      <c r="I42" s="57">
        <f>VLOOKUP($D42,Résultats!$B$2:$AZ$251,I$2,FALSE)</f>
        <v>9.1546741120000004</v>
      </c>
      <c r="J42" s="57">
        <f>VLOOKUP($D42,Résultats!$B$2:$AZ$251,J$2,FALSE)</f>
        <v>2.6696679670000001</v>
      </c>
      <c r="K42" s="57">
        <f>VLOOKUP($D42,Résultats!$B$2:$AZ$251,K$2,FALSE)</f>
        <v>0</v>
      </c>
      <c r="L42" s="57">
        <f>VLOOKUP($D42,Résultats!$B$2:$AZ$251,L$2,FALSE)</f>
        <v>0</v>
      </c>
      <c r="M42" s="57">
        <f>VLOOKUP($D42,Résultats!$B$2:$AZ$251,M$2,FALSE)</f>
        <v>0</v>
      </c>
      <c r="N42" s="57">
        <f>VLOOKUP($D42,Résultats!$B$2:$AZ$251,N$2,FALSE)</f>
        <v>0</v>
      </c>
      <c r="O42" s="57">
        <f>VLOOKUP($D42,Résultats!$B$2:$AZ$251,O$2,FALSE)</f>
        <v>0</v>
      </c>
      <c r="P42" s="57">
        <f>VLOOKUP($D42,Résultats!$B$2:$AZ$251,P$2,FALSE)</f>
        <v>0</v>
      </c>
      <c r="Q42" s="57">
        <f>VLOOKUP($D42,Résultats!$B$2:$AZ$251,Q$2,FALSE)</f>
        <v>0</v>
      </c>
      <c r="R42" s="57">
        <f>VLOOKUP($D42,Résultats!$B$2:$AZ$251,R$2,FALSE)</f>
        <v>0</v>
      </c>
      <c r="S42" s="57">
        <f>VLOOKUP($D42,Résultats!$B$2:$AZ$251,S$2,FALSE)</f>
        <v>0</v>
      </c>
      <c r="T42" s="57">
        <f>VLOOKUP($D42,Résultats!$B$2:$AZ$251,T$2,FALSE)</f>
        <v>0</v>
      </c>
      <c r="U42" s="57">
        <f>VLOOKUP($D42,Résultats!$B$2:$AZ$251,U$2,FALSE)</f>
        <v>0</v>
      </c>
      <c r="V42" s="57">
        <f>VLOOKUP($D42,Résultats!$B$2:$AZ$251,V$2,FALSE)</f>
        <v>0</v>
      </c>
      <c r="W42" s="57">
        <f>VLOOKUP($D42,Résultats!$B$2:$AZ$251,W$2,FALSE)</f>
        <v>0</v>
      </c>
      <c r="X42" s="57">
        <f>VLOOKUP($D42,Résultats!$B$2:$AZ$251,X$2,FALSE)</f>
        <v>0</v>
      </c>
      <c r="Y42" s="57">
        <f>VLOOKUP($D42,Résultats!$B$2:$AZ$251,Y$2,FALSE)</f>
        <v>0</v>
      </c>
      <c r="Z42" s="57">
        <f>VLOOKUP($D42,Résultats!$B$2:$AZ$251,Z$2,FALSE)</f>
        <v>0</v>
      </c>
      <c r="AA42" s="57">
        <f>VLOOKUP($D42,Résultats!$B$2:$AZ$251,AA$2,FALSE)</f>
        <v>0</v>
      </c>
      <c r="AB42" s="57">
        <f>VLOOKUP($D42,Résultats!$B$2:$AZ$251,AB$2,FALSE)</f>
        <v>0</v>
      </c>
      <c r="AC42" s="57">
        <f>VLOOKUP($D42,Résultats!$B$2:$AZ$251,AC$2,FALSE)</f>
        <v>0</v>
      </c>
      <c r="AD42" s="57">
        <f>VLOOKUP($D42,Résultats!$B$2:$AZ$251,AD$2,FALSE)</f>
        <v>0</v>
      </c>
      <c r="AE42" s="57">
        <f>VLOOKUP($D42,Résultats!$B$2:$AZ$251,AE$2,FALSE)</f>
        <v>0</v>
      </c>
      <c r="AF42" s="57">
        <f>VLOOKUP($D42,Résultats!$B$2:$AZ$251,AF$2,FALSE)</f>
        <v>0</v>
      </c>
      <c r="AG42" s="57">
        <f>VLOOKUP($D42,Résultats!$B$2:$AZ$251,AG$2,FALSE)</f>
        <v>0</v>
      </c>
      <c r="AH42" s="57">
        <f>VLOOKUP($D42,Résultats!$B$2:$AZ$251,AH$2,FALSE)</f>
        <v>0</v>
      </c>
      <c r="AI42" s="57">
        <f>VLOOKUP($D42,Résultats!$B$2:$AZ$251,AI$2,FALSE)</f>
        <v>0</v>
      </c>
      <c r="AJ42" s="57">
        <f>VLOOKUP($D42,Résultats!$B$2:$AZ$251,AJ$2,FALSE)</f>
        <v>0</v>
      </c>
      <c r="AK42" s="57">
        <f>VLOOKUP($D42,Résultats!$B$2:$AZ$251,AK$2,FALSE)</f>
        <v>0</v>
      </c>
      <c r="AL42" s="57">
        <f>VLOOKUP($D42,Résultats!$B$2:$AZ$251,AL$2,FALSE)</f>
        <v>0</v>
      </c>
      <c r="AM42" s="215">
        <f>VLOOKUP($D42,Résultats!$B$2:$AZ$251,AM$2,FALSE)</f>
        <v>0</v>
      </c>
    </row>
    <row r="43" spans="2:39" x14ac:dyDescent="0.25">
      <c r="B43" s="229" t="s">
        <v>78</v>
      </c>
      <c r="C43" s="220" t="s">
        <v>463</v>
      </c>
      <c r="D43" s="58" t="s">
        <v>130</v>
      </c>
      <c r="E43" s="99">
        <f>VLOOKUP($D48,Résultats!$B$2:$AZ$212,E$2,FALSE)</f>
        <v>32001.800439999999</v>
      </c>
      <c r="F43" s="99">
        <f>VLOOKUP($D48,Résultats!$B$2:$AZ$212,F$2,FALSE)</f>
        <v>35911.307350000003</v>
      </c>
      <c r="G43" s="99">
        <f>VLOOKUP($D48,Résultats!$B$2:$AZ$212,G$2,FALSE)</f>
        <v>36708.886160000002</v>
      </c>
      <c r="H43" s="99">
        <f>VLOOKUP($D48,Résultats!$B$2:$AZ$212,H$2,FALSE)</f>
        <v>37113.743849999999</v>
      </c>
      <c r="I43" s="99">
        <f>VLOOKUP($D48,Résultats!$B$2:$AZ$212,I$2,FALSE)</f>
        <v>37468.153879999998</v>
      </c>
      <c r="J43" s="99">
        <f>VLOOKUP($D48,Résultats!$B$2:$AZ$212,J$2,FALSE)</f>
        <v>37679.582190000001</v>
      </c>
      <c r="K43" s="99">
        <f>VLOOKUP($D48,Résultats!$B$2:$AZ$212,K$2,FALSE)</f>
        <v>37785.530330000001</v>
      </c>
      <c r="L43" s="99">
        <f>VLOOKUP($D48,Résultats!$B$2:$AZ$212,L$2,FALSE)</f>
        <v>37733.513099999996</v>
      </c>
      <c r="M43" s="99">
        <f>VLOOKUP($D48,Résultats!$B$2:$AZ$212,M$2,FALSE)</f>
        <v>37791.387499999997</v>
      </c>
      <c r="N43" s="99">
        <f>VLOOKUP($D48,Résultats!$B$2:$AZ$212,N$2,FALSE)</f>
        <v>37114.885020000002</v>
      </c>
      <c r="O43" s="99">
        <f>VLOOKUP($D48,Résultats!$B$2:$AZ$212,O$2,FALSE)</f>
        <v>36994.301809999997</v>
      </c>
      <c r="P43" s="99">
        <f>VLOOKUP($D48,Résultats!$B$2:$AZ$212,P$2,FALSE)</f>
        <v>37081.220289999997</v>
      </c>
      <c r="Q43" s="99">
        <f>VLOOKUP($D48,Résultats!$B$2:$AZ$212,Q$2,FALSE)</f>
        <v>37250.009299999998</v>
      </c>
      <c r="R43" s="99">
        <f>VLOOKUP($D48,Résultats!$B$2:$AZ$212,R$2,FALSE)</f>
        <v>37450.677770000002</v>
      </c>
      <c r="S43" s="99">
        <f>VLOOKUP($D48,Résultats!$B$2:$AZ$212,S$2,FALSE)</f>
        <v>37136.00647</v>
      </c>
      <c r="T43" s="99">
        <f>VLOOKUP($D48,Résultats!$B$2:$AZ$212,T$2,FALSE)</f>
        <v>37202.100559999999</v>
      </c>
      <c r="U43" s="99">
        <f>VLOOKUP($D48,Résultats!$B$2:$AZ$212,U$2,FALSE)</f>
        <v>37319.641949999997</v>
      </c>
      <c r="V43" s="99">
        <f>VLOOKUP($D48,Résultats!$B$2:$AZ$212,V$2,FALSE)</f>
        <v>37462.784959999997</v>
      </c>
      <c r="W43" s="99">
        <f>VLOOKUP($D48,Résultats!$B$2:$AZ$212,W$2,FALSE)</f>
        <v>37619.637450000002</v>
      </c>
      <c r="X43" s="99">
        <f>VLOOKUP($D48,Résultats!$B$2:$AZ$212,X$2,FALSE)</f>
        <v>37399.192340000001</v>
      </c>
      <c r="Y43" s="99">
        <f>VLOOKUP($D48,Résultats!$B$2:$AZ$212,Y$2,FALSE)</f>
        <v>37419.360200000003</v>
      </c>
      <c r="Z43" s="99">
        <f>VLOOKUP($D48,Résultats!$B$2:$AZ$212,Z$2,FALSE)</f>
        <v>37547.201099999998</v>
      </c>
      <c r="AA43" s="99">
        <f>VLOOKUP($D48,Résultats!$B$2:$AZ$212,AA$2,FALSE)</f>
        <v>37717.020199999999</v>
      </c>
      <c r="AB43" s="99">
        <f>VLOOKUP($D48,Résultats!$B$2:$AZ$212,AB$2,FALSE)</f>
        <v>37907.858330000003</v>
      </c>
      <c r="AC43" s="99">
        <f>VLOOKUP($D48,Résultats!$B$2:$AZ$212,AC$2,FALSE)</f>
        <v>38111.790990000001</v>
      </c>
      <c r="AD43" s="99">
        <f>VLOOKUP($D48,Résultats!$B$2:$AZ$212,AD$2,FALSE)</f>
        <v>38224.932780000003</v>
      </c>
      <c r="AE43" s="99">
        <f>VLOOKUP($D48,Résultats!$B$2:$AZ$212,AE$2,FALSE)</f>
        <v>38297.572139999997</v>
      </c>
      <c r="AF43" s="99">
        <f>VLOOKUP($D48,Résultats!$B$2:$AZ$212,AF$2,FALSE)</f>
        <v>38352.304980000001</v>
      </c>
      <c r="AG43" s="99">
        <f>VLOOKUP($D48,Résultats!$B$2:$AZ$212,AG$2,FALSE)</f>
        <v>38396.995199999998</v>
      </c>
      <c r="AH43" s="99">
        <f>VLOOKUP($D48,Résultats!$B$2:$AZ$212,AH$2,FALSE)</f>
        <v>38166.660320000003</v>
      </c>
      <c r="AI43" s="99">
        <f>VLOOKUP($D48,Résultats!$B$2:$AZ$212,AI$2,FALSE)</f>
        <v>38048.024680000002</v>
      </c>
      <c r="AJ43" s="99">
        <f>VLOOKUP($D48,Résultats!$B$2:$AZ$212,AJ$2,FALSE)</f>
        <v>37973.786169999999</v>
      </c>
      <c r="AK43" s="99">
        <f>VLOOKUP($D48,Résultats!$B$2:$AZ$212,AK$2,FALSE)</f>
        <v>37913.747730000003</v>
      </c>
      <c r="AL43" s="99">
        <f>VLOOKUP($D48,Résultats!$B$2:$AZ$212,AL$2,FALSE)</f>
        <v>37856.213680000001</v>
      </c>
      <c r="AM43" s="104">
        <f>VLOOKUP($D48,Résultats!$B$2:$AZ$212,AM$2,FALSE)</f>
        <v>37796.341200000003</v>
      </c>
    </row>
    <row r="44" spans="2:39" x14ac:dyDescent="0.25">
      <c r="B44" s="230"/>
      <c r="C44" s="218" t="s">
        <v>8</v>
      </c>
      <c r="D44" s="54" t="s">
        <v>145</v>
      </c>
      <c r="E44" s="25">
        <f>VLOOKUP($D44,Résultats!$B$2:$AZ$212,E$2,FALSE)</f>
        <v>0</v>
      </c>
      <c r="F44" s="25">
        <f>VLOOKUP($D44,Résultats!$B$2:$AZ$212,F$2,FALSE)</f>
        <v>0</v>
      </c>
      <c r="G44" s="25">
        <f>VLOOKUP($D44,Résultats!$B$2:$AZ$212,G$2,FALSE)</f>
        <v>0</v>
      </c>
      <c r="H44" s="25">
        <f>VLOOKUP($D44,Résultats!$B$2:$AZ$212,H$2,FALSE)</f>
        <v>0</v>
      </c>
      <c r="I44" s="25">
        <f>VLOOKUP($D44,Résultats!$B$2:$AZ$212,I$2,FALSE)</f>
        <v>0</v>
      </c>
      <c r="J44" s="25">
        <f>VLOOKUP($D44,Résultats!$B$2:$AZ$212,J$2,FALSE)</f>
        <v>0</v>
      </c>
      <c r="K44" s="25">
        <f>VLOOKUP($D44,Résultats!$B$2:$AZ$212,K$2,FALSE)</f>
        <v>0</v>
      </c>
      <c r="L44" s="25">
        <f>VLOOKUP($D44,Résultats!$B$2:$AZ$212,L$2,FALSE)</f>
        <v>0</v>
      </c>
      <c r="M44" s="25">
        <f>VLOOKUP($D44,Résultats!$B$2:$AZ$212,M$2,FALSE)</f>
        <v>0</v>
      </c>
      <c r="N44" s="25">
        <f>VLOOKUP($D44,Résultats!$B$2:$AZ$212,N$2,FALSE)</f>
        <v>0</v>
      </c>
      <c r="O44" s="25">
        <f>VLOOKUP($D44,Résultats!$B$2:$AZ$212,O$2,FALSE)</f>
        <v>0</v>
      </c>
      <c r="P44" s="25">
        <f>VLOOKUP($D44,Résultats!$B$2:$AZ$212,P$2,FALSE)</f>
        <v>0</v>
      </c>
      <c r="Q44" s="25">
        <f>VLOOKUP($D44,Résultats!$B$2:$AZ$212,Q$2,FALSE)</f>
        <v>0</v>
      </c>
      <c r="R44" s="25">
        <f>VLOOKUP($D44,Résultats!$B$2:$AZ$212,R$2,FALSE)</f>
        <v>0</v>
      </c>
      <c r="S44" s="25">
        <f>VLOOKUP($D44,Résultats!$B$2:$AZ$212,S$2,FALSE)</f>
        <v>0</v>
      </c>
      <c r="T44" s="25">
        <f>VLOOKUP($D44,Résultats!$B$2:$AZ$212,T$2,FALSE)</f>
        <v>0</v>
      </c>
      <c r="U44" s="25">
        <f>VLOOKUP($D44,Résultats!$B$2:$AZ$212,U$2,FALSE)</f>
        <v>0</v>
      </c>
      <c r="V44" s="25">
        <f>VLOOKUP($D44,Résultats!$B$2:$AZ$212,V$2,FALSE)</f>
        <v>0</v>
      </c>
      <c r="W44" s="25">
        <f>VLOOKUP($D44,Résultats!$B$2:$AZ$212,W$2,FALSE)</f>
        <v>0</v>
      </c>
      <c r="X44" s="25">
        <f>VLOOKUP($D44,Résultats!$B$2:$AZ$212,X$2,FALSE)</f>
        <v>0</v>
      </c>
      <c r="Y44" s="25">
        <f>VLOOKUP($D44,Résultats!$B$2:$AZ$212,Y$2,FALSE)</f>
        <v>0</v>
      </c>
      <c r="Z44" s="25">
        <f>VLOOKUP($D44,Résultats!$B$2:$AZ$212,Z$2,FALSE)</f>
        <v>0</v>
      </c>
      <c r="AA44" s="25">
        <f>VLOOKUP($D44,Résultats!$B$2:$AZ$212,AA$2,FALSE)</f>
        <v>0</v>
      </c>
      <c r="AB44" s="25">
        <f>VLOOKUP($D44,Résultats!$B$2:$AZ$212,AB$2,FALSE)</f>
        <v>0</v>
      </c>
      <c r="AC44" s="25">
        <f>VLOOKUP($D44,Résultats!$B$2:$AZ$212,AC$2,FALSE)</f>
        <v>0</v>
      </c>
      <c r="AD44" s="25">
        <f>VLOOKUP($D44,Résultats!$B$2:$AZ$212,AD$2,FALSE)</f>
        <v>0</v>
      </c>
      <c r="AE44" s="25">
        <f>VLOOKUP($D44,Résultats!$B$2:$AZ$212,AE$2,FALSE)</f>
        <v>0</v>
      </c>
      <c r="AF44" s="25">
        <f>VLOOKUP($D44,Résultats!$B$2:$AZ$212,AF$2,FALSE)</f>
        <v>0</v>
      </c>
      <c r="AG44" s="25">
        <f>VLOOKUP($D44,Résultats!$B$2:$AZ$212,AG$2,FALSE)</f>
        <v>0</v>
      </c>
      <c r="AH44" s="25">
        <f>VLOOKUP($D44,Résultats!$B$2:$AZ$212,AH$2,FALSE)</f>
        <v>0</v>
      </c>
      <c r="AI44" s="25">
        <f>VLOOKUP($D44,Résultats!$B$2:$AZ$212,AI$2,FALSE)</f>
        <v>0</v>
      </c>
      <c r="AJ44" s="25">
        <f>VLOOKUP($D44,Résultats!$B$2:$AZ$212,AJ$2,FALSE)</f>
        <v>0</v>
      </c>
      <c r="AK44" s="25">
        <f>VLOOKUP($D44,Résultats!$B$2:$AZ$212,AK$2,FALSE)</f>
        <v>0</v>
      </c>
      <c r="AL44" s="25">
        <f>VLOOKUP($D44,Résultats!$B$2:$AZ$212,AL$2,FALSE)</f>
        <v>0</v>
      </c>
      <c r="AM44" s="102">
        <f>VLOOKUP($D44,Résultats!$B$2:$AZ$212,AM$2,FALSE)</f>
        <v>0</v>
      </c>
    </row>
    <row r="45" spans="2:39" x14ac:dyDescent="0.25">
      <c r="B45" s="230"/>
      <c r="C45" s="218" t="s">
        <v>6</v>
      </c>
      <c r="D45" s="3" t="s">
        <v>146</v>
      </c>
      <c r="E45" s="25">
        <f>VLOOKUP($D45,Résultats!$B$2:$AZ$212,E$2,FALSE)</f>
        <v>31999.388770000001</v>
      </c>
      <c r="F45" s="25">
        <f>VLOOKUP($D45,Résultats!$B$2:$AZ$212,F$2,FALSE)</f>
        <v>35815.190199999997</v>
      </c>
      <c r="G45" s="25">
        <f>VLOOKUP($D45,Résultats!$B$2:$AZ$212,G$2,FALSE)</f>
        <v>36480.793080000003</v>
      </c>
      <c r="H45" s="25">
        <f>VLOOKUP($D45,Résultats!$B$2:$AZ$212,H$2,FALSE)</f>
        <v>36811.1558</v>
      </c>
      <c r="I45" s="25">
        <f>VLOOKUP($D45,Résultats!$B$2:$AZ$212,I$2,FALSE)</f>
        <v>37072.879379999998</v>
      </c>
      <c r="J45" s="25">
        <f>VLOOKUP($D45,Résultats!$B$2:$AZ$212,J$2,FALSE)</f>
        <v>37175.800410000003</v>
      </c>
      <c r="K45" s="25">
        <f>VLOOKUP($D45,Résultats!$B$2:$AZ$212,K$2,FALSE)</f>
        <v>37140.593529999998</v>
      </c>
      <c r="L45" s="25">
        <f>VLOOKUP($D45,Résultats!$B$2:$AZ$212,L$2,FALSE)</f>
        <v>36919.960270000003</v>
      </c>
      <c r="M45" s="25">
        <f>VLOOKUP($D45,Résultats!$B$2:$AZ$212,M$2,FALSE)</f>
        <v>36760.58726</v>
      </c>
      <c r="N45" s="25">
        <f>VLOOKUP($D45,Résultats!$B$2:$AZ$212,N$2,FALSE)</f>
        <v>35927.308190000003</v>
      </c>
      <c r="O45" s="25">
        <f>VLOOKUP($D45,Résultats!$B$2:$AZ$212,O$2,FALSE)</f>
        <v>35531.21617</v>
      </c>
      <c r="P45" s="25">
        <f>VLOOKUP($D45,Résultats!$B$2:$AZ$212,P$2,FALSE)</f>
        <v>35259.48373</v>
      </c>
      <c r="Q45" s="25">
        <f>VLOOKUP($D45,Résultats!$B$2:$AZ$212,Q$2,FALSE)</f>
        <v>35001.566160000002</v>
      </c>
      <c r="R45" s="25">
        <f>VLOOKUP($D45,Résultats!$B$2:$AZ$212,R$2,FALSE)</f>
        <v>34715.696459999999</v>
      </c>
      <c r="S45" s="25">
        <f>VLOOKUP($D45,Résultats!$B$2:$AZ$212,S$2,FALSE)</f>
        <v>34013.532509999997</v>
      </c>
      <c r="T45" s="25">
        <f>VLOOKUP($D45,Résultats!$B$2:$AZ$212,T$2,FALSE)</f>
        <v>33539.503940000002</v>
      </c>
      <c r="U45" s="25">
        <f>VLOOKUP($D45,Résultats!$B$2:$AZ$212,U$2,FALSE)</f>
        <v>33061.274279999998</v>
      </c>
      <c r="V45" s="25">
        <f>VLOOKUP($D45,Résultats!$B$2:$AZ$212,V$2,FALSE)</f>
        <v>32564.875650000002</v>
      </c>
      <c r="W45" s="25">
        <f>VLOOKUP($D45,Résultats!$B$2:$AZ$212,W$2,FALSE)</f>
        <v>32047.18145</v>
      </c>
      <c r="X45" s="25">
        <f>VLOOKUP($D45,Résultats!$B$2:$AZ$212,X$2,FALSE)</f>
        <v>31291.221379999999</v>
      </c>
      <c r="Y45" s="25">
        <f>VLOOKUP($D45,Résultats!$B$2:$AZ$212,Y$2,FALSE)</f>
        <v>30656.07879</v>
      </c>
      <c r="Z45" s="25">
        <f>VLOOKUP($D45,Résultats!$B$2:$AZ$212,Z$2,FALSE)</f>
        <v>30066.151709999998</v>
      </c>
      <c r="AA45" s="25">
        <f>VLOOKUP($D45,Résultats!$B$2:$AZ$212,AA$2,FALSE)</f>
        <v>29488.247950000001</v>
      </c>
      <c r="AB45" s="25">
        <f>VLOOKUP($D45,Résultats!$B$2:$AZ$212,AB$2,FALSE)</f>
        <v>28914.445350000002</v>
      </c>
      <c r="AC45" s="25">
        <f>VLOOKUP($D45,Résultats!$B$2:$AZ$212,AC$2,FALSE)</f>
        <v>28343.680509999998</v>
      </c>
      <c r="AD45" s="25">
        <f>VLOOKUP($D45,Résultats!$B$2:$AZ$212,AD$2,FALSE)</f>
        <v>27727.982899999999</v>
      </c>
      <c r="AE45" s="25">
        <f>VLOOKUP($D45,Résultats!$B$2:$AZ$212,AE$2,FALSE)</f>
        <v>27094.730780000002</v>
      </c>
      <c r="AF45" s="25">
        <f>VLOOKUP($D45,Résultats!$B$2:$AZ$212,AF$2,FALSE)</f>
        <v>26456.975999999999</v>
      </c>
      <c r="AG45" s="25">
        <f>VLOOKUP($D45,Résultats!$B$2:$AZ$212,AG$2,FALSE)</f>
        <v>25820.474819999999</v>
      </c>
      <c r="AH45" s="25">
        <f>VLOOKUP($D45,Résultats!$B$2:$AZ$212,AH$2,FALSE)</f>
        <v>25082.731179999999</v>
      </c>
      <c r="AI45" s="25">
        <f>VLOOKUP($D45,Résultats!$B$2:$AZ$212,AI$2,FALSE)</f>
        <v>24399.83455</v>
      </c>
      <c r="AJ45" s="25">
        <f>VLOOKUP($D45,Résultats!$B$2:$AZ$212,AJ$2,FALSE)</f>
        <v>23745.518889999999</v>
      </c>
      <c r="AK45" s="25">
        <f>VLOOKUP($D45,Résultats!$B$2:$AZ$212,AK$2,FALSE)</f>
        <v>23108.9539</v>
      </c>
      <c r="AL45" s="25">
        <f>VLOOKUP($D45,Résultats!$B$2:$AZ$212,AL$2,FALSE)</f>
        <v>22486.57487</v>
      </c>
      <c r="AM45" s="102">
        <f>VLOOKUP($D45,Résultats!$B$2:$AZ$212,AM$2,FALSE)</f>
        <v>21877.34276</v>
      </c>
    </row>
    <row r="46" spans="2:39" x14ac:dyDescent="0.25">
      <c r="B46" s="230"/>
      <c r="C46" s="218" t="s">
        <v>34</v>
      </c>
      <c r="D46" s="3" t="s">
        <v>147</v>
      </c>
      <c r="E46" s="25">
        <f>VLOOKUP($D46,Résultats!$B$2:$AZ$212,E$2,FALSE)</f>
        <v>2.411668513</v>
      </c>
      <c r="F46" s="25">
        <f>VLOOKUP($D46,Résultats!$B$2:$AZ$212,F$2,FALSE)</f>
        <v>96.117150150000001</v>
      </c>
      <c r="G46" s="25">
        <f>VLOOKUP($D46,Résultats!$B$2:$AZ$212,G$2,FALSE)</f>
        <v>228.0930765</v>
      </c>
      <c r="H46" s="25">
        <f>VLOOKUP($D46,Résultats!$B$2:$AZ$212,H$2,FALSE)</f>
        <v>302.5880449</v>
      </c>
      <c r="I46" s="25">
        <f>VLOOKUP($D46,Résultats!$B$2:$AZ$212,I$2,FALSE)</f>
        <v>395.27450429999999</v>
      </c>
      <c r="J46" s="25">
        <f>VLOOKUP($D46,Résultats!$B$2:$AZ$212,J$2,FALSE)</f>
        <v>503.78177729999999</v>
      </c>
      <c r="K46" s="25">
        <f>VLOOKUP($D46,Résultats!$B$2:$AZ$212,K$2,FALSE)</f>
        <v>644.93680289999998</v>
      </c>
      <c r="L46" s="25">
        <f>VLOOKUP($D46,Résultats!$B$2:$AZ$212,L$2,FALSE)</f>
        <v>813.55283580000003</v>
      </c>
      <c r="M46" s="25">
        <f>VLOOKUP($D46,Résultats!$B$2:$AZ$212,M$2,FALSE)</f>
        <v>1030.8002409999999</v>
      </c>
      <c r="N46" s="25">
        <f>VLOOKUP($D46,Résultats!$B$2:$AZ$212,N$2,FALSE)</f>
        <v>1187.576824</v>
      </c>
      <c r="O46" s="25">
        <f>VLOOKUP($D46,Résultats!$B$2:$AZ$212,O$2,FALSE)</f>
        <v>1463.085644</v>
      </c>
      <c r="P46" s="25">
        <f>VLOOKUP($D46,Résultats!$B$2:$AZ$212,P$2,FALSE)</f>
        <v>1821.7365609999999</v>
      </c>
      <c r="Q46" s="25">
        <f>VLOOKUP($D46,Résultats!$B$2:$AZ$212,Q$2,FALSE)</f>
        <v>2248.4431410000002</v>
      </c>
      <c r="R46" s="25">
        <f>VLOOKUP($D46,Résultats!$B$2:$AZ$212,R$2,FALSE)</f>
        <v>2734.9813060000001</v>
      </c>
      <c r="S46" s="25">
        <f>VLOOKUP($D46,Résultats!$B$2:$AZ$212,S$2,FALSE)</f>
        <v>3122.473958</v>
      </c>
      <c r="T46" s="25">
        <f>VLOOKUP($D46,Résultats!$B$2:$AZ$212,T$2,FALSE)</f>
        <v>3662.5966170000002</v>
      </c>
      <c r="U46" s="25">
        <f>VLOOKUP($D46,Résultats!$B$2:$AZ$212,U$2,FALSE)</f>
        <v>4258.3676720000003</v>
      </c>
      <c r="V46" s="25">
        <f>VLOOKUP($D46,Résultats!$B$2:$AZ$212,V$2,FALSE)</f>
        <v>4897.9093080000002</v>
      </c>
      <c r="W46" s="25">
        <f>VLOOKUP($D46,Résultats!$B$2:$AZ$212,W$2,FALSE)</f>
        <v>5572.4560000000001</v>
      </c>
      <c r="X46" s="25">
        <f>VLOOKUP($D46,Résultats!$B$2:$AZ$212,X$2,FALSE)</f>
        <v>6107.9709510000002</v>
      </c>
      <c r="Y46" s="25">
        <f>VLOOKUP($D46,Résultats!$B$2:$AZ$212,Y$2,FALSE)</f>
        <v>6763.2814070000004</v>
      </c>
      <c r="Z46" s="25">
        <f>VLOOKUP($D46,Résultats!$B$2:$AZ$212,Z$2,FALSE)</f>
        <v>7481.049395</v>
      </c>
      <c r="AA46" s="25">
        <f>VLOOKUP($D46,Résultats!$B$2:$AZ$212,AA$2,FALSE)</f>
        <v>8228.77225</v>
      </c>
      <c r="AB46" s="25">
        <f>VLOOKUP($D46,Résultats!$B$2:$AZ$212,AB$2,FALSE)</f>
        <v>8993.4129809999995</v>
      </c>
      <c r="AC46" s="25">
        <f>VLOOKUP($D46,Résultats!$B$2:$AZ$212,AC$2,FALSE)</f>
        <v>9768.1104830000004</v>
      </c>
      <c r="AD46" s="25">
        <f>VLOOKUP($D46,Résultats!$B$2:$AZ$212,AD$2,FALSE)</f>
        <v>10496.94988</v>
      </c>
      <c r="AE46" s="25">
        <f>VLOOKUP($D46,Résultats!$B$2:$AZ$212,AE$2,FALSE)</f>
        <v>11202.841350000001</v>
      </c>
      <c r="AF46" s="25">
        <f>VLOOKUP($D46,Résultats!$B$2:$AZ$212,AF$2,FALSE)</f>
        <v>11895.32898</v>
      </c>
      <c r="AG46" s="25">
        <f>VLOOKUP($D46,Résultats!$B$2:$AZ$212,AG$2,FALSE)</f>
        <v>12576.52038</v>
      </c>
      <c r="AH46" s="25">
        <f>VLOOKUP($D46,Résultats!$B$2:$AZ$212,AH$2,FALSE)</f>
        <v>13083.92914</v>
      </c>
      <c r="AI46" s="25">
        <f>VLOOKUP($D46,Résultats!$B$2:$AZ$212,AI$2,FALSE)</f>
        <v>13648.190130000001</v>
      </c>
      <c r="AJ46" s="25">
        <f>VLOOKUP($D46,Résultats!$B$2:$AZ$212,AJ$2,FALSE)</f>
        <v>14228.26728</v>
      </c>
      <c r="AK46" s="25">
        <f>VLOOKUP($D46,Résultats!$B$2:$AZ$212,AK$2,FALSE)</f>
        <v>14804.793830000001</v>
      </c>
      <c r="AL46" s="25">
        <f>VLOOKUP($D46,Résultats!$B$2:$AZ$212,AL$2,FALSE)</f>
        <v>15369.63881</v>
      </c>
      <c r="AM46" s="102">
        <f>VLOOKUP($D46,Résultats!$B$2:$AZ$212,AM$2,FALSE)</f>
        <v>15918.99843</v>
      </c>
    </row>
    <row r="47" spans="2:39" x14ac:dyDescent="0.25">
      <c r="B47" s="230"/>
      <c r="C47" s="218" t="s">
        <v>35</v>
      </c>
      <c r="D47" s="3" t="s">
        <v>148</v>
      </c>
      <c r="E47" s="25">
        <f>VLOOKUP($D47,Résultats!$B$2:$AZ$212,E$2,FALSE)</f>
        <v>2.2615513600000001E-2</v>
      </c>
      <c r="F47" s="25">
        <f>VLOOKUP($D47,Résultats!$B$2:$AZ$212,F$2,FALSE)</f>
        <v>0.34408751770000001</v>
      </c>
      <c r="G47" s="25">
        <f>VLOOKUP($D47,Résultats!$B$2:$AZ$212,G$2,FALSE)</f>
        <v>0.40433401159999999</v>
      </c>
      <c r="H47" s="25">
        <f>VLOOKUP($D47,Résultats!$B$2:$AZ$212,H$2,FALSE)</f>
        <v>0.43961072289999997</v>
      </c>
      <c r="I47" s="25">
        <f>VLOOKUP($D47,Résultats!$B$2:$AZ$212,I$2,FALSE)</f>
        <v>0.4998452357</v>
      </c>
      <c r="J47" s="25">
        <f>VLOOKUP($D47,Résultats!$B$2:$AZ$212,J$2,FALSE)</f>
        <v>0.54887710639999998</v>
      </c>
      <c r="K47" s="25">
        <f>VLOOKUP($D47,Résultats!$B$2:$AZ$212,K$2,FALSE)</f>
        <v>0.63119686330000002</v>
      </c>
      <c r="L47" s="25">
        <f>VLOOKUP($D47,Résultats!$B$2:$AZ$212,L$2,FALSE)</f>
        <v>0.72230641480000002</v>
      </c>
      <c r="M47" s="25">
        <f>VLOOKUP($D47,Résultats!$B$2:$AZ$212,M$2,FALSE)</f>
        <v>0.81835865119999995</v>
      </c>
      <c r="N47" s="25">
        <f>VLOOKUP($D47,Résultats!$B$2:$AZ$212,N$2,FALSE)</f>
        <v>0.87067555900000004</v>
      </c>
      <c r="O47" s="25">
        <f>VLOOKUP($D47,Résultats!$B$2:$AZ$212,O$2,FALSE)</f>
        <v>0.94794804340000005</v>
      </c>
      <c r="P47" s="25">
        <f>VLOOKUP($D47,Résultats!$B$2:$AZ$212,P$2,FALSE)</f>
        <v>1.03304672</v>
      </c>
      <c r="Q47" s="25">
        <f>VLOOKUP($D47,Résultats!$B$2:$AZ$212,Q$2,FALSE)</f>
        <v>1.1199186219999999</v>
      </c>
      <c r="R47" s="25">
        <f>VLOOKUP($D47,Résultats!$B$2:$AZ$212,R$2,FALSE)</f>
        <v>1.2056667619999999</v>
      </c>
      <c r="S47" s="25">
        <f>VLOOKUP($D47,Résultats!$B$2:$AZ$212,S$2,FALSE)</f>
        <v>1.257745959</v>
      </c>
      <c r="T47" s="25">
        <f>VLOOKUP($D47,Résultats!$B$2:$AZ$212,T$2,FALSE)</f>
        <v>1.3269565839999999</v>
      </c>
      <c r="U47" s="25">
        <f>VLOOKUP($D47,Résultats!$B$2:$AZ$212,U$2,FALSE)</f>
        <v>1.395309696</v>
      </c>
      <c r="V47" s="25">
        <f>VLOOKUP($D47,Résultats!$B$2:$AZ$212,V$2,FALSE)</f>
        <v>1.4616751029999999</v>
      </c>
      <c r="W47" s="25">
        <f>VLOOKUP($D47,Résultats!$B$2:$AZ$212,W$2,FALSE)</f>
        <v>1.524866461</v>
      </c>
      <c r="X47" s="25">
        <f>VLOOKUP($D47,Résultats!$B$2:$AZ$212,X$2,FALSE)</f>
        <v>1.5635596060000001</v>
      </c>
      <c r="Y47" s="25">
        <f>VLOOKUP($D47,Résultats!$B$2:$AZ$212,Y$2,FALSE)</f>
        <v>1.612730614</v>
      </c>
      <c r="Z47" s="25">
        <f>VLOOKUP($D47,Résultats!$B$2:$AZ$212,Z$2,FALSE)</f>
        <v>1.6648954140000001</v>
      </c>
      <c r="AA47" s="25">
        <f>VLOOKUP($D47,Résultats!$B$2:$AZ$212,AA$2,FALSE)</f>
        <v>1.7170809899999999</v>
      </c>
      <c r="AB47" s="25">
        <f>VLOOKUP($D47,Résultats!$B$2:$AZ$212,AB$2,FALSE)</f>
        <v>1.768205719</v>
      </c>
      <c r="AC47" s="25">
        <f>VLOOKUP($D47,Résultats!$B$2:$AZ$212,AC$2,FALSE)</f>
        <v>1.817832414</v>
      </c>
      <c r="AD47" s="25">
        <f>VLOOKUP($D47,Résultats!$B$2:$AZ$212,AD$2,FALSE)</f>
        <v>1.8614741239999999</v>
      </c>
      <c r="AE47" s="25">
        <f>VLOOKUP($D47,Résultats!$B$2:$AZ$212,AE$2,FALSE)</f>
        <v>1.902106742</v>
      </c>
      <c r="AF47" s="25">
        <f>VLOOKUP($D47,Résultats!$B$2:$AZ$212,AF$2,FALSE)</f>
        <v>1.9410388059999999</v>
      </c>
      <c r="AG47" s="25">
        <f>VLOOKUP($D47,Résultats!$B$2:$AZ$212,AG$2,FALSE)</f>
        <v>1.9789202210000001</v>
      </c>
      <c r="AH47" s="25">
        <f>VLOOKUP($D47,Résultats!$B$2:$AZ$212,AH$2,FALSE)</f>
        <v>1.9993975980000001</v>
      </c>
      <c r="AI47" s="25">
        <f>VLOOKUP($D47,Résultats!$B$2:$AZ$212,AI$2,FALSE)</f>
        <v>2.0263901620000002</v>
      </c>
      <c r="AJ47" s="25">
        <f>VLOOKUP($D47,Résultats!$B$2:$AZ$212,AJ$2,FALSE)</f>
        <v>2.0561111350000001</v>
      </c>
      <c r="AK47" s="25">
        <f>VLOOKUP($D47,Résultats!$B$2:$AZ$212,AK$2,FALSE)</f>
        <v>2.0869284879999999</v>
      </c>
      <c r="AL47" s="25">
        <f>VLOOKUP($D47,Résultats!$B$2:$AZ$212,AL$2,FALSE)</f>
        <v>2.1180891910000001</v>
      </c>
      <c r="AM47" s="102">
        <f>VLOOKUP($D47,Résultats!$B$2:$AZ$212,AM$2,FALSE)</f>
        <v>2.149205544</v>
      </c>
    </row>
    <row r="48" spans="2:39" x14ac:dyDescent="0.25">
      <c r="B48" s="230"/>
      <c r="C48" s="220" t="s">
        <v>463</v>
      </c>
      <c r="D48" s="58" t="s">
        <v>130</v>
      </c>
      <c r="E48" s="59">
        <f>VLOOKUP($D48,Résultats!$B$2:$AZ$212,E$2,FALSE)</f>
        <v>32001.800439999999</v>
      </c>
      <c r="F48" s="59">
        <f>VLOOKUP($D48,Résultats!$B$2:$AZ$212,F$2,FALSE)</f>
        <v>35911.307350000003</v>
      </c>
      <c r="G48" s="59">
        <f>VLOOKUP($D48,Résultats!$B$2:$AZ$212,G$2,FALSE)</f>
        <v>36708.886160000002</v>
      </c>
      <c r="H48" s="59">
        <f>VLOOKUP($D48,Résultats!$B$2:$AZ$212,H$2,FALSE)</f>
        <v>37113.743849999999</v>
      </c>
      <c r="I48" s="59">
        <f>VLOOKUP($D48,Résultats!$B$2:$AZ$212,I$2,FALSE)</f>
        <v>37468.153879999998</v>
      </c>
      <c r="J48" s="59">
        <f>VLOOKUP($D48,Résultats!$B$2:$AZ$212,J$2,FALSE)</f>
        <v>37679.582190000001</v>
      </c>
      <c r="K48" s="59">
        <f>VLOOKUP($D48,Résultats!$B$2:$AZ$212,K$2,FALSE)</f>
        <v>37785.530330000001</v>
      </c>
      <c r="L48" s="59">
        <f>VLOOKUP($D48,Résultats!$B$2:$AZ$212,L$2,FALSE)</f>
        <v>37733.513099999996</v>
      </c>
      <c r="M48" s="59">
        <f>VLOOKUP($D48,Résultats!$B$2:$AZ$212,M$2,FALSE)</f>
        <v>37791.387499999997</v>
      </c>
      <c r="N48" s="59">
        <f>VLOOKUP($D48,Résultats!$B$2:$AZ$212,N$2,FALSE)</f>
        <v>37114.885020000002</v>
      </c>
      <c r="O48" s="59">
        <f>VLOOKUP($D48,Résultats!$B$2:$AZ$212,O$2,FALSE)</f>
        <v>36994.301809999997</v>
      </c>
      <c r="P48" s="59">
        <f>VLOOKUP($D48,Résultats!$B$2:$AZ$212,P$2,FALSE)</f>
        <v>37081.220289999997</v>
      </c>
      <c r="Q48" s="59">
        <f>VLOOKUP($D48,Résultats!$B$2:$AZ$212,Q$2,FALSE)</f>
        <v>37250.009299999998</v>
      </c>
      <c r="R48" s="59">
        <f>VLOOKUP($D48,Résultats!$B$2:$AZ$212,R$2,FALSE)</f>
        <v>37450.677770000002</v>
      </c>
      <c r="S48" s="59">
        <f>VLOOKUP($D48,Résultats!$B$2:$AZ$212,S$2,FALSE)</f>
        <v>37136.00647</v>
      </c>
      <c r="T48" s="59">
        <f>VLOOKUP($D48,Résultats!$B$2:$AZ$212,T$2,FALSE)</f>
        <v>37202.100559999999</v>
      </c>
      <c r="U48" s="59">
        <f>VLOOKUP($D48,Résultats!$B$2:$AZ$212,U$2,FALSE)</f>
        <v>37319.641949999997</v>
      </c>
      <c r="V48" s="59">
        <f>VLOOKUP($D48,Résultats!$B$2:$AZ$212,V$2,FALSE)</f>
        <v>37462.784959999997</v>
      </c>
      <c r="W48" s="59">
        <f>VLOOKUP($D48,Résultats!$B$2:$AZ$212,W$2,FALSE)</f>
        <v>37619.637450000002</v>
      </c>
      <c r="X48" s="59">
        <f>VLOOKUP($D48,Résultats!$B$2:$AZ$212,X$2,FALSE)</f>
        <v>37399.192340000001</v>
      </c>
      <c r="Y48" s="59">
        <f>VLOOKUP($D48,Résultats!$B$2:$AZ$212,Y$2,FALSE)</f>
        <v>37419.360200000003</v>
      </c>
      <c r="Z48" s="59">
        <f>VLOOKUP($D48,Résultats!$B$2:$AZ$212,Z$2,FALSE)</f>
        <v>37547.201099999998</v>
      </c>
      <c r="AA48" s="59">
        <f>VLOOKUP($D48,Résultats!$B$2:$AZ$212,AA$2,FALSE)</f>
        <v>37717.020199999999</v>
      </c>
      <c r="AB48" s="59">
        <f>VLOOKUP($D48,Résultats!$B$2:$AZ$212,AB$2,FALSE)</f>
        <v>37907.858330000003</v>
      </c>
      <c r="AC48" s="59">
        <f>VLOOKUP($D48,Résultats!$B$2:$AZ$212,AC$2,FALSE)</f>
        <v>38111.790990000001</v>
      </c>
      <c r="AD48" s="59">
        <f>VLOOKUP($D48,Résultats!$B$2:$AZ$212,AD$2,FALSE)</f>
        <v>38224.932780000003</v>
      </c>
      <c r="AE48" s="59">
        <f>VLOOKUP($D48,Résultats!$B$2:$AZ$212,AE$2,FALSE)</f>
        <v>38297.572139999997</v>
      </c>
      <c r="AF48" s="59">
        <f>VLOOKUP($D48,Résultats!$B$2:$AZ$212,AF$2,FALSE)</f>
        <v>38352.304980000001</v>
      </c>
      <c r="AG48" s="59">
        <f>VLOOKUP($D48,Résultats!$B$2:$AZ$212,AG$2,FALSE)</f>
        <v>38396.995199999998</v>
      </c>
      <c r="AH48" s="59">
        <f>VLOOKUP($D48,Résultats!$B$2:$AZ$212,AH$2,FALSE)</f>
        <v>38166.660320000003</v>
      </c>
      <c r="AI48" s="59">
        <f>VLOOKUP($D48,Résultats!$B$2:$AZ$212,AI$2,FALSE)</f>
        <v>38048.024680000002</v>
      </c>
      <c r="AJ48" s="59">
        <f>VLOOKUP($D48,Résultats!$B$2:$AZ$212,AJ$2,FALSE)</f>
        <v>37973.786169999999</v>
      </c>
      <c r="AK48" s="59">
        <f>VLOOKUP($D48,Résultats!$B$2:$AZ$212,AK$2,FALSE)</f>
        <v>37913.747730000003</v>
      </c>
      <c r="AL48" s="59">
        <f>VLOOKUP($D48,Résultats!$B$2:$AZ$212,AL$2,FALSE)</f>
        <v>37856.213680000001</v>
      </c>
      <c r="AM48" s="103">
        <f>VLOOKUP($D48,Résultats!$B$2:$AZ$212,AM$2,FALSE)</f>
        <v>37796.341200000003</v>
      </c>
    </row>
    <row r="49" spans="2:40" x14ac:dyDescent="0.25">
      <c r="B49" s="230"/>
      <c r="C49" s="221" t="s">
        <v>462</v>
      </c>
      <c r="D49" s="3" t="s">
        <v>147</v>
      </c>
      <c r="E49" s="61">
        <f>VLOOKUP($D49,Résultats!$B$2:$AZ$212,E$2,FALSE)</f>
        <v>2.411668513</v>
      </c>
      <c r="F49" s="61">
        <f>VLOOKUP($D49,Résultats!$B$2:$AZ$212,F$2,FALSE)</f>
        <v>96.117150150000001</v>
      </c>
      <c r="G49" s="61">
        <f>VLOOKUP($D49,Résultats!$B$2:$AZ$212,G$2,FALSE)</f>
        <v>228.0930765</v>
      </c>
      <c r="H49" s="61">
        <f>VLOOKUP($D49,Résultats!$B$2:$AZ$212,H$2,FALSE)</f>
        <v>302.5880449</v>
      </c>
      <c r="I49" s="61">
        <f>VLOOKUP($D49,Résultats!$B$2:$AZ$212,I$2,FALSE)</f>
        <v>395.27450429999999</v>
      </c>
      <c r="J49" s="61">
        <f>VLOOKUP($D49,Résultats!$B$2:$AZ$212,J$2,FALSE)</f>
        <v>503.78177729999999</v>
      </c>
      <c r="K49" s="61">
        <f>VLOOKUP($D49,Résultats!$B$2:$AZ$212,K$2,FALSE)</f>
        <v>644.93680289999998</v>
      </c>
      <c r="L49" s="61">
        <f>VLOOKUP($D49,Résultats!$B$2:$AZ$212,L$2,FALSE)</f>
        <v>813.55283580000003</v>
      </c>
      <c r="M49" s="61">
        <f>VLOOKUP($D49,Résultats!$B$2:$AZ$212,M$2,FALSE)</f>
        <v>1030.8002409999999</v>
      </c>
      <c r="N49" s="61">
        <f>VLOOKUP($D49,Résultats!$B$2:$AZ$212,N$2,FALSE)</f>
        <v>1187.576824</v>
      </c>
      <c r="O49" s="61">
        <f>VLOOKUP($D49,Résultats!$B$2:$AZ$212,O$2,FALSE)</f>
        <v>1463.085644</v>
      </c>
      <c r="P49" s="61">
        <f>VLOOKUP($D49,Résultats!$B$2:$AZ$212,P$2,FALSE)</f>
        <v>1821.7365609999999</v>
      </c>
      <c r="Q49" s="61">
        <f>VLOOKUP($D49,Résultats!$B$2:$AZ$212,Q$2,FALSE)</f>
        <v>2248.4431410000002</v>
      </c>
      <c r="R49" s="61">
        <f>VLOOKUP($D49,Résultats!$B$2:$AZ$212,R$2,FALSE)</f>
        <v>2734.9813060000001</v>
      </c>
      <c r="S49" s="61">
        <f>VLOOKUP($D49,Résultats!$B$2:$AZ$212,S$2,FALSE)</f>
        <v>3122.473958</v>
      </c>
      <c r="T49" s="61">
        <f>VLOOKUP($D49,Résultats!$B$2:$AZ$212,T$2,FALSE)</f>
        <v>3662.5966170000002</v>
      </c>
      <c r="U49" s="61">
        <f>VLOOKUP($D49,Résultats!$B$2:$AZ$212,U$2,FALSE)</f>
        <v>4258.3676720000003</v>
      </c>
      <c r="V49" s="61">
        <f>VLOOKUP($D49,Résultats!$B$2:$AZ$212,V$2,FALSE)</f>
        <v>4897.9093080000002</v>
      </c>
      <c r="W49" s="61">
        <f>VLOOKUP($D49,Résultats!$B$2:$AZ$212,W$2,FALSE)</f>
        <v>5572.4560000000001</v>
      </c>
      <c r="X49" s="61">
        <f>VLOOKUP($D49,Résultats!$B$2:$AZ$212,X$2,FALSE)</f>
        <v>6107.9709510000002</v>
      </c>
      <c r="Y49" s="61">
        <f>VLOOKUP($D49,Résultats!$B$2:$AZ$212,Y$2,FALSE)</f>
        <v>6763.2814070000004</v>
      </c>
      <c r="Z49" s="61">
        <f>VLOOKUP($D49,Résultats!$B$2:$AZ$212,Z$2,FALSE)</f>
        <v>7481.049395</v>
      </c>
      <c r="AA49" s="61">
        <f>VLOOKUP($D49,Résultats!$B$2:$AZ$212,AA$2,FALSE)</f>
        <v>8228.77225</v>
      </c>
      <c r="AB49" s="61">
        <f>VLOOKUP($D49,Résultats!$B$2:$AZ$212,AB$2,FALSE)</f>
        <v>8993.4129809999995</v>
      </c>
      <c r="AC49" s="61">
        <f>VLOOKUP($D49,Résultats!$B$2:$AZ$212,AC$2,FALSE)</f>
        <v>9768.1104830000004</v>
      </c>
      <c r="AD49" s="61">
        <f>VLOOKUP($D49,Résultats!$B$2:$AZ$212,AD$2,FALSE)</f>
        <v>10496.94988</v>
      </c>
      <c r="AE49" s="61">
        <f>VLOOKUP($D49,Résultats!$B$2:$AZ$212,AE$2,FALSE)</f>
        <v>11202.841350000001</v>
      </c>
      <c r="AF49" s="61">
        <f>VLOOKUP($D49,Résultats!$B$2:$AZ$212,AF$2,FALSE)</f>
        <v>11895.32898</v>
      </c>
      <c r="AG49" s="61">
        <f>VLOOKUP($D49,Résultats!$B$2:$AZ$212,AG$2,FALSE)</f>
        <v>12576.52038</v>
      </c>
      <c r="AH49" s="61">
        <f>VLOOKUP($D49,Résultats!$B$2:$AZ$212,AH$2,FALSE)</f>
        <v>13083.92914</v>
      </c>
      <c r="AI49" s="61">
        <f>VLOOKUP($D49,Résultats!$B$2:$AZ$212,AI$2,FALSE)</f>
        <v>13648.190130000001</v>
      </c>
      <c r="AJ49" s="61">
        <f>VLOOKUP($D49,Résultats!$B$2:$AZ$212,AJ$2,FALSE)</f>
        <v>14228.26728</v>
      </c>
      <c r="AK49" s="61">
        <f>VLOOKUP($D49,Résultats!$B$2:$AZ$212,AK$2,FALSE)</f>
        <v>14804.793830000001</v>
      </c>
      <c r="AL49" s="61">
        <f>VLOOKUP($D49,Résultats!$B$2:$AZ$212,AL$2,FALSE)</f>
        <v>15369.63881</v>
      </c>
      <c r="AM49" s="225">
        <f>VLOOKUP($D49,Résultats!$B$2:$AZ$212,AM$2,FALSE)</f>
        <v>15918.99843</v>
      </c>
    </row>
    <row r="50" spans="2:40" x14ac:dyDescent="0.25">
      <c r="B50" s="230"/>
      <c r="C50" s="222" t="s">
        <v>27</v>
      </c>
      <c r="D50" s="63" t="s">
        <v>138</v>
      </c>
      <c r="E50" s="25">
        <f>VLOOKUP($D50,Résultats!$B$2:$AZ$212,E$2,FALSE)</f>
        <v>7.1825179100000001E-3</v>
      </c>
      <c r="F50" s="25">
        <f>VLOOKUP($D50,Résultats!$B$2:$AZ$212,F$2,FALSE)</f>
        <v>0.89131600109999998</v>
      </c>
      <c r="G50" s="25">
        <f>VLOOKUP($D50,Résultats!$B$2:$AZ$212,G$2,FALSE)</f>
        <v>1.8464088750000001</v>
      </c>
      <c r="H50" s="25">
        <f>VLOOKUP($D50,Résultats!$B$2:$AZ$212,H$2,FALSE)</f>
        <v>2.4696404429999999</v>
      </c>
      <c r="I50" s="25">
        <f>VLOOKUP($D50,Résultats!$B$2:$AZ$212,I$2,FALSE)</f>
        <v>3.4798610499999998</v>
      </c>
      <c r="J50" s="25">
        <f>VLOOKUP($D50,Résultats!$B$2:$AZ$212,J$2,FALSE)</f>
        <v>4.9857965399999999</v>
      </c>
      <c r="K50" s="25">
        <f>VLOOKUP($D50,Résultats!$B$2:$AZ$212,K$2,FALSE)</f>
        <v>8.8509550380000004</v>
      </c>
      <c r="L50" s="25">
        <f>VLOOKUP($D50,Résultats!$B$2:$AZ$212,L$2,FALSE)</f>
        <v>15.04360282</v>
      </c>
      <c r="M50" s="25">
        <f>VLOOKUP($D50,Résultats!$B$2:$AZ$212,M$2,FALSE)</f>
        <v>23.35265089</v>
      </c>
      <c r="N50" s="25">
        <f>VLOOKUP($D50,Résultats!$B$2:$AZ$212,N$2,FALSE)</f>
        <v>30.706030080000001</v>
      </c>
      <c r="O50" s="25">
        <f>VLOOKUP($D50,Résultats!$B$2:$AZ$212,O$2,FALSE)</f>
        <v>42.521358599999999</v>
      </c>
      <c r="P50" s="25">
        <f>VLOOKUP($D50,Résultats!$B$2:$AZ$212,P$2,FALSE)</f>
        <v>58.371363080000002</v>
      </c>
      <c r="Q50" s="25">
        <f>VLOOKUP($D50,Résultats!$B$2:$AZ$212,Q$2,FALSE)</f>
        <v>78.243608510000001</v>
      </c>
      <c r="R50" s="25">
        <f>VLOOKUP($D50,Résultats!$B$2:$AZ$212,R$2,FALSE)</f>
        <v>102.21936650000001</v>
      </c>
      <c r="S50" s="25">
        <f>VLOOKUP($D50,Résultats!$B$2:$AZ$212,S$2,FALSE)</f>
        <v>123.9502464</v>
      </c>
      <c r="T50" s="25">
        <f>VLOOKUP($D50,Résultats!$B$2:$AZ$212,T$2,FALSE)</f>
        <v>153.84485369999999</v>
      </c>
      <c r="U50" s="25">
        <f>VLOOKUP($D50,Résultats!$B$2:$AZ$212,U$2,FALSE)</f>
        <v>188.54124419999999</v>
      </c>
      <c r="V50" s="25">
        <f>VLOOKUP($D50,Résultats!$B$2:$AZ$212,V$2,FALSE)</f>
        <v>227.76188070000001</v>
      </c>
      <c r="W50" s="25">
        <f>VLOOKUP($D50,Résultats!$B$2:$AZ$212,W$2,FALSE)</f>
        <v>271.42801120000001</v>
      </c>
      <c r="X50" s="25">
        <f>VLOOKUP($D50,Résultats!$B$2:$AZ$212,X$2,FALSE)</f>
        <v>310.24902939999998</v>
      </c>
      <c r="Y50" s="25">
        <f>VLOOKUP($D50,Résultats!$B$2:$AZ$212,Y$2,FALSE)</f>
        <v>358.03742729999999</v>
      </c>
      <c r="Z50" s="25">
        <f>VLOOKUP($D50,Résultats!$B$2:$AZ$212,Z$2,FALSE)</f>
        <v>412.49758009999999</v>
      </c>
      <c r="AA50" s="25">
        <f>VLOOKUP($D50,Résultats!$B$2:$AZ$212,AA$2,FALSE)</f>
        <v>472.17220049999997</v>
      </c>
      <c r="AB50" s="25">
        <f>VLOOKUP($D50,Résultats!$B$2:$AZ$212,AB$2,FALSE)</f>
        <v>536.48468109999999</v>
      </c>
      <c r="AC50" s="25">
        <f>VLOOKUP($D50,Résultats!$B$2:$AZ$212,AC$2,FALSE)</f>
        <v>605.13584579999997</v>
      </c>
      <c r="AD50" s="25">
        <f>VLOOKUP($D50,Résultats!$B$2:$AZ$212,AD$2,FALSE)</f>
        <v>675.21345299999996</v>
      </c>
      <c r="AE50" s="25">
        <f>VLOOKUP($D50,Résultats!$B$2:$AZ$212,AE$2,FALSE)</f>
        <v>748.15186740000001</v>
      </c>
      <c r="AF50" s="25">
        <f>VLOOKUP($D50,Résultats!$B$2:$AZ$212,AF$2,FALSE)</f>
        <v>824.67267300000003</v>
      </c>
      <c r="AG50" s="25">
        <f>VLOOKUP($D50,Résultats!$B$2:$AZ$212,AG$2,FALSE)</f>
        <v>904.99387920000004</v>
      </c>
      <c r="AH50" s="25">
        <f>VLOOKUP($D50,Résultats!$B$2:$AZ$212,AH$2,FALSE)</f>
        <v>974.96241880000002</v>
      </c>
      <c r="AI50" s="25">
        <f>VLOOKUP($D50,Résultats!$B$2:$AZ$212,AI$2,FALSE)</f>
        <v>1053.898958</v>
      </c>
      <c r="AJ50" s="25">
        <f>VLOOKUP($D50,Résultats!$B$2:$AZ$212,AJ$2,FALSE)</f>
        <v>1138.8615990000001</v>
      </c>
      <c r="AK50" s="25">
        <f>VLOOKUP($D50,Résultats!$B$2:$AZ$212,AK$2,FALSE)</f>
        <v>1228.2938509999999</v>
      </c>
      <c r="AL50" s="25">
        <f>VLOOKUP($D50,Résultats!$B$2:$AZ$212,AL$2,FALSE)</f>
        <v>1321.4255840000001</v>
      </c>
      <c r="AM50" s="102">
        <f>VLOOKUP($D50,Résultats!$B$2:$AZ$212,AM$2,FALSE)</f>
        <v>1417.833241</v>
      </c>
    </row>
    <row r="51" spans="2:40" x14ac:dyDescent="0.25">
      <c r="B51" s="230"/>
      <c r="C51" s="218" t="s">
        <v>28</v>
      </c>
      <c r="D51" s="54" t="s">
        <v>139</v>
      </c>
      <c r="E51" s="25">
        <f>VLOOKUP($D51,Résultats!$B$2:$AZ$212,E$2,FALSE)</f>
        <v>1.6464540999999999E-2</v>
      </c>
      <c r="F51" s="25">
        <f>VLOOKUP($D51,Résultats!$B$2:$AZ$212,F$2,FALSE)</f>
        <v>1.0664183410000001</v>
      </c>
      <c r="G51" s="25">
        <f>VLOOKUP($D51,Résultats!$B$2:$AZ$212,G$2,FALSE)</f>
        <v>2.3497281619999999</v>
      </c>
      <c r="H51" s="25">
        <f>VLOOKUP($D51,Résultats!$B$2:$AZ$212,H$2,FALSE)</f>
        <v>3.1315270669999999</v>
      </c>
      <c r="I51" s="25">
        <f>VLOOKUP($D51,Résultats!$B$2:$AZ$212,I$2,FALSE)</f>
        <v>4.2612433960000002</v>
      </c>
      <c r="J51" s="25">
        <f>VLOOKUP($D51,Résultats!$B$2:$AZ$212,J$2,FALSE)</f>
        <v>5.7979745149999999</v>
      </c>
      <c r="K51" s="25">
        <f>VLOOKUP($D51,Résultats!$B$2:$AZ$212,K$2,FALSE)</f>
        <v>9.0249782920000001</v>
      </c>
      <c r="L51" s="25">
        <f>VLOOKUP($D51,Résultats!$B$2:$AZ$212,L$2,FALSE)</f>
        <v>13.851058119999999</v>
      </c>
      <c r="M51" s="25">
        <f>VLOOKUP($D51,Résultats!$B$2:$AZ$212,M$2,FALSE)</f>
        <v>20.260529569999999</v>
      </c>
      <c r="N51" s="25">
        <f>VLOOKUP($D51,Résultats!$B$2:$AZ$212,N$2,FALSE)</f>
        <v>25.697027309999999</v>
      </c>
      <c r="O51" s="25">
        <f>VLOOKUP($D51,Résultats!$B$2:$AZ$212,O$2,FALSE)</f>
        <v>34.573111079999997</v>
      </c>
      <c r="P51" s="25">
        <f>VLOOKUP($D51,Résultats!$B$2:$AZ$212,P$2,FALSE)</f>
        <v>46.389217549999998</v>
      </c>
      <c r="Q51" s="25">
        <f>VLOOKUP($D51,Résultats!$B$2:$AZ$212,Q$2,FALSE)</f>
        <v>61.024234909999997</v>
      </c>
      <c r="R51" s="25">
        <f>VLOOKUP($D51,Résultats!$B$2:$AZ$212,R$2,FALSE)</f>
        <v>78.454015940000005</v>
      </c>
      <c r="S51" s="25">
        <f>VLOOKUP($D51,Résultats!$B$2:$AZ$212,S$2,FALSE)</f>
        <v>93.821680599999894</v>
      </c>
      <c r="T51" s="25">
        <f>VLOOKUP($D51,Résultats!$B$2:$AZ$212,T$2,FALSE)</f>
        <v>114.9910952</v>
      </c>
      <c r="U51" s="25">
        <f>VLOOKUP($D51,Résultats!$B$2:$AZ$212,U$2,FALSE)</f>
        <v>139.2719759</v>
      </c>
      <c r="V51" s="25">
        <f>VLOOKUP($D51,Résultats!$B$2:$AZ$212,V$2,FALSE)</f>
        <v>166.3908261</v>
      </c>
      <c r="W51" s="25">
        <f>VLOOKUP($D51,Résultats!$B$2:$AZ$212,W$2,FALSE)</f>
        <v>196.20368629999999</v>
      </c>
      <c r="X51" s="25">
        <f>VLOOKUP($D51,Résultats!$B$2:$AZ$212,X$2,FALSE)</f>
        <v>222.05889930000001</v>
      </c>
      <c r="Y51" s="25">
        <f>VLOOKUP($D51,Résultats!$B$2:$AZ$212,Y$2,FALSE)</f>
        <v>253.79200539999999</v>
      </c>
      <c r="Z51" s="25">
        <f>VLOOKUP($D51,Résultats!$B$2:$AZ$212,Z$2,FALSE)</f>
        <v>289.58897050000002</v>
      </c>
      <c r="AA51" s="25">
        <f>VLOOKUP($D51,Résultats!$B$2:$AZ$212,AA$2,FALSE)</f>
        <v>328.31790599999999</v>
      </c>
      <c r="AB51" s="25">
        <f>VLOOKUP($D51,Résultats!$B$2:$AZ$212,AB$2,FALSE)</f>
        <v>369.50286840000001</v>
      </c>
      <c r="AC51" s="25">
        <f>VLOOKUP($D51,Résultats!$B$2:$AZ$212,AC$2,FALSE)</f>
        <v>412.87419940000001</v>
      </c>
      <c r="AD51" s="25">
        <f>VLOOKUP($D51,Résultats!$B$2:$AZ$212,AD$2,FALSE)</f>
        <v>456.24349569999998</v>
      </c>
      <c r="AE51" s="25">
        <f>VLOOKUP($D51,Résultats!$B$2:$AZ$212,AE$2,FALSE)</f>
        <v>500.53607269999998</v>
      </c>
      <c r="AF51" s="25">
        <f>VLOOKUP($D51,Résultats!$B$2:$AZ$212,AF$2,FALSE)</f>
        <v>546.15776700000004</v>
      </c>
      <c r="AG51" s="25">
        <f>VLOOKUP($D51,Résultats!$B$2:$AZ$212,AG$2,FALSE)</f>
        <v>593.17085050000003</v>
      </c>
      <c r="AH51" s="25">
        <f>VLOOKUP($D51,Résultats!$B$2:$AZ$212,AH$2,FALSE)</f>
        <v>632.60190469999998</v>
      </c>
      <c r="AI51" s="25">
        <f>VLOOKUP($D51,Résultats!$B$2:$AZ$212,AI$2,FALSE)</f>
        <v>676.69671619999997</v>
      </c>
      <c r="AJ51" s="25">
        <f>VLOOKUP($D51,Résultats!$B$2:$AZ$212,AJ$2,FALSE)</f>
        <v>723.39796120000005</v>
      </c>
      <c r="AK51" s="25">
        <f>VLOOKUP($D51,Résultats!$B$2:$AZ$212,AK$2,FALSE)</f>
        <v>771.61691169999995</v>
      </c>
      <c r="AL51" s="25">
        <f>VLOOKUP($D51,Résultats!$B$2:$AZ$212,AL$2,FALSE)</f>
        <v>820.80081859999996</v>
      </c>
      <c r="AM51" s="102">
        <f>VLOOKUP($D51,Résultats!$B$2:$AZ$212,AM$2,FALSE)</f>
        <v>870.62142740000002</v>
      </c>
    </row>
    <row r="52" spans="2:40" x14ac:dyDescent="0.25">
      <c r="B52" s="230"/>
      <c r="C52" s="218" t="s">
        <v>29</v>
      </c>
      <c r="D52" s="54" t="s">
        <v>140</v>
      </c>
      <c r="E52" s="25">
        <f>VLOOKUP($D52,Résultats!$B$2:$AZ$212,E$2,FALSE)</f>
        <v>6.7405168000000001E-2</v>
      </c>
      <c r="F52" s="25">
        <f>VLOOKUP($D52,Résultats!$B$2:$AZ$212,F$2,FALSE)</f>
        <v>2.8472666219999998</v>
      </c>
      <c r="G52" s="25">
        <f>VLOOKUP($D52,Résultats!$B$2:$AZ$212,G$2,FALSE)</f>
        <v>6.689326264</v>
      </c>
      <c r="H52" s="25">
        <f>VLOOKUP($D52,Résultats!$B$2:$AZ$212,H$2,FALSE)</f>
        <v>8.8807542379999997</v>
      </c>
      <c r="I52" s="25">
        <f>VLOOKUP($D52,Résultats!$B$2:$AZ$212,I$2,FALSE)</f>
        <v>11.66406469</v>
      </c>
      <c r="J52" s="25">
        <f>VLOOKUP($D52,Résultats!$B$2:$AZ$212,J$2,FALSE)</f>
        <v>14.99700704</v>
      </c>
      <c r="K52" s="25">
        <f>VLOOKUP($D52,Résultats!$B$2:$AZ$212,K$2,FALSE)</f>
        <v>19.710342690000001</v>
      </c>
      <c r="L52" s="25">
        <f>VLOOKUP($D52,Résultats!$B$2:$AZ$212,L$2,FALSE)</f>
        <v>25.577138519999998</v>
      </c>
      <c r="M52" s="25">
        <f>VLOOKUP($D52,Résultats!$B$2:$AZ$212,M$2,FALSE)</f>
        <v>33.164836450000003</v>
      </c>
      <c r="N52" s="25">
        <f>VLOOKUP($D52,Résultats!$B$2:$AZ$212,N$2,FALSE)</f>
        <v>38.801746790000003</v>
      </c>
      <c r="O52" s="25">
        <f>VLOOKUP($D52,Résultats!$B$2:$AZ$212,O$2,FALSE)</f>
        <v>48.548762019999998</v>
      </c>
      <c r="P52" s="25">
        <f>VLOOKUP($D52,Résultats!$B$2:$AZ$212,P$2,FALSE)</f>
        <v>61.261185740000002</v>
      </c>
      <c r="Q52" s="25">
        <f>VLOOKUP($D52,Résultats!$B$2:$AZ$212,Q$2,FALSE)</f>
        <v>76.457265620000001</v>
      </c>
      <c r="R52" s="25">
        <f>VLOOKUP($D52,Résultats!$B$2:$AZ$212,R$2,FALSE)</f>
        <v>93.867538699999997</v>
      </c>
      <c r="S52" s="25">
        <f>VLOOKUP($D52,Résultats!$B$2:$AZ$212,S$2,FALSE)</f>
        <v>107.9020179</v>
      </c>
      <c r="T52" s="25">
        <f>VLOOKUP($D52,Résultats!$B$2:$AZ$212,T$2,FALSE)</f>
        <v>127.3931918</v>
      </c>
      <c r="U52" s="25">
        <f>VLOOKUP($D52,Résultats!$B$2:$AZ$212,U$2,FALSE)</f>
        <v>148.93843770000001</v>
      </c>
      <c r="V52" s="25">
        <f>VLOOKUP($D52,Résultats!$B$2:$AZ$212,V$2,FALSE)</f>
        <v>172.09924659999999</v>
      </c>
      <c r="W52" s="25">
        <f>VLOOKUP($D52,Résultats!$B$2:$AZ$212,W$2,FALSE)</f>
        <v>196.5400549</v>
      </c>
      <c r="X52" s="25">
        <f>VLOOKUP($D52,Résultats!$B$2:$AZ$212,X$2,FALSE)</f>
        <v>215.9697817</v>
      </c>
      <c r="Y52" s="25">
        <f>VLOOKUP($D52,Résultats!$B$2:$AZ$212,Y$2,FALSE)</f>
        <v>239.66320949999999</v>
      </c>
      <c r="Z52" s="25">
        <f>VLOOKUP($D52,Résultats!$B$2:$AZ$212,Z$2,FALSE)</f>
        <v>265.51521430000003</v>
      </c>
      <c r="AA52" s="25">
        <f>VLOOKUP($D52,Résultats!$B$2:$AZ$212,AA$2,FALSE)</f>
        <v>292.30076869999999</v>
      </c>
      <c r="AB52" s="25">
        <f>VLOOKUP($D52,Résultats!$B$2:$AZ$212,AB$2,FALSE)</f>
        <v>319.49163609999999</v>
      </c>
      <c r="AC52" s="25">
        <f>VLOOKUP($D52,Résultats!$B$2:$AZ$212,AC$2,FALSE)</f>
        <v>346.78022490000001</v>
      </c>
      <c r="AD52" s="25">
        <f>VLOOKUP($D52,Résultats!$B$2:$AZ$212,AD$2,FALSE)</f>
        <v>372.02152919999997</v>
      </c>
      <c r="AE52" s="25">
        <f>VLOOKUP($D52,Résultats!$B$2:$AZ$212,AE$2,FALSE)</f>
        <v>395.96189709999999</v>
      </c>
      <c r="AF52" s="25">
        <f>VLOOKUP($D52,Résultats!$B$2:$AZ$212,AF$2,FALSE)</f>
        <v>418.85384720000002</v>
      </c>
      <c r="AG52" s="25">
        <f>VLOOKUP($D52,Résultats!$B$2:$AZ$212,AG$2,FALSE)</f>
        <v>440.67848420000001</v>
      </c>
      <c r="AH52" s="25">
        <f>VLOOKUP($D52,Résultats!$B$2:$AZ$212,AH$2,FALSE)</f>
        <v>455.72262280000001</v>
      </c>
      <c r="AI52" s="25">
        <f>VLOOKUP($D52,Résultats!$B$2:$AZ$212,AI$2,FALSE)</f>
        <v>471.99455210000002</v>
      </c>
      <c r="AJ52" s="25">
        <f>VLOOKUP($D52,Résultats!$B$2:$AZ$212,AJ$2,FALSE)</f>
        <v>487.89597140000001</v>
      </c>
      <c r="AK52" s="25">
        <f>VLOOKUP($D52,Résultats!$B$2:$AZ$212,AK$2,FALSE)</f>
        <v>502.64255400000002</v>
      </c>
      <c r="AL52" s="25">
        <f>VLOOKUP($D52,Résultats!$B$2:$AZ$212,AL$2,FALSE)</f>
        <v>515.87033970000005</v>
      </c>
      <c r="AM52" s="102">
        <f>VLOOKUP($D52,Résultats!$B$2:$AZ$212,AM$2,FALSE)</f>
        <v>527.37269819999995</v>
      </c>
    </row>
    <row r="53" spans="2:40" x14ac:dyDescent="0.25">
      <c r="B53" s="230"/>
      <c r="C53" s="218" t="s">
        <v>30</v>
      </c>
      <c r="D53" s="54" t="s">
        <v>141</v>
      </c>
      <c r="E53" s="25">
        <f>VLOOKUP($D53,Résultats!$B$2:$AZ$212,E$2,FALSE)</f>
        <v>1.5834689479999999</v>
      </c>
      <c r="F53" s="25">
        <f>VLOOKUP($D53,Résultats!$B$2:$AZ$212,F$2,FALSE)</f>
        <v>62.955936280000003</v>
      </c>
      <c r="G53" s="25">
        <f>VLOOKUP($D53,Résultats!$B$2:$AZ$212,G$2,FALSE)</f>
        <v>149.5286993</v>
      </c>
      <c r="H53" s="25">
        <f>VLOOKUP($D53,Résultats!$B$2:$AZ$212,H$2,FALSE)</f>
        <v>198.36308750000001</v>
      </c>
      <c r="I53" s="25">
        <f>VLOOKUP($D53,Résultats!$B$2:$AZ$212,I$2,FALSE)</f>
        <v>259.00158850000003</v>
      </c>
      <c r="J53" s="25">
        <f>VLOOKUP($D53,Résultats!$B$2:$AZ$212,J$2,FALSE)</f>
        <v>329.82252089999997</v>
      </c>
      <c r="K53" s="25">
        <f>VLOOKUP($D53,Résultats!$B$2:$AZ$212,K$2,FALSE)</f>
        <v>420.938828</v>
      </c>
      <c r="L53" s="25">
        <f>VLOOKUP($D53,Résultats!$B$2:$AZ$212,L$2,FALSE)</f>
        <v>528.91905510000004</v>
      </c>
      <c r="M53" s="25">
        <f>VLOOKUP($D53,Résultats!$B$2:$AZ$212,M$2,FALSE)</f>
        <v>667.85508709999999</v>
      </c>
      <c r="N53" s="25">
        <f>VLOOKUP($D53,Résultats!$B$2:$AZ$212,N$2,FALSE)</f>
        <v>767.36523079999995</v>
      </c>
      <c r="O53" s="25">
        <f>VLOOKUP($D53,Résultats!$B$2:$AZ$212,O$2,FALSE)</f>
        <v>942.84326250000004</v>
      </c>
      <c r="P53" s="25">
        <f>VLOOKUP($D53,Résultats!$B$2:$AZ$212,P$2,FALSE)</f>
        <v>1171.0072230000001</v>
      </c>
      <c r="Q53" s="25">
        <f>VLOOKUP($D53,Résultats!$B$2:$AZ$212,Q$2,FALSE)</f>
        <v>1441.8907850000001</v>
      </c>
      <c r="R53" s="25">
        <f>VLOOKUP($D53,Résultats!$B$2:$AZ$212,R$2,FALSE)</f>
        <v>1750.00866</v>
      </c>
      <c r="S53" s="25">
        <f>VLOOKUP($D53,Résultats!$B$2:$AZ$212,S$2,FALSE)</f>
        <v>1993.908743</v>
      </c>
      <c r="T53" s="25">
        <f>VLOOKUP($D53,Résultats!$B$2:$AZ$212,T$2,FALSE)</f>
        <v>2334.0926800000002</v>
      </c>
      <c r="U53" s="25">
        <f>VLOOKUP($D53,Résultats!$B$2:$AZ$212,U$2,FALSE)</f>
        <v>2708.3378029999999</v>
      </c>
      <c r="V53" s="25">
        <f>VLOOKUP($D53,Résultats!$B$2:$AZ$212,V$2,FALSE)</f>
        <v>3108.9430779999998</v>
      </c>
      <c r="W53" s="25">
        <f>VLOOKUP($D53,Résultats!$B$2:$AZ$212,W$2,FALSE)</f>
        <v>3530.151515</v>
      </c>
      <c r="X53" s="25">
        <f>VLOOKUP($D53,Résultats!$B$2:$AZ$212,X$2,FALSE)</f>
        <v>3862.1565439999999</v>
      </c>
      <c r="Y53" s="25">
        <f>VLOOKUP($D53,Résultats!$B$2:$AZ$212,Y$2,FALSE)</f>
        <v>4268.2567529999997</v>
      </c>
      <c r="Z53" s="25">
        <f>VLOOKUP($D53,Résultats!$B$2:$AZ$212,Z$2,FALSE)</f>
        <v>4711.83248</v>
      </c>
      <c r="AA53" s="25">
        <f>VLOOKUP($D53,Résultats!$B$2:$AZ$212,AA$2,FALSE)</f>
        <v>5172.2134770000002</v>
      </c>
      <c r="AB53" s="25">
        <f>VLOOKUP($D53,Résultats!$B$2:$AZ$212,AB$2,FALSE)</f>
        <v>5641.1026879999999</v>
      </c>
      <c r="AC53" s="25">
        <f>VLOOKUP($D53,Résultats!$B$2:$AZ$212,AC$2,FALSE)</f>
        <v>6114.1305009999996</v>
      </c>
      <c r="AD53" s="25">
        <f>VLOOKUP($D53,Résultats!$B$2:$AZ$212,AD$2,FALSE)</f>
        <v>6555.9733619999997</v>
      </c>
      <c r="AE53" s="25">
        <f>VLOOKUP($D53,Résultats!$B$2:$AZ$212,AE$2,FALSE)</f>
        <v>6980.9646590000002</v>
      </c>
      <c r="AF53" s="25">
        <f>VLOOKUP($D53,Résultats!$B$2:$AZ$212,AF$2,FALSE)</f>
        <v>7395.0053969999999</v>
      </c>
      <c r="AG53" s="25">
        <f>VLOOKUP($D53,Résultats!$B$2:$AZ$212,AG$2,FALSE)</f>
        <v>7799.3679439999996</v>
      </c>
      <c r="AH53" s="25">
        <f>VLOOKUP($D53,Résultats!$B$2:$AZ$212,AH$2,FALSE)</f>
        <v>8094.7132799999999</v>
      </c>
      <c r="AI53" s="25">
        <f>VLOOKUP($D53,Résultats!$B$2:$AZ$212,AI$2,FALSE)</f>
        <v>8422.5033110000004</v>
      </c>
      <c r="AJ53" s="25">
        <f>VLOOKUP($D53,Résultats!$B$2:$AZ$212,AJ$2,FALSE)</f>
        <v>8757.2916550000009</v>
      </c>
      <c r="AK53" s="25">
        <f>VLOOKUP($D53,Résultats!$B$2:$AZ$212,AK$2,FALSE)</f>
        <v>9087.1735570000001</v>
      </c>
      <c r="AL53" s="25">
        <f>VLOOKUP($D53,Résultats!$B$2:$AZ$212,AL$2,FALSE)</f>
        <v>9407.2267589999901</v>
      </c>
      <c r="AM53" s="102">
        <f>VLOOKUP($D53,Résultats!$B$2:$AZ$212,AM$2,FALSE)</f>
        <v>9715.193953</v>
      </c>
    </row>
    <row r="54" spans="2:40" x14ac:dyDescent="0.25">
      <c r="B54" s="230"/>
      <c r="C54" s="218" t="s">
        <v>31</v>
      </c>
      <c r="D54" s="54" t="s">
        <v>142</v>
      </c>
      <c r="E54" s="25">
        <f>VLOOKUP($D54,Résultats!$B$2:$AZ$212,E$2,FALSE)</f>
        <v>0.62410555599999995</v>
      </c>
      <c r="F54" s="25">
        <f>VLOOKUP($D54,Résultats!$B$2:$AZ$212,F$2,FALSE)</f>
        <v>24.485151729999998</v>
      </c>
      <c r="G54" s="25">
        <f>VLOOKUP($D54,Résultats!$B$2:$AZ$212,G$2,FALSE)</f>
        <v>58.302239389999997</v>
      </c>
      <c r="H54" s="25">
        <f>VLOOKUP($D54,Résultats!$B$2:$AZ$212,H$2,FALSE)</f>
        <v>77.332213510000003</v>
      </c>
      <c r="I54" s="25">
        <f>VLOOKUP($D54,Résultats!$B$2:$AZ$212,I$2,FALSE)</f>
        <v>100.8337633</v>
      </c>
      <c r="J54" s="25">
        <f>VLOOKUP($D54,Résultats!$B$2:$AZ$212,J$2,FALSE)</f>
        <v>128.10455970000001</v>
      </c>
      <c r="K54" s="25">
        <f>VLOOKUP($D54,Résultats!$B$2:$AZ$212,K$2,FALSE)</f>
        <v>162.1451687</v>
      </c>
      <c r="L54" s="25">
        <f>VLOOKUP($D54,Résultats!$B$2:$AZ$212,L$2,FALSE)</f>
        <v>201.62105940000001</v>
      </c>
      <c r="M54" s="25">
        <f>VLOOKUP($D54,Résultats!$B$2:$AZ$212,M$2,FALSE)</f>
        <v>252.23454749999999</v>
      </c>
      <c r="N54" s="25">
        <f>VLOOKUP($D54,Résultats!$B$2:$AZ$212,N$2,FALSE)</f>
        <v>287.7443298</v>
      </c>
      <c r="O54" s="25">
        <f>VLOOKUP($D54,Résultats!$B$2:$AZ$212,O$2,FALSE)</f>
        <v>350.9764303</v>
      </c>
      <c r="P54" s="25">
        <f>VLOOKUP($D54,Résultats!$B$2:$AZ$212,P$2,FALSE)</f>
        <v>432.94328849999999</v>
      </c>
      <c r="Q54" s="25">
        <f>VLOOKUP($D54,Résultats!$B$2:$AZ$212,Q$2,FALSE)</f>
        <v>529.71291289999999</v>
      </c>
      <c r="R54" s="25">
        <f>VLOOKUP($D54,Résultats!$B$2:$AZ$212,R$2,FALSE)</f>
        <v>639.08094670000003</v>
      </c>
      <c r="S54" s="25">
        <f>VLOOKUP($D54,Résultats!$B$2:$AZ$212,S$2,FALSE)</f>
        <v>724.24982980000004</v>
      </c>
      <c r="T54" s="25">
        <f>VLOOKUP($D54,Résultats!$B$2:$AZ$212,T$2,FALSE)</f>
        <v>843.26721210000005</v>
      </c>
      <c r="U54" s="25">
        <f>VLOOKUP($D54,Résultats!$B$2:$AZ$212,U$2,FALSE)</f>
        <v>973.30392070000005</v>
      </c>
      <c r="V54" s="25">
        <f>VLOOKUP($D54,Résultats!$B$2:$AZ$212,V$2,FALSE)</f>
        <v>1111.4787550000001</v>
      </c>
      <c r="W54" s="25">
        <f>VLOOKUP($D54,Résultats!$B$2:$AZ$212,W$2,FALSE)</f>
        <v>1255.5828320000001</v>
      </c>
      <c r="X54" s="25">
        <f>VLOOKUP($D54,Résultats!$B$2:$AZ$212,X$2,FALSE)</f>
        <v>1367.0419440000001</v>
      </c>
      <c r="Y54" s="25">
        <f>VLOOKUP($D54,Résultats!$B$2:$AZ$212,Y$2,FALSE)</f>
        <v>1503.271027</v>
      </c>
      <c r="Z54" s="25">
        <f>VLOOKUP($D54,Résultats!$B$2:$AZ$212,Z$2,FALSE)</f>
        <v>1651.0412859999999</v>
      </c>
      <c r="AA54" s="25">
        <f>VLOOKUP($D54,Résultats!$B$2:$AZ$212,AA$2,FALSE)</f>
        <v>1802.9849879999999</v>
      </c>
      <c r="AB54" s="25">
        <f>VLOOKUP($D54,Résultats!$B$2:$AZ$212,AB$2,FALSE)</f>
        <v>1956.1672040000001</v>
      </c>
      <c r="AC54" s="25">
        <f>VLOOKUP($D54,Résultats!$B$2:$AZ$212,AC$2,FALSE)</f>
        <v>2109.0629479999998</v>
      </c>
      <c r="AD54" s="25">
        <f>VLOOKUP($D54,Résultats!$B$2:$AZ$212,AD$2,FALSE)</f>
        <v>2249.32114</v>
      </c>
      <c r="AE54" s="25">
        <f>VLOOKUP($D54,Résultats!$B$2:$AZ$212,AE$2,FALSE)</f>
        <v>2381.9378080000001</v>
      </c>
      <c r="AF54" s="25">
        <f>VLOOKUP($D54,Résultats!$B$2:$AZ$212,AF$2,FALSE)</f>
        <v>2508.958087</v>
      </c>
      <c r="AG54" s="25">
        <f>VLOOKUP($D54,Résultats!$B$2:$AZ$212,AG$2,FALSE)</f>
        <v>2630.8615289999998</v>
      </c>
      <c r="AH54" s="25">
        <f>VLOOKUP($D54,Résultats!$B$2:$AZ$212,AH$2,FALSE)</f>
        <v>2715.4411519999999</v>
      </c>
      <c r="AI54" s="25">
        <f>VLOOKUP($D54,Résultats!$B$2:$AZ$212,AI$2,FALSE)</f>
        <v>2809.0824469999998</v>
      </c>
      <c r="AJ54" s="25">
        <f>VLOOKUP($D54,Résultats!$B$2:$AZ$212,AJ$2,FALSE)</f>
        <v>2903.3476679999999</v>
      </c>
      <c r="AK54" s="25">
        <f>VLOOKUP($D54,Résultats!$B$2:$AZ$212,AK$2,FALSE)</f>
        <v>2994.4182700000001</v>
      </c>
      <c r="AL54" s="25">
        <f>VLOOKUP($D54,Résultats!$B$2:$AZ$212,AL$2,FALSE)</f>
        <v>3080.8241969999999</v>
      </c>
      <c r="AM54" s="102">
        <f>VLOOKUP($D54,Résultats!$B$2:$AZ$212,AM$2,FALSE)</f>
        <v>3161.9747080000002</v>
      </c>
    </row>
    <row r="55" spans="2:40" x14ac:dyDescent="0.25">
      <c r="B55" s="230"/>
      <c r="C55" s="218" t="s">
        <v>32</v>
      </c>
      <c r="D55" s="54" t="s">
        <v>143</v>
      </c>
      <c r="E55" s="25">
        <f>VLOOKUP($D55,Résultats!$B$2:$AZ$212,E$2,FALSE)</f>
        <v>8.5085212099999998E-3</v>
      </c>
      <c r="F55" s="25">
        <f>VLOOKUP($D55,Résultats!$B$2:$AZ$212,F$2,FALSE)</f>
        <v>0.10490368880000001</v>
      </c>
      <c r="G55" s="25">
        <f>VLOOKUP($D55,Résultats!$B$2:$AZ$212,G$2,FALSE)</f>
        <v>0.26081983800000003</v>
      </c>
      <c r="H55" s="25">
        <f>VLOOKUP($D55,Résultats!$B$2:$AZ$212,H$2,FALSE)</f>
        <v>0.3335502897</v>
      </c>
      <c r="I55" s="25">
        <f>VLOOKUP($D55,Résultats!$B$2:$AZ$212,I$2,FALSE)</f>
        <v>0.42435466820000001</v>
      </c>
      <c r="J55" s="25">
        <f>VLOOKUP($D55,Résultats!$B$2:$AZ$212,J$2,FALSE)</f>
        <v>0.53077136039999995</v>
      </c>
      <c r="K55" s="25">
        <f>VLOOKUP($D55,Résultats!$B$2:$AZ$212,K$2,FALSE)</f>
        <v>0.66826706709999995</v>
      </c>
      <c r="L55" s="25">
        <f>VLOOKUP($D55,Résultats!$B$2:$AZ$212,L$2,FALSE)</f>
        <v>0.83182819569999999</v>
      </c>
      <c r="M55" s="25">
        <f>VLOOKUP($D55,Résultats!$B$2:$AZ$212,M$2,FALSE)</f>
        <v>1.042926319</v>
      </c>
      <c r="N55" s="25">
        <f>VLOOKUP($D55,Résultats!$B$2:$AZ$212,N$2,FALSE)</f>
        <v>1.1941398050000001</v>
      </c>
      <c r="O55" s="25">
        <f>VLOOKUP($D55,Résultats!$B$2:$AZ$212,O$2,FALSE)</f>
        <v>1.4616952780000001</v>
      </c>
      <c r="P55" s="25">
        <f>VLOOKUP($D55,Résultats!$B$2:$AZ$212,P$2,FALSE)</f>
        <v>1.8102273760000001</v>
      </c>
      <c r="Q55" s="25">
        <f>VLOOKUP($D55,Résultats!$B$2:$AZ$212,Q$2,FALSE)</f>
        <v>2.224663429</v>
      </c>
      <c r="R55" s="25">
        <f>VLOOKUP($D55,Résultats!$B$2:$AZ$212,R$2,FALSE)</f>
        <v>2.69675463</v>
      </c>
      <c r="S55" s="25">
        <f>VLOOKUP($D55,Résultats!$B$2:$AZ$212,S$2,FALSE)</f>
        <v>3.0712073630000001</v>
      </c>
      <c r="T55" s="25">
        <f>VLOOKUP($D55,Résultats!$B$2:$AZ$212,T$2,FALSE)</f>
        <v>3.5938828969999999</v>
      </c>
      <c r="U55" s="25">
        <f>VLOOKUP($D55,Résultats!$B$2:$AZ$212,U$2,FALSE)</f>
        <v>4.1697471129999997</v>
      </c>
      <c r="V55" s="25">
        <f>VLOOKUP($D55,Résultats!$B$2:$AZ$212,V$2,FALSE)</f>
        <v>4.7871258240000003</v>
      </c>
      <c r="W55" s="25">
        <f>VLOOKUP($D55,Résultats!$B$2:$AZ$212,W$2,FALSE)</f>
        <v>5.4373624029999998</v>
      </c>
      <c r="X55" s="25">
        <f>VLOOKUP($D55,Résultats!$B$2:$AZ$212,X$2,FALSE)</f>
        <v>5.9515899389999998</v>
      </c>
      <c r="Y55" s="25">
        <f>VLOOKUP($D55,Résultats!$B$2:$AZ$212,Y$2,FALSE)</f>
        <v>6.5810438180000004</v>
      </c>
      <c r="Z55" s="25">
        <f>VLOOKUP($D55,Résultats!$B$2:$AZ$212,Z$2,FALSE)</f>
        <v>7.2697901270000003</v>
      </c>
      <c r="AA55" s="25">
        <f>VLOOKUP($D55,Résultats!$B$2:$AZ$212,AA$2,FALSE)</f>
        <v>7.986229582</v>
      </c>
      <c r="AB55" s="25">
        <f>VLOOKUP($D55,Résultats!$B$2:$AZ$212,AB$2,FALSE)</f>
        <v>8.7177284840000002</v>
      </c>
      <c r="AC55" s="25">
        <f>VLOOKUP($D55,Résultats!$B$2:$AZ$212,AC$2,FALSE)</f>
        <v>9.4576715740000008</v>
      </c>
      <c r="AD55" s="25">
        <f>VLOOKUP($D55,Résultats!$B$2:$AZ$212,AD$2,FALSE)</f>
        <v>10.151921270000001</v>
      </c>
      <c r="AE55" s="25">
        <f>VLOOKUP($D55,Résultats!$B$2:$AZ$212,AE$2,FALSE)</f>
        <v>10.82271162</v>
      </c>
      <c r="AF55" s="25">
        <f>VLOOKUP($D55,Résultats!$B$2:$AZ$212,AF$2,FALSE)</f>
        <v>11.4793197</v>
      </c>
      <c r="AG55" s="25">
        <f>VLOOKUP($D55,Résultats!$B$2:$AZ$212,AG$2,FALSE)</f>
        <v>12.12385613</v>
      </c>
      <c r="AH55" s="25">
        <f>VLOOKUP($D55,Résultats!$B$2:$AZ$212,AH$2,FALSE)</f>
        <v>12.600875569999999</v>
      </c>
      <c r="AI55" s="25">
        <f>VLOOKUP($D55,Résultats!$B$2:$AZ$212,AI$2,FALSE)</f>
        <v>13.13146675</v>
      </c>
      <c r="AJ55" s="25">
        <f>VLOOKUP($D55,Résultats!$B$2:$AZ$212,AJ$2,FALSE)</f>
        <v>13.676275090000001</v>
      </c>
      <c r="AK55" s="25">
        <f>VLOOKUP($D55,Résultats!$B$2:$AZ$212,AK$2,FALSE)</f>
        <v>14.21683107</v>
      </c>
      <c r="AL55" s="25">
        <f>VLOOKUP($D55,Résultats!$B$2:$AZ$212,AL$2,FALSE)</f>
        <v>14.74546574</v>
      </c>
      <c r="AM55" s="102">
        <f>VLOOKUP($D55,Résultats!$B$2:$AZ$212,AM$2,FALSE)</f>
        <v>15.25865467</v>
      </c>
    </row>
    <row r="56" spans="2:40" x14ac:dyDescent="0.25">
      <c r="B56" s="230"/>
      <c r="C56" s="218" t="s">
        <v>33</v>
      </c>
      <c r="D56" s="54" t="s">
        <v>144</v>
      </c>
      <c r="E56" s="25">
        <f>VLOOKUP($D56,Résultats!$B$2:$AZ$212,E$2,FALSE)</f>
        <v>0.1045332606</v>
      </c>
      <c r="F56" s="25">
        <f>VLOOKUP($D56,Résultats!$B$2:$AZ$212,F$2,FALSE)</f>
        <v>3.7661574799999999</v>
      </c>
      <c r="G56" s="25">
        <f>VLOOKUP($D56,Résultats!$B$2:$AZ$212,G$2,FALSE)</f>
        <v>9.1158546000000005</v>
      </c>
      <c r="H56" s="25">
        <f>VLOOKUP($D56,Résultats!$B$2:$AZ$212,H$2,FALSE)</f>
        <v>12.07727189</v>
      </c>
      <c r="I56" s="25">
        <f>VLOOKUP($D56,Résultats!$B$2:$AZ$212,I$2,FALSE)</f>
        <v>15.609628669999999</v>
      </c>
      <c r="J56" s="25">
        <f>VLOOKUP($D56,Résultats!$B$2:$AZ$212,J$2,FALSE)</f>
        <v>19.5431472</v>
      </c>
      <c r="K56" s="25">
        <f>VLOOKUP($D56,Résultats!$B$2:$AZ$212,K$2,FALSE)</f>
        <v>23.598263209999999</v>
      </c>
      <c r="L56" s="25">
        <f>VLOOKUP($D56,Résultats!$B$2:$AZ$212,L$2,FALSE)</f>
        <v>27.709093670000001</v>
      </c>
      <c r="M56" s="25">
        <f>VLOOKUP($D56,Résultats!$B$2:$AZ$212,M$2,FALSE)</f>
        <v>32.889662829999999</v>
      </c>
      <c r="N56" s="25">
        <f>VLOOKUP($D56,Résultats!$B$2:$AZ$212,N$2,FALSE)</f>
        <v>36.068319469999999</v>
      </c>
      <c r="O56" s="25">
        <f>VLOOKUP($D56,Résultats!$B$2:$AZ$212,O$2,FALSE)</f>
        <v>42.161024609999998</v>
      </c>
      <c r="P56" s="25">
        <f>VLOOKUP($D56,Résultats!$B$2:$AZ$212,P$2,FALSE)</f>
        <v>49.954055820000001</v>
      </c>
      <c r="Q56" s="25">
        <f>VLOOKUP($D56,Résultats!$B$2:$AZ$212,Q$2,FALSE)</f>
        <v>58.889670979999998</v>
      </c>
      <c r="R56" s="25">
        <f>VLOOKUP($D56,Résultats!$B$2:$AZ$212,R$2,FALSE)</f>
        <v>68.654023199999997</v>
      </c>
      <c r="S56" s="25">
        <f>VLOOKUP($D56,Résultats!$B$2:$AZ$212,S$2,FALSE)</f>
        <v>75.570232939999997</v>
      </c>
      <c r="T56" s="25">
        <f>VLOOKUP($D56,Résultats!$B$2:$AZ$212,T$2,FALSE)</f>
        <v>85.41370216</v>
      </c>
      <c r="U56" s="25">
        <f>VLOOKUP($D56,Résultats!$B$2:$AZ$212,U$2,FALSE)</f>
        <v>95.804543150000001</v>
      </c>
      <c r="V56" s="25">
        <f>VLOOKUP($D56,Résultats!$B$2:$AZ$212,V$2,FALSE)</f>
        <v>106.4483953</v>
      </c>
      <c r="W56" s="25">
        <f>VLOOKUP($D56,Résultats!$B$2:$AZ$212,W$2,FALSE)</f>
        <v>117.11253840000001</v>
      </c>
      <c r="X56" s="25">
        <f>VLOOKUP($D56,Résultats!$B$2:$AZ$212,X$2,FALSE)</f>
        <v>124.5431628</v>
      </c>
      <c r="Y56" s="25">
        <f>VLOOKUP($D56,Résultats!$B$2:$AZ$212,Y$2,FALSE)</f>
        <v>133.6799398</v>
      </c>
      <c r="Z56" s="25">
        <f>VLOOKUP($D56,Résultats!$B$2:$AZ$212,Z$2,FALSE)</f>
        <v>143.30407410000001</v>
      </c>
      <c r="AA56" s="25">
        <f>VLOOKUP($D56,Résultats!$B$2:$AZ$212,AA$2,FALSE)</f>
        <v>152.7966807</v>
      </c>
      <c r="AB56" s="25">
        <f>VLOOKUP($D56,Résultats!$B$2:$AZ$212,AB$2,FALSE)</f>
        <v>161.94617500000001</v>
      </c>
      <c r="AC56" s="25">
        <f>VLOOKUP($D56,Résultats!$B$2:$AZ$212,AC$2,FALSE)</f>
        <v>170.66909279999999</v>
      </c>
      <c r="AD56" s="25">
        <f>VLOOKUP($D56,Résultats!$B$2:$AZ$212,AD$2,FALSE)</f>
        <v>178.02497640000001</v>
      </c>
      <c r="AE56" s="25">
        <f>VLOOKUP($D56,Résultats!$B$2:$AZ$212,AE$2,FALSE)</f>
        <v>184.46633840000001</v>
      </c>
      <c r="AF56" s="25">
        <f>VLOOKUP($D56,Résultats!$B$2:$AZ$212,AF$2,FALSE)</f>
        <v>190.2018917</v>
      </c>
      <c r="AG56" s="25">
        <f>VLOOKUP($D56,Résultats!$B$2:$AZ$212,AG$2,FALSE)</f>
        <v>195.32384010000001</v>
      </c>
      <c r="AH56" s="25">
        <f>VLOOKUP($D56,Résultats!$B$2:$AZ$212,AH$2,FALSE)</f>
        <v>197.88688859999999</v>
      </c>
      <c r="AI56" s="25">
        <f>VLOOKUP($D56,Résultats!$B$2:$AZ$212,AI$2,FALSE)</f>
        <v>200.88268249999999</v>
      </c>
      <c r="AJ56" s="25">
        <f>VLOOKUP($D56,Résultats!$B$2:$AZ$212,AJ$2,FALSE)</f>
        <v>203.79615089999999</v>
      </c>
      <c r="AK56" s="25">
        <f>VLOOKUP($D56,Résultats!$B$2:$AZ$212,AK$2,FALSE)</f>
        <v>206.43185500000001</v>
      </c>
      <c r="AL56" s="25">
        <f>VLOOKUP($D56,Résultats!$B$2:$AZ$212,AL$2,FALSE)</f>
        <v>208.74564340000001</v>
      </c>
      <c r="AM56" s="102">
        <f>VLOOKUP($D56,Résultats!$B$2:$AZ$212,AM$2,FALSE)</f>
        <v>210.7437506</v>
      </c>
    </row>
    <row r="57" spans="2:40" x14ac:dyDescent="0.25">
      <c r="B57" s="230"/>
      <c r="C57" s="223" t="s">
        <v>46</v>
      </c>
      <c r="D57" s="52" t="s">
        <v>146</v>
      </c>
      <c r="E57" s="61">
        <f>VLOOKUP($D57,Résultats!$B$2:$AZ$212,E$2,FALSE)</f>
        <v>31999.388770000001</v>
      </c>
      <c r="F57" s="61">
        <f>VLOOKUP($D57,Résultats!$B$2:$AZ$212,F$2,FALSE)</f>
        <v>35815.190199999997</v>
      </c>
      <c r="G57" s="61">
        <f>VLOOKUP($D57,Résultats!$B$2:$AZ$212,G$2,FALSE)</f>
        <v>36480.793080000003</v>
      </c>
      <c r="H57" s="61">
        <f>VLOOKUP($D57,Résultats!$B$2:$AZ$212,H$2,FALSE)</f>
        <v>36811.1558</v>
      </c>
      <c r="I57" s="61">
        <f>VLOOKUP($D57,Résultats!$B$2:$AZ$212,I$2,FALSE)</f>
        <v>37072.879379999998</v>
      </c>
      <c r="J57" s="61">
        <f>VLOOKUP($D57,Résultats!$B$2:$AZ$212,J$2,FALSE)</f>
        <v>37175.800410000003</v>
      </c>
      <c r="K57" s="61">
        <f>VLOOKUP($D57,Résultats!$B$2:$AZ$212,K$2,FALSE)</f>
        <v>37140.593529999998</v>
      </c>
      <c r="L57" s="61">
        <f>VLOOKUP($D57,Résultats!$B$2:$AZ$212,L$2,FALSE)</f>
        <v>36919.960270000003</v>
      </c>
      <c r="M57" s="61">
        <f>VLOOKUP($D57,Résultats!$B$2:$AZ$212,M$2,FALSE)</f>
        <v>36760.58726</v>
      </c>
      <c r="N57" s="61">
        <f>VLOOKUP($D57,Résultats!$B$2:$AZ$212,N$2,FALSE)</f>
        <v>35927.308190000003</v>
      </c>
      <c r="O57" s="61">
        <f>VLOOKUP($D57,Résultats!$B$2:$AZ$212,O$2,FALSE)</f>
        <v>35531.21617</v>
      </c>
      <c r="P57" s="61">
        <f>VLOOKUP($D57,Résultats!$B$2:$AZ$212,P$2,FALSE)</f>
        <v>35259.48373</v>
      </c>
      <c r="Q57" s="61">
        <f>VLOOKUP($D57,Résultats!$B$2:$AZ$212,Q$2,FALSE)</f>
        <v>35001.566160000002</v>
      </c>
      <c r="R57" s="61">
        <f>VLOOKUP($D57,Résultats!$B$2:$AZ$212,R$2,FALSE)</f>
        <v>34715.696459999999</v>
      </c>
      <c r="S57" s="61">
        <f>VLOOKUP($D57,Résultats!$B$2:$AZ$212,S$2,FALSE)</f>
        <v>34013.532509999997</v>
      </c>
      <c r="T57" s="61">
        <f>VLOOKUP($D57,Résultats!$B$2:$AZ$212,T$2,FALSE)</f>
        <v>33539.503940000002</v>
      </c>
      <c r="U57" s="61">
        <f>VLOOKUP($D57,Résultats!$B$2:$AZ$212,U$2,FALSE)</f>
        <v>33061.274279999998</v>
      </c>
      <c r="V57" s="61">
        <f>VLOOKUP($D57,Résultats!$B$2:$AZ$212,V$2,FALSE)</f>
        <v>32564.875650000002</v>
      </c>
      <c r="W57" s="61">
        <f>VLOOKUP($D57,Résultats!$B$2:$AZ$212,W$2,FALSE)</f>
        <v>32047.18145</v>
      </c>
      <c r="X57" s="61">
        <f>VLOOKUP($D57,Résultats!$B$2:$AZ$212,X$2,FALSE)</f>
        <v>31291.221379999999</v>
      </c>
      <c r="Y57" s="61">
        <f>VLOOKUP($D57,Résultats!$B$2:$AZ$212,Y$2,FALSE)</f>
        <v>30656.07879</v>
      </c>
      <c r="Z57" s="61">
        <f>VLOOKUP($D57,Résultats!$B$2:$AZ$212,Z$2,FALSE)</f>
        <v>30066.151709999998</v>
      </c>
      <c r="AA57" s="61">
        <f>VLOOKUP($D57,Résultats!$B$2:$AZ$212,AA$2,FALSE)</f>
        <v>29488.247950000001</v>
      </c>
      <c r="AB57" s="61">
        <f>VLOOKUP($D57,Résultats!$B$2:$AZ$212,AB$2,FALSE)</f>
        <v>28914.445350000002</v>
      </c>
      <c r="AC57" s="61">
        <f>VLOOKUP($D57,Résultats!$B$2:$AZ$212,AC$2,FALSE)</f>
        <v>28343.680509999998</v>
      </c>
      <c r="AD57" s="61">
        <f>VLOOKUP($D57,Résultats!$B$2:$AZ$212,AD$2,FALSE)</f>
        <v>27727.982899999999</v>
      </c>
      <c r="AE57" s="61">
        <f>VLOOKUP($D57,Résultats!$B$2:$AZ$212,AE$2,FALSE)</f>
        <v>27094.730780000002</v>
      </c>
      <c r="AF57" s="61">
        <f>VLOOKUP($D57,Résultats!$B$2:$AZ$212,AF$2,FALSE)</f>
        <v>26456.975999999999</v>
      </c>
      <c r="AG57" s="61">
        <f>VLOOKUP($D57,Résultats!$B$2:$AZ$212,AG$2,FALSE)</f>
        <v>25820.474819999999</v>
      </c>
      <c r="AH57" s="61">
        <f>VLOOKUP($D57,Résultats!$B$2:$AZ$212,AH$2,FALSE)</f>
        <v>25082.731179999999</v>
      </c>
      <c r="AI57" s="61">
        <f>VLOOKUP($D57,Résultats!$B$2:$AZ$212,AI$2,FALSE)</f>
        <v>24399.83455</v>
      </c>
      <c r="AJ57" s="61">
        <f>VLOOKUP($D57,Résultats!$B$2:$AZ$212,AJ$2,FALSE)</f>
        <v>23745.518889999999</v>
      </c>
      <c r="AK57" s="61">
        <f>VLOOKUP($D57,Résultats!$B$2:$AZ$212,AK$2,FALSE)</f>
        <v>23108.9539</v>
      </c>
      <c r="AL57" s="61">
        <f>VLOOKUP($D57,Résultats!$B$2:$AZ$212,AL$2,FALSE)</f>
        <v>22486.57487</v>
      </c>
      <c r="AM57" s="225">
        <f>VLOOKUP($D57,Résultats!$B$2:$AZ$212,AM$2,FALSE)</f>
        <v>21877.34276</v>
      </c>
      <c r="AN57" s="212"/>
    </row>
    <row r="58" spans="2:40" x14ac:dyDescent="0.25">
      <c r="B58" s="230"/>
      <c r="C58" s="218" t="s">
        <v>27</v>
      </c>
      <c r="D58" s="54" t="s">
        <v>131</v>
      </c>
      <c r="E58" s="65">
        <f>VLOOKUP($D58,Résultats!$B$2:$AZ$212,E$2,FALSE)</f>
        <v>18.581072330000001</v>
      </c>
      <c r="F58" s="65">
        <f>VLOOKUP($D58,Résultats!$B$2:$AZ$212,F$2,FALSE)</f>
        <v>300.95006590000003</v>
      </c>
      <c r="G58" s="65">
        <f>VLOOKUP($D58,Résultats!$B$2:$AZ$212,G$2,FALSE)</f>
        <v>353.80833250000001</v>
      </c>
      <c r="H58" s="65">
        <f>VLOOKUP($D58,Résultats!$B$2:$AZ$212,H$2,FALSE)</f>
        <v>384.86953340000002</v>
      </c>
      <c r="I58" s="65">
        <f>VLOOKUP($D58,Résultats!$B$2:$AZ$212,I$2,FALSE)</f>
        <v>438.02428259999999</v>
      </c>
      <c r="J58" s="65">
        <f>VLOOKUP($D58,Résultats!$B$2:$AZ$212,J$2,FALSE)</f>
        <v>481.30141029999999</v>
      </c>
      <c r="K58" s="65">
        <f>VLOOKUP($D58,Résultats!$B$2:$AZ$212,K$2,FALSE)</f>
        <v>554.04431799999998</v>
      </c>
      <c r="L58" s="65">
        <f>VLOOKUP($D58,Résultats!$B$2:$AZ$212,L$2,FALSE)</f>
        <v>634.59476119999999</v>
      </c>
      <c r="M58" s="65">
        <f>VLOOKUP($D58,Résultats!$B$2:$AZ$212,M$2,FALSE)</f>
        <v>719.51442710000003</v>
      </c>
      <c r="N58" s="65">
        <f>VLOOKUP($D58,Résultats!$B$2:$AZ$212,N$2,FALSE)</f>
        <v>765.85393899999997</v>
      </c>
      <c r="O58" s="65">
        <f>VLOOKUP($D58,Résultats!$B$2:$AZ$212,O$2,FALSE)</f>
        <v>834.20731509999996</v>
      </c>
      <c r="P58" s="65">
        <f>VLOOKUP($D58,Résultats!$B$2:$AZ$212,P$2,FALSE)</f>
        <v>909.47021329999995</v>
      </c>
      <c r="Q58" s="65">
        <f>VLOOKUP($D58,Résultats!$B$2:$AZ$212,Q$2,FALSE)</f>
        <v>986.3049499</v>
      </c>
      <c r="R58" s="65">
        <f>VLOOKUP($D58,Résultats!$B$2:$AZ$212,R$2,FALSE)</f>
        <v>1062.1549110000001</v>
      </c>
      <c r="S58" s="65">
        <f>VLOOKUP($D58,Résultats!$B$2:$AZ$212,S$2,FALSE)</f>
        <v>1108.2873999999999</v>
      </c>
      <c r="T58" s="65">
        <f>VLOOKUP($D58,Résultats!$B$2:$AZ$212,T$2,FALSE)</f>
        <v>1169.544836</v>
      </c>
      <c r="U58" s="65">
        <f>VLOOKUP($D58,Résultats!$B$2:$AZ$212,U$2,FALSE)</f>
        <v>1230.0485799999999</v>
      </c>
      <c r="V58" s="65">
        <f>VLOOKUP($D58,Résultats!$B$2:$AZ$212,V$2,FALSE)</f>
        <v>1288.800665</v>
      </c>
      <c r="W58" s="65">
        <f>VLOOKUP($D58,Résultats!$B$2:$AZ$212,W$2,FALSE)</f>
        <v>1344.7516840000001</v>
      </c>
      <c r="X58" s="65">
        <f>VLOOKUP($D58,Résultats!$B$2:$AZ$212,X$2,FALSE)</f>
        <v>1379.0688090000001</v>
      </c>
      <c r="Y58" s="65">
        <f>VLOOKUP($D58,Résultats!$B$2:$AZ$212,Y$2,FALSE)</f>
        <v>1422.6406380000001</v>
      </c>
      <c r="Z58" s="65">
        <f>VLOOKUP($D58,Résultats!$B$2:$AZ$212,Z$2,FALSE)</f>
        <v>1468.8572389999999</v>
      </c>
      <c r="AA58" s="65">
        <f>VLOOKUP($D58,Résultats!$B$2:$AZ$212,AA$2,FALSE)</f>
        <v>1515.093267</v>
      </c>
      <c r="AB58" s="65">
        <f>VLOOKUP($D58,Résultats!$B$2:$AZ$212,AB$2,FALSE)</f>
        <v>1560.3927819999999</v>
      </c>
      <c r="AC58" s="65">
        <f>VLOOKUP($D58,Résultats!$B$2:$AZ$212,AC$2,FALSE)</f>
        <v>1604.3689469999999</v>
      </c>
      <c r="AD58" s="65">
        <f>VLOOKUP($D58,Résultats!$B$2:$AZ$212,AD$2,FALSE)</f>
        <v>1643.059184</v>
      </c>
      <c r="AE58" s="65">
        <f>VLOOKUP($D58,Résultats!$B$2:$AZ$212,AE$2,FALSE)</f>
        <v>1679.092118</v>
      </c>
      <c r="AF58" s="65">
        <f>VLOOKUP($D58,Résultats!$B$2:$AZ$212,AF$2,FALSE)</f>
        <v>1713.6233709999999</v>
      </c>
      <c r="AG58" s="65">
        <f>VLOOKUP($D58,Résultats!$B$2:$AZ$212,AG$2,FALSE)</f>
        <v>1747.2269899999999</v>
      </c>
      <c r="AH58" s="65">
        <f>VLOOKUP($D58,Résultats!$B$2:$AZ$212,AH$2,FALSE)</f>
        <v>1765.448713</v>
      </c>
      <c r="AI58" s="65">
        <f>VLOOKUP($D58,Résultats!$B$2:$AZ$212,AI$2,FALSE)</f>
        <v>1789.428829</v>
      </c>
      <c r="AJ58" s="65">
        <f>VLOOKUP($D58,Résultats!$B$2:$AZ$212,AJ$2,FALSE)</f>
        <v>1815.820741</v>
      </c>
      <c r="AK58" s="65">
        <f>VLOOKUP($D58,Résultats!$B$2:$AZ$212,AK$2,FALSE)</f>
        <v>1843.1819929999999</v>
      </c>
      <c r="AL58" s="65">
        <f>VLOOKUP($D58,Résultats!$B$2:$AZ$212,AL$2,FALSE)</f>
        <v>1870.8467350000001</v>
      </c>
      <c r="AM58" s="226">
        <f>VLOOKUP($D58,Résultats!$B$2:$AZ$212,AM$2,FALSE)</f>
        <v>1898.4719729999999</v>
      </c>
    </row>
    <row r="59" spans="2:40" x14ac:dyDescent="0.25">
      <c r="B59" s="230"/>
      <c r="C59" s="218" t="s">
        <v>28</v>
      </c>
      <c r="D59" s="54" t="s">
        <v>132</v>
      </c>
      <c r="E59" s="65">
        <f>VLOOKUP($D59,Résultats!$B$2:$AZ$212,E$2,FALSE)</f>
        <v>1622.772802</v>
      </c>
      <c r="F59" s="65">
        <f>VLOOKUP($D59,Résultats!$B$2:$AZ$212,F$2,FALSE)</f>
        <v>4076.6385409999998</v>
      </c>
      <c r="G59" s="65">
        <f>VLOOKUP($D59,Résultats!$B$2:$AZ$212,G$2,FALSE)</f>
        <v>4604.3028109999996</v>
      </c>
      <c r="H59" s="65">
        <f>VLOOKUP($D59,Résultats!$B$2:$AZ$212,H$2,FALSE)</f>
        <v>4788.3279229999998</v>
      </c>
      <c r="I59" s="65">
        <f>VLOOKUP($D59,Résultats!$B$2:$AZ$212,I$2,FALSE)</f>
        <v>4969.0474880000002</v>
      </c>
      <c r="J59" s="65">
        <f>VLOOKUP($D59,Résultats!$B$2:$AZ$212,J$2,FALSE)</f>
        <v>5106.7795720000004</v>
      </c>
      <c r="K59" s="65">
        <f>VLOOKUP($D59,Résultats!$B$2:$AZ$212,K$2,FALSE)</f>
        <v>5242.2048610000002</v>
      </c>
      <c r="L59" s="65">
        <f>VLOOKUP($D59,Résultats!$B$2:$AZ$212,L$2,FALSE)</f>
        <v>5346.5361849999999</v>
      </c>
      <c r="M59" s="65">
        <f>VLOOKUP($D59,Résultats!$B$2:$AZ$212,M$2,FALSE)</f>
        <v>5457.2409479999997</v>
      </c>
      <c r="N59" s="65">
        <f>VLOOKUP($D59,Résultats!$B$2:$AZ$212,N$2,FALSE)</f>
        <v>5420.1539730000004</v>
      </c>
      <c r="O59" s="65">
        <f>VLOOKUP($D59,Résultats!$B$2:$AZ$212,O$2,FALSE)</f>
        <v>5467.5630819999997</v>
      </c>
      <c r="P59" s="65">
        <f>VLOOKUP($D59,Résultats!$B$2:$AZ$212,P$2,FALSE)</f>
        <v>5534.8440119999996</v>
      </c>
      <c r="Q59" s="65">
        <f>VLOOKUP($D59,Résultats!$B$2:$AZ$212,Q$2,FALSE)</f>
        <v>5599.5003210000004</v>
      </c>
      <c r="R59" s="65">
        <f>VLOOKUP($D59,Résultats!$B$2:$AZ$212,R$2,FALSE)</f>
        <v>5652.9845109999997</v>
      </c>
      <c r="S59" s="65">
        <f>VLOOKUP($D59,Résultats!$B$2:$AZ$212,S$2,FALSE)</f>
        <v>5612.0802469999999</v>
      </c>
      <c r="T59" s="65">
        <f>VLOOKUP($D59,Résultats!$B$2:$AZ$212,T$2,FALSE)</f>
        <v>5614.5630739999997</v>
      </c>
      <c r="U59" s="65">
        <f>VLOOKUP($D59,Résultats!$B$2:$AZ$212,U$2,FALSE)</f>
        <v>5611.0501290000002</v>
      </c>
      <c r="V59" s="65">
        <f>VLOOKUP($D59,Résultats!$B$2:$AZ$212,V$2,FALSE)</f>
        <v>5598.8405519999997</v>
      </c>
      <c r="W59" s="65">
        <f>VLOOKUP($D59,Résultats!$B$2:$AZ$212,W$2,FALSE)</f>
        <v>5577.2034290000001</v>
      </c>
      <c r="X59" s="65">
        <f>VLOOKUP($D59,Résultats!$B$2:$AZ$212,X$2,FALSE)</f>
        <v>5499.1453920000004</v>
      </c>
      <c r="Y59" s="65">
        <f>VLOOKUP($D59,Résultats!$B$2:$AZ$212,Y$2,FALSE)</f>
        <v>5443.064128</v>
      </c>
      <c r="Z59" s="65">
        <f>VLOOKUP($D59,Résultats!$B$2:$AZ$212,Z$2,FALSE)</f>
        <v>5392.7326579999999</v>
      </c>
      <c r="AA59" s="65">
        <f>VLOOKUP($D59,Résultats!$B$2:$AZ$212,AA$2,FALSE)</f>
        <v>5341.2291070000001</v>
      </c>
      <c r="AB59" s="65">
        <f>VLOOKUP($D59,Résultats!$B$2:$AZ$212,AB$2,FALSE)</f>
        <v>5286.9433330000002</v>
      </c>
      <c r="AC59" s="65">
        <f>VLOOKUP($D59,Résultats!$B$2:$AZ$212,AC$2,FALSE)</f>
        <v>5229.7331119999999</v>
      </c>
      <c r="AD59" s="65">
        <f>VLOOKUP($D59,Résultats!$B$2:$AZ$212,AD$2,FALSE)</f>
        <v>5159.5344379999997</v>
      </c>
      <c r="AE59" s="65">
        <f>VLOOKUP($D59,Résultats!$B$2:$AZ$212,AE$2,FALSE)</f>
        <v>5082.4450129999996</v>
      </c>
      <c r="AF59" s="65">
        <f>VLOOKUP($D59,Résultats!$B$2:$AZ$212,AF$2,FALSE)</f>
        <v>5001.3857479999997</v>
      </c>
      <c r="AG59" s="65">
        <f>VLOOKUP($D59,Résultats!$B$2:$AZ$212,AG$2,FALSE)</f>
        <v>4917.7126989999997</v>
      </c>
      <c r="AH59" s="65">
        <f>VLOOKUP($D59,Résultats!$B$2:$AZ$212,AH$2,FALSE)</f>
        <v>4808.3388729999997</v>
      </c>
      <c r="AI59" s="65">
        <f>VLOOKUP($D59,Résultats!$B$2:$AZ$212,AI$2,FALSE)</f>
        <v>4708.3667390000001</v>
      </c>
      <c r="AJ59" s="65">
        <f>VLOOKUP($D59,Résultats!$B$2:$AZ$212,AJ$2,FALSE)</f>
        <v>4611.9782310000001</v>
      </c>
      <c r="AK59" s="65">
        <f>VLOOKUP($D59,Résultats!$B$2:$AZ$212,AK$2,FALSE)</f>
        <v>4516.8155530000004</v>
      </c>
      <c r="AL59" s="65">
        <f>VLOOKUP($D59,Résultats!$B$2:$AZ$212,AL$2,FALSE)</f>
        <v>4422.1236799999997</v>
      </c>
      <c r="AM59" s="226">
        <f>VLOOKUP($D59,Résultats!$B$2:$AZ$212,AM$2,FALSE)</f>
        <v>4327.7126669999998</v>
      </c>
    </row>
    <row r="60" spans="2:40" x14ac:dyDescent="0.25">
      <c r="B60" s="230"/>
      <c r="C60" s="218" t="s">
        <v>29</v>
      </c>
      <c r="D60" s="54" t="s">
        <v>133</v>
      </c>
      <c r="E60" s="65">
        <f>VLOOKUP($D60,Résultats!$B$2:$AZ$212,E$2,FALSE)</f>
        <v>3840.9962489999998</v>
      </c>
      <c r="F60" s="65">
        <f>VLOOKUP($D60,Résultats!$B$2:$AZ$212,F$2,FALSE)</f>
        <v>7016.6657189999996</v>
      </c>
      <c r="G60" s="65">
        <f>VLOOKUP($D60,Résultats!$B$2:$AZ$212,G$2,FALSE)</f>
        <v>7705.2778010000002</v>
      </c>
      <c r="H60" s="65">
        <f>VLOOKUP($D60,Résultats!$B$2:$AZ$212,H$2,FALSE)</f>
        <v>7946.9543370000001</v>
      </c>
      <c r="I60" s="65">
        <f>VLOOKUP($D60,Résultats!$B$2:$AZ$212,I$2,FALSE)</f>
        <v>8169.3013259999998</v>
      </c>
      <c r="J60" s="65">
        <f>VLOOKUP($D60,Résultats!$B$2:$AZ$212,J$2,FALSE)</f>
        <v>8336.3832450000009</v>
      </c>
      <c r="K60" s="65">
        <f>VLOOKUP($D60,Résultats!$B$2:$AZ$212,K$2,FALSE)</f>
        <v>8475.9262839999901</v>
      </c>
      <c r="L60" s="65">
        <f>VLOOKUP($D60,Résultats!$B$2:$AZ$212,L$2,FALSE)</f>
        <v>8559.7718189999996</v>
      </c>
      <c r="M60" s="65">
        <f>VLOOKUP($D60,Résultats!$B$2:$AZ$212,M$2,FALSE)</f>
        <v>8652.5475459999998</v>
      </c>
      <c r="N60" s="65">
        <f>VLOOKUP($D60,Résultats!$B$2:$AZ$212,N$2,FALSE)</f>
        <v>8536.7852710000006</v>
      </c>
      <c r="O60" s="65">
        <f>VLOOKUP($D60,Résultats!$B$2:$AZ$212,O$2,FALSE)</f>
        <v>8542.7196999999996</v>
      </c>
      <c r="P60" s="65">
        <f>VLOOKUP($D60,Résultats!$B$2:$AZ$212,P$2,FALSE)</f>
        <v>8577.6652840000006</v>
      </c>
      <c r="Q60" s="65">
        <f>VLOOKUP($D60,Résultats!$B$2:$AZ$212,Q$2,FALSE)</f>
        <v>8609.160656</v>
      </c>
      <c r="R60" s="65">
        <f>VLOOKUP($D60,Résultats!$B$2:$AZ$212,R$2,FALSE)</f>
        <v>8625.2024560000009</v>
      </c>
      <c r="S60" s="65">
        <f>VLOOKUP($D60,Résultats!$B$2:$AZ$212,S$2,FALSE)</f>
        <v>8511.6644620000006</v>
      </c>
      <c r="T60" s="65">
        <f>VLOOKUP($D60,Résultats!$B$2:$AZ$212,T$2,FALSE)</f>
        <v>8459.1989709999998</v>
      </c>
      <c r="U60" s="65">
        <f>VLOOKUP($D60,Résultats!$B$2:$AZ$212,U$2,FALSE)</f>
        <v>8399.4437209999996</v>
      </c>
      <c r="V60" s="65">
        <f>VLOOKUP($D60,Résultats!$B$2:$AZ$212,V$2,FALSE)</f>
        <v>8328.596931</v>
      </c>
      <c r="W60" s="65">
        <f>VLOOKUP($D60,Résultats!$B$2:$AZ$212,W$2,FALSE)</f>
        <v>8246.1535609999901</v>
      </c>
      <c r="X60" s="65">
        <f>VLOOKUP($D60,Résultats!$B$2:$AZ$212,X$2,FALSE)</f>
        <v>8088.8676400000004</v>
      </c>
      <c r="Y60" s="65">
        <f>VLOOKUP($D60,Résultats!$B$2:$AZ$212,Y$2,FALSE)</f>
        <v>7962.212493</v>
      </c>
      <c r="Z60" s="65">
        <f>VLOOKUP($D60,Résultats!$B$2:$AZ$212,Z$2,FALSE)</f>
        <v>7844.3273680000002</v>
      </c>
      <c r="AA60" s="65">
        <f>VLOOKUP($D60,Résultats!$B$2:$AZ$212,AA$2,FALSE)</f>
        <v>7725.6830499999996</v>
      </c>
      <c r="AB60" s="65">
        <f>VLOOKUP($D60,Résultats!$B$2:$AZ$212,AB$2,FALSE)</f>
        <v>7604.2351870000002</v>
      </c>
      <c r="AC60" s="65">
        <f>VLOOKUP($D60,Résultats!$B$2:$AZ$212,AC$2,FALSE)</f>
        <v>7479.9470520000004</v>
      </c>
      <c r="AD60" s="65">
        <f>VLOOKUP($D60,Résultats!$B$2:$AZ$212,AD$2,FALSE)</f>
        <v>7339.2247180000004</v>
      </c>
      <c r="AE60" s="65">
        <f>VLOOKUP($D60,Résultats!$B$2:$AZ$212,AE$2,FALSE)</f>
        <v>7190.1641749999999</v>
      </c>
      <c r="AF60" s="65">
        <f>VLOOKUP($D60,Résultats!$B$2:$AZ$212,AF$2,FALSE)</f>
        <v>7036.7126870000002</v>
      </c>
      <c r="AG60" s="65">
        <f>VLOOKUP($D60,Résultats!$B$2:$AZ$212,AG$2,FALSE)</f>
        <v>6880.6587</v>
      </c>
      <c r="AH60" s="65">
        <f>VLOOKUP($D60,Résultats!$B$2:$AZ$212,AH$2,FALSE)</f>
        <v>6693.3726829999996</v>
      </c>
      <c r="AI60" s="65">
        <f>VLOOKUP($D60,Résultats!$B$2:$AZ$212,AI$2,FALSE)</f>
        <v>6518.9669990000002</v>
      </c>
      <c r="AJ60" s="65">
        <f>VLOOKUP($D60,Résultats!$B$2:$AZ$212,AJ$2,FALSE)</f>
        <v>6350.0852080000004</v>
      </c>
      <c r="AK60" s="65">
        <f>VLOOKUP($D60,Résultats!$B$2:$AZ$212,AK$2,FALSE)</f>
        <v>6183.7697850000004</v>
      </c>
      <c r="AL60" s="65">
        <f>VLOOKUP($D60,Résultats!$B$2:$AZ$212,AL$2,FALSE)</f>
        <v>6019.1751960000001</v>
      </c>
      <c r="AM60" s="226">
        <f>VLOOKUP($D60,Résultats!$B$2:$AZ$212,AM$2,FALSE)</f>
        <v>5856.1769480000003</v>
      </c>
    </row>
    <row r="61" spans="2:40" x14ac:dyDescent="0.25">
      <c r="B61" s="230"/>
      <c r="C61" s="218" t="s">
        <v>30</v>
      </c>
      <c r="D61" s="54" t="s">
        <v>134</v>
      </c>
      <c r="E61" s="65">
        <f>VLOOKUP($D61,Résultats!$B$2:$AZ$212,E$2,FALSE)</f>
        <v>5377.3855290000001</v>
      </c>
      <c r="F61" s="65">
        <f>VLOOKUP($D61,Résultats!$B$2:$AZ$212,F$2,FALSE)</f>
        <v>7833.40744</v>
      </c>
      <c r="G61" s="65">
        <f>VLOOKUP($D61,Résultats!$B$2:$AZ$212,G$2,FALSE)</f>
        <v>8334.6877270000005</v>
      </c>
      <c r="H61" s="65">
        <f>VLOOKUP($D61,Résultats!$B$2:$AZ$212,H$2,FALSE)</f>
        <v>8518.5348329999997</v>
      </c>
      <c r="I61" s="65">
        <f>VLOOKUP($D61,Résultats!$B$2:$AZ$212,I$2,FALSE)</f>
        <v>8673.4606050000002</v>
      </c>
      <c r="J61" s="65">
        <f>VLOOKUP($D61,Résultats!$B$2:$AZ$212,J$2,FALSE)</f>
        <v>8792.9969180000007</v>
      </c>
      <c r="K61" s="65">
        <f>VLOOKUP($D61,Résultats!$B$2:$AZ$212,K$2,FALSE)</f>
        <v>8873.3203290000001</v>
      </c>
      <c r="L61" s="65">
        <f>VLOOKUP($D61,Résultats!$B$2:$AZ$212,L$2,FALSE)</f>
        <v>8895.9143569999997</v>
      </c>
      <c r="M61" s="65">
        <f>VLOOKUP($D61,Résultats!$B$2:$AZ$212,M$2,FALSE)</f>
        <v>8928.2988800000003</v>
      </c>
      <c r="N61" s="65">
        <f>VLOOKUP($D61,Résultats!$B$2:$AZ$212,N$2,FALSE)</f>
        <v>8767.143967</v>
      </c>
      <c r="O61" s="65">
        <f>VLOOKUP($D61,Résultats!$B$2:$AZ$212,O$2,FALSE)</f>
        <v>8722.2460780000001</v>
      </c>
      <c r="P61" s="65">
        <f>VLOOKUP($D61,Résultats!$B$2:$AZ$212,P$2,FALSE)</f>
        <v>8706.1240070000003</v>
      </c>
      <c r="Q61" s="65">
        <f>VLOOKUP($D61,Résultats!$B$2:$AZ$212,Q$2,FALSE)</f>
        <v>8688.0252689999998</v>
      </c>
      <c r="R61" s="65">
        <f>VLOOKUP($D61,Résultats!$B$2:$AZ$212,R$2,FALSE)</f>
        <v>8656.69686</v>
      </c>
      <c r="S61" s="65">
        <f>VLOOKUP($D61,Résultats!$B$2:$AZ$212,S$2,FALSE)</f>
        <v>8507.0390530000004</v>
      </c>
      <c r="T61" s="65">
        <f>VLOOKUP($D61,Résultats!$B$2:$AZ$212,T$2,FALSE)</f>
        <v>8415.3065569999999</v>
      </c>
      <c r="U61" s="65">
        <f>VLOOKUP($D61,Résultats!$B$2:$AZ$212,U$2,FALSE)</f>
        <v>8318.2008659999901</v>
      </c>
      <c r="V61" s="65">
        <f>VLOOKUP($D61,Résultats!$B$2:$AZ$212,V$2,FALSE)</f>
        <v>8212.1381990000009</v>
      </c>
      <c r="W61" s="65">
        <f>VLOOKUP($D61,Résultats!$B$2:$AZ$212,W$2,FALSE)</f>
        <v>8096.8477409999996</v>
      </c>
      <c r="X61" s="65">
        <f>VLOOKUP($D61,Résultats!$B$2:$AZ$212,X$2,FALSE)</f>
        <v>7914.7210580000001</v>
      </c>
      <c r="Y61" s="65">
        <f>VLOOKUP($D61,Résultats!$B$2:$AZ$212,Y$2,FALSE)</f>
        <v>7761.7327660000001</v>
      </c>
      <c r="Z61" s="65">
        <f>VLOOKUP($D61,Résultats!$B$2:$AZ$212,Z$2,FALSE)</f>
        <v>7617.9427699999997</v>
      </c>
      <c r="AA61" s="65">
        <f>VLOOKUP($D61,Résultats!$B$2:$AZ$212,AA$2,FALSE)</f>
        <v>7474.5533180000002</v>
      </c>
      <c r="AB61" s="65">
        <f>VLOOKUP($D61,Résultats!$B$2:$AZ$212,AB$2,FALSE)</f>
        <v>7329.7373530000004</v>
      </c>
      <c r="AC61" s="65">
        <f>VLOOKUP($D61,Résultats!$B$2:$AZ$212,AC$2,FALSE)</f>
        <v>7183.5081769999997</v>
      </c>
      <c r="AD61" s="65">
        <f>VLOOKUP($D61,Résultats!$B$2:$AZ$212,AD$2,FALSE)</f>
        <v>7023.3977850000001</v>
      </c>
      <c r="AE61" s="65">
        <f>VLOOKUP($D61,Résultats!$B$2:$AZ$212,AE$2,FALSE)</f>
        <v>6856.7072690000005</v>
      </c>
      <c r="AF61" s="65">
        <f>VLOOKUP($D61,Résultats!$B$2:$AZ$212,AF$2,FALSE)</f>
        <v>6687.021436</v>
      </c>
      <c r="AG61" s="65">
        <f>VLOOKUP($D61,Résultats!$B$2:$AZ$212,AG$2,FALSE)</f>
        <v>6515.9429289999998</v>
      </c>
      <c r="AH61" s="65">
        <f>VLOOKUP($D61,Résultats!$B$2:$AZ$212,AH$2,FALSE)</f>
        <v>6318.6146390000004</v>
      </c>
      <c r="AI61" s="65">
        <f>VLOOKUP($D61,Résultats!$B$2:$AZ$212,AI$2,FALSE)</f>
        <v>6133.5873369999999</v>
      </c>
      <c r="AJ61" s="65">
        <f>VLOOKUP($D61,Résultats!$B$2:$AZ$212,AJ$2,FALSE)</f>
        <v>5954.4014630000001</v>
      </c>
      <c r="AK61" s="65">
        <f>VLOOKUP($D61,Résultats!$B$2:$AZ$212,AK$2,FALSE)</f>
        <v>5778.4722849999998</v>
      </c>
      <c r="AL61" s="65">
        <f>VLOOKUP($D61,Résultats!$B$2:$AZ$212,AL$2,FALSE)</f>
        <v>5605.1024070000003</v>
      </c>
      <c r="AM61" s="226">
        <f>VLOOKUP($D61,Résultats!$B$2:$AZ$212,AM$2,FALSE)</f>
        <v>5434.2258890000003</v>
      </c>
    </row>
    <row r="62" spans="2:40" x14ac:dyDescent="0.25">
      <c r="B62" s="230"/>
      <c r="C62" s="218" t="s">
        <v>31</v>
      </c>
      <c r="D62" s="54" t="s">
        <v>135</v>
      </c>
      <c r="E62" s="65">
        <f>VLOOKUP($D62,Résultats!$B$2:$AZ$212,E$2,FALSE)</f>
        <v>13959.64589</v>
      </c>
      <c r="F62" s="65">
        <f>VLOOKUP($D62,Résultats!$B$2:$AZ$212,F$2,FALSE)</f>
        <v>11261.712960000001</v>
      </c>
      <c r="G62" s="65">
        <f>VLOOKUP($D62,Résultats!$B$2:$AZ$212,G$2,FALSE)</f>
        <v>10604.5488</v>
      </c>
      <c r="H62" s="65">
        <f>VLOOKUP($D62,Résultats!$B$2:$AZ$212,H$2,FALSE)</f>
        <v>10426.104579999999</v>
      </c>
      <c r="I62" s="65">
        <f>VLOOKUP($D62,Résultats!$B$2:$AZ$212,I$2,FALSE)</f>
        <v>10225.286990000001</v>
      </c>
      <c r="J62" s="65">
        <f>VLOOKUP($D62,Résultats!$B$2:$AZ$212,J$2,FALSE)</f>
        <v>10033.64748</v>
      </c>
      <c r="K62" s="65">
        <f>VLOOKUP($D62,Résultats!$B$2:$AZ$212,K$2,FALSE)</f>
        <v>9776.6866150000005</v>
      </c>
      <c r="L62" s="65">
        <f>VLOOKUP($D62,Résultats!$B$2:$AZ$212,L$2,FALSE)</f>
        <v>9480.6832720000002</v>
      </c>
      <c r="M62" s="65">
        <f>VLOOKUP($D62,Résultats!$B$2:$AZ$212,M$2,FALSE)</f>
        <v>9204.8955800000003</v>
      </c>
      <c r="N62" s="65">
        <f>VLOOKUP($D62,Résultats!$B$2:$AZ$212,N$2,FALSE)</f>
        <v>8844.4605769999998</v>
      </c>
      <c r="O62" s="65">
        <f>VLOOKUP($D62,Résultats!$B$2:$AZ$212,O$2,FALSE)</f>
        <v>8558.9709180000009</v>
      </c>
      <c r="P62" s="65">
        <f>VLOOKUP($D62,Résultats!$B$2:$AZ$212,P$2,FALSE)</f>
        <v>8301.7777590000005</v>
      </c>
      <c r="Q62" s="65">
        <f>VLOOKUP($D62,Résultats!$B$2:$AZ$212,Q$2,FALSE)</f>
        <v>8055.9380110000002</v>
      </c>
      <c r="R62" s="65">
        <f>VLOOKUP($D62,Résultats!$B$2:$AZ$212,R$2,FALSE)</f>
        <v>7815.1034900000004</v>
      </c>
      <c r="S62" s="65">
        <f>VLOOKUP($D62,Résultats!$B$2:$AZ$212,S$2,FALSE)</f>
        <v>7527.2805669999998</v>
      </c>
      <c r="T62" s="65">
        <f>VLOOKUP($D62,Résultats!$B$2:$AZ$212,T$2,FALSE)</f>
        <v>7279.2276590000001</v>
      </c>
      <c r="U62" s="65">
        <f>VLOOKUP($D62,Résultats!$B$2:$AZ$212,U$2,FALSE)</f>
        <v>7039.009204</v>
      </c>
      <c r="V62" s="65">
        <f>VLOOKUP($D62,Résultats!$B$2:$AZ$212,V$2,FALSE)</f>
        <v>6804.3008620000001</v>
      </c>
      <c r="W62" s="65">
        <f>VLOOKUP($D62,Résultats!$B$2:$AZ$212,W$2,FALSE)</f>
        <v>6574.7750580000002</v>
      </c>
      <c r="X62" s="65">
        <f>VLOOKUP($D62,Résultats!$B$2:$AZ$212,X$2,FALSE)</f>
        <v>6322.6559900000002</v>
      </c>
      <c r="Y62" s="65">
        <f>VLOOKUP($D62,Résultats!$B$2:$AZ$212,Y$2,FALSE)</f>
        <v>6092.9993809999996</v>
      </c>
      <c r="Z62" s="65">
        <f>VLOOKUP($D62,Résultats!$B$2:$AZ$212,Z$2,FALSE)</f>
        <v>5875.9156210000001</v>
      </c>
      <c r="AA62" s="65">
        <f>VLOOKUP($D62,Résultats!$B$2:$AZ$212,AA$2,FALSE)</f>
        <v>5666.7459660000004</v>
      </c>
      <c r="AB62" s="65">
        <f>VLOOKUP($D62,Résultats!$B$2:$AZ$212,AB$2,FALSE)</f>
        <v>5464.3274199999996</v>
      </c>
      <c r="AC62" s="65">
        <f>VLOOKUP($D62,Résultats!$B$2:$AZ$212,AC$2,FALSE)</f>
        <v>5268.3917899999997</v>
      </c>
      <c r="AD62" s="65">
        <f>VLOOKUP($D62,Résultats!$B$2:$AZ$212,AD$2,FALSE)</f>
        <v>5072.1755919999996</v>
      </c>
      <c r="AE62" s="65">
        <f>VLOOKUP($D62,Résultats!$B$2:$AZ$212,AE$2,FALSE)</f>
        <v>4878.8615149999996</v>
      </c>
      <c r="AF62" s="65">
        <f>VLOOKUP($D62,Résultats!$B$2:$AZ$212,AF$2,FALSE)</f>
        <v>4689.9355500000001</v>
      </c>
      <c r="AG62" s="65">
        <f>VLOOKUP($D62,Résultats!$B$2:$AZ$212,AG$2,FALSE)</f>
        <v>4505.9439929999999</v>
      </c>
      <c r="AH62" s="65">
        <f>VLOOKUP($D62,Résultats!$B$2:$AZ$212,AH$2,FALSE)</f>
        <v>4316.0876920000001</v>
      </c>
      <c r="AI62" s="65">
        <f>VLOOKUP($D62,Résultats!$B$2:$AZ$212,AI$2,FALSE)</f>
        <v>4136.8578209999996</v>
      </c>
      <c r="AJ62" s="65">
        <f>VLOOKUP($D62,Résultats!$B$2:$AZ$212,AJ$2,FALSE)</f>
        <v>3965.26764</v>
      </c>
      <c r="AK62" s="65">
        <f>VLOOKUP($D62,Résultats!$B$2:$AZ$212,AK$2,FALSE)</f>
        <v>3800.0325320000002</v>
      </c>
      <c r="AL62" s="65">
        <f>VLOOKUP($D62,Résultats!$B$2:$AZ$212,AL$2,FALSE)</f>
        <v>3640.7060390000001</v>
      </c>
      <c r="AM62" s="226">
        <f>VLOOKUP($D62,Résultats!$B$2:$AZ$212,AM$2,FALSE)</f>
        <v>3487.1114389999998</v>
      </c>
    </row>
    <row r="63" spans="2:40" x14ac:dyDescent="0.25">
      <c r="B63" s="230"/>
      <c r="C63" s="218" t="s">
        <v>32</v>
      </c>
      <c r="D63" s="54" t="s">
        <v>136</v>
      </c>
      <c r="E63" s="65">
        <f>VLOOKUP($D63,Résultats!$B$2:$AZ$212,E$2,FALSE)</f>
        <v>4923.9468200000001</v>
      </c>
      <c r="F63" s="65">
        <f>VLOOKUP($D63,Résultats!$B$2:$AZ$212,F$2,FALSE)</f>
        <v>3814.8950359999999</v>
      </c>
      <c r="G63" s="65">
        <f>VLOOKUP($D63,Résultats!$B$2:$AZ$212,G$2,FALSE)</f>
        <v>3538.1775640000001</v>
      </c>
      <c r="H63" s="65">
        <f>VLOOKUP($D63,Résultats!$B$2:$AZ$212,H$2,FALSE)</f>
        <v>3459.1960819999999</v>
      </c>
      <c r="I63" s="65">
        <f>VLOOKUP($D63,Résultats!$B$2:$AZ$212,I$2,FALSE)</f>
        <v>3365.7939299999998</v>
      </c>
      <c r="J63" s="65">
        <f>VLOOKUP($D63,Résultats!$B$2:$AZ$212,J$2,FALSE)</f>
        <v>3251.6556</v>
      </c>
      <c r="K63" s="65">
        <f>VLOOKUP($D63,Résultats!$B$2:$AZ$212,K$2,FALSE)</f>
        <v>3110.5436119999999</v>
      </c>
      <c r="L63" s="65">
        <f>VLOOKUP($D63,Résultats!$B$2:$AZ$212,L$2,FALSE)</f>
        <v>2959.7610370000002</v>
      </c>
      <c r="M63" s="65">
        <f>VLOOKUP($D63,Résultats!$B$2:$AZ$212,M$2,FALSE)</f>
        <v>2816.726271</v>
      </c>
      <c r="N63" s="65">
        <f>VLOOKUP($D63,Résultats!$B$2:$AZ$212,N$2,FALSE)</f>
        <v>2669.2741259999998</v>
      </c>
      <c r="O63" s="65">
        <f>VLOOKUP($D63,Résultats!$B$2:$AZ$212,O$2,FALSE)</f>
        <v>2536.2042849999998</v>
      </c>
      <c r="P63" s="65">
        <f>VLOOKUP($D63,Résultats!$B$2:$AZ$212,P$2,FALSE)</f>
        <v>2411.4332439999998</v>
      </c>
      <c r="Q63" s="65">
        <f>VLOOKUP($D63,Résultats!$B$2:$AZ$212,Q$2,FALSE)</f>
        <v>2292.5953399999999</v>
      </c>
      <c r="R63" s="65">
        <f>VLOOKUP($D63,Résultats!$B$2:$AZ$212,R$2,FALSE)</f>
        <v>2178.8091850000001</v>
      </c>
      <c r="S63" s="65">
        <f>VLOOKUP($D63,Résultats!$B$2:$AZ$212,S$2,FALSE)</f>
        <v>2065.0677949999999</v>
      </c>
      <c r="T63" s="65">
        <f>VLOOKUP($D63,Résultats!$B$2:$AZ$212,T$2,FALSE)</f>
        <v>1959.6741509999999</v>
      </c>
      <c r="U63" s="65">
        <f>VLOOKUP($D63,Résultats!$B$2:$AZ$212,U$2,FALSE)</f>
        <v>1859.297129</v>
      </c>
      <c r="V63" s="65">
        <f>VLOOKUP($D63,Résultats!$B$2:$AZ$212,V$2,FALSE)</f>
        <v>1763.5164150000001</v>
      </c>
      <c r="W63" s="65">
        <f>VLOOKUP($D63,Résultats!$B$2:$AZ$212,W$2,FALSE)</f>
        <v>1672.219836</v>
      </c>
      <c r="X63" s="65">
        <f>VLOOKUP($D63,Résultats!$B$2:$AZ$212,X$2,FALSE)</f>
        <v>1583.01648</v>
      </c>
      <c r="Y63" s="65">
        <f>VLOOKUP($D63,Résultats!$B$2:$AZ$212,Y$2,FALSE)</f>
        <v>1499.3154870000001</v>
      </c>
      <c r="Z63" s="65">
        <f>VLOOKUP($D63,Résultats!$B$2:$AZ$212,Z$2,FALSE)</f>
        <v>1420.15121</v>
      </c>
      <c r="AA63" s="65">
        <f>VLOOKUP($D63,Résultats!$B$2:$AZ$212,AA$2,FALSE)</f>
        <v>1344.966915</v>
      </c>
      <c r="AB63" s="65">
        <f>VLOOKUP($D63,Résultats!$B$2:$AZ$212,AB$2,FALSE)</f>
        <v>1273.5374440000001</v>
      </c>
      <c r="AC63" s="65">
        <f>VLOOKUP($D63,Résultats!$B$2:$AZ$212,AC$2,FALSE)</f>
        <v>1205.7108800000001</v>
      </c>
      <c r="AD63" s="65">
        <f>VLOOKUP($D63,Résultats!$B$2:$AZ$212,AD$2,FALSE)</f>
        <v>1140.5836870000001</v>
      </c>
      <c r="AE63" s="65">
        <f>VLOOKUP($D63,Résultats!$B$2:$AZ$212,AE$2,FALSE)</f>
        <v>1078.286975</v>
      </c>
      <c r="AF63" s="65">
        <f>VLOOKUP($D63,Résultats!$B$2:$AZ$212,AF$2,FALSE)</f>
        <v>1018.834487</v>
      </c>
      <c r="AG63" s="65">
        <f>VLOOKUP($D63,Résultats!$B$2:$AZ$212,AG$2,FALSE)</f>
        <v>962.16911909999999</v>
      </c>
      <c r="AH63" s="65">
        <f>VLOOKUP($D63,Résultats!$B$2:$AZ$212,AH$2,FALSE)</f>
        <v>907.67367330000002</v>
      </c>
      <c r="AI63" s="65">
        <f>VLOOKUP($D63,Résultats!$B$2:$AZ$212,AI$2,FALSE)</f>
        <v>856.09014109999998</v>
      </c>
      <c r="AJ63" s="65">
        <f>VLOOKUP($D63,Résultats!$B$2:$AZ$212,AJ$2,FALSE)</f>
        <v>807.16736779999997</v>
      </c>
      <c r="AK63" s="65">
        <f>VLOOKUP($D63,Résultats!$B$2:$AZ$212,AK$2,FALSE)</f>
        <v>760.74760679999997</v>
      </c>
      <c r="AL63" s="65">
        <f>VLOOKUP($D63,Résultats!$B$2:$AZ$212,AL$2,FALSE)</f>
        <v>716.71984440000006</v>
      </c>
      <c r="AM63" s="226">
        <f>VLOOKUP($D63,Résultats!$B$2:$AZ$212,AM$2,FALSE)</f>
        <v>674.98668929999997</v>
      </c>
    </row>
    <row r="64" spans="2:40" x14ac:dyDescent="0.25">
      <c r="B64" s="230"/>
      <c r="C64" s="219" t="s">
        <v>33</v>
      </c>
      <c r="D64" s="54" t="s">
        <v>137</v>
      </c>
      <c r="E64" s="224">
        <f>VLOOKUP($D64,Résultats!$B$2:$AZ$212,E$2,FALSE)</f>
        <v>2256.0604069999999</v>
      </c>
      <c r="F64" s="224">
        <f>VLOOKUP($D64,Résultats!$B$2:$AZ$212,F$2,FALSE)</f>
        <v>1510.920443</v>
      </c>
      <c r="G64" s="224">
        <f>VLOOKUP($D64,Résultats!$B$2:$AZ$212,G$2,FALSE)</f>
        <v>1339.990041</v>
      </c>
      <c r="H64" s="224">
        <f>VLOOKUP($D64,Résultats!$B$2:$AZ$212,H$2,FALSE)</f>
        <v>1287.1685110000001</v>
      </c>
      <c r="I64" s="224">
        <f>VLOOKUP($D64,Résultats!$B$2:$AZ$212,I$2,FALSE)</f>
        <v>1231.9647600000001</v>
      </c>
      <c r="J64" s="224">
        <f>VLOOKUP($D64,Résultats!$B$2:$AZ$212,J$2,FALSE)</f>
        <v>1173.03619</v>
      </c>
      <c r="K64" s="224">
        <f>VLOOKUP($D64,Résultats!$B$2:$AZ$212,K$2,FALSE)</f>
        <v>1107.8675129999999</v>
      </c>
      <c r="L64" s="224">
        <f>VLOOKUP($D64,Résultats!$B$2:$AZ$212,L$2,FALSE)</f>
        <v>1042.6988349999999</v>
      </c>
      <c r="M64" s="224">
        <f>VLOOKUP($D64,Résultats!$B$2:$AZ$212,M$2,FALSE)</f>
        <v>981.36360990000003</v>
      </c>
      <c r="N64" s="224">
        <f>VLOOKUP($D64,Résultats!$B$2:$AZ$212,N$2,FALSE)</f>
        <v>923.63633870000001</v>
      </c>
      <c r="O64" s="224">
        <f>VLOOKUP($D64,Résultats!$B$2:$AZ$212,O$2,FALSE)</f>
        <v>869.3047894</v>
      </c>
      <c r="P64" s="224">
        <f>VLOOKUP($D64,Résultats!$B$2:$AZ$212,P$2,FALSE)</f>
        <v>818.16921349999996</v>
      </c>
      <c r="Q64" s="224">
        <f>VLOOKUP($D64,Résultats!$B$2:$AZ$212,Q$2,FALSE)</f>
        <v>770.04161269999997</v>
      </c>
      <c r="R64" s="224">
        <f>VLOOKUP($D64,Résultats!$B$2:$AZ$212,R$2,FALSE)</f>
        <v>724.74504730000001</v>
      </c>
      <c r="S64" s="224">
        <f>VLOOKUP($D64,Résultats!$B$2:$AZ$212,S$2,FALSE)</f>
        <v>682.11298569999997</v>
      </c>
      <c r="T64" s="224">
        <f>VLOOKUP($D64,Résultats!$B$2:$AZ$212,T$2,FALSE)</f>
        <v>641.98869239999999</v>
      </c>
      <c r="U64" s="224">
        <f>VLOOKUP($D64,Résultats!$B$2:$AZ$212,U$2,FALSE)</f>
        <v>604.22465169999998</v>
      </c>
      <c r="V64" s="224">
        <f>VLOOKUP($D64,Résultats!$B$2:$AZ$212,V$2,FALSE)</f>
        <v>568.68202510000003</v>
      </c>
      <c r="W64" s="224">
        <f>VLOOKUP($D64,Résultats!$B$2:$AZ$212,W$2,FALSE)</f>
        <v>535.23014130000001</v>
      </c>
      <c r="X64" s="224">
        <f>VLOOKUP($D64,Résultats!$B$2:$AZ$212,X$2,FALSE)</f>
        <v>503.74601530000001</v>
      </c>
      <c r="Y64" s="224">
        <f>VLOOKUP($D64,Résultats!$B$2:$AZ$212,Y$2,FALSE)</f>
        <v>474.11389680000002</v>
      </c>
      <c r="Z64" s="224">
        <f>VLOOKUP($D64,Résultats!$B$2:$AZ$212,Z$2,FALSE)</f>
        <v>446.22484400000002</v>
      </c>
      <c r="AA64" s="224">
        <f>VLOOKUP($D64,Résultats!$B$2:$AZ$212,AA$2,FALSE)</f>
        <v>419.97632379999999</v>
      </c>
      <c r="AB64" s="224">
        <f>VLOOKUP($D64,Résultats!$B$2:$AZ$212,AB$2,FALSE)</f>
        <v>395.27183409999998</v>
      </c>
      <c r="AC64" s="224">
        <f>VLOOKUP($D64,Résultats!$B$2:$AZ$212,AC$2,FALSE)</f>
        <v>372.02054980000003</v>
      </c>
      <c r="AD64" s="224">
        <f>VLOOKUP($D64,Résultats!$B$2:$AZ$212,AD$2,FALSE)</f>
        <v>350.00749949999999</v>
      </c>
      <c r="AE64" s="224">
        <f>VLOOKUP($D64,Résultats!$B$2:$AZ$212,AE$2,FALSE)</f>
        <v>329.17371980000001</v>
      </c>
      <c r="AF64" s="224">
        <f>VLOOKUP($D64,Résultats!$B$2:$AZ$212,AF$2,FALSE)</f>
        <v>309.46271860000002</v>
      </c>
      <c r="AG64" s="224">
        <f>VLOOKUP($D64,Résultats!$B$2:$AZ$212,AG$2,FALSE)</f>
        <v>290.82038610000001</v>
      </c>
      <c r="AH64" s="224">
        <f>VLOOKUP($D64,Résultats!$B$2:$AZ$212,AH$2,FALSE)</f>
        <v>273.19490819999999</v>
      </c>
      <c r="AI64" s="224">
        <f>VLOOKUP($D64,Résultats!$B$2:$AZ$212,AI$2,FALSE)</f>
        <v>256.53668210000001</v>
      </c>
      <c r="AJ64" s="224">
        <f>VLOOKUP($D64,Résultats!$B$2:$AZ$212,AJ$2,FALSE)</f>
        <v>240.79823529999999</v>
      </c>
      <c r="AK64" s="224">
        <f>VLOOKUP($D64,Résultats!$B$2:$AZ$212,AK$2,FALSE)</f>
        <v>225.93414670000001</v>
      </c>
      <c r="AL64" s="224">
        <f>VLOOKUP($D64,Résultats!$B$2:$AZ$212,AL$2,FALSE)</f>
        <v>211.90096990000001</v>
      </c>
      <c r="AM64" s="227">
        <f>VLOOKUP($D64,Résultats!$B$2:$AZ$212,AM$2,FALSE)</f>
        <v>198.65715929999999</v>
      </c>
    </row>
    <row r="65" spans="2:39" s="3" customFormat="1" x14ac:dyDescent="0.25"/>
    <row r="66" spans="2:39" s="3" customFormat="1" x14ac:dyDescent="0.25"/>
    <row r="67" spans="2:39" x14ac:dyDescent="0.25">
      <c r="C67" s="11"/>
      <c r="D67" s="11"/>
      <c r="E67" s="93">
        <v>2006</v>
      </c>
      <c r="F67" s="93">
        <v>2015</v>
      </c>
      <c r="G67" s="93">
        <v>2018</v>
      </c>
      <c r="H67" s="93">
        <v>2019</v>
      </c>
      <c r="I67" s="93">
        <v>2020</v>
      </c>
      <c r="J67" s="20">
        <v>2021</v>
      </c>
      <c r="K67" s="4">
        <v>2022</v>
      </c>
      <c r="L67" s="4">
        <v>2023</v>
      </c>
      <c r="M67" s="4">
        <v>2024</v>
      </c>
      <c r="N67" s="92">
        <v>2025</v>
      </c>
      <c r="O67" s="20">
        <v>2026</v>
      </c>
      <c r="P67" s="4">
        <v>2027</v>
      </c>
      <c r="Q67" s="4">
        <v>2028</v>
      </c>
      <c r="R67" s="4">
        <v>2029</v>
      </c>
      <c r="S67" s="92">
        <v>2030</v>
      </c>
      <c r="T67" s="92">
        <v>2031</v>
      </c>
      <c r="U67" s="92">
        <v>2032</v>
      </c>
      <c r="V67" s="92">
        <v>2033</v>
      </c>
      <c r="W67" s="92">
        <v>2034</v>
      </c>
      <c r="X67" s="93">
        <v>2035</v>
      </c>
      <c r="Y67" s="93">
        <v>2036</v>
      </c>
      <c r="Z67" s="93">
        <v>2037</v>
      </c>
      <c r="AA67" s="93">
        <v>2038</v>
      </c>
      <c r="AB67" s="93">
        <v>2039</v>
      </c>
      <c r="AC67" s="93">
        <v>2040</v>
      </c>
      <c r="AD67" s="93">
        <v>2041</v>
      </c>
      <c r="AE67" s="93">
        <v>2042</v>
      </c>
      <c r="AF67" s="93">
        <v>2043</v>
      </c>
      <c r="AG67" s="93">
        <v>2044</v>
      </c>
      <c r="AH67" s="93">
        <v>2045</v>
      </c>
      <c r="AI67" s="93">
        <v>2046</v>
      </c>
      <c r="AJ67" s="93">
        <v>2047</v>
      </c>
      <c r="AK67" s="93">
        <v>2048</v>
      </c>
      <c r="AL67" s="93">
        <v>2049</v>
      </c>
      <c r="AM67" s="93">
        <v>2050</v>
      </c>
    </row>
    <row r="68" spans="2:39" x14ac:dyDescent="0.25">
      <c r="B68" s="229" t="s">
        <v>79</v>
      </c>
      <c r="C68" s="50" t="s">
        <v>51</v>
      </c>
      <c r="D68" s="50" t="s">
        <v>149</v>
      </c>
      <c r="E68" s="51">
        <f t="shared" ref="E68:AM68" si="11">E26</f>
        <v>2373</v>
      </c>
      <c r="F68" s="51">
        <f t="shared" si="11"/>
        <v>1940.3869999999999</v>
      </c>
      <c r="G68" s="51">
        <f t="shared" si="11"/>
        <v>2203.7420000000002</v>
      </c>
      <c r="H68" s="51">
        <f t="shared" si="11"/>
        <v>2240.3020000000001</v>
      </c>
      <c r="I68" s="51">
        <f t="shared" si="11"/>
        <v>2210.0972230000002</v>
      </c>
      <c r="J68" s="51">
        <f t="shared" si="11"/>
        <v>2084.8360039999998</v>
      </c>
      <c r="K68" s="51">
        <f t="shared" si="11"/>
        <v>2199.2582649999999</v>
      </c>
      <c r="L68" s="51">
        <f t="shared" si="11"/>
        <v>2170.6610230000001</v>
      </c>
      <c r="M68" s="51">
        <f t="shared" si="11"/>
        <v>2277.4928190000001</v>
      </c>
      <c r="N68" s="51">
        <f t="shared" si="11"/>
        <v>1546.520311</v>
      </c>
      <c r="O68" s="51">
        <f t="shared" si="11"/>
        <v>2062.6453270000002</v>
      </c>
      <c r="P68" s="51">
        <f t="shared" si="11"/>
        <v>2263.0538839999999</v>
      </c>
      <c r="Q68" s="51">
        <f t="shared" si="11"/>
        <v>2350.0372590000002</v>
      </c>
      <c r="R68" s="51">
        <f t="shared" si="11"/>
        <v>2391.8454820000002</v>
      </c>
      <c r="S68" s="51">
        <f t="shared" si="11"/>
        <v>1888.309747</v>
      </c>
      <c r="T68" s="51">
        <f t="shared" si="11"/>
        <v>2250.5650569999998</v>
      </c>
      <c r="U68" s="51">
        <f t="shared" si="11"/>
        <v>2305.9002500000001</v>
      </c>
      <c r="V68" s="51">
        <f t="shared" si="11"/>
        <v>2338.41606</v>
      </c>
      <c r="W68" s="51">
        <f t="shared" si="11"/>
        <v>2360.5457249999999</v>
      </c>
      <c r="X68" s="51">
        <f t="shared" si="11"/>
        <v>1992.4747359999999</v>
      </c>
      <c r="Y68" s="51">
        <f t="shared" si="11"/>
        <v>2220.1203529999998</v>
      </c>
      <c r="Z68" s="51">
        <f t="shared" si="11"/>
        <v>2328.9797429999999</v>
      </c>
      <c r="AA68" s="51">
        <f t="shared" si="11"/>
        <v>2378.4779819999999</v>
      </c>
      <c r="AB68" s="51">
        <f t="shared" si="11"/>
        <v>2409.4863839999998</v>
      </c>
      <c r="AC68" s="51">
        <f t="shared" si="11"/>
        <v>2433.806677</v>
      </c>
      <c r="AD68" s="51">
        <f t="shared" si="11"/>
        <v>2368.2773499999998</v>
      </c>
      <c r="AE68" s="51">
        <f t="shared" si="11"/>
        <v>2347.9329760000001</v>
      </c>
      <c r="AF68" s="51">
        <f t="shared" si="11"/>
        <v>2348.000634</v>
      </c>
      <c r="AG68" s="51">
        <f t="shared" si="11"/>
        <v>2355.0700379999998</v>
      </c>
      <c r="AH68" s="51">
        <f t="shared" si="11"/>
        <v>2096.7557419999998</v>
      </c>
      <c r="AI68" s="51">
        <f t="shared" si="11"/>
        <v>2208.599745</v>
      </c>
      <c r="AJ68" s="51">
        <f t="shared" si="11"/>
        <v>2259.9961269999999</v>
      </c>
      <c r="AK68" s="51">
        <f t="shared" si="11"/>
        <v>2284.0224400000002</v>
      </c>
      <c r="AL68" s="51">
        <f t="shared" si="11"/>
        <v>2297.3571109999998</v>
      </c>
      <c r="AM68" s="100">
        <f t="shared" si="11"/>
        <v>2306.1408750000001</v>
      </c>
    </row>
    <row r="69" spans="2:39" x14ac:dyDescent="0.25">
      <c r="B69" s="230"/>
      <c r="C69" s="52" t="s">
        <v>45</v>
      </c>
      <c r="D69" s="52" t="s">
        <v>425</v>
      </c>
      <c r="E69" s="124">
        <f t="shared" ref="E69:AM69" si="12">E27/E$26</f>
        <v>5.0000000000000001E-4</v>
      </c>
      <c r="F69" s="124">
        <f t="shared" si="12"/>
        <v>1.3794143802241513E-2</v>
      </c>
      <c r="G69" s="124">
        <f t="shared" si="12"/>
        <v>2.9917723994006551E-2</v>
      </c>
      <c r="H69" s="124">
        <f t="shared" si="12"/>
        <v>3.8342876219366849E-2</v>
      </c>
      <c r="I69" s="124">
        <f t="shared" si="12"/>
        <v>4.8783311647100328E-2</v>
      </c>
      <c r="J69" s="123">
        <f t="shared" si="12"/>
        <v>6.1525701759705426E-2</v>
      </c>
      <c r="K69" s="67">
        <f t="shared" si="12"/>
        <v>7.69090674305139E-2</v>
      </c>
      <c r="L69" s="67">
        <f t="shared" si="12"/>
        <v>9.5156954315478104E-2</v>
      </c>
      <c r="M69" s="67">
        <f t="shared" si="12"/>
        <v>0.11640144455709039</v>
      </c>
      <c r="N69" s="124">
        <f t="shared" si="12"/>
        <v>0.14058133640638618</v>
      </c>
      <c r="O69" s="123">
        <f t="shared" si="12"/>
        <v>0.1674385199331945</v>
      </c>
      <c r="P69" s="67">
        <f t="shared" si="12"/>
        <v>0.19651091003363844</v>
      </c>
      <c r="Q69" s="67">
        <f t="shared" si="12"/>
        <v>0.22717408077486143</v>
      </c>
      <c r="R69" s="67">
        <f t="shared" si="12"/>
        <v>0.25871216621509163</v>
      </c>
      <c r="S69" s="124">
        <f t="shared" si="12"/>
        <v>0.29040463630038132</v>
      </c>
      <c r="T69" s="124">
        <f t="shared" si="12"/>
        <v>0.32160705403682988</v>
      </c>
      <c r="U69" s="124">
        <f t="shared" si="12"/>
        <v>0.35180095665456473</v>
      </c>
      <c r="V69" s="124">
        <f t="shared" si="12"/>
        <v>0.38061398398025026</v>
      </c>
      <c r="W69" s="124">
        <f t="shared" si="12"/>
        <v>0.40781205536698512</v>
      </c>
      <c r="X69" s="118">
        <f t="shared" si="12"/>
        <v>0.43328352646173779</v>
      </c>
      <c r="Y69" s="118">
        <f t="shared" si="12"/>
        <v>0.45700354200572479</v>
      </c>
      <c r="Z69" s="118">
        <f t="shared" si="12"/>
        <v>0.47901149606521082</v>
      </c>
      <c r="AA69" s="118">
        <f t="shared" si="12"/>
        <v>0.49938851357422404</v>
      </c>
      <c r="AB69" s="118">
        <f t="shared" si="12"/>
        <v>0.51823748259869817</v>
      </c>
      <c r="AC69" s="118">
        <f t="shared" si="12"/>
        <v>0.53567187867485655</v>
      </c>
      <c r="AD69" s="118">
        <f t="shared" si="12"/>
        <v>0.55180787756974503</v>
      </c>
      <c r="AE69" s="118">
        <f t="shared" si="12"/>
        <v>0.56675805297774395</v>
      </c>
      <c r="AF69" s="118">
        <f t="shared" si="12"/>
        <v>0.58062865540095077</v>
      </c>
      <c r="AG69" s="118">
        <f t="shared" si="12"/>
        <v>0.59351843531033022</v>
      </c>
      <c r="AH69" s="118">
        <f t="shared" si="12"/>
        <v>0.60551741414999782</v>
      </c>
      <c r="AI69" s="118">
        <f t="shared" si="12"/>
        <v>0.61670818901593238</v>
      </c>
      <c r="AJ69" s="118">
        <f t="shared" si="12"/>
        <v>0.62716453717179321</v>
      </c>
      <c r="AK69" s="118">
        <f t="shared" si="12"/>
        <v>0.63695287205672102</v>
      </c>
      <c r="AL69" s="118">
        <f t="shared" si="12"/>
        <v>0.6461326290512438</v>
      </c>
      <c r="AM69" s="118">
        <f t="shared" si="12"/>
        <v>0.65475707419651896</v>
      </c>
    </row>
    <row r="70" spans="2:39" x14ac:dyDescent="0.25">
      <c r="B70" s="230"/>
      <c r="C70" s="35" t="s">
        <v>27</v>
      </c>
      <c r="D70" s="54" t="s">
        <v>426</v>
      </c>
      <c r="E70" s="111">
        <f t="shared" ref="E70:AM70" si="13">E28/E$26</f>
        <v>1.489117985672145E-6</v>
      </c>
      <c r="F70" s="111">
        <f t="shared" si="13"/>
        <v>1.5837867363572319E-4</v>
      </c>
      <c r="G70" s="111">
        <f t="shared" si="13"/>
        <v>1.9467651853075359E-4</v>
      </c>
      <c r="H70" s="111">
        <f t="shared" si="13"/>
        <v>3.193998005626027E-4</v>
      </c>
      <c r="I70" s="111">
        <f t="shared" si="13"/>
        <v>5.1296504796341253E-4</v>
      </c>
      <c r="J70" s="110">
        <f t="shared" si="13"/>
        <v>8.0578450284668056E-4</v>
      </c>
      <c r="K70" s="68">
        <f t="shared" si="13"/>
        <v>1.8834291815199792E-3</v>
      </c>
      <c r="L70" s="68">
        <f t="shared" si="13"/>
        <v>3.0927409304663226E-3</v>
      </c>
      <c r="M70" s="68">
        <f t="shared" si="13"/>
        <v>4.036880296306217E-3</v>
      </c>
      <c r="N70" s="111">
        <f t="shared" si="13"/>
        <v>5.6430326041802632E-3</v>
      </c>
      <c r="O70" s="110">
        <f t="shared" si="13"/>
        <v>6.6039301094055706E-3</v>
      </c>
      <c r="P70" s="68">
        <f t="shared" si="13"/>
        <v>8.1090693375642144E-3</v>
      </c>
      <c r="Q70" s="68">
        <f t="shared" si="13"/>
        <v>9.9172278783006291E-3</v>
      </c>
      <c r="R70" s="68">
        <f t="shared" si="13"/>
        <v>1.1948231344820625E-2</v>
      </c>
      <c r="S70" s="111">
        <f t="shared" si="13"/>
        <v>1.4692390321067384E-2</v>
      </c>
      <c r="T70" s="111">
        <f t="shared" si="13"/>
        <v>1.6522871949131129E-2</v>
      </c>
      <c r="U70" s="111">
        <f t="shared" si="13"/>
        <v>1.8971370405116178E-2</v>
      </c>
      <c r="V70" s="111">
        <f t="shared" si="13"/>
        <v>2.1515118224940687E-2</v>
      </c>
      <c r="W70" s="111">
        <f t="shared" si="13"/>
        <v>2.4174023619051056E-2</v>
      </c>
      <c r="X70" s="116">
        <f t="shared" si="13"/>
        <v>2.7497147572364503E-2</v>
      </c>
      <c r="Y70" s="116">
        <f t="shared" si="13"/>
        <v>2.9745387794298556E-2</v>
      </c>
      <c r="Z70" s="116">
        <f t="shared" si="13"/>
        <v>3.2426721656548134E-2</v>
      </c>
      <c r="AA70" s="116">
        <f t="shared" si="13"/>
        <v>3.5291133466544743E-2</v>
      </c>
      <c r="AB70" s="116">
        <f t="shared" si="13"/>
        <v>3.8218649638984636E-2</v>
      </c>
      <c r="AC70" s="116">
        <f t="shared" si="13"/>
        <v>4.1173807331123531E-2</v>
      </c>
      <c r="AD70" s="116">
        <f t="shared" si="13"/>
        <v>4.4709485567642662E-2</v>
      </c>
      <c r="AE70" s="116">
        <f t="shared" si="13"/>
        <v>4.8182674955539274E-2</v>
      </c>
      <c r="AF70" s="116">
        <f t="shared" si="13"/>
        <v>5.166962770079047E-2</v>
      </c>
      <c r="AG70" s="116">
        <f t="shared" si="13"/>
        <v>5.5200176980893682E-2</v>
      </c>
      <c r="AH70" s="116">
        <f t="shared" si="13"/>
        <v>5.9528466287133222E-2</v>
      </c>
      <c r="AI70" s="116">
        <f t="shared" si="13"/>
        <v>6.2657558443211719E-2</v>
      </c>
      <c r="AJ70" s="116">
        <f t="shared" si="13"/>
        <v>6.6203218807551534E-2</v>
      </c>
      <c r="AK70" s="116">
        <f t="shared" si="13"/>
        <v>6.9934668067446831E-2</v>
      </c>
      <c r="AL70" s="116">
        <f t="shared" si="13"/>
        <v>7.3747035621402793E-2</v>
      </c>
      <c r="AM70" s="116">
        <f t="shared" si="13"/>
        <v>7.7617442169485851E-2</v>
      </c>
    </row>
    <row r="71" spans="2:39" x14ac:dyDescent="0.25">
      <c r="B71" s="230"/>
      <c r="C71" s="35" t="s">
        <v>28</v>
      </c>
      <c r="D71" s="54" t="s">
        <v>427</v>
      </c>
      <c r="E71" s="111">
        <f t="shared" ref="E71:AM71" si="14">E29/E$26</f>
        <v>3.4135166076696166E-6</v>
      </c>
      <c r="F71" s="111">
        <f t="shared" si="14"/>
        <v>1.7343309159461489E-4</v>
      </c>
      <c r="G71" s="111">
        <f t="shared" si="14"/>
        <v>2.7647545107367379E-4</v>
      </c>
      <c r="H71" s="111">
        <f t="shared" si="14"/>
        <v>4.0141253853275135E-4</v>
      </c>
      <c r="I71" s="111">
        <f t="shared" si="14"/>
        <v>5.8200728393929119E-4</v>
      </c>
      <c r="J71" s="110">
        <f t="shared" si="14"/>
        <v>8.3929541011514507E-4</v>
      </c>
      <c r="K71" s="68">
        <f t="shared" si="14"/>
        <v>1.6137774846557188E-3</v>
      </c>
      <c r="L71" s="68">
        <f t="shared" si="14"/>
        <v>2.4678938117183853E-3</v>
      </c>
      <c r="M71" s="68">
        <f t="shared" si="14"/>
        <v>3.1720142029567468E-3</v>
      </c>
      <c r="N71" s="111">
        <f t="shared" si="14"/>
        <v>4.2859402213179208E-3</v>
      </c>
      <c r="O71" s="110">
        <f t="shared" si="14"/>
        <v>5.0360929598634767E-3</v>
      </c>
      <c r="P71" s="68">
        <f t="shared" si="14"/>
        <v>6.1199686794554467E-3</v>
      </c>
      <c r="Q71" s="68">
        <f t="shared" si="14"/>
        <v>7.3887317290402153E-3</v>
      </c>
      <c r="R71" s="68">
        <f t="shared" si="14"/>
        <v>8.7879597859407202E-3</v>
      </c>
      <c r="S71" s="111">
        <f t="shared" si="14"/>
        <v>1.0582271685959793E-2</v>
      </c>
      <c r="T71" s="111">
        <f t="shared" si="14"/>
        <v>1.1858504990553581E-2</v>
      </c>
      <c r="U71" s="111">
        <f t="shared" si="14"/>
        <v>1.346331558357739E-2</v>
      </c>
      <c r="V71" s="111">
        <f t="shared" si="14"/>
        <v>1.5100528962326746E-2</v>
      </c>
      <c r="W71" s="111">
        <f t="shared" si="14"/>
        <v>1.6776017261855836E-2</v>
      </c>
      <c r="X71" s="116">
        <f t="shared" si="14"/>
        <v>1.8768923723005742E-2</v>
      </c>
      <c r="Y71" s="116">
        <f t="shared" si="14"/>
        <v>2.0177011669420972E-2</v>
      </c>
      <c r="Z71" s="116">
        <f t="shared" si="14"/>
        <v>2.1780312470497946E-2</v>
      </c>
      <c r="AA71" s="116">
        <f t="shared" si="14"/>
        <v>2.3445069183743238E-2</v>
      </c>
      <c r="AB71" s="116">
        <f t="shared" si="14"/>
        <v>2.5108164466805305E-2</v>
      </c>
      <c r="AC71" s="116">
        <f t="shared" si="14"/>
        <v>2.6751012919503134E-2</v>
      </c>
      <c r="AD71" s="116">
        <f t="shared" si="14"/>
        <v>2.8628286404039627E-2</v>
      </c>
      <c r="AE71" s="116">
        <f t="shared" si="14"/>
        <v>3.0430991297598263E-2</v>
      </c>
      <c r="AF71" s="116">
        <f t="shared" si="14"/>
        <v>3.2195014390272947E-2</v>
      </c>
      <c r="AG71" s="116">
        <f t="shared" si="14"/>
        <v>3.3932814099178824E-2</v>
      </c>
      <c r="AH71" s="116">
        <f t="shared" si="14"/>
        <v>3.5951160776647111E-2</v>
      </c>
      <c r="AI71" s="116">
        <f t="shared" si="14"/>
        <v>3.7430095035168989E-2</v>
      </c>
      <c r="AJ71" s="116">
        <f t="shared" si="14"/>
        <v>3.9033863760245292E-2</v>
      </c>
      <c r="AK71" s="116">
        <f t="shared" si="14"/>
        <v>4.0662098613181749E-2</v>
      </c>
      <c r="AL71" s="116">
        <f t="shared" si="14"/>
        <v>4.2270495385773744E-2</v>
      </c>
      <c r="AM71" s="116">
        <f t="shared" si="14"/>
        <v>4.3848431375641789E-2</v>
      </c>
    </row>
    <row r="72" spans="2:39" x14ac:dyDescent="0.25">
      <c r="B72" s="230"/>
      <c r="C72" s="35" t="s">
        <v>29</v>
      </c>
      <c r="D72" s="54" t="s">
        <v>428</v>
      </c>
      <c r="E72" s="111">
        <f t="shared" ref="E72:AM72" si="15">E30/E$26</f>
        <v>1.3974799536451749E-5</v>
      </c>
      <c r="F72" s="111">
        <f t="shared" si="15"/>
        <v>4.1604153480723173E-4</v>
      </c>
      <c r="G72" s="111">
        <f t="shared" si="15"/>
        <v>8.6614919940719006E-4</v>
      </c>
      <c r="H72" s="111">
        <f t="shared" si="15"/>
        <v>1.1274793697456859E-3</v>
      </c>
      <c r="I72" s="111">
        <f t="shared" si="15"/>
        <v>1.4602742944580405E-3</v>
      </c>
      <c r="J72" s="110">
        <f t="shared" si="15"/>
        <v>1.8783950269884156E-3</v>
      </c>
      <c r="K72" s="68">
        <f t="shared" si="15"/>
        <v>2.5219878884938512E-3</v>
      </c>
      <c r="L72" s="68">
        <f t="shared" si="15"/>
        <v>3.2369069511780694E-3</v>
      </c>
      <c r="M72" s="68">
        <f t="shared" si="15"/>
        <v>3.9922125844472313E-3</v>
      </c>
      <c r="N72" s="111">
        <f t="shared" si="15"/>
        <v>4.9063585004542496E-3</v>
      </c>
      <c r="O72" s="110">
        <f t="shared" si="15"/>
        <v>5.8320598129665739E-3</v>
      </c>
      <c r="P72" s="68">
        <f t="shared" si="15"/>
        <v>6.8793029454883277E-3</v>
      </c>
      <c r="Q72" s="68">
        <f t="shared" si="15"/>
        <v>7.999736586304056E-3</v>
      </c>
      <c r="R72" s="68">
        <f t="shared" si="15"/>
        <v>9.1593539193348273E-3</v>
      </c>
      <c r="S72" s="111">
        <f t="shared" si="15"/>
        <v>1.0356404261043091E-2</v>
      </c>
      <c r="T72" s="111">
        <f t="shared" si="15"/>
        <v>1.1480828509993169E-2</v>
      </c>
      <c r="U72" s="111">
        <f t="shared" si="15"/>
        <v>1.2593330097431578E-2</v>
      </c>
      <c r="V72" s="111">
        <f t="shared" si="15"/>
        <v>1.3651075189759002E-2</v>
      </c>
      <c r="W72" s="111">
        <f t="shared" si="15"/>
        <v>1.4642501136045566E-2</v>
      </c>
      <c r="X72" s="116">
        <f t="shared" si="15"/>
        <v>1.5553977132084449E-2</v>
      </c>
      <c r="Y72" s="116">
        <f t="shared" si="15"/>
        <v>1.6394396164521808E-2</v>
      </c>
      <c r="Z72" s="116">
        <f t="shared" si="15"/>
        <v>1.7153365425385755E-2</v>
      </c>
      <c r="AA72" s="116">
        <f t="shared" si="15"/>
        <v>1.7828248476928724E-2</v>
      </c>
      <c r="AB72" s="116">
        <f t="shared" si="15"/>
        <v>1.8420950852735759E-2</v>
      </c>
      <c r="AC72" s="116">
        <f t="shared" si="15"/>
        <v>1.8934213163061347E-2</v>
      </c>
      <c r="AD72" s="116">
        <f t="shared" si="15"/>
        <v>1.9322417748073303E-2</v>
      </c>
      <c r="AE72" s="116">
        <f t="shared" si="15"/>
        <v>1.9627692502752259E-2</v>
      </c>
      <c r="AF72" s="116">
        <f t="shared" si="15"/>
        <v>1.9847628103323585E-2</v>
      </c>
      <c r="AG72" s="116">
        <f t="shared" si="15"/>
        <v>1.998106030424561E-2</v>
      </c>
      <c r="AH72" s="116">
        <f t="shared" si="15"/>
        <v>1.9912632040856956E-2</v>
      </c>
      <c r="AI72" s="116">
        <f t="shared" si="15"/>
        <v>1.9949243483227876E-2</v>
      </c>
      <c r="AJ72" s="116">
        <f t="shared" si="15"/>
        <v>1.9848768656761509E-2</v>
      </c>
      <c r="AK72" s="116">
        <f t="shared" si="15"/>
        <v>1.9642371740445773E-2</v>
      </c>
      <c r="AL72" s="116">
        <f t="shared" si="15"/>
        <v>1.9347370901623837E-2</v>
      </c>
      <c r="AM72" s="116">
        <f t="shared" si="15"/>
        <v>1.8968596088042539E-2</v>
      </c>
    </row>
    <row r="73" spans="2:39" x14ac:dyDescent="0.25">
      <c r="B73" s="230"/>
      <c r="C73" s="35" t="s">
        <v>30</v>
      </c>
      <c r="D73" s="54" t="s">
        <v>429</v>
      </c>
      <c r="E73" s="111">
        <f t="shared" ref="E73:AM73" si="16">E31/E$26</f>
        <v>3.2829324167720186E-4</v>
      </c>
      <c r="F73" s="111">
        <f t="shared" si="16"/>
        <v>9.0202397305279829E-3</v>
      </c>
      <c r="G73" s="111">
        <f t="shared" si="16"/>
        <v>1.9642809131014426E-2</v>
      </c>
      <c r="H73" s="111">
        <f t="shared" si="16"/>
        <v>2.51353715302669E-2</v>
      </c>
      <c r="I73" s="111">
        <f t="shared" si="16"/>
        <v>3.1924683989343214E-2</v>
      </c>
      <c r="J73" s="110">
        <f t="shared" si="16"/>
        <v>4.0181103750738953E-2</v>
      </c>
      <c r="K73" s="68">
        <f t="shared" si="16"/>
        <v>4.9762132188690446E-2</v>
      </c>
      <c r="L73" s="68">
        <f t="shared" si="16"/>
        <v>6.1152493730477778E-2</v>
      </c>
      <c r="M73" s="68">
        <f t="shared" si="16"/>
        <v>7.466496327951759E-2</v>
      </c>
      <c r="N73" s="111">
        <f t="shared" si="16"/>
        <v>8.9747115516544934E-2</v>
      </c>
      <c r="O73" s="110">
        <f t="shared" si="16"/>
        <v>0.10695836070900036</v>
      </c>
      <c r="P73" s="68">
        <f t="shared" si="16"/>
        <v>0.12532857967070837</v>
      </c>
      <c r="Q73" s="68">
        <f t="shared" si="16"/>
        <v>0.14457912877712378</v>
      </c>
      <c r="R73" s="68">
        <f t="shared" si="16"/>
        <v>0.16428108891525794</v>
      </c>
      <c r="S73" s="111">
        <f t="shared" si="16"/>
        <v>0.18367842937369533</v>
      </c>
      <c r="T73" s="111">
        <f t="shared" si="16"/>
        <v>0.20327014545840788</v>
      </c>
      <c r="U73" s="111">
        <f t="shared" si="16"/>
        <v>0.22184163981074201</v>
      </c>
      <c r="V73" s="111">
        <f t="shared" si="16"/>
        <v>0.23944381565699646</v>
      </c>
      <c r="W73" s="111">
        <f t="shared" si="16"/>
        <v>0.25591007808162664</v>
      </c>
      <c r="X73" s="116">
        <f t="shared" si="16"/>
        <v>0.27084960775131256</v>
      </c>
      <c r="Y73" s="116">
        <f t="shared" si="16"/>
        <v>0.28524844950151224</v>
      </c>
      <c r="Z73" s="116">
        <f t="shared" si="16"/>
        <v>0.29826350168473753</v>
      </c>
      <c r="AA73" s="116">
        <f t="shared" si="16"/>
        <v>0.31009226012671159</v>
      </c>
      <c r="AB73" s="116">
        <f t="shared" si="16"/>
        <v>0.32087214421876559</v>
      </c>
      <c r="AC73" s="116">
        <f t="shared" si="16"/>
        <v>0.33069897901344281</v>
      </c>
      <c r="AD73" s="116">
        <f t="shared" si="16"/>
        <v>0.3393292305903276</v>
      </c>
      <c r="AE73" s="116">
        <f t="shared" si="16"/>
        <v>0.34721085091996257</v>
      </c>
      <c r="AF73" s="116">
        <f t="shared" si="16"/>
        <v>0.35437067680110346</v>
      </c>
      <c r="AG73" s="116">
        <f t="shared" si="16"/>
        <v>0.36085754843270612</v>
      </c>
      <c r="AH73" s="116">
        <f t="shared" si="16"/>
        <v>0.36629650593798163</v>
      </c>
      <c r="AI73" s="116">
        <f t="shared" si="16"/>
        <v>0.37189631632416947</v>
      </c>
      <c r="AJ73" s="116">
        <f t="shared" si="16"/>
        <v>0.3767733618332878</v>
      </c>
      <c r="AK73" s="116">
        <f t="shared" si="16"/>
        <v>0.38110635217752059</v>
      </c>
      <c r="AL73" s="116">
        <f t="shared" si="16"/>
        <v>0.38499627065598163</v>
      </c>
      <c r="AM73" s="116">
        <f t="shared" si="16"/>
        <v>0.38849268763774025</v>
      </c>
    </row>
    <row r="74" spans="2:39" x14ac:dyDescent="0.25">
      <c r="B74" s="230"/>
      <c r="C74" s="35" t="s">
        <v>31</v>
      </c>
      <c r="D74" s="54" t="s">
        <v>430</v>
      </c>
      <c r="E74" s="111">
        <f t="shared" ref="E74:AM74" si="17">E32/E$26</f>
        <v>1.2939289806152549E-4</v>
      </c>
      <c r="F74" s="111">
        <f t="shared" si="17"/>
        <v>3.4915523774381092E-3</v>
      </c>
      <c r="G74" s="111">
        <f t="shared" si="17"/>
        <v>7.6848519291278202E-3</v>
      </c>
      <c r="H74" s="111">
        <f t="shared" si="17"/>
        <v>9.7955927772237841E-3</v>
      </c>
      <c r="I74" s="111">
        <f t="shared" si="17"/>
        <v>1.2383238255396875E-2</v>
      </c>
      <c r="J74" s="110">
        <f t="shared" si="17"/>
        <v>1.549881358438014E-2</v>
      </c>
      <c r="K74" s="68">
        <f t="shared" si="17"/>
        <v>1.871427724747007E-2</v>
      </c>
      <c r="L74" s="68">
        <f t="shared" si="17"/>
        <v>2.2580145536616105E-2</v>
      </c>
      <c r="M74" s="68">
        <f t="shared" si="17"/>
        <v>2.7430844088206979E-2</v>
      </c>
      <c r="N74" s="111">
        <f t="shared" si="17"/>
        <v>3.2555090445236315E-2</v>
      </c>
      <c r="O74" s="110">
        <f t="shared" si="17"/>
        <v>3.8861861790163203E-2</v>
      </c>
      <c r="P74" s="68">
        <f t="shared" si="17"/>
        <v>4.5342504314846446E-2</v>
      </c>
      <c r="Q74" s="68">
        <f t="shared" si="17"/>
        <v>5.2014867480022361E-2</v>
      </c>
      <c r="R74" s="68">
        <f t="shared" si="17"/>
        <v>5.8752799023829246E-2</v>
      </c>
      <c r="S74" s="111">
        <f t="shared" si="17"/>
        <v>6.5011516354790078E-2</v>
      </c>
      <c r="T74" s="111">
        <f t="shared" si="17"/>
        <v>7.1813215528832422E-2</v>
      </c>
      <c r="U74" s="111">
        <f t="shared" si="17"/>
        <v>7.7904784606359273E-2</v>
      </c>
      <c r="V74" s="111">
        <f t="shared" si="17"/>
        <v>8.357281231638479E-2</v>
      </c>
      <c r="W74" s="111">
        <f t="shared" si="17"/>
        <v>8.8744385622947425E-2</v>
      </c>
      <c r="X74" s="116">
        <f t="shared" si="17"/>
        <v>9.3008418953423558E-2</v>
      </c>
      <c r="Y74" s="116">
        <f t="shared" si="17"/>
        <v>9.7581788936466726E-2</v>
      </c>
      <c r="Z74" s="116">
        <f t="shared" si="17"/>
        <v>0.10141692580621127</v>
      </c>
      <c r="AA74" s="116">
        <f t="shared" si="17"/>
        <v>0.10471561199425894</v>
      </c>
      <c r="AB74" s="116">
        <f t="shared" si="17"/>
        <v>0.10759145962453384</v>
      </c>
      <c r="AC74" s="116">
        <f t="shared" si="17"/>
        <v>0.11010093991125984</v>
      </c>
      <c r="AD74" s="116">
        <f t="shared" si="17"/>
        <v>0.1119188243302669</v>
      </c>
      <c r="AE74" s="116">
        <f t="shared" si="17"/>
        <v>0.11350614946173829</v>
      </c>
      <c r="AF74" s="116">
        <f t="shared" si="17"/>
        <v>0.11484293534479513</v>
      </c>
      <c r="AG74" s="116">
        <f t="shared" si="17"/>
        <v>0.1159394375514534</v>
      </c>
      <c r="AH74" s="116">
        <f t="shared" si="17"/>
        <v>0.11638254795822565</v>
      </c>
      <c r="AI74" s="116">
        <f t="shared" si="17"/>
        <v>0.11736711266350346</v>
      </c>
      <c r="AJ74" s="116">
        <f t="shared" si="17"/>
        <v>0.11796549769043035</v>
      </c>
      <c r="AK74" s="116">
        <f t="shared" si="17"/>
        <v>0.11833928978386044</v>
      </c>
      <c r="AL74" s="116">
        <f t="shared" si="17"/>
        <v>0.11856869704572456</v>
      </c>
      <c r="AM74" s="116">
        <f t="shared" si="17"/>
        <v>0.1186839999963142</v>
      </c>
    </row>
    <row r="75" spans="2:39" x14ac:dyDescent="0.25">
      <c r="B75" s="230"/>
      <c r="C75" s="35" t="s">
        <v>32</v>
      </c>
      <c r="D75" s="54" t="s">
        <v>431</v>
      </c>
      <c r="E75" s="111">
        <f t="shared" ref="E75:AM75" si="18">E33/E$26</f>
        <v>1.7640320733249051E-6</v>
      </c>
      <c r="F75" s="111">
        <f t="shared" si="18"/>
        <v>1.3741728273792805E-5</v>
      </c>
      <c r="G75" s="111">
        <f t="shared" si="18"/>
        <v>2.5914422468691886E-5</v>
      </c>
      <c r="H75" s="111">
        <f t="shared" si="18"/>
        <v>3.8285661263526077E-5</v>
      </c>
      <c r="I75" s="111">
        <f t="shared" si="18"/>
        <v>4.8632201281219378E-5</v>
      </c>
      <c r="J75" s="110">
        <f t="shared" si="18"/>
        <v>6.1220367192008651E-5</v>
      </c>
      <c r="K75" s="68">
        <f t="shared" si="18"/>
        <v>7.5926964630504643E-5</v>
      </c>
      <c r="L75" s="68">
        <f t="shared" si="18"/>
        <v>9.3460450042825492E-5</v>
      </c>
      <c r="M75" s="68">
        <f t="shared" si="18"/>
        <v>1.1417344174730413E-4</v>
      </c>
      <c r="N75" s="111">
        <f t="shared" si="18"/>
        <v>1.3744539336994196E-4</v>
      </c>
      <c r="O75" s="110">
        <f t="shared" si="18"/>
        <v>1.6376978939530498E-4</v>
      </c>
      <c r="P75" s="68">
        <f t="shared" si="18"/>
        <v>1.9200345885356744E-4</v>
      </c>
      <c r="Q75" s="68">
        <f t="shared" si="18"/>
        <v>2.2166457778701964E-4</v>
      </c>
      <c r="R75" s="68">
        <f t="shared" si="18"/>
        <v>2.5208725234868661E-4</v>
      </c>
      <c r="S75" s="111">
        <f t="shared" si="18"/>
        <v>2.8230821704274136E-4</v>
      </c>
      <c r="T75" s="111">
        <f t="shared" si="18"/>
        <v>3.125147565996356E-4</v>
      </c>
      <c r="U75" s="111">
        <f t="shared" si="18"/>
        <v>3.4141506888686965E-4</v>
      </c>
      <c r="V75" s="111">
        <f t="shared" si="18"/>
        <v>3.6890695683128348E-4</v>
      </c>
      <c r="W75" s="111">
        <f t="shared" si="18"/>
        <v>3.9475287685859165E-4</v>
      </c>
      <c r="X75" s="116">
        <f t="shared" si="18"/>
        <v>4.1861127151576592E-4</v>
      </c>
      <c r="Y75" s="116">
        <f t="shared" si="18"/>
        <v>4.4121365027637315E-4</v>
      </c>
      <c r="Z75" s="116">
        <f t="shared" si="18"/>
        <v>4.6194757006093887E-4</v>
      </c>
      <c r="AA75" s="116">
        <f t="shared" si="18"/>
        <v>4.8101104053020413E-4</v>
      </c>
      <c r="AB75" s="116">
        <f t="shared" si="18"/>
        <v>4.9856148637194371E-4</v>
      </c>
      <c r="AC75" s="116">
        <f t="shared" si="18"/>
        <v>5.1472890589000547E-4</v>
      </c>
      <c r="AD75" s="116">
        <f t="shared" si="18"/>
        <v>5.2944610900408271E-4</v>
      </c>
      <c r="AE75" s="116">
        <f t="shared" si="18"/>
        <v>5.4306123344808797E-4</v>
      </c>
      <c r="AF75" s="116">
        <f t="shared" si="18"/>
        <v>5.5565344749391576E-4</v>
      </c>
      <c r="AG75" s="116">
        <f t="shared" si="18"/>
        <v>5.6731294375203631E-4</v>
      </c>
      <c r="AH75" s="116">
        <f t="shared" si="18"/>
        <v>5.7793980229863136E-4</v>
      </c>
      <c r="AI75" s="116">
        <f t="shared" si="18"/>
        <v>5.8812704789115158E-4</v>
      </c>
      <c r="AJ75" s="116">
        <f t="shared" si="18"/>
        <v>5.9753190718631706E-4</v>
      </c>
      <c r="AK75" s="116">
        <f t="shared" si="18"/>
        <v>6.0628585461708513E-4</v>
      </c>
      <c r="AL75" s="116">
        <f t="shared" si="18"/>
        <v>6.144746287987964E-4</v>
      </c>
      <c r="AM75" s="116">
        <f t="shared" si="18"/>
        <v>6.2215649943761562E-4</v>
      </c>
    </row>
    <row r="76" spans="2:39" x14ac:dyDescent="0.25">
      <c r="B76" s="230"/>
      <c r="C76" s="35" t="s">
        <v>33</v>
      </c>
      <c r="D76" s="54" t="s">
        <v>432</v>
      </c>
      <c r="E76" s="126">
        <f t="shared" ref="E76:AM76" si="19">E34/E$26</f>
        <v>2.1672394058154232E-5</v>
      </c>
      <c r="F76" s="126">
        <f t="shared" si="19"/>
        <v>5.2075667019001876E-4</v>
      </c>
      <c r="G76" s="126">
        <f t="shared" si="19"/>
        <v>1.2268473396613577E-3</v>
      </c>
      <c r="H76" s="126">
        <f t="shared" si="19"/>
        <v>1.525334540164674E-3</v>
      </c>
      <c r="I76" s="126">
        <f t="shared" si="19"/>
        <v>1.8715105973417167E-3</v>
      </c>
      <c r="J76" s="125">
        <f t="shared" si="19"/>
        <v>2.2610891000326375E-3</v>
      </c>
      <c r="K76" s="69">
        <f t="shared" si="19"/>
        <v>2.3375364743712808E-3</v>
      </c>
      <c r="L76" s="69">
        <f t="shared" si="19"/>
        <v>2.5333129091708942E-3</v>
      </c>
      <c r="M76" s="69">
        <f t="shared" si="19"/>
        <v>2.9903566729972638E-3</v>
      </c>
      <c r="N76" s="126">
        <f t="shared" si="19"/>
        <v>3.3063533945400601E-3</v>
      </c>
      <c r="O76" s="125">
        <f t="shared" si="19"/>
        <v>3.9824447220634549E-3</v>
      </c>
      <c r="P76" s="69">
        <f t="shared" si="19"/>
        <v>4.5394816060862295E-3</v>
      </c>
      <c r="Q76" s="69">
        <f t="shared" si="19"/>
        <v>5.0527237321559421E-3</v>
      </c>
      <c r="R76" s="69">
        <f t="shared" si="19"/>
        <v>5.5306459466347747E-3</v>
      </c>
      <c r="S76" s="126">
        <f t="shared" si="19"/>
        <v>5.8013160750792856E-3</v>
      </c>
      <c r="T76" s="126">
        <f t="shared" si="19"/>
        <v>6.3489731147994095E-3</v>
      </c>
      <c r="U76" s="126">
        <f t="shared" si="19"/>
        <v>6.6851011486728446E-3</v>
      </c>
      <c r="V76" s="126">
        <f t="shared" si="19"/>
        <v>6.9617267040151956E-3</v>
      </c>
      <c r="W76" s="126">
        <f t="shared" si="19"/>
        <v>7.1702967838083295E-3</v>
      </c>
      <c r="X76" s="119">
        <f t="shared" si="19"/>
        <v>7.1868400393107924E-3</v>
      </c>
      <c r="Y76" s="119">
        <f t="shared" si="19"/>
        <v>7.4152941113098305E-3</v>
      </c>
      <c r="Z76" s="119">
        <f t="shared" si="19"/>
        <v>7.5087214745259388E-3</v>
      </c>
      <c r="AA76" s="119">
        <f t="shared" si="19"/>
        <v>7.5351792934949275E-3</v>
      </c>
      <c r="AB76" s="119">
        <f t="shared" si="19"/>
        <v>7.5275521291345892E-3</v>
      </c>
      <c r="AC76" s="119">
        <f t="shared" si="19"/>
        <v>7.4981975899969973E-3</v>
      </c>
      <c r="AD76" s="119">
        <f t="shared" si="19"/>
        <v>7.3701867899889353E-3</v>
      </c>
      <c r="AE76" s="119">
        <f t="shared" si="19"/>
        <v>7.2566325419674152E-3</v>
      </c>
      <c r="AF76" s="119">
        <f t="shared" si="19"/>
        <v>7.1471197822513032E-3</v>
      </c>
      <c r="AG76" s="119">
        <f t="shared" si="19"/>
        <v>7.0400852087100438E-3</v>
      </c>
      <c r="AH76" s="119">
        <f t="shared" si="19"/>
        <v>6.8681614274553882E-3</v>
      </c>
      <c r="AI76" s="119">
        <f t="shared" si="19"/>
        <v>6.8197361808533582E-3</v>
      </c>
      <c r="AJ76" s="119">
        <f t="shared" si="19"/>
        <v>6.7422944570382452E-3</v>
      </c>
      <c r="AK76" s="119">
        <f t="shared" si="19"/>
        <v>6.6618055906666127E-3</v>
      </c>
      <c r="AL76" s="119">
        <f t="shared" si="19"/>
        <v>6.5882847022471474E-3</v>
      </c>
      <c r="AM76" s="119">
        <f t="shared" si="19"/>
        <v>6.5237601714162406E-3</v>
      </c>
    </row>
    <row r="77" spans="2:39" x14ac:dyDescent="0.25">
      <c r="B77" s="230"/>
      <c r="C77" s="52" t="s">
        <v>46</v>
      </c>
      <c r="D77" s="52" t="s">
        <v>433</v>
      </c>
      <c r="E77" s="124">
        <f t="shared" ref="E77:AM77" si="20">E35/E$26</f>
        <v>0.99950000000000006</v>
      </c>
      <c r="F77" s="124">
        <f t="shared" si="20"/>
        <v>0.98620585635752045</v>
      </c>
      <c r="G77" s="124">
        <f t="shared" si="20"/>
        <v>0.97008227596515384</v>
      </c>
      <c r="H77" s="124">
        <f t="shared" si="20"/>
        <v>0.96165712390561631</v>
      </c>
      <c r="I77" s="124">
        <f t="shared" si="20"/>
        <v>0.95121668817191196</v>
      </c>
      <c r="J77" s="123">
        <f t="shared" si="20"/>
        <v>0.93847429833622553</v>
      </c>
      <c r="K77" s="67">
        <f t="shared" si="20"/>
        <v>0.92309093220572713</v>
      </c>
      <c r="L77" s="67">
        <f t="shared" si="20"/>
        <v>0.90484304559238404</v>
      </c>
      <c r="M77" s="67">
        <f t="shared" si="20"/>
        <v>0.88359855548681754</v>
      </c>
      <c r="N77" s="124">
        <f t="shared" si="20"/>
        <v>0.85941866301166225</v>
      </c>
      <c r="O77" s="123">
        <f t="shared" si="20"/>
        <v>0.83256148040617539</v>
      </c>
      <c r="P77" s="67">
        <f t="shared" si="20"/>
        <v>0.80348909005473768</v>
      </c>
      <c r="Q77" s="67">
        <f t="shared" si="20"/>
        <v>0.77282591926769106</v>
      </c>
      <c r="R77" s="67">
        <f t="shared" si="20"/>
        <v>0.74128783416118682</v>
      </c>
      <c r="S77" s="124">
        <f t="shared" si="20"/>
        <v>0.70959536385849098</v>
      </c>
      <c r="T77" s="124">
        <f t="shared" si="20"/>
        <v>0.67839294591873689</v>
      </c>
      <c r="U77" s="124">
        <f t="shared" si="20"/>
        <v>0.64819904330206823</v>
      </c>
      <c r="V77" s="124">
        <f t="shared" si="20"/>
        <v>0.61938601636186164</v>
      </c>
      <c r="W77" s="124">
        <f t="shared" si="20"/>
        <v>0.59218794459065183</v>
      </c>
      <c r="X77" s="118">
        <f t="shared" si="20"/>
        <v>0.56671647353826227</v>
      </c>
      <c r="Y77" s="118">
        <f t="shared" si="20"/>
        <v>0.54299645754384929</v>
      </c>
      <c r="Z77" s="118">
        <f t="shared" si="20"/>
        <v>0.52098850393478924</v>
      </c>
      <c r="AA77" s="118">
        <f t="shared" si="20"/>
        <v>0.500611486005339</v>
      </c>
      <c r="AB77" s="118">
        <f t="shared" si="20"/>
        <v>0.48176251781632812</v>
      </c>
      <c r="AC77" s="118">
        <f t="shared" si="20"/>
        <v>0.46432812132514339</v>
      </c>
      <c r="AD77" s="118">
        <f t="shared" si="20"/>
        <v>0.44819212243025508</v>
      </c>
      <c r="AE77" s="118">
        <f t="shared" si="20"/>
        <v>0.43324194702225605</v>
      </c>
      <c r="AF77" s="118">
        <f t="shared" si="20"/>
        <v>0.41937134438610207</v>
      </c>
      <c r="AG77" s="118">
        <f t="shared" si="20"/>
        <v>0.4064815644349003</v>
      </c>
      <c r="AH77" s="118">
        <f t="shared" si="20"/>
        <v>0.39448258589769492</v>
      </c>
      <c r="AI77" s="118">
        <f t="shared" si="20"/>
        <v>0.38329181084823494</v>
      </c>
      <c r="AJ77" s="118">
        <f t="shared" si="20"/>
        <v>0.37283546265121542</v>
      </c>
      <c r="AK77" s="118">
        <f t="shared" si="20"/>
        <v>0.36304712798706124</v>
      </c>
      <c r="AL77" s="118">
        <f t="shared" si="20"/>
        <v>0.35386737086169973</v>
      </c>
      <c r="AM77" s="118">
        <f t="shared" si="20"/>
        <v>0.34524292593356853</v>
      </c>
    </row>
    <row r="78" spans="2:39" x14ac:dyDescent="0.25">
      <c r="B78" s="230"/>
      <c r="C78" s="35" t="s">
        <v>27</v>
      </c>
      <c r="D78" s="3" t="s">
        <v>434</v>
      </c>
      <c r="E78" s="111">
        <f t="shared" ref="E78:AM78" si="21">E36/E$26</f>
        <v>5.0000000000000001E-4</v>
      </c>
      <c r="F78" s="111">
        <f t="shared" si="21"/>
        <v>1.8112595971834487E-2</v>
      </c>
      <c r="G78" s="111">
        <f t="shared" si="21"/>
        <v>1.9964764142081967E-2</v>
      </c>
      <c r="H78" s="111">
        <f t="shared" si="21"/>
        <v>2.1761181090763655E-2</v>
      </c>
      <c r="I78" s="111">
        <f t="shared" si="21"/>
        <v>3.2757937151618233E-2</v>
      </c>
      <c r="J78" s="110">
        <f t="shared" si="21"/>
        <v>3.1263054583165195E-2</v>
      </c>
      <c r="K78" s="68">
        <f t="shared" si="21"/>
        <v>4.5234284928332417E-2</v>
      </c>
      <c r="L78" s="68">
        <f t="shared" si="21"/>
        <v>5.2122963558644965E-2</v>
      </c>
      <c r="M78" s="68">
        <f t="shared" si="21"/>
        <v>5.3676906675682472E-2</v>
      </c>
      <c r="N78" s="111">
        <f t="shared" si="21"/>
        <v>5.733121596228425E-2</v>
      </c>
      <c r="O78" s="110">
        <f t="shared" si="21"/>
        <v>5.497969346234579E-2</v>
      </c>
      <c r="P78" s="68">
        <f t="shared" si="21"/>
        <v>5.494076728753667E-2</v>
      </c>
      <c r="Q78" s="68">
        <f t="shared" si="21"/>
        <v>5.5459965113685027E-2</v>
      </c>
      <c r="R78" s="68">
        <f t="shared" si="21"/>
        <v>5.596845645232195E-2</v>
      </c>
      <c r="S78" s="111">
        <f t="shared" si="21"/>
        <v>5.7518206201368514E-2</v>
      </c>
      <c r="T78" s="111">
        <f t="shared" si="21"/>
        <v>5.6186250829184541E-2</v>
      </c>
      <c r="U78" s="111">
        <f t="shared" si="21"/>
        <v>5.6073760475978951E-2</v>
      </c>
      <c r="V78" s="111">
        <f t="shared" si="21"/>
        <v>5.6066961796353718E-2</v>
      </c>
      <c r="W78" s="111">
        <f t="shared" si="21"/>
        <v>5.5818797028386304E-2</v>
      </c>
      <c r="X78" s="116">
        <f t="shared" si="21"/>
        <v>5.6924267771493592E-2</v>
      </c>
      <c r="Y78" s="116">
        <f t="shared" si="21"/>
        <v>5.6165209075942385E-2</v>
      </c>
      <c r="Z78" s="116">
        <f t="shared" si="21"/>
        <v>5.5776073016707221E-2</v>
      </c>
      <c r="AA78" s="116">
        <f t="shared" si="21"/>
        <v>5.5766501268372903E-2</v>
      </c>
      <c r="AB78" s="116">
        <f t="shared" si="21"/>
        <v>5.5788921984628238E-2</v>
      </c>
      <c r="AC78" s="116">
        <f t="shared" si="21"/>
        <v>5.5782563784954234E-2</v>
      </c>
      <c r="AD78" s="116">
        <f t="shared" si="21"/>
        <v>5.6422154609551967E-2</v>
      </c>
      <c r="AE78" s="116">
        <f t="shared" si="21"/>
        <v>5.7000807334800174E-2</v>
      </c>
      <c r="AF78" s="116">
        <f t="shared" si="21"/>
        <v>5.7527962234783618E-2</v>
      </c>
      <c r="AG78" s="116">
        <f t="shared" si="21"/>
        <v>5.8101856841677506E-2</v>
      </c>
      <c r="AH78" s="116">
        <f t="shared" si="21"/>
        <v>5.9193479294642616E-2</v>
      </c>
      <c r="AI78" s="116">
        <f t="shared" si="21"/>
        <v>5.9598588969320014E-2</v>
      </c>
      <c r="AJ78" s="116">
        <f t="shared" si="21"/>
        <v>6.0253563877014561E-2</v>
      </c>
      <c r="AK78" s="116">
        <f t="shared" si="21"/>
        <v>6.1054108076101031E-2</v>
      </c>
      <c r="AL78" s="116">
        <f t="shared" si="21"/>
        <v>6.1874618717037588E-2</v>
      </c>
      <c r="AM78" s="116">
        <f t="shared" si="21"/>
        <v>6.2681842452491102E-2</v>
      </c>
    </row>
    <row r="79" spans="2:39" x14ac:dyDescent="0.25">
      <c r="B79" s="230"/>
      <c r="C79" s="35" t="s">
        <v>28</v>
      </c>
      <c r="D79" s="3" t="s">
        <v>435</v>
      </c>
      <c r="E79" s="111">
        <f t="shared" ref="E79:AM79" si="22">E37/E$26</f>
        <v>0.18</v>
      </c>
      <c r="F79" s="111">
        <f t="shared" si="22"/>
        <v>0.18793043815486293</v>
      </c>
      <c r="G79" s="111">
        <f t="shared" si="22"/>
        <v>0.18539506775294021</v>
      </c>
      <c r="H79" s="111">
        <f t="shared" si="22"/>
        <v>0.18490375516336635</v>
      </c>
      <c r="I79" s="111">
        <f t="shared" si="22"/>
        <v>0.19009840658941907</v>
      </c>
      <c r="J79" s="110">
        <f t="shared" si="22"/>
        <v>0.18523493351950002</v>
      </c>
      <c r="K79" s="68">
        <f t="shared" si="22"/>
        <v>0.19058028416685296</v>
      </c>
      <c r="L79" s="68">
        <f t="shared" si="22"/>
        <v>0.19012471838169639</v>
      </c>
      <c r="M79" s="68">
        <f t="shared" si="22"/>
        <v>0.1866995534531255</v>
      </c>
      <c r="N79" s="111">
        <f t="shared" si="22"/>
        <v>0.18359099184181357</v>
      </c>
      <c r="O79" s="110">
        <f t="shared" si="22"/>
        <v>0.1775592201945245</v>
      </c>
      <c r="P79" s="68">
        <f t="shared" si="22"/>
        <v>0.17184844375539404</v>
      </c>
      <c r="Q79" s="68">
        <f t="shared" si="22"/>
        <v>0.16605497066291408</v>
      </c>
      <c r="R79" s="68">
        <f t="shared" si="22"/>
        <v>0.16007161193366753</v>
      </c>
      <c r="S79" s="111">
        <f t="shared" si="22"/>
        <v>0.1544366530773407</v>
      </c>
      <c r="T79" s="111">
        <f t="shared" si="22"/>
        <v>0.14778741572721396</v>
      </c>
      <c r="U79" s="111">
        <f t="shared" si="22"/>
        <v>0.14170407917688546</v>
      </c>
      <c r="V79" s="111">
        <f t="shared" si="22"/>
        <v>0.13592627973141785</v>
      </c>
      <c r="W79" s="111">
        <f t="shared" si="22"/>
        <v>0.13035394101505912</v>
      </c>
      <c r="X79" s="116">
        <f t="shared" si="22"/>
        <v>0.12547850619271292</v>
      </c>
      <c r="Y79" s="116">
        <f t="shared" si="22"/>
        <v>0.12044296420177002</v>
      </c>
      <c r="Z79" s="116">
        <f t="shared" si="22"/>
        <v>0.11586565912007592</v>
      </c>
      <c r="AA79" s="116">
        <f t="shared" si="22"/>
        <v>0.11171682870764535</v>
      </c>
      <c r="AB79" s="116">
        <f t="shared" si="22"/>
        <v>0.10786704399986352</v>
      </c>
      <c r="AC79" s="116">
        <f t="shared" si="22"/>
        <v>0.10427551530626357</v>
      </c>
      <c r="AD79" s="116">
        <f t="shared" si="22"/>
        <v>0.10102405847862372</v>
      </c>
      <c r="AE79" s="116">
        <f t="shared" si="22"/>
        <v>9.7969457455245518E-2</v>
      </c>
      <c r="AF79" s="116">
        <f t="shared" si="22"/>
        <v>9.5093142977405176E-2</v>
      </c>
      <c r="AG79" s="116">
        <f t="shared" si="22"/>
        <v>9.2402877871439346E-2</v>
      </c>
      <c r="AH79" s="116">
        <f t="shared" si="22"/>
        <v>8.9981567199638096E-2</v>
      </c>
      <c r="AI79" s="116">
        <f t="shared" si="22"/>
        <v>8.7484960386065791E-2</v>
      </c>
      <c r="AJ79" s="116">
        <f t="shared" si="22"/>
        <v>8.5163131122480903E-2</v>
      </c>
      <c r="AK79" s="116">
        <f t="shared" si="22"/>
        <v>8.2979629701011165E-2</v>
      </c>
      <c r="AL79" s="116">
        <f t="shared" si="22"/>
        <v>8.089977649103941E-2</v>
      </c>
      <c r="AM79" s="116">
        <f t="shared" si="22"/>
        <v>7.8907459502013291E-2</v>
      </c>
    </row>
    <row r="80" spans="2:39" x14ac:dyDescent="0.25">
      <c r="B80" s="230"/>
      <c r="C80" s="35" t="s">
        <v>29</v>
      </c>
      <c r="D80" s="3" t="s">
        <v>436</v>
      </c>
      <c r="E80" s="111">
        <f t="shared" ref="E80:AM80" si="23">E38/E$26</f>
        <v>0.28400000000000003</v>
      </c>
      <c r="F80" s="111">
        <f t="shared" si="23"/>
        <v>0.28562940629884653</v>
      </c>
      <c r="G80" s="111">
        <f t="shared" si="23"/>
        <v>0.28145177198601284</v>
      </c>
      <c r="H80" s="111">
        <f t="shared" si="23"/>
        <v>0.27984638954926611</v>
      </c>
      <c r="I80" s="111">
        <f t="shared" si="23"/>
        <v>0.28039250895886941</v>
      </c>
      <c r="J80" s="110">
        <f t="shared" si="23"/>
        <v>0.27606343342869483</v>
      </c>
      <c r="K80" s="68">
        <f t="shared" si="23"/>
        <v>0.27403577419316871</v>
      </c>
      <c r="L80" s="68">
        <f t="shared" si="23"/>
        <v>0.2683189257229317</v>
      </c>
      <c r="M80" s="68">
        <f t="shared" si="23"/>
        <v>0.26181936189894084</v>
      </c>
      <c r="N80" s="111">
        <f t="shared" si="23"/>
        <v>0.25425538061362063</v>
      </c>
      <c r="O80" s="110">
        <f t="shared" si="23"/>
        <v>0.24633331855409185</v>
      </c>
      <c r="P80" s="68">
        <f t="shared" si="23"/>
        <v>0.23749258093228859</v>
      </c>
      <c r="Q80" s="68">
        <f t="shared" si="23"/>
        <v>0.22810868897802439</v>
      </c>
      <c r="R80" s="68">
        <f t="shared" si="23"/>
        <v>0.21843510307494018</v>
      </c>
      <c r="S80" s="111">
        <f t="shared" si="23"/>
        <v>0.20856051684618029</v>
      </c>
      <c r="T80" s="111">
        <f t="shared" si="23"/>
        <v>0.19915916316477317</v>
      </c>
      <c r="U80" s="111">
        <f t="shared" si="23"/>
        <v>0.18988015192764734</v>
      </c>
      <c r="V80" s="111">
        <f t="shared" si="23"/>
        <v>0.18099351186460805</v>
      </c>
      <c r="W80" s="111">
        <f t="shared" si="23"/>
        <v>0.1726185991588873</v>
      </c>
      <c r="X80" s="116">
        <f t="shared" si="23"/>
        <v>0.16450995823316678</v>
      </c>
      <c r="Y80" s="116">
        <f t="shared" si="23"/>
        <v>0.15727102191923378</v>
      </c>
      <c r="Z80" s="116">
        <f t="shared" si="23"/>
        <v>0.15048663126135231</v>
      </c>
      <c r="AA80" s="116">
        <f t="shared" si="23"/>
        <v>0.14412019194382436</v>
      </c>
      <c r="AB80" s="116">
        <f t="shared" si="23"/>
        <v>0.1382054216248271</v>
      </c>
      <c r="AC80" s="116">
        <f t="shared" si="23"/>
        <v>0.13272205227005382</v>
      </c>
      <c r="AD80" s="116">
        <f t="shared" si="23"/>
        <v>0.12746736901402195</v>
      </c>
      <c r="AE80" s="116">
        <f t="shared" si="23"/>
        <v>0.12257507975815404</v>
      </c>
      <c r="AF80" s="116">
        <f t="shared" si="23"/>
        <v>0.11801413512735875</v>
      </c>
      <c r="AG80" s="116">
        <f t="shared" si="23"/>
        <v>0.11373095656529261</v>
      </c>
      <c r="AH80" s="116">
        <f t="shared" si="23"/>
        <v>0.10956145076816488</v>
      </c>
      <c r="AI80" s="116">
        <f t="shared" si="23"/>
        <v>0.1058257826159443</v>
      </c>
      <c r="AJ80" s="116">
        <f t="shared" si="23"/>
        <v>0.10223682799258178</v>
      </c>
      <c r="AK80" s="116">
        <f t="shared" si="23"/>
        <v>9.8801632045261337E-2</v>
      </c>
      <c r="AL80" s="116">
        <f t="shared" si="23"/>
        <v>9.5540432068247139E-2</v>
      </c>
      <c r="AM80" s="116">
        <f t="shared" si="23"/>
        <v>9.2448906357466124E-2</v>
      </c>
    </row>
    <row r="81" spans="2:39" x14ac:dyDescent="0.25">
      <c r="B81" s="230"/>
      <c r="C81" s="35" t="s">
        <v>30</v>
      </c>
      <c r="D81" s="3" t="s">
        <v>437</v>
      </c>
      <c r="E81" s="111">
        <f t="shared" ref="E81:AM81" si="24">E39/E$26</f>
        <v>0.28000000000000003</v>
      </c>
      <c r="F81" s="111">
        <f t="shared" si="24"/>
        <v>0.27429874086973371</v>
      </c>
      <c r="G81" s="111">
        <f t="shared" si="24"/>
        <v>0.26885775462826406</v>
      </c>
      <c r="H81" s="111">
        <f t="shared" si="24"/>
        <v>0.26808059466982576</v>
      </c>
      <c r="I81" s="111">
        <f t="shared" si="24"/>
        <v>0.26281762953918697</v>
      </c>
      <c r="J81" s="110">
        <f t="shared" si="24"/>
        <v>0.26534909352035546</v>
      </c>
      <c r="K81" s="68">
        <f t="shared" si="24"/>
        <v>0.25864322005855916</v>
      </c>
      <c r="L81" s="68">
        <f t="shared" si="24"/>
        <v>0.25087014578968647</v>
      </c>
      <c r="M81" s="68">
        <f t="shared" si="24"/>
        <v>0.24398478812503338</v>
      </c>
      <c r="N81" s="111">
        <f t="shared" si="24"/>
        <v>0.23539240707715478</v>
      </c>
      <c r="O81" s="110">
        <f t="shared" si="24"/>
        <v>0.22825856512363937</v>
      </c>
      <c r="P81" s="68">
        <f t="shared" si="24"/>
        <v>0.21959319281502357</v>
      </c>
      <c r="Q81" s="68">
        <f t="shared" si="24"/>
        <v>0.21022058314523087</v>
      </c>
      <c r="R81" s="68">
        <f t="shared" si="24"/>
        <v>0.20056977108691001</v>
      </c>
      <c r="S81" s="111">
        <f t="shared" si="24"/>
        <v>0.1904134935866536</v>
      </c>
      <c r="T81" s="111">
        <f t="shared" si="24"/>
        <v>0.1815906473038251</v>
      </c>
      <c r="U81" s="111">
        <f t="shared" si="24"/>
        <v>0.17256268648221013</v>
      </c>
      <c r="V81" s="111">
        <f t="shared" si="24"/>
        <v>0.16389011047076027</v>
      </c>
      <c r="W81" s="111">
        <f t="shared" si="24"/>
        <v>0.15580147048411866</v>
      </c>
      <c r="X81" s="116">
        <f t="shared" si="24"/>
        <v>0.14763473442606301</v>
      </c>
      <c r="Y81" s="116">
        <f t="shared" si="24"/>
        <v>0.14079576103953675</v>
      </c>
      <c r="Z81" s="116">
        <f t="shared" si="24"/>
        <v>0.13430023173885547</v>
      </c>
      <c r="AA81" s="116">
        <f t="shared" si="24"/>
        <v>0.12811757409827476</v>
      </c>
      <c r="AB81" s="116">
        <f t="shared" si="24"/>
        <v>0.12237613956153406</v>
      </c>
      <c r="AC81" s="116">
        <f t="shared" si="24"/>
        <v>0.1170725049744779</v>
      </c>
      <c r="AD81" s="116">
        <f t="shared" si="24"/>
        <v>0.1118742545926895</v>
      </c>
      <c r="AE81" s="116">
        <f t="shared" si="24"/>
        <v>0.10705964725970951</v>
      </c>
      <c r="AF81" s="116">
        <f t="shared" si="24"/>
        <v>0.10259598618149265</v>
      </c>
      <c r="AG81" s="116">
        <f t="shared" si="24"/>
        <v>9.840646165954918E-2</v>
      </c>
      <c r="AH81" s="116">
        <f t="shared" si="24"/>
        <v>9.4230023384383327E-2</v>
      </c>
      <c r="AI81" s="116">
        <f t="shared" si="24"/>
        <v>9.0670153681467539E-2</v>
      </c>
      <c r="AJ81" s="116">
        <f t="shared" si="24"/>
        <v>8.7216002162644427E-2</v>
      </c>
      <c r="AK81" s="116">
        <f t="shared" si="24"/>
        <v>8.3898680435031098E-2</v>
      </c>
      <c r="AL81" s="116">
        <f t="shared" si="24"/>
        <v>8.0762996232325857E-2</v>
      </c>
      <c r="AM81" s="116">
        <f t="shared" si="24"/>
        <v>7.7810676678630925E-2</v>
      </c>
    </row>
    <row r="82" spans="2:39" x14ac:dyDescent="0.25">
      <c r="B82" s="230"/>
      <c r="C82" s="35" t="s">
        <v>31</v>
      </c>
      <c r="D82" s="3" t="s">
        <v>438</v>
      </c>
      <c r="E82" s="111">
        <f t="shared" ref="E82:AM82" si="25">E40/E$26</f>
        <v>0.18</v>
      </c>
      <c r="F82" s="111">
        <f t="shared" si="25"/>
        <v>0.16707262314167226</v>
      </c>
      <c r="G82" s="111">
        <f t="shared" si="25"/>
        <v>0.16042015403799537</v>
      </c>
      <c r="H82" s="111">
        <f t="shared" si="25"/>
        <v>0.15702490998981386</v>
      </c>
      <c r="I82" s="111">
        <f t="shared" si="25"/>
        <v>0.1450106478867785</v>
      </c>
      <c r="J82" s="110">
        <f t="shared" si="25"/>
        <v>0.15330934504525184</v>
      </c>
      <c r="K82" s="68">
        <f t="shared" si="25"/>
        <v>0.13662060576591717</v>
      </c>
      <c r="L82" s="68">
        <f t="shared" si="25"/>
        <v>0.12857644148153111</v>
      </c>
      <c r="M82" s="68">
        <f t="shared" si="25"/>
        <v>0.12377626701970296</v>
      </c>
      <c r="N82" s="111">
        <f t="shared" si="25"/>
        <v>0.11705597521893782</v>
      </c>
      <c r="O82" s="110">
        <f t="shared" si="25"/>
        <v>0.11382118104689549</v>
      </c>
      <c r="P82" s="68">
        <f t="shared" si="25"/>
        <v>0.10882450503772451</v>
      </c>
      <c r="Q82" s="68">
        <f t="shared" si="25"/>
        <v>0.1031899045733385</v>
      </c>
      <c r="R82" s="68">
        <f t="shared" si="25"/>
        <v>9.7432792776034338E-2</v>
      </c>
      <c r="S82" s="111">
        <f t="shared" si="25"/>
        <v>9.1027993247974268E-2</v>
      </c>
      <c r="T82" s="111">
        <f t="shared" si="25"/>
        <v>8.6524182757717102E-2</v>
      </c>
      <c r="U82" s="111">
        <f t="shared" si="25"/>
        <v>8.1517579565724918E-2</v>
      </c>
      <c r="V82" s="111">
        <f t="shared" si="25"/>
        <v>7.6697652555465262E-2</v>
      </c>
      <c r="W82" s="111">
        <f t="shared" si="25"/>
        <v>7.232530448017481E-2</v>
      </c>
      <c r="X82" s="116">
        <f t="shared" si="25"/>
        <v>6.7570445520569955E-2</v>
      </c>
      <c r="Y82" s="116">
        <f t="shared" si="25"/>
        <v>6.4079558618415147E-2</v>
      </c>
      <c r="Z82" s="116">
        <f t="shared" si="25"/>
        <v>6.0682351628337024E-2</v>
      </c>
      <c r="AA82" s="116">
        <f t="shared" si="25"/>
        <v>5.7378055013670506E-2</v>
      </c>
      <c r="AB82" s="116">
        <f t="shared" si="25"/>
        <v>5.4335003911771436E-2</v>
      </c>
      <c r="AC82" s="116">
        <f t="shared" si="25"/>
        <v>5.1563419636390453E-2</v>
      </c>
      <c r="AD82" s="116">
        <f t="shared" si="25"/>
        <v>4.8779320842636954E-2</v>
      </c>
      <c r="AE82" s="116">
        <f t="shared" si="25"/>
        <v>4.6253933911271916E-2</v>
      </c>
      <c r="AF82" s="116">
        <f t="shared" si="25"/>
        <v>4.3961415429498565E-2</v>
      </c>
      <c r="AG82" s="116">
        <f t="shared" si="25"/>
        <v>4.1839384617061659E-2</v>
      </c>
      <c r="AH82" s="116">
        <f t="shared" si="25"/>
        <v>3.9695235965162799E-2</v>
      </c>
      <c r="AI82" s="116">
        <f t="shared" si="25"/>
        <v>3.8008791760500725E-2</v>
      </c>
      <c r="AJ82" s="116">
        <f t="shared" si="25"/>
        <v>3.6373857599978091E-2</v>
      </c>
      <c r="AK82" s="116">
        <f t="shared" si="25"/>
        <v>3.4822118100555965E-2</v>
      </c>
      <c r="AL82" s="116">
        <f t="shared" si="25"/>
        <v>3.3386351626723654E-2</v>
      </c>
      <c r="AM82" s="116">
        <f t="shared" si="25"/>
        <v>3.206635309735794E-2</v>
      </c>
    </row>
    <row r="83" spans="2:39" x14ac:dyDescent="0.25">
      <c r="B83" s="230"/>
      <c r="C83" s="35" t="s">
        <v>32</v>
      </c>
      <c r="D83" s="3" t="s">
        <v>439</v>
      </c>
      <c r="E83" s="111">
        <f t="shared" ref="E83:AM83" si="26">E41/E$26</f>
        <v>0.06</v>
      </c>
      <c r="F83" s="111">
        <f t="shared" si="26"/>
        <v>4.5468915474078109E-2</v>
      </c>
      <c r="G83" s="111">
        <f t="shared" si="26"/>
        <v>4.5968468042084779E-2</v>
      </c>
      <c r="H83" s="111">
        <f t="shared" si="26"/>
        <v>4.3711694427804822E-2</v>
      </c>
      <c r="I83" s="111">
        <f t="shared" si="26"/>
        <v>3.5997353958939389E-2</v>
      </c>
      <c r="J83" s="110">
        <f t="shared" si="26"/>
        <v>2.5973921179461752E-2</v>
      </c>
      <c r="K83" s="68">
        <f t="shared" si="26"/>
        <v>1.7976763543048457E-2</v>
      </c>
      <c r="L83" s="68">
        <f t="shared" si="26"/>
        <v>1.4829850713176048E-2</v>
      </c>
      <c r="M83" s="68">
        <f t="shared" si="26"/>
        <v>1.3641678182608575E-2</v>
      </c>
      <c r="N83" s="111">
        <f t="shared" si="26"/>
        <v>1.1792690467936569E-2</v>
      </c>
      <c r="O83" s="110">
        <f t="shared" si="26"/>
        <v>1.1609501665915827E-2</v>
      </c>
      <c r="P83" s="68">
        <f t="shared" si="26"/>
        <v>1.0789600191419923E-2</v>
      </c>
      <c r="Q83" s="68">
        <f t="shared" si="26"/>
        <v>9.791806624288078E-3</v>
      </c>
      <c r="R83" s="68">
        <f t="shared" si="26"/>
        <v>8.8100986199074211E-3</v>
      </c>
      <c r="S83" s="111">
        <f t="shared" si="26"/>
        <v>7.6385009254522473E-3</v>
      </c>
      <c r="T83" s="111">
        <f t="shared" si="26"/>
        <v>7.1452867358723958E-3</v>
      </c>
      <c r="U83" s="111">
        <f t="shared" si="26"/>
        <v>6.4607859294867585E-3</v>
      </c>
      <c r="V83" s="111">
        <f t="shared" si="26"/>
        <v>5.811499883386877E-3</v>
      </c>
      <c r="W83" s="111">
        <f t="shared" si="26"/>
        <v>5.2698325511148485E-3</v>
      </c>
      <c r="X83" s="116">
        <f t="shared" si="26"/>
        <v>4.5985613114443982E-3</v>
      </c>
      <c r="Y83" s="116">
        <f t="shared" si="26"/>
        <v>4.2419425677865498E-3</v>
      </c>
      <c r="Z83" s="116">
        <f t="shared" si="26"/>
        <v>3.8775571827719415E-3</v>
      </c>
      <c r="AA83" s="116">
        <f t="shared" si="26"/>
        <v>3.5123351404646305E-3</v>
      </c>
      <c r="AB83" s="116">
        <f t="shared" si="26"/>
        <v>3.1899866241369059E-3</v>
      </c>
      <c r="AC83" s="116">
        <f t="shared" si="26"/>
        <v>2.9120651652316917E-3</v>
      </c>
      <c r="AD83" s="116">
        <f t="shared" si="26"/>
        <v>2.6249650873872523E-3</v>
      </c>
      <c r="AE83" s="116">
        <f t="shared" si="26"/>
        <v>2.3830214316986533E-3</v>
      </c>
      <c r="AF83" s="116">
        <f t="shared" si="26"/>
        <v>2.1787023878631546E-3</v>
      </c>
      <c r="AG83" s="116">
        <f t="shared" si="26"/>
        <v>2.0000268561015085E-3</v>
      </c>
      <c r="AH83" s="116">
        <f t="shared" si="26"/>
        <v>1.8208292108256453E-3</v>
      </c>
      <c r="AI83" s="116">
        <f t="shared" si="26"/>
        <v>1.7035334281449899E-3</v>
      </c>
      <c r="AJ83" s="116">
        <f t="shared" si="26"/>
        <v>1.5920798367810654E-3</v>
      </c>
      <c r="AK83" s="116">
        <f t="shared" si="26"/>
        <v>1.4909595840047875E-3</v>
      </c>
      <c r="AL83" s="116">
        <f t="shared" si="26"/>
        <v>1.4031957598428417E-3</v>
      </c>
      <c r="AM83" s="116">
        <f t="shared" si="26"/>
        <v>1.3276878282641774E-3</v>
      </c>
    </row>
    <row r="84" spans="2:39" x14ac:dyDescent="0.25">
      <c r="B84" s="230"/>
      <c r="C84" s="56" t="s">
        <v>33</v>
      </c>
      <c r="D84" s="7" t="s">
        <v>440</v>
      </c>
      <c r="E84" s="113">
        <f t="shared" ref="E84:AM84" si="27">E42/E$26</f>
        <v>1.4999999999999999E-2</v>
      </c>
      <c r="F84" s="113">
        <f t="shared" si="27"/>
        <v>7.6931362918840418E-3</v>
      </c>
      <c r="G84" s="113">
        <f t="shared" si="27"/>
        <v>8.0242954030008955E-3</v>
      </c>
      <c r="H84" s="113">
        <f t="shared" si="27"/>
        <v>6.3285988630104335E-3</v>
      </c>
      <c r="I84" s="113">
        <f t="shared" si="27"/>
        <v>4.1422042508941692E-3</v>
      </c>
      <c r="J84" s="112">
        <f t="shared" si="27"/>
        <v>1.2805170103921519E-3</v>
      </c>
      <c r="K84" s="70">
        <f t="shared" si="27"/>
        <v>0</v>
      </c>
      <c r="L84" s="70">
        <f t="shared" si="27"/>
        <v>0</v>
      </c>
      <c r="M84" s="70">
        <f t="shared" si="27"/>
        <v>0</v>
      </c>
      <c r="N84" s="113">
        <f t="shared" si="27"/>
        <v>0</v>
      </c>
      <c r="O84" s="112">
        <f t="shared" si="27"/>
        <v>0</v>
      </c>
      <c r="P84" s="70">
        <f t="shared" si="27"/>
        <v>0</v>
      </c>
      <c r="Q84" s="70">
        <f t="shared" si="27"/>
        <v>0</v>
      </c>
      <c r="R84" s="70">
        <f t="shared" si="27"/>
        <v>0</v>
      </c>
      <c r="S84" s="113">
        <f t="shared" si="27"/>
        <v>0</v>
      </c>
      <c r="T84" s="113">
        <f t="shared" si="27"/>
        <v>0</v>
      </c>
      <c r="U84" s="113">
        <f t="shared" si="27"/>
        <v>0</v>
      </c>
      <c r="V84" s="113">
        <f t="shared" si="27"/>
        <v>0</v>
      </c>
      <c r="W84" s="113">
        <f t="shared" si="27"/>
        <v>0</v>
      </c>
      <c r="X84" s="117">
        <f t="shared" si="27"/>
        <v>0</v>
      </c>
      <c r="Y84" s="117">
        <f t="shared" si="27"/>
        <v>0</v>
      </c>
      <c r="Z84" s="117">
        <f t="shared" si="27"/>
        <v>0</v>
      </c>
      <c r="AA84" s="117">
        <f t="shared" si="27"/>
        <v>0</v>
      </c>
      <c r="AB84" s="117">
        <f t="shared" si="27"/>
        <v>0</v>
      </c>
      <c r="AC84" s="117">
        <f t="shared" si="27"/>
        <v>0</v>
      </c>
      <c r="AD84" s="117">
        <f t="shared" si="27"/>
        <v>0</v>
      </c>
      <c r="AE84" s="117">
        <f t="shared" si="27"/>
        <v>0</v>
      </c>
      <c r="AF84" s="117">
        <f t="shared" si="27"/>
        <v>0</v>
      </c>
      <c r="AG84" s="117">
        <f t="shared" si="27"/>
        <v>0</v>
      </c>
      <c r="AH84" s="117">
        <f t="shared" si="27"/>
        <v>0</v>
      </c>
      <c r="AI84" s="117">
        <f t="shared" si="27"/>
        <v>0</v>
      </c>
      <c r="AJ84" s="117">
        <f t="shared" si="27"/>
        <v>0</v>
      </c>
      <c r="AK84" s="117">
        <f t="shared" si="27"/>
        <v>0</v>
      </c>
      <c r="AL84" s="117">
        <f t="shared" si="27"/>
        <v>0</v>
      </c>
      <c r="AM84" s="117">
        <f t="shared" si="27"/>
        <v>0</v>
      </c>
    </row>
    <row r="85" spans="2:39" x14ac:dyDescent="0.25">
      <c r="B85" s="229" t="s">
        <v>80</v>
      </c>
      <c r="C85" s="58" t="s">
        <v>52</v>
      </c>
      <c r="D85" s="58" t="s">
        <v>130</v>
      </c>
      <c r="E85" s="100">
        <f t="shared" ref="E85:AM85" si="28">E43</f>
        <v>32001.800439999999</v>
      </c>
      <c r="F85" s="100">
        <f t="shared" si="28"/>
        <v>35911.307350000003</v>
      </c>
      <c r="G85" s="100">
        <f t="shared" si="28"/>
        <v>36708.886160000002</v>
      </c>
      <c r="H85" s="100">
        <f t="shared" si="28"/>
        <v>37113.743849999999</v>
      </c>
      <c r="I85" s="100">
        <f t="shared" si="28"/>
        <v>37468.153879999998</v>
      </c>
      <c r="J85" s="99">
        <f t="shared" si="28"/>
        <v>37679.582190000001</v>
      </c>
      <c r="K85" s="51">
        <f t="shared" si="28"/>
        <v>37785.530330000001</v>
      </c>
      <c r="L85" s="51">
        <f t="shared" si="28"/>
        <v>37733.513099999996</v>
      </c>
      <c r="M85" s="51">
        <f t="shared" si="28"/>
        <v>37791.387499999997</v>
      </c>
      <c r="N85" s="100">
        <f t="shared" si="28"/>
        <v>37114.885020000002</v>
      </c>
      <c r="O85" s="99">
        <f t="shared" si="28"/>
        <v>36994.301809999997</v>
      </c>
      <c r="P85" s="51">
        <f t="shared" si="28"/>
        <v>37081.220289999997</v>
      </c>
      <c r="Q85" s="51">
        <f t="shared" si="28"/>
        <v>37250.009299999998</v>
      </c>
      <c r="R85" s="51">
        <f t="shared" si="28"/>
        <v>37450.677770000002</v>
      </c>
      <c r="S85" s="100">
        <f t="shared" si="28"/>
        <v>37136.00647</v>
      </c>
      <c r="T85" s="100">
        <f t="shared" si="28"/>
        <v>37202.100559999999</v>
      </c>
      <c r="U85" s="100">
        <f t="shared" si="28"/>
        <v>37319.641949999997</v>
      </c>
      <c r="V85" s="100">
        <f t="shared" si="28"/>
        <v>37462.784959999997</v>
      </c>
      <c r="W85" s="100">
        <f t="shared" si="28"/>
        <v>37619.637450000002</v>
      </c>
      <c r="X85" s="104">
        <f t="shared" si="28"/>
        <v>37399.192340000001</v>
      </c>
      <c r="Y85" s="104">
        <f t="shared" si="28"/>
        <v>37419.360200000003</v>
      </c>
      <c r="Z85" s="104">
        <f t="shared" si="28"/>
        <v>37547.201099999998</v>
      </c>
      <c r="AA85" s="104">
        <f t="shared" si="28"/>
        <v>37717.020199999999</v>
      </c>
      <c r="AB85" s="104">
        <f t="shared" si="28"/>
        <v>37907.858330000003</v>
      </c>
      <c r="AC85" s="104">
        <f t="shared" si="28"/>
        <v>38111.790990000001</v>
      </c>
      <c r="AD85" s="104">
        <f t="shared" si="28"/>
        <v>38224.932780000003</v>
      </c>
      <c r="AE85" s="104">
        <f t="shared" si="28"/>
        <v>38297.572139999997</v>
      </c>
      <c r="AF85" s="104">
        <f t="shared" si="28"/>
        <v>38352.304980000001</v>
      </c>
      <c r="AG85" s="104">
        <f t="shared" si="28"/>
        <v>38396.995199999998</v>
      </c>
      <c r="AH85" s="104">
        <f t="shared" si="28"/>
        <v>38166.660320000003</v>
      </c>
      <c r="AI85" s="104">
        <f t="shared" si="28"/>
        <v>38048.024680000002</v>
      </c>
      <c r="AJ85" s="104">
        <f t="shared" si="28"/>
        <v>37973.786169999999</v>
      </c>
      <c r="AK85" s="104">
        <f t="shared" si="28"/>
        <v>37913.747730000003</v>
      </c>
      <c r="AL85" s="104">
        <f t="shared" si="28"/>
        <v>37856.213680000001</v>
      </c>
      <c r="AM85" s="104">
        <f t="shared" si="28"/>
        <v>37796.341200000003</v>
      </c>
    </row>
    <row r="86" spans="2:39" x14ac:dyDescent="0.25">
      <c r="B86" s="230"/>
      <c r="C86" s="35" t="s">
        <v>8</v>
      </c>
      <c r="D86" s="54" t="s">
        <v>441</v>
      </c>
      <c r="E86" s="111">
        <f t="shared" ref="E86:AM89" si="29">E44/E$43</f>
        <v>0</v>
      </c>
      <c r="F86" s="111">
        <f t="shared" si="29"/>
        <v>0</v>
      </c>
      <c r="G86" s="111">
        <f t="shared" si="29"/>
        <v>0</v>
      </c>
      <c r="H86" s="111">
        <f t="shared" si="29"/>
        <v>0</v>
      </c>
      <c r="I86" s="111">
        <f t="shared" si="29"/>
        <v>0</v>
      </c>
      <c r="J86" s="110">
        <f t="shared" si="29"/>
        <v>0</v>
      </c>
      <c r="K86" s="68">
        <f t="shared" si="29"/>
        <v>0</v>
      </c>
      <c r="L86" s="68">
        <f t="shared" si="29"/>
        <v>0</v>
      </c>
      <c r="M86" s="68">
        <f t="shared" si="29"/>
        <v>0</v>
      </c>
      <c r="N86" s="111">
        <f t="shared" si="29"/>
        <v>0</v>
      </c>
      <c r="O86" s="110">
        <f t="shared" si="29"/>
        <v>0</v>
      </c>
      <c r="P86" s="68">
        <f t="shared" si="29"/>
        <v>0</v>
      </c>
      <c r="Q86" s="68">
        <f t="shared" si="29"/>
        <v>0</v>
      </c>
      <c r="R86" s="68">
        <f t="shared" si="29"/>
        <v>0</v>
      </c>
      <c r="S86" s="111">
        <f t="shared" si="29"/>
        <v>0</v>
      </c>
      <c r="T86" s="111">
        <f t="shared" si="29"/>
        <v>0</v>
      </c>
      <c r="U86" s="111">
        <f t="shared" si="29"/>
        <v>0</v>
      </c>
      <c r="V86" s="111">
        <f t="shared" si="29"/>
        <v>0</v>
      </c>
      <c r="W86" s="111">
        <f t="shared" si="29"/>
        <v>0</v>
      </c>
      <c r="X86" s="116">
        <f t="shared" si="29"/>
        <v>0</v>
      </c>
      <c r="Y86" s="116">
        <f t="shared" si="29"/>
        <v>0</v>
      </c>
      <c r="Z86" s="116">
        <f t="shared" si="29"/>
        <v>0</v>
      </c>
      <c r="AA86" s="116">
        <f t="shared" si="29"/>
        <v>0</v>
      </c>
      <c r="AB86" s="116">
        <f t="shared" si="29"/>
        <v>0</v>
      </c>
      <c r="AC86" s="116">
        <f t="shared" si="29"/>
        <v>0</v>
      </c>
      <c r="AD86" s="116">
        <f t="shared" si="29"/>
        <v>0</v>
      </c>
      <c r="AE86" s="116">
        <f t="shared" si="29"/>
        <v>0</v>
      </c>
      <c r="AF86" s="116">
        <f t="shared" si="29"/>
        <v>0</v>
      </c>
      <c r="AG86" s="116">
        <f t="shared" si="29"/>
        <v>0</v>
      </c>
      <c r="AH86" s="116">
        <f t="shared" si="29"/>
        <v>0</v>
      </c>
      <c r="AI86" s="116">
        <f t="shared" si="29"/>
        <v>0</v>
      </c>
      <c r="AJ86" s="116">
        <f t="shared" si="29"/>
        <v>0</v>
      </c>
      <c r="AK86" s="116">
        <f t="shared" si="29"/>
        <v>0</v>
      </c>
      <c r="AL86" s="116">
        <f t="shared" si="29"/>
        <v>0</v>
      </c>
      <c r="AM86" s="116">
        <f t="shared" si="29"/>
        <v>0</v>
      </c>
    </row>
    <row r="87" spans="2:39" x14ac:dyDescent="0.25">
      <c r="B87" s="230"/>
      <c r="C87" s="35" t="s">
        <v>6</v>
      </c>
      <c r="D87" s="3" t="s">
        <v>424</v>
      </c>
      <c r="E87" s="111">
        <f t="shared" si="29"/>
        <v>0.9999246395525615</v>
      </c>
      <c r="F87" s="111">
        <f t="shared" si="29"/>
        <v>0.99732348507774371</v>
      </c>
      <c r="G87" s="111">
        <f t="shared" si="29"/>
        <v>0.99378643418909995</v>
      </c>
      <c r="H87" s="111">
        <f t="shared" si="29"/>
        <v>0.99184700818050187</v>
      </c>
      <c r="I87" s="111">
        <f t="shared" si="29"/>
        <v>0.98945038762075244</v>
      </c>
      <c r="J87" s="110">
        <f t="shared" si="29"/>
        <v>0.98662984696964873</v>
      </c>
      <c r="K87" s="68">
        <f t="shared" si="29"/>
        <v>0.98293164620510953</v>
      </c>
      <c r="L87" s="68">
        <f t="shared" si="29"/>
        <v>0.97843951534955298</v>
      </c>
      <c r="M87" s="68">
        <f t="shared" si="29"/>
        <v>0.97272393769612198</v>
      </c>
      <c r="N87" s="111">
        <f t="shared" si="29"/>
        <v>0.96800268061291173</v>
      </c>
      <c r="O87" s="110">
        <f t="shared" si="29"/>
        <v>0.96045105412411091</v>
      </c>
      <c r="P87" s="68">
        <f t="shared" si="29"/>
        <v>0.95087172035459466</v>
      </c>
      <c r="Q87" s="68">
        <f t="shared" si="29"/>
        <v>0.93963912540553385</v>
      </c>
      <c r="R87" s="68">
        <f t="shared" si="29"/>
        <v>0.92697111313187319</v>
      </c>
      <c r="S87" s="111">
        <f t="shared" si="29"/>
        <v>0.91591788517910599</v>
      </c>
      <c r="T87" s="111">
        <f t="shared" si="29"/>
        <v>0.90154866083185503</v>
      </c>
      <c r="U87" s="111">
        <f t="shared" si="29"/>
        <v>0.88589473404634311</v>
      </c>
      <c r="V87" s="111">
        <f t="shared" si="29"/>
        <v>0.86925933789413623</v>
      </c>
      <c r="W87" s="111">
        <f t="shared" si="29"/>
        <v>0.85187374526385817</v>
      </c>
      <c r="X87" s="116">
        <f t="shared" si="29"/>
        <v>0.83668174156083919</v>
      </c>
      <c r="Y87" s="116">
        <f t="shared" si="29"/>
        <v>0.81925716062884468</v>
      </c>
      <c r="Z87" s="116">
        <f t="shared" si="29"/>
        <v>0.8007561370533155</v>
      </c>
      <c r="AA87" s="116">
        <f t="shared" si="29"/>
        <v>0.78182867558556501</v>
      </c>
      <c r="AB87" s="116">
        <f t="shared" si="29"/>
        <v>0.76275597260838446</v>
      </c>
      <c r="AC87" s="116">
        <f t="shared" si="29"/>
        <v>0.74369846637322767</v>
      </c>
      <c r="AD87" s="116">
        <f t="shared" si="29"/>
        <v>0.7253899715033062</v>
      </c>
      <c r="AE87" s="116">
        <f t="shared" si="29"/>
        <v>0.70747907154408995</v>
      </c>
      <c r="AF87" s="116">
        <f t="shared" si="29"/>
        <v>0.68984057187167258</v>
      </c>
      <c r="AG87" s="116">
        <f t="shared" si="29"/>
        <v>0.67246081849654737</v>
      </c>
      <c r="AH87" s="116">
        <f t="shared" si="29"/>
        <v>0.65718957251431831</v>
      </c>
      <c r="AI87" s="116">
        <f t="shared" si="29"/>
        <v>0.64129044162510251</v>
      </c>
      <c r="AJ87" s="116">
        <f t="shared" si="29"/>
        <v>0.62531344079562445</v>
      </c>
      <c r="AK87" s="116">
        <f t="shared" si="29"/>
        <v>0.60951383821427352</v>
      </c>
      <c r="AL87" s="116">
        <f t="shared" si="29"/>
        <v>0.59399957587094854</v>
      </c>
      <c r="AM87" s="116">
        <f t="shared" si="29"/>
        <v>0.57882170774773289</v>
      </c>
    </row>
    <row r="88" spans="2:39" x14ac:dyDescent="0.25">
      <c r="B88" s="230"/>
      <c r="C88" s="35" t="s">
        <v>34</v>
      </c>
      <c r="D88" s="3" t="s">
        <v>423</v>
      </c>
      <c r="E88" s="111">
        <f t="shared" si="29"/>
        <v>7.5360400972489787E-5</v>
      </c>
      <c r="F88" s="111">
        <f t="shared" si="29"/>
        <v>2.6765149264330527E-3</v>
      </c>
      <c r="G88" s="111">
        <f t="shared" si="29"/>
        <v>6.2135657155553414E-3</v>
      </c>
      <c r="H88" s="111">
        <f t="shared" si="29"/>
        <v>8.1529916820827549E-3</v>
      </c>
      <c r="I88" s="111">
        <f t="shared" si="29"/>
        <v>1.0549612494011675E-2</v>
      </c>
      <c r="J88" s="110">
        <f t="shared" si="29"/>
        <v>1.3370152958694471E-2</v>
      </c>
      <c r="K88" s="68">
        <f t="shared" si="29"/>
        <v>1.7068353871639307E-2</v>
      </c>
      <c r="L88" s="68">
        <f t="shared" si="29"/>
        <v>2.1560484804156763E-2</v>
      </c>
      <c r="M88" s="68">
        <f t="shared" si="29"/>
        <v>2.7276062330339156E-2</v>
      </c>
      <c r="N88" s="111">
        <f t="shared" si="29"/>
        <v>3.1997319225428117E-2</v>
      </c>
      <c r="O88" s="110">
        <f t="shared" si="29"/>
        <v>3.954894598401397E-2</v>
      </c>
      <c r="P88" s="68">
        <f t="shared" si="29"/>
        <v>4.912827967237321E-2</v>
      </c>
      <c r="Q88" s="68">
        <f t="shared" si="29"/>
        <v>6.0360874621311851E-2</v>
      </c>
      <c r="R88" s="68">
        <f t="shared" si="29"/>
        <v>7.302888676131962E-2</v>
      </c>
      <c r="S88" s="111">
        <f t="shared" si="29"/>
        <v>8.4082114767037849E-2</v>
      </c>
      <c r="T88" s="111">
        <f t="shared" si="29"/>
        <v>9.8451339087504475E-2</v>
      </c>
      <c r="U88" s="111">
        <f t="shared" si="29"/>
        <v>0.11410526600724798</v>
      </c>
      <c r="V88" s="111">
        <f t="shared" si="29"/>
        <v>0.13074066205247761</v>
      </c>
      <c r="W88" s="111">
        <f t="shared" si="29"/>
        <v>0.1481262547361418</v>
      </c>
      <c r="X88" s="116">
        <f t="shared" si="29"/>
        <v>0.16331825819851381</v>
      </c>
      <c r="Y88" s="116">
        <f t="shared" si="29"/>
        <v>0.18074283929098284</v>
      </c>
      <c r="Z88" s="116">
        <f t="shared" si="29"/>
        <v>0.19924386307985018</v>
      </c>
      <c r="AA88" s="116">
        <f t="shared" si="29"/>
        <v>0.21817132441443507</v>
      </c>
      <c r="AB88" s="116">
        <f t="shared" si="29"/>
        <v>0.23724402741799522</v>
      </c>
      <c r="AC88" s="116">
        <f t="shared" si="29"/>
        <v>0.25630153370548803</v>
      </c>
      <c r="AD88" s="116">
        <f t="shared" si="29"/>
        <v>0.27461002849669364</v>
      </c>
      <c r="AE88" s="116">
        <f t="shared" si="29"/>
        <v>0.29252092819479708</v>
      </c>
      <c r="AF88" s="116">
        <f t="shared" si="29"/>
        <v>0.31015942812832731</v>
      </c>
      <c r="AG88" s="116">
        <f t="shared" si="29"/>
        <v>0.32753918150345268</v>
      </c>
      <c r="AH88" s="116">
        <f t="shared" si="29"/>
        <v>0.34281042748568152</v>
      </c>
      <c r="AI88" s="116">
        <f t="shared" si="29"/>
        <v>0.35870955837489749</v>
      </c>
      <c r="AJ88" s="116">
        <f t="shared" si="29"/>
        <v>0.37468655920437549</v>
      </c>
      <c r="AK88" s="116">
        <f t="shared" si="29"/>
        <v>0.39048616178572648</v>
      </c>
      <c r="AL88" s="116">
        <f t="shared" si="29"/>
        <v>0.40600042412905146</v>
      </c>
      <c r="AM88" s="116">
        <f t="shared" si="29"/>
        <v>0.42117829198769108</v>
      </c>
    </row>
    <row r="89" spans="2:39" x14ac:dyDescent="0.25">
      <c r="B89" s="230"/>
      <c r="C89" s="35" t="s">
        <v>35</v>
      </c>
      <c r="D89" s="3" t="s">
        <v>442</v>
      </c>
      <c r="E89" s="111">
        <f t="shared" si="29"/>
        <v>7.0669503868701714E-7</v>
      </c>
      <c r="F89" s="111">
        <f t="shared" si="29"/>
        <v>9.5815926261453687E-6</v>
      </c>
      <c r="G89" s="111">
        <f t="shared" si="29"/>
        <v>1.1014608556567546E-5</v>
      </c>
      <c r="H89" s="111">
        <f t="shared" si="29"/>
        <v>1.1844957616691639E-5</v>
      </c>
      <c r="I89" s="111">
        <f t="shared" si="29"/>
        <v>1.3340535466488803E-5</v>
      </c>
      <c r="J89" s="110">
        <f t="shared" si="29"/>
        <v>1.4566963710804352E-5</v>
      </c>
      <c r="K89" s="68">
        <f t="shared" si="29"/>
        <v>1.6704724210231828E-5</v>
      </c>
      <c r="L89" s="68">
        <f t="shared" si="29"/>
        <v>1.9142304955432313E-5</v>
      </c>
      <c r="M89" s="68">
        <f t="shared" si="29"/>
        <v>2.1654633643710489E-5</v>
      </c>
      <c r="N89" s="111">
        <f t="shared" si="29"/>
        <v>2.3458931868731947E-5</v>
      </c>
      <c r="O89" s="110">
        <f t="shared" si="29"/>
        <v>2.5624163641973599E-5</v>
      </c>
      <c r="P89" s="68">
        <f t="shared" si="29"/>
        <v>2.7859027074106034E-5</v>
      </c>
      <c r="Q89" s="68">
        <f t="shared" si="29"/>
        <v>3.0064921943522843E-5</v>
      </c>
      <c r="R89" s="68">
        <f t="shared" si="29"/>
        <v>3.2193456401630297E-5</v>
      </c>
      <c r="S89" s="111">
        <f t="shared" si="29"/>
        <v>3.3868637975816247E-5</v>
      </c>
      <c r="T89" s="111">
        <f t="shared" si="29"/>
        <v>3.5668861812248164E-5</v>
      </c>
      <c r="U89" s="111">
        <f t="shared" si="29"/>
        <v>3.738807831729479E-5</v>
      </c>
      <c r="V89" s="111">
        <f t="shared" si="29"/>
        <v>3.9016722984174001E-5</v>
      </c>
      <c r="W89" s="111">
        <f t="shared" si="29"/>
        <v>4.0533789381322169E-5</v>
      </c>
      <c r="X89" s="116">
        <f t="shared" si="29"/>
        <v>4.1807309414211803E-5</v>
      </c>
      <c r="Y89" s="116">
        <f t="shared" si="29"/>
        <v>4.309882919911602E-5</v>
      </c>
      <c r="Z89" s="116">
        <f t="shared" si="29"/>
        <v>4.4341398698823388E-5</v>
      </c>
      <c r="AA89" s="116">
        <f t="shared" si="29"/>
        <v>4.552536178348469E-5</v>
      </c>
      <c r="AB89" s="116">
        <f t="shared" si="29"/>
        <v>4.6644832942214912E-5</v>
      </c>
      <c r="AC89" s="116">
        <f t="shared" si="29"/>
        <v>4.7697375714433721E-5</v>
      </c>
      <c r="AD89" s="116">
        <f t="shared" si="29"/>
        <v>4.869790444664844E-5</v>
      </c>
      <c r="AE89" s="116">
        <f t="shared" si="29"/>
        <v>4.9666509799803726E-5</v>
      </c>
      <c r="AF89" s="116">
        <f t="shared" si="29"/>
        <v>5.0610747046682454E-5</v>
      </c>
      <c r="AG89" s="116">
        <f t="shared" si="29"/>
        <v>5.1538413636075363E-5</v>
      </c>
      <c r="AH89" s="116">
        <f t="shared" si="29"/>
        <v>5.2385971977545034E-5</v>
      </c>
      <c r="AI89" s="116">
        <f t="shared" si="29"/>
        <v>5.3258748096459662E-5</v>
      </c>
      <c r="AJ89" s="116">
        <f t="shared" si="29"/>
        <v>5.4145539393813893E-5</v>
      </c>
      <c r="AK89" s="116">
        <f t="shared" si="29"/>
        <v>5.5044109668659221E-5</v>
      </c>
      <c r="AL89" s="116">
        <f t="shared" si="29"/>
        <v>5.5950899075757757E-5</v>
      </c>
      <c r="AM89" s="116">
        <f t="shared" si="29"/>
        <v>5.686279348118489E-5</v>
      </c>
    </row>
    <row r="90" spans="2:39" x14ac:dyDescent="0.25">
      <c r="B90" s="230"/>
      <c r="C90" s="58" t="s">
        <v>52</v>
      </c>
      <c r="D90" s="58" t="s">
        <v>130</v>
      </c>
      <c r="E90" s="59">
        <f>E43</f>
        <v>32001.800439999999</v>
      </c>
      <c r="F90" s="59">
        <f t="shared" ref="F90:AM90" si="30">F43</f>
        <v>35911.307350000003</v>
      </c>
      <c r="G90" s="59">
        <f t="shared" si="30"/>
        <v>36708.886160000002</v>
      </c>
      <c r="H90" s="59">
        <f t="shared" si="30"/>
        <v>37113.743849999999</v>
      </c>
      <c r="I90" s="59">
        <f t="shared" si="30"/>
        <v>37468.153879999998</v>
      </c>
      <c r="J90" s="59">
        <f t="shared" si="30"/>
        <v>37679.582190000001</v>
      </c>
      <c r="K90" s="59">
        <f t="shared" si="30"/>
        <v>37785.530330000001</v>
      </c>
      <c r="L90" s="59">
        <f t="shared" si="30"/>
        <v>37733.513099999996</v>
      </c>
      <c r="M90" s="59">
        <f t="shared" si="30"/>
        <v>37791.387499999997</v>
      </c>
      <c r="N90" s="59">
        <f t="shared" si="30"/>
        <v>37114.885020000002</v>
      </c>
      <c r="O90" s="59">
        <f t="shared" si="30"/>
        <v>36994.301809999997</v>
      </c>
      <c r="P90" s="59">
        <f t="shared" si="30"/>
        <v>37081.220289999997</v>
      </c>
      <c r="Q90" s="59">
        <f t="shared" si="30"/>
        <v>37250.009299999998</v>
      </c>
      <c r="R90" s="59">
        <f t="shared" si="30"/>
        <v>37450.677770000002</v>
      </c>
      <c r="S90" s="59">
        <f t="shared" si="30"/>
        <v>37136.00647</v>
      </c>
      <c r="T90" s="59">
        <f t="shared" si="30"/>
        <v>37202.100559999999</v>
      </c>
      <c r="U90" s="59">
        <f t="shared" si="30"/>
        <v>37319.641949999997</v>
      </c>
      <c r="V90" s="59">
        <f t="shared" si="30"/>
        <v>37462.784959999997</v>
      </c>
      <c r="W90" s="59">
        <f t="shared" si="30"/>
        <v>37619.637450000002</v>
      </c>
      <c r="X90" s="59">
        <f t="shared" si="30"/>
        <v>37399.192340000001</v>
      </c>
      <c r="Y90" s="59">
        <f t="shared" si="30"/>
        <v>37419.360200000003</v>
      </c>
      <c r="Z90" s="59">
        <f t="shared" si="30"/>
        <v>37547.201099999998</v>
      </c>
      <c r="AA90" s="59">
        <f t="shared" si="30"/>
        <v>37717.020199999999</v>
      </c>
      <c r="AB90" s="59">
        <f t="shared" si="30"/>
        <v>37907.858330000003</v>
      </c>
      <c r="AC90" s="59">
        <f t="shared" si="30"/>
        <v>38111.790990000001</v>
      </c>
      <c r="AD90" s="59">
        <f t="shared" si="30"/>
        <v>38224.932780000003</v>
      </c>
      <c r="AE90" s="59">
        <f t="shared" si="30"/>
        <v>38297.572139999997</v>
      </c>
      <c r="AF90" s="59">
        <f t="shared" si="30"/>
        <v>38352.304980000001</v>
      </c>
      <c r="AG90" s="59">
        <f t="shared" si="30"/>
        <v>38396.995199999998</v>
      </c>
      <c r="AH90" s="59">
        <f t="shared" si="30"/>
        <v>38166.660320000003</v>
      </c>
      <c r="AI90" s="59">
        <f t="shared" si="30"/>
        <v>38048.024680000002</v>
      </c>
      <c r="AJ90" s="59">
        <f t="shared" si="30"/>
        <v>37973.786169999999</v>
      </c>
      <c r="AK90" s="59">
        <f t="shared" si="30"/>
        <v>37913.747730000003</v>
      </c>
      <c r="AL90" s="59">
        <f t="shared" si="30"/>
        <v>37856.213680000001</v>
      </c>
      <c r="AM90" s="59">
        <f t="shared" si="30"/>
        <v>37796.341200000003</v>
      </c>
    </row>
    <row r="91" spans="2:39" x14ac:dyDescent="0.25">
      <c r="B91" s="230"/>
      <c r="C91" s="60" t="s">
        <v>45</v>
      </c>
      <c r="D91" s="3" t="s">
        <v>423</v>
      </c>
      <c r="E91" s="128">
        <f t="shared" ref="E91:AM98" si="31">E49/E$48</f>
        <v>7.5360400972489787E-5</v>
      </c>
      <c r="F91" s="128">
        <f t="shared" si="31"/>
        <v>2.6765149264330527E-3</v>
      </c>
      <c r="G91" s="128">
        <f t="shared" si="31"/>
        <v>6.2135657155553414E-3</v>
      </c>
      <c r="H91" s="128">
        <f t="shared" si="31"/>
        <v>8.1529916820827549E-3</v>
      </c>
      <c r="I91" s="128">
        <f t="shared" si="31"/>
        <v>1.0549612494011675E-2</v>
      </c>
      <c r="J91" s="127">
        <f t="shared" si="31"/>
        <v>1.3370152958694471E-2</v>
      </c>
      <c r="K91" s="71">
        <f t="shared" si="31"/>
        <v>1.7068353871639307E-2</v>
      </c>
      <c r="L91" s="71">
        <f t="shared" si="31"/>
        <v>2.1560484804156763E-2</v>
      </c>
      <c r="M91" s="71">
        <f t="shared" si="31"/>
        <v>2.7276062330339156E-2</v>
      </c>
      <c r="N91" s="128">
        <f t="shared" si="31"/>
        <v>3.1997319225428117E-2</v>
      </c>
      <c r="O91" s="127">
        <f t="shared" si="31"/>
        <v>3.954894598401397E-2</v>
      </c>
      <c r="P91" s="71">
        <f t="shared" si="31"/>
        <v>4.912827967237321E-2</v>
      </c>
      <c r="Q91" s="71">
        <f t="shared" si="31"/>
        <v>6.0360874621311851E-2</v>
      </c>
      <c r="R91" s="71">
        <f t="shared" si="31"/>
        <v>7.302888676131962E-2</v>
      </c>
      <c r="S91" s="128">
        <f t="shared" si="31"/>
        <v>8.4082114767037849E-2</v>
      </c>
      <c r="T91" s="128">
        <f t="shared" si="31"/>
        <v>9.8451339087504475E-2</v>
      </c>
      <c r="U91" s="128">
        <f t="shared" si="31"/>
        <v>0.11410526600724798</v>
      </c>
      <c r="V91" s="128">
        <f t="shared" si="31"/>
        <v>0.13074066205247761</v>
      </c>
      <c r="W91" s="128">
        <f t="shared" si="31"/>
        <v>0.1481262547361418</v>
      </c>
      <c r="X91" s="120">
        <f t="shared" si="31"/>
        <v>0.16331825819851381</v>
      </c>
      <c r="Y91" s="120">
        <f t="shared" si="31"/>
        <v>0.18074283929098284</v>
      </c>
      <c r="Z91" s="120">
        <f t="shared" si="31"/>
        <v>0.19924386307985018</v>
      </c>
      <c r="AA91" s="120">
        <f t="shared" si="31"/>
        <v>0.21817132441443507</v>
      </c>
      <c r="AB91" s="120">
        <f t="shared" si="31"/>
        <v>0.23724402741799522</v>
      </c>
      <c r="AC91" s="120">
        <f t="shared" si="31"/>
        <v>0.25630153370548803</v>
      </c>
      <c r="AD91" s="120">
        <f t="shared" si="31"/>
        <v>0.27461002849669364</v>
      </c>
      <c r="AE91" s="120">
        <f t="shared" si="31"/>
        <v>0.29252092819479708</v>
      </c>
      <c r="AF91" s="120">
        <f t="shared" si="31"/>
        <v>0.31015942812832731</v>
      </c>
      <c r="AG91" s="120">
        <f t="shared" si="31"/>
        <v>0.32753918150345268</v>
      </c>
      <c r="AH91" s="120">
        <f t="shared" si="31"/>
        <v>0.34281042748568152</v>
      </c>
      <c r="AI91" s="120">
        <f t="shared" si="31"/>
        <v>0.35870955837489749</v>
      </c>
      <c r="AJ91" s="120">
        <f t="shared" si="31"/>
        <v>0.37468655920437549</v>
      </c>
      <c r="AK91" s="120">
        <f t="shared" si="31"/>
        <v>0.39048616178572648</v>
      </c>
      <c r="AL91" s="120">
        <f t="shared" si="31"/>
        <v>0.40600042412905146</v>
      </c>
      <c r="AM91" s="120">
        <f t="shared" si="31"/>
        <v>0.42117829198769108</v>
      </c>
    </row>
    <row r="92" spans="2:39" x14ac:dyDescent="0.25">
      <c r="B92" s="230"/>
      <c r="C92" s="62" t="s">
        <v>27</v>
      </c>
      <c r="D92" s="63" t="s">
        <v>443</v>
      </c>
      <c r="E92" s="111">
        <f t="shared" si="31"/>
        <v>2.2444105679199093E-7</v>
      </c>
      <c r="F92" s="111">
        <f t="shared" si="31"/>
        <v>2.4819926281519793E-5</v>
      </c>
      <c r="G92" s="111">
        <f t="shared" si="31"/>
        <v>5.0298689721943884E-5</v>
      </c>
      <c r="H92" s="111">
        <f t="shared" si="31"/>
        <v>6.6542476905088622E-5</v>
      </c>
      <c r="I92" s="111">
        <f t="shared" si="31"/>
        <v>9.2875167032382223E-5</v>
      </c>
      <c r="J92" s="110">
        <f t="shared" si="31"/>
        <v>1.3232090830675954E-4</v>
      </c>
      <c r="K92" s="68">
        <f t="shared" si="31"/>
        <v>2.3424191643468193E-4</v>
      </c>
      <c r="L92" s="68">
        <f t="shared" si="31"/>
        <v>3.9868015416778146E-4</v>
      </c>
      <c r="M92" s="68">
        <f t="shared" si="31"/>
        <v>6.1793578999977177E-4</v>
      </c>
      <c r="N92" s="111">
        <f t="shared" si="31"/>
        <v>8.2732386382050008E-4</v>
      </c>
      <c r="O92" s="110">
        <f t="shared" si="31"/>
        <v>1.1494029220604448E-3</v>
      </c>
      <c r="P92" s="68">
        <f t="shared" si="31"/>
        <v>1.5741489256150909E-3</v>
      </c>
      <c r="Q92" s="68">
        <f t="shared" si="31"/>
        <v>2.1004990328955435E-3</v>
      </c>
      <c r="R92" s="68">
        <f t="shared" si="31"/>
        <v>2.7294396947305233E-3</v>
      </c>
      <c r="S92" s="111">
        <f t="shared" si="31"/>
        <v>3.3377376347705056E-3</v>
      </c>
      <c r="T92" s="111">
        <f t="shared" si="31"/>
        <v>4.1353808356030097E-3</v>
      </c>
      <c r="U92" s="111">
        <f t="shared" si="31"/>
        <v>5.0520646594788676E-3</v>
      </c>
      <c r="V92" s="111">
        <f t="shared" si="31"/>
        <v>6.0796836365258847E-3</v>
      </c>
      <c r="W92" s="111">
        <f t="shared" si="31"/>
        <v>7.2150618559456642E-3</v>
      </c>
      <c r="X92" s="116">
        <f t="shared" si="31"/>
        <v>8.2956077387846602E-3</v>
      </c>
      <c r="Y92" s="116">
        <f t="shared" si="31"/>
        <v>9.5682402207400638E-3</v>
      </c>
      <c r="Z92" s="116">
        <f t="shared" si="31"/>
        <v>1.0986107300019228E-2</v>
      </c>
      <c r="AA92" s="116">
        <f t="shared" si="31"/>
        <v>1.251880975740496E-2</v>
      </c>
      <c r="AB92" s="116">
        <f t="shared" si="31"/>
        <v>1.4152334231855824E-2</v>
      </c>
      <c r="AC92" s="116">
        <f t="shared" si="31"/>
        <v>1.5877916783254273E-2</v>
      </c>
      <c r="AD92" s="116">
        <f t="shared" si="31"/>
        <v>1.7664215575894596E-2</v>
      </c>
      <c r="AE92" s="116">
        <f t="shared" si="31"/>
        <v>1.9535229665866752E-2</v>
      </c>
      <c r="AF92" s="116">
        <f t="shared" si="31"/>
        <v>2.1502558279875256E-2</v>
      </c>
      <c r="AG92" s="116">
        <f t="shared" si="31"/>
        <v>2.356939324252123E-2</v>
      </c>
      <c r="AH92" s="116">
        <f t="shared" si="31"/>
        <v>2.5544871115933152E-2</v>
      </c>
      <c r="AI92" s="116">
        <f t="shared" si="31"/>
        <v>2.7699176681673661E-2</v>
      </c>
      <c r="AJ92" s="116">
        <f t="shared" si="31"/>
        <v>2.9990730813661187E-2</v>
      </c>
      <c r="AK92" s="116">
        <f t="shared" si="31"/>
        <v>3.2397057124165227E-2</v>
      </c>
      <c r="AL92" s="116">
        <f t="shared" si="31"/>
        <v>3.4906438218308369E-2</v>
      </c>
      <c r="AM92" s="116">
        <f t="shared" si="31"/>
        <v>3.7512446866153279E-2</v>
      </c>
    </row>
    <row r="93" spans="2:39" x14ac:dyDescent="0.25">
      <c r="B93" s="230"/>
      <c r="C93" s="35" t="s">
        <v>28</v>
      </c>
      <c r="D93" s="54" t="s">
        <v>444</v>
      </c>
      <c r="E93" s="111">
        <f t="shared" si="31"/>
        <v>5.1448795922808401E-7</v>
      </c>
      <c r="F93" s="111">
        <f t="shared" si="31"/>
        <v>2.9695893012371772E-5</v>
      </c>
      <c r="G93" s="111">
        <f t="shared" si="31"/>
        <v>6.4009791845996992E-5</v>
      </c>
      <c r="H93" s="111">
        <f t="shared" si="31"/>
        <v>8.4376480035441105E-5</v>
      </c>
      <c r="I93" s="111">
        <f t="shared" si="31"/>
        <v>1.1372973991853373E-4</v>
      </c>
      <c r="J93" s="110">
        <f t="shared" si="31"/>
        <v>1.5387576448601804E-4</v>
      </c>
      <c r="K93" s="68">
        <f t="shared" si="31"/>
        <v>2.3884746920793052E-4</v>
      </c>
      <c r="L93" s="68">
        <f t="shared" si="31"/>
        <v>3.67075763215909E-4</v>
      </c>
      <c r="M93" s="68">
        <f t="shared" si="31"/>
        <v>5.3611499630702893E-4</v>
      </c>
      <c r="N93" s="111">
        <f t="shared" si="31"/>
        <v>6.9236445960031158E-4</v>
      </c>
      <c r="O93" s="110">
        <f t="shared" si="31"/>
        <v>9.3455233342596767E-4</v>
      </c>
      <c r="P93" s="68">
        <f t="shared" si="31"/>
        <v>1.2510164764591139E-3</v>
      </c>
      <c r="Q93" s="68">
        <f t="shared" si="31"/>
        <v>1.6382340852194096E-3</v>
      </c>
      <c r="R93" s="68">
        <f t="shared" si="31"/>
        <v>2.0948623793090836E-3</v>
      </c>
      <c r="S93" s="111">
        <f t="shared" si="31"/>
        <v>2.5264343024011728E-3</v>
      </c>
      <c r="T93" s="111">
        <f t="shared" si="31"/>
        <v>3.0909839355587184E-3</v>
      </c>
      <c r="U93" s="111">
        <f t="shared" si="31"/>
        <v>3.7318679553944652E-3</v>
      </c>
      <c r="V93" s="111">
        <f t="shared" si="31"/>
        <v>4.4414964418064452E-3</v>
      </c>
      <c r="W93" s="111">
        <f t="shared" si="31"/>
        <v>5.2154592547781183E-3</v>
      </c>
      <c r="X93" s="116">
        <f t="shared" si="31"/>
        <v>5.9375319467126226E-3</v>
      </c>
      <c r="Y93" s="116">
        <f t="shared" si="31"/>
        <v>6.782371586353312E-3</v>
      </c>
      <c r="Z93" s="116">
        <f t="shared" si="31"/>
        <v>7.7126646465267429E-3</v>
      </c>
      <c r="AA93" s="116">
        <f t="shared" si="31"/>
        <v>8.7047678808942607E-3</v>
      </c>
      <c r="AB93" s="116">
        <f t="shared" si="31"/>
        <v>9.7473949908580861E-3</v>
      </c>
      <c r="AC93" s="116">
        <f t="shared" si="31"/>
        <v>1.0833240545119813E-2</v>
      </c>
      <c r="AD93" s="116">
        <f t="shared" si="31"/>
        <v>1.1935756651970232E-2</v>
      </c>
      <c r="AE93" s="116">
        <f t="shared" si="31"/>
        <v>1.3069655456754498E-2</v>
      </c>
      <c r="AF93" s="116">
        <f t="shared" si="31"/>
        <v>1.4240546097159244E-2</v>
      </c>
      <c r="AG93" s="116">
        <f t="shared" si="31"/>
        <v>1.5448366399774951E-2</v>
      </c>
      <c r="AH93" s="116">
        <f t="shared" si="31"/>
        <v>1.6574725150067832E-2</v>
      </c>
      <c r="AI93" s="116">
        <f t="shared" si="31"/>
        <v>1.7785331088573084E-2</v>
      </c>
      <c r="AJ93" s="116">
        <f t="shared" si="31"/>
        <v>1.9049929811094213E-2</v>
      </c>
      <c r="AK93" s="116">
        <f t="shared" si="31"/>
        <v>2.035190288216859E-2</v>
      </c>
      <c r="AL93" s="116">
        <f t="shared" si="31"/>
        <v>2.1682063228463899E-2</v>
      </c>
      <c r="AM93" s="116">
        <f t="shared" si="31"/>
        <v>2.303454249164202E-2</v>
      </c>
    </row>
    <row r="94" spans="2:39" x14ac:dyDescent="0.25">
      <c r="B94" s="230"/>
      <c r="C94" s="35" t="s">
        <v>29</v>
      </c>
      <c r="D94" s="54" t="s">
        <v>445</v>
      </c>
      <c r="E94" s="111">
        <f t="shared" si="31"/>
        <v>2.1062929920576682E-6</v>
      </c>
      <c r="F94" s="111">
        <f t="shared" si="31"/>
        <v>7.9286075392629774E-5</v>
      </c>
      <c r="G94" s="111">
        <f t="shared" si="31"/>
        <v>1.8222634799769692E-4</v>
      </c>
      <c r="H94" s="111">
        <f t="shared" si="31"/>
        <v>2.3928478554717406E-4</v>
      </c>
      <c r="I94" s="111">
        <f t="shared" si="31"/>
        <v>3.1130609550064121E-4</v>
      </c>
      <c r="J94" s="110">
        <f t="shared" si="31"/>
        <v>3.9801415430716056E-4</v>
      </c>
      <c r="K94" s="68">
        <f t="shared" si="31"/>
        <v>5.2163731772082288E-4</v>
      </c>
      <c r="L94" s="68">
        <f t="shared" si="31"/>
        <v>6.778361307683275E-4</v>
      </c>
      <c r="M94" s="68">
        <f t="shared" si="31"/>
        <v>8.7757657614449867E-4</v>
      </c>
      <c r="N94" s="111">
        <f t="shared" si="31"/>
        <v>1.045449737190106E-3</v>
      </c>
      <c r="O94" s="110">
        <f t="shared" si="31"/>
        <v>1.312330808926814E-3</v>
      </c>
      <c r="P94" s="68">
        <f t="shared" si="31"/>
        <v>1.6520811683352508E-3</v>
      </c>
      <c r="Q94" s="68">
        <f t="shared" si="31"/>
        <v>2.0525435310428234E-3</v>
      </c>
      <c r="R94" s="68">
        <f t="shared" si="31"/>
        <v>2.5064309723973255E-3</v>
      </c>
      <c r="S94" s="111">
        <f t="shared" si="31"/>
        <v>2.9055902386048889E-3</v>
      </c>
      <c r="T94" s="111">
        <f t="shared" si="31"/>
        <v>3.4243548047653578E-3</v>
      </c>
      <c r="U94" s="111">
        <f t="shared" si="31"/>
        <v>3.9908860299234464E-3</v>
      </c>
      <c r="V94" s="111">
        <f t="shared" si="31"/>
        <v>4.5938722063443727E-3</v>
      </c>
      <c r="W94" s="111">
        <f t="shared" si="31"/>
        <v>5.2244005583844347E-3</v>
      </c>
      <c r="X94" s="116">
        <f t="shared" si="31"/>
        <v>5.7747177996946017E-3</v>
      </c>
      <c r="Y94" s="116">
        <f t="shared" si="31"/>
        <v>6.4047917500203539E-3</v>
      </c>
      <c r="Z94" s="116">
        <f t="shared" si="31"/>
        <v>7.0715048398108174E-3</v>
      </c>
      <c r="AA94" s="116">
        <f t="shared" si="31"/>
        <v>7.7498372657763669E-3</v>
      </c>
      <c r="AB94" s="116">
        <f t="shared" si="31"/>
        <v>8.4281109557475756E-3</v>
      </c>
      <c r="AC94" s="116">
        <f t="shared" si="31"/>
        <v>9.099027253560198E-3</v>
      </c>
      <c r="AD94" s="116">
        <f t="shared" si="31"/>
        <v>9.7324312207724417E-3</v>
      </c>
      <c r="AE94" s="116">
        <f t="shared" si="31"/>
        <v>1.0339086134560383E-2</v>
      </c>
      <c r="AF94" s="116">
        <f t="shared" si="31"/>
        <v>1.0921217053797011E-2</v>
      </c>
      <c r="AG94" s="116">
        <f t="shared" si="31"/>
        <v>1.1476900260153692E-2</v>
      </c>
      <c r="AH94" s="116">
        <f t="shared" si="31"/>
        <v>1.1940332713920828E-2</v>
      </c>
      <c r="AI94" s="116">
        <f t="shared" si="31"/>
        <v>1.2405231442884987E-2</v>
      </c>
      <c r="AJ94" s="116">
        <f t="shared" si="31"/>
        <v>1.2848230861568577E-2</v>
      </c>
      <c r="AK94" s="116">
        <f t="shared" si="31"/>
        <v>1.3257527522194123E-2</v>
      </c>
      <c r="AL94" s="116">
        <f t="shared" si="31"/>
        <v>1.3627098157799706E-2</v>
      </c>
      <c r="AM94" s="116">
        <f t="shared" si="31"/>
        <v>1.3953009245244084E-2</v>
      </c>
    </row>
    <row r="95" spans="2:39" x14ac:dyDescent="0.25">
      <c r="B95" s="230"/>
      <c r="C95" s="35" t="s">
        <v>30</v>
      </c>
      <c r="D95" s="54" t="s">
        <v>446</v>
      </c>
      <c r="E95" s="111">
        <f t="shared" si="31"/>
        <v>4.9480620659729355E-5</v>
      </c>
      <c r="F95" s="111">
        <f t="shared" si="31"/>
        <v>1.7530950813462935E-3</v>
      </c>
      <c r="G95" s="111">
        <f t="shared" si="31"/>
        <v>4.0733651968698137E-3</v>
      </c>
      <c r="H95" s="111">
        <f t="shared" si="31"/>
        <v>5.3447339697582147E-3</v>
      </c>
      <c r="I95" s="111">
        <f t="shared" si="31"/>
        <v>6.9125793955450692E-3</v>
      </c>
      <c r="J95" s="110">
        <f t="shared" si="31"/>
        <v>8.7533486766616393E-3</v>
      </c>
      <c r="K95" s="68">
        <f t="shared" si="31"/>
        <v>1.1140212253837116E-2</v>
      </c>
      <c r="L95" s="68">
        <f t="shared" si="31"/>
        <v>1.4017222666182124E-2</v>
      </c>
      <c r="M95" s="68">
        <f t="shared" si="31"/>
        <v>1.7672150489314531E-2</v>
      </c>
      <c r="N95" s="111">
        <f t="shared" si="31"/>
        <v>2.0675403692790421E-2</v>
      </c>
      <c r="O95" s="110">
        <f t="shared" si="31"/>
        <v>2.548617533971511E-2</v>
      </c>
      <c r="P95" s="68">
        <f t="shared" si="31"/>
        <v>3.1579522298401691E-2</v>
      </c>
      <c r="Q95" s="68">
        <f t="shared" si="31"/>
        <v>3.8708467785536903E-2</v>
      </c>
      <c r="R95" s="68">
        <f t="shared" si="31"/>
        <v>4.6728357514582833E-2</v>
      </c>
      <c r="S95" s="111">
        <f t="shared" si="31"/>
        <v>5.3692061493223885E-2</v>
      </c>
      <c r="T95" s="111">
        <f t="shared" si="31"/>
        <v>6.2740884113130849E-2</v>
      </c>
      <c r="U95" s="111">
        <f t="shared" si="31"/>
        <v>7.2571376934124104E-2</v>
      </c>
      <c r="V95" s="111">
        <f t="shared" si="31"/>
        <v>8.2987505635779626E-2</v>
      </c>
      <c r="W95" s="111">
        <f t="shared" si="31"/>
        <v>9.3837999361155458E-2</v>
      </c>
      <c r="X95" s="116">
        <f t="shared" si="31"/>
        <v>0.10326844785547044</v>
      </c>
      <c r="Y95" s="116">
        <f t="shared" si="31"/>
        <v>0.11406546584941341</v>
      </c>
      <c r="Z95" s="116">
        <f t="shared" si="31"/>
        <v>0.12549091122533765</v>
      </c>
      <c r="AA95" s="116">
        <f t="shared" si="31"/>
        <v>0.13713208120826045</v>
      </c>
      <c r="AB95" s="116">
        <f t="shared" si="31"/>
        <v>0.14881090455948212</v>
      </c>
      <c r="AC95" s="116">
        <f t="shared" si="31"/>
        <v>0.1604262182956519</v>
      </c>
      <c r="AD95" s="116">
        <f t="shared" si="31"/>
        <v>0.17151039610016547</v>
      </c>
      <c r="AE95" s="116">
        <f t="shared" si="31"/>
        <v>0.18228217270485181</v>
      </c>
      <c r="AF95" s="116">
        <f t="shared" si="31"/>
        <v>0.19281775634753517</v>
      </c>
      <c r="AG95" s="116">
        <f t="shared" si="31"/>
        <v>0.20312443469534824</v>
      </c>
      <c r="AH95" s="116">
        <f t="shared" si="31"/>
        <v>0.21208859282241752</v>
      </c>
      <c r="AI95" s="116">
        <f t="shared" si="31"/>
        <v>0.22136506117825616</v>
      </c>
      <c r="AJ95" s="116">
        <f t="shared" si="31"/>
        <v>0.23061412985778135</v>
      </c>
      <c r="AK95" s="116">
        <f t="shared" si="31"/>
        <v>0.23968017147008641</v>
      </c>
      <c r="AL95" s="116">
        <f t="shared" si="31"/>
        <v>0.24849888154477445</v>
      </c>
      <c r="AM95" s="116">
        <f t="shared" si="31"/>
        <v>0.25704059293972081</v>
      </c>
    </row>
    <row r="96" spans="2:39" x14ac:dyDescent="0.25">
      <c r="B96" s="230"/>
      <c r="C96" s="35" t="s">
        <v>31</v>
      </c>
      <c r="D96" s="54" t="s">
        <v>447</v>
      </c>
      <c r="E96" s="111">
        <f t="shared" si="31"/>
        <v>1.950220135801834E-5</v>
      </c>
      <c r="F96" s="111">
        <f t="shared" si="31"/>
        <v>6.8182290027377676E-4</v>
      </c>
      <c r="G96" s="111">
        <f t="shared" si="31"/>
        <v>1.5882323188963791E-3</v>
      </c>
      <c r="H96" s="111">
        <f t="shared" si="31"/>
        <v>2.0836543417055461E-3</v>
      </c>
      <c r="I96" s="111">
        <f t="shared" si="31"/>
        <v>2.6911857900162976E-3</v>
      </c>
      <c r="J96" s="110">
        <f t="shared" si="31"/>
        <v>3.399840238515129E-3</v>
      </c>
      <c r="K96" s="68">
        <f t="shared" si="31"/>
        <v>4.2911973785707087E-3</v>
      </c>
      <c r="L96" s="68">
        <f t="shared" si="31"/>
        <v>5.3432888389075023E-3</v>
      </c>
      <c r="M96" s="68">
        <f t="shared" si="31"/>
        <v>6.6743923466689335E-3</v>
      </c>
      <c r="N96" s="111">
        <f t="shared" si="31"/>
        <v>7.7528013260702265E-3</v>
      </c>
      <c r="O96" s="110">
        <f t="shared" si="31"/>
        <v>9.4873105621127562E-3</v>
      </c>
      <c r="P96" s="68">
        <f t="shared" si="31"/>
        <v>1.1675540478821713E-2</v>
      </c>
      <c r="Q96" s="68">
        <f t="shared" si="31"/>
        <v>1.4220477332874116E-2</v>
      </c>
      <c r="R96" s="68">
        <f t="shared" si="31"/>
        <v>1.7064602959253734E-2</v>
      </c>
      <c r="S96" s="111">
        <f t="shared" si="31"/>
        <v>1.9502630967739597E-2</v>
      </c>
      <c r="T96" s="111">
        <f t="shared" si="31"/>
        <v>2.2667193502688605E-2</v>
      </c>
      <c r="U96" s="111">
        <f t="shared" si="31"/>
        <v>2.6080205217510134E-2</v>
      </c>
      <c r="V96" s="111">
        <f t="shared" si="31"/>
        <v>2.9668876891740838E-2</v>
      </c>
      <c r="W96" s="111">
        <f t="shared" si="31"/>
        <v>3.3375729196454547E-2</v>
      </c>
      <c r="X96" s="116">
        <f t="shared" si="31"/>
        <v>3.6552712999042267E-2</v>
      </c>
      <c r="Y96" s="116">
        <f t="shared" si="31"/>
        <v>4.0173616517366319E-2</v>
      </c>
      <c r="Z96" s="116">
        <f t="shared" si="31"/>
        <v>4.397241971785748E-2</v>
      </c>
      <c r="AA96" s="116">
        <f t="shared" si="31"/>
        <v>4.7802954168685893E-2</v>
      </c>
      <c r="AB96" s="116">
        <f t="shared" si="31"/>
        <v>5.1603210789988196E-2</v>
      </c>
      <c r="AC96" s="116">
        <f t="shared" si="31"/>
        <v>5.5338856905291813E-2</v>
      </c>
      <c r="AD96" s="116">
        <f t="shared" si="31"/>
        <v>5.8844345206458724E-2</v>
      </c>
      <c r="AE96" s="116">
        <f t="shared" si="31"/>
        <v>6.2195530288254988E-2</v>
      </c>
      <c r="AF96" s="116">
        <f t="shared" si="31"/>
        <v>6.5418703994671867E-2</v>
      </c>
      <c r="AG96" s="116">
        <f t="shared" si="31"/>
        <v>6.8517380469396733E-2</v>
      </c>
      <c r="AH96" s="116">
        <f t="shared" si="31"/>
        <v>7.1146941577622413E-2</v>
      </c>
      <c r="AI96" s="116">
        <f t="shared" si="31"/>
        <v>7.382991549825707E-2</v>
      </c>
      <c r="AJ96" s="116">
        <f t="shared" si="31"/>
        <v>7.6456628659633069E-2</v>
      </c>
      <c r="AK96" s="116">
        <f t="shared" si="31"/>
        <v>7.897974875299936E-2</v>
      </c>
      <c r="AL96" s="116">
        <f t="shared" si="31"/>
        <v>8.1382259278287128E-2</v>
      </c>
      <c r="AM96" s="116">
        <f t="shared" si="31"/>
        <v>8.3658222135003901E-2</v>
      </c>
    </row>
    <row r="97" spans="2:40" x14ac:dyDescent="0.25">
      <c r="B97" s="230"/>
      <c r="C97" s="35" t="s">
        <v>32</v>
      </c>
      <c r="D97" s="54" t="s">
        <v>448</v>
      </c>
      <c r="E97" s="111">
        <f t="shared" si="31"/>
        <v>2.6587632861321598E-7</v>
      </c>
      <c r="F97" s="111">
        <f t="shared" si="31"/>
        <v>2.9211882423990893E-6</v>
      </c>
      <c r="G97" s="111">
        <f t="shared" si="31"/>
        <v>7.1050872222923369E-6</v>
      </c>
      <c r="H97" s="111">
        <f t="shared" si="31"/>
        <v>8.9872444840942673E-6</v>
      </c>
      <c r="I97" s="111">
        <f t="shared" si="31"/>
        <v>1.132574264424901E-5</v>
      </c>
      <c r="J97" s="110">
        <f t="shared" si="31"/>
        <v>1.4086444953757061E-5</v>
      </c>
      <c r="K97" s="68">
        <f t="shared" si="31"/>
        <v>1.7685792981167347E-5</v>
      </c>
      <c r="L97" s="68">
        <f t="shared" si="31"/>
        <v>2.2044811822729542E-5</v>
      </c>
      <c r="M97" s="68">
        <f t="shared" si="31"/>
        <v>2.7596931152633655E-5</v>
      </c>
      <c r="N97" s="111">
        <f t="shared" si="31"/>
        <v>3.2174148036738277E-5</v>
      </c>
      <c r="O97" s="110">
        <f t="shared" si="31"/>
        <v>3.9511362736541401E-5</v>
      </c>
      <c r="P97" s="68">
        <f t="shared" si="31"/>
        <v>4.8817901941813368E-5</v>
      </c>
      <c r="Q97" s="68">
        <f t="shared" si="31"/>
        <v>5.9722493250491621E-5</v>
      </c>
      <c r="R97" s="68">
        <f t="shared" si="31"/>
        <v>7.2008166222301188E-5</v>
      </c>
      <c r="S97" s="111">
        <f t="shared" si="31"/>
        <v>8.2701605663523572E-5</v>
      </c>
      <c r="T97" s="111">
        <f t="shared" si="31"/>
        <v>9.6604300372871201E-5</v>
      </c>
      <c r="U97" s="111">
        <f t="shared" si="31"/>
        <v>1.117306301755663E-4</v>
      </c>
      <c r="V97" s="111">
        <f t="shared" si="31"/>
        <v>1.2778350112281671E-4</v>
      </c>
      <c r="W97" s="111">
        <f t="shared" si="31"/>
        <v>1.445352154237733E-4</v>
      </c>
      <c r="X97" s="116">
        <f t="shared" si="31"/>
        <v>1.5913685741909792E-4</v>
      </c>
      <c r="Y97" s="116">
        <f t="shared" si="31"/>
        <v>1.7587269752410143E-4</v>
      </c>
      <c r="Z97" s="116">
        <f t="shared" si="31"/>
        <v>1.9361736465091671E-4</v>
      </c>
      <c r="AA97" s="116">
        <f t="shared" si="31"/>
        <v>2.1174073507535465E-4</v>
      </c>
      <c r="AB97" s="116">
        <f t="shared" si="31"/>
        <v>2.2997153804125235E-4</v>
      </c>
      <c r="AC97" s="116">
        <f t="shared" si="31"/>
        <v>2.4815605166604636E-4</v>
      </c>
      <c r="AD97" s="116">
        <f t="shared" si="31"/>
        <v>2.6558375729339868E-4</v>
      </c>
      <c r="AE97" s="116">
        <f t="shared" si="31"/>
        <v>2.8259524077496785E-4</v>
      </c>
      <c r="AF97" s="116">
        <f t="shared" si="31"/>
        <v>2.993123804680383E-4</v>
      </c>
      <c r="AG97" s="116">
        <f t="shared" si="31"/>
        <v>3.1575012749956018E-4</v>
      </c>
      <c r="AH97" s="116">
        <f t="shared" si="31"/>
        <v>3.3015399996621971E-4</v>
      </c>
      <c r="AI97" s="116">
        <f t="shared" si="31"/>
        <v>3.4512873823125368E-4</v>
      </c>
      <c r="AJ97" s="116">
        <f t="shared" si="31"/>
        <v>3.6015042136631911E-4</v>
      </c>
      <c r="AK97" s="116">
        <f t="shared" si="31"/>
        <v>3.749782577877589E-4</v>
      </c>
      <c r="AL97" s="116">
        <f t="shared" si="31"/>
        <v>3.895124289144175E-4</v>
      </c>
      <c r="AM97" s="116">
        <f t="shared" si="31"/>
        <v>4.0370718925566263E-4</v>
      </c>
    </row>
    <row r="98" spans="2:40" x14ac:dyDescent="0.25">
      <c r="B98" s="230"/>
      <c r="C98" s="35" t="s">
        <v>33</v>
      </c>
      <c r="D98" s="54" t="s">
        <v>449</v>
      </c>
      <c r="E98" s="111">
        <f t="shared" si="31"/>
        <v>3.2664806093016185E-6</v>
      </c>
      <c r="F98" s="111">
        <f t="shared" si="31"/>
        <v>1.0487386168635265E-4</v>
      </c>
      <c r="G98" s="111">
        <f t="shared" si="31"/>
        <v>2.4832828106708212E-4</v>
      </c>
      <c r="H98" s="111">
        <f t="shared" si="31"/>
        <v>3.2541238466299327E-4</v>
      </c>
      <c r="I98" s="111">
        <f t="shared" si="31"/>
        <v>4.1661056266591802E-4</v>
      </c>
      <c r="J98" s="110">
        <f t="shared" si="31"/>
        <v>5.186667702803421E-4</v>
      </c>
      <c r="K98" s="68">
        <f t="shared" si="31"/>
        <v>6.2453174545664758E-4</v>
      </c>
      <c r="L98" s="68">
        <f t="shared" si="31"/>
        <v>7.3433643977348091E-4</v>
      </c>
      <c r="M98" s="68">
        <f t="shared" si="31"/>
        <v>8.7029519172853874E-4</v>
      </c>
      <c r="N98" s="111">
        <f t="shared" si="31"/>
        <v>9.7180199940169443E-4</v>
      </c>
      <c r="O98" s="110">
        <f t="shared" ref="O98:AM106" si="32">O56/O$48</f>
        <v>1.1396626655244342E-3</v>
      </c>
      <c r="P98" s="68">
        <f t="shared" si="32"/>
        <v>1.3471524245784201E-3</v>
      </c>
      <c r="Q98" s="68">
        <f t="shared" si="32"/>
        <v>1.5809303698616796E-3</v>
      </c>
      <c r="R98" s="68">
        <f t="shared" si="32"/>
        <v>1.8331850660122243E-3</v>
      </c>
      <c r="S98" s="111">
        <f t="shared" si="32"/>
        <v>2.0349585247150565E-3</v>
      </c>
      <c r="T98" s="111">
        <f t="shared" si="32"/>
        <v>2.2959376184214044E-3</v>
      </c>
      <c r="U98" s="111">
        <f t="shared" si="32"/>
        <v>2.5671345742908449E-3</v>
      </c>
      <c r="V98" s="111">
        <f t="shared" si="32"/>
        <v>2.8414437264516709E-3</v>
      </c>
      <c r="W98" s="111">
        <f t="shared" si="32"/>
        <v>3.1130692993959195E-3</v>
      </c>
      <c r="X98" s="116">
        <f t="shared" si="32"/>
        <v>3.3301030051067675E-3</v>
      </c>
      <c r="Y98" s="116">
        <f t="shared" si="32"/>
        <v>3.5724806379773427E-3</v>
      </c>
      <c r="Z98" s="116">
        <f t="shared" si="32"/>
        <v>3.8166379890297608E-3</v>
      </c>
      <c r="AA98" s="116">
        <f t="shared" si="32"/>
        <v>4.0511334111171379E-3</v>
      </c>
      <c r="AB98" s="116">
        <f t="shared" si="32"/>
        <v>4.2721003542380816E-3</v>
      </c>
      <c r="AC98" s="116">
        <f t="shared" si="32"/>
        <v>4.4781178833810551E-3</v>
      </c>
      <c r="AD98" s="116">
        <f t="shared" si="32"/>
        <v>4.657299920567709E-3</v>
      </c>
      <c r="AE98" s="116">
        <f t="shared" si="32"/>
        <v>4.8166588139234466E-3</v>
      </c>
      <c r="AF98" s="116">
        <f t="shared" si="32"/>
        <v>4.9593340426132585E-3</v>
      </c>
      <c r="AG98" s="116">
        <f t="shared" si="32"/>
        <v>5.0869563902750398E-3</v>
      </c>
      <c r="AH98" s="116">
        <f t="shared" si="32"/>
        <v>5.1848101704697431E-3</v>
      </c>
      <c r="AI98" s="116">
        <f t="shared" si="32"/>
        <v>5.27971384032439E-3</v>
      </c>
      <c r="AJ98" s="116">
        <f t="shared" si="32"/>
        <v>5.3667587948078447E-3</v>
      </c>
      <c r="AK98" s="116">
        <f t="shared" si="32"/>
        <v>5.4447757702585737E-3</v>
      </c>
      <c r="AL98" s="116">
        <f t="shared" si="32"/>
        <v>5.5141712048789341E-3</v>
      </c>
      <c r="AM98" s="116">
        <f t="shared" si="32"/>
        <v>5.5757711966046061E-3</v>
      </c>
    </row>
    <row r="99" spans="2:40" x14ac:dyDescent="0.25">
      <c r="B99" s="230"/>
      <c r="C99" s="64" t="s">
        <v>46</v>
      </c>
      <c r="D99" s="52" t="s">
        <v>424</v>
      </c>
      <c r="E99" s="128">
        <f t="shared" ref="E99:AM106" si="33">E57/E$48</f>
        <v>0.9999246395525615</v>
      </c>
      <c r="F99" s="128">
        <f t="shared" si="33"/>
        <v>0.99732348507774371</v>
      </c>
      <c r="G99" s="128">
        <f t="shared" si="33"/>
        <v>0.99378643418909995</v>
      </c>
      <c r="H99" s="128">
        <f t="shared" si="33"/>
        <v>0.99184700818050187</v>
      </c>
      <c r="I99" s="128">
        <f t="shared" si="33"/>
        <v>0.98945038762075244</v>
      </c>
      <c r="J99" s="127">
        <f t="shared" si="33"/>
        <v>0.98662984696964873</v>
      </c>
      <c r="K99" s="71">
        <f t="shared" si="33"/>
        <v>0.98293164620510953</v>
      </c>
      <c r="L99" s="71">
        <f t="shared" si="33"/>
        <v>0.97843951534955298</v>
      </c>
      <c r="M99" s="71">
        <f t="shared" si="33"/>
        <v>0.97272393769612198</v>
      </c>
      <c r="N99" s="128">
        <f t="shared" si="33"/>
        <v>0.96800268061291173</v>
      </c>
      <c r="O99" s="127">
        <f t="shared" si="33"/>
        <v>0.96045105412411091</v>
      </c>
      <c r="P99" s="71">
        <f t="shared" si="33"/>
        <v>0.95087172035459466</v>
      </c>
      <c r="Q99" s="71">
        <f t="shared" si="33"/>
        <v>0.93963912540553385</v>
      </c>
      <c r="R99" s="71">
        <f t="shared" si="33"/>
        <v>0.92697111313187319</v>
      </c>
      <c r="S99" s="128">
        <f t="shared" si="33"/>
        <v>0.91591788517910599</v>
      </c>
      <c r="T99" s="128">
        <f t="shared" si="32"/>
        <v>0.90154866083185503</v>
      </c>
      <c r="U99" s="128">
        <f t="shared" si="32"/>
        <v>0.88589473404634311</v>
      </c>
      <c r="V99" s="128">
        <f t="shared" si="32"/>
        <v>0.86925933789413623</v>
      </c>
      <c r="W99" s="128">
        <f t="shared" si="32"/>
        <v>0.85187374526385817</v>
      </c>
      <c r="X99" s="120">
        <f t="shared" si="33"/>
        <v>0.83668174156083919</v>
      </c>
      <c r="Y99" s="120">
        <f t="shared" si="32"/>
        <v>0.81925716062884468</v>
      </c>
      <c r="Z99" s="120">
        <f t="shared" si="32"/>
        <v>0.8007561370533155</v>
      </c>
      <c r="AA99" s="120">
        <f t="shared" si="32"/>
        <v>0.78182867558556501</v>
      </c>
      <c r="AB99" s="120">
        <f t="shared" si="32"/>
        <v>0.76275597260838446</v>
      </c>
      <c r="AC99" s="120">
        <f t="shared" si="33"/>
        <v>0.74369846637322767</v>
      </c>
      <c r="AD99" s="120">
        <f t="shared" si="32"/>
        <v>0.7253899715033062</v>
      </c>
      <c r="AE99" s="120">
        <f t="shared" si="32"/>
        <v>0.70747907154408995</v>
      </c>
      <c r="AF99" s="120">
        <f t="shared" si="32"/>
        <v>0.68984057187167258</v>
      </c>
      <c r="AG99" s="120">
        <f t="shared" si="32"/>
        <v>0.67246081849654737</v>
      </c>
      <c r="AH99" s="120">
        <f t="shared" si="33"/>
        <v>0.65718957251431831</v>
      </c>
      <c r="AI99" s="120">
        <f t="shared" si="32"/>
        <v>0.64129044162510251</v>
      </c>
      <c r="AJ99" s="120">
        <f t="shared" si="32"/>
        <v>0.62531344079562445</v>
      </c>
      <c r="AK99" s="120">
        <f t="shared" si="32"/>
        <v>0.60951383821427352</v>
      </c>
      <c r="AL99" s="120">
        <f t="shared" si="32"/>
        <v>0.59399957587094854</v>
      </c>
      <c r="AM99" s="120">
        <f t="shared" si="33"/>
        <v>0.57882170774773289</v>
      </c>
      <c r="AN99" s="232"/>
    </row>
    <row r="100" spans="2:40" x14ac:dyDescent="0.25">
      <c r="B100" s="230"/>
      <c r="C100" s="35" t="s">
        <v>27</v>
      </c>
      <c r="D100" s="54" t="s">
        <v>450</v>
      </c>
      <c r="E100" s="130">
        <f t="shared" si="33"/>
        <v>5.806258421252752E-4</v>
      </c>
      <c r="F100" s="130">
        <f t="shared" si="33"/>
        <v>8.3803706438997129E-3</v>
      </c>
      <c r="G100" s="130">
        <f t="shared" si="33"/>
        <v>9.6382203196764063E-3</v>
      </c>
      <c r="H100" s="130">
        <f t="shared" si="33"/>
        <v>1.0370000260698573E-2</v>
      </c>
      <c r="I100" s="130">
        <f t="shared" si="33"/>
        <v>1.1690575521891714E-2</v>
      </c>
      <c r="J100" s="129">
        <f t="shared" si="33"/>
        <v>1.2773533630840932E-2</v>
      </c>
      <c r="K100" s="72">
        <f t="shared" si="33"/>
        <v>1.4662869970627721E-2</v>
      </c>
      <c r="L100" s="72">
        <f t="shared" si="33"/>
        <v>1.6817802241689498E-2</v>
      </c>
      <c r="M100" s="72">
        <f t="shared" si="33"/>
        <v>1.9039111149332637E-2</v>
      </c>
      <c r="N100" s="130">
        <f t="shared" si="33"/>
        <v>2.0634684401886365E-2</v>
      </c>
      <c r="O100" s="129">
        <f t="shared" si="33"/>
        <v>2.2549616408073524E-2</v>
      </c>
      <c r="P100" s="72">
        <f t="shared" si="33"/>
        <v>2.4526436999304048E-2</v>
      </c>
      <c r="Q100" s="72">
        <f t="shared" si="33"/>
        <v>2.6477978621605339E-2</v>
      </c>
      <c r="R100" s="72">
        <f t="shared" si="33"/>
        <v>2.8361433604035948E-2</v>
      </c>
      <c r="S100" s="130">
        <f t="shared" si="33"/>
        <v>2.9844011388120591E-2</v>
      </c>
      <c r="T100" s="130">
        <f t="shared" si="32"/>
        <v>3.1437602135227387E-2</v>
      </c>
      <c r="U100" s="130">
        <f t="shared" si="32"/>
        <v>3.2959817289994121E-2</v>
      </c>
      <c r="V100" s="130">
        <f t="shared" si="32"/>
        <v>3.4402158472096676E-2</v>
      </c>
      <c r="W100" s="130">
        <f t="shared" si="32"/>
        <v>3.5746003288503247E-2</v>
      </c>
      <c r="X100" s="121">
        <f t="shared" si="33"/>
        <v>3.6874293874122742E-2</v>
      </c>
      <c r="Y100" s="121">
        <f t="shared" si="32"/>
        <v>3.8018839189024933E-2</v>
      </c>
      <c r="Z100" s="121">
        <f t="shared" si="32"/>
        <v>3.9120285826045237E-2</v>
      </c>
      <c r="AA100" s="121">
        <f t="shared" si="32"/>
        <v>4.017001499498097E-2</v>
      </c>
      <c r="AB100" s="121">
        <f t="shared" si="32"/>
        <v>4.1162778662310141E-2</v>
      </c>
      <c r="AC100" s="121">
        <f t="shared" si="33"/>
        <v>4.2096393408039098E-2</v>
      </c>
      <c r="AD100" s="121">
        <f t="shared" si="32"/>
        <v>4.2983965294496974E-2</v>
      </c>
      <c r="AE100" s="121">
        <f t="shared" si="32"/>
        <v>4.3843304527554319E-2</v>
      </c>
      <c r="AF100" s="121">
        <f t="shared" si="32"/>
        <v>4.4681105135496342E-2</v>
      </c>
      <c r="AG100" s="121">
        <f t="shared" si="32"/>
        <v>4.5504263573207936E-2</v>
      </c>
      <c r="AH100" s="121">
        <f t="shared" si="33"/>
        <v>4.6256305849083516E-2</v>
      </c>
      <c r="AI100" s="121">
        <f t="shared" si="32"/>
        <v>4.7030794477501893E-2</v>
      </c>
      <c r="AJ100" s="121">
        <f t="shared" si="32"/>
        <v>4.7817742820560047E-2</v>
      </c>
      <c r="AK100" s="121">
        <f t="shared" si="32"/>
        <v>4.8615135758302938E-2</v>
      </c>
      <c r="AL100" s="121">
        <f t="shared" si="32"/>
        <v>4.9419805974637028E-2</v>
      </c>
      <c r="AM100" s="121">
        <f t="shared" si="33"/>
        <v>5.0228988116976778E-2</v>
      </c>
    </row>
    <row r="101" spans="2:40" x14ac:dyDescent="0.25">
      <c r="B101" s="230"/>
      <c r="C101" s="35" t="s">
        <v>28</v>
      </c>
      <c r="D101" s="54" t="s">
        <v>451</v>
      </c>
      <c r="E101" s="130">
        <f t="shared" si="33"/>
        <v>5.070879699542305E-2</v>
      </c>
      <c r="F101" s="130">
        <f t="shared" si="33"/>
        <v>0.11351963606526844</v>
      </c>
      <c r="G101" s="130">
        <f t="shared" si="33"/>
        <v>0.12542747254524705</v>
      </c>
      <c r="H101" s="130">
        <f t="shared" si="33"/>
        <v>0.1290176475419092</v>
      </c>
      <c r="I101" s="130">
        <f t="shared" si="33"/>
        <v>0.13262055835242023</v>
      </c>
      <c r="J101" s="129">
        <f t="shared" si="33"/>
        <v>0.13553174624519371</v>
      </c>
      <c r="K101" s="72">
        <f t="shared" si="33"/>
        <v>0.13873577571142165</v>
      </c>
      <c r="L101" s="72">
        <f t="shared" si="33"/>
        <v>0.14169198003988662</v>
      </c>
      <c r="M101" s="72">
        <f t="shared" si="33"/>
        <v>0.14440435530449894</v>
      </c>
      <c r="N101" s="130">
        <f t="shared" si="33"/>
        <v>0.14603720232675532</v>
      </c>
      <c r="O101" s="129">
        <f t="shared" si="33"/>
        <v>0.14779473633753112</v>
      </c>
      <c r="P101" s="72">
        <f t="shared" si="33"/>
        <v>0.14926272567930099</v>
      </c>
      <c r="Q101" s="72">
        <f t="shared" si="33"/>
        <v>0.15032211873837037</v>
      </c>
      <c r="R101" s="72">
        <f t="shared" si="33"/>
        <v>0.1509447851843243</v>
      </c>
      <c r="S101" s="130">
        <f t="shared" si="33"/>
        <v>0.15112234137328875</v>
      </c>
      <c r="T101" s="130">
        <f t="shared" si="32"/>
        <v>0.15092059290966015</v>
      </c>
      <c r="U101" s="130">
        <f t="shared" si="32"/>
        <v>0.15035112438960579</v>
      </c>
      <c r="V101" s="130">
        <f t="shared" si="32"/>
        <v>0.1494507297836514</v>
      </c>
      <c r="W101" s="130">
        <f t="shared" si="32"/>
        <v>0.14825245023726299</v>
      </c>
      <c r="X101" s="121">
        <f t="shared" si="33"/>
        <v>0.14703914838605844</v>
      </c>
      <c r="Y101" s="121">
        <f t="shared" si="32"/>
        <v>0.14546117568306258</v>
      </c>
      <c r="Z101" s="121">
        <f t="shared" si="32"/>
        <v>0.14362542346731672</v>
      </c>
      <c r="AA101" s="121">
        <f t="shared" si="32"/>
        <v>0.14161323133899109</v>
      </c>
      <c r="AB101" s="121">
        <f t="shared" si="32"/>
        <v>0.13946826768675433</v>
      </c>
      <c r="AC101" s="121">
        <f t="shared" si="33"/>
        <v>0.13722086987127444</v>
      </c>
      <c r="AD101" s="121">
        <f t="shared" si="32"/>
        <v>0.13497824751439627</v>
      </c>
      <c r="AE101" s="121">
        <f t="shared" si="32"/>
        <v>0.13270932670146018</v>
      </c>
      <c r="AF101" s="121">
        <f t="shared" si="32"/>
        <v>0.13040639279981028</v>
      </c>
      <c r="AG101" s="121">
        <f t="shared" si="32"/>
        <v>0.12807545677428425</v>
      </c>
      <c r="AH101" s="121">
        <f t="shared" si="33"/>
        <v>0.12598269884463392</v>
      </c>
      <c r="AI101" s="121">
        <f t="shared" si="32"/>
        <v>0.12374799424147134</v>
      </c>
      <c r="AJ101" s="121">
        <f t="shared" si="32"/>
        <v>0.12145163008906257</v>
      </c>
      <c r="AK101" s="121">
        <f t="shared" si="32"/>
        <v>0.11913397707781816</v>
      </c>
      <c r="AL101" s="121">
        <f t="shared" si="32"/>
        <v>0.11681368129893754</v>
      </c>
      <c r="AM101" s="121">
        <f t="shared" si="33"/>
        <v>0.11450083604917821</v>
      </c>
    </row>
    <row r="102" spans="2:40" x14ac:dyDescent="0.25">
      <c r="B102" s="230"/>
      <c r="C102" s="35" t="s">
        <v>29</v>
      </c>
      <c r="D102" s="54" t="s">
        <v>452</v>
      </c>
      <c r="E102" s="130">
        <f t="shared" si="33"/>
        <v>0.1200243797595533</v>
      </c>
      <c r="F102" s="130">
        <f t="shared" si="33"/>
        <v>0.19538875737978387</v>
      </c>
      <c r="G102" s="130">
        <f t="shared" si="33"/>
        <v>0.20990225002784449</v>
      </c>
      <c r="H102" s="130">
        <f t="shared" si="33"/>
        <v>0.21412429770272287</v>
      </c>
      <c r="I102" s="130">
        <f t="shared" si="33"/>
        <v>0.2180331956616807</v>
      </c>
      <c r="J102" s="129">
        <f t="shared" si="33"/>
        <v>0.2212440467880889</v>
      </c>
      <c r="K102" s="72">
        <f t="shared" si="33"/>
        <v>0.22431672150623458</v>
      </c>
      <c r="L102" s="72">
        <f t="shared" si="33"/>
        <v>0.22684799574095316</v>
      </c>
      <c r="M102" s="72">
        <f t="shared" si="33"/>
        <v>0.22895554035955945</v>
      </c>
      <c r="N102" s="130">
        <f t="shared" si="33"/>
        <v>0.2300097458580245</v>
      </c>
      <c r="O102" s="129">
        <f t="shared" si="33"/>
        <v>0.23091987906339678</v>
      </c>
      <c r="P102" s="72">
        <f t="shared" si="33"/>
        <v>0.23132100877255141</v>
      </c>
      <c r="Q102" s="72">
        <f t="shared" si="33"/>
        <v>0.23111834917045243</v>
      </c>
      <c r="R102" s="72">
        <f t="shared" si="33"/>
        <v>0.23030831401692947</v>
      </c>
      <c r="S102" s="130">
        <f t="shared" si="33"/>
        <v>0.22920247143095676</v>
      </c>
      <c r="T102" s="130">
        <f t="shared" si="32"/>
        <v>0.22738498212908437</v>
      </c>
      <c r="U102" s="130">
        <f t="shared" si="32"/>
        <v>0.2250676395087976</v>
      </c>
      <c r="V102" s="130">
        <f t="shared" si="32"/>
        <v>0.22231654533672984</v>
      </c>
      <c r="W102" s="130">
        <f t="shared" si="32"/>
        <v>0.21919811353737514</v>
      </c>
      <c r="X102" s="121">
        <f t="shared" si="33"/>
        <v>0.21628455412788736</v>
      </c>
      <c r="Y102" s="121">
        <f t="shared" si="32"/>
        <v>0.21278323441243657</v>
      </c>
      <c r="Z102" s="121">
        <f t="shared" si="32"/>
        <v>0.20891909751430182</v>
      </c>
      <c r="AA102" s="121">
        <f t="shared" si="32"/>
        <v>0.2048328051641789</v>
      </c>
      <c r="AB102" s="121">
        <f t="shared" si="32"/>
        <v>0.20059785812225808</v>
      </c>
      <c r="AC102" s="121">
        <f t="shared" si="33"/>
        <v>0.19626333105055685</v>
      </c>
      <c r="AD102" s="121">
        <f t="shared" si="32"/>
        <v>0.19200098428531495</v>
      </c>
      <c r="AE102" s="121">
        <f t="shared" si="32"/>
        <v>0.18774464732948998</v>
      </c>
      <c r="AF102" s="121">
        <f t="shared" si="32"/>
        <v>0.18347561354316286</v>
      </c>
      <c r="AG102" s="121">
        <f t="shared" si="32"/>
        <v>0.17919784254367904</v>
      </c>
      <c r="AH102" s="121">
        <f t="shared" si="33"/>
        <v>0.17537223919727016</v>
      </c>
      <c r="AI102" s="121">
        <f t="shared" si="32"/>
        <v>0.1713352284074475</v>
      </c>
      <c r="AJ102" s="121">
        <f t="shared" si="32"/>
        <v>0.16722286209681894</v>
      </c>
      <c r="AK102" s="121">
        <f t="shared" si="32"/>
        <v>0.16310098988465258</v>
      </c>
      <c r="AL102" s="121">
        <f t="shared" si="32"/>
        <v>0.15900098321718897</v>
      </c>
      <c r="AM102" s="121">
        <f t="shared" si="33"/>
        <v>0.15494031332323774</v>
      </c>
    </row>
    <row r="103" spans="2:40" x14ac:dyDescent="0.25">
      <c r="B103" s="230"/>
      <c r="C103" s="35" t="s">
        <v>30</v>
      </c>
      <c r="D103" s="54" t="s">
        <v>453</v>
      </c>
      <c r="E103" s="130">
        <f t="shared" si="33"/>
        <v>0.16803384356708401</v>
      </c>
      <c r="F103" s="130">
        <f t="shared" si="33"/>
        <v>0.21813205973410488</v>
      </c>
      <c r="G103" s="130">
        <f t="shared" si="33"/>
        <v>0.22704823269963254</v>
      </c>
      <c r="H103" s="130">
        <f t="shared" si="33"/>
        <v>0.22952507479247475</v>
      </c>
      <c r="I103" s="130">
        <f t="shared" si="33"/>
        <v>0.2314888700622578</v>
      </c>
      <c r="J103" s="129">
        <f t="shared" si="33"/>
        <v>0.23336237842715846</v>
      </c>
      <c r="K103" s="72">
        <f t="shared" si="33"/>
        <v>0.23483381737677994</v>
      </c>
      <c r="L103" s="72">
        <f t="shared" si="33"/>
        <v>0.23575632444888892</v>
      </c>
      <c r="M103" s="72">
        <f t="shared" si="33"/>
        <v>0.23625221169770497</v>
      </c>
      <c r="N103" s="130">
        <f t="shared" si="33"/>
        <v>0.23621638494301334</v>
      </c>
      <c r="O103" s="129">
        <f t="shared" si="33"/>
        <v>0.23577269069157764</v>
      </c>
      <c r="P103" s="72">
        <f t="shared" si="33"/>
        <v>0.23478526162063371</v>
      </c>
      <c r="Q103" s="72">
        <f t="shared" si="33"/>
        <v>0.23323551946066226</v>
      </c>
      <c r="R103" s="72">
        <f t="shared" si="33"/>
        <v>0.23114927086672055</v>
      </c>
      <c r="S103" s="130">
        <f t="shared" si="33"/>
        <v>0.22907791821590559</v>
      </c>
      <c r="T103" s="130">
        <f t="shared" si="32"/>
        <v>0.22620514514839535</v>
      </c>
      <c r="U103" s="130">
        <f t="shared" si="32"/>
        <v>0.22289069324792893</v>
      </c>
      <c r="V103" s="130">
        <f t="shared" si="32"/>
        <v>0.21920789412128108</v>
      </c>
      <c r="W103" s="130">
        <f t="shared" si="32"/>
        <v>0.21522928687873358</v>
      </c>
      <c r="X103" s="121">
        <f t="shared" si="33"/>
        <v>0.2116281278495652</v>
      </c>
      <c r="Y103" s="121">
        <f t="shared" si="32"/>
        <v>0.20742558730333394</v>
      </c>
      <c r="Z103" s="121">
        <f t="shared" si="32"/>
        <v>0.20288976399894693</v>
      </c>
      <c r="AA103" s="121">
        <f t="shared" si="32"/>
        <v>0.19817454502940823</v>
      </c>
      <c r="AB103" s="121">
        <f t="shared" si="32"/>
        <v>0.19335667262424319</v>
      </c>
      <c r="AC103" s="121">
        <f t="shared" si="33"/>
        <v>0.18848519028887548</v>
      </c>
      <c r="AD103" s="121">
        <f t="shared" si="32"/>
        <v>0.1837386562697835</v>
      </c>
      <c r="AE103" s="121">
        <f t="shared" si="32"/>
        <v>0.17903764875576786</v>
      </c>
      <c r="AF103" s="121">
        <f t="shared" si="32"/>
        <v>0.17435774562929543</v>
      </c>
      <c r="AG103" s="121">
        <f t="shared" si="32"/>
        <v>0.16969929274569903</v>
      </c>
      <c r="AH103" s="121">
        <f t="shared" si="33"/>
        <v>0.16555324951208619</v>
      </c>
      <c r="AI103" s="121">
        <f t="shared" si="32"/>
        <v>0.16120645916801377</v>
      </c>
      <c r="AJ103" s="121">
        <f t="shared" si="32"/>
        <v>0.1568029439135592</v>
      </c>
      <c r="AK103" s="121">
        <f t="shared" si="32"/>
        <v>0.15241100210274569</v>
      </c>
      <c r="AL103" s="121">
        <f t="shared" si="32"/>
        <v>0.14806294296572134</v>
      </c>
      <c r="AM103" s="121">
        <f t="shared" si="33"/>
        <v>0.14377650630902866</v>
      </c>
    </row>
    <row r="104" spans="2:40" x14ac:dyDescent="0.25">
      <c r="B104" s="230"/>
      <c r="C104" s="35" t="s">
        <v>31</v>
      </c>
      <c r="D104" s="54" t="s">
        <v>454</v>
      </c>
      <c r="E104" s="130">
        <f t="shared" si="33"/>
        <v>0.4362143910050581</v>
      </c>
      <c r="F104" s="130">
        <f t="shared" si="33"/>
        <v>0.31359796651903288</v>
      </c>
      <c r="G104" s="130">
        <f t="shared" si="33"/>
        <v>0.28888233638522365</v>
      </c>
      <c r="H104" s="130">
        <f t="shared" si="33"/>
        <v>0.28092300852585639</v>
      </c>
      <c r="I104" s="130">
        <f t="shared" si="33"/>
        <v>0.27290607972703246</v>
      </c>
      <c r="J104" s="129">
        <f t="shared" si="33"/>
        <v>0.26628871385582631</v>
      </c>
      <c r="K104" s="72">
        <f t="shared" si="33"/>
        <v>0.25874154814330486</v>
      </c>
      <c r="L104" s="72">
        <f t="shared" si="33"/>
        <v>0.25125366002562854</v>
      </c>
      <c r="M104" s="72">
        <f t="shared" si="33"/>
        <v>0.24357125231244819</v>
      </c>
      <c r="N104" s="130">
        <f t="shared" si="33"/>
        <v>0.23829955480756598</v>
      </c>
      <c r="O104" s="129">
        <f t="shared" si="33"/>
        <v>0.23135916882438393</v>
      </c>
      <c r="P104" s="72">
        <f t="shared" si="33"/>
        <v>0.22388092123383571</v>
      </c>
      <c r="Q104" s="72">
        <f t="shared" si="33"/>
        <v>0.21626673824749892</v>
      </c>
      <c r="R104" s="72">
        <f t="shared" si="33"/>
        <v>0.2086772244282403</v>
      </c>
      <c r="S104" s="130">
        <f t="shared" si="33"/>
        <v>0.20269493902315122</v>
      </c>
      <c r="T104" s="130">
        <f t="shared" si="32"/>
        <v>0.19566711420662855</v>
      </c>
      <c r="U104" s="130">
        <f t="shared" si="32"/>
        <v>0.18861406048403956</v>
      </c>
      <c r="V104" s="130">
        <f t="shared" si="32"/>
        <v>0.18162827107661994</v>
      </c>
      <c r="W104" s="130">
        <f t="shared" si="32"/>
        <v>0.17476976131783534</v>
      </c>
      <c r="X104" s="121">
        <f t="shared" si="33"/>
        <v>0.16905862384727638</v>
      </c>
      <c r="Y104" s="121">
        <f t="shared" si="32"/>
        <v>0.16283013254192408</v>
      </c>
      <c r="Z104" s="121">
        <f t="shared" si="32"/>
        <v>0.15649410472302822</v>
      </c>
      <c r="AA104" s="121">
        <f t="shared" si="32"/>
        <v>0.15024373441887121</v>
      </c>
      <c r="AB104" s="121">
        <f t="shared" si="32"/>
        <v>0.14414761637102486</v>
      </c>
      <c r="AC104" s="121">
        <f t="shared" si="33"/>
        <v>0.13823521942021438</v>
      </c>
      <c r="AD104" s="121">
        <f t="shared" si="32"/>
        <v>0.13269285838100561</v>
      </c>
      <c r="AE104" s="121">
        <f t="shared" si="32"/>
        <v>0.12739349369628214</v>
      </c>
      <c r="AF104" s="121">
        <f t="shared" si="32"/>
        <v>0.1222856240960149</v>
      </c>
      <c r="AG104" s="121">
        <f t="shared" si="32"/>
        <v>0.11735147423723406</v>
      </c>
      <c r="AH104" s="121">
        <f t="shared" si="33"/>
        <v>0.11308528584405102</v>
      </c>
      <c r="AI104" s="121">
        <f t="shared" si="32"/>
        <v>0.10872726917606697</v>
      </c>
      <c r="AJ104" s="121">
        <f t="shared" si="32"/>
        <v>0.10442118208198675</v>
      </c>
      <c r="AK104" s="121">
        <f t="shared" si="32"/>
        <v>0.10022835408046853</v>
      </c>
      <c r="AL104" s="121">
        <f t="shared" si="32"/>
        <v>9.6171953956489822E-2</v>
      </c>
      <c r="AM104" s="121">
        <f t="shared" si="33"/>
        <v>9.2260555606371752E-2</v>
      </c>
    </row>
    <row r="105" spans="2:40" x14ac:dyDescent="0.25">
      <c r="B105" s="230"/>
      <c r="C105" s="35" t="s">
        <v>32</v>
      </c>
      <c r="D105" s="54" t="s">
        <v>455</v>
      </c>
      <c r="E105" s="130">
        <f t="shared" si="33"/>
        <v>0.15386468112104759</v>
      </c>
      <c r="F105" s="130">
        <f t="shared" si="33"/>
        <v>0.10623102631210667</v>
      </c>
      <c r="G105" s="130">
        <f t="shared" si="33"/>
        <v>9.6384770395332525E-2</v>
      </c>
      <c r="H105" s="130">
        <f t="shared" si="33"/>
        <v>9.3205258299480342E-2</v>
      </c>
      <c r="I105" s="130">
        <f t="shared" si="33"/>
        <v>8.9830791791335518E-2</v>
      </c>
      <c r="J105" s="129">
        <f t="shared" si="33"/>
        <v>8.6297549256344336E-2</v>
      </c>
      <c r="K105" s="72">
        <f t="shared" si="33"/>
        <v>8.2321025663370642E-2</v>
      </c>
      <c r="L105" s="72">
        <f t="shared" si="33"/>
        <v>7.8438523048626516E-2</v>
      </c>
      <c r="M105" s="72">
        <f t="shared" si="33"/>
        <v>7.4533550031736728E-2</v>
      </c>
      <c r="N105" s="130">
        <f t="shared" si="33"/>
        <v>7.1919234683378783E-2</v>
      </c>
      <c r="O105" s="129">
        <f t="shared" si="33"/>
        <v>6.8556619828257809E-2</v>
      </c>
      <c r="P105" s="72">
        <f t="shared" si="33"/>
        <v>6.5031118855878409E-2</v>
      </c>
      <c r="Q105" s="72">
        <f t="shared" si="33"/>
        <v>6.1546168258272083E-2</v>
      </c>
      <c r="R105" s="72">
        <f t="shared" si="33"/>
        <v>5.8178097560235419E-2</v>
      </c>
      <c r="S105" s="130">
        <f t="shared" si="33"/>
        <v>5.5608235545419965E-2</v>
      </c>
      <c r="T105" s="130">
        <f t="shared" si="32"/>
        <v>5.2676438198413382E-2</v>
      </c>
      <c r="U105" s="130">
        <f t="shared" si="32"/>
        <v>4.9820872651753834E-2</v>
      </c>
      <c r="V105" s="130">
        <f t="shared" si="32"/>
        <v>4.7073820509685893E-2</v>
      </c>
      <c r="W105" s="130">
        <f t="shared" si="32"/>
        <v>4.4450716416991942E-2</v>
      </c>
      <c r="X105" s="121">
        <f t="shared" si="33"/>
        <v>4.2327557921802969E-2</v>
      </c>
      <c r="Y105" s="121">
        <f t="shared" si="32"/>
        <v>4.0067908135960055E-2</v>
      </c>
      <c r="Z105" s="121">
        <f t="shared" si="32"/>
        <v>3.7823091159782878E-2</v>
      </c>
      <c r="AA105" s="121">
        <f t="shared" si="32"/>
        <v>3.5659416037325239E-2</v>
      </c>
      <c r="AB105" s="121">
        <f t="shared" si="32"/>
        <v>3.3595605241357879E-2</v>
      </c>
      <c r="AC105" s="121">
        <f t="shared" si="33"/>
        <v>3.1636164259936296E-2</v>
      </c>
      <c r="AD105" s="121">
        <f t="shared" si="32"/>
        <v>2.9838736239629824E-2</v>
      </c>
      <c r="AE105" s="121">
        <f t="shared" si="32"/>
        <v>2.8155491712587712E-2</v>
      </c>
      <c r="AF105" s="121">
        <f t="shared" si="32"/>
        <v>2.6565143543036143E-2</v>
      </c>
      <c r="AG105" s="121">
        <f t="shared" si="32"/>
        <v>2.5058448300141988E-2</v>
      </c>
      <c r="AH105" s="121">
        <f t="shared" si="33"/>
        <v>2.3781846923199696E-2</v>
      </c>
      <c r="AI105" s="121">
        <f t="shared" si="32"/>
        <v>2.2500251939491751E-2</v>
      </c>
      <c r="AJ105" s="121">
        <f t="shared" si="32"/>
        <v>2.1255909647420863E-2</v>
      </c>
      <c r="AK105" s="121">
        <f t="shared" si="32"/>
        <v>2.0065217825935032E-2</v>
      </c>
      <c r="AL105" s="121">
        <f t="shared" si="32"/>
        <v>1.8932686994490782E-2</v>
      </c>
      <c r="AM105" s="121">
        <f t="shared" si="33"/>
        <v>1.7858519313504344E-2</v>
      </c>
    </row>
    <row r="106" spans="2:40" x14ac:dyDescent="0.25">
      <c r="B106" s="230"/>
      <c r="C106" s="56" t="s">
        <v>33</v>
      </c>
      <c r="D106" s="66" t="s">
        <v>456</v>
      </c>
      <c r="E106" s="132">
        <f t="shared" si="33"/>
        <v>7.0497921241333764E-2</v>
      </c>
      <c r="F106" s="132">
        <f t="shared" si="33"/>
        <v>4.2073668559994649E-2</v>
      </c>
      <c r="G106" s="132">
        <f t="shared" si="33"/>
        <v>3.6503151720798495E-2</v>
      </c>
      <c r="H106" s="132">
        <f t="shared" si="33"/>
        <v>3.4681721041193207E-2</v>
      </c>
      <c r="I106" s="132">
        <f t="shared" si="33"/>
        <v>3.2880316546837034E-2</v>
      </c>
      <c r="J106" s="131">
        <f t="shared" si="33"/>
        <v>3.1131878906855787E-2</v>
      </c>
      <c r="K106" s="73">
        <f t="shared" si="33"/>
        <v>2.9319887886300307E-2</v>
      </c>
      <c r="L106" s="73">
        <f t="shared" si="33"/>
        <v>2.7633229703173331E-2</v>
      </c>
      <c r="M106" s="73">
        <f t="shared" si="33"/>
        <v>2.5967916893763165E-2</v>
      </c>
      <c r="N106" s="132">
        <f t="shared" si="33"/>
        <v>2.4885873638091093E-2</v>
      </c>
      <c r="O106" s="131">
        <f t="shared" si="33"/>
        <v>2.3498342903312115E-2</v>
      </c>
      <c r="P106" s="73">
        <f t="shared" si="33"/>
        <v>2.2064247268600339E-2</v>
      </c>
      <c r="Q106" s="73">
        <f t="shared" si="33"/>
        <v>2.0672252897934177E-2</v>
      </c>
      <c r="R106" s="73">
        <f t="shared" si="33"/>
        <v>1.9351987479397759E-2</v>
      </c>
      <c r="S106" s="132">
        <f t="shared" si="33"/>
        <v>1.8367968194184774E-2</v>
      </c>
      <c r="T106" s="132">
        <f t="shared" si="32"/>
        <v>1.7256786115197792E-2</v>
      </c>
      <c r="U106" s="132">
        <f t="shared" si="32"/>
        <v>1.6190526492979924E-2</v>
      </c>
      <c r="V106" s="132">
        <f t="shared" si="32"/>
        <v>1.5179918570047498E-2</v>
      </c>
      <c r="W106" s="132">
        <f t="shared" si="32"/>
        <v>1.4227413595130221E-2</v>
      </c>
      <c r="X106" s="122">
        <f t="shared" si="33"/>
        <v>1.3469435669101939E-2</v>
      </c>
      <c r="Y106" s="122">
        <f t="shared" si="32"/>
        <v>1.2670283357757677E-2</v>
      </c>
      <c r="Z106" s="122">
        <f t="shared" si="32"/>
        <v>1.1884370363893783E-2</v>
      </c>
      <c r="AA106" s="122">
        <f t="shared" si="32"/>
        <v>1.1134928516966991E-2</v>
      </c>
      <c r="AB106" s="122">
        <f t="shared" si="32"/>
        <v>1.0427173982213201E-2</v>
      </c>
      <c r="AC106" s="122">
        <f t="shared" si="33"/>
        <v>9.7612980166062787E-3</v>
      </c>
      <c r="AD106" s="122">
        <f t="shared" si="32"/>
        <v>9.1565236102424345E-3</v>
      </c>
      <c r="AE106" s="122">
        <f t="shared" si="32"/>
        <v>8.595158946281968E-3</v>
      </c>
      <c r="AF106" s="122">
        <f t="shared" si="32"/>
        <v>8.0689470622790187E-3</v>
      </c>
      <c r="AG106" s="122">
        <f t="shared" si="32"/>
        <v>7.574040223334977E-3</v>
      </c>
      <c r="AH106" s="122">
        <f t="shared" si="33"/>
        <v>7.1579463832951882E-3</v>
      </c>
      <c r="AI106" s="122">
        <f t="shared" si="32"/>
        <v>6.7424441678006182E-3</v>
      </c>
      <c r="AJ106" s="122">
        <f t="shared" si="32"/>
        <v>6.3411700435137301E-3</v>
      </c>
      <c r="AK106" s="122">
        <f t="shared" si="32"/>
        <v>5.959161523914059E-3</v>
      </c>
      <c r="AL106" s="122">
        <f t="shared" si="32"/>
        <v>5.597521497823498E-3</v>
      </c>
      <c r="AM106" s="122">
        <f t="shared" si="33"/>
        <v>5.2559891511403745E-3</v>
      </c>
    </row>
    <row r="107" spans="2:40" s="3" customFormat="1" x14ac:dyDescent="0.25"/>
    <row r="108" spans="2:40" s="3" customFormat="1" x14ac:dyDescent="0.25"/>
    <row r="109" spans="2:40" s="3" customFormat="1" x14ac:dyDescent="0.25"/>
    <row r="110" spans="2:40" s="3" customFormat="1" x14ac:dyDescent="0.25"/>
    <row r="111" spans="2:40" s="3" customFormat="1" x14ac:dyDescent="0.25"/>
    <row r="112" spans="2:40" s="3" customFormat="1" x14ac:dyDescent="0.25"/>
    <row r="113" s="3" customFormat="1" x14ac:dyDescent="0.25"/>
    <row r="114" s="3" customFormat="1" x14ac:dyDescent="0.25"/>
    <row r="115" s="3" customFormat="1" x14ac:dyDescent="0.25"/>
    <row r="116" s="3" customFormat="1" x14ac:dyDescent="0.25"/>
    <row r="117" s="3" customFormat="1" x14ac:dyDescent="0.25"/>
    <row r="118" s="3" customFormat="1" x14ac:dyDescent="0.25"/>
    <row r="119" s="3" customFormat="1" x14ac:dyDescent="0.25"/>
    <row r="120" s="3" customFormat="1" x14ac:dyDescent="0.25"/>
    <row r="121" s="3" customFormat="1" x14ac:dyDescent="0.25"/>
    <row r="122" s="3" customFormat="1" x14ac:dyDescent="0.25"/>
    <row r="123" s="3" customFormat="1" x14ac:dyDescent="0.25"/>
    <row r="124" s="3" customFormat="1" x14ac:dyDescent="0.25"/>
    <row r="125" s="3" customFormat="1" x14ac:dyDescent="0.25"/>
    <row r="126" s="3" customFormat="1" x14ac:dyDescent="0.25"/>
    <row r="127" s="3" customFormat="1" x14ac:dyDescent="0.25"/>
    <row r="128" s="3" customFormat="1" x14ac:dyDescent="0.25"/>
    <row r="129" s="3" customFormat="1" x14ac:dyDescent="0.25"/>
    <row r="130" s="3" customFormat="1" x14ac:dyDescent="0.25"/>
    <row r="131" s="3" customFormat="1" x14ac:dyDescent="0.25"/>
    <row r="132" s="3" customFormat="1" x14ac:dyDescent="0.25"/>
    <row r="133" s="3" customFormat="1" x14ac:dyDescent="0.25"/>
    <row r="134" s="3" customFormat="1" x14ac:dyDescent="0.25"/>
    <row r="135" s="3" customFormat="1" x14ac:dyDescent="0.25"/>
    <row r="136" s="3" customFormat="1" x14ac:dyDescent="0.25"/>
    <row r="137" s="3" customFormat="1" x14ac:dyDescent="0.25"/>
    <row r="138" s="3" customFormat="1" x14ac:dyDescent="0.25"/>
    <row r="139" s="3" customFormat="1" x14ac:dyDescent="0.25"/>
    <row r="140" s="3" customFormat="1" x14ac:dyDescent="0.25"/>
    <row r="141" s="3" customFormat="1" x14ac:dyDescent="0.25"/>
    <row r="142" s="3" customFormat="1" x14ac:dyDescent="0.25"/>
    <row r="143" s="3" customFormat="1" x14ac:dyDescent="0.25"/>
    <row r="144" s="3" customFormat="1" x14ac:dyDescent="0.25"/>
    <row r="145" s="3" customFormat="1" x14ac:dyDescent="0.25"/>
    <row r="146" s="3" customFormat="1" x14ac:dyDescent="0.25"/>
    <row r="147" s="3" customFormat="1" x14ac:dyDescent="0.25"/>
    <row r="148" s="3" customFormat="1" x14ac:dyDescent="0.25"/>
    <row r="149" s="3" customFormat="1" x14ac:dyDescent="0.25"/>
    <row r="150" s="3" customFormat="1" x14ac:dyDescent="0.25"/>
    <row r="151" s="3" customFormat="1" x14ac:dyDescent="0.25"/>
    <row r="152" s="3" customFormat="1" x14ac:dyDescent="0.25"/>
    <row r="153" s="3" customFormat="1" x14ac:dyDescent="0.25"/>
    <row r="154" s="3" customFormat="1" x14ac:dyDescent="0.25"/>
    <row r="155" s="3" customFormat="1" x14ac:dyDescent="0.25"/>
    <row r="156" s="3" customFormat="1" x14ac:dyDescent="0.25"/>
    <row r="157" s="3" customFormat="1" x14ac:dyDescent="0.25"/>
    <row r="158" s="3" customFormat="1" x14ac:dyDescent="0.25"/>
    <row r="159" s="3" customFormat="1" x14ac:dyDescent="0.25"/>
    <row r="160" s="3" customFormat="1" x14ac:dyDescent="0.25"/>
    <row r="161" s="3" customFormat="1" x14ac:dyDescent="0.25"/>
    <row r="162" s="3" customFormat="1" x14ac:dyDescent="0.25"/>
    <row r="163" s="3" customFormat="1" x14ac:dyDescent="0.25"/>
    <row r="164" s="3" customFormat="1" x14ac:dyDescent="0.25"/>
    <row r="165" s="3" customFormat="1" x14ac:dyDescent="0.25"/>
    <row r="166" s="3" customFormat="1" x14ac:dyDescent="0.25"/>
    <row r="167" s="3" customFormat="1" x14ac:dyDescent="0.25"/>
    <row r="168" s="3" customFormat="1" x14ac:dyDescent="0.25"/>
    <row r="169" s="3" customFormat="1" x14ac:dyDescent="0.25"/>
    <row r="170" s="3" customFormat="1" x14ac:dyDescent="0.25"/>
    <row r="171" s="3" customFormat="1" x14ac:dyDescent="0.25"/>
    <row r="172" s="3" customFormat="1" x14ac:dyDescent="0.25"/>
    <row r="173" s="3" customFormat="1" x14ac:dyDescent="0.25"/>
    <row r="174" s="3" customFormat="1" x14ac:dyDescent="0.25"/>
    <row r="175" s="3" customFormat="1" x14ac:dyDescent="0.25"/>
    <row r="176" s="3" customFormat="1" x14ac:dyDescent="0.25"/>
    <row r="177" s="3" customFormat="1" x14ac:dyDescent="0.25"/>
    <row r="178" s="3" customFormat="1" x14ac:dyDescent="0.25"/>
    <row r="179" s="3" customFormat="1" x14ac:dyDescent="0.25"/>
    <row r="180" s="3" customFormat="1" x14ac:dyDescent="0.25"/>
    <row r="181" s="3" customFormat="1" x14ac:dyDescent="0.25"/>
    <row r="182" s="3" customFormat="1" x14ac:dyDescent="0.25"/>
    <row r="183" s="3" customFormat="1" x14ac:dyDescent="0.25"/>
    <row r="184" s="3" customFormat="1" x14ac:dyDescent="0.25"/>
    <row r="185" s="3" customFormat="1" x14ac:dyDescent="0.25"/>
    <row r="186" s="3" customFormat="1" x14ac:dyDescent="0.25"/>
    <row r="187" s="3" customFormat="1" x14ac:dyDescent="0.25"/>
    <row r="188" s="3" customFormat="1" x14ac:dyDescent="0.25"/>
    <row r="189" s="3" customFormat="1" x14ac:dyDescent="0.25"/>
    <row r="190" s="3" customFormat="1" x14ac:dyDescent="0.25"/>
    <row r="191" s="3" customFormat="1" x14ac:dyDescent="0.25"/>
    <row r="192" s="3" customFormat="1" x14ac:dyDescent="0.25"/>
    <row r="193" s="3" customFormat="1" x14ac:dyDescent="0.25"/>
    <row r="194" s="3" customFormat="1" x14ac:dyDescent="0.25"/>
    <row r="195" s="3" customFormat="1" x14ac:dyDescent="0.25"/>
    <row r="196" s="3" customFormat="1" x14ac:dyDescent="0.25"/>
    <row r="197" s="3" customFormat="1" x14ac:dyDescent="0.25"/>
    <row r="198" s="3" customFormat="1" x14ac:dyDescent="0.25"/>
    <row r="199" s="3" customFormat="1" x14ac:dyDescent="0.25"/>
    <row r="200" s="3" customFormat="1" x14ac:dyDescent="0.25"/>
    <row r="201" s="3" customFormat="1" x14ac:dyDescent="0.25"/>
    <row r="202" s="3" customFormat="1" x14ac:dyDescent="0.25"/>
    <row r="203" s="3" customFormat="1" x14ac:dyDescent="0.25"/>
    <row r="204" s="3" customFormat="1" x14ac:dyDescent="0.25"/>
    <row r="205" s="3" customFormat="1" x14ac:dyDescent="0.25"/>
    <row r="206" s="3" customFormat="1" x14ac:dyDescent="0.25"/>
    <row r="207" s="3" customFormat="1" x14ac:dyDescent="0.25"/>
    <row r="208" s="3" customFormat="1" x14ac:dyDescent="0.25"/>
    <row r="209" s="3" customFormat="1" x14ac:dyDescent="0.25"/>
    <row r="210" s="3" customFormat="1" x14ac:dyDescent="0.25"/>
    <row r="211" s="3" customFormat="1" x14ac:dyDescent="0.25"/>
    <row r="212" s="3" customFormat="1" x14ac:dyDescent="0.25"/>
    <row r="213" s="3" customFormat="1" x14ac:dyDescent="0.25"/>
    <row r="214" s="3" customFormat="1" x14ac:dyDescent="0.25"/>
    <row r="215" s="3" customFormat="1" x14ac:dyDescent="0.25"/>
    <row r="216" s="3" customFormat="1" x14ac:dyDescent="0.25"/>
    <row r="217" s="3" customFormat="1" x14ac:dyDescent="0.25"/>
    <row r="218" s="3" customFormat="1" x14ac:dyDescent="0.25"/>
    <row r="219" s="3" customFormat="1" x14ac:dyDescent="0.25"/>
    <row r="220" s="3" customFormat="1" x14ac:dyDescent="0.25"/>
    <row r="221" s="3" customFormat="1" x14ac:dyDescent="0.25"/>
    <row r="222" s="3" customFormat="1" x14ac:dyDescent="0.25"/>
    <row r="223" s="3" customFormat="1" x14ac:dyDescent="0.25"/>
    <row r="224" s="3" customFormat="1" x14ac:dyDescent="0.25"/>
    <row r="225" s="3" customFormat="1" x14ac:dyDescent="0.25"/>
    <row r="226" s="3" customFormat="1" x14ac:dyDescent="0.25"/>
    <row r="227" s="3" customFormat="1" x14ac:dyDescent="0.25"/>
    <row r="228" s="3" customFormat="1" x14ac:dyDescent="0.25"/>
    <row r="229" s="3" customFormat="1" x14ac:dyDescent="0.25"/>
    <row r="230" s="3" customFormat="1" x14ac:dyDescent="0.25"/>
    <row r="231" s="3" customFormat="1" x14ac:dyDescent="0.25"/>
    <row r="232" s="3" customFormat="1" x14ac:dyDescent="0.25"/>
    <row r="233" s="3" customFormat="1" x14ac:dyDescent="0.25"/>
    <row r="234" s="3" customFormat="1" x14ac:dyDescent="0.25"/>
    <row r="235" s="3" customFormat="1" x14ac:dyDescent="0.25"/>
    <row r="236" s="3" customFormat="1" x14ac:dyDescent="0.25"/>
    <row r="237" s="3" customFormat="1" x14ac:dyDescent="0.25"/>
    <row r="238" s="3" customFormat="1" x14ac:dyDescent="0.25"/>
    <row r="239" s="3" customFormat="1" x14ac:dyDescent="0.25"/>
    <row r="240" s="3" customFormat="1" x14ac:dyDescent="0.25"/>
    <row r="241" s="3" customFormat="1" x14ac:dyDescent="0.25"/>
    <row r="242" s="3" customFormat="1" x14ac:dyDescent="0.25"/>
    <row r="243" s="3" customFormat="1" x14ac:dyDescent="0.25"/>
    <row r="244" s="3" customFormat="1" x14ac:dyDescent="0.25"/>
    <row r="245" s="3" customFormat="1" x14ac:dyDescent="0.25"/>
    <row r="246" s="3" customFormat="1" x14ac:dyDescent="0.25"/>
    <row r="247" s="3" customFormat="1" x14ac:dyDescent="0.25"/>
    <row r="248" s="3" customFormat="1" x14ac:dyDescent="0.25"/>
    <row r="249" s="3" customFormat="1" x14ac:dyDescent="0.25"/>
    <row r="250" s="3" customFormat="1" x14ac:dyDescent="0.25"/>
    <row r="251" s="3" customFormat="1" x14ac:dyDescent="0.25"/>
    <row r="252" s="3" customFormat="1" x14ac:dyDescent="0.25"/>
    <row r="253" s="3" customFormat="1" x14ac:dyDescent="0.25"/>
    <row r="254" s="3" customFormat="1" x14ac:dyDescent="0.25"/>
    <row r="255" s="3" customFormat="1" x14ac:dyDescent="0.25"/>
    <row r="256" s="3" customFormat="1" x14ac:dyDescent="0.25"/>
    <row r="257" s="3" customFormat="1" x14ac:dyDescent="0.25"/>
    <row r="258" s="3" customFormat="1" x14ac:dyDescent="0.25"/>
    <row r="259" s="3" customFormat="1" x14ac:dyDescent="0.25"/>
    <row r="260" s="3" customFormat="1" x14ac:dyDescent="0.25"/>
    <row r="261" s="3" customFormat="1" x14ac:dyDescent="0.25"/>
    <row r="262" s="3" customFormat="1" x14ac:dyDescent="0.25"/>
    <row r="263" s="3" customFormat="1" x14ac:dyDescent="0.25"/>
    <row r="264" s="3" customFormat="1" x14ac:dyDescent="0.25"/>
    <row r="265" s="3" customFormat="1" x14ac:dyDescent="0.25"/>
    <row r="266" s="3" customFormat="1" x14ac:dyDescent="0.25"/>
    <row r="267" s="3" customFormat="1" x14ac:dyDescent="0.25"/>
    <row r="268" s="3" customFormat="1" x14ac:dyDescent="0.25"/>
    <row r="269" s="3" customFormat="1" x14ac:dyDescent="0.25"/>
    <row r="270" s="3" customFormat="1" x14ac:dyDescent="0.25"/>
    <row r="271" s="3" customFormat="1" x14ac:dyDescent="0.25"/>
    <row r="272" s="3" customFormat="1" x14ac:dyDescent="0.25"/>
    <row r="273" s="3" customFormat="1" x14ac:dyDescent="0.25"/>
    <row r="274" s="3" customFormat="1" x14ac:dyDescent="0.25"/>
    <row r="275" s="3" customFormat="1" x14ac:dyDescent="0.25"/>
    <row r="276" s="3" customFormat="1" x14ac:dyDescent="0.25"/>
    <row r="277" s="3" customFormat="1" x14ac:dyDescent="0.25"/>
    <row r="278" s="3" customFormat="1" x14ac:dyDescent="0.25"/>
    <row r="279" s="3" customFormat="1" x14ac:dyDescent="0.25"/>
    <row r="280" s="3" customFormat="1" x14ac:dyDescent="0.25"/>
    <row r="281" s="3" customFormat="1" x14ac:dyDescent="0.25"/>
    <row r="282" s="3" customFormat="1" x14ac:dyDescent="0.25"/>
    <row r="283" s="3" customFormat="1" x14ac:dyDescent="0.25"/>
    <row r="284" s="3" customFormat="1" x14ac:dyDescent="0.25"/>
    <row r="285" s="3" customFormat="1" x14ac:dyDescent="0.25"/>
    <row r="286" s="3" customFormat="1" x14ac:dyDescent="0.25"/>
    <row r="287" s="3" customFormat="1" x14ac:dyDescent="0.25"/>
    <row r="288" s="3" customFormat="1" x14ac:dyDescent="0.25"/>
    <row r="289" s="3" customFormat="1" x14ac:dyDescent="0.25"/>
    <row r="290" s="3" customFormat="1" x14ac:dyDescent="0.25"/>
    <row r="291" s="3" customFormat="1" x14ac:dyDescent="0.25"/>
    <row r="292" s="3" customFormat="1" x14ac:dyDescent="0.25"/>
    <row r="293" s="3" customFormat="1" x14ac:dyDescent="0.25"/>
    <row r="294" s="3" customFormat="1" x14ac:dyDescent="0.25"/>
    <row r="295" s="3" customFormat="1" x14ac:dyDescent="0.25"/>
    <row r="296" s="3" customFormat="1" x14ac:dyDescent="0.25"/>
    <row r="297" s="3" customFormat="1" x14ac:dyDescent="0.25"/>
    <row r="298" s="3" customFormat="1" x14ac:dyDescent="0.25"/>
    <row r="299" s="3" customFormat="1" x14ac:dyDescent="0.25"/>
    <row r="300" s="3" customFormat="1" x14ac:dyDescent="0.25"/>
    <row r="301" s="3" customFormat="1" x14ac:dyDescent="0.25"/>
    <row r="302" s="3" customFormat="1" x14ac:dyDescent="0.25"/>
    <row r="303" s="3" customFormat="1" x14ac:dyDescent="0.25"/>
    <row r="304" s="3" customFormat="1" x14ac:dyDescent="0.25"/>
    <row r="305" s="3" customFormat="1" x14ac:dyDescent="0.25"/>
    <row r="306" s="3" customFormat="1" x14ac:dyDescent="0.25"/>
    <row r="307" s="3" customFormat="1" x14ac:dyDescent="0.25"/>
    <row r="308" s="3" customFormat="1" x14ac:dyDescent="0.25"/>
    <row r="309" s="3" customFormat="1" x14ac:dyDescent="0.25"/>
    <row r="310" s="3" customFormat="1" x14ac:dyDescent="0.25"/>
    <row r="311" s="3" customFormat="1" x14ac:dyDescent="0.25"/>
    <row r="312" s="3" customFormat="1" x14ac:dyDescent="0.25"/>
    <row r="313" s="3" customFormat="1" x14ac:dyDescent="0.25"/>
    <row r="314" s="3" customFormat="1" x14ac:dyDescent="0.25"/>
    <row r="315" s="3" customFormat="1" x14ac:dyDescent="0.25"/>
    <row r="316" s="3" customFormat="1" x14ac:dyDescent="0.25"/>
    <row r="317" s="3" customFormat="1" x14ac:dyDescent="0.25"/>
    <row r="318" s="3" customFormat="1" x14ac:dyDescent="0.25"/>
    <row r="319" s="3" customFormat="1" x14ac:dyDescent="0.25"/>
    <row r="320" s="3" customFormat="1" x14ac:dyDescent="0.25"/>
    <row r="321" s="3" customFormat="1" x14ac:dyDescent="0.25"/>
    <row r="322" s="3" customFormat="1" x14ac:dyDescent="0.25"/>
    <row r="323" s="3" customFormat="1" x14ac:dyDescent="0.25"/>
    <row r="324" s="3" customFormat="1" x14ac:dyDescent="0.25"/>
    <row r="325" s="3" customFormat="1" x14ac:dyDescent="0.25"/>
    <row r="326" s="3" customFormat="1" x14ac:dyDescent="0.25"/>
    <row r="327" s="3" customFormat="1" x14ac:dyDescent="0.25"/>
    <row r="328" s="3" customFormat="1" x14ac:dyDescent="0.25"/>
    <row r="329" s="3" customFormat="1" x14ac:dyDescent="0.25"/>
    <row r="330" s="3" customFormat="1" x14ac:dyDescent="0.25"/>
    <row r="331" s="3" customFormat="1" x14ac:dyDescent="0.25"/>
    <row r="332" s="3" customFormat="1" x14ac:dyDescent="0.25"/>
    <row r="333" s="3" customFormat="1" x14ac:dyDescent="0.25"/>
    <row r="334" s="3" customFormat="1" x14ac:dyDescent="0.25"/>
    <row r="335" s="3" customFormat="1" x14ac:dyDescent="0.25"/>
    <row r="336" s="3" customFormat="1" x14ac:dyDescent="0.25"/>
    <row r="337" s="3" customFormat="1" x14ac:dyDescent="0.25"/>
    <row r="338" s="3" customFormat="1" x14ac:dyDescent="0.25"/>
    <row r="339" s="3" customFormat="1" x14ac:dyDescent="0.25"/>
    <row r="340" s="3" customFormat="1" x14ac:dyDescent="0.25"/>
    <row r="341" s="3" customFormat="1" x14ac:dyDescent="0.25"/>
    <row r="342" s="3" customFormat="1" x14ac:dyDescent="0.25"/>
    <row r="343" s="3" customFormat="1" x14ac:dyDescent="0.25"/>
    <row r="344" s="3" customFormat="1" x14ac:dyDescent="0.25"/>
    <row r="345" s="3" customFormat="1" x14ac:dyDescent="0.25"/>
    <row r="346" s="3" customFormat="1" x14ac:dyDescent="0.25"/>
    <row r="347" s="3" customFormat="1" x14ac:dyDescent="0.25"/>
    <row r="348" s="3" customFormat="1" x14ac:dyDescent="0.25"/>
    <row r="349" s="3" customFormat="1" x14ac:dyDescent="0.25"/>
    <row r="350" s="3" customFormat="1" x14ac:dyDescent="0.25"/>
    <row r="351" s="3" customFormat="1" x14ac:dyDescent="0.25"/>
    <row r="352" s="3" customFormat="1" x14ac:dyDescent="0.25"/>
    <row r="353" s="3" customFormat="1" x14ac:dyDescent="0.25"/>
    <row r="354" s="3" customFormat="1" x14ac:dyDescent="0.25"/>
    <row r="355" s="3" customFormat="1" x14ac:dyDescent="0.25"/>
    <row r="356" s="3" customFormat="1" x14ac:dyDescent="0.25"/>
    <row r="357" s="3" customFormat="1" x14ac:dyDescent="0.25"/>
    <row r="358" s="3" customFormat="1" x14ac:dyDescent="0.25"/>
    <row r="359" s="3" customFormat="1" x14ac:dyDescent="0.25"/>
    <row r="360" s="3" customFormat="1" x14ac:dyDescent="0.25"/>
    <row r="361" s="3" customFormat="1" x14ac:dyDescent="0.25"/>
    <row r="362" s="3" customFormat="1" x14ac:dyDescent="0.25"/>
    <row r="363" s="3" customFormat="1" x14ac:dyDescent="0.25"/>
    <row r="364" s="3" customFormat="1" x14ac:dyDescent="0.25"/>
    <row r="365" s="3" customFormat="1" x14ac:dyDescent="0.25"/>
    <row r="366" s="3" customFormat="1" x14ac:dyDescent="0.25"/>
    <row r="367" s="3" customFormat="1" x14ac:dyDescent="0.25"/>
    <row r="368" s="3" customFormat="1" x14ac:dyDescent="0.25"/>
    <row r="369" s="3" customFormat="1" x14ac:dyDescent="0.25"/>
    <row r="370" s="3" customFormat="1" x14ac:dyDescent="0.25"/>
    <row r="371" s="3" customFormat="1" x14ac:dyDescent="0.25"/>
    <row r="372" s="3" customFormat="1" x14ac:dyDescent="0.25"/>
    <row r="373" s="3" customFormat="1" x14ac:dyDescent="0.25"/>
    <row r="374" s="3" customFormat="1" x14ac:dyDescent="0.25"/>
    <row r="375" s="3" customFormat="1" x14ac:dyDescent="0.25"/>
    <row r="376" s="3" customFormat="1" x14ac:dyDescent="0.25"/>
    <row r="377" s="3" customFormat="1" x14ac:dyDescent="0.25"/>
    <row r="378" s="3" customFormat="1" x14ac:dyDescent="0.25"/>
    <row r="379" s="3" customFormat="1" x14ac:dyDescent="0.25"/>
    <row r="380" s="3" customFormat="1" x14ac:dyDescent="0.25"/>
    <row r="381" s="3" customFormat="1" x14ac:dyDescent="0.25"/>
    <row r="382" s="3" customFormat="1" x14ac:dyDescent="0.25"/>
    <row r="383" s="3" customFormat="1" x14ac:dyDescent="0.25"/>
    <row r="384" s="3" customFormat="1" x14ac:dyDescent="0.25"/>
    <row r="385" s="3" customFormat="1" x14ac:dyDescent="0.25"/>
    <row r="386" s="3" customFormat="1" x14ac:dyDescent="0.25"/>
    <row r="387" s="3" customFormat="1" x14ac:dyDescent="0.25"/>
    <row r="388" s="3" customFormat="1" x14ac:dyDescent="0.25"/>
    <row r="389" s="3" customFormat="1" x14ac:dyDescent="0.25"/>
    <row r="390" s="3" customFormat="1" x14ac:dyDescent="0.25"/>
    <row r="391" s="3" customFormat="1" x14ac:dyDescent="0.25"/>
    <row r="392" s="3" customFormat="1" x14ac:dyDescent="0.25"/>
    <row r="393" s="3" customFormat="1" x14ac:dyDescent="0.25"/>
    <row r="394" s="3" customFormat="1" x14ac:dyDescent="0.25"/>
    <row r="395" s="3" customFormat="1" x14ac:dyDescent="0.25"/>
    <row r="396" s="3" customFormat="1" x14ac:dyDescent="0.25"/>
    <row r="397" s="3" customFormat="1" x14ac:dyDescent="0.25"/>
    <row r="398" s="3" customFormat="1" x14ac:dyDescent="0.25"/>
    <row r="399" s="3" customFormat="1" x14ac:dyDescent="0.25"/>
    <row r="400" s="3" customFormat="1" x14ac:dyDescent="0.25"/>
    <row r="401" s="3" customFormat="1" x14ac:dyDescent="0.25"/>
    <row r="402" s="3" customFormat="1" x14ac:dyDescent="0.25"/>
    <row r="403" s="3" customFormat="1" x14ac:dyDescent="0.25"/>
    <row r="404" s="3" customFormat="1" x14ac:dyDescent="0.25"/>
    <row r="405" s="3" customFormat="1" x14ac:dyDescent="0.25"/>
    <row r="406" s="3" customFormat="1" x14ac:dyDescent="0.25"/>
    <row r="407" s="3" customFormat="1" x14ac:dyDescent="0.25"/>
    <row r="408" s="3" customFormat="1" x14ac:dyDescent="0.25"/>
    <row r="409" s="3" customFormat="1" x14ac:dyDescent="0.25"/>
    <row r="410" s="3" customFormat="1" x14ac:dyDescent="0.25"/>
    <row r="411" s="3" customFormat="1" x14ac:dyDescent="0.25"/>
    <row r="412" s="3" customFormat="1" x14ac:dyDescent="0.25"/>
    <row r="413" s="3" customFormat="1" x14ac:dyDescent="0.25"/>
    <row r="414" s="3" customFormat="1" x14ac:dyDescent="0.25"/>
    <row r="415" s="3" customFormat="1" x14ac:dyDescent="0.25"/>
    <row r="416" s="3" customFormat="1" x14ac:dyDescent="0.25"/>
    <row r="417" s="3" customFormat="1" x14ac:dyDescent="0.25"/>
    <row r="418" s="3" customFormat="1" x14ac:dyDescent="0.25"/>
    <row r="419" s="3" customFormat="1" x14ac:dyDescent="0.25"/>
    <row r="420" s="3" customFormat="1" x14ac:dyDescent="0.25"/>
    <row r="421" s="3" customFormat="1" x14ac:dyDescent="0.25"/>
    <row r="422" s="3" customFormat="1" x14ac:dyDescent="0.25"/>
    <row r="423" s="3" customFormat="1" x14ac:dyDescent="0.25"/>
    <row r="424" s="3" customFormat="1" x14ac:dyDescent="0.25"/>
    <row r="425" s="3" customFormat="1" x14ac:dyDescent="0.25"/>
    <row r="426" s="3" customFormat="1" x14ac:dyDescent="0.25"/>
    <row r="427" s="3" customFormat="1" x14ac:dyDescent="0.25"/>
    <row r="428" s="3" customFormat="1" x14ac:dyDescent="0.25"/>
    <row r="429" s="3" customFormat="1" x14ac:dyDescent="0.25"/>
    <row r="430" s="3" customFormat="1" x14ac:dyDescent="0.25"/>
    <row r="431" s="3" customFormat="1" x14ac:dyDescent="0.25"/>
    <row r="432" s="3" customFormat="1" x14ac:dyDescent="0.25"/>
    <row r="433" s="3" customFormat="1" x14ac:dyDescent="0.25"/>
    <row r="434" s="3" customFormat="1" x14ac:dyDescent="0.25"/>
    <row r="435" s="3" customFormat="1" x14ac:dyDescent="0.25"/>
    <row r="436" s="3" customFormat="1" x14ac:dyDescent="0.25"/>
    <row r="437" s="3" customFormat="1" x14ac:dyDescent="0.25"/>
    <row r="438" s="3" customFormat="1" x14ac:dyDescent="0.25"/>
    <row r="439" s="3" customFormat="1" x14ac:dyDescent="0.25"/>
    <row r="440" s="3" customFormat="1" x14ac:dyDescent="0.25"/>
    <row r="441" s="3" customFormat="1" x14ac:dyDescent="0.25"/>
    <row r="442" s="3" customFormat="1" x14ac:dyDescent="0.25"/>
    <row r="443" s="3" customFormat="1" x14ac:dyDescent="0.25"/>
    <row r="444" s="3" customFormat="1" x14ac:dyDescent="0.25"/>
    <row r="445" s="3" customFormat="1" x14ac:dyDescent="0.25"/>
    <row r="446" s="3" customFormat="1" x14ac:dyDescent="0.25"/>
    <row r="447" s="3" customFormat="1" x14ac:dyDescent="0.25"/>
    <row r="448" s="3" customFormat="1" x14ac:dyDescent="0.25"/>
    <row r="449" s="3" customFormat="1" x14ac:dyDescent="0.25"/>
    <row r="450" s="3" customFormat="1" x14ac:dyDescent="0.25"/>
    <row r="451" s="3" customFormat="1" x14ac:dyDescent="0.25"/>
    <row r="452" s="3" customFormat="1" x14ac:dyDescent="0.25"/>
    <row r="453" s="3" customFormat="1" x14ac:dyDescent="0.25"/>
    <row r="454" s="3" customFormat="1" x14ac:dyDescent="0.25"/>
    <row r="455" s="3" customFormat="1" x14ac:dyDescent="0.25"/>
    <row r="456" s="3" customFormat="1" x14ac:dyDescent="0.25"/>
    <row r="457" s="3" customFormat="1" x14ac:dyDescent="0.25"/>
    <row r="458" s="3" customFormat="1" x14ac:dyDescent="0.25"/>
    <row r="459" s="3" customFormat="1" x14ac:dyDescent="0.25"/>
    <row r="460" s="3" customFormat="1" x14ac:dyDescent="0.25"/>
    <row r="461" s="3" customFormat="1" x14ac:dyDescent="0.25"/>
    <row r="462" s="3" customFormat="1" x14ac:dyDescent="0.25"/>
    <row r="463" s="3" customFormat="1" x14ac:dyDescent="0.25"/>
    <row r="464" s="3" customFormat="1" x14ac:dyDescent="0.25"/>
    <row r="465" s="3" customFormat="1" x14ac:dyDescent="0.25"/>
    <row r="466" s="3" customFormat="1" x14ac:dyDescent="0.25"/>
    <row r="467" s="3" customFormat="1" x14ac:dyDescent="0.25"/>
    <row r="468" s="3" customFormat="1" x14ac:dyDescent="0.25"/>
    <row r="469" s="3" customFormat="1" x14ac:dyDescent="0.25"/>
    <row r="470" s="3" customFormat="1" x14ac:dyDescent="0.25"/>
    <row r="471" s="3" customFormat="1" x14ac:dyDescent="0.25"/>
    <row r="472" s="3" customFormat="1" x14ac:dyDescent="0.25"/>
    <row r="473" s="3" customFormat="1" x14ac:dyDescent="0.25"/>
    <row r="474" s="3" customFormat="1" x14ac:dyDescent="0.25"/>
    <row r="475" s="3" customFormat="1" x14ac:dyDescent="0.25"/>
    <row r="476" s="3" customFormat="1" x14ac:dyDescent="0.25"/>
    <row r="477" s="3" customFormat="1" x14ac:dyDescent="0.25"/>
    <row r="478" s="3" customFormat="1" x14ac:dyDescent="0.25"/>
    <row r="479" s="3" customFormat="1" x14ac:dyDescent="0.25"/>
    <row r="480" s="3" customFormat="1" x14ac:dyDescent="0.25"/>
    <row r="481" s="3" customFormat="1" x14ac:dyDescent="0.25"/>
    <row r="482" s="3" customFormat="1" x14ac:dyDescent="0.25"/>
    <row r="483" s="3" customFormat="1" x14ac:dyDescent="0.25"/>
    <row r="484" s="3" customFormat="1" x14ac:dyDescent="0.25"/>
    <row r="485" s="3" customFormat="1" x14ac:dyDescent="0.25"/>
    <row r="486" s="3" customFormat="1" x14ac:dyDescent="0.25"/>
    <row r="487" s="3" customFormat="1" x14ac:dyDescent="0.25"/>
    <row r="488" s="3" customFormat="1" x14ac:dyDescent="0.25"/>
    <row r="489" s="3" customFormat="1" x14ac:dyDescent="0.25"/>
    <row r="490" s="3" customFormat="1" x14ac:dyDescent="0.25"/>
    <row r="491" s="3" customFormat="1" x14ac:dyDescent="0.25"/>
    <row r="492" s="3" customFormat="1" x14ac:dyDescent="0.25"/>
    <row r="493" s="3" customFormat="1" x14ac:dyDescent="0.25"/>
    <row r="494" s="3" customFormat="1" x14ac:dyDescent="0.25"/>
    <row r="495" s="3" customFormat="1" x14ac:dyDescent="0.25"/>
    <row r="496" s="3" customFormat="1" x14ac:dyDescent="0.25"/>
    <row r="497" s="3" customFormat="1" x14ac:dyDescent="0.25"/>
    <row r="498" s="3" customFormat="1" x14ac:dyDescent="0.25"/>
    <row r="499" s="3" customFormat="1" x14ac:dyDescent="0.25"/>
    <row r="500" s="3" customFormat="1" x14ac:dyDescent="0.25"/>
    <row r="501" s="3" customFormat="1" x14ac:dyDescent="0.25"/>
    <row r="502" s="3" customFormat="1" x14ac:dyDescent="0.25"/>
    <row r="503" s="3" customFormat="1" x14ac:dyDescent="0.25"/>
    <row r="504" s="3" customFormat="1" x14ac:dyDescent="0.25"/>
    <row r="505" s="3" customFormat="1" x14ac:dyDescent="0.25"/>
    <row r="506" s="3" customFormat="1" x14ac:dyDescent="0.25"/>
    <row r="507" s="3" customFormat="1" x14ac:dyDescent="0.25"/>
    <row r="508" s="3" customFormat="1" x14ac:dyDescent="0.25"/>
    <row r="509" s="3" customFormat="1" x14ac:dyDescent="0.25"/>
    <row r="510" s="3" customFormat="1" x14ac:dyDescent="0.25"/>
    <row r="511" s="3" customFormat="1" x14ac:dyDescent="0.25"/>
    <row r="512" s="3" customFormat="1" x14ac:dyDescent="0.25"/>
    <row r="513" s="3" customFormat="1" x14ac:dyDescent="0.25"/>
    <row r="514" s="3" customFormat="1" x14ac:dyDescent="0.25"/>
    <row r="515" s="3" customFormat="1" x14ac:dyDescent="0.25"/>
    <row r="516" s="3" customFormat="1" x14ac:dyDescent="0.25"/>
    <row r="517" s="3" customFormat="1" x14ac:dyDescent="0.25"/>
    <row r="518" s="3" customFormat="1" x14ac:dyDescent="0.25"/>
    <row r="519" s="3" customFormat="1" x14ac:dyDescent="0.25"/>
    <row r="520" s="3" customFormat="1" x14ac:dyDescent="0.25"/>
    <row r="521" s="3" customFormat="1" x14ac:dyDescent="0.25"/>
    <row r="522" s="3" customFormat="1" x14ac:dyDescent="0.25"/>
    <row r="523" s="3" customFormat="1" x14ac:dyDescent="0.25"/>
    <row r="524" s="3" customFormat="1" x14ac:dyDescent="0.25"/>
    <row r="525" s="3" customFormat="1" x14ac:dyDescent="0.25"/>
    <row r="526" s="3" customFormat="1" x14ac:dyDescent="0.25"/>
    <row r="527" s="3" customFormat="1" x14ac:dyDescent="0.25"/>
    <row r="528" s="3" customFormat="1" x14ac:dyDescent="0.25"/>
    <row r="529" s="3" customFormat="1" x14ac:dyDescent="0.25"/>
    <row r="530" s="3" customFormat="1" x14ac:dyDescent="0.25"/>
    <row r="531" s="3" customFormat="1" x14ac:dyDescent="0.25"/>
    <row r="532" s="3" customFormat="1" x14ac:dyDescent="0.25"/>
    <row r="533" s="3" customFormat="1" x14ac:dyDescent="0.25"/>
    <row r="534" s="3" customFormat="1" x14ac:dyDescent="0.25"/>
    <row r="535" s="3" customFormat="1" x14ac:dyDescent="0.25"/>
    <row r="536" s="3" customFormat="1" x14ac:dyDescent="0.25"/>
    <row r="537" s="3" customFormat="1" x14ac:dyDescent="0.25"/>
    <row r="538" s="3" customFormat="1" x14ac:dyDescent="0.25"/>
    <row r="539" s="3" customFormat="1" x14ac:dyDescent="0.25"/>
    <row r="540" s="3" customFormat="1" x14ac:dyDescent="0.25"/>
    <row r="541" s="3" customFormat="1" x14ac:dyDescent="0.25"/>
    <row r="542" s="3" customFormat="1" x14ac:dyDescent="0.25"/>
    <row r="543" s="3" customFormat="1" x14ac:dyDescent="0.25"/>
    <row r="544" s="3" customFormat="1" x14ac:dyDescent="0.25"/>
    <row r="545" s="3" customFormat="1" x14ac:dyDescent="0.25"/>
    <row r="546" s="3" customFormat="1" x14ac:dyDescent="0.25"/>
    <row r="547" s="3" customFormat="1" x14ac:dyDescent="0.25"/>
    <row r="548" s="3" customFormat="1" x14ac:dyDescent="0.25"/>
    <row r="549" s="3" customFormat="1" x14ac:dyDescent="0.25"/>
    <row r="550" s="3" customFormat="1" x14ac:dyDescent="0.25"/>
    <row r="551" s="3" customFormat="1" x14ac:dyDescent="0.25"/>
    <row r="552" s="3" customFormat="1" x14ac:dyDescent="0.25"/>
    <row r="553" s="3" customFormat="1" x14ac:dyDescent="0.25"/>
    <row r="554" s="3" customFormat="1" x14ac:dyDescent="0.25"/>
    <row r="555" s="3" customFormat="1" x14ac:dyDescent="0.25"/>
    <row r="556" s="3" customFormat="1" x14ac:dyDescent="0.25"/>
    <row r="557" s="3" customFormat="1" x14ac:dyDescent="0.25"/>
    <row r="558" s="3" customFormat="1" x14ac:dyDescent="0.25"/>
    <row r="559" s="3" customFormat="1" x14ac:dyDescent="0.25"/>
    <row r="560" s="3" customFormat="1" x14ac:dyDescent="0.25"/>
    <row r="561" s="3" customFormat="1" x14ac:dyDescent="0.25"/>
    <row r="562" s="3" customFormat="1" x14ac:dyDescent="0.25"/>
    <row r="563" s="3" customFormat="1" x14ac:dyDescent="0.25"/>
    <row r="564" s="3" customFormat="1" x14ac:dyDescent="0.25"/>
    <row r="565" s="3" customFormat="1" x14ac:dyDescent="0.25"/>
    <row r="566" s="3" customFormat="1" x14ac:dyDescent="0.25"/>
    <row r="567" s="3" customFormat="1" x14ac:dyDescent="0.25"/>
    <row r="568" s="3" customFormat="1" x14ac:dyDescent="0.25"/>
    <row r="569" s="3" customFormat="1" x14ac:dyDescent="0.25"/>
    <row r="570" s="3" customFormat="1" x14ac:dyDescent="0.25"/>
    <row r="571" s="3" customFormat="1" x14ac:dyDescent="0.25"/>
    <row r="572" s="3" customFormat="1" x14ac:dyDescent="0.25"/>
    <row r="573" s="3" customFormat="1" x14ac:dyDescent="0.25"/>
    <row r="574" s="3" customFormat="1" x14ac:dyDescent="0.25"/>
    <row r="575" s="3" customFormat="1" x14ac:dyDescent="0.25"/>
    <row r="576" s="3" customFormat="1" x14ac:dyDescent="0.25"/>
    <row r="577" s="3" customFormat="1" x14ac:dyDescent="0.25"/>
    <row r="578" s="3" customFormat="1" x14ac:dyDescent="0.25"/>
    <row r="579" s="3" customFormat="1" x14ac:dyDescent="0.25"/>
    <row r="580" s="3" customFormat="1" x14ac:dyDescent="0.25"/>
    <row r="581" s="3" customFormat="1" x14ac:dyDescent="0.25"/>
    <row r="582" s="3" customFormat="1" x14ac:dyDescent="0.25"/>
    <row r="583" s="3" customFormat="1" x14ac:dyDescent="0.25"/>
    <row r="584" s="3" customFormat="1" x14ac:dyDescent="0.25"/>
    <row r="585" s="3" customFormat="1" x14ac:dyDescent="0.25"/>
    <row r="586" s="3" customFormat="1" x14ac:dyDescent="0.25"/>
    <row r="587" s="3" customFormat="1" x14ac:dyDescent="0.25"/>
    <row r="588" s="3" customFormat="1" x14ac:dyDescent="0.25"/>
    <row r="589" s="3" customFormat="1" x14ac:dyDescent="0.25"/>
    <row r="590" s="3" customFormat="1" x14ac:dyDescent="0.25"/>
    <row r="591" s="3" customFormat="1" x14ac:dyDescent="0.25"/>
    <row r="592" s="3" customFormat="1" x14ac:dyDescent="0.25"/>
    <row r="593" s="3" customFormat="1" x14ac:dyDescent="0.25"/>
    <row r="594" s="3" customFormat="1" x14ac:dyDescent="0.25"/>
    <row r="595" s="3" customFormat="1" x14ac:dyDescent="0.25"/>
    <row r="596" s="3" customFormat="1" x14ac:dyDescent="0.25"/>
    <row r="597" s="3" customFormat="1" x14ac:dyDescent="0.25"/>
    <row r="598" s="3" customFormat="1" x14ac:dyDescent="0.25"/>
    <row r="599" s="3" customFormat="1" x14ac:dyDescent="0.25"/>
    <row r="600" s="3" customFormat="1" x14ac:dyDescent="0.25"/>
    <row r="601" s="3" customFormat="1" x14ac:dyDescent="0.25"/>
    <row r="602" s="3" customFormat="1" x14ac:dyDescent="0.25"/>
    <row r="603" s="3" customFormat="1" x14ac:dyDescent="0.25"/>
    <row r="604" s="3" customFormat="1" x14ac:dyDescent="0.25"/>
    <row r="605" s="3" customFormat="1" x14ac:dyDescent="0.25"/>
    <row r="606" s="3" customFormat="1" x14ac:dyDescent="0.25"/>
    <row r="607" s="3" customFormat="1" x14ac:dyDescent="0.25"/>
    <row r="608" s="3" customFormat="1" x14ac:dyDescent="0.25"/>
    <row r="609" s="3" customFormat="1" x14ac:dyDescent="0.25"/>
    <row r="610" s="3" customFormat="1" x14ac:dyDescent="0.25"/>
    <row r="611" s="3" customFormat="1" x14ac:dyDescent="0.25"/>
    <row r="612" s="3" customFormat="1" x14ac:dyDescent="0.25"/>
    <row r="613" s="3" customFormat="1" x14ac:dyDescent="0.25"/>
    <row r="614" s="3" customFormat="1" x14ac:dyDescent="0.25"/>
    <row r="615" s="3" customFormat="1" x14ac:dyDescent="0.25"/>
    <row r="616" s="3" customFormat="1" x14ac:dyDescent="0.25"/>
    <row r="617" s="3" customFormat="1" x14ac:dyDescent="0.25"/>
    <row r="618" s="3" customFormat="1" x14ac:dyDescent="0.25"/>
    <row r="619" s="3" customFormat="1" x14ac:dyDescent="0.25"/>
    <row r="620" s="3" customFormat="1" x14ac:dyDescent="0.25"/>
    <row r="621" s="3" customFormat="1" x14ac:dyDescent="0.25"/>
    <row r="622" s="3" customFormat="1" x14ac:dyDescent="0.25"/>
    <row r="623" s="3" customFormat="1" x14ac:dyDescent="0.25"/>
    <row r="624" s="3" customFormat="1" x14ac:dyDescent="0.25"/>
    <row r="625" s="3" customFormat="1" x14ac:dyDescent="0.25"/>
    <row r="626" s="3" customFormat="1" x14ac:dyDescent="0.25"/>
    <row r="627" s="3" customFormat="1" x14ac:dyDescent="0.25"/>
    <row r="628" s="3" customFormat="1" x14ac:dyDescent="0.25"/>
    <row r="629" s="3" customFormat="1" x14ac:dyDescent="0.25"/>
    <row r="630" s="3" customFormat="1" x14ac:dyDescent="0.25"/>
    <row r="631" s="3" customFormat="1" x14ac:dyDescent="0.25"/>
    <row r="632" s="3" customFormat="1" x14ac:dyDescent="0.25"/>
    <row r="633" s="3" customFormat="1" x14ac:dyDescent="0.25"/>
    <row r="634" s="3" customFormat="1" x14ac:dyDescent="0.25"/>
    <row r="635" s="3" customFormat="1" x14ac:dyDescent="0.25"/>
    <row r="636" s="3" customFormat="1" x14ac:dyDescent="0.25"/>
    <row r="637" s="3" customFormat="1" x14ac:dyDescent="0.25"/>
    <row r="638" s="3" customFormat="1" x14ac:dyDescent="0.25"/>
    <row r="639" s="3" customFormat="1" x14ac:dyDescent="0.25"/>
    <row r="640" s="3" customFormat="1" x14ac:dyDescent="0.25"/>
    <row r="641" s="3" customFormat="1" x14ac:dyDescent="0.25"/>
    <row r="642" s="3" customFormat="1" x14ac:dyDescent="0.25"/>
    <row r="643" s="3" customFormat="1" x14ac:dyDescent="0.25"/>
    <row r="644" s="3" customFormat="1" x14ac:dyDescent="0.25"/>
    <row r="645" s="3" customFormat="1" x14ac:dyDescent="0.25"/>
    <row r="646" s="3" customFormat="1" x14ac:dyDescent="0.25"/>
    <row r="647" s="3" customFormat="1" x14ac:dyDescent="0.25"/>
    <row r="648" s="3" customFormat="1" x14ac:dyDescent="0.25"/>
  </sheetData>
  <pageMargins left="0.7" right="0.7" top="0.75" bottom="0.75" header="0.3" footer="0.3"/>
  <pageSetup paperSize="9" scale="65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97B43-FABB-4AB4-94ED-69E7D0E5DE82}">
  <sheetPr>
    <tabColor rgb="FFFF0000"/>
  </sheetPr>
  <dimension ref="A1:F48"/>
  <sheetViews>
    <sheetView workbookViewId="0">
      <selection activeCell="L46" sqref="L46"/>
    </sheetView>
  </sheetViews>
  <sheetFormatPr baseColWidth="10" defaultRowHeight="15" x14ac:dyDescent="0.25"/>
  <sheetData>
    <row r="1" spans="1:6" x14ac:dyDescent="0.25">
      <c r="B1" t="s">
        <v>544</v>
      </c>
      <c r="C1" t="s">
        <v>298</v>
      </c>
      <c r="E1" t="s">
        <v>545</v>
      </c>
      <c r="F1" t="s">
        <v>546</v>
      </c>
    </row>
    <row r="2" spans="1:6" hidden="1" x14ac:dyDescent="0.25">
      <c r="A2">
        <v>2004</v>
      </c>
      <c r="B2">
        <v>419119515.24800497</v>
      </c>
      <c r="C2">
        <v>419119515.24800497</v>
      </c>
      <c r="D2">
        <v>2004</v>
      </c>
      <c r="E2" s="320">
        <f>B2/1000000</f>
        <v>419.11951524800497</v>
      </c>
      <c r="F2" s="320">
        <f>C2/1000000</f>
        <v>419.11951524800497</v>
      </c>
    </row>
    <row r="3" spans="1:6" hidden="1" x14ac:dyDescent="0.25">
      <c r="A3">
        <v>2005</v>
      </c>
      <c r="B3">
        <v>425848614.63336003</v>
      </c>
      <c r="C3">
        <v>425848614.63336003</v>
      </c>
      <c r="D3">
        <v>2005</v>
      </c>
      <c r="E3" s="320">
        <f t="shared" ref="E3:E48" si="0">B3/1000000</f>
        <v>425.84861463336</v>
      </c>
      <c r="F3" s="320">
        <f t="shared" ref="F3:F48" si="1">C3/1000000</f>
        <v>425.84861463336</v>
      </c>
    </row>
    <row r="4" spans="1:6" hidden="1" x14ac:dyDescent="0.25">
      <c r="A4">
        <v>2006</v>
      </c>
      <c r="B4">
        <v>402018807.39999998</v>
      </c>
      <c r="C4">
        <v>402018807.39999998</v>
      </c>
      <c r="D4">
        <v>2006</v>
      </c>
      <c r="E4" s="320">
        <f t="shared" si="0"/>
        <v>402.01880739999996</v>
      </c>
      <c r="F4" s="320">
        <f t="shared" si="1"/>
        <v>402.01880739999996</v>
      </c>
    </row>
    <row r="5" spans="1:6" hidden="1" x14ac:dyDescent="0.25">
      <c r="A5">
        <v>2007</v>
      </c>
      <c r="B5">
        <v>403718236.80000001</v>
      </c>
      <c r="C5">
        <v>403718236.80000001</v>
      </c>
      <c r="D5">
        <v>2007</v>
      </c>
      <c r="E5" s="320">
        <f t="shared" si="0"/>
        <v>403.7182368</v>
      </c>
      <c r="F5" s="320">
        <f t="shared" si="1"/>
        <v>403.7182368</v>
      </c>
    </row>
    <row r="6" spans="1:6" hidden="1" x14ac:dyDescent="0.25">
      <c r="A6">
        <v>2008</v>
      </c>
      <c r="B6">
        <v>383303590.60000002</v>
      </c>
      <c r="C6">
        <v>383303590.60000002</v>
      </c>
      <c r="D6">
        <v>2008</v>
      </c>
      <c r="E6" s="320">
        <f t="shared" si="0"/>
        <v>383.30359060000001</v>
      </c>
      <c r="F6" s="320">
        <f t="shared" si="1"/>
        <v>383.30359060000001</v>
      </c>
    </row>
    <row r="7" spans="1:6" hidden="1" x14ac:dyDescent="0.25">
      <c r="A7">
        <v>2009</v>
      </c>
      <c r="B7">
        <v>364721157.89999998</v>
      </c>
      <c r="C7">
        <v>364721157.89999998</v>
      </c>
      <c r="D7">
        <v>2009</v>
      </c>
      <c r="E7" s="320">
        <f t="shared" si="0"/>
        <v>364.72115789999998</v>
      </c>
      <c r="F7" s="320">
        <f t="shared" si="1"/>
        <v>364.72115789999998</v>
      </c>
    </row>
    <row r="8" spans="1:6" hidden="1" x14ac:dyDescent="0.25">
      <c r="A8">
        <v>2010</v>
      </c>
      <c r="B8">
        <v>361273775.10000002</v>
      </c>
      <c r="C8">
        <v>361273775.10000002</v>
      </c>
      <c r="D8">
        <v>2010</v>
      </c>
      <c r="E8" s="320">
        <f t="shared" si="0"/>
        <v>361.27377510000002</v>
      </c>
      <c r="F8" s="320">
        <f t="shared" si="1"/>
        <v>361.27377510000002</v>
      </c>
    </row>
    <row r="9" spans="1:6" hidden="1" x14ac:dyDescent="0.25">
      <c r="A9">
        <v>2011</v>
      </c>
      <c r="B9">
        <v>351598899.80000001</v>
      </c>
      <c r="C9">
        <v>351598899.80000001</v>
      </c>
      <c r="D9">
        <v>2011</v>
      </c>
      <c r="E9" s="320">
        <f t="shared" si="0"/>
        <v>351.59889980000003</v>
      </c>
      <c r="F9" s="320">
        <f t="shared" si="1"/>
        <v>351.59889980000003</v>
      </c>
    </row>
    <row r="10" spans="1:6" hidden="1" x14ac:dyDescent="0.25">
      <c r="A10">
        <v>2012</v>
      </c>
      <c r="B10">
        <v>337830004.39999998</v>
      </c>
      <c r="C10">
        <v>337830004.39999998</v>
      </c>
      <c r="D10">
        <v>2012</v>
      </c>
      <c r="E10" s="320">
        <f t="shared" si="0"/>
        <v>337.83000439999995</v>
      </c>
      <c r="F10" s="320">
        <f t="shared" si="1"/>
        <v>337.83000439999995</v>
      </c>
    </row>
    <row r="11" spans="1:6" hidden="1" x14ac:dyDescent="0.25">
      <c r="A11">
        <v>2013</v>
      </c>
      <c r="B11">
        <v>329276638.89999998</v>
      </c>
      <c r="C11">
        <v>329276638.89999998</v>
      </c>
      <c r="D11">
        <v>2013</v>
      </c>
      <c r="E11" s="320">
        <f t="shared" si="0"/>
        <v>329.27663889999997</v>
      </c>
      <c r="F11" s="320">
        <f t="shared" si="1"/>
        <v>329.27663889999997</v>
      </c>
    </row>
    <row r="12" spans="1:6" hidden="1" x14ac:dyDescent="0.25">
      <c r="A12">
        <v>2014</v>
      </c>
      <c r="B12">
        <v>325891528.60000002</v>
      </c>
      <c r="C12">
        <v>325891528.60000002</v>
      </c>
      <c r="D12">
        <v>2014</v>
      </c>
      <c r="E12" s="320">
        <f t="shared" si="0"/>
        <v>325.89152860000002</v>
      </c>
      <c r="F12" s="320">
        <f t="shared" si="1"/>
        <v>325.89152860000002</v>
      </c>
    </row>
    <row r="13" spans="1:6" hidden="1" x14ac:dyDescent="0.25">
      <c r="A13">
        <v>2015</v>
      </c>
      <c r="B13">
        <v>325351560.39999998</v>
      </c>
      <c r="C13">
        <v>325351560.39999998</v>
      </c>
      <c r="D13">
        <v>2015</v>
      </c>
      <c r="E13" s="320">
        <f t="shared" si="0"/>
        <v>325.35156039999998</v>
      </c>
      <c r="F13" s="320">
        <f t="shared" si="1"/>
        <v>325.35156039999998</v>
      </c>
    </row>
    <row r="14" spans="1:6" hidden="1" x14ac:dyDescent="0.25">
      <c r="A14">
        <v>2016</v>
      </c>
      <c r="B14">
        <v>317601202.60000002</v>
      </c>
      <c r="C14">
        <v>317601328.89999998</v>
      </c>
      <c r="D14">
        <v>2016</v>
      </c>
      <c r="E14" s="320">
        <f t="shared" si="0"/>
        <v>317.60120260000002</v>
      </c>
      <c r="F14" s="320">
        <f t="shared" si="1"/>
        <v>317.6013289</v>
      </c>
    </row>
    <row r="15" spans="1:6" hidden="1" x14ac:dyDescent="0.25">
      <c r="A15">
        <v>2017</v>
      </c>
      <c r="B15">
        <v>309808956.89999998</v>
      </c>
      <c r="C15">
        <v>309809265.69999999</v>
      </c>
      <c r="D15">
        <v>2017</v>
      </c>
      <c r="E15" s="320">
        <f t="shared" si="0"/>
        <v>309.8089569</v>
      </c>
      <c r="F15" s="320">
        <f t="shared" si="1"/>
        <v>309.80926569999997</v>
      </c>
    </row>
    <row r="16" spans="1:6" hidden="1" x14ac:dyDescent="0.25">
      <c r="A16">
        <v>2018</v>
      </c>
      <c r="B16">
        <v>298468472.60000002</v>
      </c>
      <c r="C16">
        <v>298468814.89999998</v>
      </c>
      <c r="D16">
        <v>2018</v>
      </c>
      <c r="E16" s="320">
        <f t="shared" si="0"/>
        <v>298.46847260000004</v>
      </c>
      <c r="F16" s="320">
        <f t="shared" si="1"/>
        <v>298.46881489999998</v>
      </c>
    </row>
    <row r="17" spans="1:6" hidden="1" x14ac:dyDescent="0.25">
      <c r="A17">
        <v>2019</v>
      </c>
      <c r="B17">
        <v>291526082.10000002</v>
      </c>
      <c r="C17">
        <v>291526267.69999999</v>
      </c>
      <c r="D17">
        <v>2019</v>
      </c>
      <c r="E17" s="320">
        <f t="shared" si="0"/>
        <v>291.5260821</v>
      </c>
      <c r="F17" s="320">
        <f t="shared" si="1"/>
        <v>291.52626770000001</v>
      </c>
    </row>
    <row r="18" spans="1:6" hidden="1" x14ac:dyDescent="0.25">
      <c r="A18">
        <v>2020</v>
      </c>
      <c r="B18">
        <v>284726497.80000001</v>
      </c>
      <c r="C18">
        <v>284739843.69999999</v>
      </c>
      <c r="D18">
        <v>2020</v>
      </c>
      <c r="E18" s="320">
        <f t="shared" si="0"/>
        <v>284.7264978</v>
      </c>
      <c r="F18" s="320">
        <f t="shared" si="1"/>
        <v>284.73984369999999</v>
      </c>
    </row>
    <row r="19" spans="1:6" hidden="1" x14ac:dyDescent="0.25">
      <c r="A19">
        <v>2021</v>
      </c>
      <c r="B19">
        <v>281620565.89999998</v>
      </c>
      <c r="C19">
        <v>281640933.39999998</v>
      </c>
      <c r="D19">
        <v>2021</v>
      </c>
      <c r="E19" s="320">
        <f t="shared" si="0"/>
        <v>281.62056589999997</v>
      </c>
      <c r="F19" s="320">
        <f t="shared" si="1"/>
        <v>281.64093339999999</v>
      </c>
    </row>
    <row r="20" spans="1:6" hidden="1" x14ac:dyDescent="0.25">
      <c r="A20">
        <v>2022</v>
      </c>
      <c r="B20">
        <v>278553175.5</v>
      </c>
      <c r="C20">
        <v>278579595.10000002</v>
      </c>
      <c r="D20">
        <v>2022</v>
      </c>
      <c r="E20" s="320">
        <f t="shared" si="0"/>
        <v>278.55317550000001</v>
      </c>
      <c r="F20" s="320">
        <f t="shared" si="1"/>
        <v>278.57959510000001</v>
      </c>
    </row>
    <row r="21" spans="1:6" x14ac:dyDescent="0.25">
      <c r="A21">
        <v>2023</v>
      </c>
      <c r="B21">
        <v>276268836.30000001</v>
      </c>
      <c r="C21">
        <v>276445339</v>
      </c>
      <c r="D21">
        <v>2023</v>
      </c>
      <c r="E21" s="320">
        <f t="shared" si="0"/>
        <v>276.26883630000003</v>
      </c>
      <c r="F21" s="320">
        <f t="shared" si="1"/>
        <v>276.44533899999999</v>
      </c>
    </row>
    <row r="22" spans="1:6" x14ac:dyDescent="0.25">
      <c r="A22">
        <v>2024</v>
      </c>
      <c r="B22">
        <v>277278323.80000001</v>
      </c>
      <c r="C22">
        <v>269988715.39999998</v>
      </c>
      <c r="D22">
        <v>2024</v>
      </c>
      <c r="E22" s="320">
        <f t="shared" si="0"/>
        <v>277.27832380000001</v>
      </c>
      <c r="F22" s="320">
        <f t="shared" si="1"/>
        <v>269.98871539999999</v>
      </c>
    </row>
    <row r="23" spans="1:6" x14ac:dyDescent="0.25">
      <c r="A23">
        <v>2025</v>
      </c>
      <c r="B23">
        <v>276428390.89999998</v>
      </c>
      <c r="C23">
        <v>264637490.69999999</v>
      </c>
      <c r="D23">
        <v>2025</v>
      </c>
      <c r="E23" s="320">
        <f t="shared" si="0"/>
        <v>276.42839089999995</v>
      </c>
      <c r="F23" s="320">
        <f t="shared" si="1"/>
        <v>264.6374907</v>
      </c>
    </row>
    <row r="24" spans="1:6" x14ac:dyDescent="0.25">
      <c r="A24">
        <v>2026</v>
      </c>
      <c r="B24">
        <v>274348470.5</v>
      </c>
      <c r="C24">
        <v>254226016.59999999</v>
      </c>
      <c r="D24">
        <v>2026</v>
      </c>
      <c r="E24" s="320">
        <f t="shared" si="0"/>
        <v>274.34847050000002</v>
      </c>
      <c r="F24" s="320">
        <f t="shared" si="1"/>
        <v>254.22601659999998</v>
      </c>
    </row>
    <row r="25" spans="1:6" x14ac:dyDescent="0.25">
      <c r="A25">
        <v>2027</v>
      </c>
      <c r="B25">
        <v>273570965.80000001</v>
      </c>
      <c r="C25">
        <v>243208290.30000001</v>
      </c>
      <c r="D25">
        <v>2027</v>
      </c>
      <c r="E25" s="320">
        <f t="shared" si="0"/>
        <v>273.57096580000001</v>
      </c>
      <c r="F25" s="320">
        <f t="shared" si="1"/>
        <v>243.20829030000002</v>
      </c>
    </row>
    <row r="26" spans="1:6" x14ac:dyDescent="0.25">
      <c r="A26">
        <v>2028</v>
      </c>
      <c r="B26">
        <v>272519016.30000001</v>
      </c>
      <c r="C26">
        <v>233320548.19999999</v>
      </c>
      <c r="D26">
        <v>2028</v>
      </c>
      <c r="E26" s="320">
        <f t="shared" si="0"/>
        <v>272.51901630000003</v>
      </c>
      <c r="F26" s="320">
        <f t="shared" si="1"/>
        <v>233.32054819999999</v>
      </c>
    </row>
    <row r="27" spans="1:6" x14ac:dyDescent="0.25">
      <c r="A27">
        <v>2029</v>
      </c>
      <c r="B27">
        <v>271433436.69999999</v>
      </c>
      <c r="C27">
        <v>223118619.80000001</v>
      </c>
      <c r="D27">
        <v>2029</v>
      </c>
      <c r="E27" s="320">
        <f t="shared" si="0"/>
        <v>271.43343670000002</v>
      </c>
      <c r="F27" s="320">
        <f t="shared" si="1"/>
        <v>223.1186198</v>
      </c>
    </row>
    <row r="28" spans="1:6" x14ac:dyDescent="0.25">
      <c r="A28">
        <v>2030</v>
      </c>
      <c r="B28">
        <v>269889251.10000002</v>
      </c>
      <c r="C28">
        <v>212842261.69999999</v>
      </c>
      <c r="D28">
        <v>2030</v>
      </c>
      <c r="E28" s="320">
        <f t="shared" si="0"/>
        <v>269.88925110000002</v>
      </c>
      <c r="F28" s="320">
        <f t="shared" si="1"/>
        <v>212.84226169999999</v>
      </c>
    </row>
    <row r="29" spans="1:6" x14ac:dyDescent="0.25">
      <c r="A29">
        <v>2031</v>
      </c>
      <c r="B29">
        <v>268725804.10000002</v>
      </c>
      <c r="C29">
        <v>202210418.90000001</v>
      </c>
      <c r="D29">
        <v>2031</v>
      </c>
      <c r="E29" s="320">
        <f t="shared" si="0"/>
        <v>268.7258041</v>
      </c>
      <c r="F29" s="320">
        <f t="shared" si="1"/>
        <v>202.21041890000001</v>
      </c>
    </row>
    <row r="30" spans="1:6" x14ac:dyDescent="0.25">
      <c r="A30">
        <v>2032</v>
      </c>
      <c r="B30">
        <v>267750721.59999999</v>
      </c>
      <c r="C30">
        <v>191769349.69999999</v>
      </c>
      <c r="D30">
        <v>2032</v>
      </c>
      <c r="E30" s="320">
        <f t="shared" si="0"/>
        <v>267.75072160000002</v>
      </c>
      <c r="F30" s="320">
        <f t="shared" si="1"/>
        <v>191.76934969999999</v>
      </c>
    </row>
    <row r="31" spans="1:6" x14ac:dyDescent="0.25">
      <c r="A31">
        <v>2033</v>
      </c>
      <c r="B31">
        <v>266854991.90000001</v>
      </c>
      <c r="C31">
        <v>181945812.5</v>
      </c>
      <c r="D31">
        <v>2033</v>
      </c>
      <c r="E31" s="320">
        <f t="shared" si="0"/>
        <v>266.85499190000002</v>
      </c>
      <c r="F31" s="320">
        <f t="shared" si="1"/>
        <v>181.94581249999999</v>
      </c>
    </row>
    <row r="32" spans="1:6" x14ac:dyDescent="0.25">
      <c r="A32">
        <v>2034</v>
      </c>
      <c r="B32">
        <v>265898060.59999999</v>
      </c>
      <c r="C32">
        <v>172424050.5</v>
      </c>
      <c r="D32">
        <v>2034</v>
      </c>
      <c r="E32" s="320">
        <f t="shared" si="0"/>
        <v>265.89806060000001</v>
      </c>
      <c r="F32" s="320">
        <f t="shared" si="1"/>
        <v>172.42405049999999</v>
      </c>
    </row>
    <row r="33" spans="1:6" x14ac:dyDescent="0.25">
      <c r="A33">
        <v>2035</v>
      </c>
      <c r="B33">
        <v>264985311.59999999</v>
      </c>
      <c r="C33">
        <v>163286129.90000001</v>
      </c>
      <c r="D33">
        <v>2035</v>
      </c>
      <c r="E33" s="320">
        <f t="shared" si="0"/>
        <v>264.98531159999999</v>
      </c>
      <c r="F33" s="320">
        <f t="shared" si="1"/>
        <v>163.28612990000002</v>
      </c>
    </row>
    <row r="34" spans="1:6" x14ac:dyDescent="0.25">
      <c r="A34">
        <v>2036</v>
      </c>
      <c r="B34">
        <v>264420936.09999999</v>
      </c>
      <c r="C34">
        <v>153436583.30000001</v>
      </c>
      <c r="D34">
        <v>2036</v>
      </c>
      <c r="E34" s="320">
        <f t="shared" si="0"/>
        <v>264.42093610000001</v>
      </c>
      <c r="F34" s="320">
        <f t="shared" si="1"/>
        <v>153.43658330000002</v>
      </c>
    </row>
    <row r="35" spans="1:6" x14ac:dyDescent="0.25">
      <c r="A35">
        <v>2037</v>
      </c>
      <c r="B35">
        <v>263916768.40000001</v>
      </c>
      <c r="C35">
        <v>143909184</v>
      </c>
      <c r="D35">
        <v>2037</v>
      </c>
      <c r="E35" s="320">
        <f t="shared" si="0"/>
        <v>263.91676840000002</v>
      </c>
      <c r="F35" s="320">
        <f t="shared" si="1"/>
        <v>143.90918400000001</v>
      </c>
    </row>
    <row r="36" spans="1:6" x14ac:dyDescent="0.25">
      <c r="A36">
        <v>2038</v>
      </c>
      <c r="B36">
        <v>263412059.09999999</v>
      </c>
      <c r="C36">
        <v>134768510</v>
      </c>
      <c r="D36">
        <v>2038</v>
      </c>
      <c r="E36" s="320">
        <f t="shared" si="0"/>
        <v>263.41205910000002</v>
      </c>
      <c r="F36" s="320">
        <f t="shared" si="1"/>
        <v>134.76850999999999</v>
      </c>
    </row>
    <row r="37" spans="1:6" x14ac:dyDescent="0.25">
      <c r="A37">
        <v>2039</v>
      </c>
      <c r="B37">
        <v>262967553.30000001</v>
      </c>
      <c r="C37">
        <v>126344281.3</v>
      </c>
      <c r="D37">
        <v>2039</v>
      </c>
      <c r="E37" s="320">
        <f t="shared" si="0"/>
        <v>262.96755330000002</v>
      </c>
      <c r="F37" s="320">
        <f t="shared" si="1"/>
        <v>126.34428129999999</v>
      </c>
    </row>
    <row r="38" spans="1:6" x14ac:dyDescent="0.25">
      <c r="A38">
        <v>2040</v>
      </c>
      <c r="B38">
        <v>262556757.59999999</v>
      </c>
      <c r="C38">
        <v>118097289.09999999</v>
      </c>
      <c r="D38">
        <v>2040</v>
      </c>
      <c r="E38" s="320">
        <f t="shared" si="0"/>
        <v>262.55675759999997</v>
      </c>
      <c r="F38" s="320">
        <f t="shared" si="1"/>
        <v>118.0972891</v>
      </c>
    </row>
    <row r="39" spans="1:6" x14ac:dyDescent="0.25">
      <c r="A39">
        <v>2041</v>
      </c>
      <c r="B39">
        <v>261534356.09999999</v>
      </c>
      <c r="C39">
        <v>114089664.40000001</v>
      </c>
      <c r="D39">
        <v>2041</v>
      </c>
      <c r="E39" s="320">
        <f t="shared" si="0"/>
        <v>261.53435609999997</v>
      </c>
      <c r="F39" s="320">
        <f t="shared" si="1"/>
        <v>114.0896644</v>
      </c>
    </row>
    <row r="40" spans="1:6" x14ac:dyDescent="0.25">
      <c r="A40">
        <v>2042</v>
      </c>
      <c r="B40">
        <v>260514512.5</v>
      </c>
      <c r="C40">
        <v>110071642.5</v>
      </c>
      <c r="D40">
        <v>2042</v>
      </c>
      <c r="E40" s="320">
        <f t="shared" si="0"/>
        <v>260.51451250000002</v>
      </c>
      <c r="F40" s="320">
        <f t="shared" si="1"/>
        <v>110.0716425</v>
      </c>
    </row>
    <row r="41" spans="1:6" x14ac:dyDescent="0.25">
      <c r="A41">
        <v>2043</v>
      </c>
      <c r="B41">
        <v>259406434.40000001</v>
      </c>
      <c r="C41">
        <v>106053162.90000001</v>
      </c>
      <c r="D41">
        <v>2043</v>
      </c>
      <c r="E41" s="320">
        <f t="shared" si="0"/>
        <v>259.40643440000002</v>
      </c>
      <c r="F41" s="320">
        <f t="shared" si="1"/>
        <v>106.0531629</v>
      </c>
    </row>
    <row r="42" spans="1:6" x14ac:dyDescent="0.25">
      <c r="A42">
        <v>2044</v>
      </c>
      <c r="B42">
        <v>258277819.40000001</v>
      </c>
      <c r="C42">
        <v>101983950.59999999</v>
      </c>
      <c r="D42">
        <v>2044</v>
      </c>
      <c r="E42" s="320">
        <f t="shared" si="0"/>
        <v>258.2778194</v>
      </c>
      <c r="F42" s="320">
        <f t="shared" si="1"/>
        <v>101.9839506</v>
      </c>
    </row>
    <row r="43" spans="1:6" x14ac:dyDescent="0.25">
      <c r="A43">
        <v>2045</v>
      </c>
      <c r="B43">
        <v>256911142.19999999</v>
      </c>
      <c r="C43">
        <v>97597415.390000001</v>
      </c>
      <c r="D43">
        <v>2045</v>
      </c>
      <c r="E43" s="320">
        <f t="shared" si="0"/>
        <v>256.91114219999997</v>
      </c>
      <c r="F43" s="320">
        <f t="shared" si="1"/>
        <v>97.597415389999995</v>
      </c>
    </row>
    <row r="44" spans="1:6" x14ac:dyDescent="0.25">
      <c r="A44">
        <v>2046</v>
      </c>
      <c r="B44">
        <v>256859376.5</v>
      </c>
      <c r="C44">
        <v>94186015.819999903</v>
      </c>
      <c r="D44">
        <v>2046</v>
      </c>
      <c r="E44" s="320">
        <f t="shared" si="0"/>
        <v>256.8593765</v>
      </c>
      <c r="F44" s="320">
        <f t="shared" si="1"/>
        <v>94.186015819999909</v>
      </c>
    </row>
    <row r="45" spans="1:6" x14ac:dyDescent="0.25">
      <c r="A45">
        <v>2047</v>
      </c>
      <c r="B45">
        <v>256913370.69999999</v>
      </c>
      <c r="C45">
        <v>91295731.659999996</v>
      </c>
      <c r="D45">
        <v>2047</v>
      </c>
      <c r="E45" s="320">
        <f t="shared" si="0"/>
        <v>256.91337069999997</v>
      </c>
      <c r="F45" s="320">
        <f t="shared" si="1"/>
        <v>91.295731660000001</v>
      </c>
    </row>
    <row r="46" spans="1:6" x14ac:dyDescent="0.25">
      <c r="A46">
        <v>2048</v>
      </c>
      <c r="B46">
        <v>256941079.40000001</v>
      </c>
      <c r="C46">
        <v>89090550.659999996</v>
      </c>
      <c r="D46">
        <v>2048</v>
      </c>
      <c r="E46" s="320">
        <f t="shared" si="0"/>
        <v>256.94107939999998</v>
      </c>
      <c r="F46" s="320">
        <f t="shared" si="1"/>
        <v>89.090550659999991</v>
      </c>
    </row>
    <row r="47" spans="1:6" x14ac:dyDescent="0.25">
      <c r="A47">
        <v>2049</v>
      </c>
      <c r="B47">
        <v>256949233</v>
      </c>
      <c r="C47">
        <v>87016371.359999999</v>
      </c>
      <c r="D47">
        <v>2049</v>
      </c>
      <c r="E47" s="320">
        <f t="shared" si="0"/>
        <v>256.94923299999999</v>
      </c>
      <c r="F47" s="320">
        <f t="shared" si="1"/>
        <v>87.016371359999994</v>
      </c>
    </row>
    <row r="48" spans="1:6" x14ac:dyDescent="0.25">
      <c r="A48">
        <v>2050</v>
      </c>
      <c r="B48">
        <v>257080596.40000001</v>
      </c>
      <c r="C48">
        <v>84965323.25</v>
      </c>
      <c r="D48">
        <v>2050</v>
      </c>
      <c r="E48" s="320">
        <f t="shared" si="0"/>
        <v>257.08059639999999</v>
      </c>
      <c r="F48" s="320">
        <f t="shared" si="1"/>
        <v>84.965323249999997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Feuil18"/>
  <dimension ref="B4:B11"/>
  <sheetViews>
    <sheetView workbookViewId="0">
      <selection activeCell="B4" sqref="B4"/>
    </sheetView>
  </sheetViews>
  <sheetFormatPr baseColWidth="10" defaultRowHeight="15" x14ac:dyDescent="0.25"/>
  <cols>
    <col min="2" max="2" width="68.5703125" customWidth="1"/>
  </cols>
  <sheetData>
    <row r="4" spans="2:2" x14ac:dyDescent="0.25">
      <c r="B4" t="str">
        <f>Résultats!B1&amp;" : Energie finale par usage et énergie primaire (Mtep)"</f>
        <v>SNBC3 : Energie finale par usage et énergie primaire (Mtep)</v>
      </c>
    </row>
    <row r="5" spans="2:2" x14ac:dyDescent="0.25">
      <c r="B5" t="str">
        <f>Résultats!B1&amp;" : Ventilation du mix énergie (Mtep)"</f>
        <v>SNBC3 : Ventilation du mix énergie (Mtep)</v>
      </c>
    </row>
    <row r="6" spans="2:2" x14ac:dyDescent="0.25">
      <c r="B6" t="str">
        <f>Résultats!B1&amp;" : Ventilation du mix electrique (%)"</f>
        <v>SNBC3 : Ventilation du mix electrique (%)</v>
      </c>
    </row>
    <row r="7" spans="2:2" x14ac:dyDescent="0.25">
      <c r="B7" t="str">
        <f>Résultats!B1&amp;" : Ventilation du mix carburant (%)"</f>
        <v>SNBC3 : Ventilation du mix carburant (%)</v>
      </c>
    </row>
    <row r="8" spans="2:2" x14ac:dyDescent="0.25">
      <c r="B8" t="str">
        <f>Résultats!B1&amp;" : Ventilation du mix gaz (%)"</f>
        <v>SNBC3 : Ventilation du mix gaz (%)</v>
      </c>
    </row>
    <row r="9" spans="2:2" x14ac:dyDescent="0.25">
      <c r="B9" t="str">
        <f>Résultats!B1&amp;" : Emissions CO2 (Mt.eqCO2)"</f>
        <v>SNBC3 : Emissions CO2 (Mt.eqCO2)</v>
      </c>
    </row>
    <row r="10" spans="2:2" x14ac:dyDescent="0.25">
      <c r="B10" t="str">
        <f>Résultats!B1&amp;" : Ventilation du parc auto (%)"</f>
        <v>SNBC3 : Ventilation du parc auto (%)</v>
      </c>
    </row>
    <row r="11" spans="2:2" x14ac:dyDescent="0.25">
      <c r="B11" t="str">
        <f>Résultats!B1&amp;" : Ventilation du parc de logements (%)"</f>
        <v>SNBC3 : Ventilation du parc de logements (%)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Feuilles de calcul</vt:lpstr>
      </vt:variant>
      <vt:variant>
        <vt:i4>9</vt:i4>
      </vt:variant>
      <vt:variant>
        <vt:lpstr>Graphiques</vt:lpstr>
      </vt:variant>
      <vt:variant>
        <vt:i4>10</vt:i4>
      </vt:variant>
      <vt:variant>
        <vt:lpstr>Plages nommées</vt:lpstr>
      </vt:variant>
      <vt:variant>
        <vt:i4>2</vt:i4>
      </vt:variant>
    </vt:vector>
  </HeadingPairs>
  <TitlesOfParts>
    <vt:vector size="21" baseType="lpstr">
      <vt:lpstr>T energie vecteurs</vt:lpstr>
      <vt:lpstr>T energie usages</vt:lpstr>
      <vt:lpstr>T transport</vt:lpstr>
      <vt:lpstr>Résultats</vt:lpstr>
      <vt:lpstr>T CO2</vt:lpstr>
      <vt:lpstr>T logement</vt:lpstr>
      <vt:lpstr>T parc auto</vt:lpstr>
      <vt:lpstr>Feuil1</vt:lpstr>
      <vt:lpstr>Table Graphs</vt:lpstr>
      <vt:lpstr>Graphique1</vt:lpstr>
      <vt:lpstr>Graphique2</vt:lpstr>
      <vt:lpstr>Graphique3</vt:lpstr>
      <vt:lpstr>Graphique4</vt:lpstr>
      <vt:lpstr>Graphique5</vt:lpstr>
      <vt:lpstr>Graphique6</vt:lpstr>
      <vt:lpstr>Graphique7</vt:lpstr>
      <vt:lpstr>Graphique8</vt:lpstr>
      <vt:lpstr>Graphique9</vt:lpstr>
      <vt:lpstr>Graphique10</vt:lpstr>
      <vt:lpstr>'T parc auto'!Zone_d_impression</vt:lpstr>
      <vt:lpstr>'T transport'!Zone_d_impression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GISSELA LANDA RIVERA</dc:creator>
  <cp:lastModifiedBy>CALLONNEC Gaël</cp:lastModifiedBy>
  <cp:lastPrinted>2018-11-29T16:44:02Z</cp:lastPrinted>
  <dcterms:created xsi:type="dcterms:W3CDTF">2016-06-15T08:53:28Z</dcterms:created>
  <dcterms:modified xsi:type="dcterms:W3CDTF">2025-09-17T17:49:43Z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8ce3bfb-fff1-481a-835b-0a342757958d_Enabled">
    <vt:lpwstr>true</vt:lpwstr>
  </property>
  <property fmtid="{D5CDD505-2E9C-101B-9397-08002B2CF9AE}" pid="3" name="MSIP_Label_98ce3bfb-fff1-481a-835b-0a342757958d_SetDate">
    <vt:lpwstr>2025-03-12T13:29:27Z</vt:lpwstr>
  </property>
  <property fmtid="{D5CDD505-2E9C-101B-9397-08002B2CF9AE}" pid="4" name="MSIP_Label_98ce3bfb-fff1-481a-835b-0a342757958d_Method">
    <vt:lpwstr>Standard</vt:lpwstr>
  </property>
  <property fmtid="{D5CDD505-2E9C-101B-9397-08002B2CF9AE}" pid="5" name="MSIP_Label_98ce3bfb-fff1-481a-835b-0a342757958d_Name">
    <vt:lpwstr>C0 - Public</vt:lpwstr>
  </property>
  <property fmtid="{D5CDD505-2E9C-101B-9397-08002B2CF9AE}" pid="6" name="MSIP_Label_98ce3bfb-fff1-481a-835b-0a342757958d_SiteId">
    <vt:lpwstr>cb6c2492-4a85-4b15-85a1-ed94d47e5849</vt:lpwstr>
  </property>
  <property fmtid="{D5CDD505-2E9C-101B-9397-08002B2CF9AE}" pid="7" name="MSIP_Label_98ce3bfb-fff1-481a-835b-0a342757958d_ActionId">
    <vt:lpwstr>3cca8261-751f-4fae-93e7-83dd1c3f6774</vt:lpwstr>
  </property>
  <property fmtid="{D5CDD505-2E9C-101B-9397-08002B2CF9AE}" pid="8" name="MSIP_Label_98ce3bfb-fff1-481a-835b-0a342757958d_ContentBits">
    <vt:lpwstr>0</vt:lpwstr>
  </property>
  <property fmtid="{D5CDD505-2E9C-101B-9397-08002B2CF9AE}" pid="9" name="MSIP_Label_98ce3bfb-fff1-481a-835b-0a342757958d_Tag">
    <vt:lpwstr>10, 3, 0, 1</vt:lpwstr>
  </property>
</Properties>
</file>