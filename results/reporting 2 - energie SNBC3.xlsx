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worksheets/sheet8.xml" ContentType="application/vnd.openxmlformats-officedocument.spreadsheetml.work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thub\ThreeME\results\"/>
    </mc:Choice>
  </mc:AlternateContent>
  <xr:revisionPtr revIDLastSave="0" documentId="13_ncr:1_{8E9B8372-1975-4ED7-AF7B-3AC0BF84C2BB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T energie vecteurs" sheetId="13" r:id="rId1"/>
    <sheet name="T energie usages" sheetId="16" r:id="rId2"/>
    <sheet name="T transport" sheetId="32" r:id="rId3"/>
    <sheet name="Résultats" sheetId="2" r:id="rId4"/>
    <sheet name="T CO2" sheetId="31" r:id="rId5"/>
    <sheet name="T logement" sheetId="14" r:id="rId6"/>
    <sheet name="Graphique1" sheetId="27" r:id="rId7"/>
    <sheet name="Graphique2" sheetId="30" r:id="rId8"/>
    <sheet name="Graphique3" sheetId="22" r:id="rId9"/>
    <sheet name="Graphique4" sheetId="23" r:id="rId10"/>
    <sheet name="Graphique5" sheetId="24" r:id="rId11"/>
    <sheet name="Graphique6" sheetId="26" r:id="rId12"/>
    <sheet name="T parc auto" sheetId="25" r:id="rId13"/>
    <sheet name="Graphique7" sheetId="28" r:id="rId14"/>
    <sheet name="Feuil1" sheetId="34" r:id="rId15"/>
    <sheet name="Graphique8" sheetId="29" r:id="rId16"/>
    <sheet name="Graphique9" sheetId="19" r:id="rId17"/>
    <sheet name="Graphique10" sheetId="20" r:id="rId18"/>
    <sheet name="Table Graphs" sheetId="33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Print_Area" localSheetId="12">'T parc auto'!$C$26:$AM$107</definedName>
    <definedName name="_xlnm.Print_Area" localSheetId="2">'T transport'!$B$1:$AU$32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8" i="31" l="1"/>
  <c r="D78" i="31"/>
  <c r="G77" i="31"/>
  <c r="F77" i="31"/>
  <c r="D77" i="31"/>
  <c r="C77" i="31"/>
  <c r="F75" i="31"/>
  <c r="D75" i="31"/>
  <c r="C75" i="31"/>
  <c r="F74" i="31"/>
  <c r="D74" i="31"/>
  <c r="C74" i="31"/>
  <c r="F73" i="31"/>
  <c r="D73" i="31"/>
  <c r="F72" i="31"/>
  <c r="D72" i="31"/>
  <c r="F65" i="31"/>
  <c r="D65" i="31"/>
  <c r="G64" i="31"/>
  <c r="F64" i="31"/>
  <c r="F63" i="31" s="1"/>
  <c r="D64" i="31"/>
  <c r="D63" i="31" s="1"/>
  <c r="C64" i="31"/>
  <c r="F62" i="31"/>
  <c r="D62" i="31"/>
  <c r="C62" i="31"/>
  <c r="F61" i="31"/>
  <c r="D61" i="31"/>
  <c r="C61" i="31"/>
  <c r="F60" i="31"/>
  <c r="D60" i="31"/>
  <c r="F59" i="31"/>
  <c r="D59" i="31"/>
  <c r="F52" i="31"/>
  <c r="F50" i="31" s="1"/>
  <c r="D52" i="31"/>
  <c r="G51" i="31"/>
  <c r="F51" i="31"/>
  <c r="D51" i="31"/>
  <c r="D50" i="31" s="1"/>
  <c r="C51" i="31"/>
  <c r="F49" i="31"/>
  <c r="D49" i="31"/>
  <c r="C49" i="31"/>
  <c r="F48" i="31"/>
  <c r="D48" i="31"/>
  <c r="C48" i="31"/>
  <c r="F47" i="31"/>
  <c r="D47" i="31"/>
  <c r="F46" i="31"/>
  <c r="F45" i="31" s="1"/>
  <c r="D46" i="31"/>
  <c r="F39" i="31"/>
  <c r="D39" i="31"/>
  <c r="G38" i="31"/>
  <c r="F38" i="31"/>
  <c r="D38" i="31"/>
  <c r="C38" i="31"/>
  <c r="C37" i="31" s="1"/>
  <c r="F36" i="31"/>
  <c r="D36" i="31"/>
  <c r="C36" i="31"/>
  <c r="F35" i="31"/>
  <c r="D35" i="31"/>
  <c r="C35" i="31"/>
  <c r="F34" i="31"/>
  <c r="D34" i="31"/>
  <c r="F33" i="31"/>
  <c r="D33" i="31"/>
  <c r="F26" i="31"/>
  <c r="D26" i="31"/>
  <c r="G25" i="31"/>
  <c r="F25" i="31"/>
  <c r="D25" i="31"/>
  <c r="C25" i="31"/>
  <c r="C24" i="31" s="1"/>
  <c r="F23" i="31"/>
  <c r="D23" i="31"/>
  <c r="C23" i="31"/>
  <c r="F22" i="31"/>
  <c r="D22" i="31"/>
  <c r="C22" i="31"/>
  <c r="F21" i="31"/>
  <c r="F19" i="31" s="1"/>
  <c r="D21" i="31"/>
  <c r="F20" i="31"/>
  <c r="D20" i="31"/>
  <c r="D19" i="31" s="1"/>
  <c r="G76" i="31"/>
  <c r="G79" i="31" s="1"/>
  <c r="F76" i="31"/>
  <c r="G71" i="31"/>
  <c r="C71" i="31"/>
  <c r="G63" i="31"/>
  <c r="C63" i="31"/>
  <c r="G58" i="31"/>
  <c r="C58" i="31"/>
  <c r="G45" i="31"/>
  <c r="C45" i="31"/>
  <c r="F37" i="31"/>
  <c r="G37" i="31"/>
  <c r="F32" i="31"/>
  <c r="G32" i="31"/>
  <c r="C32" i="31"/>
  <c r="G24" i="31"/>
  <c r="G19" i="31"/>
  <c r="C19" i="31"/>
  <c r="F7" i="31"/>
  <c r="D7" i="31"/>
  <c r="F9" i="31"/>
  <c r="D9" i="31"/>
  <c r="E3" i="34"/>
  <c r="F3" i="34"/>
  <c r="E4" i="34"/>
  <c r="F4" i="34"/>
  <c r="E5" i="34"/>
  <c r="F5" i="34"/>
  <c r="E6" i="34"/>
  <c r="F6" i="34"/>
  <c r="E7" i="34"/>
  <c r="F7" i="34"/>
  <c r="E8" i="34"/>
  <c r="F8" i="34"/>
  <c r="E9" i="34"/>
  <c r="F9" i="34"/>
  <c r="E10" i="34"/>
  <c r="F10" i="34"/>
  <c r="E11" i="34"/>
  <c r="F11" i="34"/>
  <c r="E12" i="34"/>
  <c r="F12" i="34"/>
  <c r="E13" i="34"/>
  <c r="F13" i="34"/>
  <c r="E14" i="34"/>
  <c r="F14" i="34"/>
  <c r="E15" i="34"/>
  <c r="F15" i="34"/>
  <c r="E16" i="34"/>
  <c r="F16" i="34"/>
  <c r="E17" i="34"/>
  <c r="F17" i="34"/>
  <c r="E18" i="34"/>
  <c r="F18" i="34"/>
  <c r="E19" i="34"/>
  <c r="F19" i="34"/>
  <c r="E20" i="34"/>
  <c r="F20" i="34"/>
  <c r="E21" i="34"/>
  <c r="F21" i="34"/>
  <c r="E22" i="34"/>
  <c r="F22" i="34"/>
  <c r="E23" i="34"/>
  <c r="F23" i="34"/>
  <c r="E24" i="34"/>
  <c r="F24" i="34"/>
  <c r="E25" i="34"/>
  <c r="F25" i="34"/>
  <c r="E26" i="34"/>
  <c r="F26" i="34"/>
  <c r="E27" i="34"/>
  <c r="F27" i="34"/>
  <c r="E28" i="34"/>
  <c r="F28" i="34"/>
  <c r="E29" i="34"/>
  <c r="F29" i="34"/>
  <c r="E30" i="34"/>
  <c r="F30" i="34"/>
  <c r="E31" i="34"/>
  <c r="F31" i="34"/>
  <c r="E32" i="34"/>
  <c r="F32" i="34"/>
  <c r="E33" i="34"/>
  <c r="F33" i="34"/>
  <c r="E34" i="34"/>
  <c r="F34" i="34"/>
  <c r="E35" i="34"/>
  <c r="F35" i="34"/>
  <c r="E36" i="34"/>
  <c r="F36" i="34"/>
  <c r="E37" i="34"/>
  <c r="F37" i="34"/>
  <c r="E38" i="34"/>
  <c r="F38" i="34"/>
  <c r="E39" i="34"/>
  <c r="F39" i="34"/>
  <c r="E40" i="34"/>
  <c r="F40" i="34"/>
  <c r="E41" i="34"/>
  <c r="F41" i="34"/>
  <c r="E42" i="34"/>
  <c r="F42" i="34"/>
  <c r="E43" i="34"/>
  <c r="F43" i="34"/>
  <c r="E44" i="34"/>
  <c r="F44" i="34"/>
  <c r="E45" i="34"/>
  <c r="F45" i="34"/>
  <c r="E46" i="34"/>
  <c r="F46" i="34"/>
  <c r="E47" i="34"/>
  <c r="F47" i="34"/>
  <c r="E48" i="34"/>
  <c r="F48" i="34"/>
  <c r="F2" i="34"/>
  <c r="E2" i="34"/>
  <c r="F24" i="31" l="1"/>
  <c r="F71" i="31"/>
  <c r="F79" i="31" s="1"/>
  <c r="C50" i="31"/>
  <c r="D76" i="31"/>
  <c r="G40" i="31"/>
  <c r="F58" i="31"/>
  <c r="F66" i="31" s="1"/>
  <c r="C76" i="31"/>
  <c r="C79" i="31" s="1"/>
  <c r="G66" i="31"/>
  <c r="F53" i="31"/>
  <c r="D45" i="31"/>
  <c r="D53" i="31" s="1"/>
  <c r="F40" i="31"/>
  <c r="F27" i="31"/>
  <c r="G27" i="31"/>
  <c r="D71" i="31"/>
  <c r="C66" i="31"/>
  <c r="D58" i="31"/>
  <c r="D66" i="31" s="1"/>
  <c r="G50" i="31"/>
  <c r="G53" i="31" s="1"/>
  <c r="C53" i="31"/>
  <c r="D32" i="31"/>
  <c r="C40" i="31"/>
  <c r="D37" i="31"/>
  <c r="D24" i="31"/>
  <c r="C27" i="31"/>
  <c r="R58" i="16"/>
  <c r="Q58" i="16"/>
  <c r="P58" i="16"/>
  <c r="O58" i="16"/>
  <c r="R57" i="16"/>
  <c r="P57" i="16"/>
  <c r="O57" i="16"/>
  <c r="R56" i="16"/>
  <c r="Q56" i="16"/>
  <c r="P56" i="16"/>
  <c r="O56" i="16"/>
  <c r="R54" i="16"/>
  <c r="Q54" i="16"/>
  <c r="P54" i="16"/>
  <c r="O54" i="16"/>
  <c r="R53" i="16"/>
  <c r="Q53" i="16"/>
  <c r="P53" i="16"/>
  <c r="O53" i="16"/>
  <c r="R50" i="16"/>
  <c r="Q50" i="16"/>
  <c r="P50" i="16"/>
  <c r="O50" i="16"/>
  <c r="R45" i="16"/>
  <c r="Q45" i="16"/>
  <c r="P45" i="16"/>
  <c r="O45" i="16"/>
  <c r="R44" i="16"/>
  <c r="P44" i="16"/>
  <c r="O44" i="16"/>
  <c r="R43" i="16"/>
  <c r="Q43" i="16"/>
  <c r="P43" i="16"/>
  <c r="O43" i="16"/>
  <c r="R41" i="16"/>
  <c r="Q41" i="16"/>
  <c r="P41" i="16"/>
  <c r="O41" i="16"/>
  <c r="R40" i="16"/>
  <c r="Q40" i="16"/>
  <c r="P40" i="16"/>
  <c r="O40" i="16"/>
  <c r="R37" i="16"/>
  <c r="Q37" i="16"/>
  <c r="P37" i="16"/>
  <c r="O37" i="16"/>
  <c r="R123" i="16"/>
  <c r="Q123" i="16"/>
  <c r="P123" i="16"/>
  <c r="O123" i="16"/>
  <c r="R122" i="16"/>
  <c r="P122" i="16"/>
  <c r="O122" i="16"/>
  <c r="R121" i="16"/>
  <c r="Q121" i="16"/>
  <c r="P121" i="16"/>
  <c r="O121" i="16"/>
  <c r="R119" i="16"/>
  <c r="Q119" i="16"/>
  <c r="P119" i="16"/>
  <c r="O119" i="16"/>
  <c r="R118" i="16"/>
  <c r="Q118" i="16"/>
  <c r="P118" i="16"/>
  <c r="O118" i="16"/>
  <c r="R115" i="16"/>
  <c r="Q115" i="16"/>
  <c r="P115" i="16"/>
  <c r="O115" i="16"/>
  <c r="R110" i="16"/>
  <c r="Q110" i="16"/>
  <c r="P110" i="16"/>
  <c r="O110" i="16"/>
  <c r="R109" i="16"/>
  <c r="P109" i="16"/>
  <c r="O109" i="16"/>
  <c r="R108" i="16"/>
  <c r="Q108" i="16"/>
  <c r="P108" i="16"/>
  <c r="O108" i="16"/>
  <c r="R106" i="16"/>
  <c r="Q106" i="16"/>
  <c r="P106" i="16"/>
  <c r="O106" i="16"/>
  <c r="R105" i="16"/>
  <c r="Q105" i="16"/>
  <c r="P105" i="16"/>
  <c r="O105" i="16"/>
  <c r="R102" i="16"/>
  <c r="Q102" i="16"/>
  <c r="P102" i="16"/>
  <c r="O102" i="16"/>
  <c r="R97" i="16"/>
  <c r="Q97" i="16"/>
  <c r="P97" i="16"/>
  <c r="O97" i="16"/>
  <c r="R96" i="16"/>
  <c r="P96" i="16"/>
  <c r="O96" i="16"/>
  <c r="R95" i="16"/>
  <c r="Q95" i="16"/>
  <c r="P95" i="16"/>
  <c r="O95" i="16"/>
  <c r="R93" i="16"/>
  <c r="Q93" i="16"/>
  <c r="P93" i="16"/>
  <c r="O93" i="16"/>
  <c r="R92" i="16"/>
  <c r="Q92" i="16"/>
  <c r="P92" i="16"/>
  <c r="O92" i="16"/>
  <c r="R89" i="16"/>
  <c r="Q89" i="16"/>
  <c r="P89" i="16"/>
  <c r="O89" i="16"/>
  <c r="R84" i="16"/>
  <c r="Q84" i="16"/>
  <c r="P84" i="16"/>
  <c r="O84" i="16"/>
  <c r="R83" i="16"/>
  <c r="P83" i="16"/>
  <c r="O83" i="16"/>
  <c r="R82" i="16"/>
  <c r="Q82" i="16"/>
  <c r="P82" i="16"/>
  <c r="O82" i="16"/>
  <c r="R80" i="16"/>
  <c r="Q80" i="16"/>
  <c r="P80" i="16"/>
  <c r="O80" i="16"/>
  <c r="R79" i="16"/>
  <c r="Q79" i="16"/>
  <c r="P79" i="16"/>
  <c r="O79" i="16"/>
  <c r="R76" i="16"/>
  <c r="Q76" i="16"/>
  <c r="P76" i="16"/>
  <c r="O76" i="16"/>
  <c r="R71" i="16"/>
  <c r="Q71" i="16"/>
  <c r="P71" i="16"/>
  <c r="O71" i="16"/>
  <c r="R70" i="16"/>
  <c r="P70" i="16"/>
  <c r="O70" i="16"/>
  <c r="R69" i="16"/>
  <c r="Q69" i="16"/>
  <c r="P69" i="16"/>
  <c r="O69" i="16"/>
  <c r="R67" i="16"/>
  <c r="Q67" i="16"/>
  <c r="P67" i="16"/>
  <c r="O67" i="16"/>
  <c r="R66" i="16"/>
  <c r="Q66" i="16"/>
  <c r="P66" i="16"/>
  <c r="O66" i="16"/>
  <c r="R63" i="16"/>
  <c r="Q63" i="16"/>
  <c r="P63" i="16"/>
  <c r="O63" i="16"/>
  <c r="R32" i="16"/>
  <c r="Q32" i="16"/>
  <c r="P32" i="16"/>
  <c r="O32" i="16"/>
  <c r="R31" i="16"/>
  <c r="P31" i="16"/>
  <c r="O31" i="16"/>
  <c r="R30" i="16"/>
  <c r="Q30" i="16"/>
  <c r="P30" i="16"/>
  <c r="O30" i="16"/>
  <c r="R28" i="16"/>
  <c r="Q28" i="16"/>
  <c r="P28" i="16"/>
  <c r="O28" i="16"/>
  <c r="R27" i="16"/>
  <c r="Q27" i="16"/>
  <c r="P27" i="16"/>
  <c r="O27" i="16"/>
  <c r="R24" i="16"/>
  <c r="Q24" i="16"/>
  <c r="P24" i="16"/>
  <c r="O24" i="16"/>
  <c r="R19" i="16"/>
  <c r="Q19" i="16"/>
  <c r="P19" i="16"/>
  <c r="O19" i="16"/>
  <c r="R18" i="16"/>
  <c r="P18" i="16"/>
  <c r="O18" i="16"/>
  <c r="R17" i="16"/>
  <c r="Q17" i="16"/>
  <c r="P17" i="16"/>
  <c r="O17" i="16"/>
  <c r="R15" i="16"/>
  <c r="Q15" i="16"/>
  <c r="P15" i="16"/>
  <c r="O15" i="16"/>
  <c r="R14" i="16"/>
  <c r="Q14" i="16"/>
  <c r="P14" i="16"/>
  <c r="O14" i="16"/>
  <c r="R11" i="16"/>
  <c r="Q11" i="16"/>
  <c r="P11" i="16"/>
  <c r="O11" i="16"/>
  <c r="K14" i="16"/>
  <c r="K27" i="16"/>
  <c r="K40" i="16"/>
  <c r="K53" i="16"/>
  <c r="K66" i="16"/>
  <c r="K79" i="16"/>
  <c r="K92" i="16"/>
  <c r="K105" i="16"/>
  <c r="K118" i="16"/>
  <c r="D79" i="31" l="1"/>
  <c r="D40" i="31"/>
  <c r="D27" i="31"/>
  <c r="S14" i="16"/>
  <c r="T14" i="16" s="1"/>
  <c r="R55" i="16"/>
  <c r="Q55" i="16"/>
  <c r="Q42" i="16"/>
  <c r="P42" i="16"/>
  <c r="K58" i="16"/>
  <c r="J58" i="16"/>
  <c r="I58" i="16"/>
  <c r="H58" i="16"/>
  <c r="K57" i="16"/>
  <c r="J57" i="16"/>
  <c r="I57" i="16"/>
  <c r="H57" i="16"/>
  <c r="K56" i="16"/>
  <c r="J56" i="16"/>
  <c r="I56" i="16"/>
  <c r="H56" i="16"/>
  <c r="K54" i="16"/>
  <c r="J54" i="16"/>
  <c r="I54" i="16"/>
  <c r="H54" i="16"/>
  <c r="J53" i="16"/>
  <c r="I53" i="16"/>
  <c r="H53" i="16"/>
  <c r="K52" i="16"/>
  <c r="J52" i="16"/>
  <c r="I52" i="16"/>
  <c r="H52" i="16"/>
  <c r="K51" i="16"/>
  <c r="J51" i="16"/>
  <c r="I51" i="16"/>
  <c r="H51" i="16"/>
  <c r="K45" i="16"/>
  <c r="J45" i="16"/>
  <c r="I45" i="16"/>
  <c r="H45" i="16"/>
  <c r="K44" i="16"/>
  <c r="J44" i="16"/>
  <c r="I44" i="16"/>
  <c r="H44" i="16"/>
  <c r="K43" i="16"/>
  <c r="J43" i="16"/>
  <c r="I43" i="16"/>
  <c r="H43" i="16"/>
  <c r="K41" i="16"/>
  <c r="J41" i="16"/>
  <c r="I41" i="16"/>
  <c r="H41" i="16"/>
  <c r="J40" i="16"/>
  <c r="I40" i="16"/>
  <c r="H40" i="16"/>
  <c r="K39" i="16"/>
  <c r="J39" i="16"/>
  <c r="I39" i="16"/>
  <c r="H39" i="16"/>
  <c r="K38" i="16"/>
  <c r="J38" i="16"/>
  <c r="I38" i="16"/>
  <c r="H38" i="16"/>
  <c r="K110" i="16"/>
  <c r="J110" i="16"/>
  <c r="I110" i="16"/>
  <c r="H110" i="16"/>
  <c r="K109" i="16"/>
  <c r="J109" i="16"/>
  <c r="I109" i="16"/>
  <c r="H109" i="16"/>
  <c r="K108" i="16"/>
  <c r="J108" i="16"/>
  <c r="I108" i="16"/>
  <c r="H108" i="16"/>
  <c r="K106" i="16"/>
  <c r="J106" i="16"/>
  <c r="I106" i="16"/>
  <c r="H106" i="16"/>
  <c r="J105" i="16"/>
  <c r="I105" i="16"/>
  <c r="H105" i="16"/>
  <c r="K104" i="16"/>
  <c r="J104" i="16"/>
  <c r="I104" i="16"/>
  <c r="H104" i="16"/>
  <c r="K103" i="16"/>
  <c r="J103" i="16"/>
  <c r="I103" i="16"/>
  <c r="H103" i="16"/>
  <c r="AU20" i="32"/>
  <c r="AA20" i="32"/>
  <c r="Q20" i="32"/>
  <c r="AU17" i="32"/>
  <c r="AA17" i="32"/>
  <c r="Q17" i="32"/>
  <c r="BB10" i="32"/>
  <c r="BB9" i="32"/>
  <c r="BB8" i="32"/>
  <c r="BB7" i="32"/>
  <c r="H42" i="16" l="1"/>
  <c r="I42" i="16"/>
  <c r="J42" i="16"/>
  <c r="K42" i="16"/>
  <c r="H55" i="16"/>
  <c r="I55" i="16"/>
  <c r="J55" i="16"/>
  <c r="K55" i="16"/>
  <c r="S57" i="16"/>
  <c r="R42" i="16"/>
  <c r="R46" i="16" s="1"/>
  <c r="P55" i="16"/>
  <c r="P59" i="16" s="1"/>
  <c r="S37" i="16"/>
  <c r="T37" i="16" s="1"/>
  <c r="S41" i="16"/>
  <c r="T41" i="16" s="1"/>
  <c r="S45" i="16"/>
  <c r="T45" i="16" s="1"/>
  <c r="S54" i="16"/>
  <c r="T54" i="16" s="1"/>
  <c r="H50" i="16"/>
  <c r="K102" i="16"/>
  <c r="I37" i="16"/>
  <c r="L110" i="16"/>
  <c r="L40" i="16"/>
  <c r="R59" i="16"/>
  <c r="Q46" i="16"/>
  <c r="S44" i="16"/>
  <c r="S58" i="16"/>
  <c r="T58" i="16" s="1"/>
  <c r="S53" i="16"/>
  <c r="T53" i="16" s="1"/>
  <c r="O55" i="16"/>
  <c r="O59" i="16" s="1"/>
  <c r="Q59" i="16"/>
  <c r="S43" i="16"/>
  <c r="S56" i="16"/>
  <c r="L39" i="16"/>
  <c r="L54" i="16"/>
  <c r="L41" i="16"/>
  <c r="I102" i="16"/>
  <c r="L52" i="16"/>
  <c r="I107" i="16"/>
  <c r="L38" i="16"/>
  <c r="L45" i="16"/>
  <c r="L53" i="16"/>
  <c r="L57" i="16"/>
  <c r="L51" i="16"/>
  <c r="L58" i="16"/>
  <c r="J37" i="16"/>
  <c r="J50" i="16"/>
  <c r="K37" i="16"/>
  <c r="L44" i="16"/>
  <c r="J107" i="16"/>
  <c r="H102" i="16"/>
  <c r="K107" i="16"/>
  <c r="L105" i="16"/>
  <c r="H107" i="16"/>
  <c r="K50" i="16"/>
  <c r="S50" i="16"/>
  <c r="T50" i="16" s="1"/>
  <c r="P46" i="16"/>
  <c r="O42" i="16"/>
  <c r="S40" i="16"/>
  <c r="T40" i="16" s="1"/>
  <c r="I50" i="16"/>
  <c r="L43" i="16"/>
  <c r="H37" i="16"/>
  <c r="L106" i="16"/>
  <c r="L56" i="16"/>
  <c r="J102" i="16"/>
  <c r="L109" i="16"/>
  <c r="L104" i="16"/>
  <c r="L103" i="16"/>
  <c r="L108" i="16"/>
  <c r="BD10" i="32"/>
  <c r="BD9" i="32"/>
  <c r="BD8" i="32"/>
  <c r="BD7" i="32"/>
  <c r="BC10" i="32"/>
  <c r="BC9" i="32"/>
  <c r="BC8" i="32"/>
  <c r="BC7" i="32"/>
  <c r="AU6" i="32"/>
  <c r="AA6" i="32"/>
  <c r="Q6" i="32"/>
  <c r="AU9" i="32"/>
  <c r="AA9" i="32"/>
  <c r="Q9" i="32"/>
  <c r="S55" i="16" l="1"/>
  <c r="T55" i="16" s="1"/>
  <c r="T59" i="16" s="1"/>
  <c r="S42" i="16"/>
  <c r="T42" i="16" s="1"/>
  <c r="T46" i="16" s="1"/>
  <c r="S59" i="16"/>
  <c r="I111" i="16"/>
  <c r="K111" i="16"/>
  <c r="H111" i="16"/>
  <c r="I46" i="16"/>
  <c r="J111" i="16"/>
  <c r="K46" i="16"/>
  <c r="L42" i="16"/>
  <c r="L107" i="16"/>
  <c r="I59" i="16"/>
  <c r="K59" i="16"/>
  <c r="J59" i="16"/>
  <c r="L102" i="16"/>
  <c r="J46" i="16"/>
  <c r="L55" i="16"/>
  <c r="H59" i="16"/>
  <c r="O46" i="16"/>
  <c r="S46" i="16" s="1"/>
  <c r="L50" i="16"/>
  <c r="L37" i="16"/>
  <c r="H46" i="16"/>
  <c r="A58" i="32"/>
  <c r="A36" i="32"/>
  <c r="A1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R3" i="32"/>
  <c r="S3" i="32"/>
  <c r="T3" i="32"/>
  <c r="U3" i="32"/>
  <c r="V3" i="32"/>
  <c r="W3" i="32"/>
  <c r="X3" i="32"/>
  <c r="Y3" i="32"/>
  <c r="Z3" i="32"/>
  <c r="AA3" i="32"/>
  <c r="AB3" i="32"/>
  <c r="AC3" i="32"/>
  <c r="AD3" i="32"/>
  <c r="AE3" i="32"/>
  <c r="AF3" i="32"/>
  <c r="AG3" i="32"/>
  <c r="AH3" i="32"/>
  <c r="AI3" i="32"/>
  <c r="AJ3" i="32"/>
  <c r="AK3" i="32"/>
  <c r="AL3" i="32"/>
  <c r="AM3" i="32"/>
  <c r="AN3" i="32"/>
  <c r="AO3" i="32"/>
  <c r="AP3" i="32"/>
  <c r="AQ3" i="32"/>
  <c r="AR3" i="32"/>
  <c r="AS3" i="32"/>
  <c r="AT3" i="32"/>
  <c r="AU3" i="32"/>
  <c r="C4" i="32"/>
  <c r="D4" i="32"/>
  <c r="E4" i="32"/>
  <c r="F4" i="32"/>
  <c r="G4" i="32"/>
  <c r="H4" i="32"/>
  <c r="I4" i="32"/>
  <c r="J4" i="32"/>
  <c r="K4" i="32"/>
  <c r="L4" i="32"/>
  <c r="M4" i="32"/>
  <c r="N4" i="32"/>
  <c r="O4" i="32"/>
  <c r="P4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A4" i="32" s="1"/>
  <c r="AB5" i="32"/>
  <c r="AC5" i="32"/>
  <c r="AD5" i="32"/>
  <c r="AE5" i="32"/>
  <c r="AF5" i="32"/>
  <c r="AG5" i="32"/>
  <c r="AH5" i="32"/>
  <c r="AI5" i="32"/>
  <c r="AJ5" i="32"/>
  <c r="AK5" i="32"/>
  <c r="AL5" i="32"/>
  <c r="AM5" i="32"/>
  <c r="AN5" i="32"/>
  <c r="AO5" i="32"/>
  <c r="AP5" i="32"/>
  <c r="AQ5" i="32"/>
  <c r="AR5" i="32"/>
  <c r="AS5" i="32"/>
  <c r="AT5" i="32"/>
  <c r="AU5" i="32"/>
  <c r="AU4" i="32" s="1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R6" i="32"/>
  <c r="S6" i="32"/>
  <c r="T6" i="32"/>
  <c r="U6" i="32"/>
  <c r="V6" i="32"/>
  <c r="W6" i="32"/>
  <c r="X6" i="32"/>
  <c r="Y6" i="32"/>
  <c r="Z6" i="32"/>
  <c r="AB6" i="32"/>
  <c r="AC6" i="32"/>
  <c r="AD6" i="32"/>
  <c r="AE6" i="32"/>
  <c r="AF6" i="32"/>
  <c r="AG6" i="32"/>
  <c r="AH6" i="32"/>
  <c r="AI6" i="32"/>
  <c r="AJ6" i="32"/>
  <c r="AK6" i="32"/>
  <c r="AL6" i="32"/>
  <c r="AM6" i="32"/>
  <c r="AN6" i="32"/>
  <c r="AO6" i="32"/>
  <c r="AP6" i="32"/>
  <c r="AQ6" i="32"/>
  <c r="AR6" i="32"/>
  <c r="AS6" i="32"/>
  <c r="AT6" i="32"/>
  <c r="C7" i="32"/>
  <c r="D7" i="32"/>
  <c r="E7" i="32"/>
  <c r="F7" i="32"/>
  <c r="G7" i="32"/>
  <c r="H7" i="32"/>
  <c r="I7" i="32"/>
  <c r="J7" i="32"/>
  <c r="K7" i="32"/>
  <c r="L7" i="32"/>
  <c r="M7" i="32"/>
  <c r="N7" i="32"/>
  <c r="O7" i="32"/>
  <c r="P7" i="32"/>
  <c r="C8" i="32"/>
  <c r="D8" i="32"/>
  <c r="E8" i="32"/>
  <c r="F8" i="32"/>
  <c r="G8" i="32"/>
  <c r="H8" i="32"/>
  <c r="I8" i="32"/>
  <c r="J8" i="32"/>
  <c r="K8" i="32"/>
  <c r="L8" i="32"/>
  <c r="M8" i="32"/>
  <c r="N8" i="32"/>
  <c r="O8" i="32"/>
  <c r="P8" i="32"/>
  <c r="Q8" i="32"/>
  <c r="Q7" i="32" s="1"/>
  <c r="R8" i="32"/>
  <c r="S8" i="32"/>
  <c r="T8" i="32"/>
  <c r="U8" i="32"/>
  <c r="V8" i="32"/>
  <c r="W8" i="32"/>
  <c r="X8" i="32"/>
  <c r="Y8" i="32"/>
  <c r="Z8" i="32"/>
  <c r="AA8" i="32"/>
  <c r="AA7" i="32" s="1"/>
  <c r="AB8" i="32"/>
  <c r="AC8" i="32"/>
  <c r="AD8" i="32"/>
  <c r="AE8" i="32"/>
  <c r="AF8" i="32"/>
  <c r="AG8" i="32"/>
  <c r="AH8" i="32"/>
  <c r="AI8" i="32"/>
  <c r="AJ8" i="32"/>
  <c r="AK8" i="32"/>
  <c r="AL8" i="32"/>
  <c r="AM8" i="32"/>
  <c r="AN8" i="32"/>
  <c r="AO8" i="32"/>
  <c r="AP8" i="32"/>
  <c r="AQ8" i="32"/>
  <c r="AR8" i="32"/>
  <c r="AS8" i="32"/>
  <c r="AT8" i="32"/>
  <c r="AU8" i="32"/>
  <c r="AU7" i="32" s="1"/>
  <c r="C9" i="32"/>
  <c r="D9" i="32"/>
  <c r="E9" i="32"/>
  <c r="F9" i="32"/>
  <c r="G9" i="32"/>
  <c r="H9" i="32"/>
  <c r="I9" i="32"/>
  <c r="J9" i="32"/>
  <c r="K9" i="32"/>
  <c r="L9" i="32"/>
  <c r="M9" i="32"/>
  <c r="N9" i="32"/>
  <c r="O9" i="32"/>
  <c r="P9" i="32"/>
  <c r="R9" i="32"/>
  <c r="S9" i="32"/>
  <c r="T9" i="32"/>
  <c r="U9" i="32"/>
  <c r="V9" i="32"/>
  <c r="W9" i="32"/>
  <c r="X9" i="32"/>
  <c r="Y9" i="32"/>
  <c r="Z9" i="32"/>
  <c r="AB9" i="32"/>
  <c r="AC9" i="32"/>
  <c r="AD9" i="32"/>
  <c r="AE9" i="32"/>
  <c r="AF9" i="32"/>
  <c r="AG9" i="32"/>
  <c r="AH9" i="32"/>
  <c r="AI9" i="32"/>
  <c r="AJ9" i="32"/>
  <c r="AK9" i="32"/>
  <c r="AL9" i="32"/>
  <c r="AM9" i="32"/>
  <c r="AN9" i="32"/>
  <c r="AO9" i="32"/>
  <c r="AP9" i="32"/>
  <c r="AQ9" i="32"/>
  <c r="AR9" i="32"/>
  <c r="AS9" i="32"/>
  <c r="AT9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Y14" i="32"/>
  <c r="Z14" i="32"/>
  <c r="AA14" i="32"/>
  <c r="AB14" i="32"/>
  <c r="AC14" i="32"/>
  <c r="AD14" i="32"/>
  <c r="AE14" i="32"/>
  <c r="AF14" i="32"/>
  <c r="AG14" i="32"/>
  <c r="AH14" i="32"/>
  <c r="AI14" i="32"/>
  <c r="AJ14" i="32"/>
  <c r="AK14" i="32"/>
  <c r="AL14" i="32"/>
  <c r="AM14" i="32"/>
  <c r="AN14" i="32"/>
  <c r="AO14" i="32"/>
  <c r="AP14" i="32"/>
  <c r="AQ14" i="32"/>
  <c r="AR14" i="32"/>
  <c r="AS14" i="32"/>
  <c r="AT14" i="32"/>
  <c r="AU14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R15" i="32"/>
  <c r="S15" i="32"/>
  <c r="T15" i="32"/>
  <c r="U15" i="32"/>
  <c r="V15" i="32"/>
  <c r="W15" i="32"/>
  <c r="X15" i="32"/>
  <c r="Y15" i="32"/>
  <c r="Z15" i="32"/>
  <c r="AA15" i="32"/>
  <c r="AB15" i="32"/>
  <c r="AC15" i="32"/>
  <c r="AD15" i="32"/>
  <c r="AE15" i="32"/>
  <c r="AF15" i="32"/>
  <c r="AG15" i="32"/>
  <c r="AH15" i="32"/>
  <c r="AI15" i="32"/>
  <c r="AJ15" i="32"/>
  <c r="AK15" i="32"/>
  <c r="AL15" i="32"/>
  <c r="AM15" i="32"/>
  <c r="AN15" i="32"/>
  <c r="AO15" i="32"/>
  <c r="AP15" i="32"/>
  <c r="AQ15" i="32"/>
  <c r="AR15" i="32"/>
  <c r="AS15" i="32"/>
  <c r="AT15" i="32"/>
  <c r="AU15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O16" i="32"/>
  <c r="P16" i="32"/>
  <c r="Q16" i="32"/>
  <c r="R16" i="32"/>
  <c r="S16" i="32"/>
  <c r="T16" i="32"/>
  <c r="U16" i="32"/>
  <c r="V16" i="32"/>
  <c r="W16" i="32"/>
  <c r="X16" i="32"/>
  <c r="Y16" i="32"/>
  <c r="Z16" i="32"/>
  <c r="AA16" i="32"/>
  <c r="AB16" i="32"/>
  <c r="AC16" i="32"/>
  <c r="AD16" i="32"/>
  <c r="AE16" i="32"/>
  <c r="AF16" i="32"/>
  <c r="AG16" i="32"/>
  <c r="AH16" i="32"/>
  <c r="AI16" i="32"/>
  <c r="AJ16" i="32"/>
  <c r="AK16" i="32"/>
  <c r="AL16" i="32"/>
  <c r="AM16" i="32"/>
  <c r="AN16" i="32"/>
  <c r="AO16" i="32"/>
  <c r="AP16" i="32"/>
  <c r="AQ16" i="32"/>
  <c r="AR16" i="32"/>
  <c r="AS16" i="32"/>
  <c r="AT16" i="32"/>
  <c r="AU16" i="32"/>
  <c r="C17" i="32"/>
  <c r="D17" i="32"/>
  <c r="E17" i="32"/>
  <c r="F17" i="32"/>
  <c r="G17" i="32"/>
  <c r="H17" i="32"/>
  <c r="I17" i="32"/>
  <c r="J17" i="32"/>
  <c r="K17" i="32"/>
  <c r="L17" i="32"/>
  <c r="M17" i="32"/>
  <c r="N17" i="32"/>
  <c r="O17" i="32"/>
  <c r="P17" i="32"/>
  <c r="R17" i="32"/>
  <c r="S17" i="32"/>
  <c r="T17" i="32"/>
  <c r="U17" i="32"/>
  <c r="V17" i="32"/>
  <c r="W17" i="32"/>
  <c r="X17" i="32"/>
  <c r="Y17" i="32"/>
  <c r="Z17" i="32"/>
  <c r="AB17" i="32"/>
  <c r="AC17" i="32"/>
  <c r="AD17" i="32"/>
  <c r="AE17" i="32"/>
  <c r="AF17" i="32"/>
  <c r="AG17" i="32"/>
  <c r="AH17" i="32"/>
  <c r="AI17" i="32"/>
  <c r="AJ17" i="32"/>
  <c r="AK17" i="32"/>
  <c r="AL17" i="32"/>
  <c r="AM17" i="32"/>
  <c r="AN17" i="32"/>
  <c r="AO17" i="32"/>
  <c r="AP17" i="32"/>
  <c r="AQ17" i="32"/>
  <c r="AR17" i="32"/>
  <c r="AS17" i="32"/>
  <c r="AT17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O18" i="32"/>
  <c r="P18" i="32"/>
  <c r="Q18" i="32"/>
  <c r="R18" i="32"/>
  <c r="S18" i="32"/>
  <c r="T18" i="32"/>
  <c r="U18" i="32"/>
  <c r="V18" i="32"/>
  <c r="W18" i="32"/>
  <c r="X18" i="32"/>
  <c r="Y18" i="32"/>
  <c r="Z18" i="32"/>
  <c r="AA18" i="32"/>
  <c r="AB18" i="32"/>
  <c r="AC18" i="32"/>
  <c r="AD18" i="32"/>
  <c r="AE18" i="32"/>
  <c r="AF18" i="32"/>
  <c r="AG18" i="32"/>
  <c r="AH18" i="32"/>
  <c r="AI18" i="32"/>
  <c r="AJ18" i="32"/>
  <c r="AK18" i="32"/>
  <c r="AL18" i="32"/>
  <c r="AM18" i="32"/>
  <c r="AN18" i="32"/>
  <c r="AO18" i="32"/>
  <c r="AP18" i="32"/>
  <c r="AQ18" i="32"/>
  <c r="AR18" i="32"/>
  <c r="AS18" i="32"/>
  <c r="AT18" i="32"/>
  <c r="AU18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O19" i="32"/>
  <c r="P19" i="32"/>
  <c r="Q19" i="32"/>
  <c r="R19" i="32"/>
  <c r="S19" i="32"/>
  <c r="T19" i="32"/>
  <c r="U19" i="32"/>
  <c r="V19" i="32"/>
  <c r="W19" i="32"/>
  <c r="X19" i="32"/>
  <c r="Y19" i="32"/>
  <c r="Z19" i="32"/>
  <c r="AA19" i="32"/>
  <c r="AB19" i="32"/>
  <c r="AC19" i="32"/>
  <c r="AD19" i="32"/>
  <c r="AE19" i="32"/>
  <c r="AF19" i="32"/>
  <c r="AG19" i="32"/>
  <c r="AH19" i="32"/>
  <c r="AI19" i="32"/>
  <c r="AJ19" i="32"/>
  <c r="AK19" i="32"/>
  <c r="AL19" i="32"/>
  <c r="AM19" i="32"/>
  <c r="AN19" i="32"/>
  <c r="AO19" i="32"/>
  <c r="AP19" i="32"/>
  <c r="AQ19" i="32"/>
  <c r="AR19" i="32"/>
  <c r="AS19" i="32"/>
  <c r="AT19" i="32"/>
  <c r="AU19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O20" i="32"/>
  <c r="P20" i="32"/>
  <c r="R20" i="32"/>
  <c r="S20" i="32"/>
  <c r="T20" i="32"/>
  <c r="U20" i="32"/>
  <c r="V20" i="32"/>
  <c r="W20" i="32"/>
  <c r="X20" i="32"/>
  <c r="Y20" i="32"/>
  <c r="Z20" i="32"/>
  <c r="AB20" i="32"/>
  <c r="AC20" i="32"/>
  <c r="AD20" i="32"/>
  <c r="AE20" i="32"/>
  <c r="AF20" i="32"/>
  <c r="AG20" i="32"/>
  <c r="AH20" i="32"/>
  <c r="AI20" i="32"/>
  <c r="AJ20" i="32"/>
  <c r="AK20" i="32"/>
  <c r="AL20" i="32"/>
  <c r="AM20" i="32"/>
  <c r="AN20" i="32"/>
  <c r="AO20" i="32"/>
  <c r="AP20" i="32"/>
  <c r="AQ20" i="32"/>
  <c r="AR20" i="32"/>
  <c r="AS20" i="32"/>
  <c r="AT20" i="32"/>
  <c r="A23" i="32"/>
  <c r="H29" i="31"/>
  <c r="T2" i="14"/>
  <c r="X2" i="25"/>
  <c r="T2" i="25"/>
  <c r="L111" i="16" l="1"/>
  <c r="L59" i="16"/>
  <c r="L46" i="16"/>
  <c r="AJ7" i="32"/>
  <c r="AO4" i="32"/>
  <c r="AI7" i="32"/>
  <c r="AN4" i="32"/>
  <c r="AB4" i="32"/>
  <c r="AT7" i="32"/>
  <c r="AH7" i="32"/>
  <c r="V7" i="32"/>
  <c r="AM4" i="32"/>
  <c r="Z4" i="32"/>
  <c r="AS7" i="32"/>
  <c r="AG7" i="32"/>
  <c r="AL4" i="32"/>
  <c r="AR7" i="32"/>
  <c r="AF7" i="32"/>
  <c r="T7" i="32"/>
  <c r="AK4" i="32"/>
  <c r="Y4" i="32"/>
  <c r="X4" i="32"/>
  <c r="S7" i="32"/>
  <c r="X7" i="32"/>
  <c r="AC4" i="32"/>
  <c r="W7" i="32"/>
  <c r="AQ7" i="32"/>
  <c r="AE7" i="32"/>
  <c r="AJ4" i="32"/>
  <c r="AP7" i="32"/>
  <c r="AD7" i="32"/>
  <c r="AI4" i="32"/>
  <c r="W4" i="32"/>
  <c r="V4" i="32"/>
  <c r="Q4" i="32"/>
  <c r="AX3" i="32" s="1"/>
  <c r="Q10" i="32"/>
  <c r="U7" i="32"/>
  <c r="R7" i="32"/>
  <c r="AO7" i="32"/>
  <c r="AC7" i="32"/>
  <c r="AT4" i="32"/>
  <c r="AH4" i="32"/>
  <c r="AN7" i="32"/>
  <c r="AB7" i="32"/>
  <c r="AS4" i="32"/>
  <c r="AG4" i="32"/>
  <c r="U4" i="32"/>
  <c r="AM7" i="32"/>
  <c r="AR4" i="32"/>
  <c r="AF4" i="32"/>
  <c r="T4" i="32"/>
  <c r="AL7" i="32"/>
  <c r="Z7" i="32"/>
  <c r="AQ4" i="32"/>
  <c r="AE4" i="32"/>
  <c r="S4" i="32"/>
  <c r="AK7" i="32"/>
  <c r="Y7" i="32"/>
  <c r="AP4" i="32"/>
  <c r="AD4" i="32"/>
  <c r="R4" i="32"/>
  <c r="AP31" i="32"/>
  <c r="AD31" i="32"/>
  <c r="R31" i="32"/>
  <c r="F31" i="32"/>
  <c r="AM30" i="32"/>
  <c r="AA30" i="32"/>
  <c r="O30" i="32"/>
  <c r="C30" i="32"/>
  <c r="AS28" i="32"/>
  <c r="AG28" i="32"/>
  <c r="AP27" i="32"/>
  <c r="AD27" i="32"/>
  <c r="R27" i="32"/>
  <c r="F27" i="32"/>
  <c r="L25" i="32"/>
  <c r="AS25" i="32"/>
  <c r="AG25" i="32"/>
  <c r="U25" i="32"/>
  <c r="I25" i="32"/>
  <c r="AL31" i="32"/>
  <c r="Z31" i="32"/>
  <c r="Z10" i="32"/>
  <c r="D30" i="32"/>
  <c r="M31" i="32"/>
  <c r="V30" i="32"/>
  <c r="AK27" i="32"/>
  <c r="Y10" i="32"/>
  <c r="AE25" i="32"/>
  <c r="AD25" i="32"/>
  <c r="AT28" i="32"/>
  <c r="AH21" i="32"/>
  <c r="AG31" i="32"/>
  <c r="U31" i="32"/>
  <c r="AP30" i="32"/>
  <c r="AD30" i="32"/>
  <c r="R30" i="32"/>
  <c r="F30" i="32"/>
  <c r="X28" i="32"/>
  <c r="AS27" i="32"/>
  <c r="AG27" i="32"/>
  <c r="I27" i="32"/>
  <c r="AA25" i="32"/>
  <c r="O25" i="32"/>
  <c r="C25" i="32"/>
  <c r="AR31" i="32"/>
  <c r="AF31" i="32"/>
  <c r="T31" i="32"/>
  <c r="H31" i="32"/>
  <c r="AO30" i="32"/>
  <c r="AC30" i="32"/>
  <c r="Q30" i="32"/>
  <c r="AU28" i="32"/>
  <c r="AI28" i="32"/>
  <c r="W28" i="32"/>
  <c r="K28" i="32"/>
  <c r="AR27" i="32"/>
  <c r="AF27" i="32"/>
  <c r="AL25" i="32"/>
  <c r="Z25" i="32"/>
  <c r="N25" i="32"/>
  <c r="AS10" i="32"/>
  <c r="AG10" i="32"/>
  <c r="U10" i="32"/>
  <c r="I10" i="32"/>
  <c r="S31" i="32"/>
  <c r="AN30" i="32"/>
  <c r="AH28" i="32"/>
  <c r="V28" i="32"/>
  <c r="J28" i="32"/>
  <c r="AE27" i="32"/>
  <c r="AS31" i="32"/>
  <c r="I31" i="32"/>
  <c r="AM25" i="32"/>
  <c r="N31" i="32"/>
  <c r="AU30" i="32"/>
  <c r="AI30" i="32"/>
  <c r="W30" i="32"/>
  <c r="K30" i="32"/>
  <c r="AO28" i="32"/>
  <c r="N10" i="32"/>
  <c r="S21" i="32"/>
  <c r="G21" i="32"/>
  <c r="H21" i="32"/>
  <c r="T21" i="32"/>
  <c r="AC28" i="32"/>
  <c r="E28" i="32"/>
  <c r="AL27" i="32"/>
  <c r="Z27" i="32"/>
  <c r="AR25" i="32"/>
  <c r="AF25" i="32"/>
  <c r="T25" i="32"/>
  <c r="H25" i="32"/>
  <c r="S27" i="32"/>
  <c r="T27" i="32"/>
  <c r="N27" i="32"/>
  <c r="O28" i="32"/>
  <c r="AJ27" i="32"/>
  <c r="AP25" i="32"/>
  <c r="AG21" i="32"/>
  <c r="AE21" i="32"/>
  <c r="AK31" i="32"/>
  <c r="AT30" i="32"/>
  <c r="AB28" i="32"/>
  <c r="P28" i="32"/>
  <c r="G25" i="32"/>
  <c r="AS21" i="32"/>
  <c r="I21" i="32"/>
  <c r="H27" i="32"/>
  <c r="AJ28" i="32"/>
  <c r="U30" i="32"/>
  <c r="AA28" i="32"/>
  <c r="AJ21" i="32"/>
  <c r="AF21" i="32"/>
  <c r="AO25" i="32"/>
  <c r="Q25" i="32"/>
  <c r="E25" i="32"/>
  <c r="AU2" i="32"/>
  <c r="AI25" i="32"/>
  <c r="K2" i="32"/>
  <c r="K54" i="32" s="1"/>
  <c r="V25" i="32"/>
  <c r="J25" i="32"/>
  <c r="L30" i="32"/>
  <c r="AD28" i="32"/>
  <c r="O10" i="32"/>
  <c r="X30" i="32"/>
  <c r="AM27" i="32"/>
  <c r="AM10" i="32"/>
  <c r="AA27" i="32"/>
  <c r="AA10" i="32"/>
  <c r="C27" i="32"/>
  <c r="C10" i="32"/>
  <c r="C28" i="32"/>
  <c r="L21" i="32"/>
  <c r="AP13" i="32"/>
  <c r="F13" i="32"/>
  <c r="F25" i="32"/>
  <c r="AJ31" i="32"/>
  <c r="O27" i="32"/>
  <c r="AT21" i="32"/>
  <c r="V21" i="32"/>
  <c r="AL10" i="32"/>
  <c r="AO10" i="32"/>
  <c r="AC10" i="32"/>
  <c r="E10" i="32"/>
  <c r="AY3" i="32"/>
  <c r="AK25" i="32"/>
  <c r="Y25" i="32"/>
  <c r="M2" i="32"/>
  <c r="M55" i="32" s="1"/>
  <c r="M25" i="32"/>
  <c r="L27" i="32"/>
  <c r="AK10" i="32"/>
  <c r="M10" i="32"/>
  <c r="AN10" i="32"/>
  <c r="AB10" i="32"/>
  <c r="P10" i="32"/>
  <c r="D10" i="32"/>
  <c r="AJ25" i="32"/>
  <c r="X25" i="32"/>
  <c r="L2" i="32"/>
  <c r="L53" i="32" s="1"/>
  <c r="AM31" i="32"/>
  <c r="R28" i="32"/>
  <c r="AM28" i="32"/>
  <c r="AG30" i="32"/>
  <c r="O31" i="32"/>
  <c r="C31" i="32"/>
  <c r="AJ30" i="32"/>
  <c r="AP28" i="32"/>
  <c r="AN28" i="32"/>
  <c r="D28" i="32"/>
  <c r="Y27" i="32"/>
  <c r="M27" i="32"/>
  <c r="AQ13" i="32"/>
  <c r="AQ25" i="32"/>
  <c r="AE13" i="32"/>
  <c r="S13" i="32"/>
  <c r="S25" i="32"/>
  <c r="G13" i="32"/>
  <c r="F28" i="32"/>
  <c r="AA31" i="32"/>
  <c r="J30" i="32"/>
  <c r="J21" i="32"/>
  <c r="X31" i="32"/>
  <c r="L31" i="32"/>
  <c r="X21" i="32"/>
  <c r="X27" i="32"/>
  <c r="AD13" i="32"/>
  <c r="U21" i="32"/>
  <c r="R13" i="32"/>
  <c r="AZ14" i="32"/>
  <c r="AU21" i="32"/>
  <c r="AI21" i="32"/>
  <c r="W21" i="32"/>
  <c r="K21" i="32"/>
  <c r="AC13" i="32"/>
  <c r="AU31" i="32"/>
  <c r="AR21" i="32"/>
  <c r="Q31" i="32"/>
  <c r="Z21" i="32"/>
  <c r="AR28" i="32"/>
  <c r="T28" i="32"/>
  <c r="AC21" i="32"/>
  <c r="E21" i="32"/>
  <c r="K13" i="32"/>
  <c r="AH31" i="32"/>
  <c r="AQ30" i="32"/>
  <c r="Y28" i="32"/>
  <c r="AT27" i="32"/>
  <c r="V27" i="32"/>
  <c r="I30" i="32"/>
  <c r="AY14" i="32"/>
  <c r="AS13" i="32"/>
  <c r="AG13" i="32"/>
  <c r="U13" i="32"/>
  <c r="I13" i="32"/>
  <c r="AS30" i="32"/>
  <c r="E30" i="32"/>
  <c r="Q28" i="32"/>
  <c r="AQ27" i="32"/>
  <c r="AZ13" i="32"/>
  <c r="AR13" i="32"/>
  <c r="AF13" i="32"/>
  <c r="T13" i="32"/>
  <c r="H13" i="32"/>
  <c r="P30" i="32"/>
  <c r="AE31" i="32"/>
  <c r="I28" i="32"/>
  <c r="AZ2" i="32"/>
  <c r="AX13" i="32"/>
  <c r="AL13" i="32"/>
  <c r="Z13" i="32"/>
  <c r="N13" i="32"/>
  <c r="Y31" i="32"/>
  <c r="AH30" i="32"/>
  <c r="P13" i="32"/>
  <c r="AK13" i="32"/>
  <c r="Y13" i="32"/>
  <c r="M13" i="32"/>
  <c r="AM21" i="32"/>
  <c r="O21" i="32"/>
  <c r="AP21" i="32"/>
  <c r="R21" i="32"/>
  <c r="F21" i="32"/>
  <c r="AJ13" i="32"/>
  <c r="X13" i="32"/>
  <c r="W31" i="32"/>
  <c r="K31" i="32"/>
  <c r="AR30" i="32"/>
  <c r="AF30" i="32"/>
  <c r="T30" i="32"/>
  <c r="H30" i="32"/>
  <c r="AX2" i="32"/>
  <c r="AL28" i="32"/>
  <c r="Z28" i="32"/>
  <c r="N28" i="32"/>
  <c r="AZ3" i="32"/>
  <c r="AI27" i="32"/>
  <c r="W27" i="32"/>
  <c r="K27" i="32"/>
  <c r="AA21" i="32"/>
  <c r="C21" i="32"/>
  <c r="AD21" i="32"/>
  <c r="L13" i="32"/>
  <c r="AO31" i="32"/>
  <c r="AC31" i="32"/>
  <c r="AL21" i="32"/>
  <c r="N21" i="32"/>
  <c r="AF28" i="32"/>
  <c r="AO21" i="32"/>
  <c r="AX14" i="32"/>
  <c r="AI13" i="32"/>
  <c r="V31" i="32"/>
  <c r="AE30" i="32"/>
  <c r="G30" i="32"/>
  <c r="AK28" i="32"/>
  <c r="AH27" i="32"/>
  <c r="J27" i="32"/>
  <c r="R25" i="32"/>
  <c r="AI31" i="32"/>
  <c r="E31" i="32"/>
  <c r="H28" i="32"/>
  <c r="AU13" i="32"/>
  <c r="W13" i="32"/>
  <c r="AT31" i="32"/>
  <c r="J31" i="32"/>
  <c r="S30" i="32"/>
  <c r="M28" i="32"/>
  <c r="AB30" i="32"/>
  <c r="U28" i="32"/>
  <c r="G27" i="32"/>
  <c r="AQ21" i="32"/>
  <c r="AN31" i="32"/>
  <c r="AB31" i="32"/>
  <c r="P31" i="32"/>
  <c r="D31" i="32"/>
  <c r="AK21" i="32"/>
  <c r="Y21" i="32"/>
  <c r="M21" i="32"/>
  <c r="AQ28" i="32"/>
  <c r="AE28" i="32"/>
  <c r="S28" i="32"/>
  <c r="G28" i="32"/>
  <c r="AN21" i="32"/>
  <c r="AB21" i="32"/>
  <c r="P21" i="32"/>
  <c r="D21" i="32"/>
  <c r="AT13" i="32"/>
  <c r="AH13" i="32"/>
  <c r="V13" i="32"/>
  <c r="J13" i="32"/>
  <c r="AP10" i="32"/>
  <c r="AD10" i="32"/>
  <c r="R10" i="32"/>
  <c r="F10" i="32"/>
  <c r="AY2" i="32"/>
  <c r="L28" i="32"/>
  <c r="U27" i="32"/>
  <c r="AN25" i="32"/>
  <c r="AB25" i="32"/>
  <c r="P25" i="32"/>
  <c r="D25" i="32"/>
  <c r="AA2" i="32"/>
  <c r="O2" i="32"/>
  <c r="O44" i="32" s="1"/>
  <c r="C2" i="32"/>
  <c r="C40" i="32" s="1"/>
  <c r="AQ31" i="32"/>
  <c r="G31" i="32"/>
  <c r="AM13" i="32"/>
  <c r="AA13" i="32"/>
  <c r="O13" i="32"/>
  <c r="C13" i="32"/>
  <c r="N2" i="32"/>
  <c r="I2" i="32"/>
  <c r="I42" i="32" s="1"/>
  <c r="AJ10" i="32"/>
  <c r="X10" i="32"/>
  <c r="L10" i="32"/>
  <c r="H2" i="32"/>
  <c r="H50" i="32" s="1"/>
  <c r="G2" i="32"/>
  <c r="G41" i="32" s="1"/>
  <c r="F2" i="32"/>
  <c r="F41" i="32" s="1"/>
  <c r="E2" i="32"/>
  <c r="E54" i="32" s="1"/>
  <c r="P2" i="32"/>
  <c r="P55" i="32" s="1"/>
  <c r="D2" i="32"/>
  <c r="D42" i="32" s="1"/>
  <c r="AO13" i="32"/>
  <c r="J2" i="32"/>
  <c r="J40" i="32" s="1"/>
  <c r="AL30" i="32"/>
  <c r="Z30" i="32"/>
  <c r="N30" i="32"/>
  <c r="AO27" i="32"/>
  <c r="AC27" i="32"/>
  <c r="Q27" i="32"/>
  <c r="E27" i="32"/>
  <c r="AU25" i="32"/>
  <c r="W25" i="32"/>
  <c r="K25" i="32"/>
  <c r="AB13" i="32"/>
  <c r="D13" i="32"/>
  <c r="AK30" i="32"/>
  <c r="Y30" i="32"/>
  <c r="M30" i="32"/>
  <c r="AN27" i="32"/>
  <c r="AB27" i="32"/>
  <c r="P27" i="32"/>
  <c r="D27" i="32"/>
  <c r="AT25" i="32"/>
  <c r="AH25" i="32"/>
  <c r="Q21" i="32"/>
  <c r="AU10" i="32"/>
  <c r="AZ4" i="32" s="1"/>
  <c r="AI10" i="32"/>
  <c r="W10" i="32"/>
  <c r="K10" i="32"/>
  <c r="Q13" i="32"/>
  <c r="AN13" i="32"/>
  <c r="AY13" i="32"/>
  <c r="AT10" i="32"/>
  <c r="AH10" i="32"/>
  <c r="V10" i="32"/>
  <c r="J10" i="32"/>
  <c r="E13" i="32"/>
  <c r="AR10" i="32"/>
  <c r="AF10" i="32"/>
  <c r="T10" i="32"/>
  <c r="H10" i="32"/>
  <c r="AQ10" i="32"/>
  <c r="AE10" i="32"/>
  <c r="S10" i="32"/>
  <c r="G10" i="32"/>
  <c r="AU27" i="32"/>
  <c r="AC25" i="32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AN2" i="32" l="1"/>
  <c r="AN40" i="32" s="1"/>
  <c r="AB2" i="32"/>
  <c r="AB50" i="32" s="1"/>
  <c r="AZ7" i="32"/>
  <c r="AZ8" i="32"/>
  <c r="AE2" i="32"/>
  <c r="AE40" i="32" s="1"/>
  <c r="AL2" i="32"/>
  <c r="AL39" i="32" s="1"/>
  <c r="AT2" i="32"/>
  <c r="AT50" i="32" s="1"/>
  <c r="AM2" i="32"/>
  <c r="AM50" i="32" s="1"/>
  <c r="T2" i="32"/>
  <c r="T50" i="32" s="1"/>
  <c r="AO2" i="32"/>
  <c r="AO43" i="32" s="1"/>
  <c r="AJ2" i="32"/>
  <c r="AJ51" i="32" s="1"/>
  <c r="AK2" i="32"/>
  <c r="AK41" i="32" s="1"/>
  <c r="AS2" i="32"/>
  <c r="AS54" i="32" s="1"/>
  <c r="W2" i="32"/>
  <c r="W41" i="32" s="1"/>
  <c r="AH2" i="32"/>
  <c r="AH43" i="32" s="1"/>
  <c r="Z2" i="32"/>
  <c r="Z43" i="32" s="1"/>
  <c r="AI2" i="32"/>
  <c r="AI24" i="32" s="1"/>
  <c r="AF2" i="32"/>
  <c r="AF54" i="32" s="1"/>
  <c r="AR2" i="32"/>
  <c r="AR53" i="32" s="1"/>
  <c r="AC2" i="32"/>
  <c r="AC52" i="32" s="1"/>
  <c r="Y2" i="32"/>
  <c r="Y43" i="32" s="1"/>
  <c r="AG2" i="32"/>
  <c r="AG50" i="32" s="1"/>
  <c r="V2" i="32"/>
  <c r="V54" i="32" s="1"/>
  <c r="X2" i="32"/>
  <c r="X39" i="32" s="1"/>
  <c r="S2" i="32"/>
  <c r="S41" i="32" s="1"/>
  <c r="AQ2" i="32"/>
  <c r="AQ40" i="32" s="1"/>
  <c r="AP2" i="32"/>
  <c r="AP53" i="32" s="1"/>
  <c r="AD2" i="32"/>
  <c r="AD41" i="32" s="1"/>
  <c r="AX4" i="32"/>
  <c r="U2" i="32"/>
  <c r="U50" i="32" s="1"/>
  <c r="R2" i="32"/>
  <c r="R41" i="32" s="1"/>
  <c r="Q2" i="32"/>
  <c r="AX8" i="32" s="1"/>
  <c r="R26" i="32"/>
  <c r="AA42" i="32"/>
  <c r="AY9" i="32"/>
  <c r="AY8" i="32"/>
  <c r="AU44" i="32"/>
  <c r="AZ9" i="32"/>
  <c r="AY7" i="32"/>
  <c r="F26" i="32"/>
  <c r="AD26" i="32"/>
  <c r="C29" i="32"/>
  <c r="AG26" i="32"/>
  <c r="AS26" i="32"/>
  <c r="C32" i="32"/>
  <c r="K32" i="32"/>
  <c r="K29" i="32"/>
  <c r="O29" i="32"/>
  <c r="W26" i="32"/>
  <c r="AM29" i="32"/>
  <c r="F29" i="32"/>
  <c r="R29" i="32"/>
  <c r="AD29" i="32"/>
  <c r="AP32" i="32"/>
  <c r="AM32" i="32"/>
  <c r="AA29" i="32"/>
  <c r="AP26" i="32"/>
  <c r="F32" i="32"/>
  <c r="V29" i="32"/>
  <c r="H29" i="32"/>
  <c r="AK26" i="32"/>
  <c r="AU24" i="32"/>
  <c r="L41" i="32"/>
  <c r="K39" i="32"/>
  <c r="J26" i="32"/>
  <c r="AC29" i="32"/>
  <c r="AO29" i="32"/>
  <c r="R32" i="32"/>
  <c r="K45" i="32"/>
  <c r="AI29" i="32"/>
  <c r="AH26" i="32"/>
  <c r="AL26" i="32"/>
  <c r="Q29" i="32"/>
  <c r="D29" i="32"/>
  <c r="AN29" i="32"/>
  <c r="AT26" i="32"/>
  <c r="K42" i="32"/>
  <c r="E24" i="32"/>
  <c r="U29" i="32"/>
  <c r="K40" i="32"/>
  <c r="AF26" i="32"/>
  <c r="V26" i="32"/>
  <c r="AR32" i="32"/>
  <c r="N24" i="32"/>
  <c r="T29" i="32"/>
  <c r="AD32" i="32"/>
  <c r="L55" i="32"/>
  <c r="H26" i="32"/>
  <c r="AE26" i="32"/>
  <c r="AP29" i="32"/>
  <c r="Z26" i="32"/>
  <c r="AR26" i="32"/>
  <c r="S29" i="32"/>
  <c r="AJ26" i="32"/>
  <c r="H45" i="32"/>
  <c r="AF29" i="32"/>
  <c r="O26" i="32"/>
  <c r="G32" i="32"/>
  <c r="N26" i="32"/>
  <c r="W29" i="32"/>
  <c r="I26" i="32"/>
  <c r="AU29" i="32"/>
  <c r="AI32" i="32"/>
  <c r="AH29" i="32"/>
  <c r="S26" i="32"/>
  <c r="D51" i="32"/>
  <c r="P51" i="32"/>
  <c r="AT29" i="32"/>
  <c r="AH32" i="32"/>
  <c r="P29" i="32"/>
  <c r="T26" i="32"/>
  <c r="AJ29" i="32"/>
  <c r="AQ32" i="32"/>
  <c r="AF32" i="32"/>
  <c r="D56" i="32"/>
  <c r="AQ26" i="32"/>
  <c r="E50" i="32"/>
  <c r="K41" i="32"/>
  <c r="K55" i="32"/>
  <c r="M26" i="32"/>
  <c r="J56" i="32"/>
  <c r="J32" i="32"/>
  <c r="AA26" i="32"/>
  <c r="P50" i="32"/>
  <c r="K52" i="32"/>
  <c r="K43" i="32"/>
  <c r="K65" i="32" s="1"/>
  <c r="K50" i="32"/>
  <c r="G29" i="32"/>
  <c r="L24" i="32"/>
  <c r="K24" i="32"/>
  <c r="L43" i="32"/>
  <c r="K53" i="32"/>
  <c r="K56" i="32"/>
  <c r="K44" i="32"/>
  <c r="G26" i="32"/>
  <c r="AE29" i="32"/>
  <c r="K51" i="32"/>
  <c r="F55" i="32"/>
  <c r="P24" i="32"/>
  <c r="AU41" i="32"/>
  <c r="AU54" i="32"/>
  <c r="J42" i="32"/>
  <c r="AU42" i="32"/>
  <c r="AU55" i="32"/>
  <c r="AX55" i="32" s="1"/>
  <c r="W32" i="32"/>
  <c r="I44" i="32"/>
  <c r="M54" i="32"/>
  <c r="AU40" i="32"/>
  <c r="E44" i="32"/>
  <c r="M56" i="32"/>
  <c r="M53" i="32"/>
  <c r="E29" i="32"/>
  <c r="AU50" i="32"/>
  <c r="C54" i="32"/>
  <c r="M51" i="32"/>
  <c r="AU39" i="32"/>
  <c r="AI26" i="32"/>
  <c r="AU52" i="32"/>
  <c r="D52" i="32"/>
  <c r="AU43" i="32"/>
  <c r="D45" i="32"/>
  <c r="P44" i="32"/>
  <c r="C50" i="32"/>
  <c r="AU51" i="32"/>
  <c r="AE32" i="32"/>
  <c r="AB29" i="32"/>
  <c r="AU53" i="32"/>
  <c r="I43" i="32"/>
  <c r="AJ32" i="32"/>
  <c r="P40" i="32"/>
  <c r="C52" i="32"/>
  <c r="K26" i="32"/>
  <c r="C24" i="32"/>
  <c r="V32" i="32"/>
  <c r="AR29" i="32"/>
  <c r="C42" i="32"/>
  <c r="M41" i="32"/>
  <c r="E55" i="32"/>
  <c r="P42" i="32"/>
  <c r="F51" i="32"/>
  <c r="E51" i="32"/>
  <c r="F56" i="32"/>
  <c r="O32" i="32"/>
  <c r="E56" i="32"/>
  <c r="L29" i="32"/>
  <c r="E53" i="32"/>
  <c r="F53" i="32"/>
  <c r="M50" i="32"/>
  <c r="D50" i="32"/>
  <c r="AA32" i="32"/>
  <c r="AY4" i="32"/>
  <c r="AA45" i="32"/>
  <c r="H41" i="32"/>
  <c r="H39" i="32"/>
  <c r="H61" i="32" s="1"/>
  <c r="N41" i="32"/>
  <c r="D54" i="32"/>
  <c r="H42" i="32"/>
  <c r="D40" i="32"/>
  <c r="L26" i="32"/>
  <c r="L32" i="32"/>
  <c r="N39" i="32"/>
  <c r="D53" i="32"/>
  <c r="AA40" i="32"/>
  <c r="AU45" i="32"/>
  <c r="S32" i="32"/>
  <c r="P43" i="32"/>
  <c r="P39" i="32"/>
  <c r="P41" i="32"/>
  <c r="I40" i="32"/>
  <c r="P56" i="32"/>
  <c r="P54" i="32"/>
  <c r="E39" i="32"/>
  <c r="N42" i="32"/>
  <c r="J29" i="32"/>
  <c r="P52" i="32"/>
  <c r="AA41" i="32"/>
  <c r="N44" i="32"/>
  <c r="P45" i="32"/>
  <c r="P53" i="32"/>
  <c r="J50" i="32"/>
  <c r="AX15" i="32"/>
  <c r="AT32" i="32"/>
  <c r="U26" i="32"/>
  <c r="U32" i="32"/>
  <c r="J53" i="32"/>
  <c r="H52" i="32"/>
  <c r="N54" i="32"/>
  <c r="I52" i="32"/>
  <c r="L52" i="32"/>
  <c r="L42" i="32"/>
  <c r="L64" i="32" s="1"/>
  <c r="L54" i="32"/>
  <c r="L50" i="32"/>
  <c r="L48" i="32" s="1"/>
  <c r="L40" i="32"/>
  <c r="L44" i="32"/>
  <c r="AM26" i="32"/>
  <c r="O42" i="32"/>
  <c r="G43" i="32"/>
  <c r="J45" i="32"/>
  <c r="H32" i="32"/>
  <c r="L45" i="32"/>
  <c r="F43" i="32"/>
  <c r="N56" i="32"/>
  <c r="C56" i="32"/>
  <c r="I45" i="32"/>
  <c r="G51" i="32"/>
  <c r="H51" i="32"/>
  <c r="X26" i="32"/>
  <c r="X32" i="32"/>
  <c r="F42" i="32"/>
  <c r="M45" i="32"/>
  <c r="I54" i="32"/>
  <c r="E45" i="32"/>
  <c r="G50" i="32"/>
  <c r="AA53" i="32"/>
  <c r="AA43" i="32"/>
  <c r="AA39" i="32"/>
  <c r="AA51" i="32"/>
  <c r="AA55" i="32"/>
  <c r="AW55" i="32" s="1"/>
  <c r="AA52" i="32"/>
  <c r="AA24" i="32"/>
  <c r="D43" i="32"/>
  <c r="D39" i="32"/>
  <c r="D41" i="32"/>
  <c r="D55" i="32"/>
  <c r="D24" i="32"/>
  <c r="F24" i="32"/>
  <c r="E52" i="32"/>
  <c r="E41" i="32"/>
  <c r="F45" i="32"/>
  <c r="AA54" i="32"/>
  <c r="G55" i="32"/>
  <c r="E43" i="32"/>
  <c r="E65" i="32" s="1"/>
  <c r="H54" i="32"/>
  <c r="G53" i="32"/>
  <c r="M43" i="32"/>
  <c r="E40" i="32"/>
  <c r="G54" i="32"/>
  <c r="X29" i="32"/>
  <c r="J24" i="32"/>
  <c r="J41" i="32"/>
  <c r="J43" i="32"/>
  <c r="J39" i="32"/>
  <c r="G24" i="32"/>
  <c r="T32" i="32"/>
  <c r="AY15" i="32"/>
  <c r="AA56" i="32"/>
  <c r="J52" i="32"/>
  <c r="H40" i="32"/>
  <c r="G56" i="32"/>
  <c r="C44" i="32"/>
  <c r="J51" i="32"/>
  <c r="J62" i="32" s="1"/>
  <c r="H56" i="32"/>
  <c r="J54" i="32"/>
  <c r="G45" i="32"/>
  <c r="I24" i="32"/>
  <c r="I55" i="32"/>
  <c r="I51" i="32"/>
  <c r="I41" i="32"/>
  <c r="I39" i="32"/>
  <c r="I53" i="32"/>
  <c r="I64" i="32" s="1"/>
  <c r="I50" i="32"/>
  <c r="G52" i="32"/>
  <c r="G63" i="32" s="1"/>
  <c r="E42" i="32"/>
  <c r="I29" i="32"/>
  <c r="I32" i="32"/>
  <c r="AQ29" i="32"/>
  <c r="O52" i="32"/>
  <c r="M24" i="32"/>
  <c r="M42" i="32"/>
  <c r="M40" i="32"/>
  <c r="M44" i="32"/>
  <c r="M66" i="32" s="1"/>
  <c r="J55" i="32"/>
  <c r="AA44" i="32"/>
  <c r="O45" i="32"/>
  <c r="N55" i="32"/>
  <c r="N51" i="32"/>
  <c r="N40" i="32"/>
  <c r="F54" i="32"/>
  <c r="F50" i="32"/>
  <c r="F44" i="32"/>
  <c r="F40" i="32"/>
  <c r="F52" i="32"/>
  <c r="F63" i="32" s="1"/>
  <c r="H43" i="32"/>
  <c r="J44" i="32"/>
  <c r="O54" i="32"/>
  <c r="H55" i="32"/>
  <c r="G39" i="32"/>
  <c r="AZ15" i="32"/>
  <c r="AU56" i="32"/>
  <c r="I56" i="32"/>
  <c r="H53" i="32"/>
  <c r="H48" i="32" s="1"/>
  <c r="N45" i="32"/>
  <c r="N43" i="32"/>
  <c r="L39" i="32"/>
  <c r="O53" i="32"/>
  <c r="O43" i="32"/>
  <c r="O39" i="32"/>
  <c r="O55" i="32"/>
  <c r="O66" i="32" s="1"/>
  <c r="O51" i="32"/>
  <c r="O41" i="32"/>
  <c r="O50" i="32"/>
  <c r="O56" i="32"/>
  <c r="H44" i="32"/>
  <c r="M39" i="32"/>
  <c r="D44" i="32"/>
  <c r="L51" i="32"/>
  <c r="C45" i="32"/>
  <c r="G40" i="32"/>
  <c r="G42" i="32"/>
  <c r="G44" i="32"/>
  <c r="AS29" i="32"/>
  <c r="AS32" i="32"/>
  <c r="N50" i="32"/>
  <c r="N52" i="32"/>
  <c r="AG29" i="32"/>
  <c r="AG32" i="32"/>
  <c r="O24" i="32"/>
  <c r="H24" i="32"/>
  <c r="N53" i="32"/>
  <c r="O40" i="32"/>
  <c r="C53" i="32"/>
  <c r="C43" i="32"/>
  <c r="C39" i="32"/>
  <c r="C55" i="32"/>
  <c r="C51" i="32"/>
  <c r="C62" i="32" s="1"/>
  <c r="C41" i="32"/>
  <c r="F39" i="32"/>
  <c r="AA50" i="32"/>
  <c r="Y26" i="32"/>
  <c r="M52" i="32"/>
  <c r="L56" i="32"/>
  <c r="C26" i="32"/>
  <c r="AO32" i="32"/>
  <c r="AO26" i="32"/>
  <c r="N32" i="32"/>
  <c r="N29" i="32"/>
  <c r="AL32" i="32"/>
  <c r="AL29" i="32"/>
  <c r="D26" i="32"/>
  <c r="D32" i="32"/>
  <c r="P26" i="32"/>
  <c r="P32" i="32"/>
  <c r="AB32" i="32"/>
  <c r="AB26" i="32"/>
  <c r="AN32" i="32"/>
  <c r="AN26" i="32"/>
  <c r="M32" i="32"/>
  <c r="M29" i="32"/>
  <c r="Y32" i="32"/>
  <c r="Y29" i="32"/>
  <c r="Z32" i="32"/>
  <c r="Z29" i="32"/>
  <c r="AU26" i="32"/>
  <c r="AU32" i="32"/>
  <c r="AK32" i="32"/>
  <c r="AK29" i="32"/>
  <c r="E32" i="32"/>
  <c r="E26" i="32"/>
  <c r="Q32" i="32"/>
  <c r="Q26" i="32"/>
  <c r="AC32" i="32"/>
  <c r="AC26" i="32"/>
  <c r="Q120" i="16"/>
  <c r="P120" i="16"/>
  <c r="Q107" i="16"/>
  <c r="O107" i="16"/>
  <c r="Q94" i="16"/>
  <c r="Q81" i="16"/>
  <c r="P81" i="16"/>
  <c r="O81" i="16"/>
  <c r="Q68" i="16"/>
  <c r="O68" i="16"/>
  <c r="Q29" i="16"/>
  <c r="Q16" i="16"/>
  <c r="O16" i="16"/>
  <c r="F128" i="16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N39" i="32" l="1"/>
  <c r="AN43" i="32"/>
  <c r="AN42" i="32"/>
  <c r="AN44" i="32"/>
  <c r="AN52" i="32"/>
  <c r="AN54" i="32"/>
  <c r="AN24" i="32"/>
  <c r="AN41" i="32"/>
  <c r="AN55" i="32"/>
  <c r="AN56" i="32"/>
  <c r="AN53" i="32"/>
  <c r="AN45" i="32"/>
  <c r="AN50" i="32"/>
  <c r="AN61" i="32" s="1"/>
  <c r="AN51" i="32"/>
  <c r="AN62" i="32" s="1"/>
  <c r="AE39" i="32"/>
  <c r="AI52" i="32"/>
  <c r="AB24" i="32"/>
  <c r="AB52" i="32"/>
  <c r="AE50" i="32"/>
  <c r="AE43" i="32"/>
  <c r="AE42" i="32"/>
  <c r="AE53" i="32"/>
  <c r="AB40" i="32"/>
  <c r="AL55" i="32"/>
  <c r="AE55" i="32"/>
  <c r="T42" i="32"/>
  <c r="T51" i="32"/>
  <c r="AL50" i="32"/>
  <c r="AL61" i="32" s="1"/>
  <c r="AT45" i="32"/>
  <c r="AE24" i="32"/>
  <c r="AB54" i="32"/>
  <c r="T40" i="32"/>
  <c r="AB45" i="32"/>
  <c r="AL45" i="32"/>
  <c r="AB42" i="32"/>
  <c r="AB44" i="32"/>
  <c r="AB53" i="32"/>
  <c r="AB48" i="32" s="1"/>
  <c r="AB55" i="32"/>
  <c r="AB41" i="32"/>
  <c r="Y42" i="32"/>
  <c r="AB39" i="32"/>
  <c r="AB61" i="32" s="1"/>
  <c r="AB56" i="32"/>
  <c r="AB51" i="32"/>
  <c r="Y24" i="32"/>
  <c r="T52" i="32"/>
  <c r="AB43" i="32"/>
  <c r="AE44" i="32"/>
  <c r="AE54" i="32"/>
  <c r="AE41" i="32"/>
  <c r="AE51" i="32"/>
  <c r="AE62" i="32" s="1"/>
  <c r="AK45" i="32"/>
  <c r="AM42" i="32"/>
  <c r="AT44" i="32"/>
  <c r="AM55" i="32"/>
  <c r="AR56" i="32"/>
  <c r="AE52" i="32"/>
  <c r="AE45" i="32"/>
  <c r="AM39" i="32"/>
  <c r="AM61" i="32" s="1"/>
  <c r="AM53" i="32"/>
  <c r="AM48" i="32" s="1"/>
  <c r="AT40" i="32"/>
  <c r="AR54" i="32"/>
  <c r="AT39" i="32"/>
  <c r="AR50" i="32"/>
  <c r="AR48" i="32" s="1"/>
  <c r="AI53" i="32"/>
  <c r="AL44" i="32"/>
  <c r="AT43" i="32"/>
  <c r="AT54" i="32"/>
  <c r="AC55" i="32"/>
  <c r="AL54" i="32"/>
  <c r="AT53" i="32"/>
  <c r="AT48" i="32" s="1"/>
  <c r="AE56" i="32"/>
  <c r="AO56" i="32"/>
  <c r="T55" i="32"/>
  <c r="AL41" i="32"/>
  <c r="AO42" i="32"/>
  <c r="AO45" i="32"/>
  <c r="AG41" i="32"/>
  <c r="T54" i="32"/>
  <c r="Y39" i="32"/>
  <c r="AL24" i="32"/>
  <c r="AJ42" i="32"/>
  <c r="Q54" i="32"/>
  <c r="AT56" i="32"/>
  <c r="AT42" i="32"/>
  <c r="T56" i="32"/>
  <c r="AT55" i="32"/>
  <c r="AT52" i="32"/>
  <c r="AL43" i="32"/>
  <c r="AT41" i="32"/>
  <c r="T53" i="32"/>
  <c r="T48" i="32" s="1"/>
  <c r="AT24" i="32"/>
  <c r="Q43" i="32"/>
  <c r="AM44" i="32"/>
  <c r="AL40" i="32"/>
  <c r="AO50" i="32"/>
  <c r="AL56" i="32"/>
  <c r="AO54" i="32"/>
  <c r="AO65" i="32" s="1"/>
  <c r="AO53" i="32"/>
  <c r="AO41" i="32"/>
  <c r="AO44" i="32"/>
  <c r="AL53" i="32"/>
  <c r="AO40" i="32"/>
  <c r="T45" i="32"/>
  <c r="AO52" i="32"/>
  <c r="AO39" i="32"/>
  <c r="AL42" i="32"/>
  <c r="AL37" i="32" s="1"/>
  <c r="AO51" i="32"/>
  <c r="AG51" i="32"/>
  <c r="AL51" i="32"/>
  <c r="AL52" i="32"/>
  <c r="AM40" i="32"/>
  <c r="AM45" i="32"/>
  <c r="AM41" i="32"/>
  <c r="AC24" i="32"/>
  <c r="AM54" i="32"/>
  <c r="Q51" i="32"/>
  <c r="AC54" i="32"/>
  <c r="AC56" i="32"/>
  <c r="AM52" i="32"/>
  <c r="AM56" i="32"/>
  <c r="AK50" i="32"/>
  <c r="AC40" i="32"/>
  <c r="Q40" i="32"/>
  <c r="Q56" i="32"/>
  <c r="AS53" i="32"/>
  <c r="AK53" i="32"/>
  <c r="AS39" i="32"/>
  <c r="X40" i="32"/>
  <c r="AS45" i="32"/>
  <c r="AT51" i="32"/>
  <c r="AJ24" i="32"/>
  <c r="AJ52" i="32"/>
  <c r="T24" i="32"/>
  <c r="AJ41" i="32"/>
  <c r="AK40" i="32"/>
  <c r="AK51" i="32"/>
  <c r="AK44" i="32"/>
  <c r="AK42" i="32"/>
  <c r="AK43" i="32"/>
  <c r="Y53" i="32"/>
  <c r="AK24" i="32"/>
  <c r="AK55" i="32"/>
  <c r="AJ56" i="32"/>
  <c r="AG39" i="32"/>
  <c r="AG61" i="32" s="1"/>
  <c r="AJ53" i="32"/>
  <c r="Q39" i="32"/>
  <c r="AM43" i="32"/>
  <c r="AJ45" i="32"/>
  <c r="Y56" i="32"/>
  <c r="AJ55" i="32"/>
  <c r="AM24" i="32"/>
  <c r="AJ54" i="32"/>
  <c r="AG40" i="32"/>
  <c r="AJ39" i="32"/>
  <c r="AI40" i="32"/>
  <c r="AJ50" i="32"/>
  <c r="AJ43" i="32"/>
  <c r="AJ44" i="32"/>
  <c r="Y55" i="32"/>
  <c r="Y54" i="32"/>
  <c r="Y65" i="32" s="1"/>
  <c r="T44" i="32"/>
  <c r="Y40" i="32"/>
  <c r="AO55" i="32"/>
  <c r="AJ40" i="32"/>
  <c r="AJ62" i="32" s="1"/>
  <c r="AC53" i="32"/>
  <c r="AS52" i="32"/>
  <c r="T41" i="32"/>
  <c r="AM51" i="32"/>
  <c r="AS43" i="32"/>
  <c r="AS65" i="32" s="1"/>
  <c r="X53" i="32"/>
  <c r="AF44" i="32"/>
  <c r="AI43" i="32"/>
  <c r="AF53" i="32"/>
  <c r="U44" i="32"/>
  <c r="AI42" i="32"/>
  <c r="AI44" i="32"/>
  <c r="AP40" i="32"/>
  <c r="AF43" i="32"/>
  <c r="AF65" i="32" s="1"/>
  <c r="U24" i="32"/>
  <c r="AI45" i="32"/>
  <c r="AF56" i="32"/>
  <c r="AF45" i="32"/>
  <c r="AI55" i="32"/>
  <c r="AP51" i="32"/>
  <c r="AQ53" i="32"/>
  <c r="W40" i="32"/>
  <c r="U52" i="32"/>
  <c r="AI54" i="32"/>
  <c r="AI39" i="32"/>
  <c r="AI51" i="32"/>
  <c r="AI56" i="32"/>
  <c r="AH24" i="32"/>
  <c r="AF42" i="32"/>
  <c r="U53" i="32"/>
  <c r="U48" i="32" s="1"/>
  <c r="AI50" i="32"/>
  <c r="Z56" i="32"/>
  <c r="AH39" i="32"/>
  <c r="W43" i="32"/>
  <c r="Q44" i="32"/>
  <c r="AP24" i="32"/>
  <c r="Z40" i="32"/>
  <c r="AH45" i="32"/>
  <c r="AH40" i="32"/>
  <c r="AH50" i="32"/>
  <c r="AS55" i="32"/>
  <c r="Z45" i="32"/>
  <c r="Z41" i="32"/>
  <c r="T39" i="32"/>
  <c r="T61" i="32" s="1"/>
  <c r="AH41" i="32"/>
  <c r="T43" i="32"/>
  <c r="AR24" i="32"/>
  <c r="AP55" i="32"/>
  <c r="AK54" i="32"/>
  <c r="AO24" i="32"/>
  <c r="AP42" i="32"/>
  <c r="AP64" i="32" s="1"/>
  <c r="AH54" i="32"/>
  <c r="AH65" i="32" s="1"/>
  <c r="AH51" i="32"/>
  <c r="AS41" i="32"/>
  <c r="AH55" i="32"/>
  <c r="R52" i="32"/>
  <c r="R63" i="32" s="1"/>
  <c r="AS51" i="32"/>
  <c r="R40" i="32"/>
  <c r="AH52" i="32"/>
  <c r="R24" i="32"/>
  <c r="AS56" i="32"/>
  <c r="Z51" i="32"/>
  <c r="Z54" i="32"/>
  <c r="Z65" i="32" s="1"/>
  <c r="Z44" i="32"/>
  <c r="AP54" i="32"/>
  <c r="AQ54" i="32"/>
  <c r="AP43" i="32"/>
  <c r="AS24" i="32"/>
  <c r="R50" i="32"/>
  <c r="AR52" i="32"/>
  <c r="R53" i="32"/>
  <c r="W56" i="32"/>
  <c r="R39" i="32"/>
  <c r="Z53" i="32"/>
  <c r="AR40" i="32"/>
  <c r="AD54" i="32"/>
  <c r="AR42" i="32"/>
  <c r="AR64" i="32" s="1"/>
  <c r="Z52" i="32"/>
  <c r="AR41" i="32"/>
  <c r="Z42" i="32"/>
  <c r="Z39" i="32"/>
  <c r="AD45" i="32"/>
  <c r="AH44" i="32"/>
  <c r="AP56" i="32"/>
  <c r="AP50" i="32"/>
  <c r="AP48" i="32" s="1"/>
  <c r="W53" i="32"/>
  <c r="AH42" i="32"/>
  <c r="AS42" i="32"/>
  <c r="AP41" i="32"/>
  <c r="AP39" i="32"/>
  <c r="AQ43" i="32"/>
  <c r="AK56" i="32"/>
  <c r="U43" i="32"/>
  <c r="Z24" i="32"/>
  <c r="AH56" i="32"/>
  <c r="AP52" i="32"/>
  <c r="AF50" i="32"/>
  <c r="AS50" i="32"/>
  <c r="W42" i="32"/>
  <c r="AS44" i="32"/>
  <c r="AK39" i="32"/>
  <c r="W50" i="32"/>
  <c r="AS40" i="32"/>
  <c r="AQ52" i="32"/>
  <c r="AG54" i="32"/>
  <c r="AG43" i="32"/>
  <c r="AQ51" i="32"/>
  <c r="AQ62" i="32" s="1"/>
  <c r="W54" i="32"/>
  <c r="AQ24" i="32"/>
  <c r="AC42" i="32"/>
  <c r="U55" i="32"/>
  <c r="Z50" i="32"/>
  <c r="AH53" i="32"/>
  <c r="AK52" i="32"/>
  <c r="AK63" i="32" s="1"/>
  <c r="U56" i="32"/>
  <c r="AP44" i="32"/>
  <c r="AC41" i="32"/>
  <c r="AC63" i="32" s="1"/>
  <c r="AI41" i="32"/>
  <c r="W45" i="32"/>
  <c r="W44" i="32"/>
  <c r="Z55" i="32"/>
  <c r="AF51" i="32"/>
  <c r="AX40" i="32"/>
  <c r="AQ41" i="32"/>
  <c r="W51" i="32"/>
  <c r="W39" i="32"/>
  <c r="AQ45" i="32"/>
  <c r="W52" i="32"/>
  <c r="W63" i="32" s="1"/>
  <c r="W55" i="32"/>
  <c r="AQ42" i="32"/>
  <c r="W24" i="32"/>
  <c r="AG44" i="32"/>
  <c r="S44" i="32"/>
  <c r="X45" i="32"/>
  <c r="Y50" i="32"/>
  <c r="S42" i="32"/>
  <c r="S50" i="32"/>
  <c r="X51" i="32"/>
  <c r="U41" i="32"/>
  <c r="V50" i="32"/>
  <c r="AR39" i="32"/>
  <c r="AF41" i="32"/>
  <c r="Q24" i="32"/>
  <c r="Y44" i="32"/>
  <c r="AG24" i="32"/>
  <c r="V55" i="32"/>
  <c r="U51" i="32"/>
  <c r="AD55" i="32"/>
  <c r="U54" i="32"/>
  <c r="V45" i="32"/>
  <c r="AF40" i="32"/>
  <c r="S55" i="32"/>
  <c r="S51" i="32"/>
  <c r="S56" i="32"/>
  <c r="AP45" i="32"/>
  <c r="X50" i="32"/>
  <c r="X61" i="32" s="1"/>
  <c r="X54" i="32"/>
  <c r="S54" i="32"/>
  <c r="X42" i="32"/>
  <c r="X37" i="32" s="1"/>
  <c r="S52" i="32"/>
  <c r="S63" i="32" s="1"/>
  <c r="S24" i="32"/>
  <c r="X52" i="32"/>
  <c r="X55" i="32"/>
  <c r="X43" i="32"/>
  <c r="X41" i="32"/>
  <c r="S53" i="32"/>
  <c r="V39" i="32"/>
  <c r="X56" i="32"/>
  <c r="X24" i="32"/>
  <c r="V51" i="32"/>
  <c r="V40" i="32"/>
  <c r="V41" i="32"/>
  <c r="AU61" i="32"/>
  <c r="U45" i="32"/>
  <c r="S40" i="32"/>
  <c r="U42" i="32"/>
  <c r="AD50" i="32"/>
  <c r="AG53" i="32"/>
  <c r="AG48" i="32" s="1"/>
  <c r="U39" i="32"/>
  <c r="U61" i="32" s="1"/>
  <c r="AC43" i="32"/>
  <c r="V24" i="32"/>
  <c r="Q53" i="32"/>
  <c r="X44" i="32"/>
  <c r="Q41" i="32"/>
  <c r="AF55" i="32"/>
  <c r="AR44" i="32"/>
  <c r="S45" i="32"/>
  <c r="AD42" i="32"/>
  <c r="R42" i="32"/>
  <c r="R44" i="32"/>
  <c r="Q45" i="32"/>
  <c r="AC44" i="32"/>
  <c r="AC51" i="32"/>
  <c r="AF39" i="32"/>
  <c r="AR55" i="32"/>
  <c r="AQ50" i="32"/>
  <c r="AF24" i="32"/>
  <c r="AQ56" i="32"/>
  <c r="AD52" i="32"/>
  <c r="AD63" i="32" s="1"/>
  <c r="AG45" i="32"/>
  <c r="V44" i="32"/>
  <c r="Y41" i="32"/>
  <c r="AR43" i="32"/>
  <c r="Q55" i="32"/>
  <c r="AD40" i="32"/>
  <c r="AG56" i="32"/>
  <c r="R54" i="32"/>
  <c r="AC45" i="32"/>
  <c r="AR51" i="32"/>
  <c r="AG52" i="32"/>
  <c r="AC39" i="32"/>
  <c r="V53" i="32"/>
  <c r="Y45" i="32"/>
  <c r="Y67" i="32" s="1"/>
  <c r="AD44" i="32"/>
  <c r="V56" i="32"/>
  <c r="Q52" i="32"/>
  <c r="V52" i="32"/>
  <c r="AG42" i="32"/>
  <c r="V43" i="32"/>
  <c r="V65" i="32" s="1"/>
  <c r="AG55" i="32"/>
  <c r="S39" i="32"/>
  <c r="AR45" i="32"/>
  <c r="S43" i="32"/>
  <c r="AQ55" i="32"/>
  <c r="Y52" i="32"/>
  <c r="AF52" i="32"/>
  <c r="V42" i="32"/>
  <c r="AQ44" i="32"/>
  <c r="AD39" i="32"/>
  <c r="AC50" i="32"/>
  <c r="Y51" i="32"/>
  <c r="Q50" i="32"/>
  <c r="AQ39" i="32"/>
  <c r="AD53" i="32"/>
  <c r="AD24" i="32"/>
  <c r="AD51" i="32"/>
  <c r="R55" i="32"/>
  <c r="R56" i="32"/>
  <c r="R51" i="32"/>
  <c r="AD43" i="32"/>
  <c r="AD56" i="32"/>
  <c r="R45" i="32"/>
  <c r="R43" i="32"/>
  <c r="U40" i="32"/>
  <c r="Q42" i="32"/>
  <c r="AX44" i="32"/>
  <c r="AY10" i="32"/>
  <c r="AW42" i="32"/>
  <c r="AZ10" i="32"/>
  <c r="AX7" i="32"/>
  <c r="AX9" i="32"/>
  <c r="L66" i="32"/>
  <c r="K67" i="32"/>
  <c r="AX51" i="32"/>
  <c r="L63" i="32"/>
  <c r="M62" i="32"/>
  <c r="K62" i="32"/>
  <c r="J64" i="32"/>
  <c r="K37" i="32"/>
  <c r="L65" i="32"/>
  <c r="K61" i="32"/>
  <c r="I63" i="32"/>
  <c r="K64" i="32"/>
  <c r="H67" i="32"/>
  <c r="D48" i="32"/>
  <c r="AW56" i="32"/>
  <c r="P67" i="32"/>
  <c r="D62" i="32"/>
  <c r="C65" i="32"/>
  <c r="D67" i="32"/>
  <c r="C64" i="32"/>
  <c r="AU65" i="32"/>
  <c r="AU63" i="32"/>
  <c r="AX54" i="32"/>
  <c r="P48" i="32"/>
  <c r="AX56" i="32"/>
  <c r="M64" i="32"/>
  <c r="AW51" i="32"/>
  <c r="K63" i="32"/>
  <c r="C63" i="32"/>
  <c r="D63" i="32"/>
  <c r="P62" i="32"/>
  <c r="E48" i="32"/>
  <c r="M67" i="32"/>
  <c r="O48" i="32"/>
  <c r="G62" i="32"/>
  <c r="K66" i="32"/>
  <c r="H66" i="32"/>
  <c r="AU48" i="32"/>
  <c r="K48" i="32"/>
  <c r="H62" i="32"/>
  <c r="F67" i="32"/>
  <c r="E62" i="32"/>
  <c r="O64" i="32"/>
  <c r="M65" i="32"/>
  <c r="AX53" i="32"/>
  <c r="E67" i="32"/>
  <c r="J67" i="32"/>
  <c r="I65" i="32"/>
  <c r="N48" i="32"/>
  <c r="AU37" i="32"/>
  <c r="P66" i="32"/>
  <c r="I48" i="32"/>
  <c r="G48" i="32"/>
  <c r="F62" i="32"/>
  <c r="F66" i="32"/>
  <c r="F64" i="32"/>
  <c r="O65" i="32"/>
  <c r="F48" i="32"/>
  <c r="E64" i="32"/>
  <c r="AU62" i="32"/>
  <c r="C67" i="32"/>
  <c r="D65" i="32"/>
  <c r="AX50" i="32"/>
  <c r="E66" i="32"/>
  <c r="I66" i="32"/>
  <c r="N65" i="32"/>
  <c r="N62" i="32"/>
  <c r="AX39" i="32"/>
  <c r="M63" i="32"/>
  <c r="P65" i="32"/>
  <c r="C66" i="32"/>
  <c r="G64" i="32"/>
  <c r="D66" i="32"/>
  <c r="AX42" i="32"/>
  <c r="AW53" i="32"/>
  <c r="AA63" i="32"/>
  <c r="P64" i="32"/>
  <c r="N67" i="32"/>
  <c r="AU64" i="32"/>
  <c r="AX43" i="32"/>
  <c r="AU66" i="32"/>
  <c r="H65" i="32"/>
  <c r="AX52" i="32"/>
  <c r="I62" i="32"/>
  <c r="M48" i="32"/>
  <c r="F37" i="32"/>
  <c r="F61" i="32"/>
  <c r="AA66" i="32"/>
  <c r="AW44" i="32"/>
  <c r="L61" i="32"/>
  <c r="L37" i="32"/>
  <c r="J66" i="32"/>
  <c r="G67" i="32"/>
  <c r="J37" i="32"/>
  <c r="J61" i="32"/>
  <c r="N66" i="32"/>
  <c r="E61" i="32"/>
  <c r="E37" i="32"/>
  <c r="AU67" i="32"/>
  <c r="AX45" i="32"/>
  <c r="D64" i="32"/>
  <c r="AA48" i="32"/>
  <c r="AW50" i="32"/>
  <c r="G66" i="32"/>
  <c r="J65" i="32"/>
  <c r="H37" i="32"/>
  <c r="H64" i="32"/>
  <c r="C61" i="32"/>
  <c r="C37" i="32"/>
  <c r="J63" i="32"/>
  <c r="AW52" i="32"/>
  <c r="J48" i="32"/>
  <c r="O63" i="32"/>
  <c r="G37" i="32"/>
  <c r="G61" i="32"/>
  <c r="I61" i="32"/>
  <c r="AW39" i="32"/>
  <c r="AA37" i="32"/>
  <c r="AA61" i="32"/>
  <c r="F65" i="32"/>
  <c r="H63" i="32"/>
  <c r="AA64" i="32"/>
  <c r="M61" i="32"/>
  <c r="M37" i="32"/>
  <c r="AA65" i="32"/>
  <c r="AW43" i="32"/>
  <c r="N63" i="32"/>
  <c r="I37" i="32"/>
  <c r="D61" i="32"/>
  <c r="D37" i="32"/>
  <c r="L67" i="32"/>
  <c r="AW54" i="32"/>
  <c r="AW41" i="32"/>
  <c r="P63" i="32"/>
  <c r="AX41" i="32"/>
  <c r="O61" i="32"/>
  <c r="O37" i="32"/>
  <c r="G65" i="32"/>
  <c r="L62" i="32"/>
  <c r="P61" i="32"/>
  <c r="P37" i="32"/>
  <c r="N61" i="32"/>
  <c r="N37" i="32"/>
  <c r="AW45" i="32"/>
  <c r="AA67" i="32"/>
  <c r="AW40" i="32"/>
  <c r="AA62" i="32"/>
  <c r="O62" i="32"/>
  <c r="O67" i="32"/>
  <c r="I67" i="32"/>
  <c r="C48" i="32"/>
  <c r="N64" i="32"/>
  <c r="E63" i="32"/>
  <c r="P94" i="16"/>
  <c r="P98" i="16" s="1"/>
  <c r="P29" i="16"/>
  <c r="P33" i="16" s="1"/>
  <c r="O120" i="16"/>
  <c r="O124" i="16" s="1"/>
  <c r="P16" i="16"/>
  <c r="P20" i="16" s="1"/>
  <c r="P68" i="16"/>
  <c r="P72" i="16" s="1"/>
  <c r="Q98" i="16"/>
  <c r="R29" i="16"/>
  <c r="R33" i="16" s="1"/>
  <c r="S70" i="16"/>
  <c r="S122" i="16"/>
  <c r="P124" i="16"/>
  <c r="S66" i="16"/>
  <c r="T66" i="16" s="1"/>
  <c r="S123" i="16"/>
  <c r="T123" i="16" s="1"/>
  <c r="S32" i="16"/>
  <c r="T32" i="16" s="1"/>
  <c r="R94" i="16"/>
  <c r="R98" i="16" s="1"/>
  <c r="O111" i="16"/>
  <c r="R81" i="16"/>
  <c r="S81" i="16" s="1"/>
  <c r="T81" i="16" s="1"/>
  <c r="S92" i="16"/>
  <c r="T92" i="16" s="1"/>
  <c r="S102" i="16"/>
  <c r="T102" i="16" s="1"/>
  <c r="S97" i="16"/>
  <c r="T97" i="16" s="1"/>
  <c r="S109" i="16"/>
  <c r="Q124" i="16"/>
  <c r="S67" i="16"/>
  <c r="T67" i="16" s="1"/>
  <c r="R68" i="16"/>
  <c r="R72" i="16" s="1"/>
  <c r="S71" i="16"/>
  <c r="T71" i="16" s="1"/>
  <c r="O85" i="16"/>
  <c r="S83" i="16"/>
  <c r="S95" i="16"/>
  <c r="Q111" i="16"/>
  <c r="S118" i="16"/>
  <c r="T118" i="16" s="1"/>
  <c r="S119" i="16"/>
  <c r="T119" i="16" s="1"/>
  <c r="R120" i="16"/>
  <c r="R124" i="16" s="1"/>
  <c r="P85" i="16"/>
  <c r="Q33" i="16"/>
  <c r="O72" i="16"/>
  <c r="S105" i="16"/>
  <c r="T105" i="16" s="1"/>
  <c r="S108" i="16"/>
  <c r="S110" i="16"/>
  <c r="T110" i="16" s="1"/>
  <c r="S121" i="16"/>
  <c r="S80" i="16"/>
  <c r="T80" i="16" s="1"/>
  <c r="S93" i="16"/>
  <c r="T93" i="16" s="1"/>
  <c r="O20" i="16"/>
  <c r="S84" i="16"/>
  <c r="T84" i="16" s="1"/>
  <c r="S79" i="16"/>
  <c r="T79" i="16" s="1"/>
  <c r="S89" i="16"/>
  <c r="T89" i="16" s="1"/>
  <c r="S96" i="16"/>
  <c r="R107" i="16"/>
  <c r="R111" i="16" s="1"/>
  <c r="S69" i="16"/>
  <c r="Q72" i="16"/>
  <c r="Q85" i="16"/>
  <c r="S106" i="16"/>
  <c r="T106" i="16" s="1"/>
  <c r="S63" i="16"/>
  <c r="T63" i="16" s="1"/>
  <c r="S115" i="16"/>
  <c r="T115" i="16" s="1"/>
  <c r="S76" i="16"/>
  <c r="T76" i="16" s="1"/>
  <c r="S82" i="16"/>
  <c r="O94" i="16"/>
  <c r="P107" i="16"/>
  <c r="P111" i="16" s="1"/>
  <c r="S15" i="16"/>
  <c r="T15" i="16" s="1"/>
  <c r="S18" i="16"/>
  <c r="S30" i="16"/>
  <c r="R16" i="16"/>
  <c r="R20" i="16" s="1"/>
  <c r="S19" i="16"/>
  <c r="T19" i="16" s="1"/>
  <c r="S27" i="16"/>
  <c r="T27" i="16" s="1"/>
  <c r="S28" i="16"/>
  <c r="T28" i="16" s="1"/>
  <c r="O29" i="16"/>
  <c r="O33" i="16" s="1"/>
  <c r="Q20" i="16"/>
  <c r="S17" i="16"/>
  <c r="S31" i="16"/>
  <c r="S24" i="16"/>
  <c r="T24" i="16" s="1"/>
  <c r="S11" i="16"/>
  <c r="T11" i="16" s="1"/>
  <c r="H16" i="31"/>
  <c r="H42" i="31"/>
  <c r="H55" i="31"/>
  <c r="H68" i="31"/>
  <c r="H81" i="31"/>
  <c r="G15" i="31"/>
  <c r="F15" i="31"/>
  <c r="E15" i="31"/>
  <c r="D15" i="31"/>
  <c r="C15" i="31"/>
  <c r="F13" i="31"/>
  <c r="D13" i="31"/>
  <c r="G12" i="31"/>
  <c r="F12" i="31"/>
  <c r="D12" i="31"/>
  <c r="C12" i="31"/>
  <c r="F10" i="31"/>
  <c r="D10" i="31"/>
  <c r="C10" i="31"/>
  <c r="C9" i="31"/>
  <c r="F8" i="31"/>
  <c r="D8" i="31"/>
  <c r="G28" i="31"/>
  <c r="F28" i="31"/>
  <c r="E28" i="31"/>
  <c r="D28" i="31"/>
  <c r="C28" i="31"/>
  <c r="G41" i="31"/>
  <c r="F41" i="31"/>
  <c r="E41" i="31"/>
  <c r="D41" i="31"/>
  <c r="C41" i="31"/>
  <c r="G54" i="31"/>
  <c r="F54" i="31"/>
  <c r="E54" i="31"/>
  <c r="D54" i="31"/>
  <c r="C54" i="31"/>
  <c r="G67" i="31"/>
  <c r="F67" i="31"/>
  <c r="E67" i="31"/>
  <c r="D67" i="31"/>
  <c r="C67" i="31"/>
  <c r="G80" i="31"/>
  <c r="F80" i="31"/>
  <c r="E80" i="31"/>
  <c r="D80" i="31"/>
  <c r="C80" i="31"/>
  <c r="T85" i="16" l="1"/>
  <c r="AN66" i="32"/>
  <c r="AN64" i="32"/>
  <c r="AN63" i="32"/>
  <c r="AN37" i="32"/>
  <c r="AK64" i="32"/>
  <c r="AN65" i="32"/>
  <c r="AN67" i="32"/>
  <c r="AN48" i="32"/>
  <c r="T65" i="32"/>
  <c r="AE37" i="32"/>
  <c r="AE61" i="32"/>
  <c r="AI63" i="32"/>
  <c r="AE64" i="32"/>
  <c r="AE48" i="32"/>
  <c r="AK67" i="32"/>
  <c r="AE66" i="32"/>
  <c r="AL66" i="32"/>
  <c r="AB63" i="32"/>
  <c r="AG63" i="32"/>
  <c r="AT67" i="32"/>
  <c r="AB37" i="32"/>
  <c r="AE65" i="32"/>
  <c r="T62" i="32"/>
  <c r="AB62" i="32"/>
  <c r="AB67" i="32"/>
  <c r="AJ37" i="32"/>
  <c r="AB65" i="32"/>
  <c r="AT66" i="32"/>
  <c r="AT37" i="32"/>
  <c r="AT64" i="32"/>
  <c r="AL67" i="32"/>
  <c r="AB66" i="32"/>
  <c r="T63" i="32"/>
  <c r="AC65" i="32"/>
  <c r="AT65" i="32"/>
  <c r="AE63" i="32"/>
  <c r="AT61" i="32"/>
  <c r="AB64" i="32"/>
  <c r="AS61" i="32"/>
  <c r="AT62" i="32"/>
  <c r="AC66" i="32"/>
  <c r="AL65" i="32"/>
  <c r="AO67" i="32"/>
  <c r="Y37" i="32"/>
  <c r="AR67" i="32"/>
  <c r="AT63" i="32"/>
  <c r="S61" i="32"/>
  <c r="AL63" i="32"/>
  <c r="AL62" i="32"/>
  <c r="AG62" i="32"/>
  <c r="AM66" i="32"/>
  <c r="AJ64" i="32"/>
  <c r="AE67" i="32"/>
  <c r="AR65" i="32"/>
  <c r="Y64" i="32"/>
  <c r="Q67" i="32"/>
  <c r="AI64" i="32"/>
  <c r="AI48" i="32"/>
  <c r="AJ63" i="32"/>
  <c r="AM37" i="32"/>
  <c r="W64" i="32"/>
  <c r="AO48" i="32"/>
  <c r="AQ67" i="32"/>
  <c r="U67" i="32"/>
  <c r="AM64" i="32"/>
  <c r="Q65" i="32"/>
  <c r="AR61" i="32"/>
  <c r="U64" i="32"/>
  <c r="T66" i="32"/>
  <c r="AO63" i="32"/>
  <c r="AO62" i="32"/>
  <c r="AO61" i="32"/>
  <c r="AK66" i="32"/>
  <c r="AM63" i="32"/>
  <c r="AL64" i="32"/>
  <c r="Q62" i="32"/>
  <c r="AO64" i="32"/>
  <c r="AJ48" i="32"/>
  <c r="T67" i="32"/>
  <c r="Y61" i="32"/>
  <c r="AO37" i="32"/>
  <c r="AO66" i="32"/>
  <c r="AC67" i="32"/>
  <c r="T64" i="32"/>
  <c r="X62" i="32"/>
  <c r="AP61" i="32"/>
  <c r="AF67" i="32"/>
  <c r="AJ66" i="32"/>
  <c r="AL48" i="32"/>
  <c r="AK37" i="32"/>
  <c r="AF64" i="32"/>
  <c r="AJ65" i="32"/>
  <c r="AK48" i="32"/>
  <c r="AS37" i="32"/>
  <c r="AM62" i="32"/>
  <c r="AM67" i="32"/>
  <c r="AC48" i="32"/>
  <c r="X67" i="32"/>
  <c r="V48" i="32"/>
  <c r="AC64" i="32"/>
  <c r="R65" i="32"/>
  <c r="AG67" i="32"/>
  <c r="U66" i="32"/>
  <c r="AH37" i="32"/>
  <c r="AD67" i="32"/>
  <c r="AC62" i="32"/>
  <c r="AS48" i="32"/>
  <c r="AS67" i="32"/>
  <c r="AH63" i="32"/>
  <c r="Z37" i="32"/>
  <c r="AI65" i="32"/>
  <c r="AJ67" i="32"/>
  <c r="AS62" i="32"/>
  <c r="AR63" i="32"/>
  <c r="AP65" i="32"/>
  <c r="AM65" i="32"/>
  <c r="AK62" i="32"/>
  <c r="Z67" i="32"/>
  <c r="AG37" i="32"/>
  <c r="AF37" i="32"/>
  <c r="AH62" i="32"/>
  <c r="AI67" i="32"/>
  <c r="AD37" i="32"/>
  <c r="X65" i="32"/>
  <c r="S66" i="32"/>
  <c r="AJ61" i="32"/>
  <c r="AD65" i="32"/>
  <c r="AQ66" i="32"/>
  <c r="AF48" i="32"/>
  <c r="R61" i="32"/>
  <c r="AK65" i="32"/>
  <c r="R62" i="32"/>
  <c r="V37" i="32"/>
  <c r="W66" i="32"/>
  <c r="W65" i="32"/>
  <c r="AP63" i="32"/>
  <c r="AI66" i="32"/>
  <c r="AK61" i="32"/>
  <c r="Y48" i="32"/>
  <c r="AH61" i="32"/>
  <c r="Z64" i="32"/>
  <c r="AH67" i="32"/>
  <c r="AI62" i="32"/>
  <c r="T37" i="32"/>
  <c r="Q66" i="32"/>
  <c r="Y66" i="32"/>
  <c r="AI61" i="32"/>
  <c r="AP62" i="32"/>
  <c r="W67" i="32"/>
  <c r="V61" i="32"/>
  <c r="R48" i="32"/>
  <c r="AQ37" i="32"/>
  <c r="AF66" i="32"/>
  <c r="AS63" i="32"/>
  <c r="S37" i="32"/>
  <c r="Q61" i="32"/>
  <c r="W62" i="32"/>
  <c r="Y62" i="32"/>
  <c r="U37" i="32"/>
  <c r="AR66" i="32"/>
  <c r="V62" i="32"/>
  <c r="AQ63" i="32"/>
  <c r="Z61" i="32"/>
  <c r="AS66" i="32"/>
  <c r="Z66" i="32"/>
  <c r="AX10" i="32"/>
  <c r="AI37" i="32"/>
  <c r="X48" i="32"/>
  <c r="R64" i="32"/>
  <c r="AR37" i="32"/>
  <c r="AQ64" i="32"/>
  <c r="AG65" i="32"/>
  <c r="Z62" i="32"/>
  <c r="AF61" i="32"/>
  <c r="U63" i="32"/>
  <c r="AP66" i="32"/>
  <c r="AP67" i="32"/>
  <c r="AQ65" i="32"/>
  <c r="AH66" i="32"/>
  <c r="Z63" i="32"/>
  <c r="Q64" i="32"/>
  <c r="AR62" i="32"/>
  <c r="U65" i="32"/>
  <c r="W37" i="32"/>
  <c r="W48" i="32"/>
  <c r="AH64" i="32"/>
  <c r="X64" i="32"/>
  <c r="AF63" i="32"/>
  <c r="Z48" i="32"/>
  <c r="V66" i="32"/>
  <c r="AD61" i="32"/>
  <c r="X63" i="32"/>
  <c r="AS64" i="32"/>
  <c r="AP37" i="32"/>
  <c r="S65" i="32"/>
  <c r="AC61" i="32"/>
  <c r="AF62" i="32"/>
  <c r="AH48" i="32"/>
  <c r="R37" i="32"/>
  <c r="W61" i="32"/>
  <c r="Q63" i="32"/>
  <c r="V64" i="32"/>
  <c r="AD66" i="32"/>
  <c r="Y63" i="32"/>
  <c r="R66" i="32"/>
  <c r="S48" i="32"/>
  <c r="S67" i="32"/>
  <c r="S62" i="32"/>
  <c r="X66" i="32"/>
  <c r="AD48" i="32"/>
  <c r="S64" i="32"/>
  <c r="AD64" i="32"/>
  <c r="U62" i="32"/>
  <c r="AG66" i="32"/>
  <c r="AQ61" i="32"/>
  <c r="V63" i="32"/>
  <c r="AG64" i="32"/>
  <c r="V67" i="32"/>
  <c r="R67" i="32"/>
  <c r="AQ48" i="32"/>
  <c r="Q48" i="32"/>
  <c r="AC37" i="32"/>
  <c r="AD62" i="32"/>
  <c r="Q37" i="32"/>
  <c r="R85" i="16"/>
  <c r="S85" i="16" s="1"/>
  <c r="S120" i="16"/>
  <c r="T120" i="16" s="1"/>
  <c r="T124" i="16" s="1"/>
  <c r="S68" i="16"/>
  <c r="T68" i="16" s="1"/>
  <c r="T72" i="16" s="1"/>
  <c r="S94" i="16"/>
  <c r="T94" i="16" s="1"/>
  <c r="T98" i="16" s="1"/>
  <c r="S124" i="16"/>
  <c r="S33" i="16"/>
  <c r="S16" i="16"/>
  <c r="T16" i="16" s="1"/>
  <c r="T20" i="16" s="1"/>
  <c r="S20" i="16"/>
  <c r="S29" i="16"/>
  <c r="T29" i="16" s="1"/>
  <c r="T33" i="16" s="1"/>
  <c r="S111" i="16"/>
  <c r="S107" i="16"/>
  <c r="T107" i="16" s="1"/>
  <c r="T111" i="16" s="1"/>
  <c r="S72" i="16"/>
  <c r="O98" i="16"/>
  <c r="S98" i="16" s="1"/>
  <c r="H41" i="31"/>
  <c r="F126" i="16" l="1"/>
  <c r="C204" i="16" l="1"/>
  <c r="E5" i="13" l="1"/>
  <c r="F2" i="25" l="1"/>
  <c r="E2" i="25"/>
  <c r="E26" i="25" l="1"/>
  <c r="E28" i="25"/>
  <c r="E30" i="25"/>
  <c r="E32" i="25"/>
  <c r="E34" i="25"/>
  <c r="E36" i="25"/>
  <c r="E38" i="25"/>
  <c r="E40" i="25"/>
  <c r="E42" i="25"/>
  <c r="E44" i="25"/>
  <c r="E46" i="25"/>
  <c r="E48" i="25"/>
  <c r="E50" i="25"/>
  <c r="E52" i="25"/>
  <c r="E54" i="25"/>
  <c r="E56" i="25"/>
  <c r="E58" i="25"/>
  <c r="E60" i="25"/>
  <c r="E62" i="25"/>
  <c r="E64" i="25"/>
  <c r="E63" i="25"/>
  <c r="E27" i="25"/>
  <c r="E29" i="25"/>
  <c r="E31" i="25"/>
  <c r="E33" i="25"/>
  <c r="E35" i="25"/>
  <c r="E37" i="25"/>
  <c r="E39" i="25"/>
  <c r="E41" i="25"/>
  <c r="E43" i="25"/>
  <c r="E45" i="25"/>
  <c r="E47" i="25"/>
  <c r="E49" i="25"/>
  <c r="E51" i="25"/>
  <c r="E53" i="25"/>
  <c r="E55" i="25"/>
  <c r="E57" i="25"/>
  <c r="E59" i="25"/>
  <c r="E61" i="25"/>
  <c r="F63" i="25"/>
  <c r="F26" i="25"/>
  <c r="F28" i="25"/>
  <c r="F30" i="25"/>
  <c r="F32" i="25"/>
  <c r="F34" i="25"/>
  <c r="F36" i="25"/>
  <c r="F38" i="25"/>
  <c r="F40" i="25"/>
  <c r="F42" i="25"/>
  <c r="F44" i="25"/>
  <c r="F46" i="25"/>
  <c r="F48" i="25"/>
  <c r="F50" i="25"/>
  <c r="F52" i="25"/>
  <c r="F54" i="25"/>
  <c r="F56" i="25"/>
  <c r="F58" i="25"/>
  <c r="F60" i="25"/>
  <c r="F62" i="25"/>
  <c r="F64" i="25"/>
  <c r="F61" i="25"/>
  <c r="F59" i="25"/>
  <c r="F27" i="25"/>
  <c r="F29" i="25"/>
  <c r="F31" i="25"/>
  <c r="F33" i="25"/>
  <c r="F35" i="25"/>
  <c r="F37" i="25"/>
  <c r="F39" i="25"/>
  <c r="F41" i="25"/>
  <c r="F43" i="25"/>
  <c r="F45" i="25"/>
  <c r="F47" i="25"/>
  <c r="F49" i="25"/>
  <c r="F51" i="25"/>
  <c r="F53" i="25"/>
  <c r="F55" i="25"/>
  <c r="F57" i="25"/>
  <c r="B11" i="33"/>
  <c r="B10" i="33"/>
  <c r="B9" i="33"/>
  <c r="B8" i="33"/>
  <c r="B7" i="33"/>
  <c r="B6" i="33"/>
  <c r="B5" i="33"/>
  <c r="B4" i="33"/>
  <c r="A4" i="14"/>
  <c r="A26" i="25"/>
  <c r="A4" i="25"/>
  <c r="A3" i="31"/>
  <c r="A4" i="16"/>
  <c r="A31" i="13"/>
  <c r="A4" i="13"/>
  <c r="G11" i="31" l="1"/>
  <c r="C11" i="31"/>
  <c r="G6" i="31"/>
  <c r="C6" i="31"/>
  <c r="G14" i="31" l="1"/>
  <c r="H80" i="31"/>
  <c r="H54" i="31"/>
  <c r="H67" i="31"/>
  <c r="H15" i="31"/>
  <c r="H28" i="31"/>
  <c r="C14" i="31"/>
  <c r="F11" i="31"/>
  <c r="D11" i="31"/>
  <c r="E70" i="25" l="1"/>
  <c r="E72" i="25"/>
  <c r="E79" i="25" l="1"/>
  <c r="E75" i="25"/>
  <c r="E78" i="25"/>
  <c r="E74" i="25"/>
  <c r="E91" i="25"/>
  <c r="E71" i="25"/>
  <c r="E82" i="25"/>
  <c r="E83" i="25"/>
  <c r="E81" i="25"/>
  <c r="E69" i="25"/>
  <c r="E106" i="25"/>
  <c r="E94" i="25"/>
  <c r="E105" i="25"/>
  <c r="E87" i="25"/>
  <c r="E95" i="25"/>
  <c r="F97" i="25"/>
  <c r="F80" i="25"/>
  <c r="G2" i="25"/>
  <c r="E103" i="25"/>
  <c r="E96" i="25"/>
  <c r="E100" i="25"/>
  <c r="E98" i="25"/>
  <c r="E93" i="25"/>
  <c r="E80" i="25"/>
  <c r="E76" i="25"/>
  <c r="E77" i="25"/>
  <c r="E101" i="25"/>
  <c r="E92" i="25"/>
  <c r="E99" i="25"/>
  <c r="E104" i="25"/>
  <c r="E102" i="25"/>
  <c r="E97" i="25"/>
  <c r="E68" i="25"/>
  <c r="E73" i="25"/>
  <c r="E84" i="25"/>
  <c r="E89" i="25" l="1"/>
  <c r="E4" i="25"/>
  <c r="F71" i="25"/>
  <c r="F95" i="25"/>
  <c r="G48" i="25"/>
  <c r="G43" i="25"/>
  <c r="G46" i="25"/>
  <c r="G51" i="25"/>
  <c r="G55" i="25"/>
  <c r="G59" i="25"/>
  <c r="G63" i="25"/>
  <c r="G47" i="25"/>
  <c r="G52" i="25"/>
  <c r="G56" i="25"/>
  <c r="G60" i="25"/>
  <c r="G64" i="25"/>
  <c r="G49" i="25"/>
  <c r="G57" i="25"/>
  <c r="G44" i="25"/>
  <c r="G50" i="25"/>
  <c r="G58" i="25"/>
  <c r="G61" i="25"/>
  <c r="G30" i="25"/>
  <c r="G34" i="25"/>
  <c r="G38" i="25"/>
  <c r="G42" i="25"/>
  <c r="G36" i="25"/>
  <c r="G40" i="25"/>
  <c r="G29" i="25"/>
  <c r="G33" i="25"/>
  <c r="G45" i="25"/>
  <c r="G62" i="25"/>
  <c r="G27" i="25"/>
  <c r="G31" i="25"/>
  <c r="G35" i="25"/>
  <c r="G39" i="25"/>
  <c r="G26" i="25"/>
  <c r="G53" i="25"/>
  <c r="G28" i="25"/>
  <c r="G32" i="25"/>
  <c r="G54" i="25"/>
  <c r="G37" i="25"/>
  <c r="G41" i="25"/>
  <c r="F74" i="25"/>
  <c r="F92" i="25"/>
  <c r="F82" i="25"/>
  <c r="F78" i="25"/>
  <c r="F75" i="25"/>
  <c r="F72" i="25"/>
  <c r="F100" i="25"/>
  <c r="F101" i="25"/>
  <c r="F105" i="25"/>
  <c r="F103" i="25"/>
  <c r="F98" i="25"/>
  <c r="F93" i="25"/>
  <c r="F96" i="25"/>
  <c r="F104" i="25"/>
  <c r="F91" i="25"/>
  <c r="F70" i="25"/>
  <c r="F83" i="25"/>
  <c r="F77" i="25"/>
  <c r="F69" i="25"/>
  <c r="F76" i="25"/>
  <c r="F79" i="25"/>
  <c r="F102" i="25"/>
  <c r="F73" i="25"/>
  <c r="F81" i="25"/>
  <c r="F84" i="25"/>
  <c r="F106" i="25"/>
  <c r="E90" i="25"/>
  <c r="E85" i="25"/>
  <c r="H2" i="25"/>
  <c r="F68" i="25"/>
  <c r="F99" i="25"/>
  <c r="F94" i="25"/>
  <c r="E88" i="25"/>
  <c r="E86" i="25"/>
  <c r="G4" i="25" l="1"/>
  <c r="G5" i="25" s="1"/>
  <c r="F86" i="25"/>
  <c r="F4" i="25"/>
  <c r="G78" i="25"/>
  <c r="F88" i="25"/>
  <c r="F87" i="25"/>
  <c r="F89" i="25"/>
  <c r="G75" i="25"/>
  <c r="H43" i="25"/>
  <c r="H44" i="25"/>
  <c r="H45" i="25"/>
  <c r="H46" i="25"/>
  <c r="H47" i="25"/>
  <c r="H48" i="25"/>
  <c r="H50" i="25"/>
  <c r="H51" i="25"/>
  <c r="H52" i="25"/>
  <c r="H53" i="25"/>
  <c r="H49" i="25"/>
  <c r="H26" i="25"/>
  <c r="H30" i="25"/>
  <c r="H34" i="25"/>
  <c r="H38" i="25"/>
  <c r="H42" i="25"/>
  <c r="H32" i="25"/>
  <c r="H40" i="25"/>
  <c r="H33" i="25"/>
  <c r="H54" i="25"/>
  <c r="H55" i="25"/>
  <c r="H56" i="25"/>
  <c r="H57" i="25"/>
  <c r="H58" i="25"/>
  <c r="H59" i="25"/>
  <c r="H60" i="25"/>
  <c r="H61" i="25"/>
  <c r="H62" i="25"/>
  <c r="H63" i="25"/>
  <c r="H64" i="25"/>
  <c r="H27" i="25"/>
  <c r="H31" i="25"/>
  <c r="H35" i="25"/>
  <c r="H39" i="25"/>
  <c r="H28" i="25"/>
  <c r="H36" i="25"/>
  <c r="H29" i="25"/>
  <c r="H37" i="25"/>
  <c r="H41" i="25"/>
  <c r="G97" i="25"/>
  <c r="G71" i="25"/>
  <c r="G81" i="25"/>
  <c r="G82" i="25"/>
  <c r="G69" i="25"/>
  <c r="G94" i="25"/>
  <c r="G84" i="25"/>
  <c r="G102" i="25"/>
  <c r="G92" i="25"/>
  <c r="G83" i="25"/>
  <c r="G99" i="25"/>
  <c r="G73" i="25"/>
  <c r="G80" i="25"/>
  <c r="G86" i="25"/>
  <c r="G105" i="25"/>
  <c r="G96" i="25"/>
  <c r="G103" i="25"/>
  <c r="G68" i="25"/>
  <c r="G77" i="25"/>
  <c r="G93" i="25"/>
  <c r="G106" i="25"/>
  <c r="G100" i="25"/>
  <c r="G91" i="25"/>
  <c r="G6" i="25" s="1"/>
  <c r="G70" i="25"/>
  <c r="I2" i="25"/>
  <c r="G72" i="25"/>
  <c r="G74" i="25"/>
  <c r="G76" i="25"/>
  <c r="G79" i="25"/>
  <c r="G98" i="25"/>
  <c r="G101" i="25"/>
  <c r="G88" i="25"/>
  <c r="G104" i="25"/>
  <c r="G95" i="25"/>
  <c r="F85" i="25"/>
  <c r="F90" i="25"/>
  <c r="H102" i="25" l="1"/>
  <c r="H4" i="25"/>
  <c r="H5" i="25" s="1"/>
  <c r="H91" i="25"/>
  <c r="H6" i="25" s="1"/>
  <c r="I43" i="25"/>
  <c r="I4" i="25" s="1"/>
  <c r="I5" i="25" s="1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44" i="25"/>
  <c r="I45" i="25"/>
  <c r="I46" i="25"/>
  <c r="I47" i="25"/>
  <c r="I48" i="25"/>
  <c r="I27" i="25"/>
  <c r="I32" i="25"/>
  <c r="I36" i="25"/>
  <c r="I49" i="25"/>
  <c r="I26" i="25"/>
  <c r="I31" i="25"/>
  <c r="I35" i="25"/>
  <c r="I39" i="25"/>
  <c r="I34" i="25"/>
  <c r="I29" i="25"/>
  <c r="I28" i="25"/>
  <c r="I33" i="25"/>
  <c r="I42" i="25"/>
  <c r="I30" i="25"/>
  <c r="I38" i="25"/>
  <c r="I41" i="25"/>
  <c r="I37" i="25"/>
  <c r="I40" i="25"/>
  <c r="G7" i="25"/>
  <c r="G8" i="25" s="1"/>
  <c r="G89" i="25"/>
  <c r="H95" i="25"/>
  <c r="H103" i="25"/>
  <c r="H72" i="25"/>
  <c r="H73" i="25"/>
  <c r="H80" i="25"/>
  <c r="H71" i="25"/>
  <c r="H81" i="25"/>
  <c r="H98" i="25"/>
  <c r="H105" i="25"/>
  <c r="H96" i="25"/>
  <c r="H79" i="25"/>
  <c r="H94" i="25"/>
  <c r="H99" i="25"/>
  <c r="H7" i="25" s="1"/>
  <c r="G87" i="25"/>
  <c r="H76" i="25"/>
  <c r="J2" i="25"/>
  <c r="H83" i="25"/>
  <c r="H70" i="25"/>
  <c r="H87" i="25"/>
  <c r="H93" i="25"/>
  <c r="H84" i="25"/>
  <c r="H100" i="25"/>
  <c r="H89" i="25"/>
  <c r="H86" i="25"/>
  <c r="H75" i="25"/>
  <c r="H69" i="25"/>
  <c r="H74" i="25"/>
  <c r="H97" i="25"/>
  <c r="H88" i="25"/>
  <c r="H104" i="25"/>
  <c r="H68" i="25"/>
  <c r="H78" i="25"/>
  <c r="H77" i="25"/>
  <c r="H82" i="25"/>
  <c r="H106" i="25"/>
  <c r="H101" i="25"/>
  <c r="H92" i="25"/>
  <c r="G85" i="25"/>
  <c r="G90" i="25"/>
  <c r="H8" i="25" l="1"/>
  <c r="I96" i="25"/>
  <c r="I103" i="25"/>
  <c r="J44" i="25"/>
  <c r="J45" i="25"/>
  <c r="J46" i="25"/>
  <c r="J47" i="25"/>
  <c r="J48" i="25"/>
  <c r="J49" i="25"/>
  <c r="J43" i="25"/>
  <c r="J4" i="25" s="1"/>
  <c r="J5" i="25" s="1"/>
  <c r="J26" i="25"/>
  <c r="J50" i="25"/>
  <c r="J51" i="25"/>
  <c r="J52" i="25"/>
  <c r="J53" i="25"/>
  <c r="J54" i="25"/>
  <c r="J55" i="25"/>
  <c r="J56" i="25"/>
  <c r="J57" i="25"/>
  <c r="J58" i="25"/>
  <c r="J59" i="25"/>
  <c r="J60" i="25"/>
  <c r="J61" i="25"/>
  <c r="J62" i="25"/>
  <c r="J63" i="25"/>
  <c r="J64" i="25"/>
  <c r="J28" i="25"/>
  <c r="J29" i="25"/>
  <c r="J33" i="25"/>
  <c r="J37" i="25"/>
  <c r="J27" i="25"/>
  <c r="J32" i="25"/>
  <c r="J36" i="25"/>
  <c r="J35" i="25"/>
  <c r="J40" i="25"/>
  <c r="J30" i="25"/>
  <c r="J34" i="25"/>
  <c r="J31" i="25"/>
  <c r="J39" i="25"/>
  <c r="J42" i="25"/>
  <c r="J38" i="25"/>
  <c r="J41" i="25"/>
  <c r="I91" i="25"/>
  <c r="I99" i="25"/>
  <c r="I94" i="25"/>
  <c r="I100" i="25"/>
  <c r="I104" i="25"/>
  <c r="I102" i="25"/>
  <c r="I97" i="25"/>
  <c r="I68" i="25"/>
  <c r="I73" i="25"/>
  <c r="I89" i="25"/>
  <c r="K2" i="25"/>
  <c r="I84" i="25"/>
  <c r="I82" i="25"/>
  <c r="I106" i="25"/>
  <c r="I101" i="25"/>
  <c r="I81" i="25"/>
  <c r="I80" i="25"/>
  <c r="I77" i="25"/>
  <c r="I74" i="25"/>
  <c r="I83" i="25"/>
  <c r="I87" i="25"/>
  <c r="I105" i="25"/>
  <c r="I69" i="25"/>
  <c r="I76" i="25"/>
  <c r="I78" i="25"/>
  <c r="I71" i="25"/>
  <c r="H85" i="25"/>
  <c r="H90" i="25"/>
  <c r="I79" i="25"/>
  <c r="I72" i="25"/>
  <c r="I70" i="25"/>
  <c r="I75" i="25"/>
  <c r="I92" i="25"/>
  <c r="I95" i="25"/>
  <c r="I98" i="25"/>
  <c r="I93" i="25"/>
  <c r="I18" i="25" l="1"/>
  <c r="J100" i="25"/>
  <c r="J95" i="25"/>
  <c r="J101" i="25"/>
  <c r="J97" i="25"/>
  <c r="J102" i="25"/>
  <c r="J91" i="25"/>
  <c r="J6" i="25" s="1"/>
  <c r="I16" i="25"/>
  <c r="I17" i="25"/>
  <c r="I7" i="25"/>
  <c r="I15" i="25"/>
  <c r="I6" i="25"/>
  <c r="I14" i="25"/>
  <c r="I13" i="25"/>
  <c r="J77" i="25"/>
  <c r="J73" i="25"/>
  <c r="J80" i="25"/>
  <c r="K44" i="25"/>
  <c r="K45" i="25"/>
  <c r="K46" i="25"/>
  <c r="K47" i="25"/>
  <c r="K48" i="25"/>
  <c r="K49" i="25"/>
  <c r="K27" i="25"/>
  <c r="K43" i="25"/>
  <c r="K4" i="25" s="1"/>
  <c r="K5" i="25" s="1"/>
  <c r="K26" i="25"/>
  <c r="K50" i="25"/>
  <c r="K51" i="25"/>
  <c r="K52" i="25"/>
  <c r="K53" i="25"/>
  <c r="K54" i="25"/>
  <c r="K55" i="25"/>
  <c r="K56" i="25"/>
  <c r="K57" i="25"/>
  <c r="K58" i="25"/>
  <c r="K59" i="25"/>
  <c r="K60" i="25"/>
  <c r="K61" i="25"/>
  <c r="K62" i="25"/>
  <c r="K63" i="25"/>
  <c r="K64" i="25"/>
  <c r="K30" i="25"/>
  <c r="K34" i="25"/>
  <c r="K38" i="25"/>
  <c r="K28" i="25"/>
  <c r="K29" i="25"/>
  <c r="K33" i="25"/>
  <c r="K37" i="25"/>
  <c r="K36" i="25"/>
  <c r="K41" i="25"/>
  <c r="K31" i="25"/>
  <c r="K35" i="25"/>
  <c r="K40" i="25"/>
  <c r="K32" i="25"/>
  <c r="K39" i="25"/>
  <c r="K42" i="25"/>
  <c r="I88" i="25"/>
  <c r="J78" i="25"/>
  <c r="J96" i="25"/>
  <c r="J93" i="25"/>
  <c r="J104" i="25"/>
  <c r="J92" i="25"/>
  <c r="J105" i="25"/>
  <c r="J68" i="25"/>
  <c r="J106" i="25"/>
  <c r="J89" i="25"/>
  <c r="J82" i="25"/>
  <c r="J74" i="25"/>
  <c r="J84" i="25"/>
  <c r="J72" i="25"/>
  <c r="J83" i="25"/>
  <c r="J99" i="25"/>
  <c r="J7" i="25" s="1"/>
  <c r="J94" i="25"/>
  <c r="I90" i="25"/>
  <c r="I85" i="25"/>
  <c r="J70" i="25"/>
  <c r="J81" i="25"/>
  <c r="L2" i="25"/>
  <c r="J75" i="25"/>
  <c r="J69" i="25"/>
  <c r="J71" i="25"/>
  <c r="J76" i="25"/>
  <c r="J79" i="25"/>
  <c r="J103" i="25"/>
  <c r="J98" i="25"/>
  <c r="I86" i="25"/>
  <c r="J8" i="25" l="1"/>
  <c r="I19" i="25"/>
  <c r="I8" i="25"/>
  <c r="K101" i="25"/>
  <c r="L43" i="25"/>
  <c r="L4" i="25" s="1"/>
  <c r="L5" i="25" s="1"/>
  <c r="L44" i="25"/>
  <c r="L45" i="25"/>
  <c r="L46" i="25"/>
  <c r="L47" i="25"/>
  <c r="L48" i="25"/>
  <c r="L49" i="25"/>
  <c r="L28" i="25"/>
  <c r="L31" i="25"/>
  <c r="L35" i="25"/>
  <c r="L39" i="25"/>
  <c r="L50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L63" i="25"/>
  <c r="L64" i="25"/>
  <c r="L30" i="25"/>
  <c r="L34" i="25"/>
  <c r="L38" i="25"/>
  <c r="L29" i="25"/>
  <c r="L37" i="25"/>
  <c r="L42" i="25"/>
  <c r="L32" i="25"/>
  <c r="L36" i="25"/>
  <c r="L41" i="25"/>
  <c r="L26" i="25"/>
  <c r="L27" i="25"/>
  <c r="L33" i="25"/>
  <c r="L40" i="25"/>
  <c r="K97" i="25"/>
  <c r="K104" i="25"/>
  <c r="K95" i="25"/>
  <c r="K93" i="25"/>
  <c r="K78" i="25"/>
  <c r="K72" i="25"/>
  <c r="K84" i="25"/>
  <c r="J87" i="25"/>
  <c r="K75" i="25"/>
  <c r="K76" i="25"/>
  <c r="K70" i="25"/>
  <c r="K81" i="25"/>
  <c r="K88" i="25"/>
  <c r="K98" i="25"/>
  <c r="K92" i="25"/>
  <c r="K83" i="25"/>
  <c r="K99" i="25"/>
  <c r="K7" i="25" s="1"/>
  <c r="J86" i="25"/>
  <c r="K68" i="25"/>
  <c r="K82" i="25"/>
  <c r="K74" i="25"/>
  <c r="K69" i="25"/>
  <c r="K106" i="25"/>
  <c r="K94" i="25"/>
  <c r="K102" i="25"/>
  <c r="K96" i="25"/>
  <c r="K103" i="25"/>
  <c r="K71" i="25"/>
  <c r="K77" i="25"/>
  <c r="J85" i="25"/>
  <c r="J90" i="25"/>
  <c r="M2" i="25"/>
  <c r="K79" i="25"/>
  <c r="K73" i="25"/>
  <c r="K80" i="25"/>
  <c r="K105" i="25"/>
  <c r="K100" i="25"/>
  <c r="K91" i="25"/>
  <c r="K6" i="25" s="1"/>
  <c r="J88" i="25"/>
  <c r="M43" i="25" l="1"/>
  <c r="M4" i="25" s="1"/>
  <c r="M5" i="25" s="1"/>
  <c r="M50" i="25"/>
  <c r="M51" i="25"/>
  <c r="M52" i="25"/>
  <c r="M53" i="25"/>
  <c r="M54" i="25"/>
  <c r="M55" i="25"/>
  <c r="M56" i="25"/>
  <c r="M57" i="25"/>
  <c r="M58" i="25"/>
  <c r="M59" i="25"/>
  <c r="M60" i="25"/>
  <c r="M61" i="25"/>
  <c r="M62" i="25"/>
  <c r="M63" i="25"/>
  <c r="M64" i="25"/>
  <c r="M49" i="25"/>
  <c r="M45" i="25"/>
  <c r="M47" i="25"/>
  <c r="M32" i="25"/>
  <c r="M36" i="25"/>
  <c r="M31" i="25"/>
  <c r="M35" i="25"/>
  <c r="M46" i="25"/>
  <c r="M30" i="25"/>
  <c r="M38" i="25"/>
  <c r="M39" i="25"/>
  <c r="M26" i="25"/>
  <c r="M27" i="25"/>
  <c r="M33" i="25"/>
  <c r="M40" i="25"/>
  <c r="M29" i="25"/>
  <c r="M37" i="25"/>
  <c r="M42" i="25"/>
  <c r="M44" i="25"/>
  <c r="M48" i="25"/>
  <c r="M28" i="25"/>
  <c r="M34" i="25"/>
  <c r="M41" i="25"/>
  <c r="K8" i="25"/>
  <c r="L78" i="25"/>
  <c r="L77" i="25"/>
  <c r="L74" i="25"/>
  <c r="L81" i="25"/>
  <c r="K89" i="25"/>
  <c r="L105" i="25"/>
  <c r="L96" i="25"/>
  <c r="K87" i="25"/>
  <c r="L68" i="25"/>
  <c r="L80" i="25"/>
  <c r="L71" i="25"/>
  <c r="L73" i="25"/>
  <c r="L79" i="25"/>
  <c r="L91" i="25"/>
  <c r="L6" i="25" s="1"/>
  <c r="L87" i="25"/>
  <c r="L93" i="25"/>
  <c r="L84" i="25"/>
  <c r="L72" i="25"/>
  <c r="L95" i="25"/>
  <c r="L75" i="25"/>
  <c r="N2" i="25"/>
  <c r="L83" i="25"/>
  <c r="L99" i="25"/>
  <c r="L7" i="25" s="1"/>
  <c r="L94" i="25"/>
  <c r="L97" i="25"/>
  <c r="L88" i="25"/>
  <c r="L104" i="25"/>
  <c r="L76" i="25"/>
  <c r="L69" i="25"/>
  <c r="L82" i="25"/>
  <c r="L70" i="25"/>
  <c r="L98" i="25"/>
  <c r="L102" i="25"/>
  <c r="L103" i="25"/>
  <c r="L101" i="25"/>
  <c r="L92" i="25"/>
  <c r="K85" i="25"/>
  <c r="K90" i="25"/>
  <c r="L106" i="25"/>
  <c r="L100" i="25"/>
  <c r="K86" i="25"/>
  <c r="M93" i="25" l="1"/>
  <c r="M69" i="25"/>
  <c r="M98" i="25"/>
  <c r="M94" i="25"/>
  <c r="M74" i="25"/>
  <c r="M70" i="25"/>
  <c r="N43" i="25"/>
  <c r="N4" i="25" s="1"/>
  <c r="N5" i="25" s="1"/>
  <c r="N50" i="25"/>
  <c r="N51" i="25"/>
  <c r="N52" i="25"/>
  <c r="N26" i="25"/>
  <c r="N53" i="25"/>
  <c r="N54" i="25"/>
  <c r="N55" i="25"/>
  <c r="N56" i="25"/>
  <c r="N57" i="25"/>
  <c r="N58" i="25"/>
  <c r="N59" i="25"/>
  <c r="N60" i="25"/>
  <c r="N61" i="25"/>
  <c r="N62" i="25"/>
  <c r="N63" i="25"/>
  <c r="N64" i="25"/>
  <c r="N27" i="25"/>
  <c r="N29" i="25"/>
  <c r="N33" i="25"/>
  <c r="N37" i="25"/>
  <c r="N45" i="25"/>
  <c r="N47" i="25"/>
  <c r="N32" i="25"/>
  <c r="N36" i="25"/>
  <c r="N31" i="25"/>
  <c r="N40" i="25"/>
  <c r="N42" i="25"/>
  <c r="N48" i="25"/>
  <c r="N34" i="25"/>
  <c r="N41" i="25"/>
  <c r="N46" i="25"/>
  <c r="N30" i="25"/>
  <c r="N38" i="25"/>
  <c r="N39" i="25"/>
  <c r="N49" i="25"/>
  <c r="N35" i="25"/>
  <c r="N44" i="25"/>
  <c r="N28" i="25"/>
  <c r="M91" i="25"/>
  <c r="M6" i="25" s="1"/>
  <c r="M80" i="25"/>
  <c r="M75" i="25"/>
  <c r="M99" i="25"/>
  <c r="M7" i="25" s="1"/>
  <c r="L8" i="25"/>
  <c r="M77" i="25"/>
  <c r="M83" i="25"/>
  <c r="M96" i="25"/>
  <c r="M103" i="25"/>
  <c r="M95" i="25"/>
  <c r="M92" i="25"/>
  <c r="M100" i="25"/>
  <c r="M82" i="25"/>
  <c r="M84" i="25"/>
  <c r="M72" i="25"/>
  <c r="M87" i="25"/>
  <c r="M104" i="25"/>
  <c r="M102" i="25"/>
  <c r="M97" i="25"/>
  <c r="L85" i="25"/>
  <c r="L90" i="25"/>
  <c r="M68" i="25"/>
  <c r="M79" i="25"/>
  <c r="O2" i="25"/>
  <c r="M106" i="25"/>
  <c r="M101" i="25"/>
  <c r="L86" i="25"/>
  <c r="L89" i="25"/>
  <c r="M73" i="25"/>
  <c r="M76" i="25"/>
  <c r="M81" i="25"/>
  <c r="M71" i="25"/>
  <c r="M78" i="25"/>
  <c r="M105" i="25"/>
  <c r="N77" i="25" l="1"/>
  <c r="N81" i="25"/>
  <c r="N71" i="25"/>
  <c r="N95" i="25"/>
  <c r="N91" i="25"/>
  <c r="N6" i="25" s="1"/>
  <c r="N105" i="25"/>
  <c r="N96" i="25"/>
  <c r="N93" i="25"/>
  <c r="O44" i="25"/>
  <c r="O45" i="25"/>
  <c r="O46" i="25"/>
  <c r="O47" i="25"/>
  <c r="O48" i="25"/>
  <c r="O49" i="25"/>
  <c r="O27" i="25"/>
  <c r="O50" i="25"/>
  <c r="O51" i="25"/>
  <c r="O52" i="25"/>
  <c r="O26" i="25"/>
  <c r="O43" i="25"/>
  <c r="O4" i="25" s="1"/>
  <c r="O5" i="25" s="1"/>
  <c r="O28" i="25"/>
  <c r="O30" i="25"/>
  <c r="O34" i="25"/>
  <c r="O38" i="25"/>
  <c r="O29" i="25"/>
  <c r="O33" i="25"/>
  <c r="O37" i="25"/>
  <c r="O32" i="25"/>
  <c r="O41" i="25"/>
  <c r="O35" i="25"/>
  <c r="O42" i="25"/>
  <c r="O31" i="25"/>
  <c r="O40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36" i="25"/>
  <c r="O39" i="25"/>
  <c r="M8" i="25"/>
  <c r="M89" i="25"/>
  <c r="M88" i="25"/>
  <c r="N84" i="25"/>
  <c r="N78" i="25"/>
  <c r="N70" i="25"/>
  <c r="N69" i="25"/>
  <c r="N76" i="25"/>
  <c r="N83" i="25"/>
  <c r="N75" i="25"/>
  <c r="N74" i="25"/>
  <c r="N92" i="25"/>
  <c r="N101" i="25"/>
  <c r="N97" i="25"/>
  <c r="N99" i="25"/>
  <c r="N7" i="25" s="1"/>
  <c r="N100" i="25"/>
  <c r="N72" i="25"/>
  <c r="N79" i="25"/>
  <c r="N104" i="25"/>
  <c r="N103" i="25"/>
  <c r="N98" i="25"/>
  <c r="N89" i="25"/>
  <c r="N102" i="25"/>
  <c r="M90" i="25"/>
  <c r="M85" i="25"/>
  <c r="P2" i="25"/>
  <c r="N73" i="25"/>
  <c r="N80" i="25"/>
  <c r="N106" i="25"/>
  <c r="M86" i="25"/>
  <c r="N87" i="25"/>
  <c r="N68" i="25"/>
  <c r="N82" i="25"/>
  <c r="N94" i="25"/>
  <c r="O84" i="25" l="1"/>
  <c r="O71" i="25"/>
  <c r="O76" i="25"/>
  <c r="N8" i="25"/>
  <c r="O83" i="25"/>
  <c r="O77" i="25"/>
  <c r="O94" i="25"/>
  <c r="O72" i="25"/>
  <c r="P44" i="25"/>
  <c r="P45" i="25"/>
  <c r="P46" i="25"/>
  <c r="P47" i="25"/>
  <c r="P48" i="25"/>
  <c r="P49" i="25"/>
  <c r="P28" i="25"/>
  <c r="P26" i="25"/>
  <c r="P31" i="25"/>
  <c r="P35" i="25"/>
  <c r="P39" i="25"/>
  <c r="P43" i="25"/>
  <c r="P4" i="25" s="1"/>
  <c r="P5" i="25" s="1"/>
  <c r="P27" i="25"/>
  <c r="P30" i="25"/>
  <c r="P34" i="25"/>
  <c r="P38" i="25"/>
  <c r="P50" i="25"/>
  <c r="P52" i="25"/>
  <c r="P33" i="25"/>
  <c r="P42" i="25"/>
  <c r="P36" i="25"/>
  <c r="P32" i="25"/>
  <c r="P41" i="25"/>
  <c r="P51" i="25"/>
  <c r="P29" i="25"/>
  <c r="P37" i="25"/>
  <c r="P40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O70" i="25"/>
  <c r="O78" i="25"/>
  <c r="Q2" i="25"/>
  <c r="O101" i="25"/>
  <c r="O103" i="25"/>
  <c r="N90" i="25"/>
  <c r="N85" i="25"/>
  <c r="O99" i="25"/>
  <c r="O7" i="25" s="1"/>
  <c r="O102" i="25"/>
  <c r="O96" i="25"/>
  <c r="O82" i="25"/>
  <c r="O75" i="25"/>
  <c r="O74" i="25"/>
  <c r="O69" i="25"/>
  <c r="O97" i="25"/>
  <c r="O105" i="25"/>
  <c r="O106" i="25"/>
  <c r="O100" i="25"/>
  <c r="O91" i="25"/>
  <c r="O6" i="25" s="1"/>
  <c r="N86" i="25"/>
  <c r="O92" i="25"/>
  <c r="O98" i="25"/>
  <c r="O68" i="25"/>
  <c r="O79" i="25"/>
  <c r="O81" i="25"/>
  <c r="O73" i="25"/>
  <c r="O80" i="25"/>
  <c r="O93" i="25"/>
  <c r="O104" i="25"/>
  <c r="O95" i="25"/>
  <c r="N88" i="25"/>
  <c r="P91" i="25" l="1"/>
  <c r="P6" i="25" s="1"/>
  <c r="P94" i="25"/>
  <c r="O8" i="25"/>
  <c r="Q43" i="25"/>
  <c r="Q4" i="25" s="1"/>
  <c r="Q5" i="25" s="1"/>
  <c r="Q50" i="25"/>
  <c r="Q51" i="25"/>
  <c r="Q52" i="25"/>
  <c r="Q44" i="25"/>
  <c r="Q45" i="25"/>
  <c r="Q46" i="25"/>
  <c r="Q47" i="25"/>
  <c r="Q48" i="25"/>
  <c r="Q53" i="25"/>
  <c r="Q54" i="25"/>
  <c r="Q55" i="25"/>
  <c r="Q56" i="25"/>
  <c r="Q57" i="25"/>
  <c r="Q58" i="25"/>
  <c r="Q59" i="25"/>
  <c r="Q60" i="25"/>
  <c r="Q61" i="25"/>
  <c r="Q62" i="25"/>
  <c r="Q63" i="25"/>
  <c r="Q64" i="25"/>
  <c r="Q32" i="25"/>
  <c r="Q36" i="25"/>
  <c r="Q26" i="25"/>
  <c r="Q28" i="25"/>
  <c r="Q31" i="25"/>
  <c r="Q35" i="25"/>
  <c r="Q27" i="25"/>
  <c r="Q34" i="25"/>
  <c r="Q37" i="25"/>
  <c r="Q39" i="25"/>
  <c r="Q33" i="25"/>
  <c r="Q42" i="25"/>
  <c r="Q30" i="25"/>
  <c r="Q38" i="25"/>
  <c r="Q41" i="25"/>
  <c r="Q49" i="25"/>
  <c r="Q29" i="25"/>
  <c r="Q40" i="25"/>
  <c r="P92" i="25"/>
  <c r="P98" i="25"/>
  <c r="P106" i="25"/>
  <c r="P101" i="25"/>
  <c r="O85" i="25"/>
  <c r="O90" i="25"/>
  <c r="P86" i="25"/>
  <c r="P80" i="25"/>
  <c r="P74" i="25"/>
  <c r="P95" i="25"/>
  <c r="P99" i="25"/>
  <c r="P7" i="25" s="1"/>
  <c r="P105" i="25"/>
  <c r="P96" i="25"/>
  <c r="P70" i="25"/>
  <c r="O86" i="25"/>
  <c r="O89" i="25"/>
  <c r="O87" i="25"/>
  <c r="P75" i="25"/>
  <c r="O88" i="25"/>
  <c r="P73" i="25"/>
  <c r="P76" i="25"/>
  <c r="P79" i="25"/>
  <c r="R2" i="25"/>
  <c r="P83" i="25"/>
  <c r="P102" i="25"/>
  <c r="P93" i="25"/>
  <c r="P84" i="25"/>
  <c r="P100" i="25"/>
  <c r="P68" i="25"/>
  <c r="P78" i="25"/>
  <c r="P69" i="25"/>
  <c r="P72" i="25"/>
  <c r="P77" i="25"/>
  <c r="P82" i="25"/>
  <c r="P71" i="25"/>
  <c r="P81" i="25"/>
  <c r="P103" i="25"/>
  <c r="P97" i="25"/>
  <c r="P104" i="25"/>
  <c r="P8" i="25" l="1"/>
  <c r="Q92" i="25"/>
  <c r="Q103" i="25"/>
  <c r="Q73" i="25"/>
  <c r="Q69" i="25"/>
  <c r="R43" i="25"/>
  <c r="R4" i="25" s="1"/>
  <c r="R5" i="25" s="1"/>
  <c r="R44" i="25"/>
  <c r="R45" i="25"/>
  <c r="R46" i="25"/>
  <c r="R47" i="25"/>
  <c r="R48" i="25"/>
  <c r="R49" i="25"/>
  <c r="R26" i="25"/>
  <c r="R53" i="25"/>
  <c r="R54" i="25"/>
  <c r="R55" i="25"/>
  <c r="R56" i="25"/>
  <c r="R57" i="25"/>
  <c r="R58" i="25"/>
  <c r="R59" i="25"/>
  <c r="R60" i="25"/>
  <c r="R61" i="25"/>
  <c r="R62" i="25"/>
  <c r="R63" i="25"/>
  <c r="R64" i="25"/>
  <c r="R29" i="25"/>
  <c r="R33" i="25"/>
  <c r="R37" i="25"/>
  <c r="R32" i="25"/>
  <c r="R36" i="25"/>
  <c r="R28" i="25"/>
  <c r="R35" i="25"/>
  <c r="R39" i="25"/>
  <c r="R40" i="25"/>
  <c r="R51" i="25"/>
  <c r="R38" i="25"/>
  <c r="R50" i="25"/>
  <c r="R52" i="25"/>
  <c r="R27" i="25"/>
  <c r="R34" i="25"/>
  <c r="R31" i="25"/>
  <c r="R42" i="25"/>
  <c r="R30" i="25"/>
  <c r="R41" i="25"/>
  <c r="Q70" i="25"/>
  <c r="Q100" i="25"/>
  <c r="Q94" i="25"/>
  <c r="Q91" i="25"/>
  <c r="Q6" i="25" s="1"/>
  <c r="Q96" i="25"/>
  <c r="Q99" i="25"/>
  <c r="Q7" i="25" s="1"/>
  <c r="Q104" i="25"/>
  <c r="Q76" i="25"/>
  <c r="Q77" i="25"/>
  <c r="Q80" i="25"/>
  <c r="Q83" i="25"/>
  <c r="Q74" i="25"/>
  <c r="Q71" i="25"/>
  <c r="Q84" i="25"/>
  <c r="Q95" i="25"/>
  <c r="Q102" i="25"/>
  <c r="Q97" i="25"/>
  <c r="P87" i="25"/>
  <c r="Q68" i="25"/>
  <c r="Q75" i="25"/>
  <c r="Q106" i="25"/>
  <c r="Q101" i="25"/>
  <c r="P85" i="25"/>
  <c r="P90" i="25"/>
  <c r="Q72" i="25"/>
  <c r="Q79" i="25"/>
  <c r="Q78" i="25"/>
  <c r="Q105" i="25"/>
  <c r="P88" i="25"/>
  <c r="S2" i="25"/>
  <c r="Q81" i="25"/>
  <c r="Q82" i="25"/>
  <c r="Q87" i="25"/>
  <c r="Q98" i="25"/>
  <c r="Q93" i="25"/>
  <c r="P89" i="25"/>
  <c r="R73" i="25" l="1"/>
  <c r="R81" i="25"/>
  <c r="R93" i="25"/>
  <c r="R74" i="25"/>
  <c r="R78" i="25"/>
  <c r="R92" i="25"/>
  <c r="R96" i="25"/>
  <c r="R100" i="25"/>
  <c r="R97" i="25"/>
  <c r="R95" i="25"/>
  <c r="R91" i="25"/>
  <c r="R6" i="25" s="1"/>
  <c r="R69" i="25"/>
  <c r="R80" i="25"/>
  <c r="Q8" i="25"/>
  <c r="R70" i="25"/>
  <c r="R71" i="25"/>
  <c r="R82" i="25"/>
  <c r="S44" i="25"/>
  <c r="S45" i="25"/>
  <c r="S46" i="25"/>
  <c r="S47" i="25"/>
  <c r="S48" i="25"/>
  <c r="S49" i="25"/>
  <c r="S43" i="25"/>
  <c r="S4" i="25" s="1"/>
  <c r="S5" i="25" s="1"/>
  <c r="S50" i="25"/>
  <c r="S51" i="25"/>
  <c r="S52" i="25"/>
  <c r="S27" i="25"/>
  <c r="S26" i="25"/>
  <c r="S68" i="25" s="1"/>
  <c r="S53" i="25"/>
  <c r="S54" i="25"/>
  <c r="S55" i="25"/>
  <c r="S56" i="25"/>
  <c r="S57" i="25"/>
  <c r="S58" i="25"/>
  <c r="S59" i="25"/>
  <c r="S60" i="25"/>
  <c r="S61" i="25"/>
  <c r="S62" i="25"/>
  <c r="S63" i="25"/>
  <c r="S64" i="25"/>
  <c r="S30" i="25"/>
  <c r="S34" i="25"/>
  <c r="S38" i="25"/>
  <c r="S29" i="25"/>
  <c r="S33" i="25"/>
  <c r="S37" i="25"/>
  <c r="S36" i="25"/>
  <c r="S41" i="25"/>
  <c r="S28" i="25"/>
  <c r="S35" i="25"/>
  <c r="S39" i="25"/>
  <c r="S40" i="25"/>
  <c r="S32" i="25"/>
  <c r="S31" i="25"/>
  <c r="S42" i="25"/>
  <c r="R75" i="25"/>
  <c r="R79" i="25"/>
  <c r="Q89" i="25"/>
  <c r="R99" i="25"/>
  <c r="R7" i="25" s="1"/>
  <c r="R104" i="25"/>
  <c r="R101" i="25"/>
  <c r="R94" i="25"/>
  <c r="R105" i="25"/>
  <c r="Q90" i="25"/>
  <c r="Q85" i="25"/>
  <c r="R68" i="25"/>
  <c r="R84" i="25"/>
  <c r="R103" i="25"/>
  <c r="R98" i="25"/>
  <c r="R83" i="25"/>
  <c r="R72" i="25"/>
  <c r="R89" i="25"/>
  <c r="R102" i="25"/>
  <c r="Q86" i="25"/>
  <c r="R77" i="25"/>
  <c r="R88" i="25"/>
  <c r="R76" i="25"/>
  <c r="R106" i="25"/>
  <c r="Q88" i="25"/>
  <c r="S70" i="25" l="1"/>
  <c r="S71" i="25"/>
  <c r="S69" i="25"/>
  <c r="S79" i="25"/>
  <c r="R8" i="25"/>
  <c r="S75" i="25"/>
  <c r="T43" i="25"/>
  <c r="T4" i="25" s="1"/>
  <c r="T5" i="25" s="1"/>
  <c r="T28" i="25"/>
  <c r="T44" i="25"/>
  <c r="T45" i="25"/>
  <c r="T46" i="25"/>
  <c r="T47" i="25"/>
  <c r="T48" i="25"/>
  <c r="T49" i="25"/>
  <c r="T50" i="25"/>
  <c r="T51" i="25"/>
  <c r="T52" i="25"/>
  <c r="T27" i="25"/>
  <c r="T31" i="25"/>
  <c r="T35" i="25"/>
  <c r="T39" i="25"/>
  <c r="T53" i="25"/>
  <c r="T54" i="25"/>
  <c r="T55" i="25"/>
  <c r="T56" i="25"/>
  <c r="T57" i="25"/>
  <c r="T58" i="25"/>
  <c r="T59" i="25"/>
  <c r="T60" i="25"/>
  <c r="T61" i="25"/>
  <c r="T62" i="25"/>
  <c r="T63" i="25"/>
  <c r="T64" i="25"/>
  <c r="T30" i="25"/>
  <c r="T34" i="25"/>
  <c r="T38" i="25"/>
  <c r="T26" i="25"/>
  <c r="T29" i="25"/>
  <c r="T37" i="25"/>
  <c r="T42" i="25"/>
  <c r="T36" i="25"/>
  <c r="T41" i="25"/>
  <c r="T33" i="25"/>
  <c r="T40" i="25"/>
  <c r="T32" i="25"/>
  <c r="X43" i="25"/>
  <c r="X4" i="25" s="1"/>
  <c r="X5" i="25" s="1"/>
  <c r="X49" i="25"/>
  <c r="X50" i="25"/>
  <c r="X51" i="25"/>
  <c r="X52" i="25"/>
  <c r="X44" i="25"/>
  <c r="X46" i="25"/>
  <c r="X48" i="25"/>
  <c r="X26" i="25"/>
  <c r="X31" i="25"/>
  <c r="X35" i="25"/>
  <c r="X39" i="25"/>
  <c r="X30" i="25"/>
  <c r="X34" i="25"/>
  <c r="X38" i="25"/>
  <c r="X47" i="25"/>
  <c r="X33" i="25"/>
  <c r="X42" i="25"/>
  <c r="X28" i="25"/>
  <c r="X53" i="25"/>
  <c r="X54" i="25"/>
  <c r="X55" i="25"/>
  <c r="X56" i="25"/>
  <c r="X57" i="25"/>
  <c r="X58" i="25"/>
  <c r="X59" i="25"/>
  <c r="X60" i="25"/>
  <c r="X61" i="25"/>
  <c r="X62" i="25"/>
  <c r="X63" i="25"/>
  <c r="X64" i="25"/>
  <c r="X32" i="25"/>
  <c r="X41" i="25"/>
  <c r="X45" i="25"/>
  <c r="X29" i="25"/>
  <c r="X37" i="25"/>
  <c r="X40" i="25"/>
  <c r="X27" i="25"/>
  <c r="X36" i="25"/>
  <c r="S101" i="25"/>
  <c r="S93" i="25"/>
  <c r="S72" i="25"/>
  <c r="S78" i="25"/>
  <c r="S82" i="25"/>
  <c r="S94" i="25"/>
  <c r="S102" i="25"/>
  <c r="S92" i="25"/>
  <c r="S83" i="25"/>
  <c r="S99" i="25"/>
  <c r="S89" i="25"/>
  <c r="S84" i="25"/>
  <c r="S105" i="25"/>
  <c r="S96" i="25"/>
  <c r="S103" i="25"/>
  <c r="R85" i="25"/>
  <c r="R90" i="25"/>
  <c r="S73" i="25"/>
  <c r="S97" i="25"/>
  <c r="S106" i="25"/>
  <c r="S100" i="25"/>
  <c r="S91" i="25"/>
  <c r="S6" i="25" s="1"/>
  <c r="Y2" i="25"/>
  <c r="AC2" i="25"/>
  <c r="R86" i="25"/>
  <c r="R87" i="25"/>
  <c r="U2" i="25"/>
  <c r="S81" i="25"/>
  <c r="S74" i="25"/>
  <c r="S76" i="25"/>
  <c r="S77" i="25"/>
  <c r="S80" i="25"/>
  <c r="S98" i="25"/>
  <c r="S88" i="25"/>
  <c r="S104" i="25"/>
  <c r="S95" i="25"/>
  <c r="X105" i="25" l="1"/>
  <c r="T104" i="25"/>
  <c r="X91" i="25"/>
  <c r="X6" i="25" s="1"/>
  <c r="X102" i="25"/>
  <c r="X94" i="25"/>
  <c r="AC43" i="25"/>
  <c r="AC4" i="25" s="1"/>
  <c r="AC5" i="25" s="1"/>
  <c r="AC49" i="25"/>
  <c r="AC50" i="25"/>
  <c r="AC51" i="25"/>
  <c r="AC52" i="25"/>
  <c r="AC44" i="25"/>
  <c r="AC45" i="25"/>
  <c r="AC46" i="25"/>
  <c r="AC47" i="25"/>
  <c r="AC48" i="25"/>
  <c r="AC53" i="25"/>
  <c r="AC54" i="25"/>
  <c r="AC55" i="25"/>
  <c r="AC56" i="25"/>
  <c r="AC57" i="25"/>
  <c r="AC58" i="25"/>
  <c r="AC59" i="25"/>
  <c r="AC60" i="25"/>
  <c r="AC61" i="25"/>
  <c r="AC62" i="25"/>
  <c r="AC63" i="25"/>
  <c r="AC64" i="25"/>
  <c r="AC28" i="25"/>
  <c r="AC32" i="25"/>
  <c r="AC36" i="25"/>
  <c r="AC31" i="25"/>
  <c r="AC35" i="25"/>
  <c r="AC30" i="25"/>
  <c r="AC38" i="25"/>
  <c r="AC39" i="25"/>
  <c r="AC41" i="25"/>
  <c r="AC33" i="25"/>
  <c r="AC40" i="25"/>
  <c r="AC27" i="25"/>
  <c r="AC29" i="25"/>
  <c r="AC37" i="25"/>
  <c r="AC42" i="25"/>
  <c r="AC34" i="25"/>
  <c r="AC26" i="25"/>
  <c r="Y43" i="25"/>
  <c r="Y4" i="25" s="1"/>
  <c r="Y5" i="25" s="1"/>
  <c r="Y49" i="25"/>
  <c r="Y50" i="25"/>
  <c r="Y51" i="25"/>
  <c r="Y52" i="25"/>
  <c r="Y53" i="25"/>
  <c r="Y54" i="25"/>
  <c r="Y55" i="25"/>
  <c r="Y56" i="25"/>
  <c r="Y57" i="25"/>
  <c r="Y58" i="25"/>
  <c r="Y59" i="25"/>
  <c r="Y60" i="25"/>
  <c r="Y61" i="25"/>
  <c r="Y62" i="25"/>
  <c r="Y63" i="25"/>
  <c r="Y64" i="25"/>
  <c r="Y27" i="25"/>
  <c r="Y28" i="25"/>
  <c r="Y32" i="25"/>
  <c r="Y36" i="25"/>
  <c r="Y44" i="25"/>
  <c r="Y46" i="25"/>
  <c r="Y48" i="25"/>
  <c r="Y26" i="25"/>
  <c r="Y31" i="25"/>
  <c r="Y35" i="25"/>
  <c r="Y34" i="25"/>
  <c r="Y45" i="25"/>
  <c r="Y29" i="25"/>
  <c r="Y47" i="25"/>
  <c r="Y33" i="25"/>
  <c r="Y39" i="25"/>
  <c r="Y42" i="25"/>
  <c r="Y30" i="25"/>
  <c r="Y38" i="25"/>
  <c r="Y41" i="25"/>
  <c r="Y37" i="25"/>
  <c r="Y40" i="25"/>
  <c r="J16" i="25"/>
  <c r="U43" i="25"/>
  <c r="U4" i="25" s="1"/>
  <c r="U5" i="25" s="1"/>
  <c r="U44" i="25"/>
  <c r="U45" i="25"/>
  <c r="U46" i="25"/>
  <c r="U47" i="25"/>
  <c r="U48" i="25"/>
  <c r="U49" i="25"/>
  <c r="U50" i="25"/>
  <c r="U51" i="25"/>
  <c r="U52" i="25"/>
  <c r="U53" i="25"/>
  <c r="U54" i="25"/>
  <c r="U55" i="25"/>
  <c r="U56" i="25"/>
  <c r="U57" i="25"/>
  <c r="U58" i="25"/>
  <c r="U59" i="25"/>
  <c r="U60" i="25"/>
  <c r="U61" i="25"/>
  <c r="U62" i="25"/>
  <c r="U63" i="25"/>
  <c r="U64" i="25"/>
  <c r="U28" i="25"/>
  <c r="U32" i="25"/>
  <c r="U36" i="25"/>
  <c r="U27" i="25"/>
  <c r="U31" i="25"/>
  <c r="U35" i="25"/>
  <c r="U30" i="25"/>
  <c r="U38" i="25"/>
  <c r="U41" i="25"/>
  <c r="U40" i="25"/>
  <c r="U26" i="25"/>
  <c r="U29" i="25"/>
  <c r="U37" i="25"/>
  <c r="U42" i="25"/>
  <c r="U34" i="25"/>
  <c r="U39" i="25"/>
  <c r="U33" i="25"/>
  <c r="J15" i="25"/>
  <c r="S7" i="25"/>
  <c r="S8" i="25" s="1"/>
  <c r="T91" i="25"/>
  <c r="T6" i="25" s="1"/>
  <c r="T94" i="25"/>
  <c r="T97" i="25"/>
  <c r="T102" i="25"/>
  <c r="X96" i="25"/>
  <c r="X75" i="25"/>
  <c r="X82" i="25"/>
  <c r="J17" i="25"/>
  <c r="T103" i="25"/>
  <c r="T68" i="25"/>
  <c r="T75" i="25"/>
  <c r="T72" i="25"/>
  <c r="T73" i="25"/>
  <c r="T89" i="25"/>
  <c r="T70" i="25"/>
  <c r="T95" i="25"/>
  <c r="T99" i="25"/>
  <c r="T7" i="25" s="1"/>
  <c r="T106" i="25"/>
  <c r="T101" i="25"/>
  <c r="T92" i="25"/>
  <c r="X68" i="25"/>
  <c r="X69" i="25"/>
  <c r="X78" i="25"/>
  <c r="X71" i="25"/>
  <c r="X95" i="25"/>
  <c r="X99" i="25"/>
  <c r="X7" i="25" s="1"/>
  <c r="X93" i="25"/>
  <c r="X84" i="25"/>
  <c r="X100" i="25"/>
  <c r="J18" i="25"/>
  <c r="T105" i="25"/>
  <c r="T96" i="25"/>
  <c r="X72" i="25"/>
  <c r="X79" i="25"/>
  <c r="X80" i="25"/>
  <c r="X70" i="25"/>
  <c r="X77" i="25"/>
  <c r="X103" i="25"/>
  <c r="X97" i="25"/>
  <c r="X88" i="25"/>
  <c r="X104" i="25"/>
  <c r="S85" i="25"/>
  <c r="S90" i="25"/>
  <c r="T82" i="25"/>
  <c r="T80" i="25"/>
  <c r="AD2" i="25"/>
  <c r="X89" i="25"/>
  <c r="T76" i="25"/>
  <c r="Z2" i="25"/>
  <c r="V2" i="25"/>
  <c r="T69" i="25"/>
  <c r="T74" i="25"/>
  <c r="T81" i="25"/>
  <c r="T98" i="25"/>
  <c r="T79" i="25"/>
  <c r="T71" i="25"/>
  <c r="T77" i="25"/>
  <c r="T78" i="25"/>
  <c r="T83" i="25"/>
  <c r="T93" i="25"/>
  <c r="T84" i="25"/>
  <c r="T100" i="25"/>
  <c r="X83" i="25"/>
  <c r="X76" i="25"/>
  <c r="AH2" i="25"/>
  <c r="X73" i="25"/>
  <c r="X74" i="25"/>
  <c r="X81" i="25"/>
  <c r="X98" i="25"/>
  <c r="X106" i="25"/>
  <c r="X101" i="25"/>
  <c r="X92" i="25"/>
  <c r="J13" i="25"/>
  <c r="J14" i="25"/>
  <c r="S87" i="25"/>
  <c r="S86" i="25"/>
  <c r="X8" i="25" l="1"/>
  <c r="AC91" i="25"/>
  <c r="AC6" i="25" s="1"/>
  <c r="AC92" i="25"/>
  <c r="U92" i="25"/>
  <c r="U99" i="25"/>
  <c r="U7" i="25" s="1"/>
  <c r="U73" i="25"/>
  <c r="Y99" i="25"/>
  <c r="Y7" i="25" s="1"/>
  <c r="Y77" i="25"/>
  <c r="Y73" i="25"/>
  <c r="AC95" i="25"/>
  <c r="V44" i="25"/>
  <c r="V45" i="25"/>
  <c r="V46" i="25"/>
  <c r="V47" i="25"/>
  <c r="V48" i="25"/>
  <c r="V26" i="25"/>
  <c r="V43" i="25"/>
  <c r="V4" i="25" s="1"/>
  <c r="V5" i="25" s="1"/>
  <c r="V53" i="25"/>
  <c r="V54" i="25"/>
  <c r="V55" i="25"/>
  <c r="V56" i="25"/>
  <c r="V57" i="25"/>
  <c r="V58" i="25"/>
  <c r="V59" i="25"/>
  <c r="V60" i="25"/>
  <c r="V61" i="25"/>
  <c r="V62" i="25"/>
  <c r="V63" i="25"/>
  <c r="V64" i="25"/>
  <c r="V49" i="25"/>
  <c r="V50" i="25"/>
  <c r="V51" i="25"/>
  <c r="V52" i="25"/>
  <c r="V29" i="25"/>
  <c r="V33" i="25"/>
  <c r="V37" i="25"/>
  <c r="V28" i="25"/>
  <c r="V32" i="25"/>
  <c r="V36" i="25"/>
  <c r="V31" i="25"/>
  <c r="V40" i="25"/>
  <c r="V42" i="25"/>
  <c r="V41" i="25"/>
  <c r="V30" i="25"/>
  <c r="V38" i="25"/>
  <c r="V27" i="25"/>
  <c r="V35" i="25"/>
  <c r="V34" i="25"/>
  <c r="V39" i="25"/>
  <c r="AD43" i="25"/>
  <c r="AD4" i="25" s="1"/>
  <c r="AD5" i="25" s="1"/>
  <c r="AD49" i="25"/>
  <c r="AD50" i="25"/>
  <c r="AD51" i="25"/>
  <c r="AD52" i="25"/>
  <c r="AD26" i="25"/>
  <c r="AD44" i="25"/>
  <c r="AD45" i="25"/>
  <c r="AD46" i="25"/>
  <c r="AD47" i="25"/>
  <c r="AD48" i="25"/>
  <c r="AD53" i="25"/>
  <c r="AD54" i="25"/>
  <c r="AD55" i="25"/>
  <c r="AD56" i="25"/>
  <c r="AD57" i="25"/>
  <c r="AD58" i="25"/>
  <c r="AD59" i="25"/>
  <c r="AD60" i="25"/>
  <c r="AD61" i="25"/>
  <c r="AD62" i="25"/>
  <c r="AD63" i="25"/>
  <c r="AD64" i="25"/>
  <c r="AD27" i="25"/>
  <c r="AD29" i="25"/>
  <c r="AD33" i="25"/>
  <c r="AD37" i="25"/>
  <c r="AD28" i="25"/>
  <c r="AD32" i="25"/>
  <c r="AD36" i="25"/>
  <c r="AD31" i="25"/>
  <c r="AD40" i="25"/>
  <c r="AD42" i="25"/>
  <c r="AD34" i="25"/>
  <c r="AD41" i="25"/>
  <c r="AD30" i="25"/>
  <c r="AD38" i="25"/>
  <c r="AD39" i="25"/>
  <c r="AD35" i="25"/>
  <c r="Y84" i="25"/>
  <c r="T8" i="25"/>
  <c r="AH43" i="25"/>
  <c r="AH4" i="25" s="1"/>
  <c r="AH5" i="25" s="1"/>
  <c r="AH26" i="25"/>
  <c r="AH53" i="25"/>
  <c r="AH54" i="25"/>
  <c r="AH55" i="25"/>
  <c r="AH56" i="25"/>
  <c r="AH57" i="25"/>
  <c r="AH58" i="25"/>
  <c r="AH59" i="25"/>
  <c r="AH60" i="25"/>
  <c r="AH61" i="25"/>
  <c r="AH62" i="25"/>
  <c r="AH63" i="25"/>
  <c r="AH64" i="25"/>
  <c r="AH45" i="25"/>
  <c r="AH47" i="25"/>
  <c r="AH29" i="25"/>
  <c r="AH33" i="25"/>
  <c r="AH37" i="25"/>
  <c r="AH49" i="25"/>
  <c r="AH50" i="25"/>
  <c r="AH51" i="25"/>
  <c r="AH52" i="25"/>
  <c r="AH28" i="25"/>
  <c r="AH32" i="25"/>
  <c r="AH36" i="25"/>
  <c r="AH44" i="25"/>
  <c r="AH35" i="25"/>
  <c r="AH40" i="25"/>
  <c r="AH27" i="25"/>
  <c r="AH38" i="25"/>
  <c r="AH48" i="25"/>
  <c r="AH34" i="25"/>
  <c r="AH39" i="25"/>
  <c r="AH46" i="25"/>
  <c r="AH31" i="25"/>
  <c r="AH42" i="25"/>
  <c r="AH30" i="25"/>
  <c r="AH41" i="25"/>
  <c r="Z44" i="25"/>
  <c r="Z45" i="25"/>
  <c r="Z46" i="25"/>
  <c r="Z47" i="25"/>
  <c r="Z48" i="25"/>
  <c r="Z26" i="25"/>
  <c r="Z49" i="25"/>
  <c r="Z50" i="25"/>
  <c r="Z51" i="25"/>
  <c r="Z52" i="25"/>
  <c r="Z53" i="25"/>
  <c r="Z54" i="25"/>
  <c r="Z55" i="25"/>
  <c r="Z56" i="25"/>
  <c r="Z57" i="25"/>
  <c r="Z58" i="25"/>
  <c r="Z59" i="25"/>
  <c r="Z60" i="25"/>
  <c r="Z61" i="25"/>
  <c r="Z62" i="25"/>
  <c r="Z63" i="25"/>
  <c r="Z64" i="25"/>
  <c r="Z29" i="25"/>
  <c r="Z33" i="25"/>
  <c r="Z37" i="25"/>
  <c r="Z27" i="25"/>
  <c r="Z28" i="25"/>
  <c r="Z32" i="25"/>
  <c r="Z36" i="25"/>
  <c r="Z43" i="25"/>
  <c r="Z4" i="25" s="1"/>
  <c r="Z5" i="25" s="1"/>
  <c r="Z35" i="25"/>
  <c r="Z40" i="25"/>
  <c r="Z30" i="25"/>
  <c r="Z34" i="25"/>
  <c r="Z31" i="25"/>
  <c r="Z39" i="25"/>
  <c r="Z42" i="25"/>
  <c r="Z38" i="25"/>
  <c r="Z41" i="25"/>
  <c r="Y69" i="25"/>
  <c r="J19" i="25"/>
  <c r="T87" i="25"/>
  <c r="U103" i="25"/>
  <c r="U94" i="25"/>
  <c r="U105" i="25"/>
  <c r="Y95" i="25"/>
  <c r="U95" i="25"/>
  <c r="U96" i="25"/>
  <c r="U100" i="25"/>
  <c r="U98" i="25"/>
  <c r="U93" i="25"/>
  <c r="Y96" i="25"/>
  <c r="Y91" i="25"/>
  <c r="Y6" i="25" s="1"/>
  <c r="AC99" i="25"/>
  <c r="AC7" i="25" s="1"/>
  <c r="AC94" i="25"/>
  <c r="AC105" i="25"/>
  <c r="U80" i="25"/>
  <c r="U77" i="25"/>
  <c r="U76" i="25"/>
  <c r="U84" i="25"/>
  <c r="U71" i="25"/>
  <c r="U82" i="25"/>
  <c r="U83" i="25"/>
  <c r="Y72" i="25"/>
  <c r="Y80" i="25"/>
  <c r="Y83" i="25"/>
  <c r="Y94" i="25"/>
  <c r="Y105" i="25"/>
  <c r="T86" i="25"/>
  <c r="AC96" i="25"/>
  <c r="U91" i="25"/>
  <c r="U6" i="25" s="1"/>
  <c r="T88" i="25"/>
  <c r="AC68" i="25"/>
  <c r="AC71" i="25"/>
  <c r="AC73" i="25"/>
  <c r="AC76" i="25"/>
  <c r="AC74" i="25"/>
  <c r="AC75" i="25"/>
  <c r="AC82" i="25"/>
  <c r="AC103" i="25"/>
  <c r="AC100" i="25"/>
  <c r="AC98" i="25"/>
  <c r="AC93" i="25"/>
  <c r="U79" i="25"/>
  <c r="U72" i="25"/>
  <c r="U75" i="25"/>
  <c r="U88" i="25"/>
  <c r="U104" i="25"/>
  <c r="U102" i="25"/>
  <c r="U97" i="25"/>
  <c r="Y79" i="25"/>
  <c r="Y76" i="25"/>
  <c r="AI2" i="25"/>
  <c r="Y92" i="25"/>
  <c r="Y104" i="25"/>
  <c r="Y98" i="25"/>
  <c r="Y93" i="25"/>
  <c r="X85" i="25"/>
  <c r="X90" i="25"/>
  <c r="AC69" i="25"/>
  <c r="Y86" i="25"/>
  <c r="AC70" i="25"/>
  <c r="AC89" i="25"/>
  <c r="AC80" i="25"/>
  <c r="AC72" i="25"/>
  <c r="AC77" i="25"/>
  <c r="AC87" i="25"/>
  <c r="AC84" i="25"/>
  <c r="AC104" i="25"/>
  <c r="AC102" i="25"/>
  <c r="AC97" i="25"/>
  <c r="U69" i="25"/>
  <c r="U74" i="25"/>
  <c r="U81" i="25"/>
  <c r="W2" i="25"/>
  <c r="U87" i="25"/>
  <c r="U106" i="25"/>
  <c r="U101" i="25"/>
  <c r="Y74" i="25"/>
  <c r="Y81" i="25"/>
  <c r="Y70" i="25"/>
  <c r="Y71" i="25"/>
  <c r="Y78" i="25"/>
  <c r="Y100" i="25"/>
  <c r="Y103" i="25"/>
  <c r="Y102" i="25"/>
  <c r="Y97" i="25"/>
  <c r="X86" i="25"/>
  <c r="T85" i="25"/>
  <c r="T90" i="25"/>
  <c r="AC78" i="25"/>
  <c r="AC79" i="25"/>
  <c r="AC81" i="25"/>
  <c r="AC83" i="25"/>
  <c r="AM2" i="25"/>
  <c r="AC88" i="25"/>
  <c r="AC106" i="25"/>
  <c r="AC101" i="25"/>
  <c r="U68" i="25"/>
  <c r="U70" i="25"/>
  <c r="AA2" i="25"/>
  <c r="AE2" i="25"/>
  <c r="U78" i="25"/>
  <c r="U89" i="25"/>
  <c r="Y68" i="25"/>
  <c r="Y75" i="25"/>
  <c r="Y82" i="25"/>
  <c r="Y106" i="25"/>
  <c r="Y101" i="25"/>
  <c r="X87" i="25"/>
  <c r="AC8" i="25" l="1"/>
  <c r="V100" i="25"/>
  <c r="V96" i="25"/>
  <c r="Z101" i="25"/>
  <c r="Z97" i="25"/>
  <c r="AD81" i="25"/>
  <c r="AD78" i="25"/>
  <c r="Z80" i="25"/>
  <c r="Z69" i="25"/>
  <c r="U8" i="25"/>
  <c r="Z70" i="25"/>
  <c r="V93" i="25"/>
  <c r="V105" i="25"/>
  <c r="AH80" i="25"/>
  <c r="AD97" i="25"/>
  <c r="V77" i="25"/>
  <c r="Y8" i="25"/>
  <c r="AD74" i="25"/>
  <c r="AD105" i="25"/>
  <c r="AH97" i="25"/>
  <c r="AD71" i="25"/>
  <c r="AD70" i="25"/>
  <c r="AD69" i="25"/>
  <c r="AH100" i="25"/>
  <c r="AH104" i="25"/>
  <c r="AH96" i="25"/>
  <c r="AH101" i="25"/>
  <c r="AD77" i="25"/>
  <c r="AD73" i="25"/>
  <c r="AH92" i="25"/>
  <c r="AD101" i="25"/>
  <c r="AD92" i="25"/>
  <c r="V75" i="25"/>
  <c r="V74" i="25"/>
  <c r="AD91" i="25"/>
  <c r="AD6" i="25" s="1"/>
  <c r="Z74" i="25"/>
  <c r="AH99" i="25"/>
  <c r="AH7" i="25" s="1"/>
  <c r="AD104" i="25"/>
  <c r="AD100" i="25"/>
  <c r="AD96" i="25"/>
  <c r="V95" i="25"/>
  <c r="AD93" i="25"/>
  <c r="Z81" i="25"/>
  <c r="Z77" i="25"/>
  <c r="Z71" i="25"/>
  <c r="AH93" i="25"/>
  <c r="AD95" i="25"/>
  <c r="V70" i="25"/>
  <c r="AE44" i="25"/>
  <c r="AE45" i="25"/>
  <c r="AE46" i="25"/>
  <c r="AE47" i="25"/>
  <c r="AE48" i="25"/>
  <c r="AE43" i="25"/>
  <c r="AE4" i="25" s="1"/>
  <c r="AE5" i="25" s="1"/>
  <c r="AE27" i="25"/>
  <c r="AE49" i="25"/>
  <c r="AE50" i="25"/>
  <c r="AE51" i="25"/>
  <c r="AE52" i="25"/>
  <c r="AE26" i="25"/>
  <c r="AE30" i="25"/>
  <c r="AE34" i="25"/>
  <c r="AE38" i="25"/>
  <c r="AE29" i="25"/>
  <c r="AE33" i="25"/>
  <c r="AE37" i="25"/>
  <c r="AE32" i="25"/>
  <c r="AE41" i="25"/>
  <c r="AE35" i="25"/>
  <c r="AE42" i="25"/>
  <c r="AE31" i="25"/>
  <c r="AE40" i="25"/>
  <c r="AE53" i="25"/>
  <c r="AE54" i="25"/>
  <c r="AE55" i="25"/>
  <c r="AE56" i="25"/>
  <c r="AE57" i="25"/>
  <c r="AE58" i="25"/>
  <c r="AE59" i="25"/>
  <c r="AE60" i="25"/>
  <c r="AE61" i="25"/>
  <c r="AE62" i="25"/>
  <c r="AE63" i="25"/>
  <c r="AE64" i="25"/>
  <c r="AE28" i="25"/>
  <c r="AE36" i="25"/>
  <c r="AE39" i="25"/>
  <c r="AM44" i="25"/>
  <c r="AM45" i="25"/>
  <c r="AM46" i="25"/>
  <c r="AM47" i="25"/>
  <c r="AM48" i="25"/>
  <c r="AM43" i="25"/>
  <c r="AM4" i="25" s="1"/>
  <c r="AM5" i="25" s="1"/>
  <c r="AM27" i="25"/>
  <c r="AM26" i="25"/>
  <c r="AM30" i="25"/>
  <c r="AM34" i="25"/>
  <c r="AM38" i="25"/>
  <c r="AM29" i="25"/>
  <c r="AM33" i="25"/>
  <c r="AM37" i="25"/>
  <c r="AM53" i="25"/>
  <c r="AM54" i="25"/>
  <c r="AM55" i="25"/>
  <c r="AM56" i="25"/>
  <c r="AM57" i="25"/>
  <c r="AM58" i="25"/>
  <c r="AM59" i="25"/>
  <c r="AM60" i="25"/>
  <c r="AM61" i="25"/>
  <c r="AM62" i="25"/>
  <c r="AM63" i="25"/>
  <c r="AM64" i="25"/>
  <c r="AM32" i="25"/>
  <c r="AM41" i="25"/>
  <c r="AM49" i="25"/>
  <c r="AM42" i="25"/>
  <c r="AM50" i="25"/>
  <c r="AM52" i="25"/>
  <c r="AM31" i="25"/>
  <c r="AM40" i="25"/>
  <c r="AM28" i="25"/>
  <c r="AM36" i="25"/>
  <c r="AM39" i="25"/>
  <c r="AM51" i="25"/>
  <c r="AM35" i="25"/>
  <c r="AI44" i="25"/>
  <c r="AI45" i="25"/>
  <c r="AI46" i="25"/>
  <c r="AI47" i="25"/>
  <c r="AI48" i="25"/>
  <c r="AI43" i="25"/>
  <c r="AI4" i="25" s="1"/>
  <c r="AI5" i="25" s="1"/>
  <c r="AI49" i="25"/>
  <c r="AI50" i="25"/>
  <c r="AI51" i="25"/>
  <c r="AI52" i="25"/>
  <c r="AI27" i="25"/>
  <c r="AI26" i="25"/>
  <c r="AI53" i="25"/>
  <c r="AI54" i="25"/>
  <c r="AI55" i="25"/>
  <c r="AI56" i="25"/>
  <c r="AI57" i="25"/>
  <c r="AI58" i="25"/>
  <c r="AI59" i="25"/>
  <c r="AI60" i="25"/>
  <c r="AI61" i="25"/>
  <c r="AI62" i="25"/>
  <c r="AI63" i="25"/>
  <c r="AI64" i="25"/>
  <c r="AI30" i="25"/>
  <c r="AI34" i="25"/>
  <c r="AI38" i="25"/>
  <c r="AI29" i="25"/>
  <c r="AI33" i="25"/>
  <c r="AI37" i="25"/>
  <c r="AI28" i="25"/>
  <c r="AI36" i="25"/>
  <c r="AI41" i="25"/>
  <c r="AI35" i="25"/>
  <c r="AI40" i="25"/>
  <c r="AI32" i="25"/>
  <c r="AI39" i="25"/>
  <c r="AI31" i="25"/>
  <c r="AI42" i="25"/>
  <c r="AA44" i="25"/>
  <c r="AA45" i="25"/>
  <c r="AA46" i="25"/>
  <c r="AA47" i="25"/>
  <c r="AA48" i="25"/>
  <c r="AA27" i="25"/>
  <c r="AA26" i="25"/>
  <c r="AA53" i="25"/>
  <c r="AA54" i="25"/>
  <c r="AA55" i="25"/>
  <c r="AA56" i="25"/>
  <c r="AA57" i="25"/>
  <c r="AA58" i="25"/>
  <c r="AA59" i="25"/>
  <c r="AA60" i="25"/>
  <c r="AA61" i="25"/>
  <c r="AA62" i="25"/>
  <c r="AA63" i="25"/>
  <c r="AA64" i="25"/>
  <c r="AA30" i="25"/>
  <c r="AA34" i="25"/>
  <c r="AA38" i="25"/>
  <c r="AA29" i="25"/>
  <c r="AA33" i="25"/>
  <c r="AA37" i="25"/>
  <c r="AA49" i="25"/>
  <c r="AA51" i="25"/>
  <c r="AA28" i="25"/>
  <c r="AA36" i="25"/>
  <c r="AA41" i="25"/>
  <c r="AA31" i="25"/>
  <c r="AA39" i="25"/>
  <c r="AA43" i="25"/>
  <c r="AA4" i="25" s="1"/>
  <c r="AA5" i="25" s="1"/>
  <c r="AA35" i="25"/>
  <c r="AA40" i="25"/>
  <c r="AA50" i="25"/>
  <c r="AA52" i="25"/>
  <c r="AA32" i="25"/>
  <c r="AA42" i="25"/>
  <c r="W44" i="25"/>
  <c r="W45" i="25"/>
  <c r="W46" i="25"/>
  <c r="W47" i="25"/>
  <c r="W48" i="25"/>
  <c r="W43" i="25"/>
  <c r="W4" i="25" s="1"/>
  <c r="W5" i="25" s="1"/>
  <c r="W27" i="25"/>
  <c r="W26" i="25"/>
  <c r="W30" i="25"/>
  <c r="W34" i="25"/>
  <c r="W38" i="25"/>
  <c r="W49" i="25"/>
  <c r="W50" i="25"/>
  <c r="W51" i="25"/>
  <c r="W52" i="25"/>
  <c r="W29" i="25"/>
  <c r="W33" i="25"/>
  <c r="W37" i="25"/>
  <c r="W53" i="25"/>
  <c r="W54" i="25"/>
  <c r="W55" i="25"/>
  <c r="W56" i="25"/>
  <c r="W57" i="25"/>
  <c r="W58" i="25"/>
  <c r="W59" i="25"/>
  <c r="W60" i="25"/>
  <c r="W61" i="25"/>
  <c r="W62" i="25"/>
  <c r="W63" i="25"/>
  <c r="W64" i="25"/>
  <c r="W32" i="25"/>
  <c r="W39" i="25"/>
  <c r="W41" i="25"/>
  <c r="W42" i="25"/>
  <c r="W31" i="25"/>
  <c r="W40" i="25"/>
  <c r="W28" i="25"/>
  <c r="W36" i="25"/>
  <c r="W35" i="25"/>
  <c r="Y87" i="25"/>
  <c r="V92" i="25"/>
  <c r="Z75" i="25"/>
  <c r="Z73" i="25"/>
  <c r="Z78" i="25"/>
  <c r="V82" i="25"/>
  <c r="V71" i="25"/>
  <c r="V76" i="25"/>
  <c r="V79" i="25"/>
  <c r="V104" i="25"/>
  <c r="V103" i="25"/>
  <c r="V98" i="25"/>
  <c r="Z82" i="25"/>
  <c r="Z84" i="25"/>
  <c r="Z72" i="25"/>
  <c r="Z79" i="25"/>
  <c r="AH74" i="25"/>
  <c r="AH69" i="25"/>
  <c r="AH71" i="25"/>
  <c r="AH76" i="25"/>
  <c r="AH91" i="25"/>
  <c r="AH6" i="25" s="1"/>
  <c r="AH82" i="25"/>
  <c r="AH98" i="25"/>
  <c r="V91" i="25"/>
  <c r="V6" i="25" s="1"/>
  <c r="AD75" i="25"/>
  <c r="AD76" i="25"/>
  <c r="AD79" i="25"/>
  <c r="AD103" i="25"/>
  <c r="AD98" i="25"/>
  <c r="AD80" i="25"/>
  <c r="Z106" i="25"/>
  <c r="AB2" i="25"/>
  <c r="AJ2" i="25"/>
  <c r="Z68" i="25"/>
  <c r="Z93" i="25"/>
  <c r="Z83" i="25"/>
  <c r="Z104" i="25"/>
  <c r="Z99" i="25"/>
  <c r="Z7" i="25" s="1"/>
  <c r="Z94" i="25"/>
  <c r="AH81" i="25"/>
  <c r="AH78" i="25"/>
  <c r="AH73" i="25"/>
  <c r="AH83" i="25"/>
  <c r="AH77" i="25"/>
  <c r="AH95" i="25"/>
  <c r="AH102" i="25"/>
  <c r="V73" i="25"/>
  <c r="V69" i="25"/>
  <c r="V81" i="25"/>
  <c r="V84" i="25"/>
  <c r="V87" i="25"/>
  <c r="V102" i="25"/>
  <c r="Y90" i="25"/>
  <c r="Y85" i="25"/>
  <c r="AD83" i="25"/>
  <c r="AD88" i="25"/>
  <c r="AD102" i="25"/>
  <c r="U90" i="25"/>
  <c r="U85" i="25"/>
  <c r="AF2" i="25"/>
  <c r="Z92" i="25"/>
  <c r="Z105" i="25"/>
  <c r="Z103" i="25"/>
  <c r="Z98" i="25"/>
  <c r="AH68" i="25"/>
  <c r="AH79" i="25"/>
  <c r="AH106" i="25"/>
  <c r="V68" i="25"/>
  <c r="V83" i="25"/>
  <c r="V106" i="25"/>
  <c r="AC90" i="25"/>
  <c r="AC85" i="25"/>
  <c r="AD89" i="25"/>
  <c r="AD68" i="25"/>
  <c r="AD82" i="25"/>
  <c r="AD106" i="25"/>
  <c r="U86" i="25"/>
  <c r="Z95" i="25"/>
  <c r="AD87" i="25"/>
  <c r="Z96" i="25"/>
  <c r="Z76" i="25"/>
  <c r="Z100" i="25"/>
  <c r="Z91" i="25"/>
  <c r="Z6" i="25" s="1"/>
  <c r="Z86" i="25"/>
  <c r="Z102" i="25"/>
  <c r="AH70" i="25"/>
  <c r="AH75" i="25"/>
  <c r="AH72" i="25"/>
  <c r="AH84" i="25"/>
  <c r="AH105" i="25"/>
  <c r="AH103" i="25"/>
  <c r="AH94" i="25"/>
  <c r="V80" i="25"/>
  <c r="V78" i="25"/>
  <c r="V72" i="25"/>
  <c r="V101" i="25"/>
  <c r="V97" i="25"/>
  <c r="V99" i="25"/>
  <c r="V7" i="25" s="1"/>
  <c r="V94" i="25"/>
  <c r="AC86" i="25"/>
  <c r="Y88" i="25"/>
  <c r="AD72" i="25"/>
  <c r="AD84" i="25"/>
  <c r="AD99" i="25"/>
  <c r="AD7" i="25" s="1"/>
  <c r="AD94" i="25"/>
  <c r="Y89" i="25"/>
  <c r="AE82" i="25" l="1"/>
  <c r="AI71" i="25"/>
  <c r="AE92" i="25"/>
  <c r="AD8" i="25"/>
  <c r="AE93" i="25"/>
  <c r="AE81" i="25"/>
  <c r="AH8" i="25"/>
  <c r="AE102" i="25"/>
  <c r="V8" i="25"/>
  <c r="Z8" i="25"/>
  <c r="AE77" i="25"/>
  <c r="AF44" i="25"/>
  <c r="AF45" i="25"/>
  <c r="AF46" i="25"/>
  <c r="AF47" i="25"/>
  <c r="AF48" i="25"/>
  <c r="AF43" i="25"/>
  <c r="AF4" i="25" s="1"/>
  <c r="AF5" i="25" s="1"/>
  <c r="AF49" i="25"/>
  <c r="AF50" i="25"/>
  <c r="AF51" i="25"/>
  <c r="AF52" i="25"/>
  <c r="AF26" i="25"/>
  <c r="AF31" i="25"/>
  <c r="AF35" i="25"/>
  <c r="AF27" i="25"/>
  <c r="AF30" i="25"/>
  <c r="AF34" i="25"/>
  <c r="AF38" i="25"/>
  <c r="AF33" i="25"/>
  <c r="AF42" i="25"/>
  <c r="AF53" i="25"/>
  <c r="AF54" i="25"/>
  <c r="AF55" i="25"/>
  <c r="AF56" i="25"/>
  <c r="AF57" i="25"/>
  <c r="AF58" i="25"/>
  <c r="AF59" i="25"/>
  <c r="AF60" i="25"/>
  <c r="AF61" i="25"/>
  <c r="AF62" i="25"/>
  <c r="AF63" i="25"/>
  <c r="AF64" i="25"/>
  <c r="AF36" i="25"/>
  <c r="AF32" i="25"/>
  <c r="AF41" i="25"/>
  <c r="AF29" i="25"/>
  <c r="AF37" i="25"/>
  <c r="AF40" i="25"/>
  <c r="AF28" i="25"/>
  <c r="AF39" i="25"/>
  <c r="AJ48" i="25"/>
  <c r="AJ49" i="25"/>
  <c r="AJ50" i="25"/>
  <c r="AJ51" i="25"/>
  <c r="AJ52" i="25"/>
  <c r="AJ43" i="25"/>
  <c r="AJ4" i="25" s="1"/>
  <c r="AJ5" i="25" s="1"/>
  <c r="AJ27" i="25"/>
  <c r="AJ31" i="25"/>
  <c r="AJ35" i="25"/>
  <c r="AJ45" i="25"/>
  <c r="AJ47" i="25"/>
  <c r="AJ53" i="25"/>
  <c r="AJ54" i="25"/>
  <c r="AJ55" i="25"/>
  <c r="AJ56" i="25"/>
  <c r="AJ57" i="25"/>
  <c r="AJ58" i="25"/>
  <c r="AJ59" i="25"/>
  <c r="AJ60" i="25"/>
  <c r="AJ61" i="25"/>
  <c r="AJ62" i="25"/>
  <c r="AJ63" i="25"/>
  <c r="AJ64" i="25"/>
  <c r="AJ30" i="25"/>
  <c r="AJ34" i="25"/>
  <c r="AJ38" i="25"/>
  <c r="AJ26" i="25"/>
  <c r="AJ29" i="25"/>
  <c r="AJ37" i="25"/>
  <c r="AJ42" i="25"/>
  <c r="AJ39" i="25"/>
  <c r="AJ44" i="25"/>
  <c r="AJ28" i="25"/>
  <c r="AJ36" i="25"/>
  <c r="AJ41" i="25"/>
  <c r="AJ33" i="25"/>
  <c r="AJ40" i="25"/>
  <c r="AJ46" i="25"/>
  <c r="AJ32" i="25"/>
  <c r="AE72" i="25"/>
  <c r="AB43" i="25"/>
  <c r="AB4" i="25" s="1"/>
  <c r="AB5" i="25" s="1"/>
  <c r="AB44" i="25"/>
  <c r="AB45" i="25"/>
  <c r="AB46" i="25"/>
  <c r="AB47" i="25"/>
  <c r="AB48" i="25"/>
  <c r="AB31" i="25"/>
  <c r="AB35" i="25"/>
  <c r="AB39" i="25"/>
  <c r="AB53" i="25"/>
  <c r="AB54" i="25"/>
  <c r="AB55" i="25"/>
  <c r="AB56" i="25"/>
  <c r="AB57" i="25"/>
  <c r="AB58" i="25"/>
  <c r="AB59" i="25"/>
  <c r="AB60" i="25"/>
  <c r="AB61" i="25"/>
  <c r="AB62" i="25"/>
  <c r="AB63" i="25"/>
  <c r="AB64" i="25"/>
  <c r="AB30" i="25"/>
  <c r="AB34" i="25"/>
  <c r="AB38" i="25"/>
  <c r="AB27" i="25"/>
  <c r="AB29" i="25"/>
  <c r="AB37" i="25"/>
  <c r="AB42" i="25"/>
  <c r="AB52" i="25"/>
  <c r="AB32" i="25"/>
  <c r="AB49" i="25"/>
  <c r="AB51" i="25"/>
  <c r="AB28" i="25"/>
  <c r="AB36" i="25"/>
  <c r="AB41" i="25"/>
  <c r="AB26" i="25"/>
  <c r="AB33" i="25"/>
  <c r="AB40" i="25"/>
  <c r="AB50" i="25"/>
  <c r="AA97" i="25"/>
  <c r="AA93" i="25"/>
  <c r="AE94" i="25"/>
  <c r="AM97" i="25"/>
  <c r="AE97" i="25"/>
  <c r="AE105" i="25"/>
  <c r="AM94" i="25"/>
  <c r="AE79" i="25"/>
  <c r="AD86" i="25"/>
  <c r="AI75" i="25"/>
  <c r="AI76" i="25"/>
  <c r="AI82" i="25"/>
  <c r="AI70" i="25"/>
  <c r="W71" i="25"/>
  <c r="W76" i="25"/>
  <c r="W72" i="25"/>
  <c r="W77" i="25"/>
  <c r="AM102" i="25"/>
  <c r="AM92" i="25"/>
  <c r="AM99" i="25"/>
  <c r="AM7" i="25" s="1"/>
  <c r="AA98" i="25"/>
  <c r="AA104" i="25"/>
  <c r="AA95" i="25"/>
  <c r="AE84" i="25"/>
  <c r="AE76" i="25"/>
  <c r="AE80" i="25"/>
  <c r="AE83" i="25"/>
  <c r="AE99" i="25"/>
  <c r="AE7" i="25" s="1"/>
  <c r="AI81" i="25"/>
  <c r="AI79" i="25"/>
  <c r="AI93" i="25"/>
  <c r="AI69" i="25"/>
  <c r="AI101" i="25"/>
  <c r="AI97" i="25"/>
  <c r="AI106" i="25"/>
  <c r="AI100" i="25"/>
  <c r="AI91" i="25"/>
  <c r="AI6" i="25" s="1"/>
  <c r="AA68" i="25"/>
  <c r="AA79" i="25"/>
  <c r="AA73" i="25"/>
  <c r="V85" i="25"/>
  <c r="V90" i="25"/>
  <c r="AH85" i="25"/>
  <c r="AH90" i="25"/>
  <c r="AM68" i="25"/>
  <c r="AM73" i="25"/>
  <c r="AM84" i="25"/>
  <c r="V89" i="25"/>
  <c r="AH87" i="25"/>
  <c r="AH89" i="25"/>
  <c r="AA72" i="25"/>
  <c r="AK2" i="25"/>
  <c r="AA101" i="25"/>
  <c r="AA81" i="25"/>
  <c r="AA94" i="25"/>
  <c r="AA102" i="25"/>
  <c r="AA92" i="25"/>
  <c r="AA83" i="25"/>
  <c r="AA99" i="25"/>
  <c r="AA7" i="25" s="1"/>
  <c r="V86" i="25"/>
  <c r="AH86" i="25"/>
  <c r="AE71" i="25"/>
  <c r="AE70" i="25"/>
  <c r="AE69" i="25"/>
  <c r="AE101" i="25"/>
  <c r="AE96" i="25"/>
  <c r="AE103" i="25"/>
  <c r="AI84" i="25"/>
  <c r="AI74" i="25"/>
  <c r="AI72" i="25"/>
  <c r="AI73" i="25"/>
  <c r="AI80" i="25"/>
  <c r="AI98" i="25"/>
  <c r="AI104" i="25"/>
  <c r="AI95" i="25"/>
  <c r="W75" i="25"/>
  <c r="W70" i="25"/>
  <c r="W81" i="25"/>
  <c r="W79" i="25"/>
  <c r="W98" i="25"/>
  <c r="W93" i="25"/>
  <c r="W104" i="25"/>
  <c r="W95" i="25"/>
  <c r="AM72" i="25"/>
  <c r="AM75" i="25"/>
  <c r="AM77" i="25"/>
  <c r="AM82" i="25"/>
  <c r="AM86" i="25"/>
  <c r="AM105" i="25"/>
  <c r="AM96" i="25"/>
  <c r="AM103" i="25"/>
  <c r="AA89" i="25"/>
  <c r="V88" i="25"/>
  <c r="W87" i="25"/>
  <c r="W91" i="25"/>
  <c r="W6" i="25" s="1"/>
  <c r="AM74" i="25"/>
  <c r="AM80" i="25"/>
  <c r="AM83" i="25"/>
  <c r="AA76" i="25"/>
  <c r="AA71" i="25"/>
  <c r="AA74" i="25"/>
  <c r="AA70" i="25"/>
  <c r="AA80" i="25"/>
  <c r="AA105" i="25"/>
  <c r="AA96" i="25"/>
  <c r="AA103" i="25"/>
  <c r="AE75" i="25"/>
  <c r="AE74" i="25"/>
  <c r="AE73" i="25"/>
  <c r="AE98" i="25"/>
  <c r="AE106" i="25"/>
  <c r="AE100" i="25"/>
  <c r="AE91" i="25"/>
  <c r="AE6" i="25" s="1"/>
  <c r="AI68" i="25"/>
  <c r="AI78" i="25"/>
  <c r="AI77" i="25"/>
  <c r="AI89" i="25"/>
  <c r="AI94" i="25"/>
  <c r="AI102" i="25"/>
  <c r="AI92" i="25"/>
  <c r="AI83" i="25"/>
  <c r="AI99" i="25"/>
  <c r="AI7" i="25" s="1"/>
  <c r="W97" i="25"/>
  <c r="W78" i="25"/>
  <c r="W74" i="25"/>
  <c r="W69" i="25"/>
  <c r="W94" i="25"/>
  <c r="W102" i="25"/>
  <c r="W101" i="25"/>
  <c r="W92" i="25"/>
  <c r="W83" i="25"/>
  <c r="W99" i="25"/>
  <c r="W7" i="25" s="1"/>
  <c r="AM76" i="25"/>
  <c r="AM78" i="25"/>
  <c r="AM81" i="25"/>
  <c r="AM79" i="25"/>
  <c r="AM93" i="25"/>
  <c r="AM106" i="25"/>
  <c r="AM100" i="25"/>
  <c r="AM91" i="25"/>
  <c r="AM6" i="25" s="1"/>
  <c r="AA82" i="25"/>
  <c r="AE86" i="25"/>
  <c r="W106" i="25"/>
  <c r="W100" i="25"/>
  <c r="AM71" i="25"/>
  <c r="AH88" i="25"/>
  <c r="Z85" i="25"/>
  <c r="Z90" i="25"/>
  <c r="Z89" i="25"/>
  <c r="Z88" i="25"/>
  <c r="AA78" i="25"/>
  <c r="AA75" i="25"/>
  <c r="AA77" i="25"/>
  <c r="AA69" i="25"/>
  <c r="AA84" i="25"/>
  <c r="AA106" i="25"/>
  <c r="AA100" i="25"/>
  <c r="AA91" i="25"/>
  <c r="AA6" i="25" s="1"/>
  <c r="AD90" i="25"/>
  <c r="AD85" i="25"/>
  <c r="AE68" i="25"/>
  <c r="AE78" i="25"/>
  <c r="AE88" i="25"/>
  <c r="AE104" i="25"/>
  <c r="AE95" i="25"/>
  <c r="AI105" i="25"/>
  <c r="AI96" i="25"/>
  <c r="AI103" i="25"/>
  <c r="AG2" i="25"/>
  <c r="W68" i="25"/>
  <c r="W82" i="25"/>
  <c r="W73" i="25"/>
  <c r="W80" i="25"/>
  <c r="W84" i="25"/>
  <c r="W105" i="25"/>
  <c r="W96" i="25"/>
  <c r="W103" i="25"/>
  <c r="AM70" i="25"/>
  <c r="AM69" i="25"/>
  <c r="AM98" i="25"/>
  <c r="AM101" i="25"/>
  <c r="AM88" i="25"/>
  <c r="AM104" i="25"/>
  <c r="AM95" i="25"/>
  <c r="Z87" i="25"/>
  <c r="K15" i="25" l="1"/>
  <c r="K17" i="25"/>
  <c r="AF102" i="25"/>
  <c r="AF91" i="25"/>
  <c r="AF6" i="25" s="1"/>
  <c r="AF94" i="25"/>
  <c r="AM8" i="25"/>
  <c r="AK43" i="25"/>
  <c r="AK4" i="25" s="1"/>
  <c r="AK5" i="25" s="1"/>
  <c r="AK44" i="25"/>
  <c r="AK45" i="25"/>
  <c r="AK46" i="25"/>
  <c r="AK47" i="25"/>
  <c r="AK48" i="25"/>
  <c r="AK49" i="25"/>
  <c r="AK50" i="25"/>
  <c r="AK51" i="25"/>
  <c r="AK52" i="25"/>
  <c r="AK53" i="25"/>
  <c r="AK54" i="25"/>
  <c r="AK55" i="25"/>
  <c r="AK56" i="25"/>
  <c r="AK57" i="25"/>
  <c r="AK58" i="25"/>
  <c r="AK59" i="25"/>
  <c r="AK60" i="25"/>
  <c r="AK61" i="25"/>
  <c r="AK62" i="25"/>
  <c r="AK63" i="25"/>
  <c r="AK64" i="25"/>
  <c r="AK28" i="25"/>
  <c r="AK32" i="25"/>
  <c r="AK36" i="25"/>
  <c r="AK27" i="25"/>
  <c r="AK31" i="25"/>
  <c r="AK35" i="25"/>
  <c r="AK30" i="25"/>
  <c r="AK38" i="25"/>
  <c r="AK39" i="25"/>
  <c r="AK41" i="25"/>
  <c r="AK40" i="25"/>
  <c r="AK26" i="25"/>
  <c r="AK29" i="25"/>
  <c r="AK37" i="25"/>
  <c r="AK42" i="25"/>
  <c r="AK34" i="25"/>
  <c r="AK33" i="25"/>
  <c r="W8" i="25"/>
  <c r="AA8" i="25"/>
  <c r="AG43" i="25"/>
  <c r="AG4" i="25" s="1"/>
  <c r="AG5" i="25" s="1"/>
  <c r="AG49" i="25"/>
  <c r="AG50" i="25"/>
  <c r="AG51" i="25"/>
  <c r="AG52" i="25"/>
  <c r="AG44" i="25"/>
  <c r="AG45" i="25"/>
  <c r="AG46" i="25"/>
  <c r="AG47" i="25"/>
  <c r="AG53" i="25"/>
  <c r="AG54" i="25"/>
  <c r="AG55" i="25"/>
  <c r="AG56" i="25"/>
  <c r="AG57" i="25"/>
  <c r="AG58" i="25"/>
  <c r="AG59" i="25"/>
  <c r="AG60" i="25"/>
  <c r="AG61" i="25"/>
  <c r="AG62" i="25"/>
  <c r="AG63" i="25"/>
  <c r="AG64" i="25"/>
  <c r="AG28" i="25"/>
  <c r="AG32" i="25"/>
  <c r="AG36" i="25"/>
  <c r="AG26" i="25"/>
  <c r="AG31" i="25"/>
  <c r="AG35" i="25"/>
  <c r="AG48" i="25"/>
  <c r="AG34" i="25"/>
  <c r="AG39" i="25"/>
  <c r="AG37" i="25"/>
  <c r="AG33" i="25"/>
  <c r="AG42" i="25"/>
  <c r="AG27" i="25"/>
  <c r="AG30" i="25"/>
  <c r="AG38" i="25"/>
  <c r="AG41" i="25"/>
  <c r="AG29" i="25"/>
  <c r="AG40" i="25"/>
  <c r="AE8" i="25"/>
  <c r="AI8" i="25"/>
  <c r="AM89" i="25"/>
  <c r="AM87" i="25"/>
  <c r="AF98" i="25"/>
  <c r="AF95" i="25"/>
  <c r="AF99" i="25"/>
  <c r="AF7" i="25" s="1"/>
  <c r="AJ105" i="25"/>
  <c r="AJ96" i="25"/>
  <c r="AF72" i="25"/>
  <c r="AF69" i="25"/>
  <c r="AF70" i="25"/>
  <c r="AF77" i="25"/>
  <c r="AF93" i="25"/>
  <c r="AF84" i="25"/>
  <c r="AF100" i="25"/>
  <c r="AB72" i="25"/>
  <c r="AB83" i="25"/>
  <c r="AB71" i="25"/>
  <c r="AB79" i="25"/>
  <c r="K18" i="25"/>
  <c r="AF103" i="25"/>
  <c r="AB99" i="25"/>
  <c r="AB7" i="25" s="1"/>
  <c r="AB92" i="25"/>
  <c r="AI85" i="25"/>
  <c r="AI90" i="25"/>
  <c r="W85" i="25"/>
  <c r="W90" i="25"/>
  <c r="AJ69" i="25"/>
  <c r="W89" i="25"/>
  <c r="AB69" i="25"/>
  <c r="AB76" i="25"/>
  <c r="AB95" i="25"/>
  <c r="AB75" i="25"/>
  <c r="AL2" i="25"/>
  <c r="AB77" i="25"/>
  <c r="AB89" i="25"/>
  <c r="AB105" i="25"/>
  <c r="AB96" i="25"/>
  <c r="AI87" i="25"/>
  <c r="AE85" i="25"/>
  <c r="AE90" i="25"/>
  <c r="K13" i="25"/>
  <c r="K14" i="25"/>
  <c r="AI86" i="25"/>
  <c r="W86" i="25"/>
  <c r="AJ73" i="25"/>
  <c r="AJ72" i="25"/>
  <c r="AJ71" i="25"/>
  <c r="AJ70" i="25"/>
  <c r="AJ82" i="25"/>
  <c r="AJ83" i="25"/>
  <c r="AJ94" i="25"/>
  <c r="AJ93" i="25"/>
  <c r="AJ84" i="25"/>
  <c r="AJ100" i="25"/>
  <c r="AM85" i="25"/>
  <c r="AM90" i="25"/>
  <c r="W88" i="25"/>
  <c r="AF76" i="25"/>
  <c r="AF75" i="25"/>
  <c r="AF78" i="25"/>
  <c r="AF74" i="25"/>
  <c r="AF81" i="25"/>
  <c r="AF83" i="25"/>
  <c r="AF97" i="25"/>
  <c r="AF104" i="25"/>
  <c r="AB101" i="25"/>
  <c r="AJ86" i="25"/>
  <c r="AA85" i="25"/>
  <c r="AA90" i="25"/>
  <c r="AB73" i="25"/>
  <c r="AB78" i="25"/>
  <c r="AB98" i="25"/>
  <c r="AB82" i="25"/>
  <c r="AB70" i="25"/>
  <c r="AB81" i="25"/>
  <c r="AB94" i="25"/>
  <c r="AB93" i="25"/>
  <c r="AB84" i="25"/>
  <c r="AB100" i="25"/>
  <c r="K16" i="25"/>
  <c r="AA87" i="25"/>
  <c r="AJ76" i="25"/>
  <c r="AJ75" i="25"/>
  <c r="AJ74" i="25"/>
  <c r="AJ95" i="25"/>
  <c r="AJ91" i="25"/>
  <c r="AJ6" i="25" s="1"/>
  <c r="AJ102" i="25"/>
  <c r="AJ97" i="25"/>
  <c r="AJ104" i="25"/>
  <c r="AF82" i="25"/>
  <c r="AF79" i="25"/>
  <c r="AF80" i="25"/>
  <c r="AF87" i="25"/>
  <c r="AF106" i="25"/>
  <c r="AF101" i="25"/>
  <c r="AF92" i="25"/>
  <c r="AB106" i="25"/>
  <c r="AJ68" i="25"/>
  <c r="AJ80" i="25"/>
  <c r="AJ81" i="25"/>
  <c r="AB68" i="25"/>
  <c r="AB80" i="25"/>
  <c r="AB103" i="25"/>
  <c r="AB87" i="25"/>
  <c r="AB74" i="25"/>
  <c r="AB91" i="25"/>
  <c r="AB6" i="25" s="1"/>
  <c r="AB102" i="25"/>
  <c r="AB97" i="25"/>
  <c r="AB88" i="25"/>
  <c r="AB104" i="25"/>
  <c r="AA88" i="25"/>
  <c r="AJ106" i="25"/>
  <c r="AJ79" i="25"/>
  <c r="AJ98" i="25"/>
  <c r="AJ78" i="25"/>
  <c r="AJ77" i="25"/>
  <c r="AJ99" i="25"/>
  <c r="AJ7" i="25" s="1"/>
  <c r="AJ103" i="25"/>
  <c r="AJ101" i="25"/>
  <c r="AJ92" i="25"/>
  <c r="AA86" i="25"/>
  <c r="AI88" i="25"/>
  <c r="AE87" i="25"/>
  <c r="AE89" i="25"/>
  <c r="AF68" i="25"/>
  <c r="AF73" i="25"/>
  <c r="AF71" i="25"/>
  <c r="AF105" i="25"/>
  <c r="AF96" i="25"/>
  <c r="AF8" i="25" l="1"/>
  <c r="AK103" i="25"/>
  <c r="AK91" i="25"/>
  <c r="AK6" i="25" s="1"/>
  <c r="AG91" i="25"/>
  <c r="AG6" i="25" s="1"/>
  <c r="AG100" i="25"/>
  <c r="AG99" i="25"/>
  <c r="AG7" i="25" s="1"/>
  <c r="AG94" i="25"/>
  <c r="K19" i="25"/>
  <c r="AG104" i="25"/>
  <c r="AG96" i="25"/>
  <c r="AG92" i="25"/>
  <c r="AB8" i="25"/>
  <c r="AJ8" i="25"/>
  <c r="AL44" i="25"/>
  <c r="AL45" i="25"/>
  <c r="AL46" i="25"/>
  <c r="AL47" i="25"/>
  <c r="AL26" i="25"/>
  <c r="AL48" i="25"/>
  <c r="AL53" i="25"/>
  <c r="AL54" i="25"/>
  <c r="AL55" i="25"/>
  <c r="AL56" i="25"/>
  <c r="AL57" i="25"/>
  <c r="AL58" i="25"/>
  <c r="AL59" i="25"/>
  <c r="AL60" i="25"/>
  <c r="AL61" i="25"/>
  <c r="AL62" i="25"/>
  <c r="AL63" i="25"/>
  <c r="AL64" i="25"/>
  <c r="AL29" i="25"/>
  <c r="AL33" i="25"/>
  <c r="AL37" i="25"/>
  <c r="AL43" i="25"/>
  <c r="AL4" i="25" s="1"/>
  <c r="AL5" i="25" s="1"/>
  <c r="AL28" i="25"/>
  <c r="AL32" i="25"/>
  <c r="AL36" i="25"/>
  <c r="AL50" i="25"/>
  <c r="AL52" i="25"/>
  <c r="AL27" i="25"/>
  <c r="AL31" i="25"/>
  <c r="AL40" i="25"/>
  <c r="AL42" i="25"/>
  <c r="AL41" i="25"/>
  <c r="AL30" i="25"/>
  <c r="AL38" i="25"/>
  <c r="AL39" i="25"/>
  <c r="AL49" i="25"/>
  <c r="AL51" i="25"/>
  <c r="AL35" i="25"/>
  <c r="AL34" i="25"/>
  <c r="AK99" i="25"/>
  <c r="AK7" i="25" s="1"/>
  <c r="AK100" i="25"/>
  <c r="AJ88" i="25"/>
  <c r="AK95" i="25"/>
  <c r="AK92" i="25"/>
  <c r="AK96" i="25"/>
  <c r="AK104" i="25"/>
  <c r="AJ89" i="25"/>
  <c r="AG103" i="25"/>
  <c r="AG102" i="25"/>
  <c r="AG97" i="25"/>
  <c r="AJ87" i="25"/>
  <c r="AK98" i="25"/>
  <c r="AK93" i="25"/>
  <c r="AF89" i="25"/>
  <c r="AF86" i="25"/>
  <c r="AK102" i="25"/>
  <c r="AK77" i="25"/>
  <c r="AG77" i="25"/>
  <c r="AK76" i="25"/>
  <c r="AK78" i="25"/>
  <c r="AK83" i="25"/>
  <c r="AK97" i="25"/>
  <c r="AB85" i="25"/>
  <c r="AB90" i="25"/>
  <c r="AG72" i="25"/>
  <c r="AG79" i="25"/>
  <c r="AG78" i="25"/>
  <c r="AG106" i="25"/>
  <c r="AG101" i="25"/>
  <c r="AK80" i="25"/>
  <c r="AK84" i="25"/>
  <c r="AG80" i="25"/>
  <c r="AG75" i="25"/>
  <c r="AK70" i="25"/>
  <c r="AK69" i="25"/>
  <c r="AK79" i="25"/>
  <c r="AK72" i="25"/>
  <c r="AK87" i="25"/>
  <c r="AK106" i="25"/>
  <c r="AK101" i="25"/>
  <c r="AB86" i="25"/>
  <c r="AG69" i="25"/>
  <c r="AG74" i="25"/>
  <c r="AG70" i="25"/>
  <c r="AG81" i="25"/>
  <c r="AG82" i="25"/>
  <c r="AG87" i="25"/>
  <c r="AG105" i="25"/>
  <c r="AK68" i="25"/>
  <c r="AK75" i="25"/>
  <c r="AG68" i="25"/>
  <c r="AF85" i="25"/>
  <c r="AF90" i="25"/>
  <c r="AK74" i="25"/>
  <c r="AK73" i="25"/>
  <c r="AK82" i="25"/>
  <c r="AK81" i="25"/>
  <c r="AK71" i="25"/>
  <c r="AK88" i="25"/>
  <c r="AK94" i="25"/>
  <c r="AK89" i="25"/>
  <c r="AK105" i="25"/>
  <c r="AJ85" i="25"/>
  <c r="AJ90" i="25"/>
  <c r="AF88" i="25"/>
  <c r="AG73" i="25"/>
  <c r="AG76" i="25"/>
  <c r="AG71" i="25"/>
  <c r="AG83" i="25"/>
  <c r="AG84" i="25"/>
  <c r="AG95" i="25"/>
  <c r="AG98" i="25"/>
  <c r="AG93" i="25"/>
  <c r="AK8" i="25" l="1"/>
  <c r="AG8" i="25"/>
  <c r="AL80" i="25"/>
  <c r="AL93" i="25"/>
  <c r="AL105" i="25"/>
  <c r="AL104" i="25"/>
  <c r="AL74" i="25"/>
  <c r="AL83" i="25"/>
  <c r="AL75" i="25"/>
  <c r="AL71" i="25"/>
  <c r="AL95" i="25"/>
  <c r="AL77" i="25"/>
  <c r="AG89" i="25"/>
  <c r="AL100" i="25"/>
  <c r="AL96" i="25"/>
  <c r="AL91" i="25"/>
  <c r="AL6" i="25" s="1"/>
  <c r="AL92" i="25"/>
  <c r="AL101" i="25"/>
  <c r="AL97" i="25"/>
  <c r="AL99" i="25"/>
  <c r="AL7" i="25" s="1"/>
  <c r="AL73" i="25"/>
  <c r="AL69" i="25"/>
  <c r="AL81" i="25"/>
  <c r="AL84" i="25"/>
  <c r="AL82" i="25"/>
  <c r="AL98" i="25"/>
  <c r="AG90" i="25"/>
  <c r="AG85" i="25"/>
  <c r="AL68" i="25"/>
  <c r="AL102" i="25"/>
  <c r="AK90" i="25"/>
  <c r="AK85" i="25"/>
  <c r="AG88" i="25"/>
  <c r="AG86" i="25"/>
  <c r="AL72" i="25"/>
  <c r="AL106" i="25"/>
  <c r="AK86" i="25"/>
  <c r="AL70" i="25"/>
  <c r="AL78" i="25"/>
  <c r="AL76" i="25"/>
  <c r="AL79" i="25"/>
  <c r="AL103" i="25"/>
  <c r="AL94" i="25"/>
  <c r="AL8" i="25" l="1"/>
  <c r="AL85" i="25"/>
  <c r="AL90" i="25"/>
  <c r="AL86" i="25"/>
  <c r="AL88" i="25"/>
  <c r="AL87" i="25"/>
  <c r="AL89" i="25"/>
  <c r="E2" i="14" l="1"/>
  <c r="F2" i="14" s="1"/>
  <c r="G2" i="14" s="1"/>
  <c r="H2" i="14" l="1"/>
  <c r="G11" i="14"/>
  <c r="G7" i="14"/>
  <c r="G10" i="14"/>
  <c r="G6" i="14"/>
  <c r="G9" i="14"/>
  <c r="G5" i="14"/>
  <c r="G8" i="14"/>
  <c r="G15" i="14"/>
  <c r="E50" i="13"/>
  <c r="E46" i="13"/>
  <c r="E41" i="13"/>
  <c r="E37" i="13"/>
  <c r="E35" i="13"/>
  <c r="E49" i="13"/>
  <c r="E51" i="13"/>
  <c r="E47" i="13"/>
  <c r="E42" i="13"/>
  <c r="E38" i="13"/>
  <c r="E40" i="13"/>
  <c r="E52" i="13"/>
  <c r="E48" i="13"/>
  <c r="E43" i="13"/>
  <c r="E39" i="13"/>
  <c r="E44" i="13"/>
  <c r="E34" i="13"/>
  <c r="E11" i="13"/>
  <c r="E15" i="13"/>
  <c r="E20" i="13"/>
  <c r="E24" i="13"/>
  <c r="E12" i="13"/>
  <c r="E16" i="13"/>
  <c r="E21" i="13"/>
  <c r="E25" i="13"/>
  <c r="E8" i="13"/>
  <c r="E13" i="13"/>
  <c r="E17" i="13"/>
  <c r="E22" i="13"/>
  <c r="E26" i="13"/>
  <c r="E9" i="13"/>
  <c r="E14" i="13"/>
  <c r="E18" i="13"/>
  <c r="E23" i="13"/>
  <c r="F5" i="13"/>
  <c r="E5" i="14"/>
  <c r="E4" i="14"/>
  <c r="E33" i="13" l="1"/>
  <c r="G5" i="13"/>
  <c r="G44" i="13" s="1"/>
  <c r="G19" i="14"/>
  <c r="G21" i="14"/>
  <c r="G16" i="14"/>
  <c r="G18" i="14"/>
  <c r="G20" i="14"/>
  <c r="G22" i="14"/>
  <c r="G17" i="14"/>
  <c r="I2" i="14"/>
  <c r="H15" i="14"/>
  <c r="H8" i="14"/>
  <c r="H7" i="14"/>
  <c r="H11" i="14"/>
  <c r="H6" i="14"/>
  <c r="H10" i="14"/>
  <c r="H5" i="14"/>
  <c r="H9" i="14"/>
  <c r="F51" i="13"/>
  <c r="F47" i="13"/>
  <c r="F42" i="13"/>
  <c r="F38" i="13"/>
  <c r="F41" i="13"/>
  <c r="F37" i="13"/>
  <c r="F35" i="13"/>
  <c r="F52" i="13"/>
  <c r="F48" i="13"/>
  <c r="F43" i="13"/>
  <c r="F39" i="13"/>
  <c r="F40" i="13"/>
  <c r="F34" i="13"/>
  <c r="F49" i="13"/>
  <c r="F44" i="13"/>
  <c r="F50" i="13"/>
  <c r="F46" i="13"/>
  <c r="E36" i="13"/>
  <c r="E45" i="13"/>
  <c r="E6" i="14"/>
  <c r="E17" i="14" s="1"/>
  <c r="E11" i="14"/>
  <c r="E22" i="14" s="1"/>
  <c r="E7" i="14"/>
  <c r="E18" i="14" s="1"/>
  <c r="E8" i="14"/>
  <c r="E19" i="14" s="1"/>
  <c r="F10" i="14"/>
  <c r="E9" i="14"/>
  <c r="E20" i="14" s="1"/>
  <c r="E10" i="14"/>
  <c r="E21" i="14" s="1"/>
  <c r="J14" i="16"/>
  <c r="H17" i="16"/>
  <c r="H14" i="16"/>
  <c r="I14" i="16"/>
  <c r="K13" i="16"/>
  <c r="I17" i="16"/>
  <c r="J13" i="16"/>
  <c r="J15" i="16"/>
  <c r="K19" i="16"/>
  <c r="H19" i="16"/>
  <c r="E7" i="13"/>
  <c r="E19" i="13"/>
  <c r="E10" i="13"/>
  <c r="E16" i="14"/>
  <c r="E15" i="14"/>
  <c r="H13" i="16"/>
  <c r="K15" i="16"/>
  <c r="J19" i="16"/>
  <c r="H15" i="16"/>
  <c r="I19" i="16"/>
  <c r="J17" i="16"/>
  <c r="K18" i="16"/>
  <c r="I13" i="16"/>
  <c r="I12" i="16"/>
  <c r="J12" i="16"/>
  <c r="K17" i="16"/>
  <c r="I18" i="16"/>
  <c r="F20" i="13"/>
  <c r="F11" i="13"/>
  <c r="H12" i="16"/>
  <c r="J18" i="16"/>
  <c r="F26" i="13"/>
  <c r="F25" i="13"/>
  <c r="F23" i="13"/>
  <c r="K12" i="16"/>
  <c r="F6" i="31" s="1"/>
  <c r="F13" i="13"/>
  <c r="F9" i="13"/>
  <c r="F12" i="13"/>
  <c r="I15" i="16"/>
  <c r="F22" i="13"/>
  <c r="F15" i="13"/>
  <c r="F8" i="13"/>
  <c r="F14" i="13"/>
  <c r="F16" i="13"/>
  <c r="H18" i="16"/>
  <c r="F24" i="13"/>
  <c r="F17" i="13"/>
  <c r="F18" i="13"/>
  <c r="F21" i="13"/>
  <c r="H16" i="16" l="1"/>
  <c r="K16" i="16"/>
  <c r="J16" i="16"/>
  <c r="I16" i="16"/>
  <c r="G15" i="13"/>
  <c r="G39" i="13"/>
  <c r="G17" i="13"/>
  <c r="G16" i="13"/>
  <c r="G48" i="13"/>
  <c r="G14" i="13"/>
  <c r="G51" i="13"/>
  <c r="G24" i="13"/>
  <c r="G11" i="13"/>
  <c r="G47" i="13"/>
  <c r="G13" i="13"/>
  <c r="G12" i="13"/>
  <c r="G23" i="13"/>
  <c r="G9" i="13"/>
  <c r="G35" i="13"/>
  <c r="G26" i="13"/>
  <c r="G41" i="13"/>
  <c r="G22" i="13"/>
  <c r="G8" i="13"/>
  <c r="G49" i="13"/>
  <c r="G34" i="13"/>
  <c r="H5" i="13"/>
  <c r="H37" i="13" s="1"/>
  <c r="G25" i="13"/>
  <c r="G46" i="13"/>
  <c r="G21" i="13"/>
  <c r="G20" i="13"/>
  <c r="G43" i="13"/>
  <c r="G18" i="13"/>
  <c r="G38" i="13"/>
  <c r="G52" i="13"/>
  <c r="G50" i="13"/>
  <c r="G40" i="13"/>
  <c r="G37" i="13"/>
  <c r="G42" i="13"/>
  <c r="F14" i="31"/>
  <c r="H17" i="14"/>
  <c r="H16" i="14"/>
  <c r="H18" i="14"/>
  <c r="H21" i="14"/>
  <c r="H19" i="14"/>
  <c r="H20" i="14"/>
  <c r="H22" i="14"/>
  <c r="J2" i="14"/>
  <c r="I5" i="14"/>
  <c r="I9" i="14"/>
  <c r="I15" i="14"/>
  <c r="I8" i="14"/>
  <c r="I7" i="14"/>
  <c r="I11" i="14"/>
  <c r="I6" i="14"/>
  <c r="I10" i="14"/>
  <c r="H50" i="13"/>
  <c r="H35" i="13"/>
  <c r="H25" i="13"/>
  <c r="H11" i="13"/>
  <c r="H15" i="13"/>
  <c r="D6" i="31"/>
  <c r="E53" i="13"/>
  <c r="F36" i="13"/>
  <c r="F45" i="13"/>
  <c r="F33" i="13"/>
  <c r="F6" i="14"/>
  <c r="F4" i="14"/>
  <c r="F15" i="14" s="1"/>
  <c r="F8" i="14"/>
  <c r="F11" i="14"/>
  <c r="F9" i="14"/>
  <c r="F7" i="14"/>
  <c r="F5" i="14"/>
  <c r="J11" i="16"/>
  <c r="L14" i="16"/>
  <c r="K11" i="16"/>
  <c r="E27" i="13"/>
  <c r="F7" i="13"/>
  <c r="I11" i="16"/>
  <c r="L17" i="16"/>
  <c r="L19" i="16"/>
  <c r="L13" i="16"/>
  <c r="H11" i="16"/>
  <c r="L12" i="16"/>
  <c r="F19" i="13"/>
  <c r="L15" i="16"/>
  <c r="L18" i="16"/>
  <c r="F10" i="13"/>
  <c r="I20" i="16" l="1"/>
  <c r="H20" i="16"/>
  <c r="J20" i="16"/>
  <c r="K20" i="16"/>
  <c r="L16" i="16"/>
  <c r="G7" i="13"/>
  <c r="G45" i="13"/>
  <c r="G33" i="13"/>
  <c r="G10" i="13"/>
  <c r="G19" i="13"/>
  <c r="H40" i="13"/>
  <c r="H43" i="13"/>
  <c r="H52" i="13"/>
  <c r="H24" i="13"/>
  <c r="H34" i="13"/>
  <c r="H33" i="13" s="1"/>
  <c r="H41" i="13"/>
  <c r="H22" i="13"/>
  <c r="H38" i="13"/>
  <c r="H42" i="13"/>
  <c r="H20" i="13"/>
  <c r="H44" i="13"/>
  <c r="H46" i="13"/>
  <c r="H13" i="13"/>
  <c r="H9" i="13"/>
  <c r="H47" i="13"/>
  <c r="H21" i="13"/>
  <c r="H17" i="13"/>
  <c r="H26" i="13"/>
  <c r="H8" i="13"/>
  <c r="H51" i="13"/>
  <c r="H14" i="13"/>
  <c r="H16" i="13"/>
  <c r="H23" i="13"/>
  <c r="H39" i="13"/>
  <c r="H48" i="13"/>
  <c r="I5" i="13"/>
  <c r="I42" i="13" s="1"/>
  <c r="H12" i="13"/>
  <c r="H18" i="13"/>
  <c r="H49" i="13"/>
  <c r="G36" i="13"/>
  <c r="I17" i="14"/>
  <c r="I22" i="14"/>
  <c r="I20" i="14"/>
  <c r="I18" i="14"/>
  <c r="I16" i="14"/>
  <c r="I21" i="14"/>
  <c r="I19" i="14"/>
  <c r="J5" i="13"/>
  <c r="I51" i="13"/>
  <c r="I47" i="13"/>
  <c r="I38" i="13"/>
  <c r="I49" i="13"/>
  <c r="I52" i="13"/>
  <c r="I48" i="13"/>
  <c r="I43" i="13"/>
  <c r="I39" i="13"/>
  <c r="I34" i="13"/>
  <c r="I44" i="13"/>
  <c r="I41" i="13"/>
  <c r="I37" i="13"/>
  <c r="I46" i="13"/>
  <c r="I50" i="13"/>
  <c r="I40" i="13"/>
  <c r="I8" i="13"/>
  <c r="I9" i="13"/>
  <c r="I11" i="13"/>
  <c r="I12" i="13"/>
  <c r="I13" i="13"/>
  <c r="I14" i="13"/>
  <c r="I15" i="13"/>
  <c r="I16" i="13"/>
  <c r="I17" i="13"/>
  <c r="I18" i="13"/>
  <c r="I20" i="13"/>
  <c r="I21" i="13"/>
  <c r="I22" i="13"/>
  <c r="I23" i="13"/>
  <c r="I24" i="13"/>
  <c r="I25" i="13"/>
  <c r="I26" i="13"/>
  <c r="K2" i="14"/>
  <c r="J6" i="14"/>
  <c r="J10" i="14"/>
  <c r="J5" i="14"/>
  <c r="J9" i="14"/>
  <c r="J15" i="14"/>
  <c r="J8" i="14"/>
  <c r="J7" i="14"/>
  <c r="J11" i="14"/>
  <c r="D14" i="31"/>
  <c r="F53" i="13"/>
  <c r="F17" i="14"/>
  <c r="F22" i="14"/>
  <c r="F21" i="14"/>
  <c r="F16" i="14"/>
  <c r="F19" i="14"/>
  <c r="F18" i="14"/>
  <c r="F20" i="14"/>
  <c r="L11" i="16"/>
  <c r="F27" i="13"/>
  <c r="E39" i="31" l="1"/>
  <c r="H39" i="31" s="1"/>
  <c r="E35" i="31"/>
  <c r="H35" i="31" s="1"/>
  <c r="E36" i="31"/>
  <c r="H36" i="31" s="1"/>
  <c r="E48" i="31"/>
  <c r="H48" i="31" s="1"/>
  <c r="E33" i="31"/>
  <c r="E49" i="31"/>
  <c r="H49" i="31" s="1"/>
  <c r="E47" i="31"/>
  <c r="H47" i="31" s="1"/>
  <c r="E52" i="31"/>
  <c r="E38" i="31"/>
  <c r="E46" i="31"/>
  <c r="E34" i="31"/>
  <c r="H34" i="31" s="1"/>
  <c r="E51" i="31"/>
  <c r="H51" i="31" s="1"/>
  <c r="L20" i="16"/>
  <c r="L21" i="16"/>
  <c r="G27" i="13"/>
  <c r="G53" i="13"/>
  <c r="H45" i="13"/>
  <c r="H7" i="13"/>
  <c r="H10" i="13"/>
  <c r="H36" i="13"/>
  <c r="H19" i="13"/>
  <c r="I35" i="13"/>
  <c r="I33" i="13" s="1"/>
  <c r="AA47" i="13" s="1"/>
  <c r="H31" i="16"/>
  <c r="H28" i="16"/>
  <c r="I31" i="16"/>
  <c r="K30" i="16"/>
  <c r="J30" i="16"/>
  <c r="E25" i="31" s="1"/>
  <c r="J27" i="16"/>
  <c r="E22" i="31" s="1"/>
  <c r="H22" i="31" s="1"/>
  <c r="I25" i="16"/>
  <c r="J28" i="16"/>
  <c r="E23" i="31" s="1"/>
  <c r="H23" i="31" s="1"/>
  <c r="H26" i="16"/>
  <c r="H30" i="16"/>
  <c r="H32" i="16"/>
  <c r="I32" i="16"/>
  <c r="I27" i="16"/>
  <c r="J31" i="16"/>
  <c r="K28" i="16"/>
  <c r="H25" i="16"/>
  <c r="I28" i="16"/>
  <c r="J25" i="16"/>
  <c r="E20" i="31" s="1"/>
  <c r="K26" i="16"/>
  <c r="H27" i="16"/>
  <c r="I30" i="16"/>
  <c r="K25" i="16"/>
  <c r="J32" i="16"/>
  <c r="E26" i="31" s="1"/>
  <c r="H26" i="31" s="1"/>
  <c r="K31" i="16"/>
  <c r="J26" i="16"/>
  <c r="E21" i="31" s="1"/>
  <c r="H21" i="31" s="1"/>
  <c r="K32" i="16"/>
  <c r="I26" i="16"/>
  <c r="E7" i="31"/>
  <c r="E8" i="31"/>
  <c r="H8" i="31" s="1"/>
  <c r="E12" i="31"/>
  <c r="E10" i="31"/>
  <c r="H10" i="31" s="1"/>
  <c r="E13" i="31"/>
  <c r="H13" i="31" s="1"/>
  <c r="E9" i="31"/>
  <c r="H9" i="31" s="1"/>
  <c r="Z17" i="14"/>
  <c r="J18" i="14"/>
  <c r="Z18" i="14"/>
  <c r="Z19" i="14"/>
  <c r="J16" i="14"/>
  <c r="J22" i="14"/>
  <c r="J20" i="14"/>
  <c r="L2" i="14"/>
  <c r="K7" i="14"/>
  <c r="K11" i="14"/>
  <c r="K6" i="14"/>
  <c r="K10" i="14"/>
  <c r="K5" i="14"/>
  <c r="K9" i="14"/>
  <c r="K15" i="14"/>
  <c r="K8" i="14"/>
  <c r="AK34" i="13"/>
  <c r="I7" i="13"/>
  <c r="AA46" i="13"/>
  <c r="AK33" i="13"/>
  <c r="I45" i="13"/>
  <c r="AA48" i="13"/>
  <c r="AA45" i="13"/>
  <c r="J19" i="14"/>
  <c r="J21" i="14"/>
  <c r="I36" i="13"/>
  <c r="AA44" i="13" s="1"/>
  <c r="J17" i="14"/>
  <c r="I19" i="13"/>
  <c r="I10" i="13"/>
  <c r="K5" i="13"/>
  <c r="J52" i="13"/>
  <c r="J48" i="13"/>
  <c r="J43" i="13"/>
  <c r="J39" i="13"/>
  <c r="J34" i="13"/>
  <c r="J50" i="13"/>
  <c r="J41" i="13"/>
  <c r="J49" i="13"/>
  <c r="J44" i="13"/>
  <c r="J40" i="13"/>
  <c r="J35" i="13"/>
  <c r="J46" i="13"/>
  <c r="J42" i="13"/>
  <c r="J51" i="13"/>
  <c r="J38" i="13"/>
  <c r="J47" i="13"/>
  <c r="J37" i="13"/>
  <c r="J8" i="13"/>
  <c r="J9" i="13"/>
  <c r="J11" i="13"/>
  <c r="J12" i="13"/>
  <c r="J13" i="13"/>
  <c r="J14" i="13"/>
  <c r="J15" i="13"/>
  <c r="J16" i="13"/>
  <c r="J17" i="13"/>
  <c r="J18" i="13"/>
  <c r="J20" i="13"/>
  <c r="J21" i="13"/>
  <c r="J22" i="13"/>
  <c r="J23" i="13"/>
  <c r="J24" i="13"/>
  <c r="J25" i="13"/>
  <c r="J26" i="13"/>
  <c r="E45" i="31" l="1"/>
  <c r="H46" i="31"/>
  <c r="E37" i="31"/>
  <c r="H37" i="31" s="1"/>
  <c r="H38" i="31"/>
  <c r="E50" i="31"/>
  <c r="H50" i="31" s="1"/>
  <c r="H52" i="31"/>
  <c r="E24" i="31"/>
  <c r="H24" i="31" s="1"/>
  <c r="H25" i="31"/>
  <c r="E32" i="31"/>
  <c r="H33" i="31"/>
  <c r="E19" i="31"/>
  <c r="H20" i="31"/>
  <c r="J29" i="16"/>
  <c r="I29" i="16"/>
  <c r="H29" i="16"/>
  <c r="K29" i="16"/>
  <c r="H53" i="13"/>
  <c r="H27" i="13"/>
  <c r="J24" i="16"/>
  <c r="L27" i="16"/>
  <c r="L25" i="16"/>
  <c r="H24" i="16"/>
  <c r="K24" i="16"/>
  <c r="L30" i="16"/>
  <c r="L26" i="16"/>
  <c r="L28" i="16"/>
  <c r="L31" i="16"/>
  <c r="I24" i="16"/>
  <c r="L32" i="16"/>
  <c r="AA33" i="13"/>
  <c r="Z20" i="14"/>
  <c r="K19" i="14"/>
  <c r="AA49" i="13"/>
  <c r="AF33" i="13"/>
  <c r="J36" i="13"/>
  <c r="I27" i="13"/>
  <c r="AA8" i="13" s="1"/>
  <c r="K20" i="14"/>
  <c r="J33" i="13"/>
  <c r="AA37" i="13"/>
  <c r="AA38" i="13"/>
  <c r="K22" i="14"/>
  <c r="J19" i="13"/>
  <c r="J10" i="13"/>
  <c r="J45" i="13"/>
  <c r="L5" i="13"/>
  <c r="K49" i="13"/>
  <c r="K44" i="13"/>
  <c r="K40" i="13"/>
  <c r="K35" i="13"/>
  <c r="K51" i="13"/>
  <c r="K50" i="13"/>
  <c r="K46" i="13"/>
  <c r="K41" i="13"/>
  <c r="K37" i="13"/>
  <c r="K47" i="13"/>
  <c r="K42" i="13"/>
  <c r="K43" i="13"/>
  <c r="K34" i="13"/>
  <c r="K39" i="13"/>
  <c r="K48" i="13"/>
  <c r="K38" i="13"/>
  <c r="K52" i="13"/>
  <c r="K8" i="13"/>
  <c r="K9" i="13"/>
  <c r="K11" i="13"/>
  <c r="K12" i="13"/>
  <c r="K13" i="13"/>
  <c r="K14" i="13"/>
  <c r="K15" i="13"/>
  <c r="K16" i="13"/>
  <c r="K17" i="13"/>
  <c r="K18" i="13"/>
  <c r="K20" i="13"/>
  <c r="K21" i="13"/>
  <c r="K22" i="13"/>
  <c r="K23" i="13"/>
  <c r="K24" i="13"/>
  <c r="K26" i="13"/>
  <c r="K25" i="13"/>
  <c r="AA34" i="13"/>
  <c r="AF34" i="13"/>
  <c r="K16" i="14"/>
  <c r="K18" i="14"/>
  <c r="I53" i="13"/>
  <c r="K21" i="14"/>
  <c r="M2" i="14"/>
  <c r="L15" i="14"/>
  <c r="L8" i="14"/>
  <c r="L7" i="14"/>
  <c r="L11" i="14"/>
  <c r="L6" i="14"/>
  <c r="L10" i="14"/>
  <c r="L5" i="14"/>
  <c r="L9" i="14"/>
  <c r="J7" i="13"/>
  <c r="AA35" i="13"/>
  <c r="AK35" i="13"/>
  <c r="AA36" i="13"/>
  <c r="K17" i="14"/>
  <c r="E6" i="31"/>
  <c r="H7" i="31"/>
  <c r="E11" i="31"/>
  <c r="H11" i="31" s="1"/>
  <c r="H12" i="31"/>
  <c r="E27" i="31" l="1"/>
  <c r="H27" i="31" s="1"/>
  <c r="H19" i="31"/>
  <c r="E40" i="31"/>
  <c r="H40" i="31" s="1"/>
  <c r="H32" i="31"/>
  <c r="E53" i="31"/>
  <c r="H53" i="31" s="1"/>
  <c r="H45" i="31"/>
  <c r="K33" i="16"/>
  <c r="J33" i="16"/>
  <c r="I33" i="16"/>
  <c r="L29" i="16"/>
  <c r="H33" i="16"/>
  <c r="L24" i="16"/>
  <c r="J27" i="13"/>
  <c r="AF35" i="13"/>
  <c r="L17" i="14"/>
  <c r="K33" i="13"/>
  <c r="L20" i="14"/>
  <c r="L22" i="14"/>
  <c r="L16" i="14"/>
  <c r="L18" i="14"/>
  <c r="AA39" i="13"/>
  <c r="L21" i="14"/>
  <c r="L19" i="14"/>
  <c r="J53" i="13"/>
  <c r="N2" i="14"/>
  <c r="M5" i="14"/>
  <c r="M9" i="14"/>
  <c r="M15" i="14"/>
  <c r="M8" i="14"/>
  <c r="M7" i="14"/>
  <c r="M11" i="14"/>
  <c r="M6" i="14"/>
  <c r="M10" i="14"/>
  <c r="K7" i="13"/>
  <c r="K36" i="13"/>
  <c r="K19" i="13"/>
  <c r="K10" i="13"/>
  <c r="M5" i="13"/>
  <c r="L50" i="13"/>
  <c r="L46" i="13"/>
  <c r="L41" i="13"/>
  <c r="L37" i="13"/>
  <c r="L43" i="13"/>
  <c r="L51" i="13"/>
  <c r="L47" i="13"/>
  <c r="L42" i="13"/>
  <c r="L38" i="13"/>
  <c r="L52" i="13"/>
  <c r="L48" i="13"/>
  <c r="L44" i="13"/>
  <c r="L35" i="13"/>
  <c r="L40" i="13"/>
  <c r="L49" i="13"/>
  <c r="L39" i="13"/>
  <c r="L34" i="13"/>
  <c r="L8" i="13"/>
  <c r="L9" i="13"/>
  <c r="L13" i="13"/>
  <c r="L17" i="13"/>
  <c r="L22" i="13"/>
  <c r="L11" i="13"/>
  <c r="L15" i="13"/>
  <c r="L25" i="13"/>
  <c r="L12" i="13"/>
  <c r="L16" i="13"/>
  <c r="L21" i="13"/>
  <c r="L26" i="13"/>
  <c r="L14" i="13"/>
  <c r="L18" i="13"/>
  <c r="L23" i="13"/>
  <c r="L20" i="13"/>
  <c r="L24" i="13"/>
  <c r="K45" i="13"/>
  <c r="E14" i="31"/>
  <c r="H14" i="31" s="1"/>
  <c r="H6" i="31"/>
  <c r="L33" i="16" l="1"/>
  <c r="L9" i="31"/>
  <c r="L10" i="31"/>
  <c r="L33" i="13"/>
  <c r="K53" i="13"/>
  <c r="M17" i="14"/>
  <c r="L7" i="13"/>
  <c r="K27" i="13"/>
  <c r="L36" i="13"/>
  <c r="N5" i="13"/>
  <c r="M51" i="13"/>
  <c r="M47" i="13"/>
  <c r="M42" i="13"/>
  <c r="M38" i="13"/>
  <c r="M44" i="13"/>
  <c r="M52" i="13"/>
  <c r="M48" i="13"/>
  <c r="M43" i="13"/>
  <c r="M39" i="13"/>
  <c r="M34" i="13"/>
  <c r="M49" i="13"/>
  <c r="M46" i="13"/>
  <c r="M37" i="13"/>
  <c r="M50" i="13"/>
  <c r="M40" i="13"/>
  <c r="M41" i="13"/>
  <c r="M35" i="13"/>
  <c r="M8" i="13"/>
  <c r="M9" i="13"/>
  <c r="M11" i="13"/>
  <c r="M12" i="13"/>
  <c r="M13" i="13"/>
  <c r="M14" i="13"/>
  <c r="M15" i="13"/>
  <c r="M16" i="13"/>
  <c r="M17" i="13"/>
  <c r="M18" i="13"/>
  <c r="M20" i="13"/>
  <c r="M21" i="13"/>
  <c r="M22" i="13"/>
  <c r="M23" i="13"/>
  <c r="M24" i="13"/>
  <c r="M25" i="13"/>
  <c r="M26" i="13"/>
  <c r="L10" i="13"/>
  <c r="M22" i="14"/>
  <c r="M20" i="14"/>
  <c r="L45" i="13"/>
  <c r="M18" i="14"/>
  <c r="M16" i="14"/>
  <c r="L19" i="13"/>
  <c r="M21" i="14"/>
  <c r="M19" i="14"/>
  <c r="O2" i="14"/>
  <c r="N6" i="14"/>
  <c r="N10" i="14"/>
  <c r="N5" i="14"/>
  <c r="N9" i="14"/>
  <c r="N15" i="14"/>
  <c r="N8" i="14"/>
  <c r="N7" i="14"/>
  <c r="N11" i="14"/>
  <c r="L8" i="31" l="1"/>
  <c r="L53" i="13"/>
  <c r="L27" i="13"/>
  <c r="N18" i="14"/>
  <c r="N22" i="14"/>
  <c r="N20" i="14"/>
  <c r="P2" i="14"/>
  <c r="O7" i="14"/>
  <c r="O11" i="14"/>
  <c r="O6" i="14"/>
  <c r="O10" i="14"/>
  <c r="O5" i="14"/>
  <c r="O9" i="14"/>
  <c r="O15" i="14"/>
  <c r="O8" i="14"/>
  <c r="M7" i="13"/>
  <c r="M33" i="13"/>
  <c r="N16" i="14"/>
  <c r="M36" i="13"/>
  <c r="N19" i="14"/>
  <c r="N21" i="14"/>
  <c r="M19" i="13"/>
  <c r="M10" i="13"/>
  <c r="M45" i="13"/>
  <c r="O5" i="13"/>
  <c r="N52" i="13"/>
  <c r="N48" i="13"/>
  <c r="N43" i="13"/>
  <c r="N39" i="13"/>
  <c r="N34" i="13"/>
  <c r="N46" i="13"/>
  <c r="N49" i="13"/>
  <c r="N44" i="13"/>
  <c r="N40" i="13"/>
  <c r="N35" i="13"/>
  <c r="N50" i="13"/>
  <c r="N41" i="13"/>
  <c r="N47" i="13"/>
  <c r="N38" i="13"/>
  <c r="N42" i="13"/>
  <c r="N51" i="13"/>
  <c r="N37" i="13"/>
  <c r="N25" i="13"/>
  <c r="N8" i="13"/>
  <c r="N9" i="13"/>
  <c r="N11" i="13"/>
  <c r="N12" i="13"/>
  <c r="N13" i="13"/>
  <c r="N14" i="13"/>
  <c r="N15" i="13"/>
  <c r="N16" i="13"/>
  <c r="N17" i="13"/>
  <c r="N18" i="13"/>
  <c r="N20" i="13"/>
  <c r="N21" i="13"/>
  <c r="N22" i="13"/>
  <c r="N23" i="13"/>
  <c r="N24" i="13"/>
  <c r="N26" i="13"/>
  <c r="H71" i="16"/>
  <c r="H70" i="16"/>
  <c r="H66" i="16"/>
  <c r="K69" i="16"/>
  <c r="K64" i="16"/>
  <c r="J69" i="16"/>
  <c r="E64" i="31" s="1"/>
  <c r="I71" i="16"/>
  <c r="I65" i="16"/>
  <c r="J64" i="16"/>
  <c r="E59" i="31" s="1"/>
  <c r="H69" i="16"/>
  <c r="H67" i="16"/>
  <c r="I69" i="16"/>
  <c r="K70" i="16"/>
  <c r="K65" i="16"/>
  <c r="I67" i="16"/>
  <c r="J71" i="16"/>
  <c r="E65" i="31" s="1"/>
  <c r="H65" i="31" s="1"/>
  <c r="K67" i="16"/>
  <c r="K71" i="16"/>
  <c r="H65" i="16"/>
  <c r="H64" i="16"/>
  <c r="I70" i="16"/>
  <c r="J67" i="16"/>
  <c r="E62" i="31" s="1"/>
  <c r="H62" i="31" s="1"/>
  <c r="I64" i="16"/>
  <c r="J65" i="16"/>
  <c r="E60" i="31" s="1"/>
  <c r="H60" i="31" s="1"/>
  <c r="J66" i="16"/>
  <c r="E61" i="31" s="1"/>
  <c r="H61" i="31" s="1"/>
  <c r="I66" i="16"/>
  <c r="J70" i="16"/>
  <c r="N17" i="14"/>
  <c r="E58" i="31" l="1"/>
  <c r="H59" i="31"/>
  <c r="E63" i="31"/>
  <c r="H63" i="31" s="1"/>
  <c r="H64" i="31"/>
  <c r="K68" i="16"/>
  <c r="H68" i="16"/>
  <c r="J68" i="16"/>
  <c r="I68" i="16"/>
  <c r="L11" i="31"/>
  <c r="L12" i="31" s="1"/>
  <c r="M27" i="13"/>
  <c r="N7" i="13"/>
  <c r="M53" i="13"/>
  <c r="J63" i="16"/>
  <c r="K63" i="16"/>
  <c r="L71" i="16"/>
  <c r="O17" i="14"/>
  <c r="N45" i="13"/>
  <c r="O20" i="14"/>
  <c r="O22" i="14"/>
  <c r="I63" i="16"/>
  <c r="H63" i="16"/>
  <c r="L64" i="16"/>
  <c r="L65" i="16"/>
  <c r="L67" i="16"/>
  <c r="L66" i="16"/>
  <c r="N19" i="13"/>
  <c r="N10" i="13"/>
  <c r="N36" i="13"/>
  <c r="N33" i="13"/>
  <c r="O16" i="14"/>
  <c r="O18" i="14"/>
  <c r="L69" i="16"/>
  <c r="L70" i="16"/>
  <c r="P5" i="13"/>
  <c r="O49" i="13"/>
  <c r="O44" i="13"/>
  <c r="O40" i="13"/>
  <c r="O35" i="13"/>
  <c r="O47" i="13"/>
  <c r="O42" i="13"/>
  <c r="O50" i="13"/>
  <c r="O46" i="13"/>
  <c r="O41" i="13"/>
  <c r="O37" i="13"/>
  <c r="O51" i="13"/>
  <c r="O48" i="13"/>
  <c r="O39" i="13"/>
  <c r="O52" i="13"/>
  <c r="O34" i="13"/>
  <c r="O43" i="13"/>
  <c r="O38" i="13"/>
  <c r="O8" i="13"/>
  <c r="O9" i="13"/>
  <c r="O11" i="13"/>
  <c r="O12" i="13"/>
  <c r="O13" i="13"/>
  <c r="O14" i="13"/>
  <c r="O15" i="13"/>
  <c r="O16" i="13"/>
  <c r="O17" i="13"/>
  <c r="O18" i="13"/>
  <c r="O20" i="13"/>
  <c r="O21" i="13"/>
  <c r="O22" i="13"/>
  <c r="O23" i="13"/>
  <c r="O24" i="13"/>
  <c r="O25" i="13"/>
  <c r="O26" i="13"/>
  <c r="O19" i="14"/>
  <c r="O21" i="14"/>
  <c r="Q2" i="14"/>
  <c r="P15" i="14"/>
  <c r="P8" i="14"/>
  <c r="P7" i="14"/>
  <c r="P11" i="14"/>
  <c r="P6" i="14"/>
  <c r="P10" i="14"/>
  <c r="P5" i="14"/>
  <c r="P9" i="14"/>
  <c r="E66" i="31" l="1"/>
  <c r="H66" i="31" s="1"/>
  <c r="H58" i="31"/>
  <c r="O33" i="13"/>
  <c r="N27" i="13"/>
  <c r="P17" i="14"/>
  <c r="P16" i="14"/>
  <c r="N53" i="13"/>
  <c r="I72" i="16"/>
  <c r="O7" i="13"/>
  <c r="O36" i="13"/>
  <c r="L63" i="16"/>
  <c r="H72" i="16"/>
  <c r="K72" i="16"/>
  <c r="P20" i="14"/>
  <c r="P22" i="14"/>
  <c r="R2" i="14"/>
  <c r="Q5" i="14"/>
  <c r="Q9" i="14"/>
  <c r="Q15" i="14"/>
  <c r="Q8" i="14"/>
  <c r="Q7" i="14"/>
  <c r="Q11" i="14"/>
  <c r="Q6" i="14"/>
  <c r="Q10" i="14"/>
  <c r="P18" i="14"/>
  <c r="O19" i="13"/>
  <c r="O10" i="13"/>
  <c r="O45" i="13"/>
  <c r="Q5" i="13"/>
  <c r="P50" i="13"/>
  <c r="P46" i="13"/>
  <c r="P41" i="13"/>
  <c r="P37" i="13"/>
  <c r="P52" i="13"/>
  <c r="P48" i="13"/>
  <c r="P51" i="13"/>
  <c r="P47" i="13"/>
  <c r="P42" i="13"/>
  <c r="P38" i="13"/>
  <c r="P43" i="13"/>
  <c r="P49" i="13"/>
  <c r="P40" i="13"/>
  <c r="P44" i="13"/>
  <c r="P39" i="13"/>
  <c r="P34" i="13"/>
  <c r="P35" i="13"/>
  <c r="P8" i="13"/>
  <c r="P9" i="13"/>
  <c r="P14" i="13"/>
  <c r="P18" i="13"/>
  <c r="P23" i="13"/>
  <c r="P25" i="13"/>
  <c r="P16" i="13"/>
  <c r="P21" i="13"/>
  <c r="P13" i="13"/>
  <c r="P17" i="13"/>
  <c r="P22" i="13"/>
  <c r="P12" i="13"/>
  <c r="P11" i="13"/>
  <c r="P15" i="13"/>
  <c r="P20" i="13"/>
  <c r="P24" i="13"/>
  <c r="P26" i="13"/>
  <c r="L68" i="16"/>
  <c r="P21" i="14"/>
  <c r="P19" i="14"/>
  <c r="J72" i="16"/>
  <c r="Q17" i="14" l="1"/>
  <c r="Q18" i="14"/>
  <c r="O27" i="13"/>
  <c r="Q22" i="14"/>
  <c r="Q21" i="14"/>
  <c r="O53" i="13"/>
  <c r="Q20" i="14"/>
  <c r="P19" i="13"/>
  <c r="P33" i="13"/>
  <c r="P36" i="13"/>
  <c r="R5" i="13"/>
  <c r="Q51" i="13"/>
  <c r="Q47" i="13"/>
  <c r="Q42" i="13"/>
  <c r="Q38" i="13"/>
  <c r="Q49" i="13"/>
  <c r="Q52" i="13"/>
  <c r="Q48" i="13"/>
  <c r="Q43" i="13"/>
  <c r="Q39" i="13"/>
  <c r="Q34" i="13"/>
  <c r="Q44" i="13"/>
  <c r="Q50" i="13"/>
  <c r="Q41" i="13"/>
  <c r="Q46" i="13"/>
  <c r="Q40" i="13"/>
  <c r="Q35" i="13"/>
  <c r="Q37" i="13"/>
  <c r="Q8" i="13"/>
  <c r="Q9" i="13"/>
  <c r="Q11" i="13"/>
  <c r="Q12" i="13"/>
  <c r="Q13" i="13"/>
  <c r="Q14" i="13"/>
  <c r="Q15" i="13"/>
  <c r="Q16" i="13"/>
  <c r="Q17" i="13"/>
  <c r="Q18" i="13"/>
  <c r="Q20" i="13"/>
  <c r="Q21" i="13"/>
  <c r="Q22" i="13"/>
  <c r="Q23" i="13"/>
  <c r="Q24" i="13"/>
  <c r="Q25" i="13"/>
  <c r="Q26" i="13"/>
  <c r="Q16" i="14"/>
  <c r="Q19" i="14"/>
  <c r="S2" i="14"/>
  <c r="R6" i="14"/>
  <c r="R10" i="14"/>
  <c r="R5" i="14"/>
  <c r="R9" i="14"/>
  <c r="R15" i="14"/>
  <c r="R8" i="14"/>
  <c r="R7" i="14"/>
  <c r="R11" i="14"/>
  <c r="L72" i="16"/>
  <c r="P10" i="13"/>
  <c r="P7" i="13"/>
  <c r="P45" i="13"/>
  <c r="P53" i="13" l="1"/>
  <c r="P27" i="13"/>
  <c r="Q7" i="13"/>
  <c r="Q45" i="13"/>
  <c r="Q36" i="13"/>
  <c r="R17" i="14"/>
  <c r="Q33" i="13"/>
  <c r="R22" i="14"/>
  <c r="R20" i="14"/>
  <c r="S15" i="14"/>
  <c r="S8" i="14"/>
  <c r="S5" i="14"/>
  <c r="S9" i="14"/>
  <c r="S6" i="14"/>
  <c r="S10" i="14"/>
  <c r="S7" i="14"/>
  <c r="S11" i="14"/>
  <c r="R18" i="14"/>
  <c r="R16" i="14"/>
  <c r="Q19" i="13"/>
  <c r="Q10" i="13"/>
  <c r="S5" i="13"/>
  <c r="R52" i="13"/>
  <c r="R48" i="13"/>
  <c r="R43" i="13"/>
  <c r="R39" i="13"/>
  <c r="R34" i="13"/>
  <c r="R50" i="13"/>
  <c r="R49" i="13"/>
  <c r="R44" i="13"/>
  <c r="R40" i="13"/>
  <c r="R35" i="13"/>
  <c r="R46" i="13"/>
  <c r="R41" i="13"/>
  <c r="R51" i="13"/>
  <c r="R37" i="13"/>
  <c r="R42" i="13"/>
  <c r="R38" i="13"/>
  <c r="R47" i="13"/>
  <c r="R8" i="13"/>
  <c r="R9" i="13"/>
  <c r="R11" i="13"/>
  <c r="R12" i="13"/>
  <c r="R13" i="13"/>
  <c r="R14" i="13"/>
  <c r="R15" i="13"/>
  <c r="R16" i="13"/>
  <c r="R17" i="13"/>
  <c r="R18" i="13"/>
  <c r="R20" i="13"/>
  <c r="R21" i="13"/>
  <c r="R22" i="13"/>
  <c r="R23" i="13"/>
  <c r="R24" i="13"/>
  <c r="R25" i="13"/>
  <c r="R26" i="13"/>
  <c r="R19" i="14"/>
  <c r="R21" i="14"/>
  <c r="Y10" i="14" l="1"/>
  <c r="S17" i="14"/>
  <c r="S21" i="14"/>
  <c r="S22" i="14"/>
  <c r="S18" i="14"/>
  <c r="S19" i="14"/>
  <c r="S20" i="14"/>
  <c r="Q27" i="13"/>
  <c r="Q53" i="13"/>
  <c r="R45" i="13"/>
  <c r="R19" i="13"/>
  <c r="R10" i="13"/>
  <c r="S49" i="13"/>
  <c r="S44" i="13"/>
  <c r="S40" i="13"/>
  <c r="S35" i="13"/>
  <c r="S51" i="13"/>
  <c r="S42" i="13"/>
  <c r="S50" i="13"/>
  <c r="S46" i="13"/>
  <c r="S41" i="13"/>
  <c r="S37" i="13"/>
  <c r="S47" i="13"/>
  <c r="S52" i="13"/>
  <c r="S34" i="13"/>
  <c r="S43" i="13"/>
  <c r="S38" i="13"/>
  <c r="S39" i="13"/>
  <c r="S48" i="13"/>
  <c r="I84" i="16"/>
  <c r="J80" i="16"/>
  <c r="E75" i="31" s="1"/>
  <c r="H75" i="31" s="1"/>
  <c r="I78" i="16"/>
  <c r="I79" i="16"/>
  <c r="K84" i="16"/>
  <c r="S25" i="13"/>
  <c r="K82" i="16"/>
  <c r="S9" i="13"/>
  <c r="K80" i="16"/>
  <c r="S12" i="13"/>
  <c r="S14" i="13"/>
  <c r="S17" i="13"/>
  <c r="T5" i="13"/>
  <c r="H78" i="16"/>
  <c r="H83" i="16"/>
  <c r="H84" i="16"/>
  <c r="S20" i="13"/>
  <c r="K83" i="16"/>
  <c r="K78" i="16"/>
  <c r="S13" i="13"/>
  <c r="K77" i="16"/>
  <c r="S15" i="13"/>
  <c r="S21" i="13"/>
  <c r="I83" i="16"/>
  <c r="H82" i="16"/>
  <c r="S16" i="13"/>
  <c r="S24" i="13"/>
  <c r="J83" i="16"/>
  <c r="H79" i="16"/>
  <c r="I80" i="16"/>
  <c r="J84" i="16"/>
  <c r="E78" i="31" s="1"/>
  <c r="H78" i="31" s="1"/>
  <c r="I82" i="16"/>
  <c r="S18" i="13"/>
  <c r="S23" i="13"/>
  <c r="J78" i="16"/>
  <c r="E73" i="31" s="1"/>
  <c r="H73" i="31" s="1"/>
  <c r="H80" i="16"/>
  <c r="I77" i="16"/>
  <c r="J77" i="16"/>
  <c r="E72" i="31" s="1"/>
  <c r="H77" i="16"/>
  <c r="S22" i="13"/>
  <c r="J82" i="16"/>
  <c r="E77" i="31" s="1"/>
  <c r="S11" i="13"/>
  <c r="J79" i="16"/>
  <c r="E74" i="31" s="1"/>
  <c r="H74" i="31" s="1"/>
  <c r="S26" i="13"/>
  <c r="S8" i="13"/>
  <c r="U2" i="14"/>
  <c r="U4" i="14" s="1"/>
  <c r="T6" i="14"/>
  <c r="T10" i="14"/>
  <c r="T7" i="14"/>
  <c r="T11" i="14"/>
  <c r="T15" i="14"/>
  <c r="T8" i="14"/>
  <c r="T5" i="14"/>
  <c r="T9" i="14"/>
  <c r="R7" i="13"/>
  <c r="R36" i="13"/>
  <c r="S16" i="14"/>
  <c r="R33" i="13"/>
  <c r="E76" i="31" l="1"/>
  <c r="H77" i="31"/>
  <c r="E71" i="31"/>
  <c r="H71" i="31" s="1"/>
  <c r="H72" i="31"/>
  <c r="AA19" i="14"/>
  <c r="AA18" i="14"/>
  <c r="S19" i="13"/>
  <c r="AA17" i="14"/>
  <c r="I81" i="16"/>
  <c r="R27" i="13"/>
  <c r="AL34" i="13"/>
  <c r="T22" i="14"/>
  <c r="T16" i="14"/>
  <c r="T18" i="14"/>
  <c r="S7" i="13"/>
  <c r="AB45" i="13"/>
  <c r="T20" i="14"/>
  <c r="T19" i="14"/>
  <c r="T21" i="14"/>
  <c r="L80" i="16"/>
  <c r="L84" i="16"/>
  <c r="U5" i="13"/>
  <c r="T44" i="13"/>
  <c r="T46" i="13"/>
  <c r="T42" i="13"/>
  <c r="T43" i="13"/>
  <c r="K95" i="16"/>
  <c r="I91" i="16"/>
  <c r="I95" i="16"/>
  <c r="I93" i="16"/>
  <c r="I92" i="16"/>
  <c r="T20" i="13"/>
  <c r="H97" i="16"/>
  <c r="T26" i="13"/>
  <c r="J93" i="16"/>
  <c r="T24" i="13"/>
  <c r="T9" i="13"/>
  <c r="T40" i="13"/>
  <c r="T41" i="13"/>
  <c r="T38" i="13"/>
  <c r="T52" i="13"/>
  <c r="K96" i="16"/>
  <c r="I97" i="16"/>
  <c r="K91" i="16"/>
  <c r="T14" i="13"/>
  <c r="H95" i="16"/>
  <c r="H93" i="16"/>
  <c r="T8" i="13"/>
  <c r="H92" i="16"/>
  <c r="T13" i="13"/>
  <c r="T16" i="13"/>
  <c r="T23" i="13"/>
  <c r="T25" i="13"/>
  <c r="T34" i="13"/>
  <c r="T37" i="13"/>
  <c r="T51" i="13"/>
  <c r="T48" i="13"/>
  <c r="J97" i="16"/>
  <c r="I90" i="16"/>
  <c r="J91" i="16"/>
  <c r="K93" i="16"/>
  <c r="I96" i="16"/>
  <c r="T17" i="13"/>
  <c r="H91" i="16"/>
  <c r="H90" i="16"/>
  <c r="T12" i="13"/>
  <c r="H96" i="16"/>
  <c r="T18" i="13"/>
  <c r="T15" i="13"/>
  <c r="T50" i="13"/>
  <c r="T47" i="13"/>
  <c r="J92" i="16"/>
  <c r="K90" i="16"/>
  <c r="J90" i="16"/>
  <c r="T21" i="13"/>
  <c r="T22" i="13"/>
  <c r="T49" i="13"/>
  <c r="T35" i="13"/>
  <c r="T39" i="13"/>
  <c r="K97" i="16"/>
  <c r="J95" i="16"/>
  <c r="J96" i="16"/>
  <c r="T11" i="13"/>
  <c r="S36" i="13"/>
  <c r="AB44" i="13" s="1"/>
  <c r="R53" i="13"/>
  <c r="T17" i="14"/>
  <c r="H76" i="16"/>
  <c r="L77" i="16"/>
  <c r="S33" i="13"/>
  <c r="AB47" i="13" s="1"/>
  <c r="S10" i="13"/>
  <c r="J76" i="16"/>
  <c r="L83" i="16"/>
  <c r="K81" i="16"/>
  <c r="AB48" i="13"/>
  <c r="AL33" i="13"/>
  <c r="AB46" i="13"/>
  <c r="S45" i="13"/>
  <c r="V2" i="14"/>
  <c r="V4" i="14" s="1"/>
  <c r="U15" i="14"/>
  <c r="U8" i="14"/>
  <c r="U5" i="14"/>
  <c r="U9" i="14"/>
  <c r="U6" i="14"/>
  <c r="U10" i="14"/>
  <c r="U7" i="14"/>
  <c r="U11" i="14"/>
  <c r="J81" i="16"/>
  <c r="I76" i="16"/>
  <c r="L79" i="16"/>
  <c r="H81" i="16"/>
  <c r="L82" i="16"/>
  <c r="K76" i="16"/>
  <c r="L78" i="16"/>
  <c r="E79" i="31" l="1"/>
  <c r="H79" i="31" s="1"/>
  <c r="H76" i="31"/>
  <c r="K94" i="16"/>
  <c r="H94" i="16"/>
  <c r="J94" i="16"/>
  <c r="I94" i="16"/>
  <c r="S27" i="13"/>
  <c r="AB8" i="13" s="1"/>
  <c r="AA20" i="14"/>
  <c r="I85" i="16"/>
  <c r="T7" i="13"/>
  <c r="AL35" i="13"/>
  <c r="U21" i="14"/>
  <c r="U19" i="14"/>
  <c r="U17" i="14"/>
  <c r="U22" i="14"/>
  <c r="AB33" i="13"/>
  <c r="U20" i="14"/>
  <c r="L81" i="16"/>
  <c r="K85" i="16"/>
  <c r="T10" i="13"/>
  <c r="L96" i="16"/>
  <c r="U18" i="14"/>
  <c r="U16" i="14"/>
  <c r="AG34" i="13"/>
  <c r="AB36" i="13"/>
  <c r="S53" i="13"/>
  <c r="AB37" i="13"/>
  <c r="AB35" i="13"/>
  <c r="L93" i="16"/>
  <c r="T19" i="13"/>
  <c r="T45" i="13"/>
  <c r="AB38" i="13"/>
  <c r="J85" i="16"/>
  <c r="AG33" i="13"/>
  <c r="AB34" i="13"/>
  <c r="J89" i="16"/>
  <c r="T33" i="13"/>
  <c r="L95" i="16"/>
  <c r="W2" i="14"/>
  <c r="W4" i="14" s="1"/>
  <c r="V5" i="14"/>
  <c r="V9" i="14"/>
  <c r="V6" i="14"/>
  <c r="V10" i="14"/>
  <c r="V7" i="14"/>
  <c r="V11" i="14"/>
  <c r="V8" i="14"/>
  <c r="V15" i="14"/>
  <c r="AB49" i="13"/>
  <c r="K89" i="16"/>
  <c r="L90" i="16"/>
  <c r="H89" i="16"/>
  <c r="L92" i="16"/>
  <c r="V5" i="13"/>
  <c r="U50" i="13"/>
  <c r="U46" i="13"/>
  <c r="U41" i="13"/>
  <c r="U37" i="13"/>
  <c r="U43" i="13"/>
  <c r="U51" i="13"/>
  <c r="U47" i="13"/>
  <c r="U42" i="13"/>
  <c r="U38" i="13"/>
  <c r="U52" i="13"/>
  <c r="U48" i="13"/>
  <c r="U35" i="13"/>
  <c r="U44" i="13"/>
  <c r="U49" i="13"/>
  <c r="U34" i="13"/>
  <c r="U39" i="13"/>
  <c r="U40" i="13"/>
  <c r="U8" i="13"/>
  <c r="U11" i="13"/>
  <c r="U13" i="13"/>
  <c r="U15" i="13"/>
  <c r="U17" i="13"/>
  <c r="U20" i="13"/>
  <c r="U22" i="13"/>
  <c r="U24" i="13"/>
  <c r="U26" i="13"/>
  <c r="U9" i="13"/>
  <c r="U12" i="13"/>
  <c r="U14" i="13"/>
  <c r="U16" i="13"/>
  <c r="U18" i="13"/>
  <c r="U21" i="13"/>
  <c r="U23" i="13"/>
  <c r="U25" i="13"/>
  <c r="I89" i="16"/>
  <c r="T36" i="13"/>
  <c r="H85" i="16"/>
  <c r="L76" i="16"/>
  <c r="L91" i="16"/>
  <c r="L97" i="16"/>
  <c r="M10" i="31" l="1"/>
  <c r="L85" i="16"/>
  <c r="T53" i="13"/>
  <c r="T27" i="13"/>
  <c r="V22" i="14"/>
  <c r="V20" i="14"/>
  <c r="AB39" i="13"/>
  <c r="I98" i="16"/>
  <c r="V18" i="14"/>
  <c r="V16" i="14"/>
  <c r="AG35" i="13"/>
  <c r="U19" i="13"/>
  <c r="U10" i="13"/>
  <c r="U33" i="13"/>
  <c r="K98" i="16"/>
  <c r="U36" i="13"/>
  <c r="W5" i="13"/>
  <c r="V51" i="13"/>
  <c r="V47" i="13"/>
  <c r="V42" i="13"/>
  <c r="V38" i="13"/>
  <c r="V44" i="13"/>
  <c r="V52" i="13"/>
  <c r="V48" i="13"/>
  <c r="V43" i="13"/>
  <c r="V39" i="13"/>
  <c r="V34" i="13"/>
  <c r="V49" i="13"/>
  <c r="V37" i="13"/>
  <c r="V35" i="13"/>
  <c r="V41" i="13"/>
  <c r="V40" i="13"/>
  <c r="V46" i="13"/>
  <c r="V50" i="13"/>
  <c r="V8" i="13"/>
  <c r="V11" i="13"/>
  <c r="V13" i="13"/>
  <c r="V15" i="13"/>
  <c r="V17" i="13"/>
  <c r="V20" i="13"/>
  <c r="V22" i="13"/>
  <c r="V24" i="13"/>
  <c r="V26" i="13"/>
  <c r="V9" i="13"/>
  <c r="V12" i="13"/>
  <c r="V14" i="13"/>
  <c r="V16" i="13"/>
  <c r="V18" i="13"/>
  <c r="V21" i="13"/>
  <c r="V23" i="13"/>
  <c r="V25" i="13"/>
  <c r="J98" i="16"/>
  <c r="U7" i="13"/>
  <c r="U45" i="13"/>
  <c r="V21" i="14"/>
  <c r="W5" i="14"/>
  <c r="W9" i="14"/>
  <c r="W6" i="14"/>
  <c r="W10" i="14"/>
  <c r="W7" i="14"/>
  <c r="W11" i="14"/>
  <c r="W8" i="14"/>
  <c r="W15" i="14"/>
  <c r="L89" i="16"/>
  <c r="V19" i="14"/>
  <c r="V17" i="14"/>
  <c r="K133" i="16" l="1"/>
  <c r="R133" i="16"/>
  <c r="U27" i="13"/>
  <c r="W18" i="14"/>
  <c r="W16" i="14"/>
  <c r="U53" i="13"/>
  <c r="W22" i="14"/>
  <c r="V7" i="13"/>
  <c r="V33" i="13"/>
  <c r="W21" i="14"/>
  <c r="M9" i="31"/>
  <c r="W19" i="14"/>
  <c r="W17" i="14"/>
  <c r="V45" i="13"/>
  <c r="V36" i="13"/>
  <c r="W43" i="13"/>
  <c r="X43" i="13" s="1"/>
  <c r="W40" i="13"/>
  <c r="X40" i="13" s="1"/>
  <c r="W50" i="13"/>
  <c r="X50" i="13" s="1"/>
  <c r="W42" i="13"/>
  <c r="X42" i="13" s="1"/>
  <c r="H117" i="16"/>
  <c r="J123" i="16"/>
  <c r="J121" i="16"/>
  <c r="H116" i="16"/>
  <c r="W25" i="13"/>
  <c r="X25" i="13" s="1"/>
  <c r="H123" i="16"/>
  <c r="W8" i="13"/>
  <c r="X8" i="13" s="1"/>
  <c r="I116" i="16"/>
  <c r="W15" i="13"/>
  <c r="X15" i="13" s="1"/>
  <c r="J118" i="16"/>
  <c r="I117" i="16"/>
  <c r="I118" i="16"/>
  <c r="W14" i="13"/>
  <c r="X14" i="13" s="1"/>
  <c r="W18" i="13"/>
  <c r="X18" i="13" s="1"/>
  <c r="W39" i="13"/>
  <c r="X39" i="13" s="1"/>
  <c r="W34" i="13"/>
  <c r="X34" i="13" s="1"/>
  <c r="W46" i="13"/>
  <c r="X46" i="13" s="1"/>
  <c r="W51" i="13"/>
  <c r="X51" i="13" s="1"/>
  <c r="H118" i="16"/>
  <c r="J117" i="16"/>
  <c r="K119" i="16"/>
  <c r="J116" i="16"/>
  <c r="W24" i="13"/>
  <c r="X24" i="13" s="1"/>
  <c r="I121" i="16"/>
  <c r="J122" i="16"/>
  <c r="H121" i="16"/>
  <c r="W13" i="13"/>
  <c r="X13" i="13" s="1"/>
  <c r="H122" i="16"/>
  <c r="W12" i="13"/>
  <c r="X12" i="13" s="1"/>
  <c r="W20" i="13"/>
  <c r="X20" i="13" s="1"/>
  <c r="W52" i="13"/>
  <c r="W49" i="13"/>
  <c r="X49" i="13" s="1"/>
  <c r="W41" i="13"/>
  <c r="X41" i="13" s="1"/>
  <c r="W37" i="13"/>
  <c r="X37" i="13" s="1"/>
  <c r="W38" i="13"/>
  <c r="X38" i="13" s="1"/>
  <c r="J119" i="16"/>
  <c r="H119" i="16"/>
  <c r="K121" i="16"/>
  <c r="K116" i="16"/>
  <c r="I122" i="16"/>
  <c r="W22" i="13"/>
  <c r="X22" i="13" s="1"/>
  <c r="W23" i="13"/>
  <c r="X23" i="13" s="1"/>
  <c r="W17" i="13"/>
  <c r="X17" i="13" s="1"/>
  <c r="I119" i="16"/>
  <c r="W9" i="13"/>
  <c r="X9" i="13" s="1"/>
  <c r="W48" i="13"/>
  <c r="X48" i="13" s="1"/>
  <c r="W44" i="13"/>
  <c r="X44" i="13" s="1"/>
  <c r="W47" i="13"/>
  <c r="X47" i="13" s="1"/>
  <c r="W35" i="13"/>
  <c r="X35" i="13" s="1"/>
  <c r="I123" i="16"/>
  <c r="K123" i="16"/>
  <c r="K117" i="16"/>
  <c r="K122" i="16"/>
  <c r="W26" i="13"/>
  <c r="W21" i="13"/>
  <c r="X21" i="13" s="1"/>
  <c r="W11" i="13"/>
  <c r="X11" i="13" s="1"/>
  <c r="W16" i="13"/>
  <c r="X16" i="13" s="1"/>
  <c r="M8" i="31"/>
  <c r="M11" i="31"/>
  <c r="W20" i="14"/>
  <c r="V19" i="13"/>
  <c r="V10" i="13"/>
  <c r="H120" i="16" l="1"/>
  <c r="J120" i="16"/>
  <c r="K120" i="16"/>
  <c r="I120" i="16"/>
  <c r="L121" i="16"/>
  <c r="P134" i="16"/>
  <c r="I134" i="16"/>
  <c r="J132" i="16"/>
  <c r="Q132" i="16"/>
  <c r="I131" i="16"/>
  <c r="P131" i="16"/>
  <c r="O133" i="16"/>
  <c r="H133" i="16"/>
  <c r="K132" i="16"/>
  <c r="R132" i="16"/>
  <c r="I137" i="16"/>
  <c r="P137" i="16"/>
  <c r="H137" i="16"/>
  <c r="O137" i="16"/>
  <c r="H131" i="16"/>
  <c r="O131" i="16"/>
  <c r="K138" i="16"/>
  <c r="R138" i="16"/>
  <c r="R131" i="16"/>
  <c r="K131" i="16"/>
  <c r="Q136" i="16"/>
  <c r="J136" i="16"/>
  <c r="J138" i="16"/>
  <c r="Q138" i="16"/>
  <c r="I138" i="16"/>
  <c r="P138" i="16"/>
  <c r="H136" i="16"/>
  <c r="O136" i="16"/>
  <c r="O134" i="16"/>
  <c r="H134" i="16"/>
  <c r="H132" i="16"/>
  <c r="O132" i="16"/>
  <c r="R136" i="16"/>
  <c r="K136" i="16"/>
  <c r="H138" i="16"/>
  <c r="O138" i="16"/>
  <c r="R137" i="16"/>
  <c r="K137" i="16"/>
  <c r="J137" i="16"/>
  <c r="Q137" i="16"/>
  <c r="Q134" i="16"/>
  <c r="J134" i="16"/>
  <c r="P136" i="16"/>
  <c r="I136" i="16"/>
  <c r="P133" i="16"/>
  <c r="I133" i="16"/>
  <c r="I132" i="16"/>
  <c r="P132" i="16"/>
  <c r="J131" i="16"/>
  <c r="Q131" i="16"/>
  <c r="J133" i="16"/>
  <c r="Q133" i="16"/>
  <c r="R134" i="16"/>
  <c r="K134" i="16"/>
  <c r="L117" i="16"/>
  <c r="AM34" i="13"/>
  <c r="L116" i="16"/>
  <c r="AB17" i="14"/>
  <c r="M12" i="31"/>
  <c r="AB19" i="14"/>
  <c r="V27" i="13"/>
  <c r="W7" i="13"/>
  <c r="V53" i="13"/>
  <c r="AB18" i="14"/>
  <c r="L119" i="16"/>
  <c r="AM33" i="13"/>
  <c r="W45" i="13"/>
  <c r="AC46" i="13"/>
  <c r="L123" i="16"/>
  <c r="W19" i="13"/>
  <c r="W10" i="13"/>
  <c r="AC45" i="13"/>
  <c r="L122" i="16"/>
  <c r="W33" i="13"/>
  <c r="AC47" i="13" s="1"/>
  <c r="W36" i="13"/>
  <c r="AC44" i="13" s="1"/>
  <c r="J115" i="16"/>
  <c r="K115" i="16"/>
  <c r="AC48" i="13"/>
  <c r="L118" i="16"/>
  <c r="I115" i="16"/>
  <c r="H115" i="16"/>
  <c r="L120" i="16" l="1"/>
  <c r="L133" i="16"/>
  <c r="S133" i="16"/>
  <c r="L132" i="16"/>
  <c r="S132" i="16"/>
  <c r="Q135" i="16"/>
  <c r="J135" i="16"/>
  <c r="R130" i="16"/>
  <c r="K130" i="16"/>
  <c r="Q130" i="16"/>
  <c r="J130" i="16"/>
  <c r="R135" i="16"/>
  <c r="K135" i="16"/>
  <c r="L138" i="16"/>
  <c r="S138" i="16"/>
  <c r="H130" i="16"/>
  <c r="O130" i="16"/>
  <c r="P135" i="16"/>
  <c r="I135" i="16"/>
  <c r="L134" i="16"/>
  <c r="S134" i="16"/>
  <c r="S131" i="16"/>
  <c r="L131" i="16"/>
  <c r="O135" i="16"/>
  <c r="H135" i="16"/>
  <c r="P130" i="16"/>
  <c r="I130" i="16"/>
  <c r="S137" i="16"/>
  <c r="L137" i="16"/>
  <c r="S136" i="16"/>
  <c r="L136" i="16"/>
  <c r="AM35" i="13"/>
  <c r="AC38" i="13"/>
  <c r="W27" i="13"/>
  <c r="AC8" i="13" s="1"/>
  <c r="AB20" i="14"/>
  <c r="J124" i="16"/>
  <c r="AC36" i="13"/>
  <c r="AC33" i="13"/>
  <c r="AC34" i="13"/>
  <c r="K124" i="16"/>
  <c r="I124" i="16"/>
  <c r="AC35" i="13"/>
  <c r="AC37" i="13"/>
  <c r="AC49" i="13"/>
  <c r="W53" i="13"/>
  <c r="L115" i="16"/>
  <c r="H124" i="16"/>
  <c r="AH33" i="13"/>
  <c r="AH34" i="13"/>
  <c r="O139" i="16" l="1"/>
  <c r="H139" i="16"/>
  <c r="S130" i="16"/>
  <c r="L130" i="16"/>
  <c r="J139" i="16"/>
  <c r="Q139" i="16"/>
  <c r="S135" i="16"/>
  <c r="L135" i="16"/>
  <c r="P139" i="16"/>
  <c r="I139" i="16"/>
  <c r="K139" i="16"/>
  <c r="R139" i="16"/>
  <c r="N10" i="31"/>
  <c r="N9" i="31"/>
  <c r="L124" i="16"/>
  <c r="AC39" i="13"/>
  <c r="AH35" i="13"/>
  <c r="L139" i="16" l="1"/>
  <c r="S139" i="16"/>
  <c r="N11" i="31"/>
  <c r="N8" i="31"/>
  <c r="N12" i="31" l="1"/>
  <c r="L94" i="16" l="1"/>
  <c r="H98" i="16"/>
  <c r="L98" i="16" s="1"/>
  <c r="I79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S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3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S27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3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69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77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</commentList>
</comments>
</file>

<file path=xl/sharedStrings.xml><?xml version="1.0" encoding="utf-8"?>
<sst xmlns="http://schemas.openxmlformats.org/spreadsheetml/2006/main" count="1896" uniqueCount="552">
  <si>
    <t>Refined petroleum products</t>
  </si>
  <si>
    <t>Total</t>
  </si>
  <si>
    <t>Oil</t>
  </si>
  <si>
    <t>Biofuels</t>
  </si>
  <si>
    <t>Electric power generation, transmission and distribution</t>
  </si>
  <si>
    <t>Nuclear</t>
  </si>
  <si>
    <t>Fuel</t>
  </si>
  <si>
    <t>Combined gas</t>
  </si>
  <si>
    <t>Coal</t>
  </si>
  <si>
    <t>Wind</t>
  </si>
  <si>
    <t>Solar</t>
  </si>
  <si>
    <t>Hydraulic</t>
  </si>
  <si>
    <t>Cogeneration (CHP)</t>
  </si>
  <si>
    <t>Natural gas</t>
  </si>
  <si>
    <t>Wood</t>
  </si>
  <si>
    <t>Biogas</t>
  </si>
  <si>
    <t>Waste incineration</t>
  </si>
  <si>
    <t>Geothermal</t>
  </si>
  <si>
    <t>Transport</t>
  </si>
  <si>
    <t>Personal vehicles</t>
  </si>
  <si>
    <t xml:space="preserve">Public and freight transport </t>
  </si>
  <si>
    <t>Residential</t>
  </si>
  <si>
    <t>Service</t>
  </si>
  <si>
    <t>Industry and agriculture</t>
  </si>
  <si>
    <t xml:space="preserve">Industry </t>
  </si>
  <si>
    <t>Agriculture</t>
  </si>
  <si>
    <t>Total Final Mtep</t>
  </si>
  <si>
    <t>Class A</t>
  </si>
  <si>
    <t>Class B</t>
  </si>
  <si>
    <t>Class C</t>
  </si>
  <si>
    <t>Class D</t>
  </si>
  <si>
    <t>Class E</t>
  </si>
  <si>
    <t>Class F</t>
  </si>
  <si>
    <t>Class G</t>
  </si>
  <si>
    <t>Electricity</t>
  </si>
  <si>
    <t>Gas</t>
  </si>
  <si>
    <t>coal</t>
  </si>
  <si>
    <t>oil</t>
  </si>
  <si>
    <t>elec</t>
  </si>
  <si>
    <t>gas</t>
  </si>
  <si>
    <t>decarb</t>
  </si>
  <si>
    <t>Total Final MTEC</t>
  </si>
  <si>
    <t>charbon</t>
  </si>
  <si>
    <t>Verif</t>
  </si>
  <si>
    <t>stock of housing and %</t>
  </si>
  <si>
    <t>electric</t>
  </si>
  <si>
    <t>Combustion</t>
  </si>
  <si>
    <t>Industry non energetic uses</t>
  </si>
  <si>
    <t>gas biogas biomass</t>
  </si>
  <si>
    <t>fuel and biofuel</t>
  </si>
  <si>
    <t>Hors bois domestique non marchand, avec consommation à double usage</t>
  </si>
  <si>
    <t>New vehicle sales</t>
  </si>
  <si>
    <t>stock of vehicles</t>
  </si>
  <si>
    <t>Gas and heat</t>
  </si>
  <si>
    <t>Basse consommation</t>
  </si>
  <si>
    <t xml:space="preserve">Consommation modérée </t>
  </si>
  <si>
    <t>Faiblement émettrices</t>
  </si>
  <si>
    <t>Modérément émettrices</t>
  </si>
  <si>
    <t>Fortement émettrices</t>
  </si>
  <si>
    <t>Electriques</t>
  </si>
  <si>
    <t>Passoires énergétiques</t>
  </si>
  <si>
    <t>nucléaire</t>
  </si>
  <si>
    <t>solaire</t>
  </si>
  <si>
    <t xml:space="preserve">éolien </t>
  </si>
  <si>
    <t>autres renouvelables</t>
  </si>
  <si>
    <t>biocarburants</t>
  </si>
  <si>
    <t>gaz naturel</t>
  </si>
  <si>
    <t>biogaz</t>
  </si>
  <si>
    <t>Energie primaire</t>
  </si>
  <si>
    <t>Automobile - synthèse</t>
  </si>
  <si>
    <t>verif</t>
  </si>
  <si>
    <t>parc automobile (milliers)</t>
  </si>
  <si>
    <t>parc automobile (M)</t>
  </si>
  <si>
    <t>parc véhicules élec (%)</t>
  </si>
  <si>
    <t>parc véhicules thermiques (%)</t>
  </si>
  <si>
    <t>part véhicules thermiques</t>
  </si>
  <si>
    <t>Automobile - detail</t>
  </si>
  <si>
    <t>Ventes (milliers)</t>
  </si>
  <si>
    <t>Parc (milliers)</t>
  </si>
  <si>
    <t>Ventes (%)</t>
  </si>
  <si>
    <t>Parc (%)</t>
  </si>
  <si>
    <t>Energie primaire (Mtep)</t>
  </si>
  <si>
    <t>Energie finale (Mtep)</t>
  </si>
  <si>
    <t>Consos résultats de ThreeME</t>
  </si>
  <si>
    <t>Consos cibles d'Enerdata</t>
  </si>
  <si>
    <t>Hors bois domestique auto produit (8MTEP entre 2015 et 2030 4 Mtep en 2050)</t>
  </si>
  <si>
    <t>Emissions CO2 (MtCO2)</t>
  </si>
  <si>
    <t>Residentiel</t>
  </si>
  <si>
    <t>Industrie et agriculture</t>
  </si>
  <si>
    <t>Cf. onglet "G emissions"</t>
  </si>
  <si>
    <t>Cf. onglet "G énergie"</t>
  </si>
  <si>
    <t>Cf. onglet "G mix elec"</t>
  </si>
  <si>
    <t xml:space="preserve">Total </t>
  </si>
  <si>
    <t>hydraulique</t>
  </si>
  <si>
    <t>Cf. onglet "G mix carb"</t>
  </si>
  <si>
    <t>Cf. onglet "G mix gaz"</t>
  </si>
  <si>
    <t>carburants fossiles</t>
  </si>
  <si>
    <t>Energie par vecteur énergétique</t>
  </si>
  <si>
    <t>Energie par usage</t>
  </si>
  <si>
    <t>Logement</t>
  </si>
  <si>
    <t>Parc logement (m²)</t>
  </si>
  <si>
    <t>Parc logement (%)</t>
  </si>
  <si>
    <t>Cf. onglet "G parc logt"</t>
  </si>
  <si>
    <t>ER_OIL_2</t>
  </si>
  <si>
    <t>ER_OIL_2201_2</t>
  </si>
  <si>
    <t>ER_OIL_2202_2</t>
  </si>
  <si>
    <t>ER_ELEC_2301_2</t>
  </si>
  <si>
    <t>ER_ELEC_2302_2</t>
  </si>
  <si>
    <t>ER_ELEC_2303_2</t>
  </si>
  <si>
    <t>ER_ELEC_2304_2</t>
  </si>
  <si>
    <t>ER_ELEC_2305_2</t>
  </si>
  <si>
    <t>ER_ELEC_2306_2</t>
  </si>
  <si>
    <t>ER_ELEC_2307_2</t>
  </si>
  <si>
    <t>ER_ELEC_2308_2</t>
  </si>
  <si>
    <t>ER_ELEC_2</t>
  </si>
  <si>
    <t>ER_GAS_2</t>
  </si>
  <si>
    <t>ER_GAS_2401_2</t>
  </si>
  <si>
    <t>ER_GAS_2402_2</t>
  </si>
  <si>
    <t>ER_GAS_2403_2</t>
  </si>
  <si>
    <t>ER_GAS_2404_2</t>
  </si>
  <si>
    <t>ER_GAS_2405_2</t>
  </si>
  <si>
    <t>ER_GAS_2406_2</t>
  </si>
  <si>
    <t>ER_COAL_2</t>
  </si>
  <si>
    <t>ER_TOTAL_2</t>
  </si>
  <si>
    <t>ER_AGRICULTURE_2</t>
  </si>
  <si>
    <t>ER_INDUS_2</t>
  </si>
  <si>
    <t>ER_RESIDENTIAL_2</t>
  </si>
  <si>
    <t>ER_TERTIARY_2</t>
  </si>
  <si>
    <t>ER_TRANS_PRIVATE_2</t>
  </si>
  <si>
    <t>ER_TRANS_PUBLIC_2</t>
  </si>
  <si>
    <t>ER_AUTO_2</t>
  </si>
  <si>
    <t>ER_AUTO_TH_A_2</t>
  </si>
  <si>
    <t>ER_AUTO_TH_B_2</t>
  </si>
  <si>
    <t>ER_AUTO_TH_C_2</t>
  </si>
  <si>
    <t>ER_AUTO_TH_D_2</t>
  </si>
  <si>
    <t>ER_AUTO_TH_E_2</t>
  </si>
  <si>
    <t>ER_AUTO_TH_F_2</t>
  </si>
  <si>
    <t>ER_AUTO_TH_G_2</t>
  </si>
  <si>
    <t>ER_AUTO_ELEC_A_2</t>
  </si>
  <si>
    <t>ER_AUTO_ELEC_B_2</t>
  </si>
  <si>
    <t>ER_AUTO_ELEC_C_2</t>
  </si>
  <si>
    <t>ER_AUTO_ELEC_D_2</t>
  </si>
  <si>
    <t>ER_AUTO_ELEC_E_2</t>
  </si>
  <si>
    <t>ER_AUTO_ELEC_F_2</t>
  </si>
  <si>
    <t>ER_AUTO_ELEC_G_2</t>
  </si>
  <si>
    <t>ER_AUTO_COAL_2</t>
  </si>
  <si>
    <t>ER_AUTO_TH_2</t>
  </si>
  <si>
    <t>ER_AUTO_ELEC_2</t>
  </si>
  <si>
    <t>ER_AUTO_GAS_2</t>
  </si>
  <si>
    <t>ER_NEWAUTO_2</t>
  </si>
  <si>
    <t>ER_NEWAUTO_TH_2</t>
  </si>
  <si>
    <t>ER_NEWAUTO_TH_A_2</t>
  </si>
  <si>
    <t>ER_NEWAUTO_TH_B_2</t>
  </si>
  <si>
    <t>ER_NEWAUTO_TH_C_2</t>
  </si>
  <si>
    <t>ER_NEWAUTO_TH_D_2</t>
  </si>
  <si>
    <t>ER_NEWAUTO_TH_E_2</t>
  </si>
  <si>
    <t>ER_NEWAUTO_TH_F_2</t>
  </si>
  <si>
    <t>ER_NEWAUTO_TH_G_2</t>
  </si>
  <si>
    <t>ER_NEWAUTO_ELEC_2</t>
  </si>
  <si>
    <t>ER_NEWAUTO_ELEC_A_2</t>
  </si>
  <si>
    <t>ER_NEWAUTO_ELEC_B_2</t>
  </si>
  <si>
    <t>ER_NEWAUTO_ELEC_C_2</t>
  </si>
  <si>
    <t>ER_NEWAUTO_ELEC_D_2</t>
  </si>
  <si>
    <t>ER_NEWAUTO_ELEC_E_2</t>
  </si>
  <si>
    <t>ER_NEWAUTO_ELEC_F_2</t>
  </si>
  <si>
    <t>ER_NEWAUTO_ELEC_G_2</t>
  </si>
  <si>
    <t>ER_AGRICULTURE_COAL_2</t>
  </si>
  <si>
    <t>ER_INDUS_COAL_2</t>
  </si>
  <si>
    <t>ER_RESIDENTIAL_COAL_2</t>
  </si>
  <si>
    <t>ER_TERTIARY_COAL_2</t>
  </si>
  <si>
    <t>ER_TRANS_PRIVATE_COAL_2</t>
  </si>
  <si>
    <t>ER_TRANS_PUBLIC_COAL_2</t>
  </si>
  <si>
    <t>ER_AGRICULTURE_OIL_2</t>
  </si>
  <si>
    <t>ER_INDUS_OIL_2</t>
  </si>
  <si>
    <t>ER_RESIDENTIAL_OIL_2</t>
  </si>
  <si>
    <t>ER_TERTIARY_OIL_2</t>
  </si>
  <si>
    <t>ER_TRANS_PRIVATE_OIL_2</t>
  </si>
  <si>
    <t>ER_TRANS_PUBLIC_OIL_2</t>
  </si>
  <si>
    <t>ER_AGRICULTURE_ELEC_2</t>
  </si>
  <si>
    <t>ER_INDUS_ELEC_2</t>
  </si>
  <si>
    <t>ER_RESIDENTIAL_ELEC_2</t>
  </si>
  <si>
    <t>ER_TERTIARY_ELEC_2</t>
  </si>
  <si>
    <t>ER_TRANS_PRIVATE_ELEC_2</t>
  </si>
  <si>
    <t>ER_TRANS_PUBLIC_ELEC_2</t>
  </si>
  <si>
    <t>ER_AGRICULTURE_GAS_2</t>
  </si>
  <si>
    <t>ER_INDUS_GAS_2</t>
  </si>
  <si>
    <t>ER_RESIDENTIAL_GAS_2</t>
  </si>
  <si>
    <t>ER_TERTIARY_GAS_2</t>
  </si>
  <si>
    <t>ER_TRANS_PRIVATE_GAS_2</t>
  </si>
  <si>
    <t>ER_TRANS_PUBLIC_GAS_2</t>
  </si>
  <si>
    <t>ER_BUIL_2</t>
  </si>
  <si>
    <t>ER_BUIL_A_2</t>
  </si>
  <si>
    <t>ER_BUIL_B_2</t>
  </si>
  <si>
    <t>ER_BUIL_C_2</t>
  </si>
  <si>
    <t>ER_BUIL_D_2</t>
  </si>
  <si>
    <t>ER_BUIL_E_2</t>
  </si>
  <si>
    <t>ER_BUIL_F_2</t>
  </si>
  <si>
    <t>ER_BUIL_G_2</t>
  </si>
  <si>
    <t>TTCO_VOL_SIGNAL_2</t>
  </si>
  <si>
    <t>PGDP_2</t>
  </si>
  <si>
    <t>100*(GDP_2/@ELEM(GDP_2,"2006"))</t>
  </si>
  <si>
    <t>100*(EMS_TOT_2/@ELEM(EMS_TOT_2,"2006"))</t>
  </si>
  <si>
    <t>EMS_DC_04_2</t>
  </si>
  <si>
    <t>EMS_DC_05_2</t>
  </si>
  <si>
    <t>EMS_DC_2</t>
  </si>
  <si>
    <t>EMS_HH_2</t>
  </si>
  <si>
    <t>EMS_HH_21_2</t>
  </si>
  <si>
    <t>EMS_HH_21_H01_2</t>
  </si>
  <si>
    <t>EMS_HH_22_2</t>
  </si>
  <si>
    <t>EMS_HH_22_H01_2</t>
  </si>
  <si>
    <t>EMS_HH_24_2</t>
  </si>
  <si>
    <t>EMS_HH_24_H01_2</t>
  </si>
  <si>
    <t>EMS_SEC_TOT_01_2</t>
  </si>
  <si>
    <t>EMS_SEC_TOT_02_2</t>
  </si>
  <si>
    <t>EMS_SEC_TOT_03_2</t>
  </si>
  <si>
    <t>EMS_SEC_TOT_04_2</t>
  </si>
  <si>
    <t>EMS_SEC_TOT_05_2</t>
  </si>
  <si>
    <t>EMS_SEC_TOT_06_2</t>
  </si>
  <si>
    <t>EMS_SEC_TOT_07_2</t>
  </si>
  <si>
    <t>EMS_SEC_TOT_08_2</t>
  </si>
  <si>
    <t>EMS_SEC_TOT_09_2</t>
  </si>
  <si>
    <t>EMS_SEC_TOT_10_2</t>
  </si>
  <si>
    <t>EMS_SEC_TOT_11_2</t>
  </si>
  <si>
    <t>EMS_SEC_TOT_12_2</t>
  </si>
  <si>
    <t>EMS_SEC_TOT_13_2</t>
  </si>
  <si>
    <t>EMS_SEC_TOT_14_2</t>
  </si>
  <si>
    <t>EMS_SEC_TOT_15_2</t>
  </si>
  <si>
    <t>EMS_SEC_TOT_16_2</t>
  </si>
  <si>
    <t>EMS_SEC_TOT_17_2</t>
  </si>
  <si>
    <t>EMS_SEC_TOT_18_2</t>
  </si>
  <si>
    <t>EMS_SEC_TOT_19_2</t>
  </si>
  <si>
    <t>EMS_SEC_TOT_2</t>
  </si>
  <si>
    <t>EMS_SEC_TOT_20_2</t>
  </si>
  <si>
    <t>EMS_SEC_TOT_21_05_2</t>
  </si>
  <si>
    <t>EMS_SEC_TOT_21_06_2</t>
  </si>
  <si>
    <t>EMS_SEC_TOT_21_07_2</t>
  </si>
  <si>
    <t>EMS_SEC_TOT_21_08_2</t>
  </si>
  <si>
    <t>EMS_SEC_TOT_21_10_2</t>
  </si>
  <si>
    <t>EMS_SEC_TOT_21_12_2</t>
  </si>
  <si>
    <t>EMS_SEC_TOT_21_19_2</t>
  </si>
  <si>
    <t>EMS_SEC_TOT_21_20_2</t>
  </si>
  <si>
    <t>EMS_SEC_TOT_21_2304_2</t>
  </si>
  <si>
    <t>EMS_SEC_TOT_2201_2</t>
  </si>
  <si>
    <t>EMS_SEC_TOT_22_01_2</t>
  </si>
  <si>
    <t>EMS_SEC_TOT_22_02_2</t>
  </si>
  <si>
    <t>EMS_SEC_TOT_22_03_2</t>
  </si>
  <si>
    <t>EMS_SEC_TOT_22_04_2</t>
  </si>
  <si>
    <t>EMS_SEC_TOT_22_05_2</t>
  </si>
  <si>
    <t>EMS_SEC_TOT_22_06_2</t>
  </si>
  <si>
    <t>EMS_SEC_TOT_22_07_2</t>
  </si>
  <si>
    <t>EMS_SEC_TOT_22_08_2</t>
  </si>
  <si>
    <t>EMS_SEC_TOT_22_09_2</t>
  </si>
  <si>
    <t>EMS_SEC_TOT_22_12_2</t>
  </si>
  <si>
    <t>EMS_SEC_TOT_22_13_2</t>
  </si>
  <si>
    <t>EMS_SEC_TOT_22_14_2</t>
  </si>
  <si>
    <t>EMS_SEC_TOT_22_15_2</t>
  </si>
  <si>
    <t>EMS_SEC_TOT_22_16_2</t>
  </si>
  <si>
    <t>EMS_SEC_TOT_22_17_2</t>
  </si>
  <si>
    <t>EMS_SEC_TOT_22_18_2</t>
  </si>
  <si>
    <t>EMS_SEC_TOT_22_19_2</t>
  </si>
  <si>
    <t>EMS_SEC_TOT_22_20_2</t>
  </si>
  <si>
    <t>EMS_SEC_TOT_22_2201_2</t>
  </si>
  <si>
    <t>EMS_SEC_TOT_22_2302_2</t>
  </si>
  <si>
    <t>EMS_SEC_TOT_2302_2</t>
  </si>
  <si>
    <t>EMS_SEC_TOT_2303_2</t>
  </si>
  <si>
    <t>EMS_SEC_TOT_2304_2</t>
  </si>
  <si>
    <t>EMS_SEC_TOT_2401_2</t>
  </si>
  <si>
    <t>EMS_SEC_TOT_24_01_2</t>
  </si>
  <si>
    <t>EMS_SEC_TOT_24_02_2</t>
  </si>
  <si>
    <t>EMS_SEC_TOT_24_03_2</t>
  </si>
  <si>
    <t>EMS_SEC_TOT_24_04_2</t>
  </si>
  <si>
    <t>EMS_SEC_TOT_24_05_2</t>
  </si>
  <si>
    <t>EMS_SEC_TOT_24_06_2</t>
  </si>
  <si>
    <t>EMS_SEC_TOT_24_07_2</t>
  </si>
  <si>
    <t>EMS_SEC_TOT_24_08_2</t>
  </si>
  <si>
    <t>EMS_SEC_TOT_24_09_2</t>
  </si>
  <si>
    <t>EMS_SEC_TOT_24_10_2</t>
  </si>
  <si>
    <t>EMS_SEC_TOT_24_11_2</t>
  </si>
  <si>
    <t>EMS_SEC_TOT_24_12_2</t>
  </si>
  <si>
    <t>EMS_SEC_TOT_24_13_2</t>
  </si>
  <si>
    <t>EMS_SEC_TOT_24_14_2</t>
  </si>
  <si>
    <t>EMS_SEC_TOT_24_15_2</t>
  </si>
  <si>
    <t>EMS_SEC_TOT_24_16_2</t>
  </si>
  <si>
    <t>EMS_SEC_TOT_24_17_2</t>
  </si>
  <si>
    <t>EMS_SEC_TOT_24_18_2</t>
  </si>
  <si>
    <t>EMS_SEC_TOT_24_19_2</t>
  </si>
  <si>
    <t>EMS_SEC_TOT_24_20_2</t>
  </si>
  <si>
    <t>EMS_SEC_TOT_24_2201_2</t>
  </si>
  <si>
    <t>EMS_SEC_TOT_24_2303_2</t>
  </si>
  <si>
    <t>EMS_SEC_TOT_24_2401_2</t>
  </si>
  <si>
    <t>EMS_SECSOU_2</t>
  </si>
  <si>
    <t>EMS_SECSOU_21_2</t>
  </si>
  <si>
    <t>EMS_SECSOU_22_2</t>
  </si>
  <si>
    <t>EMS_SECSOU_24_2</t>
  </si>
  <si>
    <t>EMS_SOU_2</t>
  </si>
  <si>
    <t>EMS_SOU_21_2</t>
  </si>
  <si>
    <t>EMS_SOU_22_2</t>
  </si>
  <si>
    <t>EMS_SOU_24_2</t>
  </si>
  <si>
    <t>EMS_TOT_2</t>
  </si>
  <si>
    <t>Q_MTEP_EP_2</t>
  </si>
  <si>
    <t>Q_MTEP_EP_21_2</t>
  </si>
  <si>
    <t>Q_MTEP_EP_21_21_2</t>
  </si>
  <si>
    <t>Q_MTEP_EP_2201_2</t>
  </si>
  <si>
    <t>Q_MTEP_EP_2202_2</t>
  </si>
  <si>
    <t>Q_MTEP_EP_22_2201_2</t>
  </si>
  <si>
    <t>Q_MTEP_EP_22_2202_2</t>
  </si>
  <si>
    <t>Q_MTEP_EP_2301_2</t>
  </si>
  <si>
    <t>Q_MTEP_EP_2302_2</t>
  </si>
  <si>
    <t>Q_MTEP_EP_2303_2</t>
  </si>
  <si>
    <t>Q_MTEP_EP_2304_2</t>
  </si>
  <si>
    <t>Q_MTEP_EP_2305_2</t>
  </si>
  <si>
    <t>Q_MTEP_EP_2306_2</t>
  </si>
  <si>
    <t>Q_MTEP_EP_2307_2</t>
  </si>
  <si>
    <t>Q_MTEP_EP_2308_2</t>
  </si>
  <si>
    <t>Q_MTEP_EP_23_2301_2</t>
  </si>
  <si>
    <t>Q_MTEP_EP_23_2302_2</t>
  </si>
  <si>
    <t>Q_MTEP_EP_23_2303_2</t>
  </si>
  <si>
    <t>Q_MTEP_EP_23_2304_2</t>
  </si>
  <si>
    <t>Q_MTEP_EP_23_2305_2</t>
  </si>
  <si>
    <t>Q_MTEP_EP_23_2306_2</t>
  </si>
  <si>
    <t>Q_MTEP_EP_23_2307_2</t>
  </si>
  <si>
    <t>Q_MTEP_EP_23_2308_2</t>
  </si>
  <si>
    <t>Q_MTEP_EP_2401_2</t>
  </si>
  <si>
    <t>Q_MTEP_EP_2402_2</t>
  </si>
  <si>
    <t>Q_MTEP_EP_2403_2</t>
  </si>
  <si>
    <t>Q_MTEP_EP_2404_2</t>
  </si>
  <si>
    <t>Q_MTEP_EP_2405_2</t>
  </si>
  <si>
    <t>Q_MTEP_EP_2406_2</t>
  </si>
  <si>
    <t>Q_MTEP_EP_24_2401_2</t>
  </si>
  <si>
    <t>Q_MTEP_EP_24_2402_2</t>
  </si>
  <si>
    <t>Q_MTEP_EP_24_2403_2</t>
  </si>
  <si>
    <t>Q_MTEP_EP_24_2404_2</t>
  </si>
  <si>
    <t>Q_MTEP_EP_24_2405_2</t>
  </si>
  <si>
    <t>Q_MTEP_EP_24_2406_2</t>
  </si>
  <si>
    <t>Q_MTEP_INDUS_21_2</t>
  </si>
  <si>
    <t>Q_MTEP_INDUS_22_2</t>
  </si>
  <si>
    <t>Q_MTEP_INDUS_23_2</t>
  </si>
  <si>
    <t>Q_MTEP_INDUS_24_2</t>
  </si>
  <si>
    <t>PHIY_EF_TOT_22_2201_2</t>
  </si>
  <si>
    <t>PHIY_EF_TOT_22_2202_2</t>
  </si>
  <si>
    <t>PHIY_EF_TOT_23_2301_2</t>
  </si>
  <si>
    <t>PHIY_EF_TOT_23_2302_2</t>
  </si>
  <si>
    <t>PHIY_EF_TOT_23_2303_2</t>
  </si>
  <si>
    <t>PHIY_EF_TOT_23_2304_2</t>
  </si>
  <si>
    <t>PHIY_EF_TOT_23_2305_2</t>
  </si>
  <si>
    <t>PHIY_EF_TOT_23_2306_2</t>
  </si>
  <si>
    <t>PHIY_EF_TOT_23_2307_2</t>
  </si>
  <si>
    <t>PHIY_EF_TOT_23_2308_2</t>
  </si>
  <si>
    <t>PHIY_EF_TOT_24_2401_2</t>
  </si>
  <si>
    <t>PHIY_EF_TOT_24_2402_2</t>
  </si>
  <si>
    <t>PHIY_EF_TOT_24_2403_2</t>
  </si>
  <si>
    <t>PHIY_EF_TOT_24_2404_2</t>
  </si>
  <si>
    <t>PHIY_EF_TOT_24_2405_2</t>
  </si>
  <si>
    <t>PHIY_EF_TOT_24_2406_2</t>
  </si>
  <si>
    <t>IC_HH_22_H01_2</t>
  </si>
  <si>
    <t>IC_HH_24_H01_2</t>
  </si>
  <si>
    <t>Q_Mtep_ep_2201_2</t>
  </si>
  <si>
    <t>Q_Mtep_ep_2202_2</t>
  </si>
  <si>
    <t>Q_Mtep_ep_2301_2</t>
  </si>
  <si>
    <t>Q_Mtep_ep_2302_2</t>
  </si>
  <si>
    <t>Q_Mtep_ep_2303_2</t>
  </si>
  <si>
    <t>Q_Mtep_ep_2304_2</t>
  </si>
  <si>
    <t>Q_Mtep_ep_2305_2</t>
  </si>
  <si>
    <t>Q_Mtep_ep_2306_2</t>
  </si>
  <si>
    <t>Q_Mtep_ep_2307_2</t>
  </si>
  <si>
    <t>Q_Mtep_ep_2308_2</t>
  </si>
  <si>
    <t>Q_Mtep_ep_2401_2</t>
  </si>
  <si>
    <t>Q_Mtep_ep_2402_2</t>
  </si>
  <si>
    <t>Q_Mtep_ep_2403_2</t>
  </si>
  <si>
    <t>Q_Mtep_ep_2404_2</t>
  </si>
  <si>
    <t>Q_Mtep_ep_2405_2</t>
  </si>
  <si>
    <t>Q_Mtep_ep_2406_2</t>
  </si>
  <si>
    <t>Q_Mtep_ep_21_2</t>
  </si>
  <si>
    <t>ER_Oil_2</t>
  </si>
  <si>
    <t>ER_oil_2201_2</t>
  </si>
  <si>
    <t>ER_oil_2202_2</t>
  </si>
  <si>
    <t>ER_elec_2</t>
  </si>
  <si>
    <t>ER_Elec_2301_2</t>
  </si>
  <si>
    <t>ER_elec_2302_2</t>
  </si>
  <si>
    <t>ER_Elec_2303_2</t>
  </si>
  <si>
    <t>ER_elec_2304_2</t>
  </si>
  <si>
    <t>ER_Elec_2305_2</t>
  </si>
  <si>
    <t>ER_elec_2306_2</t>
  </si>
  <si>
    <t>ER_Elec_2307_2</t>
  </si>
  <si>
    <t>ER_elec_2308_2</t>
  </si>
  <si>
    <t>ER_Gas_2</t>
  </si>
  <si>
    <t>ER_Gas_2401_2</t>
  </si>
  <si>
    <t>ER_Gas_2402_2</t>
  </si>
  <si>
    <t>ER_Gas_2403_2</t>
  </si>
  <si>
    <t>ER_Gas_2404_2</t>
  </si>
  <si>
    <t>ER_Gas_2405_2</t>
  </si>
  <si>
    <t>ER_Gas_2406_2</t>
  </si>
  <si>
    <t>ER_coal_2</t>
  </si>
  <si>
    <t>ER_Total_2</t>
  </si>
  <si>
    <t>ER_TRANS_PRIVATE_coal_2</t>
  </si>
  <si>
    <t>ER_TRANS_PRIVATE_oil_2</t>
  </si>
  <si>
    <t>ER_TRANS_PRIVATE_elec_2</t>
  </si>
  <si>
    <t>ER_TRANS_PRIVATE_gas_2</t>
  </si>
  <si>
    <t>ER_TRANS_PUBLIC_coal_2</t>
  </si>
  <si>
    <t>ER_TRANS_PUBLIC_oil_2</t>
  </si>
  <si>
    <t>ER_TRANS_PUBLIC_elec_2</t>
  </si>
  <si>
    <t>ER_TRANS_PUBLIC_gas_2</t>
  </si>
  <si>
    <t>ER_RESIDENTIAL_coal_2</t>
  </si>
  <si>
    <t>ER_RESIDENTIAL_oil_2</t>
  </si>
  <si>
    <t>ER_RESIDENTIAL_elec_2</t>
  </si>
  <si>
    <t>ER_RESIDENTIAL_gas_2</t>
  </si>
  <si>
    <t>ER_TERTIARY_coal_2</t>
  </si>
  <si>
    <t>ER_TERTIARY_oil_2</t>
  </si>
  <si>
    <t>ER_TERTIARY_elec_2</t>
  </si>
  <si>
    <t>ER_TERTIARY_gas_2</t>
  </si>
  <si>
    <t>ER_INDUS_coal_2</t>
  </si>
  <si>
    <t>ER_INDUS_oil_2</t>
  </si>
  <si>
    <t>ER_INDUS_elec_2</t>
  </si>
  <si>
    <t>ER_INDUS_gas_2</t>
  </si>
  <si>
    <t>Q_Mtep_indus_21_2</t>
  </si>
  <si>
    <t>Q_Mtep_indus_22_2</t>
  </si>
  <si>
    <t>Q_Mtep_indus_23_2</t>
  </si>
  <si>
    <t>Q_Mtep_indus_24_2</t>
  </si>
  <si>
    <t>ER_AGRICULTURE_coal_2</t>
  </si>
  <si>
    <t>ER_AGRICULTURE_oil_2</t>
  </si>
  <si>
    <t>ER_AGRICULTURE_elec_2</t>
  </si>
  <si>
    <t>ER_AGRICULTURE_gas_2</t>
  </si>
  <si>
    <t>ER_AUTO_2/1000</t>
  </si>
  <si>
    <t>ER_AUTO_ELEC_2/ER_AUTO_2</t>
  </si>
  <si>
    <t>ER_AUTO_TH_2/ER_AUTO_2</t>
  </si>
  <si>
    <t>ER_NEWAUTO_ELEC_2/ER_NEWAUTO_2</t>
  </si>
  <si>
    <t>ER_NEWAUTO_ELEC_A_2/ER_NEWAUTO_2</t>
  </si>
  <si>
    <t>ER_NEWAUTO_ELEC_B_2/ER_NEWAUTO_2</t>
  </si>
  <si>
    <t>ER_NEWAUTO_ELEC_C_2/ER_NEWAUTO_2</t>
  </si>
  <si>
    <t>ER_NEWAUTO_ELEC_D_2/ER_NEWAUTO_2</t>
  </si>
  <si>
    <t>ER_NEWAUTO_ELEC_E_2/ER_NEWAUTO_2</t>
  </si>
  <si>
    <t>ER_NEWAUTO_ELEC_F_2/ER_NEWAUTO_2</t>
  </si>
  <si>
    <t>ER_NEWAUTO_ELEC_G_2/ER_NEWAUTO_2</t>
  </si>
  <si>
    <t>ER_NEWAUTO_TH_2/ER_NEWAUTO_2</t>
  </si>
  <si>
    <t>ER_NEWAUTO_TH_A_2/ER_NEWAUTO_2</t>
  </si>
  <si>
    <t>ER_NEWAUTO_TH_B_2/ER_NEWAUTO_2</t>
  </si>
  <si>
    <t>ER_NEWAUTO_TH_C_2/ER_NEWAUTO_2</t>
  </si>
  <si>
    <t>ER_NEWAUTO_TH_D_2/ER_NEWAUTO_2</t>
  </si>
  <si>
    <t>ER_NEWAUTO_TH_E_2/ER_NEWAUTO_2</t>
  </si>
  <si>
    <t>ER_NEWAUTO_TH_F_2/ER_NEWAUTO_2</t>
  </si>
  <si>
    <t>ER_NEWAUTO_TH_G_2/ER_NEWAUTO_2</t>
  </si>
  <si>
    <t>ER_AUTO_COAL_2/ER_AUTO_2</t>
  </si>
  <si>
    <t>ER_AUTO_GAS_2/ER_AUTO_2</t>
  </si>
  <si>
    <t>ER_AUTO_ELEC_A_2/ER_AUTO_2</t>
  </si>
  <si>
    <t>ER_AUTO_ELEC_B_2/ER_AUTO_2</t>
  </si>
  <si>
    <t>ER_AUTO_ELEC_C_2/ER_AUTO_2</t>
  </si>
  <si>
    <t>ER_AUTO_ELEC_D_2/ER_AUTO_2</t>
  </si>
  <si>
    <t>ER_AUTO_ELEC_E_2/ER_AUTO_2</t>
  </si>
  <si>
    <t>ER_AUTO_ELEC_F_2/ER_AUTO_2</t>
  </si>
  <si>
    <t>ER_AUTO_ELEC_G_2/ER_AUTO_2</t>
  </si>
  <si>
    <t>ER_AUTO_TH_A_2/ER_AUTO_2</t>
  </si>
  <si>
    <t>ER_AUTO_TH_B_2/ER_AUTO_2</t>
  </si>
  <si>
    <t>ER_AUTO_TH_C_2/ER_AUTO_2</t>
  </si>
  <si>
    <t>ER_AUTO_TH_D_2/ER_AUTO_2</t>
  </si>
  <si>
    <t>ER_AUTO_TH_E_2/ER_AUTO_2</t>
  </si>
  <si>
    <t>ER_AUTO_TH_F_2/ER_AUTO_2</t>
  </si>
  <si>
    <t>ER_AUTO_TH_G_2/ER_AUTO_2</t>
  </si>
  <si>
    <t>Cf. onglet "G mix energie"</t>
  </si>
  <si>
    <t>electricité</t>
  </si>
  <si>
    <t>chaleur (bois…)</t>
  </si>
  <si>
    <t>gaz</t>
  </si>
  <si>
    <t>carburant</t>
  </si>
  <si>
    <t>Electric</t>
  </si>
  <si>
    <t>Stock of vehicles</t>
  </si>
  <si>
    <t>S1</t>
  </si>
  <si>
    <t>Transport (milliers de km voyageurs)</t>
  </si>
  <si>
    <t>Avion (France + RDM)</t>
  </si>
  <si>
    <t>Longue Distance (LD)</t>
  </si>
  <si>
    <t xml:space="preserve">    voiture LD</t>
  </si>
  <si>
    <t xml:space="preserve">    train</t>
  </si>
  <si>
    <t>Courte Distance (CD)</t>
  </si>
  <si>
    <t xml:space="preserve">    voiture CD</t>
  </si>
  <si>
    <t xml:space="preserve">    bus</t>
  </si>
  <si>
    <t>Voiture CD+LD</t>
  </si>
  <si>
    <t>TEND</t>
  </si>
  <si>
    <t>Ecarts de transport 
(milliers de km voyageurs)</t>
  </si>
  <si>
    <t>KM_AUTO_H01_2</t>
  </si>
  <si>
    <t>KM_TRAVELER_18_H01_2</t>
  </si>
  <si>
    <t>KM_TRAV_AUTO_LD_H01_2</t>
  </si>
  <si>
    <t>KM_TRAV_AUTO_CD_H01_2</t>
  </si>
  <si>
    <t>KM_TRAVELER_14_H01_2</t>
  </si>
  <si>
    <t>KM_TRAVELER_15_H01_2</t>
  </si>
  <si>
    <t>KM_TRAVELER_CD_H01_2</t>
  </si>
  <si>
    <t>KM_TRAVELER_LD_H01_2</t>
  </si>
  <si>
    <t>1) Copier-coller sorties Eviews en B2
2) veillez à ce que les données commencent en 2004
3) modifier le scénario si besoin en B1</t>
  </si>
  <si>
    <t>Energie finale</t>
  </si>
  <si>
    <t>EMS_TOT_2/@ELEM(EMS_TOT,"2006")*100</t>
  </si>
  <si>
    <t>c</t>
  </si>
  <si>
    <t>Différences en 2050 résultant des modifs de chocs</t>
  </si>
  <si>
    <t>Ecarts par rapport à la cible</t>
  </si>
  <si>
    <t>Industry</t>
  </si>
  <si>
    <t>Industry energetic uses</t>
  </si>
  <si>
    <t>SNBC3</t>
  </si>
  <si>
    <t>Part modale hors avion</t>
  </si>
  <si>
    <t>voiture CD</t>
  </si>
  <si>
    <t>voiture LD</t>
  </si>
  <si>
    <t>voiture CD+LD</t>
  </si>
  <si>
    <t>Transport (parts modales en %)</t>
  </si>
  <si>
    <t>2030/2019</t>
  </si>
  <si>
    <t>2050/2019</t>
  </si>
  <si>
    <t>Total hors avion</t>
  </si>
  <si>
    <t>Ecarts de transport 
(points de %)</t>
  </si>
  <si>
    <t>Avion</t>
  </si>
  <si>
    <t>train</t>
  </si>
  <si>
    <t>bus</t>
  </si>
  <si>
    <t>route</t>
  </si>
  <si>
    <t>Cibles DGEC</t>
  </si>
  <si>
    <t>TTCO_VOL_SIGNAL_1</t>
  </si>
  <si>
    <t>PGDP_1</t>
  </si>
  <si>
    <t>(GDP_2/GDP_1-1)*100</t>
  </si>
  <si>
    <t>(CH_2/CH_1-1)*100</t>
  </si>
  <si>
    <t>(I_2/I_1-1)*100</t>
  </si>
  <si>
    <t>(X_2/X_1-1)*100</t>
  </si>
  <si>
    <t>(M_2/M_1-1)*100</t>
  </si>
  <si>
    <t>(DC_VAL_2/(PGDP_2*GDP_2)-DC_VAL_1/(PGDP_1*GDP_1))*100</t>
  </si>
  <si>
    <t>(UNR_TOT_2-UNR_TOT_1)*100</t>
  </si>
  <si>
    <t>(L_2/L_1-1)*100</t>
  </si>
  <si>
    <t>((W_S_2/PCH_2)/(W_S_1/PCH_1)-1)*100</t>
  </si>
  <si>
    <t>INFL_FR_2-INFL_FR_1</t>
  </si>
  <si>
    <t>R_2-R_1</t>
  </si>
  <si>
    <t>(DEBT_G_VAL_2/(PGDP_2*GDP_2)-DEBT_G_VAL_1/(PGDP_1*GDP_1))*100</t>
  </si>
  <si>
    <t>(DP_G_VAL_2-DP_G_VAL_1)*100</t>
  </si>
  <si>
    <t>100*(GDP_2/GDP_1-1)</t>
  </si>
  <si>
    <t>100*(CH_2/CH_1-1)</t>
  </si>
  <si>
    <t>100*(I_2/I_1-1)</t>
  </si>
  <si>
    <t>100*(X_2/X_1-1)</t>
  </si>
  <si>
    <t>100*(M_2/M_1-1)</t>
  </si>
  <si>
    <t>100*(UNR_TOT_2-UNR_TOT_1)</t>
  </si>
  <si>
    <t>100*(L_2/L_1-1)</t>
  </si>
  <si>
    <t>100*((W_2/PCH_2)/(W_1/PCH_1)-1)</t>
  </si>
  <si>
    <t>100*(PCH_2/PCH_1-1)</t>
  </si>
  <si>
    <t>100*(R_2-R_1)</t>
  </si>
  <si>
    <t>100*(DEBT_G_VAL_2/(PGDP_2*GDP_2)-DEBT_G_VAL_1/(PGDP_1*GDP_1))</t>
  </si>
  <si>
    <t>100*(DP_G_VAL_2-DP_G_VAL_1)</t>
  </si>
  <si>
    <t>100*(EMS_TOT_2/EMS_TOT_1-1)</t>
  </si>
  <si>
    <t>KM_AUTO_H01_1</t>
  </si>
  <si>
    <t>KM_TRAVELER_18_H01_1</t>
  </si>
  <si>
    <t>KM_TRAV_AUTO_LD_H01_1</t>
  </si>
  <si>
    <t>KM_TRAV_AUTO_CD_H01_1</t>
  </si>
  <si>
    <t>KM_TRAVELER_14_H01_1</t>
  </si>
  <si>
    <t>KM_TRAVELER_15_H01_1</t>
  </si>
  <si>
    <t>KM_TRAVELER_CD_H01_1</t>
  </si>
  <si>
    <t>KM_TRAVELER_LD_H01_1</t>
  </si>
  <si>
    <t>Hors chal env PAC</t>
  </si>
  <si>
    <t>EMS_TOT_1</t>
  </si>
  <si>
    <t>AME</t>
  </si>
  <si>
    <t>AMS</t>
  </si>
  <si>
    <t>v</t>
  </si>
  <si>
    <t>EMS_BUIL_22_H01_2</t>
  </si>
  <si>
    <t>EMS_BUIL_24_H01_2</t>
  </si>
  <si>
    <t>EMS_AUTO_22_H01_2</t>
  </si>
  <si>
    <t>EMS_AUTO_24_H01_2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</si>
</sst>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%"/>
    <numFmt numFmtId="166" formatCode="#,##0.0"/>
    <numFmt numFmtId="167" formatCode="0.000"/>
    <numFmt numFmtId="168" formatCode="0.00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5" fillId="0" borderId="0"/>
    <xf numFmtId="0" fontId="1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</cellStyleXfs>
  <cellXfs count="326">
    <xf numFmtId="0" fontId="0" fillId="0" borderId="0" xfId="0"/>
    <xf numFmtId="0" fontId="3" fillId="0" borderId="0" xfId="0" applyFont="1"/>
    <xf numFmtId="0" fontId="0" fillId="2" borderId="1" xfId="0" applyFill="1" applyBorder="1"/>
    <xf numFmtId="0" fontId="0" fillId="2" borderId="0" xfId="0" applyFill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" fontId="2" fillId="3" borderId="3" xfId="0" applyNumberFormat="1" applyFont="1" applyFill="1" applyBorder="1" applyAlignment="1">
      <alignment horizontal="right"/>
    </xf>
    <xf numFmtId="0" fontId="0" fillId="2" borderId="3" xfId="0" applyFill="1" applyBorder="1"/>
    <xf numFmtId="1" fontId="2" fillId="3" borderId="1" xfId="0" applyNumberFormat="1" applyFont="1" applyFill="1" applyBorder="1" applyAlignment="1">
      <alignment horizontal="right"/>
    </xf>
    <xf numFmtId="1" fontId="2" fillId="4" borderId="1" xfId="0" applyNumberFormat="1" applyFont="1" applyFill="1" applyBorder="1"/>
    <xf numFmtId="0" fontId="0" fillId="0" borderId="3" xfId="0" applyBorder="1"/>
    <xf numFmtId="0" fontId="5" fillId="0" borderId="0" xfId="0" applyFont="1"/>
    <xf numFmtId="0" fontId="2" fillId="0" borderId="1" xfId="0" applyFont="1" applyBorder="1"/>
    <xf numFmtId="0" fontId="10" fillId="0" borderId="0" xfId="0" applyFont="1"/>
    <xf numFmtId="1" fontId="2" fillId="2" borderId="1" xfId="0" applyNumberFormat="1" applyFont="1" applyFill="1" applyBorder="1" applyAlignment="1">
      <alignment horizontal="left"/>
    </xf>
    <xf numFmtId="0" fontId="0" fillId="2" borderId="2" xfId="0" applyFill="1" applyBorder="1"/>
    <xf numFmtId="1" fontId="0" fillId="2" borderId="0" xfId="0" applyNumberFormat="1" applyFill="1" applyAlignment="1">
      <alignment horizontal="right"/>
    </xf>
    <xf numFmtId="1" fontId="0" fillId="2" borderId="3" xfId="0" applyNumberFormat="1" applyFill="1" applyBorder="1" applyAlignment="1">
      <alignment horizontal="right"/>
    </xf>
    <xf numFmtId="3" fontId="2" fillId="3" borderId="3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right"/>
    </xf>
    <xf numFmtId="1" fontId="2" fillId="3" borderId="4" xfId="0" applyNumberFormat="1" applyFont="1" applyFill="1" applyBorder="1" applyAlignment="1">
      <alignment horizontal="right"/>
    </xf>
    <xf numFmtId="1" fontId="0" fillId="2" borderId="5" xfId="0" applyNumberFormat="1" applyFill="1" applyBorder="1" applyAlignment="1">
      <alignment horizontal="right"/>
    </xf>
    <xf numFmtId="1" fontId="2" fillId="4" borderId="4" xfId="0" applyNumberFormat="1" applyFont="1" applyFill="1" applyBorder="1"/>
    <xf numFmtId="0" fontId="6" fillId="0" borderId="1" xfId="0" applyFont="1" applyBorder="1"/>
    <xf numFmtId="3" fontId="0" fillId="2" borderId="0" xfId="0" applyNumberFormat="1" applyFill="1" applyAlignment="1">
      <alignment horizontal="right"/>
    </xf>
    <xf numFmtId="0" fontId="10" fillId="0" borderId="3" xfId="0" applyFont="1" applyBorder="1"/>
    <xf numFmtId="1" fontId="2" fillId="2" borderId="1" xfId="0" applyNumberFormat="1" applyFont="1" applyFill="1" applyBorder="1" applyAlignment="1">
      <alignment horizontal="right"/>
    </xf>
    <xf numFmtId="1" fontId="11" fillId="5" borderId="1" xfId="0" applyNumberFormat="1" applyFont="1" applyFill="1" applyBorder="1" applyAlignment="1">
      <alignment horizontal="right"/>
    </xf>
    <xf numFmtId="1" fontId="11" fillId="5" borderId="4" xfId="0" applyNumberFormat="1" applyFont="1" applyFill="1" applyBorder="1" applyAlignment="1">
      <alignment horizontal="right"/>
    </xf>
    <xf numFmtId="1" fontId="16" fillId="2" borderId="0" xfId="0" applyNumberFormat="1" applyFont="1" applyFill="1" applyAlignment="1">
      <alignment horizontal="right"/>
    </xf>
    <xf numFmtId="1" fontId="11" fillId="6" borderId="1" xfId="0" applyNumberFormat="1" applyFont="1" applyFill="1" applyBorder="1"/>
    <xf numFmtId="1" fontId="11" fillId="6" borderId="4" xfId="0" applyNumberFormat="1" applyFont="1" applyFill="1" applyBorder="1"/>
    <xf numFmtId="2" fontId="2" fillId="0" borderId="0" xfId="0" applyNumberFormat="1" applyFont="1"/>
    <xf numFmtId="164" fontId="0" fillId="2" borderId="0" xfId="0" applyNumberFormat="1" applyFill="1" applyAlignment="1">
      <alignment horizontal="right"/>
    </xf>
    <xf numFmtId="0" fontId="7" fillId="2" borderId="0" xfId="0" applyFont="1" applyFill="1" applyAlignment="1">
      <alignment horizontal="left" indent="2"/>
    </xf>
    <xf numFmtId="1" fontId="2" fillId="7" borderId="1" xfId="0" applyNumberFormat="1" applyFont="1" applyFill="1" applyBorder="1" applyAlignment="1">
      <alignment horizontal="right"/>
    </xf>
    <xf numFmtId="1" fontId="2" fillId="8" borderId="1" xfId="0" applyNumberFormat="1" applyFont="1" applyFill="1" applyBorder="1"/>
    <xf numFmtId="2" fontId="0" fillId="2" borderId="0" xfId="0" applyNumberFormat="1" applyFill="1" applyAlignment="1">
      <alignment horizontal="right"/>
    </xf>
    <xf numFmtId="11" fontId="0" fillId="0" borderId="0" xfId="0" applyNumberFormat="1"/>
    <xf numFmtId="0" fontId="19" fillId="0" borderId="0" xfId="3" applyFill="1"/>
    <xf numFmtId="0" fontId="4" fillId="2" borderId="0" xfId="0" applyFont="1" applyFill="1"/>
    <xf numFmtId="0" fontId="5" fillId="2" borderId="0" xfId="0" applyFont="1" applyFill="1"/>
    <xf numFmtId="0" fontId="6" fillId="2" borderId="3" xfId="0" applyFont="1" applyFill="1" applyBorder="1"/>
    <xf numFmtId="0" fontId="6" fillId="2" borderId="0" xfId="0" applyFont="1" applyFill="1"/>
    <xf numFmtId="1" fontId="0" fillId="2" borderId="0" xfId="0" applyNumberFormat="1" applyFill="1"/>
    <xf numFmtId="0" fontId="3" fillId="2" borderId="0" xfId="0" applyFont="1" applyFill="1"/>
    <xf numFmtId="164" fontId="0" fillId="2" borderId="0" xfId="0" applyNumberFormat="1" applyFill="1"/>
    <xf numFmtId="1" fontId="2" fillId="8" borderId="4" xfId="0" applyNumberFormat="1" applyFont="1" applyFill="1" applyBorder="1"/>
    <xf numFmtId="0" fontId="6" fillId="2" borderId="1" xfId="0" applyFont="1" applyFill="1" applyBorder="1"/>
    <xf numFmtId="0" fontId="8" fillId="2" borderId="2" xfId="0" applyFont="1" applyFill="1" applyBorder="1"/>
    <xf numFmtId="3" fontId="2" fillId="9" borderId="11" xfId="0" applyNumberFormat="1" applyFont="1" applyFill="1" applyBorder="1" applyAlignment="1">
      <alignment horizontal="right"/>
    </xf>
    <xf numFmtId="0" fontId="0" fillId="2" borderId="12" xfId="0" applyFill="1" applyBorder="1"/>
    <xf numFmtId="3" fontId="2" fillId="3" borderId="13" xfId="0" applyNumberFormat="1" applyFont="1" applyFill="1" applyBorder="1" applyAlignment="1">
      <alignment horizontal="right"/>
    </xf>
    <xf numFmtId="0" fontId="10" fillId="2" borderId="0" xfId="0" applyFont="1" applyFill="1"/>
    <xf numFmtId="3" fontId="0" fillId="2" borderId="13" xfId="0" applyNumberFormat="1" applyFill="1" applyBorder="1" applyAlignment="1">
      <alignment horizontal="right"/>
    </xf>
    <xf numFmtId="0" fontId="7" fillId="2" borderId="3" xfId="0" applyFont="1" applyFill="1" applyBorder="1" applyAlignment="1">
      <alignment horizontal="left" indent="2"/>
    </xf>
    <xf numFmtId="3" fontId="0" fillId="2" borderId="3" xfId="0" applyNumberFormat="1" applyFill="1" applyBorder="1" applyAlignment="1">
      <alignment horizontal="right"/>
    </xf>
    <xf numFmtId="0" fontId="2" fillId="2" borderId="11" xfId="0" applyFont="1" applyFill="1" applyBorder="1"/>
    <xf numFmtId="3" fontId="2" fillId="9" borderId="2" xfId="0" applyNumberFormat="1" applyFont="1" applyFill="1" applyBorder="1" applyAlignment="1">
      <alignment horizontal="right"/>
    </xf>
    <xf numFmtId="0" fontId="2" fillId="2" borderId="0" xfId="0" applyFont="1" applyFill="1"/>
    <xf numFmtId="3" fontId="2" fillId="3" borderId="12" xfId="0" applyNumberFormat="1" applyFont="1" applyFill="1" applyBorder="1" applyAlignment="1">
      <alignment horizontal="right"/>
    </xf>
    <xf numFmtId="0" fontId="7" fillId="2" borderId="14" xfId="0" applyFont="1" applyFill="1" applyBorder="1" applyAlignment="1">
      <alignment horizontal="left" indent="2"/>
    </xf>
    <xf numFmtId="0" fontId="10" fillId="2" borderId="14" xfId="0" applyFont="1" applyFill="1" applyBorder="1"/>
    <xf numFmtId="0" fontId="2" fillId="2" borderId="12" xfId="0" applyFont="1" applyFill="1" applyBorder="1"/>
    <xf numFmtId="3" fontId="0" fillId="2" borderId="0" xfId="1" applyNumberFormat="1" applyFont="1" applyFill="1" applyBorder="1" applyAlignment="1">
      <alignment horizontal="right"/>
    </xf>
    <xf numFmtId="0" fontId="10" fillId="2" borderId="3" xfId="0" applyFont="1" applyFill="1" applyBorder="1"/>
    <xf numFmtId="165" fontId="2" fillId="3" borderId="13" xfId="0" applyNumberFormat="1" applyFont="1" applyFill="1" applyBorder="1" applyAlignment="1">
      <alignment horizontal="right"/>
    </xf>
    <xf numFmtId="165" fontId="0" fillId="2" borderId="0" xfId="0" applyNumberFormat="1" applyFill="1" applyAlignment="1">
      <alignment horizontal="right"/>
    </xf>
    <xf numFmtId="165" fontId="0" fillId="2" borderId="13" xfId="0" applyNumberFormat="1" applyFill="1" applyBorder="1" applyAlignment="1">
      <alignment horizontal="right"/>
    </xf>
    <xf numFmtId="165" fontId="0" fillId="2" borderId="3" xfId="0" applyNumberFormat="1" applyFill="1" applyBorder="1" applyAlignment="1">
      <alignment horizontal="right"/>
    </xf>
    <xf numFmtId="165" fontId="2" fillId="3" borderId="12" xfId="0" applyNumberFormat="1" applyFont="1" applyFill="1" applyBorder="1" applyAlignment="1">
      <alignment horizontal="right"/>
    </xf>
    <xf numFmtId="165" fontId="0" fillId="2" borderId="0" xfId="1" applyNumberFormat="1" applyFont="1" applyFill="1" applyBorder="1" applyAlignment="1">
      <alignment horizontal="right"/>
    </xf>
    <xf numFmtId="165" fontId="0" fillId="2" borderId="3" xfId="1" applyNumberFormat="1" applyFont="1" applyFill="1" applyBorder="1" applyAlignment="1">
      <alignment horizontal="right"/>
    </xf>
    <xf numFmtId="165" fontId="0" fillId="2" borderId="2" xfId="0" applyNumberFormat="1" applyFill="1" applyBorder="1" applyAlignment="1">
      <alignment horizontal="right"/>
    </xf>
    <xf numFmtId="1" fontId="2" fillId="2" borderId="0" xfId="0" applyNumberFormat="1" applyFont="1" applyFill="1" applyAlignment="1">
      <alignment horizontal="right"/>
    </xf>
    <xf numFmtId="0" fontId="2" fillId="2" borderId="1" xfId="0" applyFont="1" applyFill="1" applyBorder="1" applyAlignment="1">
      <alignment horizontal="right" wrapText="1" shrinkToFit="1"/>
    </xf>
    <xf numFmtId="164" fontId="20" fillId="2" borderId="0" xfId="0" applyNumberFormat="1" applyFont="1" applyFill="1"/>
    <xf numFmtId="1" fontId="20" fillId="2" borderId="0" xfId="0" applyNumberFormat="1" applyFont="1" applyFill="1"/>
    <xf numFmtId="1" fontId="2" fillId="2" borderId="0" xfId="0" applyNumberFormat="1" applyFont="1" applyFill="1"/>
    <xf numFmtId="1" fontId="11" fillId="2" borderId="0" xfId="0" applyNumberFormat="1" applyFont="1" applyFill="1"/>
    <xf numFmtId="0" fontId="16" fillId="2" borderId="0" xfId="0" applyFont="1" applyFill="1"/>
    <xf numFmtId="1" fontId="11" fillId="2" borderId="0" xfId="0" applyNumberFormat="1" applyFont="1" applyFill="1" applyAlignment="1">
      <alignment horizontal="right"/>
    </xf>
    <xf numFmtId="1" fontId="2" fillId="2" borderId="16" xfId="0" applyNumberFormat="1" applyFont="1" applyFill="1" applyBorder="1" applyAlignment="1">
      <alignment horizontal="right"/>
    </xf>
    <xf numFmtId="1" fontId="2" fillId="3" borderId="9" xfId="0" applyNumberFormat="1" applyFont="1" applyFill="1" applyBorder="1" applyAlignment="1">
      <alignment horizontal="right"/>
    </xf>
    <xf numFmtId="1" fontId="2" fillId="3" borderId="10" xfId="0" applyNumberFormat="1" applyFont="1" applyFill="1" applyBorder="1" applyAlignment="1">
      <alignment horizontal="right"/>
    </xf>
    <xf numFmtId="1" fontId="0" fillId="2" borderId="6" xfId="0" applyNumberFormat="1" applyFill="1" applyBorder="1" applyAlignment="1">
      <alignment horizontal="right"/>
    </xf>
    <xf numFmtId="1" fontId="2" fillId="3" borderId="16" xfId="0" applyNumberFormat="1" applyFont="1" applyFill="1" applyBorder="1" applyAlignment="1">
      <alignment horizontal="right"/>
    </xf>
    <xf numFmtId="1" fontId="0" fillId="2" borderId="9" xfId="0" applyNumberFormat="1" applyFill="1" applyBorder="1" applyAlignment="1">
      <alignment horizontal="right"/>
    </xf>
    <xf numFmtId="1" fontId="0" fillId="2" borderId="10" xfId="0" applyNumberFormat="1" applyFill="1" applyBorder="1" applyAlignment="1">
      <alignment horizontal="right"/>
    </xf>
    <xf numFmtId="1" fontId="2" fillId="4" borderId="16" xfId="0" applyNumberFormat="1" applyFont="1" applyFill="1" applyBorder="1"/>
    <xf numFmtId="1" fontId="2" fillId="2" borderId="4" xfId="0" applyNumberFormat="1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right"/>
    </xf>
    <xf numFmtId="1" fontId="2" fillId="3" borderId="17" xfId="0" applyNumberFormat="1" applyFont="1" applyFill="1" applyBorder="1" applyAlignment="1">
      <alignment horizontal="right"/>
    </xf>
    <xf numFmtId="1" fontId="0" fillId="2" borderId="18" xfId="0" applyNumberFormat="1" applyFill="1" applyBorder="1" applyAlignment="1">
      <alignment horizontal="right"/>
    </xf>
    <xf numFmtId="1" fontId="2" fillId="3" borderId="15" xfId="0" applyNumberFormat="1" applyFont="1" applyFill="1" applyBorder="1" applyAlignment="1">
      <alignment horizontal="right"/>
    </xf>
    <xf numFmtId="1" fontId="0" fillId="2" borderId="17" xfId="0" applyNumberFormat="1" applyFill="1" applyBorder="1" applyAlignment="1">
      <alignment horizontal="right"/>
    </xf>
    <xf numFmtId="1" fontId="2" fillId="4" borderId="15" xfId="0" applyNumberFormat="1" applyFont="1" applyFill="1" applyBorder="1"/>
    <xf numFmtId="3" fontId="2" fillId="9" borderId="19" xfId="0" applyNumberFormat="1" applyFont="1" applyFill="1" applyBorder="1" applyAlignment="1">
      <alignment horizontal="right"/>
    </xf>
    <xf numFmtId="3" fontId="2" fillId="9" borderId="20" xfId="0" applyNumberFormat="1" applyFont="1" applyFill="1" applyBorder="1" applyAlignment="1">
      <alignment horizontal="right"/>
    </xf>
    <xf numFmtId="3" fontId="0" fillId="2" borderId="5" xfId="0" applyNumberFormat="1" applyFill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3" fontId="2" fillId="9" borderId="7" xfId="0" applyNumberFormat="1" applyFont="1" applyFill="1" applyBorder="1" applyAlignment="1">
      <alignment horizontal="right"/>
    </xf>
    <xf numFmtId="3" fontId="2" fillId="9" borderId="25" xfId="0" applyNumberFormat="1" applyFont="1" applyFill="1" applyBorder="1" applyAlignment="1">
      <alignment horizontal="right"/>
    </xf>
    <xf numFmtId="3" fontId="0" fillId="2" borderId="18" xfId="0" applyNumberFormat="1" applyFill="1" applyBorder="1" applyAlignment="1">
      <alignment horizontal="right"/>
    </xf>
    <xf numFmtId="3" fontId="2" fillId="3" borderId="9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165" fontId="0" fillId="2" borderId="8" xfId="0" applyNumberFormat="1" applyFill="1" applyBorder="1" applyAlignment="1">
      <alignment horizontal="right"/>
    </xf>
    <xf numFmtId="165" fontId="0" fillId="2" borderId="7" xfId="0" applyNumberFormat="1" applyFill="1" applyBorder="1" applyAlignment="1">
      <alignment horizontal="right"/>
    </xf>
    <xf numFmtId="165" fontId="0" fillId="2" borderId="5" xfId="0" applyNumberFormat="1" applyFill="1" applyBorder="1" applyAlignment="1">
      <alignment horizontal="right"/>
    </xf>
    <xf numFmtId="165" fontId="0" fillId="2" borderId="6" xfId="0" applyNumberFormat="1" applyFill="1" applyBorder="1" applyAlignment="1">
      <alignment horizontal="right"/>
    </xf>
    <xf numFmtId="165" fontId="0" fillId="2" borderId="9" xfId="0" applyNumberFormat="1" applyFill="1" applyBorder="1" applyAlignment="1">
      <alignment horizontal="right"/>
    </xf>
    <xf numFmtId="165" fontId="0" fillId="2" borderId="10" xfId="0" applyNumberFormat="1" applyFill="1" applyBorder="1" applyAlignment="1">
      <alignment horizontal="right"/>
    </xf>
    <xf numFmtId="3" fontId="2" fillId="3" borderId="17" xfId="0" applyNumberFormat="1" applyFont="1" applyFill="1" applyBorder="1" applyAlignment="1">
      <alignment horizontal="right"/>
    </xf>
    <xf numFmtId="165" fontId="0" fillId="2" borderId="27" xfId="0" applyNumberFormat="1" applyFill="1" applyBorder="1" applyAlignment="1">
      <alignment horizontal="right"/>
    </xf>
    <xf numFmtId="165" fontId="0" fillId="2" borderId="18" xfId="0" applyNumberFormat="1" applyFill="1" applyBorder="1" applyAlignment="1">
      <alignment horizontal="right"/>
    </xf>
    <xf numFmtId="165" fontId="0" fillId="2" borderId="17" xfId="0" applyNumberFormat="1" applyFill="1" applyBorder="1" applyAlignment="1">
      <alignment horizontal="right"/>
    </xf>
    <xf numFmtId="165" fontId="2" fillId="3" borderId="26" xfId="0" applyNumberFormat="1" applyFont="1" applyFill="1" applyBorder="1" applyAlignment="1">
      <alignment horizontal="right"/>
    </xf>
    <xf numFmtId="165" fontId="0" fillId="2" borderId="26" xfId="0" applyNumberFormat="1" applyFill="1" applyBorder="1" applyAlignment="1">
      <alignment horizontal="right"/>
    </xf>
    <xf numFmtId="165" fontId="2" fillId="3" borderId="28" xfId="0" applyNumberFormat="1" applyFont="1" applyFill="1" applyBorder="1" applyAlignment="1">
      <alignment horizontal="right"/>
    </xf>
    <xf numFmtId="165" fontId="0" fillId="2" borderId="18" xfId="1" applyNumberFormat="1" applyFont="1" applyFill="1" applyBorder="1" applyAlignment="1">
      <alignment horizontal="right"/>
    </xf>
    <xf numFmtId="165" fontId="0" fillId="2" borderId="17" xfId="1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165" fontId="2" fillId="3" borderId="22" xfId="0" applyNumberFormat="1" applyFont="1" applyFill="1" applyBorder="1" applyAlignment="1">
      <alignment horizontal="right"/>
    </xf>
    <xf numFmtId="165" fontId="0" fillId="2" borderId="21" xfId="0" applyNumberFormat="1" applyFill="1" applyBorder="1" applyAlignment="1">
      <alignment horizontal="right"/>
    </xf>
    <xf numFmtId="165" fontId="0" fillId="2" borderId="22" xfId="0" applyNumberFormat="1" applyFill="1" applyBorder="1" applyAlignment="1">
      <alignment horizontal="right"/>
    </xf>
    <xf numFmtId="165" fontId="2" fillId="3" borderId="23" xfId="0" applyNumberFormat="1" applyFont="1" applyFill="1" applyBorder="1" applyAlignment="1">
      <alignment horizontal="right"/>
    </xf>
    <xf numFmtId="165" fontId="2" fillId="3" borderId="24" xfId="0" applyNumberFormat="1" applyFont="1" applyFill="1" applyBorder="1" applyAlignment="1">
      <alignment horizontal="right"/>
    </xf>
    <xf numFmtId="165" fontId="0" fillId="2" borderId="5" xfId="1" applyNumberFormat="1" applyFont="1" applyFill="1" applyBorder="1" applyAlignment="1">
      <alignment horizontal="right"/>
    </xf>
    <xf numFmtId="165" fontId="0" fillId="2" borderId="6" xfId="1" applyNumberFormat="1" applyFont="1" applyFill="1" applyBorder="1" applyAlignment="1">
      <alignment horizontal="right"/>
    </xf>
    <xf numFmtId="165" fontId="0" fillId="2" borderId="9" xfId="1" applyNumberFormat="1" applyFont="1" applyFill="1" applyBorder="1" applyAlignment="1">
      <alignment horizontal="right"/>
    </xf>
    <xf numFmtId="165" fontId="0" fillId="2" borderId="10" xfId="1" applyNumberFormat="1" applyFont="1" applyFill="1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65" fontId="0" fillId="0" borderId="0" xfId="0" applyNumberFormat="1"/>
    <xf numFmtId="165" fontId="0" fillId="0" borderId="33" xfId="0" applyNumberFormat="1" applyBorder="1"/>
    <xf numFmtId="0" fontId="0" fillId="0" borderId="34" xfId="0" applyBorder="1"/>
    <xf numFmtId="165" fontId="0" fillId="0" borderId="35" xfId="0" applyNumberFormat="1" applyBorder="1"/>
    <xf numFmtId="0" fontId="2" fillId="2" borderId="4" xfId="0" applyFont="1" applyFill="1" applyBorder="1" applyAlignment="1">
      <alignment horizontal="right" wrapText="1" shrinkToFit="1"/>
    </xf>
    <xf numFmtId="1" fontId="11" fillId="5" borderId="15" xfId="0" applyNumberFormat="1" applyFont="1" applyFill="1" applyBorder="1" applyAlignment="1">
      <alignment horizontal="right"/>
    </xf>
    <xf numFmtId="1" fontId="16" fillId="2" borderId="5" xfId="0" applyNumberFormat="1" applyFont="1" applyFill="1" applyBorder="1" applyAlignment="1">
      <alignment horizontal="right"/>
    </xf>
    <xf numFmtId="1" fontId="11" fillId="6" borderId="15" xfId="0" applyNumberFormat="1" applyFont="1" applyFill="1" applyBorder="1"/>
    <xf numFmtId="0" fontId="12" fillId="2" borderId="4" xfId="0" applyFont="1" applyFill="1" applyBorder="1"/>
    <xf numFmtId="0" fontId="0" fillId="0" borderId="2" xfId="0" applyBorder="1"/>
    <xf numFmtId="1" fontId="2" fillId="3" borderId="4" xfId="0" applyNumberFormat="1" applyFont="1" applyFill="1" applyBorder="1" applyAlignment="1">
      <alignment horizontal="left"/>
    </xf>
    <xf numFmtId="0" fontId="7" fillId="2" borderId="8" xfId="0" applyFont="1" applyFill="1" applyBorder="1" applyAlignment="1">
      <alignment horizontal="left" indent="2"/>
    </xf>
    <xf numFmtId="0" fontId="7" fillId="2" borderId="5" xfId="0" applyFont="1" applyFill="1" applyBorder="1" applyAlignment="1">
      <alignment horizontal="left" indent="2"/>
    </xf>
    <xf numFmtId="1" fontId="2" fillId="5" borderId="4" xfId="0" applyNumberFormat="1" applyFont="1" applyFill="1" applyBorder="1" applyAlignment="1">
      <alignment horizontal="left"/>
    </xf>
    <xf numFmtId="1" fontId="2" fillId="6" borderId="4" xfId="0" applyNumberFormat="1" applyFont="1" applyFill="1" applyBorder="1"/>
    <xf numFmtId="0" fontId="2" fillId="10" borderId="0" xfId="0" applyFont="1" applyFill="1"/>
    <xf numFmtId="0" fontId="22" fillId="2" borderId="0" xfId="4" applyFill="1" applyBorder="1"/>
    <xf numFmtId="166" fontId="2" fillId="9" borderId="2" xfId="0" applyNumberFormat="1" applyFont="1" applyFill="1" applyBorder="1" applyAlignment="1">
      <alignment horizontal="right"/>
    </xf>
    <xf numFmtId="9" fontId="2" fillId="3" borderId="23" xfId="0" applyNumberFormat="1" applyFont="1" applyFill="1" applyBorder="1" applyAlignment="1">
      <alignment horizontal="right"/>
    </xf>
    <xf numFmtId="0" fontId="5" fillId="0" borderId="4" xfId="0" applyFont="1" applyBorder="1"/>
    <xf numFmtId="0" fontId="2" fillId="2" borderId="5" xfId="0" applyFont="1" applyFill="1" applyBorder="1"/>
    <xf numFmtId="0" fontId="7" fillId="2" borderId="38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22" fillId="0" borderId="9" xfId="4" applyBorder="1"/>
    <xf numFmtId="0" fontId="3" fillId="10" borderId="0" xfId="0" applyFont="1" applyFill="1"/>
    <xf numFmtId="1" fontId="2" fillId="7" borderId="4" xfId="0" applyNumberFormat="1" applyFont="1" applyFill="1" applyBorder="1" applyAlignment="1">
      <alignment horizontal="left"/>
    </xf>
    <xf numFmtId="1" fontId="2" fillId="7" borderId="15" xfId="0" applyNumberFormat="1" applyFont="1" applyFill="1" applyBorder="1" applyAlignment="1">
      <alignment horizontal="right"/>
    </xf>
    <xf numFmtId="0" fontId="22" fillId="2" borderId="0" xfId="4" applyFill="1"/>
    <xf numFmtId="1" fontId="22" fillId="2" borderId="0" xfId="4" applyNumberFormat="1" applyFill="1"/>
    <xf numFmtId="2" fontId="2" fillId="2" borderId="0" xfId="0" applyNumberFormat="1" applyFont="1" applyFill="1"/>
    <xf numFmtId="1" fontId="2" fillId="8" borderId="15" xfId="0" applyNumberFormat="1" applyFont="1" applyFill="1" applyBorder="1"/>
    <xf numFmtId="0" fontId="0" fillId="2" borderId="4" xfId="0" applyFill="1" applyBorder="1"/>
    <xf numFmtId="0" fontId="2" fillId="2" borderId="4" xfId="0" applyFont="1" applyFill="1" applyBorder="1"/>
    <xf numFmtId="0" fontId="23" fillId="2" borderId="4" xfId="0" applyFont="1" applyFill="1" applyBorder="1" applyAlignment="1">
      <alignment horizontal="left" vertical="center" wrapText="1"/>
    </xf>
    <xf numFmtId="0" fontId="24" fillId="2" borderId="0" xfId="0" applyFont="1" applyFill="1"/>
    <xf numFmtId="0" fontId="25" fillId="2" borderId="0" xfId="0" applyFont="1" applyFill="1"/>
    <xf numFmtId="0" fontId="22" fillId="0" borderId="0" xfId="4" applyFill="1" applyBorder="1"/>
    <xf numFmtId="9" fontId="22" fillId="0" borderId="0" xfId="4" applyNumberFormat="1" applyFill="1" applyBorder="1"/>
    <xf numFmtId="0" fontId="2" fillId="2" borderId="19" xfId="0" applyFont="1" applyFill="1" applyBorder="1"/>
    <xf numFmtId="166" fontId="2" fillId="9" borderId="7" xfId="0" applyNumberFormat="1" applyFont="1" applyFill="1" applyBorder="1" applyAlignment="1">
      <alignment horizontal="right"/>
    </xf>
    <xf numFmtId="9" fontId="2" fillId="3" borderId="28" xfId="0" applyNumberFormat="1" applyFont="1" applyFill="1" applyBorder="1" applyAlignment="1">
      <alignment horizontal="right"/>
    </xf>
    <xf numFmtId="0" fontId="2" fillId="2" borderId="9" xfId="0" applyFont="1" applyFill="1" applyBorder="1"/>
    <xf numFmtId="9" fontId="2" fillId="3" borderId="39" xfId="0" applyNumberFormat="1" applyFont="1" applyFill="1" applyBorder="1" applyAlignment="1">
      <alignment horizontal="right"/>
    </xf>
    <xf numFmtId="9" fontId="2" fillId="3" borderId="40" xfId="0" applyNumberFormat="1" applyFont="1" applyFill="1" applyBorder="1" applyAlignment="1">
      <alignment horizontal="right"/>
    </xf>
    <xf numFmtId="9" fontId="2" fillId="3" borderId="21" xfId="0" applyNumberFormat="1" applyFont="1" applyFill="1" applyBorder="1" applyAlignment="1">
      <alignment horizontal="center"/>
    </xf>
    <xf numFmtId="9" fontId="2" fillId="3" borderId="26" xfId="0" applyNumberFormat="1" applyFont="1" applyFill="1" applyBorder="1" applyAlignment="1">
      <alignment horizontal="center"/>
    </xf>
    <xf numFmtId="9" fontId="0" fillId="2" borderId="18" xfId="0" applyNumberFormat="1" applyFill="1" applyBorder="1" applyAlignment="1">
      <alignment vertical="center"/>
    </xf>
    <xf numFmtId="9" fontId="0" fillId="2" borderId="37" xfId="0" applyNumberFormat="1" applyFill="1" applyBorder="1" applyAlignment="1">
      <alignment vertical="center"/>
    </xf>
    <xf numFmtId="9" fontId="22" fillId="2" borderId="17" xfId="4" applyNumberFormat="1" applyFill="1" applyBorder="1" applyAlignment="1">
      <alignment vertical="center"/>
    </xf>
    <xf numFmtId="0" fontId="12" fillId="2" borderId="1" xfId="0" applyFont="1" applyFill="1" applyBorder="1"/>
    <xf numFmtId="1" fontId="2" fillId="7" borderId="1" xfId="0" applyNumberFormat="1" applyFont="1" applyFill="1" applyBorder="1" applyAlignment="1">
      <alignment horizontal="left"/>
    </xf>
    <xf numFmtId="1" fontId="22" fillId="2" borderId="0" xfId="4" applyNumberFormat="1" applyFill="1" applyBorder="1"/>
    <xf numFmtId="1" fontId="22" fillId="2" borderId="0" xfId="4" applyNumberFormat="1" applyFill="1" applyBorder="1" applyAlignment="1">
      <alignment horizontal="right"/>
    </xf>
    <xf numFmtId="1" fontId="2" fillId="2" borderId="15" xfId="0" applyNumberFormat="1" applyFont="1" applyFill="1" applyBorder="1" applyAlignment="1">
      <alignment horizontal="right"/>
    </xf>
    <xf numFmtId="1" fontId="2" fillId="2" borderId="3" xfId="0" applyNumberFormat="1" applyFont="1" applyFill="1" applyBorder="1" applyAlignment="1">
      <alignment horizontal="right"/>
    </xf>
    <xf numFmtId="1" fontId="26" fillId="10" borderId="0" xfId="5" applyNumberFormat="1" applyFont="1" applyFill="1"/>
    <xf numFmtId="2" fontId="2" fillId="2" borderId="8" xfId="0" applyNumberFormat="1" applyFont="1" applyFill="1" applyBorder="1"/>
    <xf numFmtId="1" fontId="2" fillId="2" borderId="2" xfId="0" applyNumberFormat="1" applyFont="1" applyFill="1" applyBorder="1"/>
    <xf numFmtId="1" fontId="2" fillId="2" borderId="7" xfId="0" applyNumberFormat="1" applyFont="1" applyFill="1" applyBorder="1"/>
    <xf numFmtId="2" fontId="2" fillId="2" borderId="5" xfId="0" applyNumberFormat="1" applyFont="1" applyFill="1" applyBorder="1"/>
    <xf numFmtId="2" fontId="2" fillId="2" borderId="9" xfId="0" applyNumberFormat="1" applyFont="1" applyFill="1" applyBorder="1"/>
    <xf numFmtId="1" fontId="0" fillId="2" borderId="3" xfId="0" applyNumberFormat="1" applyFill="1" applyBorder="1"/>
    <xf numFmtId="2" fontId="22" fillId="2" borderId="0" xfId="4" applyNumberFormat="1" applyFill="1" applyBorder="1"/>
    <xf numFmtId="9" fontId="0" fillId="2" borderId="0" xfId="0" applyNumberFormat="1" applyFill="1" applyAlignment="1">
      <alignment horizontal="right"/>
    </xf>
    <xf numFmtId="9" fontId="0" fillId="2" borderId="6" xfId="0" applyNumberFormat="1" applyFill="1" applyBorder="1" applyAlignment="1">
      <alignment horizontal="right"/>
    </xf>
    <xf numFmtId="9" fontId="0" fillId="2" borderId="3" xfId="0" applyNumberFormat="1" applyFill="1" applyBorder="1" applyAlignment="1">
      <alignment horizontal="right"/>
    </xf>
    <xf numFmtId="9" fontId="0" fillId="2" borderId="10" xfId="0" applyNumberFormat="1" applyFill="1" applyBorder="1" applyAlignment="1">
      <alignment horizontal="right"/>
    </xf>
    <xf numFmtId="9" fontId="22" fillId="2" borderId="0" xfId="4" applyNumberFormat="1" applyFill="1" applyBorder="1" applyAlignment="1">
      <alignment horizontal="right"/>
    </xf>
    <xf numFmtId="165" fontId="2" fillId="2" borderId="0" xfId="1" applyNumberFormat="1" applyFont="1" applyFill="1" applyBorder="1"/>
    <xf numFmtId="2" fontId="2" fillId="2" borderId="0" xfId="0" applyNumberFormat="1" applyFont="1" applyFill="1" applyAlignment="1">
      <alignment horizontal="right"/>
    </xf>
    <xf numFmtId="165" fontId="2" fillId="2" borderId="0" xfId="1" applyNumberFormat="1" applyFont="1" applyFill="1" applyBorder="1" applyAlignment="1">
      <alignment horizontal="right"/>
    </xf>
    <xf numFmtId="1" fontId="13" fillId="2" borderId="0" xfId="0" applyNumberFormat="1" applyFont="1" applyFill="1"/>
    <xf numFmtId="164" fontId="14" fillId="2" borderId="0" xfId="0" applyNumberFormat="1" applyFont="1" applyFill="1"/>
    <xf numFmtId="11" fontId="0" fillId="2" borderId="0" xfId="0" applyNumberFormat="1" applyFill="1"/>
    <xf numFmtId="3" fontId="0" fillId="2" borderId="0" xfId="0" applyNumberFormat="1" applyFill="1"/>
    <xf numFmtId="3" fontId="2" fillId="3" borderId="22" xfId="0" applyNumberFormat="1" applyFont="1" applyFill="1" applyBorder="1" applyAlignment="1">
      <alignment horizontal="right"/>
    </xf>
    <xf numFmtId="3" fontId="0" fillId="2" borderId="22" xfId="0" applyNumberFormat="1" applyFill="1" applyBorder="1" applyAlignment="1">
      <alignment horizontal="right"/>
    </xf>
    <xf numFmtId="3" fontId="0" fillId="2" borderId="10" xfId="0" applyNumberFormat="1" applyFill="1" applyBorder="1" applyAlignment="1">
      <alignment horizontal="right"/>
    </xf>
    <xf numFmtId="0" fontId="8" fillId="2" borderId="27" xfId="0" applyFont="1" applyFill="1" applyBorder="1"/>
    <xf numFmtId="0" fontId="0" fillId="2" borderId="28" xfId="0" applyFill="1" applyBorder="1"/>
    <xf numFmtId="0" fontId="7" fillId="2" borderId="18" xfId="0" applyFont="1" applyFill="1" applyBorder="1" applyAlignment="1">
      <alignment horizontal="left" indent="2"/>
    </xf>
    <xf numFmtId="0" fontId="7" fillId="2" borderId="17" xfId="0" applyFont="1" applyFill="1" applyBorder="1" applyAlignment="1">
      <alignment horizontal="left" indent="2"/>
    </xf>
    <xf numFmtId="0" fontId="2" fillId="2" borderId="25" xfId="0" applyFont="1" applyFill="1" applyBorder="1"/>
    <xf numFmtId="0" fontId="2" fillId="2" borderId="18" xfId="0" applyFont="1" applyFill="1" applyBorder="1"/>
    <xf numFmtId="0" fontId="7" fillId="2" borderId="37" xfId="0" applyFont="1" applyFill="1" applyBorder="1" applyAlignment="1">
      <alignment horizontal="left" indent="2"/>
    </xf>
    <xf numFmtId="0" fontId="2" fillId="2" borderId="28" xfId="0" applyFont="1" applyFill="1" applyBorder="1"/>
    <xf numFmtId="3" fontId="0" fillId="2" borderId="3" xfId="1" applyNumberFormat="1" applyFont="1" applyFill="1" applyBorder="1" applyAlignment="1">
      <alignment horizontal="right"/>
    </xf>
    <xf numFmtId="3" fontId="2" fillId="3" borderId="24" xfId="0" applyNumberFormat="1" applyFont="1" applyFill="1" applyBorder="1" applyAlignment="1">
      <alignment horizontal="right"/>
    </xf>
    <xf numFmtId="3" fontId="0" fillId="2" borderId="6" xfId="1" applyNumberFormat="1" applyFont="1" applyFill="1" applyBorder="1" applyAlignment="1">
      <alignment horizontal="right"/>
    </xf>
    <xf numFmtId="3" fontId="0" fillId="2" borderId="10" xfId="1" applyNumberFormat="1" applyFont="1" applyFill="1" applyBorder="1" applyAlignment="1">
      <alignment horizontal="right"/>
    </xf>
    <xf numFmtId="0" fontId="9" fillId="2" borderId="0" xfId="0" applyFont="1" applyFill="1"/>
    <xf numFmtId="0" fontId="2" fillId="2" borderId="6" xfId="0" applyFont="1" applyFill="1" applyBorder="1"/>
    <xf numFmtId="0" fontId="0" fillId="2" borderId="6" xfId="0" applyFill="1" applyBorder="1"/>
    <xf numFmtId="9" fontId="22" fillId="2" borderId="0" xfId="4" applyNumberFormat="1" applyFill="1"/>
    <xf numFmtId="165" fontId="0" fillId="2" borderId="0" xfId="0" applyNumberFormat="1" applyFill="1"/>
    <xf numFmtId="3" fontId="2" fillId="3" borderId="15" xfId="0" applyNumberFormat="1" applyFont="1" applyFill="1" applyBorder="1" applyAlignment="1">
      <alignment horizontal="right"/>
    </xf>
    <xf numFmtId="1" fontId="26" fillId="10" borderId="0" xfId="5" applyNumberFormat="1" applyFont="1" applyFill="1" applyAlignment="1">
      <alignment horizontal="left" vertical="center" wrapText="1"/>
    </xf>
    <xf numFmtId="0" fontId="27" fillId="11" borderId="0" xfId="0" applyFont="1" applyFill="1"/>
    <xf numFmtId="0" fontId="27" fillId="11" borderId="3" xfId="0" applyFont="1" applyFill="1" applyBorder="1"/>
    <xf numFmtId="0" fontId="6" fillId="0" borderId="4" xfId="0" applyFont="1" applyBorder="1"/>
    <xf numFmtId="0" fontId="6" fillId="2" borderId="4" xfId="0" applyFont="1" applyFill="1" applyBorder="1"/>
    <xf numFmtId="0" fontId="2" fillId="10" borderId="0" xfId="0" applyFont="1" applyFill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3" fontId="2" fillId="2" borderId="5" xfId="0" applyNumberFormat="1" applyFont="1" applyFill="1" applyBorder="1"/>
    <xf numFmtId="3" fontId="2" fillId="2" borderId="0" xfId="0" applyNumberFormat="1" applyFont="1" applyFill="1"/>
    <xf numFmtId="3" fontId="2" fillId="2" borderId="7" xfId="0" applyNumberFormat="1" applyFont="1" applyFill="1" applyBorder="1"/>
    <xf numFmtId="0" fontId="0" fillId="0" borderId="15" xfId="0" applyBorder="1"/>
    <xf numFmtId="3" fontId="0" fillId="2" borderId="4" xfId="0" applyNumberFormat="1" applyFill="1" applyBorder="1"/>
    <xf numFmtId="3" fontId="0" fillId="2" borderId="1" xfId="0" applyNumberFormat="1" applyFill="1" applyBorder="1"/>
    <xf numFmtId="3" fontId="0" fillId="2" borderId="16" xfId="0" applyNumberFormat="1" applyFill="1" applyBorder="1"/>
    <xf numFmtId="3" fontId="0" fillId="0" borderId="0" xfId="0" applyNumberFormat="1"/>
    <xf numFmtId="0" fontId="0" fillId="0" borderId="27" xfId="0" applyBorder="1"/>
    <xf numFmtId="3" fontId="0" fillId="2" borderId="8" xfId="0" applyNumberFormat="1" applyFill="1" applyBorder="1"/>
    <xf numFmtId="3" fontId="0" fillId="2" borderId="2" xfId="0" applyNumberFormat="1" applyFill="1" applyBorder="1"/>
    <xf numFmtId="3" fontId="0" fillId="2" borderId="7" xfId="0" applyNumberFormat="1" applyFill="1" applyBorder="1"/>
    <xf numFmtId="0" fontId="0" fillId="0" borderId="18" xfId="0" applyBorder="1"/>
    <xf numFmtId="3" fontId="0" fillId="2" borderId="5" xfId="0" applyNumberFormat="1" applyFill="1" applyBorder="1"/>
    <xf numFmtId="3" fontId="0" fillId="2" borderId="6" xfId="0" applyNumberFormat="1" applyFill="1" applyBorder="1"/>
    <xf numFmtId="0" fontId="0" fillId="0" borderId="17" xfId="0" applyBorder="1"/>
    <xf numFmtId="3" fontId="0" fillId="2" borderId="9" xfId="0" applyNumberFormat="1" applyFill="1" applyBorder="1"/>
    <xf numFmtId="3" fontId="0" fillId="2" borderId="3" xfId="0" applyNumberFormat="1" applyFill="1" applyBorder="1"/>
    <xf numFmtId="3" fontId="0" fillId="2" borderId="10" xfId="0" applyNumberFormat="1" applyFill="1" applyBorder="1"/>
    <xf numFmtId="167" fontId="0" fillId="2" borderId="0" xfId="0" applyNumberFormat="1" applyFill="1"/>
    <xf numFmtId="0" fontId="11" fillId="11" borderId="1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5" xfId="0" applyBorder="1"/>
    <xf numFmtId="0" fontId="2" fillId="5" borderId="41" xfId="0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right"/>
    </xf>
    <xf numFmtId="165" fontId="0" fillId="10" borderId="36" xfId="0" applyNumberFormat="1" applyFill="1" applyBorder="1"/>
    <xf numFmtId="1" fontId="0" fillId="0" borderId="0" xfId="0" applyNumberFormat="1" applyAlignment="1">
      <alignment horizontal="right"/>
    </xf>
    <xf numFmtId="0" fontId="13" fillId="0" borderId="0" xfId="0" applyFont="1"/>
    <xf numFmtId="0" fontId="16" fillId="0" borderId="0" xfId="0" applyFont="1"/>
    <xf numFmtId="1" fontId="2" fillId="13" borderId="4" xfId="0" applyNumberFormat="1" applyFont="1" applyFill="1" applyBorder="1" applyAlignment="1">
      <alignment horizontal="left"/>
    </xf>
    <xf numFmtId="0" fontId="0" fillId="13" borderId="0" xfId="0" applyFill="1"/>
    <xf numFmtId="164" fontId="2" fillId="13" borderId="1" xfId="0" applyNumberFormat="1" applyFont="1" applyFill="1" applyBorder="1" applyAlignment="1">
      <alignment horizontal="right"/>
    </xf>
    <xf numFmtId="164" fontId="2" fillId="13" borderId="15" xfId="0" applyNumberFormat="1" applyFont="1" applyFill="1" applyBorder="1" applyAlignment="1">
      <alignment horizontal="right"/>
    </xf>
    <xf numFmtId="164" fontId="0" fillId="2" borderId="18" xfId="0" applyNumberFormat="1" applyFill="1" applyBorder="1" applyAlignment="1">
      <alignment horizontal="right"/>
    </xf>
    <xf numFmtId="1" fontId="2" fillId="14" borderId="4" xfId="0" applyNumberFormat="1" applyFont="1" applyFill="1" applyBorder="1"/>
    <xf numFmtId="0" fontId="0" fillId="14" borderId="3" xfId="0" applyFill="1" applyBorder="1"/>
    <xf numFmtId="164" fontId="2" fillId="14" borderId="1" xfId="0" applyNumberFormat="1" applyFont="1" applyFill="1" applyBorder="1"/>
    <xf numFmtId="164" fontId="2" fillId="14" borderId="15" xfId="0" applyNumberFormat="1" applyFont="1" applyFill="1" applyBorder="1"/>
    <xf numFmtId="164" fontId="11" fillId="13" borderId="4" xfId="0" quotePrefix="1" applyNumberFormat="1" applyFont="1" applyFill="1" applyBorder="1" applyAlignment="1">
      <alignment horizontal="right"/>
    </xf>
    <xf numFmtId="164" fontId="11" fillId="13" borderId="1" xfId="0" applyNumberFormat="1" applyFont="1" applyFill="1" applyBorder="1" applyAlignment="1">
      <alignment horizontal="right"/>
    </xf>
    <xf numFmtId="164" fontId="11" fillId="13" borderId="15" xfId="0" applyNumberFormat="1" applyFont="1" applyFill="1" applyBorder="1" applyAlignment="1">
      <alignment horizontal="right"/>
    </xf>
    <xf numFmtId="164" fontId="16" fillId="2" borderId="5" xfId="0" applyNumberFormat="1" applyFont="1" applyFill="1" applyBorder="1" applyAlignment="1">
      <alignment horizontal="right"/>
    </xf>
    <xf numFmtId="164" fontId="11" fillId="13" borderId="4" xfId="0" applyNumberFormat="1" applyFon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164" fontId="11" fillId="14" borderId="4" xfId="0" applyNumberFormat="1" applyFont="1" applyFill="1" applyBorder="1"/>
    <xf numFmtId="164" fontId="11" fillId="14" borderId="1" xfId="0" applyNumberFormat="1" applyFont="1" applyFill="1" applyBorder="1"/>
    <xf numFmtId="164" fontId="11" fillId="14" borderId="15" xfId="0" applyNumberFormat="1" applyFont="1" applyFill="1" applyBorder="1"/>
    <xf numFmtId="164" fontId="2" fillId="3" borderId="1" xfId="0" applyNumberFormat="1" applyFont="1" applyFill="1" applyBorder="1" applyAlignment="1">
      <alignment horizontal="right"/>
    </xf>
    <xf numFmtId="0" fontId="21" fillId="2" borderId="0" xfId="0" applyFont="1" applyFill="1"/>
    <xf numFmtId="168" fontId="21" fillId="2" borderId="6" xfId="0" applyNumberFormat="1" applyFont="1" applyFill="1" applyBorder="1" applyAlignment="1">
      <alignment horizontal="right"/>
    </xf>
    <xf numFmtId="168" fontId="21" fillId="2" borderId="10" xfId="0" applyNumberFormat="1" applyFont="1" applyFill="1" applyBorder="1" applyAlignment="1">
      <alignment horizontal="right"/>
    </xf>
    <xf numFmtId="0" fontId="21" fillId="0" borderId="0" xfId="0" applyFont="1"/>
    <xf numFmtId="9" fontId="0" fillId="0" borderId="0" xfId="1" applyFont="1"/>
    <xf numFmtId="9" fontId="0" fillId="2" borderId="4" xfId="1" applyFont="1" applyFill="1" applyBorder="1"/>
    <xf numFmtId="9" fontId="0" fillId="2" borderId="2" xfId="1" applyFont="1" applyFill="1" applyBorder="1"/>
    <xf numFmtId="9" fontId="0" fillId="2" borderId="7" xfId="1" applyFont="1" applyFill="1" applyBorder="1"/>
    <xf numFmtId="9" fontId="0" fillId="0" borderId="0" xfId="0" applyNumberFormat="1"/>
    <xf numFmtId="9" fontId="0" fillId="2" borderId="0" xfId="1" applyFont="1" applyFill="1"/>
    <xf numFmtId="9" fontId="0" fillId="2" borderId="6" xfId="1" applyFont="1" applyFill="1" applyBorder="1"/>
    <xf numFmtId="9" fontId="0" fillId="2" borderId="3" xfId="1" applyFont="1" applyFill="1" applyBorder="1"/>
    <xf numFmtId="9" fontId="0" fillId="2" borderId="10" xfId="1" applyFont="1" applyFill="1" applyBorder="1"/>
    <xf numFmtId="9" fontId="0" fillId="2" borderId="1" xfId="1" applyFont="1" applyFill="1" applyBorder="1"/>
    <xf numFmtId="9" fontId="0" fillId="2" borderId="16" xfId="1" applyFont="1" applyFill="1" applyBorder="1"/>
    <xf numFmtId="9" fontId="2" fillId="0" borderId="0" xfId="0" applyNumberFormat="1" applyFont="1"/>
    <xf numFmtId="9" fontId="2" fillId="2" borderId="0" xfId="1" applyFont="1" applyFill="1"/>
    <xf numFmtId="165" fontId="0" fillId="0" borderId="0" xfId="1" applyNumberFormat="1" applyFont="1"/>
    <xf numFmtId="0" fontId="28" fillId="15" borderId="5" xfId="0" applyFont="1" applyFill="1" applyBorder="1" applyAlignment="1">
      <alignment horizontal="left" indent="2"/>
    </xf>
    <xf numFmtId="0" fontId="2" fillId="15" borderId="0" xfId="0" applyFont="1" applyFill="1"/>
    <xf numFmtId="1" fontId="2" fillId="15" borderId="0" xfId="0" applyNumberFormat="1" applyFont="1" applyFill="1" applyAlignment="1">
      <alignment horizontal="right"/>
    </xf>
    <xf numFmtId="1" fontId="2" fillId="15" borderId="18" xfId="0" applyNumberFormat="1" applyFont="1" applyFill="1" applyBorder="1" applyAlignment="1">
      <alignment horizontal="right"/>
    </xf>
    <xf numFmtId="164" fontId="2" fillId="3" borderId="15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right" wrapText="1"/>
    </xf>
    <xf numFmtId="1" fontId="11" fillId="16" borderId="15" xfId="0" applyNumberFormat="1" applyFont="1" applyFill="1" applyBorder="1" applyAlignment="1">
      <alignment horizontal="right"/>
    </xf>
    <xf numFmtId="1" fontId="11" fillId="17" borderId="15" xfId="0" applyNumberFormat="1" applyFont="1" applyFill="1" applyBorder="1"/>
    <xf numFmtId="164" fontId="0" fillId="0" borderId="0" xfId="0" applyNumberFormat="1"/>
    <xf numFmtId="2" fontId="0" fillId="2" borderId="18" xfId="0" applyNumberFormat="1" applyFill="1" applyBorder="1" applyAlignment="1">
      <alignment horizontal="right"/>
    </xf>
    <xf numFmtId="2" fontId="2" fillId="3" borderId="15" xfId="0" applyNumberFormat="1" applyFont="1" applyFill="1" applyBorder="1" applyAlignment="1">
      <alignment horizontal="right"/>
    </xf>
    <xf numFmtId="43" fontId="0" fillId="2" borderId="0" xfId="6" applyFont="1" applyFill="1"/>
    <xf numFmtId="0" fontId="23" fillId="2" borderId="8" xfId="0" applyFont="1" applyFill="1" applyBorder="1" applyAlignment="1">
      <alignment horizontal="left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23" fillId="2" borderId="9" xfId="0" applyFont="1" applyFill="1" applyBorder="1" applyAlignment="1">
      <alignment horizontal="left" vertical="center" wrapText="1"/>
    </xf>
  </cellXfs>
  <cellStyles count="7">
    <cellStyle name="Lien hypertexte" xfId="3" builtinId="8"/>
    <cellStyle name="Milliers" xfId="6" builtinId="3"/>
    <cellStyle name="Motif 2 2" xfId="2" xr:uid="{00000000-0005-0000-0000-000001000000}"/>
    <cellStyle name="Normal" xfId="0" builtinId="0"/>
    <cellStyle name="Normal 2" xfId="5" xr:uid="{00000000-0005-0000-0000-000003000000}"/>
    <cellStyle name="Pourcentage" xfId="1" builtinId="5"/>
    <cellStyle name="Texte explicatif" xfId="4" builtinId="53"/>
  </cellStyles>
  <dxfs count="0"/>
  <tableStyles count="0" defaultTableStyle="TableStyleMedium2" defaultPivotStyle="PivotStyleLight16"/>
  <colors>
    <mruColors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worksheet" Target="worksheets/sheet7.xml"/><Relationship Id="rId18" Type="http://schemas.openxmlformats.org/officeDocument/2006/relationships/chartsheet" Target="chartsheets/sheet10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chartsheet" Target="chartsheets/sheet1.xml"/><Relationship Id="rId12" Type="http://schemas.openxmlformats.org/officeDocument/2006/relationships/chartsheet" Target="chartsheets/sheet6.xml"/><Relationship Id="rId17" Type="http://schemas.openxmlformats.org/officeDocument/2006/relationships/chartsheet" Target="chartsheets/sheet9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8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5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8.xml"/><Relationship Id="rId23" Type="http://schemas.openxmlformats.org/officeDocument/2006/relationships/externalLink" Target="externalLinks/externalLink4.xml"/><Relationship Id="rId28" Type="http://schemas.openxmlformats.org/officeDocument/2006/relationships/sharedStrings" Target="sharedStrings.xml"/><Relationship Id="rId10" Type="http://schemas.openxmlformats.org/officeDocument/2006/relationships/chartsheet" Target="chartsheets/sheet4.xml"/><Relationship Id="rId1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3.xml"/><Relationship Id="rId14" Type="http://schemas.openxmlformats.org/officeDocument/2006/relationships/chartsheet" Target="chartsheets/sheet7.xml"/><Relationship Id="rId22" Type="http://schemas.openxmlformats.org/officeDocument/2006/relationships/externalLink" Target="externalLinks/externalLink3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Graphs'!$B$4</c:f>
          <c:strCache>
            <c:ptCount val="1"/>
            <c:pt idx="0">
              <c:v>SNBC3 : Energie finale par usage et énergie primaire (Mtep)</c:v>
            </c:pt>
          </c:strCache>
        </c:strRef>
      </c:tx>
      <c:layout>
        <c:manualLayout>
          <c:xMode val="edge"/>
          <c:yMode val="edge"/>
          <c:x val="4.15560737277888E-2"/>
          <c:y val="1.8790867843499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2368481705777662E-2"/>
          <c:y val="9.2178709531540379E-2"/>
          <c:w val="0.72086842510503502"/>
          <c:h val="0.8074301152169982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energie usages'!#REF!</c:f>
              <c:strCache>
                <c:ptCount val="1"/>
                <c:pt idx="0">
                  <c:v>ER_RESIDENTIAL_coal_2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E4B-4528-ADD6-F8FC9A686728}"/>
            </c:ext>
          </c:extLst>
        </c:ser>
        <c:ser>
          <c:idx val="0"/>
          <c:order val="1"/>
          <c:tx>
            <c:strRef>
              <c:f>'T energie usages'!#REF!</c:f>
              <c:strCache>
                <c:ptCount val="1"/>
                <c:pt idx="0">
                  <c:v>ER_TRANS_PUBLIC_coal_2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E4B-4528-ADD6-F8FC9A686728}"/>
            </c:ext>
          </c:extLst>
        </c:ser>
        <c:ser>
          <c:idx val="2"/>
          <c:order val="2"/>
          <c:tx>
            <c:strRef>
              <c:f>'T energie usages'!#REF!</c:f>
              <c:strCache>
                <c:ptCount val="1"/>
                <c:pt idx="0">
                  <c:v>ER_TERTIARY_coal_2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E4B-4528-ADD6-F8FC9A686728}"/>
            </c:ext>
          </c:extLst>
        </c:ser>
        <c:ser>
          <c:idx val="3"/>
          <c:order val="3"/>
          <c:tx>
            <c:strRef>
              <c:f>'T energie usages'!#REF!</c:f>
              <c:strCache>
                <c:ptCount val="1"/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E4B-4528-ADD6-F8FC9A68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5744"/>
        <c:axId val="213036528"/>
      </c:barChart>
      <c:lineChart>
        <c:grouping val="standard"/>
        <c:varyColors val="0"/>
        <c:ser>
          <c:idx val="4"/>
          <c:order val="4"/>
          <c:tx>
            <c:strRef>
              <c:f>'T energie vecteurs'!$Z$8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369058718806952E-3"/>
                  <c:y val="-3.959428411466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4B-4528-ADD6-F8FC9A686728}"/>
                </c:ext>
              </c:extLst>
            </c:dLbl>
            <c:dLbl>
              <c:idx val="1"/>
              <c:layout>
                <c:manualLayout>
                  <c:x val="1.3684529359403977E-3"/>
                  <c:y val="-2.7090825973194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4B-4528-ADD6-F8FC9A686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vecteurs'!$AA$8:$AC$8</c:f>
              <c:numCache>
                <c:formatCode>0</c:formatCode>
                <c:ptCount val="3"/>
                <c:pt idx="0">
                  <c:v>227.8387098961</c:v>
                </c:pt>
                <c:pt idx="1">
                  <c:v>246.79317081720001</c:v>
                </c:pt>
                <c:pt idx="2">
                  <c:v>247.56771539689998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9E4B-4528-ADD6-F8FC9A686728}"/>
            </c:ext>
          </c:extLst>
        </c:ser>
        <c:ser>
          <c:idx val="5"/>
          <c:order val="5"/>
          <c:tx>
            <c:strRef>
              <c:f>'T energie usages'!#REF!</c:f>
              <c:strCache>
                <c:ptCount val="1"/>
                <c:pt idx="0">
                  <c:v>ER_INDUS_coal_2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3647219379051268E-3"/>
                  <c:y val="-3.1347962382445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87-4F22-A5E8-E4153E109927}"/>
                </c:ext>
              </c:extLst>
            </c:dLbl>
            <c:dLbl>
              <c:idx val="1"/>
              <c:layout>
                <c:manualLayout>
                  <c:x val="1.3647219379051519E-3"/>
                  <c:y val="-2.50783699059561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87-4F22-A5E8-E4153E109927}"/>
                </c:ext>
              </c:extLst>
            </c:dLbl>
            <c:dLbl>
              <c:idx val="2"/>
              <c:layout>
                <c:manualLayout>
                  <c:x val="5.4588877516206077E-3"/>
                  <c:y val="-1.4629049111807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87-4F22-A5E8-E4153E109927}"/>
                </c:ext>
              </c:extLst>
            </c:dLbl>
            <c:spPr>
              <a:solidFill>
                <a:srgbClr val="FFFF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</c:numRef>
          </c:val>
          <c:smooth val="0"/>
          <c:extLst>
            <c:ext xmlns:c16="http://schemas.microsoft.com/office/drawing/2014/chart" uri="{C3380CC4-5D6E-409C-BE32-E72D297353CC}">
              <c16:uniqueId val="{00000000-B687-4F22-A5E8-E4153E109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35744"/>
        <c:axId val="213036528"/>
      </c:lineChart>
      <c:catAx>
        <c:axId val="2130357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528"/>
        <c:crosses val="autoZero"/>
        <c:auto val="1"/>
        <c:lblAlgn val="ctr"/>
        <c:lblOffset val="100"/>
        <c:noMultiLvlLbl val="0"/>
      </c:catAx>
      <c:valAx>
        <c:axId val="213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88045232372196"/>
          <c:y val="0.13592261164763317"/>
          <c:w val="0.19311954480613158"/>
          <c:h val="0.5068572227844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vecteurs'!$Z$48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7.8001817348599803E-2"/>
                  <c:y val="-1.4607571454275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CC-4F25-BB18-D2DE93E1EAE8}"/>
                </c:ext>
              </c:extLst>
            </c:dLbl>
            <c:dLbl>
              <c:idx val="1"/>
              <c:layout>
                <c:manualLayout>
                  <c:x val="7.9370270284540051E-2"/>
                  <c:y val="-1.6694367376314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CC-4F25-BB18-D2DE93E1EAE8}"/>
                </c:ext>
              </c:extLst>
            </c:dLbl>
            <c:dLbl>
              <c:idx val="2"/>
              <c:layout>
                <c:manualLayout>
                  <c:x val="8.2107176156420852E-2"/>
                  <c:y val="-2.92151429085498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C-4F25-BB18-D2DE93E1EA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vecteurs'!$AA$43:$AC$43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vecteurs'!$AA$48:$AC$48</c:f>
              <c:numCache>
                <c:formatCode>0</c:formatCode>
                <c:ptCount val="3"/>
                <c:pt idx="0">
                  <c:v>2.1012811170000001</c:v>
                </c:pt>
                <c:pt idx="1">
                  <c:v>1.933405297</c:v>
                </c:pt>
                <c:pt idx="2">
                  <c:v>2.169658036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CC-4F25-BB18-D2DE93E1EAE8}"/>
            </c:ext>
          </c:extLst>
        </c:ser>
        <c:ser>
          <c:idx val="3"/>
          <c:order val="1"/>
          <c:tx>
            <c:strRef>
              <c:f>'T energie vecteurs'!$Z$47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CC-4F25-BB18-D2DE93E1EAE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CC-4F25-BB18-D2DE93E1EA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vecteurs'!$AA$43:$AC$43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vecteurs'!$AA$47:$AC$47</c:f>
              <c:numCache>
                <c:formatCode>0</c:formatCode>
                <c:ptCount val="3"/>
                <c:pt idx="0">
                  <c:v>62.280174747000004</c:v>
                </c:pt>
                <c:pt idx="1">
                  <c:v>58.134931923000003</c:v>
                </c:pt>
                <c:pt idx="2">
                  <c:v>51.453215346999997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CC-4F25-BB18-D2DE93E1EAE8}"/>
            </c:ext>
          </c:extLst>
        </c:ser>
        <c:ser>
          <c:idx val="1"/>
          <c:order val="2"/>
          <c:tx>
            <c:strRef>
              <c:f>'T energie vecteurs'!$Z$45</c:f>
              <c:strCache>
                <c:ptCount val="1"/>
                <c:pt idx="0">
                  <c:v>chaleur (bois…)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vecteurs'!$AA$43:$AC$43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vecteurs'!$AA$45:$AC$45</c:f>
              <c:numCache>
                <c:formatCode>0</c:formatCode>
                <c:ptCount val="3"/>
                <c:pt idx="0">
                  <c:v>11.8183584534</c:v>
                </c:pt>
                <c:pt idx="1">
                  <c:v>18.272633693000003</c:v>
                </c:pt>
                <c:pt idx="2">
                  <c:v>27.263163715000001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CC-4F25-BB18-D2DE93E1EAE8}"/>
            </c:ext>
          </c:extLst>
        </c:ser>
        <c:ser>
          <c:idx val="2"/>
          <c:order val="3"/>
          <c:tx>
            <c:strRef>
              <c:f>'T energie vecteurs'!$Z$46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vecteurs'!$AA$43:$AC$43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vecteurs'!$AA$46:$AC$46</c:f>
              <c:numCache>
                <c:formatCode>0</c:formatCode>
                <c:ptCount val="3"/>
                <c:pt idx="0">
                  <c:v>26.328999264</c:v>
                </c:pt>
                <c:pt idx="1">
                  <c:v>22.737212897999999</c:v>
                </c:pt>
                <c:pt idx="2">
                  <c:v>15.881494797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CC-4F25-BB18-D2DE93E1EAE8}"/>
            </c:ext>
          </c:extLst>
        </c:ser>
        <c:ser>
          <c:idx val="4"/>
          <c:order val="4"/>
          <c:tx>
            <c:strRef>
              <c:f>'T energie vecteurs'!$Z$44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vecteurs'!$AA$43:$AC$43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vecteurs'!$AA$44:$AC$44</c:f>
              <c:numCache>
                <c:formatCode>0</c:formatCode>
                <c:ptCount val="3"/>
                <c:pt idx="0">
                  <c:v>36.508175063400003</c:v>
                </c:pt>
                <c:pt idx="1">
                  <c:v>41.490494691900011</c:v>
                </c:pt>
                <c:pt idx="2">
                  <c:v>48.493260292500004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1CC-4F25-BB18-D2DE93E1E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11088"/>
        <c:axId val="231610696"/>
      </c:barChart>
      <c:catAx>
        <c:axId val="2316110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10696"/>
        <c:crosses val="autoZero"/>
        <c:auto val="1"/>
        <c:lblAlgn val="ctr"/>
        <c:lblOffset val="100"/>
        <c:noMultiLvlLbl val="0"/>
      </c:catAx>
      <c:valAx>
        <c:axId val="231610696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Graphs'!$B$5</c:f>
              <c:strCache>
                <c:ptCount val="1"/>
                <c:pt idx="0">
                  <c:v>SNBC3 : Ventilation du mix énergie (Mtep)</c:v>
                </c:pt>
              </c:strCache>
            </c:strRef>
          </c:tx>
          <c:layout>
            <c:manualLayout>
              <c:xMode val="edge"/>
              <c:yMode val="edge"/>
              <c:x val="2.0489572797247235E-2"/>
              <c:y val="9.06718205775574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1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6142380739596005"/>
          <c:y val="0.24874563404511155"/>
          <c:w val="0.1834512958142259"/>
          <c:h val="0.236074017393593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17079043396847435"/>
          <c:w val="0.69226941862961444"/>
          <c:h val="0.632364394384047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vecteurs'!$Z$33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7.8001817348599803E-2"/>
                  <c:y val="-1.4607571454275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6E-4ECA-9D5C-5B4727E02E74}"/>
                </c:ext>
              </c:extLst>
            </c:dLbl>
            <c:dLbl>
              <c:idx val="1"/>
              <c:layout>
                <c:manualLayout>
                  <c:x val="7.9370270284540051E-2"/>
                  <c:y val="-1.6694367376314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6E-4ECA-9D5C-5B4727E02E74}"/>
                </c:ext>
              </c:extLst>
            </c:dLbl>
            <c:dLbl>
              <c:idx val="2"/>
              <c:layout>
                <c:manualLayout>
                  <c:x val="8.2107176156420852E-2"/>
                  <c:y val="-2.92151429085498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6E-4ECA-9D5C-5B4727E02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vecteurs'!$AA$33:$AC$33</c:f>
              <c:numCache>
                <c:formatCode>0%</c:formatCode>
                <c:ptCount val="3"/>
                <c:pt idx="0">
                  <c:v>8.6413757782232824E-3</c:v>
                </c:pt>
                <c:pt idx="1">
                  <c:v>1.0597805966527608E-2</c:v>
                </c:pt>
                <c:pt idx="2">
                  <c:v>1.0597805965203034E-2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E-4ECA-9D5C-5B4727E02E74}"/>
            </c:ext>
          </c:extLst>
        </c:ser>
        <c:ser>
          <c:idx val="1"/>
          <c:order val="1"/>
          <c:tx>
            <c:strRef>
              <c:f>'T energie vecteurs'!$Z$34</c:f>
              <c:strCache>
                <c:ptCount val="1"/>
                <c:pt idx="0">
                  <c:v>nucléaire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vecteurs'!$AA$34:$AC$34</c:f>
              <c:numCache>
                <c:formatCode>0%</c:formatCode>
                <c:ptCount val="3"/>
                <c:pt idx="0">
                  <c:v>0.69408091300086261</c:v>
                </c:pt>
                <c:pt idx="1">
                  <c:v>0.66814169958334912</c:v>
                </c:pt>
                <c:pt idx="2">
                  <c:v>0.66814169957987046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6E-4ECA-9D5C-5B4727E02E74}"/>
            </c:ext>
          </c:extLst>
        </c:ser>
        <c:ser>
          <c:idx val="2"/>
          <c:order val="2"/>
          <c:tx>
            <c:strRef>
              <c:f>'T energie vecteurs'!$Z$35</c:f>
              <c:strCache>
                <c:ptCount val="1"/>
                <c:pt idx="0">
                  <c:v>hydraulique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vecteurs'!$AA$35:$AC$35</c:f>
              <c:numCache>
                <c:formatCode>0%</c:formatCode>
                <c:ptCount val="3"/>
                <c:pt idx="0">
                  <c:v>0.10258601322843573</c:v>
                </c:pt>
                <c:pt idx="1">
                  <c:v>0.11650798518783902</c:v>
                </c:pt>
                <c:pt idx="2">
                  <c:v>0.11650798519054842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6E-4ECA-9D5C-5B4727E02E74}"/>
            </c:ext>
          </c:extLst>
        </c:ser>
        <c:ser>
          <c:idx val="3"/>
          <c:order val="3"/>
          <c:tx>
            <c:strRef>
              <c:f>'T energie vecteurs'!$Z$36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6E-4ECA-9D5C-5B4727E02E7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6E-4ECA-9D5C-5B4727E02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vecteurs'!$AA$36:$AC$36</c:f>
              <c:numCache>
                <c:formatCode>0%</c:formatCode>
                <c:ptCount val="3"/>
                <c:pt idx="0">
                  <c:v>3.6998234276413758E-2</c:v>
                </c:pt>
                <c:pt idx="1">
                  <c:v>4.095913019643433E-2</c:v>
                </c:pt>
                <c:pt idx="2">
                  <c:v>4.0959130197051184E-2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6E-4ECA-9D5C-5B4727E02E74}"/>
            </c:ext>
          </c:extLst>
        </c:ser>
        <c:ser>
          <c:idx val="4"/>
          <c:order val="4"/>
          <c:tx>
            <c:strRef>
              <c:f>'T energie vecteurs'!$Z$37</c:f>
              <c:strCache>
                <c:ptCount val="1"/>
                <c:pt idx="0">
                  <c:v>éolien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vecteurs'!$AA$37:$AC$37</c:f>
              <c:numCache>
                <c:formatCode>0%</c:formatCode>
                <c:ptCount val="3"/>
                <c:pt idx="0">
                  <c:v>8.395235707283151E-2</c:v>
                </c:pt>
                <c:pt idx="1">
                  <c:v>9.6599140833634162E-2</c:v>
                </c:pt>
                <c:pt idx="2">
                  <c:v>9.6599140823791826E-2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6E-4ECA-9D5C-5B4727E02E74}"/>
            </c:ext>
          </c:extLst>
        </c:ser>
        <c:ser>
          <c:idx val="5"/>
          <c:order val="5"/>
          <c:tx>
            <c:strRef>
              <c:f>'T energie vecteurs'!$Z$38</c:f>
              <c:strCache>
                <c:ptCount val="1"/>
                <c:pt idx="0">
                  <c:v>autres renouvelables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>
              <a:glow rad="12700">
                <a:schemeClr val="accent1"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vecteurs'!$AA$38:$AC$38</c:f>
              <c:numCache>
                <c:formatCode>0%</c:formatCode>
                <c:ptCount val="3"/>
                <c:pt idx="0">
                  <c:v>7.3741106643233023E-2</c:v>
                </c:pt>
                <c:pt idx="1">
                  <c:v>6.7194238232215459E-2</c:v>
                </c:pt>
                <c:pt idx="2">
                  <c:v>6.7194238243534987E-2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6E-4ECA-9D5C-5B4727E02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9912"/>
        <c:axId val="231609520"/>
      </c:barChart>
      <c:catAx>
        <c:axId val="2316099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520"/>
        <c:crosses val="autoZero"/>
        <c:auto val="1"/>
        <c:lblAlgn val="ctr"/>
        <c:lblOffset val="100"/>
        <c:noMultiLvlLbl val="0"/>
      </c:catAx>
      <c:valAx>
        <c:axId val="231609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Graphs'!$B$6</c:f>
              <c:strCache>
                <c:ptCount val="1"/>
                <c:pt idx="0">
                  <c:v>SNBC3 : Ventilation du mix electrique (%)</c:v>
                </c:pt>
              </c:strCache>
            </c:strRef>
          </c:tx>
          <c:layout>
            <c:manualLayout>
              <c:xMode val="edge"/>
              <c:yMode val="edge"/>
              <c:x val="2.32246046167306E-2"/>
              <c:y val="2.40238083172658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ayout>
        <c:manualLayout>
          <c:xMode val="edge"/>
          <c:yMode val="edge"/>
          <c:x val="0.76142382417816912"/>
          <c:y val="0.18003801760696372"/>
          <c:w val="0.23418248890987423"/>
          <c:h val="0.6262653744419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vecteurs'!$AE$33</c:f>
              <c:strCache>
                <c:ptCount val="1"/>
                <c:pt idx="0">
                  <c:v>carburants fossiles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44-4744-9C62-05D9B6E91931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44-4744-9C62-05D9B6E91931}"/>
                </c:ext>
              </c:extLst>
            </c:dLbl>
            <c:dLbl>
              <c:idx val="2"/>
              <c:layout>
                <c:manualLayout>
                  <c:x val="4.1053588078210426E-3"/>
                  <c:y val="2.04354419545825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44-4744-9C62-05D9B6E919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vecteurs'!$AF$32:$AH$32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vecteurs'!$AF$33:$AH$33</c:f>
              <c:numCache>
                <c:formatCode>0%</c:formatCode>
                <c:ptCount val="3"/>
                <c:pt idx="0">
                  <c:v>0.95161573824670176</c:v>
                </c:pt>
                <c:pt idx="1">
                  <c:v>0.94420749942055449</c:v>
                </c:pt>
                <c:pt idx="2">
                  <c:v>0.94420749942175619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44-4744-9C62-05D9B6E91931}"/>
            </c:ext>
          </c:extLst>
        </c:ser>
        <c:ser>
          <c:idx val="1"/>
          <c:order val="1"/>
          <c:tx>
            <c:strRef>
              <c:f>'T energie vecteurs'!$AE$34</c:f>
              <c:strCache>
                <c:ptCount val="1"/>
                <c:pt idx="0">
                  <c:v>biocarburants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vecteurs'!$AF$32:$AH$32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vecteurs'!$AF$34:$AH$34</c:f>
              <c:numCache>
                <c:formatCode>0%</c:formatCode>
                <c:ptCount val="3"/>
                <c:pt idx="0">
                  <c:v>4.8384261753298186E-2</c:v>
                </c:pt>
                <c:pt idx="1">
                  <c:v>5.5792500579445466E-2</c:v>
                </c:pt>
                <c:pt idx="2">
                  <c:v>5.5792500578243802E-2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44-4744-9C62-05D9B6E91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8736"/>
        <c:axId val="231608344"/>
      </c:barChart>
      <c:catAx>
        <c:axId val="2316087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344"/>
        <c:crosses val="autoZero"/>
        <c:auto val="1"/>
        <c:lblAlgn val="ctr"/>
        <c:lblOffset val="100"/>
        <c:noMultiLvlLbl val="0"/>
      </c:catAx>
      <c:valAx>
        <c:axId val="2316083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Graphs'!$B$7</c:f>
              <c:strCache>
                <c:ptCount val="1"/>
                <c:pt idx="0">
                  <c:v>SNBC3 : Ventilation du mix carburant (%)</c:v>
                </c:pt>
              </c:strCache>
            </c:strRef>
          </c:tx>
          <c:layout>
            <c:manualLayout>
              <c:xMode val="edge"/>
              <c:yMode val="edge"/>
              <c:x val="2.3226525402096191E-2"/>
              <c:y val="6.35810691736592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6142382417816912"/>
          <c:y val="0.29042382785002546"/>
          <c:w val="0.23418248890987423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vecteurs'!$AJ$33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1A-429A-8A28-44CA5ABCCE07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1A-429A-8A28-44CA5ABCCE07}"/>
                </c:ext>
              </c:extLst>
            </c:dLbl>
            <c:dLbl>
              <c:idx val="2"/>
              <c:layout>
                <c:manualLayout>
                  <c:x val="8.484408202830164E-2"/>
                  <c:y val="-2.7131191467981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A-429A-8A28-44CA5ABCC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vecteurs'!$AK$32:$AM$32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vecteurs'!$AK$33:$AM$33</c:f>
              <c:numCache>
                <c:formatCode>0%</c:formatCode>
                <c:ptCount val="3"/>
                <c:pt idx="0">
                  <c:v>0.97055581086744946</c:v>
                </c:pt>
                <c:pt idx="1">
                  <c:v>0.91440264527007209</c:v>
                </c:pt>
                <c:pt idx="2">
                  <c:v>0.80715682647337894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1A-429A-8A28-44CA5ABCCE07}"/>
            </c:ext>
          </c:extLst>
        </c:ser>
        <c:ser>
          <c:idx val="1"/>
          <c:order val="1"/>
          <c:tx>
            <c:strRef>
              <c:f>'T energie vecteurs'!$AJ$34</c:f>
              <c:strCache>
                <c:ptCount val="1"/>
                <c:pt idx="0">
                  <c:v>biogaz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10536902887139103"/>
                  <c:y val="2.70862739908040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1A-429A-8A28-44CA5ABCCE07}"/>
                </c:ext>
              </c:extLst>
            </c:dLbl>
            <c:dLbl>
              <c:idx val="1"/>
              <c:layout>
                <c:manualLayout>
                  <c:x val="9.7156470825762162E-2"/>
                  <c:y val="2.7079222152742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1A-429A-8A28-44CA5ABCCE07}"/>
                </c:ext>
              </c:extLst>
            </c:dLbl>
            <c:dLbl>
              <c:idx val="2"/>
              <c:layout>
                <c:manualLayout>
                  <c:x val="7.9316239316239323E-2"/>
                  <c:y val="2.0827521716791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1A-429A-8A28-44CA5ABCC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vecteurs'!$AK$32:$AM$32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vecteurs'!$AK$34:$AM$34</c:f>
              <c:numCache>
                <c:formatCode>0%</c:formatCode>
                <c:ptCount val="3"/>
                <c:pt idx="0">
                  <c:v>2.9444189132550539E-2</c:v>
                </c:pt>
                <c:pt idx="1">
                  <c:v>8.5597354729927994E-2</c:v>
                </c:pt>
                <c:pt idx="2">
                  <c:v>0.19284317352662103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1A-429A-8A28-44CA5ABC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7560"/>
        <c:axId val="231607168"/>
      </c:barChart>
      <c:catAx>
        <c:axId val="2316075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168"/>
        <c:crosses val="autoZero"/>
        <c:auto val="1"/>
        <c:lblAlgn val="ctr"/>
        <c:lblOffset val="100"/>
        <c:noMultiLvlLbl val="0"/>
      </c:catAx>
      <c:valAx>
        <c:axId val="23160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Graphs'!$B$8</c:f>
              <c:strCache>
                <c:ptCount val="1"/>
                <c:pt idx="0">
                  <c:v>SNBC3 : Ventilation du mix gaz (%)</c:v>
                </c:pt>
              </c:strCache>
            </c:strRef>
          </c:tx>
          <c:layout>
            <c:manualLayout>
              <c:xMode val="edge"/>
              <c:yMode val="edge"/>
              <c:x val="2.0489572797247235E-2"/>
              <c:y val="9.06718205775574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1753037776951432"/>
          <c:y val="0.29042382785002546"/>
          <c:w val="0.13839078339404989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740912847575234E-2"/>
          <c:y val="0.17593989942704161"/>
          <c:w val="0.73258526136090329"/>
          <c:h val="0.7405622021454180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CO2'!$K$8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CO2'!$L$8:$N$8</c:f>
              <c:numCache>
                <c:formatCode>0</c:formatCode>
                <c:ptCount val="3"/>
                <c:pt idx="0">
                  <c:v>124.92926969190789</c:v>
                </c:pt>
                <c:pt idx="1">
                  <c:v>115.24373789410231</c:v>
                </c:pt>
                <c:pt idx="2">
                  <c:v>93.788102691176903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F-409C-BDBE-F99B69B3F72E}"/>
            </c:ext>
          </c:extLst>
        </c:ser>
        <c:ser>
          <c:idx val="0"/>
          <c:order val="1"/>
          <c:tx>
            <c:strRef>
              <c:f>'T CO2'!$K$9</c:f>
              <c:strCache>
                <c:ptCount val="1"/>
                <c:pt idx="0">
                  <c:v>Residentiel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CO2'!$L$9:$N$9</c:f>
              <c:numCache>
                <c:formatCode>0</c:formatCode>
                <c:ptCount val="3"/>
                <c:pt idx="0">
                  <c:v>53.099435662269485</c:v>
                </c:pt>
                <c:pt idx="1">
                  <c:v>45.591426688023915</c:v>
                </c:pt>
                <c:pt idx="2">
                  <c:v>34.467710063468715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F-409C-BDBE-F99B69B3F72E}"/>
            </c:ext>
          </c:extLst>
        </c:ser>
        <c:ser>
          <c:idx val="2"/>
          <c:order val="2"/>
          <c:tx>
            <c:strRef>
              <c:f>'T CO2'!$K$10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CO2'!$L$10:$N$10</c:f>
              <c:numCache>
                <c:formatCode>0</c:formatCode>
                <c:ptCount val="3"/>
                <c:pt idx="0">
                  <c:v>24.435405696537821</c:v>
                </c:pt>
                <c:pt idx="1">
                  <c:v>20.230615663063077</c:v>
                </c:pt>
                <c:pt idx="2">
                  <c:v>13.239648173207557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CF-409C-BDBE-F99B69B3F72E}"/>
            </c:ext>
          </c:extLst>
        </c:ser>
        <c:ser>
          <c:idx val="3"/>
          <c:order val="3"/>
          <c:tx>
            <c:strRef>
              <c:f>'T CO2'!$K$11</c:f>
              <c:strCache>
                <c:ptCount val="1"/>
                <c:pt idx="0">
                  <c:v>Industrie et agriculture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CO2'!$L$11:$N$11</c:f>
              <c:numCache>
                <c:formatCode>0</c:formatCode>
                <c:ptCount val="3"/>
                <c:pt idx="0">
                  <c:v>95.467411196822951</c:v>
                </c:pt>
                <c:pt idx="1">
                  <c:v>92.642455015429789</c:v>
                </c:pt>
                <c:pt idx="2">
                  <c:v>95.346234682828054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CF-409C-BDBE-F99B69B3F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7312"/>
        <c:axId val="213036136"/>
      </c:barChart>
      <c:catAx>
        <c:axId val="2130373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136"/>
        <c:crosses val="autoZero"/>
        <c:auto val="1"/>
        <c:lblAlgn val="ctr"/>
        <c:lblOffset val="100"/>
        <c:noMultiLvlLbl val="0"/>
      </c:catAx>
      <c:valAx>
        <c:axId val="21303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Graphs'!$B$9</c:f>
              <c:strCache>
                <c:ptCount val="1"/>
                <c:pt idx="0">
                  <c:v>SNBC3 : Emissions CO2 (Mt.eqCO2)</c:v>
                </c:pt>
              </c:strCache>
            </c:strRef>
          </c:tx>
          <c:layout>
            <c:manualLayout>
              <c:xMode val="edge"/>
              <c:yMode val="edge"/>
              <c:x val="1.3659715198164822E-2"/>
              <c:y val="2.39046555568133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91366156517532"/>
          <c:y val="0.28558169209001705"/>
          <c:w val="0.16625648083574224"/>
          <c:h val="0.6801360415763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Titre du graphique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677304466662714E-2"/>
          <c:y val="0.18782278038184441"/>
          <c:w val="0.91111197791769516"/>
          <c:h val="0.62158940284337161"/>
        </c:manualLayout>
      </c:layout>
      <c:lineChart>
        <c:grouping val="standard"/>
        <c:varyColors val="0"/>
        <c:ser>
          <c:idx val="1"/>
          <c:order val="0"/>
          <c:tx>
            <c:strRef>
              <c:f>'T parc auto'!$A$4</c:f>
              <c:strCache>
                <c:ptCount val="1"/>
                <c:pt idx="0">
                  <c:v>SNBC3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 parc auto'!$I$3:$AM$3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'T parc auto'!$I$5:$AM$5</c:f>
              <c:numCache>
                <c:formatCode>#\ ##0.0</c:formatCode>
                <c:ptCount val="31"/>
                <c:pt idx="0">
                  <c:v>37.467881659999996</c:v>
                </c:pt>
                <c:pt idx="1">
                  <c:v>37.680910770000004</c:v>
                </c:pt>
                <c:pt idx="2">
                  <c:v>37.788529199999999</c:v>
                </c:pt>
                <c:pt idx="3">
                  <c:v>37.735726450000001</c:v>
                </c:pt>
                <c:pt idx="4">
                  <c:v>37.793078909999998</c:v>
                </c:pt>
                <c:pt idx="5">
                  <c:v>37.104334779999995</c:v>
                </c:pt>
                <c:pt idx="6">
                  <c:v>36.97762359</c:v>
                </c:pt>
                <c:pt idx="7">
                  <c:v>37.062246120000005</c:v>
                </c:pt>
                <c:pt idx="8">
                  <c:v>37.230037609999997</c:v>
                </c:pt>
                <c:pt idx="9">
                  <c:v>37.429985030000005</c:v>
                </c:pt>
                <c:pt idx="10">
                  <c:v>37.103671970000001</c:v>
                </c:pt>
                <c:pt idx="11">
                  <c:v>37.166425140000001</c:v>
                </c:pt>
                <c:pt idx="12">
                  <c:v>37.28414325</c:v>
                </c:pt>
                <c:pt idx="13">
                  <c:v>37.428507749999994</c:v>
                </c:pt>
                <c:pt idx="14">
                  <c:v>37.586864970000001</c:v>
                </c:pt>
                <c:pt idx="15">
                  <c:v>37.36256676</c:v>
                </c:pt>
                <c:pt idx="16">
                  <c:v>37.382751559999996</c:v>
                </c:pt>
                <c:pt idx="17">
                  <c:v>37.511954230000001</c:v>
                </c:pt>
                <c:pt idx="18">
                  <c:v>37.683449969999998</c:v>
                </c:pt>
                <c:pt idx="19">
                  <c:v>37.875864829999998</c:v>
                </c:pt>
                <c:pt idx="20">
                  <c:v>38.081349680000002</c:v>
                </c:pt>
                <c:pt idx="21">
                  <c:v>38.195895270000001</c:v>
                </c:pt>
                <c:pt idx="22">
                  <c:v>38.269756269999995</c:v>
                </c:pt>
                <c:pt idx="23">
                  <c:v>38.325709860000003</c:v>
                </c:pt>
                <c:pt idx="24">
                  <c:v>38.371473760000001</c:v>
                </c:pt>
                <c:pt idx="25">
                  <c:v>38.14002996</c:v>
                </c:pt>
                <c:pt idx="26">
                  <c:v>38.021783759999998</c:v>
                </c:pt>
                <c:pt idx="27">
                  <c:v>37.94850916</c:v>
                </c:pt>
                <c:pt idx="28">
                  <c:v>37.889598149999998</c:v>
                </c:pt>
                <c:pt idx="29">
                  <c:v>37.833162120000004</c:v>
                </c:pt>
                <c:pt idx="30">
                  <c:v>37.774650130000005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C3-45D2-B2A5-76AA1C492B9B}"/>
            </c:ext>
          </c:extLst>
        </c:ser>
        <c:ser>
          <c:idx val="2"/>
          <c:order val="1"/>
          <c:tx>
            <c:strRef>
              <c:f>'[6]T parc auto'!$A$4</c:f>
              <c:strCache>
                <c:ptCount val="1"/>
                <c:pt idx="0">
                  <c:v>TEND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 parc auto'!$I$3:$AM$3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'[6]T parc auto'!$I$5:$AM$5</c:f>
              <c:numCache>
                <c:formatCode>General</c:formatCode>
                <c:ptCount val="31"/>
                <c:pt idx="0">
                  <c:v>34.664492700000004</c:v>
                </c:pt>
                <c:pt idx="1">
                  <c:v>34.956187980000003</c:v>
                </c:pt>
                <c:pt idx="2">
                  <c:v>35.116030049999999</c:v>
                </c:pt>
                <c:pt idx="3">
                  <c:v>35.22984451</c:v>
                </c:pt>
                <c:pt idx="4">
                  <c:v>35.293663940000002</c:v>
                </c:pt>
                <c:pt idx="5">
                  <c:v>35.310390290000001</c:v>
                </c:pt>
                <c:pt idx="6">
                  <c:v>35.378433780000002</c:v>
                </c:pt>
                <c:pt idx="7">
                  <c:v>35.496856720000004</c:v>
                </c:pt>
                <c:pt idx="8">
                  <c:v>35.653829440000003</c:v>
                </c:pt>
                <c:pt idx="9">
                  <c:v>35.834650719999999</c:v>
                </c:pt>
                <c:pt idx="10">
                  <c:v>36.029956510000005</c:v>
                </c:pt>
                <c:pt idx="11">
                  <c:v>36.22702245</c:v>
                </c:pt>
                <c:pt idx="12">
                  <c:v>36.422585409999996</c:v>
                </c:pt>
                <c:pt idx="13">
                  <c:v>36.615497920000003</c:v>
                </c:pt>
                <c:pt idx="14">
                  <c:v>36.806113070000002</c:v>
                </c:pt>
                <c:pt idx="15">
                  <c:v>36.99621071</c:v>
                </c:pt>
                <c:pt idx="16">
                  <c:v>37.184294620000003</c:v>
                </c:pt>
                <c:pt idx="17">
                  <c:v>37.372872549999997</c:v>
                </c:pt>
                <c:pt idx="18">
                  <c:v>37.563526299999999</c:v>
                </c:pt>
                <c:pt idx="19">
                  <c:v>37.757729379999994</c:v>
                </c:pt>
                <c:pt idx="20">
                  <c:v>37.955981359999996</c:v>
                </c:pt>
                <c:pt idx="21">
                  <c:v>38.166927919999999</c:v>
                </c:pt>
                <c:pt idx="22">
                  <c:v>38.388725370000003</c:v>
                </c:pt>
                <c:pt idx="23">
                  <c:v>38.617999920000003</c:v>
                </c:pt>
                <c:pt idx="24">
                  <c:v>38.852641049999995</c:v>
                </c:pt>
                <c:pt idx="25">
                  <c:v>39.090289320000004</c:v>
                </c:pt>
                <c:pt idx="26">
                  <c:v>39.328744280000002</c:v>
                </c:pt>
                <c:pt idx="27">
                  <c:v>39.56777889</c:v>
                </c:pt>
                <c:pt idx="28">
                  <c:v>39.807161919999999</c:v>
                </c:pt>
                <c:pt idx="29">
                  <c:v>40.046711999999999</c:v>
                </c:pt>
                <c:pt idx="30">
                  <c:v>40.288447350000006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C3-45D2-B2A5-76AA1C492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53344"/>
        <c:axId val="688757280"/>
      </c:lineChart>
      <c:catAx>
        <c:axId val="6887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20000" spcFirstLastPara="1" vertOverflow="ellipsis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8757280"/>
        <c:crosses val="autoZero"/>
        <c:auto val="1"/>
        <c:lblAlgn val="ctr"/>
        <c:lblOffset val="100"/>
        <c:noMultiLvlLbl val="0"/>
      </c:catAx>
      <c:valAx>
        <c:axId val="688757280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solidFill>
                      <a:schemeClr val="tx1"/>
                    </a:solidFill>
                  </a:rPr>
                  <a:t>Parc auto</a:t>
                </a:r>
                <a:br>
                  <a:rPr lang="fr-FR" b="1">
                    <a:solidFill>
                      <a:schemeClr val="tx1"/>
                    </a:solidFill>
                  </a:rPr>
                </a:br>
                <a:r>
                  <a:rPr lang="fr-FR" b="1">
                    <a:solidFill>
                      <a:schemeClr val="tx1"/>
                    </a:solidFill>
                  </a:rPr>
                  <a:t>(millions de</a:t>
                </a:r>
                <a:r>
                  <a:rPr lang="fr-FR" b="1" baseline="0">
                    <a:solidFill>
                      <a:schemeClr val="tx1"/>
                    </a:solidFill>
                  </a:rPr>
                  <a:t> véhicules)</a:t>
                </a:r>
              </a:p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rPr lang="fr-FR" b="1" baseline="0">
                    <a:solidFill>
                      <a:schemeClr val="tx1"/>
                    </a:solidFill>
                  </a:rPr>
                  <a:t>(actualiser TEND)</a:t>
                </a:r>
                <a:endParaRPr lang="fr-FR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3.1474417526627996E-2"/>
              <c:y val="3.87923891023665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87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/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Emissions de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Feuil1!$D$2:$D$48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Feuil1!$E$2:$E$48</c:f>
              <c:numCache>
                <c:formatCode>0.0</c:formatCode>
                <c:ptCount val="28"/>
                <c:pt idx="0">
                  <c:v>276.26883630000003</c:v>
                </c:pt>
                <c:pt idx="1">
                  <c:v>277.27832380000001</c:v>
                </c:pt>
                <c:pt idx="2">
                  <c:v>276.42839089999995</c:v>
                </c:pt>
                <c:pt idx="3">
                  <c:v>274.34847050000002</c:v>
                </c:pt>
                <c:pt idx="4">
                  <c:v>273.57096580000001</c:v>
                </c:pt>
                <c:pt idx="5">
                  <c:v>272.51901630000003</c:v>
                </c:pt>
                <c:pt idx="6">
                  <c:v>271.43343670000002</c:v>
                </c:pt>
                <c:pt idx="7">
                  <c:v>269.88925110000002</c:v>
                </c:pt>
                <c:pt idx="8">
                  <c:v>268.7258041</c:v>
                </c:pt>
                <c:pt idx="9">
                  <c:v>267.75072160000002</c:v>
                </c:pt>
                <c:pt idx="10">
                  <c:v>266.85499190000002</c:v>
                </c:pt>
                <c:pt idx="11">
                  <c:v>265.89806060000001</c:v>
                </c:pt>
                <c:pt idx="12">
                  <c:v>264.98531159999999</c:v>
                </c:pt>
                <c:pt idx="13">
                  <c:v>264.42093610000001</c:v>
                </c:pt>
                <c:pt idx="14">
                  <c:v>263.91676840000002</c:v>
                </c:pt>
                <c:pt idx="15">
                  <c:v>263.41205910000002</c:v>
                </c:pt>
                <c:pt idx="16">
                  <c:v>262.96755330000002</c:v>
                </c:pt>
                <c:pt idx="17">
                  <c:v>262.55675759999997</c:v>
                </c:pt>
                <c:pt idx="18">
                  <c:v>261.53435609999997</c:v>
                </c:pt>
                <c:pt idx="19">
                  <c:v>260.51451250000002</c:v>
                </c:pt>
                <c:pt idx="20">
                  <c:v>259.40643440000002</c:v>
                </c:pt>
                <c:pt idx="21">
                  <c:v>258.2778194</c:v>
                </c:pt>
                <c:pt idx="22">
                  <c:v>256.91114219999997</c:v>
                </c:pt>
                <c:pt idx="23">
                  <c:v>256.8593765</c:v>
                </c:pt>
                <c:pt idx="24">
                  <c:v>256.91337069999997</c:v>
                </c:pt>
                <c:pt idx="25">
                  <c:v>256.94107939999998</c:v>
                </c:pt>
                <c:pt idx="26">
                  <c:v>256.94923299999999</c:v>
                </c:pt>
                <c:pt idx="27">
                  <c:v>257.08059639999999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F-4747-89C8-96E1A42AFE4D}"/>
            </c:ext>
          </c:extLst>
        </c:ser>
        <c:ser>
          <c:idx val="1"/>
          <c:order val="1"/>
          <c:tx>
            <c:strRef>
              <c:f>Feuil1!$F$1</c:f>
              <c:strCache>
                <c:ptCount val="1"/>
                <c:pt idx="0">
                  <c:v>AMS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Feuil1!$D$2:$D$48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Feuil1!$F$2:$F$48</c:f>
              <c:numCache>
                <c:formatCode>0.0</c:formatCode>
                <c:ptCount val="28"/>
                <c:pt idx="0">
                  <c:v>276.44533899999999</c:v>
                </c:pt>
                <c:pt idx="1">
                  <c:v>269.98871539999999</c:v>
                </c:pt>
                <c:pt idx="2">
                  <c:v>264.6374907</c:v>
                </c:pt>
                <c:pt idx="3">
                  <c:v>254.22601659999998</c:v>
                </c:pt>
                <c:pt idx="4">
                  <c:v>243.20829030000002</c:v>
                </c:pt>
                <c:pt idx="5">
                  <c:v>233.32054819999999</c:v>
                </c:pt>
                <c:pt idx="6">
                  <c:v>223.1186198</c:v>
                </c:pt>
                <c:pt idx="7">
                  <c:v>212.84226169999999</c:v>
                </c:pt>
                <c:pt idx="8">
                  <c:v>202.21041890000001</c:v>
                </c:pt>
                <c:pt idx="9">
                  <c:v>191.76934969999999</c:v>
                </c:pt>
                <c:pt idx="10">
                  <c:v>181.94581249999999</c:v>
                </c:pt>
                <c:pt idx="11">
                  <c:v>172.42405049999999</c:v>
                </c:pt>
                <c:pt idx="12">
                  <c:v>163.28612990000002</c:v>
                </c:pt>
                <c:pt idx="13">
                  <c:v>153.43658330000002</c:v>
                </c:pt>
                <c:pt idx="14">
                  <c:v>143.90918400000001</c:v>
                </c:pt>
                <c:pt idx="15">
                  <c:v>134.76850999999999</c:v>
                </c:pt>
                <c:pt idx="16">
                  <c:v>126.34428129999999</c:v>
                </c:pt>
                <c:pt idx="17">
                  <c:v>118.0972891</c:v>
                </c:pt>
                <c:pt idx="18">
                  <c:v>114.0896644</c:v>
                </c:pt>
                <c:pt idx="19">
                  <c:v>110.0716425</c:v>
                </c:pt>
                <c:pt idx="20">
                  <c:v>106.0531629</c:v>
                </c:pt>
                <c:pt idx="21">
                  <c:v>101.9839506</c:v>
                </c:pt>
                <c:pt idx="22">
                  <c:v>97.597415389999995</c:v>
                </c:pt>
                <c:pt idx="23">
                  <c:v>94.186015819999909</c:v>
                </c:pt>
                <c:pt idx="24">
                  <c:v>91.295731660000001</c:v>
                </c:pt>
                <c:pt idx="25">
                  <c:v>89.090550659999991</c:v>
                </c:pt>
                <c:pt idx="26">
                  <c:v>87.016371359999994</c:v>
                </c:pt>
                <c:pt idx="27">
                  <c:v>84.965323249999997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F-4747-89C8-96E1A42AF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6451151"/>
        <c:axId val="1006452591"/>
      </c:lineChart>
      <c:catAx>
        <c:axId val="100645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6452591"/>
        <c:crosses val="autoZero"/>
        <c:auto val="1"/>
        <c:lblAlgn val="ctr"/>
        <c:lblOffset val="100"/>
        <c:noMultiLvlLbl val="0"/>
      </c:catAx>
      <c:valAx>
        <c:axId val="1006452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6451151"/>
        <c:crosses val="autoZero"/>
        <c:crossBetween val="between"/>
        <c:majorUnit val="50"/>
        <c:min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Titre du graphique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3835039786960974E-2"/>
          <c:y val="0.19199059976233585"/>
          <c:w val="0.91111197791769516"/>
          <c:h val="0.62158940284337161"/>
        </c:manualLayout>
      </c:layout>
      <c:lineChart>
        <c:grouping val="standard"/>
        <c:varyColors val="0"/>
        <c:ser>
          <c:idx val="1"/>
          <c:order val="0"/>
          <c:tx>
            <c:strRef>
              <c:f>'T parc auto'!$A$4</c:f>
              <c:strCache>
                <c:ptCount val="1"/>
                <c:pt idx="0">
                  <c:v>SNBC3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 parc auto'!$I$3:$AM$3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'T parc auto'!$I$6:$AM$6</c:f>
              <c:numCache>
                <c:formatCode>0%</c:formatCode>
                <c:ptCount val="31"/>
                <c:pt idx="0">
                  <c:v>1.0537172311545088E-2</c:v>
                </c:pt>
                <c:pt idx="1">
                  <c:v>1.3357098507308717E-2</c:v>
                </c:pt>
                <c:pt idx="2">
                  <c:v>1.7054497421402685E-2</c:v>
                </c:pt>
                <c:pt idx="3">
                  <c:v>2.1541035468789816E-2</c:v>
                </c:pt>
                <c:pt idx="4">
                  <c:v>2.725072636851222E-2</c:v>
                </c:pt>
                <c:pt idx="5">
                  <c:v>3.1932832673735381E-2</c:v>
                </c:pt>
                <c:pt idx="6">
                  <c:v>3.9460211672299079E-2</c:v>
                </c:pt>
                <c:pt idx="7">
                  <c:v>4.9028422484611131E-2</c:v>
                </c:pt>
                <c:pt idx="8">
                  <c:v>6.0255161960874527E-2</c:v>
                </c:pt>
                <c:pt idx="9">
                  <c:v>7.2918668383448182E-2</c:v>
                </c:pt>
                <c:pt idx="10">
                  <c:v>8.3905369784348052E-2</c:v>
                </c:pt>
                <c:pt idx="11">
                  <c:v>9.8258196914119467E-2</c:v>
                </c:pt>
                <c:pt idx="12">
                  <c:v>0.11391877129964625</c:v>
                </c:pt>
                <c:pt idx="13">
                  <c:v>0.13056814195324151</c:v>
                </c:pt>
                <c:pt idx="14">
                  <c:v>0.14796968561860879</c:v>
                </c:pt>
                <c:pt idx="15">
                  <c:v>0.1631359128550407</c:v>
                </c:pt>
                <c:pt idx="16">
                  <c:v>0.18056662327720857</c:v>
                </c:pt>
                <c:pt idx="17">
                  <c:v>0.19908496113560117</c:v>
                </c:pt>
                <c:pt idx="18">
                  <c:v>0.21803181888975012</c:v>
                </c:pt>
                <c:pt idx="19">
                  <c:v>0.23712241484942487</c:v>
                </c:pt>
                <c:pt idx="20">
                  <c:v>0.25619678338564578</c:v>
                </c:pt>
                <c:pt idx="21">
                  <c:v>0.27451951802359209</c:v>
                </c:pt>
                <c:pt idx="22">
                  <c:v>0.29244237645624283</c:v>
                </c:pt>
                <c:pt idx="23">
                  <c:v>0.31009213849953199</c:v>
                </c:pt>
                <c:pt idx="24">
                  <c:v>0.32748150067405696</c:v>
                </c:pt>
                <c:pt idx="25">
                  <c:v>0.34274549426704226</c:v>
                </c:pt>
                <c:pt idx="26">
                  <c:v>0.35864886655701711</c:v>
                </c:pt>
                <c:pt idx="27">
                  <c:v>0.37463410749704401</c:v>
                </c:pt>
                <c:pt idx="28">
                  <c:v>0.39044267272071875</c:v>
                </c:pt>
                <c:pt idx="29">
                  <c:v>0.40596520854598872</c:v>
                </c:pt>
                <c:pt idx="30">
                  <c:v>0.42115247302755093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F-413C-A382-BDDA928D9525}"/>
            </c:ext>
          </c:extLst>
        </c:ser>
        <c:ser>
          <c:idx val="2"/>
          <c:order val="1"/>
          <c:tx>
            <c:strRef>
              <c:f>'[6]T parc auto'!$A$4</c:f>
              <c:strCache>
                <c:ptCount val="1"/>
                <c:pt idx="0">
                  <c:v>TEND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 parc auto'!$I$3:$AM$3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'[6]T parc auto'!$I$6:$AM$6</c:f>
              <c:numCache>
                <c:formatCode>General</c:formatCode>
                <c:ptCount val="31"/>
                <c:pt idx="0">
                  <c:v>8.5699726798540449E-3</c:v>
                </c:pt>
                <c:pt idx="1">
                  <c:v>1.3125767536852568E-2</c:v>
                </c:pt>
                <c:pt idx="2">
                  <c:v>2.093814652035246E-2</c:v>
                </c:pt>
                <c:pt idx="3">
                  <c:v>2.9339596650975963E-2</c:v>
                </c:pt>
                <c:pt idx="4">
                  <c:v>3.8422705171822412E-2</c:v>
                </c:pt>
                <c:pt idx="5">
                  <c:v>4.8298948326351107E-2</c:v>
                </c:pt>
                <c:pt idx="6">
                  <c:v>5.9426982864022086E-2</c:v>
                </c:pt>
                <c:pt idx="7">
                  <c:v>7.1945526561541698E-2</c:v>
                </c:pt>
                <c:pt idx="8">
                  <c:v>8.5942049539349558E-2</c:v>
                </c:pt>
                <c:pt idx="9">
                  <c:v>0.10147172535354351</c:v>
                </c:pt>
                <c:pt idx="10">
                  <c:v>0.11859008108472456</c:v>
                </c:pt>
                <c:pt idx="11">
                  <c:v>0.13730358074183932</c:v>
                </c:pt>
                <c:pt idx="12">
                  <c:v>0.15763780877629907</c:v>
                </c:pt>
                <c:pt idx="13">
                  <c:v>0.17959577390884213</c:v>
                </c:pt>
                <c:pt idx="14">
                  <c:v>0.20315166958215294</c:v>
                </c:pt>
                <c:pt idx="15">
                  <c:v>0.22824904180571959</c:v>
                </c:pt>
                <c:pt idx="16">
                  <c:v>0.2547637951132391</c:v>
                </c:pt>
                <c:pt idx="17">
                  <c:v>0.28256330245612871</c:v>
                </c:pt>
                <c:pt idx="18">
                  <c:v>0.31147078409409074</c:v>
                </c:pt>
                <c:pt idx="19">
                  <c:v>0.34127816401018973</c:v>
                </c:pt>
                <c:pt idx="20">
                  <c:v>0.3717464103001657</c:v>
                </c:pt>
                <c:pt idx="21">
                  <c:v>0.40269710709271045</c:v>
                </c:pt>
                <c:pt idx="22">
                  <c:v>0.43384849821076515</c:v>
                </c:pt>
                <c:pt idx="23">
                  <c:v>0.464913357170052</c:v>
                </c:pt>
                <c:pt idx="24">
                  <c:v>0.49563467577965337</c:v>
                </c:pt>
                <c:pt idx="25">
                  <c:v>0.52577836510113596</c:v>
                </c:pt>
                <c:pt idx="26">
                  <c:v>0.55514202702634574</c:v>
                </c:pt>
                <c:pt idx="27">
                  <c:v>0.58357173153926301</c:v>
                </c:pt>
                <c:pt idx="28">
                  <c:v>0.61094374421556352</c:v>
                </c:pt>
                <c:pt idx="29">
                  <c:v>0.63716406480512056</c:v>
                </c:pt>
                <c:pt idx="30">
                  <c:v>0.66218106938290833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F-413C-A382-BDDA928D9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53344"/>
        <c:axId val="688757280"/>
      </c:lineChart>
      <c:catAx>
        <c:axId val="6887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20000" spcFirstLastPara="1" vertOverflow="ellipsis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8757280"/>
        <c:crosses val="autoZero"/>
        <c:auto val="1"/>
        <c:lblAlgn val="ctr"/>
        <c:lblOffset val="100"/>
        <c:noMultiLvlLbl val="0"/>
      </c:catAx>
      <c:valAx>
        <c:axId val="688757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solidFill>
                      <a:sysClr val="windowText" lastClr="000000"/>
                    </a:solidFill>
                  </a:rPr>
                  <a:t>Pénétration véhicule</a:t>
                </a:r>
                <a:r>
                  <a:rPr lang="fr-FR" b="1" baseline="0">
                    <a:solidFill>
                      <a:sysClr val="windowText" lastClr="000000"/>
                    </a:solidFill>
                  </a:rPr>
                  <a:t> elec (% du parc)</a:t>
                </a:r>
              </a:p>
              <a:p>
                <a:pPr>
                  <a:defRPr/>
                </a:pPr>
                <a:r>
                  <a:rPr lang="fr-FR" b="1" baseline="0">
                    <a:solidFill>
                      <a:sysClr val="windowText" lastClr="000000"/>
                    </a:solidFill>
                  </a:rPr>
                  <a:t>(actualiser TEND)</a:t>
                </a:r>
                <a:endParaRPr lang="fr-FR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1474388951702174E-2"/>
              <c:y val="3.654170667887090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87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/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Graphs'!$B$10</c:f>
          <c:strCache>
            <c:ptCount val="1"/>
            <c:pt idx="0">
              <c:v>SNBC3 : Ventilation du parc auto (%)</c:v>
            </c:pt>
          </c:strCache>
        </c:strRef>
      </c:tx>
      <c:layout>
        <c:manualLayout>
          <c:xMode val="edge"/>
          <c:yMode val="edge"/>
          <c:x val="2.7810470205815105E-2"/>
          <c:y val="2.0895522879199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'T parc auto'!$C$18</c:f>
              <c:strCache>
                <c:ptCount val="1"/>
                <c:pt idx="0">
                  <c:v>Fortement émettrices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0008066809404825E-16"/>
                  <c:y val="-8.35776086373180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82-44F6-A16A-C8BCAA280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auto'!$I$18:$K$18</c:f>
              <c:numCache>
                <c:formatCode>0%</c:formatCode>
                <c:ptCount val="3"/>
                <c:pt idx="0">
                  <c:v>0.12272981770702004</c:v>
                </c:pt>
                <c:pt idx="1">
                  <c:v>7.4044825116536844E-2</c:v>
                </c:pt>
                <c:pt idx="2">
                  <c:v>2.3123733871628582E-2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2-44F6-A16A-C8BCAA280A45}"/>
            </c:ext>
          </c:extLst>
        </c:ser>
        <c:ser>
          <c:idx val="2"/>
          <c:order val="1"/>
          <c:tx>
            <c:strRef>
              <c:f>'T parc auto'!$C$17</c:f>
              <c:strCache>
                <c:ptCount val="1"/>
                <c:pt idx="0">
                  <c:v>Modérément émettrices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auto'!$I$17:$K$17</c:f>
              <c:numCache>
                <c:formatCode>0%</c:formatCode>
                <c:ptCount val="3"/>
                <c:pt idx="0">
                  <c:v>0.72243592780686705</c:v>
                </c:pt>
                <c:pt idx="1">
                  <c:v>0.66108239200239993</c:v>
                </c:pt>
                <c:pt idx="2">
                  <c:v>0.39080143197080086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2-44F6-A16A-C8BCAA280A45}"/>
            </c:ext>
          </c:extLst>
        </c:ser>
        <c:ser>
          <c:idx val="1"/>
          <c:order val="2"/>
          <c:tx>
            <c:strRef>
              <c:f>'T parc auto'!$C$16</c:f>
              <c:strCache>
                <c:ptCount val="1"/>
                <c:pt idx="0">
                  <c:v>Faiblement émettrices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auto'!$I$16:$K$16</c:f>
              <c:numCache>
                <c:formatCode>0%</c:formatCode>
                <c:ptCount val="3"/>
                <c:pt idx="0">
                  <c:v>0.14429708217456777</c:v>
                </c:pt>
                <c:pt idx="1">
                  <c:v>0.18096741296734786</c:v>
                </c:pt>
                <c:pt idx="2">
                  <c:v>0.16492236120149606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2-44F6-A16A-C8BCAA280A45}"/>
            </c:ext>
          </c:extLst>
        </c:ser>
        <c:ser>
          <c:idx val="0"/>
          <c:order val="3"/>
          <c:tx>
            <c:strRef>
              <c:f>'T parc auto'!$C$14</c:f>
              <c:strCache>
                <c:ptCount val="1"/>
                <c:pt idx="0">
                  <c:v>Electriques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auto'!$I$14:$K$14</c:f>
              <c:numCache>
                <c:formatCode>0%</c:formatCode>
                <c:ptCount val="3"/>
                <c:pt idx="0">
                  <c:v>1.0537172311545088E-2</c:v>
                </c:pt>
                <c:pt idx="1">
                  <c:v>8.3905369784348052E-2</c:v>
                </c:pt>
                <c:pt idx="2">
                  <c:v>0.42115247302755093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2-44F6-A16A-C8BCAA280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8712"/>
        <c:axId val="311369104"/>
      </c:barChart>
      <c:catAx>
        <c:axId val="31136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104"/>
        <c:crosses val="autoZero"/>
        <c:auto val="1"/>
        <c:lblAlgn val="ctr"/>
        <c:lblOffset val="100"/>
        <c:noMultiLvlLbl val="0"/>
      </c:catAx>
      <c:valAx>
        <c:axId val="311369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87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03162901676298"/>
          <c:y val="0.21336550323470299"/>
          <c:w val="0.28077254186433814"/>
          <c:h val="0.68854991088357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Graphs'!$B$11</c:f>
          <c:strCache>
            <c:ptCount val="1"/>
            <c:pt idx="0">
              <c:v>SNBC3 : Ventilation du parc de logements (%)</c:v>
            </c:pt>
          </c:strCache>
        </c:strRef>
      </c:tx>
      <c:layout>
        <c:manualLayout>
          <c:xMode val="edge"/>
          <c:yMode val="edge"/>
          <c:x val="3.4237370593317988E-2"/>
          <c:y val="1.2537313727519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658523898908643E-2"/>
          <c:y val="8.8051017074071342E-2"/>
          <c:w val="0.68257048305485446"/>
          <c:h val="0.8284510844983883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'T logement'!$Y$19</c:f>
              <c:strCache>
                <c:ptCount val="1"/>
                <c:pt idx="0">
                  <c:v>Passoires énergétiques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logement'!$Z$19:$AB$19</c:f>
              <c:numCache>
                <c:formatCode>0.0%</c:formatCode>
                <c:ptCount val="3"/>
                <c:pt idx="0">
                  <c:v>0.16930211744025214</c:v>
                </c:pt>
                <c:pt idx="1">
                  <c:v>0.13408685099819656</c:v>
                </c:pt>
                <c:pt idx="2">
                  <c:v>9.4829796303452105E-2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D-4A1E-817A-62C204FE9217}"/>
            </c:ext>
          </c:extLst>
        </c:ser>
        <c:ser>
          <c:idx val="1"/>
          <c:order val="1"/>
          <c:tx>
            <c:strRef>
              <c:f>'T logement'!$Y$18</c:f>
              <c:strCache>
                <c:ptCount val="1"/>
                <c:pt idx="0">
                  <c:v>Consommation modérée 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logement'!$Z$18:$AB$18</c:f>
              <c:numCache>
                <c:formatCode>0.0%</c:formatCode>
                <c:ptCount val="3"/>
                <c:pt idx="0">
                  <c:v>0.75964279484767927</c:v>
                </c:pt>
                <c:pt idx="1">
                  <c:v>0.74110459356133052</c:v>
                </c:pt>
                <c:pt idx="2">
                  <c:v>0.61866478857841856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D-4A1E-817A-62C204FE9217}"/>
            </c:ext>
          </c:extLst>
        </c:ser>
        <c:ser>
          <c:idx val="0"/>
          <c:order val="2"/>
          <c:tx>
            <c:strRef>
              <c:f>'T logement'!$Y$17</c:f>
              <c:strCache>
                <c:ptCount val="1"/>
                <c:pt idx="0">
                  <c:v>Basse consommation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logement'!$Z$17:$AB$17</c:f>
              <c:numCache>
                <c:formatCode>0.0%</c:formatCode>
                <c:ptCount val="3"/>
                <c:pt idx="0">
                  <c:v>7.1055087567932426E-2</c:v>
                </c:pt>
                <c:pt idx="1">
                  <c:v>0.12480855551558249</c:v>
                </c:pt>
                <c:pt idx="2">
                  <c:v>0.28693231751846354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D-4A1E-817A-62C204FE9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9888"/>
        <c:axId val="311370280"/>
      </c:barChart>
      <c:catAx>
        <c:axId val="3113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70280"/>
        <c:crosses val="autoZero"/>
        <c:auto val="1"/>
        <c:lblAlgn val="ctr"/>
        <c:lblOffset val="100"/>
        <c:noMultiLvlLbl val="0"/>
      </c:catAx>
      <c:valAx>
        <c:axId val="311370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888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91440886990928"/>
          <c:y val="0.32089954452336433"/>
          <c:w val="0.1938897620111919"/>
          <c:h val="0.49440758790494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Graphique4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phique5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Graphique6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Graphique7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Graphique8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Graphique10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Graphique12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Graphique13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Graphique14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 codeName="Graphique17">
    <tabColor rgb="FFFF0000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714375</xdr:colOff>
      <xdr:row>28</xdr:row>
      <xdr:rowOff>185737</xdr:rowOff>
    </xdr:from>
    <xdr:to>
      <xdr:col>14</xdr:col>
      <xdr:colOff>714375</xdr:colOff>
      <xdr:row>43</xdr:row>
      <xdr:rowOff>71437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6EB6974-8A37-BA40-398A-FB2AD4A34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emecloud-my.sharepoint.com/Users/Callonnecg/Github/ThreeME/data/shocks/Bilan%20S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ThreeME\data\shocks\Bilan%20&#233;nergie%20-%20AMErun2%20-%20AMSrun3.xlsx" TargetMode="External"/><Relationship Id="rId1" Type="http://schemas.openxmlformats.org/officeDocument/2006/relationships/externalLinkPath" Target="/Github/ThreeME/data/shocks/Bilan%20&#233;nergie%20-%20AMErun2%20-%20AMSrun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Documents%20MTE\AMS-run2\001_Transports\Transports_AMS_run2-vf10.xlsx" TargetMode="External"/><Relationship Id="rId1" Type="http://schemas.openxmlformats.org/officeDocument/2006/relationships/externalLinkPath" Target="/Users/callonnecg/Documents/Github/ThreeME/data/calibrations/Documents%20MTE/AMS-run2/001_Transports/Transports_AMS_run2-vf1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ma.monserand\Desktop\Temporaire\reporting%202%20-%20energie%20SNBC3%20-%20template%20parts%20modales%20voyageurs.xlsx" TargetMode="External"/><Relationship Id="rId1" Type="http://schemas.openxmlformats.org/officeDocument/2006/relationships/externalLinkPath" Target="https://ademecloud-my.sharepoint.com/Users/alma.monserand/Desktop/Temporaire/reporting%202%20-%20energie%20SNBC3%20-%20template%20parts%20modales%20voyageur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ThreeME\results\reporting%201%20-%20energie%20TEND.xlsx" TargetMode="External"/><Relationship Id="rId1" Type="http://schemas.openxmlformats.org/officeDocument/2006/relationships/externalLinkPath" Target="reporting%201%20-%20energie%20TE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Github\ThreeME\results\reporting%201%20-%20energie%20TEND.xlsx" TargetMode="External"/><Relationship Id="rId1" Type="http://schemas.openxmlformats.org/officeDocument/2006/relationships/externalLinkPath" Target="https://ademecloud-my.sharepoint.com/Users/alma.monserand/Documents/GitHub/ThreeME/results/reporting%201%20-%20energie%20T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ibles THREEME"/>
      <sheetName val="Bilan 2030"/>
      <sheetName val="Bilan 2050"/>
      <sheetName val="Bilan 2020 BAU"/>
      <sheetName val="Bilan 2006"/>
      <sheetName val="Bilan 2010"/>
      <sheetName val="Bilan 2015"/>
      <sheetName val="Bilan 2025"/>
      <sheetName val="bilan énergie format SDS"/>
      <sheetName val="Bilan enerdata_2015"/>
      <sheetName val="Bilan enerdata_2020"/>
      <sheetName val="Bilan enerdata_2025"/>
      <sheetName val="Bilan enerdata_2030"/>
      <sheetName val="Bilan enerdata_2050"/>
      <sheetName val="Demande Format Medpro"/>
      <sheetName val="Format demande MedPro_2015"/>
      <sheetName val="Corrections Bilan enerdata"/>
      <sheetName val="Modèle tertiaire_2015"/>
      <sheetName val="Modèle tertiaire_2020"/>
      <sheetName val="Modèle tertiaire_2025"/>
      <sheetName val="Modèle tertiaire_2030"/>
      <sheetName val="Modèle tertiaire_2050"/>
      <sheetName val="Modèle résidentiel ch_2015"/>
      <sheetName val="Modèle résidentiel ch_2020"/>
      <sheetName val="Modèle résidentiel ch_2025"/>
      <sheetName val="Modèle résidentiel ch_2030"/>
      <sheetName val="Modèle résidentiel ch_2050"/>
      <sheetName val="Modèle résidentiel hch_2015"/>
      <sheetName val="Modèle résidentiel hch_2020"/>
      <sheetName val="Modèle résidentiel hch_2025"/>
      <sheetName val="Modèle résidentiel hch_2030"/>
      <sheetName val="Modèle résidentiel hch_2050"/>
      <sheetName val="Mix énergie_2015"/>
      <sheetName val="Mix énergie_2020"/>
      <sheetName val="Mix énergie_2025"/>
      <sheetName val="Mix énergie_2030"/>
      <sheetName val="Mix énergie_2050"/>
    </sheetNames>
    <sheetDataSet>
      <sheetData sheetId="0" refreshError="1"/>
      <sheetData sheetId="1" refreshError="1">
        <row r="4">
          <cell r="H4">
            <v>10.400607231191495</v>
          </cell>
          <cell r="AJ4">
            <v>9.6821026074859624</v>
          </cell>
        </row>
        <row r="5">
          <cell r="H5">
            <v>3.4968412155770827</v>
          </cell>
          <cell r="AJ5">
            <v>3.4968412155770827</v>
          </cell>
        </row>
        <row r="8">
          <cell r="AJ8">
            <v>0.62105913154569725</v>
          </cell>
        </row>
        <row r="9">
          <cell r="AJ9">
            <v>0.01</v>
          </cell>
        </row>
        <row r="10">
          <cell r="H10">
            <v>2.6577034315641361</v>
          </cell>
          <cell r="AJ10">
            <v>1.0959867027277013</v>
          </cell>
        </row>
        <row r="11">
          <cell r="H11">
            <v>0</v>
          </cell>
          <cell r="AJ11">
            <v>0.01</v>
          </cell>
        </row>
        <row r="12">
          <cell r="H12">
            <v>2.2929206076239605</v>
          </cell>
          <cell r="AJ12">
            <v>12.585580636323101</v>
          </cell>
        </row>
        <row r="13">
          <cell r="H13">
            <v>0</v>
          </cell>
          <cell r="AJ13">
            <v>7.4283543184877532</v>
          </cell>
        </row>
        <row r="14">
          <cell r="H14">
            <v>17.773000859845226</v>
          </cell>
          <cell r="AJ14">
            <v>3.8663975346227235</v>
          </cell>
        </row>
        <row r="15">
          <cell r="AJ15">
            <v>0.31052956577284868</v>
          </cell>
        </row>
        <row r="17">
          <cell r="H17">
            <v>10.490111779879621</v>
          </cell>
          <cell r="AJ17">
            <v>1.3970598106217755</v>
          </cell>
        </row>
        <row r="18">
          <cell r="H18">
            <v>5.4600171969045563</v>
          </cell>
          <cell r="AJ18">
            <v>10.432652801530878</v>
          </cell>
        </row>
        <row r="19">
          <cell r="H19">
            <v>1.1621270136304822</v>
          </cell>
          <cell r="AJ19">
            <v>12.301085039507219</v>
          </cell>
        </row>
        <row r="20">
          <cell r="AJ20">
            <v>0.69912973511411425</v>
          </cell>
        </row>
        <row r="21">
          <cell r="AJ21">
            <v>0.94296387002405035</v>
          </cell>
        </row>
        <row r="22">
          <cell r="AJ22">
            <v>6.7613203915324087</v>
          </cell>
        </row>
        <row r="28">
          <cell r="H28">
            <v>5.438782729559458</v>
          </cell>
        </row>
        <row r="29">
          <cell r="H29">
            <v>11.911185835668668</v>
          </cell>
        </row>
        <row r="30">
          <cell r="H30">
            <v>12.325609312525271</v>
          </cell>
        </row>
        <row r="31">
          <cell r="H31">
            <v>0.79152054400721716</v>
          </cell>
        </row>
        <row r="32">
          <cell r="H32">
            <v>0.25795356835769562</v>
          </cell>
        </row>
        <row r="33">
          <cell r="H33">
            <v>7.4811633429693902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bles THREEME"/>
      <sheetName val="Cibles ThreeME v2 "/>
      <sheetName val=" fonds chaleur en tep"/>
      <sheetName val=" fonds chaleur en twh"/>
      <sheetName val="Cibles THREEME AMS"/>
      <sheetName val="Cibles ThreeME v2 AMS"/>
      <sheetName val="Cibles ThreeME v2 AMS FC"/>
      <sheetName val="Cibles ThreeME v3"/>
      <sheetName val="Cibles ThreeME v3 AMS"/>
      <sheetName val="brouillon"/>
      <sheetName val="Bilan_enerdata_2015"/>
      <sheetName val="Bilan 2015"/>
      <sheetName val="Bilan 2020"/>
      <sheetName val="Bilan 2020 test"/>
      <sheetName val="Bilan 2022 réel"/>
      <sheetName val="Bilan 2023 réel"/>
      <sheetName val="Bilan 2023"/>
      <sheetName val="Bilan 2025"/>
      <sheetName val="Bilan 2028"/>
      <sheetName val="Bilan 2030"/>
      <sheetName val="Bilan 2033"/>
      <sheetName val="Bilan 2035"/>
      <sheetName val="Bilan 2038"/>
      <sheetName val="Bilan 2040"/>
      <sheetName val="Bilan 2045"/>
      <sheetName val="Bilan 2050"/>
      <sheetName val="Bilan 2023 AMS"/>
      <sheetName val="Bilan 2025 AMS"/>
      <sheetName val="Bilan 2028 AMS"/>
      <sheetName val="Bilan 2030 AMS"/>
      <sheetName val="Bilan 2033 AMS"/>
      <sheetName val="Bilan 2035 AMS"/>
      <sheetName val="Bilan 2038 AMS"/>
      <sheetName val="Bilan 2040 AMS"/>
      <sheetName val="Bilan 2045 AMS"/>
      <sheetName val="Bilan 2050 AMS"/>
      <sheetName val="Bilan_E_KP_réel_2022"/>
      <sheetName val="Bilan_E_KP_réel_2023"/>
      <sheetName val="Bilan_E_AME_Met_2020"/>
      <sheetName val="Bilan_E_KP_AME_2020"/>
      <sheetName val="Bilan_E_KP_AME_2023"/>
      <sheetName val="Bilan_E_KP_AME_2025"/>
      <sheetName val="Bilan_E_KP_AME_2028"/>
      <sheetName val="Bilan_E_KP_AME_2030"/>
      <sheetName val="Bilan_E_KP_AME_2033"/>
      <sheetName val="Bilan_E_KP_AME_2035"/>
      <sheetName val="Bilan_E_KP_AME_2038"/>
      <sheetName val="Bilan_E_KP_AME_2040"/>
      <sheetName val="Bilan_E_KP_AME_2043"/>
      <sheetName val="Bilan_E_KP_AME_2045"/>
      <sheetName val="Bilan_E_KP_AME_2050"/>
      <sheetName val="Bilan_E_KP_AME"/>
      <sheetName val="Bilans_E_AMS_KP"/>
      <sheetName val="Bilans_E_AMS_KP_2023"/>
      <sheetName val="Bilans_E_AMS_KP_2025"/>
      <sheetName val="Bilans_E_AMS_KP_2028"/>
      <sheetName val="Bilans_E_AMS_KP_2030"/>
      <sheetName val="Bilans_E_AMS_KP_2033"/>
      <sheetName val="Bilans_E_AMS_KP_2035"/>
      <sheetName val="Bilans_E_AMS_KP_2038"/>
      <sheetName val="Bilans_E_AMS_KP_2040"/>
      <sheetName val="Bilans_E_AMS_KP_2043"/>
      <sheetName val="Bilans_E_AMS_KP_2045"/>
      <sheetName val="Bilans_E_AMS_KP_2050"/>
      <sheetName val="Bilan_E_KP_AMS"/>
      <sheetName val="Bilans_E_AMS_Kyoto_run3_2023"/>
      <sheetName val="Bilans_E_AMS_Kyoto_run3_2025"/>
      <sheetName val="Bilans_E_AMS_Kyoto_run3_2028"/>
      <sheetName val="Bilans_E_AMS_Kyoto_run3_2030"/>
      <sheetName val="Bilans_E_AMS_Kyoto_run3_2033"/>
      <sheetName val="Bilans_E_AMS_Kyoto_run3_2035"/>
      <sheetName val="Bilans_E_AMS_Kyoto_run3_2038"/>
      <sheetName val="Bilans_E_AMS_Kyoto_run3_2040"/>
      <sheetName val="Bilans_E_AMS_Kyoto_run3_2045"/>
      <sheetName val="Bilans_E_AMS_Kyoto_run3_2050"/>
      <sheetName val="Bilans_E_AMS_Kyoto_run3"/>
      <sheetName val="Bilans_E_AMS_Kyoto_run3_MTE"/>
      <sheetName val="Bilans_E_AMS_Kyoto_run3_MTE_anc"/>
      <sheetName val="P1_G4-G5"/>
      <sheetName val="P1_G6"/>
      <sheetName val="bilan énergie format SDS"/>
      <sheetName val="Demande Format Medpro"/>
      <sheetName val="Format demande MedPro_2015"/>
      <sheetName val="Corrections Bilan enerdata"/>
      <sheetName val="Modèle tertiaire_2015"/>
      <sheetName val="Modèle tertiaire_2020"/>
      <sheetName val="Modèle tertiaire_2025"/>
      <sheetName val="Modèle tertiaire_2030"/>
      <sheetName val="Modèle tertiaire_2050"/>
      <sheetName val="Modèle résidentiel ch_2015"/>
      <sheetName val="Modèle résidentiel ch_2020"/>
      <sheetName val="Modèle résidentiel ch_2025"/>
      <sheetName val="Modèle résidentiel ch_2030"/>
      <sheetName val="Modèle résidentiel ch_2050"/>
      <sheetName val="Modèle résidentiel hch_2015"/>
      <sheetName val="Modèle résidentiel hch_2020"/>
      <sheetName val="Modèle résidentiel hch_2025"/>
      <sheetName val="Modèle résidentiel hch_2030"/>
      <sheetName val="Modèle résidentiel hch_2050"/>
      <sheetName val="Mix énergie_2015"/>
      <sheetName val="Bilans_E_AMS_Kyoto_2050"/>
      <sheetName val="Bilan 2050 AMS_ancien"/>
      <sheetName val="Bilans_E_AMS_Kyoto"/>
      <sheetName val=" fonds chaleur"/>
      <sheetName val="Bilan énergie - AMErun2 - AMSr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3">
          <cell r="T13">
            <v>0.74651762682717104</v>
          </cell>
          <cell r="U13">
            <v>10.069552160228</v>
          </cell>
          <cell r="V13">
            <v>13.6203670581426</v>
          </cell>
          <cell r="W13">
            <v>12.701365476499801</v>
          </cell>
          <cell r="X13">
            <v>0.94471195184866696</v>
          </cell>
        </row>
        <row r="22">
          <cell r="T22">
            <v>0.20215430661253031</v>
          </cell>
          <cell r="U22">
            <v>10.298005677194096</v>
          </cell>
          <cell r="V22">
            <v>11.912749680464922</v>
          </cell>
          <cell r="W22">
            <v>7.2062454679408585</v>
          </cell>
          <cell r="X22">
            <v>7.267406707154804E-2</v>
          </cell>
        </row>
        <row r="30">
          <cell r="T30">
            <v>6.4536710533781398E-3</v>
          </cell>
          <cell r="U30">
            <v>1.1415347236508699</v>
          </cell>
          <cell r="V30">
            <v>1.21184436300186</v>
          </cell>
          <cell r="W30">
            <v>0.710753475039681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2.9897922514510483E-2</v>
          </cell>
          <cell r="U37">
            <v>1.1062928918353545</v>
          </cell>
          <cell r="V37">
            <v>6.0818806018488383</v>
          </cell>
          <cell r="W37">
            <v>0.31568062817324566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5.1467736003962539E-3</v>
          </cell>
          <cell r="U39">
            <v>2.5010085858689085E-5</v>
          </cell>
          <cell r="V39">
            <v>0.10956763115778498</v>
          </cell>
          <cell r="W39">
            <v>7.4926332712814264E-2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2.5168214298503164</v>
          </cell>
          <cell r="W40">
            <v>0.43850634072353678</v>
          </cell>
          <cell r="X40">
            <v>0</v>
          </cell>
        </row>
        <row r="41">
          <cell r="T41">
            <v>0.12266677554967495</v>
          </cell>
          <cell r="U41">
            <v>5.6111288464125664E-2</v>
          </cell>
          <cell r="V41">
            <v>0</v>
          </cell>
          <cell r="W41">
            <v>0</v>
          </cell>
          <cell r="X41">
            <v>2.9416967808253762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39.807000000000002</v>
          </cell>
        </row>
        <row r="43">
          <cell r="T43">
            <v>3.371</v>
          </cell>
          <cell r="U43">
            <v>2.3566094604778201</v>
          </cell>
          <cell r="V43">
            <v>6.6752954110546101</v>
          </cell>
          <cell r="W43">
            <v>3.01546564464017</v>
          </cell>
          <cell r="X43">
            <v>0</v>
          </cell>
        </row>
        <row r="44">
          <cell r="T44">
            <v>0</v>
          </cell>
          <cell r="U44">
            <v>0.10895527045374473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2.2137192704974398E-3</v>
          </cell>
          <cell r="U46">
            <v>1.0493092649428299</v>
          </cell>
          <cell r="V46">
            <v>3.6764196608413298E-2</v>
          </cell>
          <cell r="W46">
            <v>4.3073392295861899E-2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3.2143188055943388</v>
          </cell>
        </row>
        <row r="53">
          <cell r="E53">
            <v>1.1015862413247299</v>
          </cell>
        </row>
        <row r="54">
          <cell r="E54">
            <v>12.452999999999999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2">
        <row r="13">
          <cell r="L13">
            <v>45.039193999999995</v>
          </cell>
          <cell r="T13">
            <v>8.0414155849497</v>
          </cell>
          <cell r="U13">
            <v>105.150592236873</v>
          </cell>
          <cell r="V13">
            <v>158.3858485003</v>
          </cell>
          <cell r="W13">
            <v>124.730012203676</v>
          </cell>
          <cell r="X13">
            <v>8.3371990700000005</v>
          </cell>
        </row>
        <row r="22">
          <cell r="T22">
            <v>2.7076685555555562</v>
          </cell>
          <cell r="U22">
            <v>116.5874281388889</v>
          </cell>
          <cell r="V22">
            <v>125.05981224999999</v>
          </cell>
          <cell r="W22">
            <v>66.374696373468396</v>
          </cell>
          <cell r="X22">
            <v>2.2477144999999998</v>
          </cell>
        </row>
        <row r="30">
          <cell r="T30">
            <v>0.189373333333333</v>
          </cell>
          <cell r="U30">
            <v>18.686166128192799</v>
          </cell>
          <cell r="V30">
            <v>14.411899999999999</v>
          </cell>
          <cell r="W30">
            <v>9.5887644444444504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1.69047944444444</v>
          </cell>
          <cell r="U37">
            <v>15.5648575</v>
          </cell>
          <cell r="V37">
            <v>69.4067088888889</v>
          </cell>
          <cell r="W37">
            <v>2.8232277777777801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0.29232166666666698</v>
          </cell>
          <cell r="U39">
            <v>1.51127777777778E-2</v>
          </cell>
          <cell r="V39">
            <v>1.04480216638667</v>
          </cell>
          <cell r="W39">
            <v>0.354625058755556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27.426589444444399</v>
          </cell>
          <cell r="W40">
            <v>4.4857555555555599</v>
          </cell>
          <cell r="X40">
            <v>0</v>
          </cell>
        </row>
        <row r="41">
          <cell r="T41">
            <v>1.93666726391606</v>
          </cell>
          <cell r="U41">
            <v>1.0434102222764099</v>
          </cell>
          <cell r="V41">
            <v>0</v>
          </cell>
          <cell r="W41">
            <v>0</v>
          </cell>
          <cell r="X41">
            <v>30.751352031352699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384.06791201745</v>
          </cell>
        </row>
        <row r="43">
          <cell r="T43">
            <v>37.008579624305803</v>
          </cell>
          <cell r="U43">
            <v>30.361762354379302</v>
          </cell>
          <cell r="V43">
            <v>49.863308104442503</v>
          </cell>
          <cell r="W43">
            <v>31.480497483360899</v>
          </cell>
          <cell r="X43">
            <v>0</v>
          </cell>
        </row>
        <row r="44">
          <cell r="T44">
            <v>0</v>
          </cell>
          <cell r="U44">
            <v>3.5678886111111101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1.5371382629999999E-2</v>
          </cell>
          <cell r="U46">
            <v>8.9862670625500005</v>
          </cell>
          <cell r="V46">
            <v>0.24074954805000001</v>
          </cell>
          <cell r="W46">
            <v>0.35525487623000002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27.795210764186699</v>
          </cell>
        </row>
        <row r="53">
          <cell r="E53">
            <v>12.027936499999999</v>
          </cell>
        </row>
        <row r="54">
          <cell r="E54">
            <v>130.484119421548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3" refreshError="1"/>
      <sheetData sheetId="14">
        <row r="13">
          <cell r="T13">
            <v>7.8260000000000005</v>
          </cell>
          <cell r="U13">
            <v>107.64707300000001</v>
          </cell>
          <cell r="V13">
            <v>155.36990600000001</v>
          </cell>
          <cell r="W13">
            <v>133.03417000000002</v>
          </cell>
          <cell r="X13">
            <v>10.823198000000001</v>
          </cell>
        </row>
        <row r="22">
          <cell r="T22">
            <v>2.7474958333333332</v>
          </cell>
          <cell r="U22">
            <v>108.57266219444446</v>
          </cell>
          <cell r="V22">
            <v>110.55954550000001</v>
          </cell>
          <cell r="W22">
            <v>67.887248027777787</v>
          </cell>
          <cell r="X22">
            <v>3.7083049999999997</v>
          </cell>
        </row>
        <row r="30">
          <cell r="T30">
            <v>0.23347250000000003</v>
          </cell>
          <cell r="U30">
            <v>21.793321666666667</v>
          </cell>
          <cell r="V30">
            <v>14.53032638888889</v>
          </cell>
          <cell r="W30">
            <v>9.7167455555555549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1.8437186111111112</v>
          </cell>
          <cell r="U37">
            <v>15.531573611111112</v>
          </cell>
          <cell r="V37">
            <v>69.611392402361105</v>
          </cell>
          <cell r="W37">
            <v>3.2420080555555599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0.29211333333333334</v>
          </cell>
          <cell r="U39">
            <v>2.4585833333333335E-2</v>
          </cell>
          <cell r="V39">
            <v>2.5257802777777778</v>
          </cell>
          <cell r="W39">
            <v>0.34678083333333298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39.547388055555558</v>
          </cell>
          <cell r="W40">
            <v>4.8885494444444442</v>
          </cell>
          <cell r="X40">
            <v>0</v>
          </cell>
        </row>
        <row r="41">
          <cell r="T41">
            <v>2.0636319502888534</v>
          </cell>
          <cell r="U41">
            <v>0.8896092618446092</v>
          </cell>
          <cell r="V41">
            <v>0</v>
          </cell>
          <cell r="W41">
            <v>0</v>
          </cell>
          <cell r="X41">
            <v>35.98692255406236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468.70719657595708</v>
          </cell>
        </row>
        <row r="43">
          <cell r="T43">
            <v>39.452873847389007</v>
          </cell>
          <cell r="U43">
            <v>27.924680978677003</v>
          </cell>
          <cell r="V43">
            <v>40.712038874909005</v>
          </cell>
          <cell r="W43">
            <v>24.208682698433005</v>
          </cell>
          <cell r="X43">
            <v>0</v>
          </cell>
        </row>
        <row r="44">
          <cell r="T44">
            <v>0</v>
          </cell>
          <cell r="U44">
            <v>4.4104077777777784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1.9208852320000001E-2</v>
          </cell>
          <cell r="U46">
            <v>7.3736578567600004</v>
          </cell>
          <cell r="V46">
            <v>0.30791956671000004</v>
          </cell>
          <cell r="W46">
            <v>0.38187951663999997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44.997299641464451</v>
          </cell>
        </row>
        <row r="53">
          <cell r="E53">
            <v>10.145451250000001</v>
          </cell>
        </row>
        <row r="54">
          <cell r="E54">
            <v>107.81117013444999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5">
        <row r="13">
          <cell r="T13">
            <v>7.6348390000000004</v>
          </cell>
          <cell r="U13">
            <v>103.14419500000001</v>
          </cell>
          <cell r="V13">
            <v>151.42570800000004</v>
          </cell>
          <cell r="W13">
            <v>130.260345</v>
          </cell>
          <cell r="X13">
            <v>10.543191</v>
          </cell>
        </row>
        <row r="22">
          <cell r="T22">
            <v>2.7313033333333334</v>
          </cell>
          <cell r="U22">
            <v>100.79992327777778</v>
          </cell>
          <cell r="V22">
            <v>103.59429425</v>
          </cell>
          <cell r="W22">
            <v>63.657246916666658</v>
          </cell>
          <cell r="X22">
            <v>3.7083049999999997</v>
          </cell>
        </row>
        <row r="30">
          <cell r="T30">
            <v>0.26707805555555558</v>
          </cell>
          <cell r="U30">
            <v>21.859968333333335</v>
          </cell>
          <cell r="V30">
            <v>15.629575833333334</v>
          </cell>
          <cell r="W30">
            <v>9.8594538888888898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1.8475597222222224</v>
          </cell>
          <cell r="U37">
            <v>14.497804722222222</v>
          </cell>
          <cell r="V37">
            <v>70.150979653888882</v>
          </cell>
          <cell r="W37">
            <v>3.2188041666666698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0.29294666666666669</v>
          </cell>
          <cell r="U39">
            <v>2.5632777777777779E-2</v>
          </cell>
          <cell r="V39">
            <v>2.6333313888888892</v>
          </cell>
          <cell r="W39">
            <v>0.353265833333333</v>
          </cell>
          <cell r="X39">
            <v>0</v>
          </cell>
        </row>
        <row r="40">
          <cell r="T40">
            <v>0</v>
          </cell>
          <cell r="U40">
            <v>2.6356574892997744E-4</v>
          </cell>
          <cell r="V40">
            <v>44.439514166666662</v>
          </cell>
          <cell r="W40">
            <v>5.0584755555555549</v>
          </cell>
          <cell r="X40">
            <v>0</v>
          </cell>
        </row>
        <row r="41">
          <cell r="T41">
            <v>2.0636319502888525</v>
          </cell>
          <cell r="U41">
            <v>0.89176663588059402</v>
          </cell>
          <cell r="V41">
            <v>0</v>
          </cell>
          <cell r="W41">
            <v>4.4999999999999929E-2</v>
          </cell>
          <cell r="X41">
            <v>37.735735445533919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452.34819647075807</v>
          </cell>
        </row>
        <row r="43">
          <cell r="T43">
            <v>37.704445299680003</v>
          </cell>
          <cell r="U43">
            <v>26.970422859407002</v>
          </cell>
          <cell r="V43">
            <v>35.382495305294</v>
          </cell>
          <cell r="W43">
            <v>23.957943117617006</v>
          </cell>
          <cell r="X43">
            <v>0</v>
          </cell>
        </row>
        <row r="44">
          <cell r="T44">
            <v>0</v>
          </cell>
          <cell r="U44">
            <v>4.1018563888888897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1.4204347020000001E-2</v>
          </cell>
          <cell r="U46">
            <v>6.7561224064300012</v>
          </cell>
          <cell r="V46">
            <v>0.23010017802000002</v>
          </cell>
          <cell r="W46">
            <v>0.34274047288000004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37.544340114489998</v>
          </cell>
        </row>
        <row r="53">
          <cell r="E53">
            <v>10.01566775</v>
          </cell>
        </row>
        <row r="54">
          <cell r="E54">
            <v>113.10061663207698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6" refreshError="1"/>
      <sheetData sheetId="17">
        <row r="13">
          <cell r="L13">
            <v>64.055272794649682</v>
          </cell>
        </row>
      </sheetData>
      <sheetData sheetId="18" refreshError="1"/>
      <sheetData sheetId="19">
        <row r="5">
          <cell r="T5">
            <v>47.147872325239078</v>
          </cell>
        </row>
      </sheetData>
      <sheetData sheetId="20" refreshError="1"/>
      <sheetData sheetId="21">
        <row r="13">
          <cell r="L13">
            <v>50.941346245748719</v>
          </cell>
        </row>
      </sheetData>
      <sheetData sheetId="22" refreshError="1"/>
      <sheetData sheetId="23">
        <row r="13">
          <cell r="L13">
            <v>31.055970799843635</v>
          </cell>
        </row>
      </sheetData>
      <sheetData sheetId="24" refreshError="1"/>
      <sheetData sheetId="25">
        <row r="13">
          <cell r="L13">
            <v>12.7985093299136</v>
          </cell>
        </row>
      </sheetData>
      <sheetData sheetId="26" refreshError="1"/>
      <sheetData sheetId="27">
        <row r="13">
          <cell r="L13">
            <v>86.192023090421856</v>
          </cell>
          <cell r="T13">
            <v>8.2175953615538209</v>
          </cell>
          <cell r="U13">
            <v>120.70181135843518</v>
          </cell>
          <cell r="V13">
            <v>155.95540999328384</v>
          </cell>
          <cell r="W13">
            <v>125.61536332451628</v>
          </cell>
          <cell r="X13">
            <v>16.904139208606786</v>
          </cell>
        </row>
        <row r="22">
          <cell r="T22">
            <v>2.4841856077042066</v>
          </cell>
          <cell r="U22">
            <v>99.196233029113813</v>
          </cell>
          <cell r="V22">
            <v>115.18135311514705</v>
          </cell>
          <cell r="W22">
            <v>63.673123299044839</v>
          </cell>
          <cell r="X22">
            <v>4.2283415153063242</v>
          </cell>
        </row>
        <row r="30">
          <cell r="T30">
            <v>0</v>
          </cell>
          <cell r="U30">
            <v>18.813292152120741</v>
          </cell>
          <cell r="V30">
            <v>17.330040012113464</v>
          </cell>
          <cell r="W30">
            <v>16.26962770883793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4.8413821640415255</v>
          </cell>
          <cell r="U37">
            <v>26.937463537570867</v>
          </cell>
          <cell r="V37">
            <v>73.413726167362853</v>
          </cell>
          <cell r="W37">
            <v>0.46982123257429881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0.36066131262685786</v>
          </cell>
          <cell r="U39">
            <v>4.7991131198633983E-4</v>
          </cell>
          <cell r="V39">
            <v>3.6562035035050702</v>
          </cell>
          <cell r="W39">
            <v>3.5112271315974612</v>
          </cell>
          <cell r="X39">
            <v>0</v>
          </cell>
        </row>
        <row r="40">
          <cell r="T40">
            <v>0.25</v>
          </cell>
          <cell r="U40">
            <v>1.390278564453125</v>
          </cell>
          <cell r="V40">
            <v>58.81291503857112</v>
          </cell>
          <cell r="W40">
            <v>20.889920153176526</v>
          </cell>
          <cell r="X40">
            <v>0</v>
          </cell>
        </row>
        <row r="41">
          <cell r="T41">
            <v>2.7934691016396722</v>
          </cell>
          <cell r="U41">
            <v>0.93174084898654219</v>
          </cell>
          <cell r="V41">
            <v>0</v>
          </cell>
          <cell r="W41">
            <v>0</v>
          </cell>
          <cell r="X41">
            <v>36.659680118734968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419.79556605067489</v>
          </cell>
        </row>
        <row r="43">
          <cell r="T43">
            <v>35.262359218486715</v>
          </cell>
          <cell r="U43">
            <v>24.165235131191906</v>
          </cell>
          <cell r="V43">
            <v>30.264105073000309</v>
          </cell>
          <cell r="W43">
            <v>18.302012365463629</v>
          </cell>
          <cell r="X43">
            <v>0</v>
          </cell>
        </row>
        <row r="44">
          <cell r="T44">
            <v>0</v>
          </cell>
          <cell r="U44">
            <v>6.1285070662635537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4.8925078124999999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41.197055664062503</v>
          </cell>
        </row>
        <row r="53">
          <cell r="E53">
            <v>13.300999650365602</v>
          </cell>
        </row>
        <row r="54">
          <cell r="E54">
            <v>114.54386945674393</v>
          </cell>
        </row>
        <row r="55">
          <cell r="E55">
            <v>0</v>
          </cell>
        </row>
        <row r="56">
          <cell r="E56">
            <v>8.8573866734579565E-2</v>
          </cell>
        </row>
        <row r="57">
          <cell r="E57">
            <v>0</v>
          </cell>
        </row>
      </sheetData>
      <sheetData sheetId="28" refreshError="1"/>
      <sheetData sheetId="29">
        <row r="13">
          <cell r="L13">
            <v>57.004792385507699</v>
          </cell>
          <cell r="T13">
            <v>7.7729232574275695</v>
          </cell>
          <cell r="U13">
            <v>149.97591807761651</v>
          </cell>
          <cell r="V13">
            <v>166.37329866218946</v>
          </cell>
          <cell r="W13">
            <v>121.98780292325297</v>
          </cell>
          <cell r="X13">
            <v>34.37904289575053</v>
          </cell>
        </row>
        <row r="22">
          <cell r="T22">
            <v>1.8992499702384933</v>
          </cell>
          <cell r="U22">
            <v>81.675242038488676</v>
          </cell>
          <cell r="V22">
            <v>85.098949623624506</v>
          </cell>
          <cell r="W22">
            <v>52.738757939191267</v>
          </cell>
          <cell r="X22">
            <v>7.503677414417977</v>
          </cell>
        </row>
        <row r="30">
          <cell r="T30">
            <v>0</v>
          </cell>
          <cell r="U30">
            <v>19.64973892074547</v>
          </cell>
          <cell r="V30">
            <v>28.91573310749396</v>
          </cell>
          <cell r="W30">
            <v>21.68981250781421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11.011050824063592</v>
          </cell>
          <cell r="U37">
            <v>40.443549417210768</v>
          </cell>
          <cell r="V37">
            <v>60.462677002926597</v>
          </cell>
          <cell r="W37">
            <v>0.66301904787483434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0.62518456969816016</v>
          </cell>
          <cell r="U39">
            <v>5.5791983277925228E-4</v>
          </cell>
          <cell r="V39">
            <v>6.0227221136395004</v>
          </cell>
          <cell r="W39">
            <v>5.7126687446965985</v>
          </cell>
          <cell r="X39">
            <v>0</v>
          </cell>
        </row>
        <row r="40">
          <cell r="T40">
            <v>0.5</v>
          </cell>
          <cell r="U40">
            <v>4.88145654296875</v>
          </cell>
          <cell r="V40">
            <v>86.174932209680449</v>
          </cell>
          <cell r="W40">
            <v>32.610726720036368</v>
          </cell>
          <cell r="X40">
            <v>0</v>
          </cell>
        </row>
        <row r="41">
          <cell r="T41">
            <v>4.0387192002052101</v>
          </cell>
          <cell r="U41">
            <v>0.94472173154286976</v>
          </cell>
          <cell r="V41">
            <v>0</v>
          </cell>
          <cell r="W41">
            <v>0</v>
          </cell>
          <cell r="X41">
            <v>37.003548542473339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327.31240488287597</v>
          </cell>
        </row>
        <row r="43">
          <cell r="T43">
            <v>30.726482620518151</v>
          </cell>
          <cell r="U43">
            <v>11.411404613984462</v>
          </cell>
          <cell r="V43">
            <v>11.051911751931332</v>
          </cell>
          <cell r="W43">
            <v>3.647846365657839</v>
          </cell>
          <cell r="X43">
            <v>0</v>
          </cell>
        </row>
        <row r="44">
          <cell r="T44">
            <v>0</v>
          </cell>
          <cell r="U44">
            <v>10.269254107073522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0.92572558593749998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21.539217285156251</v>
          </cell>
        </row>
        <row r="53">
          <cell r="E53">
            <v>13.537810909623058</v>
          </cell>
        </row>
        <row r="54">
          <cell r="E54">
            <v>115.2369297376637</v>
          </cell>
        </row>
        <row r="55">
          <cell r="E55">
            <v>0</v>
          </cell>
        </row>
        <row r="56">
          <cell r="E56">
            <v>0.21009810940790719</v>
          </cell>
        </row>
        <row r="57">
          <cell r="E57">
            <v>1.1371080780029297</v>
          </cell>
        </row>
      </sheetData>
      <sheetData sheetId="30" refreshError="1"/>
      <sheetData sheetId="31">
        <row r="13">
          <cell r="L13">
            <v>95.466033511784872</v>
          </cell>
          <cell r="T13">
            <v>8.6394549115432451</v>
          </cell>
          <cell r="U13">
            <v>153.63376409766943</v>
          </cell>
          <cell r="V13">
            <v>154.71508066801636</v>
          </cell>
          <cell r="W13">
            <v>121.82988531988985</v>
          </cell>
          <cell r="X13">
            <v>64.85163743776981</v>
          </cell>
        </row>
        <row r="22">
          <cell r="T22">
            <v>1.7976500828628292</v>
          </cell>
          <cell r="U22">
            <v>77.127391103588607</v>
          </cell>
          <cell r="V22">
            <v>62.480514463276663</v>
          </cell>
          <cell r="W22">
            <v>39.952116113539262</v>
          </cell>
          <cell r="X22">
            <v>10.108389747247291</v>
          </cell>
        </row>
        <row r="30">
          <cell r="T30">
            <v>0</v>
          </cell>
          <cell r="U30">
            <v>19.531581585374159</v>
          </cell>
          <cell r="V30">
            <v>40.414130897924252</v>
          </cell>
          <cell r="W30">
            <v>23.34788734439358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13.268691220387016</v>
          </cell>
          <cell r="U37">
            <v>38.482812658254467</v>
          </cell>
          <cell r="V37">
            <v>51.327953484818188</v>
          </cell>
          <cell r="W37">
            <v>0.59825096685183632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0.96290247555165809</v>
          </cell>
          <cell r="U39">
            <v>6.9244826847420892E-4</v>
          </cell>
          <cell r="V39">
            <v>8.4399601726258009</v>
          </cell>
          <cell r="W39">
            <v>7.9118943755575595</v>
          </cell>
          <cell r="X39">
            <v>0</v>
          </cell>
        </row>
        <row r="40">
          <cell r="T40">
            <v>0.75</v>
          </cell>
          <cell r="U40">
            <v>7.96939501953125</v>
          </cell>
          <cell r="V40">
            <v>106.12788282579821</v>
          </cell>
          <cell r="W40">
            <v>42.388089169065466</v>
          </cell>
          <cell r="X40">
            <v>0</v>
          </cell>
        </row>
        <row r="41">
          <cell r="T41">
            <v>5.5416929804733215</v>
          </cell>
          <cell r="U41">
            <v>0.86864625843500676</v>
          </cell>
          <cell r="V41">
            <v>0</v>
          </cell>
          <cell r="W41">
            <v>0</v>
          </cell>
          <cell r="X41">
            <v>41.017765544975838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211.71015331690265</v>
          </cell>
        </row>
        <row r="43">
          <cell r="T43">
            <v>22.236615834161011</v>
          </cell>
          <cell r="U43">
            <v>6.9248578185022795</v>
          </cell>
          <cell r="V43">
            <v>1.1922779453513948</v>
          </cell>
          <cell r="W43">
            <v>2.1695259016738468</v>
          </cell>
          <cell r="X43">
            <v>0</v>
          </cell>
        </row>
        <row r="44">
          <cell r="T44">
            <v>0</v>
          </cell>
          <cell r="U44">
            <v>9.5007953936584837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0.59552978515624999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12.5134462890625</v>
          </cell>
        </row>
        <row r="53">
          <cell r="E53">
            <v>12.973217825865042</v>
          </cell>
        </row>
        <row r="54">
          <cell r="E54">
            <v>108.38831705718137</v>
          </cell>
        </row>
        <row r="55">
          <cell r="E55">
            <v>0</v>
          </cell>
        </row>
        <row r="56">
          <cell r="E56">
            <v>3.3783937339937218</v>
          </cell>
        </row>
        <row r="57">
          <cell r="E57">
            <v>1.487132000092672</v>
          </cell>
        </row>
      </sheetData>
      <sheetData sheetId="32" refreshError="1"/>
      <sheetData sheetId="33">
        <row r="13">
          <cell r="L13">
            <v>125.47851234932489</v>
          </cell>
          <cell r="T13">
            <v>9.5059865656589242</v>
          </cell>
          <cell r="U13">
            <v>158.55335920514725</v>
          </cell>
          <cell r="V13">
            <v>151.24868898897191</v>
          </cell>
          <cell r="W13">
            <v>121.37238070067973</v>
          </cell>
          <cell r="X13">
            <v>98.588545998647945</v>
          </cell>
        </row>
        <row r="22">
          <cell r="T22">
            <v>1.6960501954871656</v>
          </cell>
          <cell r="U22">
            <v>70.544008247711929</v>
          </cell>
          <cell r="V22">
            <v>39.26367448194933</v>
          </cell>
          <cell r="W22">
            <v>27.549886913301172</v>
          </cell>
          <cell r="X22">
            <v>12.027313360200161</v>
          </cell>
        </row>
        <row r="30">
          <cell r="T30">
            <v>0</v>
          </cell>
          <cell r="U30">
            <v>19.589550837757145</v>
          </cell>
          <cell r="V30">
            <v>40.573888251039236</v>
          </cell>
          <cell r="W30">
            <v>23.260331591038877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15.52633161671044</v>
          </cell>
          <cell r="U37">
            <v>37.391289864504934</v>
          </cell>
          <cell r="V37">
            <v>44.494417008077924</v>
          </cell>
          <cell r="W37">
            <v>0.53348745170182088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1.300620381405156</v>
          </cell>
          <cell r="U39">
            <v>7.8820466826144567E-4</v>
          </cell>
          <cell r="V39">
            <v>11.112810725871574</v>
          </cell>
          <cell r="W39">
            <v>10.099133053150796</v>
          </cell>
          <cell r="X39">
            <v>0</v>
          </cell>
        </row>
        <row r="40">
          <cell r="T40">
            <v>1</v>
          </cell>
          <cell r="U40">
            <v>10.938740234375</v>
          </cell>
          <cell r="V40">
            <v>136.92844956569715</v>
          </cell>
          <cell r="W40">
            <v>52.106590615041483</v>
          </cell>
          <cell r="X40">
            <v>0</v>
          </cell>
        </row>
        <row r="41">
          <cell r="T41">
            <v>6.9560280843062596</v>
          </cell>
          <cell r="U41">
            <v>0.65571165030445222</v>
          </cell>
          <cell r="V41">
            <v>0</v>
          </cell>
          <cell r="W41">
            <v>0</v>
          </cell>
          <cell r="X41">
            <v>36.960574276816558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101.77401649068347</v>
          </cell>
        </row>
        <row r="43">
          <cell r="T43">
            <v>13.844421020879521</v>
          </cell>
          <cell r="U43">
            <v>3.1554639427466697</v>
          </cell>
          <cell r="V43">
            <v>0.45829125770018231</v>
          </cell>
          <cell r="W43">
            <v>0.72441471608254671</v>
          </cell>
          <cell r="X43">
            <v>0</v>
          </cell>
        </row>
        <row r="44">
          <cell r="T44">
            <v>0</v>
          </cell>
          <cell r="U44">
            <v>8.8042095890605694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0.31248754882812502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11.840306396484376</v>
          </cell>
        </row>
        <row r="53">
          <cell r="E53">
            <v>12.555456003161671</v>
          </cell>
        </row>
        <row r="54">
          <cell r="E54">
            <v>102.03544321387012</v>
          </cell>
        </row>
        <row r="55">
          <cell r="E55">
            <v>0</v>
          </cell>
        </row>
        <row r="56">
          <cell r="E56">
            <v>6.330380960194816</v>
          </cell>
        </row>
        <row r="57">
          <cell r="E57">
            <v>1.8671101278544562</v>
          </cell>
        </row>
      </sheetData>
      <sheetData sheetId="34" refreshError="1"/>
      <sheetData sheetId="35">
        <row r="13">
          <cell r="L13">
            <v>28.679288227585289</v>
          </cell>
          <cell r="T13">
            <v>11.227117591013034</v>
          </cell>
          <cell r="U13">
            <v>175.53759404222941</v>
          </cell>
          <cell r="V13">
            <v>135.77624988749807</v>
          </cell>
          <cell r="W13">
            <v>123.17781879034489</v>
          </cell>
          <cell r="X13">
            <v>129.21827578196925</v>
          </cell>
        </row>
        <row r="22">
          <cell r="T22">
            <v>1.459595922347638</v>
          </cell>
          <cell r="U22">
            <v>55.476680983540973</v>
          </cell>
          <cell r="V22">
            <v>27.268319880371575</v>
          </cell>
          <cell r="W22">
            <v>8.8076196126240713</v>
          </cell>
          <cell r="X22">
            <v>14.472730677280335</v>
          </cell>
        </row>
        <row r="30">
          <cell r="T30">
            <v>0</v>
          </cell>
          <cell r="U30">
            <v>19.118062217384278</v>
          </cell>
          <cell r="V30">
            <v>35.160977387086433</v>
          </cell>
          <cell r="W30">
            <v>22.010319853686262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20.041612409357288</v>
          </cell>
          <cell r="U37">
            <v>33.03282021908791</v>
          </cell>
          <cell r="V37">
            <v>38.670548162755892</v>
          </cell>
          <cell r="W37">
            <v>0.43608334641640845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2.1874070050904897</v>
          </cell>
          <cell r="U39">
            <v>8.5890570413253253E-4</v>
          </cell>
          <cell r="V39">
            <v>14.856183742724458</v>
          </cell>
          <cell r="W39">
            <v>13.972057854326216</v>
          </cell>
          <cell r="X39">
            <v>0</v>
          </cell>
        </row>
        <row r="40">
          <cell r="T40">
            <v>1.5</v>
          </cell>
          <cell r="U40">
            <v>15.325538085937501</v>
          </cell>
          <cell r="V40">
            <v>170.26801174847219</v>
          </cell>
          <cell r="W40">
            <v>64.752372842201794</v>
          </cell>
          <cell r="X40">
            <v>0</v>
          </cell>
        </row>
        <row r="41">
          <cell r="T41">
            <v>6.8596219696114309</v>
          </cell>
          <cell r="U41">
            <v>0</v>
          </cell>
          <cell r="V41">
            <v>0</v>
          </cell>
          <cell r="W41">
            <v>0</v>
          </cell>
          <cell r="X41">
            <v>21.896930013474247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2.5646039905747262</v>
          </cell>
        </row>
        <row r="43">
          <cell r="T43">
            <v>0</v>
          </cell>
          <cell r="U43">
            <v>0</v>
          </cell>
          <cell r="V43">
            <v>1.33686813190731E-2</v>
          </cell>
          <cell r="W43">
            <v>5.9571518115922428E-2</v>
          </cell>
          <cell r="X43">
            <v>0</v>
          </cell>
        </row>
        <row r="44">
          <cell r="T44">
            <v>0</v>
          </cell>
          <cell r="U44">
            <v>7.3058555419217219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0</v>
          </cell>
        </row>
        <row r="53">
          <cell r="E53">
            <v>7.019987079045241</v>
          </cell>
        </row>
        <row r="54">
          <cell r="E54">
            <v>91.376834551502185</v>
          </cell>
        </row>
        <row r="55">
          <cell r="E55">
            <v>0</v>
          </cell>
        </row>
        <row r="56">
          <cell r="E56">
            <v>10.939475194884611</v>
          </cell>
        </row>
        <row r="57">
          <cell r="E57">
            <v>6.6285490677230623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lan énergie"/>
      <sheetName val="FE_et_bio"/>
      <sheetName val="VP"/>
      <sheetName val="VUL"/>
      <sheetName val="PL"/>
      <sheetName val="donnees parc"/>
      <sheetName val="B&amp;C"/>
      <sheetName val="2RM"/>
      <sheetName val="Autres_modes"/>
      <sheetName val="Aérien"/>
      <sheetName val="Trafic"/>
      <sheetName val="Feui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H23">
            <v>629.84570702567703</v>
          </cell>
          <cell r="J23">
            <v>746.12634327708076</v>
          </cell>
          <cell r="N23">
            <v>684.63084367246472</v>
          </cell>
        </row>
        <row r="25">
          <cell r="H25">
            <v>64.888834107401252</v>
          </cell>
          <cell r="J25">
            <v>140.59793923050162</v>
          </cell>
          <cell r="N25">
            <v>187.05149835225939</v>
          </cell>
        </row>
        <row r="26">
          <cell r="H26">
            <v>37.912440194392154</v>
          </cell>
          <cell r="J26">
            <v>75.079943524557834</v>
          </cell>
          <cell r="N26">
            <v>97.003287033728711</v>
          </cell>
        </row>
        <row r="27">
          <cell r="H27">
            <v>7.2496149479999996</v>
          </cell>
          <cell r="J27">
            <v>14.4</v>
          </cell>
          <cell r="N27">
            <v>6.5</v>
          </cell>
        </row>
        <row r="28">
          <cell r="H28">
            <v>9.5825009382689181</v>
          </cell>
          <cell r="J28">
            <v>11.58776593289357</v>
          </cell>
          <cell r="N28">
            <v>11.683292928212129</v>
          </cell>
        </row>
        <row r="29">
          <cell r="H29">
            <v>5.5</v>
          </cell>
          <cell r="J29">
            <v>19.108172758676037</v>
          </cell>
          <cell r="N29">
            <v>28.331906374785511</v>
          </cell>
        </row>
        <row r="30">
          <cell r="H30">
            <v>754.94948226573945</v>
          </cell>
          <cell r="J30">
            <v>1006.9001647237097</v>
          </cell>
          <cell r="N30">
            <v>1015.2008283614504</v>
          </cell>
        </row>
        <row r="31">
          <cell r="H31">
            <v>749.44948226573945</v>
          </cell>
          <cell r="J31">
            <v>987.79199196503373</v>
          </cell>
          <cell r="N31">
            <v>986.86892198666487</v>
          </cell>
        </row>
      </sheetData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 energie vecteurs"/>
      <sheetName val="T energie usages"/>
      <sheetName val="Résultats"/>
      <sheetName val="T CO2"/>
      <sheetName val="T logement"/>
      <sheetName val="G energie"/>
      <sheetName val="G mix energie"/>
      <sheetName val="G mix élec"/>
      <sheetName val="G mix carb"/>
      <sheetName val="G mix gaz"/>
      <sheetName val="G CO2"/>
      <sheetName val="T parc auto"/>
      <sheetName val="G parc auto total"/>
      <sheetName val="G parc elec"/>
      <sheetName val="G parc auto"/>
      <sheetName val="T transport"/>
      <sheetName val="G parc logt"/>
      <sheetName val="Table Graphs"/>
    </sheetNames>
    <sheetDataSet>
      <sheetData sheetId="0" refreshError="1"/>
      <sheetData sheetId="1" refreshError="1"/>
      <sheetData sheetId="2">
        <row r="1">
          <cell r="B1" t="str">
            <v>SNBC3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ésultats"/>
      <sheetName val="T energie vecteurs"/>
      <sheetName val="T energie usages"/>
      <sheetName val="Graphique8"/>
      <sheetName val="Graphique9"/>
      <sheetName val="Graphique10"/>
      <sheetName val="Graphique11"/>
      <sheetName val="T CO2"/>
      <sheetName val="Graphique12"/>
      <sheetName val="T parc auto"/>
      <sheetName val="Graphique13"/>
      <sheetName val="T logement"/>
      <sheetName val="Graphique14"/>
      <sheetName val="Table Graph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79">
          <cell r="G79">
            <v>269.73239985210228</v>
          </cell>
        </row>
      </sheetData>
      <sheetData sheetId="8" refreshError="1"/>
      <sheetData sheetId="9"/>
      <sheetData sheetId="10" refreshError="1"/>
      <sheetData sheetId="1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ésultats"/>
      <sheetName val="T energie vecteurs"/>
      <sheetName val="T energie usages"/>
      <sheetName val="G energie"/>
      <sheetName val="G mix élec"/>
      <sheetName val="G mix carb"/>
      <sheetName val="G mix gaz"/>
      <sheetName val="T CO2"/>
      <sheetName val="G CO2"/>
      <sheetName val="T parc auto"/>
      <sheetName val="G parc auto"/>
      <sheetName val="T logement"/>
      <sheetName val="G parc logt"/>
      <sheetName val="Table Graph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>
        <row r="4">
          <cell r="A4" t="str">
            <v>TEND</v>
          </cell>
        </row>
        <row r="5">
          <cell r="I5">
            <v>34.664492700000004</v>
          </cell>
          <cell r="J5">
            <v>34.956187980000003</v>
          </cell>
          <cell r="K5">
            <v>35.116030049999999</v>
          </cell>
          <cell r="L5">
            <v>35.22984451</v>
          </cell>
          <cell r="M5">
            <v>35.293663940000002</v>
          </cell>
          <cell r="N5">
            <v>35.310390290000001</v>
          </cell>
          <cell r="O5">
            <v>35.378433780000002</v>
          </cell>
          <cell r="P5">
            <v>35.496856720000004</v>
          </cell>
          <cell r="Q5">
            <v>35.653829440000003</v>
          </cell>
          <cell r="R5">
            <v>35.834650719999999</v>
          </cell>
          <cell r="S5">
            <v>36.029956510000005</v>
          </cell>
          <cell r="T5">
            <v>36.22702245</v>
          </cell>
          <cell r="U5">
            <v>36.422585409999996</v>
          </cell>
          <cell r="V5">
            <v>36.615497920000003</v>
          </cell>
          <cell r="W5">
            <v>36.806113070000002</v>
          </cell>
          <cell r="X5">
            <v>36.99621071</v>
          </cell>
          <cell r="Y5">
            <v>37.184294620000003</v>
          </cell>
          <cell r="Z5">
            <v>37.372872549999997</v>
          </cell>
          <cell r="AA5">
            <v>37.563526299999999</v>
          </cell>
          <cell r="AB5">
            <v>37.757729379999994</v>
          </cell>
          <cell r="AC5">
            <v>37.955981359999996</v>
          </cell>
          <cell r="AD5">
            <v>38.166927919999999</v>
          </cell>
          <cell r="AE5">
            <v>38.388725370000003</v>
          </cell>
          <cell r="AF5">
            <v>38.617999920000003</v>
          </cell>
          <cell r="AG5">
            <v>38.852641049999995</v>
          </cell>
          <cell r="AH5">
            <v>39.090289320000004</v>
          </cell>
          <cell r="AI5">
            <v>39.328744280000002</v>
          </cell>
          <cell r="AJ5">
            <v>39.56777889</v>
          </cell>
          <cell r="AK5">
            <v>39.807161919999999</v>
          </cell>
          <cell r="AL5">
            <v>40.046711999999999</v>
          </cell>
          <cell r="AM5">
            <v>40.288447350000006</v>
          </cell>
        </row>
        <row r="6">
          <cell r="I6">
            <v>8.5699726798540449E-3</v>
          </cell>
          <cell r="J6">
            <v>1.3125767536852568E-2</v>
          </cell>
          <cell r="K6">
            <v>2.093814652035246E-2</v>
          </cell>
          <cell r="L6">
            <v>2.9339596650975963E-2</v>
          </cell>
          <cell r="M6">
            <v>3.8422705171822412E-2</v>
          </cell>
          <cell r="N6">
            <v>4.8298948326351107E-2</v>
          </cell>
          <cell r="O6">
            <v>5.9426982864022086E-2</v>
          </cell>
          <cell r="P6">
            <v>7.1945526561541698E-2</v>
          </cell>
          <cell r="Q6">
            <v>8.5942049539349558E-2</v>
          </cell>
          <cell r="R6">
            <v>0.10147172535354351</v>
          </cell>
          <cell r="S6">
            <v>0.11859008108472456</v>
          </cell>
          <cell r="T6">
            <v>0.13730358074183932</v>
          </cell>
          <cell r="U6">
            <v>0.15763780877629907</v>
          </cell>
          <cell r="V6">
            <v>0.17959577390884213</v>
          </cell>
          <cell r="W6">
            <v>0.20315166958215294</v>
          </cell>
          <cell r="X6">
            <v>0.22824904180571959</v>
          </cell>
          <cell r="Y6">
            <v>0.2547637951132391</v>
          </cell>
          <cell r="Z6">
            <v>0.28256330245612871</v>
          </cell>
          <cell r="AA6">
            <v>0.31147078409409074</v>
          </cell>
          <cell r="AB6">
            <v>0.34127816401018973</v>
          </cell>
          <cell r="AC6">
            <v>0.3717464103001657</v>
          </cell>
          <cell r="AD6">
            <v>0.40269710709271045</v>
          </cell>
          <cell r="AE6">
            <v>0.43384849821076515</v>
          </cell>
          <cell r="AF6">
            <v>0.464913357170052</v>
          </cell>
          <cell r="AG6">
            <v>0.49563467577965337</v>
          </cell>
          <cell r="AH6">
            <v>0.52577836510113596</v>
          </cell>
          <cell r="AI6">
            <v>0.55514202702634574</v>
          </cell>
          <cell r="AJ6">
            <v>0.58357173153926301</v>
          </cell>
          <cell r="AK6">
            <v>0.61094374421556352</v>
          </cell>
          <cell r="AL6">
            <v>0.63716406480512056</v>
          </cell>
          <cell r="AM6">
            <v>0.66218106938290833</v>
          </cell>
        </row>
      </sheetData>
      <sheetData sheetId="10" refreshError="1"/>
      <sheetData sheetId="11"/>
      <sheetData sheetId="12" refreshError="1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tabColor rgb="FF0070C0"/>
  </sheetPr>
  <dimension ref="A1:BF524"/>
  <sheetViews>
    <sheetView zoomScale="90" zoomScaleNormal="90" workbookViewId="0"/>
  </sheetViews>
  <sheetFormatPr baseColWidth="10" defaultRowHeight="15" x14ac:dyDescent="0.25"/>
  <cols>
    <col min="2" max="2" width="14.42578125" customWidth="1"/>
    <col min="3" max="3" width="18.5703125" bestFit="1" customWidth="1"/>
    <col min="4" max="4" width="18.5703125" customWidth="1"/>
    <col min="5" max="8" width="5.5703125" customWidth="1"/>
    <col min="9" max="23" width="7.42578125" customWidth="1"/>
    <col min="25" max="58" width="11.42578125" style="3"/>
  </cols>
  <sheetData>
    <row r="1" spans="1:29" ht="28.5" x14ac:dyDescent="0.45">
      <c r="A1" s="171" t="s">
        <v>97</v>
      </c>
      <c r="B1" s="3"/>
      <c r="C1" s="3"/>
      <c r="D1" s="3" t="s">
        <v>487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9" ht="23.25" x14ac:dyDescent="0.35">
      <c r="A2" s="4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9" ht="21" x14ac:dyDescent="0.35">
      <c r="A3" s="172" t="s">
        <v>81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9" ht="23.25" x14ac:dyDescent="0.35">
      <c r="A4" s="161" t="str">
        <f>Résultats!B1</f>
        <v>SNBC3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9" s="3" customFormat="1" ht="23.25" x14ac:dyDescent="0.35">
      <c r="A5" s="46"/>
      <c r="D5" s="7"/>
      <c r="E5" s="234">
        <f>Résultats!E1</f>
        <v>4</v>
      </c>
      <c r="F5" s="234">
        <f>E5+9</f>
        <v>13</v>
      </c>
      <c r="G5" s="234">
        <f>F5+3</f>
        <v>16</v>
      </c>
      <c r="H5" s="234">
        <f t="shared" ref="H5:S5" si="0">G5+1</f>
        <v>17</v>
      </c>
      <c r="I5" s="234">
        <f t="shared" si="0"/>
        <v>18</v>
      </c>
      <c r="J5" s="234">
        <f t="shared" si="0"/>
        <v>19</v>
      </c>
      <c r="K5" s="234">
        <f t="shared" si="0"/>
        <v>20</v>
      </c>
      <c r="L5" s="234">
        <f t="shared" si="0"/>
        <v>21</v>
      </c>
      <c r="M5" s="234">
        <f t="shared" si="0"/>
        <v>22</v>
      </c>
      <c r="N5" s="234">
        <f t="shared" si="0"/>
        <v>23</v>
      </c>
      <c r="O5" s="234">
        <f t="shared" si="0"/>
        <v>24</v>
      </c>
      <c r="P5" s="234">
        <f t="shared" si="0"/>
        <v>25</v>
      </c>
      <c r="Q5" s="234">
        <f t="shared" si="0"/>
        <v>26</v>
      </c>
      <c r="R5" s="234">
        <f t="shared" si="0"/>
        <v>27</v>
      </c>
      <c r="S5" s="234">
        <f t="shared" si="0"/>
        <v>28</v>
      </c>
      <c r="T5" s="234">
        <f>S5+5</f>
        <v>33</v>
      </c>
      <c r="U5" s="234">
        <f>T5+5</f>
        <v>38</v>
      </c>
      <c r="V5" s="234">
        <f>U5+5</f>
        <v>43</v>
      </c>
      <c r="W5" s="234">
        <f>V5+5</f>
        <v>48</v>
      </c>
    </row>
    <row r="6" spans="1:29" x14ac:dyDescent="0.25">
      <c r="A6" s="3"/>
      <c r="B6" s="168"/>
      <c r="C6" s="2"/>
      <c r="D6" s="15"/>
      <c r="E6" s="4">
        <v>2006</v>
      </c>
      <c r="F6" s="4">
        <v>2015</v>
      </c>
      <c r="G6" s="20">
        <v>2018</v>
      </c>
      <c r="H6" s="27">
        <v>2019</v>
      </c>
      <c r="I6" s="83">
        <v>2020</v>
      </c>
      <c r="J6" s="91">
        <v>2021</v>
      </c>
      <c r="K6" s="27">
        <v>2022</v>
      </c>
      <c r="L6" s="27">
        <v>2023</v>
      </c>
      <c r="M6" s="27">
        <v>2024</v>
      </c>
      <c r="N6" s="83">
        <v>2025</v>
      </c>
      <c r="O6" s="91">
        <v>2026</v>
      </c>
      <c r="P6" s="27">
        <v>2027</v>
      </c>
      <c r="Q6" s="27">
        <v>2028</v>
      </c>
      <c r="R6" s="27">
        <v>2029</v>
      </c>
      <c r="S6" s="92">
        <v>2030</v>
      </c>
      <c r="T6" s="93">
        <v>2035</v>
      </c>
      <c r="U6" s="93">
        <v>2040</v>
      </c>
      <c r="V6" s="93">
        <v>2045</v>
      </c>
      <c r="W6" s="93">
        <v>2050</v>
      </c>
      <c r="X6" s="3"/>
      <c r="Y6" s="19"/>
      <c r="Z6" s="166" t="s">
        <v>90</v>
      </c>
      <c r="AA6" s="166"/>
      <c r="AB6" s="166"/>
      <c r="AC6" s="38"/>
    </row>
    <row r="7" spans="1:29" ht="15" customHeight="1" x14ac:dyDescent="0.25">
      <c r="A7" s="3"/>
      <c r="B7" s="323" t="s">
        <v>0</v>
      </c>
      <c r="C7" s="5" t="s">
        <v>1</v>
      </c>
      <c r="D7" s="2"/>
      <c r="E7" s="6">
        <f>SUM(E8:E9)</f>
        <v>85.507505848899996</v>
      </c>
      <c r="F7" s="6">
        <f>SUM(F8:F9)</f>
        <v>73.62791722</v>
      </c>
      <c r="G7" s="84">
        <f t="shared" ref="G7:R7" si="1">SUM(G8:G9)</f>
        <v>67.118466771999891</v>
      </c>
      <c r="H7" s="6">
        <f t="shared" si="1"/>
        <v>65.246975219999996</v>
      </c>
      <c r="I7" s="85">
        <f t="shared" si="1"/>
        <v>63.540528747000003</v>
      </c>
      <c r="J7" s="84">
        <f t="shared" si="1"/>
        <v>63.723146550999999</v>
      </c>
      <c r="K7" s="6">
        <f t="shared" si="1"/>
        <v>63.749866511</v>
      </c>
      <c r="L7" s="6">
        <f t="shared" si="1"/>
        <v>63.878995434000004</v>
      </c>
      <c r="M7" s="6">
        <f t="shared" si="1"/>
        <v>63.332973122000006</v>
      </c>
      <c r="N7" s="85">
        <f t="shared" si="1"/>
        <v>62.310094382999999</v>
      </c>
      <c r="O7" s="84">
        <f t="shared" si="1"/>
        <v>61.646647999999999</v>
      </c>
      <c r="P7" s="6">
        <f t="shared" si="1"/>
        <v>61.271256010000002</v>
      </c>
      <c r="Q7" s="6">
        <f t="shared" si="1"/>
        <v>60.899894514000003</v>
      </c>
      <c r="R7" s="6">
        <f t="shared" si="1"/>
        <v>60.504549363999999</v>
      </c>
      <c r="S7" s="85">
        <f>SUM(S8:S9)</f>
        <v>59.952354372999999</v>
      </c>
      <c r="T7" s="94">
        <f>SUM(T8:T9)</f>
        <v>57.847013788999995</v>
      </c>
      <c r="U7" s="94">
        <f>SUM(U8:U9)</f>
        <v>56.276646090999996</v>
      </c>
      <c r="V7" s="94">
        <f>SUM(V8:V9)</f>
        <v>54.324561170000003</v>
      </c>
      <c r="W7" s="94">
        <f>SUM(W8:W9)</f>
        <v>53.061753026999995</v>
      </c>
      <c r="X7" s="3"/>
      <c r="Y7" s="75"/>
      <c r="Z7" s="193"/>
      <c r="AA7" s="194">
        <v>2020</v>
      </c>
      <c r="AB7" s="194">
        <v>2030</v>
      </c>
      <c r="AC7" s="195">
        <v>2050</v>
      </c>
    </row>
    <row r="8" spans="1:29" x14ac:dyDescent="0.25">
      <c r="A8" s="3"/>
      <c r="B8" s="324"/>
      <c r="C8" s="3" t="s">
        <v>2</v>
      </c>
      <c r="D8" s="15" t="s">
        <v>356</v>
      </c>
      <c r="E8" s="16">
        <f>VLOOKUP($D8,Résultats!$B$2:$AX$476,E$5,FALSE)</f>
        <v>84.84007794</v>
      </c>
      <c r="F8" s="16">
        <f>VLOOKUP($D8,Résultats!$B$2:$AX$476,F$5,FALSE)</f>
        <v>70.466411660000006</v>
      </c>
      <c r="G8" s="22">
        <f>VLOOKUP($D8,Résultats!$B$2:$AX$476,G$5,FALSE)</f>
        <v>64.067131219999894</v>
      </c>
      <c r="H8" s="16">
        <f>VLOOKUP($D8,Résultats!$B$2:$AX$476,H$5,FALSE)</f>
        <v>62.218772610000002</v>
      </c>
      <c r="I8" s="86">
        <f>VLOOKUP($D8,Résultats!$B$2:$AX$476,I$5,FALSE)</f>
        <v>60.52714847</v>
      </c>
      <c r="J8" s="22">
        <f>VLOOKUP($D8,Résultats!$B$2:$AX$476,J$5,FALSE)</f>
        <v>60.553252530000002</v>
      </c>
      <c r="K8" s="16">
        <f>VLOOKUP($D8,Résultats!$B$2:$AX$476,K$5,FALSE)</f>
        <v>60.436870050000003</v>
      </c>
      <c r="L8" s="16">
        <f>VLOOKUP($D8,Résultats!$B$2:$AX$476,L$5,FALSE)</f>
        <v>60.423066290000001</v>
      </c>
      <c r="M8" s="16">
        <f>VLOOKUP($D8,Résultats!$B$2:$AX$476,M$5,FALSE)</f>
        <v>59.906584430000002</v>
      </c>
      <c r="N8" s="86">
        <f>VLOOKUP($D8,Résultats!$B$2:$AX$476,N$5,FALSE)</f>
        <v>58.939044639999999</v>
      </c>
      <c r="O8" s="22">
        <f>VLOOKUP($D8,Résultats!$B$2:$AX$476,O$5,FALSE)</f>
        <v>58.311491490000002</v>
      </c>
      <c r="P8" s="16">
        <f>VLOOKUP($D8,Résultats!$B$2:$AX$476,P$5,FALSE)</f>
        <v>57.95640865</v>
      </c>
      <c r="Q8" s="16">
        <f>VLOOKUP($D8,Résultats!$B$2:$AX$476,Q$5,FALSE)</f>
        <v>57.605138250000003</v>
      </c>
      <c r="R8" s="16">
        <f>VLOOKUP($D8,Résultats!$B$2:$AX$476,R$5,FALSE)</f>
        <v>57.231181739999997</v>
      </c>
      <c r="S8" s="86">
        <f>VLOOKUP($D8,Résultats!$B$2:$AX$476,S$5,FALSE)</f>
        <v>56.708861149999997</v>
      </c>
      <c r="T8" s="95">
        <f>VLOOKUP($D8,Résultats!$B$2:$AX$476,T$5,FALSE)</f>
        <v>54.717421979999997</v>
      </c>
      <c r="U8" s="95">
        <f>VLOOKUP($D8,Résultats!$B$2:$AX$476,U$5,FALSE)</f>
        <v>53.232013029999997</v>
      </c>
      <c r="V8" s="95">
        <f>VLOOKUP($D8,Résultats!$B$2:$AX$476,V$5,FALSE)</f>
        <v>51.38553821</v>
      </c>
      <c r="W8" s="95">
        <f>VLOOKUP($D8,Résultats!$B$2:$AX$476,W$5,FALSE)</f>
        <v>50.191049479999997</v>
      </c>
      <c r="X8" s="45">
        <f>W8-'[1]Cibles THREEME'!$H4</f>
        <v>39.790442248808503</v>
      </c>
      <c r="Y8" s="75"/>
      <c r="Z8" s="197" t="s">
        <v>68</v>
      </c>
      <c r="AA8" s="198">
        <f>I27</f>
        <v>227.8387098961</v>
      </c>
      <c r="AB8" s="198">
        <f>S27</f>
        <v>246.79317081720001</v>
      </c>
      <c r="AC8" s="89">
        <f>W27</f>
        <v>247.56771539689998</v>
      </c>
    </row>
    <row r="9" spans="1:29" x14ac:dyDescent="0.25">
      <c r="A9" s="3"/>
      <c r="B9" s="325"/>
      <c r="C9" s="7" t="s">
        <v>3</v>
      </c>
      <c r="D9" s="15" t="s">
        <v>357</v>
      </c>
      <c r="E9" s="16">
        <f>VLOOKUP($D9,Résultats!$B$2:$AX$476,E$5,FALSE)</f>
        <v>0.66742790890000003</v>
      </c>
      <c r="F9" s="16">
        <f>VLOOKUP($D9,Résultats!$B$2:$AX$476,F$5,FALSE)</f>
        <v>3.1615055600000002</v>
      </c>
      <c r="G9" s="22">
        <f>VLOOKUP($D9,Résultats!$B$2:$AX$476,G$5,FALSE)</f>
        <v>3.0513355519999998</v>
      </c>
      <c r="H9" s="16">
        <f>VLOOKUP($D9,Résultats!$B$2:$AX$476,H$5,FALSE)</f>
        <v>3.0282026100000001</v>
      </c>
      <c r="I9" s="86">
        <f>VLOOKUP($D9,Résultats!$B$2:$AX$476,I$5,FALSE)</f>
        <v>3.013380277</v>
      </c>
      <c r="J9" s="22">
        <f>VLOOKUP($D9,Résultats!$B$2:$AX$476,J$5,FALSE)</f>
        <v>3.1698940210000002</v>
      </c>
      <c r="K9" s="16">
        <f>VLOOKUP($D9,Résultats!$B$2:$AX$476,K$5,FALSE)</f>
        <v>3.312996461</v>
      </c>
      <c r="L9" s="16">
        <f>VLOOKUP($D9,Résultats!$B$2:$AX$476,L$5,FALSE)</f>
        <v>3.4559291440000002</v>
      </c>
      <c r="M9" s="16">
        <f>VLOOKUP($D9,Résultats!$B$2:$AX$476,M$5,FALSE)</f>
        <v>3.4263886920000002</v>
      </c>
      <c r="N9" s="86">
        <f>VLOOKUP($D9,Résultats!$B$2:$AX$476,N$5,FALSE)</f>
        <v>3.3710497429999999</v>
      </c>
      <c r="O9" s="22">
        <f>VLOOKUP($D9,Résultats!$B$2:$AX$476,O$5,FALSE)</f>
        <v>3.33515651</v>
      </c>
      <c r="P9" s="16">
        <f>VLOOKUP($D9,Résultats!$B$2:$AX$476,P$5,FALSE)</f>
        <v>3.3148473599999999</v>
      </c>
      <c r="Q9" s="16">
        <f>VLOOKUP($D9,Résultats!$B$2:$AX$476,Q$5,FALSE)</f>
        <v>3.2947562640000001</v>
      </c>
      <c r="R9" s="16">
        <f>VLOOKUP($D9,Résultats!$B$2:$AX$476,R$5,FALSE)</f>
        <v>3.273367624</v>
      </c>
      <c r="S9" s="86">
        <f>VLOOKUP($D9,Résultats!$B$2:$AX$476,S$5,FALSE)</f>
        <v>3.2434932230000002</v>
      </c>
      <c r="T9" s="95">
        <f>VLOOKUP($D9,Résultats!$B$2:$AX$476,T$5,FALSE)</f>
        <v>3.1295918089999999</v>
      </c>
      <c r="U9" s="95">
        <f>VLOOKUP($D9,Résultats!$B$2:$AX$476,U$5,FALSE)</f>
        <v>3.0446330609999999</v>
      </c>
      <c r="V9" s="95">
        <f>VLOOKUP($D9,Résultats!$B$2:$AX$476,V$5,FALSE)</f>
        <v>2.93902296</v>
      </c>
      <c r="W9" s="95">
        <f>VLOOKUP($D9,Résultats!$B$2:$AX$476,W$5,FALSE)</f>
        <v>2.8707035470000002</v>
      </c>
      <c r="X9" s="45">
        <f>W9-'[1]Cibles THREEME'!$H5</f>
        <v>-0.62613766857708253</v>
      </c>
      <c r="Y9" s="75"/>
      <c r="Z9" s="75"/>
      <c r="AA9" s="75"/>
      <c r="AB9" s="75"/>
      <c r="AC9" s="75"/>
    </row>
    <row r="10" spans="1:29" ht="15" customHeight="1" x14ac:dyDescent="0.25">
      <c r="A10" s="3"/>
      <c r="B10" s="323" t="s">
        <v>4</v>
      </c>
      <c r="C10" s="5" t="s">
        <v>1</v>
      </c>
      <c r="D10" s="2"/>
      <c r="E10" s="8">
        <f>SUM(E11:E18)</f>
        <v>135.21087937179999</v>
      </c>
      <c r="F10" s="8">
        <f>SUM(F11:F18)</f>
        <v>142.7815451658</v>
      </c>
      <c r="G10" s="21">
        <f t="shared" ref="G10:R10" si="2">SUM(G11:G18)</f>
        <v>132.04364538539997</v>
      </c>
      <c r="H10" s="8">
        <f t="shared" si="2"/>
        <v>127.86280366459999</v>
      </c>
      <c r="I10" s="87">
        <f t="shared" si="2"/>
        <v>123.2336075277</v>
      </c>
      <c r="J10" s="21">
        <f t="shared" si="2"/>
        <v>121.44619350760001</v>
      </c>
      <c r="K10" s="8">
        <f t="shared" si="2"/>
        <v>119.91165757919998</v>
      </c>
      <c r="L10" s="8">
        <f t="shared" si="2"/>
        <v>118.6703982711</v>
      </c>
      <c r="M10" s="8">
        <f t="shared" si="2"/>
        <v>124.9208467025</v>
      </c>
      <c r="N10" s="87">
        <f t="shared" si="2"/>
        <v>131.7811943211</v>
      </c>
      <c r="O10" s="21">
        <f t="shared" si="2"/>
        <v>134.6020513233</v>
      </c>
      <c r="P10" s="8">
        <f t="shared" si="2"/>
        <v>136.9508390183</v>
      </c>
      <c r="Q10" s="8">
        <f t="shared" si="2"/>
        <v>139.23719400110002</v>
      </c>
      <c r="R10" s="8">
        <f t="shared" si="2"/>
        <v>141.11862210219996</v>
      </c>
      <c r="S10" s="87">
        <f>SUM(S11:S18)</f>
        <v>143.23543788020001</v>
      </c>
      <c r="T10" s="96">
        <f>SUM(T11:T18)</f>
        <v>144.9043642494</v>
      </c>
      <c r="U10" s="96">
        <f>SUM(U11:U18)</f>
        <v>146.22162339159999</v>
      </c>
      <c r="V10" s="96">
        <f>SUM(V11:V18)</f>
        <v>146.73719040289998</v>
      </c>
      <c r="W10" s="96">
        <f>SUM(W11:W18)</f>
        <v>148.67093008489999</v>
      </c>
      <c r="X10" s="45"/>
      <c r="Y10" s="75"/>
      <c r="Z10" s="75"/>
      <c r="AA10" s="75"/>
      <c r="AB10" s="75"/>
      <c r="AC10" s="75"/>
    </row>
    <row r="11" spans="1:29" x14ac:dyDescent="0.25">
      <c r="A11" s="3"/>
      <c r="B11" s="324"/>
      <c r="C11" s="3" t="s">
        <v>5</v>
      </c>
      <c r="D11" s="3" t="s">
        <v>358</v>
      </c>
      <c r="E11" s="16">
        <f>VLOOKUP($D11,Résultats!$B$2:$AX$476,E$5,FALSE)</f>
        <v>118.4720543</v>
      </c>
      <c r="F11" s="16">
        <f>VLOOKUP($D11,Résultats!$B$2:$AX$476,F$5,FALSE)</f>
        <v>123.9363709</v>
      </c>
      <c r="G11" s="22">
        <f>VLOOKUP($D11,Résultats!$B$2:$AX$476,G$5,FALSE)</f>
        <v>112.53771639999999</v>
      </c>
      <c r="H11" s="16">
        <f>VLOOKUP($D11,Résultats!$B$2:$AX$476,H$5,FALSE)</f>
        <v>108.1948385</v>
      </c>
      <c r="I11" s="86">
        <f>VLOOKUP($D11,Résultats!$B$2:$AX$476,I$5,FALSE)</f>
        <v>103.46436180000001</v>
      </c>
      <c r="J11" s="22">
        <f>VLOOKUP($D11,Résultats!$B$2:$AX$476,J$5,FALSE)</f>
        <v>101.4106618</v>
      </c>
      <c r="K11" s="16">
        <f>VLOOKUP($D11,Résultats!$B$2:$AX$476,K$5,FALSE)</f>
        <v>99.570109340000002</v>
      </c>
      <c r="L11" s="16">
        <f>VLOOKUP($D11,Résultats!$B$2:$AX$476,L$5,FALSE)</f>
        <v>97.972637719999994</v>
      </c>
      <c r="M11" s="16">
        <f>VLOOKUP($D11,Résultats!$B$2:$AX$476,M$5,FALSE)</f>
        <v>103.1329214</v>
      </c>
      <c r="N11" s="86">
        <f>VLOOKUP($D11,Résultats!$B$2:$AX$476,N$5,FALSE)</f>
        <v>108.7967294</v>
      </c>
      <c r="O11" s="22">
        <f>VLOOKUP($D11,Résultats!$B$2:$AX$476,O$5,FALSE)</f>
        <v>111.12558989999999</v>
      </c>
      <c r="P11" s="16">
        <f>VLOOKUP($D11,Résultats!$B$2:$AX$476,P$5,FALSE)</f>
        <v>113.0647165</v>
      </c>
      <c r="Q11" s="16">
        <f>VLOOKUP($D11,Résultats!$B$2:$AX$476,Q$5,FALSE)</f>
        <v>114.9522995</v>
      </c>
      <c r="R11" s="16">
        <f>VLOOKUP($D11,Résultats!$B$2:$AX$476,R$5,FALSE)</f>
        <v>116.50558049999999</v>
      </c>
      <c r="S11" s="86">
        <f>VLOOKUP($D11,Résultats!$B$2:$AX$476,S$5,FALSE)</f>
        <v>118.2531943</v>
      </c>
      <c r="T11" s="95">
        <f>VLOOKUP($D11,Résultats!$B$2:$AX$476,T$5,FALSE)</f>
        <v>119.6310368</v>
      </c>
      <c r="U11" s="95">
        <f>VLOOKUP($D11,Résultats!$B$2:$AX$476,U$5,FALSE)</f>
        <v>120.7185477</v>
      </c>
      <c r="V11" s="95">
        <f>VLOOKUP($D11,Résultats!$B$2:$AX$476,V$5,FALSE)</f>
        <v>121.1441927</v>
      </c>
      <c r="W11" s="95">
        <f>VLOOKUP($D11,Résultats!$B$2:$AX$476,W$5,FALSE)</f>
        <v>122.74066139999999</v>
      </c>
      <c r="X11" s="45">
        <f>W11-'[1]Cibles THREEME'!$H10</f>
        <v>120.08295796843586</v>
      </c>
      <c r="Y11" s="75"/>
      <c r="Z11" s="75"/>
      <c r="AA11" s="75"/>
      <c r="AB11" s="75"/>
      <c r="AC11" s="75"/>
    </row>
    <row r="12" spans="1:29" x14ac:dyDescent="0.25">
      <c r="A12" s="3"/>
      <c r="B12" s="324"/>
      <c r="C12" s="3" t="s">
        <v>6</v>
      </c>
      <c r="D12" s="3" t="s">
        <v>359</v>
      </c>
      <c r="E12" s="16">
        <f>VLOOKUP($D12,Résultats!$B$2:$AX$476,E$5,FALSE)</f>
        <v>1.321031276</v>
      </c>
      <c r="F12" s="16">
        <f>VLOOKUP($D12,Résultats!$B$2:$AX$476,F$5,FALSE)</f>
        <v>0.75271214379999996</v>
      </c>
      <c r="G12" s="22">
        <f>VLOOKUP($D12,Résultats!$B$2:$AX$476,G$5,FALSE)</f>
        <v>0.5019780694</v>
      </c>
      <c r="H12" s="16">
        <f>VLOOKUP($D12,Résultats!$B$2:$AX$476,H$5,FALSE)</f>
        <v>0.41556582460000002</v>
      </c>
      <c r="I12" s="86">
        <f>VLOOKUP($D12,Résultats!$B$2:$AX$476,I$5,FALSE)</f>
        <v>0.32808931889999998</v>
      </c>
      <c r="J12" s="22">
        <f>VLOOKUP($D12,Résultats!$B$2:$AX$476,J$5,FALSE)</f>
        <v>0.43317480390000002</v>
      </c>
      <c r="K12" s="16">
        <f>VLOOKUP($D12,Résultats!$B$2:$AX$476,K$5,FALSE)</f>
        <v>0.54108923779999996</v>
      </c>
      <c r="L12" s="16">
        <f>VLOOKUP($D12,Résultats!$B$2:$AX$476,L$5,FALSE)</f>
        <v>0.65272665129999996</v>
      </c>
      <c r="M12" s="16">
        <f>VLOOKUP($D12,Résultats!$B$2:$AX$476,M$5,FALSE)</f>
        <v>0.68710619620000002</v>
      </c>
      <c r="N12" s="86">
        <f>VLOOKUP($D12,Résultats!$B$2:$AX$476,N$5,FALSE)</f>
        <v>0.72484038949999996</v>
      </c>
      <c r="O12" s="22">
        <f>VLOOKUP($D12,Résultats!$B$2:$AX$476,O$5,FALSE)</f>
        <v>0.74035604050000003</v>
      </c>
      <c r="P12" s="16">
        <f>VLOOKUP($D12,Résultats!$B$2:$AX$476,P$5,FALSE)</f>
        <v>0.75327515389999999</v>
      </c>
      <c r="Q12" s="16">
        <f>VLOOKUP($D12,Résultats!$B$2:$AX$476,Q$5,FALSE)</f>
        <v>0.76585086710000005</v>
      </c>
      <c r="R12" s="16">
        <f>VLOOKUP($D12,Résultats!$B$2:$AX$476,R$5,FALSE)</f>
        <v>0.77619934690000003</v>
      </c>
      <c r="S12" s="86">
        <f>VLOOKUP($D12,Résultats!$B$2:$AX$476,S$5,FALSE)</f>
        <v>0.7878425375</v>
      </c>
      <c r="T12" s="95">
        <f>VLOOKUP($D12,Résultats!$B$2:$AX$476,T$5,FALSE)</f>
        <v>0.79702218759999999</v>
      </c>
      <c r="U12" s="95">
        <f>VLOOKUP($D12,Résultats!$B$2:$AX$476,U$5,FALSE)</f>
        <v>0.80426755120000004</v>
      </c>
      <c r="V12" s="95">
        <f>VLOOKUP($D12,Résultats!$B$2:$AX$476,V$5,FALSE)</f>
        <v>0.80710334080000001</v>
      </c>
      <c r="W12" s="95">
        <f>VLOOKUP($D12,Résultats!$B$2:$AX$476,W$5,FALSE)</f>
        <v>0.81773955229999995</v>
      </c>
      <c r="X12" s="45">
        <f>W12-'[1]Cibles THREEME'!$H11</f>
        <v>0.81773955229999995</v>
      </c>
      <c r="Y12" s="75"/>
      <c r="Z12" s="199"/>
      <c r="AA12" s="188"/>
      <c r="AB12" s="188"/>
      <c r="AC12" s="188"/>
    </row>
    <row r="13" spans="1:29" x14ac:dyDescent="0.25">
      <c r="A13" s="3"/>
      <c r="B13" s="324"/>
      <c r="C13" s="3" t="s">
        <v>7</v>
      </c>
      <c r="D13" s="3" t="s">
        <v>360</v>
      </c>
      <c r="E13" s="16">
        <f>VLOOKUP($D13,Résultats!$B$2:$AX$476,E$5,FALSE)</f>
        <v>3.5861625080000001</v>
      </c>
      <c r="F13" s="16">
        <f>VLOOKUP($D13,Résultats!$B$2:$AX$476,F$5,FALSE)</f>
        <v>4.0924520199999996</v>
      </c>
      <c r="G13" s="22">
        <f>VLOOKUP($D13,Résultats!$B$2:$AX$476,G$5,FALSE)</f>
        <v>5.1256665249999998</v>
      </c>
      <c r="H13" s="16">
        <f>VLOOKUP($D13,Résultats!$B$2:$AX$476,H$5,FALSE)</f>
        <v>5.4541374820000001</v>
      </c>
      <c r="I13" s="86">
        <f>VLOOKUP($D13,Résultats!$B$2:$AX$476,I$5,FALSE)</f>
        <v>5.7625902069999997</v>
      </c>
      <c r="J13" s="22">
        <f>VLOOKUP($D13,Résultats!$B$2:$AX$476,J$5,FALSE)</f>
        <v>5.4711711699999999</v>
      </c>
      <c r="K13" s="16">
        <f>VLOOKUP($D13,Résultats!$B$2:$AX$476,K$5,FALSE)</f>
        <v>5.1912498820000001</v>
      </c>
      <c r="L13" s="16">
        <f>VLOOKUP($D13,Résultats!$B$2:$AX$476,L$5,FALSE)</f>
        <v>4.9232193669999997</v>
      </c>
      <c r="M13" s="16">
        <f>VLOOKUP($D13,Résultats!$B$2:$AX$476,M$5,FALSE)</f>
        <v>5.1825285900000004</v>
      </c>
      <c r="N13" s="86">
        <f>VLOOKUP($D13,Résultats!$B$2:$AX$476,N$5,FALSE)</f>
        <v>5.4671403969999997</v>
      </c>
      <c r="O13" s="22">
        <f>VLOOKUP($D13,Résultats!$B$2:$AX$476,O$5,FALSE)</f>
        <v>5.5841678740000003</v>
      </c>
      <c r="P13" s="16">
        <f>VLOOKUP($D13,Résultats!$B$2:$AX$476,P$5,FALSE)</f>
        <v>5.6816108529999996</v>
      </c>
      <c r="Q13" s="16">
        <f>VLOOKUP($D13,Résultats!$B$2:$AX$476,Q$5,FALSE)</f>
        <v>5.7764637209999998</v>
      </c>
      <c r="R13" s="16">
        <f>VLOOKUP($D13,Résultats!$B$2:$AX$476,R$5,FALSE)</f>
        <v>5.8545175839999999</v>
      </c>
      <c r="S13" s="86">
        <f>VLOOKUP($D13,Résultats!$B$2:$AX$476,S$5,FALSE)</f>
        <v>5.9423368590000001</v>
      </c>
      <c r="T13" s="95">
        <f>VLOOKUP($D13,Résultats!$B$2:$AX$476,T$5,FALSE)</f>
        <v>6.0115747720000003</v>
      </c>
      <c r="U13" s="95">
        <f>VLOOKUP($D13,Résultats!$B$2:$AX$476,U$5,FALSE)</f>
        <v>6.0662232439999997</v>
      </c>
      <c r="V13" s="95">
        <f>VLOOKUP($D13,Résultats!$B$2:$AX$476,V$5,FALSE)</f>
        <v>6.087612311</v>
      </c>
      <c r="W13" s="95">
        <f>VLOOKUP($D13,Résultats!$B$2:$AX$476,W$5,FALSE)</f>
        <v>6.1678364019999998</v>
      </c>
      <c r="X13" s="45">
        <f>W13-'[1]Cibles THREEME'!$H12</f>
        <v>3.8749157943760393</v>
      </c>
      <c r="Y13" s="75"/>
    </row>
    <row r="14" spans="1:29" x14ac:dyDescent="0.25">
      <c r="A14" s="3"/>
      <c r="B14" s="324"/>
      <c r="C14" s="3" t="s">
        <v>8</v>
      </c>
      <c r="D14" s="3" t="s">
        <v>361</v>
      </c>
      <c r="E14" s="16">
        <f>VLOOKUP($D14,Résultats!$B$2:$AX$476,E$5,FALSE)</f>
        <v>5.2639566870000003</v>
      </c>
      <c r="F14" s="16">
        <f>VLOOKUP($D14,Résultats!$B$2:$AX$476,F$5,FALSE)</f>
        <v>3.2632691469999999</v>
      </c>
      <c r="G14" s="22">
        <f>VLOOKUP($D14,Résultats!$B$2:$AX$476,G$5,FALSE)</f>
        <v>1.860764809</v>
      </c>
      <c r="H14" s="16">
        <f>VLOOKUP($D14,Résultats!$B$2:$AX$476,H$5,FALSE)</f>
        <v>1.3833052320000001</v>
      </c>
      <c r="I14" s="86">
        <f>VLOOKUP($D14,Résultats!$B$2:$AX$476,I$5,FALSE)</f>
        <v>0.90422958679999998</v>
      </c>
      <c r="J14" s="22">
        <f>VLOOKUP($D14,Résultats!$B$2:$AX$476,J$5,FALSE)</f>
        <v>0.85863076569999996</v>
      </c>
      <c r="K14" s="16">
        <f>VLOOKUP($D14,Résultats!$B$2:$AX$476,K$5,FALSE)</f>
        <v>0.81476638140000002</v>
      </c>
      <c r="L14" s="16">
        <f>VLOOKUP($D14,Résultats!$B$2:$AX$476,L$5,FALSE)</f>
        <v>0.7726991808</v>
      </c>
      <c r="M14" s="16">
        <f>VLOOKUP($D14,Résultats!$B$2:$AX$476,M$5,FALSE)</f>
        <v>0.81339775830000005</v>
      </c>
      <c r="N14" s="86">
        <f>VLOOKUP($D14,Résultats!$B$2:$AX$476,N$5,FALSE)</f>
        <v>0.85806757560000002</v>
      </c>
      <c r="O14" s="22">
        <f>VLOOKUP($D14,Résultats!$B$2:$AX$476,O$5,FALSE)</f>
        <v>0.87643503580000004</v>
      </c>
      <c r="P14" s="16">
        <f>VLOOKUP($D14,Résultats!$B$2:$AX$476,P$5,FALSE)</f>
        <v>0.89172870940000004</v>
      </c>
      <c r="Q14" s="16">
        <f>VLOOKUP($D14,Résultats!$B$2:$AX$476,Q$5,FALSE)</f>
        <v>0.90661586500000002</v>
      </c>
      <c r="R14" s="16">
        <f>VLOOKUP($D14,Résultats!$B$2:$AX$476,R$5,FALSE)</f>
        <v>0.91886641729999996</v>
      </c>
      <c r="S14" s="86">
        <f>VLOOKUP($D14,Résultats!$B$2:$AX$476,S$5,FALSE)</f>
        <v>0.93264965070000005</v>
      </c>
      <c r="T14" s="95">
        <f>VLOOKUP($D14,Résultats!$B$2:$AX$476,T$5,FALSE)</f>
        <v>0.94351653980000005</v>
      </c>
      <c r="U14" s="95">
        <f>VLOOKUP($D14,Résultats!$B$2:$AX$476,U$5,FALSE)</f>
        <v>0.95209361640000001</v>
      </c>
      <c r="V14" s="95">
        <f>VLOOKUP($D14,Résultats!$B$2:$AX$476,V$5,FALSE)</f>
        <v>0.95545063009999998</v>
      </c>
      <c r="W14" s="95">
        <f>VLOOKUP($D14,Résultats!$B$2:$AX$476,W$5,FALSE)</f>
        <v>0.96804179960000003</v>
      </c>
      <c r="X14" s="45">
        <f>W14-'[1]Cibles THREEME'!$H13</f>
        <v>0.96804179960000003</v>
      </c>
      <c r="Y14" s="75"/>
    </row>
    <row r="15" spans="1:29" x14ac:dyDescent="0.25">
      <c r="A15" s="3"/>
      <c r="B15" s="324"/>
      <c r="C15" s="3" t="s">
        <v>9</v>
      </c>
      <c r="D15" s="3" t="s">
        <v>362</v>
      </c>
      <c r="E15" s="16">
        <f>VLOOKUP($D15,Résultats!$B$2:$AX$476,E$5,FALSE)</f>
        <v>0.36837866679999998</v>
      </c>
      <c r="F15" s="16">
        <f>VLOOKUP($D15,Résultats!$B$2:$AX$476,F$5,FALSE)</f>
        <v>2.4987876390000001</v>
      </c>
      <c r="G15" s="22">
        <f>VLOOKUP($D15,Résultats!$B$2:$AX$476,G$5,FALSE)</f>
        <v>3.2232104619999999</v>
      </c>
      <c r="H15" s="16">
        <f>VLOOKUP($D15,Résultats!$B$2:$AX$476,H$5,FALSE)</f>
        <v>3.458163104</v>
      </c>
      <c r="I15" s="86">
        <f>VLOOKUP($D15,Résultats!$B$2:$AX$476,I$5,FALSE)</f>
        <v>3.6819429349999999</v>
      </c>
      <c r="J15" s="22">
        <f>VLOOKUP($D15,Résultats!$B$2:$AX$476,J$5,FALSE)</f>
        <v>3.834726598</v>
      </c>
      <c r="K15" s="16">
        <f>VLOOKUP($D15,Résultats!$B$2:$AX$476,K$5,FALSE)</f>
        <v>3.9939679890000002</v>
      </c>
      <c r="L15" s="16">
        <f>VLOOKUP($D15,Résultats!$B$2:$AX$476,L$5,FALSE)</f>
        <v>4.162361347</v>
      </c>
      <c r="M15" s="16">
        <f>VLOOKUP($D15,Résultats!$B$2:$AX$476,M$5,FALSE)</f>
        <v>4.3815956749999998</v>
      </c>
      <c r="N15" s="86">
        <f>VLOOKUP($D15,Résultats!$B$2:$AX$476,N$5,FALSE)</f>
        <v>4.6222222029999998</v>
      </c>
      <c r="O15" s="22">
        <f>VLOOKUP($D15,Résultats!$B$2:$AX$476,O$5,FALSE)</f>
        <v>4.7211636910000001</v>
      </c>
      <c r="P15" s="16">
        <f>VLOOKUP($D15,Résultats!$B$2:$AX$476,P$5,FALSE)</f>
        <v>4.8035473629999998</v>
      </c>
      <c r="Q15" s="16">
        <f>VLOOKUP($D15,Résultats!$B$2:$AX$476,Q$5,FALSE)</f>
        <v>4.8837412120000003</v>
      </c>
      <c r="R15" s="16">
        <f>VLOOKUP($D15,Résultats!$B$2:$AX$476,R$5,FALSE)</f>
        <v>4.9497322549999998</v>
      </c>
      <c r="S15" s="86">
        <f>VLOOKUP($D15,Résultats!$B$2:$AX$476,S$5,FALSE)</f>
        <v>5.0239795159999998</v>
      </c>
      <c r="T15" s="95">
        <f>VLOOKUP($D15,Résultats!$B$2:$AX$476,T$5,FALSE)</f>
        <v>5.0825170689999997</v>
      </c>
      <c r="U15" s="95">
        <f>VLOOKUP($D15,Résultats!$B$2:$AX$476,U$5,FALSE)</f>
        <v>5.1287199030000004</v>
      </c>
      <c r="V15" s="95">
        <f>VLOOKUP($D15,Résultats!$B$2:$AX$476,V$5,FALSE)</f>
        <v>5.1468034009999997</v>
      </c>
      <c r="W15" s="95">
        <f>VLOOKUP($D15,Résultats!$B$2:$AX$476,W$5,FALSE)</f>
        <v>5.2146292750000001</v>
      </c>
      <c r="X15" s="45">
        <f>W15-'[1]Cibles THREEME'!$H14</f>
        <v>-12.558371584845226</v>
      </c>
      <c r="Y15" s="75"/>
    </row>
    <row r="16" spans="1:29" x14ac:dyDescent="0.25">
      <c r="A16" s="3"/>
      <c r="B16" s="324"/>
      <c r="C16" s="3" t="s">
        <v>10</v>
      </c>
      <c r="D16" s="3" t="s">
        <v>363</v>
      </c>
      <c r="E16" s="16">
        <f>VLOOKUP($D16,Résultats!$B$2:$AX$476,E$5,FALSE)</f>
        <v>8.2885200000000006E-2</v>
      </c>
      <c r="F16" s="16">
        <f>VLOOKUP($D16,Résultats!$B$2:$AX$476,F$5,FALSE)</f>
        <v>1.101228527</v>
      </c>
      <c r="G16" s="22">
        <f>VLOOKUP($D16,Résultats!$B$2:$AX$476,G$5,FALSE)</f>
        <v>1.4204853799999999</v>
      </c>
      <c r="H16" s="16">
        <f>VLOOKUP($D16,Résultats!$B$2:$AX$476,H$5,FALSE)</f>
        <v>1.5240302139999999</v>
      </c>
      <c r="I16" s="86">
        <f>VLOOKUP($D16,Résultats!$B$2:$AX$476,I$5,FALSE)</f>
        <v>1.622651133</v>
      </c>
      <c r="J16" s="22">
        <f>VLOOKUP($D16,Résultats!$B$2:$AX$476,J$5,FALSE)</f>
        <v>1.6667567029999999</v>
      </c>
      <c r="K16" s="16">
        <f>VLOOKUP($D16,Résultats!$B$2:$AX$476,K$5,FALSE)</f>
        <v>1.713829171</v>
      </c>
      <c r="L16" s="16">
        <f>VLOOKUP($D16,Résultats!$B$2:$AX$476,L$5,FALSE)</f>
        <v>1.7648883719999999</v>
      </c>
      <c r="M16" s="16">
        <f>VLOOKUP($D16,Résultats!$B$2:$AX$476,M$5,FALSE)</f>
        <v>1.857846211</v>
      </c>
      <c r="N16" s="86">
        <f>VLOOKUP($D16,Résultats!$B$2:$AX$476,N$5,FALSE)</f>
        <v>1.9598745849999999</v>
      </c>
      <c r="O16" s="22">
        <f>VLOOKUP($D16,Résultats!$B$2:$AX$476,O$5,FALSE)</f>
        <v>2.0018268969999999</v>
      </c>
      <c r="P16" s="16">
        <f>VLOOKUP($D16,Résultats!$B$2:$AX$476,P$5,FALSE)</f>
        <v>2.0367585070000001</v>
      </c>
      <c r="Q16" s="16">
        <f>VLOOKUP($D16,Résultats!$B$2:$AX$476,Q$5,FALSE)</f>
        <v>2.0707616080000002</v>
      </c>
      <c r="R16" s="16">
        <f>VLOOKUP($D16,Résultats!$B$2:$AX$476,R$5,FALSE)</f>
        <v>2.0987425580000001</v>
      </c>
      <c r="S16" s="86">
        <f>VLOOKUP($D16,Résultats!$B$2:$AX$476,S$5,FALSE)</f>
        <v>2.1302242379999998</v>
      </c>
      <c r="T16" s="95">
        <f>VLOOKUP($D16,Résultats!$B$2:$AX$476,T$5,FALSE)</f>
        <v>2.1550448229999999</v>
      </c>
      <c r="U16" s="95">
        <f>VLOOKUP($D16,Résultats!$B$2:$AX$476,U$5,FALSE)</f>
        <v>2.1746353489999999</v>
      </c>
      <c r="V16" s="95">
        <f>VLOOKUP($D16,Résultats!$B$2:$AX$476,V$5,FALSE)</f>
        <v>2.1823029570000001</v>
      </c>
      <c r="W16" s="95">
        <f>VLOOKUP($D16,Résultats!$B$2:$AX$476,W$5,FALSE)</f>
        <v>2.2110618959999999</v>
      </c>
      <c r="X16" s="45">
        <f>W16-'[1]Cibles THREEME'!$H17</f>
        <v>-8.2790498838796207</v>
      </c>
      <c r="Y16" s="75"/>
    </row>
    <row r="17" spans="1:39" x14ac:dyDescent="0.25">
      <c r="A17" s="3"/>
      <c r="B17" s="324"/>
      <c r="C17" s="3" t="s">
        <v>11</v>
      </c>
      <c r="D17" s="3" t="s">
        <v>364</v>
      </c>
      <c r="E17" s="16">
        <f>VLOOKUP($D17,Résultats!$B$2:$AX$476,E$5,FALSE)</f>
        <v>4.6466944039999998</v>
      </c>
      <c r="F17" s="16">
        <f>VLOOKUP($D17,Résultats!$B$2:$AX$476,F$5,FALSE)</f>
        <v>3.2599771780000002</v>
      </c>
      <c r="G17" s="22">
        <f>VLOOKUP($D17,Résultats!$B$2:$AX$476,G$5,FALSE)</f>
        <v>4.2218789149999996</v>
      </c>
      <c r="H17" s="16">
        <f>VLOOKUP($D17,Résultats!$B$2:$AX$476,H$5,FALSE)</f>
        <v>4.5356060920000001</v>
      </c>
      <c r="I17" s="86">
        <f>VLOOKUP($D17,Résultats!$B$2:$AX$476,I$5,FALSE)</f>
        <v>4.8354556579999999</v>
      </c>
      <c r="J17" s="22">
        <f>VLOOKUP($D17,Résultats!$B$2:$AX$476,J$5,FALSE)</f>
        <v>5.015557641</v>
      </c>
      <c r="K17" s="16">
        <f>VLOOKUP($D17,Résultats!$B$2:$AX$476,K$5,FALSE)</f>
        <v>5.2044949689999997</v>
      </c>
      <c r="L17" s="16">
        <f>VLOOKUP($D17,Résultats!$B$2:$AX$476,L$5,FALSE)</f>
        <v>5.4056572320000003</v>
      </c>
      <c r="M17" s="16">
        <f>VLOOKUP($D17,Résultats!$B$2:$AX$476,M$5,FALSE)</f>
        <v>5.6903767780000001</v>
      </c>
      <c r="N17" s="86">
        <f>VLOOKUP($D17,Résultats!$B$2:$AX$476,N$5,FALSE)</f>
        <v>6.002878366</v>
      </c>
      <c r="O17" s="22">
        <f>VLOOKUP($D17,Résultats!$B$2:$AX$476,O$5,FALSE)</f>
        <v>6.1313736419999998</v>
      </c>
      <c r="P17" s="16">
        <f>VLOOKUP($D17,Résultats!$B$2:$AX$476,P$5,FALSE)</f>
        <v>6.2383652869999997</v>
      </c>
      <c r="Q17" s="16">
        <f>VLOOKUP($D17,Résultats!$B$2:$AX$476,Q$5,FALSE)</f>
        <v>6.3425130110000003</v>
      </c>
      <c r="R17" s="16">
        <f>VLOOKUP($D17,Résultats!$B$2:$AX$476,R$5,FALSE)</f>
        <v>6.4282155559999996</v>
      </c>
      <c r="S17" s="86">
        <f>VLOOKUP($D17,Résultats!$B$2:$AX$476,S$5,FALSE)</f>
        <v>6.5246404489999996</v>
      </c>
      <c r="T17" s="95">
        <f>VLOOKUP($D17,Résultats!$B$2:$AX$476,T$5,FALSE)</f>
        <v>6.6006631479999998</v>
      </c>
      <c r="U17" s="95">
        <f>VLOOKUP($D17,Résultats!$B$2:$AX$476,U$5,FALSE)</f>
        <v>6.6606667530000001</v>
      </c>
      <c r="V17" s="95">
        <f>VLOOKUP($D17,Résultats!$B$2:$AX$476,V$5,FALSE)</f>
        <v>6.6841517850000001</v>
      </c>
      <c r="W17" s="95">
        <f>VLOOKUP($D17,Résultats!$B$2:$AX$476,W$5,FALSE)</f>
        <v>6.7722372240000004</v>
      </c>
      <c r="X17" s="45">
        <f>W17-'[1]Cibles THREEME'!$H18</f>
        <v>1.3122200270954441</v>
      </c>
      <c r="Y17" s="75"/>
    </row>
    <row r="18" spans="1:39" x14ac:dyDescent="0.25">
      <c r="A18" s="3"/>
      <c r="B18" s="325"/>
      <c r="C18" s="7" t="s">
        <v>12</v>
      </c>
      <c r="D18" s="3" t="s">
        <v>365</v>
      </c>
      <c r="E18" s="17">
        <f>VLOOKUP($D18,Résultats!$B$2:$AX$476,E$5,FALSE)</f>
        <v>1.46971633</v>
      </c>
      <c r="F18" s="17">
        <f>VLOOKUP($D18,Résultats!$B$2:$AX$476,F$5,FALSE)</f>
        <v>3.8767476109999999</v>
      </c>
      <c r="G18" s="88">
        <f>VLOOKUP($D18,Résultats!$B$2:$AX$476,G$5,FALSE)</f>
        <v>3.1519448250000002</v>
      </c>
      <c r="H18" s="17">
        <f>VLOOKUP($D18,Résultats!$B$2:$AX$476,H$5,FALSE)</f>
        <v>2.8971572160000001</v>
      </c>
      <c r="I18" s="89">
        <f>VLOOKUP($D18,Résultats!$B$2:$AX$476,I$5,FALSE)</f>
        <v>2.6342868890000002</v>
      </c>
      <c r="J18" s="88">
        <f>VLOOKUP($D18,Résultats!$B$2:$AX$476,J$5,FALSE)</f>
        <v>2.7555140260000002</v>
      </c>
      <c r="K18" s="17">
        <f>VLOOKUP($D18,Résultats!$B$2:$AX$476,K$5,FALSE)</f>
        <v>2.882150609</v>
      </c>
      <c r="L18" s="17">
        <f>VLOOKUP($D18,Résultats!$B$2:$AX$476,L$5,FALSE)</f>
        <v>3.0162084010000001</v>
      </c>
      <c r="M18" s="17">
        <f>VLOOKUP($D18,Résultats!$B$2:$AX$476,M$5,FALSE)</f>
        <v>3.1750740940000002</v>
      </c>
      <c r="N18" s="89">
        <f>VLOOKUP($D18,Résultats!$B$2:$AX$476,N$5,FALSE)</f>
        <v>3.3494414049999999</v>
      </c>
      <c r="O18" s="88">
        <f>VLOOKUP($D18,Résultats!$B$2:$AX$476,O$5,FALSE)</f>
        <v>3.4211382430000001</v>
      </c>
      <c r="P18" s="17">
        <f>VLOOKUP($D18,Résultats!$B$2:$AX$476,P$5,FALSE)</f>
        <v>3.4808366450000001</v>
      </c>
      <c r="Q18" s="17">
        <f>VLOOKUP($D18,Résultats!$B$2:$AX$476,Q$5,FALSE)</f>
        <v>3.5389482170000002</v>
      </c>
      <c r="R18" s="17">
        <f>VLOOKUP($D18,Résultats!$B$2:$AX$476,R$5,FALSE)</f>
        <v>3.586767885</v>
      </c>
      <c r="S18" s="89">
        <f>VLOOKUP($D18,Résultats!$B$2:$AX$476,S$5,FALSE)</f>
        <v>3.6405703300000001</v>
      </c>
      <c r="T18" s="97">
        <f>VLOOKUP($D18,Résultats!$B$2:$AX$476,T$5,FALSE)</f>
        <v>3.6829889100000002</v>
      </c>
      <c r="U18" s="97">
        <f>VLOOKUP($D18,Résultats!$B$2:$AX$476,U$5,FALSE)</f>
        <v>3.7164692750000001</v>
      </c>
      <c r="V18" s="97">
        <f>VLOOKUP($D18,Résultats!$B$2:$AX$476,V$5,FALSE)</f>
        <v>3.7295732780000002</v>
      </c>
      <c r="W18" s="97">
        <f>VLOOKUP($D18,Résultats!$B$2:$AX$476,W$5,FALSE)</f>
        <v>3.7787225360000001</v>
      </c>
      <c r="X18" s="45">
        <f>W18-'[1]Cibles THREEME'!$H19</f>
        <v>2.6165955223695176</v>
      </c>
      <c r="Y18" s="75"/>
    </row>
    <row r="19" spans="1:39" ht="15" customHeight="1" x14ac:dyDescent="0.25">
      <c r="A19" s="3"/>
      <c r="B19" s="323" t="s">
        <v>53</v>
      </c>
      <c r="C19" s="5" t="s">
        <v>1</v>
      </c>
      <c r="D19" s="2"/>
      <c r="E19" s="6">
        <f>SUM(E20:E25)</f>
        <v>38.496511622800007</v>
      </c>
      <c r="F19" s="6">
        <f>SUM(F20:F25)</f>
        <v>41.225037577400002</v>
      </c>
      <c r="G19" s="84">
        <f t="shared" ref="G19:R19" si="3">SUM(G20:G25)</f>
        <v>40.660218657599998</v>
      </c>
      <c r="H19" s="6">
        <f t="shared" si="3"/>
        <v>39.685360315899999</v>
      </c>
      <c r="I19" s="85">
        <f t="shared" si="3"/>
        <v>38.963292504400002</v>
      </c>
      <c r="J19" s="84">
        <f t="shared" si="3"/>
        <v>38.6256332241</v>
      </c>
      <c r="K19" s="6">
        <f t="shared" si="3"/>
        <v>38.546946931699999</v>
      </c>
      <c r="L19" s="6">
        <f t="shared" si="3"/>
        <v>38.601182700700001</v>
      </c>
      <c r="M19" s="6">
        <f t="shared" si="3"/>
        <v>39.262402305199998</v>
      </c>
      <c r="N19" s="85">
        <f t="shared" si="3"/>
        <v>39.704124185399991</v>
      </c>
      <c r="O19" s="84">
        <f t="shared" si="3"/>
        <v>40.143363429000004</v>
      </c>
      <c r="P19" s="6">
        <f t="shared" si="3"/>
        <v>40.679182974</v>
      </c>
      <c r="Q19" s="6">
        <f t="shared" si="3"/>
        <v>41.058489668000007</v>
      </c>
      <c r="R19" s="6">
        <f t="shared" si="3"/>
        <v>41.374290770000002</v>
      </c>
      <c r="S19" s="85">
        <f>SUM(S20:S25)</f>
        <v>41.671973266999991</v>
      </c>
      <c r="T19" s="94">
        <f>SUM(T20:T25)</f>
        <v>43.132958434000003</v>
      </c>
      <c r="U19" s="94">
        <f>SUM(U20:U25)</f>
        <v>43.898713684000001</v>
      </c>
      <c r="V19" s="94">
        <f>SUM(V20:V25)</f>
        <v>43.692091652000002</v>
      </c>
      <c r="W19" s="94">
        <f>SUM(W20:W25)</f>
        <v>43.665374249000003</v>
      </c>
      <c r="X19" s="3"/>
      <c r="Y19" s="75"/>
    </row>
    <row r="20" spans="1:39" x14ac:dyDescent="0.25">
      <c r="A20" s="3"/>
      <c r="B20" s="324"/>
      <c r="C20" s="3" t="s">
        <v>13</v>
      </c>
      <c r="D20" s="3" t="s">
        <v>366</v>
      </c>
      <c r="E20" s="16">
        <f>VLOOKUP($D20,Résultats!$B$2:$AX$476,E$5,FALSE)</f>
        <v>34.751859889999999</v>
      </c>
      <c r="F20" s="16">
        <f>VLOOKUP($D20,Résultats!$B$2:$AX$476,F$5,FALSE)</f>
        <v>28.425518650000001</v>
      </c>
      <c r="G20" s="22">
        <f>VLOOKUP($D20,Résultats!$B$2:$AX$476,G$5,FALSE)</f>
        <v>27.57623332</v>
      </c>
      <c r="H20" s="16">
        <f>VLOOKUP($D20,Résultats!$B$2:$AX$476,H$5,FALSE)</f>
        <v>26.788111579999999</v>
      </c>
      <c r="I20" s="86">
        <f>VLOOKUP($D20,Résultats!$B$2:$AX$476,I$5,FALSE)</f>
        <v>26.186954230000001</v>
      </c>
      <c r="J20" s="22">
        <f>VLOOKUP($D20,Résultats!$B$2:$AX$476,J$5,FALSE)</f>
        <v>24.924832510000002</v>
      </c>
      <c r="K20" s="16">
        <f>VLOOKUP($D20,Résultats!$B$2:$AX$476,K$5,FALSE)</f>
        <v>23.814808060000001</v>
      </c>
      <c r="L20" s="16">
        <f>VLOOKUP($D20,Résultats!$B$2:$AX$476,L$5,FALSE)</f>
        <v>22.760391729999998</v>
      </c>
      <c r="M20" s="16">
        <f>VLOOKUP($D20,Résultats!$B$2:$AX$476,M$5,FALSE)</f>
        <v>22.688662999999998</v>
      </c>
      <c r="N20" s="86">
        <f>VLOOKUP($D20,Résultats!$B$2:$AX$476,N$5,FALSE)</f>
        <v>22.48496819</v>
      </c>
      <c r="O20" s="22">
        <f>VLOOKUP($D20,Résultats!$B$2:$AX$476,O$5,FALSE)</f>
        <v>22.274808879999998</v>
      </c>
      <c r="P20" s="16">
        <f>VLOOKUP($D20,Résultats!$B$2:$AX$476,P$5,FALSE)</f>
        <v>22.112030319999999</v>
      </c>
      <c r="Q20" s="16">
        <f>VLOOKUP($D20,Résultats!$B$2:$AX$476,Q$5,FALSE)</f>
        <v>21.859782259999999</v>
      </c>
      <c r="R20" s="16">
        <f>VLOOKUP($D20,Résultats!$B$2:$AX$476,R$5,FALSE)</f>
        <v>21.5701049</v>
      </c>
      <c r="S20" s="86">
        <f>VLOOKUP($D20,Résultats!$B$2:$AX$476,S$5,FALSE)</f>
        <v>21.267598580000001</v>
      </c>
      <c r="T20" s="95">
        <f>VLOOKUP($D20,Résultats!$B$2:$AX$476,T$5,FALSE)</f>
        <v>19.694428989999999</v>
      </c>
      <c r="U20" s="95">
        <f>VLOOKUP($D20,Résultats!$B$2:$AX$476,U$5,FALSE)</f>
        <v>17.743898829999999</v>
      </c>
      <c r="V20" s="95">
        <f>VLOOKUP($D20,Résultats!$B$2:$AX$476,V$5,FALSE)</f>
        <v>15.391982349999999</v>
      </c>
      <c r="W20" s="95">
        <f>VLOOKUP($D20,Résultats!$B$2:$AX$476,W$5,FALSE)</f>
        <v>13.11272802</v>
      </c>
      <c r="X20" s="45">
        <f>W20-'[1]Cibles THREEME'!$H28</f>
        <v>7.6739452904405425</v>
      </c>
      <c r="Y20" s="75"/>
    </row>
    <row r="21" spans="1:39" x14ac:dyDescent="0.25">
      <c r="A21" s="3"/>
      <c r="B21" s="324"/>
      <c r="C21" s="3" t="s">
        <v>14</v>
      </c>
      <c r="D21" s="3" t="s">
        <v>367</v>
      </c>
      <c r="E21" s="16">
        <f>VLOOKUP($D21,Résultats!$B$2:$AX$476,E$5,FALSE)</f>
        <v>1.5809774190000001</v>
      </c>
      <c r="F21" s="16">
        <f>VLOOKUP($D21,Résultats!$B$2:$AX$476,F$5,FALSE)</f>
        <v>7.1876049460000004</v>
      </c>
      <c r="G21" s="22">
        <f>VLOOKUP($D21,Résultats!$B$2:$AX$476,G$5,FALSE)</f>
        <v>7.3596288850000002</v>
      </c>
      <c r="H21" s="16">
        <f>VLOOKUP($D21,Résultats!$B$2:$AX$476,H$5,FALSE)</f>
        <v>7.2772520839999997</v>
      </c>
      <c r="I21" s="86">
        <f>VLOOKUP($D21,Résultats!$B$2:$AX$476,I$5,FALSE)</f>
        <v>7.2403882790000003</v>
      </c>
      <c r="J21" s="22">
        <f>VLOOKUP($D21,Résultats!$B$2:$AX$476,J$5,FALSE)</f>
        <v>7.3763362560000001</v>
      </c>
      <c r="K21" s="16">
        <f>VLOOKUP($D21,Résultats!$B$2:$AX$476,K$5,FALSE)</f>
        <v>7.5646540619999998</v>
      </c>
      <c r="L21" s="16">
        <f>VLOOKUP($D21,Résultats!$B$2:$AX$476,L$5,FALSE)</f>
        <v>7.7841789429999997</v>
      </c>
      <c r="M21" s="16">
        <f>VLOOKUP($D21,Résultats!$B$2:$AX$476,M$5,FALSE)</f>
        <v>8.2590686739999999</v>
      </c>
      <c r="N21" s="86">
        <f>VLOOKUP($D21,Résultats!$B$2:$AX$476,N$5,FALSE)</f>
        <v>8.6915774559999903</v>
      </c>
      <c r="O21" s="22">
        <f>VLOOKUP($D21,Résultats!$B$2:$AX$476,O$5,FALSE)</f>
        <v>9.1272857030000001</v>
      </c>
      <c r="P21" s="16">
        <f>VLOOKUP($D21,Résultats!$B$2:$AX$476,P$5,FALSE)</f>
        <v>9.5895479659999996</v>
      </c>
      <c r="Q21" s="16">
        <f>VLOOKUP($D21,Résultats!$B$2:$AX$476,Q$5,FALSE)</f>
        <v>10.018165460000001</v>
      </c>
      <c r="R21" s="16">
        <f>VLOOKUP($D21,Résultats!$B$2:$AX$476,R$5,FALSE)</f>
        <v>10.433965199999999</v>
      </c>
      <c r="S21" s="86">
        <f>VLOOKUP($D21,Résultats!$B$2:$AX$476,S$5,FALSE)</f>
        <v>10.84769885</v>
      </c>
      <c r="T21" s="95">
        <f>VLOOKUP($D21,Résultats!$B$2:$AX$476,T$5,FALSE)</f>
        <v>12.943737629999999</v>
      </c>
      <c r="U21" s="95">
        <f>VLOOKUP($D21,Résultats!$B$2:$AX$476,U$5,FALSE)</f>
        <v>14.875481430000001</v>
      </c>
      <c r="V21" s="95">
        <f>VLOOKUP($D21,Résultats!$B$2:$AX$476,V$5,FALSE)</f>
        <v>16.48390504</v>
      </c>
      <c r="W21" s="95">
        <f>VLOOKUP($D21,Résultats!$B$2:$AX$476,W$5,FALSE)</f>
        <v>18.153332020000001</v>
      </c>
      <c r="X21" s="45">
        <f>W21-'[1]Cibles THREEME'!$H29</f>
        <v>6.2421461843313324</v>
      </c>
      <c r="Y21" s="75"/>
    </row>
    <row r="22" spans="1:39" x14ac:dyDescent="0.25">
      <c r="A22" s="3"/>
      <c r="B22" s="324"/>
      <c r="C22" s="3" t="s">
        <v>15</v>
      </c>
      <c r="D22" s="3" t="s">
        <v>368</v>
      </c>
      <c r="E22" s="16">
        <f>VLOOKUP($D22,Résultats!$B$2:$AX$476,E$5,FALSE)</f>
        <v>0.4774907525</v>
      </c>
      <c r="F22" s="16">
        <f>VLOOKUP($D22,Résultats!$B$2:$AX$476,F$5,FALSE)</f>
        <v>0.50978684910000005</v>
      </c>
      <c r="G22" s="22">
        <f>VLOOKUP($D22,Résultats!$B$2:$AX$476,G$5,FALSE)</f>
        <v>0.68541131030000002</v>
      </c>
      <c r="H22" s="16">
        <f>VLOOKUP($D22,Résultats!$B$2:$AX$476,H$5,FALSE)</f>
        <v>0.72906017199999995</v>
      </c>
      <c r="I22" s="86">
        <f>VLOOKUP($D22,Résultats!$B$2:$AX$476,I$5,FALSE)</f>
        <v>0.77523603399999996</v>
      </c>
      <c r="J22" s="22">
        <f>VLOOKUP($D22,Résultats!$B$2:$AX$476,J$5,FALSE)</f>
        <v>0.99380941550000002</v>
      </c>
      <c r="K22" s="16">
        <f>VLOOKUP($D22,Résultats!$B$2:$AX$476,K$5,FALSE)</f>
        <v>1.2225233390000001</v>
      </c>
      <c r="L22" s="16">
        <f>VLOOKUP($D22,Résultats!$B$2:$AX$476,L$5,FALSE)</f>
        <v>1.461440909</v>
      </c>
      <c r="M22" s="16">
        <f>VLOOKUP($D22,Résultats!$B$2:$AX$476,M$5,FALSE)</f>
        <v>1.5379731720000001</v>
      </c>
      <c r="N22" s="86">
        <f>VLOOKUP($D22,Résultats!$B$2:$AX$476,N$5,FALSE)</f>
        <v>1.6064790449999999</v>
      </c>
      <c r="O22" s="22">
        <f>VLOOKUP($D22,Résultats!$B$2:$AX$476,O$5,FALSE)</f>
        <v>1.6754488219999999</v>
      </c>
      <c r="P22" s="16">
        <f>VLOOKUP($D22,Résultats!$B$2:$AX$476,P$5,FALSE)</f>
        <v>1.749142336</v>
      </c>
      <c r="Q22" s="16">
        <f>VLOOKUP($D22,Résultats!$B$2:$AX$476,Q$5,FALSE)</f>
        <v>1.8165962099999999</v>
      </c>
      <c r="R22" s="16">
        <f>VLOOKUP($D22,Résultats!$B$2:$AX$476,R$5,FALSE)</f>
        <v>1.881644037</v>
      </c>
      <c r="S22" s="86">
        <f>VLOOKUP($D22,Résultats!$B$2:$AX$476,S$5,FALSE)</f>
        <v>1.9462452779999999</v>
      </c>
      <c r="T22" s="95">
        <f>VLOOKUP($D22,Résultats!$B$2:$AX$476,T$5,FALSE)</f>
        <v>2.2731739069999999</v>
      </c>
      <c r="U22" s="95">
        <f>VLOOKUP($D22,Résultats!$B$2:$AX$476,U$5,FALSE)</f>
        <v>2.5701477640000001</v>
      </c>
      <c r="V22" s="95">
        <f>VLOOKUP($D22,Résultats!$B$2:$AX$476,V$5,FALSE)</f>
        <v>2.8111232589999999</v>
      </c>
      <c r="W22" s="95">
        <f>VLOOKUP($D22,Résultats!$B$2:$AX$476,W$5,FALSE)</f>
        <v>3.0626378569999999</v>
      </c>
      <c r="X22" s="45">
        <f>W22-'[1]Cibles THREEME'!$H30</f>
        <v>-9.2629714555252711</v>
      </c>
      <c r="Y22" s="75"/>
      <c r="Z22" s="75"/>
      <c r="AA22" s="75"/>
    </row>
    <row r="23" spans="1:39" x14ac:dyDescent="0.25">
      <c r="A23" s="3"/>
      <c r="B23" s="324"/>
      <c r="C23" s="3" t="s">
        <v>16</v>
      </c>
      <c r="D23" s="3" t="s">
        <v>369</v>
      </c>
      <c r="E23" s="16">
        <f>VLOOKUP($D23,Résultats!$B$2:$AX$476,E$5,FALSE)</f>
        <v>0.73120205630000001</v>
      </c>
      <c r="F23" s="16">
        <f>VLOOKUP($D23,Résultats!$B$2:$AX$476,F$5,FALSE)</f>
        <v>0.68467884720000005</v>
      </c>
      <c r="G23" s="22">
        <f>VLOOKUP($D23,Résultats!$B$2:$AX$476,G$5,FALSE)</f>
        <v>1.332176426</v>
      </c>
      <c r="H23" s="16">
        <f>VLOOKUP($D23,Résultats!$B$2:$AX$476,H$5,FALSE)</f>
        <v>1.4820374039999999</v>
      </c>
      <c r="I23" s="86">
        <f>VLOOKUP($D23,Résultats!$B$2:$AX$476,I$5,FALSE)</f>
        <v>1.618210406</v>
      </c>
      <c r="J23" s="22">
        <f>VLOOKUP($D23,Résultats!$B$2:$AX$476,J$5,FALSE)</f>
        <v>1.6579565080000001</v>
      </c>
      <c r="K23" s="16">
        <f>VLOOKUP($D23,Résultats!$B$2:$AX$476,K$5,FALSE)</f>
        <v>1.7088683730000001</v>
      </c>
      <c r="L23" s="16">
        <f>VLOOKUP($D23,Résultats!$B$2:$AX$476,L$5,FALSE)</f>
        <v>1.7662899999999999</v>
      </c>
      <c r="M23" s="16">
        <f>VLOOKUP($D23,Résultats!$B$2:$AX$476,M$5,FALSE)</f>
        <v>1.8144769000000001</v>
      </c>
      <c r="N23" s="86">
        <f>VLOOKUP($D23,Résultats!$B$2:$AX$476,N$5,FALSE)</f>
        <v>1.852718968</v>
      </c>
      <c r="O23" s="22">
        <f>VLOOKUP($D23,Résultats!$B$2:$AX$476,O$5,FALSE)</f>
        <v>1.8910416889999999</v>
      </c>
      <c r="P23" s="16">
        <f>VLOOKUP($D23,Résultats!$B$2:$AX$476,P$5,FALSE)</f>
        <v>1.934155265</v>
      </c>
      <c r="Q23" s="16">
        <f>VLOOKUP($D23,Résultats!$B$2:$AX$476,Q$5,FALSE)</f>
        <v>1.9699978650000001</v>
      </c>
      <c r="R23" s="16">
        <f>VLOOKUP($D23,Résultats!$B$2:$AX$476,R$5,FALSE)</f>
        <v>2.002934013</v>
      </c>
      <c r="S23" s="86">
        <f>VLOOKUP($D23,Résultats!$B$2:$AX$476,S$5,FALSE)</f>
        <v>2.0351244519999998</v>
      </c>
      <c r="T23" s="95">
        <f>VLOOKUP($D23,Résultats!$B$2:$AX$476,T$5,FALSE)</f>
        <v>2.1965489479999998</v>
      </c>
      <c r="U23" s="95">
        <f>VLOOKUP($D23,Résultats!$B$2:$AX$476,U$5,FALSE)</f>
        <v>2.3248964280000002</v>
      </c>
      <c r="V23" s="95">
        <f>VLOOKUP($D23,Résultats!$B$2:$AX$476,V$5,FALSE)</f>
        <v>2.4020707350000001</v>
      </c>
      <c r="W23" s="95">
        <f>VLOOKUP($D23,Résultats!$B$2:$AX$476,W$5,FALSE)</f>
        <v>2.4887750290000001</v>
      </c>
      <c r="X23" s="45">
        <f>W23-'[1]Cibles THREEME'!$H31</f>
        <v>1.6972544849927829</v>
      </c>
      <c r="Y23" s="75"/>
      <c r="Z23" s="75"/>
      <c r="AA23" s="75"/>
    </row>
    <row r="24" spans="1:39" x14ac:dyDescent="0.25">
      <c r="A24" s="3"/>
      <c r="B24" s="324"/>
      <c r="C24" s="3" t="s">
        <v>17</v>
      </c>
      <c r="D24" s="3" t="s">
        <v>370</v>
      </c>
      <c r="E24" s="16">
        <f>VLOOKUP($D24,Résultats!$B$2:$AX$476,E$5,FALSE)</f>
        <v>0.4774907525</v>
      </c>
      <c r="F24" s="16">
        <f>VLOOKUP($D24,Résultats!$B$2:$AX$476,F$5,FALSE)</f>
        <v>0.50978684910000005</v>
      </c>
      <c r="G24" s="22">
        <f>VLOOKUP($D24,Résultats!$B$2:$AX$476,G$5,FALSE)</f>
        <v>0.60121007130000004</v>
      </c>
      <c r="H24" s="16">
        <f>VLOOKUP($D24,Résultats!$B$2:$AX$476,H$5,FALSE)</f>
        <v>0.61935926190000001</v>
      </c>
      <c r="I24" s="86">
        <f>VLOOKUP($D24,Résultats!$B$2:$AX$476,I$5,FALSE)</f>
        <v>0.64039665540000001</v>
      </c>
      <c r="J24" s="22">
        <f>VLOOKUP($D24,Résultats!$B$2:$AX$476,J$5,FALSE)</f>
        <v>0.70223998460000003</v>
      </c>
      <c r="K24" s="16">
        <f>VLOOKUP($D24,Résultats!$B$2:$AX$476,K$5,FALSE)</f>
        <v>0.76982228669999997</v>
      </c>
      <c r="L24" s="16">
        <f>VLOOKUP($D24,Résultats!$B$2:$AX$476,L$5,FALSE)</f>
        <v>0.8418404867</v>
      </c>
      <c r="M24" s="16">
        <f>VLOOKUP($D24,Résultats!$B$2:$AX$476,M$5,FALSE)</f>
        <v>0.8990764322</v>
      </c>
      <c r="N24" s="86">
        <f>VLOOKUP($D24,Résultats!$B$2:$AX$476,N$5,FALSE)</f>
        <v>0.9517613694</v>
      </c>
      <c r="O24" s="22">
        <f>VLOOKUP($D24,Résultats!$B$2:$AX$476,O$5,FALSE)</f>
        <v>1.0048559960000001</v>
      </c>
      <c r="P24" s="16">
        <f>VLOOKUP($D24,Résultats!$B$2:$AX$476,P$5,FALSE)</f>
        <v>1.0609441820000001</v>
      </c>
      <c r="Q24" s="16">
        <f>VLOOKUP($D24,Résultats!$B$2:$AX$476,Q$5,FALSE)</f>
        <v>1.1133579199999999</v>
      </c>
      <c r="R24" s="16">
        <f>VLOOKUP($D24,Résultats!$B$2:$AX$476,R$5,FALSE)</f>
        <v>1.1643852509999999</v>
      </c>
      <c r="S24" s="86">
        <f>VLOOKUP($D24,Résultats!$B$2:$AX$476,S$5,FALSE)</f>
        <v>1.215216463</v>
      </c>
      <c r="T24" s="95">
        <f>VLOOKUP($D24,Résultats!$B$2:$AX$476,T$5,FALSE)</f>
        <v>1.4728987760000001</v>
      </c>
      <c r="U24" s="95">
        <f>VLOOKUP($D24,Résultats!$B$2:$AX$476,U$5,FALSE)</f>
        <v>1.712398284</v>
      </c>
      <c r="V24" s="95">
        <f>VLOOKUP($D24,Résultats!$B$2:$AX$476,V$5,FALSE)</f>
        <v>1.91474191</v>
      </c>
      <c r="W24" s="95">
        <f>VLOOKUP($D24,Résultats!$B$2:$AX$476,W$5,FALSE)</f>
        <v>2.1241083889999999</v>
      </c>
      <c r="X24" s="45">
        <f>W24-'[1]Cibles THREEME'!$H32</f>
        <v>1.8661548206423042</v>
      </c>
      <c r="Y24" s="75"/>
      <c r="Z24" s="75"/>
      <c r="AA24" s="75"/>
    </row>
    <row r="25" spans="1:39" x14ac:dyDescent="0.25">
      <c r="A25" s="3"/>
      <c r="B25" s="325"/>
      <c r="C25" s="7" t="s">
        <v>12</v>
      </c>
      <c r="D25" s="3" t="s">
        <v>371</v>
      </c>
      <c r="E25" s="17">
        <f>VLOOKUP($D25,Résultats!$B$2:$AX$476,E$5,FALSE)</f>
        <v>0.4774907525</v>
      </c>
      <c r="F25" s="17">
        <f>VLOOKUP($D25,Résultats!$B$2:$AX$476,F$5,FALSE)</f>
        <v>3.9076614360000002</v>
      </c>
      <c r="G25" s="88">
        <f>VLOOKUP($D25,Résultats!$B$2:$AX$476,G$5,FALSE)</f>
        <v>3.1055586449999999</v>
      </c>
      <c r="H25" s="17">
        <f>VLOOKUP($D25,Résultats!$B$2:$AX$476,H$5,FALSE)</f>
        <v>2.7895398139999998</v>
      </c>
      <c r="I25" s="89">
        <f>VLOOKUP($D25,Résultats!$B$2:$AX$476,I$5,FALSE)</f>
        <v>2.5021068999999998</v>
      </c>
      <c r="J25" s="88">
        <f>VLOOKUP($D25,Résultats!$B$2:$AX$476,J$5,FALSE)</f>
        <v>2.97045855</v>
      </c>
      <c r="K25" s="17">
        <f>VLOOKUP($D25,Résultats!$B$2:$AX$476,K$5,FALSE)</f>
        <v>3.4662708109999998</v>
      </c>
      <c r="L25" s="17">
        <f>VLOOKUP($D25,Résultats!$B$2:$AX$476,L$5,FALSE)</f>
        <v>3.9870406319999998</v>
      </c>
      <c r="M25" s="17">
        <f>VLOOKUP($D25,Résultats!$B$2:$AX$476,M$5,FALSE)</f>
        <v>4.0631441270000002</v>
      </c>
      <c r="N25" s="89">
        <f>VLOOKUP($D25,Résultats!$B$2:$AX$476,N$5,FALSE)</f>
        <v>4.1166191569999997</v>
      </c>
      <c r="O25" s="88">
        <f>VLOOKUP($D25,Résultats!$B$2:$AX$476,O$5,FALSE)</f>
        <v>4.1699223390000002</v>
      </c>
      <c r="P25" s="17">
        <f>VLOOKUP($D25,Résultats!$B$2:$AX$476,P$5,FALSE)</f>
        <v>4.2333629049999999</v>
      </c>
      <c r="Q25" s="17">
        <f>VLOOKUP($D25,Résultats!$B$2:$AX$476,Q$5,FALSE)</f>
        <v>4.2805899529999998</v>
      </c>
      <c r="R25" s="17">
        <f>VLOOKUP($D25,Résultats!$B$2:$AX$476,R$5,FALSE)</f>
        <v>4.3212573689999996</v>
      </c>
      <c r="S25" s="89">
        <f>VLOOKUP($D25,Résultats!$B$2:$AX$476,S$5,FALSE)</f>
        <v>4.3600896440000003</v>
      </c>
      <c r="T25" s="97">
        <f>VLOOKUP($D25,Résultats!$B$2:$AX$476,T$5,FALSE)</f>
        <v>4.5521701830000003</v>
      </c>
      <c r="U25" s="97">
        <f>VLOOKUP($D25,Résultats!$B$2:$AX$476,U$5,FALSE)</f>
        <v>4.6718909479999997</v>
      </c>
      <c r="V25" s="97">
        <f>VLOOKUP($D25,Résultats!$B$2:$AX$476,V$5,FALSE)</f>
        <v>4.6882683580000002</v>
      </c>
      <c r="W25" s="97">
        <f>VLOOKUP($D25,Résultats!$B$2:$AX$476,W$5,FALSE)</f>
        <v>4.7237929340000004</v>
      </c>
      <c r="X25" s="45">
        <f>W25-'[1]Cibles THREEME'!$H33</f>
        <v>-2.7573704089693898</v>
      </c>
      <c r="Y25" s="75"/>
      <c r="Z25" s="75"/>
      <c r="AA25" s="75"/>
    </row>
    <row r="26" spans="1:39" x14ac:dyDescent="0.25">
      <c r="A26" s="3"/>
      <c r="B26" s="170" t="s">
        <v>8</v>
      </c>
      <c r="C26" s="2"/>
      <c r="D26" s="14" t="s">
        <v>372</v>
      </c>
      <c r="E26" s="6">
        <f>VLOOKUP($D26,Résultats!$B$2:$AX$476,E$5,FALSE)</f>
        <v>5.7508898210000003</v>
      </c>
      <c r="F26" s="6">
        <f>VLOOKUP($D26,Résultats!$B$2:$AX$476,F$5,FALSE)</f>
        <v>4.3448537590000003</v>
      </c>
      <c r="G26" s="84">
        <f>VLOOKUP($D26,Résultats!$B$2:$AX$476,G$5,FALSE)</f>
        <v>2.5374132309999999</v>
      </c>
      <c r="H26" s="6">
        <f>VLOOKUP($D26,Résultats!$B$2:$AX$476,H$5,FALSE)</f>
        <v>2.3104779889999998</v>
      </c>
      <c r="I26" s="85">
        <f>VLOOKUP($D26,Résultats!$B$2:$AX$476,I$5,FALSE)</f>
        <v>2.1012811170000001</v>
      </c>
      <c r="J26" s="84">
        <f>VLOOKUP($D26,Résultats!$B$2:$AX$476,J$5,FALSE)</f>
        <v>2.0606107119999999</v>
      </c>
      <c r="K26" s="6">
        <f>VLOOKUP($D26,Résultats!$B$2:$AX$476,K$5,FALSE)</f>
        <v>2.0365315609999999</v>
      </c>
      <c r="L26" s="6">
        <f>VLOOKUP($D26,Résultats!$B$2:$AX$476,L$5,FALSE)</f>
        <v>2.0297752440000001</v>
      </c>
      <c r="M26" s="6">
        <f>VLOOKUP($D26,Résultats!$B$2:$AX$476,M$5,FALSE)</f>
        <v>1.980369874</v>
      </c>
      <c r="N26" s="85">
        <f>VLOOKUP($D26,Résultats!$B$2:$AX$476,N$5,FALSE)</f>
        <v>1.91681988</v>
      </c>
      <c r="O26" s="84">
        <f>VLOOKUP($D26,Résultats!$B$2:$AX$476,O$5,FALSE)</f>
        <v>1.9088417010000001</v>
      </c>
      <c r="P26" s="6">
        <f>VLOOKUP($D26,Résultats!$B$2:$AX$476,P$5,FALSE)</f>
        <v>1.9151854740000001</v>
      </c>
      <c r="Q26" s="6">
        <f>VLOOKUP($D26,Résultats!$B$2:$AX$476,Q$5,FALSE)</f>
        <v>1.9227927469999999</v>
      </c>
      <c r="R26" s="6">
        <f>VLOOKUP($D26,Résultats!$B$2:$AX$476,R$5,FALSE)</f>
        <v>1.929120553</v>
      </c>
      <c r="S26" s="85">
        <f>VLOOKUP($D26,Résultats!$B$2:$AX$476,S$5,FALSE)</f>
        <v>1.933405297</v>
      </c>
      <c r="T26" s="94">
        <f>VLOOKUP($D26,Résultats!$B$2:$AX$476,T$5,FALSE)</f>
        <v>2.0494442409999998</v>
      </c>
      <c r="U26" s="94">
        <f>VLOOKUP($D26,Résultats!$B$2:$AX$476,U$5,FALSE)</f>
        <v>2.1777955659999999</v>
      </c>
      <c r="V26" s="94">
        <f>VLOOKUP($D26,Résultats!$B$2:$AX$476,V$5,FALSE)</f>
        <v>2.1476385489999998</v>
      </c>
      <c r="W26" s="94">
        <f>VLOOKUP($D26,Résultats!$B$2:$AX$476,W$5,FALSE)</f>
        <v>2.169658036</v>
      </c>
      <c r="X26" s="3"/>
      <c r="Y26" s="75"/>
      <c r="Z26" s="75"/>
      <c r="AA26" s="75"/>
    </row>
    <row r="27" spans="1:39" x14ac:dyDescent="0.25">
      <c r="A27" s="3"/>
      <c r="B27" s="169" t="s">
        <v>1</v>
      </c>
      <c r="C27" s="2"/>
      <c r="D27" s="2"/>
      <c r="E27" s="9">
        <f>E26+E19+E10+E7</f>
        <v>264.9657866645</v>
      </c>
      <c r="F27" s="9">
        <f>F26+F19+F10+F7</f>
        <v>261.97935372220002</v>
      </c>
      <c r="G27" s="23">
        <f t="shared" ref="G27:R27" si="4">G26+G19+G10+G7</f>
        <v>242.35974404599986</v>
      </c>
      <c r="H27" s="9">
        <f t="shared" si="4"/>
        <v>235.10561718949998</v>
      </c>
      <c r="I27" s="90">
        <f t="shared" si="4"/>
        <v>227.8387098961</v>
      </c>
      <c r="J27" s="23">
        <f t="shared" si="4"/>
        <v>225.8555839947</v>
      </c>
      <c r="K27" s="9">
        <f t="shared" si="4"/>
        <v>224.24500258289999</v>
      </c>
      <c r="L27" s="9">
        <f t="shared" si="4"/>
        <v>223.1803516498</v>
      </c>
      <c r="M27" s="9">
        <f t="shared" si="4"/>
        <v>229.49659200369999</v>
      </c>
      <c r="N27" s="90">
        <f t="shared" si="4"/>
        <v>235.71223276949999</v>
      </c>
      <c r="O27" s="23">
        <f t="shared" si="4"/>
        <v>238.30090445330001</v>
      </c>
      <c r="P27" s="9">
        <f t="shared" si="4"/>
        <v>240.81646347629999</v>
      </c>
      <c r="Q27" s="9">
        <f t="shared" si="4"/>
        <v>243.11837093010004</v>
      </c>
      <c r="R27" s="9">
        <f t="shared" si="4"/>
        <v>244.92658278919998</v>
      </c>
      <c r="S27" s="90">
        <f>S26+S19+S10+S7</f>
        <v>246.79317081720001</v>
      </c>
      <c r="T27" s="98">
        <f>T26+T19+T10+T7</f>
        <v>247.93378071340001</v>
      </c>
      <c r="U27" s="98">
        <f>U26+U19+U10+U7</f>
        <v>248.57477873259998</v>
      </c>
      <c r="V27" s="98">
        <f>V26+V19+V10+V7</f>
        <v>246.9014817739</v>
      </c>
      <c r="W27" s="98">
        <f>W26+W19+W10+W7</f>
        <v>247.56771539689998</v>
      </c>
      <c r="X27" s="3"/>
      <c r="Y27" s="75"/>
      <c r="Z27" s="75"/>
      <c r="AA27" s="75"/>
    </row>
    <row r="28" spans="1:39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39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39" ht="21" x14ac:dyDescent="0.35">
      <c r="A30" s="172" t="s">
        <v>82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39" ht="23.25" x14ac:dyDescent="0.35">
      <c r="A31" s="161" t="str">
        <f>Résultats!B1</f>
        <v>SNBC3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Z31" s="166" t="s">
        <v>91</v>
      </c>
      <c r="AA31" s="166"/>
      <c r="AB31" s="166"/>
      <c r="AC31" s="38"/>
      <c r="AE31" s="166" t="s">
        <v>94</v>
      </c>
      <c r="AF31" s="166"/>
      <c r="AG31" s="166"/>
      <c r="AH31" s="38"/>
      <c r="AJ31" s="166" t="s">
        <v>95</v>
      </c>
      <c r="AK31" s="166"/>
      <c r="AL31" s="166"/>
      <c r="AM31" s="38"/>
    </row>
    <row r="32" spans="1:39" x14ac:dyDescent="0.25">
      <c r="A32" s="3"/>
      <c r="B32" s="168"/>
      <c r="C32" s="2"/>
      <c r="D32" s="15"/>
      <c r="E32" s="4">
        <v>2006</v>
      </c>
      <c r="F32" s="4">
        <v>2015</v>
      </c>
      <c r="G32" s="20">
        <v>2018</v>
      </c>
      <c r="H32" s="27">
        <v>2019</v>
      </c>
      <c r="I32" s="83">
        <v>2020</v>
      </c>
      <c r="J32" s="91">
        <v>2021</v>
      </c>
      <c r="K32" s="27">
        <v>2022</v>
      </c>
      <c r="L32" s="27">
        <v>2023</v>
      </c>
      <c r="M32" s="27">
        <v>2024</v>
      </c>
      <c r="N32" s="83">
        <v>2025</v>
      </c>
      <c r="O32" s="91">
        <v>2026</v>
      </c>
      <c r="P32" s="27">
        <v>2027</v>
      </c>
      <c r="Q32" s="27">
        <v>2028</v>
      </c>
      <c r="R32" s="27">
        <v>2029</v>
      </c>
      <c r="S32" s="92">
        <v>2030</v>
      </c>
      <c r="T32" s="93">
        <v>2035</v>
      </c>
      <c r="U32" s="93">
        <v>2040</v>
      </c>
      <c r="V32" s="93">
        <v>2045</v>
      </c>
      <c r="W32" s="93">
        <v>2050</v>
      </c>
      <c r="X32" s="3"/>
      <c r="Z32" s="193"/>
      <c r="AA32" s="194">
        <v>2020</v>
      </c>
      <c r="AB32" s="194">
        <v>2030</v>
      </c>
      <c r="AC32" s="195">
        <v>2050</v>
      </c>
      <c r="AE32" s="193"/>
      <c r="AF32" s="194">
        <v>2020</v>
      </c>
      <c r="AG32" s="194">
        <v>2030</v>
      </c>
      <c r="AH32" s="195">
        <v>2050</v>
      </c>
      <c r="AJ32" s="193"/>
      <c r="AK32" s="194">
        <v>2020</v>
      </c>
      <c r="AL32" s="194">
        <v>2030</v>
      </c>
      <c r="AM32" s="195">
        <v>2050</v>
      </c>
    </row>
    <row r="33" spans="1:39" x14ac:dyDescent="0.25">
      <c r="A33" s="3"/>
      <c r="B33" s="323" t="s">
        <v>0</v>
      </c>
      <c r="C33" s="5" t="s">
        <v>1</v>
      </c>
      <c r="D33" s="2" t="s">
        <v>373</v>
      </c>
      <c r="E33" s="6">
        <f>SUM(E34:E35)</f>
        <v>80.666674568899992</v>
      </c>
      <c r="F33" s="6">
        <f>SUM(F34:F35)</f>
        <v>71.337321539999991</v>
      </c>
      <c r="G33" s="84">
        <f t="shared" ref="G33:R33" si="5">SUM(G34:G35)</f>
        <v>65.482835981999997</v>
      </c>
      <c r="H33" s="6">
        <f t="shared" si="5"/>
        <v>63.804611970000003</v>
      </c>
      <c r="I33" s="85">
        <f t="shared" si="5"/>
        <v>62.280174747000004</v>
      </c>
      <c r="J33" s="84">
        <f t="shared" si="5"/>
        <v>62.233926960999995</v>
      </c>
      <c r="K33" s="6">
        <f t="shared" si="5"/>
        <v>62.037374320999994</v>
      </c>
      <c r="L33" s="6">
        <f t="shared" si="5"/>
        <v>61.942539033999999</v>
      </c>
      <c r="M33" s="6">
        <f t="shared" si="5"/>
        <v>61.413069092000001</v>
      </c>
      <c r="N33" s="85">
        <f t="shared" si="5"/>
        <v>60.421198353000001</v>
      </c>
      <c r="O33" s="84">
        <f t="shared" si="5"/>
        <v>59.77786399</v>
      </c>
      <c r="P33" s="6">
        <f t="shared" si="5"/>
        <v>59.413851800000003</v>
      </c>
      <c r="Q33" s="6">
        <f t="shared" si="5"/>
        <v>59.053747913999999</v>
      </c>
      <c r="R33" s="6">
        <f t="shared" si="5"/>
        <v>58.670387434000006</v>
      </c>
      <c r="S33" s="85">
        <f>SUM(S34:S35)</f>
        <v>58.134931923000003</v>
      </c>
      <c r="T33" s="94">
        <f>SUM(T34:T35)</f>
        <v>56.093413579</v>
      </c>
      <c r="U33" s="94">
        <f>SUM(U34:U35)</f>
        <v>54.570650710999999</v>
      </c>
      <c r="V33" s="94">
        <f>SUM(V34:V35)</f>
        <v>52.677742170000002</v>
      </c>
      <c r="W33" s="94">
        <f>SUM(W34:W35)</f>
        <v>51.453215346999997</v>
      </c>
      <c r="X33" s="3"/>
      <c r="Z33" s="196" t="s">
        <v>42</v>
      </c>
      <c r="AA33" s="200">
        <f>(I38+I40)/I36</f>
        <v>8.6413757782232824E-3</v>
      </c>
      <c r="AB33" s="200">
        <f>(S38+S40)/S36</f>
        <v>1.0597805966527608E-2</v>
      </c>
      <c r="AC33" s="201">
        <f>(W38+W40)/W36</f>
        <v>1.0597805965203034E-2</v>
      </c>
      <c r="AE33" s="196" t="s">
        <v>96</v>
      </c>
      <c r="AF33" s="200">
        <f>I34/I33</f>
        <v>0.95161573824670176</v>
      </c>
      <c r="AG33" s="200">
        <f>S34/S33</f>
        <v>0.94420749942055449</v>
      </c>
      <c r="AH33" s="201">
        <f>W34/W33</f>
        <v>0.94420749942175619</v>
      </c>
      <c r="AJ33" s="196" t="s">
        <v>66</v>
      </c>
      <c r="AK33" s="200">
        <f>I46/(I46+I48)</f>
        <v>0.97055581086744946</v>
      </c>
      <c r="AL33" s="200">
        <f>S46/(S46+S48)</f>
        <v>0.91440264527007209</v>
      </c>
      <c r="AM33" s="201">
        <f>W46/(W46+W48)</f>
        <v>0.80715682647337894</v>
      </c>
    </row>
    <row r="34" spans="1:39" x14ac:dyDescent="0.25">
      <c r="A34" s="3"/>
      <c r="B34" s="324"/>
      <c r="C34" s="3" t="s">
        <v>2</v>
      </c>
      <c r="D34" s="15" t="s">
        <v>374</v>
      </c>
      <c r="E34" s="16">
        <f>VLOOKUP($D34,Résultats!$B$2:$AX$476,E$5,FALSE)</f>
        <v>79.999246659999997</v>
      </c>
      <c r="F34" s="16">
        <f>VLOOKUP($D34,Résultats!$B$2:$AX$476,F$5,FALSE)</f>
        <v>68.175815979999996</v>
      </c>
      <c r="G34" s="22">
        <f>VLOOKUP($D34,Résultats!$B$2:$AX$476,G$5,FALSE)</f>
        <v>62.43150043</v>
      </c>
      <c r="H34" s="16">
        <f>VLOOKUP($D34,Résultats!$B$2:$AX$476,H$5,FALSE)</f>
        <v>60.776409360000002</v>
      </c>
      <c r="I34" s="86">
        <f>VLOOKUP($D34,Résultats!$B$2:$AX$476,I$5,FALSE)</f>
        <v>59.266794470000001</v>
      </c>
      <c r="J34" s="22">
        <f>VLOOKUP($D34,Résultats!$B$2:$AX$476,J$5,FALSE)</f>
        <v>59.064032939999997</v>
      </c>
      <c r="K34" s="16">
        <f>VLOOKUP($D34,Résultats!$B$2:$AX$476,K$5,FALSE)</f>
        <v>58.724377859999997</v>
      </c>
      <c r="L34" s="16">
        <f>VLOOKUP($D34,Résultats!$B$2:$AX$476,L$5,FALSE)</f>
        <v>58.486609889999997</v>
      </c>
      <c r="M34" s="16">
        <f>VLOOKUP($D34,Résultats!$B$2:$AX$476,M$5,FALSE)</f>
        <v>57.986680399999997</v>
      </c>
      <c r="N34" s="86">
        <f>VLOOKUP($D34,Résultats!$B$2:$AX$476,N$5,FALSE)</f>
        <v>57.050148610000001</v>
      </c>
      <c r="O34" s="22">
        <f>VLOOKUP($D34,Résultats!$B$2:$AX$476,O$5,FALSE)</f>
        <v>56.442707480000003</v>
      </c>
      <c r="P34" s="16">
        <f>VLOOKUP($D34,Résultats!$B$2:$AX$476,P$5,FALSE)</f>
        <v>56.099004440000002</v>
      </c>
      <c r="Q34" s="16">
        <f>VLOOKUP($D34,Résultats!$B$2:$AX$476,Q$5,FALSE)</f>
        <v>55.758991649999999</v>
      </c>
      <c r="R34" s="16">
        <f>VLOOKUP($D34,Résultats!$B$2:$AX$476,R$5,FALSE)</f>
        <v>55.397019810000003</v>
      </c>
      <c r="S34" s="86">
        <f>VLOOKUP($D34,Résultats!$B$2:$AX$476,S$5,FALSE)</f>
        <v>54.891438700000002</v>
      </c>
      <c r="T34" s="95">
        <f>VLOOKUP($D34,Résultats!$B$2:$AX$476,T$5,FALSE)</f>
        <v>52.963821770000003</v>
      </c>
      <c r="U34" s="95">
        <f>VLOOKUP($D34,Résultats!$B$2:$AX$476,U$5,FALSE)</f>
        <v>51.52601765</v>
      </c>
      <c r="V34" s="95">
        <f>VLOOKUP($D34,Résultats!$B$2:$AX$476,V$5,FALSE)</f>
        <v>49.738719209999999</v>
      </c>
      <c r="W34" s="95">
        <f>VLOOKUP($D34,Résultats!$B$2:$AX$476,W$5,FALSE)</f>
        <v>48.582511799999999</v>
      </c>
      <c r="X34" s="45">
        <f>W34-'[1]Cibles THREEME'!$AJ4</f>
        <v>38.900409192514033</v>
      </c>
      <c r="Z34" s="196" t="s">
        <v>61</v>
      </c>
      <c r="AA34" s="200">
        <f>I37/I36</f>
        <v>0.69408091300086261</v>
      </c>
      <c r="AB34" s="200">
        <f>S37/S36</f>
        <v>0.66814169958334912</v>
      </c>
      <c r="AC34" s="201">
        <f>W37/W36</f>
        <v>0.66814169957987046</v>
      </c>
      <c r="AE34" s="197" t="s">
        <v>65</v>
      </c>
      <c r="AF34" s="202">
        <f>I35/I33</f>
        <v>4.8384261753298186E-2</v>
      </c>
      <c r="AG34" s="202">
        <f>S35/S33</f>
        <v>5.5792500579445466E-2</v>
      </c>
      <c r="AH34" s="203">
        <f>W35/W33</f>
        <v>5.5792500578243802E-2</v>
      </c>
      <c r="AJ34" s="197" t="s">
        <v>67</v>
      </c>
      <c r="AK34" s="202">
        <f>I48/(I46+I48)</f>
        <v>2.9444189132550539E-2</v>
      </c>
      <c r="AL34" s="202">
        <f>S48/(S46+S48)</f>
        <v>8.5597354729927994E-2</v>
      </c>
      <c r="AM34" s="203">
        <f>W48/(W46+W48)</f>
        <v>0.19284317352662103</v>
      </c>
    </row>
    <row r="35" spans="1:39" x14ac:dyDescent="0.25">
      <c r="A35" s="3"/>
      <c r="B35" s="325"/>
      <c r="C35" s="7" t="s">
        <v>3</v>
      </c>
      <c r="D35" s="3" t="s">
        <v>375</v>
      </c>
      <c r="E35" s="16">
        <f>VLOOKUP($D35,Résultats!$B$2:$AX$476,E$5,FALSE)</f>
        <v>0.66742790890000003</v>
      </c>
      <c r="F35" s="16">
        <f>VLOOKUP($D35,Résultats!$B$2:$AX$476,F$5,FALSE)</f>
        <v>3.1615055600000002</v>
      </c>
      <c r="G35" s="22">
        <f>VLOOKUP($D35,Résultats!$B$2:$AX$476,G$5,FALSE)</f>
        <v>3.0513355519999998</v>
      </c>
      <c r="H35" s="16">
        <f>VLOOKUP($D35,Résultats!$B$2:$AX$476,H$5,FALSE)</f>
        <v>3.0282026100000001</v>
      </c>
      <c r="I35" s="86">
        <f>VLOOKUP($D35,Résultats!$B$2:$AX$476,I$5,FALSE)</f>
        <v>3.013380277</v>
      </c>
      <c r="J35" s="22">
        <f>VLOOKUP($D35,Résultats!$B$2:$AX$476,J$5,FALSE)</f>
        <v>3.1698940210000002</v>
      </c>
      <c r="K35" s="16">
        <f>VLOOKUP($D35,Résultats!$B$2:$AX$476,K$5,FALSE)</f>
        <v>3.312996461</v>
      </c>
      <c r="L35" s="16">
        <f>VLOOKUP($D35,Résultats!$B$2:$AX$476,L$5,FALSE)</f>
        <v>3.4559291440000002</v>
      </c>
      <c r="M35" s="16">
        <f>VLOOKUP($D35,Résultats!$B$2:$AX$476,M$5,FALSE)</f>
        <v>3.4263886920000002</v>
      </c>
      <c r="N35" s="86">
        <f>VLOOKUP($D35,Résultats!$B$2:$AX$476,N$5,FALSE)</f>
        <v>3.3710497429999999</v>
      </c>
      <c r="O35" s="22">
        <f>VLOOKUP($D35,Résultats!$B$2:$AX$476,O$5,FALSE)</f>
        <v>3.33515651</v>
      </c>
      <c r="P35" s="16">
        <f>VLOOKUP($D35,Résultats!$B$2:$AX$476,P$5,FALSE)</f>
        <v>3.3148473599999999</v>
      </c>
      <c r="Q35" s="16">
        <f>VLOOKUP($D35,Résultats!$B$2:$AX$476,Q$5,FALSE)</f>
        <v>3.2947562640000001</v>
      </c>
      <c r="R35" s="16">
        <f>VLOOKUP($D35,Résultats!$B$2:$AX$476,R$5,FALSE)</f>
        <v>3.273367624</v>
      </c>
      <c r="S35" s="86">
        <f>VLOOKUP($D35,Résultats!$B$2:$AX$476,S$5,FALSE)</f>
        <v>3.2434932230000002</v>
      </c>
      <c r="T35" s="95">
        <f>VLOOKUP($D35,Résultats!$B$2:$AX$476,T$5,FALSE)</f>
        <v>3.1295918089999999</v>
      </c>
      <c r="U35" s="95">
        <f>VLOOKUP($D35,Résultats!$B$2:$AX$476,U$5,FALSE)</f>
        <v>3.0446330609999999</v>
      </c>
      <c r="V35" s="95">
        <f>VLOOKUP($D35,Résultats!$B$2:$AX$476,V$5,FALSE)</f>
        <v>2.93902296</v>
      </c>
      <c r="W35" s="95">
        <f>VLOOKUP($D35,Résultats!$B$2:$AX$476,W$5,FALSE)</f>
        <v>2.8707035470000002</v>
      </c>
      <c r="X35" s="45">
        <f>W35-'[1]Cibles THREEME'!$AJ5</f>
        <v>-0.62613766857708253</v>
      </c>
      <c r="Z35" s="196" t="s">
        <v>93</v>
      </c>
      <c r="AA35" s="200">
        <f>I43/I36</f>
        <v>0.10258601322843573</v>
      </c>
      <c r="AB35" s="200">
        <f>S43/S36</f>
        <v>0.11650798518783902</v>
      </c>
      <c r="AC35" s="201">
        <f>W43/W36</f>
        <v>0.11650798519054842</v>
      </c>
      <c r="AE35" s="189" t="s">
        <v>92</v>
      </c>
      <c r="AF35" s="204">
        <f>SUM(AF33:AF34)</f>
        <v>1</v>
      </c>
      <c r="AG35" s="204">
        <f t="shared" ref="AG35:AH35" si="6">SUM(AG33:AG34)</f>
        <v>1</v>
      </c>
      <c r="AH35" s="204">
        <f t="shared" si="6"/>
        <v>1</v>
      </c>
      <c r="AJ35" s="189" t="s">
        <v>92</v>
      </c>
      <c r="AK35" s="204">
        <f>SUM(AK33:AK34)</f>
        <v>1</v>
      </c>
      <c r="AL35" s="204">
        <f t="shared" ref="AL35" si="7">SUM(AL33:AL34)</f>
        <v>1</v>
      </c>
      <c r="AM35" s="204">
        <f t="shared" ref="AM35" si="8">SUM(AM33:AM34)</f>
        <v>1</v>
      </c>
    </row>
    <row r="36" spans="1:39" x14ac:dyDescent="0.25">
      <c r="A36" s="3"/>
      <c r="B36" s="323" t="s">
        <v>4</v>
      </c>
      <c r="C36" s="5" t="s">
        <v>1</v>
      </c>
      <c r="D36" s="2" t="s">
        <v>376</v>
      </c>
      <c r="E36" s="8">
        <f>SUM(E37:E44)</f>
        <v>37.199218674199997</v>
      </c>
      <c r="F36" s="8">
        <f>SUM(F37:F44)</f>
        <v>37.840835198500002</v>
      </c>
      <c r="G36" s="21">
        <f t="shared" ref="G36:R36" si="9">SUM(G37:G44)</f>
        <v>37.343576036599998</v>
      </c>
      <c r="H36" s="8">
        <f t="shared" si="9"/>
        <v>36.998343084099993</v>
      </c>
      <c r="I36" s="87">
        <f t="shared" si="9"/>
        <v>36.508175063400003</v>
      </c>
      <c r="J36" s="21">
        <f t="shared" si="9"/>
        <v>36.754998395399994</v>
      </c>
      <c r="K36" s="8">
        <f t="shared" si="9"/>
        <v>37.083242788699998</v>
      </c>
      <c r="L36" s="8">
        <f t="shared" si="9"/>
        <v>37.507886856599995</v>
      </c>
      <c r="M36" s="8">
        <f t="shared" si="9"/>
        <v>37.898782199499998</v>
      </c>
      <c r="N36" s="87">
        <f t="shared" si="9"/>
        <v>38.493087017400001</v>
      </c>
      <c r="O36" s="21">
        <f t="shared" si="9"/>
        <v>39.221455908799996</v>
      </c>
      <c r="P36" s="8">
        <f t="shared" si="9"/>
        <v>39.792383452500005</v>
      </c>
      <c r="Q36" s="8">
        <f t="shared" si="9"/>
        <v>40.342488875299999</v>
      </c>
      <c r="R36" s="8">
        <f t="shared" si="9"/>
        <v>40.87723931699999</v>
      </c>
      <c r="S36" s="87">
        <f>SUM(S37:S44)</f>
        <v>41.490494691900011</v>
      </c>
      <c r="T36" s="96">
        <f>SUM(T37:T44)</f>
        <v>43.987182316499997</v>
      </c>
      <c r="U36" s="96">
        <f>SUM(U37:U44)</f>
        <v>46.120796323699999</v>
      </c>
      <c r="V36" s="96">
        <f>SUM(V37:V44)</f>
        <v>47.515372159200005</v>
      </c>
      <c r="W36" s="96">
        <f>SUM(W37:W44)</f>
        <v>48.493260292500004</v>
      </c>
      <c r="X36" s="3"/>
      <c r="Z36" s="196" t="s">
        <v>62</v>
      </c>
      <c r="AA36" s="200">
        <f>I42/I36</f>
        <v>3.6998234276413758E-2</v>
      </c>
      <c r="AB36" s="200">
        <f>S42/S36</f>
        <v>4.095913019643433E-2</v>
      </c>
      <c r="AC36" s="201">
        <f>W42/W36</f>
        <v>4.0959130197051184E-2</v>
      </c>
    </row>
    <row r="37" spans="1:39" x14ac:dyDescent="0.25">
      <c r="A37" s="3"/>
      <c r="B37" s="324"/>
      <c r="C37" s="3" t="s">
        <v>5</v>
      </c>
      <c r="D37" s="3" t="s">
        <v>377</v>
      </c>
      <c r="E37" s="16">
        <f>VLOOKUP($D37,Résultats!$B$2:$AX$476,E$5,FALSE)</f>
        <v>29.72082902</v>
      </c>
      <c r="F37" s="16">
        <f>VLOOKUP($D37,Résultats!$B$2:$AX$476,F$5,FALSE)</f>
        <v>29.36618502</v>
      </c>
      <c r="G37" s="22">
        <f>VLOOKUP($D37,Résultats!$B$2:$AX$476,G$5,FALSE)</f>
        <v>27.211352890000001</v>
      </c>
      <c r="H37" s="16">
        <f>VLOOKUP($D37,Résultats!$B$2:$AX$476,H$5,FALSE)</f>
        <v>26.331808800000001</v>
      </c>
      <c r="I37" s="86">
        <f>VLOOKUP($D37,Résultats!$B$2:$AX$476,I$5,FALSE)</f>
        <v>25.339627480000001</v>
      </c>
      <c r="J37" s="22">
        <f>VLOOKUP($D37,Résultats!$B$2:$AX$476,J$5,FALSE)</f>
        <v>25.195317589999998</v>
      </c>
      <c r="K37" s="16">
        <f>VLOOKUP($D37,Résultats!$B$2:$AX$476,K$5,FALSE)</f>
        <v>25.099697840000001</v>
      </c>
      <c r="L37" s="16">
        <f>VLOOKUP($D37,Résultats!$B$2:$AX$476,L$5,FALSE)</f>
        <v>25.060583269999999</v>
      </c>
      <c r="M37" s="16">
        <f>VLOOKUP($D37,Résultats!$B$2:$AX$476,M$5,FALSE)</f>
        <v>25.321756749999999</v>
      </c>
      <c r="N37" s="86">
        <f>VLOOKUP($D37,Résultats!$B$2:$AX$476,N$5,FALSE)</f>
        <v>25.718836580000001</v>
      </c>
      <c r="O37" s="22">
        <f>VLOOKUP($D37,Résultats!$B$2:$AX$476,O$5,FALSE)</f>
        <v>26.205490210000001</v>
      </c>
      <c r="P37" s="16">
        <f>VLOOKUP($D37,Résultats!$B$2:$AX$476,P$5,FALSE)</f>
        <v>26.58695071</v>
      </c>
      <c r="Q37" s="16">
        <f>VLOOKUP($D37,Résultats!$B$2:$AX$476,Q$5,FALSE)</f>
        <v>26.954499080000001</v>
      </c>
      <c r="R37" s="16">
        <f>VLOOKUP($D37,Résultats!$B$2:$AX$476,R$5,FALSE)</f>
        <v>27.311788150000002</v>
      </c>
      <c r="S37" s="86">
        <f>VLOOKUP($D37,Résultats!$B$2:$AX$476,S$5,FALSE)</f>
        <v>27.72152964</v>
      </c>
      <c r="T37" s="95">
        <f>VLOOKUP($D37,Résultats!$B$2:$AX$476,T$5,FALSE)</f>
        <v>29.389670750000001</v>
      </c>
      <c r="U37" s="95">
        <f>VLOOKUP($D37,Résultats!$B$2:$AX$476,U$5,FALSE)</f>
        <v>30.815227239999999</v>
      </c>
      <c r="V37" s="95">
        <f>VLOOKUP($D37,Résultats!$B$2:$AX$476,V$5,FALSE)</f>
        <v>31.74700151</v>
      </c>
      <c r="W37" s="95">
        <f>VLOOKUP($D37,Résultats!$B$2:$AX$476,W$5,FALSE)</f>
        <v>32.400369349999998</v>
      </c>
      <c r="X37" s="45">
        <f>W37-'[1]Cibles THREEME'!$AJ8</f>
        <v>31.779310218454302</v>
      </c>
      <c r="Z37" s="196" t="s">
        <v>63</v>
      </c>
      <c r="AA37" s="200">
        <f>I41/I36</f>
        <v>8.395235707283151E-2</v>
      </c>
      <c r="AB37" s="200">
        <f>S41/S36</f>
        <v>9.6599140833634162E-2</v>
      </c>
      <c r="AC37" s="201">
        <f>W41/W36</f>
        <v>9.6599140823791826E-2</v>
      </c>
    </row>
    <row r="38" spans="1:39" x14ac:dyDescent="0.25">
      <c r="A38" s="3"/>
      <c r="B38" s="324"/>
      <c r="C38" s="3" t="s">
        <v>6</v>
      </c>
      <c r="D38" s="3" t="s">
        <v>378</v>
      </c>
      <c r="E38" s="16">
        <f>VLOOKUP($D38,Résultats!$B$2:$AX$476,E$5,FALSE)</f>
        <v>0.38143141790000001</v>
      </c>
      <c r="F38" s="16">
        <f>VLOOKUP($D38,Résultats!$B$2:$AX$476,F$5,FALSE)</f>
        <v>0.23185648219999999</v>
      </c>
      <c r="G38" s="22">
        <f>VLOOKUP($D38,Résultats!$B$2:$AX$476,G$5,FALSE)</f>
        <v>0.1593467019</v>
      </c>
      <c r="H38" s="16">
        <f>VLOOKUP($D38,Résultats!$B$2:$AX$476,H$5,FALSE)</f>
        <v>0.13321387039999999</v>
      </c>
      <c r="I38" s="86">
        <f>VLOOKUP($D38,Résultats!$B$2:$AX$476,I$5,FALSE)</f>
        <v>0.10618667330000001</v>
      </c>
      <c r="J38" s="22">
        <f>VLOOKUP($D38,Résultats!$B$2:$AX$476,J$5,FALSE)</f>
        <v>0.1403693449</v>
      </c>
      <c r="K38" s="16">
        <f>VLOOKUP($D38,Résultats!$B$2:$AX$476,K$5,FALSE)</f>
        <v>0.17561824849999999</v>
      </c>
      <c r="L38" s="16">
        <f>VLOOKUP($D38,Résultats!$B$2:$AX$476,L$5,FALSE)</f>
        <v>0.21225064090000001</v>
      </c>
      <c r="M38" s="16">
        <f>VLOOKUP($D38,Résultats!$B$2:$AX$476,M$5,FALSE)</f>
        <v>0.2144626499</v>
      </c>
      <c r="N38" s="86">
        <f>VLOOKUP($D38,Résultats!$B$2:$AX$476,N$5,FALSE)</f>
        <v>0.21782571810000001</v>
      </c>
      <c r="O38" s="22">
        <f>VLOOKUP($D38,Résultats!$B$2:$AX$476,O$5,FALSE)</f>
        <v>0.22194743159999999</v>
      </c>
      <c r="P38" s="16">
        <f>VLOOKUP($D38,Résultats!$B$2:$AX$476,P$5,FALSE)</f>
        <v>0.22517821169999999</v>
      </c>
      <c r="Q38" s="16">
        <f>VLOOKUP($D38,Résultats!$B$2:$AX$476,Q$5,FALSE)</f>
        <v>0.2282911631</v>
      </c>
      <c r="R38" s="16">
        <f>VLOOKUP($D38,Résultats!$B$2:$AX$476,R$5,FALSE)</f>
        <v>0.23131722330000001</v>
      </c>
      <c r="S38" s="86">
        <f>VLOOKUP($D38,Résultats!$B$2:$AX$476,S$5,FALSE)</f>
        <v>0.2347875294</v>
      </c>
      <c r="T38" s="95">
        <f>VLOOKUP($D38,Résultats!$B$2:$AX$476,T$5,FALSE)</f>
        <v>0.24891585259999999</v>
      </c>
      <c r="U38" s="95">
        <f>VLOOKUP($D38,Résultats!$B$2:$AX$476,U$5,FALSE)</f>
        <v>0.26098960500000001</v>
      </c>
      <c r="V38" s="95">
        <f>VLOOKUP($D38,Résultats!$B$2:$AX$476,V$5,FALSE)</f>
        <v>0.26888126829999998</v>
      </c>
      <c r="W38" s="95">
        <f>VLOOKUP($D38,Résultats!$B$2:$AX$476,W$5,FALSE)</f>
        <v>0.27441496799999998</v>
      </c>
      <c r="X38" s="45">
        <f>W38-'[1]Cibles THREEME'!$AJ9</f>
        <v>0.26441496799999997</v>
      </c>
      <c r="Z38" s="197" t="s">
        <v>64</v>
      </c>
      <c r="AA38" s="202">
        <f>(I39+I44)/I36</f>
        <v>7.3741106643233023E-2</v>
      </c>
      <c r="AB38" s="202">
        <f>(S39+S44)/S36</f>
        <v>6.7194238232215459E-2</v>
      </c>
      <c r="AC38" s="203">
        <f>(W39+W44)/W36</f>
        <v>6.7194238243534987E-2</v>
      </c>
    </row>
    <row r="39" spans="1:39" x14ac:dyDescent="0.25">
      <c r="A39" s="3"/>
      <c r="B39" s="324"/>
      <c r="C39" s="3" t="s">
        <v>7</v>
      </c>
      <c r="D39" s="3" t="s">
        <v>379</v>
      </c>
      <c r="E39" s="16">
        <f>VLOOKUP($D39,Résultats!$B$2:$AX$476,E$5,FALSE)</f>
        <v>1.5232737220000001</v>
      </c>
      <c r="F39" s="16">
        <f>VLOOKUP($D39,Résultats!$B$2:$AX$476,F$5,FALSE)</f>
        <v>1.524914206</v>
      </c>
      <c r="G39" s="22">
        <f>VLOOKUP($D39,Résultats!$B$2:$AX$476,G$5,FALSE)</f>
        <v>1.9634662439999999</v>
      </c>
      <c r="H39" s="16">
        <f>VLOOKUP($D39,Résultats!$B$2:$AX$476,H$5,FALSE)</f>
        <v>2.1081163809999999</v>
      </c>
      <c r="I39" s="86">
        <f>VLOOKUP($D39,Résultats!$B$2:$AX$476,I$5,FALSE)</f>
        <v>2.2469676770000002</v>
      </c>
      <c r="J39" s="22">
        <f>VLOOKUP($D39,Résultats!$B$2:$AX$476,J$5,FALSE)</f>
        <v>2.1597455769999998</v>
      </c>
      <c r="K39" s="16">
        <f>VLOOKUP($D39,Résultats!$B$2:$AX$476,K$5,FALSE)</f>
        <v>2.0749964169999999</v>
      </c>
      <c r="L39" s="16">
        <f>VLOOKUP($D39,Résultats!$B$2:$AX$476,L$5,FALSE)</f>
        <v>1.992804501</v>
      </c>
      <c r="M39" s="16">
        <f>VLOOKUP($D39,Résultats!$B$2:$AX$476,M$5,FALSE)</f>
        <v>2.0135728799999999</v>
      </c>
      <c r="N39" s="86">
        <f>VLOOKUP($D39,Résultats!$B$2:$AX$476,N$5,FALSE)</f>
        <v>2.0451484610000001</v>
      </c>
      <c r="O39" s="22">
        <f>VLOOKUP($D39,Résultats!$B$2:$AX$476,O$5,FALSE)</f>
        <v>2.083846903</v>
      </c>
      <c r="P39" s="16">
        <f>VLOOKUP($D39,Résultats!$B$2:$AX$476,P$5,FALSE)</f>
        <v>2.114180443</v>
      </c>
      <c r="Q39" s="16">
        <f>VLOOKUP($D39,Résultats!$B$2:$AX$476,Q$5,FALSE)</f>
        <v>2.1434076979999999</v>
      </c>
      <c r="R39" s="16">
        <f>VLOOKUP($D39,Résultats!$B$2:$AX$476,R$5,FALSE)</f>
        <v>2.171819138</v>
      </c>
      <c r="S39" s="86">
        <f>VLOOKUP($D39,Résultats!$B$2:$AX$476,S$5,FALSE)</f>
        <v>2.2044015670000001</v>
      </c>
      <c r="T39" s="95">
        <f>VLOOKUP($D39,Résultats!$B$2:$AX$476,T$5,FALSE)</f>
        <v>2.3370512780000001</v>
      </c>
      <c r="U39" s="95">
        <f>VLOOKUP($D39,Résultats!$B$2:$AX$476,U$5,FALSE)</f>
        <v>2.450410786</v>
      </c>
      <c r="V39" s="95">
        <f>VLOOKUP($D39,Résultats!$B$2:$AX$476,V$5,FALSE)</f>
        <v>2.524504989</v>
      </c>
      <c r="W39" s="95">
        <f>VLOOKUP($D39,Résultats!$B$2:$AX$476,W$5,FALSE)</f>
        <v>2.5764604590000002</v>
      </c>
      <c r="X39" s="45">
        <f>W39-'[1]Cibles THREEME'!$AJ10</f>
        <v>1.4804737562722989</v>
      </c>
      <c r="Z39" s="189" t="s">
        <v>92</v>
      </c>
      <c r="AA39" s="204">
        <f>SUM(AA33:AA38)</f>
        <v>1</v>
      </c>
      <c r="AB39" s="204">
        <f t="shared" ref="AB39:AC39" si="10">SUM(AB33:AB38)</f>
        <v>0.99999999999999978</v>
      </c>
      <c r="AC39" s="204">
        <f t="shared" si="10"/>
        <v>0.99999999999999989</v>
      </c>
      <c r="AJ39" s="189"/>
      <c r="AK39" s="204"/>
      <c r="AL39" s="204"/>
      <c r="AM39" s="204"/>
    </row>
    <row r="40" spans="1:39" x14ac:dyDescent="0.25">
      <c r="A40" s="3"/>
      <c r="B40" s="324"/>
      <c r="C40" s="3" t="s">
        <v>8</v>
      </c>
      <c r="D40" s="3" t="s">
        <v>380</v>
      </c>
      <c r="E40" s="16">
        <f>VLOOKUP($D40,Résultats!$B$2:$AX$476,E$5,FALSE)</f>
        <v>1.519902291</v>
      </c>
      <c r="F40" s="16">
        <f>VLOOKUP($D40,Résultats!$B$2:$AX$476,F$5,FALSE)</f>
        <v>0.71481387699999999</v>
      </c>
      <c r="G40" s="22">
        <f>VLOOKUP($D40,Résultats!$B$2:$AX$476,G$5,FALSE)</f>
        <v>0.42146315629999997</v>
      </c>
      <c r="H40" s="16">
        <f>VLOOKUP($D40,Résultats!$B$2:$AX$476,H$5,FALSE)</f>
        <v>0.3167605154</v>
      </c>
      <c r="I40" s="86">
        <f>VLOOKUP($D40,Résultats!$B$2:$AX$476,I$5,FALSE)</f>
        <v>0.2092941864</v>
      </c>
      <c r="J40" s="22">
        <f>VLOOKUP($D40,Résultats!$B$2:$AX$476,J$5,FALSE)</f>
        <v>0.20105001689999999</v>
      </c>
      <c r="K40" s="16">
        <f>VLOOKUP($D40,Résultats!$B$2:$AX$476,K$5,FALSE)</f>
        <v>0.19303321949999999</v>
      </c>
      <c r="L40" s="16">
        <f>VLOOKUP($D40,Résultats!$B$2:$AX$476,L$5,FALSE)</f>
        <v>0.18525066630000001</v>
      </c>
      <c r="M40" s="16">
        <f>VLOOKUP($D40,Résultats!$B$2:$AX$476,M$5,FALSE)</f>
        <v>0.18718129019999999</v>
      </c>
      <c r="N40" s="86">
        <f>VLOOKUP($D40,Résultats!$B$2:$AX$476,N$5,FALSE)</f>
        <v>0.19011654920000001</v>
      </c>
      <c r="O40" s="22">
        <f>VLOOKUP($D40,Résultats!$B$2:$AX$476,O$5,FALSE)</f>
        <v>0.19371394789999999</v>
      </c>
      <c r="P40" s="16">
        <f>VLOOKUP($D40,Résultats!$B$2:$AX$476,P$5,FALSE)</f>
        <v>0.19653374700000001</v>
      </c>
      <c r="Q40" s="16">
        <f>VLOOKUP($D40,Résultats!$B$2:$AX$476,Q$5,FALSE)</f>
        <v>0.19925070619999999</v>
      </c>
      <c r="R40" s="16">
        <f>VLOOKUP($D40,Résultats!$B$2:$AX$476,R$5,FALSE)</f>
        <v>0.2018918274</v>
      </c>
      <c r="S40" s="86">
        <f>VLOOKUP($D40,Résultats!$B$2:$AX$476,S$5,FALSE)</f>
        <v>0.2049206828</v>
      </c>
      <c r="T40" s="95">
        <f>VLOOKUP($D40,Résultats!$B$2:$AX$476,T$5,FALSE)</f>
        <v>0.2172517706</v>
      </c>
      <c r="U40" s="95">
        <f>VLOOKUP($D40,Résultats!$B$2:$AX$476,U$5,FALSE)</f>
        <v>0.22778964539999999</v>
      </c>
      <c r="V40" s="95">
        <f>VLOOKUP($D40,Résultats!$B$2:$AX$476,V$5,FALSE)</f>
        <v>0.23467742620000001</v>
      </c>
      <c r="W40" s="95">
        <f>VLOOKUP($D40,Résultats!$B$2:$AX$476,W$5,FALSE)</f>
        <v>0.23950719519999999</v>
      </c>
      <c r="X40" s="45">
        <f>W40-'[1]Cibles THREEME'!$AJ11</f>
        <v>0.22950719519999999</v>
      </c>
    </row>
    <row r="41" spans="1:39" x14ac:dyDescent="0.25">
      <c r="A41" s="3"/>
      <c r="B41" s="324"/>
      <c r="C41" s="3" t="s">
        <v>9</v>
      </c>
      <c r="D41" s="3" t="s">
        <v>381</v>
      </c>
      <c r="E41" s="16">
        <f>VLOOKUP($D41,Résultats!$B$2:$AX$476,E$5,FALSE)</f>
        <v>0.30706825180000002</v>
      </c>
      <c r="F41" s="16">
        <f>VLOOKUP($D41,Résultats!$B$2:$AX$476,F$5,FALSE)</f>
        <v>2.0225631719999999</v>
      </c>
      <c r="G41" s="22">
        <f>VLOOKUP($D41,Résultats!$B$2:$AX$476,G$5,FALSE)</f>
        <v>2.6543004520000002</v>
      </c>
      <c r="H41" s="16">
        <f>VLOOKUP($D41,Résultats!$B$2:$AX$476,H$5,FALSE)</f>
        <v>2.863467253</v>
      </c>
      <c r="I41" s="86">
        <f>VLOOKUP($D41,Résultats!$B$2:$AX$476,I$5,FALSE)</f>
        <v>3.0649473490000001</v>
      </c>
      <c r="J41" s="22">
        <f>VLOOKUP($D41,Résultats!$B$2:$AX$476,J$5,FALSE)</f>
        <v>3.2395533049999998</v>
      </c>
      <c r="K41" s="16">
        <f>VLOOKUP($D41,Résultats!$B$2:$AX$476,K$5,FALSE)</f>
        <v>3.4248087269999998</v>
      </c>
      <c r="L41" s="16">
        <f>VLOOKUP($D41,Résultats!$B$2:$AX$476,L$5,FALSE)</f>
        <v>3.6232296449999999</v>
      </c>
      <c r="M41" s="16">
        <f>VLOOKUP($D41,Résultats!$B$2:$AX$476,M$5,FALSE)</f>
        <v>3.6609897990000002</v>
      </c>
      <c r="N41" s="86">
        <f>VLOOKUP($D41,Résultats!$B$2:$AX$476,N$5,FALSE)</f>
        <v>3.7183991340000002</v>
      </c>
      <c r="O41" s="22">
        <f>VLOOKUP($D41,Résultats!$B$2:$AX$476,O$5,FALSE)</f>
        <v>3.7887589429999999</v>
      </c>
      <c r="P41" s="16">
        <f>VLOOKUP($D41,Résultats!$B$2:$AX$476,P$5,FALSE)</f>
        <v>3.8439100530000001</v>
      </c>
      <c r="Q41" s="16">
        <f>VLOOKUP($D41,Résultats!$B$2:$AX$476,Q$5,FALSE)</f>
        <v>3.8970497650000002</v>
      </c>
      <c r="R41" s="16">
        <f>VLOOKUP($D41,Résultats!$B$2:$AX$476,R$5,FALSE)</f>
        <v>3.948706198</v>
      </c>
      <c r="S41" s="86">
        <f>VLOOKUP($D41,Résultats!$B$2:$AX$476,S$5,FALSE)</f>
        <v>4.0079461399999996</v>
      </c>
      <c r="T41" s="95">
        <f>VLOOKUP($D41,Résultats!$B$2:$AX$476,T$5,FALSE)</f>
        <v>4.24912402</v>
      </c>
      <c r="U41" s="95">
        <f>VLOOKUP($D41,Résultats!$B$2:$AX$476,U$5,FALSE)</f>
        <v>4.4552293000000001</v>
      </c>
      <c r="V41" s="95">
        <f>VLOOKUP($D41,Résultats!$B$2:$AX$476,V$5,FALSE)</f>
        <v>4.5899441269999999</v>
      </c>
      <c r="W41" s="95">
        <f>VLOOKUP($D41,Résultats!$B$2:$AX$476,W$5,FALSE)</f>
        <v>4.6844072800000003</v>
      </c>
      <c r="X41" s="45">
        <f>W41-'[1]Cibles THREEME'!$AJ12</f>
        <v>-7.9011733563231008</v>
      </c>
    </row>
    <row r="42" spans="1:39" x14ac:dyDescent="0.25">
      <c r="A42" s="3"/>
      <c r="B42" s="324"/>
      <c r="C42" s="3" t="s">
        <v>10</v>
      </c>
      <c r="D42" s="3" t="s">
        <v>382</v>
      </c>
      <c r="E42" s="16">
        <f>VLOOKUP($D42,Résultats!$B$2:$AX$476,E$5,FALSE)</f>
        <v>6.90903566E-2</v>
      </c>
      <c r="F42" s="16">
        <f>VLOOKUP($D42,Résultats!$B$2:$AX$476,F$5,FALSE)</f>
        <v>0.89135396180000004</v>
      </c>
      <c r="G42" s="22">
        <f>VLOOKUP($D42,Résultats!$B$2:$AX$476,G$5,FALSE)</f>
        <v>1.1697638210000001</v>
      </c>
      <c r="H42" s="16">
        <f>VLOOKUP($D42,Résultats!$B$2:$AX$476,H$5,FALSE)</f>
        <v>1.2619447029999999</v>
      </c>
      <c r="I42" s="86">
        <f>VLOOKUP($D42,Résultats!$B$2:$AX$476,I$5,FALSE)</f>
        <v>1.350738014</v>
      </c>
      <c r="J42" s="22">
        <f>VLOOKUP($D42,Résultats!$B$2:$AX$476,J$5,FALSE)</f>
        <v>1.40806575</v>
      </c>
      <c r="K42" s="16">
        <f>VLOOKUP($D42,Résultats!$B$2:$AX$476,K$5,FALSE)</f>
        <v>1.469600437</v>
      </c>
      <c r="L42" s="16">
        <f>VLOOKUP($D42,Résultats!$B$2:$AX$476,L$5,FALSE)</f>
        <v>1.536290422</v>
      </c>
      <c r="M42" s="16">
        <f>VLOOKUP($D42,Résultats!$B$2:$AX$476,M$5,FALSE)</f>
        <v>1.5523011550000001</v>
      </c>
      <c r="N42" s="86">
        <f>VLOOKUP($D42,Résultats!$B$2:$AX$476,N$5,FALSE)</f>
        <v>1.5766433630000001</v>
      </c>
      <c r="O42" s="22">
        <f>VLOOKUP($D42,Résultats!$B$2:$AX$476,O$5,FALSE)</f>
        <v>1.606476719</v>
      </c>
      <c r="P42" s="16">
        <f>VLOOKUP($D42,Résultats!$B$2:$AX$476,P$5,FALSE)</f>
        <v>1.6298614149999999</v>
      </c>
      <c r="Q42" s="16">
        <f>VLOOKUP($D42,Résultats!$B$2:$AX$476,Q$5,FALSE)</f>
        <v>1.652393255</v>
      </c>
      <c r="R42" s="16">
        <f>VLOOKUP($D42,Résultats!$B$2:$AX$476,R$5,FALSE)</f>
        <v>1.6742961679999999</v>
      </c>
      <c r="S42" s="86">
        <f>VLOOKUP($D42,Résultats!$B$2:$AX$476,S$5,FALSE)</f>
        <v>1.699414574</v>
      </c>
      <c r="T42" s="95">
        <f>VLOOKUP($D42,Résultats!$B$2:$AX$476,T$5,FALSE)</f>
        <v>1.8016767279999999</v>
      </c>
      <c r="U42" s="95">
        <f>VLOOKUP($D42,Résultats!$B$2:$AX$476,U$5,FALSE)</f>
        <v>1.889067702</v>
      </c>
      <c r="V42" s="95">
        <f>VLOOKUP($D42,Résultats!$B$2:$AX$476,V$5,FALSE)</f>
        <v>1.9461883149999999</v>
      </c>
      <c r="W42" s="95">
        <f>VLOOKUP($D42,Résultats!$B$2:$AX$476,W$5,FALSE)</f>
        <v>1.9862417619999999</v>
      </c>
      <c r="X42" s="45">
        <f>W42-'[1]Cibles THREEME'!$AJ13</f>
        <v>-5.4421125564877535</v>
      </c>
      <c r="Z42" s="60" t="s">
        <v>457</v>
      </c>
    </row>
    <row r="43" spans="1:39" x14ac:dyDescent="0.25">
      <c r="A43" s="3"/>
      <c r="B43" s="324"/>
      <c r="C43" s="3" t="s">
        <v>11</v>
      </c>
      <c r="D43" s="3" t="s">
        <v>383</v>
      </c>
      <c r="E43" s="16">
        <f>VLOOKUP($D43,Résultats!$B$2:$AX$476,E$5,FALSE)</f>
        <v>3.4538832089999998</v>
      </c>
      <c r="F43" s="16">
        <f>VLOOKUP($D43,Résultats!$B$2:$AX$476,F$5,FALSE)</f>
        <v>2.4714814399999998</v>
      </c>
      <c r="G43" s="22">
        <f>VLOOKUP($D43,Résultats!$B$2:$AX$476,G$5,FALSE)</f>
        <v>3.243436049</v>
      </c>
      <c r="H43" s="16">
        <f>VLOOKUP($D43,Résultats!$B$2:$AX$476,H$5,FALSE)</f>
        <v>3.4990284950000001</v>
      </c>
      <c r="I43" s="86">
        <f>VLOOKUP($D43,Résultats!$B$2:$AX$476,I$5,FALSE)</f>
        <v>3.7452281300000001</v>
      </c>
      <c r="J43" s="22">
        <f>VLOOKUP($D43,Résultats!$B$2:$AX$476,J$5,FALSE)</f>
        <v>3.939949645</v>
      </c>
      <c r="K43" s="16">
        <f>VLOOKUP($D43,Résultats!$B$2:$AX$476,K$5,FALSE)</f>
        <v>4.1472223650000002</v>
      </c>
      <c r="L43" s="16">
        <f>VLOOKUP($D43,Résultats!$B$2:$AX$476,L$5,FALSE)</f>
        <v>4.3699683269999996</v>
      </c>
      <c r="M43" s="16">
        <f>VLOOKUP($D43,Résultats!$B$2:$AX$476,M$5,FALSE)</f>
        <v>4.4155107549999997</v>
      </c>
      <c r="N43" s="86">
        <f>VLOOKUP($D43,Résultats!$B$2:$AX$476,N$5,FALSE)</f>
        <v>4.4847520129999996</v>
      </c>
      <c r="O43" s="22">
        <f>VLOOKUP($D43,Résultats!$B$2:$AX$476,O$5,FALSE)</f>
        <v>4.5696128050000002</v>
      </c>
      <c r="P43" s="16">
        <f>VLOOKUP($D43,Résultats!$B$2:$AX$476,P$5,FALSE)</f>
        <v>4.6361304219999999</v>
      </c>
      <c r="Q43" s="16">
        <f>VLOOKUP($D43,Résultats!$B$2:$AX$476,Q$5,FALSE)</f>
        <v>4.7002220970000002</v>
      </c>
      <c r="R43" s="16">
        <f>VLOOKUP($D43,Résultats!$B$2:$AX$476,R$5,FALSE)</f>
        <v>4.7625247929999999</v>
      </c>
      <c r="S43" s="86">
        <f>VLOOKUP($D43,Résultats!$B$2:$AX$476,S$5,FALSE)</f>
        <v>4.833973941</v>
      </c>
      <c r="T43" s="95">
        <f>VLOOKUP($D43,Résultats!$B$2:$AX$476,T$5,FALSE)</f>
        <v>5.1248579870000004</v>
      </c>
      <c r="U43" s="95">
        <f>VLOOKUP($D43,Résultats!$B$2:$AX$476,U$5,FALSE)</f>
        <v>5.3734410549999998</v>
      </c>
      <c r="V43" s="95">
        <f>VLOOKUP($D43,Résultats!$B$2:$AX$476,V$5,FALSE)</f>
        <v>5.5359202759999997</v>
      </c>
      <c r="W43" s="95">
        <f>VLOOKUP($D43,Résultats!$B$2:$AX$476,W$5,FALSE)</f>
        <v>5.649852052</v>
      </c>
      <c r="X43" s="45">
        <f>W43-'[1]Cibles THREEME'!$AJ14</f>
        <v>1.7834545173772764</v>
      </c>
      <c r="Z43" s="193"/>
      <c r="AA43" s="194">
        <v>2020</v>
      </c>
      <c r="AB43" s="194">
        <v>2030</v>
      </c>
      <c r="AC43" s="195">
        <v>2050</v>
      </c>
    </row>
    <row r="44" spans="1:39" x14ac:dyDescent="0.25">
      <c r="A44" s="3"/>
      <c r="B44" s="325"/>
      <c r="C44" s="7" t="s">
        <v>12</v>
      </c>
      <c r="D44" s="3" t="s">
        <v>384</v>
      </c>
      <c r="E44" s="17">
        <f>VLOOKUP($D44,Résultats!$B$2:$AX$476,E$5,FALSE)</f>
        <v>0.22374040589999999</v>
      </c>
      <c r="F44" s="17">
        <f>VLOOKUP($D44,Résultats!$B$2:$AX$476,F$5,FALSE)</f>
        <v>0.61766703950000001</v>
      </c>
      <c r="G44" s="88">
        <f>VLOOKUP($D44,Résultats!$B$2:$AX$476,G$5,FALSE)</f>
        <v>0.52044672240000001</v>
      </c>
      <c r="H44" s="17">
        <f>VLOOKUP($D44,Résultats!$B$2:$AX$476,H$5,FALSE)</f>
        <v>0.48400306630000001</v>
      </c>
      <c r="I44" s="89">
        <f>VLOOKUP($D44,Résultats!$B$2:$AX$476,I$5,FALSE)</f>
        <v>0.44518555370000001</v>
      </c>
      <c r="J44" s="88">
        <f>VLOOKUP($D44,Résultats!$B$2:$AX$476,J$5,FALSE)</f>
        <v>0.47094716660000002</v>
      </c>
      <c r="K44" s="17">
        <f>VLOOKUP($D44,Résultats!$B$2:$AX$476,K$5,FALSE)</f>
        <v>0.49826553470000001</v>
      </c>
      <c r="L44" s="17">
        <f>VLOOKUP($D44,Résultats!$B$2:$AX$476,L$5,FALSE)</f>
        <v>0.52750938439999995</v>
      </c>
      <c r="M44" s="17">
        <f>VLOOKUP($D44,Résultats!$B$2:$AX$476,M$5,FALSE)</f>
        <v>0.53300692039999997</v>
      </c>
      <c r="N44" s="89">
        <f>VLOOKUP($D44,Résultats!$B$2:$AX$476,N$5,FALSE)</f>
        <v>0.54136519910000003</v>
      </c>
      <c r="O44" s="88">
        <f>VLOOKUP($D44,Résultats!$B$2:$AX$476,O$5,FALSE)</f>
        <v>0.55160894930000004</v>
      </c>
      <c r="P44" s="17">
        <f>VLOOKUP($D44,Résultats!$B$2:$AX$476,P$5,FALSE)</f>
        <v>0.55963845079999996</v>
      </c>
      <c r="Q44" s="17">
        <f>VLOOKUP($D44,Résultats!$B$2:$AX$476,Q$5,FALSE)</f>
        <v>0.56737511100000004</v>
      </c>
      <c r="R44" s="17">
        <f>VLOOKUP($D44,Résultats!$B$2:$AX$476,R$5,FALSE)</f>
        <v>0.5748958193</v>
      </c>
      <c r="S44" s="89">
        <f>VLOOKUP($D44,Résultats!$B$2:$AX$476,S$5,FALSE)</f>
        <v>0.58352061769999997</v>
      </c>
      <c r="T44" s="97">
        <f>VLOOKUP($D44,Résultats!$B$2:$AX$476,T$5,FALSE)</f>
        <v>0.61863393030000002</v>
      </c>
      <c r="U44" s="97">
        <f>VLOOKUP($D44,Résultats!$B$2:$AX$476,U$5,FALSE)</f>
        <v>0.6486409903</v>
      </c>
      <c r="V44" s="97">
        <f>VLOOKUP($D44,Résultats!$B$2:$AX$476,V$5,FALSE)</f>
        <v>0.66825424769999997</v>
      </c>
      <c r="W44" s="97">
        <f>VLOOKUP($D44,Résultats!$B$2:$AX$476,W$5,FALSE)</f>
        <v>0.68200722629999999</v>
      </c>
      <c r="X44" s="45">
        <f>W44-'[1]Cibles THREEME'!$AJ15</f>
        <v>0.37147766052715131</v>
      </c>
      <c r="Z44" s="196" t="s">
        <v>458</v>
      </c>
      <c r="AA44" s="16">
        <f>I36</f>
        <v>36.508175063400003</v>
      </c>
      <c r="AB44" s="16">
        <f>S36</f>
        <v>41.490494691900011</v>
      </c>
      <c r="AC44" s="86">
        <f>W36</f>
        <v>48.493260292500004</v>
      </c>
    </row>
    <row r="45" spans="1:39" x14ac:dyDescent="0.25">
      <c r="A45" s="3"/>
      <c r="B45" s="323" t="s">
        <v>53</v>
      </c>
      <c r="C45" s="5" t="s">
        <v>1</v>
      </c>
      <c r="D45" s="2" t="s">
        <v>385</v>
      </c>
      <c r="E45" s="6">
        <f>SUM(E46:E51)</f>
        <v>37.372041431500008</v>
      </c>
      <c r="F45" s="6">
        <f>SUM(F46:F51)</f>
        <v>40.03566043930001</v>
      </c>
      <c r="G45" s="84">
        <f t="shared" ref="G45:R45" si="11">SUM(G46:G51)</f>
        <v>39.631093654600008</v>
      </c>
      <c r="H45" s="6">
        <f t="shared" si="11"/>
        <v>38.759546822899999</v>
      </c>
      <c r="I45" s="85">
        <f t="shared" si="11"/>
        <v>38.147357717400013</v>
      </c>
      <c r="J45" s="84">
        <f t="shared" si="11"/>
        <v>37.862247270099999</v>
      </c>
      <c r="K45" s="6">
        <f t="shared" si="11"/>
        <v>37.830806646700005</v>
      </c>
      <c r="L45" s="6">
        <f t="shared" si="11"/>
        <v>37.930104318700003</v>
      </c>
      <c r="M45" s="6">
        <f t="shared" si="11"/>
        <v>38.588539346199994</v>
      </c>
      <c r="N45" s="85">
        <f t="shared" si="11"/>
        <v>39.031340611399997</v>
      </c>
      <c r="O45" s="84">
        <f t="shared" si="11"/>
        <v>39.471796751000007</v>
      </c>
      <c r="P45" s="6">
        <f t="shared" si="11"/>
        <v>40.007334667000002</v>
      </c>
      <c r="Q45" s="6">
        <f t="shared" si="11"/>
        <v>40.389027581999997</v>
      </c>
      <c r="R45" s="6">
        <f t="shared" si="11"/>
        <v>40.708318638999998</v>
      </c>
      <c r="S45" s="85">
        <f>SUM(S46:S51)</f>
        <v>41.009846590999999</v>
      </c>
      <c r="T45" s="94">
        <f>SUM(T46:T51)</f>
        <v>42.491374891000007</v>
      </c>
      <c r="U45" s="94">
        <f>SUM(U46:U51)</f>
        <v>43.289145219000005</v>
      </c>
      <c r="V45" s="94">
        <f>SUM(V46:V51)</f>
        <v>43.128198091000002</v>
      </c>
      <c r="W45" s="94">
        <f>SUM(W46:W51)</f>
        <v>43.144658512000007</v>
      </c>
      <c r="X45" s="3"/>
      <c r="Z45" s="196" t="s">
        <v>459</v>
      </c>
      <c r="AA45" s="16">
        <f>SUM(I47,I49:I51)</f>
        <v>11.8183584534</v>
      </c>
      <c r="AB45" s="16">
        <f>S47+SUM(S49:S51)</f>
        <v>18.272633693000003</v>
      </c>
      <c r="AC45" s="86">
        <f>W47+SUM(W49:W51)</f>
        <v>27.263163715000001</v>
      </c>
    </row>
    <row r="46" spans="1:39" x14ac:dyDescent="0.25">
      <c r="A46" s="3"/>
      <c r="B46" s="324"/>
      <c r="C46" s="3" t="s">
        <v>13</v>
      </c>
      <c r="D46" s="3" t="s">
        <v>386</v>
      </c>
      <c r="E46" s="16">
        <f>VLOOKUP($D46,Résultats!$B$2:$AX$476,E$5,FALSE)</f>
        <v>33.773630109999999</v>
      </c>
      <c r="F46" s="16">
        <f>VLOOKUP($D46,Résultats!$B$2:$AX$476,F$5,FALSE)</f>
        <v>27.411033509999999</v>
      </c>
      <c r="G46" s="22">
        <f>VLOOKUP($D46,Résultats!$B$2:$AX$476,G$5,FALSE)</f>
        <v>26.781588580000001</v>
      </c>
      <c r="H46" s="16">
        <f>VLOOKUP($D46,Résultats!$B$2:$AX$476,H$5,FALSE)</f>
        <v>26.078133300000001</v>
      </c>
      <c r="I46" s="86">
        <f>VLOOKUP($D46,Résultats!$B$2:$AX$476,I$5,FALSE)</f>
        <v>25.553763230000001</v>
      </c>
      <c r="J46" s="22">
        <f>VLOOKUP($D46,Résultats!$B$2:$AX$476,J$5,FALSE)</f>
        <v>24.336834629999998</v>
      </c>
      <c r="K46" s="16">
        <f>VLOOKUP($D46,Résultats!$B$2:$AX$476,K$5,FALSE)</f>
        <v>23.267035440000001</v>
      </c>
      <c r="L46" s="16">
        <f>VLOOKUP($D46,Résultats!$B$2:$AX$476,L$5,FALSE)</f>
        <v>22.250305579999999</v>
      </c>
      <c r="M46" s="16">
        <f>VLOOKUP($D46,Résultats!$B$2:$AX$476,M$5,FALSE)</f>
        <v>22.180184369999999</v>
      </c>
      <c r="N46" s="86">
        <f>VLOOKUP($D46,Résultats!$B$2:$AX$476,N$5,FALSE)</f>
        <v>21.9810546</v>
      </c>
      <c r="O46" s="22">
        <f>VLOOKUP($D46,Résultats!$B$2:$AX$476,O$5,FALSE)</f>
        <v>21.77560519</v>
      </c>
      <c r="P46" s="16">
        <f>VLOOKUP($D46,Résultats!$B$2:$AX$476,P$5,FALSE)</f>
        <v>21.61647468</v>
      </c>
      <c r="Q46" s="16">
        <f>VLOOKUP($D46,Résultats!$B$2:$AX$476,Q$5,FALSE)</f>
        <v>21.369879789999999</v>
      </c>
      <c r="R46" s="16">
        <f>VLOOKUP($D46,Résultats!$B$2:$AX$476,R$5,FALSE)</f>
        <v>21.086694420000001</v>
      </c>
      <c r="S46" s="86">
        <f>VLOOKUP($D46,Résultats!$B$2:$AX$476,S$5,FALSE)</f>
        <v>20.79096762</v>
      </c>
      <c r="T46" s="95">
        <f>VLOOKUP($D46,Résultats!$B$2:$AX$476,T$5,FALSE)</f>
        <v>19.253054540000001</v>
      </c>
      <c r="U46" s="95">
        <f>VLOOKUP($D46,Résultats!$B$2:$AX$476,U$5,FALSE)</f>
        <v>17.34623796</v>
      </c>
      <c r="V46" s="95">
        <f>VLOOKUP($D46,Résultats!$B$2:$AX$476,V$5,FALSE)</f>
        <v>15.047030599999999</v>
      </c>
      <c r="W46" s="95">
        <f>VLOOKUP($D46,Résultats!$B$2:$AX$476,W$5,FALSE)</f>
        <v>12.81885694</v>
      </c>
      <c r="X46" s="45">
        <f>W46-'[1]Cibles THREEME'!$AJ17</f>
        <v>11.421797129378223</v>
      </c>
      <c r="Z46" s="196" t="s">
        <v>460</v>
      </c>
      <c r="AA46" s="16">
        <f>I46+I48</f>
        <v>26.328999264</v>
      </c>
      <c r="AB46" s="16">
        <f>S46+S48</f>
        <v>22.737212897999999</v>
      </c>
      <c r="AC46" s="86">
        <f>W46+W48</f>
        <v>15.881494797</v>
      </c>
    </row>
    <row r="47" spans="1:39" x14ac:dyDescent="0.25">
      <c r="A47" s="3"/>
      <c r="B47" s="324"/>
      <c r="C47" s="3" t="s">
        <v>14</v>
      </c>
      <c r="D47" s="3" t="s">
        <v>387</v>
      </c>
      <c r="E47" s="16">
        <f>VLOOKUP($D47,Résultats!$B$2:$AX$476,E$5,FALSE)</f>
        <v>1.5809774190000001</v>
      </c>
      <c r="F47" s="16">
        <f>VLOOKUP($D47,Résultats!$B$2:$AX$476,F$5,FALSE)</f>
        <v>7.1876049460000004</v>
      </c>
      <c r="G47" s="22">
        <f>VLOOKUP($D47,Résultats!$B$2:$AX$476,G$5,FALSE)</f>
        <v>7.3596288850000002</v>
      </c>
      <c r="H47" s="16">
        <f>VLOOKUP($D47,Résultats!$B$2:$AX$476,H$5,FALSE)</f>
        <v>7.2772520839999997</v>
      </c>
      <c r="I47" s="86">
        <f>VLOOKUP($D47,Résultats!$B$2:$AX$476,I$5,FALSE)</f>
        <v>7.2403882790000003</v>
      </c>
      <c r="J47" s="22">
        <f>VLOOKUP($D47,Résultats!$B$2:$AX$476,J$5,FALSE)</f>
        <v>7.3763362560000001</v>
      </c>
      <c r="K47" s="16">
        <f>VLOOKUP($D47,Résultats!$B$2:$AX$476,K$5,FALSE)</f>
        <v>7.5646540619999998</v>
      </c>
      <c r="L47" s="16">
        <f>VLOOKUP($D47,Résultats!$B$2:$AX$476,L$5,FALSE)</f>
        <v>7.7841789429999997</v>
      </c>
      <c r="M47" s="16">
        <f>VLOOKUP($D47,Résultats!$B$2:$AX$476,M$5,FALSE)</f>
        <v>8.2590686739999999</v>
      </c>
      <c r="N47" s="86">
        <f>VLOOKUP($D47,Résultats!$B$2:$AX$476,N$5,FALSE)</f>
        <v>8.6915774559999903</v>
      </c>
      <c r="O47" s="22">
        <f>VLOOKUP($D47,Résultats!$B$2:$AX$476,O$5,FALSE)</f>
        <v>9.1272857030000001</v>
      </c>
      <c r="P47" s="16">
        <f>VLOOKUP($D47,Résultats!$B$2:$AX$476,P$5,FALSE)</f>
        <v>9.5895479659999996</v>
      </c>
      <c r="Q47" s="16">
        <f>VLOOKUP($D47,Résultats!$B$2:$AX$476,Q$5,FALSE)</f>
        <v>10.018165460000001</v>
      </c>
      <c r="R47" s="16">
        <f>VLOOKUP($D47,Résultats!$B$2:$AX$476,R$5,FALSE)</f>
        <v>10.433965199999999</v>
      </c>
      <c r="S47" s="86">
        <f>VLOOKUP($D47,Résultats!$B$2:$AX$476,S$5,FALSE)</f>
        <v>10.84769885</v>
      </c>
      <c r="T47" s="95">
        <f>VLOOKUP($D47,Résultats!$B$2:$AX$476,T$5,FALSE)</f>
        <v>12.943737629999999</v>
      </c>
      <c r="U47" s="95">
        <f>VLOOKUP($D47,Résultats!$B$2:$AX$476,U$5,FALSE)</f>
        <v>14.875481430000001</v>
      </c>
      <c r="V47" s="95">
        <f>VLOOKUP($D47,Résultats!$B$2:$AX$476,V$5,FALSE)</f>
        <v>16.48390504</v>
      </c>
      <c r="W47" s="95">
        <f>VLOOKUP($D47,Résultats!$B$2:$AX$476,W$5,FALSE)</f>
        <v>18.153332020000001</v>
      </c>
      <c r="X47" s="45">
        <f>W47-'[1]Cibles THREEME'!$AJ18</f>
        <v>7.7206792184691224</v>
      </c>
      <c r="Z47" s="196" t="s">
        <v>461</v>
      </c>
      <c r="AA47" s="16">
        <f>I33</f>
        <v>62.280174747000004</v>
      </c>
      <c r="AB47" s="16">
        <f>S33</f>
        <v>58.134931923000003</v>
      </c>
      <c r="AC47" s="86">
        <f>W33</f>
        <v>51.453215346999997</v>
      </c>
    </row>
    <row r="48" spans="1:39" x14ac:dyDescent="0.25">
      <c r="A48" s="3"/>
      <c r="B48" s="324"/>
      <c r="C48" s="3" t="s">
        <v>15</v>
      </c>
      <c r="D48" s="3" t="s">
        <v>388</v>
      </c>
      <c r="E48" s="16">
        <f>VLOOKUP($D48,Résultats!$B$2:$AX$476,E$5,FALSE)</f>
        <v>0.4774907525</v>
      </c>
      <c r="F48" s="16">
        <f>VLOOKUP($D48,Résultats!$B$2:$AX$476,F$5,FALSE)</f>
        <v>0.50978684910000005</v>
      </c>
      <c r="G48" s="22">
        <f>VLOOKUP($D48,Résultats!$B$2:$AX$476,G$5,FALSE)</f>
        <v>0.68541131030000002</v>
      </c>
      <c r="H48" s="16">
        <f>VLOOKUP($D48,Résultats!$B$2:$AX$476,H$5,FALSE)</f>
        <v>0.72906017199999995</v>
      </c>
      <c r="I48" s="86">
        <f>VLOOKUP($D48,Résultats!$B$2:$AX$476,I$5,FALSE)</f>
        <v>0.77523603399999996</v>
      </c>
      <c r="J48" s="22">
        <f>VLOOKUP($D48,Résultats!$B$2:$AX$476,J$5,FALSE)</f>
        <v>0.99380941550000002</v>
      </c>
      <c r="K48" s="16">
        <f>VLOOKUP($D48,Résultats!$B$2:$AX$476,K$5,FALSE)</f>
        <v>1.2225233390000001</v>
      </c>
      <c r="L48" s="16">
        <f>VLOOKUP($D48,Résultats!$B$2:$AX$476,L$5,FALSE)</f>
        <v>1.461440909</v>
      </c>
      <c r="M48" s="16">
        <f>VLOOKUP($D48,Résultats!$B$2:$AX$476,M$5,FALSE)</f>
        <v>1.5379731720000001</v>
      </c>
      <c r="N48" s="86">
        <f>VLOOKUP($D48,Résultats!$B$2:$AX$476,N$5,FALSE)</f>
        <v>1.6064790449999999</v>
      </c>
      <c r="O48" s="22">
        <f>VLOOKUP($D48,Résultats!$B$2:$AX$476,O$5,FALSE)</f>
        <v>1.6754488219999999</v>
      </c>
      <c r="P48" s="16">
        <f>VLOOKUP($D48,Résultats!$B$2:$AX$476,P$5,FALSE)</f>
        <v>1.749142336</v>
      </c>
      <c r="Q48" s="16">
        <f>VLOOKUP($D48,Résultats!$B$2:$AX$476,Q$5,FALSE)</f>
        <v>1.8165962099999999</v>
      </c>
      <c r="R48" s="16">
        <f>VLOOKUP($D48,Résultats!$B$2:$AX$476,R$5,FALSE)</f>
        <v>1.881644037</v>
      </c>
      <c r="S48" s="86">
        <f>VLOOKUP($D48,Résultats!$B$2:$AX$476,S$5,FALSE)</f>
        <v>1.9462452779999999</v>
      </c>
      <c r="T48" s="95">
        <f>VLOOKUP($D48,Résultats!$B$2:$AX$476,T$5,FALSE)</f>
        <v>2.2731739069999999</v>
      </c>
      <c r="U48" s="95">
        <f>VLOOKUP($D48,Résultats!$B$2:$AX$476,U$5,FALSE)</f>
        <v>2.5701477640000001</v>
      </c>
      <c r="V48" s="95">
        <f>VLOOKUP($D48,Résultats!$B$2:$AX$476,V$5,FALSE)</f>
        <v>2.8111232589999999</v>
      </c>
      <c r="W48" s="95">
        <f>VLOOKUP($D48,Résultats!$B$2:$AX$476,W$5,FALSE)</f>
        <v>3.0626378569999999</v>
      </c>
      <c r="X48" s="45">
        <f>W48-'[1]Cibles THREEME'!$AJ19</f>
        <v>-9.238447182507219</v>
      </c>
      <c r="Z48" s="197" t="s">
        <v>42</v>
      </c>
      <c r="AA48" s="17">
        <f>I52</f>
        <v>2.1012811170000001</v>
      </c>
      <c r="AB48" s="17">
        <f>S52</f>
        <v>1.933405297</v>
      </c>
      <c r="AC48" s="89">
        <f>W52</f>
        <v>2.169658036</v>
      </c>
    </row>
    <row r="49" spans="1:29" x14ac:dyDescent="0.25">
      <c r="A49" s="3"/>
      <c r="B49" s="324"/>
      <c r="C49" s="3" t="s">
        <v>16</v>
      </c>
      <c r="D49" s="3" t="s">
        <v>389</v>
      </c>
      <c r="E49" s="16">
        <f>VLOOKUP($D49,Résultats!$B$2:$AX$476,E$5,FALSE)</f>
        <v>0.58496164500000003</v>
      </c>
      <c r="F49" s="16">
        <f>VLOOKUP($D49,Résultats!$B$2:$AX$476,F$5,FALSE)</f>
        <v>0.50978684910000005</v>
      </c>
      <c r="G49" s="22">
        <f>VLOOKUP($D49,Résultats!$B$2:$AX$476,G$5,FALSE)</f>
        <v>1.0976961629999999</v>
      </c>
      <c r="H49" s="16">
        <f>VLOOKUP($D49,Résultats!$B$2:$AX$476,H$5,FALSE)</f>
        <v>1.2662021910000001</v>
      </c>
      <c r="I49" s="86">
        <f>VLOOKUP($D49,Résultats!$B$2:$AX$476,I$5,FALSE)</f>
        <v>1.4354666190000001</v>
      </c>
      <c r="J49" s="22">
        <f>VLOOKUP($D49,Résultats!$B$2:$AX$476,J$5,FALSE)</f>
        <v>1.482568434</v>
      </c>
      <c r="K49" s="16">
        <f>VLOOKUP($D49,Résultats!$B$2:$AX$476,K$5,FALSE)</f>
        <v>1.5405007079999999</v>
      </c>
      <c r="L49" s="16">
        <f>VLOOKUP($D49,Résultats!$B$2:$AX$476,L$5,FALSE)</f>
        <v>1.605297768</v>
      </c>
      <c r="M49" s="16">
        <f>VLOOKUP($D49,Résultats!$B$2:$AX$476,M$5,FALSE)</f>
        <v>1.649092571</v>
      </c>
      <c r="N49" s="86">
        <f>VLOOKUP($D49,Résultats!$B$2:$AX$476,N$5,FALSE)</f>
        <v>1.6838489839999999</v>
      </c>
      <c r="O49" s="22">
        <f>VLOOKUP($D49,Résultats!$B$2:$AX$476,O$5,FALSE)</f>
        <v>1.718678701</v>
      </c>
      <c r="P49" s="16">
        <f>VLOOKUP($D49,Résultats!$B$2:$AX$476,P$5,FALSE)</f>
        <v>1.757862598</v>
      </c>
      <c r="Q49" s="16">
        <f>VLOOKUP($D49,Résultats!$B$2:$AX$476,Q$5,FALSE)</f>
        <v>1.7904382489999999</v>
      </c>
      <c r="R49" s="16">
        <f>VLOOKUP($D49,Résultats!$B$2:$AX$476,R$5,FALSE)</f>
        <v>1.8203723620000001</v>
      </c>
      <c r="S49" s="86">
        <f>VLOOKUP($D49,Résultats!$B$2:$AX$476,S$5,FALSE)</f>
        <v>1.8496287360000001</v>
      </c>
      <c r="T49" s="95">
        <f>VLOOKUP($D49,Résultats!$B$2:$AX$476,T$5,FALSE)</f>
        <v>1.996339855</v>
      </c>
      <c r="U49" s="95">
        <f>VLOOKUP($D49,Résultats!$B$2:$AX$476,U$5,FALSE)</f>
        <v>2.1129888330000002</v>
      </c>
      <c r="V49" s="95">
        <f>VLOOKUP($D49,Résultats!$B$2:$AX$476,V$5,FALSE)</f>
        <v>2.183128924</v>
      </c>
      <c r="W49" s="95">
        <f>VLOOKUP($D49,Résultats!$B$2:$AX$476,W$5,FALSE)</f>
        <v>2.2619303720000001</v>
      </c>
      <c r="X49" s="45">
        <f>W49-'[1]Cibles THREEME'!$AJ20</f>
        <v>1.562800636885886</v>
      </c>
      <c r="Z49" s="189" t="s">
        <v>485</v>
      </c>
      <c r="AA49" s="189">
        <f>SUM(AA44:AA48)</f>
        <v>139.0369886448</v>
      </c>
      <c r="AB49" s="189">
        <f t="shared" ref="AB49:AC49" si="12">SUM(AB44:AB48)</f>
        <v>142.56867850290001</v>
      </c>
      <c r="AC49" s="189">
        <f t="shared" si="12"/>
        <v>145.26079218749999</v>
      </c>
    </row>
    <row r="50" spans="1:29" x14ac:dyDescent="0.25">
      <c r="A50" s="3"/>
      <c r="B50" s="324"/>
      <c r="C50" s="3" t="s">
        <v>17</v>
      </c>
      <c r="D50" s="3" t="s">
        <v>390</v>
      </c>
      <c r="E50" s="16">
        <f>VLOOKUP($D50,Résultats!$B$2:$AX$476,E$5,FALSE)</f>
        <v>0.4774907525</v>
      </c>
      <c r="F50" s="16">
        <f>VLOOKUP($D50,Résultats!$B$2:$AX$476,F$5,FALSE)</f>
        <v>0.50978684910000005</v>
      </c>
      <c r="G50" s="22">
        <f>VLOOKUP($D50,Résultats!$B$2:$AX$476,G$5,FALSE)</f>
        <v>0.60121007130000004</v>
      </c>
      <c r="H50" s="16">
        <f>VLOOKUP($D50,Résultats!$B$2:$AX$476,H$5,FALSE)</f>
        <v>0.61935926190000001</v>
      </c>
      <c r="I50" s="86">
        <f>VLOOKUP($D50,Résultats!$B$2:$AX$476,I$5,FALSE)</f>
        <v>0.64039665540000001</v>
      </c>
      <c r="J50" s="22">
        <f>VLOOKUP($D50,Résultats!$B$2:$AX$476,J$5,FALSE)</f>
        <v>0.70223998460000003</v>
      </c>
      <c r="K50" s="16">
        <f>VLOOKUP($D50,Résultats!$B$2:$AX$476,K$5,FALSE)</f>
        <v>0.76982228669999997</v>
      </c>
      <c r="L50" s="16">
        <f>VLOOKUP($D50,Résultats!$B$2:$AX$476,L$5,FALSE)</f>
        <v>0.8418404867</v>
      </c>
      <c r="M50" s="16">
        <f>VLOOKUP($D50,Résultats!$B$2:$AX$476,M$5,FALSE)</f>
        <v>0.8990764322</v>
      </c>
      <c r="N50" s="86">
        <f>VLOOKUP($D50,Résultats!$B$2:$AX$476,N$5,FALSE)</f>
        <v>0.9517613694</v>
      </c>
      <c r="O50" s="22">
        <f>VLOOKUP($D50,Résultats!$B$2:$AX$476,O$5,FALSE)</f>
        <v>1.0048559960000001</v>
      </c>
      <c r="P50" s="16">
        <f>VLOOKUP($D50,Résultats!$B$2:$AX$476,P$5,FALSE)</f>
        <v>1.0609441820000001</v>
      </c>
      <c r="Q50" s="16">
        <f>VLOOKUP($D50,Résultats!$B$2:$AX$476,Q$5,FALSE)</f>
        <v>1.1133579199999999</v>
      </c>
      <c r="R50" s="16">
        <f>VLOOKUP($D50,Résultats!$B$2:$AX$476,R$5,FALSE)</f>
        <v>1.1643852509999999</v>
      </c>
      <c r="S50" s="86">
        <f>VLOOKUP($D50,Résultats!$B$2:$AX$476,S$5,FALSE)</f>
        <v>1.215216463</v>
      </c>
      <c r="T50" s="95">
        <f>VLOOKUP($D50,Résultats!$B$2:$AX$476,T$5,FALSE)</f>
        <v>1.4728987760000001</v>
      </c>
      <c r="U50" s="95">
        <f>VLOOKUP($D50,Résultats!$B$2:$AX$476,U$5,FALSE)</f>
        <v>1.712398284</v>
      </c>
      <c r="V50" s="95">
        <f>VLOOKUP($D50,Résultats!$B$2:$AX$476,V$5,FALSE)</f>
        <v>1.91474191</v>
      </c>
      <c r="W50" s="95">
        <f>VLOOKUP($D50,Résultats!$B$2:$AX$476,W$5,FALSE)</f>
        <v>2.1241083889999999</v>
      </c>
      <c r="X50" s="45">
        <f>W50-'[1]Cibles THREEME'!$AJ21</f>
        <v>1.1811445189759495</v>
      </c>
    </row>
    <row r="51" spans="1:29" x14ac:dyDescent="0.25">
      <c r="A51" s="3"/>
      <c r="B51" s="325"/>
      <c r="C51" s="7" t="s">
        <v>12</v>
      </c>
      <c r="D51" s="3" t="s">
        <v>391</v>
      </c>
      <c r="E51" s="17">
        <f>VLOOKUP($D51,Résultats!$B$2:$AX$476,E$5,FALSE)</f>
        <v>0.4774907525</v>
      </c>
      <c r="F51" s="17">
        <f>VLOOKUP($D51,Résultats!$B$2:$AX$476,F$5,FALSE)</f>
        <v>3.9076614360000002</v>
      </c>
      <c r="G51" s="88">
        <f>VLOOKUP($D51,Résultats!$B$2:$AX$476,G$5,FALSE)</f>
        <v>3.1055586449999999</v>
      </c>
      <c r="H51" s="17">
        <f>VLOOKUP($D51,Résultats!$B$2:$AX$476,H$5,FALSE)</f>
        <v>2.7895398139999998</v>
      </c>
      <c r="I51" s="89">
        <f>VLOOKUP($D51,Résultats!$B$2:$AX$476,I$5,FALSE)</f>
        <v>2.5021068999999998</v>
      </c>
      <c r="J51" s="88">
        <f>VLOOKUP($D51,Résultats!$B$2:$AX$476,J$5,FALSE)</f>
        <v>2.97045855</v>
      </c>
      <c r="K51" s="17">
        <f>VLOOKUP($D51,Résultats!$B$2:$AX$476,K$5,FALSE)</f>
        <v>3.4662708109999998</v>
      </c>
      <c r="L51" s="17">
        <f>VLOOKUP($D51,Résultats!$B$2:$AX$476,L$5,FALSE)</f>
        <v>3.9870406319999998</v>
      </c>
      <c r="M51" s="17">
        <f>VLOOKUP($D51,Résultats!$B$2:$AX$476,M$5,FALSE)</f>
        <v>4.0631441270000002</v>
      </c>
      <c r="N51" s="89">
        <f>VLOOKUP($D51,Résultats!$B$2:$AX$476,N$5,FALSE)</f>
        <v>4.1166191569999997</v>
      </c>
      <c r="O51" s="88">
        <f>VLOOKUP($D51,Résultats!$B$2:$AX$476,O$5,FALSE)</f>
        <v>4.1699223390000002</v>
      </c>
      <c r="P51" s="17">
        <f>VLOOKUP($D51,Résultats!$B$2:$AX$476,P$5,FALSE)</f>
        <v>4.2333629049999999</v>
      </c>
      <c r="Q51" s="17">
        <f>VLOOKUP($D51,Résultats!$B$2:$AX$476,Q$5,FALSE)</f>
        <v>4.2805899529999998</v>
      </c>
      <c r="R51" s="17">
        <f>VLOOKUP($D51,Résultats!$B$2:$AX$476,R$5,FALSE)</f>
        <v>4.3212573689999996</v>
      </c>
      <c r="S51" s="89">
        <f>VLOOKUP($D51,Résultats!$B$2:$AX$476,S$5,FALSE)</f>
        <v>4.3600896440000003</v>
      </c>
      <c r="T51" s="97">
        <f>VLOOKUP($D51,Résultats!$B$2:$AX$476,T$5,FALSE)</f>
        <v>4.5521701830000003</v>
      </c>
      <c r="U51" s="97">
        <f>VLOOKUP($D51,Résultats!$B$2:$AX$476,U$5,FALSE)</f>
        <v>4.6718909479999997</v>
      </c>
      <c r="V51" s="97">
        <f>VLOOKUP($D51,Résultats!$B$2:$AX$476,V$5,FALSE)</f>
        <v>4.6882683580000002</v>
      </c>
      <c r="W51" s="97">
        <f>VLOOKUP($D51,Résultats!$B$2:$AX$476,W$5,FALSE)</f>
        <v>4.7237929340000004</v>
      </c>
      <c r="X51" s="45">
        <f>W51-'[1]Cibles THREEME'!$AJ22</f>
        <v>-2.0375274575324083</v>
      </c>
    </row>
    <row r="52" spans="1:29" x14ac:dyDescent="0.25">
      <c r="A52" s="3"/>
      <c r="B52" s="170" t="s">
        <v>8</v>
      </c>
      <c r="C52" s="2"/>
      <c r="D52" s="14" t="s">
        <v>392</v>
      </c>
      <c r="E52" s="6">
        <f>VLOOKUP($D52,Résultats!$B$2:$AX$476,E$5,FALSE)</f>
        <v>5.7508898210000003</v>
      </c>
      <c r="F52" s="6">
        <f>VLOOKUP($D52,Résultats!$B$2:$AX$476,F$5,FALSE)</f>
        <v>4.3448537590000003</v>
      </c>
      <c r="G52" s="84">
        <f>VLOOKUP($D52,Résultats!$B$2:$AX$476,G$5,FALSE)</f>
        <v>2.5374132309999999</v>
      </c>
      <c r="H52" s="6">
        <f>VLOOKUP($D52,Résultats!$B$2:$AX$476,H$5,FALSE)</f>
        <v>2.3104779889999998</v>
      </c>
      <c r="I52" s="85">
        <f>VLOOKUP($D52,Résultats!$B$2:$AX$476,I$5,FALSE)</f>
        <v>2.1012811170000001</v>
      </c>
      <c r="J52" s="84">
        <f>VLOOKUP($D52,Résultats!$B$2:$AX$476,J$5,FALSE)</f>
        <v>2.0606107119999999</v>
      </c>
      <c r="K52" s="6">
        <f>VLOOKUP($D52,Résultats!$B$2:$AX$476,K$5,FALSE)</f>
        <v>2.0365315609999999</v>
      </c>
      <c r="L52" s="6">
        <f>VLOOKUP($D52,Résultats!$B$2:$AX$476,L$5,FALSE)</f>
        <v>2.0297752440000001</v>
      </c>
      <c r="M52" s="6">
        <f>VLOOKUP($D52,Résultats!$B$2:$AX$476,M$5,FALSE)</f>
        <v>1.980369874</v>
      </c>
      <c r="N52" s="85">
        <f>VLOOKUP($D52,Résultats!$B$2:$AX$476,N$5,FALSE)</f>
        <v>1.91681988</v>
      </c>
      <c r="O52" s="84">
        <f>VLOOKUP($D52,Résultats!$B$2:$AX$476,O$5,FALSE)</f>
        <v>1.9088417010000001</v>
      </c>
      <c r="P52" s="6">
        <f>VLOOKUP($D52,Résultats!$B$2:$AX$476,P$5,FALSE)</f>
        <v>1.9151854740000001</v>
      </c>
      <c r="Q52" s="6">
        <f>VLOOKUP($D52,Résultats!$B$2:$AX$476,Q$5,FALSE)</f>
        <v>1.9227927469999999</v>
      </c>
      <c r="R52" s="6">
        <f>VLOOKUP($D52,Résultats!$B$2:$AX$476,R$5,FALSE)</f>
        <v>1.929120553</v>
      </c>
      <c r="S52" s="85">
        <f>VLOOKUP($D52,Résultats!$B$2:$AX$476,S$5,FALSE)</f>
        <v>1.933405297</v>
      </c>
      <c r="T52" s="94">
        <f>VLOOKUP($D52,Résultats!$B$2:$AX$476,T$5,FALSE)</f>
        <v>2.0494442409999998</v>
      </c>
      <c r="U52" s="94">
        <f>VLOOKUP($D52,Résultats!$B$2:$AX$476,U$5,FALSE)</f>
        <v>2.1777955659999999</v>
      </c>
      <c r="V52" s="94">
        <f>VLOOKUP($D52,Résultats!$B$2:$AX$476,V$5,FALSE)</f>
        <v>2.1476385489999998</v>
      </c>
      <c r="W52" s="94">
        <f>VLOOKUP($D52,Résultats!$B$2:$AX$476,W$5,FALSE)</f>
        <v>2.169658036</v>
      </c>
      <c r="X52" s="3"/>
    </row>
    <row r="53" spans="1:29" x14ac:dyDescent="0.25">
      <c r="A53" s="3"/>
      <c r="B53" s="169" t="s">
        <v>1</v>
      </c>
      <c r="C53" s="2"/>
      <c r="D53" s="2" t="s">
        <v>393</v>
      </c>
      <c r="E53" s="9">
        <f>E52+E45+E36+E33</f>
        <v>160.9888244956</v>
      </c>
      <c r="F53" s="9">
        <f>F52+F45+F36+F33</f>
        <v>153.55867093680001</v>
      </c>
      <c r="G53" s="23">
        <f t="shared" ref="G53:R53" si="13">G52+G45+G36+G33</f>
        <v>144.99491890420001</v>
      </c>
      <c r="H53" s="9">
        <f t="shared" si="13"/>
        <v>141.87297986599998</v>
      </c>
      <c r="I53" s="90">
        <f t="shared" si="13"/>
        <v>139.03698864480003</v>
      </c>
      <c r="J53" s="23">
        <f t="shared" si="13"/>
        <v>138.91178333849999</v>
      </c>
      <c r="K53" s="9">
        <f t="shared" si="13"/>
        <v>138.98795531739998</v>
      </c>
      <c r="L53" s="9">
        <f t="shared" si="13"/>
        <v>139.4103054533</v>
      </c>
      <c r="M53" s="9">
        <f t="shared" si="13"/>
        <v>139.88076051169998</v>
      </c>
      <c r="N53" s="90">
        <f t="shared" si="13"/>
        <v>139.86244586179998</v>
      </c>
      <c r="O53" s="23">
        <f t="shared" si="13"/>
        <v>140.3799583508</v>
      </c>
      <c r="P53" s="9">
        <f t="shared" si="13"/>
        <v>141.1287553935</v>
      </c>
      <c r="Q53" s="9">
        <f t="shared" si="13"/>
        <v>141.70805711830002</v>
      </c>
      <c r="R53" s="9">
        <f t="shared" si="13"/>
        <v>142.18506594299998</v>
      </c>
      <c r="S53" s="90">
        <f>S52+S45+S36+S33</f>
        <v>142.56867850290001</v>
      </c>
      <c r="T53" s="98">
        <f>T52+T45+T36+T33</f>
        <v>144.62141502750001</v>
      </c>
      <c r="U53" s="98">
        <f>U52+U45+U36+U33</f>
        <v>146.15838781970001</v>
      </c>
      <c r="V53" s="98">
        <f>V52+V45+V36+V33</f>
        <v>145.46895096920002</v>
      </c>
      <c r="W53" s="98">
        <f>W52+W45+W36+W33</f>
        <v>145.26079218750002</v>
      </c>
      <c r="X53" s="3"/>
    </row>
    <row r="54" spans="1:29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9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9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9" s="3" customFormat="1" x14ac:dyDescent="0.25"/>
    <row r="58" spans="1:29" s="3" customFormat="1" x14ac:dyDescent="0.25"/>
    <row r="59" spans="1:29" s="3" customFormat="1" x14ac:dyDescent="0.25"/>
    <row r="60" spans="1:29" s="3" customFormat="1" x14ac:dyDescent="0.25"/>
    <row r="61" spans="1:29" s="3" customFormat="1" x14ac:dyDescent="0.25"/>
    <row r="62" spans="1:29" s="3" customFormat="1" x14ac:dyDescent="0.25"/>
    <row r="63" spans="1:29" s="3" customFormat="1" x14ac:dyDescent="0.25"/>
    <row r="64" spans="1:29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</sheetData>
  <mergeCells count="6">
    <mergeCell ref="B45:B51"/>
    <mergeCell ref="B7:B9"/>
    <mergeCell ref="B10:B18"/>
    <mergeCell ref="B19:B25"/>
    <mergeCell ref="B33:B35"/>
    <mergeCell ref="B36:B44"/>
  </mergeCells>
  <pageMargins left="0.7" right="0.7" top="0.75" bottom="0.75" header="0.3" footer="0.3"/>
  <ignoredErrors>
    <ignoredError sqref="F10:W10 E19:W19 E10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rgb="FF0070C0"/>
  </sheetPr>
  <dimension ref="A1:AE860"/>
  <sheetViews>
    <sheetView topLeftCell="B61" zoomScale="70" zoomScaleNormal="70" workbookViewId="0">
      <selection activeCell="M92" sqref="M92"/>
    </sheetView>
  </sheetViews>
  <sheetFormatPr baseColWidth="10" defaultRowHeight="15" x14ac:dyDescent="0.25"/>
  <cols>
    <col min="1" max="2" width="11.42578125" style="3"/>
    <col min="3" max="3" width="30.85546875" customWidth="1"/>
    <col min="4" max="4" width="25.28515625" hidden="1" customWidth="1"/>
    <col min="5" max="5" width="24" hidden="1" customWidth="1"/>
    <col min="6" max="6" width="25.42578125" hidden="1" customWidth="1"/>
    <col min="7" max="7" width="24.5703125" hidden="1" customWidth="1"/>
    <col min="8" max="8" width="12.28515625" customWidth="1"/>
    <col min="9" max="9" width="14" customWidth="1"/>
    <col min="11" max="12" width="11.42578125" customWidth="1"/>
    <col min="14" max="14" width="24.85546875" style="3" customWidth="1"/>
    <col min="20" max="20" width="11.42578125" style="3"/>
    <col min="21" max="21" width="37.28515625" customWidth="1"/>
    <col min="22" max="22" width="25.28515625" hidden="1" customWidth="1"/>
    <col min="23" max="23" width="24" hidden="1" customWidth="1"/>
    <col min="24" max="24" width="25.42578125" hidden="1" customWidth="1"/>
    <col min="25" max="25" width="24.5703125" hidden="1" customWidth="1"/>
    <col min="26" max="26" width="15.7109375" customWidth="1"/>
    <col min="27" max="27" width="14" customWidth="1"/>
    <col min="31" max="31" width="11.42578125" style="3"/>
  </cols>
  <sheetData>
    <row r="1" spans="1:30" ht="28.5" x14ac:dyDescent="0.45">
      <c r="A1" s="171" t="s">
        <v>98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3"/>
      <c r="P1" s="3"/>
      <c r="Q1" s="3"/>
      <c r="R1" s="3"/>
      <c r="S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B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O2" s="3"/>
      <c r="P2" s="3"/>
      <c r="Q2" s="3"/>
      <c r="R2" s="3"/>
      <c r="S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3.25" x14ac:dyDescent="0.35">
      <c r="A3" s="1" t="s">
        <v>82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/>
      <c r="P3" s="3"/>
      <c r="Q3" s="3"/>
      <c r="R3" s="41"/>
      <c r="S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3.25" x14ac:dyDescent="0.35">
      <c r="A4" s="161" t="str">
        <f>Résultats!B1</f>
        <v>SNBC3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R4" s="41"/>
      <c r="S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3.25" x14ac:dyDescent="0.35">
      <c r="A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R5" s="41"/>
      <c r="S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8.75" x14ac:dyDescent="0.3">
      <c r="B6" s="42"/>
      <c r="C6" s="42"/>
      <c r="D6" s="42"/>
      <c r="E6" s="42"/>
      <c r="F6" s="42"/>
      <c r="G6" s="42"/>
      <c r="H6" s="42"/>
      <c r="I6" s="42"/>
      <c r="J6" s="3"/>
      <c r="K6" s="3"/>
      <c r="M6" s="3"/>
      <c r="O6" s="3"/>
      <c r="P6" s="3"/>
      <c r="Q6" s="3"/>
      <c r="R6" s="41"/>
      <c r="S6" s="41"/>
      <c r="T6" s="42"/>
      <c r="U6" s="42"/>
      <c r="V6" s="42"/>
      <c r="W6" s="42"/>
      <c r="X6" s="42"/>
      <c r="Y6" s="42"/>
      <c r="Z6" s="42"/>
      <c r="AA6" s="42"/>
      <c r="AB6" s="3"/>
      <c r="AC6" s="3"/>
    </row>
    <row r="7" spans="1:30" ht="18.75" x14ac:dyDescent="0.3">
      <c r="C7" s="41" t="s">
        <v>83</v>
      </c>
      <c r="I7" s="3"/>
      <c r="J7" s="3"/>
      <c r="K7" s="3"/>
      <c r="L7" s="3"/>
      <c r="M7" s="3"/>
      <c r="N7" s="41" t="s">
        <v>84</v>
      </c>
      <c r="O7" s="3"/>
      <c r="P7" s="3"/>
      <c r="Q7" s="3"/>
      <c r="R7" s="3"/>
      <c r="S7" s="3"/>
      <c r="U7" s="41" t="s">
        <v>83</v>
      </c>
      <c r="AA7" s="3"/>
      <c r="AB7" s="3"/>
      <c r="AC7" s="3"/>
      <c r="AD7" s="3"/>
    </row>
    <row r="8" spans="1:30" ht="23.25" x14ac:dyDescent="0.35">
      <c r="B8" s="46"/>
      <c r="C8" s="42" t="s">
        <v>50</v>
      </c>
      <c r="D8" s="3"/>
      <c r="E8" s="42"/>
      <c r="F8" s="42"/>
      <c r="G8" s="42"/>
      <c r="H8" s="42"/>
      <c r="I8" s="42"/>
      <c r="J8" s="42"/>
      <c r="K8" s="42"/>
      <c r="L8" s="3"/>
      <c r="M8" s="3"/>
      <c r="N8" t="s">
        <v>85</v>
      </c>
      <c r="U8" s="42" t="s">
        <v>50</v>
      </c>
      <c r="V8" s="3"/>
      <c r="W8" s="42"/>
      <c r="X8" s="42"/>
      <c r="Y8" s="42"/>
      <c r="Z8" s="42"/>
      <c r="AA8" s="42"/>
      <c r="AB8" s="42"/>
      <c r="AC8" s="42"/>
      <c r="AD8" s="3"/>
    </row>
    <row r="9" spans="1:30" x14ac:dyDescent="0.25">
      <c r="B9" s="42"/>
      <c r="C9" s="3"/>
      <c r="D9" s="3"/>
      <c r="E9" s="3"/>
      <c r="F9" s="3"/>
      <c r="G9" s="3"/>
      <c r="H9" s="42"/>
      <c r="I9" s="42"/>
      <c r="J9" s="42"/>
      <c r="K9" s="42"/>
      <c r="L9" s="3"/>
      <c r="M9" s="3"/>
      <c r="O9" s="3"/>
      <c r="P9" s="3"/>
      <c r="Q9" s="3"/>
      <c r="R9" s="3"/>
      <c r="S9" s="3"/>
      <c r="U9" s="3"/>
      <c r="V9" s="3"/>
      <c r="W9" s="3"/>
      <c r="X9" s="3"/>
      <c r="Y9" s="3"/>
      <c r="Z9" s="42"/>
      <c r="AA9" s="42"/>
      <c r="AB9" s="42"/>
      <c r="AC9" s="42"/>
      <c r="AD9" s="3"/>
    </row>
    <row r="10" spans="1:30" ht="31.5" x14ac:dyDescent="0.35">
      <c r="B10" s="42"/>
      <c r="C10" s="145">
        <v>2015</v>
      </c>
      <c r="D10" s="146"/>
      <c r="E10" s="146"/>
      <c r="F10" s="146"/>
      <c r="G10" s="146"/>
      <c r="H10" s="76" t="s">
        <v>36</v>
      </c>
      <c r="I10" s="76" t="s">
        <v>49</v>
      </c>
      <c r="J10" s="76" t="s">
        <v>38</v>
      </c>
      <c r="K10" s="76" t="s">
        <v>48</v>
      </c>
      <c r="L10" s="93" t="s">
        <v>1</v>
      </c>
      <c r="M10" s="19"/>
      <c r="N10" s="145">
        <v>2015</v>
      </c>
      <c r="O10" s="141" t="s">
        <v>36</v>
      </c>
      <c r="P10" s="76" t="s">
        <v>49</v>
      </c>
      <c r="Q10" s="76" t="s">
        <v>38</v>
      </c>
      <c r="R10" s="76" t="s">
        <v>48</v>
      </c>
      <c r="S10" s="93" t="s">
        <v>1</v>
      </c>
      <c r="T10" s="316" t="s">
        <v>543</v>
      </c>
      <c r="U10" s="145">
        <v>2015</v>
      </c>
      <c r="V10" s="146"/>
      <c r="W10" s="146"/>
      <c r="X10" s="146"/>
      <c r="Y10" s="146"/>
      <c r="Z10" s="76" t="s">
        <v>36</v>
      </c>
      <c r="AA10" s="76" t="s">
        <v>49</v>
      </c>
      <c r="AB10" s="76" t="s">
        <v>38</v>
      </c>
      <c r="AC10" s="76" t="s">
        <v>48</v>
      </c>
      <c r="AD10" s="93" t="s">
        <v>1</v>
      </c>
    </row>
    <row r="11" spans="1:30" x14ac:dyDescent="0.25">
      <c r="C11" s="147" t="s">
        <v>18</v>
      </c>
      <c r="H11" s="8">
        <f>SUM(H12:H13)</f>
        <v>0</v>
      </c>
      <c r="I11" s="8">
        <f>SUM(I12:I13)</f>
        <v>43.145689000000004</v>
      </c>
      <c r="J11" s="8">
        <f>SUM(J12:J13)</f>
        <v>1.2869702487000001</v>
      </c>
      <c r="K11" s="8">
        <f>SUM(K12:K13)</f>
        <v>0.24534332975500001</v>
      </c>
      <c r="L11" s="96">
        <f>SUM(H11:K11)</f>
        <v>44.678002578455008</v>
      </c>
      <c r="M11" s="75"/>
      <c r="N11" s="150" t="s">
        <v>18</v>
      </c>
      <c r="O11" s="29">
        <f>'[2]Bilan 2015'!$X$46</f>
        <v>0</v>
      </c>
      <c r="P11" s="28">
        <f>SUM('[2]Bilan 2015'!$X$41:$X$43)</f>
        <v>42.748696780825377</v>
      </c>
      <c r="Q11" s="28">
        <f>'[2]Bilan 2015'!$X$13</f>
        <v>0.94471195184866696</v>
      </c>
      <c r="R11" s="28">
        <f>('[2]Bilan 2015'!$X$22+'[2]Bilan 2015'!$X$30+SUM('[2]Bilan 2015'!$X$36:$X$40)+SUM('[2]Bilan 2015'!$X$44:$X$45)+'[2]Bilan 2015'!$X$47)</f>
        <v>7.267406707154804E-2</v>
      </c>
      <c r="S11" s="142">
        <f>SUM(O11:R11)</f>
        <v>43.76608279974559</v>
      </c>
      <c r="T11" s="317">
        <f>S11</f>
        <v>43.76608279974559</v>
      </c>
      <c r="U11" s="147" t="s">
        <v>18</v>
      </c>
      <c r="Z11" s="8">
        <v>0</v>
      </c>
      <c r="AA11" s="8">
        <v>43.159550379999999</v>
      </c>
      <c r="AB11" s="8">
        <v>1.2867468161000002</v>
      </c>
      <c r="AC11" s="8">
        <v>0.24934661375279998</v>
      </c>
      <c r="AD11" s="96">
        <v>44.695643809852797</v>
      </c>
    </row>
    <row r="12" spans="1:30" x14ac:dyDescent="0.25">
      <c r="C12" s="148" t="s">
        <v>19</v>
      </c>
      <c r="D12" t="s">
        <v>394</v>
      </c>
      <c r="E12" t="s">
        <v>395</v>
      </c>
      <c r="F12" t="s">
        <v>396</v>
      </c>
      <c r="G12" t="s">
        <v>397</v>
      </c>
      <c r="H12" s="16">
        <f>VLOOKUP(D12,Résultats!$B$2:$AX$476,'T energie vecteurs'!F5,FALSE)</f>
        <v>0</v>
      </c>
      <c r="I12" s="16">
        <f>VLOOKUP(E12,Résultats!$B$2:$AX$476,'T energie vecteurs'!F5,FALSE)</f>
        <v>24.200254019999999</v>
      </c>
      <c r="J12" s="16">
        <f>VLOOKUP(F12,Résultats!$B$2:$AX$476,'T energie vecteurs'!F5,FALSE)</f>
        <v>1.8162419700000001E-2</v>
      </c>
      <c r="K12" s="16">
        <f>VLOOKUP(G12,Résultats!$B$2:$AX$476,'T energie vecteurs'!F5,FALSE)</f>
        <v>1.0589055E-5</v>
      </c>
      <c r="L12" s="95">
        <f t="shared" ref="L12:L19" si="0">SUM(H12:K12)</f>
        <v>24.218427028755002</v>
      </c>
      <c r="M12" s="16"/>
      <c r="N12" s="148" t="s">
        <v>19</v>
      </c>
      <c r="O12" s="143"/>
      <c r="P12" s="16"/>
      <c r="Q12" s="34"/>
      <c r="R12" s="16"/>
      <c r="S12" s="95"/>
      <c r="T12" s="95"/>
      <c r="U12" s="148" t="s">
        <v>19</v>
      </c>
      <c r="V12" t="s">
        <v>394</v>
      </c>
      <c r="W12" t="s">
        <v>395</v>
      </c>
      <c r="X12" t="s">
        <v>396</v>
      </c>
      <c r="Y12" t="s">
        <v>397</v>
      </c>
      <c r="Z12" s="16">
        <v>0</v>
      </c>
      <c r="AA12" s="16">
        <v>24.198347609999999</v>
      </c>
      <c r="AB12" s="16">
        <v>1.8187780099999998E-2</v>
      </c>
      <c r="AC12" s="16">
        <v>1.06309528E-5</v>
      </c>
      <c r="AD12" s="95">
        <v>24.2165460210528</v>
      </c>
    </row>
    <row r="13" spans="1:30" x14ac:dyDescent="0.25">
      <c r="C13" s="149" t="s">
        <v>20</v>
      </c>
      <c r="D13" t="s">
        <v>398</v>
      </c>
      <c r="E13" t="s">
        <v>399</v>
      </c>
      <c r="F13" t="s">
        <v>400</v>
      </c>
      <c r="G13" t="s">
        <v>401</v>
      </c>
      <c r="H13" s="16">
        <f>VLOOKUP(D13,Résultats!$B$2:$AX$476,'T energie vecteurs'!F5,FALSE)</f>
        <v>0</v>
      </c>
      <c r="I13" s="16">
        <f>VLOOKUP(E13,Résultats!$B$2:$AX$476,'T energie vecteurs'!F5,FALSE)</f>
        <v>18.945434980000002</v>
      </c>
      <c r="J13" s="16">
        <f>VLOOKUP(F13,Résultats!$B$2:$AX$476,'T energie vecteurs'!F5,FALSE)</f>
        <v>1.268807829</v>
      </c>
      <c r="K13" s="16">
        <f>VLOOKUP(G13,Résultats!$B$2:$AX$476,'T energie vecteurs'!F5,FALSE)</f>
        <v>0.2453327407</v>
      </c>
      <c r="L13" s="95">
        <f t="shared" si="0"/>
        <v>20.459575549700002</v>
      </c>
      <c r="M13" s="16"/>
      <c r="N13" s="149" t="s">
        <v>20</v>
      </c>
      <c r="O13" s="143"/>
      <c r="P13" s="16"/>
      <c r="Q13" s="34"/>
      <c r="R13" s="16"/>
      <c r="S13" s="95"/>
      <c r="T13" s="95"/>
      <c r="U13" s="149" t="s">
        <v>20</v>
      </c>
      <c r="V13" t="s">
        <v>398</v>
      </c>
      <c r="W13" t="s">
        <v>399</v>
      </c>
      <c r="X13" t="s">
        <v>400</v>
      </c>
      <c r="Y13" t="s">
        <v>401</v>
      </c>
      <c r="Z13" s="16">
        <v>0</v>
      </c>
      <c r="AA13" s="16">
        <v>18.96120277</v>
      </c>
      <c r="AB13" s="16">
        <v>1.2685590360000001</v>
      </c>
      <c r="AC13" s="16">
        <v>0.24933598279999999</v>
      </c>
      <c r="AD13" s="95">
        <v>20.479097788800001</v>
      </c>
    </row>
    <row r="14" spans="1:30" x14ac:dyDescent="0.25">
      <c r="C14" s="147" t="s">
        <v>21</v>
      </c>
      <c r="D14" t="s">
        <v>402</v>
      </c>
      <c r="E14" t="s">
        <v>403</v>
      </c>
      <c r="F14" t="s">
        <v>404</v>
      </c>
      <c r="G14" t="s">
        <v>405</v>
      </c>
      <c r="H14" s="8">
        <f>VLOOKUP(D14,Résultats!$B$2:$AX$476,'T energie vecteurs'!F5,FALSE)</f>
        <v>0.3312204534</v>
      </c>
      <c r="I14" s="8">
        <f>VLOOKUP(E14,Résultats!$B$2:$AX$476,'T energie vecteurs'!F5,FALSE)</f>
        <v>7.2440591620000001</v>
      </c>
      <c r="J14" s="8">
        <f>VLOOKUP(F14,Résultats!$B$2:$AX$476,'T energie vecteurs'!F5,FALSE)</f>
        <v>13.732728890000001</v>
      </c>
      <c r="K14" s="8">
        <f>VLOOKUP(G14,Résultats!$B$2:$AX$476,'T energie vecteurs'!F5,FALSE)+2</f>
        <v>19.71798004</v>
      </c>
      <c r="L14" s="96">
        <f>SUM(H14:K14)</f>
        <v>41.025988545399997</v>
      </c>
      <c r="M14" s="75"/>
      <c r="N14" s="150" t="s">
        <v>21</v>
      </c>
      <c r="O14" s="29">
        <f>'[2]Bilan 2015'!$V$46</f>
        <v>3.6764196608413298E-2</v>
      </c>
      <c r="P14" s="28">
        <f>SUM('[2]Bilan 2015'!$V$41:$V$43)</f>
        <v>6.6752954110546101</v>
      </c>
      <c r="Q14" s="28">
        <f>'[2]Bilan 2015'!$V$13</f>
        <v>13.6203670581426</v>
      </c>
      <c r="R14" s="28">
        <f>('[2]Bilan 2015'!$V$22+'[2]Bilan 2015'!$V$30+SUM('[2]Bilan 2015'!$V$36:$V$40)+SUM('[2]Bilan 2015'!$V$44:$V$45)+'[2]Bilan 2015'!$V$47)</f>
        <v>21.832863706323721</v>
      </c>
      <c r="S14" s="142">
        <f>SUM(O14:R14)</f>
        <v>42.165290372129348</v>
      </c>
      <c r="T14" s="317">
        <f>S14-'[2]Bilan 2015'!$V$40</f>
        <v>39.648468942279031</v>
      </c>
      <c r="U14" s="147" t="s">
        <v>21</v>
      </c>
      <c r="V14" t="s">
        <v>402</v>
      </c>
      <c r="W14" t="s">
        <v>403</v>
      </c>
      <c r="X14" t="s">
        <v>404</v>
      </c>
      <c r="Y14" t="s">
        <v>405</v>
      </c>
      <c r="Z14" s="8">
        <v>0.33135185830000002</v>
      </c>
      <c r="AA14" s="8">
        <v>7.2415499370000003</v>
      </c>
      <c r="AB14" s="8">
        <v>13.75064688</v>
      </c>
      <c r="AC14" s="8">
        <v>19.702249729999998</v>
      </c>
      <c r="AD14" s="96">
        <v>41.025798405299994</v>
      </c>
    </row>
    <row r="15" spans="1:30" x14ac:dyDescent="0.25">
      <c r="C15" s="147" t="s">
        <v>22</v>
      </c>
      <c r="D15" t="s">
        <v>406</v>
      </c>
      <c r="E15" t="s">
        <v>407</v>
      </c>
      <c r="F15" t="s">
        <v>408</v>
      </c>
      <c r="G15" t="s">
        <v>409</v>
      </c>
      <c r="H15" s="8">
        <f>VLOOKUP(D15,Résultats!$B$2:$AX$476,'T energie vecteurs'!F5,FALSE)</f>
        <v>0</v>
      </c>
      <c r="I15" s="8">
        <f>VLOOKUP(E15,Résultats!$B$2:$AX$476,'T energie vecteurs'!F5,FALSE)</f>
        <v>3.7835586760000002</v>
      </c>
      <c r="J15" s="8">
        <f>VLOOKUP(F15,Résultats!$B$2:$AX$476,'T energie vecteurs'!F5,FALSE)</f>
        <v>11.54863424</v>
      </c>
      <c r="K15" s="8">
        <f>VLOOKUP(G15,Résultats!$B$2:$AX$476,'T energie vecteurs'!F5,FALSE)</f>
        <v>9.1338786830000007</v>
      </c>
      <c r="L15" s="96">
        <f t="shared" si="0"/>
        <v>24.466071599000003</v>
      </c>
      <c r="M15" s="75"/>
      <c r="N15" s="150" t="s">
        <v>22</v>
      </c>
      <c r="O15" s="29">
        <f>'[2]Bilan 2015'!$W$46</f>
        <v>4.3073392295861899E-2</v>
      </c>
      <c r="P15" s="28">
        <f>SUM('[2]Bilan 2015'!$W$41:$W$43)</f>
        <v>3.01546564464017</v>
      </c>
      <c r="Q15" s="28">
        <f>'[2]Bilan 2015'!$W$13</f>
        <v>12.701365476499801</v>
      </c>
      <c r="R15" s="28">
        <f>('[2]Bilan 2015'!$W$22+'[2]Bilan 2015'!$W$30+SUM('[2]Bilan 2015'!$W$36:$W$40)+SUM('[2]Bilan 2015'!$W$44:$W$45)+'[2]Bilan 2015'!$W$47)</f>
        <v>8.7461122445901367</v>
      </c>
      <c r="S15" s="142">
        <f t="shared" ref="S15:S19" si="1">SUM(O15:R15)</f>
        <v>24.506016758025968</v>
      </c>
      <c r="T15" s="317">
        <f>S15-'[2]Bilan 2015'!$W$40</f>
        <v>24.067510417302429</v>
      </c>
      <c r="U15" s="147" t="s">
        <v>22</v>
      </c>
      <c r="V15" t="s">
        <v>406</v>
      </c>
      <c r="W15" t="s">
        <v>407</v>
      </c>
      <c r="X15" t="s">
        <v>408</v>
      </c>
      <c r="Y15" t="s">
        <v>409</v>
      </c>
      <c r="Z15" s="8">
        <v>0</v>
      </c>
      <c r="AA15" s="8">
        <v>3.781346439</v>
      </c>
      <c r="AB15" s="8">
        <v>11.57522413</v>
      </c>
      <c r="AC15" s="8">
        <v>9.1357402780000001</v>
      </c>
      <c r="AD15" s="96">
        <v>24.492310846999999</v>
      </c>
    </row>
    <row r="16" spans="1:30" x14ac:dyDescent="0.25">
      <c r="C16" s="147" t="s">
        <v>490</v>
      </c>
      <c r="H16" s="8">
        <f>SUM(H17:H18)</f>
        <v>5.0121730787000001</v>
      </c>
      <c r="I16" s="8">
        <f t="shared" ref="I16:K16" si="2">SUM(I17:I18)</f>
        <v>16.582400356000001</v>
      </c>
      <c r="J16" s="8">
        <f t="shared" si="2"/>
        <v>10.953796049999999</v>
      </c>
      <c r="K16" s="8">
        <f t="shared" si="2"/>
        <v>14.313709815000001</v>
      </c>
      <c r="L16" s="96">
        <f>SUM(H16:K16)</f>
        <v>46.862079299700007</v>
      </c>
      <c r="M16" s="75"/>
      <c r="N16" s="150" t="s">
        <v>490</v>
      </c>
      <c r="O16" s="29">
        <f>O17+O18</f>
        <v>4.2636280705371687</v>
      </c>
      <c r="P16" s="28">
        <f t="shared" ref="P16:R16" si="3">P17+P18</f>
        <v>14.865720748941945</v>
      </c>
      <c r="Q16" s="28">
        <f t="shared" si="3"/>
        <v>10.069552160228</v>
      </c>
      <c r="R16" s="28">
        <f t="shared" si="3"/>
        <v>13.756399814544654</v>
      </c>
      <c r="S16" s="142">
        <f t="shared" si="1"/>
        <v>42.95530079425177</v>
      </c>
      <c r="T16" s="317">
        <f t="shared" ref="T16" si="4">S16</f>
        <v>42.95530079425177</v>
      </c>
      <c r="U16" s="147" t="s">
        <v>490</v>
      </c>
      <c r="Z16" s="8">
        <v>5.0051719447999998</v>
      </c>
      <c r="AA16" s="8">
        <v>16.790367442000001</v>
      </c>
      <c r="AB16" s="8">
        <v>10.963478520000001</v>
      </c>
      <c r="AC16" s="8">
        <v>14.329332126999999</v>
      </c>
      <c r="AD16" s="96">
        <v>47.088350033800005</v>
      </c>
    </row>
    <row r="17" spans="2:30" x14ac:dyDescent="0.25">
      <c r="C17" s="149" t="s">
        <v>24</v>
      </c>
      <c r="D17" t="s">
        <v>410</v>
      </c>
      <c r="E17" t="s">
        <v>411</v>
      </c>
      <c r="F17" t="s">
        <v>412</v>
      </c>
      <c r="G17" t="s">
        <v>413</v>
      </c>
      <c r="H17" s="16">
        <f>VLOOKUP(D17,Résultats!$B$2:$AX$476,'T energie vecteurs'!F5,FALSE)</f>
        <v>4.013633306</v>
      </c>
      <c r="I17" s="16">
        <f>VLOOKUP(E17,Résultats!$B$2:$AX$476,'T energie vecteurs'!F5,FALSE)</f>
        <v>14.689396759999999</v>
      </c>
      <c r="J17" s="16">
        <f>VLOOKUP(F17,Résultats!$B$2:$AX$476,'T energie vecteurs'!F5,FALSE)</f>
        <v>10.953796049999999</v>
      </c>
      <c r="K17" s="16">
        <f>VLOOKUP(G17,Résultats!$B$2:$AX$476,'T energie vecteurs'!F5,FALSE)</f>
        <v>12.544766210000001</v>
      </c>
      <c r="L17" s="95">
        <f t="shared" si="0"/>
        <v>42.201592325999997</v>
      </c>
      <c r="M17" s="16"/>
      <c r="N17" s="149" t="s">
        <v>491</v>
      </c>
      <c r="O17" s="143">
        <f>'[2]Bilan 2015'!$U$46</f>
        <v>1.0493092649428299</v>
      </c>
      <c r="P17" s="30">
        <f>SUM('[2]Bilan 2015'!$U$41:$U$43)</f>
        <v>2.4127207489419455</v>
      </c>
      <c r="Q17" s="30">
        <f>'[2]Bilan 2015'!$U$13</f>
        <v>10.069552160228</v>
      </c>
      <c r="R17" s="30">
        <f>('[2]Bilan 2015'!$U$22+'[2]Bilan 2015'!$U$30+SUM('[2]Bilan 2015'!$U$36:$U$40)+SUM('[2]Bilan 2015'!$U$44:$U$45)+'[2]Bilan 2015'!$U$47)</f>
        <v>12.654813573219924</v>
      </c>
      <c r="S17" s="95">
        <f t="shared" si="1"/>
        <v>26.186395747332696</v>
      </c>
      <c r="T17" s="95"/>
      <c r="U17" s="149" t="s">
        <v>24</v>
      </c>
      <c r="V17" t="s">
        <v>410</v>
      </c>
      <c r="W17" t="s">
        <v>411</v>
      </c>
      <c r="X17" t="s">
        <v>412</v>
      </c>
      <c r="Y17" t="s">
        <v>413</v>
      </c>
      <c r="Z17" s="16">
        <v>4.0062869540000001</v>
      </c>
      <c r="AA17" s="16">
        <v>14.89787492</v>
      </c>
      <c r="AB17" s="16">
        <v>10.963478520000001</v>
      </c>
      <c r="AC17" s="16">
        <v>12.561497709999999</v>
      </c>
      <c r="AD17" s="95">
        <v>42.429138103999996</v>
      </c>
    </row>
    <row r="18" spans="2:30" x14ac:dyDescent="0.25">
      <c r="C18" s="149" t="s">
        <v>47</v>
      </c>
      <c r="D18" t="s">
        <v>414</v>
      </c>
      <c r="E18" t="s">
        <v>415</v>
      </c>
      <c r="F18" t="s">
        <v>416</v>
      </c>
      <c r="G18" t="s">
        <v>417</v>
      </c>
      <c r="H18" s="16">
        <f>VLOOKUP(D18,Résultats!$B$2:$AX$476,'T energie vecteurs'!F5,FALSE)</f>
        <v>0.99853977270000005</v>
      </c>
      <c r="I18" s="16">
        <f>VLOOKUP(E18,Résultats!$B$2:$AX$476,'T energie vecteurs'!F5,FALSE)</f>
        <v>1.893003596</v>
      </c>
      <c r="J18" s="16">
        <f>VLOOKUP(F18,Résultats!$B$2:$AX$476,'T energie vecteurs'!F5,FALSE)</f>
        <v>0</v>
      </c>
      <c r="K18" s="16">
        <f>VLOOKUP(G18,Résultats!$B$2:$AX$476,'T energie vecteurs'!F5,FALSE)</f>
        <v>1.768943605</v>
      </c>
      <c r="L18" s="95">
        <f t="shared" si="0"/>
        <v>4.6604869736999994</v>
      </c>
      <c r="M18" s="16"/>
      <c r="N18" s="149" t="s">
        <v>47</v>
      </c>
      <c r="O18" s="22">
        <f>'[2]Bilan 2015'!$E$52</f>
        <v>3.2143188055943388</v>
      </c>
      <c r="P18" s="16">
        <f>('[2]Bilan 2015'!$E$54+'[2]Bilan 2015'!$E$56)</f>
        <v>12.452999999999999</v>
      </c>
      <c r="Q18" s="16">
        <v>0</v>
      </c>
      <c r="R18" s="16">
        <f>('[2]Bilan 2015'!$E$53+'[2]Bilan 2015'!$E$55+'[2]Bilan 2015'!$E$57)</f>
        <v>1.1015862413247299</v>
      </c>
      <c r="S18" s="95">
        <f t="shared" si="1"/>
        <v>16.768905046919066</v>
      </c>
      <c r="T18" s="95"/>
      <c r="U18" s="149" t="s">
        <v>47</v>
      </c>
      <c r="V18" t="s">
        <v>414</v>
      </c>
      <c r="W18" t="s">
        <v>415</v>
      </c>
      <c r="X18" t="s">
        <v>416</v>
      </c>
      <c r="Y18" t="s">
        <v>417</v>
      </c>
      <c r="Z18" s="16">
        <v>0.99888499080000004</v>
      </c>
      <c r="AA18" s="16">
        <v>1.892492522</v>
      </c>
      <c r="AB18" s="16">
        <v>0</v>
      </c>
      <c r="AC18" s="16">
        <v>1.767834417</v>
      </c>
      <c r="AD18" s="95">
        <v>4.6592119297999997</v>
      </c>
    </row>
    <row r="19" spans="2:30" x14ac:dyDescent="0.25">
      <c r="C19" s="147" t="s">
        <v>25</v>
      </c>
      <c r="D19" t="s">
        <v>418</v>
      </c>
      <c r="E19" t="s">
        <v>419</v>
      </c>
      <c r="F19" t="s">
        <v>420</v>
      </c>
      <c r="G19" t="s">
        <v>421</v>
      </c>
      <c r="H19" s="8">
        <f>VLOOKUP(D19,Résultats!$B$2:$AX$476,'T energie vecteurs'!F5,FALSE)</f>
        <v>0</v>
      </c>
      <c r="I19" s="8">
        <f>VLOOKUP(E19,Résultats!$B$2:$AX$476,'T energie vecteurs'!F5,FALSE)</f>
        <v>2.4746179150000001</v>
      </c>
      <c r="J19" s="8">
        <f>VLOOKUP(F19,Résultats!$B$2:$AX$476,'T energie vecteurs'!F5,FALSE)</f>
        <v>0.31870576340000001</v>
      </c>
      <c r="K19" s="8">
        <f>VLOOKUP(G19,Résultats!$B$2:$AX$476,'T energie vecteurs'!F5,FALSE)</f>
        <v>0.39369217080000002</v>
      </c>
      <c r="L19" s="96">
        <f t="shared" si="0"/>
        <v>3.1870158492000003</v>
      </c>
      <c r="M19" s="16"/>
      <c r="N19" s="150" t="s">
        <v>25</v>
      </c>
      <c r="O19" s="29">
        <f>'[2]Bilan 2015'!$T$46</f>
        <v>2.2137192704974398E-3</v>
      </c>
      <c r="P19" s="28">
        <f>SUM('[2]Bilan 2015'!$T$41:$T$43)</f>
        <v>3.4936667755496749</v>
      </c>
      <c r="Q19" s="28">
        <f>'[2]Bilan 2015'!$T$13</f>
        <v>0.74651762682717104</v>
      </c>
      <c r="R19" s="28">
        <f>('[2]Bilan 2015'!$T$22+'[2]Bilan 2015'!$T$30+SUM('[2]Bilan 2015'!$T$36:$T$40)+SUM('[2]Bilan 2015'!$T$44:$T$45)+'[2]Bilan 2015'!$T$47)</f>
        <v>0.24365267378081518</v>
      </c>
      <c r="S19" s="142">
        <f t="shared" si="1"/>
        <v>4.4860507954281585</v>
      </c>
      <c r="T19" s="317">
        <f>S19</f>
        <v>4.4860507954281585</v>
      </c>
      <c r="U19" s="311" t="s">
        <v>25</v>
      </c>
      <c r="V19" s="312" t="s">
        <v>418</v>
      </c>
      <c r="W19" s="312" t="s">
        <v>419</v>
      </c>
      <c r="X19" s="312" t="s">
        <v>420</v>
      </c>
      <c r="Y19" s="312" t="s">
        <v>421</v>
      </c>
      <c r="Z19" s="313">
        <v>0</v>
      </c>
      <c r="AA19" s="313">
        <v>2.4785694700000001</v>
      </c>
      <c r="AB19" s="313">
        <v>0.31965678710000001</v>
      </c>
      <c r="AC19" s="313">
        <v>0.39436075970000001</v>
      </c>
      <c r="AD19" s="314">
        <v>3.1925870168000001</v>
      </c>
    </row>
    <row r="20" spans="2:30" x14ac:dyDescent="0.25">
      <c r="C20" s="23" t="s">
        <v>26</v>
      </c>
      <c r="D20" s="10"/>
      <c r="E20" s="10"/>
      <c r="F20" s="10"/>
      <c r="G20" s="10"/>
      <c r="H20" s="9">
        <f>SUM(H11,H14:H16,H19)</f>
        <v>5.3433935321000003</v>
      </c>
      <c r="I20" s="9">
        <f t="shared" ref="I20:K20" si="5">SUM(I11,I14:I16,I19)</f>
        <v>73.230325108999992</v>
      </c>
      <c r="J20" s="9">
        <f t="shared" si="5"/>
        <v>37.840835192099995</v>
      </c>
      <c r="K20" s="9">
        <f t="shared" si="5"/>
        <v>43.804604038555006</v>
      </c>
      <c r="L20" s="98">
        <f>SUM(H20:K20)</f>
        <v>160.21915787175499</v>
      </c>
      <c r="M20" s="79"/>
      <c r="N20" s="151" t="s">
        <v>26</v>
      </c>
      <c r="O20" s="32">
        <f>O11+O14+O15+O16+O19</f>
        <v>4.3456793787119414</v>
      </c>
      <c r="P20" s="31">
        <f>P11+P14+P15+P16+P19</f>
        <v>70.798845361011772</v>
      </c>
      <c r="Q20" s="31">
        <f>Q11+Q14+Q15+Q16+Q19</f>
        <v>38.082514273546238</v>
      </c>
      <c r="R20" s="31">
        <f>R11+R14+R15+R16+R19</f>
        <v>44.651702506310876</v>
      </c>
      <c r="S20" s="144">
        <f>SUM(O20:R20)</f>
        <v>157.87874151958081</v>
      </c>
      <c r="T20" s="318">
        <f>SUM(T11:T19)</f>
        <v>154.92341374900698</v>
      </c>
      <c r="U20" s="23" t="s">
        <v>26</v>
      </c>
      <c r="V20" s="10"/>
      <c r="W20" s="10"/>
      <c r="X20" s="10"/>
      <c r="Y20" s="10"/>
      <c r="Z20" s="9">
        <v>5.3365238030999995</v>
      </c>
      <c r="AA20" s="9">
        <v>73.451383668000005</v>
      </c>
      <c r="AB20" s="9">
        <v>37.895753133200003</v>
      </c>
      <c r="AC20" s="9">
        <v>43.811029508452798</v>
      </c>
      <c r="AD20" s="98">
        <v>160.49469011275281</v>
      </c>
    </row>
    <row r="21" spans="2:30" s="3" customFormat="1" x14ac:dyDescent="0.25">
      <c r="B21" s="60"/>
      <c r="H21" s="45"/>
      <c r="I21" s="45"/>
      <c r="J21" s="45"/>
      <c r="K21" s="45"/>
      <c r="L21" s="45">
        <f>L11+L14+L15+L16+L19</f>
        <v>160.21915787175502</v>
      </c>
      <c r="M21" s="45"/>
      <c r="N21" s="45"/>
      <c r="O21" s="77"/>
      <c r="P21" s="77"/>
      <c r="Q21" s="77"/>
      <c r="R21" s="78"/>
      <c r="S21" s="45"/>
      <c r="Z21" s="45"/>
      <c r="AA21" s="45"/>
      <c r="AB21" s="45"/>
      <c r="AC21" s="45"/>
      <c r="AD21" s="45">
        <v>160.49469011275278</v>
      </c>
    </row>
    <row r="22" spans="2:30" s="3" customFormat="1" x14ac:dyDescent="0.25">
      <c r="I22" s="45"/>
      <c r="J22" s="45"/>
      <c r="K22" s="45"/>
      <c r="AA22" s="45"/>
      <c r="AB22" s="45"/>
      <c r="AC22" s="45"/>
    </row>
    <row r="23" spans="2:30" ht="31.5" x14ac:dyDescent="0.35">
      <c r="C23" s="145">
        <v>2020</v>
      </c>
      <c r="D23" s="146"/>
      <c r="E23" s="146"/>
      <c r="F23" s="146"/>
      <c r="G23" s="146"/>
      <c r="H23" s="76" t="s">
        <v>36</v>
      </c>
      <c r="I23" s="76" t="s">
        <v>49</v>
      </c>
      <c r="J23" s="76" t="s">
        <v>38</v>
      </c>
      <c r="K23" s="76" t="s">
        <v>48</v>
      </c>
      <c r="L23" s="93" t="s">
        <v>1</v>
      </c>
      <c r="M23" s="19"/>
      <c r="N23" s="145">
        <v>2020</v>
      </c>
      <c r="O23" s="141" t="s">
        <v>36</v>
      </c>
      <c r="P23" s="76" t="s">
        <v>49</v>
      </c>
      <c r="Q23" s="76" t="s">
        <v>38</v>
      </c>
      <c r="R23" s="76" t="s">
        <v>48</v>
      </c>
      <c r="S23" s="93" t="s">
        <v>1</v>
      </c>
      <c r="T23" s="316" t="s">
        <v>543</v>
      </c>
      <c r="U23" s="145">
        <v>2020</v>
      </c>
      <c r="V23" s="146"/>
      <c r="W23" s="146"/>
      <c r="X23" s="146"/>
      <c r="Y23" s="146"/>
      <c r="Z23" s="76" t="s">
        <v>36</v>
      </c>
      <c r="AA23" s="76" t="s">
        <v>49</v>
      </c>
      <c r="AB23" s="76" t="s">
        <v>38</v>
      </c>
      <c r="AC23" s="76" t="s">
        <v>48</v>
      </c>
      <c r="AD23" s="93" t="s">
        <v>1</v>
      </c>
    </row>
    <row r="24" spans="2:30" x14ac:dyDescent="0.25">
      <c r="C24" s="147" t="s">
        <v>18</v>
      </c>
      <c r="H24" s="8">
        <f>SUM(H25:H26)</f>
        <v>0</v>
      </c>
      <c r="I24" s="8">
        <f>SUM(I25:I26)</f>
        <v>41.563023180000002</v>
      </c>
      <c r="J24" s="8">
        <f>SUM(J25:J26)</f>
        <v>1.5156366519</v>
      </c>
      <c r="K24" s="8">
        <f>SUM(K25:K26)</f>
        <v>0.27412865635619998</v>
      </c>
      <c r="L24" s="96">
        <f t="shared" ref="L24:L33" si="6">SUM(H24:K24)</f>
        <v>43.352788488256202</v>
      </c>
      <c r="M24" s="75"/>
      <c r="N24" s="150" t="s">
        <v>18</v>
      </c>
      <c r="O24" s="29">
        <f>'[2]Bilan 2020'!$X$46/11.63</f>
        <v>0</v>
      </c>
      <c r="P24" s="28">
        <f>SUM('[2]Bilan 2020'!$X$41:$X$43)/11.63</f>
        <v>35.668036461633939</v>
      </c>
      <c r="Q24" s="28">
        <f>'[2]Bilan 2020'!$X$13/11.63</f>
        <v>0.71687008340498715</v>
      </c>
      <c r="R24" s="28">
        <f>('[2]Bilan 2020'!$X$22+'[2]Bilan 2020'!$X$30+SUM('[2]Bilan 2020'!$X$36:$X$40)+SUM('[2]Bilan 2020'!$X$44:$X$45)+'[2]Bilan 2020'!$X$47)/11.63</f>
        <v>0.19326865864144452</v>
      </c>
      <c r="S24" s="142">
        <f>SUM(O24:R24)</f>
        <v>36.578175203680367</v>
      </c>
      <c r="T24" s="317">
        <f>S24</f>
        <v>36.578175203680367</v>
      </c>
      <c r="U24" s="147" t="s">
        <v>18</v>
      </c>
      <c r="Z24" s="8">
        <v>0</v>
      </c>
      <c r="AA24" s="8">
        <v>41.602539239999999</v>
      </c>
      <c r="AB24" s="8">
        <v>1.5063126045999999</v>
      </c>
      <c r="AC24" s="8">
        <v>0.27860242240440003</v>
      </c>
      <c r="AD24" s="96">
        <v>43.387454267004394</v>
      </c>
    </row>
    <row r="25" spans="2:30" x14ac:dyDescent="0.25">
      <c r="C25" s="148" t="s">
        <v>19</v>
      </c>
      <c r="D25" t="s">
        <v>394</v>
      </c>
      <c r="E25" t="s">
        <v>395</v>
      </c>
      <c r="F25" t="s">
        <v>396</v>
      </c>
      <c r="G25" t="s">
        <v>397</v>
      </c>
      <c r="H25" s="16">
        <f>VLOOKUP(D25,Résultats!$B$2:$AX$476,'T energie vecteurs'!I5,FALSE)</f>
        <v>0</v>
      </c>
      <c r="I25" s="16">
        <f>VLOOKUP(E25,Résultats!$B$2:$AX$476,'T energie vecteurs'!I5,FALSE)</f>
        <v>23.247082370000001</v>
      </c>
      <c r="J25" s="16">
        <f>VLOOKUP(F25,Résultats!$B$2:$AX$476,'T energie vecteurs'!I5,FALSE)</f>
        <v>7.2370039900000002E-2</v>
      </c>
      <c r="K25" s="16">
        <f>VLOOKUP(G77,Résultats!$B$2:$AX$476,'T energie vecteurs'!I5,FALSE)</f>
        <v>1.46641562E-5</v>
      </c>
      <c r="L25" s="95">
        <f t="shared" si="6"/>
        <v>23.319467074056202</v>
      </c>
      <c r="M25" s="16"/>
      <c r="N25" s="148" t="s">
        <v>19</v>
      </c>
      <c r="O25" s="143"/>
      <c r="P25" s="16"/>
      <c r="Q25" s="34"/>
      <c r="R25" s="16"/>
      <c r="S25" s="95"/>
      <c r="T25" s="95"/>
      <c r="U25" s="148" t="s">
        <v>19</v>
      </c>
      <c r="V25" t="s">
        <v>394</v>
      </c>
      <c r="W25" t="s">
        <v>395</v>
      </c>
      <c r="X25" t="s">
        <v>396</v>
      </c>
      <c r="Y25" t="s">
        <v>397</v>
      </c>
      <c r="Z25" s="16">
        <v>0</v>
      </c>
      <c r="AA25" s="16">
        <v>23.244407129999999</v>
      </c>
      <c r="AB25" s="16">
        <v>7.25068886E-2</v>
      </c>
      <c r="AC25" s="16">
        <v>1.4761104400000001E-5</v>
      </c>
      <c r="AD25" s="95">
        <v>23.316928779704398</v>
      </c>
    </row>
    <row r="26" spans="2:30" x14ac:dyDescent="0.25">
      <c r="C26" s="149" t="s">
        <v>20</v>
      </c>
      <c r="D26" t="s">
        <v>398</v>
      </c>
      <c r="E26" t="s">
        <v>399</v>
      </c>
      <c r="F26" t="s">
        <v>400</v>
      </c>
      <c r="G26" t="s">
        <v>401</v>
      </c>
      <c r="H26" s="16">
        <f>VLOOKUP(D26,Résultats!$B$2:$AX$476,'T energie vecteurs'!I5,FALSE)</f>
        <v>0</v>
      </c>
      <c r="I26" s="16">
        <f>VLOOKUP(E26,Résultats!$B$2:$AX$476,'T energie vecteurs'!I5,FALSE)</f>
        <v>18.315940810000001</v>
      </c>
      <c r="J26" s="16">
        <f>VLOOKUP(F26,Résultats!$B$2:$AX$476,'T energie vecteurs'!I5,FALSE)</f>
        <v>1.4432666119999999</v>
      </c>
      <c r="K26" s="16">
        <f>VLOOKUP(G26,Résultats!$B$2:$AX$476,'T energie vecteurs'!I5,FALSE)</f>
        <v>0.27411399219999999</v>
      </c>
      <c r="L26" s="95">
        <f t="shared" si="6"/>
        <v>20.0333214142</v>
      </c>
      <c r="M26" s="16"/>
      <c r="N26" s="149" t="s">
        <v>20</v>
      </c>
      <c r="O26" s="143"/>
      <c r="P26" s="16"/>
      <c r="Q26" s="34"/>
      <c r="R26" s="16"/>
      <c r="S26" s="95"/>
      <c r="T26" s="95"/>
      <c r="U26" s="149" t="s">
        <v>20</v>
      </c>
      <c r="V26" t="s">
        <v>398</v>
      </c>
      <c r="W26" t="s">
        <v>399</v>
      </c>
      <c r="X26" t="s">
        <v>400</v>
      </c>
      <c r="Y26" t="s">
        <v>401</v>
      </c>
      <c r="Z26" s="16">
        <v>0</v>
      </c>
      <c r="AA26" s="16">
        <v>18.35813211</v>
      </c>
      <c r="AB26" s="16">
        <v>1.433805716</v>
      </c>
      <c r="AC26" s="16">
        <v>0.27858766130000001</v>
      </c>
      <c r="AD26" s="95">
        <v>20.070525487299999</v>
      </c>
    </row>
    <row r="27" spans="2:30" x14ac:dyDescent="0.25">
      <c r="C27" s="147" t="s">
        <v>21</v>
      </c>
      <c r="D27" t="s">
        <v>402</v>
      </c>
      <c r="E27" t="s">
        <v>403</v>
      </c>
      <c r="F27" t="s">
        <v>404</v>
      </c>
      <c r="G27" t="s">
        <v>405</v>
      </c>
      <c r="H27" s="8">
        <f>VLOOKUP(D27,Résultats!$B$2:$AX$476,'T energie vecteurs'!I5,FALSE)</f>
        <v>0.31808457200000001</v>
      </c>
      <c r="I27" s="8">
        <f>VLOOKUP(E27,Résultats!$B$2:$AX$476,'T energie vecteurs'!I5,FALSE)</f>
        <v>6.4323582889999997</v>
      </c>
      <c r="J27" s="8">
        <f>VLOOKUP(F27,Résultats!$B$2:$AX$476,'T energie vecteurs'!I5,FALSE)</f>
        <v>14.45650828</v>
      </c>
      <c r="K27" s="8">
        <f>VLOOKUP(G27,Résultats!$B$2:$AX$476,'T energie vecteurs'!I5,FALSE)+2</f>
        <v>19.097675819999999</v>
      </c>
      <c r="L27" s="96">
        <f t="shared" si="6"/>
        <v>40.304626960999997</v>
      </c>
      <c r="M27" s="75"/>
      <c r="N27" s="150" t="s">
        <v>21</v>
      </c>
      <c r="O27" s="29">
        <f>'[2]Bilan 2020'!$V$46/11.63</f>
        <v>2.0700734999999998E-2</v>
      </c>
      <c r="P27" s="28">
        <f>SUM('[2]Bilan 2020'!$V$41:$V$43)/11.63</f>
        <v>4.2874727518867157</v>
      </c>
      <c r="Q27" s="28">
        <f>'[2]Bilan 2020'!$V$13/11.63</f>
        <v>13.618731599337918</v>
      </c>
      <c r="R27" s="28">
        <f>('[2]Bilan 2020'!$V$22+'[2]Bilan 2020'!$V$30+SUM('[2]Bilan 2020'!$V$36:$V$40)+SUM('[2]Bilan 2020'!$V$44:$V$45)+'[2]Bilan 2020'!$V$47)/11.63</f>
        <v>20.408410382607048</v>
      </c>
      <c r="S27" s="142">
        <f t="shared" ref="S27:S33" si="7">SUM(O27:R27)</f>
        <v>38.335315468831681</v>
      </c>
      <c r="T27" s="317">
        <f>S27-'[2]Bilan 2020'!$V$40/11.63</f>
        <v>35.977053263806368</v>
      </c>
      <c r="U27" s="147" t="s">
        <v>21</v>
      </c>
      <c r="V27" t="s">
        <v>402</v>
      </c>
      <c r="W27" t="s">
        <v>403</v>
      </c>
      <c r="X27" t="s">
        <v>404</v>
      </c>
      <c r="Y27" t="s">
        <v>405</v>
      </c>
      <c r="Z27" s="8">
        <v>0.31862762230000002</v>
      </c>
      <c r="AA27" s="8">
        <v>6.45680254</v>
      </c>
      <c r="AB27" s="8">
        <v>14.43867376</v>
      </c>
      <c r="AC27" s="8">
        <v>19.172349069999999</v>
      </c>
      <c r="AD27" s="96">
        <v>40.386452992300001</v>
      </c>
    </row>
    <row r="28" spans="2:30" x14ac:dyDescent="0.25">
      <c r="C28" s="147" t="s">
        <v>22</v>
      </c>
      <c r="D28" t="s">
        <v>406</v>
      </c>
      <c r="E28" t="s">
        <v>407</v>
      </c>
      <c r="F28" t="s">
        <v>408</v>
      </c>
      <c r="G28" t="s">
        <v>409</v>
      </c>
      <c r="H28" s="8">
        <f>VLOOKUP(D28,Résultats!$B$2:$AX$476,'T energie vecteurs'!I5,FALSE)</f>
        <v>0</v>
      </c>
      <c r="I28" s="8">
        <f>VLOOKUP(E28,Résultats!$B$2:$AX$476,'T energie vecteurs'!I5,FALSE)</f>
        <v>2.728713784</v>
      </c>
      <c r="J28" s="8">
        <f>VLOOKUP(F28,Résultats!$B$2:$AX$476,'T energie vecteurs'!I5,FALSE)</f>
        <v>11.176970989999999</v>
      </c>
      <c r="K28" s="8">
        <f>VLOOKUP(G28,Résultats!$B$2:$AX$476,'T energie vecteurs'!I5,FALSE)</f>
        <v>7.811776837</v>
      </c>
      <c r="L28" s="96">
        <f t="shared" si="6"/>
        <v>21.717461610999997</v>
      </c>
      <c r="M28" s="75"/>
      <c r="N28" s="150" t="s">
        <v>22</v>
      </c>
      <c r="O28" s="29">
        <f>('[2]Bilan 2020'!$W$46)/11.63</f>
        <v>3.0546421000000001E-2</v>
      </c>
      <c r="P28" s="28">
        <f>SUM('[2]Bilan 2020'!$W$41:$W$43)/11.63</f>
        <v>2.7068355531694666</v>
      </c>
      <c r="Q28" s="28">
        <f>('[2]Bilan 2020'!$W$13)/11.63</f>
        <v>10.724850576412381</v>
      </c>
      <c r="R28" s="28">
        <f>('[2]Bilan 2020'!$W$22+'[2]Bilan 2020'!$W$30+SUM('[2]Bilan 2020'!$W$36:$W$40)+SUM('[2]Bilan 2020'!$W$44:$W$45)+'[2]Bilan 2020'!$W$47)/11.63</f>
        <v>7.1906336380053082</v>
      </c>
      <c r="S28" s="142">
        <f t="shared" si="7"/>
        <v>20.652866188587154</v>
      </c>
      <c r="T28" s="317">
        <f>S28-'[2]Bilan 2020'!$W$40/11.63</f>
        <v>20.267160637808516</v>
      </c>
      <c r="U28" s="147" t="s">
        <v>22</v>
      </c>
      <c r="V28" t="s">
        <v>406</v>
      </c>
      <c r="W28" t="s">
        <v>407</v>
      </c>
      <c r="X28" t="s">
        <v>408</v>
      </c>
      <c r="Y28" t="s">
        <v>409</v>
      </c>
      <c r="Z28" s="8">
        <v>0</v>
      </c>
      <c r="AA28" s="8">
        <v>2.7306023239999999</v>
      </c>
      <c r="AB28" s="8">
        <v>11.12795966</v>
      </c>
      <c r="AC28" s="8">
        <v>7.8713221820000001</v>
      </c>
      <c r="AD28" s="96">
        <v>21.729884165999998</v>
      </c>
    </row>
    <row r="29" spans="2:30" x14ac:dyDescent="0.25">
      <c r="C29" s="147" t="s">
        <v>490</v>
      </c>
      <c r="H29" s="8">
        <f>SUM(H30:H31)</f>
        <v>2.6467543695</v>
      </c>
      <c r="I29" s="8">
        <f t="shared" ref="I29:K29" si="8">SUM(I30:I31)</f>
        <v>11.047889582</v>
      </c>
      <c r="J29" s="8">
        <f t="shared" si="8"/>
        <v>9.0460201490000003</v>
      </c>
      <c r="K29" s="8">
        <f t="shared" si="8"/>
        <v>14.700287135</v>
      </c>
      <c r="L29" s="96">
        <f t="shared" si="6"/>
        <v>37.440951235499995</v>
      </c>
      <c r="M29" s="75"/>
      <c r="N29" s="150" t="s">
        <v>490</v>
      </c>
      <c r="O29" s="29">
        <f>O30+O31</f>
        <v>3.1626378182920636</v>
      </c>
      <c r="P29" s="28">
        <f t="shared" ref="P29:R29" si="9">P30+P31</f>
        <v>13.919973516612528</v>
      </c>
      <c r="Q29" s="28">
        <f t="shared" si="9"/>
        <v>9.0413234941421319</v>
      </c>
      <c r="R29" s="28">
        <f t="shared" si="9"/>
        <v>14.312071337572707</v>
      </c>
      <c r="S29" s="142">
        <f t="shared" si="7"/>
        <v>40.436006166619435</v>
      </c>
      <c r="T29" s="317">
        <f t="shared" ref="T29" si="10">S29</f>
        <v>40.436006166619435</v>
      </c>
      <c r="U29" s="147" t="s">
        <v>490</v>
      </c>
      <c r="Z29" s="8">
        <v>2.6480606495000001</v>
      </c>
      <c r="AA29" s="8">
        <v>11.228937934000001</v>
      </c>
      <c r="AB29" s="8">
        <v>8.9819417030000004</v>
      </c>
      <c r="AC29" s="8">
        <v>14.81434181</v>
      </c>
      <c r="AD29" s="96">
        <v>37.673282096500003</v>
      </c>
    </row>
    <row r="30" spans="2:30" x14ac:dyDescent="0.25">
      <c r="C30" s="149" t="s">
        <v>24</v>
      </c>
      <c r="D30" t="s">
        <v>410</v>
      </c>
      <c r="E30" t="s">
        <v>411</v>
      </c>
      <c r="F30" t="s">
        <v>412</v>
      </c>
      <c r="G30" t="s">
        <v>413</v>
      </c>
      <c r="H30" s="16">
        <f>VLOOKUP(D30,Résultats!$B$2:$AX$476,'T energie vecteurs'!I5,FALSE)</f>
        <v>1.783196545</v>
      </c>
      <c r="I30" s="16">
        <f>VLOOKUP(E30,Résultats!$B$2:$AX$476,'T energie vecteurs'!I5,FALSE)</f>
        <v>9.171032748</v>
      </c>
      <c r="J30" s="16">
        <f>VLOOKUP(F30,Résultats!$B$2:$AX$476,'T energie vecteurs'!I5,FALSE)</f>
        <v>9.0460201490000003</v>
      </c>
      <c r="K30" s="16">
        <f>VLOOKUP(G30,Résultats!$B$2:$AX$476,'T energie vecteurs'!I5,FALSE)</f>
        <v>12.596217230000001</v>
      </c>
      <c r="L30" s="95">
        <f t="shared" si="6"/>
        <v>32.596466672000005</v>
      </c>
      <c r="M30" s="16"/>
      <c r="N30" s="149" t="s">
        <v>491</v>
      </c>
      <c r="O30" s="143">
        <f>'[2]Bilan 2020'!$U$46/11.63</f>
        <v>0.77267988499999996</v>
      </c>
      <c r="P30" s="30">
        <f>SUM('[2]Bilan 2020'!$U$41:$U$43)/11.63</f>
        <v>2.7003587770125286</v>
      </c>
      <c r="Q30" s="30">
        <f>'[2]Bilan 2020'!$U$13/11.63</f>
        <v>9.0413234941421319</v>
      </c>
      <c r="R30" s="30">
        <f>('[2]Bilan 2020'!$U$22+'[2]Bilan 2020'!$U$30+SUM('[2]Bilan 2020'!$U$36:$U$40)+SUM('[2]Bilan 2020'!$U$44:$U$45)+'[2]Bilan 2020'!$U$47)/11.63</f>
        <v>13.277854957521116</v>
      </c>
      <c r="S30" s="95">
        <f t="shared" si="7"/>
        <v>25.792217113675775</v>
      </c>
      <c r="T30" s="95"/>
      <c r="U30" s="149" t="s">
        <v>24</v>
      </c>
      <c r="V30" t="s">
        <v>410</v>
      </c>
      <c r="W30" t="s">
        <v>411</v>
      </c>
      <c r="X30" t="s">
        <v>412</v>
      </c>
      <c r="Y30" t="s">
        <v>413</v>
      </c>
      <c r="Z30" s="16">
        <v>1.7843252570000001</v>
      </c>
      <c r="AA30" s="16">
        <v>9.3529290360000008</v>
      </c>
      <c r="AB30" s="16">
        <v>8.9819417030000004</v>
      </c>
      <c r="AC30" s="16">
        <v>12.71331762</v>
      </c>
      <c r="AD30" s="95">
        <v>32.832513616</v>
      </c>
    </row>
    <row r="31" spans="2:30" x14ac:dyDescent="0.25">
      <c r="C31" s="149" t="s">
        <v>47</v>
      </c>
      <c r="D31" t="s">
        <v>414</v>
      </c>
      <c r="E31" t="s">
        <v>415</v>
      </c>
      <c r="F31" t="s">
        <v>416</v>
      </c>
      <c r="G31" t="s">
        <v>417</v>
      </c>
      <c r="H31" s="16">
        <f>VLOOKUP(D31,Résultats!$B$2:$AX$476,'T energie vecteurs'!I5,FALSE)</f>
        <v>0.86355782449999996</v>
      </c>
      <c r="I31" s="16">
        <f>VLOOKUP(E31,Résultats!$B$2:$AX$476,'T energie vecteurs'!I5,FALSE)</f>
        <v>1.876856834</v>
      </c>
      <c r="J31" s="16">
        <f>VLOOKUP(F31,Résultats!$B$2:$AX$476,'T energie vecteurs'!I5,FALSE)</f>
        <v>0</v>
      </c>
      <c r="K31" s="16">
        <f>VLOOKUP(G31,Résultats!$B$2:$AX$476,'T energie vecteurs'!I5,FALSE)</f>
        <v>2.1040699049999998</v>
      </c>
      <c r="L31" s="95">
        <f t="shared" si="6"/>
        <v>4.8444845635</v>
      </c>
      <c r="M31" s="16"/>
      <c r="N31" s="149" t="s">
        <v>47</v>
      </c>
      <c r="O31" s="22">
        <f>'[2]Bilan 2020'!$E$52/11.63</f>
        <v>2.3899579332920635</v>
      </c>
      <c r="P31" s="16">
        <f>('[2]Bilan 2020'!$E$54+'[2]Bilan 2020'!$E$56)/11.63</f>
        <v>11.219614739599999</v>
      </c>
      <c r="Q31" s="16">
        <v>0</v>
      </c>
      <c r="R31" s="16">
        <f>('[2]Bilan 2020'!$E$53+'[2]Bilan 2020'!$E$55+'[2]Bilan 2020'!$E$57)/11.63</f>
        <v>1.0342163800515907</v>
      </c>
      <c r="S31" s="95">
        <f t="shared" si="7"/>
        <v>14.643789052943653</v>
      </c>
      <c r="T31" s="95"/>
      <c r="U31" s="149" t="s">
        <v>47</v>
      </c>
      <c r="V31" t="s">
        <v>414</v>
      </c>
      <c r="W31" t="s">
        <v>415</v>
      </c>
      <c r="X31" t="s">
        <v>416</v>
      </c>
      <c r="Y31" t="s">
        <v>417</v>
      </c>
      <c r="Z31" s="16">
        <v>0.86373539249999998</v>
      </c>
      <c r="AA31" s="16">
        <v>1.876008898</v>
      </c>
      <c r="AB31" s="16">
        <v>0</v>
      </c>
      <c r="AC31" s="16">
        <v>2.10102419</v>
      </c>
      <c r="AD31" s="95">
        <v>4.8407684804999995</v>
      </c>
    </row>
    <row r="32" spans="2:30" x14ac:dyDescent="0.25">
      <c r="C32" s="147" t="s">
        <v>25</v>
      </c>
      <c r="D32" t="s">
        <v>418</v>
      </c>
      <c r="E32" t="s">
        <v>419</v>
      </c>
      <c r="F32" t="s">
        <v>420</v>
      </c>
      <c r="G32" t="s">
        <v>421</v>
      </c>
      <c r="H32" s="8">
        <f>VLOOKUP(D32,Résultats!$B$2:$AX$476,'T energie vecteurs'!I5,FALSE)</f>
        <v>0</v>
      </c>
      <c r="I32" s="8">
        <f>VLOOKUP(E32,Résultats!$B$2:$AX$476,'T energie vecteurs'!I5,FALSE)</f>
        <v>2.3850467489999998</v>
      </c>
      <c r="J32" s="8">
        <f>VLOOKUP(F32,Résultats!$B$2:$AX$476,'T energie vecteurs'!I5,FALSE)</f>
        <v>0.31303898829999999</v>
      </c>
      <c r="K32" s="8">
        <f>VLOOKUP(G32,Résultats!$B$2:$AX$476,'T energie vecteurs'!I5,FALSE)</f>
        <v>0.36755917649999997</v>
      </c>
      <c r="L32" s="96">
        <f t="shared" si="6"/>
        <v>3.0656449137999995</v>
      </c>
      <c r="M32" s="16"/>
      <c r="N32" s="150" t="s">
        <v>25</v>
      </c>
      <c r="O32" s="29">
        <f>'[2]Bilan 2020'!$T$46/11.63</f>
        <v>1.3217009999999998E-3</v>
      </c>
      <c r="P32" s="28">
        <f>SUM('[2]Bilan 2020'!$T$41:$T$43)/11.63</f>
        <v>3.3486884684627563</v>
      </c>
      <c r="Q32" s="28">
        <f>'[2]Bilan 2020'!$T$13/11.63</f>
        <v>0.69143728159498707</v>
      </c>
      <c r="R32" s="28">
        <f>('[2]Bilan 2020'!$T$22+'[2]Bilan 2020'!$T$30+SUM('[2]Bilan 2020'!$T$36:$T$40)+SUM('[2]Bilan 2020'!$T$44:$T$45)+'[2]Bilan 2020'!$T$47)/11.63</f>
        <v>0.41959097162510717</v>
      </c>
      <c r="S32" s="142">
        <f t="shared" si="7"/>
        <v>4.4610384226828508</v>
      </c>
      <c r="T32" s="317">
        <f>S32</f>
        <v>4.4610384226828508</v>
      </c>
      <c r="U32" s="149" t="s">
        <v>25</v>
      </c>
      <c r="V32" t="s">
        <v>418</v>
      </c>
      <c r="W32" t="s">
        <v>419</v>
      </c>
      <c r="X32" t="s">
        <v>420</v>
      </c>
      <c r="Y32" t="s">
        <v>421</v>
      </c>
      <c r="Z32" s="16">
        <v>0</v>
      </c>
      <c r="AA32" s="16">
        <v>2.3952477679999999</v>
      </c>
      <c r="AB32" s="16">
        <v>0.31132121629999998</v>
      </c>
      <c r="AC32" s="16">
        <v>0.3701094808</v>
      </c>
      <c r="AD32" s="95">
        <v>3.0766784651000001</v>
      </c>
    </row>
    <row r="33" spans="3:30" x14ac:dyDescent="0.25">
      <c r="C33" s="23" t="s">
        <v>26</v>
      </c>
      <c r="D33" s="10"/>
      <c r="E33" s="10"/>
      <c r="F33" s="10"/>
      <c r="G33" s="10"/>
      <c r="H33" s="9">
        <f>SUM(H24,H27:H29)</f>
        <v>2.9648389415</v>
      </c>
      <c r="I33" s="9">
        <f>SUM(I24,I27:I29)</f>
        <v>61.771984834999998</v>
      </c>
      <c r="J33" s="9">
        <f>SUM(J24,J27:J29)</f>
        <v>36.195136070899999</v>
      </c>
      <c r="K33" s="9">
        <f>SUM(K24,K27:K29)</f>
        <v>41.883868448356196</v>
      </c>
      <c r="L33" s="98">
        <f t="shared" si="6"/>
        <v>142.81582829575621</v>
      </c>
      <c r="M33" s="79"/>
      <c r="N33" s="151" t="s">
        <v>26</v>
      </c>
      <c r="O33" s="32">
        <f>O24+O27+O28+O29+O32</f>
        <v>3.2152066752920638</v>
      </c>
      <c r="P33" s="31">
        <f>P24+P27+P28+P29+P32</f>
        <v>59.931006751765409</v>
      </c>
      <c r="Q33" s="31">
        <f>Q24+Q27+Q28+Q29+Q32</f>
        <v>34.793213034892403</v>
      </c>
      <c r="R33" s="31">
        <f>R24+R27+R28+R29+R32</f>
        <v>42.523974988451613</v>
      </c>
      <c r="S33" s="144">
        <f t="shared" si="7"/>
        <v>140.46340145040148</v>
      </c>
      <c r="T33" s="318">
        <f>SUM(T24:T32)</f>
        <v>137.71943369459754</v>
      </c>
      <c r="U33" s="23" t="s">
        <v>26</v>
      </c>
      <c r="V33" s="10"/>
      <c r="W33" s="10"/>
      <c r="X33" s="10"/>
      <c r="Y33" s="10"/>
      <c r="Z33" s="9">
        <v>2.9666882718000003</v>
      </c>
      <c r="AA33" s="9">
        <v>62.018882038000001</v>
      </c>
      <c r="AB33" s="9">
        <v>36.054887727600004</v>
      </c>
      <c r="AC33" s="9">
        <v>42.136615484404402</v>
      </c>
      <c r="AD33" s="98">
        <v>143.1770735218044</v>
      </c>
    </row>
    <row r="34" spans="3:30" s="3" customFormat="1" x14ac:dyDescent="0.25">
      <c r="H34" s="45"/>
      <c r="I34" s="45"/>
      <c r="J34" s="45"/>
      <c r="K34" s="45"/>
      <c r="L34" s="45"/>
      <c r="M34" s="45"/>
      <c r="N34" s="45"/>
      <c r="O34" s="77"/>
      <c r="P34" s="77"/>
      <c r="Q34" s="77"/>
      <c r="R34" s="78"/>
      <c r="S34" s="45"/>
      <c r="T34" s="45"/>
      <c r="Z34" s="45"/>
      <c r="AA34" s="45"/>
      <c r="AB34" s="45"/>
      <c r="AC34" s="45"/>
      <c r="AD34" s="45"/>
    </row>
    <row r="35" spans="3:30" s="3" customFormat="1" x14ac:dyDescent="0.25"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Z35" s="45"/>
      <c r="AA35" s="45"/>
      <c r="AB35" s="45"/>
      <c r="AC35" s="45"/>
      <c r="AD35" s="45"/>
    </row>
    <row r="36" spans="3:30" ht="31.5" x14ac:dyDescent="0.35">
      <c r="C36" s="145">
        <v>2022</v>
      </c>
      <c r="D36" s="146"/>
      <c r="E36" s="146"/>
      <c r="F36" s="146"/>
      <c r="G36" s="146"/>
      <c r="H36" s="76" t="s">
        <v>36</v>
      </c>
      <c r="I36" s="76" t="s">
        <v>49</v>
      </c>
      <c r="J36" s="76" t="s">
        <v>38</v>
      </c>
      <c r="K36" s="76" t="s">
        <v>48</v>
      </c>
      <c r="L36" s="93" t="s">
        <v>1</v>
      </c>
      <c r="M36" s="19"/>
      <c r="N36" s="145">
        <v>2022</v>
      </c>
      <c r="O36" s="141" t="s">
        <v>36</v>
      </c>
      <c r="P36" s="76" t="s">
        <v>49</v>
      </c>
      <c r="Q36" s="76" t="s">
        <v>38</v>
      </c>
      <c r="R36" s="76" t="s">
        <v>48</v>
      </c>
      <c r="S36" s="93" t="s">
        <v>1</v>
      </c>
      <c r="T36" s="316" t="s">
        <v>543</v>
      </c>
      <c r="U36" s="145">
        <v>2022</v>
      </c>
      <c r="V36" s="146"/>
      <c r="W36" s="146"/>
      <c r="X36" s="146"/>
      <c r="Y36" s="146"/>
      <c r="Z36" s="76" t="s">
        <v>36</v>
      </c>
      <c r="AA36" s="76" t="s">
        <v>49</v>
      </c>
      <c r="AB36" s="76" t="s">
        <v>38</v>
      </c>
      <c r="AC36" s="76" t="s">
        <v>48</v>
      </c>
      <c r="AD36" s="93" t="s">
        <v>1</v>
      </c>
    </row>
    <row r="37" spans="3:30" x14ac:dyDescent="0.25">
      <c r="C37" s="147" t="s">
        <v>18</v>
      </c>
      <c r="H37" s="8">
        <f>SUM(H38:H39)</f>
        <v>0</v>
      </c>
      <c r="I37" s="8">
        <f>SUM(I38:I39)</f>
        <v>41.556283260000001</v>
      </c>
      <c r="J37" s="8">
        <f>SUM(J38:J39)</f>
        <v>1.8293062035000001</v>
      </c>
      <c r="K37" s="8">
        <f>SUM(K38:K39)</f>
        <v>0.38453627579209998</v>
      </c>
      <c r="L37" s="96">
        <f t="shared" ref="L37:L46" si="11">SUM(H37:K37)</f>
        <v>43.770125739292105</v>
      </c>
      <c r="M37" s="75"/>
      <c r="N37" s="150" t="s">
        <v>18</v>
      </c>
      <c r="O37" s="29">
        <f>'[2]Bilan 2022 réel'!$X$46/11.63</f>
        <v>0</v>
      </c>
      <c r="P37" s="28">
        <f>SUM('[2]Bilan 2022 réel'!$X$41:$X$43)/11.63</f>
        <v>43.395882986244146</v>
      </c>
      <c r="Q37" s="28">
        <f>'[2]Bilan 2022 réel'!$X$13/11.63</f>
        <v>0.93062751504729158</v>
      </c>
      <c r="R37" s="28">
        <f>('[2]Bilan 2022 réel'!$X$22+'[2]Bilan 2022 réel'!$X$30+SUM('[2]Bilan 2022 réel'!$X$36:$X$40)+SUM('[2]Bilan 2022 réel'!$X$44:$X$45)+'[2]Bilan 2022 réel'!$X$47)/11.63</f>
        <v>0.31885683576956142</v>
      </c>
      <c r="S37" s="142">
        <f>SUM(O37:R37)</f>
        <v>44.645367337060996</v>
      </c>
      <c r="T37" s="317">
        <f>S37</f>
        <v>44.645367337060996</v>
      </c>
      <c r="U37" s="147" t="s">
        <v>18</v>
      </c>
      <c r="Z37" s="8">
        <v>0</v>
      </c>
      <c r="AA37" s="8">
        <v>41.601707860000005</v>
      </c>
      <c r="AB37" s="8">
        <v>1.8231850832999998</v>
      </c>
      <c r="AC37" s="8">
        <v>0.38884310470799999</v>
      </c>
      <c r="AD37" s="96">
        <v>43.813736048008003</v>
      </c>
    </row>
    <row r="38" spans="3:30" x14ac:dyDescent="0.25">
      <c r="C38" s="148" t="s">
        <v>19</v>
      </c>
      <c r="D38" t="s">
        <v>394</v>
      </c>
      <c r="E38" t="s">
        <v>395</v>
      </c>
      <c r="F38" t="s">
        <v>396</v>
      </c>
      <c r="G38" t="s">
        <v>397</v>
      </c>
      <c r="H38" s="16">
        <f>VLOOKUP(D38,Résultats!$B$2:$AX$476,'T energie vecteurs'!K5,FALSE)</f>
        <v>0</v>
      </c>
      <c r="I38" s="16">
        <f>VLOOKUP(E38,Résultats!$B$2:$AX$476,'T energie vecteurs'!K5,FALSE)</f>
        <v>22.927344680000001</v>
      </c>
      <c r="J38" s="16">
        <f>VLOOKUP(F38,Résultats!$B$2:$AX$476,'T energie vecteurs'!K5,FALSE)</f>
        <v>0.1184165115</v>
      </c>
      <c r="K38" s="16">
        <f>VLOOKUP(G51,Résultats!$B$2:$AX$476,'T energie vecteurs'!K5,FALSE)</f>
        <v>1.8276192099999999E-5</v>
      </c>
      <c r="L38" s="95">
        <f t="shared" si="11"/>
        <v>23.045779467692103</v>
      </c>
      <c r="M38" s="16"/>
      <c r="N38" s="148" t="s">
        <v>19</v>
      </c>
      <c r="O38" s="143"/>
      <c r="P38" s="16"/>
      <c r="Q38" s="34"/>
      <c r="R38" s="16"/>
      <c r="S38" s="95"/>
      <c r="T38" s="95"/>
      <c r="U38" s="148" t="s">
        <v>19</v>
      </c>
      <c r="V38" t="s">
        <v>394</v>
      </c>
      <c r="W38" t="s">
        <v>395</v>
      </c>
      <c r="X38" t="s">
        <v>396</v>
      </c>
      <c r="Y38" t="s">
        <v>397</v>
      </c>
      <c r="Z38" s="16">
        <v>0</v>
      </c>
      <c r="AA38" s="16">
        <v>22.924826800000002</v>
      </c>
      <c r="AB38" s="16">
        <v>0.11862449730000001</v>
      </c>
      <c r="AC38" s="16">
        <v>1.8382907999999998E-5</v>
      </c>
      <c r="AD38" s="95">
        <v>23.043469680208002</v>
      </c>
    </row>
    <row r="39" spans="3:30" x14ac:dyDescent="0.25">
      <c r="C39" s="149" t="s">
        <v>20</v>
      </c>
      <c r="D39" t="s">
        <v>398</v>
      </c>
      <c r="E39" t="s">
        <v>399</v>
      </c>
      <c r="F39" t="s">
        <v>400</v>
      </c>
      <c r="G39" t="s">
        <v>401</v>
      </c>
      <c r="H39" s="16">
        <f>VLOOKUP(D39,Résultats!$B$2:$AX$476,'T energie vecteurs'!K5,FALSE)</f>
        <v>0</v>
      </c>
      <c r="I39" s="16">
        <f>VLOOKUP(E39,Résultats!$B$2:$AX$476,'T energie vecteurs'!K5,FALSE)</f>
        <v>18.62893858</v>
      </c>
      <c r="J39" s="16">
        <f>VLOOKUP(F39,Résultats!$B$2:$AX$476,'T energie vecteurs'!K5,FALSE)</f>
        <v>1.7108896920000001</v>
      </c>
      <c r="K39" s="16">
        <f>VLOOKUP(G39,Résultats!$B$2:$AX$476,'T energie vecteurs'!K5,FALSE)</f>
        <v>0.38451799959999999</v>
      </c>
      <c r="L39" s="95">
        <f t="shared" si="11"/>
        <v>20.724346271599998</v>
      </c>
      <c r="M39" s="16"/>
      <c r="N39" s="149" t="s">
        <v>20</v>
      </c>
      <c r="O39" s="143"/>
      <c r="P39" s="16"/>
      <c r="Q39" s="34"/>
      <c r="R39" s="16"/>
      <c r="S39" s="95"/>
      <c r="T39" s="95"/>
      <c r="U39" s="149" t="s">
        <v>20</v>
      </c>
      <c r="V39" t="s">
        <v>398</v>
      </c>
      <c r="W39" t="s">
        <v>399</v>
      </c>
      <c r="X39" t="s">
        <v>400</v>
      </c>
      <c r="Y39" t="s">
        <v>401</v>
      </c>
      <c r="Z39" s="16">
        <v>0</v>
      </c>
      <c r="AA39" s="16">
        <v>18.676881059999999</v>
      </c>
      <c r="AB39" s="16">
        <v>1.7045605859999999</v>
      </c>
      <c r="AC39" s="16">
        <v>0.38882472179999999</v>
      </c>
      <c r="AD39" s="95">
        <v>20.770266367799998</v>
      </c>
    </row>
    <row r="40" spans="3:30" x14ac:dyDescent="0.25">
      <c r="C40" s="147" t="s">
        <v>21</v>
      </c>
      <c r="D40" t="s">
        <v>402</v>
      </c>
      <c r="E40" t="s">
        <v>403</v>
      </c>
      <c r="F40" t="s">
        <v>404</v>
      </c>
      <c r="G40" t="s">
        <v>405</v>
      </c>
      <c r="H40" s="8">
        <f>VLOOKUP(D40,Résultats!$B$2:$AX$476,'T energie vecteurs'!K5,FALSE)</f>
        <v>0.30437398329999998</v>
      </c>
      <c r="I40" s="8">
        <f>VLOOKUP(E40,Résultats!$B$2:$AX$476,'T energie vecteurs'!K5,FALSE)</f>
        <v>6.2902516220000004</v>
      </c>
      <c r="J40" s="8">
        <f>VLOOKUP(F40,Résultats!$B$2:$AX$476,'T energie vecteurs'!K5,FALSE)</f>
        <v>14.518215980000001</v>
      </c>
      <c r="K40" s="8">
        <f>VLOOKUP(G40,Résultats!$B$2:$AX$476,'T energie vecteurs'!K5,FALSE)+2</f>
        <v>18.573274600000001</v>
      </c>
      <c r="L40" s="96">
        <f t="shared" si="11"/>
        <v>39.686116185300001</v>
      </c>
      <c r="M40" s="75"/>
      <c r="N40" s="150" t="s">
        <v>21</v>
      </c>
      <c r="O40" s="29">
        <f>'[2]Bilan 2022 réel'!$V$46/11.63</f>
        <v>2.6476317000000003E-2</v>
      </c>
      <c r="P40" s="28">
        <f>SUM('[2]Bilan 2022 réel'!$V$41:$V$43)/11.63</f>
        <v>3.5006052343</v>
      </c>
      <c r="Q40" s="28">
        <f>'[2]Bilan 2022 réel'!$V$13/11.63</f>
        <v>13.359407222699915</v>
      </c>
      <c r="R40" s="28">
        <f>('[2]Bilan 2022 réel'!$V$22+'[2]Bilan 2022 réel'!$V$30+SUM('[2]Bilan 2022 réel'!$V$36:$V$40)+SUM('[2]Bilan 2022 réel'!$V$44:$V$45)+'[2]Bilan 2022 réel'!$V$47)/11.63</f>
        <v>20.358936597126686</v>
      </c>
      <c r="S40" s="142">
        <f t="shared" ref="S40:S46" si="12">SUM(O40:R40)</f>
        <v>37.245425371126601</v>
      </c>
      <c r="T40" s="317">
        <f>S40-'[2]Bilan 2022 réel'!$V$40/11.63</f>
        <v>33.84496208174091</v>
      </c>
      <c r="U40" s="147" t="s">
        <v>21</v>
      </c>
      <c r="V40" t="s">
        <v>402</v>
      </c>
      <c r="W40" t="s">
        <v>403</v>
      </c>
      <c r="X40" t="s">
        <v>404</v>
      </c>
      <c r="Y40" t="s">
        <v>405</v>
      </c>
      <c r="Z40" s="8">
        <v>0.30501769029999998</v>
      </c>
      <c r="AA40" s="8">
        <v>6.3077541640000003</v>
      </c>
      <c r="AB40" s="8">
        <v>14.509550369999999</v>
      </c>
      <c r="AC40" s="8">
        <v>18.635775750000001</v>
      </c>
      <c r="AD40" s="96">
        <v>39.7580979743</v>
      </c>
    </row>
    <row r="41" spans="3:30" x14ac:dyDescent="0.25">
      <c r="C41" s="147" t="s">
        <v>22</v>
      </c>
      <c r="D41" t="s">
        <v>406</v>
      </c>
      <c r="E41" t="s">
        <v>407</v>
      </c>
      <c r="F41" t="s">
        <v>408</v>
      </c>
      <c r="G41" t="s">
        <v>409</v>
      </c>
      <c r="H41" s="8">
        <f>VLOOKUP(D41,Résultats!$B$2:$AX$476,'T energie vecteurs'!K5,FALSE)</f>
        <v>0</v>
      </c>
      <c r="I41" s="8">
        <f>VLOOKUP(E41,Résultats!$B$2:$AX$476,'T energie vecteurs'!K5,FALSE)</f>
        <v>2.755119192</v>
      </c>
      <c r="J41" s="8">
        <f>VLOOKUP(F41,Résultats!$B$2:$AX$476,'T energie vecteurs'!K5,FALSE)</f>
        <v>11.113064230000001</v>
      </c>
      <c r="K41" s="8">
        <f>VLOOKUP(G41,Résultats!$B$2:$AX$476,'T energie vecteurs'!K5,FALSE)</f>
        <v>7.7104863769999996</v>
      </c>
      <c r="L41" s="96">
        <f t="shared" si="11"/>
        <v>21.578669799</v>
      </c>
      <c r="M41" s="75"/>
      <c r="N41" s="150" t="s">
        <v>22</v>
      </c>
      <c r="O41" s="29">
        <f>('[2]Bilan 2022 réel'!$W$46)/11.63</f>
        <v>3.2835727999999995E-2</v>
      </c>
      <c r="P41" s="28">
        <f>SUM('[2]Bilan 2022 réel'!$W$41:$W$43)/11.63</f>
        <v>2.0815720291000002</v>
      </c>
      <c r="Q41" s="28">
        <f>('[2]Bilan 2022 réel'!$W$13)/11.63</f>
        <v>11.4388796216681</v>
      </c>
      <c r="R41" s="28">
        <f>('[2]Bilan 2022 réel'!$W$22+'[2]Bilan 2022 réel'!$W$30+SUM('[2]Bilan 2022 réel'!$W$36:$W$40)+SUM('[2]Bilan 2022 réel'!$W$44:$W$45)+'[2]Bilan 2022 réel'!$W$47)/11.63</f>
        <v>7.4016622456291197</v>
      </c>
      <c r="S41" s="142">
        <f t="shared" si="12"/>
        <v>20.954949624397219</v>
      </c>
      <c r="T41" s="317">
        <f>S41-'[2]Bilan 2022 réel'!$W$40/11.63</f>
        <v>20.534610033301394</v>
      </c>
      <c r="U41" s="147" t="s">
        <v>22</v>
      </c>
      <c r="V41" t="s">
        <v>406</v>
      </c>
      <c r="W41" t="s">
        <v>407</v>
      </c>
      <c r="X41" t="s">
        <v>408</v>
      </c>
      <c r="Y41" t="s">
        <v>409</v>
      </c>
      <c r="Z41" s="8">
        <v>0</v>
      </c>
      <c r="AA41" s="8">
        <v>2.7557859630000001</v>
      </c>
      <c r="AB41" s="8">
        <v>11.08335205</v>
      </c>
      <c r="AC41" s="8">
        <v>7.7555464409999999</v>
      </c>
      <c r="AD41" s="96">
        <v>21.594684453999999</v>
      </c>
    </row>
    <row r="42" spans="3:30" x14ac:dyDescent="0.25">
      <c r="C42" s="147" t="s">
        <v>490</v>
      </c>
      <c r="H42" s="8">
        <f>SUM(H43:H44)</f>
        <v>2.6037063371000002</v>
      </c>
      <c r="I42" s="8">
        <f t="shared" ref="I42:K42" si="13">SUM(I43:I44)</f>
        <v>10.850887093999999</v>
      </c>
      <c r="J42" s="8">
        <f t="shared" si="13"/>
        <v>9.3025762870000008</v>
      </c>
      <c r="K42" s="8">
        <f t="shared" si="13"/>
        <v>14.924167773999999</v>
      </c>
      <c r="L42" s="96">
        <f t="shared" si="11"/>
        <v>37.681337492099999</v>
      </c>
      <c r="M42" s="75"/>
      <c r="N42" s="150" t="s">
        <v>490</v>
      </c>
      <c r="O42" s="29">
        <f>O43+O44</f>
        <v>4.5030917883254036</v>
      </c>
      <c r="P42" s="28">
        <f t="shared" ref="P42:R42" si="14">P43+P44</f>
        <v>11.747675010745624</v>
      </c>
      <c r="Q42" s="28">
        <f t="shared" si="14"/>
        <v>9.2559822012037838</v>
      </c>
      <c r="R42" s="28">
        <f t="shared" si="14"/>
        <v>13.798624448265977</v>
      </c>
      <c r="S42" s="142">
        <f t="shared" si="12"/>
        <v>39.305373448540784</v>
      </c>
      <c r="T42" s="317">
        <f t="shared" ref="T42" si="15">S42</f>
        <v>39.305373448540784</v>
      </c>
      <c r="U42" s="147" t="s">
        <v>490</v>
      </c>
      <c r="Z42" s="8">
        <v>2.6055347496999999</v>
      </c>
      <c r="AA42" s="8">
        <v>11.081408664</v>
      </c>
      <c r="AB42" s="8">
        <v>9.2421086750000008</v>
      </c>
      <c r="AC42" s="8">
        <v>15.05075349</v>
      </c>
      <c r="AD42" s="96">
        <v>37.979805578700002</v>
      </c>
    </row>
    <row r="43" spans="3:30" x14ac:dyDescent="0.25">
      <c r="C43" s="149" t="s">
        <v>24</v>
      </c>
      <c r="D43" t="s">
        <v>410</v>
      </c>
      <c r="E43" t="s">
        <v>411</v>
      </c>
      <c r="F43" t="s">
        <v>412</v>
      </c>
      <c r="G43" t="s">
        <v>413</v>
      </c>
      <c r="H43" s="16">
        <f>VLOOKUP(D43,Résultats!$B$2:$AX$476,'T energie vecteurs'!K5,FALSE)</f>
        <v>1.732157578</v>
      </c>
      <c r="I43" s="16">
        <f>VLOOKUP(E43,Résultats!$B$2:$AX$476,'T energie vecteurs'!K5,FALSE)</f>
        <v>8.9333319749999998</v>
      </c>
      <c r="J43" s="16">
        <f>VLOOKUP(F43,Résultats!$B$2:$AX$476,'T energie vecteurs'!K5,FALSE)</f>
        <v>9.3025762870000008</v>
      </c>
      <c r="K43" s="16">
        <f>VLOOKUP(G43,Résultats!$B$2:$AX$476,'T energie vecteurs'!K5,FALSE)</f>
        <v>12.783318599999999</v>
      </c>
      <c r="L43" s="95">
        <f t="shared" si="11"/>
        <v>32.751384440000002</v>
      </c>
      <c r="M43" s="16"/>
      <c r="N43" s="149" t="s">
        <v>491</v>
      </c>
      <c r="O43" s="143">
        <f>'[2]Bilan 2022 réel'!$U$46/11.63</f>
        <v>0.63402045200000001</v>
      </c>
      <c r="P43" s="30">
        <f>SUM('[2]Bilan 2022 réel'!$U$41:$U$43)/11.63</f>
        <v>2.4775829957456241</v>
      </c>
      <c r="Q43" s="30">
        <f>'[2]Bilan 2022 réel'!$U$13/11.63</f>
        <v>9.2559822012037838</v>
      </c>
      <c r="R43" s="30">
        <f>('[2]Bilan 2022 réel'!$U$22+'[2]Bilan 2022 réel'!$U$30+SUM('[2]Bilan 2022 réel'!$U$36:$U$40)+SUM('[2]Bilan 2022 réel'!$U$44:$U$45)+'[2]Bilan 2022 réel'!$U$47)/11.63</f>
        <v>12.926272664087129</v>
      </c>
      <c r="S43" s="95">
        <f t="shared" si="12"/>
        <v>25.293858313036537</v>
      </c>
      <c r="T43" s="95"/>
      <c r="U43" s="149" t="s">
        <v>24</v>
      </c>
      <c r="V43" t="s">
        <v>410</v>
      </c>
      <c r="W43" t="s">
        <v>411</v>
      </c>
      <c r="X43" t="s">
        <v>412</v>
      </c>
      <c r="Y43" t="s">
        <v>413</v>
      </c>
      <c r="Z43" s="16">
        <v>1.7329112229999999</v>
      </c>
      <c r="AA43" s="16">
        <v>9.1647792429999999</v>
      </c>
      <c r="AB43" s="16">
        <v>9.2421086750000008</v>
      </c>
      <c r="AC43" s="16">
        <v>12.913079939999999</v>
      </c>
      <c r="AD43" s="95">
        <v>33.052879081</v>
      </c>
    </row>
    <row r="44" spans="3:30" x14ac:dyDescent="0.25">
      <c r="C44" s="149" t="s">
        <v>47</v>
      </c>
      <c r="D44" t="s">
        <v>414</v>
      </c>
      <c r="E44" t="s">
        <v>415</v>
      </c>
      <c r="F44" t="s">
        <v>416</v>
      </c>
      <c r="G44" t="s">
        <v>417</v>
      </c>
      <c r="H44" s="16">
        <f>VLOOKUP(D44,Résultats!$B$2:$AX$476,'T energie vecteurs'!K5,FALSE)</f>
        <v>0.87154875909999996</v>
      </c>
      <c r="I44" s="16">
        <f>VLOOKUP(E44,Résultats!$B$2:$AX$476,'T energie vecteurs'!K5,FALSE)</f>
        <v>1.917555119</v>
      </c>
      <c r="J44" s="16">
        <f>VLOOKUP(F44,Résultats!$B$2:$AX$476,'T energie vecteurs'!K5,FALSE)</f>
        <v>0</v>
      </c>
      <c r="K44" s="16">
        <f>VLOOKUP(G44,Résultats!$B$2:$AX$476,'T energie vecteurs'!K5,FALSE)</f>
        <v>2.140849174</v>
      </c>
      <c r="L44" s="95">
        <f t="shared" si="11"/>
        <v>4.9299530521000001</v>
      </c>
      <c r="M44" s="16"/>
      <c r="N44" s="149" t="s">
        <v>47</v>
      </c>
      <c r="O44" s="22">
        <f>'[2]Bilan 2022 réel'!$E$52/11.63</f>
        <v>3.8690713363254039</v>
      </c>
      <c r="P44" s="16">
        <f>('[2]Bilan 2022 réel'!$E$54+'[2]Bilan 2022 réel'!$E$56)/11.63</f>
        <v>9.2700920149999995</v>
      </c>
      <c r="Q44" s="16">
        <v>0</v>
      </c>
      <c r="R44" s="16">
        <f>('[2]Bilan 2022 réel'!$E$53+'[2]Bilan 2022 réel'!$E$55+'[2]Bilan 2022 réel'!$E$57)/11.63</f>
        <v>0.87235178417884784</v>
      </c>
      <c r="S44" s="95">
        <f t="shared" si="12"/>
        <v>14.011515135504252</v>
      </c>
      <c r="T44" s="95"/>
      <c r="U44" s="149" t="s">
        <v>47</v>
      </c>
      <c r="V44" t="s">
        <v>414</v>
      </c>
      <c r="W44" t="s">
        <v>415</v>
      </c>
      <c r="X44" t="s">
        <v>416</v>
      </c>
      <c r="Y44" t="s">
        <v>417</v>
      </c>
      <c r="Z44" s="16">
        <v>0.87262352669999999</v>
      </c>
      <c r="AA44" s="16">
        <v>1.9166294210000001</v>
      </c>
      <c r="AB44" s="16">
        <v>0</v>
      </c>
      <c r="AC44" s="16">
        <v>2.1376735500000001</v>
      </c>
      <c r="AD44" s="95">
        <v>4.9269264977000002</v>
      </c>
    </row>
    <row r="45" spans="3:30" x14ac:dyDescent="0.25">
      <c r="C45" s="147" t="s">
        <v>25</v>
      </c>
      <c r="D45" t="s">
        <v>418</v>
      </c>
      <c r="E45" t="s">
        <v>419</v>
      </c>
      <c r="F45" t="s">
        <v>420</v>
      </c>
      <c r="G45" t="s">
        <v>421</v>
      </c>
      <c r="H45" s="8">
        <f>VLOOKUP(D45,Résultats!$B$2:$AX$476,'T energie vecteurs'!K5,FALSE)</f>
        <v>0</v>
      </c>
      <c r="I45" s="8">
        <f>VLOOKUP(E45,Résultats!$B$2:$AX$476,'T energie vecteurs'!K5,FALSE)</f>
        <v>2.502388346</v>
      </c>
      <c r="J45" s="8">
        <f>VLOOKUP(F45,Résultats!$B$2:$AX$476,'T energie vecteurs'!K5,FALSE)</f>
        <v>0.32008009079999999</v>
      </c>
      <c r="K45" s="8">
        <f>VLOOKUP(G45,Résultats!$B$2:$AX$476,'T energie vecteurs'!K5,FALSE)</f>
        <v>0.37919081999999998</v>
      </c>
      <c r="L45" s="96">
        <f t="shared" si="11"/>
        <v>3.2016592567999997</v>
      </c>
      <c r="M45" s="16"/>
      <c r="N45" s="150" t="s">
        <v>25</v>
      </c>
      <c r="O45" s="29">
        <f>'[2]Bilan 2022 réel'!$T$46/11.63</f>
        <v>1.651664E-3</v>
      </c>
      <c r="P45" s="28">
        <f>SUM('[2]Bilan 2022 réel'!$T$41:$T$43)/11.63</f>
        <v>3.5697769387513203</v>
      </c>
      <c r="Q45" s="28">
        <f>'[2]Bilan 2022 réel'!$T$13/11.63</f>
        <v>0.67291487532244199</v>
      </c>
      <c r="R45" s="28">
        <f>('[2]Bilan 2022 réel'!$T$22+'[2]Bilan 2022 réel'!$T$30+SUM('[2]Bilan 2022 réel'!$T$36:$T$40)+SUM('[2]Bilan 2022 réel'!$T$44:$T$45)+'[2]Bilan 2022 réel'!$T$47)/11.63</f>
        <v>0.43996563007547523</v>
      </c>
      <c r="S45" s="142">
        <f t="shared" si="12"/>
        <v>4.6843091081492378</v>
      </c>
      <c r="T45" s="317">
        <f>S45</f>
        <v>4.6843091081492378</v>
      </c>
      <c r="U45" s="149" t="s">
        <v>25</v>
      </c>
      <c r="V45" t="s">
        <v>418</v>
      </c>
      <c r="W45" t="s">
        <v>419</v>
      </c>
      <c r="X45" t="s">
        <v>420</v>
      </c>
      <c r="Y45" t="s">
        <v>421</v>
      </c>
      <c r="Z45" s="16">
        <v>0</v>
      </c>
      <c r="AA45" s="16">
        <v>2.5119301630000002</v>
      </c>
      <c r="AB45" s="16">
        <v>0.31896459119999998</v>
      </c>
      <c r="AC45" s="16">
        <v>0.38141049170000002</v>
      </c>
      <c r="AD45" s="95">
        <v>3.2123052459000001</v>
      </c>
    </row>
    <row r="46" spans="3:30" x14ac:dyDescent="0.25">
      <c r="C46" s="23" t="s">
        <v>26</v>
      </c>
      <c r="D46" s="10"/>
      <c r="E46" s="10"/>
      <c r="F46" s="10"/>
      <c r="G46" s="10"/>
      <c r="H46" s="9">
        <f>SUM(H37,H40:H42)</f>
        <v>2.9080803204000003</v>
      </c>
      <c r="I46" s="9">
        <f>SUM(I37,I40:I42)</f>
        <v>61.452541168000003</v>
      </c>
      <c r="J46" s="9">
        <f>SUM(J37,J40:J42)</f>
        <v>36.763162700500004</v>
      </c>
      <c r="K46" s="9">
        <f>SUM(K37,K40:K42)</f>
        <v>41.592465026792098</v>
      </c>
      <c r="L46" s="98">
        <f t="shared" si="11"/>
        <v>142.7162492156921</v>
      </c>
      <c r="M46" s="79"/>
      <c r="N46" s="151" t="s">
        <v>26</v>
      </c>
      <c r="O46" s="32">
        <f>O37+O40+O41+O42+O45</f>
        <v>4.5640554973254037</v>
      </c>
      <c r="P46" s="31">
        <f>P37+P40+P41+P42+P45</f>
        <v>64.295512199141086</v>
      </c>
      <c r="Q46" s="31">
        <f>Q37+Q40+Q41+Q42+Q45</f>
        <v>35.657811435941532</v>
      </c>
      <c r="R46" s="31">
        <f>R37+R40+R41+R42+R45</f>
        <v>42.318045756866823</v>
      </c>
      <c r="S46" s="144">
        <f t="shared" si="12"/>
        <v>146.83542488927486</v>
      </c>
      <c r="T46" s="318">
        <f>SUM(T37:T45)</f>
        <v>143.01462200879334</v>
      </c>
      <c r="U46" s="23" t="s">
        <v>26</v>
      </c>
      <c r="V46" s="10"/>
      <c r="W46" s="10"/>
      <c r="X46" s="10"/>
      <c r="Y46" s="10"/>
      <c r="Z46" s="9">
        <v>2.91055244</v>
      </c>
      <c r="AA46" s="9">
        <v>61.746656651000009</v>
      </c>
      <c r="AB46" s="9">
        <v>36.658196178300003</v>
      </c>
      <c r="AC46" s="9">
        <v>41.830918785708</v>
      </c>
      <c r="AD46" s="98">
        <v>143.14632405500802</v>
      </c>
    </row>
    <row r="47" spans="3:30" s="3" customFormat="1" x14ac:dyDescent="0.25">
      <c r="H47" s="45"/>
      <c r="I47" s="45"/>
      <c r="J47" s="45"/>
      <c r="K47" s="45"/>
      <c r="L47" s="45"/>
      <c r="M47" s="45"/>
      <c r="N47" s="45"/>
      <c r="O47" s="77"/>
      <c r="P47" s="77"/>
      <c r="Q47" s="77"/>
      <c r="R47" s="78"/>
      <c r="S47" s="45"/>
      <c r="T47" s="45"/>
      <c r="Z47" s="45"/>
      <c r="AA47" s="45"/>
      <c r="AB47" s="45"/>
      <c r="AC47" s="45"/>
      <c r="AD47" s="45"/>
    </row>
    <row r="48" spans="3:30" s="3" customFormat="1" x14ac:dyDescent="0.25"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Z48" s="45"/>
      <c r="AA48" s="45"/>
      <c r="AB48" s="45"/>
      <c r="AC48" s="45"/>
      <c r="AD48" s="45"/>
    </row>
    <row r="49" spans="2:30" ht="31.5" x14ac:dyDescent="0.35">
      <c r="C49" s="145">
        <v>2023</v>
      </c>
      <c r="D49" s="146"/>
      <c r="E49" s="146"/>
      <c r="F49" s="146"/>
      <c r="G49" s="146"/>
      <c r="H49" s="76" t="s">
        <v>36</v>
      </c>
      <c r="I49" s="76" t="s">
        <v>49</v>
      </c>
      <c r="J49" s="76" t="s">
        <v>38</v>
      </c>
      <c r="K49" s="76" t="s">
        <v>48</v>
      </c>
      <c r="L49" s="93" t="s">
        <v>1</v>
      </c>
      <c r="M49" s="19"/>
      <c r="N49" s="145">
        <v>2023</v>
      </c>
      <c r="O49" s="141" t="s">
        <v>36</v>
      </c>
      <c r="P49" s="76" t="s">
        <v>49</v>
      </c>
      <c r="Q49" s="76" t="s">
        <v>38</v>
      </c>
      <c r="R49" s="76" t="s">
        <v>48</v>
      </c>
      <c r="S49" s="93" t="s">
        <v>1</v>
      </c>
      <c r="T49" s="316" t="s">
        <v>543</v>
      </c>
      <c r="U49" s="145">
        <v>2023</v>
      </c>
      <c r="V49" s="146"/>
      <c r="W49" s="146"/>
      <c r="X49" s="146"/>
      <c r="Y49" s="146"/>
      <c r="Z49" s="76" t="s">
        <v>36</v>
      </c>
      <c r="AA49" s="76" t="s">
        <v>49</v>
      </c>
      <c r="AB49" s="76" t="s">
        <v>38</v>
      </c>
      <c r="AC49" s="76" t="s">
        <v>48</v>
      </c>
      <c r="AD49" s="93" t="s">
        <v>1</v>
      </c>
    </row>
    <row r="50" spans="2:30" x14ac:dyDescent="0.25">
      <c r="C50" s="147" t="s">
        <v>18</v>
      </c>
      <c r="H50" s="8">
        <f>SUM(H51:H52)</f>
        <v>0</v>
      </c>
      <c r="I50" s="8">
        <f>SUM(I51:I52)</f>
        <v>41.477284140000002</v>
      </c>
      <c r="J50" s="8">
        <f>SUM(J51:J52)</f>
        <v>1.9952997563000001</v>
      </c>
      <c r="K50" s="8">
        <f>SUM(K51:K52)</f>
        <v>0.42783862955219998</v>
      </c>
      <c r="L50" s="96">
        <f>SUM(H50:K50)</f>
        <v>43.9004225258522</v>
      </c>
      <c r="M50" s="75"/>
      <c r="N50" s="150" t="s">
        <v>18</v>
      </c>
      <c r="O50" s="29">
        <f>'[2]Bilan 2023 réel'!$X$46/11.63</f>
        <v>0</v>
      </c>
      <c r="P50" s="28">
        <f>SUM('[2]Bilan 2023 réel'!$X$41:$X$43)/11.63</f>
        <v>42.139633010859157</v>
      </c>
      <c r="Q50" s="28">
        <f>'[2]Bilan 2023 réel'!$X$13/11.63</f>
        <v>0.9065512467755803</v>
      </c>
      <c r="R50" s="28">
        <f>('[2]Bilan 2023 réel'!$X$22+'[2]Bilan 2023 réel'!$X$30+SUM('[2]Bilan 2023 réel'!$X$36:$X$40)+SUM('[2]Bilan 2023 réel'!$X$44:$X$45)+'[2]Bilan 2023 réel'!$X$47)/11.63</f>
        <v>0.31885683576956142</v>
      </c>
      <c r="S50" s="142">
        <f>SUM(O50:R50)</f>
        <v>43.365041093404294</v>
      </c>
      <c r="T50" s="317">
        <f>S50</f>
        <v>43.365041093404294</v>
      </c>
      <c r="U50" s="147" t="s">
        <v>18</v>
      </c>
      <c r="Z50" s="8">
        <v>0</v>
      </c>
      <c r="AA50" s="8">
        <v>41.582526099999995</v>
      </c>
      <c r="AB50" s="8">
        <v>1.9731035952</v>
      </c>
      <c r="AC50" s="8">
        <v>0.43162577162980004</v>
      </c>
      <c r="AD50" s="96">
        <v>43.987255466829794</v>
      </c>
    </row>
    <row r="51" spans="2:30" x14ac:dyDescent="0.25">
      <c r="C51" s="148" t="s">
        <v>19</v>
      </c>
      <c r="D51" t="s">
        <v>394</v>
      </c>
      <c r="E51" t="s">
        <v>395</v>
      </c>
      <c r="F51" t="s">
        <v>396</v>
      </c>
      <c r="G51" t="s">
        <v>397</v>
      </c>
      <c r="H51" s="16">
        <f>VLOOKUP(D51,Résultats!$B$2:$AX$476,'T energie vecteurs'!L5,FALSE)</f>
        <v>0</v>
      </c>
      <c r="I51" s="16">
        <f>VLOOKUP(E51,Résultats!$B$2:$AX$476,'T energie vecteurs'!L5,FALSE)</f>
        <v>22.59871176</v>
      </c>
      <c r="J51" s="16">
        <f>VLOOKUP(F51,Résultats!$B$2:$AX$476,'T energie vecteurs'!L5,FALSE)</f>
        <v>0.14953766330000001</v>
      </c>
      <c r="K51" s="16">
        <f>VLOOKUP(G51,Résultats!$B$2:$AX$476,'T energie vecteurs'!L5,FALSE)</f>
        <v>2.0754252200000001E-5</v>
      </c>
      <c r="L51" s="95">
        <f t="shared" ref="L51:L52" si="16">SUM(H51:K51)</f>
        <v>22.7482701775522</v>
      </c>
      <c r="M51" s="16"/>
      <c r="N51" s="148" t="s">
        <v>19</v>
      </c>
      <c r="O51" s="143"/>
      <c r="P51" s="16"/>
      <c r="Q51" s="34"/>
      <c r="R51" s="16"/>
      <c r="S51" s="95"/>
      <c r="T51" s="95"/>
      <c r="U51" s="148" t="s">
        <v>19</v>
      </c>
      <c r="V51" t="s">
        <v>394</v>
      </c>
      <c r="W51" t="s">
        <v>395</v>
      </c>
      <c r="X51" t="s">
        <v>396</v>
      </c>
      <c r="Y51" t="s">
        <v>397</v>
      </c>
      <c r="Z51" s="16">
        <v>0</v>
      </c>
      <c r="AA51" s="16">
        <v>22.652132269999999</v>
      </c>
      <c r="AB51" s="16">
        <v>0.15190464519999999</v>
      </c>
      <c r="AC51" s="16">
        <v>2.1040729799999999E-5</v>
      </c>
      <c r="AD51" s="95">
        <v>22.804057955929796</v>
      </c>
    </row>
    <row r="52" spans="2:30" x14ac:dyDescent="0.25">
      <c r="C52" s="149" t="s">
        <v>20</v>
      </c>
      <c r="D52" t="s">
        <v>398</v>
      </c>
      <c r="E52" t="s">
        <v>399</v>
      </c>
      <c r="F52" t="s">
        <v>400</v>
      </c>
      <c r="G52" t="s">
        <v>401</v>
      </c>
      <c r="H52" s="16">
        <f>VLOOKUP(D52,Résultats!$B$2:$AX$476,'T energie vecteurs'!L5,FALSE)</f>
        <v>0</v>
      </c>
      <c r="I52" s="16">
        <f>VLOOKUP(E52,Résultats!$B$2:$AX$476,'T energie vecteurs'!L5,FALSE)</f>
        <v>18.878572380000001</v>
      </c>
      <c r="J52" s="16">
        <f>VLOOKUP(F52,Résultats!$B$2:$AX$476,'T energie vecteurs'!L5,FALSE)</f>
        <v>1.845762093</v>
      </c>
      <c r="K52" s="16">
        <f>VLOOKUP(G52,Résultats!$B$2:$AX$476,'T energie vecteurs'!L5,FALSE)</f>
        <v>0.42781787529999998</v>
      </c>
      <c r="L52" s="95">
        <f t="shared" si="16"/>
        <v>21.152152348300003</v>
      </c>
      <c r="M52" s="16"/>
      <c r="N52" s="149" t="s">
        <v>20</v>
      </c>
      <c r="O52" s="143"/>
      <c r="P52" s="16"/>
      <c r="Q52" s="34"/>
      <c r="R52" s="16"/>
      <c r="S52" s="95"/>
      <c r="T52" s="95"/>
      <c r="U52" s="149" t="s">
        <v>20</v>
      </c>
      <c r="V52" t="s">
        <v>398</v>
      </c>
      <c r="W52" t="s">
        <v>399</v>
      </c>
      <c r="X52" t="s">
        <v>400</v>
      </c>
      <c r="Y52" t="s">
        <v>401</v>
      </c>
      <c r="Z52" s="16">
        <v>0</v>
      </c>
      <c r="AA52" s="16">
        <v>18.93039383</v>
      </c>
      <c r="AB52" s="16">
        <v>1.8211989500000001</v>
      </c>
      <c r="AC52" s="16">
        <v>0.43160473090000001</v>
      </c>
      <c r="AD52" s="95">
        <v>21.183197510899998</v>
      </c>
    </row>
    <row r="53" spans="2:30" x14ac:dyDescent="0.25">
      <c r="C53" s="147" t="s">
        <v>21</v>
      </c>
      <c r="D53" t="s">
        <v>402</v>
      </c>
      <c r="E53" t="s">
        <v>403</v>
      </c>
      <c r="F53" t="s">
        <v>404</v>
      </c>
      <c r="G53" t="s">
        <v>405</v>
      </c>
      <c r="H53" s="8">
        <f>VLOOKUP(D53,Résultats!$B$2:$AX$476,'T energie vecteurs'!L5,FALSE)</f>
        <v>0.29805990989999998</v>
      </c>
      <c r="I53" s="292">
        <f>VLOOKUP(E53,Résultats!$B$2:$AX$476,'T energie vecteurs'!L5,FALSE)</f>
        <v>6.2203872479999998</v>
      </c>
      <c r="J53" s="8">
        <f>VLOOKUP(F53,Résultats!$B$2:$AX$476,'T energie vecteurs'!L5,FALSE)</f>
        <v>14.60775997</v>
      </c>
      <c r="K53" s="8">
        <f>VLOOKUP(G53,Résultats!$B$2:$AX$476,'T energie vecteurs'!L5,FALSE)+2</f>
        <v>18.460449239999999</v>
      </c>
      <c r="L53" s="96">
        <f>SUM(H53:K53)</f>
        <v>39.586656367899998</v>
      </c>
      <c r="M53" s="75"/>
      <c r="N53" s="150" t="s">
        <v>21</v>
      </c>
      <c r="O53" s="29">
        <f>'[2]Bilan 2023 réel'!$V$46/11.63</f>
        <v>1.9785054E-2</v>
      </c>
      <c r="P53" s="28">
        <f>SUM('[2]Bilan 2023 réel'!$V$41:$V$43)/11.63</f>
        <v>3.0423469738</v>
      </c>
      <c r="Q53" s="28">
        <f>'[2]Bilan 2023 réel'!$V$13/11.63</f>
        <v>13.020267239896821</v>
      </c>
      <c r="R53" s="28">
        <f>('[2]Bilan 2023 réel'!$V$22+'[2]Bilan 2023 réel'!$V$30+SUM('[2]Bilan 2023 réel'!$V$36:$V$40)+SUM('[2]Bilan 2023 réel'!$V$44:$V$45)+'[2]Bilan 2023 réel'!$V$47)/11.63</f>
        <v>20.330842243575045</v>
      </c>
      <c r="S53" s="142">
        <f t="shared" ref="S53:S59" si="17">SUM(O53:R53)</f>
        <v>36.413241511271863</v>
      </c>
      <c r="T53" s="317">
        <f>S53-'[2]Bilan 2023 réel'!$V$40/11.63</f>
        <v>32.592131092813851</v>
      </c>
      <c r="U53" s="147" t="s">
        <v>21</v>
      </c>
      <c r="V53" t="s">
        <v>402</v>
      </c>
      <c r="W53" t="s">
        <v>403</v>
      </c>
      <c r="X53" t="s">
        <v>404</v>
      </c>
      <c r="Y53" t="s">
        <v>405</v>
      </c>
      <c r="Z53" s="8">
        <v>0.29875573909999997</v>
      </c>
      <c r="AA53" s="292">
        <v>6.2333538300000004</v>
      </c>
      <c r="AB53" s="8">
        <v>14.607608369999999</v>
      </c>
      <c r="AC53" s="8">
        <v>18.512334450000001</v>
      </c>
      <c r="AD53" s="96">
        <v>39.6520523891</v>
      </c>
    </row>
    <row r="54" spans="2:30" x14ac:dyDescent="0.25">
      <c r="C54" s="147" t="s">
        <v>22</v>
      </c>
      <c r="D54" t="s">
        <v>406</v>
      </c>
      <c r="E54" t="s">
        <v>407</v>
      </c>
      <c r="F54" t="s">
        <v>408</v>
      </c>
      <c r="G54" t="s">
        <v>409</v>
      </c>
      <c r="H54" s="8">
        <f>VLOOKUP(D54,Résultats!$B$2:$AX$476,'T energie vecteurs'!L5,FALSE)</f>
        <v>0</v>
      </c>
      <c r="I54" s="8">
        <f>VLOOKUP(E54,Résultats!$B$2:$AX$476,'T energie vecteurs'!L5,FALSE)</f>
        <v>2.774179486</v>
      </c>
      <c r="J54" s="8">
        <f>VLOOKUP(F54,Résultats!$B$2:$AX$476,'T energie vecteurs'!L5,FALSE)</f>
        <v>11.025138460000001</v>
      </c>
      <c r="K54" s="8">
        <f>VLOOKUP(G54,Résultats!$B$2:$AX$476,'T energie vecteurs'!L5,FALSE)</f>
        <v>7.6869771160000004</v>
      </c>
      <c r="L54" s="96">
        <f t="shared" ref="L54:L56" si="18">SUM(H54:K54)</f>
        <v>21.486295062</v>
      </c>
      <c r="M54" s="75"/>
      <c r="N54" s="150" t="s">
        <v>22</v>
      </c>
      <c r="O54" s="29">
        <f>('[2]Bilan 2023 réel'!$W$46)/11.63</f>
        <v>2.9470376E-2</v>
      </c>
      <c r="P54" s="28">
        <f>SUM('[2]Bilan 2023 réel'!$W$41:$W$43)/11.63</f>
        <v>2.063881609425366</v>
      </c>
      <c r="Q54" s="28">
        <f>('[2]Bilan 2023 réel'!$W$13)/11.63</f>
        <v>11.200373602751505</v>
      </c>
      <c r="R54" s="28">
        <f>('[2]Bilan 2023 réel'!$W$22+'[2]Bilan 2023 réel'!$W$30+SUM('[2]Bilan 2023 réel'!$W$36:$W$40)+SUM('[2]Bilan 2023 réel'!$W$44:$W$45)+'[2]Bilan 2023 réel'!$W$47)/11.63</f>
        <v>7.0633917765357781</v>
      </c>
      <c r="S54" s="142">
        <f t="shared" si="17"/>
        <v>20.35711736471265</v>
      </c>
      <c r="T54" s="317">
        <f>S54-'[2]Bilan 2023 réel'!$W$40/11.63</f>
        <v>19.922166758044071</v>
      </c>
      <c r="U54" s="147" t="s">
        <v>22</v>
      </c>
      <c r="V54" t="s">
        <v>406</v>
      </c>
      <c r="W54" t="s">
        <v>407</v>
      </c>
      <c r="X54" t="s">
        <v>408</v>
      </c>
      <c r="Y54" t="s">
        <v>409</v>
      </c>
      <c r="Z54" s="8">
        <v>0</v>
      </c>
      <c r="AA54" s="8">
        <v>2.7733747499999999</v>
      </c>
      <c r="AB54" s="8">
        <v>11.01172687</v>
      </c>
      <c r="AC54" s="8">
        <v>7.7230016040000002</v>
      </c>
      <c r="AD54" s="96">
        <v>21.508103224000003</v>
      </c>
    </row>
    <row r="55" spans="2:30" x14ac:dyDescent="0.25">
      <c r="C55" s="147" t="s">
        <v>490</v>
      </c>
      <c r="H55" s="8">
        <f>SUM(H56:H57)</f>
        <v>2.6179268891</v>
      </c>
      <c r="I55" s="8">
        <f t="shared" ref="I55:K55" si="19">SUM(I56:I57)</f>
        <v>10.85066033299999</v>
      </c>
      <c r="J55" s="8">
        <f t="shared" si="19"/>
        <v>9.5544131399999994</v>
      </c>
      <c r="K55" s="8">
        <f t="shared" si="19"/>
        <v>15.141497689000001</v>
      </c>
      <c r="L55" s="96">
        <f t="shared" si="18"/>
        <v>38.16449805109999</v>
      </c>
      <c r="M55" s="75"/>
      <c r="N55" s="150" t="s">
        <v>490</v>
      </c>
      <c r="O55" s="29">
        <f>O56+O57</f>
        <v>3.8091541290558895</v>
      </c>
      <c r="P55" s="28">
        <f t="shared" ref="P55:R55" si="20">P56+P57</f>
        <v>12.120619615422576</v>
      </c>
      <c r="Q55" s="28">
        <f t="shared" si="20"/>
        <v>8.8688043852106624</v>
      </c>
      <c r="R55" s="28">
        <f t="shared" si="20"/>
        <v>13.009554326375659</v>
      </c>
      <c r="S55" s="142">
        <f t="shared" si="17"/>
        <v>37.808132456064783</v>
      </c>
      <c r="T55" s="317">
        <f t="shared" ref="T55" si="21">S55</f>
        <v>37.808132456064783</v>
      </c>
      <c r="U55" s="147" t="s">
        <v>490</v>
      </c>
      <c r="Z55" s="8">
        <v>2.6190376276</v>
      </c>
      <c r="AA55" s="8">
        <v>11.105466030999999</v>
      </c>
      <c r="AB55" s="8">
        <v>9.4968559250000002</v>
      </c>
      <c r="AC55" s="8">
        <v>15.269717437999999</v>
      </c>
      <c r="AD55" s="96">
        <v>38.491077021599999</v>
      </c>
    </row>
    <row r="56" spans="2:30" x14ac:dyDescent="0.25">
      <c r="C56" s="149" t="s">
        <v>24</v>
      </c>
      <c r="D56" t="s">
        <v>410</v>
      </c>
      <c r="E56" t="s">
        <v>411</v>
      </c>
      <c r="F56" t="s">
        <v>412</v>
      </c>
      <c r="G56" t="s">
        <v>413</v>
      </c>
      <c r="H56" s="16">
        <f>VLOOKUP(D56,Résultats!$B$2:$AX$476,'T energie vecteurs'!L5,FALSE)</f>
        <v>1.731715334</v>
      </c>
      <c r="I56" s="16">
        <f>VLOOKUP(E56,Résultats!$B$2:$AX$476,'T energie vecteurs'!L5,FALSE)</f>
        <v>8.8916746989999904</v>
      </c>
      <c r="J56" s="16">
        <f>VLOOKUP(F56,Résultats!$B$2:$AX$476,'T energie vecteurs'!L5,FALSE)</f>
        <v>9.5544131399999994</v>
      </c>
      <c r="K56" s="16">
        <f>VLOOKUP(G56,Résultats!$B$2:$AX$476,'T energie vecteurs'!L5,FALSE)</f>
        <v>12.965696080000001</v>
      </c>
      <c r="L56" s="95">
        <f t="shared" si="18"/>
        <v>33.143499252999987</v>
      </c>
      <c r="M56" s="16"/>
      <c r="N56" s="149" t="s">
        <v>491</v>
      </c>
      <c r="O56" s="143">
        <f>'[2]Bilan 2023 réel'!$U$46/11.63</f>
        <v>0.58092196100000004</v>
      </c>
      <c r="P56" s="30">
        <f>SUM('[2]Bilan 2023 réel'!$U$41:$U$43)/11.63</f>
        <v>2.395717067522579</v>
      </c>
      <c r="Q56" s="30">
        <f>'[2]Bilan 2023 réel'!$U$13/11.63</f>
        <v>8.8688043852106624</v>
      </c>
      <c r="R56" s="30">
        <f>('[2]Bilan 2023 réel'!$U$22+'[2]Bilan 2023 réel'!$U$30+SUM('[2]Bilan 2023 réel'!$U$36:$U$40)+SUM('[2]Bilan 2023 réel'!$U$44:$U$45)+'[2]Bilan 2023 réel'!$U$47)/11.63</f>
        <v>12.148361914509794</v>
      </c>
      <c r="S56" s="95">
        <f t="shared" si="17"/>
        <v>23.993805328243035</v>
      </c>
      <c r="T56" s="95"/>
      <c r="U56" s="149" t="s">
        <v>24</v>
      </c>
      <c r="V56" t="s">
        <v>410</v>
      </c>
      <c r="W56" t="s">
        <v>411</v>
      </c>
      <c r="X56" t="s">
        <v>412</v>
      </c>
      <c r="Y56" t="s">
        <v>413</v>
      </c>
      <c r="Z56" s="16">
        <v>1.731244891</v>
      </c>
      <c r="AA56" s="16">
        <v>9.1472184589999994</v>
      </c>
      <c r="AB56" s="16">
        <v>9.4968559250000002</v>
      </c>
      <c r="AC56" s="16">
        <v>13.09688426</v>
      </c>
      <c r="AD56" s="95">
        <v>33.472203534999998</v>
      </c>
    </row>
    <row r="57" spans="2:30" x14ac:dyDescent="0.25">
      <c r="C57" s="149" t="s">
        <v>47</v>
      </c>
      <c r="D57" t="s">
        <v>414</v>
      </c>
      <c r="E57" t="s">
        <v>415</v>
      </c>
      <c r="F57" t="s">
        <v>416</v>
      </c>
      <c r="G57" t="s">
        <v>417</v>
      </c>
      <c r="H57" s="16">
        <f>VLOOKUP(D57,Résultats!$B$2:$AX$476,'T energie vecteurs'!L5,FALSE)</f>
        <v>0.88621155510000005</v>
      </c>
      <c r="I57" s="16">
        <f>VLOOKUP(E57,Résultats!$B$2:$AX$476,'T energie vecteurs'!L5,FALSE)</f>
        <v>1.958985634</v>
      </c>
      <c r="J57" s="16">
        <f>VLOOKUP(F57,Résultats!$B$2:$AX$476,'T energie vecteurs'!L5,FALSE)</f>
        <v>0</v>
      </c>
      <c r="K57" s="16">
        <f>VLOOKUP(G57,Résultats!$B$2:$AX$476,'T energie vecteurs'!L5,FALSE)</f>
        <v>2.1758016090000001</v>
      </c>
      <c r="L57" s="95">
        <f>SUM(H57:K57)</f>
        <v>5.0209987981000008</v>
      </c>
      <c r="M57" s="16"/>
      <c r="N57" s="149" t="s">
        <v>47</v>
      </c>
      <c r="O57" s="22">
        <f>'[2]Bilan 2023 réel'!$E$52/11.63</f>
        <v>3.2282321680558894</v>
      </c>
      <c r="P57" s="16">
        <f>('[2]Bilan 2023 réel'!$E$54+'[2]Bilan 2023 réel'!$E$56)/11.63</f>
        <v>9.7249025478999975</v>
      </c>
      <c r="Q57" s="16">
        <v>0</v>
      </c>
      <c r="R57" s="16">
        <f>('[2]Bilan 2023 réel'!$E$53+'[2]Bilan 2023 réel'!$E$55+'[2]Bilan 2023 réel'!$E$57)/11.63</f>
        <v>0.86119241186586415</v>
      </c>
      <c r="S57" s="95">
        <f t="shared" si="17"/>
        <v>13.814327127821752</v>
      </c>
      <c r="T57" s="95"/>
      <c r="U57" s="149" t="s">
        <v>47</v>
      </c>
      <c r="V57" t="s">
        <v>414</v>
      </c>
      <c r="W57" t="s">
        <v>415</v>
      </c>
      <c r="X57" t="s">
        <v>416</v>
      </c>
      <c r="Y57" t="s">
        <v>417</v>
      </c>
      <c r="Z57" s="16">
        <v>0.88779273660000002</v>
      </c>
      <c r="AA57" s="16">
        <v>1.9582475720000001</v>
      </c>
      <c r="AB57" s="16">
        <v>0</v>
      </c>
      <c r="AC57" s="16">
        <v>2.1728331779999999</v>
      </c>
      <c r="AD57" s="95">
        <v>5.0188734866000004</v>
      </c>
    </row>
    <row r="58" spans="2:30" x14ac:dyDescent="0.25">
      <c r="C58" s="147" t="s">
        <v>25</v>
      </c>
      <c r="D58" t="s">
        <v>418</v>
      </c>
      <c r="E58" t="s">
        <v>419</v>
      </c>
      <c r="F58" t="s">
        <v>420</v>
      </c>
      <c r="G58" t="s">
        <v>421</v>
      </c>
      <c r="H58" s="8">
        <f>VLOOKUP(D58,Résultats!$B$2:$AX$476,'T energie vecteurs'!L5,FALSE)</f>
        <v>0</v>
      </c>
      <c r="I58" s="8">
        <f>VLOOKUP(E58,Résultats!$B$2:$AX$476,'T energie vecteurs'!L5,FALSE)</f>
        <v>2.579013438</v>
      </c>
      <c r="J58" s="8">
        <f>VLOOKUP(F58,Résultats!$B$2:$AX$476,'T energie vecteurs'!L5,FALSE)</f>
        <v>0.32527553860000002</v>
      </c>
      <c r="K58" s="8">
        <f>VLOOKUP(G58,Résultats!$B$2:$AX$476,'T energie vecteurs'!L5,FALSE)</f>
        <v>0.38914326980000002</v>
      </c>
      <c r="L58" s="96">
        <f t="shared" ref="L58" si="22">SUM(H58:K58)</f>
        <v>3.2934322464000001</v>
      </c>
      <c r="M58" s="16"/>
      <c r="N58" s="150" t="s">
        <v>25</v>
      </c>
      <c r="O58" s="29">
        <f>'[2]Bilan 2023 réel'!$T$46/11.63</f>
        <v>1.221354E-3</v>
      </c>
      <c r="P58" s="28">
        <f>SUM('[2]Bilan 2023 réel'!$T$41:$T$43)/11.63</f>
        <v>3.4194391444513199</v>
      </c>
      <c r="Q58" s="28">
        <f>'[2]Bilan 2023 réel'!$T$13/11.63</f>
        <v>0.65647798796216683</v>
      </c>
      <c r="R58" s="28">
        <f>('[2]Bilan 2023 réel'!$T$22+'[2]Bilan 2023 réel'!$T$30+SUM('[2]Bilan 2023 réel'!$T$36:$T$40)+SUM('[2]Bilan 2023 réel'!$T$44:$T$45)+'[2]Bilan 2023 réel'!$T$47)/11.63</f>
        <v>0.44186481322250887</v>
      </c>
      <c r="S58" s="142">
        <f t="shared" si="17"/>
        <v>4.5190032996359957</v>
      </c>
      <c r="T58" s="317">
        <f>S58</f>
        <v>4.5190032996359957</v>
      </c>
      <c r="U58" s="149" t="s">
        <v>25</v>
      </c>
      <c r="V58" t="s">
        <v>418</v>
      </c>
      <c r="W58" t="s">
        <v>419</v>
      </c>
      <c r="X58" t="s">
        <v>420</v>
      </c>
      <c r="Y58" t="s">
        <v>421</v>
      </c>
      <c r="Z58" s="16">
        <v>0</v>
      </c>
      <c r="AA58" s="16">
        <v>2.5869168189999998</v>
      </c>
      <c r="AB58" s="16">
        <v>0.32451311300000002</v>
      </c>
      <c r="AC58" s="16">
        <v>0.3908921561</v>
      </c>
      <c r="AD58" s="95">
        <v>3.3023220880999999</v>
      </c>
    </row>
    <row r="59" spans="2:30" x14ac:dyDescent="0.25">
      <c r="C59" s="23" t="s">
        <v>26</v>
      </c>
      <c r="D59" s="10"/>
      <c r="E59" s="10"/>
      <c r="F59" s="10"/>
      <c r="G59" s="10"/>
      <c r="H59" s="9">
        <f>SUM(H50,H53:H55)</f>
        <v>2.9159867990000001</v>
      </c>
      <c r="I59" s="9">
        <f>SUM(I50,I53:I55)</f>
        <v>61.322511206999991</v>
      </c>
      <c r="J59" s="9">
        <f>SUM(J50,J53:J55)</f>
        <v>37.182611326299998</v>
      </c>
      <c r="K59" s="9">
        <f>SUM(K50,K53:K55)</f>
        <v>41.7167626745522</v>
      </c>
      <c r="L59" s="98">
        <f>SUM(H59:K59)</f>
        <v>143.13787200685218</v>
      </c>
      <c r="M59" s="79"/>
      <c r="N59" s="151" t="s">
        <v>26</v>
      </c>
      <c r="O59" s="32">
        <f>O50+O53+O54+O55+O58</f>
        <v>3.8596309130558897</v>
      </c>
      <c r="P59" s="31">
        <f>P50+P53+P54+P55+P58</f>
        <v>62.785920353958417</v>
      </c>
      <c r="Q59" s="31">
        <f>Q50+Q53+Q54+Q55+Q58</f>
        <v>34.652474462596736</v>
      </c>
      <c r="R59" s="31">
        <f>R50+R53+R54+R55+R58</f>
        <v>41.164509995478554</v>
      </c>
      <c r="S59" s="144">
        <f t="shared" si="17"/>
        <v>142.46253572508959</v>
      </c>
      <c r="T59" s="318">
        <f>SUM(T50:T58)</f>
        <v>138.206474699963</v>
      </c>
      <c r="U59" s="23" t="s">
        <v>26</v>
      </c>
      <c r="V59" s="10"/>
      <c r="W59" s="10"/>
      <c r="X59" s="10"/>
      <c r="Y59" s="10"/>
      <c r="Z59" s="9">
        <v>2.9177933666999998</v>
      </c>
      <c r="AA59" s="9">
        <v>61.694720710999995</v>
      </c>
      <c r="AB59" s="9">
        <v>37.089294760199998</v>
      </c>
      <c r="AC59" s="9">
        <v>41.936679263629799</v>
      </c>
      <c r="AD59" s="98">
        <v>143.63848810152979</v>
      </c>
    </row>
    <row r="60" spans="2:30" s="3" customFormat="1" x14ac:dyDescent="0.25">
      <c r="O60" s="77"/>
      <c r="P60" s="77"/>
      <c r="Q60" s="77"/>
      <c r="R60" s="78"/>
      <c r="S60" s="45"/>
    </row>
    <row r="61" spans="2:30" s="3" customFormat="1" x14ac:dyDescent="0.25">
      <c r="B61" s="60"/>
      <c r="K61" s="47"/>
      <c r="O61" s="79"/>
      <c r="P61" s="79"/>
      <c r="Q61" s="79"/>
      <c r="R61" s="80"/>
      <c r="S61" s="81"/>
      <c r="AC61" s="47"/>
    </row>
    <row r="62" spans="2:30" ht="31.5" x14ac:dyDescent="0.35">
      <c r="C62" s="145">
        <v>2025</v>
      </c>
      <c r="D62" s="146"/>
      <c r="E62" s="146"/>
      <c r="F62" s="146"/>
      <c r="G62" s="146"/>
      <c r="H62" s="76" t="s">
        <v>36</v>
      </c>
      <c r="I62" s="76" t="s">
        <v>49</v>
      </c>
      <c r="J62" s="76" t="s">
        <v>38</v>
      </c>
      <c r="K62" s="76" t="s">
        <v>48</v>
      </c>
      <c r="L62" s="93" t="s">
        <v>1</v>
      </c>
      <c r="M62" s="19"/>
      <c r="N62" s="145">
        <v>2025</v>
      </c>
      <c r="O62" s="141" t="s">
        <v>36</v>
      </c>
      <c r="P62" s="76" t="s">
        <v>49</v>
      </c>
      <c r="Q62" s="76" t="s">
        <v>38</v>
      </c>
      <c r="R62" s="76" t="s">
        <v>48</v>
      </c>
      <c r="S62" s="93" t="s">
        <v>1</v>
      </c>
      <c r="T62" s="316" t="s">
        <v>543</v>
      </c>
      <c r="U62" s="145">
        <v>2025</v>
      </c>
      <c r="V62" s="146"/>
      <c r="W62" s="146"/>
      <c r="X62" s="146"/>
      <c r="Y62" s="146"/>
      <c r="Z62" s="76" t="s">
        <v>36</v>
      </c>
      <c r="AA62" s="76" t="s">
        <v>49</v>
      </c>
      <c r="AB62" s="76" t="s">
        <v>38</v>
      </c>
      <c r="AC62" s="76" t="s">
        <v>48</v>
      </c>
      <c r="AD62" s="93" t="s">
        <v>1</v>
      </c>
    </row>
    <row r="63" spans="2:30" x14ac:dyDescent="0.25">
      <c r="C63" s="147" t="s">
        <v>18</v>
      </c>
      <c r="H63" s="8">
        <f>SUM(H64:H65)</f>
        <v>0</v>
      </c>
      <c r="I63" s="8">
        <f>SUM(I64:I65)</f>
        <v>40.659907410000002</v>
      </c>
      <c r="J63" s="8">
        <f>SUM(J64:J65)</f>
        <v>2.4321197530000003</v>
      </c>
      <c r="K63" s="8">
        <f>SUM(K64:K65)</f>
        <v>0.59371950954599995</v>
      </c>
      <c r="L63" s="96">
        <f t="shared" ref="L63:L72" si="23">SUM(H63:K63)</f>
        <v>43.685746672546003</v>
      </c>
      <c r="M63" s="75"/>
      <c r="N63" s="150" t="s">
        <v>18</v>
      </c>
      <c r="O63" s="29">
        <f>'[2]Bilan 2025 AMS'!$X$46/11.63</f>
        <v>0</v>
      </c>
      <c r="P63" s="28">
        <f>SUM('[2]Bilan 2025 AMS'!$X$41:$X$43)/11.63</f>
        <v>39.248086514996544</v>
      </c>
      <c r="Q63" s="28">
        <f>'[2]Bilan 2025 AMS'!$X$13/11.63</f>
        <v>1.453494342958451</v>
      </c>
      <c r="R63" s="28">
        <f>('[2]Bilan 2025 AMS'!$X$22+'[2]Bilan 2025 AMS'!$X$30+SUM('[2]Bilan 2025 AMS'!$X$36:$X$40)+SUM('[2]Bilan 2025 AMS'!$X$44:$X$45)+'[2]Bilan 2025 AMS'!$X$47)/11.63</f>
        <v>0.36357192736941735</v>
      </c>
      <c r="S63" s="142">
        <f>SUM(O63:R63)</f>
        <v>41.065152785324415</v>
      </c>
      <c r="T63" s="317">
        <f>S63</f>
        <v>41.065152785324415</v>
      </c>
      <c r="U63" s="147" t="s">
        <v>18</v>
      </c>
      <c r="Z63" s="8">
        <v>0</v>
      </c>
      <c r="AA63" s="8">
        <v>40.831963509999994</v>
      </c>
      <c r="AB63" s="8">
        <v>2.3079227003000002</v>
      </c>
      <c r="AC63" s="8">
        <v>0.43823609342350001</v>
      </c>
      <c r="AD63" s="96">
        <v>43.578122303723489</v>
      </c>
    </row>
    <row r="64" spans="2:30" x14ac:dyDescent="0.25">
      <c r="C64" s="148" t="s">
        <v>19</v>
      </c>
      <c r="D64" t="s">
        <v>394</v>
      </c>
      <c r="E64" t="s">
        <v>395</v>
      </c>
      <c r="F64" t="s">
        <v>396</v>
      </c>
      <c r="G64" t="s">
        <v>397</v>
      </c>
      <c r="H64" s="16">
        <f>VLOOKUP(D64,Résultats!$B$2:$AX$476,'T energie vecteurs'!N5,FALSE)</f>
        <v>0</v>
      </c>
      <c r="I64" s="16">
        <f>VLOOKUP(E64,Résultats!$B$2:$AX$476,'T energie vecteurs'!N5,FALSE)</f>
        <v>21.68254928</v>
      </c>
      <c r="J64" s="16">
        <f>VLOOKUP(F64,Résultats!$B$2:$AX$476,'T energie vecteurs'!N5,FALSE)</f>
        <v>0.218487928</v>
      </c>
      <c r="K64" s="16">
        <f>VLOOKUP(G77,Résultats!$B$2:$AX$476,'T energie vecteurs'!N5,FALSE)</f>
        <v>2.4772445999999999E-5</v>
      </c>
      <c r="L64" s="95">
        <f t="shared" si="23"/>
        <v>21.901061980445999</v>
      </c>
      <c r="M64" s="16"/>
      <c r="N64" s="148" t="s">
        <v>19</v>
      </c>
      <c r="O64" s="143"/>
      <c r="P64" s="16"/>
      <c r="Q64" s="34"/>
      <c r="R64" s="16"/>
      <c r="S64" s="95"/>
      <c r="T64" s="95"/>
      <c r="U64" s="148" t="s">
        <v>19</v>
      </c>
      <c r="V64" t="s">
        <v>394</v>
      </c>
      <c r="W64" t="s">
        <v>395</v>
      </c>
      <c r="X64" t="s">
        <v>396</v>
      </c>
      <c r="Y64" t="s">
        <v>397</v>
      </c>
      <c r="Z64" s="16">
        <v>0</v>
      </c>
      <c r="AA64" s="16">
        <v>21.958702349999999</v>
      </c>
      <c r="AB64" s="16">
        <v>0.23327753130000001</v>
      </c>
      <c r="AC64" s="16">
        <v>2.57931235E-5</v>
      </c>
      <c r="AD64" s="95">
        <v>22.192005674423498</v>
      </c>
    </row>
    <row r="65" spans="3:30" x14ac:dyDescent="0.25">
      <c r="C65" s="149" t="s">
        <v>20</v>
      </c>
      <c r="D65" t="s">
        <v>398</v>
      </c>
      <c r="E65" t="s">
        <v>399</v>
      </c>
      <c r="F65" t="s">
        <v>400</v>
      </c>
      <c r="G65" t="s">
        <v>401</v>
      </c>
      <c r="H65" s="16">
        <f>VLOOKUP(D65,Résultats!$B$2:$AX$476,'T energie vecteurs'!N5,FALSE)</f>
        <v>0</v>
      </c>
      <c r="I65" s="16">
        <f>VLOOKUP(E65,Résultats!$B$2:$AX$476,'T energie vecteurs'!N5,FALSE)</f>
        <v>18.977358129999999</v>
      </c>
      <c r="J65" s="16">
        <f>VLOOKUP(F65,Résultats!$B$2:$AX$476,'T energie vecteurs'!N5,FALSE)</f>
        <v>2.2136318250000002</v>
      </c>
      <c r="K65" s="16">
        <f>VLOOKUP(G65,Résultats!$B$2:$AX$476,'T energie vecteurs'!N5,FALSE)</f>
        <v>0.59369473709999998</v>
      </c>
      <c r="L65" s="95">
        <f t="shared" si="23"/>
        <v>21.784684692100001</v>
      </c>
      <c r="M65" s="16"/>
      <c r="N65" s="149" t="s">
        <v>20</v>
      </c>
      <c r="O65" s="143"/>
      <c r="P65" s="16"/>
      <c r="Q65" s="34"/>
      <c r="R65" s="16"/>
      <c r="S65" s="95"/>
      <c r="T65" s="95"/>
      <c r="U65" s="149" t="s">
        <v>20</v>
      </c>
      <c r="V65" t="s">
        <v>398</v>
      </c>
      <c r="W65" t="s">
        <v>399</v>
      </c>
      <c r="X65" t="s">
        <v>400</v>
      </c>
      <c r="Y65" t="s">
        <v>401</v>
      </c>
      <c r="Z65" s="16">
        <v>0</v>
      </c>
      <c r="AA65" s="16">
        <v>18.873261159999998</v>
      </c>
      <c r="AB65" s="16">
        <v>2.0746451690000001</v>
      </c>
      <c r="AC65" s="16">
        <v>0.43821030030000002</v>
      </c>
      <c r="AD65" s="95">
        <v>21.386116629299998</v>
      </c>
    </row>
    <row r="66" spans="3:30" x14ac:dyDescent="0.25">
      <c r="C66" s="147" t="s">
        <v>21</v>
      </c>
      <c r="D66" t="s">
        <v>402</v>
      </c>
      <c r="E66" t="s">
        <v>403</v>
      </c>
      <c r="F66" t="s">
        <v>404</v>
      </c>
      <c r="G66" t="s">
        <v>405</v>
      </c>
      <c r="H66" s="8">
        <f>VLOOKUP(D66,Résultats!$B$2:$AX$476,'T energie vecteurs'!N5,FALSE)</f>
        <v>0.29050869060000001</v>
      </c>
      <c r="I66" s="8">
        <f>VLOOKUP(E66,Résultats!$B$2:$AX$476,'T energie vecteurs'!N5,FALSE)</f>
        <v>6.1208859179999999</v>
      </c>
      <c r="J66" s="8">
        <f>VLOOKUP(F66,Résultats!$B$2:$AX$476,'T energie vecteurs'!N5,FALSE)</f>
        <v>14.78022217</v>
      </c>
      <c r="K66" s="8">
        <f>VLOOKUP(G66,Résultats!$B$2:$AX$476,'T energie vecteurs'!N5,FALSE)+2</f>
        <v>18.81613639</v>
      </c>
      <c r="L66" s="96">
        <f t="shared" si="23"/>
        <v>40.007753168600004</v>
      </c>
      <c r="M66" s="75"/>
      <c r="N66" s="150" t="s">
        <v>21</v>
      </c>
      <c r="O66" s="29">
        <f>'[2]Bilan 2025 AMS'!$V$46/11.63</f>
        <v>0</v>
      </c>
      <c r="P66" s="28">
        <f>SUM('[2]Bilan 2025 AMS'!$V$41:$V$43)/11.63</f>
        <v>2.6022446322442225</v>
      </c>
      <c r="Q66" s="28">
        <f>'[2]Bilan 2025 AMS'!$V$13/11.63</f>
        <v>13.409751504151663</v>
      </c>
      <c r="R66" s="28">
        <f>('[2]Bilan 2025 AMS'!$V$22+'[2]Bilan 2025 AMS'!$V$30+SUM('[2]Bilan 2025 AMS'!$V$36:$V$40)+SUM('[2]Bilan 2025 AMS'!$V$44:$V$45)+'[2]Bilan 2025 AMS'!$V$47)/11.63</f>
        <v>23.07775045887356</v>
      </c>
      <c r="S66" s="142">
        <f t="shared" ref="S66:S72" si="24">SUM(O66:R66)</f>
        <v>39.089746595269446</v>
      </c>
      <c r="T66" s="317">
        <f>S66-'[2]Bilan 2025 AMS'!$V$40/11.63</f>
        <v>34.032746162030314</v>
      </c>
      <c r="U66" s="147" t="s">
        <v>21</v>
      </c>
      <c r="V66" t="s">
        <v>402</v>
      </c>
      <c r="W66" t="s">
        <v>403</v>
      </c>
      <c r="X66" t="s">
        <v>404</v>
      </c>
      <c r="Y66" t="s">
        <v>405</v>
      </c>
      <c r="Z66" s="8">
        <v>0.28924767899999998</v>
      </c>
      <c r="AA66" s="8">
        <v>5.7018134949999997</v>
      </c>
      <c r="AB66" s="8">
        <v>14.75311832</v>
      </c>
      <c r="AC66" s="8">
        <v>19.602193669999998</v>
      </c>
      <c r="AD66" s="96">
        <v>40.346373163999999</v>
      </c>
    </row>
    <row r="67" spans="3:30" x14ac:dyDescent="0.25">
      <c r="C67" s="147" t="s">
        <v>22</v>
      </c>
      <c r="D67" t="s">
        <v>406</v>
      </c>
      <c r="E67" t="s">
        <v>407</v>
      </c>
      <c r="F67" t="s">
        <v>408</v>
      </c>
      <c r="G67" t="s">
        <v>409</v>
      </c>
      <c r="H67" s="8">
        <f>VLOOKUP(D67,Résultats!$B$2:$AX$476,'T energie vecteurs'!N5,FALSE)</f>
        <v>0</v>
      </c>
      <c r="I67" s="8">
        <f>VLOOKUP(E67,Résultats!$B$2:$AX$476,'T energie vecteurs'!N5,FALSE)</f>
        <v>2.5869445550000001</v>
      </c>
      <c r="J67" s="8">
        <f>VLOOKUP(F67,Résultats!$B$2:$AX$476,'T energie vecteurs'!N5,FALSE)</f>
        <v>11.21150396</v>
      </c>
      <c r="K67" s="8">
        <f>VLOOKUP(G67,Résultats!$B$2:$AX$476,'T energie vecteurs'!N5,FALSE)</f>
        <v>8.1894125399999904</v>
      </c>
      <c r="L67" s="96">
        <f t="shared" si="23"/>
        <v>21.987861054999989</v>
      </c>
      <c r="M67" s="75"/>
      <c r="N67" s="150" t="s">
        <v>22</v>
      </c>
      <c r="O67" s="29">
        <f>('[2]Bilan 2025 AMS'!$W$46)/11.63</f>
        <v>0</v>
      </c>
      <c r="P67" s="28">
        <f>SUM('[2]Bilan 2025 AMS'!$W$41:$W$43)/11.63</f>
        <v>1.5736897992660042</v>
      </c>
      <c r="Q67" s="28">
        <f>('[2]Bilan 2025 AMS'!$W$13)/11.63</f>
        <v>10.800977070035794</v>
      </c>
      <c r="R67" s="28">
        <f>('[2]Bilan 2025 AMS'!$W$22+'[2]Bilan 2025 AMS'!$W$30+SUM('[2]Bilan 2025 AMS'!$W$36:$W$40)+SUM('[2]Bilan 2025 AMS'!$W$44:$W$45)+'[2]Bilan 2025 AMS'!$W$47)/11.63</f>
        <v>9.0123576547920088</v>
      </c>
      <c r="S67" s="142">
        <f t="shared" si="24"/>
        <v>21.387024524093807</v>
      </c>
      <c r="T67" s="317">
        <f>S67-'[2]Bilan 2025 AMS'!$W$40/11.63</f>
        <v>19.5908147086874</v>
      </c>
      <c r="U67" s="147" t="s">
        <v>22</v>
      </c>
      <c r="V67" t="s">
        <v>406</v>
      </c>
      <c r="W67" t="s">
        <v>407</v>
      </c>
      <c r="X67" t="s">
        <v>408</v>
      </c>
      <c r="Y67" t="s">
        <v>409</v>
      </c>
      <c r="Z67" s="8">
        <v>0</v>
      </c>
      <c r="AA67" s="8">
        <v>1.8116982349999999</v>
      </c>
      <c r="AB67" s="8">
        <v>13.23411565</v>
      </c>
      <c r="AC67" s="8">
        <v>9.3673825579999903</v>
      </c>
      <c r="AD67" s="96">
        <v>24.41319644299999</v>
      </c>
    </row>
    <row r="68" spans="3:30" x14ac:dyDescent="0.25">
      <c r="C68" s="147" t="s">
        <v>490</v>
      </c>
      <c r="H68" s="8">
        <f>SUM(H69:H70)</f>
        <v>2.4951426266999999</v>
      </c>
      <c r="I68" s="8">
        <f t="shared" ref="I68:K68" si="25">SUM(I69:I70)</f>
        <v>10.361849522</v>
      </c>
      <c r="J68" s="8">
        <f t="shared" si="25"/>
        <v>9.7374236829999994</v>
      </c>
      <c r="K68" s="8">
        <f t="shared" si="25"/>
        <v>15.266314838</v>
      </c>
      <c r="L68" s="96">
        <f t="shared" si="23"/>
        <v>37.860730669699997</v>
      </c>
      <c r="M68" s="75"/>
      <c r="N68" s="150" t="s">
        <v>490</v>
      </c>
      <c r="O68" s="29">
        <f>O69+O70</f>
        <v>3.9629891209426056</v>
      </c>
      <c r="P68" s="28">
        <f t="shared" ref="P68:R68" si="26">P69+P70</f>
        <v>12.014567437975661</v>
      </c>
      <c r="Q68" s="28">
        <f t="shared" si="26"/>
        <v>10.378487649048596</v>
      </c>
      <c r="R68" s="28">
        <f t="shared" si="26"/>
        <v>14.253418221083377</v>
      </c>
      <c r="S68" s="142">
        <f t="shared" si="24"/>
        <v>40.60946242905024</v>
      </c>
      <c r="T68" s="317">
        <f t="shared" ref="T68" si="27">S68</f>
        <v>40.60946242905024</v>
      </c>
      <c r="U68" s="147" t="s">
        <v>490</v>
      </c>
      <c r="Z68" s="8">
        <v>2.3862670710999998</v>
      </c>
      <c r="AA68" s="8">
        <v>10.168853016999989</v>
      </c>
      <c r="AB68" s="8">
        <v>11.59517613</v>
      </c>
      <c r="AC68" s="8">
        <v>12.723811494</v>
      </c>
      <c r="AD68" s="96">
        <v>36.874107712099985</v>
      </c>
    </row>
    <row r="69" spans="3:30" x14ac:dyDescent="0.25">
      <c r="C69" s="149" t="s">
        <v>24</v>
      </c>
      <c r="D69" t="s">
        <v>410</v>
      </c>
      <c r="E69" t="s">
        <v>411</v>
      </c>
      <c r="F69" t="s">
        <v>412</v>
      </c>
      <c r="G69" t="s">
        <v>413</v>
      </c>
      <c r="H69" s="16">
        <f>VLOOKUP(D69,Résultats!$B$2:$AX$476,'T energie vecteurs'!N5,FALSE)</f>
        <v>1.6263111889999999</v>
      </c>
      <c r="I69" s="16">
        <f>VLOOKUP(E69,Résultats!$B$2:$AX$476,'T energie vecteurs'!N5,FALSE)</f>
        <v>8.3369779340000001</v>
      </c>
      <c r="J69" s="16">
        <f>VLOOKUP(F69,Résultats!$B$2:$AX$476,'T energie vecteurs'!N5,FALSE)</f>
        <v>9.7374236829999994</v>
      </c>
      <c r="K69" s="16">
        <f>VLOOKUP(G69,Résultats!$B$2:$AX$476,'T energie vecteurs'!N5,FALSE)</f>
        <v>13.014188669999999</v>
      </c>
      <c r="L69" s="95">
        <f t="shared" si="23"/>
        <v>32.714901475999994</v>
      </c>
      <c r="M69" s="16"/>
      <c r="N69" s="149" t="s">
        <v>547</v>
      </c>
      <c r="O69" s="143">
        <f>'[2]Bilan 2025 AMS'!$U$46/11.63</f>
        <v>0.42067994948409282</v>
      </c>
      <c r="P69" s="30">
        <f>SUM('[2]Bilan 2025 AMS'!$U$41:$U$43)/11.63</f>
        <v>2.157951503024802</v>
      </c>
      <c r="Q69" s="30">
        <f>'[2]Bilan 2025 AMS'!$U$13/11.63</f>
        <v>10.378487649048596</v>
      </c>
      <c r="R69" s="30">
        <f>('[2]Bilan 2025 AMS'!$U$22+'[2]Bilan 2025 AMS'!$U$30+SUM('[2]Bilan 2025 AMS'!$U$36:$U$40)+SUM('[2]Bilan 2025 AMS'!$U$44:$U$45)+'[2]Bilan 2025 AMS'!$U$47)/11.63</f>
        <v>13.109738113571288</v>
      </c>
      <c r="S69" s="95">
        <f t="shared" si="24"/>
        <v>26.066857215128778</v>
      </c>
      <c r="T69" s="95"/>
      <c r="U69" s="149" t="s">
        <v>24</v>
      </c>
      <c r="V69" t="s">
        <v>410</v>
      </c>
      <c r="W69" t="s">
        <v>411</v>
      </c>
      <c r="X69" t="s">
        <v>412</v>
      </c>
      <c r="Y69" t="s">
        <v>413</v>
      </c>
      <c r="Z69" s="16">
        <v>1.515434945</v>
      </c>
      <c r="AA69" s="16">
        <v>8.1257670369999904</v>
      </c>
      <c r="AB69" s="16">
        <v>11.59517613</v>
      </c>
      <c r="AC69" s="16">
        <v>10.607625710000001</v>
      </c>
      <c r="AD69" s="95">
        <v>31.844003821999991</v>
      </c>
    </row>
    <row r="70" spans="3:30" x14ac:dyDescent="0.25">
      <c r="C70" s="149" t="s">
        <v>47</v>
      </c>
      <c r="D70" t="s">
        <v>414</v>
      </c>
      <c r="E70" t="s">
        <v>415</v>
      </c>
      <c r="F70" t="s">
        <v>416</v>
      </c>
      <c r="G70" t="s">
        <v>417</v>
      </c>
      <c r="H70" s="16">
        <f>VLOOKUP(D70,Résultats!$B$2:$AX$476,'T energie vecteurs'!N5,FALSE)</f>
        <v>0.86883143770000004</v>
      </c>
      <c r="I70" s="16">
        <f>VLOOKUP(E70,Résultats!$B$2:$AX$476,'T energie vecteurs'!N5,FALSE)</f>
        <v>2.0248715879999999</v>
      </c>
      <c r="J70" s="16">
        <f>VLOOKUP(F70,Résultats!$B$2:$AX$476,'T energie vecteurs'!N5,FALSE)</f>
        <v>0</v>
      </c>
      <c r="K70" s="16">
        <f>VLOOKUP(G70,Résultats!$B$2:$AX$476,'T energie vecteurs'!N5,FALSE)</f>
        <v>2.2521261680000002</v>
      </c>
      <c r="L70" s="95">
        <f t="shared" si="23"/>
        <v>5.1458291937</v>
      </c>
      <c r="M70" s="16"/>
      <c r="N70" s="149" t="s">
        <v>47</v>
      </c>
      <c r="O70" s="22">
        <f>'[2]Bilan 2025 AMS'!$E$52/11.63</f>
        <v>3.5423091714585127</v>
      </c>
      <c r="P70" s="16">
        <f>('[2]Bilan 2025 AMS'!$E$54+'[2]Bilan 2025 AMS'!$E$56)/11.63</f>
        <v>9.8566159349508595</v>
      </c>
      <c r="Q70" s="16">
        <v>0</v>
      </c>
      <c r="R70" s="16">
        <f>('[2]Bilan 2025 AMS'!$E$53+'[2]Bilan 2025 AMS'!$E$55+'[2]Bilan 2025 AMS'!$E$57)/11.63</f>
        <v>1.1436801075120895</v>
      </c>
      <c r="S70" s="95">
        <f t="shared" si="24"/>
        <v>14.542605213921462</v>
      </c>
      <c r="T70" s="95"/>
      <c r="U70" s="149" t="s">
        <v>47</v>
      </c>
      <c r="V70" t="s">
        <v>414</v>
      </c>
      <c r="W70" t="s">
        <v>415</v>
      </c>
      <c r="X70" t="s">
        <v>416</v>
      </c>
      <c r="Y70" t="s">
        <v>417</v>
      </c>
      <c r="Z70" s="16">
        <v>0.87083212610000005</v>
      </c>
      <c r="AA70" s="16">
        <v>2.0430859799999999</v>
      </c>
      <c r="AB70" s="16">
        <v>0</v>
      </c>
      <c r="AC70" s="16">
        <v>2.1161857839999998</v>
      </c>
      <c r="AD70" s="95">
        <v>5.0301038900999995</v>
      </c>
    </row>
    <row r="71" spans="3:30" x14ac:dyDescent="0.25">
      <c r="C71" s="147" t="s">
        <v>25</v>
      </c>
      <c r="D71" t="s">
        <v>418</v>
      </c>
      <c r="E71" t="s">
        <v>419</v>
      </c>
      <c r="F71" t="s">
        <v>420</v>
      </c>
      <c r="G71" t="s">
        <v>421</v>
      </c>
      <c r="H71" s="8">
        <f>VLOOKUP(D71,Résultats!$B$2:$AX$476,'T energie vecteurs'!N5,FALSE)</f>
        <v>0</v>
      </c>
      <c r="I71" s="8">
        <f>VLOOKUP(E71,Résultats!$B$2:$AX$476,'T energie vecteurs'!N5,FALSE)</f>
        <v>2.7164822850000001</v>
      </c>
      <c r="J71" s="8">
        <f>VLOOKUP(F71,Résultats!$B$2:$AX$476,'T energie vecteurs'!N5,FALSE)</f>
        <v>0.33181745460000001</v>
      </c>
      <c r="K71" s="8">
        <f>VLOOKUP(G71,Résultats!$B$2:$AX$476,'T energie vecteurs'!N5,FALSE)</f>
        <v>0.41788352629999997</v>
      </c>
      <c r="L71" s="96">
        <f t="shared" si="23"/>
        <v>3.4661832658999998</v>
      </c>
      <c r="M71" s="16"/>
      <c r="N71" s="150" t="s">
        <v>25</v>
      </c>
      <c r="O71" s="29">
        <f>'[2]Bilan 2025 AMS'!$T$46/11.63</f>
        <v>0</v>
      </c>
      <c r="P71" s="28">
        <f>SUM('[2]Bilan 2025 AMS'!$T$41:$T$43)/11.63</f>
        <v>3.2722122373281501</v>
      </c>
      <c r="Q71" s="28">
        <f>'[2]Bilan 2025 AMS'!$T$13/11.63</f>
        <v>0.70658601561081857</v>
      </c>
      <c r="R71" s="28">
        <f>('[2]Bilan 2025 AMS'!$T$22+'[2]Bilan 2025 AMS'!$T$30+SUM('[2]Bilan 2025 AMS'!$T$36:$T$40)+SUM('[2]Bilan 2025 AMS'!$T$44:$T$45)+'[2]Bilan 2025 AMS'!$T$47)/11.63</f>
        <v>0.68239287053934561</v>
      </c>
      <c r="S71" s="142">
        <f t="shared" si="24"/>
        <v>4.6611911234783143</v>
      </c>
      <c r="T71" s="317">
        <f>S71</f>
        <v>4.6611911234783143</v>
      </c>
      <c r="U71" s="149" t="s">
        <v>25</v>
      </c>
      <c r="V71" t="s">
        <v>418</v>
      </c>
      <c r="W71" t="s">
        <v>419</v>
      </c>
      <c r="X71" t="s">
        <v>420</v>
      </c>
      <c r="Y71" t="s">
        <v>421</v>
      </c>
      <c r="Z71" s="16">
        <v>0</v>
      </c>
      <c r="AA71" s="16">
        <v>2.7115227380000002</v>
      </c>
      <c r="AB71" s="16">
        <v>0.32942642329999999</v>
      </c>
      <c r="AC71" s="16">
        <v>0.40588308870000001</v>
      </c>
      <c r="AD71" s="95">
        <v>3.4468322500000004</v>
      </c>
    </row>
    <row r="72" spans="3:30" x14ac:dyDescent="0.25">
      <c r="C72" s="23" t="s">
        <v>26</v>
      </c>
      <c r="D72" s="10"/>
      <c r="E72" s="10"/>
      <c r="F72" s="10"/>
      <c r="G72" s="10"/>
      <c r="H72" s="9">
        <f>SUM(H63,H66:H68)</f>
        <v>2.7856513172999997</v>
      </c>
      <c r="I72" s="9">
        <f>SUM(I63,I66:I68)</f>
        <v>59.729587405000004</v>
      </c>
      <c r="J72" s="9">
        <f>SUM(J63,J66:J68)</f>
        <v>38.161269566000001</v>
      </c>
      <c r="K72" s="9">
        <f>SUM(K63,K66:K68)</f>
        <v>42.865583277545987</v>
      </c>
      <c r="L72" s="98">
        <f t="shared" si="23"/>
        <v>143.54209156584599</v>
      </c>
      <c r="M72" s="79"/>
      <c r="N72" s="151" t="s">
        <v>26</v>
      </c>
      <c r="O72" s="32">
        <f>O63+O66+O67+O68+O71</f>
        <v>3.9629891209426056</v>
      </c>
      <c r="P72" s="31">
        <f>P63+P66+P67+P68+P71</f>
        <v>58.710800621810577</v>
      </c>
      <c r="Q72" s="31">
        <f>Q63+Q66+Q67+Q68+Q71</f>
        <v>36.749296581805318</v>
      </c>
      <c r="R72" s="31">
        <f>R63+R66+R67+R68+R71</f>
        <v>47.38949113265771</v>
      </c>
      <c r="S72" s="144">
        <f t="shared" si="24"/>
        <v>146.81257745721621</v>
      </c>
      <c r="T72" s="318">
        <f>SUM(T63:T71)</f>
        <v>139.95936720857071</v>
      </c>
      <c r="U72" s="23" t="s">
        <v>26</v>
      </c>
      <c r="V72" s="10"/>
      <c r="W72" s="10"/>
      <c r="X72" s="10"/>
      <c r="Y72" s="10"/>
      <c r="Z72" s="9">
        <v>2.6755147500999996</v>
      </c>
      <c r="AA72" s="9">
        <v>58.514328256999981</v>
      </c>
      <c r="AB72" s="9">
        <v>41.890332800300001</v>
      </c>
      <c r="AC72" s="9">
        <v>42.131623815423495</v>
      </c>
      <c r="AD72" s="98">
        <v>145.21179962282349</v>
      </c>
    </row>
    <row r="73" spans="3:30" s="3" customFormat="1" x14ac:dyDescent="0.25">
      <c r="H73" s="45"/>
      <c r="I73" s="45"/>
      <c r="J73" s="45"/>
      <c r="K73" s="45"/>
      <c r="L73" s="45"/>
      <c r="M73" s="45"/>
      <c r="N73" s="45"/>
      <c r="O73" s="77"/>
      <c r="P73" s="77"/>
      <c r="Q73" s="77"/>
      <c r="R73" s="78"/>
      <c r="S73" s="45"/>
      <c r="T73" s="45"/>
      <c r="Z73" s="45"/>
      <c r="AA73" s="45"/>
      <c r="AB73" s="45"/>
      <c r="AC73" s="45"/>
      <c r="AD73" s="45"/>
    </row>
    <row r="74" spans="3:30" s="3" customFormat="1" x14ac:dyDescent="0.25"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Z74" s="45"/>
      <c r="AA74" s="45"/>
      <c r="AB74" s="45"/>
      <c r="AC74" s="45"/>
      <c r="AD74" s="45"/>
    </row>
    <row r="75" spans="3:30" ht="31.5" hidden="1" x14ac:dyDescent="0.35">
      <c r="C75" s="145">
        <v>2030</v>
      </c>
      <c r="D75" s="146"/>
      <c r="E75" s="146"/>
      <c r="F75" s="146"/>
      <c r="G75" s="146"/>
      <c r="H75" s="76" t="s">
        <v>36</v>
      </c>
      <c r="I75" s="76" t="s">
        <v>49</v>
      </c>
      <c r="J75" s="76" t="s">
        <v>38</v>
      </c>
      <c r="K75" s="76" t="s">
        <v>48</v>
      </c>
      <c r="L75" s="93" t="s">
        <v>1</v>
      </c>
      <c r="M75" s="19"/>
      <c r="N75" s="145">
        <v>2030</v>
      </c>
      <c r="O75" s="141" t="s">
        <v>36</v>
      </c>
      <c r="P75" s="76" t="s">
        <v>49</v>
      </c>
      <c r="Q75" s="76" t="s">
        <v>38</v>
      </c>
      <c r="R75" s="76" t="s">
        <v>48</v>
      </c>
      <c r="S75" s="93" t="s">
        <v>1</v>
      </c>
      <c r="T75" s="316" t="s">
        <v>543</v>
      </c>
      <c r="U75" s="145">
        <v>2030</v>
      </c>
      <c r="V75" s="146"/>
      <c r="W75" s="146"/>
      <c r="X75" s="146"/>
      <c r="Y75" s="146"/>
      <c r="Z75" s="76" t="s">
        <v>36</v>
      </c>
      <c r="AA75" s="76" t="s">
        <v>49</v>
      </c>
      <c r="AB75" s="76" t="s">
        <v>38</v>
      </c>
      <c r="AC75" s="76" t="s">
        <v>48</v>
      </c>
      <c r="AD75" s="93" t="s">
        <v>1</v>
      </c>
    </row>
    <row r="76" spans="3:30" hidden="1" x14ac:dyDescent="0.25">
      <c r="C76" s="147" t="s">
        <v>18</v>
      </c>
      <c r="H76" s="8">
        <f>SUM(H77:H78)</f>
        <v>0</v>
      </c>
      <c r="I76" s="8">
        <f>SUM(I77:I78)</f>
        <v>38.259649629999998</v>
      </c>
      <c r="J76" s="8">
        <f>SUM(J77:J78)</f>
        <v>3.4797295326</v>
      </c>
      <c r="K76" s="8">
        <f>SUM(K77:K78)</f>
        <v>1.3296939193766</v>
      </c>
      <c r="L76" s="96">
        <f>SUM(H76:K76)</f>
        <v>43.069073081976597</v>
      </c>
      <c r="M76" s="75"/>
      <c r="N76" s="150" t="s">
        <v>18</v>
      </c>
      <c r="O76" s="29">
        <f>'[2]Bilan 2030 AMS'!$X$46/11.63</f>
        <v>0</v>
      </c>
      <c r="P76" s="28">
        <f>SUM('[2]Bilan 2030 AMS'!$X$41:$X$43)/11.63</f>
        <v>31.325533398568297</v>
      </c>
      <c r="Q76" s="28">
        <f>'[2]Bilan 2030 AMS'!$X$13/11.63</f>
        <v>2.9560655972270444</v>
      </c>
      <c r="R76" s="28">
        <f>('[2]Bilan 2030 AMS'!$X$22+'[2]Bilan 2030 AMS'!$X$30+SUM('[2]Bilan 2030 AMS'!$X$36:$X$40)+SUM('[2]Bilan 2030 AMS'!$X$44:$X$45)+'[2]Bilan 2030 AMS'!$X$47)/11.63</f>
        <v>0.64520012161805473</v>
      </c>
      <c r="S76" s="142">
        <f>SUM(O76:R76)</f>
        <v>34.926799117413395</v>
      </c>
      <c r="T76" s="317">
        <f>S76</f>
        <v>34.926799117413395</v>
      </c>
      <c r="U76" s="147" t="s">
        <v>18</v>
      </c>
      <c r="Z76" s="8">
        <v>0</v>
      </c>
      <c r="AA76" s="8">
        <v>36.031371149999998</v>
      </c>
      <c r="AB76" s="8">
        <v>3.6711630756</v>
      </c>
      <c r="AC76" s="8">
        <v>0.58214142032939997</v>
      </c>
      <c r="AD76" s="96">
        <v>40.284675645929397</v>
      </c>
    </row>
    <row r="77" spans="3:30" hidden="1" x14ac:dyDescent="0.25">
      <c r="C77" s="148" t="s">
        <v>19</v>
      </c>
      <c r="D77" t="s">
        <v>394</v>
      </c>
      <c r="E77" t="s">
        <v>395</v>
      </c>
      <c r="F77" t="s">
        <v>396</v>
      </c>
      <c r="G77" t="s">
        <v>397</v>
      </c>
      <c r="H77" s="16">
        <f>VLOOKUP(D77,Résultats!$B$2:$AX$476,'T energie vecteurs'!S5,FALSE)</f>
        <v>0</v>
      </c>
      <c r="I77" s="16">
        <f>VLOOKUP(E77,Résultats!$B$2:$AX$476,'T energie vecteurs'!S5,FALSE)</f>
        <v>19.709866980000001</v>
      </c>
      <c r="J77" s="16">
        <f>VLOOKUP(F77,Résultats!$B$2:$AX$476,'T energie vecteurs'!S5,FALSE)</f>
        <v>0.57385170559999998</v>
      </c>
      <c r="K77" s="16">
        <f>VLOOKUP(G77,Résultats!$B$2:$AX$476,'T energie vecteurs'!S5,FALSE)</f>
        <v>3.5139376600000002E-5</v>
      </c>
      <c r="L77" s="95">
        <f t="shared" ref="L77:L84" si="28">SUM(H77:K77)</f>
        <v>20.2837538249766</v>
      </c>
      <c r="M77" s="16"/>
      <c r="N77" s="148" t="s">
        <v>19</v>
      </c>
      <c r="O77" s="143"/>
      <c r="P77" s="16"/>
      <c r="Q77" s="34"/>
      <c r="R77" s="16"/>
      <c r="S77" s="95"/>
      <c r="T77" s="95"/>
      <c r="U77" s="148" t="s">
        <v>19</v>
      </c>
      <c r="V77" t="s">
        <v>394</v>
      </c>
      <c r="W77" t="s">
        <v>395</v>
      </c>
      <c r="X77" t="s">
        <v>396</v>
      </c>
      <c r="Y77" t="s">
        <v>397</v>
      </c>
      <c r="Z77" s="16">
        <v>0</v>
      </c>
      <c r="AA77" s="16">
        <v>18.887141629999999</v>
      </c>
      <c r="AB77" s="16">
        <v>0.67326125960000005</v>
      </c>
      <c r="AC77" s="16">
        <v>3.0906629399999999E-5</v>
      </c>
      <c r="AD77" s="95">
        <v>19.5604337962294</v>
      </c>
    </row>
    <row r="78" spans="3:30" hidden="1" x14ac:dyDescent="0.25">
      <c r="C78" s="149" t="s">
        <v>20</v>
      </c>
      <c r="D78" t="s">
        <v>398</v>
      </c>
      <c r="E78" t="s">
        <v>399</v>
      </c>
      <c r="F78" t="s">
        <v>400</v>
      </c>
      <c r="G78" t="s">
        <v>401</v>
      </c>
      <c r="H78" s="16">
        <f>VLOOKUP(D78,Résultats!$B$2:$AX$476,'T energie vecteurs'!S5,FALSE)</f>
        <v>0</v>
      </c>
      <c r="I78" s="16">
        <f>VLOOKUP(E78,Résultats!$B$2:$AX$476,'T energie vecteurs'!S5,FALSE)</f>
        <v>18.549782650000001</v>
      </c>
      <c r="J78" s="16">
        <f>VLOOKUP(F78,Résultats!$B$2:$AX$476,'T energie vecteurs'!S5,FALSE)</f>
        <v>2.9058778269999999</v>
      </c>
      <c r="K78" s="16">
        <f>VLOOKUP(G78,Résultats!$B$2:$AX$476,'T energie vecteurs'!S5,FALSE)</f>
        <v>1.3296587799999999</v>
      </c>
      <c r="L78" s="95">
        <f t="shared" si="28"/>
        <v>22.785319257000001</v>
      </c>
      <c r="M78" s="16"/>
      <c r="N78" s="149" t="s">
        <v>20</v>
      </c>
      <c r="O78" s="143"/>
      <c r="P78" s="16"/>
      <c r="Q78" s="34"/>
      <c r="R78" s="16"/>
      <c r="S78" s="95"/>
      <c r="T78" s="95"/>
      <c r="U78" s="149" t="s">
        <v>20</v>
      </c>
      <c r="V78" t="s">
        <v>398</v>
      </c>
      <c r="W78" t="s">
        <v>399</v>
      </c>
      <c r="X78" t="s">
        <v>400</v>
      </c>
      <c r="Y78" t="s">
        <v>401</v>
      </c>
      <c r="Z78" s="16">
        <v>0</v>
      </c>
      <c r="AA78" s="16">
        <v>17.14422952</v>
      </c>
      <c r="AB78" s="16">
        <v>2.9979018160000002</v>
      </c>
      <c r="AC78" s="16">
        <v>0.5821105137</v>
      </c>
      <c r="AD78" s="95">
        <v>20.7242418497</v>
      </c>
    </row>
    <row r="79" spans="3:30" hidden="1" x14ac:dyDescent="0.25">
      <c r="C79" s="147" t="s">
        <v>21</v>
      </c>
      <c r="D79" t="s">
        <v>402</v>
      </c>
      <c r="E79" t="s">
        <v>403</v>
      </c>
      <c r="F79" t="s">
        <v>404</v>
      </c>
      <c r="G79" t="s">
        <v>405</v>
      </c>
      <c r="H79" s="8">
        <f>VLOOKUP(D79,Résultats!$B$2:$AX$476,'T energie vecteurs'!S5,FALSE)</f>
        <v>0.2872564836</v>
      </c>
      <c r="I79" s="292">
        <f>VLOOKUP(E79,Résultats!$B$2:$AX$476,'T energie vecteurs'!S5,FALSE)</f>
        <v>6.133434759</v>
      </c>
      <c r="J79" s="8">
        <f>VLOOKUP(F79,Résultats!$B$2:$AX$476,'T energie vecteurs'!S5,FALSE)</f>
        <v>15.725871619999999</v>
      </c>
      <c r="K79" s="8">
        <f>VLOOKUP(G79,Résultats!$B$2:$AX$476,'T energie vecteurs'!S5,FALSE)+2</f>
        <v>19.630965979999999</v>
      </c>
      <c r="L79" s="96">
        <f>SUM(H79:K79)</f>
        <v>41.777528842599999</v>
      </c>
      <c r="M79" s="75"/>
      <c r="N79" s="150" t="s">
        <v>21</v>
      </c>
      <c r="O79" s="29">
        <f>'[2]Bilan 2030 AMS'!$V$46/11.63</f>
        <v>0</v>
      </c>
      <c r="P79" s="28">
        <f>SUM('[2]Bilan 2030 AMS'!$V$41:$V$43)/11.63</f>
        <v>0.95029335786167934</v>
      </c>
      <c r="Q79" s="28">
        <f>'[2]Bilan 2030 AMS'!$V$13/11.63</f>
        <v>14.305528689784131</v>
      </c>
      <c r="R79" s="28">
        <f>('[2]Bilan 2030 AMS'!$V$22+'[2]Bilan 2030 AMS'!$V$30+SUM('[2]Bilan 2030 AMS'!$V$36:$V$40)+SUM('[2]Bilan 2030 AMS'!$V$44:$V$45)+'[2]Bilan 2030 AMS'!$V$47)/11.63</f>
        <v>22.929923822645311</v>
      </c>
      <c r="S79" s="142">
        <f t="shared" ref="S79:S85" si="29">SUM(O79:R79)</f>
        <v>38.185745870291122</v>
      </c>
      <c r="T79" s="317">
        <f>S79-'[2]Bilan 2030 AMS'!$V$40/11.63</f>
        <v>30.776035448134593</v>
      </c>
      <c r="U79" s="147" t="s">
        <v>21</v>
      </c>
      <c r="V79" t="s">
        <v>402</v>
      </c>
      <c r="W79" t="s">
        <v>403</v>
      </c>
      <c r="X79" t="s">
        <v>404</v>
      </c>
      <c r="Y79" t="s">
        <v>405</v>
      </c>
      <c r="Z79" s="8">
        <v>0.25897941029999999</v>
      </c>
      <c r="AA79" s="292">
        <v>4.2343754049999998</v>
      </c>
      <c r="AB79" s="8">
        <v>14.85888815</v>
      </c>
      <c r="AC79" s="8">
        <v>21.718964509999999</v>
      </c>
      <c r="AD79" s="96">
        <v>41.0712074753</v>
      </c>
    </row>
    <row r="80" spans="3:30" hidden="1" x14ac:dyDescent="0.25">
      <c r="C80" s="147" t="s">
        <v>22</v>
      </c>
      <c r="D80" t="s">
        <v>406</v>
      </c>
      <c r="E80" t="s">
        <v>407</v>
      </c>
      <c r="F80" t="s">
        <v>408</v>
      </c>
      <c r="G80" t="s">
        <v>409</v>
      </c>
      <c r="H80" s="8">
        <f>VLOOKUP(D80,Résultats!$B$2:$AX$476,'T energie vecteurs'!S5,FALSE)</f>
        <v>0</v>
      </c>
      <c r="I80" s="8">
        <f>VLOOKUP(E80,Résultats!$B$2:$AX$476,'T energie vecteurs'!S5,FALSE)</f>
        <v>2.2188774549999999</v>
      </c>
      <c r="J80" s="8">
        <f>VLOOKUP(F80,Résultats!$B$2:$AX$476,'T energie vecteurs'!S5,FALSE)</f>
        <v>11.92512135</v>
      </c>
      <c r="K80" s="8">
        <f>VLOOKUP(G80,Résultats!$B$2:$AX$476,'T energie vecteurs'!S5,FALSE)</f>
        <v>8.4100795789999996</v>
      </c>
      <c r="L80" s="96">
        <f t="shared" si="28"/>
        <v>22.554078384</v>
      </c>
      <c r="M80" s="75"/>
      <c r="N80" s="150" t="s">
        <v>22</v>
      </c>
      <c r="O80" s="29">
        <f>('[2]Bilan 2030 AMS'!$W$46)/11.63</f>
        <v>0</v>
      </c>
      <c r="P80" s="28">
        <f>SUM('[2]Bilan 2030 AMS'!$W$41:$W$43)/11.63</f>
        <v>0.31365832894736362</v>
      </c>
      <c r="Q80" s="28">
        <f>('[2]Bilan 2030 AMS'!$W$13)/11.63</f>
        <v>10.489063020056145</v>
      </c>
      <c r="R80" s="28">
        <f>('[2]Bilan 2030 AMS'!$W$22+'[2]Bilan 2030 AMS'!$W$30+SUM('[2]Bilan 2030 AMS'!$W$36:$W$40)+SUM('[2]Bilan 2030 AMS'!$W$44:$W$45)+'[2]Bilan 2030 AMS'!$W$47)/11.63</f>
        <v>9.7519333585222086</v>
      </c>
      <c r="S80" s="142">
        <f t="shared" si="29"/>
        <v>20.554654707525717</v>
      </c>
      <c r="T80" s="317">
        <f>S80-'[2]Bilan 2030 AMS'!$W$40/11.63</f>
        <v>17.750636932802038</v>
      </c>
      <c r="U80" s="147" t="s">
        <v>22</v>
      </c>
      <c r="V80" t="s">
        <v>406</v>
      </c>
      <c r="W80" t="s">
        <v>407</v>
      </c>
      <c r="X80" t="s">
        <v>408</v>
      </c>
      <c r="Y80" t="s">
        <v>409</v>
      </c>
      <c r="Z80" s="8">
        <v>0</v>
      </c>
      <c r="AA80" s="8">
        <v>0.91867758970000002</v>
      </c>
      <c r="AB80" s="8">
        <v>13.715239070000001</v>
      </c>
      <c r="AC80" s="8">
        <v>8.8325597689999995</v>
      </c>
      <c r="AD80" s="96">
        <v>23.466476428699998</v>
      </c>
    </row>
    <row r="81" spans="2:30" hidden="1" x14ac:dyDescent="0.25">
      <c r="C81" s="147" t="s">
        <v>23</v>
      </c>
      <c r="H81" s="8">
        <f>SUM(H82:H84)</f>
        <v>2.4968145127999999</v>
      </c>
      <c r="I81" s="8">
        <f>SUM(I82:I84)</f>
        <v>13.672008858000002</v>
      </c>
      <c r="J81" s="8">
        <f>SUM(J82:J84)</f>
        <v>10.3597721808</v>
      </c>
      <c r="K81" s="8">
        <f>SUM(K82:K84)</f>
        <v>15.987906876300002</v>
      </c>
      <c r="L81" s="96">
        <f t="shared" si="28"/>
        <v>42.516502427900008</v>
      </c>
      <c r="M81" s="75"/>
      <c r="N81" s="150" t="s">
        <v>490</v>
      </c>
      <c r="O81" s="29">
        <f>O82+O83</f>
        <v>1.9316373921834695</v>
      </c>
      <c r="P81" s="28">
        <f t="shared" ref="P81:R81" si="30">P82+P83</f>
        <v>10.989093223783227</v>
      </c>
      <c r="Q81" s="28">
        <f t="shared" si="30"/>
        <v>12.895607745280868</v>
      </c>
      <c r="R81" s="28">
        <f t="shared" si="30"/>
        <v>14.754489934131207</v>
      </c>
      <c r="S81" s="142">
        <f t="shared" si="29"/>
        <v>40.570828295378774</v>
      </c>
      <c r="T81" s="317">
        <f t="shared" ref="T81" si="31">S81</f>
        <v>40.570828295378774</v>
      </c>
      <c r="U81" s="147" t="s">
        <v>23</v>
      </c>
      <c r="Z81" s="8">
        <v>2.1042666437999999</v>
      </c>
      <c r="AA81" s="8">
        <v>11.965358685</v>
      </c>
      <c r="AB81" s="8">
        <v>15.266798762700001</v>
      </c>
      <c r="AC81" s="8">
        <v>10.378258540999999</v>
      </c>
      <c r="AD81" s="96">
        <v>39.714682632500001</v>
      </c>
    </row>
    <row r="82" spans="2:30" hidden="1" x14ac:dyDescent="0.25">
      <c r="C82" s="149" t="s">
        <v>24</v>
      </c>
      <c r="D82" t="s">
        <v>410</v>
      </c>
      <c r="E82" t="s">
        <v>411</v>
      </c>
      <c r="F82" t="s">
        <v>412</v>
      </c>
      <c r="G82" t="s">
        <v>413</v>
      </c>
      <c r="H82" s="16">
        <f>VLOOKUP(D82,Résultats!$B$2:$AX$476,'T energie vecteurs'!S5,FALSE)</f>
        <v>1.646148814</v>
      </c>
      <c r="I82" s="16">
        <f>VLOOKUP(E82,Résultats!$B$2:$AX$476,'T energie vecteurs'!S5,FALSE)</f>
        <v>8.6051649250000004</v>
      </c>
      <c r="J82" s="16">
        <f>VLOOKUP(F82,Résultats!$B$2:$AX$476,'T energie vecteurs'!S5,FALSE)</f>
        <v>10.00681369</v>
      </c>
      <c r="K82" s="16">
        <f>VLOOKUP(G82,Résultats!$B$2:$AX$476,'T energie vecteurs'!S5,FALSE)</f>
        <v>13.187145790000001</v>
      </c>
      <c r="L82" s="95">
        <f t="shared" si="28"/>
        <v>33.445273219000001</v>
      </c>
      <c r="M82" s="16"/>
      <c r="N82" s="149" t="s">
        <v>491</v>
      </c>
      <c r="O82" s="143">
        <f>'[2]Bilan 2030 AMS'!$U$46/11.63</f>
        <v>7.9598072737532236E-2</v>
      </c>
      <c r="P82" s="30">
        <f>SUM('[2]Bilan 2030 AMS'!$U$41:$U$43)/11.63</f>
        <v>1.062435627302436</v>
      </c>
      <c r="Q82" s="30">
        <f>'[2]Bilan 2030 AMS'!$U$13/11.63</f>
        <v>12.895607745280868</v>
      </c>
      <c r="R82" s="30">
        <f>('[2]Bilan 2030 AMS'!$U$22+'[2]Bilan 2030 AMS'!$U$30+SUM('[2]Bilan 2030 AMS'!$U$36:$U$40)+SUM('[2]Bilan 2030 AMS'!$U$44:$U$45)+'[2]Bilan 2030 AMS'!$U$47)/11.63</f>
        <v>13.492674028058465</v>
      </c>
      <c r="S82" s="95">
        <f t="shared" si="29"/>
        <v>27.530315473379304</v>
      </c>
      <c r="T82" s="95"/>
      <c r="U82" s="149" t="s">
        <v>24</v>
      </c>
      <c r="V82" t="s">
        <v>410</v>
      </c>
      <c r="W82" t="s">
        <v>411</v>
      </c>
      <c r="X82" t="s">
        <v>412</v>
      </c>
      <c r="Y82" t="s">
        <v>413</v>
      </c>
      <c r="Z82" s="16">
        <v>1.2531849340000001</v>
      </c>
      <c r="AA82" s="16">
        <v>6.8660711210000001</v>
      </c>
      <c r="AB82" s="16">
        <v>14.927080050000001</v>
      </c>
      <c r="AC82" s="16">
        <v>7.835008492</v>
      </c>
      <c r="AD82" s="95">
        <v>30.881344597000002</v>
      </c>
    </row>
    <row r="83" spans="2:30" hidden="1" x14ac:dyDescent="0.25">
      <c r="C83" s="149" t="s">
        <v>47</v>
      </c>
      <c r="D83" t="s">
        <v>414</v>
      </c>
      <c r="E83" t="s">
        <v>415</v>
      </c>
      <c r="F83" t="s">
        <v>416</v>
      </c>
      <c r="G83" t="s">
        <v>417</v>
      </c>
      <c r="H83" s="16">
        <f>VLOOKUP(D83,Résultats!$B$2:$AX$476,'T energie vecteurs'!S5,FALSE)</f>
        <v>0.85066569879999998</v>
      </c>
      <c r="I83" s="16">
        <f>VLOOKUP(E83,Résultats!$B$2:$AX$476,'T energie vecteurs'!S5,FALSE)</f>
        <v>2.1490387640000002</v>
      </c>
      <c r="J83" s="16">
        <f>VLOOKUP(F83,Résultats!$B$2:$AX$476,'T energie vecteurs'!S5,FALSE)</f>
        <v>0</v>
      </c>
      <c r="K83" s="16">
        <f>VLOOKUP(G83,Résultats!$B$2:$AX$476,'T energie vecteurs'!S5,FALSE)</f>
        <v>2.3487997690000002</v>
      </c>
      <c r="L83" s="95">
        <f>SUM(H83:K83)</f>
        <v>5.3485042317999998</v>
      </c>
      <c r="M83" s="16"/>
      <c r="N83" s="149" t="s">
        <v>47</v>
      </c>
      <c r="O83" s="22">
        <f>'[2]Bilan 2030 AMS'!$E$52/11.63</f>
        <v>1.8520393194459372</v>
      </c>
      <c r="P83" s="16">
        <f>('[2]Bilan 2030 AMS'!$E$54+'[2]Bilan 2030 AMS'!$E$56)/11.63</f>
        <v>9.9266575964807906</v>
      </c>
      <c r="Q83" s="16">
        <v>0</v>
      </c>
      <c r="R83" s="16">
        <f>('[2]Bilan 2030 AMS'!$E$53+'[2]Bilan 2030 AMS'!$E$55+'[2]Bilan 2030 AMS'!$E$57)/11.63</f>
        <v>1.2618159060727419</v>
      </c>
      <c r="S83" s="95">
        <f t="shared" si="29"/>
        <v>13.040512821999471</v>
      </c>
      <c r="T83" s="95"/>
      <c r="U83" s="149" t="s">
        <v>47</v>
      </c>
      <c r="V83" t="s">
        <v>414</v>
      </c>
      <c r="W83" t="s">
        <v>415</v>
      </c>
      <c r="X83" t="s">
        <v>416</v>
      </c>
      <c r="Y83" t="s">
        <v>417</v>
      </c>
      <c r="Z83" s="16">
        <v>0.85108170979999997</v>
      </c>
      <c r="AA83" s="16">
        <v>2.1778862299999999</v>
      </c>
      <c r="AB83" s="16">
        <v>0</v>
      </c>
      <c r="AC83" s="16">
        <v>2.107004426</v>
      </c>
      <c r="AD83" s="95">
        <v>5.1359723657999998</v>
      </c>
    </row>
    <row r="84" spans="2:30" hidden="1" x14ac:dyDescent="0.25">
      <c r="C84" s="149" t="s">
        <v>25</v>
      </c>
      <c r="D84" t="s">
        <v>418</v>
      </c>
      <c r="E84" t="s">
        <v>419</v>
      </c>
      <c r="F84" t="s">
        <v>420</v>
      </c>
      <c r="G84" t="s">
        <v>421</v>
      </c>
      <c r="H84" s="16">
        <f>VLOOKUP(D84,Résultats!$B$2:$AX$476,'T energie vecteurs'!S5,FALSE)</f>
        <v>0</v>
      </c>
      <c r="I84" s="16">
        <f>VLOOKUP(E84,Résultats!$B$2:$AX$476,'T energie vecteurs'!S5,FALSE)</f>
        <v>2.9178051690000002</v>
      </c>
      <c r="J84" s="16">
        <f>VLOOKUP(F84,Résultats!$B$2:$AX$476,'T energie vecteurs'!S5,FALSE)</f>
        <v>0.35295849080000002</v>
      </c>
      <c r="K84" s="16">
        <f>VLOOKUP(G84,Résultats!$B$2:$AX$476,'T energie vecteurs'!S5,FALSE)</f>
        <v>0.4519613173</v>
      </c>
      <c r="L84" s="95">
        <f t="shared" si="28"/>
        <v>3.7227249770999999</v>
      </c>
      <c r="M84" s="16"/>
      <c r="N84" s="150" t="s">
        <v>25</v>
      </c>
      <c r="O84" s="29">
        <f>'[2]Bilan 2030 AMS'!$T$46/11.63</f>
        <v>0</v>
      </c>
      <c r="P84" s="28">
        <f>SUM('[2]Bilan 2030 AMS'!$T$41:$T$43)/11.63</f>
        <v>2.9892692881103491</v>
      </c>
      <c r="Q84" s="28">
        <f>'[2]Bilan 2030 AMS'!$T$13/11.63</f>
        <v>0.66835109694132144</v>
      </c>
      <c r="R84" s="28">
        <f>('[2]Bilan 2030 AMS'!$T$22+'[2]Bilan 2030 AMS'!$T$30+SUM('[2]Bilan 2030 AMS'!$T$36:$T$40)+SUM('[2]Bilan 2030 AMS'!$T$44:$T$45)+'[2]Bilan 2030 AMS'!$T$47)/11.63</f>
        <v>1.2068345110920244</v>
      </c>
      <c r="S84" s="142">
        <f t="shared" si="29"/>
        <v>4.8644548961436946</v>
      </c>
      <c r="T84" s="317">
        <f>S84</f>
        <v>4.8644548961436946</v>
      </c>
      <c r="U84" s="149" t="s">
        <v>25</v>
      </c>
      <c r="V84" t="s">
        <v>418</v>
      </c>
      <c r="W84" t="s">
        <v>419</v>
      </c>
      <c r="X84" t="s">
        <v>420</v>
      </c>
      <c r="Y84" t="s">
        <v>421</v>
      </c>
      <c r="Z84" s="16">
        <v>0</v>
      </c>
      <c r="AA84" s="16">
        <v>2.921401334</v>
      </c>
      <c r="AB84" s="16">
        <v>0.33971871269999998</v>
      </c>
      <c r="AC84" s="16">
        <v>0.43624562300000003</v>
      </c>
      <c r="AD84" s="95">
        <v>3.6973656696999999</v>
      </c>
    </row>
    <row r="85" spans="2:30" hidden="1" x14ac:dyDescent="0.25">
      <c r="C85" s="23" t="s">
        <v>26</v>
      </c>
      <c r="D85" s="10"/>
      <c r="E85" s="10"/>
      <c r="F85" s="10"/>
      <c r="G85" s="10"/>
      <c r="H85" s="9">
        <f>SUM(H76,H79:H81)</f>
        <v>2.7840709963999997</v>
      </c>
      <c r="I85" s="9">
        <f>SUM(I76,I79:I81)</f>
        <v>60.283970701999991</v>
      </c>
      <c r="J85" s="9">
        <f>SUM(J76,J79:J81)</f>
        <v>41.490494683400001</v>
      </c>
      <c r="K85" s="9">
        <f>SUM(K76,K79:K81)</f>
        <v>45.358646354676601</v>
      </c>
      <c r="L85" s="98">
        <f>SUM(H85:K85)</f>
        <v>149.9171827364766</v>
      </c>
      <c r="M85" s="79"/>
      <c r="N85" s="151" t="s">
        <v>26</v>
      </c>
      <c r="O85" s="32">
        <f>O76+O79+O80+O81+O84</f>
        <v>1.9316373921834695</v>
      </c>
      <c r="P85" s="31">
        <f>P76+P79+P80+P81+P84</f>
        <v>46.567847597270919</v>
      </c>
      <c r="Q85" s="31">
        <f>Q76+Q79+Q80+Q81+Q84</f>
        <v>41.314616149289513</v>
      </c>
      <c r="R85" s="31">
        <f>R76+R79+R80+R81+R84</f>
        <v>49.28838174800881</v>
      </c>
      <c r="S85" s="144">
        <f t="shared" si="29"/>
        <v>139.10248288675271</v>
      </c>
      <c r="T85" s="318">
        <f>SUM(T76:T84)</f>
        <v>128.88875468987248</v>
      </c>
      <c r="U85" s="23" t="s">
        <v>26</v>
      </c>
      <c r="V85" s="10"/>
      <c r="W85" s="10"/>
      <c r="X85" s="10"/>
      <c r="Y85" s="10"/>
      <c r="Z85" s="9">
        <v>2.3632460540999998</v>
      </c>
      <c r="AA85" s="9">
        <v>53.149782829700001</v>
      </c>
      <c r="AB85" s="9">
        <v>47.512089058299999</v>
      </c>
      <c r="AC85" s="9">
        <v>41.5119242403294</v>
      </c>
      <c r="AD85" s="98">
        <v>144.53704218242939</v>
      </c>
    </row>
    <row r="86" spans="2:30" s="3" customFormat="1" hidden="1" x14ac:dyDescent="0.25">
      <c r="O86" s="77"/>
      <c r="P86" s="77"/>
      <c r="Q86" s="77"/>
      <c r="R86" s="78"/>
      <c r="S86" s="45"/>
    </row>
    <row r="87" spans="2:30" s="3" customFormat="1" hidden="1" x14ac:dyDescent="0.25">
      <c r="B87" s="60"/>
      <c r="K87" s="47"/>
      <c r="O87" s="79"/>
      <c r="P87" s="79"/>
      <c r="Q87" s="79"/>
      <c r="R87" s="80"/>
      <c r="S87" s="81"/>
      <c r="AC87" s="47"/>
    </row>
    <row r="88" spans="2:30" s="3" customFormat="1" ht="31.5" x14ac:dyDescent="0.35">
      <c r="B88" s="60"/>
      <c r="C88" s="145">
        <v>2035</v>
      </c>
      <c r="D88" s="146"/>
      <c r="E88" s="146"/>
      <c r="F88" s="146"/>
      <c r="G88" s="146"/>
      <c r="H88" s="76" t="s">
        <v>36</v>
      </c>
      <c r="I88" s="76" t="s">
        <v>49</v>
      </c>
      <c r="J88" s="76" t="s">
        <v>38</v>
      </c>
      <c r="K88" s="76" t="s">
        <v>48</v>
      </c>
      <c r="L88" s="93" t="s">
        <v>1</v>
      </c>
      <c r="N88" s="145">
        <v>2035</v>
      </c>
      <c r="O88" s="141" t="s">
        <v>36</v>
      </c>
      <c r="P88" s="76" t="s">
        <v>49</v>
      </c>
      <c r="Q88" s="76" t="s">
        <v>38</v>
      </c>
      <c r="R88" s="76" t="s">
        <v>48</v>
      </c>
      <c r="S88" s="93" t="s">
        <v>1</v>
      </c>
      <c r="T88" s="316" t="s">
        <v>543</v>
      </c>
      <c r="U88" s="145">
        <v>2035</v>
      </c>
      <c r="V88" s="146"/>
      <c r="W88" s="146"/>
      <c r="X88" s="146"/>
      <c r="Y88" s="146"/>
      <c r="Z88" s="76" t="s">
        <v>36</v>
      </c>
      <c r="AA88" s="76" t="s">
        <v>49</v>
      </c>
      <c r="AB88" s="76" t="s">
        <v>38</v>
      </c>
      <c r="AC88" s="76" t="s">
        <v>48</v>
      </c>
      <c r="AD88" s="93" t="s">
        <v>1</v>
      </c>
    </row>
    <row r="89" spans="2:30" s="3" customFormat="1" x14ac:dyDescent="0.25">
      <c r="B89" s="60"/>
      <c r="C89" s="147" t="s">
        <v>18</v>
      </c>
      <c r="D89"/>
      <c r="E89"/>
      <c r="F89"/>
      <c r="G89"/>
      <c r="H89" s="8">
        <f>SUM(H90:H91)</f>
        <v>0</v>
      </c>
      <c r="I89" s="8">
        <f>SUM(I90:I91)</f>
        <v>35.697460660000004</v>
      </c>
      <c r="J89" s="8">
        <f>SUM(J90:J91)</f>
        <v>4.5074360660000004</v>
      </c>
      <c r="K89" s="8">
        <f>SUM(K90:K91)</f>
        <v>2.2446374532444997</v>
      </c>
      <c r="L89" s="96">
        <f t="shared" ref="L89:L98" si="32">SUM(H89:K89)</f>
        <v>42.449534179244502</v>
      </c>
      <c r="N89" s="150" t="s">
        <v>18</v>
      </c>
      <c r="O89" s="29">
        <f>'[2]Bilan 2035 AMS'!$X$46/11.63</f>
        <v>0</v>
      </c>
      <c r="P89" s="28">
        <f>SUM('[2]Bilan 2035 AMS'!$X$41:$X$43)/11.63</f>
        <v>21.730689498011905</v>
      </c>
      <c r="Q89" s="28">
        <f>'[2]Bilan 2035 AMS'!$X$13/11.63</f>
        <v>5.5762370969707487</v>
      </c>
      <c r="R89" s="28">
        <f>('[2]Bilan 2035 AMS'!$X$22+'[2]Bilan 2035 AMS'!$X$30+SUM('[2]Bilan 2035 AMS'!$X$36:$X$40)+SUM('[2]Bilan 2035 AMS'!$X$44:$X$45)+'[2]Bilan 2035 AMS'!$X$47)/11.63</f>
        <v>0.86916506855092779</v>
      </c>
      <c r="S89" s="142">
        <f>SUM(O89:R89)</f>
        <v>28.176091663533583</v>
      </c>
      <c r="T89" s="317">
        <f>S89</f>
        <v>28.176091663533583</v>
      </c>
      <c r="U89" s="147" t="s">
        <v>18</v>
      </c>
      <c r="V89"/>
      <c r="W89"/>
      <c r="X89"/>
      <c r="Y89"/>
      <c r="Z89" s="8">
        <v>0</v>
      </c>
      <c r="AA89" s="8">
        <v>28.590726369999999</v>
      </c>
      <c r="AB89" s="8">
        <v>6.0775777899999994</v>
      </c>
      <c r="AC89" s="8">
        <v>0.50850881628089994</v>
      </c>
      <c r="AD89" s="96">
        <v>35.1768129762809</v>
      </c>
    </row>
    <row r="90" spans="2:30" s="3" customFormat="1" x14ac:dyDescent="0.25">
      <c r="B90" s="60"/>
      <c r="C90" s="148" t="s">
        <v>19</v>
      </c>
      <c r="D90" t="s">
        <v>394</v>
      </c>
      <c r="E90" t="s">
        <v>395</v>
      </c>
      <c r="F90" t="s">
        <v>396</v>
      </c>
      <c r="G90" t="s">
        <v>397</v>
      </c>
      <c r="H90" s="16">
        <f>VLOOKUP(D90,Résultats!$B$2:$AX$476,'T energie vecteurs'!T5,FALSE)</f>
        <v>0</v>
      </c>
      <c r="I90" s="16">
        <f>VLOOKUP(E90,Résultats!$B$2:$AX$476,'T energie vecteurs'!T5,FALSE)</f>
        <v>18.06551237</v>
      </c>
      <c r="J90" s="16">
        <f>VLOOKUP(F90,Résultats!$B$2:$AX$476,'T energie vecteurs'!T5,FALSE)</f>
        <v>1.1573131919999999</v>
      </c>
      <c r="K90" s="16">
        <f>VLOOKUP(G90,Résultats!$B$2:$AX$476,'T energie vecteurs'!T5,FALSE)</f>
        <v>4.4606244499999998E-5</v>
      </c>
      <c r="L90" s="95">
        <f t="shared" si="32"/>
        <v>19.222870168244501</v>
      </c>
      <c r="N90" s="148" t="s">
        <v>19</v>
      </c>
      <c r="O90" s="143"/>
      <c r="P90" s="16"/>
      <c r="Q90" s="34"/>
      <c r="R90" s="16"/>
      <c r="S90" s="95"/>
      <c r="T90" s="95"/>
      <c r="U90" s="148" t="s">
        <v>19</v>
      </c>
      <c r="V90" t="s">
        <v>394</v>
      </c>
      <c r="W90" t="s">
        <v>395</v>
      </c>
      <c r="X90" t="s">
        <v>396</v>
      </c>
      <c r="Y90" t="s">
        <v>397</v>
      </c>
      <c r="Z90" s="16">
        <v>0</v>
      </c>
      <c r="AA90" s="16">
        <v>14.93524934</v>
      </c>
      <c r="AB90" s="16">
        <v>1.6584664410000001</v>
      </c>
      <c r="AC90" s="16">
        <v>2.65895809E-5</v>
      </c>
      <c r="AD90" s="95">
        <v>16.593742370580902</v>
      </c>
    </row>
    <row r="91" spans="2:30" s="3" customFormat="1" x14ac:dyDescent="0.25">
      <c r="B91" s="60"/>
      <c r="C91" s="149" t="s">
        <v>20</v>
      </c>
      <c r="D91" t="s">
        <v>398</v>
      </c>
      <c r="E91" t="s">
        <v>399</v>
      </c>
      <c r="F91" t="s">
        <v>400</v>
      </c>
      <c r="G91" t="s">
        <v>401</v>
      </c>
      <c r="H91" s="16">
        <f>VLOOKUP(D91,Résultats!$B$2:$AX$476,'T energie vecteurs'!T5,FALSE)</f>
        <v>0</v>
      </c>
      <c r="I91" s="16">
        <f>VLOOKUP(E91,Résultats!$B$2:$AX$476,'T energie vecteurs'!T5,FALSE)</f>
        <v>17.63194829</v>
      </c>
      <c r="J91" s="16">
        <f>VLOOKUP(F91,Résultats!$B$2:$AX$476,'T energie vecteurs'!T5,FALSE)</f>
        <v>3.3501228740000002</v>
      </c>
      <c r="K91" s="16">
        <f>VLOOKUP(G91,Résultats!$B$2:$AX$476,'T energie vecteurs'!T5,FALSE)</f>
        <v>2.2445928469999998</v>
      </c>
      <c r="L91" s="95">
        <f t="shared" si="32"/>
        <v>23.226664011</v>
      </c>
      <c r="N91" s="149" t="s">
        <v>20</v>
      </c>
      <c r="O91" s="143"/>
      <c r="P91" s="16"/>
      <c r="Q91" s="34"/>
      <c r="R91" s="16"/>
      <c r="S91" s="95"/>
      <c r="T91" s="95"/>
      <c r="U91" s="149" t="s">
        <v>20</v>
      </c>
      <c r="V91" t="s">
        <v>398</v>
      </c>
      <c r="W91" t="s">
        <v>399</v>
      </c>
      <c r="X91" t="s">
        <v>400</v>
      </c>
      <c r="Y91" t="s">
        <v>401</v>
      </c>
      <c r="Z91" s="16">
        <v>0</v>
      </c>
      <c r="AA91" s="16">
        <v>13.65547703</v>
      </c>
      <c r="AB91" s="16">
        <v>4.4191113489999996</v>
      </c>
      <c r="AC91" s="16">
        <v>0.50848222669999998</v>
      </c>
      <c r="AD91" s="95">
        <v>18.583070605699998</v>
      </c>
    </row>
    <row r="92" spans="2:30" s="3" customFormat="1" x14ac:dyDescent="0.25">
      <c r="B92" s="60"/>
      <c r="C92" s="147" t="s">
        <v>21</v>
      </c>
      <c r="D92" t="s">
        <v>402</v>
      </c>
      <c r="E92" t="s">
        <v>403</v>
      </c>
      <c r="F92" t="s">
        <v>404</v>
      </c>
      <c r="G92" t="s">
        <v>405</v>
      </c>
      <c r="H92" s="8">
        <f>VLOOKUP(D92,Résultats!$B$2:$AX$476,'T energie vecteurs'!T5,FALSE)</f>
        <v>0.27972639729999998</v>
      </c>
      <c r="I92" s="292">
        <f>VLOOKUP(E92,Résultats!$B$2:$AX$476,'T energie vecteurs'!T5,FALSE)</f>
        <v>6.1666430759999997</v>
      </c>
      <c r="J92" s="8">
        <f>VLOOKUP(F92,Résultats!$B$2:$AX$476,'T energie vecteurs'!T5,FALSE)</f>
        <v>16.493902349999999</v>
      </c>
      <c r="K92" s="8">
        <f>VLOOKUP(G92,Résultats!$B$2:$AX$476,'T energie vecteurs'!T5,FALSE)+2</f>
        <v>20.054338449999999</v>
      </c>
      <c r="L92" s="96">
        <f t="shared" si="32"/>
        <v>42.994610273299998</v>
      </c>
      <c r="N92" s="150" t="s">
        <v>21</v>
      </c>
      <c r="O92" s="29">
        <f>'[2]Bilan 2035 AMS'!$V$46/11.63</f>
        <v>0</v>
      </c>
      <c r="P92" s="28">
        <f>SUM('[2]Bilan 2035 AMS'!$V$41:$V$43)/11.63</f>
        <v>0.10251745015919128</v>
      </c>
      <c r="Q92" s="28">
        <f>'[2]Bilan 2035 AMS'!$V$13/11.63</f>
        <v>13.303102379021182</v>
      </c>
      <c r="R92" s="28">
        <f>('[2]Bilan 2035 AMS'!$V$22+'[2]Bilan 2035 AMS'!$V$30+SUM('[2]Bilan 2035 AMS'!$V$36:$V$40)+SUM('[2]Bilan 2035 AMS'!$V$44:$V$45)+'[2]Bilan 2035 AMS'!$V$47)/11.63</f>
        <v>23.111817871405254</v>
      </c>
      <c r="S92" s="142">
        <f t="shared" ref="S92:S98" si="33">SUM(O92:R92)</f>
        <v>36.517437700585624</v>
      </c>
      <c r="T92" s="317">
        <f>S92-'[2]Bilan 2035 AMS'!$V$40/11.63</f>
        <v>27.392082341531609</v>
      </c>
      <c r="U92" s="147" t="s">
        <v>21</v>
      </c>
      <c r="V92" t="s">
        <v>402</v>
      </c>
      <c r="W92" t="s">
        <v>403</v>
      </c>
      <c r="X92" t="s">
        <v>404</v>
      </c>
      <c r="Y92" t="s">
        <v>405</v>
      </c>
      <c r="Z92" s="8">
        <v>0.22804254060000001</v>
      </c>
      <c r="AA92" s="292">
        <v>2.9946788799999999</v>
      </c>
      <c r="AB92" s="8">
        <v>14.779864910000001</v>
      </c>
      <c r="AC92" s="8">
        <v>22.938675180000001</v>
      </c>
      <c r="AD92" s="96">
        <v>40.9412615106</v>
      </c>
    </row>
    <row r="93" spans="2:30" s="3" customFormat="1" x14ac:dyDescent="0.25">
      <c r="B93" s="60"/>
      <c r="C93" s="147" t="s">
        <v>22</v>
      </c>
      <c r="D93" t="s">
        <v>406</v>
      </c>
      <c r="E93" t="s">
        <v>407</v>
      </c>
      <c r="F93" t="s">
        <v>408</v>
      </c>
      <c r="G93" t="s">
        <v>409</v>
      </c>
      <c r="H93" s="8">
        <f>VLOOKUP(D93,Résultats!$B$2:$AX$476,'T energie vecteurs'!T5,FALSE)</f>
        <v>0</v>
      </c>
      <c r="I93" s="8">
        <f>VLOOKUP(E93,Résultats!$B$2:$AX$476,'T energie vecteurs'!T5,FALSE)</f>
        <v>2.0132997910000001</v>
      </c>
      <c r="J93" s="8">
        <f>VLOOKUP(F93,Résultats!$B$2:$AX$476,'T energie vecteurs'!T5,FALSE)</f>
        <v>12.128935370000001</v>
      </c>
      <c r="K93" s="8">
        <f>VLOOKUP(G93,Résultats!$B$2:$AX$476,'T energie vecteurs'!T5,FALSE)</f>
        <v>8.0835402040000002</v>
      </c>
      <c r="L93" s="96">
        <f t="shared" si="32"/>
        <v>22.225775365000001</v>
      </c>
      <c r="N93" s="150" t="s">
        <v>22</v>
      </c>
      <c r="O93" s="29">
        <f>('[2]Bilan 2035 AMS'!$W$46)/11.63</f>
        <v>0</v>
      </c>
      <c r="P93" s="28">
        <f>SUM('[2]Bilan 2035 AMS'!$W$41:$W$43)/11.63</f>
        <v>0.18654564932707193</v>
      </c>
      <c r="Q93" s="28">
        <f>('[2]Bilan 2035 AMS'!$W$13)/11.63</f>
        <v>10.475484550291474</v>
      </c>
      <c r="R93" s="28">
        <f>('[2]Bilan 2035 AMS'!$W$22+'[2]Bilan 2035 AMS'!$W$30+SUM('[2]Bilan 2035 AMS'!$W$36:$W$40)+SUM('[2]Bilan 2035 AMS'!$W$44:$W$45)+'[2]Bilan 2035 AMS'!$W$47)/11.63</f>
        <v>9.8192809947899988</v>
      </c>
      <c r="S93" s="142">
        <f t="shared" si="33"/>
        <v>20.481311194408548</v>
      </c>
      <c r="T93" s="317">
        <f>S93-'[2]Bilan 2035 AMS'!$W$40/11.63</f>
        <v>16.836591575400341</v>
      </c>
      <c r="U93" s="147" t="s">
        <v>22</v>
      </c>
      <c r="V93" t="s">
        <v>406</v>
      </c>
      <c r="W93" t="s">
        <v>407</v>
      </c>
      <c r="X93" t="s">
        <v>408</v>
      </c>
      <c r="Y93" t="s">
        <v>409</v>
      </c>
      <c r="Z93" s="8">
        <v>0</v>
      </c>
      <c r="AA93" s="8">
        <v>0.93563671380000002</v>
      </c>
      <c r="AB93" s="8">
        <v>13.18889207</v>
      </c>
      <c r="AC93" s="8">
        <v>7.9145990839999998</v>
      </c>
      <c r="AD93" s="96">
        <v>22.039127867799998</v>
      </c>
    </row>
    <row r="94" spans="2:30" s="3" customFormat="1" x14ac:dyDescent="0.25">
      <c r="B94" s="60"/>
      <c r="C94" s="147" t="s">
        <v>490</v>
      </c>
      <c r="D94"/>
      <c r="E94"/>
      <c r="F94"/>
      <c r="G94"/>
      <c r="H94" s="8">
        <f>SUM(H95:H96)</f>
        <v>2.6498441318000001</v>
      </c>
      <c r="I94" s="8">
        <f t="shared" ref="I94:K94" si="34">SUM(I95:I96)</f>
        <v>11.400584788</v>
      </c>
      <c r="J94" s="8">
        <f t="shared" si="34"/>
        <v>10.491117060000001</v>
      </c>
      <c r="K94" s="8">
        <f t="shared" si="34"/>
        <v>16.055416428999997</v>
      </c>
      <c r="L94" s="96">
        <f t="shared" si="32"/>
        <v>40.596962408799996</v>
      </c>
      <c r="N94" s="150" t="s">
        <v>490</v>
      </c>
      <c r="O94" s="29">
        <f>O95+O96</f>
        <v>1.1271690519534607</v>
      </c>
      <c r="P94" s="28">
        <f t="shared" ref="P94:R94" si="35">P95+P96</f>
        <v>10.280328019614133</v>
      </c>
      <c r="Q94" s="28">
        <f t="shared" si="35"/>
        <v>13.210125889739416</v>
      </c>
      <c r="R94" s="28">
        <f t="shared" si="35"/>
        <v>14.36569372610775</v>
      </c>
      <c r="S94" s="142">
        <f t="shared" si="33"/>
        <v>38.983316687414757</v>
      </c>
      <c r="T94" s="317">
        <f t="shared" ref="T94" si="36">S94</f>
        <v>38.983316687414757</v>
      </c>
      <c r="U94" s="147" t="s">
        <v>490</v>
      </c>
      <c r="V94"/>
      <c r="W94"/>
      <c r="X94"/>
      <c r="Y94"/>
      <c r="Z94" s="8">
        <v>2.4367417504</v>
      </c>
      <c r="AA94" s="8">
        <v>10.406238740999999</v>
      </c>
      <c r="AB94" s="8">
        <v>13.919047109999999</v>
      </c>
      <c r="AC94" s="8">
        <v>11.244981903999999</v>
      </c>
      <c r="AD94" s="96">
        <v>38.007009505399999</v>
      </c>
    </row>
    <row r="95" spans="2:30" s="3" customFormat="1" x14ac:dyDescent="0.25">
      <c r="B95" s="60"/>
      <c r="C95" s="149" t="s">
        <v>24</v>
      </c>
      <c r="D95" t="s">
        <v>410</v>
      </c>
      <c r="E95" t="s">
        <v>411</v>
      </c>
      <c r="F95" t="s">
        <v>412</v>
      </c>
      <c r="G95" t="s">
        <v>413</v>
      </c>
      <c r="H95" s="16">
        <f>VLOOKUP(D95,Résultats!$B$2:$AX$476,'T energie vecteurs'!T5,FALSE)</f>
        <v>1.769717843</v>
      </c>
      <c r="I95" s="16">
        <f>VLOOKUP(E95,Résultats!$B$2:$AX$476,'T energie vecteurs'!T5,FALSE)</f>
        <v>9.1451408720000007</v>
      </c>
      <c r="J95" s="16">
        <f>VLOOKUP(F95,Résultats!$B$2:$AX$476,'T energie vecteurs'!T5,FALSE)</f>
        <v>10.491117060000001</v>
      </c>
      <c r="K95" s="16">
        <f>VLOOKUP(G95,Résultats!$B$2:$AX$476,'T energie vecteurs'!T5,FALSE)</f>
        <v>13.639227099999999</v>
      </c>
      <c r="L95" s="95">
        <f t="shared" si="32"/>
        <v>35.045202875000001</v>
      </c>
      <c r="N95" s="149" t="s">
        <v>491</v>
      </c>
      <c r="O95" s="143">
        <f>'[2]Bilan 2035 AMS'!$U$46/11.63</f>
        <v>5.1206344381448832E-2</v>
      </c>
      <c r="P95" s="30">
        <f>SUM('[2]Bilan 2035 AMS'!$U$41:$U$43)/11.63</f>
        <v>0.67012072888540719</v>
      </c>
      <c r="Q95" s="30">
        <f>'[2]Bilan 2035 AMS'!$U$13/11.63</f>
        <v>13.210125889739416</v>
      </c>
      <c r="R95" s="30">
        <f>('[2]Bilan 2035 AMS'!$U$22+'[2]Bilan 2035 AMS'!$U$30+SUM('[2]Bilan 2035 AMS'!$U$36:$U$40)+SUM('[2]Bilan 2035 AMS'!$U$44:$U$45)+'[2]Bilan 2035 AMS'!$U$47)/11.63</f>
        <v>13.122327447005626</v>
      </c>
      <c r="S95" s="95">
        <f t="shared" si="33"/>
        <v>27.053780410011896</v>
      </c>
      <c r="T95" s="95"/>
      <c r="U95" s="149" t="s">
        <v>24</v>
      </c>
      <c r="V95" t="s">
        <v>410</v>
      </c>
      <c r="W95" t="s">
        <v>411</v>
      </c>
      <c r="X95" t="s">
        <v>412</v>
      </c>
      <c r="Y95" t="s">
        <v>413</v>
      </c>
      <c r="Z95" s="16">
        <v>1.571886042</v>
      </c>
      <c r="AA95" s="16">
        <v>8.1319094199999995</v>
      </c>
      <c r="AB95" s="16">
        <v>13.919047109999999</v>
      </c>
      <c r="AC95" s="16">
        <v>9.0984446420000005</v>
      </c>
      <c r="AD95" s="95">
        <v>32.721287214</v>
      </c>
    </row>
    <row r="96" spans="2:30" s="3" customFormat="1" x14ac:dyDescent="0.25">
      <c r="B96" s="60"/>
      <c r="C96" s="149" t="s">
        <v>47</v>
      </c>
      <c r="D96" t="s">
        <v>414</v>
      </c>
      <c r="E96" t="s">
        <v>415</v>
      </c>
      <c r="F96" t="s">
        <v>416</v>
      </c>
      <c r="G96" t="s">
        <v>417</v>
      </c>
      <c r="H96" s="16">
        <f>VLOOKUP(D96,Résultats!$B$2:$AX$476,'T energie vecteurs'!T5,FALSE)</f>
        <v>0.88012628879999999</v>
      </c>
      <c r="I96" s="16">
        <f>VLOOKUP(E96,Résultats!$B$2:$AX$476,'T energie vecteurs'!T5,FALSE)</f>
        <v>2.2554439159999999</v>
      </c>
      <c r="J96" s="16">
        <f>VLOOKUP(F96,Résultats!$B$2:$AX$476,'T energie vecteurs'!T5,FALSE)</f>
        <v>0</v>
      </c>
      <c r="K96" s="16">
        <f>VLOOKUP(G96,Résultats!$B$2:$AX$476,'T energie vecteurs'!T5,FALSE)</f>
        <v>2.4161893289999998</v>
      </c>
      <c r="L96" s="95">
        <f t="shared" si="32"/>
        <v>5.5517595338000003</v>
      </c>
      <c r="N96" s="149" t="s">
        <v>47</v>
      </c>
      <c r="O96" s="22">
        <f>'[2]Bilan 2035 AMS'!$E$52/11.63</f>
        <v>1.075962707572012</v>
      </c>
      <c r="P96" s="16">
        <f>('[2]Bilan 2035 AMS'!$E$54+'[2]Bilan 2035 AMS'!$E$56)/11.63</f>
        <v>9.6102072907287255</v>
      </c>
      <c r="Q96" s="16">
        <v>0</v>
      </c>
      <c r="R96" s="16">
        <f>('[2]Bilan 2035 AMS'!$E$53+'[2]Bilan 2035 AMS'!$E$55+'[2]Bilan 2035 AMS'!$E$57)/11.63</f>
        <v>1.2433662791021249</v>
      </c>
      <c r="S96" s="95">
        <f t="shared" si="33"/>
        <v>11.929536277402862</v>
      </c>
      <c r="T96" s="95"/>
      <c r="U96" s="149" t="s">
        <v>47</v>
      </c>
      <c r="V96" t="s">
        <v>414</v>
      </c>
      <c r="W96" t="s">
        <v>415</v>
      </c>
      <c r="X96" t="s">
        <v>416</v>
      </c>
      <c r="Y96" t="s">
        <v>417</v>
      </c>
      <c r="Z96" s="16">
        <v>0.86485570840000003</v>
      </c>
      <c r="AA96" s="16">
        <v>2.2743293210000002</v>
      </c>
      <c r="AB96" s="16">
        <v>0</v>
      </c>
      <c r="AC96" s="16">
        <v>2.1465372619999998</v>
      </c>
      <c r="AD96" s="95">
        <v>5.2857222913999999</v>
      </c>
    </row>
    <row r="97" spans="2:30" s="3" customFormat="1" x14ac:dyDescent="0.25">
      <c r="B97" s="60"/>
      <c r="C97" s="147" t="s">
        <v>25</v>
      </c>
      <c r="D97" t="s">
        <v>418</v>
      </c>
      <c r="E97" t="s">
        <v>419</v>
      </c>
      <c r="F97" t="s">
        <v>420</v>
      </c>
      <c r="G97" t="s">
        <v>421</v>
      </c>
      <c r="H97" s="8">
        <f>VLOOKUP(D97,Résultats!$B$2:$AX$476,'T energie vecteurs'!T5,FALSE)</f>
        <v>0</v>
      </c>
      <c r="I97" s="8">
        <f>VLOOKUP(E97,Résultats!$B$2:$AX$476,'T energie vecteurs'!T5,FALSE)</f>
        <v>3.0708691809999999</v>
      </c>
      <c r="J97" s="8">
        <f>VLOOKUP(F97,Résultats!$B$2:$AX$476,'T energie vecteurs'!T5,FALSE)</f>
        <v>0.36579146779999999</v>
      </c>
      <c r="K97" s="8">
        <f>VLOOKUP(G97,Résultats!$B$2:$AX$476,'T energie vecteurs'!T5,FALSE)</f>
        <v>0.46963168529999999</v>
      </c>
      <c r="L97" s="96">
        <f t="shared" si="32"/>
        <v>3.9062923340999998</v>
      </c>
      <c r="N97" s="150" t="s">
        <v>25</v>
      </c>
      <c r="O97" s="29">
        <f>'[2]Bilan 2035 AMS'!$T$46/11.63</f>
        <v>0</v>
      </c>
      <c r="P97" s="28">
        <f>SUM('[2]Bilan 2035 AMS'!$T$41:$T$43)/11.63</f>
        <v>2.3885046272256516</v>
      </c>
      <c r="Q97" s="28">
        <f>'[2]Bilan 2035 AMS'!$T$13/11.63</f>
        <v>0.74285940769933312</v>
      </c>
      <c r="R97" s="28">
        <f>('[2]Bilan 2035 AMS'!$T$22+'[2]Bilan 2035 AMS'!$T$30+SUM('[2]Bilan 2035 AMS'!$T$36:$T$40)+SUM('[2]Bilan 2035 AMS'!$T$44:$T$45)+'[2]Bilan 2035 AMS'!$T$47)/11.63</f>
        <v>1.4427552690285042</v>
      </c>
      <c r="S97" s="142">
        <f t="shared" si="33"/>
        <v>4.5741193039534886</v>
      </c>
      <c r="T97" s="317">
        <f>S97</f>
        <v>4.5741193039534886</v>
      </c>
      <c r="U97" s="149" t="s">
        <v>25</v>
      </c>
      <c r="V97" t="s">
        <v>418</v>
      </c>
      <c r="W97" t="s">
        <v>419</v>
      </c>
      <c r="X97" t="s">
        <v>420</v>
      </c>
      <c r="Y97" t="s">
        <v>421</v>
      </c>
      <c r="Z97" s="16">
        <v>0</v>
      </c>
      <c r="AA97" s="16">
        <v>3.0176946600000001</v>
      </c>
      <c r="AB97" s="16">
        <v>0.35359975119999998</v>
      </c>
      <c r="AC97" s="16">
        <v>0.44427558319999999</v>
      </c>
      <c r="AD97" s="95">
        <v>3.8155699944000001</v>
      </c>
    </row>
    <row r="98" spans="2:30" s="3" customFormat="1" x14ac:dyDescent="0.25">
      <c r="B98" s="60"/>
      <c r="C98" s="23" t="s">
        <v>26</v>
      </c>
      <c r="D98" s="10"/>
      <c r="E98" s="10"/>
      <c r="F98" s="10"/>
      <c r="G98" s="10"/>
      <c r="H98" s="9">
        <f>SUM(H89,H92:H94)</f>
        <v>2.9295705291000003</v>
      </c>
      <c r="I98" s="9">
        <f>SUM(I89,I92:I94)</f>
        <v>55.277988315000002</v>
      </c>
      <c r="J98" s="9">
        <f>SUM(J89,J92:J94)</f>
        <v>43.621390846000004</v>
      </c>
      <c r="K98" s="9">
        <f>SUM(K89,K92:K94)</f>
        <v>46.437932536244496</v>
      </c>
      <c r="L98" s="98">
        <f t="shared" si="32"/>
        <v>148.26688222634451</v>
      </c>
      <c r="N98" s="151" t="s">
        <v>26</v>
      </c>
      <c r="O98" s="32">
        <f>O89+O92+O93+O94+O97</f>
        <v>1.1271690519534607</v>
      </c>
      <c r="P98" s="31">
        <f>P89+P92+P93+P94+P97</f>
        <v>34.688585244337951</v>
      </c>
      <c r="Q98" s="31">
        <f>Q89+Q92+Q93+Q94+Q97</f>
        <v>43.307809323722154</v>
      </c>
      <c r="R98" s="31">
        <f>R89+R92+R93+R94+R97</f>
        <v>49.608712929882437</v>
      </c>
      <c r="S98" s="144">
        <f t="shared" si="33"/>
        <v>128.732276549896</v>
      </c>
      <c r="T98" s="318">
        <f>SUM(T89:T97)</f>
        <v>115.96220157183377</v>
      </c>
      <c r="U98" s="23" t="s">
        <v>26</v>
      </c>
      <c r="V98" s="10"/>
      <c r="W98" s="10"/>
      <c r="X98" s="10"/>
      <c r="Y98" s="10"/>
      <c r="Z98" s="9">
        <v>2.6647842910000001</v>
      </c>
      <c r="AA98" s="9">
        <v>42.927280704799998</v>
      </c>
      <c r="AB98" s="9">
        <v>47.965381880000002</v>
      </c>
      <c r="AC98" s="9">
        <v>42.6067649842809</v>
      </c>
      <c r="AD98" s="98">
        <v>136.16421186008091</v>
      </c>
    </row>
    <row r="99" spans="2:30" s="3" customFormat="1" x14ac:dyDescent="0.25">
      <c r="B99" s="60"/>
      <c r="K99" s="47"/>
      <c r="AC99" s="47"/>
    </row>
    <row r="100" spans="2:30" s="3" customFormat="1" hidden="1" x14ac:dyDescent="0.25">
      <c r="B100" s="60"/>
      <c r="K100" s="47"/>
      <c r="AC100" s="47"/>
    </row>
    <row r="101" spans="2:30" ht="31.5" hidden="1" x14ac:dyDescent="0.35">
      <c r="C101" s="145">
        <v>2040</v>
      </c>
      <c r="D101" s="146"/>
      <c r="E101" s="146"/>
      <c r="F101" s="146"/>
      <c r="G101" s="146"/>
      <c r="H101" s="76" t="s">
        <v>36</v>
      </c>
      <c r="I101" s="76" t="s">
        <v>49</v>
      </c>
      <c r="J101" s="76" t="s">
        <v>38</v>
      </c>
      <c r="K101" s="76" t="s">
        <v>48</v>
      </c>
      <c r="L101" s="93" t="s">
        <v>1</v>
      </c>
      <c r="M101" s="19"/>
      <c r="N101" s="145">
        <v>2040</v>
      </c>
      <c r="O101" s="141" t="s">
        <v>36</v>
      </c>
      <c r="P101" s="76" t="s">
        <v>49</v>
      </c>
      <c r="Q101" s="76" t="s">
        <v>38</v>
      </c>
      <c r="R101" s="76" t="s">
        <v>48</v>
      </c>
      <c r="S101" s="93" t="s">
        <v>1</v>
      </c>
      <c r="T101" s="316" t="s">
        <v>543</v>
      </c>
      <c r="U101" s="145">
        <v>2040</v>
      </c>
      <c r="V101" s="146"/>
      <c r="W101" s="146"/>
      <c r="X101" s="146"/>
      <c r="Y101" s="146"/>
      <c r="Z101" s="76" t="s">
        <v>36</v>
      </c>
      <c r="AA101" s="76" t="s">
        <v>49</v>
      </c>
      <c r="AB101" s="76" t="s">
        <v>38</v>
      </c>
      <c r="AC101" s="76" t="s">
        <v>48</v>
      </c>
      <c r="AD101" s="93" t="s">
        <v>1</v>
      </c>
    </row>
    <row r="102" spans="2:30" hidden="1" x14ac:dyDescent="0.25">
      <c r="C102" s="147" t="s">
        <v>18</v>
      </c>
      <c r="H102" s="8">
        <f>SUM(H103:H104)</f>
        <v>0</v>
      </c>
      <c r="I102" s="8">
        <f>SUM(I103:I104)</f>
        <v>33.480275000000006</v>
      </c>
      <c r="J102" s="8">
        <f>SUM(J103:J104)</f>
        <v>5.527618683</v>
      </c>
      <c r="K102" s="8">
        <f>SUM(K103:K104)</f>
        <v>2.9891738335725</v>
      </c>
      <c r="L102" s="96">
        <f t="shared" ref="L102:L111" si="37">SUM(H102:K102)</f>
        <v>41.997067516572507</v>
      </c>
      <c r="M102" s="75"/>
      <c r="N102" s="150" t="s">
        <v>18</v>
      </c>
      <c r="O102" s="29">
        <f>'[2]Bilan 2040 AMS'!$X$46/11.63</f>
        <v>0</v>
      </c>
      <c r="P102" s="28">
        <f>SUM('[2]Bilan 2040 AMS'!$X$41:$X$43)/11.63</f>
        <v>11.929027581040415</v>
      </c>
      <c r="Q102" s="28">
        <f>'[2]Bilan 2040 AMS'!$X$13/11.63</f>
        <v>8.4770890798493497</v>
      </c>
      <c r="R102" s="28">
        <f>('[2]Bilan 2040 AMS'!$X$22+'[2]Bilan 2040 AMS'!$X$30+SUM('[2]Bilan 2040 AMS'!$X$36:$X$40)+SUM('[2]Bilan 2040 AMS'!$X$44:$X$45)+'[2]Bilan 2040 AMS'!$X$47)/11.63</f>
        <v>1.0341627996732725</v>
      </c>
      <c r="S102" s="142">
        <f>SUM(O102:R102)</f>
        <v>21.440279460563037</v>
      </c>
      <c r="T102" s="317">
        <f>S102</f>
        <v>21.440279460563037</v>
      </c>
      <c r="U102" s="147" t="s">
        <v>18</v>
      </c>
      <c r="Z102" s="8">
        <v>0</v>
      </c>
      <c r="AA102" s="8">
        <v>20.148205963999999</v>
      </c>
      <c r="AB102" s="8">
        <v>8.8730697339999995</v>
      </c>
      <c r="AC102" s="8">
        <v>0.45473485098630001</v>
      </c>
      <c r="AD102" s="96">
        <v>29.476010548986295</v>
      </c>
    </row>
    <row r="103" spans="2:30" hidden="1" x14ac:dyDescent="0.25">
      <c r="C103" s="148" t="s">
        <v>19</v>
      </c>
      <c r="D103" t="s">
        <v>394</v>
      </c>
      <c r="E103" t="s">
        <v>395</v>
      </c>
      <c r="F103" t="s">
        <v>396</v>
      </c>
      <c r="G103" t="s">
        <v>397</v>
      </c>
      <c r="H103" s="16">
        <f>VLOOKUP(D103,Résultats!$B$2:$AX$476,'T energie vecteurs'!U5,FALSE)</f>
        <v>0</v>
      </c>
      <c r="I103" s="16">
        <f>VLOOKUP(E103,Résultats!$B$2:$AX$476,'T energie vecteurs'!U5,FALSE)</f>
        <v>16.334999440000001</v>
      </c>
      <c r="J103" s="16">
        <f>VLOOKUP(F103,Résultats!$B$2:$AX$476,'T energie vecteurs'!U5,FALSE)</f>
        <v>1.9060047149999999</v>
      </c>
      <c r="K103" s="16">
        <f>VLOOKUP(G103,Résultats!$B$2:$AX$476,'T energie vecteurs'!U5,FALSE)</f>
        <v>5.3073572500000001E-5</v>
      </c>
      <c r="L103" s="95">
        <f t="shared" si="37"/>
        <v>18.241057228572497</v>
      </c>
      <c r="M103" s="16"/>
      <c r="N103" s="148" t="s">
        <v>19</v>
      </c>
      <c r="O103" s="143"/>
      <c r="P103" s="16"/>
      <c r="Q103" s="34"/>
      <c r="R103" s="16"/>
      <c r="S103" s="95"/>
      <c r="T103" s="95"/>
      <c r="U103" s="148" t="s">
        <v>19</v>
      </c>
      <c r="V103" t="s">
        <v>394</v>
      </c>
      <c r="W103" t="s">
        <v>395</v>
      </c>
      <c r="X103" t="s">
        <v>396</v>
      </c>
      <c r="Y103" t="s">
        <v>397</v>
      </c>
      <c r="Z103" s="16">
        <v>0</v>
      </c>
      <c r="AA103" s="16">
        <v>10.572704760000001</v>
      </c>
      <c r="AB103" s="16">
        <v>2.7416579599999999</v>
      </c>
      <c r="AC103" s="16">
        <v>1.90645863E-5</v>
      </c>
      <c r="AD103" s="95">
        <v>13.314381784586301</v>
      </c>
    </row>
    <row r="104" spans="2:30" hidden="1" x14ac:dyDescent="0.25">
      <c r="C104" s="149" t="s">
        <v>20</v>
      </c>
      <c r="D104" t="s">
        <v>398</v>
      </c>
      <c r="E104" t="s">
        <v>399</v>
      </c>
      <c r="F104" t="s">
        <v>400</v>
      </c>
      <c r="G104" t="s">
        <v>401</v>
      </c>
      <c r="H104" s="16">
        <f>VLOOKUP(D104,Résultats!$B$2:$AX$476,'T energie vecteurs'!U5,FALSE)</f>
        <v>0</v>
      </c>
      <c r="I104" s="16">
        <f>VLOOKUP(E104,Résultats!$B$2:$AX$476,'T energie vecteurs'!U5,FALSE)</f>
        <v>17.145275560000002</v>
      </c>
      <c r="J104" s="16">
        <f>VLOOKUP(F104,Résultats!$B$2:$AX$476,'T energie vecteurs'!U5,FALSE)</f>
        <v>3.6216139680000001</v>
      </c>
      <c r="K104" s="16">
        <f>VLOOKUP(G104,Résultats!$B$2:$AX$476,'T energie vecteurs'!U5,FALSE)</f>
        <v>2.98912076</v>
      </c>
      <c r="L104" s="95">
        <f t="shared" si="37"/>
        <v>23.756010287999999</v>
      </c>
      <c r="M104" s="16"/>
      <c r="N104" s="149" t="s">
        <v>20</v>
      </c>
      <c r="O104" s="143"/>
      <c r="P104" s="16"/>
      <c r="Q104" s="34"/>
      <c r="R104" s="16"/>
      <c r="S104" s="95"/>
      <c r="T104" s="95"/>
      <c r="U104" s="149" t="s">
        <v>20</v>
      </c>
      <c r="V104" t="s">
        <v>398</v>
      </c>
      <c r="W104" t="s">
        <v>399</v>
      </c>
      <c r="X104" t="s">
        <v>400</v>
      </c>
      <c r="Y104" t="s">
        <v>401</v>
      </c>
      <c r="Z104" s="16">
        <v>0</v>
      </c>
      <c r="AA104" s="16">
        <v>9.575501204</v>
      </c>
      <c r="AB104" s="16">
        <v>6.131411774</v>
      </c>
      <c r="AC104" s="16">
        <v>0.45471578639999999</v>
      </c>
      <c r="AD104" s="95">
        <v>16.1616287644</v>
      </c>
    </row>
    <row r="105" spans="2:30" hidden="1" x14ac:dyDescent="0.25">
      <c r="C105" s="147" t="s">
        <v>21</v>
      </c>
      <c r="D105" t="s">
        <v>402</v>
      </c>
      <c r="E105" t="s">
        <v>403</v>
      </c>
      <c r="F105" t="s">
        <v>404</v>
      </c>
      <c r="G105" t="s">
        <v>405</v>
      </c>
      <c r="H105" s="8">
        <f>VLOOKUP(D105,Résultats!$B$2:$AX$476,'T energie vecteurs'!U5,FALSE)</f>
        <v>0.26667005760000001</v>
      </c>
      <c r="I105" s="292">
        <f>VLOOKUP(E105,Résultats!$B$2:$AX$476,'T energie vecteurs'!U5,FALSE)</f>
        <v>6.151504664</v>
      </c>
      <c r="J105" s="8">
        <f>VLOOKUP(F105,Résultats!$B$2:$AX$476,'T energie vecteurs'!U5,FALSE)</f>
        <v>17.045161610000001</v>
      </c>
      <c r="K105" s="8">
        <f>VLOOKUP(G105,Résultats!$B$2:$AX$476,'T energie vecteurs'!U5,FALSE)+2</f>
        <v>20.008401360000001</v>
      </c>
      <c r="L105" s="96">
        <f t="shared" si="37"/>
        <v>43.471737691599998</v>
      </c>
      <c r="M105" s="75"/>
      <c r="N105" s="150" t="s">
        <v>21</v>
      </c>
      <c r="O105" s="29">
        <f>'[2]Bilan 2040 AMS'!$V$46/11.63</f>
        <v>0</v>
      </c>
      <c r="P105" s="28">
        <f>SUM('[2]Bilan 2040 AMS'!$V$41:$V$43)/11.63</f>
        <v>3.940595509029942E-2</v>
      </c>
      <c r="Q105" s="28">
        <f>'[2]Bilan 2040 AMS'!$V$13/11.63</f>
        <v>13.005046344709536</v>
      </c>
      <c r="R105" s="28">
        <f>('[2]Bilan 2040 AMS'!$V$22+'[2]Bilan 2040 AMS'!$V$30+SUM('[2]Bilan 2040 AMS'!$V$36:$V$40)+SUM('[2]Bilan 2040 AMS'!$V$44:$V$45)+'[2]Bilan 2040 AMS'!$V$47)/11.63</f>
        <v>23.419883063855131</v>
      </c>
      <c r="S105" s="142">
        <f t="shared" ref="S105:S111" si="38">SUM(O105:R105)</f>
        <v>36.464335363654968</v>
      </c>
      <c r="T105" s="317">
        <f>S105-'[2]Bilan 2040 AMS'!$V$40/11.63</f>
        <v>24.69060797193552</v>
      </c>
      <c r="U105" s="147" t="s">
        <v>21</v>
      </c>
      <c r="V105" t="s">
        <v>402</v>
      </c>
      <c r="W105" t="s">
        <v>403</v>
      </c>
      <c r="X105" t="s">
        <v>404</v>
      </c>
      <c r="Y105" t="s">
        <v>405</v>
      </c>
      <c r="Z105" s="8">
        <v>0.1972211069</v>
      </c>
      <c r="AA105" s="292">
        <v>2.0539360590000002</v>
      </c>
      <c r="AB105" s="8">
        <v>14.37889579</v>
      </c>
      <c r="AC105" s="8">
        <v>23.398491669999999</v>
      </c>
      <c r="AD105" s="96">
        <v>40.028544625899997</v>
      </c>
    </row>
    <row r="106" spans="2:30" hidden="1" x14ac:dyDescent="0.25">
      <c r="C106" s="147" t="s">
        <v>22</v>
      </c>
      <c r="D106" t="s">
        <v>406</v>
      </c>
      <c r="E106" t="s">
        <v>407</v>
      </c>
      <c r="F106" t="s">
        <v>408</v>
      </c>
      <c r="G106" t="s">
        <v>409</v>
      </c>
      <c r="H106" s="8">
        <f>VLOOKUP(D106,Résultats!$B$2:$AX$476,'T energie vecteurs'!U5,FALSE)</f>
        <v>0</v>
      </c>
      <c r="I106" s="8">
        <f>VLOOKUP(E106,Résultats!$B$2:$AX$476,'T energie vecteurs'!U5,FALSE)</f>
        <v>1.8730848520000001</v>
      </c>
      <c r="J106" s="8">
        <f>VLOOKUP(F106,Résultats!$B$2:$AX$476,'T energie vecteurs'!U5,FALSE)</f>
        <v>12.056046370000001</v>
      </c>
      <c r="K106" s="8">
        <f>VLOOKUP(G106,Résultats!$B$2:$AX$476,'T energie vecteurs'!U5,FALSE)</f>
        <v>7.624284362</v>
      </c>
      <c r="L106" s="96">
        <f t="shared" si="37"/>
        <v>21.553415584</v>
      </c>
      <c r="M106" s="75"/>
      <c r="N106" s="150" t="s">
        <v>22</v>
      </c>
      <c r="O106" s="29">
        <f>('[2]Bilan 2040 AMS'!$W$46)/11.63</f>
        <v>0</v>
      </c>
      <c r="P106" s="28">
        <f>SUM('[2]Bilan 2040 AMS'!$W$41:$W$43)/11.63</f>
        <v>6.2288453661439952E-2</v>
      </c>
      <c r="Q106" s="28">
        <f>('[2]Bilan 2040 AMS'!$W$13)/11.63</f>
        <v>10.436146233936347</v>
      </c>
      <c r="R106" s="28">
        <f>('[2]Bilan 2040 AMS'!$W$22+'[2]Bilan 2040 AMS'!$W$30+SUM('[2]Bilan 2040 AMS'!$W$36:$W$40)+SUM('[2]Bilan 2040 AMS'!$W$44:$W$45)+'[2]Bilan 2040 AMS'!$W$47)/11.63</f>
        <v>9.7634935188507423</v>
      </c>
      <c r="S106" s="142">
        <f t="shared" si="38"/>
        <v>20.26192820644853</v>
      </c>
      <c r="T106" s="317">
        <f>S106-'[2]Bilan 2040 AMS'!$W$40/11.63</f>
        <v>15.781567878414009</v>
      </c>
      <c r="U106" s="147" t="s">
        <v>22</v>
      </c>
      <c r="V106" t="s">
        <v>406</v>
      </c>
      <c r="W106" t="s">
        <v>407</v>
      </c>
      <c r="X106" t="s">
        <v>408</v>
      </c>
      <c r="Y106" t="s">
        <v>409</v>
      </c>
      <c r="Z106" s="8">
        <v>0</v>
      </c>
      <c r="AA106" s="8">
        <v>0.94322830400000002</v>
      </c>
      <c r="AB106" s="8">
        <v>11.96270846</v>
      </c>
      <c r="AC106" s="8">
        <v>7.8588873479999997</v>
      </c>
      <c r="AD106" s="96">
        <v>20.764824111999999</v>
      </c>
    </row>
    <row r="107" spans="2:30" hidden="1" x14ac:dyDescent="0.25">
      <c r="C107" s="147" t="s">
        <v>23</v>
      </c>
      <c r="H107" s="8">
        <f>SUM(H108:H110)</f>
        <v>2.8316529449000001</v>
      </c>
      <c r="I107" s="8">
        <f>SUM(I108:I110)</f>
        <v>15.457660965000001</v>
      </c>
      <c r="J107" s="8">
        <f>SUM(J108:J110)</f>
        <v>11.491969652</v>
      </c>
      <c r="K107" s="8">
        <f>SUM(K108:K110)</f>
        <v>17.163737331899998</v>
      </c>
      <c r="L107" s="96">
        <f t="shared" si="37"/>
        <v>46.945020893800006</v>
      </c>
      <c r="M107" s="75"/>
      <c r="N107" s="150" t="s">
        <v>490</v>
      </c>
      <c r="O107" s="29">
        <f>O108+O109</f>
        <v>1.0449521879030526</v>
      </c>
      <c r="P107" s="28">
        <f t="shared" ref="P107:R107" si="39">P108+P109</f>
        <v>9.6454857925293265</v>
      </c>
      <c r="Q107" s="28">
        <f t="shared" si="39"/>
        <v>13.633134927355739</v>
      </c>
      <c r="R107" s="28">
        <f t="shared" si="39"/>
        <v>13.902936638787098</v>
      </c>
      <c r="S107" s="142">
        <f t="shared" si="38"/>
        <v>38.226509546575215</v>
      </c>
      <c r="T107" s="317">
        <f t="shared" ref="T107" si="40">S107</f>
        <v>38.226509546575215</v>
      </c>
      <c r="U107" s="147" t="s">
        <v>23</v>
      </c>
      <c r="Z107" s="8">
        <v>2.5322720060999999</v>
      </c>
      <c r="AA107" s="8">
        <v>14.009128661</v>
      </c>
      <c r="AB107" s="8">
        <v>13.4968335317</v>
      </c>
      <c r="AC107" s="8">
        <v>12.9391592573</v>
      </c>
      <c r="AD107" s="96">
        <v>42.977393456099996</v>
      </c>
    </row>
    <row r="108" spans="2:30" hidden="1" x14ac:dyDescent="0.25">
      <c r="C108" s="149" t="s">
        <v>24</v>
      </c>
      <c r="D108" t="s">
        <v>410</v>
      </c>
      <c r="E108" t="s">
        <v>411</v>
      </c>
      <c r="F108" t="s">
        <v>412</v>
      </c>
      <c r="G108" t="s">
        <v>413</v>
      </c>
      <c r="H108" s="16">
        <f>VLOOKUP(D108,Résultats!$B$2:$AX$476,'T energie vecteurs'!U5,FALSE)</f>
        <v>1.9111255089999999</v>
      </c>
      <c r="I108" s="16">
        <f>VLOOKUP(E108,Résultats!$B$2:$AX$476,'T energie vecteurs'!U5,FALSE)</f>
        <v>9.7958329630000005</v>
      </c>
      <c r="J108" s="16">
        <f>VLOOKUP(F108,Résultats!$B$2:$AX$476,'T energie vecteurs'!U5,FALSE)</f>
        <v>11.11082161</v>
      </c>
      <c r="K108" s="16">
        <f>VLOOKUP(G108,Résultats!$B$2:$AX$476,'T energie vecteurs'!U5,FALSE)</f>
        <v>14.17981762</v>
      </c>
      <c r="L108" s="95">
        <f t="shared" si="37"/>
        <v>36.997597702</v>
      </c>
      <c r="M108" s="16"/>
      <c r="N108" s="149" t="s">
        <v>491</v>
      </c>
      <c r="O108" s="143">
        <f>'[2]Bilan 2040 AMS'!$U$46/11.63</f>
        <v>2.6869092762521495E-2</v>
      </c>
      <c r="P108" s="30">
        <f>SUM('[2]Bilan 2040 AMS'!$U$41:$U$43)/11.63</f>
        <v>0.32770211462176457</v>
      </c>
      <c r="Q108" s="30">
        <f>'[2]Bilan 2040 AMS'!$U$13/11.63</f>
        <v>13.633134927355739</v>
      </c>
      <c r="R108" s="30">
        <f>('[2]Bilan 2040 AMS'!$U$22+'[2]Bilan 2040 AMS'!$U$30+SUM('[2]Bilan 2040 AMS'!$U$36:$U$40)+SUM('[2]Bilan 2040 AMS'!$U$44:$U$45)+'[2]Bilan 2040 AMS'!$U$47)/11.63</f>
        <v>12.662819172663614</v>
      </c>
      <c r="S108" s="95">
        <f t="shared" si="38"/>
        <v>26.65052530740364</v>
      </c>
      <c r="T108" s="95"/>
      <c r="U108" s="149" t="s">
        <v>24</v>
      </c>
      <c r="V108" t="s">
        <v>410</v>
      </c>
      <c r="W108" t="s">
        <v>411</v>
      </c>
      <c r="X108" t="s">
        <v>412</v>
      </c>
      <c r="Y108" t="s">
        <v>413</v>
      </c>
      <c r="Z108" s="16">
        <v>1.66197865</v>
      </c>
      <c r="AA108" s="16">
        <v>8.4872416560000001</v>
      </c>
      <c r="AB108" s="16">
        <v>13.133262220000001</v>
      </c>
      <c r="AC108" s="16">
        <v>10.30172256</v>
      </c>
      <c r="AD108" s="95">
        <v>33.584205086000004</v>
      </c>
    </row>
    <row r="109" spans="2:30" hidden="1" x14ac:dyDescent="0.25">
      <c r="C109" s="149" t="s">
        <v>47</v>
      </c>
      <c r="D109" t="s">
        <v>414</v>
      </c>
      <c r="E109" t="s">
        <v>415</v>
      </c>
      <c r="F109" t="s">
        <v>416</v>
      </c>
      <c r="G109" t="s">
        <v>417</v>
      </c>
      <c r="H109" s="16">
        <f>VLOOKUP(D109,Résultats!$B$2:$AX$476,'T energie vecteurs'!U5,FALSE)</f>
        <v>0.92052743589999997</v>
      </c>
      <c r="I109" s="16">
        <f>VLOOKUP(E109,Résultats!$B$2:$AX$476,'T energie vecteurs'!U5,FALSE)</f>
        <v>2.3918747699999998</v>
      </c>
      <c r="J109" s="16">
        <f>VLOOKUP(F109,Résultats!$B$2:$AX$476,'T energie vecteurs'!U5,FALSE)</f>
        <v>0</v>
      </c>
      <c r="K109" s="16">
        <f>VLOOKUP(G109,Résultats!$B$2:$AX$476,'T energie vecteurs'!U5,FALSE)</f>
        <v>2.4964516649999999</v>
      </c>
      <c r="L109" s="95">
        <f t="shared" si="37"/>
        <v>5.8088538709000002</v>
      </c>
      <c r="M109" s="16"/>
      <c r="N109" s="149" t="s">
        <v>47</v>
      </c>
      <c r="O109" s="22">
        <f>'[2]Bilan 2040 AMS'!$E$52/11.63</f>
        <v>1.0180830951405311</v>
      </c>
      <c r="P109" s="16">
        <f>('[2]Bilan 2040 AMS'!$E$54+'[2]Bilan 2040 AMS'!$E$56)/11.63</f>
        <v>9.3177836779075616</v>
      </c>
      <c r="Q109" s="16">
        <v>0</v>
      </c>
      <c r="R109" s="16">
        <f>('[2]Bilan 2040 AMS'!$E$53+'[2]Bilan 2040 AMS'!$E$55+'[2]Bilan 2040 AMS'!$E$57)/11.63</f>
        <v>1.2401174661234846</v>
      </c>
      <c r="S109" s="95">
        <f t="shared" si="38"/>
        <v>11.575984239171577</v>
      </c>
      <c r="T109" s="95"/>
      <c r="U109" s="149" t="s">
        <v>47</v>
      </c>
      <c r="V109" t="s">
        <v>414</v>
      </c>
      <c r="W109" t="s">
        <v>415</v>
      </c>
      <c r="X109" t="s">
        <v>416</v>
      </c>
      <c r="Y109" t="s">
        <v>417</v>
      </c>
      <c r="Z109" s="16">
        <v>0.87029335610000003</v>
      </c>
      <c r="AA109" s="16">
        <v>2.3845051239999999</v>
      </c>
      <c r="AB109" s="16">
        <v>0</v>
      </c>
      <c r="AC109" s="16">
        <v>2.1881881220000001</v>
      </c>
      <c r="AD109" s="95">
        <v>5.4429866020999995</v>
      </c>
    </row>
    <row r="110" spans="2:30" hidden="1" x14ac:dyDescent="0.25">
      <c r="C110" s="149" t="s">
        <v>25</v>
      </c>
      <c r="D110" t="s">
        <v>418</v>
      </c>
      <c r="E110" t="s">
        <v>419</v>
      </c>
      <c r="F110" t="s">
        <v>420</v>
      </c>
      <c r="G110" t="s">
        <v>421</v>
      </c>
      <c r="H110" s="16">
        <f>VLOOKUP(D110,Résultats!$B$2:$AX$476,'T energie vecteurs'!U5,FALSE)</f>
        <v>0</v>
      </c>
      <c r="I110" s="16">
        <f>VLOOKUP(E110,Résultats!$B$2:$AX$476,'T energie vecteurs'!U5,FALSE)</f>
        <v>3.2699532320000002</v>
      </c>
      <c r="J110" s="16">
        <f>VLOOKUP(F110,Résultats!$B$2:$AX$476,'T energie vecteurs'!U5,FALSE)</f>
        <v>0.38114804200000002</v>
      </c>
      <c r="K110" s="16">
        <f>VLOOKUP(G110,Résultats!$B$2:$AX$476,'T energie vecteurs'!U5,FALSE)</f>
        <v>0.48746804690000001</v>
      </c>
      <c r="L110" s="95">
        <f t="shared" si="37"/>
        <v>4.1385693209000003</v>
      </c>
      <c r="M110" s="16"/>
      <c r="N110" s="150" t="s">
        <v>25</v>
      </c>
      <c r="O110" s="29">
        <f>'[2]Bilan 2040 AMS'!$T$46/11.63</f>
        <v>0</v>
      </c>
      <c r="P110" s="28">
        <f>SUM('[2]Bilan 2040 AMS'!$T$41:$T$43)/11.63</f>
        <v>1.7885166900417695</v>
      </c>
      <c r="Q110" s="28">
        <f>'[2]Bilan 2040 AMS'!$T$13/11.63</f>
        <v>0.81736771845734513</v>
      </c>
      <c r="R110" s="28">
        <f>('[2]Bilan 2040 AMS'!$T$22+'[2]Bilan 2040 AMS'!$T$30+SUM('[2]Bilan 2040 AMS'!$T$36:$T$40)+SUM('[2]Bilan 2040 AMS'!$T$44:$T$45)+'[2]Bilan 2040 AMS'!$T$47)/11.63</f>
        <v>1.6786760269649839</v>
      </c>
      <c r="S110" s="142">
        <f t="shared" si="38"/>
        <v>4.2845604354640985</v>
      </c>
      <c r="T110" s="317">
        <f>S110</f>
        <v>4.2845604354640985</v>
      </c>
      <c r="U110" s="149" t="s">
        <v>25</v>
      </c>
      <c r="V110" t="s">
        <v>418</v>
      </c>
      <c r="W110" t="s">
        <v>419</v>
      </c>
      <c r="X110" t="s">
        <v>420</v>
      </c>
      <c r="Y110" t="s">
        <v>421</v>
      </c>
      <c r="Z110" s="16">
        <v>0</v>
      </c>
      <c r="AA110" s="16">
        <v>3.137381881</v>
      </c>
      <c r="AB110" s="16">
        <v>0.36357131170000001</v>
      </c>
      <c r="AC110" s="16">
        <v>0.44924857530000001</v>
      </c>
      <c r="AD110" s="95">
        <v>3.9502017679999999</v>
      </c>
    </row>
    <row r="111" spans="2:30" hidden="1" x14ac:dyDescent="0.25">
      <c r="C111" s="23" t="s">
        <v>26</v>
      </c>
      <c r="D111" s="10"/>
      <c r="E111" s="10"/>
      <c r="F111" s="10"/>
      <c r="G111" s="10"/>
      <c r="H111" s="9">
        <f>SUM(H102,H105:H107)</f>
        <v>3.0983230024999999</v>
      </c>
      <c r="I111" s="9">
        <f>SUM(I102,I105:I107)</f>
        <v>56.962525481000007</v>
      </c>
      <c r="J111" s="9">
        <f>SUM(J102,J105:J107)</f>
        <v>46.120796315</v>
      </c>
      <c r="K111" s="9">
        <f>SUM(K102,K105:K107)</f>
        <v>47.785596887472501</v>
      </c>
      <c r="L111" s="98">
        <f t="shared" si="37"/>
        <v>153.96724168597251</v>
      </c>
      <c r="M111" s="79"/>
      <c r="N111" s="151" t="s">
        <v>26</v>
      </c>
      <c r="O111" s="32">
        <f>O102+O105+O106+O107+O110</f>
        <v>1.0449521879030526</v>
      </c>
      <c r="P111" s="31">
        <f>P102+P105+P106+P107+P110</f>
        <v>23.464724472363251</v>
      </c>
      <c r="Q111" s="31">
        <f>Q102+Q105+Q106+Q107+Q110</f>
        <v>46.368784304308321</v>
      </c>
      <c r="R111" s="31">
        <f>R102+R105+R106+R107+R110</f>
        <v>49.799152048131226</v>
      </c>
      <c r="S111" s="144">
        <f t="shared" si="38"/>
        <v>120.67761301270585</v>
      </c>
      <c r="T111" s="318">
        <f>SUM(T102:T110)</f>
        <v>104.42352529295188</v>
      </c>
      <c r="U111" s="23" t="s">
        <v>26</v>
      </c>
      <c r="V111" s="10"/>
      <c r="W111" s="10"/>
      <c r="X111" s="10"/>
      <c r="Y111" s="10"/>
      <c r="Z111" s="9">
        <v>2.7294931129999997</v>
      </c>
      <c r="AA111" s="9">
        <v>37.154498988</v>
      </c>
      <c r="AB111" s="9">
        <v>48.711507515699999</v>
      </c>
      <c r="AC111" s="9">
        <v>44.651273126286299</v>
      </c>
      <c r="AD111" s="98">
        <v>133.24677274298631</v>
      </c>
    </row>
    <row r="112" spans="2:30" s="3" customFormat="1" hidden="1" x14ac:dyDescent="0.25"/>
    <row r="113" spans="3:30" s="3" customFormat="1" hidden="1" x14ac:dyDescent="0.25"/>
    <row r="114" spans="3:30" ht="31.5" x14ac:dyDescent="0.35">
      <c r="C114" s="145">
        <v>2050</v>
      </c>
      <c r="D114" s="146"/>
      <c r="E114" s="146"/>
      <c r="F114" s="146"/>
      <c r="G114" s="146"/>
      <c r="H114" s="76" t="s">
        <v>36</v>
      </c>
      <c r="I114" s="76" t="s">
        <v>49</v>
      </c>
      <c r="J114" s="76" t="s">
        <v>38</v>
      </c>
      <c r="K114" s="76" t="s">
        <v>48</v>
      </c>
      <c r="L114" s="93" t="s">
        <v>1</v>
      </c>
      <c r="M114" s="19"/>
      <c r="N114" s="145">
        <v>2050</v>
      </c>
      <c r="O114" s="141" t="s">
        <v>36</v>
      </c>
      <c r="P114" s="76" t="s">
        <v>49</v>
      </c>
      <c r="Q114" s="76" t="s">
        <v>38</v>
      </c>
      <c r="R114" s="76" t="s">
        <v>48</v>
      </c>
      <c r="S114" s="93" t="s">
        <v>1</v>
      </c>
      <c r="T114" s="316" t="s">
        <v>543</v>
      </c>
      <c r="U114" s="145">
        <v>2050</v>
      </c>
      <c r="V114" s="146"/>
      <c r="W114" s="146"/>
      <c r="X114" s="146"/>
      <c r="Y114" s="146"/>
      <c r="Z114" s="76" t="s">
        <v>36</v>
      </c>
      <c r="AA114" s="76" t="s">
        <v>49</v>
      </c>
      <c r="AB114" s="76" t="s">
        <v>38</v>
      </c>
      <c r="AC114" s="76" t="s">
        <v>48</v>
      </c>
      <c r="AD114" s="93" t="s">
        <v>1</v>
      </c>
    </row>
    <row r="115" spans="3:30" x14ac:dyDescent="0.25">
      <c r="C115" s="147" t="s">
        <v>18</v>
      </c>
      <c r="H115" s="8">
        <f>SUM(H116:H117)</f>
        <v>0</v>
      </c>
      <c r="I115" s="8">
        <f>SUM(I116:I117)</f>
        <v>30.734949180000001</v>
      </c>
      <c r="J115" s="8">
        <f>SUM(J116:J117)</f>
        <v>7.257608888</v>
      </c>
      <c r="K115" s="8">
        <f>SUM(K116:K117)</f>
        <v>3.5280444539537998</v>
      </c>
      <c r="L115" s="96">
        <f t="shared" ref="L115:L124" si="41">SUM(H115:K115)</f>
        <v>41.520602521953798</v>
      </c>
      <c r="M115" s="75"/>
      <c r="N115" s="150" t="s">
        <v>18</v>
      </c>
      <c r="O115" s="29">
        <f>'[2]Bilan 2050 AMS'!$X$46/11.63</f>
        <v>0</v>
      </c>
      <c r="P115" s="28">
        <f>SUM('[2]Bilan 2050 AMS'!$X$41:$X$43)/11.63</f>
        <v>2.1033133279491807</v>
      </c>
      <c r="Q115" s="28">
        <f>'[2]Bilan 2050 AMS'!$X$13/11.63</f>
        <v>11.110771778329255</v>
      </c>
      <c r="R115" s="28">
        <f>('[2]Bilan 2050 AMS'!$X$22+'[2]Bilan 2050 AMS'!$X$30+SUM('[2]Bilan 2050 AMS'!$X$36:$X$40)+SUM('[2]Bilan 2050 AMS'!$X$44:$X$45)+'[2]Bilan 2050 AMS'!$X$47)/11.63</f>
        <v>1.2444308406947837</v>
      </c>
      <c r="S115" s="142">
        <f>SUM(O115:R115)</f>
        <v>14.45851594697322</v>
      </c>
      <c r="T115" s="317">
        <f>S115</f>
        <v>14.45851594697322</v>
      </c>
      <c r="U115" s="147" t="s">
        <v>18</v>
      </c>
      <c r="Z115" s="8">
        <v>0</v>
      </c>
      <c r="AA115" s="8">
        <v>6.3742445170000002</v>
      </c>
      <c r="AB115" s="8">
        <v>13.733721017000001</v>
      </c>
      <c r="AC115" s="8">
        <v>0.66529094194708005</v>
      </c>
      <c r="AD115" s="96">
        <v>20.773256475947083</v>
      </c>
    </row>
    <row r="116" spans="3:30" x14ac:dyDescent="0.25">
      <c r="C116" s="148" t="s">
        <v>19</v>
      </c>
      <c r="D116" t="s">
        <v>394</v>
      </c>
      <c r="E116" t="s">
        <v>395</v>
      </c>
      <c r="F116" t="s">
        <v>396</v>
      </c>
      <c r="G116" t="s">
        <v>397</v>
      </c>
      <c r="H116" s="16">
        <f>VLOOKUP(D116,Résultats!$B$2:$AX$476,'T energie vecteurs'!W5,FALSE)</f>
        <v>0</v>
      </c>
      <c r="I116" s="16">
        <f>VLOOKUP(E116,Résultats!$B$2:$AX$476,'T energie vecteurs'!W5,FALSE)</f>
        <v>12.72250779</v>
      </c>
      <c r="J116" s="16">
        <f>VLOOKUP(F116,Résultats!$B$2:$AX$476,'T energie vecteurs'!W5,FALSE)</f>
        <v>3.3224843719999999</v>
      </c>
      <c r="K116" s="16">
        <f>VLOOKUP(G116,Résultats!$B$2:$AX$476,'T energie vecteurs'!W5,FALSE)</f>
        <v>6.6604953800000001E-5</v>
      </c>
      <c r="L116" s="95">
        <f>SUM(H116:K116)</f>
        <v>16.045058766953801</v>
      </c>
      <c r="M116" s="16"/>
      <c r="N116" s="148" t="s">
        <v>19</v>
      </c>
      <c r="O116" s="143"/>
      <c r="P116" s="16"/>
      <c r="Q116" s="34"/>
      <c r="R116" s="16"/>
      <c r="S116" s="95"/>
      <c r="T116" s="95"/>
      <c r="U116" s="148" t="s">
        <v>19</v>
      </c>
      <c r="V116" t="s">
        <v>394</v>
      </c>
      <c r="W116" t="s">
        <v>395</v>
      </c>
      <c r="X116" t="s">
        <v>396</v>
      </c>
      <c r="Y116" t="s">
        <v>397</v>
      </c>
      <c r="Z116" s="16">
        <v>0</v>
      </c>
      <c r="AA116" s="16">
        <v>1.01620194</v>
      </c>
      <c r="AB116" s="16">
        <v>5.461545836</v>
      </c>
      <c r="AC116" s="16">
        <v>1.8372470800000001E-6</v>
      </c>
      <c r="AD116" s="95">
        <v>6.47774961324708</v>
      </c>
    </row>
    <row r="117" spans="3:30" x14ac:dyDescent="0.25">
      <c r="C117" s="149" t="s">
        <v>20</v>
      </c>
      <c r="D117" t="s">
        <v>398</v>
      </c>
      <c r="E117" t="s">
        <v>399</v>
      </c>
      <c r="F117" t="s">
        <v>400</v>
      </c>
      <c r="G117" t="s">
        <v>401</v>
      </c>
      <c r="H117" s="16">
        <f>VLOOKUP(D117,Résultats!$B$2:$AX$476,'T energie vecteurs'!W5,FALSE)</f>
        <v>0</v>
      </c>
      <c r="I117" s="34">
        <f>VLOOKUP(E117,Résultats!$B$2:$AX$476,'T energie vecteurs'!W5,FALSE)</f>
        <v>18.012441389999999</v>
      </c>
      <c r="J117" s="16">
        <f>VLOOKUP(F117,Résultats!$B$2:$AX$476,'T energie vecteurs'!W5,FALSE)</f>
        <v>3.9351245160000001</v>
      </c>
      <c r="K117" s="16">
        <f>VLOOKUP(G117,Résultats!$B$2:$AX$476,'T energie vecteurs'!W5,FALSE)</f>
        <v>3.527977849</v>
      </c>
      <c r="L117" s="95">
        <f>SUM(H117:K117)</f>
        <v>25.475543755</v>
      </c>
      <c r="M117" s="16"/>
      <c r="N117" s="149" t="s">
        <v>20</v>
      </c>
      <c r="O117" s="143"/>
      <c r="P117" s="16"/>
      <c r="Q117" s="34"/>
      <c r="R117" s="16"/>
      <c r="S117" s="95"/>
      <c r="T117" s="95"/>
      <c r="U117" s="149" t="s">
        <v>20</v>
      </c>
      <c r="V117" t="s">
        <v>398</v>
      </c>
      <c r="W117" t="s">
        <v>399</v>
      </c>
      <c r="X117" t="s">
        <v>400</v>
      </c>
      <c r="Y117" t="s">
        <v>401</v>
      </c>
      <c r="Z117" s="16">
        <v>0</v>
      </c>
      <c r="AA117" s="34">
        <v>5.358042577</v>
      </c>
      <c r="AB117" s="16">
        <v>8.2721751809999997</v>
      </c>
      <c r="AC117" s="16">
        <v>0.66528910470000002</v>
      </c>
      <c r="AD117" s="95">
        <v>14.2955068627</v>
      </c>
    </row>
    <row r="118" spans="3:30" x14ac:dyDescent="0.25">
      <c r="C118" s="147" t="s">
        <v>21</v>
      </c>
      <c r="D118" t="s">
        <v>402</v>
      </c>
      <c r="E118" t="s">
        <v>403</v>
      </c>
      <c r="F118" t="s">
        <v>404</v>
      </c>
      <c r="G118" t="s">
        <v>405</v>
      </c>
      <c r="H118" s="8">
        <f>VLOOKUP(D118,Résultats!$B$2:$AX$476,'T energie vecteurs'!W5,FALSE)</f>
        <v>0.23336053009999999</v>
      </c>
      <c r="I118" s="8">
        <f>VLOOKUP(E118,Résultats!$B$2:$AX$476,'T energie vecteurs'!W5,FALSE)</f>
        <v>5.6125670530000003</v>
      </c>
      <c r="J118" s="8">
        <f>VLOOKUP(F118,Résultats!$B$2:$AX$476,'T energie vecteurs'!W5,FALSE)</f>
        <v>17.556762809999999</v>
      </c>
      <c r="K118" s="8">
        <f>VLOOKUP(G118,Résultats!$B$2:$AX$476,'T energie vecteurs'!W5,FALSE)+2</f>
        <v>19.518005819999999</v>
      </c>
      <c r="L118" s="96">
        <f t="shared" si="41"/>
        <v>42.920696213100001</v>
      </c>
      <c r="M118" s="75"/>
      <c r="N118" s="150" t="s">
        <v>21</v>
      </c>
      <c r="O118" s="29">
        <f>'[2]Bilan 2050 AMS'!$V$46/11.63</f>
        <v>0</v>
      </c>
      <c r="P118" s="28">
        <f>SUM('[2]Bilan 2050 AMS'!$V$41:$V$43)/11.63</f>
        <v>1.1494996834972571E-3</v>
      </c>
      <c r="Q118" s="28">
        <f>'[2]Bilan 2050 AMS'!$V$13/11.63</f>
        <v>11.674656052235431</v>
      </c>
      <c r="R118" s="28">
        <f>('[2]Bilan 2050 AMS'!$V$22+'[2]Bilan 2050 AMS'!$V$30+SUM('[2]Bilan 2050 AMS'!$V$36:$V$40)+SUM('[2]Bilan 2050 AMS'!$V$44:$V$45)+'[2]Bilan 2050 AMS'!$V$47)/11.63</f>
        <v>24.610837568478981</v>
      </c>
      <c r="S118" s="142">
        <f t="shared" ref="S118:S124" si="42">SUM(O118:R118)</f>
        <v>36.286643120397912</v>
      </c>
      <c r="T118" s="317">
        <f>S118-'[2]Bilan 2050 AMS'!$V$40/11.63</f>
        <v>21.646229384501765</v>
      </c>
      <c r="U118" s="147" t="s">
        <v>21</v>
      </c>
      <c r="V118" t="s">
        <v>402</v>
      </c>
      <c r="W118" t="s">
        <v>403</v>
      </c>
      <c r="X118" t="s">
        <v>404</v>
      </c>
      <c r="Y118" t="s">
        <v>405</v>
      </c>
      <c r="Z118" s="8">
        <v>0.144095213</v>
      </c>
      <c r="AA118" s="8">
        <v>0.87016526630000002</v>
      </c>
      <c r="AB118" s="8">
        <v>13.477343449999999</v>
      </c>
      <c r="AC118" s="8">
        <v>22.00550617</v>
      </c>
      <c r="AD118" s="315">
        <v>36.497110099300002</v>
      </c>
    </row>
    <row r="119" spans="3:30" x14ac:dyDescent="0.25">
      <c r="C119" s="147" t="s">
        <v>22</v>
      </c>
      <c r="D119" t="s">
        <v>406</v>
      </c>
      <c r="E119" t="s">
        <v>407</v>
      </c>
      <c r="F119" t="s">
        <v>408</v>
      </c>
      <c r="G119" t="s">
        <v>409</v>
      </c>
      <c r="H119" s="8">
        <f>VLOOKUP(D119,Résultats!$B$2:$AX$476,'T energie vecteurs'!W5,FALSE)</f>
        <v>0</v>
      </c>
      <c r="I119" s="8">
        <f>VLOOKUP(E119,Résultats!$B$2:$AX$476,'T energie vecteurs'!W5,FALSE)</f>
        <v>1.8688822730000001</v>
      </c>
      <c r="J119" s="8">
        <f>VLOOKUP(F119,Résultats!$B$2:$AX$476,'T energie vecteurs'!W5,FALSE)</f>
        <v>10.496772849999999</v>
      </c>
      <c r="K119" s="8">
        <f>VLOOKUP(G119,Résultats!$B$2:$AX$476,'T energie vecteurs'!W5,FALSE)</f>
        <v>6.4107032430000004</v>
      </c>
      <c r="L119" s="96">
        <f t="shared" si="41"/>
        <v>18.776358366</v>
      </c>
      <c r="M119" s="75"/>
      <c r="N119" s="150" t="s">
        <v>22</v>
      </c>
      <c r="O119" s="29">
        <f>('[2]Bilan 2050 AMS'!$W$46)/11.63</f>
        <v>0</v>
      </c>
      <c r="P119" s="28">
        <f>SUM('[2]Bilan 2050 AMS'!$W$41:$W$43)/11.63</f>
        <v>5.1222285568290988E-3</v>
      </c>
      <c r="Q119" s="28">
        <f>('[2]Bilan 2050 AMS'!$W$13)/11.63</f>
        <v>10.59138596649569</v>
      </c>
      <c r="R119" s="28">
        <f>('[2]Bilan 2050 AMS'!$W$22+'[2]Bilan 2050 AMS'!$W$30+SUM('[2]Bilan 2050 AMS'!$W$36:$W$40)+SUM('[2]Bilan 2050 AMS'!$W$44:$W$45)+'[2]Bilan 2050 AMS'!$W$47)/11.63</f>
        <v>9.456444841724398</v>
      </c>
      <c r="S119" s="142">
        <f t="shared" si="42"/>
        <v>20.052953036776916</v>
      </c>
      <c r="T119" s="317">
        <f>S119-'[2]Bilan 2050 AMS'!$W$40/11.63</f>
        <v>14.485251158685617</v>
      </c>
      <c r="U119" s="147" t="s">
        <v>22</v>
      </c>
      <c r="V119" t="s">
        <v>406</v>
      </c>
      <c r="W119" t="s">
        <v>407</v>
      </c>
      <c r="X119" t="s">
        <v>408</v>
      </c>
      <c r="Y119" t="s">
        <v>409</v>
      </c>
      <c r="Z119" s="8">
        <v>0</v>
      </c>
      <c r="AA119" s="8">
        <v>0.82494689629999995</v>
      </c>
      <c r="AB119" s="8">
        <v>8.8294995440000008</v>
      </c>
      <c r="AC119" s="8">
        <v>9.4646130199999998</v>
      </c>
      <c r="AD119" s="96">
        <v>19.119059460300001</v>
      </c>
    </row>
    <row r="120" spans="3:30" x14ac:dyDescent="0.25">
      <c r="C120" s="147" t="s">
        <v>24</v>
      </c>
      <c r="H120" s="8">
        <f>SUM(H121:H122)</f>
        <v>2.9225531637</v>
      </c>
      <c r="I120" s="8">
        <f t="shared" ref="I120:K120" si="43">SUM(I121:I122)</f>
        <v>12.22804764699999</v>
      </c>
      <c r="J120" s="8">
        <f t="shared" si="43"/>
        <v>12.756298060000001</v>
      </c>
      <c r="K120" s="8">
        <f t="shared" si="43"/>
        <v>17.894873891</v>
      </c>
      <c r="L120" s="96">
        <f>SUM(H120:K120)</f>
        <v>45.801772761699993</v>
      </c>
      <c r="M120" s="75"/>
      <c r="N120" s="150" t="s">
        <v>490</v>
      </c>
      <c r="O120" s="29">
        <f>O121+O122</f>
        <v>0</v>
      </c>
      <c r="P120" s="28">
        <f t="shared" ref="P120:R120" si="44">P121+P122</f>
        <v>8.7976190667572478</v>
      </c>
      <c r="Q120" s="28">
        <f t="shared" si="44"/>
        <v>15.093516254705882</v>
      </c>
      <c r="R120" s="28">
        <f t="shared" si="44"/>
        <v>12.373890980253208</v>
      </c>
      <c r="S120" s="142">
        <f t="shared" si="42"/>
        <v>36.26502630171634</v>
      </c>
      <c r="T120" s="317">
        <f t="shared" ref="T120" si="45">S120</f>
        <v>36.26502630171634</v>
      </c>
      <c r="U120" s="147" t="s">
        <v>24</v>
      </c>
      <c r="Z120" s="8">
        <v>2.5690103504000001</v>
      </c>
      <c r="AA120" s="8">
        <v>11.344581507000001</v>
      </c>
      <c r="AB120" s="8">
        <v>12.97891182</v>
      </c>
      <c r="AC120" s="8">
        <v>13.845264236999999</v>
      </c>
      <c r="AD120" s="96">
        <v>40.737767914399996</v>
      </c>
    </row>
    <row r="121" spans="3:30" x14ac:dyDescent="0.25">
      <c r="C121" s="149" t="s">
        <v>24</v>
      </c>
      <c r="D121" t="s">
        <v>410</v>
      </c>
      <c r="E121" t="s">
        <v>411</v>
      </c>
      <c r="F121" t="s">
        <v>412</v>
      </c>
      <c r="G121" t="s">
        <v>413</v>
      </c>
      <c r="H121" s="16">
        <f>VLOOKUP(D121,Résultats!$B$2:$AX$476,'T energie vecteurs'!W5,FALSE)</f>
        <v>1.9362975060000001</v>
      </c>
      <c r="I121" s="16">
        <f>VLOOKUP(E121,Résultats!$B$2:$AX$476,'T energie vecteurs'!W5,FALSE)</f>
        <v>9.5213881209999904</v>
      </c>
      <c r="J121" s="16">
        <f>VLOOKUP(F121,Résultats!$B$2:$AX$476,'T energie vecteurs'!W5,FALSE)</f>
        <v>12.756298060000001</v>
      </c>
      <c r="K121" s="16">
        <f>VLOOKUP(G121,Résultats!$B$2:$AX$476,'T energie vecteurs'!W5,FALSE)</f>
        <v>15.137449889999999</v>
      </c>
      <c r="L121" s="320">
        <f>SUM(H121:K121)</f>
        <v>39.351433576999995</v>
      </c>
      <c r="M121" s="16"/>
      <c r="N121" s="149" t="s">
        <v>491</v>
      </c>
      <c r="O121" s="143">
        <f>'[2]Bilan 2050 AMS'!$U$46/11.63</f>
        <v>0</v>
      </c>
      <c r="P121" s="30">
        <f>SUM('[2]Bilan 2050 AMS'!$U$41:$U$43)/11.63</f>
        <v>0</v>
      </c>
      <c r="Q121" s="30">
        <f>'[2]Bilan 2050 AMS'!$U$13/11.63</f>
        <v>15.093516254705882</v>
      </c>
      <c r="R121" s="30">
        <f>('[2]Bilan 2050 AMS'!$U$22+'[2]Bilan 2050 AMS'!$U$30+SUM('[2]Bilan 2050 AMS'!$U$36:$U$40)+SUM('[2]Bilan 2050 AMS'!$U$44:$U$45)+'[2]Bilan 2050 AMS'!$U$47)/11.63</f>
        <v>11.200328112947249</v>
      </c>
      <c r="S121" s="95">
        <f t="shared" si="42"/>
        <v>26.293844367653129</v>
      </c>
      <c r="T121" s="95"/>
      <c r="U121" s="149" t="s">
        <v>24</v>
      </c>
      <c r="V121" t="s">
        <v>410</v>
      </c>
      <c r="W121" t="s">
        <v>411</v>
      </c>
      <c r="X121" t="s">
        <v>412</v>
      </c>
      <c r="Y121" t="s">
        <v>413</v>
      </c>
      <c r="Z121" s="16">
        <v>1.670748847</v>
      </c>
      <c r="AA121" s="16">
        <v>8.7418104050000007</v>
      </c>
      <c r="AB121" s="16">
        <v>12.97891182</v>
      </c>
      <c r="AC121" s="16">
        <v>11.515066819999999</v>
      </c>
      <c r="AD121" s="320">
        <v>34.906537892000003</v>
      </c>
    </row>
    <row r="122" spans="3:30" x14ac:dyDescent="0.25">
      <c r="C122" s="149" t="s">
        <v>47</v>
      </c>
      <c r="D122" t="s">
        <v>414</v>
      </c>
      <c r="E122" t="s">
        <v>415</v>
      </c>
      <c r="F122" t="s">
        <v>416</v>
      </c>
      <c r="G122" t="s">
        <v>417</v>
      </c>
      <c r="H122" s="16">
        <f>VLOOKUP(D122,Résultats!$B$2:$AX$476,'T energie vecteurs'!W5,FALSE)</f>
        <v>0.98625565770000001</v>
      </c>
      <c r="I122" s="16">
        <f>VLOOKUP(E122,Résultats!$B$2:$AX$476,'T energie vecteurs'!W5,FALSE)</f>
        <v>2.7066595260000001</v>
      </c>
      <c r="J122" s="16">
        <f>VLOOKUP(F122,Résultats!$B$2:$AX$476,'T energie vecteurs'!W5,FALSE)</f>
        <v>0</v>
      </c>
      <c r="K122" s="16">
        <f>VLOOKUP(G122,Résultats!$B$2:$AX$476,'T energie vecteurs'!W5,FALSE)</f>
        <v>2.757424001</v>
      </c>
      <c r="L122" s="320">
        <f t="shared" si="41"/>
        <v>6.4503391847000007</v>
      </c>
      <c r="M122" s="16"/>
      <c r="N122" s="149" t="s">
        <v>47</v>
      </c>
      <c r="O122" s="22">
        <f>'[2]Bilan 2050 AMS'!$E$52/11.63</f>
        <v>0</v>
      </c>
      <c r="P122" s="16">
        <f>('[2]Bilan 2050 AMS'!$E$54+'[2]Bilan 2050 AMS'!$E$56)/11.63</f>
        <v>8.7976190667572478</v>
      </c>
      <c r="Q122" s="16">
        <v>0</v>
      </c>
      <c r="R122" s="16">
        <f>('[2]Bilan 2050 AMS'!$E$53+'[2]Bilan 2050 AMS'!$E$55+'[2]Bilan 2050 AMS'!$E$57)/11.63</f>
        <v>1.173562867305959</v>
      </c>
      <c r="S122" s="95">
        <f t="shared" si="42"/>
        <v>9.9711819340632069</v>
      </c>
      <c r="T122" s="95"/>
      <c r="U122" s="149" t="s">
        <v>47</v>
      </c>
      <c r="V122" t="s">
        <v>414</v>
      </c>
      <c r="W122" t="s">
        <v>415</v>
      </c>
      <c r="X122" t="s">
        <v>416</v>
      </c>
      <c r="Y122" t="s">
        <v>417</v>
      </c>
      <c r="Z122" s="16">
        <v>0.89826150339999999</v>
      </c>
      <c r="AA122" s="16">
        <v>2.6027711020000002</v>
      </c>
      <c r="AB122" s="16">
        <v>0</v>
      </c>
      <c r="AC122" s="16">
        <v>2.3301974169999999</v>
      </c>
      <c r="AD122" s="320">
        <v>5.8312300223999998</v>
      </c>
    </row>
    <row r="123" spans="3:30" x14ac:dyDescent="0.25">
      <c r="C123" s="147" t="s">
        <v>25</v>
      </c>
      <c r="D123" t="s">
        <v>418</v>
      </c>
      <c r="E123" t="s">
        <v>419</v>
      </c>
      <c r="F123" t="s">
        <v>420</v>
      </c>
      <c r="G123" t="s">
        <v>421</v>
      </c>
      <c r="H123" s="8">
        <f>VLOOKUP(D123,Résultats!$B$2:$AX$476,'T energie vecteurs'!W5,FALSE)</f>
        <v>0</v>
      </c>
      <c r="I123" s="8">
        <f>VLOOKUP(E123,Résultats!$B$2:$AX$476,'T energie vecteurs'!W5,FALSE)</f>
        <v>3.7154287250000002</v>
      </c>
      <c r="J123" s="8">
        <f>VLOOKUP(F123,Résultats!$B$2:$AX$476,'T energie vecteurs'!W5,FALSE)</f>
        <v>0.42581768479999998</v>
      </c>
      <c r="K123" s="8">
        <f>VLOOKUP(G123,Résultats!$B$2:$AX$476,'T energie vecteurs'!W5,FALSE)</f>
        <v>0.55045509520000002</v>
      </c>
      <c r="L123" s="321">
        <f t="shared" si="41"/>
        <v>4.6917015050000002</v>
      </c>
      <c r="M123" s="16"/>
      <c r="N123" s="150" t="s">
        <v>25</v>
      </c>
      <c r="O123" s="29">
        <f>'[2]Bilan 2050 AMS'!$T$46/11.63</f>
        <v>0</v>
      </c>
      <c r="P123" s="28">
        <f>SUM('[2]Bilan 2050 AMS'!$T$41:$T$43)/11.63</f>
        <v>0.58982132154870426</v>
      </c>
      <c r="Q123" s="28">
        <f>'[2]Bilan 2050 AMS'!$T$13/11.63</f>
        <v>0.96535834832442247</v>
      </c>
      <c r="R123" s="28">
        <f>('[2]Bilan 2050 AMS'!$T$22+'[2]Bilan 2050 AMS'!$T$30+SUM('[2]Bilan 2050 AMS'!$T$36:$T$40)+SUM('[2]Bilan 2050 AMS'!$T$44:$T$45)+'[2]Bilan 2050 AMS'!$T$47)/11.63</f>
        <v>2.1658310693719187</v>
      </c>
      <c r="S123" s="142">
        <f t="shared" si="42"/>
        <v>3.7210107392450453</v>
      </c>
      <c r="T123" s="317">
        <f>S123</f>
        <v>3.7210107392450453</v>
      </c>
      <c r="U123" s="149" t="s">
        <v>25</v>
      </c>
      <c r="V123" t="s">
        <v>418</v>
      </c>
      <c r="W123" t="s">
        <v>419</v>
      </c>
      <c r="X123" t="s">
        <v>420</v>
      </c>
      <c r="Y123" t="s">
        <v>421</v>
      </c>
      <c r="Z123" s="16">
        <v>0</v>
      </c>
      <c r="AA123" s="16">
        <v>3.455303529</v>
      </c>
      <c r="AB123" s="16">
        <v>0.40350280329999999</v>
      </c>
      <c r="AC123" s="16">
        <v>0.47360230419999999</v>
      </c>
      <c r="AD123" s="320">
        <v>4.3324086365000003</v>
      </c>
    </row>
    <row r="124" spans="3:30" x14ac:dyDescent="0.25">
      <c r="C124" s="23" t="s">
        <v>26</v>
      </c>
      <c r="D124" s="10"/>
      <c r="E124" s="10"/>
      <c r="F124" s="10"/>
      <c r="G124" s="10"/>
      <c r="H124" s="9">
        <f>SUM(H115,H118:H120)</f>
        <v>3.1559136938000001</v>
      </c>
      <c r="I124" s="9">
        <f>SUM(I115,I118:I120)</f>
        <v>50.444446152999987</v>
      </c>
      <c r="J124" s="9">
        <f>SUM(J115,J118:J120)</f>
        <v>48.067442608</v>
      </c>
      <c r="K124" s="9">
        <f>SUM(K115,K118:K120)</f>
        <v>47.351627407953799</v>
      </c>
      <c r="L124" s="98">
        <f t="shared" si="41"/>
        <v>149.01942986275378</v>
      </c>
      <c r="M124" s="79"/>
      <c r="N124" s="151" t="s">
        <v>26</v>
      </c>
      <c r="O124" s="32">
        <f>O115+O118+O119+O120+O123</f>
        <v>0</v>
      </c>
      <c r="P124" s="31">
        <f>P115+P118+P119+P120+P123</f>
        <v>11.49702544449546</v>
      </c>
      <c r="Q124" s="31">
        <f>Q115+Q118+Q119+Q120+Q123</f>
        <v>49.435688400090683</v>
      </c>
      <c r="R124" s="31">
        <f>R115+R118+R119+R120+R123</f>
        <v>49.851435300523292</v>
      </c>
      <c r="S124" s="144">
        <f t="shared" si="42"/>
        <v>110.78414914510944</v>
      </c>
      <c r="T124" s="318">
        <f>SUM(T115:T123)</f>
        <v>90.576033531121979</v>
      </c>
      <c r="U124" s="23" t="s">
        <v>26</v>
      </c>
      <c r="V124" s="10"/>
      <c r="W124" s="10"/>
      <c r="X124" s="10"/>
      <c r="Y124" s="10"/>
      <c r="Z124" s="9">
        <v>2.7131055634000001</v>
      </c>
      <c r="AA124" s="9">
        <v>19.413938186599999</v>
      </c>
      <c r="AB124" s="9">
        <v>49.019475831000001</v>
      </c>
      <c r="AC124" s="9">
        <v>45.980674368947078</v>
      </c>
      <c r="AD124" s="98">
        <v>117.12719394994708</v>
      </c>
    </row>
    <row r="125" spans="3:30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O125" s="77"/>
      <c r="P125" s="77"/>
      <c r="Q125" s="77"/>
      <c r="R125" s="78"/>
      <c r="S125" s="45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3:30" x14ac:dyDescent="0.25">
      <c r="C126" s="3"/>
      <c r="D126" s="3"/>
      <c r="E126" s="3"/>
      <c r="F126" s="3">
        <f>0.1/0.028*51.84</f>
        <v>185.14285714285717</v>
      </c>
      <c r="G126" s="3"/>
      <c r="H126" s="3"/>
      <c r="I126" s="3"/>
      <c r="J126" s="3"/>
      <c r="K126" s="3"/>
      <c r="L126" s="3"/>
      <c r="M126" s="3"/>
      <c r="O126" s="3"/>
      <c r="P126" s="3"/>
      <c r="Q126" s="3"/>
      <c r="R126" s="3"/>
      <c r="S126" s="3"/>
      <c r="U126" s="3"/>
      <c r="V126" s="3"/>
      <c r="W126" s="3"/>
      <c r="X126" s="3">
        <v>185.14285714285717</v>
      </c>
      <c r="Y126" s="3"/>
      <c r="Z126" s="3"/>
      <c r="AA126" s="3"/>
      <c r="AB126" s="3"/>
      <c r="AC126" s="3"/>
      <c r="AD126" s="3"/>
    </row>
    <row r="127" spans="3:30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O127" s="3"/>
      <c r="P127" s="3"/>
      <c r="Q127" s="3"/>
      <c r="R127" s="3"/>
      <c r="S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3:30" s="3" customFormat="1" x14ac:dyDescent="0.25">
      <c r="C128" s="60" t="s">
        <v>488</v>
      </c>
      <c r="F128" s="3">
        <f>0.1/0.028*51.84</f>
        <v>185.14285714285717</v>
      </c>
      <c r="N128" s="60" t="s">
        <v>489</v>
      </c>
      <c r="U128" s="60" t="s">
        <v>488</v>
      </c>
      <c r="X128" s="3">
        <v>185.14285714285717</v>
      </c>
    </row>
    <row r="129" spans="3:30" s="3" customFormat="1" ht="31.5" x14ac:dyDescent="0.35">
      <c r="C129" s="145">
        <v>2050</v>
      </c>
      <c r="D129" s="146"/>
      <c r="E129" s="146"/>
      <c r="F129" s="146"/>
      <c r="G129" s="146"/>
      <c r="H129" s="76" t="s">
        <v>36</v>
      </c>
      <c r="I129" s="76" t="s">
        <v>49</v>
      </c>
      <c r="J129" s="76" t="s">
        <v>38</v>
      </c>
      <c r="K129" s="76" t="s">
        <v>48</v>
      </c>
      <c r="L129" s="93" t="s">
        <v>1</v>
      </c>
      <c r="N129" s="145">
        <v>2050</v>
      </c>
      <c r="O129" s="141" t="s">
        <v>36</v>
      </c>
      <c r="P129" s="76" t="s">
        <v>49</v>
      </c>
      <c r="Q129" s="76" t="s">
        <v>38</v>
      </c>
      <c r="R129" s="76" t="s">
        <v>48</v>
      </c>
      <c r="S129" s="93" t="s">
        <v>1</v>
      </c>
      <c r="U129" s="145">
        <v>2050</v>
      </c>
      <c r="V129" s="146"/>
      <c r="W129" s="146"/>
      <c r="X129" s="146"/>
      <c r="Y129" s="146"/>
      <c r="Z129" s="76" t="s">
        <v>36</v>
      </c>
      <c r="AA129" s="76" t="s">
        <v>49</v>
      </c>
      <c r="AB129" s="76" t="s">
        <v>38</v>
      </c>
      <c r="AC129" s="76" t="s">
        <v>48</v>
      </c>
      <c r="AD129" s="93" t="s">
        <v>1</v>
      </c>
    </row>
    <row r="130" spans="3:30" s="3" customFormat="1" x14ac:dyDescent="0.25">
      <c r="C130" s="274" t="s">
        <v>18</v>
      </c>
      <c r="D130" s="275"/>
      <c r="E130" s="275"/>
      <c r="F130" s="275"/>
      <c r="G130" s="275"/>
      <c r="H130" s="276" t="e">
        <f>H115-#REF!</f>
        <v>#REF!</v>
      </c>
      <c r="I130" s="276" t="e">
        <f>I115-#REF!</f>
        <v>#REF!</v>
      </c>
      <c r="J130" s="276" t="e">
        <f>J115-#REF!</f>
        <v>#REF!</v>
      </c>
      <c r="K130" s="276" t="e">
        <f>K115-#REF!</f>
        <v>#REF!</v>
      </c>
      <c r="L130" s="277" t="e">
        <f>L115-#REF!</f>
        <v>#REF!</v>
      </c>
      <c r="N130" s="274" t="s">
        <v>18</v>
      </c>
      <c r="O130" s="283">
        <f>H115-O115</f>
        <v>0</v>
      </c>
      <c r="P130" s="284">
        <f t="shared" ref="P130:S139" si="46">I115-P115</f>
        <v>28.63163585205082</v>
      </c>
      <c r="Q130" s="284">
        <f t="shared" si="46"/>
        <v>-3.853162890329255</v>
      </c>
      <c r="R130" s="284">
        <f t="shared" si="46"/>
        <v>2.2836136132590159</v>
      </c>
      <c r="S130" s="285">
        <f t="shared" si="46"/>
        <v>27.062086574980576</v>
      </c>
      <c r="U130" s="274" t="s">
        <v>18</v>
      </c>
      <c r="V130" s="275"/>
      <c r="W130" s="275"/>
      <c r="X130" s="275"/>
      <c r="Y130" s="275"/>
      <c r="Z130" s="276" t="e">
        <v>#REF!</v>
      </c>
      <c r="AA130" s="276" t="e">
        <v>#REF!</v>
      </c>
      <c r="AB130" s="276" t="e">
        <v>#REF!</v>
      </c>
      <c r="AC130" s="276" t="e">
        <v>#REF!</v>
      </c>
      <c r="AD130" s="277" t="e">
        <v>#REF!</v>
      </c>
    </row>
    <row r="131" spans="3:30" s="3" customFormat="1" x14ac:dyDescent="0.25">
      <c r="C131" s="148" t="s">
        <v>19</v>
      </c>
      <c r="D131" t="s">
        <v>394</v>
      </c>
      <c r="E131" t="s">
        <v>395</v>
      </c>
      <c r="F131" t="s">
        <v>396</v>
      </c>
      <c r="G131" t="s">
        <v>397</v>
      </c>
      <c r="H131" s="34" t="e">
        <f>H116-#REF!</f>
        <v>#REF!</v>
      </c>
      <c r="I131" s="34" t="e">
        <f>I116-#REF!</f>
        <v>#REF!</v>
      </c>
      <c r="J131" s="34" t="e">
        <f>J116-#REF!</f>
        <v>#REF!</v>
      </c>
      <c r="K131" s="34" t="e">
        <f>K116-#REF!</f>
        <v>#REF!</v>
      </c>
      <c r="L131" s="278" t="e">
        <f>L116-#REF!</f>
        <v>#REF!</v>
      </c>
      <c r="N131" s="148" t="s">
        <v>19</v>
      </c>
      <c r="O131" s="286">
        <f t="shared" ref="O131:O139" si="47">H116-O116</f>
        <v>0</v>
      </c>
      <c r="P131" s="34">
        <f t="shared" si="46"/>
        <v>12.72250779</v>
      </c>
      <c r="Q131" s="34">
        <f t="shared" si="46"/>
        <v>3.3224843719999999</v>
      </c>
      <c r="R131" s="34">
        <f t="shared" si="46"/>
        <v>6.6604953800000001E-5</v>
      </c>
      <c r="S131" s="278">
        <f t="shared" si="46"/>
        <v>16.045058766953801</v>
      </c>
      <c r="U131" s="148" t="s">
        <v>19</v>
      </c>
      <c r="V131" t="s">
        <v>394</v>
      </c>
      <c r="W131" t="s">
        <v>395</v>
      </c>
      <c r="X131" t="s">
        <v>396</v>
      </c>
      <c r="Y131" t="s">
        <v>397</v>
      </c>
      <c r="Z131" s="34" t="e">
        <v>#REF!</v>
      </c>
      <c r="AA131" s="34" t="e">
        <v>#REF!</v>
      </c>
      <c r="AB131" s="34" t="e">
        <v>#REF!</v>
      </c>
      <c r="AC131" s="34" t="e">
        <v>#REF!</v>
      </c>
      <c r="AD131" s="278" t="e">
        <v>#REF!</v>
      </c>
    </row>
    <row r="132" spans="3:30" s="3" customFormat="1" x14ac:dyDescent="0.25">
      <c r="C132" s="149" t="s">
        <v>20</v>
      </c>
      <c r="D132" t="s">
        <v>398</v>
      </c>
      <c r="E132" t="s">
        <v>399</v>
      </c>
      <c r="F132" t="s">
        <v>400</v>
      </c>
      <c r="G132" t="s">
        <v>401</v>
      </c>
      <c r="H132" s="34" t="e">
        <f>H117-#REF!</f>
        <v>#REF!</v>
      </c>
      <c r="I132" s="34" t="e">
        <f>I117-#REF!</f>
        <v>#REF!</v>
      </c>
      <c r="J132" s="34" t="e">
        <f>J117-#REF!</f>
        <v>#REF!</v>
      </c>
      <c r="K132" s="34" t="e">
        <f>K117-#REF!</f>
        <v>#REF!</v>
      </c>
      <c r="L132" s="278" t="e">
        <f>L117-#REF!</f>
        <v>#REF!</v>
      </c>
      <c r="N132" s="149" t="s">
        <v>20</v>
      </c>
      <c r="O132" s="286">
        <f t="shared" si="47"/>
        <v>0</v>
      </c>
      <c r="P132" s="34">
        <f t="shared" si="46"/>
        <v>18.012441389999999</v>
      </c>
      <c r="Q132" s="34">
        <f t="shared" si="46"/>
        <v>3.9351245160000001</v>
      </c>
      <c r="R132" s="34">
        <f t="shared" si="46"/>
        <v>3.527977849</v>
      </c>
      <c r="S132" s="278">
        <f t="shared" si="46"/>
        <v>25.475543755</v>
      </c>
      <c r="U132" s="149" t="s">
        <v>20</v>
      </c>
      <c r="V132" t="s">
        <v>398</v>
      </c>
      <c r="W132" t="s">
        <v>399</v>
      </c>
      <c r="X132" t="s">
        <v>400</v>
      </c>
      <c r="Y132" t="s">
        <v>401</v>
      </c>
      <c r="Z132" s="34" t="e">
        <v>#REF!</v>
      </c>
      <c r="AA132" s="34" t="e">
        <v>#REF!</v>
      </c>
      <c r="AB132" s="34" t="e">
        <v>#REF!</v>
      </c>
      <c r="AC132" s="34" t="e">
        <v>#REF!</v>
      </c>
      <c r="AD132" s="278" t="e">
        <v>#REF!</v>
      </c>
    </row>
    <row r="133" spans="3:30" s="3" customFormat="1" x14ac:dyDescent="0.25">
      <c r="C133" s="274" t="s">
        <v>21</v>
      </c>
      <c r="D133" s="275" t="s">
        <v>402</v>
      </c>
      <c r="E133" s="275" t="s">
        <v>403</v>
      </c>
      <c r="F133" s="275" t="s">
        <v>404</v>
      </c>
      <c r="G133" s="275" t="s">
        <v>405</v>
      </c>
      <c r="H133" s="276" t="e">
        <f>H118-#REF!</f>
        <v>#REF!</v>
      </c>
      <c r="I133" s="276" t="e">
        <f>I118-#REF!</f>
        <v>#REF!</v>
      </c>
      <c r="J133" s="276" t="e">
        <f>J118-#REF!</f>
        <v>#REF!</v>
      </c>
      <c r="K133" s="276" t="e">
        <f>K118-#REF!</f>
        <v>#REF!</v>
      </c>
      <c r="L133" s="277" t="e">
        <f>L118-#REF!</f>
        <v>#REF!</v>
      </c>
      <c r="N133" s="274" t="s">
        <v>21</v>
      </c>
      <c r="O133" s="287">
        <f t="shared" si="47"/>
        <v>0.23336053009999999</v>
      </c>
      <c r="P133" s="284">
        <f t="shared" si="46"/>
        <v>5.6114175533165032</v>
      </c>
      <c r="Q133" s="284">
        <f t="shared" si="46"/>
        <v>5.8821067577645678</v>
      </c>
      <c r="R133" s="284">
        <f t="shared" si="46"/>
        <v>-5.0928317484789822</v>
      </c>
      <c r="S133" s="285">
        <f t="shared" si="46"/>
        <v>6.6340530927020893</v>
      </c>
      <c r="U133" s="274" t="s">
        <v>21</v>
      </c>
      <c r="V133" s="275" t="s">
        <v>402</v>
      </c>
      <c r="W133" s="275" t="s">
        <v>403</v>
      </c>
      <c r="X133" s="275" t="s">
        <v>404</v>
      </c>
      <c r="Y133" s="275" t="s">
        <v>405</v>
      </c>
      <c r="Z133" s="276" t="e">
        <v>#REF!</v>
      </c>
      <c r="AA133" s="276" t="e">
        <v>#REF!</v>
      </c>
      <c r="AB133" s="276" t="e">
        <v>#REF!</v>
      </c>
      <c r="AC133" s="276" t="e">
        <v>#REF!</v>
      </c>
      <c r="AD133" s="277" t="e">
        <v>#REF!</v>
      </c>
    </row>
    <row r="134" spans="3:30" s="3" customFormat="1" x14ac:dyDescent="0.25">
      <c r="C134" s="274" t="s">
        <v>22</v>
      </c>
      <c r="D134" s="275" t="s">
        <v>406</v>
      </c>
      <c r="E134" s="275" t="s">
        <v>407</v>
      </c>
      <c r="F134" s="275" t="s">
        <v>408</v>
      </c>
      <c r="G134" s="275" t="s">
        <v>409</v>
      </c>
      <c r="H134" s="276" t="e">
        <f>H119-#REF!</f>
        <v>#REF!</v>
      </c>
      <c r="I134" s="276" t="e">
        <f>I119-#REF!</f>
        <v>#REF!</v>
      </c>
      <c r="J134" s="276" t="e">
        <f>J119-#REF!</f>
        <v>#REF!</v>
      </c>
      <c r="K134" s="276" t="e">
        <f>K119-#REF!</f>
        <v>#REF!</v>
      </c>
      <c r="L134" s="277" t="e">
        <f>L119-#REF!</f>
        <v>#REF!</v>
      </c>
      <c r="N134" s="274" t="s">
        <v>22</v>
      </c>
      <c r="O134" s="287">
        <f t="shared" si="47"/>
        <v>0</v>
      </c>
      <c r="P134" s="284">
        <f t="shared" si="46"/>
        <v>1.863760044443171</v>
      </c>
      <c r="Q134" s="284">
        <f t="shared" si="46"/>
        <v>-9.4613116495690264E-2</v>
      </c>
      <c r="R134" s="284">
        <f t="shared" si="46"/>
        <v>-3.0457415987243976</v>
      </c>
      <c r="S134" s="285">
        <f t="shared" si="46"/>
        <v>-1.276594670776916</v>
      </c>
      <c r="U134" s="274" t="s">
        <v>22</v>
      </c>
      <c r="V134" s="275" t="s">
        <v>406</v>
      </c>
      <c r="W134" s="275" t="s">
        <v>407</v>
      </c>
      <c r="X134" s="275" t="s">
        <v>408</v>
      </c>
      <c r="Y134" s="275" t="s">
        <v>409</v>
      </c>
      <c r="Z134" s="276" t="e">
        <v>#REF!</v>
      </c>
      <c r="AA134" s="276" t="e">
        <v>#REF!</v>
      </c>
      <c r="AB134" s="276" t="e">
        <v>#REF!</v>
      </c>
      <c r="AC134" s="276" t="e">
        <v>#REF!</v>
      </c>
      <c r="AD134" s="277" t="e">
        <v>#REF!</v>
      </c>
    </row>
    <row r="135" spans="3:30" s="3" customFormat="1" x14ac:dyDescent="0.25">
      <c r="C135" s="274" t="s">
        <v>23</v>
      </c>
      <c r="D135" s="275"/>
      <c r="E135" s="275"/>
      <c r="F135" s="275"/>
      <c r="G135" s="275"/>
      <c r="H135" s="276" t="e">
        <f>H120-#REF!</f>
        <v>#REF!</v>
      </c>
      <c r="I135" s="276" t="e">
        <f>I120-#REF!</f>
        <v>#REF!</v>
      </c>
      <c r="J135" s="276" t="e">
        <f>J120-#REF!</f>
        <v>#REF!</v>
      </c>
      <c r="K135" s="276" t="e">
        <f>K120-#REF!</f>
        <v>#REF!</v>
      </c>
      <c r="L135" s="277" t="e">
        <f>L120-#REF!</f>
        <v>#REF!</v>
      </c>
      <c r="N135" s="274" t="s">
        <v>23</v>
      </c>
      <c r="O135" s="287">
        <f t="shared" si="47"/>
        <v>2.9225531637</v>
      </c>
      <c r="P135" s="284">
        <f t="shared" si="46"/>
        <v>3.4304285802427419</v>
      </c>
      <c r="Q135" s="284">
        <f t="shared" si="46"/>
        <v>-2.3372181947058817</v>
      </c>
      <c r="R135" s="284">
        <f t="shared" si="46"/>
        <v>5.5209829107467918</v>
      </c>
      <c r="S135" s="285">
        <f t="shared" si="46"/>
        <v>9.5367464599836538</v>
      </c>
      <c r="U135" s="274" t="s">
        <v>23</v>
      </c>
      <c r="V135" s="275"/>
      <c r="W135" s="275"/>
      <c r="X135" s="275"/>
      <c r="Y135" s="275"/>
      <c r="Z135" s="276" t="e">
        <v>#REF!</v>
      </c>
      <c r="AA135" s="276" t="e">
        <v>#REF!</v>
      </c>
      <c r="AB135" s="276" t="e">
        <v>#REF!</v>
      </c>
      <c r="AC135" s="276" t="e">
        <v>#REF!</v>
      </c>
      <c r="AD135" s="277" t="e">
        <v>#REF!</v>
      </c>
    </row>
    <row r="136" spans="3:30" s="3" customFormat="1" x14ac:dyDescent="0.25">
      <c r="C136" s="149" t="s">
        <v>24</v>
      </c>
      <c r="D136" t="s">
        <v>410</v>
      </c>
      <c r="E136" t="s">
        <v>411</v>
      </c>
      <c r="F136" t="s">
        <v>412</v>
      </c>
      <c r="G136" t="s">
        <v>413</v>
      </c>
      <c r="H136" s="34" t="e">
        <f>H121-#REF!</f>
        <v>#REF!</v>
      </c>
      <c r="I136" s="34" t="e">
        <f>I121-#REF!</f>
        <v>#REF!</v>
      </c>
      <c r="J136" s="34" t="e">
        <f>J121-#REF!</f>
        <v>#REF!</v>
      </c>
      <c r="K136" s="34" t="e">
        <f>K121-#REF!</f>
        <v>#REF!</v>
      </c>
      <c r="L136" s="278" t="e">
        <f>L121-#REF!</f>
        <v>#REF!</v>
      </c>
      <c r="N136" s="149" t="s">
        <v>24</v>
      </c>
      <c r="O136" s="286">
        <f t="shared" si="47"/>
        <v>1.9362975060000001</v>
      </c>
      <c r="P136" s="269">
        <f t="shared" si="46"/>
        <v>9.5213881209999904</v>
      </c>
      <c r="Q136" s="269">
        <f t="shared" si="46"/>
        <v>-2.3372181947058817</v>
      </c>
      <c r="R136" s="269">
        <f t="shared" si="46"/>
        <v>3.9371217770527505</v>
      </c>
      <c r="S136" s="278">
        <f t="shared" si="46"/>
        <v>13.057589209346865</v>
      </c>
      <c r="U136" s="149" t="s">
        <v>24</v>
      </c>
      <c r="V136" t="s">
        <v>410</v>
      </c>
      <c r="W136" t="s">
        <v>411</v>
      </c>
      <c r="X136" t="s">
        <v>412</v>
      </c>
      <c r="Y136" t="s">
        <v>413</v>
      </c>
      <c r="Z136" s="34" t="e">
        <v>#REF!</v>
      </c>
      <c r="AA136" s="34" t="e">
        <v>#REF!</v>
      </c>
      <c r="AB136" s="34" t="e">
        <v>#REF!</v>
      </c>
      <c r="AC136" s="34" t="e">
        <v>#REF!</v>
      </c>
      <c r="AD136" s="278" t="e">
        <v>#REF!</v>
      </c>
    </row>
    <row r="137" spans="3:30" s="3" customFormat="1" x14ac:dyDescent="0.25">
      <c r="C137" s="149" t="s">
        <v>47</v>
      </c>
      <c r="D137" t="s">
        <v>414</v>
      </c>
      <c r="E137" t="s">
        <v>415</v>
      </c>
      <c r="F137" t="s">
        <v>416</v>
      </c>
      <c r="G137" t="s">
        <v>417</v>
      </c>
      <c r="H137" s="34" t="e">
        <f>H122-#REF!</f>
        <v>#REF!</v>
      </c>
      <c r="I137" s="34" t="e">
        <f>I122-#REF!</f>
        <v>#REF!</v>
      </c>
      <c r="J137" s="34" t="e">
        <f>J122-#REF!</f>
        <v>#REF!</v>
      </c>
      <c r="K137" s="34" t="e">
        <f>K122-#REF!</f>
        <v>#REF!</v>
      </c>
      <c r="L137" s="278" t="e">
        <f>L122-#REF!</f>
        <v>#REF!</v>
      </c>
      <c r="N137" s="149" t="s">
        <v>47</v>
      </c>
      <c r="O137" s="288">
        <f t="shared" si="47"/>
        <v>0.98625565770000001</v>
      </c>
      <c r="P137" s="34">
        <f t="shared" si="46"/>
        <v>-6.0909595407572477</v>
      </c>
      <c r="Q137" s="34">
        <f t="shared" si="46"/>
        <v>0</v>
      </c>
      <c r="R137" s="34">
        <f t="shared" si="46"/>
        <v>1.5838611336940409</v>
      </c>
      <c r="S137" s="278">
        <f t="shared" si="46"/>
        <v>-3.5208427493632062</v>
      </c>
      <c r="U137" s="149" t="s">
        <v>47</v>
      </c>
      <c r="V137" t="s">
        <v>414</v>
      </c>
      <c r="W137" t="s">
        <v>415</v>
      </c>
      <c r="X137" t="s">
        <v>416</v>
      </c>
      <c r="Y137" t="s">
        <v>417</v>
      </c>
      <c r="Z137" s="34" t="e">
        <v>#REF!</v>
      </c>
      <c r="AA137" s="34" t="e">
        <v>#REF!</v>
      </c>
      <c r="AB137" s="34" t="e">
        <v>#REF!</v>
      </c>
      <c r="AC137" s="34" t="e">
        <v>#REF!</v>
      </c>
      <c r="AD137" s="278" t="e">
        <v>#REF!</v>
      </c>
    </row>
    <row r="138" spans="3:30" s="3" customFormat="1" x14ac:dyDescent="0.25">
      <c r="C138" s="149" t="s">
        <v>25</v>
      </c>
      <c r="D138" t="s">
        <v>418</v>
      </c>
      <c r="E138" t="s">
        <v>419</v>
      </c>
      <c r="F138" t="s">
        <v>420</v>
      </c>
      <c r="G138" t="s">
        <v>421</v>
      </c>
      <c r="H138" s="34" t="e">
        <f>H123-#REF!</f>
        <v>#REF!</v>
      </c>
      <c r="I138" s="34" t="e">
        <f>I123-#REF!</f>
        <v>#REF!</v>
      </c>
      <c r="J138" s="34" t="e">
        <f>J123-#REF!</f>
        <v>#REF!</v>
      </c>
      <c r="K138" s="34" t="e">
        <f>K123-#REF!</f>
        <v>#REF!</v>
      </c>
      <c r="L138" s="278" t="e">
        <f>L123-#REF!</f>
        <v>#REF!</v>
      </c>
      <c r="N138" s="149" t="s">
        <v>25</v>
      </c>
      <c r="O138" s="286">
        <f t="shared" si="47"/>
        <v>0</v>
      </c>
      <c r="P138" s="269">
        <f t="shared" si="46"/>
        <v>3.125607403451296</v>
      </c>
      <c r="Q138" s="269">
        <f t="shared" si="46"/>
        <v>-0.53954066352442243</v>
      </c>
      <c r="R138" s="269">
        <f t="shared" si="46"/>
        <v>-1.6153759741719187</v>
      </c>
      <c r="S138" s="278">
        <f t="shared" si="46"/>
        <v>0.97069076575495483</v>
      </c>
      <c r="U138" s="149" t="s">
        <v>25</v>
      </c>
      <c r="V138" t="s">
        <v>418</v>
      </c>
      <c r="W138" t="s">
        <v>419</v>
      </c>
      <c r="X138" t="s">
        <v>420</v>
      </c>
      <c r="Y138" t="s">
        <v>421</v>
      </c>
      <c r="Z138" s="34" t="e">
        <v>#REF!</v>
      </c>
      <c r="AA138" s="34" t="e">
        <v>#REF!</v>
      </c>
      <c r="AB138" s="34" t="e">
        <v>#REF!</v>
      </c>
      <c r="AC138" s="34" t="e">
        <v>#REF!</v>
      </c>
      <c r="AD138" s="278" t="e">
        <v>#REF!</v>
      </c>
    </row>
    <row r="139" spans="3:30" s="3" customFormat="1" x14ac:dyDescent="0.25">
      <c r="C139" s="279" t="s">
        <v>26</v>
      </c>
      <c r="D139" s="280"/>
      <c r="E139" s="280"/>
      <c r="F139" s="280"/>
      <c r="G139" s="280"/>
      <c r="H139" s="281" t="e">
        <f>H124-#REF!</f>
        <v>#REF!</v>
      </c>
      <c r="I139" s="281" t="e">
        <f>I124-#REF!</f>
        <v>#REF!</v>
      </c>
      <c r="J139" s="281" t="e">
        <f>J124-#REF!</f>
        <v>#REF!</v>
      </c>
      <c r="K139" s="281" t="e">
        <f>K124-#REF!</f>
        <v>#REF!</v>
      </c>
      <c r="L139" s="282" t="e">
        <f>L124-#REF!</f>
        <v>#REF!</v>
      </c>
      <c r="N139" s="279" t="s">
        <v>26</v>
      </c>
      <c r="O139" s="289">
        <f t="shared" si="47"/>
        <v>3.1559136938000001</v>
      </c>
      <c r="P139" s="290">
        <f t="shared" si="46"/>
        <v>38.947420708504524</v>
      </c>
      <c r="Q139" s="290">
        <f t="shared" si="46"/>
        <v>-1.3682457920906828</v>
      </c>
      <c r="R139" s="290">
        <f t="shared" si="46"/>
        <v>-2.4998078925694927</v>
      </c>
      <c r="S139" s="291">
        <f t="shared" si="46"/>
        <v>38.235280717644343</v>
      </c>
      <c r="U139" s="279" t="s">
        <v>26</v>
      </c>
      <c r="V139" s="280"/>
      <c r="W139" s="280"/>
      <c r="X139" s="280"/>
      <c r="Y139" s="280"/>
      <c r="Z139" s="281" t="e">
        <v>#REF!</v>
      </c>
      <c r="AA139" s="281" t="e">
        <v>#REF!</v>
      </c>
      <c r="AB139" s="281" t="e">
        <v>#REF!</v>
      </c>
      <c r="AC139" s="281" t="e">
        <v>#REF!</v>
      </c>
      <c r="AD139" s="282" t="e">
        <v>#REF!</v>
      </c>
    </row>
    <row r="140" spans="3:30" s="3" customFormat="1" x14ac:dyDescent="0.25"/>
    <row r="141" spans="3:30" s="3" customFormat="1" x14ac:dyDescent="0.25"/>
    <row r="142" spans="3:30" s="3" customFormat="1" x14ac:dyDescent="0.25"/>
    <row r="143" spans="3:30" s="3" customFormat="1" x14ac:dyDescent="0.25"/>
    <row r="144" spans="3:30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pans="3:21" s="3" customFormat="1" x14ac:dyDescent="0.25"/>
    <row r="194" spans="3:21" s="3" customFormat="1" x14ac:dyDescent="0.25"/>
    <row r="195" spans="3:21" s="3" customFormat="1" x14ac:dyDescent="0.25"/>
    <row r="196" spans="3:21" s="3" customFormat="1" x14ac:dyDescent="0.25"/>
    <row r="197" spans="3:21" s="3" customFormat="1" x14ac:dyDescent="0.25"/>
    <row r="198" spans="3:21" s="3" customFormat="1" x14ac:dyDescent="0.25"/>
    <row r="199" spans="3:21" s="3" customFormat="1" x14ac:dyDescent="0.25"/>
    <row r="200" spans="3:21" s="3" customFormat="1" x14ac:dyDescent="0.25"/>
    <row r="201" spans="3:21" s="3" customFormat="1" x14ac:dyDescent="0.25"/>
    <row r="202" spans="3:21" s="3" customFormat="1" x14ac:dyDescent="0.25"/>
    <row r="203" spans="3:21" s="3" customFormat="1" x14ac:dyDescent="0.25"/>
    <row r="204" spans="3:21" s="3" customFormat="1" x14ac:dyDescent="0.25">
      <c r="C204" s="3">
        <f>0</f>
        <v>0</v>
      </c>
      <c r="U204" s="3">
        <v>0</v>
      </c>
    </row>
    <row r="205" spans="3:21" s="3" customFormat="1" x14ac:dyDescent="0.25"/>
    <row r="206" spans="3:21" s="3" customFormat="1" x14ac:dyDescent="0.25"/>
    <row r="207" spans="3:21" s="3" customFormat="1" x14ac:dyDescent="0.25"/>
    <row r="208" spans="3:21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5">
    <tabColor rgb="FF0070C0"/>
    <pageSetUpPr fitToPage="1"/>
  </sheetPr>
  <dimension ref="A1:BD67"/>
  <sheetViews>
    <sheetView showGridLines="0" topLeftCell="A29" zoomScaleNormal="100" workbookViewId="0">
      <selection activeCell="A36" sqref="A36"/>
    </sheetView>
  </sheetViews>
  <sheetFormatPr baseColWidth="10" defaultRowHeight="15" x14ac:dyDescent="0.25"/>
  <cols>
    <col min="1" max="1" width="15.7109375" customWidth="1"/>
    <col min="2" max="2" width="33.85546875" bestFit="1" customWidth="1"/>
    <col min="3" max="16" width="8.85546875" hidden="1" customWidth="1"/>
    <col min="17" max="17" width="14" customWidth="1"/>
    <col min="18" max="26" width="8.85546875" hidden="1" customWidth="1"/>
    <col min="27" max="27" width="14" customWidth="1"/>
    <col min="28" max="46" width="14" hidden="1" customWidth="1"/>
    <col min="47" max="47" width="14" customWidth="1"/>
    <col min="49" max="49" width="13.42578125" customWidth="1"/>
  </cols>
  <sheetData>
    <row r="1" spans="1:56" s="243" customFormat="1" ht="45" customHeight="1" x14ac:dyDescent="0.25">
      <c r="A1" s="238" t="str">
        <f>Résultats!B1</f>
        <v>SNBC3</v>
      </c>
      <c r="B1" s="239" t="s">
        <v>465</v>
      </c>
      <c r="C1" s="240">
        <v>2006</v>
      </c>
      <c r="D1" s="241">
        <v>2007</v>
      </c>
      <c r="E1" s="241">
        <v>2008</v>
      </c>
      <c r="F1" s="241">
        <v>2009</v>
      </c>
      <c r="G1" s="241">
        <v>2010</v>
      </c>
      <c r="H1" s="241">
        <v>2011</v>
      </c>
      <c r="I1" s="241">
        <v>2012</v>
      </c>
      <c r="J1" s="241">
        <v>2013</v>
      </c>
      <c r="K1" s="241">
        <v>2014</v>
      </c>
      <c r="L1" s="241">
        <v>2015</v>
      </c>
      <c r="M1" s="241">
        <v>2016</v>
      </c>
      <c r="N1" s="241">
        <v>2017</v>
      </c>
      <c r="O1" s="241">
        <v>2018</v>
      </c>
      <c r="P1" s="241">
        <v>2019</v>
      </c>
      <c r="Q1" s="241">
        <v>2020</v>
      </c>
      <c r="R1" s="241">
        <v>2021</v>
      </c>
      <c r="S1" s="241">
        <v>2022</v>
      </c>
      <c r="T1" s="241">
        <v>2023</v>
      </c>
      <c r="U1" s="241">
        <v>2024</v>
      </c>
      <c r="V1" s="241">
        <v>2025</v>
      </c>
      <c r="W1" s="241">
        <v>2026</v>
      </c>
      <c r="X1" s="241">
        <v>2027</v>
      </c>
      <c r="Y1" s="241">
        <v>2028</v>
      </c>
      <c r="Z1" s="241">
        <v>2029</v>
      </c>
      <c r="AA1" s="241">
        <v>2030</v>
      </c>
      <c r="AB1" s="241">
        <v>2031</v>
      </c>
      <c r="AC1" s="241">
        <v>2032</v>
      </c>
      <c r="AD1" s="241">
        <v>2033</v>
      </c>
      <c r="AE1" s="241">
        <v>2034</v>
      </c>
      <c r="AF1" s="241">
        <v>2035</v>
      </c>
      <c r="AG1" s="241">
        <v>2036</v>
      </c>
      <c r="AH1" s="241">
        <v>2037</v>
      </c>
      <c r="AI1" s="241">
        <v>2038</v>
      </c>
      <c r="AJ1" s="241">
        <v>2039</v>
      </c>
      <c r="AK1" s="241">
        <v>2040</v>
      </c>
      <c r="AL1" s="241">
        <v>2041</v>
      </c>
      <c r="AM1" s="241">
        <v>2042</v>
      </c>
      <c r="AN1" s="241">
        <v>2043</v>
      </c>
      <c r="AO1" s="241">
        <v>2044</v>
      </c>
      <c r="AP1" s="241">
        <v>2045</v>
      </c>
      <c r="AQ1" s="241">
        <v>2046</v>
      </c>
      <c r="AR1" s="241">
        <v>2047</v>
      </c>
      <c r="AS1" s="241">
        <v>2048</v>
      </c>
      <c r="AT1" s="241">
        <v>2049</v>
      </c>
      <c r="AU1" s="242">
        <v>2050</v>
      </c>
      <c r="AW1" s="265" t="s">
        <v>493</v>
      </c>
      <c r="AX1" s="241">
        <v>2020</v>
      </c>
      <c r="AY1" s="241">
        <v>2030</v>
      </c>
      <c r="AZ1" s="242">
        <v>2050</v>
      </c>
    </row>
    <row r="2" spans="1:56" x14ac:dyDescent="0.25">
      <c r="B2" s="244" t="s">
        <v>1</v>
      </c>
      <c r="C2" s="245">
        <f t="shared" ref="C2:AU2" si="0">C3+C4+C7</f>
        <v>842942.38378000003</v>
      </c>
      <c r="D2" s="246">
        <f t="shared" si="0"/>
        <v>869933.50575000001</v>
      </c>
      <c r="E2" s="246">
        <f t="shared" si="0"/>
        <v>882159.87264999992</v>
      </c>
      <c r="F2" s="246">
        <f t="shared" si="0"/>
        <v>903546.03413000004</v>
      </c>
      <c r="G2" s="246">
        <f t="shared" si="0"/>
        <v>918679.93479000009</v>
      </c>
      <c r="H2" s="246">
        <f t="shared" si="0"/>
        <v>951417.16150000005</v>
      </c>
      <c r="I2" s="246">
        <f t="shared" si="0"/>
        <v>985661.33626000001</v>
      </c>
      <c r="J2" s="246">
        <f t="shared" si="0"/>
        <v>1026216.1777000001</v>
      </c>
      <c r="K2" s="246">
        <f t="shared" si="0"/>
        <v>1077965.83901</v>
      </c>
      <c r="L2" s="246">
        <f t="shared" si="0"/>
        <v>1132196.7153399999</v>
      </c>
      <c r="M2" s="246">
        <f t="shared" si="0"/>
        <v>1134267.15646</v>
      </c>
      <c r="N2" s="246">
        <f t="shared" si="0"/>
        <v>1130566.97958</v>
      </c>
      <c r="O2" s="246">
        <f t="shared" si="0"/>
        <v>1130541.3791700001</v>
      </c>
      <c r="P2" s="246">
        <f t="shared" si="0"/>
        <v>1152701.9146700001</v>
      </c>
      <c r="Q2" s="246">
        <f t="shared" si="0"/>
        <v>1167632.4303900001</v>
      </c>
      <c r="R2" s="246">
        <f t="shared" si="0"/>
        <v>1182363.01832</v>
      </c>
      <c r="S2" s="246">
        <f t="shared" si="0"/>
        <v>1190850.90433</v>
      </c>
      <c r="T2" s="246">
        <f t="shared" si="0"/>
        <v>1197508.24581</v>
      </c>
      <c r="U2" s="246">
        <f t="shared" si="0"/>
        <v>1200334.4529300001</v>
      </c>
      <c r="V2" s="246">
        <f t="shared" si="0"/>
        <v>1224388.9482199999</v>
      </c>
      <c r="W2" s="246">
        <f t="shared" si="0"/>
        <v>1215443.16971</v>
      </c>
      <c r="X2" s="246">
        <f t="shared" si="0"/>
        <v>1212336.37564</v>
      </c>
      <c r="Y2" s="246">
        <f t="shared" si="0"/>
        <v>1211596.03311</v>
      </c>
      <c r="Z2" s="246">
        <f t="shared" si="0"/>
        <v>1211823.13601</v>
      </c>
      <c r="AA2" s="246">
        <f t="shared" si="0"/>
        <v>1226771.3491100001</v>
      </c>
      <c r="AB2" s="246">
        <f t="shared" si="0"/>
        <v>1219714.29737</v>
      </c>
      <c r="AC2" s="246">
        <f t="shared" si="0"/>
        <v>1219993.3346800001</v>
      </c>
      <c r="AD2" s="246">
        <f t="shared" si="0"/>
        <v>1221005.14255</v>
      </c>
      <c r="AE2" s="246">
        <f t="shared" si="0"/>
        <v>1222569.68924</v>
      </c>
      <c r="AF2" s="246">
        <f t="shared" si="0"/>
        <v>1234086.2460100001</v>
      </c>
      <c r="AG2" s="246">
        <f t="shared" si="0"/>
        <v>1232084.8343100001</v>
      </c>
      <c r="AH2" s="246">
        <f t="shared" si="0"/>
        <v>1233359.8942</v>
      </c>
      <c r="AI2" s="246">
        <f t="shared" si="0"/>
        <v>1235891.82837</v>
      </c>
      <c r="AJ2" s="246">
        <f t="shared" si="0"/>
        <v>1239039.5817699998</v>
      </c>
      <c r="AK2" s="246">
        <f t="shared" si="0"/>
        <v>1242595.11754</v>
      </c>
      <c r="AL2" s="246">
        <f t="shared" si="0"/>
        <v>1248871.2882900001</v>
      </c>
      <c r="AM2" s="246">
        <f t="shared" si="0"/>
        <v>1254326.4712099999</v>
      </c>
      <c r="AN2" s="246">
        <f t="shared" si="0"/>
        <v>1259643.6010400001</v>
      </c>
      <c r="AO2" s="246">
        <f t="shared" si="0"/>
        <v>1264925.2748799999</v>
      </c>
      <c r="AP2" s="246">
        <f t="shared" si="0"/>
        <v>1276703.4933499999</v>
      </c>
      <c r="AQ2" s="246">
        <f t="shared" si="0"/>
        <v>1279655.36005</v>
      </c>
      <c r="AR2" s="246">
        <f t="shared" si="0"/>
        <v>1283836.65802</v>
      </c>
      <c r="AS2" s="246">
        <f t="shared" si="0"/>
        <v>1288376.5472900001</v>
      </c>
      <c r="AT2" s="246">
        <f t="shared" si="0"/>
        <v>1292913.57115</v>
      </c>
      <c r="AU2" s="247">
        <f t="shared" si="0"/>
        <v>1297378.6403899998</v>
      </c>
      <c r="AW2" t="s">
        <v>494</v>
      </c>
      <c r="AX2" s="297">
        <f>Q8/Q7</f>
        <v>0.91684379857271303</v>
      </c>
      <c r="AY2" s="297">
        <f>AA8/AA7</f>
        <v>0.92409628754108442</v>
      </c>
      <c r="AZ2" s="297">
        <f>AU8/AU7</f>
        <v>0.92481319062955647</v>
      </c>
    </row>
    <row r="3" spans="1:56" x14ac:dyDescent="0.25">
      <c r="B3" s="248" t="s">
        <v>466</v>
      </c>
      <c r="C3" s="249">
        <f>Résultats!E286</f>
        <v>13442.05508</v>
      </c>
      <c r="D3" s="250">
        <f>Résultats!F286</f>
        <v>13760.19225</v>
      </c>
      <c r="E3" s="250">
        <f>Résultats!G286</f>
        <v>14220.485549999999</v>
      </c>
      <c r="F3" s="250">
        <f>Résultats!H286</f>
        <v>13766.210730000001</v>
      </c>
      <c r="G3" s="250">
        <f>Résultats!I286</f>
        <v>13331.850189999999</v>
      </c>
      <c r="H3" s="250">
        <f>Résultats!J286</f>
        <v>13703.8518</v>
      </c>
      <c r="I3" s="250">
        <f>Résultats!K286</f>
        <v>14002.182559999999</v>
      </c>
      <c r="J3" s="250">
        <f>Résultats!L286</f>
        <v>13923.816199999999</v>
      </c>
      <c r="K3" s="250">
        <f>Résultats!M286</f>
        <v>14159.13111</v>
      </c>
      <c r="L3" s="250">
        <f>Résultats!N286</f>
        <v>14649.34064</v>
      </c>
      <c r="M3" s="250">
        <f>Résultats!O286</f>
        <v>14980.434160000001</v>
      </c>
      <c r="N3" s="250">
        <f>Résultats!P286</f>
        <v>15295.703879999999</v>
      </c>
      <c r="O3" s="250">
        <f>Résultats!Q286</f>
        <v>15688.26807</v>
      </c>
      <c r="P3" s="250">
        <f>Résultats!R286</f>
        <v>16073.32857</v>
      </c>
      <c r="Q3" s="250">
        <f>Résultats!S286</f>
        <v>15622.740019999999</v>
      </c>
      <c r="R3" s="250">
        <f>Résultats!T286</f>
        <v>15009.360619999999</v>
      </c>
      <c r="S3" s="250">
        <f>Résultats!U286</f>
        <v>14842.635630000001</v>
      </c>
      <c r="T3" s="250">
        <f>Résultats!V286</f>
        <v>14731.549849999999</v>
      </c>
      <c r="U3" s="250">
        <f>Résultats!W286</f>
        <v>14973.11628</v>
      </c>
      <c r="V3" s="250">
        <f>Résultats!X286</f>
        <v>15159.904630000001</v>
      </c>
      <c r="W3" s="250">
        <f>Résultats!Y286</f>
        <v>15339.5877</v>
      </c>
      <c r="X3" s="250">
        <f>Résultats!Z286</f>
        <v>15494.552240000001</v>
      </c>
      <c r="Y3" s="250">
        <f>Résultats!AA286</f>
        <v>15665.08382</v>
      </c>
      <c r="Z3" s="250">
        <f>Résultats!AB286</f>
        <v>15826.081899999999</v>
      </c>
      <c r="AA3" s="250">
        <f>Résultats!AC286</f>
        <v>16007.840050000001</v>
      </c>
      <c r="AB3" s="250">
        <f>Résultats!AD286</f>
        <v>16217.138360000001</v>
      </c>
      <c r="AC3" s="250">
        <f>Résultats!AE286</f>
        <v>16394.31122</v>
      </c>
      <c r="AD3" s="250">
        <f>Résultats!AF286</f>
        <v>16576.295750000001</v>
      </c>
      <c r="AE3" s="250">
        <f>Résultats!AG286</f>
        <v>16776.720789999999</v>
      </c>
      <c r="AF3" s="250">
        <f>Résultats!AH286</f>
        <v>17017.779689999999</v>
      </c>
      <c r="AG3" s="250">
        <f>Résultats!AI286</f>
        <v>17318.208330000001</v>
      </c>
      <c r="AH3" s="250">
        <f>Résultats!AJ286</f>
        <v>17634.935819999999</v>
      </c>
      <c r="AI3" s="250">
        <f>Résultats!AK286</f>
        <v>17941.374919999998</v>
      </c>
      <c r="AJ3" s="250">
        <f>Résultats!AL286</f>
        <v>18254.90236</v>
      </c>
      <c r="AK3" s="250">
        <f>Résultats!AM286</f>
        <v>18586.380560000001</v>
      </c>
      <c r="AL3" s="250">
        <f>Résultats!AN286</f>
        <v>18946.205320000001</v>
      </c>
      <c r="AM3" s="250">
        <f>Résultats!AO286</f>
        <v>19327.731670000001</v>
      </c>
      <c r="AN3" s="250">
        <f>Résultats!AP286</f>
        <v>19721.301230000001</v>
      </c>
      <c r="AO3" s="250">
        <f>Résultats!AQ286</f>
        <v>20139.60958</v>
      </c>
      <c r="AP3" s="250">
        <f>Résultats!AR286</f>
        <v>20583.084750000002</v>
      </c>
      <c r="AQ3" s="250">
        <f>Résultats!AS286</f>
        <v>21040.145349999999</v>
      </c>
      <c r="AR3" s="250">
        <f>Résultats!AT286</f>
        <v>21493.25834</v>
      </c>
      <c r="AS3" s="250">
        <f>Résultats!AU286</f>
        <v>21939.64906</v>
      </c>
      <c r="AT3" s="250">
        <f>Résultats!AV286</f>
        <v>22379.60241</v>
      </c>
      <c r="AU3" s="251">
        <f>Résultats!AW286</f>
        <v>22841.49278</v>
      </c>
      <c r="AV3" s="252"/>
      <c r="AW3" t="s">
        <v>495</v>
      </c>
      <c r="AX3" s="297">
        <f>Q5/Q4</f>
        <v>0.68207261300122601</v>
      </c>
      <c r="AY3" s="297">
        <f>AA5/AA4</f>
        <v>0.49453788292943635</v>
      </c>
      <c r="AZ3" s="297">
        <f>AU5/AU4</f>
        <v>0.55342550663950185</v>
      </c>
    </row>
    <row r="4" spans="1:56" x14ac:dyDescent="0.25">
      <c r="B4" s="253" t="s">
        <v>467</v>
      </c>
      <c r="C4" s="254">
        <f>Résultats!E292</f>
        <v>248850.0986</v>
      </c>
      <c r="D4" s="255">
        <f>Résultats!F292</f>
        <v>262554.18040000001</v>
      </c>
      <c r="E4" s="255">
        <f>Résultats!G292</f>
        <v>270560.58039999998</v>
      </c>
      <c r="F4" s="255">
        <f>Résultats!H292</f>
        <v>280313.2709</v>
      </c>
      <c r="G4" s="255">
        <f>Résultats!I292</f>
        <v>287655.76850000001</v>
      </c>
      <c r="H4" s="255">
        <f>Résultats!J292</f>
        <v>303446.2819</v>
      </c>
      <c r="I4" s="255">
        <f>Résultats!K292</f>
        <v>321817.05369999999</v>
      </c>
      <c r="J4" s="255">
        <f>Résultats!L292</f>
        <v>344000.67170000001</v>
      </c>
      <c r="K4" s="255">
        <f>Résultats!M292</f>
        <v>370834.70049999998</v>
      </c>
      <c r="L4" s="255">
        <f>Résultats!N292</f>
        <v>399502.19559999998</v>
      </c>
      <c r="M4" s="255">
        <f>Résultats!O292</f>
        <v>398319.80800000002</v>
      </c>
      <c r="N4" s="255">
        <f>Résultats!P292</f>
        <v>395001.23349999997</v>
      </c>
      <c r="O4" s="255">
        <f>Résultats!Q292</f>
        <v>396319.76860000001</v>
      </c>
      <c r="P4" s="255">
        <f>Résultats!R292</f>
        <v>393699.81219999999</v>
      </c>
      <c r="Q4" s="255">
        <f>SUM(Q5:Q6)</f>
        <v>405500.03860000003</v>
      </c>
      <c r="R4" s="255">
        <f t="shared" ref="R4:AU4" si="1">SUM(R5:R6)</f>
        <v>344969.09109999996</v>
      </c>
      <c r="S4" s="255">
        <f t="shared" si="1"/>
        <v>346990.44079999998</v>
      </c>
      <c r="T4" s="255">
        <f t="shared" si="1"/>
        <v>342836.98236000002</v>
      </c>
      <c r="U4" s="255">
        <f t="shared" si="1"/>
        <v>341047.99345000001</v>
      </c>
      <c r="V4" s="255">
        <f t="shared" si="1"/>
        <v>307996.63698999997</v>
      </c>
      <c r="W4" s="255">
        <f t="shared" si="1"/>
        <v>300090.70010999998</v>
      </c>
      <c r="X4" s="255">
        <f t="shared" si="1"/>
        <v>298846.72820000001</v>
      </c>
      <c r="Y4" s="255">
        <f t="shared" si="1"/>
        <v>299455.30109000002</v>
      </c>
      <c r="Z4" s="255">
        <f t="shared" si="1"/>
        <v>300672.63231000002</v>
      </c>
      <c r="AA4" s="255">
        <f t="shared" si="1"/>
        <v>448902.99280000001</v>
      </c>
      <c r="AB4" s="255">
        <f t="shared" si="1"/>
        <v>277386.50951</v>
      </c>
      <c r="AC4" s="255">
        <f t="shared" si="1"/>
        <v>280728.05666</v>
      </c>
      <c r="AD4" s="255">
        <f t="shared" si="1"/>
        <v>284201.67800000001</v>
      </c>
      <c r="AE4" s="255">
        <f t="shared" si="1"/>
        <v>287920.36215</v>
      </c>
      <c r="AF4" s="255">
        <f t="shared" si="1"/>
        <v>282250.61671999999</v>
      </c>
      <c r="AG4" s="255">
        <f t="shared" si="1"/>
        <v>282894.73407999997</v>
      </c>
      <c r="AH4" s="255">
        <f t="shared" si="1"/>
        <v>285572.20037999999</v>
      </c>
      <c r="AI4" s="255">
        <f t="shared" si="1"/>
        <v>289012.18794999999</v>
      </c>
      <c r="AJ4" s="255">
        <f t="shared" si="1"/>
        <v>292667.12000999996</v>
      </c>
      <c r="AK4" s="255">
        <f t="shared" si="1"/>
        <v>296362.75328</v>
      </c>
      <c r="AL4" s="255">
        <f t="shared" si="1"/>
        <v>302035.65286999999</v>
      </c>
      <c r="AM4" s="255">
        <f t="shared" si="1"/>
        <v>306697.08983999997</v>
      </c>
      <c r="AN4" s="255">
        <f t="shared" si="1"/>
        <v>310812.05220999999</v>
      </c>
      <c r="AO4" s="255">
        <f t="shared" si="1"/>
        <v>314584.53840000002</v>
      </c>
      <c r="AP4" s="255">
        <f t="shared" si="1"/>
        <v>306789.25219999999</v>
      </c>
      <c r="AQ4" s="255">
        <f t="shared" si="1"/>
        <v>309326.87280000001</v>
      </c>
      <c r="AR4" s="255">
        <f t="shared" si="1"/>
        <v>312812.88647999999</v>
      </c>
      <c r="AS4" s="255">
        <f t="shared" si="1"/>
        <v>316608.64973</v>
      </c>
      <c r="AT4" s="255">
        <f t="shared" si="1"/>
        <v>320438.05033999996</v>
      </c>
      <c r="AU4" s="255">
        <f t="shared" si="1"/>
        <v>477576.36670000001</v>
      </c>
      <c r="AV4" s="252"/>
      <c r="AW4" t="s">
        <v>496</v>
      </c>
      <c r="AX4" s="297">
        <f>Q10/(Q7+Q4)</f>
        <v>0.83420584369506812</v>
      </c>
      <c r="AY4" s="297">
        <f>AA10/(AA7+AA4)</f>
        <v>0.76483310198119792</v>
      </c>
      <c r="AZ4" s="297">
        <f>AU10/(AU7+AU4)</f>
        <v>0.78565209902097288</v>
      </c>
    </row>
    <row r="5" spans="1:56" x14ac:dyDescent="0.25">
      <c r="B5" s="257" t="s">
        <v>468</v>
      </c>
      <c r="C5" s="258">
        <f>Résultats!E287</f>
        <v>163461.30420000001</v>
      </c>
      <c r="D5" s="211">
        <f>Résultats!F287</f>
        <v>171749.84469999999</v>
      </c>
      <c r="E5" s="211">
        <f>Résultats!G287</f>
        <v>178981.26250000001</v>
      </c>
      <c r="F5" s="211">
        <f>Résultats!H287</f>
        <v>186059.1151</v>
      </c>
      <c r="G5" s="211">
        <f>Résultats!I287</f>
        <v>192587.0503</v>
      </c>
      <c r="H5" s="211">
        <f>Résultats!J287</f>
        <v>202066.85339999999</v>
      </c>
      <c r="I5" s="211">
        <f>Résultats!K287</f>
        <v>216540.18950000001</v>
      </c>
      <c r="J5" s="211">
        <f>Résultats!L287</f>
        <v>232360.57699999999</v>
      </c>
      <c r="K5" s="211">
        <f>Résultats!M287</f>
        <v>249881.97560000001</v>
      </c>
      <c r="L5" s="211">
        <f>Résultats!N287</f>
        <v>273491.51199999999</v>
      </c>
      <c r="M5" s="211">
        <f>Résultats!O287</f>
        <v>275067.85879999999</v>
      </c>
      <c r="N5" s="211">
        <f>Résultats!P287</f>
        <v>271817.42989999999</v>
      </c>
      <c r="O5" s="211">
        <f>Résultats!Q287</f>
        <v>269192.7415</v>
      </c>
      <c r="P5" s="211">
        <f>Résultats!R287</f>
        <v>271077.19270000001</v>
      </c>
      <c r="Q5" s="211">
        <f>Résultats!S287</f>
        <v>276580.47090000001</v>
      </c>
      <c r="R5" s="211">
        <f>Résultats!T287</f>
        <v>283315.92959999997</v>
      </c>
      <c r="S5" s="211">
        <f>Résultats!U287</f>
        <v>285160.36599999998</v>
      </c>
      <c r="T5" s="211">
        <f>Résultats!V287</f>
        <v>281064.75</v>
      </c>
      <c r="U5" s="211">
        <f>Résultats!W287</f>
        <v>280581.45</v>
      </c>
      <c r="V5" s="211">
        <f>Résultats!X287</f>
        <v>250170.68169999999</v>
      </c>
      <c r="W5" s="211">
        <f>Résultats!Y287</f>
        <v>242236.87450000001</v>
      </c>
      <c r="X5" s="211">
        <f>Résultats!Z287</f>
        <v>240479.7898</v>
      </c>
      <c r="Y5" s="211">
        <f>Résultats!AA287</f>
        <v>240847.50640000001</v>
      </c>
      <c r="Z5" s="211">
        <f>Résultats!AB287</f>
        <v>241919.18090000001</v>
      </c>
      <c r="AA5" s="211">
        <f>Résultats!AC287</f>
        <v>221999.53570000001</v>
      </c>
      <c r="AB5" s="211">
        <f>Résultats!AD287</f>
        <v>218717.50030000001</v>
      </c>
      <c r="AC5" s="211">
        <f>Résultats!AE287</f>
        <v>221928.90210000001</v>
      </c>
      <c r="AD5" s="211">
        <f>Résultats!AF287</f>
        <v>225261.54310000001</v>
      </c>
      <c r="AE5" s="211">
        <f>Résultats!AG287</f>
        <v>228912.80439999999</v>
      </c>
      <c r="AF5" s="211">
        <f>Résultats!AH287</f>
        <v>223984.27239999999</v>
      </c>
      <c r="AG5" s="211">
        <f>Résultats!AI287</f>
        <v>224091.6268</v>
      </c>
      <c r="AH5" s="211">
        <f>Résultats!AJ287</f>
        <v>226502.59239999999</v>
      </c>
      <c r="AI5" s="211">
        <f>Résultats!AK287</f>
        <v>229801.16959999999</v>
      </c>
      <c r="AJ5" s="211">
        <f>Résultats!AL287</f>
        <v>233342.51319999999</v>
      </c>
      <c r="AK5" s="211">
        <f>Résultats!AM287</f>
        <v>236927.75599999999</v>
      </c>
      <c r="AL5" s="211">
        <f>Résultats!AN287</f>
        <v>242683.3756</v>
      </c>
      <c r="AM5" s="211">
        <f>Résultats!AO287</f>
        <v>247320.22349999999</v>
      </c>
      <c r="AN5" s="211">
        <f>Résultats!AP287</f>
        <v>251361.8057</v>
      </c>
      <c r="AO5" s="211">
        <f>Résultats!AQ287</f>
        <v>255034.0748</v>
      </c>
      <c r="AP5" s="211">
        <f>Résultats!AR287</f>
        <v>247678.65729999999</v>
      </c>
      <c r="AQ5" s="211">
        <f>Résultats!AS287</f>
        <v>249896.11040000001</v>
      </c>
      <c r="AR5" s="211">
        <f>Résultats!AT287</f>
        <v>253198.16149999999</v>
      </c>
      <c r="AS5" s="211">
        <f>Résultats!AU287</f>
        <v>256870.24460000001</v>
      </c>
      <c r="AT5" s="211">
        <f>Résultats!AV287</f>
        <v>260598.59039999999</v>
      </c>
      <c r="AU5" s="259">
        <f>Résultats!AW287</f>
        <v>264302.94270000001</v>
      </c>
    </row>
    <row r="6" spans="1:56" x14ac:dyDescent="0.25">
      <c r="B6" s="260" t="s">
        <v>469</v>
      </c>
      <c r="C6" s="261">
        <f>Résultats!E290</f>
        <v>47168.089</v>
      </c>
      <c r="D6" s="262">
        <f>Résultats!F290</f>
        <v>48086.325320000004</v>
      </c>
      <c r="E6" s="262">
        <f>Résultats!G290</f>
        <v>47749.277549999999</v>
      </c>
      <c r="F6" s="262">
        <f>Résultats!H290</f>
        <v>48731.582049999997</v>
      </c>
      <c r="G6" s="262">
        <f>Résultats!I290</f>
        <v>49222.122280000003</v>
      </c>
      <c r="H6" s="262">
        <f>Résultats!J290</f>
        <v>50609.360390000002</v>
      </c>
      <c r="I6" s="262">
        <f>Résultats!K290</f>
        <v>51063.03615</v>
      </c>
      <c r="J6" s="262">
        <f>Résultats!L290</f>
        <v>51928.42398</v>
      </c>
      <c r="K6" s="262">
        <f>Résultats!M290</f>
        <v>53576.438620000001</v>
      </c>
      <c r="L6" s="262">
        <f>Résultats!N290</f>
        <v>54385.059399999998</v>
      </c>
      <c r="M6" s="262">
        <f>Résultats!O290</f>
        <v>54387.939539999999</v>
      </c>
      <c r="N6" s="262">
        <f>Résultats!P290</f>
        <v>54658.608910000003</v>
      </c>
      <c r="O6" s="262">
        <f>Résultats!Q290</f>
        <v>54934.254209999999</v>
      </c>
      <c r="P6" s="262">
        <f>Résultats!R290</f>
        <v>62187.077879999997</v>
      </c>
      <c r="Q6" s="262">
        <f>Résultats!S289</f>
        <v>128919.5677</v>
      </c>
      <c r="R6" s="262">
        <f>Résultats!T290</f>
        <v>61653.161500000002</v>
      </c>
      <c r="S6" s="262">
        <f>Résultats!U290</f>
        <v>61830.074800000002</v>
      </c>
      <c r="T6" s="262">
        <f>Résultats!V290</f>
        <v>61772.232360000002</v>
      </c>
      <c r="U6" s="262">
        <f>Résultats!W290</f>
        <v>60466.543449999997</v>
      </c>
      <c r="V6" s="262">
        <f>Résultats!X290</f>
        <v>57825.955289999998</v>
      </c>
      <c r="W6" s="262">
        <f>Résultats!Y290</f>
        <v>57853.82561</v>
      </c>
      <c r="X6" s="262">
        <f>Résultats!Z290</f>
        <v>58366.938399999999</v>
      </c>
      <c r="Y6" s="262">
        <f>Résultats!AA290</f>
        <v>58607.794690000002</v>
      </c>
      <c r="Z6" s="262">
        <f>Résultats!AB290</f>
        <v>58753.451410000001</v>
      </c>
      <c r="AA6" s="262">
        <f>Résultats!AC289</f>
        <v>226903.4571</v>
      </c>
      <c r="AB6" s="262">
        <f>Résultats!AD290</f>
        <v>58669.009209999997</v>
      </c>
      <c r="AC6" s="262">
        <f>Résultats!AE290</f>
        <v>58799.154560000003</v>
      </c>
      <c r="AD6" s="262">
        <f>Résultats!AF290</f>
        <v>58940.134899999997</v>
      </c>
      <c r="AE6" s="262">
        <f>Résultats!AG290</f>
        <v>59007.55775</v>
      </c>
      <c r="AF6" s="262">
        <f>Résultats!AH290</f>
        <v>58266.344319999997</v>
      </c>
      <c r="AG6" s="262">
        <f>Résultats!AI290</f>
        <v>58803.107279999997</v>
      </c>
      <c r="AH6" s="262">
        <f>Résultats!AJ290</f>
        <v>59069.607980000001</v>
      </c>
      <c r="AI6" s="262">
        <f>Résultats!AK290</f>
        <v>59211.018349999998</v>
      </c>
      <c r="AJ6" s="262">
        <f>Résultats!AL290</f>
        <v>59324.606809999997</v>
      </c>
      <c r="AK6" s="262">
        <f>Résultats!AM290</f>
        <v>59434.997280000003</v>
      </c>
      <c r="AL6" s="262">
        <f>Résultats!AN290</f>
        <v>59352.277269999999</v>
      </c>
      <c r="AM6" s="262">
        <f>Résultats!AO290</f>
        <v>59376.86634</v>
      </c>
      <c r="AN6" s="262">
        <f>Résultats!AP290</f>
        <v>59450.246509999997</v>
      </c>
      <c r="AO6" s="262">
        <f>Résultats!AQ290</f>
        <v>59550.463600000003</v>
      </c>
      <c r="AP6" s="262">
        <f>Résultats!AR290</f>
        <v>59110.594899999996</v>
      </c>
      <c r="AQ6" s="262">
        <f>Résultats!AS290</f>
        <v>59430.7624</v>
      </c>
      <c r="AR6" s="262">
        <f>Résultats!AT290</f>
        <v>59614.724979999999</v>
      </c>
      <c r="AS6" s="262">
        <f>Résultats!AU290</f>
        <v>59738.405129999999</v>
      </c>
      <c r="AT6" s="262">
        <f>Résultats!AV290</f>
        <v>59839.459940000001</v>
      </c>
      <c r="AU6" s="263">
        <f>Résultats!AW289</f>
        <v>213273.424</v>
      </c>
      <c r="AV6" s="252"/>
      <c r="BB6" t="s">
        <v>506</v>
      </c>
    </row>
    <row r="7" spans="1:56" x14ac:dyDescent="0.25">
      <c r="B7" s="257" t="s">
        <v>470</v>
      </c>
      <c r="C7" s="258">
        <f>Résultats!E291</f>
        <v>580650.23010000004</v>
      </c>
      <c r="D7" s="211">
        <f>Résultats!F291</f>
        <v>593619.13309999998</v>
      </c>
      <c r="E7" s="211">
        <f>Résultats!G291</f>
        <v>597378.80669999996</v>
      </c>
      <c r="F7" s="211">
        <f>Résultats!H291</f>
        <v>609466.55249999999</v>
      </c>
      <c r="G7" s="211">
        <f>Résultats!I291</f>
        <v>617692.31610000005</v>
      </c>
      <c r="H7" s="211">
        <f>Résultats!J291</f>
        <v>634267.02780000004</v>
      </c>
      <c r="I7" s="211">
        <f>Résultats!K291</f>
        <v>649842.1</v>
      </c>
      <c r="J7" s="211">
        <f>Résultats!L291</f>
        <v>668291.68980000005</v>
      </c>
      <c r="K7" s="211">
        <f>Résultats!M291</f>
        <v>692972.0074</v>
      </c>
      <c r="L7" s="211">
        <f>Résultats!N291</f>
        <v>718045.17909999995</v>
      </c>
      <c r="M7" s="211">
        <f>Résultats!O291</f>
        <v>720966.91429999995</v>
      </c>
      <c r="N7" s="211">
        <f>Résultats!P291</f>
        <v>720270.04220000003</v>
      </c>
      <c r="O7" s="211">
        <f>Résultats!Q291</f>
        <v>718533.34250000003</v>
      </c>
      <c r="P7" s="211">
        <f>Résultats!R291</f>
        <v>742928.77390000003</v>
      </c>
      <c r="Q7" s="211">
        <f>SUM(Q8:Q9)</f>
        <v>746509.65177</v>
      </c>
      <c r="R7" s="211">
        <f t="shared" ref="R7:AU7" si="2">SUM(R8:R9)</f>
        <v>822384.56660000002</v>
      </c>
      <c r="S7" s="211">
        <f t="shared" si="2"/>
        <v>829017.82790000003</v>
      </c>
      <c r="T7" s="211">
        <f t="shared" si="2"/>
        <v>839939.71360000002</v>
      </c>
      <c r="U7" s="211">
        <f t="shared" si="2"/>
        <v>844313.3432</v>
      </c>
      <c r="V7" s="211">
        <f t="shared" si="2"/>
        <v>901232.40659999999</v>
      </c>
      <c r="W7" s="211">
        <f t="shared" si="2"/>
        <v>900012.88190000004</v>
      </c>
      <c r="X7" s="211">
        <f t="shared" si="2"/>
        <v>897995.09519999998</v>
      </c>
      <c r="Y7" s="211">
        <f t="shared" si="2"/>
        <v>896475.64819999994</v>
      </c>
      <c r="Z7" s="211">
        <f t="shared" si="2"/>
        <v>895324.42180000001</v>
      </c>
      <c r="AA7" s="211">
        <f t="shared" si="2"/>
        <v>761860.51626000006</v>
      </c>
      <c r="AB7" s="211">
        <f t="shared" si="2"/>
        <v>926110.64950000006</v>
      </c>
      <c r="AC7" s="211">
        <f t="shared" si="2"/>
        <v>922870.96680000005</v>
      </c>
      <c r="AD7" s="211">
        <f t="shared" si="2"/>
        <v>920227.16879999998</v>
      </c>
      <c r="AE7" s="211">
        <f t="shared" si="2"/>
        <v>917872.60629999998</v>
      </c>
      <c r="AF7" s="211">
        <f t="shared" si="2"/>
        <v>934817.84960000007</v>
      </c>
      <c r="AG7" s="211">
        <f t="shared" si="2"/>
        <v>931871.89190000005</v>
      </c>
      <c r="AH7" s="211">
        <f t="shared" si="2"/>
        <v>930152.75799999991</v>
      </c>
      <c r="AI7" s="211">
        <f t="shared" si="2"/>
        <v>928938.26549999998</v>
      </c>
      <c r="AJ7" s="211">
        <f t="shared" si="2"/>
        <v>928117.55939999991</v>
      </c>
      <c r="AK7" s="211">
        <f t="shared" si="2"/>
        <v>927645.98369999998</v>
      </c>
      <c r="AL7" s="211">
        <f t="shared" si="2"/>
        <v>927889.4301</v>
      </c>
      <c r="AM7" s="211">
        <f t="shared" si="2"/>
        <v>928301.64969999995</v>
      </c>
      <c r="AN7" s="211">
        <f t="shared" si="2"/>
        <v>929110.2476</v>
      </c>
      <c r="AO7" s="211">
        <f t="shared" si="2"/>
        <v>930201.12689999992</v>
      </c>
      <c r="AP7" s="211">
        <f t="shared" si="2"/>
        <v>949331.15639999998</v>
      </c>
      <c r="AQ7" s="211">
        <f t="shared" si="2"/>
        <v>949288.3419</v>
      </c>
      <c r="AR7" s="211">
        <f t="shared" si="2"/>
        <v>949530.51319999993</v>
      </c>
      <c r="AS7" s="211">
        <f t="shared" si="2"/>
        <v>949828.24849999999</v>
      </c>
      <c r="AT7" s="211">
        <f t="shared" si="2"/>
        <v>950095.91839999997</v>
      </c>
      <c r="AU7" s="211">
        <f t="shared" si="2"/>
        <v>796960.78090999997</v>
      </c>
      <c r="AW7" t="s">
        <v>502</v>
      </c>
      <c r="AX7" s="310">
        <f>Q3/Q2</f>
        <v>1.3379844215856404E-2</v>
      </c>
      <c r="AY7" s="310">
        <f>AA3/AA2</f>
        <v>1.3048756038860373E-2</v>
      </c>
      <c r="AZ7" s="310">
        <f>AU3/AU2</f>
        <v>1.7605880094598837E-2</v>
      </c>
      <c r="BB7" s="310">
        <f>[3]Trafic!$H$27/([3]Trafic!$H$30-[3]Trafic!$H$29)</f>
        <v>9.6732536609177803E-3</v>
      </c>
      <c r="BC7" s="310">
        <f>[3]Trafic!$J$27/([3]Trafic!$J$30-[3]Trafic!$J$29)</f>
        <v>1.4577967949865439E-2</v>
      </c>
      <c r="BD7" s="310">
        <f>[3]Trafic!$N$27/([3]Trafic!$N$30-[3]Trafic!$N$29)</f>
        <v>6.5864876836073186E-3</v>
      </c>
    </row>
    <row r="8" spans="1:56" x14ac:dyDescent="0.25">
      <c r="B8" s="257" t="s">
        <v>471</v>
      </c>
      <c r="C8" s="258">
        <f>Résultats!E288</f>
        <v>533482.14110000001</v>
      </c>
      <c r="D8" s="211">
        <f>Résultats!F288</f>
        <v>545533.01470000006</v>
      </c>
      <c r="E8" s="211">
        <f>Résultats!G288</f>
        <v>549634.40890000004</v>
      </c>
      <c r="F8" s="211">
        <f>Résultats!H288</f>
        <v>560739.95180000004</v>
      </c>
      <c r="G8" s="211">
        <f>Résultats!I288</f>
        <v>568475.55059999996</v>
      </c>
      <c r="H8" s="211">
        <f>Résultats!J288</f>
        <v>583663.21539999999</v>
      </c>
      <c r="I8" s="211">
        <f>Résultats!K288</f>
        <v>598791.34270000004</v>
      </c>
      <c r="J8" s="211">
        <f>Résultats!L288</f>
        <v>616379.44920000003</v>
      </c>
      <c r="K8" s="211">
        <f>Résultats!M288</f>
        <v>639413.08479999995</v>
      </c>
      <c r="L8" s="211">
        <f>Résultats!N288</f>
        <v>663690.91009999998</v>
      </c>
      <c r="M8" s="211">
        <f>Résultats!O288</f>
        <v>666610.36439999996</v>
      </c>
      <c r="N8" s="211">
        <f>Résultats!P288</f>
        <v>665643.82819999999</v>
      </c>
      <c r="O8" s="211">
        <f>Résultats!Q288</f>
        <v>663633.04379999998</v>
      </c>
      <c r="P8" s="211">
        <f>Résultats!R288</f>
        <v>681036.49849999999</v>
      </c>
      <c r="Q8" s="211">
        <f>Résultats!S288</f>
        <v>684432.74479999999</v>
      </c>
      <c r="R8" s="211">
        <f>Résultats!T288</f>
        <v>685508.15619999997</v>
      </c>
      <c r="S8" s="211">
        <f>Résultats!U288</f>
        <v>687763.08640000003</v>
      </c>
      <c r="T8" s="211">
        <f>Résultats!V288</f>
        <v>690663.37600000005</v>
      </c>
      <c r="U8" s="211">
        <f>Résultats!W288</f>
        <v>693476.35309999995</v>
      </c>
      <c r="V8" s="211">
        <f>Résultats!X288</f>
        <v>700956.82189999998</v>
      </c>
      <c r="W8" s="211">
        <f>Résultats!Y288</f>
        <v>700281.5074</v>
      </c>
      <c r="X8" s="211">
        <f>Résultats!Z288</f>
        <v>700002.26419999998</v>
      </c>
      <c r="Y8" s="211">
        <f>Résultats!AA288</f>
        <v>700075.37479999999</v>
      </c>
      <c r="Z8" s="211">
        <f>Résultats!AB288</f>
        <v>700344.09759999998</v>
      </c>
      <c r="AA8" s="211">
        <f>Résultats!AC288</f>
        <v>704032.47470000002</v>
      </c>
      <c r="AB8" s="211">
        <f>Résultats!AD288</f>
        <v>702742.35660000006</v>
      </c>
      <c r="AC8" s="211">
        <f>Résultats!AE288</f>
        <v>703021.50829999999</v>
      </c>
      <c r="AD8" s="211">
        <f>Résultats!AF288</f>
        <v>703767.45620000002</v>
      </c>
      <c r="AE8" s="211">
        <f>Résultats!AG288</f>
        <v>704535.25760000001</v>
      </c>
      <c r="AF8" s="211">
        <f>Résultats!AH288</f>
        <v>707896.36950000003</v>
      </c>
      <c r="AG8" s="211">
        <f>Résultats!AI288</f>
        <v>708065.77450000006</v>
      </c>
      <c r="AH8" s="211">
        <f>Résultats!AJ288</f>
        <v>708994.84329999995</v>
      </c>
      <c r="AI8" s="211">
        <f>Résultats!AK288</f>
        <v>710183.28599999996</v>
      </c>
      <c r="AJ8" s="211">
        <f>Résultats!AL288</f>
        <v>711614.17339999997</v>
      </c>
      <c r="AK8" s="211">
        <f>Résultats!AM288</f>
        <v>713251.9179</v>
      </c>
      <c r="AL8" s="211">
        <f>Résultats!AN288</f>
        <v>715722.50210000004</v>
      </c>
      <c r="AM8" s="211">
        <f>Résultats!AO288</f>
        <v>718075.51919999998</v>
      </c>
      <c r="AN8" s="211">
        <f>Résultats!AP288</f>
        <v>720444.00190000003</v>
      </c>
      <c r="AO8" s="211">
        <f>Résultats!AQ288</f>
        <v>722835.89839999995</v>
      </c>
      <c r="AP8" s="211">
        <f>Résultats!AR288</f>
        <v>726883.21</v>
      </c>
      <c r="AQ8" s="211">
        <f>Résultats!AS288</f>
        <v>728708.17689999996</v>
      </c>
      <c r="AR8" s="211">
        <f>Résultats!AT288</f>
        <v>730768.66949999996</v>
      </c>
      <c r="AS8" s="211">
        <f>Résultats!AU288</f>
        <v>732877.16220000002</v>
      </c>
      <c r="AT8" s="211">
        <f>Résultats!AV288</f>
        <v>734984.58039999998</v>
      </c>
      <c r="AU8" s="259">
        <f>Résultats!AW288</f>
        <v>737039.84259999997</v>
      </c>
      <c r="AW8" t="s">
        <v>503</v>
      </c>
      <c r="AX8" s="310">
        <f>+Q6/Q2</f>
        <v>0.11041108857942535</v>
      </c>
      <c r="AY8" s="310">
        <f>+AA6/AA2</f>
        <v>0.18495986009504889</v>
      </c>
      <c r="AZ8" s="310">
        <f>+AU6/AU2</f>
        <v>0.1643879568850376</v>
      </c>
      <c r="BB8" s="310">
        <f>[3]Trafic!$H$25/[3]Trafic!$H$31</f>
        <v>8.6581998710879085E-2</v>
      </c>
      <c r="BC8" s="310">
        <f>[3]Trafic!$J$25/[3]Trafic!$J$31</f>
        <v>0.14233557304995703</v>
      </c>
      <c r="BD8" s="310">
        <f>[3]Trafic!$N$25/[3]Trafic!$N$31</f>
        <v>0.18954036770730018</v>
      </c>
    </row>
    <row r="9" spans="1:56" x14ac:dyDescent="0.25">
      <c r="B9" s="260" t="s">
        <v>472</v>
      </c>
      <c r="C9" s="261">
        <f>Résultats!E289</f>
        <v>85388.794399999999</v>
      </c>
      <c r="D9" s="262">
        <f>Résultats!F289</f>
        <v>90808.656870000006</v>
      </c>
      <c r="E9" s="262">
        <f>Résultats!G289</f>
        <v>91615.780710000006</v>
      </c>
      <c r="F9" s="262">
        <f>Résultats!H289</f>
        <v>94295.04264</v>
      </c>
      <c r="G9" s="262">
        <f>Résultats!I289</f>
        <v>95131.742240000007</v>
      </c>
      <c r="H9" s="262">
        <f>Résultats!J289</f>
        <v>101454.8533</v>
      </c>
      <c r="I9" s="262">
        <f>Résultats!K289</f>
        <v>105391.4016</v>
      </c>
      <c r="J9" s="262">
        <f>Résultats!L289</f>
        <v>111767.7709</v>
      </c>
      <c r="K9" s="262">
        <f>Résultats!M289</f>
        <v>121092.6106</v>
      </c>
      <c r="L9" s="262">
        <f>Résultats!N289</f>
        <v>126263.99950000001</v>
      </c>
      <c r="M9" s="262">
        <f>Résultats!O289</f>
        <v>123537.1623</v>
      </c>
      <c r="N9" s="262">
        <f>Résultats!P289</f>
        <v>123472.10370000001</v>
      </c>
      <c r="O9" s="262">
        <f>Résultats!Q289</f>
        <v>127490.8622</v>
      </c>
      <c r="P9" s="262">
        <f>Résultats!R289</f>
        <v>123060.7105</v>
      </c>
      <c r="Q9" s="262">
        <f>Résultats!S290</f>
        <v>62076.906969999996</v>
      </c>
      <c r="R9" s="262">
        <f>Résultats!T289</f>
        <v>136876.41039999999</v>
      </c>
      <c r="S9" s="262">
        <f>Résultats!U289</f>
        <v>141254.7415</v>
      </c>
      <c r="T9" s="262">
        <f>Résultats!V289</f>
        <v>149276.3376</v>
      </c>
      <c r="U9" s="262">
        <f>Résultats!W289</f>
        <v>150836.9901</v>
      </c>
      <c r="V9" s="262">
        <f>Résultats!X289</f>
        <v>200275.58470000001</v>
      </c>
      <c r="W9" s="262">
        <f>Résultats!Y289</f>
        <v>199731.37450000001</v>
      </c>
      <c r="X9" s="262">
        <f>Résultats!Z289</f>
        <v>197992.83100000001</v>
      </c>
      <c r="Y9" s="262">
        <f>Résultats!AA289</f>
        <v>196400.27340000001</v>
      </c>
      <c r="Z9" s="262">
        <f>Résultats!AB289</f>
        <v>194980.3242</v>
      </c>
      <c r="AA9" s="262">
        <f>Résultats!AC290</f>
        <v>57828.041559999998</v>
      </c>
      <c r="AB9" s="262">
        <f>Résultats!AD289</f>
        <v>223368.2929</v>
      </c>
      <c r="AC9" s="262">
        <f>Résultats!AE289</f>
        <v>219849.45850000001</v>
      </c>
      <c r="AD9" s="262">
        <f>Résultats!AF289</f>
        <v>216459.7126</v>
      </c>
      <c r="AE9" s="262">
        <f>Résultats!AG289</f>
        <v>213337.3487</v>
      </c>
      <c r="AF9" s="262">
        <f>Résultats!AH289</f>
        <v>226921.48009999999</v>
      </c>
      <c r="AG9" s="262">
        <f>Résultats!AI289</f>
        <v>223806.11739999999</v>
      </c>
      <c r="AH9" s="262">
        <f>Résultats!AJ289</f>
        <v>221157.91469999999</v>
      </c>
      <c r="AI9" s="262">
        <f>Résultats!AK289</f>
        <v>218754.97949999999</v>
      </c>
      <c r="AJ9" s="262">
        <f>Résultats!AL289</f>
        <v>216503.386</v>
      </c>
      <c r="AK9" s="262">
        <f>Résultats!AM289</f>
        <v>214394.06580000001</v>
      </c>
      <c r="AL9" s="262">
        <f>Résultats!AN289</f>
        <v>212166.92800000001</v>
      </c>
      <c r="AM9" s="262">
        <f>Résultats!AO289</f>
        <v>210226.1305</v>
      </c>
      <c r="AN9" s="262">
        <f>Résultats!AP289</f>
        <v>208666.2457</v>
      </c>
      <c r="AO9" s="262">
        <f>Résultats!AQ289</f>
        <v>207365.2285</v>
      </c>
      <c r="AP9" s="262">
        <f>Résultats!AR289</f>
        <v>222447.94639999999</v>
      </c>
      <c r="AQ9" s="262">
        <f>Résultats!AS289</f>
        <v>220580.16500000001</v>
      </c>
      <c r="AR9" s="262">
        <f>Résultats!AT289</f>
        <v>218761.8437</v>
      </c>
      <c r="AS9" s="262">
        <f>Résultats!AU289</f>
        <v>216951.0863</v>
      </c>
      <c r="AT9" s="262">
        <f>Résultats!AV289</f>
        <v>215111.33799999999</v>
      </c>
      <c r="AU9" s="263">
        <f>Résultats!AW290</f>
        <v>59920.938309999998</v>
      </c>
      <c r="AW9" t="s">
        <v>504</v>
      </c>
      <c r="AX9" s="310">
        <f>Q9/Q2</f>
        <v>5.3164767742247217E-2</v>
      </c>
      <c r="AY9" s="310">
        <f>AA9/AA2</f>
        <v>4.713840244309029E-2</v>
      </c>
      <c r="AZ9" s="310">
        <f>AU9/AU2</f>
        <v>4.6186160650823885E-2</v>
      </c>
      <c r="BB9" s="310">
        <f>[3]Trafic!$H$26/[3]Trafic!$H$31</f>
        <v>5.0587052351781035E-2</v>
      </c>
      <c r="BC9" s="310">
        <f>[3]Trafic!$J$26/[3]Trafic!$J$31</f>
        <v>7.6007847942966056E-2</v>
      </c>
      <c r="BD9" s="310">
        <f>[3]Trafic!$N$26/[3]Trafic!$N$31</f>
        <v>9.8293993125704568E-2</v>
      </c>
    </row>
    <row r="10" spans="1:56" x14ac:dyDescent="0.25">
      <c r="B10" s="248" t="s">
        <v>473</v>
      </c>
      <c r="C10" s="249">
        <f t="shared" ref="C10:AU10" si="3">C5+C8</f>
        <v>696943.44530000002</v>
      </c>
      <c r="D10" s="250">
        <f t="shared" si="3"/>
        <v>717282.85940000007</v>
      </c>
      <c r="E10" s="250">
        <f t="shared" si="3"/>
        <v>728615.67140000011</v>
      </c>
      <c r="F10" s="250">
        <f t="shared" si="3"/>
        <v>746799.06689999998</v>
      </c>
      <c r="G10" s="250">
        <f t="shared" si="3"/>
        <v>761062.60089999996</v>
      </c>
      <c r="H10" s="250">
        <f t="shared" si="3"/>
        <v>785730.06880000001</v>
      </c>
      <c r="I10" s="250">
        <f t="shared" si="3"/>
        <v>815331.53220000002</v>
      </c>
      <c r="J10" s="250">
        <f t="shared" si="3"/>
        <v>848740.02619999996</v>
      </c>
      <c r="K10" s="250">
        <f t="shared" si="3"/>
        <v>889295.06039999996</v>
      </c>
      <c r="L10" s="250">
        <f t="shared" si="3"/>
        <v>937182.42209999997</v>
      </c>
      <c r="M10" s="250">
        <f t="shared" si="3"/>
        <v>941678.22319999989</v>
      </c>
      <c r="N10" s="250">
        <f t="shared" si="3"/>
        <v>937461.25809999998</v>
      </c>
      <c r="O10" s="250">
        <f t="shared" si="3"/>
        <v>932825.78529999999</v>
      </c>
      <c r="P10" s="250">
        <f t="shared" si="3"/>
        <v>952113.6912</v>
      </c>
      <c r="Q10" s="250">
        <f>Q5+Q8</f>
        <v>961013.21570000006</v>
      </c>
      <c r="R10" s="250">
        <f t="shared" si="3"/>
        <v>968824.0858</v>
      </c>
      <c r="S10" s="250">
        <f t="shared" si="3"/>
        <v>972923.45240000007</v>
      </c>
      <c r="T10" s="250">
        <f t="shared" si="3"/>
        <v>971728.12600000005</v>
      </c>
      <c r="U10" s="250">
        <f t="shared" si="3"/>
        <v>974057.8030999999</v>
      </c>
      <c r="V10" s="250">
        <f t="shared" si="3"/>
        <v>951127.50359999994</v>
      </c>
      <c r="W10" s="250">
        <f t="shared" si="3"/>
        <v>942518.38190000004</v>
      </c>
      <c r="X10" s="250">
        <f t="shared" si="3"/>
        <v>940482.054</v>
      </c>
      <c r="Y10" s="250">
        <f t="shared" si="3"/>
        <v>940922.88119999995</v>
      </c>
      <c r="Z10" s="250">
        <f t="shared" si="3"/>
        <v>942263.27850000001</v>
      </c>
      <c r="AA10" s="250">
        <f t="shared" si="3"/>
        <v>926032.01040000003</v>
      </c>
      <c r="AB10" s="250">
        <f t="shared" si="3"/>
        <v>921459.85690000001</v>
      </c>
      <c r="AC10" s="250">
        <f t="shared" si="3"/>
        <v>924950.41039999994</v>
      </c>
      <c r="AD10" s="250">
        <f t="shared" si="3"/>
        <v>929028.99930000002</v>
      </c>
      <c r="AE10" s="250">
        <f t="shared" si="3"/>
        <v>933448.06200000003</v>
      </c>
      <c r="AF10" s="250">
        <f t="shared" si="3"/>
        <v>931880.64190000005</v>
      </c>
      <c r="AG10" s="250">
        <f t="shared" si="3"/>
        <v>932157.40130000003</v>
      </c>
      <c r="AH10" s="250">
        <f t="shared" si="3"/>
        <v>935497.43569999991</v>
      </c>
      <c r="AI10" s="250">
        <f t="shared" si="3"/>
        <v>939984.45559999999</v>
      </c>
      <c r="AJ10" s="250">
        <f t="shared" si="3"/>
        <v>944956.6865999999</v>
      </c>
      <c r="AK10" s="250">
        <f t="shared" si="3"/>
        <v>950179.67390000005</v>
      </c>
      <c r="AL10" s="250">
        <f t="shared" si="3"/>
        <v>958405.87770000007</v>
      </c>
      <c r="AM10" s="250">
        <f t="shared" si="3"/>
        <v>965395.74269999994</v>
      </c>
      <c r="AN10" s="250">
        <f t="shared" si="3"/>
        <v>971805.80760000006</v>
      </c>
      <c r="AO10" s="250">
        <f t="shared" si="3"/>
        <v>977869.97319999989</v>
      </c>
      <c r="AP10" s="250">
        <f t="shared" si="3"/>
        <v>974561.86729999993</v>
      </c>
      <c r="AQ10" s="250">
        <f t="shared" si="3"/>
        <v>978604.28729999997</v>
      </c>
      <c r="AR10" s="250">
        <f t="shared" si="3"/>
        <v>983966.83100000001</v>
      </c>
      <c r="AS10" s="250">
        <f t="shared" si="3"/>
        <v>989747.4068</v>
      </c>
      <c r="AT10" s="250">
        <f t="shared" si="3"/>
        <v>995583.17079999996</v>
      </c>
      <c r="AU10" s="251">
        <f t="shared" si="3"/>
        <v>1001342.7853</v>
      </c>
      <c r="AW10" t="s">
        <v>505</v>
      </c>
      <c r="AX10" s="310">
        <f>1-SUM(AX7:AX9)</f>
        <v>0.82304429946247104</v>
      </c>
      <c r="AY10" s="310">
        <f>1-SUM(AY7:AY9)</f>
        <v>0.7548529814230005</v>
      </c>
      <c r="AZ10" s="310">
        <f t="shared" ref="AZ10" si="4">1-SUM(AZ7:AZ9)</f>
        <v>0.77182000236953963</v>
      </c>
      <c r="BB10" s="310">
        <f>([3]Trafic!$H$23+[3]Trafic!$H$28)/[3]Trafic!$H$30</f>
        <v>0.84698145105670741</v>
      </c>
      <c r="BC10" s="310">
        <f>([3]Trafic!$J$23+[3]Trafic!$J$28)/[3]Trafic!$J$30</f>
        <v>0.75252158630631349</v>
      </c>
      <c r="BD10" s="310">
        <f>([3]Trafic!$N$23+[3]Trafic!$N$28)/[3]Trafic!$N$30</f>
        <v>0.6858880697768327</v>
      </c>
    </row>
    <row r="11" spans="1:56" x14ac:dyDescent="0.25"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4"/>
      <c r="AN11" s="264"/>
      <c r="AO11" s="264"/>
      <c r="AP11" s="264"/>
      <c r="AQ11" s="264"/>
      <c r="AR11" s="264"/>
      <c r="AS11" s="264"/>
      <c r="AT11" s="264"/>
      <c r="AU11" s="264"/>
    </row>
    <row r="12" spans="1:56" s="243" customFormat="1" ht="45" customHeight="1" x14ac:dyDescent="0.25">
      <c r="A12" s="238" t="s">
        <v>474</v>
      </c>
      <c r="B12" s="239" t="s">
        <v>465</v>
      </c>
      <c r="C12" s="241">
        <v>2006</v>
      </c>
      <c r="D12" s="241">
        <v>2007</v>
      </c>
      <c r="E12" s="241">
        <v>2008</v>
      </c>
      <c r="F12" s="241">
        <v>2009</v>
      </c>
      <c r="G12" s="241">
        <v>2010</v>
      </c>
      <c r="H12" s="241">
        <v>2011</v>
      </c>
      <c r="I12" s="241">
        <v>2012</v>
      </c>
      <c r="J12" s="241">
        <v>2013</v>
      </c>
      <c r="K12" s="241">
        <v>2014</v>
      </c>
      <c r="L12" s="241">
        <v>2015</v>
      </c>
      <c r="M12" s="241">
        <v>2016</v>
      </c>
      <c r="N12" s="241">
        <v>2017</v>
      </c>
      <c r="O12" s="241">
        <v>2018</v>
      </c>
      <c r="P12" s="241">
        <v>2019</v>
      </c>
      <c r="Q12" s="241">
        <v>2020</v>
      </c>
      <c r="R12" s="241">
        <v>2021</v>
      </c>
      <c r="S12" s="241">
        <v>2022</v>
      </c>
      <c r="T12" s="241">
        <v>2023</v>
      </c>
      <c r="U12" s="241">
        <v>2024</v>
      </c>
      <c r="V12" s="241">
        <v>2025</v>
      </c>
      <c r="W12" s="241">
        <v>2026</v>
      </c>
      <c r="X12" s="241">
        <v>2027</v>
      </c>
      <c r="Y12" s="241">
        <v>2028</v>
      </c>
      <c r="Z12" s="241">
        <v>2029</v>
      </c>
      <c r="AA12" s="241">
        <v>2030</v>
      </c>
      <c r="AB12" s="241">
        <v>2031</v>
      </c>
      <c r="AC12" s="241">
        <v>2032</v>
      </c>
      <c r="AD12" s="241">
        <v>2033</v>
      </c>
      <c r="AE12" s="241">
        <v>2034</v>
      </c>
      <c r="AF12" s="241">
        <v>2035</v>
      </c>
      <c r="AG12" s="241">
        <v>2036</v>
      </c>
      <c r="AH12" s="241">
        <v>2037</v>
      </c>
      <c r="AI12" s="241">
        <v>2038</v>
      </c>
      <c r="AJ12" s="241">
        <v>2039</v>
      </c>
      <c r="AK12" s="241">
        <v>2040</v>
      </c>
      <c r="AL12" s="241">
        <v>2041</v>
      </c>
      <c r="AM12" s="241">
        <v>2042</v>
      </c>
      <c r="AN12" s="241">
        <v>2043</v>
      </c>
      <c r="AO12" s="241">
        <v>2044</v>
      </c>
      <c r="AP12" s="241">
        <v>2045</v>
      </c>
      <c r="AQ12" s="241">
        <v>2046</v>
      </c>
      <c r="AR12" s="241">
        <v>2047</v>
      </c>
      <c r="AS12" s="241">
        <v>2048</v>
      </c>
      <c r="AT12" s="241">
        <v>2049</v>
      </c>
      <c r="AU12" s="242">
        <v>2050</v>
      </c>
      <c r="AW12" s="265" t="s">
        <v>493</v>
      </c>
      <c r="AX12" s="241">
        <v>2020</v>
      </c>
      <c r="AY12" s="241">
        <v>2030</v>
      </c>
      <c r="AZ12" s="242">
        <v>2050</v>
      </c>
    </row>
    <row r="13" spans="1:56" x14ac:dyDescent="0.25">
      <c r="B13" s="244" t="s">
        <v>1</v>
      </c>
      <c r="C13" s="245">
        <f t="shared" ref="C13:AU13" si="5">C14+C15+C18</f>
        <v>842942.38378000003</v>
      </c>
      <c r="D13" s="246">
        <f t="shared" si="5"/>
        <v>869933.50575000001</v>
      </c>
      <c r="E13" s="246">
        <f t="shared" si="5"/>
        <v>882159.87264999992</v>
      </c>
      <c r="F13" s="246">
        <f t="shared" si="5"/>
        <v>903546.03413000004</v>
      </c>
      <c r="G13" s="246">
        <f t="shared" si="5"/>
        <v>918679.93479000009</v>
      </c>
      <c r="H13" s="246">
        <f t="shared" si="5"/>
        <v>951417.16150000005</v>
      </c>
      <c r="I13" s="246">
        <f t="shared" si="5"/>
        <v>985661.33626000001</v>
      </c>
      <c r="J13" s="246">
        <f t="shared" si="5"/>
        <v>1026216.1777000001</v>
      </c>
      <c r="K13" s="246">
        <f t="shared" si="5"/>
        <v>1077965.83901</v>
      </c>
      <c r="L13" s="246">
        <f t="shared" si="5"/>
        <v>1132196.7153399999</v>
      </c>
      <c r="M13" s="246">
        <f t="shared" si="5"/>
        <v>1134267.15646</v>
      </c>
      <c r="N13" s="246">
        <f t="shared" si="5"/>
        <v>1130566.97958</v>
      </c>
      <c r="O13" s="246">
        <f t="shared" si="5"/>
        <v>1130541.3791700001</v>
      </c>
      <c r="P13" s="246">
        <f t="shared" si="5"/>
        <v>1152701.9146700001</v>
      </c>
      <c r="Q13" s="246">
        <f t="shared" si="5"/>
        <v>1166853.86522</v>
      </c>
      <c r="R13" s="246">
        <f t="shared" si="5"/>
        <v>1183001.30082</v>
      </c>
      <c r="S13" s="246">
        <f t="shared" si="5"/>
        <v>1191455.51443</v>
      </c>
      <c r="T13" s="246">
        <f t="shared" si="5"/>
        <v>1197878.2060499999</v>
      </c>
      <c r="U13" s="246">
        <f t="shared" si="5"/>
        <v>1200565.95842</v>
      </c>
      <c r="V13" s="246">
        <f t="shared" si="5"/>
        <v>1215927.7644199999</v>
      </c>
      <c r="W13" s="246">
        <f t="shared" si="5"/>
        <v>1206991.8687499999</v>
      </c>
      <c r="X13" s="246">
        <f t="shared" si="5"/>
        <v>1203954.6799900001</v>
      </c>
      <c r="Y13" s="246">
        <f t="shared" si="5"/>
        <v>1203267.7266800001</v>
      </c>
      <c r="Z13" s="246">
        <f t="shared" si="5"/>
        <v>1203535.0448</v>
      </c>
      <c r="AA13" s="246">
        <f t="shared" si="5"/>
        <v>1215357.75284</v>
      </c>
      <c r="AB13" s="246">
        <f t="shared" si="5"/>
        <v>1208467.5641900001</v>
      </c>
      <c r="AC13" s="246">
        <f t="shared" si="5"/>
        <v>1208759.8092200002</v>
      </c>
      <c r="AD13" s="246">
        <f t="shared" si="5"/>
        <v>1209806.2493199999</v>
      </c>
      <c r="AE13" s="246">
        <f t="shared" si="5"/>
        <v>1211412.56333</v>
      </c>
      <c r="AF13" s="246">
        <f t="shared" si="5"/>
        <v>1222755.9742000001</v>
      </c>
      <c r="AG13" s="246">
        <f t="shared" si="5"/>
        <v>1220791.84271</v>
      </c>
      <c r="AH13" s="246">
        <f t="shared" si="5"/>
        <v>1222121.3956200001</v>
      </c>
      <c r="AI13" s="246">
        <f t="shared" si="5"/>
        <v>1224722.18224</v>
      </c>
      <c r="AJ13" s="246">
        <f t="shared" si="5"/>
        <v>1227955.07996</v>
      </c>
      <c r="AK13" s="246">
        <f t="shared" si="5"/>
        <v>1231613.24688</v>
      </c>
      <c r="AL13" s="246">
        <f t="shared" si="5"/>
        <v>1237954.43352</v>
      </c>
      <c r="AM13" s="246">
        <f t="shared" si="5"/>
        <v>1243532.53847</v>
      </c>
      <c r="AN13" s="246">
        <f t="shared" si="5"/>
        <v>1249012.06971</v>
      </c>
      <c r="AO13" s="246">
        <f t="shared" si="5"/>
        <v>1254491.05192</v>
      </c>
      <c r="AP13" s="246">
        <f t="shared" si="5"/>
        <v>1266534.21692</v>
      </c>
      <c r="AQ13" s="246">
        <f t="shared" si="5"/>
        <v>1269430.9913900001</v>
      </c>
      <c r="AR13" s="246">
        <f t="shared" si="5"/>
        <v>1273779.4778800001</v>
      </c>
      <c r="AS13" s="246">
        <f t="shared" si="5"/>
        <v>1278621.01089</v>
      </c>
      <c r="AT13" s="246">
        <f t="shared" si="5"/>
        <v>1283577.10121</v>
      </c>
      <c r="AU13" s="247">
        <f t="shared" si="5"/>
        <v>1288587.16625</v>
      </c>
      <c r="AW13" t="s">
        <v>494</v>
      </c>
      <c r="AX13" s="297">
        <f>Q19/Q18</f>
        <v>0.91720921057514082</v>
      </c>
      <c r="AY13" s="297">
        <f>AA19/AA18</f>
        <v>0.92278177069861533</v>
      </c>
      <c r="AZ13" s="297">
        <f>AU19/AU18</f>
        <v>0.92335916129547313</v>
      </c>
    </row>
    <row r="14" spans="1:56" x14ac:dyDescent="0.25">
      <c r="B14" s="248" t="s">
        <v>466</v>
      </c>
      <c r="C14" s="249">
        <f>Résultats!E294</f>
        <v>13442.05508</v>
      </c>
      <c r="D14" s="250">
        <f>Résultats!F294</f>
        <v>13760.19225</v>
      </c>
      <c r="E14" s="250">
        <f>Résultats!G294</f>
        <v>14220.485549999999</v>
      </c>
      <c r="F14" s="250">
        <f>Résultats!H294</f>
        <v>13766.210730000001</v>
      </c>
      <c r="G14" s="250">
        <f>Résultats!I294</f>
        <v>13331.850189999999</v>
      </c>
      <c r="H14" s="250">
        <f>Résultats!J294</f>
        <v>13703.8518</v>
      </c>
      <c r="I14" s="250">
        <f>Résultats!K294</f>
        <v>14002.182559999999</v>
      </c>
      <c r="J14" s="250">
        <f>Résultats!L294</f>
        <v>13923.816199999999</v>
      </c>
      <c r="K14" s="250">
        <f>Résultats!M294</f>
        <v>14159.13111</v>
      </c>
      <c r="L14" s="250">
        <f>Résultats!N294</f>
        <v>14649.34064</v>
      </c>
      <c r="M14" s="250">
        <f>Résultats!O294</f>
        <v>14980.434160000001</v>
      </c>
      <c r="N14" s="250">
        <f>Résultats!P294</f>
        <v>15295.703879999999</v>
      </c>
      <c r="O14" s="250">
        <f>Résultats!Q294</f>
        <v>15688.26807</v>
      </c>
      <c r="P14" s="250">
        <f>Résultats!R294</f>
        <v>16073.32857</v>
      </c>
      <c r="Q14" s="250">
        <f>Résultats!S294</f>
        <v>15622.740019999999</v>
      </c>
      <c r="R14" s="250">
        <f>Résultats!T294</f>
        <v>15009.360619999999</v>
      </c>
      <c r="S14" s="250">
        <f>Résultats!U294</f>
        <v>14842.635630000001</v>
      </c>
      <c r="T14" s="250">
        <f>Résultats!V294</f>
        <v>14731.549849999999</v>
      </c>
      <c r="U14" s="250">
        <f>Résultats!W294</f>
        <v>14959.77432</v>
      </c>
      <c r="V14" s="250">
        <f>Résultats!X294</f>
        <v>15126.04732</v>
      </c>
      <c r="W14" s="250">
        <f>Résultats!Y294</f>
        <v>15296.654850000001</v>
      </c>
      <c r="X14" s="250">
        <f>Résultats!Z294</f>
        <v>15448.32769</v>
      </c>
      <c r="Y14" s="250">
        <f>Résultats!AA294</f>
        <v>15616.16388</v>
      </c>
      <c r="Z14" s="250">
        <f>Résultats!AB294</f>
        <v>15773.718999999999</v>
      </c>
      <c r="AA14" s="250">
        <f>Résultats!AC294</f>
        <v>15952.09634</v>
      </c>
      <c r="AB14" s="250">
        <f>Résultats!AD294</f>
        <v>16158.95959</v>
      </c>
      <c r="AC14" s="250">
        <f>Résultats!AE294</f>
        <v>16334.69262</v>
      </c>
      <c r="AD14" s="250">
        <f>Résultats!AF294</f>
        <v>16515.644619999999</v>
      </c>
      <c r="AE14" s="250">
        <f>Résultats!AG294</f>
        <v>16715.901330000001</v>
      </c>
      <c r="AF14" s="250">
        <f>Résultats!AH294</f>
        <v>16957.227200000001</v>
      </c>
      <c r="AG14" s="250">
        <f>Résultats!AI294</f>
        <v>17258.86911</v>
      </c>
      <c r="AH14" s="250">
        <f>Résultats!AJ294</f>
        <v>17577.025519999999</v>
      </c>
      <c r="AI14" s="250">
        <f>Résultats!AK294</f>
        <v>17885.213039999999</v>
      </c>
      <c r="AJ14" s="250">
        <f>Résultats!AL294</f>
        <v>18200.820960000001</v>
      </c>
      <c r="AK14" s="250">
        <f>Résultats!AM294</f>
        <v>18534.926179999999</v>
      </c>
      <c r="AL14" s="250">
        <f>Résultats!AN294</f>
        <v>18898.252519999998</v>
      </c>
      <c r="AM14" s="250">
        <f>Résultats!AO294</f>
        <v>19283.57977</v>
      </c>
      <c r="AN14" s="250">
        <f>Résultats!AP294</f>
        <v>19681.63481</v>
      </c>
      <c r="AO14" s="250">
        <f>Résultats!AQ294</f>
        <v>20105.288519999998</v>
      </c>
      <c r="AP14" s="250">
        <f>Résultats!AR294</f>
        <v>20555.624820000001</v>
      </c>
      <c r="AQ14" s="250">
        <f>Résultats!AS294</f>
        <v>21023.18979</v>
      </c>
      <c r="AR14" s="250">
        <f>Résultats!AT294</f>
        <v>21487.53268</v>
      </c>
      <c r="AS14" s="250">
        <f>Résultats!AU294</f>
        <v>21945.992890000001</v>
      </c>
      <c r="AT14" s="250">
        <f>Résultats!AV294</f>
        <v>22399.792310000001</v>
      </c>
      <c r="AU14" s="251">
        <f>Résultats!AW294</f>
        <v>22880.903750000001</v>
      </c>
      <c r="AW14" t="s">
        <v>495</v>
      </c>
      <c r="AX14" s="297">
        <f>Q16/Q15</f>
        <v>0.6828829096595237</v>
      </c>
      <c r="AY14" s="297">
        <f>AA16/AA15</f>
        <v>0.50685404780426879</v>
      </c>
      <c r="AZ14" s="297">
        <f>AU16/AU15</f>
        <v>0.55670412317381901</v>
      </c>
    </row>
    <row r="15" spans="1:56" x14ac:dyDescent="0.25">
      <c r="B15" s="253" t="s">
        <v>467</v>
      </c>
      <c r="C15" s="254">
        <f>Résultats!E300</f>
        <v>248850.0986</v>
      </c>
      <c r="D15" s="255">
        <f>Résultats!F300</f>
        <v>262554.18040000001</v>
      </c>
      <c r="E15" s="255">
        <f>Résultats!G300</f>
        <v>270560.58039999998</v>
      </c>
      <c r="F15" s="255">
        <f>Résultats!H300</f>
        <v>280313.2709</v>
      </c>
      <c r="G15" s="255">
        <f>Résultats!I300</f>
        <v>287655.76850000001</v>
      </c>
      <c r="H15" s="255">
        <f>Résultats!J300</f>
        <v>303446.2819</v>
      </c>
      <c r="I15" s="255">
        <f>Résultats!K300</f>
        <v>321817.05369999999</v>
      </c>
      <c r="J15" s="255">
        <f>Résultats!L300</f>
        <v>344000.67170000001</v>
      </c>
      <c r="K15" s="255">
        <f>Résultats!M300</f>
        <v>370834.70049999998</v>
      </c>
      <c r="L15" s="255">
        <f>Résultats!N300</f>
        <v>399502.19559999998</v>
      </c>
      <c r="M15" s="255">
        <f>Résultats!O300</f>
        <v>398319.80800000002</v>
      </c>
      <c r="N15" s="255">
        <f>Résultats!P300</f>
        <v>395001.23349999997</v>
      </c>
      <c r="O15" s="255">
        <f>Résultats!Q300</f>
        <v>396319.76860000001</v>
      </c>
      <c r="P15" s="255">
        <f>Résultats!R300</f>
        <v>393699.81219999999</v>
      </c>
      <c r="Q15" s="255">
        <f>Résultats!S300</f>
        <v>405018.87949999998</v>
      </c>
      <c r="R15" s="255">
        <f>Résultats!T300</f>
        <v>419635.08380000002</v>
      </c>
      <c r="S15" s="255">
        <f>Résultats!U300</f>
        <v>425820.29259999999</v>
      </c>
      <c r="T15" s="255">
        <f>Résultats!V300</f>
        <v>429507.82819999999</v>
      </c>
      <c r="U15" s="255">
        <f>Résultats!W300</f>
        <v>430571.79489999998</v>
      </c>
      <c r="V15" s="255">
        <f>Résultats!X300</f>
        <v>441175.29200000002</v>
      </c>
      <c r="W15" s="255">
        <f>Résultats!Y300</f>
        <v>432780.92959999997</v>
      </c>
      <c r="X15" s="255">
        <f>Résultats!Z300</f>
        <v>429361.22610000003</v>
      </c>
      <c r="Y15" s="255">
        <f>Résultats!AA300</f>
        <v>428181.81349999999</v>
      </c>
      <c r="Z15" s="255">
        <f>Résultats!AB300</f>
        <v>427868.71059999999</v>
      </c>
      <c r="AA15" s="255">
        <f>Résultats!AC300</f>
        <v>436721.2537</v>
      </c>
      <c r="AB15" s="255">
        <f>Résultats!AD300</f>
        <v>430065.71750000003</v>
      </c>
      <c r="AC15" s="255">
        <f>Résultats!AE300</f>
        <v>429745.28090000001</v>
      </c>
      <c r="AD15" s="255">
        <f>Résultats!AF300</f>
        <v>429688.70789999998</v>
      </c>
      <c r="AE15" s="255">
        <f>Résultats!AG300</f>
        <v>430214.98139999999</v>
      </c>
      <c r="AF15" s="255">
        <f>Résultats!AH300</f>
        <v>438605.73300000001</v>
      </c>
      <c r="AG15" s="255">
        <f>Résultats!AI300</f>
        <v>435596.97659999999</v>
      </c>
      <c r="AH15" s="255">
        <f>Résultats!AJ300</f>
        <v>435360.83500000002</v>
      </c>
      <c r="AI15" s="255">
        <f>Résultats!AK300</f>
        <v>436264.33909999998</v>
      </c>
      <c r="AJ15" s="255">
        <f>Résultats!AL300</f>
        <v>437572.99550000002</v>
      </c>
      <c r="AK15" s="255">
        <f>Résultats!AM300</f>
        <v>439080.3468</v>
      </c>
      <c r="AL15" s="255">
        <f>Résultats!AN300</f>
        <v>442589.47779999999</v>
      </c>
      <c r="AM15" s="255">
        <f>Résultats!AO300</f>
        <v>445315.99859999999</v>
      </c>
      <c r="AN15" s="255">
        <f>Résultats!AP300</f>
        <v>447858.86300000001</v>
      </c>
      <c r="AO15" s="255">
        <f>Résultats!AQ300</f>
        <v>450315.82140000002</v>
      </c>
      <c r="AP15" s="255">
        <f>Résultats!AR300</f>
        <v>458071.50449999998</v>
      </c>
      <c r="AQ15" s="255">
        <f>Résultats!AS300</f>
        <v>458266.21279999998</v>
      </c>
      <c r="AR15" s="255">
        <f>Résultats!AT300</f>
        <v>459773.88170000003</v>
      </c>
      <c r="AS15" s="255">
        <f>Résultats!AU300</f>
        <v>461761.57579999999</v>
      </c>
      <c r="AT15" s="255">
        <f>Résultats!AV300</f>
        <v>463856.6152</v>
      </c>
      <c r="AU15" s="256">
        <f>Résultats!AW300</f>
        <v>466007.9915</v>
      </c>
      <c r="AW15" t="s">
        <v>496</v>
      </c>
      <c r="AX15" s="297">
        <f>Q21/(Q18+Q15)</f>
        <v>0.83477000809289803</v>
      </c>
      <c r="AY15" s="297">
        <f>AA21/(AA18+AA15)</f>
        <v>0.77133636471223355</v>
      </c>
      <c r="AZ15" s="297">
        <f>AU21/(AU18+AU15)</f>
        <v>0.78836403410779521</v>
      </c>
    </row>
    <row r="16" spans="1:56" x14ac:dyDescent="0.25">
      <c r="B16" s="257" t="s">
        <v>468</v>
      </c>
      <c r="C16" s="258">
        <f>Résultats!E295</f>
        <v>163461.30420000001</v>
      </c>
      <c r="D16" s="211">
        <f>Résultats!F295</f>
        <v>171749.84469999999</v>
      </c>
      <c r="E16" s="211">
        <f>Résultats!G295</f>
        <v>178981.26250000001</v>
      </c>
      <c r="F16" s="211">
        <f>Résultats!H295</f>
        <v>186059.1151</v>
      </c>
      <c r="G16" s="211">
        <f>Résultats!I295</f>
        <v>192587.0503</v>
      </c>
      <c r="H16" s="211">
        <f>Résultats!J295</f>
        <v>202066.85339999999</v>
      </c>
      <c r="I16" s="211">
        <f>Résultats!K295</f>
        <v>216540.18950000001</v>
      </c>
      <c r="J16" s="211">
        <f>Résultats!L295</f>
        <v>232360.57699999999</v>
      </c>
      <c r="K16" s="211">
        <f>Résultats!M295</f>
        <v>249881.97560000001</v>
      </c>
      <c r="L16" s="211">
        <f>Résultats!N295</f>
        <v>273491.51199999999</v>
      </c>
      <c r="M16" s="211">
        <f>Résultats!O295</f>
        <v>275067.85879999999</v>
      </c>
      <c r="N16" s="211">
        <f>Résultats!P295</f>
        <v>271817.42989999999</v>
      </c>
      <c r="O16" s="211">
        <f>Résultats!Q295</f>
        <v>269192.7415</v>
      </c>
      <c r="P16" s="211">
        <f>Résultats!R295</f>
        <v>271077.19270000001</v>
      </c>
      <c r="Q16" s="211">
        <f>Résultats!S295</f>
        <v>276580.47090000001</v>
      </c>
      <c r="R16" s="211">
        <f>Résultats!T295</f>
        <v>283315.92959999997</v>
      </c>
      <c r="S16" s="211">
        <f>Résultats!U295</f>
        <v>285160.36599999998</v>
      </c>
      <c r="T16" s="211">
        <f>Résultats!V295</f>
        <v>281064.75</v>
      </c>
      <c r="U16" s="211">
        <f>Résultats!W295</f>
        <v>280603.3162</v>
      </c>
      <c r="V16" s="211">
        <f>Résultats!X295</f>
        <v>250205.87820000001</v>
      </c>
      <c r="W16" s="211">
        <f>Résultats!Y295</f>
        <v>242204.59520000001</v>
      </c>
      <c r="X16" s="211">
        <f>Résultats!Z295</f>
        <v>240348.1054</v>
      </c>
      <c r="Y16" s="211">
        <f>Résultats!AA295</f>
        <v>240620.54629999999</v>
      </c>
      <c r="Z16" s="211">
        <f>Résultats!AB295</f>
        <v>241600.73790000001</v>
      </c>
      <c r="AA16" s="211">
        <f>Résultats!AC295</f>
        <v>221353.93520000001</v>
      </c>
      <c r="AB16" s="211">
        <f>Résultats!AD295</f>
        <v>217856.70370000001</v>
      </c>
      <c r="AC16" s="211">
        <f>Résultats!AE295</f>
        <v>220873.71429999999</v>
      </c>
      <c r="AD16" s="211">
        <f>Résultats!AF295</f>
        <v>224031.34090000001</v>
      </c>
      <c r="AE16" s="211">
        <f>Résultats!AG295</f>
        <v>227523.03400000001</v>
      </c>
      <c r="AF16" s="211">
        <f>Résultats!AH295</f>
        <v>222005.30739999999</v>
      </c>
      <c r="AG16" s="211">
        <f>Résultats!AI295</f>
        <v>221841.10200000001</v>
      </c>
      <c r="AH16" s="211">
        <f>Résultats!AJ295</f>
        <v>224045.87040000001</v>
      </c>
      <c r="AI16" s="211">
        <f>Résultats!AK295</f>
        <v>227175.99720000001</v>
      </c>
      <c r="AJ16" s="211">
        <f>Résultats!AL295</f>
        <v>230575.71859999999</v>
      </c>
      <c r="AK16" s="211">
        <f>Résultats!AM295</f>
        <v>234041.23610000001</v>
      </c>
      <c r="AL16" s="211">
        <f>Résultats!AN295</f>
        <v>239692.96109999999</v>
      </c>
      <c r="AM16" s="211">
        <f>Résultats!AO295</f>
        <v>244243.4969</v>
      </c>
      <c r="AN16" s="211">
        <f>Résultats!AP295</f>
        <v>248207.41080000001</v>
      </c>
      <c r="AO16" s="211">
        <f>Résultats!AQ295</f>
        <v>251808.01869999999</v>
      </c>
      <c r="AP16" s="211">
        <f>Résultats!AR295</f>
        <v>243310.19959999999</v>
      </c>
      <c r="AQ16" s="211">
        <f>Résultats!AS295</f>
        <v>245200.6746</v>
      </c>
      <c r="AR16" s="211">
        <f>Résultats!AT295</f>
        <v>248353.41140000001</v>
      </c>
      <c r="AS16" s="211">
        <f>Résultats!AU295</f>
        <v>251966.5895</v>
      </c>
      <c r="AT16" s="211">
        <f>Résultats!AV295</f>
        <v>255691.11670000001</v>
      </c>
      <c r="AU16" s="259">
        <f>Résultats!AW295</f>
        <v>259428.57029999999</v>
      </c>
    </row>
    <row r="17" spans="1:49" x14ac:dyDescent="0.25">
      <c r="B17" s="260" t="s">
        <v>469</v>
      </c>
      <c r="C17" s="261">
        <f>Résultats!E298</f>
        <v>47168.089</v>
      </c>
      <c r="D17" s="262">
        <f>Résultats!F298</f>
        <v>48086.325320000004</v>
      </c>
      <c r="E17" s="262">
        <f>Résultats!G298</f>
        <v>47749.277549999999</v>
      </c>
      <c r="F17" s="262">
        <f>Résultats!H298</f>
        <v>48731.582049999997</v>
      </c>
      <c r="G17" s="262">
        <f>Résultats!I298</f>
        <v>49222.122280000003</v>
      </c>
      <c r="H17" s="262">
        <f>Résultats!J298</f>
        <v>50609.360390000002</v>
      </c>
      <c r="I17" s="262">
        <f>Résultats!K298</f>
        <v>51063.03615</v>
      </c>
      <c r="J17" s="262">
        <f>Résultats!L298</f>
        <v>51928.42398</v>
      </c>
      <c r="K17" s="262">
        <f>Résultats!M298</f>
        <v>53576.438620000001</v>
      </c>
      <c r="L17" s="262">
        <f>Résultats!N298</f>
        <v>54385.059399999998</v>
      </c>
      <c r="M17" s="262">
        <f>Résultats!O298</f>
        <v>54387.939539999999</v>
      </c>
      <c r="N17" s="262">
        <f>Résultats!P298</f>
        <v>54658.608910000003</v>
      </c>
      <c r="O17" s="262">
        <f>Résultats!Q298</f>
        <v>54934.254209999999</v>
      </c>
      <c r="P17" s="262">
        <f>Résultats!R298</f>
        <v>62187.077879999997</v>
      </c>
      <c r="Q17" s="262">
        <f>Résultats!S297</f>
        <v>128919.5677</v>
      </c>
      <c r="R17" s="262">
        <f>Résultats!T298</f>
        <v>61653.161500000002</v>
      </c>
      <c r="S17" s="262">
        <f>Résultats!U298</f>
        <v>61830.074800000002</v>
      </c>
      <c r="T17" s="262">
        <f>Résultats!V298</f>
        <v>61772.232360000002</v>
      </c>
      <c r="U17" s="262">
        <f>Résultats!W298</f>
        <v>60451.569320000002</v>
      </c>
      <c r="V17" s="262">
        <f>Résultats!X298</f>
        <v>57790.510479999997</v>
      </c>
      <c r="W17" s="262">
        <f>Résultats!Y298</f>
        <v>57816.725079999997</v>
      </c>
      <c r="X17" s="262">
        <f>Résultats!Z298</f>
        <v>58334.315029999998</v>
      </c>
      <c r="Y17" s="262">
        <f>Résultats!AA298</f>
        <v>58579.782520000001</v>
      </c>
      <c r="Z17" s="262">
        <f>Résultats!AB298</f>
        <v>58729.157829999996</v>
      </c>
      <c r="AA17" s="262">
        <f>Résultats!AC297</f>
        <v>227742.73130000001</v>
      </c>
      <c r="AB17" s="262">
        <f>Résultats!AD298</f>
        <v>58645.571279999996</v>
      </c>
      <c r="AC17" s="262">
        <f>Résultats!AE298</f>
        <v>58784.729740000002</v>
      </c>
      <c r="AD17" s="262">
        <f>Résultats!AF298</f>
        <v>58934.509839999999</v>
      </c>
      <c r="AE17" s="262">
        <f>Résultats!AG298</f>
        <v>59011.638630000001</v>
      </c>
      <c r="AF17" s="262">
        <f>Résultats!AH298</f>
        <v>58255.527269999999</v>
      </c>
      <c r="AG17" s="262">
        <f>Résultats!AI298</f>
        <v>58814.420870000002</v>
      </c>
      <c r="AH17" s="262">
        <f>Résultats!AJ298</f>
        <v>59096.654640000001</v>
      </c>
      <c r="AI17" s="262">
        <f>Résultats!AK298</f>
        <v>59251.22853</v>
      </c>
      <c r="AJ17" s="262">
        <f>Résultats!AL298</f>
        <v>59377.140010000003</v>
      </c>
      <c r="AK17" s="262">
        <f>Résultats!AM298</f>
        <v>59499.530079999997</v>
      </c>
      <c r="AL17" s="262">
        <f>Résultats!AN298</f>
        <v>59430.313450000001</v>
      </c>
      <c r="AM17" s="262">
        <f>Résultats!AO298</f>
        <v>59468.374150000003</v>
      </c>
      <c r="AN17" s="262">
        <f>Résultats!AP298</f>
        <v>59555.331879999998</v>
      </c>
      <c r="AO17" s="262">
        <f>Résultats!AQ298</f>
        <v>59669.849880000002</v>
      </c>
      <c r="AP17" s="262">
        <f>Résultats!AR298</f>
        <v>59187.245609999998</v>
      </c>
      <c r="AQ17" s="262">
        <f>Résultats!AS298</f>
        <v>59556.004070000003</v>
      </c>
      <c r="AR17" s="262">
        <f>Résultats!AT298</f>
        <v>59772.959139999999</v>
      </c>
      <c r="AS17" s="262">
        <f>Résultats!AU298</f>
        <v>59924.268239999998</v>
      </c>
      <c r="AT17" s="262">
        <f>Résultats!AV298</f>
        <v>60052.767899999999</v>
      </c>
      <c r="AU17" s="263">
        <f>Résultats!AW297</f>
        <v>221590.51439999999</v>
      </c>
      <c r="AW17" s="252"/>
    </row>
    <row r="18" spans="1:49" x14ac:dyDescent="0.25">
      <c r="B18" s="257" t="s">
        <v>470</v>
      </c>
      <c r="C18" s="258">
        <f>Résultats!E299</f>
        <v>580650.23010000004</v>
      </c>
      <c r="D18" s="211">
        <f>Résultats!F299</f>
        <v>593619.13309999998</v>
      </c>
      <c r="E18" s="211">
        <f>Résultats!G299</f>
        <v>597378.80669999996</v>
      </c>
      <c r="F18" s="211">
        <f>Résultats!H299</f>
        <v>609466.55249999999</v>
      </c>
      <c r="G18" s="211">
        <f>Résultats!I299</f>
        <v>617692.31610000005</v>
      </c>
      <c r="H18" s="211">
        <f>Résultats!J299</f>
        <v>634267.02780000004</v>
      </c>
      <c r="I18" s="211">
        <f>Résultats!K299</f>
        <v>649842.1</v>
      </c>
      <c r="J18" s="211">
        <f>Résultats!L299</f>
        <v>668291.68980000005</v>
      </c>
      <c r="K18" s="211">
        <f>Résultats!M299</f>
        <v>692972.0074</v>
      </c>
      <c r="L18" s="211">
        <f>Résultats!N299</f>
        <v>718045.17909999995</v>
      </c>
      <c r="M18" s="211">
        <f>Résultats!O299</f>
        <v>720966.91429999995</v>
      </c>
      <c r="N18" s="211">
        <f>Résultats!P299</f>
        <v>720270.04220000003</v>
      </c>
      <c r="O18" s="211">
        <f>Résultats!Q299</f>
        <v>718533.34250000003</v>
      </c>
      <c r="P18" s="211">
        <f>Résultats!R299</f>
        <v>742928.77390000003</v>
      </c>
      <c r="Q18" s="211">
        <f>Résultats!S299</f>
        <v>746212.24569999997</v>
      </c>
      <c r="R18" s="211">
        <f>Résultats!T299</f>
        <v>748356.85640000005</v>
      </c>
      <c r="S18" s="211">
        <f>Résultats!U299</f>
        <v>750792.58620000002</v>
      </c>
      <c r="T18" s="211">
        <f>Résultats!V299</f>
        <v>753638.82799999998</v>
      </c>
      <c r="U18" s="211">
        <f>Résultats!W299</f>
        <v>755034.38919999998</v>
      </c>
      <c r="V18" s="211">
        <f>Résultats!X299</f>
        <v>759626.42509999999</v>
      </c>
      <c r="W18" s="211">
        <f>Résultats!Y299</f>
        <v>758914.28430000006</v>
      </c>
      <c r="X18" s="211">
        <f>Résultats!Z299</f>
        <v>759145.12620000006</v>
      </c>
      <c r="Y18" s="211">
        <f>Résultats!AA299</f>
        <v>759469.74930000002</v>
      </c>
      <c r="Z18" s="211">
        <f>Résultats!AB299</f>
        <v>759892.6152</v>
      </c>
      <c r="AA18" s="211">
        <f>Résultats!AC299</f>
        <v>762684.40280000004</v>
      </c>
      <c r="AB18" s="211">
        <f>Résultats!AD299</f>
        <v>762242.88710000005</v>
      </c>
      <c r="AC18" s="211">
        <f>Résultats!AE299</f>
        <v>762679.83570000005</v>
      </c>
      <c r="AD18" s="211">
        <f>Résultats!AF299</f>
        <v>763601.89679999999</v>
      </c>
      <c r="AE18" s="211">
        <f>Résultats!AG299</f>
        <v>764481.68059999996</v>
      </c>
      <c r="AF18" s="211">
        <f>Résultats!AH299</f>
        <v>767193.01399999997</v>
      </c>
      <c r="AG18" s="211">
        <f>Résultats!AI299</f>
        <v>767935.99699999997</v>
      </c>
      <c r="AH18" s="211">
        <f>Résultats!AJ299</f>
        <v>769183.53509999998</v>
      </c>
      <c r="AI18" s="211">
        <f>Résultats!AK299</f>
        <v>770572.63009999995</v>
      </c>
      <c r="AJ18" s="211">
        <f>Résultats!AL299</f>
        <v>772181.2635</v>
      </c>
      <c r="AK18" s="211">
        <f>Résultats!AM299</f>
        <v>773997.97389999998</v>
      </c>
      <c r="AL18" s="211">
        <f>Résultats!AN299</f>
        <v>776466.70319999999</v>
      </c>
      <c r="AM18" s="211">
        <f>Résultats!AO299</f>
        <v>778932.96010000003</v>
      </c>
      <c r="AN18" s="211">
        <f>Résultats!AP299</f>
        <v>781471.57189999998</v>
      </c>
      <c r="AO18" s="211">
        <f>Résultats!AQ299</f>
        <v>784069.94200000004</v>
      </c>
      <c r="AP18" s="211">
        <f>Résultats!AR299</f>
        <v>787907.08759999997</v>
      </c>
      <c r="AQ18" s="211">
        <f>Résultats!AS299</f>
        <v>790141.58880000003</v>
      </c>
      <c r="AR18" s="211">
        <f>Résultats!AT299</f>
        <v>792518.06350000005</v>
      </c>
      <c r="AS18" s="211">
        <f>Résultats!AU299</f>
        <v>794913.44220000005</v>
      </c>
      <c r="AT18" s="211">
        <f>Résultats!AV299</f>
        <v>797320.69369999995</v>
      </c>
      <c r="AU18" s="259">
        <f>Résultats!AW299</f>
        <v>799698.27099999995</v>
      </c>
    </row>
    <row r="19" spans="1:49" x14ac:dyDescent="0.25">
      <c r="B19" s="257" t="s">
        <v>471</v>
      </c>
      <c r="C19" s="258">
        <f>Résultats!E296</f>
        <v>533482.14110000001</v>
      </c>
      <c r="D19" s="211">
        <f>Résultats!F296</f>
        <v>545533.01470000006</v>
      </c>
      <c r="E19" s="211">
        <f>Résultats!G296</f>
        <v>549634.40890000004</v>
      </c>
      <c r="F19" s="211">
        <f>Résultats!H296</f>
        <v>560739.95180000004</v>
      </c>
      <c r="G19" s="211">
        <f>Résultats!I296</f>
        <v>568475.55059999996</v>
      </c>
      <c r="H19" s="211">
        <f>Résultats!J296</f>
        <v>583663.21539999999</v>
      </c>
      <c r="I19" s="211">
        <f>Résultats!K296</f>
        <v>598791.34270000004</v>
      </c>
      <c r="J19" s="211">
        <f>Résultats!L296</f>
        <v>616379.44920000003</v>
      </c>
      <c r="K19" s="211">
        <f>Résultats!M296</f>
        <v>639413.08479999995</v>
      </c>
      <c r="L19" s="211">
        <f>Résultats!N296</f>
        <v>663690.91009999998</v>
      </c>
      <c r="M19" s="211">
        <f>Résultats!O296</f>
        <v>666610.36439999996</v>
      </c>
      <c r="N19" s="211">
        <f>Résultats!P296</f>
        <v>665643.82819999999</v>
      </c>
      <c r="O19" s="211">
        <f>Résultats!Q296</f>
        <v>663633.04379999998</v>
      </c>
      <c r="P19" s="211">
        <f>Résultats!R296</f>
        <v>681036.49849999999</v>
      </c>
      <c r="Q19" s="211">
        <f>Résultats!S296</f>
        <v>684432.74479999999</v>
      </c>
      <c r="R19" s="211">
        <f>Résultats!T296</f>
        <v>685508.15619999997</v>
      </c>
      <c r="S19" s="211">
        <f>Résultats!U296</f>
        <v>687763.08640000003</v>
      </c>
      <c r="T19" s="211">
        <f>Résultats!V296</f>
        <v>690663.37600000005</v>
      </c>
      <c r="U19" s="211">
        <f>Résultats!W296</f>
        <v>693395.7966</v>
      </c>
      <c r="V19" s="211">
        <f>Résultats!X296</f>
        <v>700726.61419999995</v>
      </c>
      <c r="W19" s="211">
        <f>Résultats!Y296</f>
        <v>699989.35939999996</v>
      </c>
      <c r="X19" s="211">
        <f>Résultats!Z296</f>
        <v>699704.60010000004</v>
      </c>
      <c r="Y19" s="211">
        <f>Résultats!AA296</f>
        <v>699783.73289999994</v>
      </c>
      <c r="Z19" s="211">
        <f>Résultats!AB296</f>
        <v>700056.73340000003</v>
      </c>
      <c r="AA19" s="211">
        <f>Résultats!AC296</f>
        <v>703791.26370000001</v>
      </c>
      <c r="AB19" s="211">
        <f>Résultats!AD296</f>
        <v>702506.74239999999</v>
      </c>
      <c r="AC19" s="211">
        <f>Résultats!AE296</f>
        <v>702804.01009999996</v>
      </c>
      <c r="AD19" s="211">
        <f>Résultats!AF296</f>
        <v>703575.02899999998</v>
      </c>
      <c r="AE19" s="211">
        <f>Résultats!AG296</f>
        <v>704376.42619999999</v>
      </c>
      <c r="AF19" s="211">
        <f>Résultats!AH296</f>
        <v>707848.61809999996</v>
      </c>
      <c r="AG19" s="211">
        <f>Résultats!AI296</f>
        <v>708033.98219999997</v>
      </c>
      <c r="AH19" s="211">
        <f>Résultats!AJ296</f>
        <v>708997.83940000006</v>
      </c>
      <c r="AI19" s="211">
        <f>Résultats!AK296</f>
        <v>710230.41480000003</v>
      </c>
      <c r="AJ19" s="211">
        <f>Résultats!AL296</f>
        <v>711710.85919999995</v>
      </c>
      <c r="AK19" s="211">
        <f>Résultats!AM296</f>
        <v>713402.61010000005</v>
      </c>
      <c r="AL19" s="211">
        <f>Résultats!AN296</f>
        <v>715937.67139999999</v>
      </c>
      <c r="AM19" s="211">
        <f>Résultats!AO296</f>
        <v>718362.5845</v>
      </c>
      <c r="AN19" s="211">
        <f>Résultats!AP296</f>
        <v>720810.75080000004</v>
      </c>
      <c r="AO19" s="211">
        <f>Résultats!AQ296</f>
        <v>723290.99040000001</v>
      </c>
      <c r="AP19" s="211">
        <f>Résultats!AR296</f>
        <v>727610.77780000004</v>
      </c>
      <c r="AQ19" s="211">
        <f>Résultats!AS296</f>
        <v>729473.74210000003</v>
      </c>
      <c r="AR19" s="211">
        <f>Résultats!AT296</f>
        <v>731629.93059999996</v>
      </c>
      <c r="AS19" s="211">
        <f>Résultats!AU296</f>
        <v>733870.63740000001</v>
      </c>
      <c r="AT19" s="211">
        <f>Résultats!AV296</f>
        <v>736146.02720000001</v>
      </c>
      <c r="AU19" s="259">
        <f>Résultats!AW296</f>
        <v>738408.72479999997</v>
      </c>
    </row>
    <row r="20" spans="1:49" x14ac:dyDescent="0.25">
      <c r="B20" s="260" t="s">
        <v>472</v>
      </c>
      <c r="C20" s="261">
        <f>Résultats!E297</f>
        <v>85388.794399999999</v>
      </c>
      <c r="D20" s="262">
        <f>Résultats!F297</f>
        <v>90808.656870000006</v>
      </c>
      <c r="E20" s="262">
        <f>Résultats!G297</f>
        <v>91615.780710000006</v>
      </c>
      <c r="F20" s="262">
        <f>Résultats!H297</f>
        <v>94295.04264</v>
      </c>
      <c r="G20" s="262">
        <f>Résultats!I297</f>
        <v>95131.742240000007</v>
      </c>
      <c r="H20" s="262">
        <f>Résultats!J297</f>
        <v>101454.8533</v>
      </c>
      <c r="I20" s="262">
        <f>Résultats!K297</f>
        <v>105391.4016</v>
      </c>
      <c r="J20" s="262">
        <f>Résultats!L297</f>
        <v>111767.7709</v>
      </c>
      <c r="K20" s="262">
        <f>Résultats!M297</f>
        <v>121092.6106</v>
      </c>
      <c r="L20" s="262">
        <f>Résultats!N297</f>
        <v>126263.99950000001</v>
      </c>
      <c r="M20" s="262">
        <f>Résultats!O297</f>
        <v>123537.1623</v>
      </c>
      <c r="N20" s="262">
        <f>Résultats!P297</f>
        <v>123472.10370000001</v>
      </c>
      <c r="O20" s="262">
        <f>Résultats!Q297</f>
        <v>127490.8622</v>
      </c>
      <c r="P20" s="262">
        <f>Résultats!R297</f>
        <v>123060.7105</v>
      </c>
      <c r="Q20" s="262">
        <f>Résultats!S298</f>
        <v>62076.906969999996</v>
      </c>
      <c r="R20" s="262">
        <f>Résultats!T297</f>
        <v>136876.41039999999</v>
      </c>
      <c r="S20" s="262">
        <f>Résultats!U297</f>
        <v>141254.7415</v>
      </c>
      <c r="T20" s="262">
        <f>Résultats!V297</f>
        <v>149276.3376</v>
      </c>
      <c r="U20" s="262">
        <f>Résultats!W297</f>
        <v>150810.69510000001</v>
      </c>
      <c r="V20" s="262">
        <f>Résultats!X297</f>
        <v>200127.74530000001</v>
      </c>
      <c r="W20" s="262">
        <f>Résultats!Y297</f>
        <v>199609.2432</v>
      </c>
      <c r="X20" s="262">
        <f>Résultats!Z297</f>
        <v>197974.6692</v>
      </c>
      <c r="Y20" s="262">
        <f>Résultats!AA297</f>
        <v>196502.20009999999</v>
      </c>
      <c r="Z20" s="262">
        <f>Résultats!AB297</f>
        <v>195208.5191</v>
      </c>
      <c r="AA20" s="262">
        <f>Résultats!AC298</f>
        <v>57794.680910000003</v>
      </c>
      <c r="AB20" s="262">
        <f>Résultats!AD297</f>
        <v>224395.8976</v>
      </c>
      <c r="AC20" s="262">
        <f>Résultats!AE297</f>
        <v>221094.47339999999</v>
      </c>
      <c r="AD20" s="262">
        <f>Résultats!AF297</f>
        <v>217923.97089999999</v>
      </c>
      <c r="AE20" s="262">
        <f>Résultats!AG297</f>
        <v>215019.7009</v>
      </c>
      <c r="AF20" s="262">
        <f>Résultats!AH297</f>
        <v>229628.39480000001</v>
      </c>
      <c r="AG20" s="262">
        <f>Résultats!AI297</f>
        <v>226702.65830000001</v>
      </c>
      <c r="AH20" s="262">
        <f>Résultats!AJ297</f>
        <v>224278.60079999999</v>
      </c>
      <c r="AI20" s="262">
        <f>Résultats!AK297</f>
        <v>222110.13250000001</v>
      </c>
      <c r="AJ20" s="262">
        <f>Résultats!AL297</f>
        <v>220090.53719999999</v>
      </c>
      <c r="AK20" s="262">
        <f>Résultats!AM297</f>
        <v>218208.68340000001</v>
      </c>
      <c r="AL20" s="262">
        <f>Résultats!AN297</f>
        <v>216233.1323</v>
      </c>
      <c r="AM20" s="262">
        <f>Résultats!AO297</f>
        <v>214532.04319999999</v>
      </c>
      <c r="AN20" s="262">
        <f>Résultats!AP297</f>
        <v>213216.2733</v>
      </c>
      <c r="AO20" s="262">
        <f>Résultats!AQ297</f>
        <v>212168.5711</v>
      </c>
      <c r="AP20" s="262">
        <f>Résultats!AR297</f>
        <v>229400.03760000001</v>
      </c>
      <c r="AQ20" s="262">
        <f>Résultats!AS297</f>
        <v>227723.9106</v>
      </c>
      <c r="AR20" s="262">
        <f>Résultats!AT297</f>
        <v>226150.0742</v>
      </c>
      <c r="AS20" s="262">
        <f>Résultats!AU297</f>
        <v>224615.11170000001</v>
      </c>
      <c r="AT20" s="262">
        <f>Résultats!AV297</f>
        <v>223080.49900000001</v>
      </c>
      <c r="AU20" s="263">
        <f>Résultats!AW298</f>
        <v>60164.343030000004</v>
      </c>
    </row>
    <row r="21" spans="1:49" x14ac:dyDescent="0.25">
      <c r="B21" s="248" t="s">
        <v>473</v>
      </c>
      <c r="C21" s="249">
        <f t="shared" ref="C21:AU21" si="6">C16+C19</f>
        <v>696943.44530000002</v>
      </c>
      <c r="D21" s="250">
        <f t="shared" si="6"/>
        <v>717282.85940000007</v>
      </c>
      <c r="E21" s="250">
        <f t="shared" si="6"/>
        <v>728615.67140000011</v>
      </c>
      <c r="F21" s="250">
        <f t="shared" si="6"/>
        <v>746799.06689999998</v>
      </c>
      <c r="G21" s="250">
        <f t="shared" si="6"/>
        <v>761062.60089999996</v>
      </c>
      <c r="H21" s="250">
        <f t="shared" si="6"/>
        <v>785730.06880000001</v>
      </c>
      <c r="I21" s="250">
        <f t="shared" si="6"/>
        <v>815331.53220000002</v>
      </c>
      <c r="J21" s="250">
        <f t="shared" si="6"/>
        <v>848740.02619999996</v>
      </c>
      <c r="K21" s="250">
        <f t="shared" si="6"/>
        <v>889295.06039999996</v>
      </c>
      <c r="L21" s="250">
        <f t="shared" si="6"/>
        <v>937182.42209999997</v>
      </c>
      <c r="M21" s="250">
        <f t="shared" si="6"/>
        <v>941678.22319999989</v>
      </c>
      <c r="N21" s="250">
        <f t="shared" si="6"/>
        <v>937461.25809999998</v>
      </c>
      <c r="O21" s="250">
        <f t="shared" si="6"/>
        <v>932825.78529999999</v>
      </c>
      <c r="P21" s="250">
        <f t="shared" si="6"/>
        <v>952113.6912</v>
      </c>
      <c r="Q21" s="250">
        <f t="shared" si="6"/>
        <v>961013.21570000006</v>
      </c>
      <c r="R21" s="250">
        <f t="shared" si="6"/>
        <v>968824.0858</v>
      </c>
      <c r="S21" s="250">
        <f t="shared" si="6"/>
        <v>972923.45240000007</v>
      </c>
      <c r="T21" s="250">
        <f t="shared" si="6"/>
        <v>971728.12600000005</v>
      </c>
      <c r="U21" s="250">
        <f t="shared" si="6"/>
        <v>973999.1128</v>
      </c>
      <c r="V21" s="250">
        <f t="shared" si="6"/>
        <v>950932.49239999999</v>
      </c>
      <c r="W21" s="250">
        <f t="shared" si="6"/>
        <v>942193.95459999994</v>
      </c>
      <c r="X21" s="250">
        <f t="shared" si="6"/>
        <v>940052.70550000004</v>
      </c>
      <c r="Y21" s="250">
        <f t="shared" si="6"/>
        <v>940404.27919999999</v>
      </c>
      <c r="Z21" s="250">
        <f t="shared" si="6"/>
        <v>941657.47130000009</v>
      </c>
      <c r="AA21" s="250">
        <f t="shared" si="6"/>
        <v>925145.19889999996</v>
      </c>
      <c r="AB21" s="250">
        <f t="shared" si="6"/>
        <v>920363.44610000006</v>
      </c>
      <c r="AC21" s="250">
        <f t="shared" si="6"/>
        <v>923677.72439999995</v>
      </c>
      <c r="AD21" s="250">
        <f t="shared" si="6"/>
        <v>927606.36990000005</v>
      </c>
      <c r="AE21" s="250">
        <f t="shared" si="6"/>
        <v>931899.46019999997</v>
      </c>
      <c r="AF21" s="250">
        <f t="shared" si="6"/>
        <v>929853.9254999999</v>
      </c>
      <c r="AG21" s="250">
        <f t="shared" si="6"/>
        <v>929875.08419999992</v>
      </c>
      <c r="AH21" s="250">
        <f t="shared" si="6"/>
        <v>933043.70980000007</v>
      </c>
      <c r="AI21" s="250">
        <f t="shared" si="6"/>
        <v>937406.41200000001</v>
      </c>
      <c r="AJ21" s="250">
        <f t="shared" si="6"/>
        <v>942286.57779999997</v>
      </c>
      <c r="AK21" s="250">
        <f t="shared" si="6"/>
        <v>947443.84620000003</v>
      </c>
      <c r="AL21" s="250">
        <f t="shared" si="6"/>
        <v>955630.63249999995</v>
      </c>
      <c r="AM21" s="250">
        <f t="shared" si="6"/>
        <v>962606.08140000002</v>
      </c>
      <c r="AN21" s="250">
        <f t="shared" si="6"/>
        <v>969018.16159999999</v>
      </c>
      <c r="AO21" s="250">
        <f t="shared" si="6"/>
        <v>975099.00910000002</v>
      </c>
      <c r="AP21" s="250">
        <f t="shared" si="6"/>
        <v>970920.97739999997</v>
      </c>
      <c r="AQ21" s="250">
        <f t="shared" si="6"/>
        <v>974674.41670000006</v>
      </c>
      <c r="AR21" s="250">
        <f t="shared" si="6"/>
        <v>979983.34199999995</v>
      </c>
      <c r="AS21" s="250">
        <f t="shared" si="6"/>
        <v>985837.22690000001</v>
      </c>
      <c r="AT21" s="250">
        <f t="shared" si="6"/>
        <v>991837.14390000002</v>
      </c>
      <c r="AU21" s="251">
        <f t="shared" si="6"/>
        <v>997837.29509999999</v>
      </c>
      <c r="AW21" s="252"/>
    </row>
    <row r="22" spans="1:49" x14ac:dyDescent="0.25"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W22" s="252"/>
    </row>
    <row r="23" spans="1:49" s="243" customFormat="1" ht="45" customHeight="1" x14ac:dyDescent="0.25">
      <c r="A23" s="238" t="str">
        <f>"Ecarts "&amp;Résultats!B1&amp;"  - TEND"</f>
        <v>Ecarts SNBC3  - TEND</v>
      </c>
      <c r="B23" s="265" t="s">
        <v>475</v>
      </c>
      <c r="C23" s="241">
        <v>2006</v>
      </c>
      <c r="D23" s="241">
        <v>2007</v>
      </c>
      <c r="E23" s="241">
        <v>2008</v>
      </c>
      <c r="F23" s="241">
        <v>2009</v>
      </c>
      <c r="G23" s="241">
        <v>2010</v>
      </c>
      <c r="H23" s="241">
        <v>2011</v>
      </c>
      <c r="I23" s="241">
        <v>2012</v>
      </c>
      <c r="J23" s="241">
        <v>2013</v>
      </c>
      <c r="K23" s="241">
        <v>2014</v>
      </c>
      <c r="L23" s="241">
        <v>2015</v>
      </c>
      <c r="M23" s="241">
        <v>2016</v>
      </c>
      <c r="N23" s="241">
        <v>2017</v>
      </c>
      <c r="O23" s="241">
        <v>2018</v>
      </c>
      <c r="P23" s="241">
        <v>2019</v>
      </c>
      <c r="Q23" s="241">
        <v>2020</v>
      </c>
      <c r="R23" s="241">
        <v>2021</v>
      </c>
      <c r="S23" s="241">
        <v>2022</v>
      </c>
      <c r="T23" s="241">
        <v>2023</v>
      </c>
      <c r="U23" s="241">
        <v>2024</v>
      </c>
      <c r="V23" s="241">
        <v>2025</v>
      </c>
      <c r="W23" s="241">
        <v>2026</v>
      </c>
      <c r="X23" s="241">
        <v>2027</v>
      </c>
      <c r="Y23" s="241">
        <v>2028</v>
      </c>
      <c r="Z23" s="241">
        <v>2029</v>
      </c>
      <c r="AA23" s="241">
        <v>2030</v>
      </c>
      <c r="AB23" s="241">
        <v>2031</v>
      </c>
      <c r="AC23" s="241">
        <v>2032</v>
      </c>
      <c r="AD23" s="241">
        <v>2033</v>
      </c>
      <c r="AE23" s="241">
        <v>2034</v>
      </c>
      <c r="AF23" s="241">
        <v>2035</v>
      </c>
      <c r="AG23" s="241">
        <v>2036</v>
      </c>
      <c r="AH23" s="241">
        <v>2037</v>
      </c>
      <c r="AI23" s="241">
        <v>2038</v>
      </c>
      <c r="AJ23" s="241">
        <v>2039</v>
      </c>
      <c r="AK23" s="241">
        <v>2040</v>
      </c>
      <c r="AL23" s="241">
        <v>2041</v>
      </c>
      <c r="AM23" s="241">
        <v>2042</v>
      </c>
      <c r="AN23" s="241">
        <v>2043</v>
      </c>
      <c r="AO23" s="241">
        <v>2044</v>
      </c>
      <c r="AP23" s="241">
        <v>2045</v>
      </c>
      <c r="AQ23" s="241">
        <v>2046</v>
      </c>
      <c r="AR23" s="241">
        <v>2047</v>
      </c>
      <c r="AS23" s="241">
        <v>2048</v>
      </c>
      <c r="AT23" s="241">
        <v>2049</v>
      </c>
      <c r="AU23" s="242">
        <v>2050</v>
      </c>
      <c r="AV23" s="266"/>
    </row>
    <row r="24" spans="1:49" x14ac:dyDescent="0.25">
      <c r="B24" s="244" t="s">
        <v>1</v>
      </c>
      <c r="C24" s="246">
        <f t="shared" ref="C24:AU25" si="7">C2-C13</f>
        <v>0</v>
      </c>
      <c r="D24" s="246">
        <f t="shared" si="7"/>
        <v>0</v>
      </c>
      <c r="E24" s="246">
        <f t="shared" si="7"/>
        <v>0</v>
      </c>
      <c r="F24" s="246">
        <f t="shared" si="7"/>
        <v>0</v>
      </c>
      <c r="G24" s="246">
        <f t="shared" si="7"/>
        <v>0</v>
      </c>
      <c r="H24" s="246">
        <f t="shared" si="7"/>
        <v>0</v>
      </c>
      <c r="I24" s="246">
        <f t="shared" si="7"/>
        <v>0</v>
      </c>
      <c r="J24" s="246">
        <f t="shared" si="7"/>
        <v>0</v>
      </c>
      <c r="K24" s="246">
        <f t="shared" si="7"/>
        <v>0</v>
      </c>
      <c r="L24" s="246">
        <f t="shared" si="7"/>
        <v>0</v>
      </c>
      <c r="M24" s="246">
        <f t="shared" si="7"/>
        <v>0</v>
      </c>
      <c r="N24" s="246">
        <f t="shared" si="7"/>
        <v>0</v>
      </c>
      <c r="O24" s="246">
        <f t="shared" si="7"/>
        <v>0</v>
      </c>
      <c r="P24" s="246">
        <f t="shared" si="7"/>
        <v>0</v>
      </c>
      <c r="Q24" s="246">
        <f t="shared" si="7"/>
        <v>778.56517000007443</v>
      </c>
      <c r="R24" s="246">
        <f t="shared" si="7"/>
        <v>-638.28249999997206</v>
      </c>
      <c r="S24" s="246">
        <f t="shared" si="7"/>
        <v>-604.61009999993257</v>
      </c>
      <c r="T24" s="246">
        <f t="shared" si="7"/>
        <v>-369.96023999992758</v>
      </c>
      <c r="U24" s="246">
        <f t="shared" si="7"/>
        <v>-231.50548999989405</v>
      </c>
      <c r="V24" s="246">
        <f t="shared" si="7"/>
        <v>8461.1837999999989</v>
      </c>
      <c r="W24" s="246">
        <f t="shared" si="7"/>
        <v>8451.3009600001387</v>
      </c>
      <c r="X24" s="246">
        <f t="shared" si="7"/>
        <v>8381.6956499998923</v>
      </c>
      <c r="Y24" s="246">
        <f t="shared" si="7"/>
        <v>8328.3064299998805</v>
      </c>
      <c r="Z24" s="246">
        <f t="shared" si="7"/>
        <v>8288.0912099999841</v>
      </c>
      <c r="AA24" s="246">
        <f t="shared" si="7"/>
        <v>11413.596270000096</v>
      </c>
      <c r="AB24" s="246">
        <f t="shared" si="7"/>
        <v>11246.733179999981</v>
      </c>
      <c r="AC24" s="246">
        <f t="shared" si="7"/>
        <v>11233.525459999917</v>
      </c>
      <c r="AD24" s="246">
        <f t="shared" si="7"/>
        <v>11198.893230000045</v>
      </c>
      <c r="AE24" s="246">
        <f t="shared" si="7"/>
        <v>11157.125909999944</v>
      </c>
      <c r="AF24" s="246">
        <f t="shared" si="7"/>
        <v>11330.271810000064</v>
      </c>
      <c r="AG24" s="246">
        <f t="shared" si="7"/>
        <v>11292.991600000067</v>
      </c>
      <c r="AH24" s="246">
        <f t="shared" si="7"/>
        <v>11238.498579999898</v>
      </c>
      <c r="AI24" s="246">
        <f t="shared" si="7"/>
        <v>11169.646130000008</v>
      </c>
      <c r="AJ24" s="246">
        <f t="shared" si="7"/>
        <v>11084.501809999812</v>
      </c>
      <c r="AK24" s="246">
        <f t="shared" si="7"/>
        <v>10981.870660000015</v>
      </c>
      <c r="AL24" s="246">
        <f t="shared" si="7"/>
        <v>10916.854770000093</v>
      </c>
      <c r="AM24" s="246">
        <f t="shared" si="7"/>
        <v>10793.932739999844</v>
      </c>
      <c r="AN24" s="246">
        <f t="shared" si="7"/>
        <v>10631.531330000143</v>
      </c>
      <c r="AO24" s="246">
        <f t="shared" si="7"/>
        <v>10434.222959999926</v>
      </c>
      <c r="AP24" s="246">
        <f t="shared" si="7"/>
        <v>10169.276429999853</v>
      </c>
      <c r="AQ24" s="246">
        <f t="shared" si="7"/>
        <v>10224.36865999992</v>
      </c>
      <c r="AR24" s="246">
        <f t="shared" si="7"/>
        <v>10057.180139999837</v>
      </c>
      <c r="AS24" s="246">
        <f t="shared" si="7"/>
        <v>9755.5364000000991</v>
      </c>
      <c r="AT24" s="246">
        <f t="shared" si="7"/>
        <v>9336.4699399999809</v>
      </c>
      <c r="AU24" s="246">
        <f t="shared" si="7"/>
        <v>8791.4741399998311</v>
      </c>
      <c r="AV24" s="267"/>
    </row>
    <row r="25" spans="1:49" x14ac:dyDescent="0.25">
      <c r="B25" s="248" t="s">
        <v>466</v>
      </c>
      <c r="C25" s="250">
        <f t="shared" si="7"/>
        <v>0</v>
      </c>
      <c r="D25" s="250">
        <f t="shared" si="7"/>
        <v>0</v>
      </c>
      <c r="E25" s="250">
        <f t="shared" si="7"/>
        <v>0</v>
      </c>
      <c r="F25" s="250">
        <f t="shared" si="7"/>
        <v>0</v>
      </c>
      <c r="G25" s="250">
        <f t="shared" si="7"/>
        <v>0</v>
      </c>
      <c r="H25" s="250">
        <f t="shared" si="7"/>
        <v>0</v>
      </c>
      <c r="I25" s="250">
        <f t="shared" si="7"/>
        <v>0</v>
      </c>
      <c r="J25" s="250">
        <f t="shared" si="7"/>
        <v>0</v>
      </c>
      <c r="K25" s="250">
        <f t="shared" si="7"/>
        <v>0</v>
      </c>
      <c r="L25" s="250">
        <f t="shared" si="7"/>
        <v>0</v>
      </c>
      <c r="M25" s="250">
        <f t="shared" si="7"/>
        <v>0</v>
      </c>
      <c r="N25" s="250">
        <f t="shared" si="7"/>
        <v>0</v>
      </c>
      <c r="O25" s="250">
        <f t="shared" si="7"/>
        <v>0</v>
      </c>
      <c r="P25" s="250">
        <f t="shared" si="7"/>
        <v>0</v>
      </c>
      <c r="Q25" s="250">
        <f t="shared" si="7"/>
        <v>0</v>
      </c>
      <c r="R25" s="250">
        <f t="shared" si="7"/>
        <v>0</v>
      </c>
      <c r="S25" s="250">
        <f t="shared" si="7"/>
        <v>0</v>
      </c>
      <c r="T25" s="250">
        <f t="shared" si="7"/>
        <v>0</v>
      </c>
      <c r="U25" s="250">
        <f t="shared" si="7"/>
        <v>13.341959999999744</v>
      </c>
      <c r="V25" s="250">
        <f t="shared" si="7"/>
        <v>33.857310000001235</v>
      </c>
      <c r="W25" s="250">
        <f t="shared" si="7"/>
        <v>42.932849999999235</v>
      </c>
      <c r="X25" s="250">
        <f t="shared" si="7"/>
        <v>46.224550000000818</v>
      </c>
      <c r="Y25" s="250">
        <f t="shared" si="7"/>
        <v>48.919939999999769</v>
      </c>
      <c r="Z25" s="250">
        <f t="shared" si="7"/>
        <v>52.362900000000081</v>
      </c>
      <c r="AA25" s="250">
        <f t="shared" si="7"/>
        <v>55.743710000000647</v>
      </c>
      <c r="AB25" s="250">
        <f t="shared" si="7"/>
        <v>58.178770000000441</v>
      </c>
      <c r="AC25" s="250">
        <f t="shared" si="7"/>
        <v>59.618599999999788</v>
      </c>
      <c r="AD25" s="250">
        <f t="shared" si="7"/>
        <v>60.651130000002013</v>
      </c>
      <c r="AE25" s="250">
        <f t="shared" si="7"/>
        <v>60.819459999998799</v>
      </c>
      <c r="AF25" s="250">
        <f t="shared" si="7"/>
        <v>60.552489999998215</v>
      </c>
      <c r="AG25" s="250">
        <f t="shared" si="7"/>
        <v>59.33922000000166</v>
      </c>
      <c r="AH25" s="250">
        <f t="shared" si="7"/>
        <v>57.910299999999552</v>
      </c>
      <c r="AI25" s="250">
        <f t="shared" si="7"/>
        <v>56.161879999999655</v>
      </c>
      <c r="AJ25" s="250">
        <f t="shared" si="7"/>
        <v>54.081399999999121</v>
      </c>
      <c r="AK25" s="250">
        <f t="shared" si="7"/>
        <v>51.454380000002857</v>
      </c>
      <c r="AL25" s="250">
        <f t="shared" si="7"/>
        <v>47.952800000002753</v>
      </c>
      <c r="AM25" s="250">
        <f t="shared" si="7"/>
        <v>44.151900000000751</v>
      </c>
      <c r="AN25" s="250">
        <f t="shared" si="7"/>
        <v>39.666420000001381</v>
      </c>
      <c r="AO25" s="250">
        <f t="shared" si="7"/>
        <v>34.321060000002035</v>
      </c>
      <c r="AP25" s="250">
        <f t="shared" si="7"/>
        <v>27.459930000000895</v>
      </c>
      <c r="AQ25" s="250">
        <f t="shared" si="7"/>
        <v>16.955559999998513</v>
      </c>
      <c r="AR25" s="250">
        <f t="shared" si="7"/>
        <v>5.7256600000000617</v>
      </c>
      <c r="AS25" s="250">
        <f t="shared" si="7"/>
        <v>-6.343830000001617</v>
      </c>
      <c r="AT25" s="250">
        <f t="shared" si="7"/>
        <v>-20.189900000001217</v>
      </c>
      <c r="AU25" s="250">
        <f t="shared" si="7"/>
        <v>-39.410970000000816</v>
      </c>
      <c r="AV25" s="267"/>
    </row>
    <row r="26" spans="1:49" x14ac:dyDescent="0.25">
      <c r="B26" s="253" t="s">
        <v>467</v>
      </c>
      <c r="C26" s="255">
        <f t="shared" ref="C26:E26" si="8">SUM(C27:C28)</f>
        <v>0</v>
      </c>
      <c r="D26" s="255">
        <f t="shared" si="8"/>
        <v>0</v>
      </c>
      <c r="E26" s="255">
        <f t="shared" si="8"/>
        <v>0</v>
      </c>
      <c r="F26" s="255">
        <f>SUM(F27:F28)</f>
        <v>0</v>
      </c>
      <c r="G26" s="255">
        <f t="shared" ref="G26:AU26" si="9">SUM(G27:G28)</f>
        <v>0</v>
      </c>
      <c r="H26" s="255">
        <f t="shared" si="9"/>
        <v>0</v>
      </c>
      <c r="I26" s="255">
        <f t="shared" si="9"/>
        <v>0</v>
      </c>
      <c r="J26" s="255">
        <f t="shared" si="9"/>
        <v>0</v>
      </c>
      <c r="K26" s="255">
        <f t="shared" si="9"/>
        <v>0</v>
      </c>
      <c r="L26" s="255">
        <f t="shared" si="9"/>
        <v>0</v>
      </c>
      <c r="M26" s="255">
        <f t="shared" si="9"/>
        <v>0</v>
      </c>
      <c r="N26" s="255">
        <f t="shared" si="9"/>
        <v>0</v>
      </c>
      <c r="O26" s="255">
        <f t="shared" si="9"/>
        <v>0</v>
      </c>
      <c r="P26" s="255">
        <f t="shared" si="9"/>
        <v>0</v>
      </c>
      <c r="Q26" s="255">
        <f t="shared" si="9"/>
        <v>0</v>
      </c>
      <c r="R26" s="255">
        <f t="shared" si="9"/>
        <v>0</v>
      </c>
      <c r="S26" s="255">
        <f t="shared" si="9"/>
        <v>0</v>
      </c>
      <c r="T26" s="255">
        <f t="shared" si="9"/>
        <v>0</v>
      </c>
      <c r="U26" s="255">
        <f t="shared" si="9"/>
        <v>-6.892069999994419</v>
      </c>
      <c r="V26" s="255">
        <f t="shared" si="9"/>
        <v>0.24830999998084735</v>
      </c>
      <c r="W26" s="255">
        <f t="shared" si="9"/>
        <v>69.379829999998037</v>
      </c>
      <c r="X26" s="255">
        <f t="shared" si="9"/>
        <v>164.30776999999944</v>
      </c>
      <c r="Y26" s="255">
        <f t="shared" si="9"/>
        <v>254.97227000002749</v>
      </c>
      <c r="Z26" s="255">
        <f t="shared" si="9"/>
        <v>342.73658000000432</v>
      </c>
      <c r="AA26" s="255">
        <f t="shared" si="9"/>
        <v>-193.67370000001392</v>
      </c>
      <c r="AB26" s="255">
        <f t="shared" si="9"/>
        <v>884.23453000000154</v>
      </c>
      <c r="AC26" s="255">
        <f t="shared" si="9"/>
        <v>1069.6126200000144</v>
      </c>
      <c r="AD26" s="255">
        <f t="shared" si="9"/>
        <v>1235.8272599999982</v>
      </c>
      <c r="AE26" s="255">
        <f t="shared" si="9"/>
        <v>1385.6895199999781</v>
      </c>
      <c r="AF26" s="255">
        <f t="shared" si="9"/>
        <v>1989.7820499999943</v>
      </c>
      <c r="AG26" s="255">
        <f t="shared" si="9"/>
        <v>2239.2112099999795</v>
      </c>
      <c r="AH26" s="255">
        <f t="shared" si="9"/>
        <v>2429.6753399999798</v>
      </c>
      <c r="AI26" s="255">
        <f t="shared" si="9"/>
        <v>2584.9622199999794</v>
      </c>
      <c r="AJ26" s="255">
        <f t="shared" si="9"/>
        <v>2714.2613999999885</v>
      </c>
      <c r="AK26" s="255">
        <f t="shared" si="9"/>
        <v>2821.9870999999912</v>
      </c>
      <c r="AL26" s="255">
        <f t="shared" si="9"/>
        <v>2912.3783200000107</v>
      </c>
      <c r="AM26" s="255">
        <f t="shared" si="9"/>
        <v>2985.2187899999917</v>
      </c>
      <c r="AN26" s="255">
        <f t="shared" si="9"/>
        <v>3049.3095299999841</v>
      </c>
      <c r="AO26" s="255">
        <f t="shared" si="9"/>
        <v>3106.6698200000174</v>
      </c>
      <c r="AP26" s="255">
        <f t="shared" si="9"/>
        <v>4291.8069899999973</v>
      </c>
      <c r="AQ26" s="255">
        <f t="shared" si="9"/>
        <v>4570.1941300000035</v>
      </c>
      <c r="AR26" s="255">
        <f t="shared" si="9"/>
        <v>4686.5159399999757</v>
      </c>
      <c r="AS26" s="255">
        <f t="shared" si="9"/>
        <v>4717.7919900000052</v>
      </c>
      <c r="AT26" s="255">
        <f t="shared" si="9"/>
        <v>4694.1657399999749</v>
      </c>
      <c r="AU26" s="255">
        <f t="shared" si="9"/>
        <v>-3442.7179999999644</v>
      </c>
      <c r="AV26" s="267"/>
    </row>
    <row r="27" spans="1:49" x14ac:dyDescent="0.25">
      <c r="B27" s="257" t="s">
        <v>468</v>
      </c>
      <c r="C27" s="211">
        <f t="shared" ref="C27:AU28" si="10">C5-C16</f>
        <v>0</v>
      </c>
      <c r="D27" s="211">
        <f t="shared" si="10"/>
        <v>0</v>
      </c>
      <c r="E27" s="211">
        <f t="shared" si="10"/>
        <v>0</v>
      </c>
      <c r="F27" s="211">
        <f t="shared" si="10"/>
        <v>0</v>
      </c>
      <c r="G27" s="211">
        <f t="shared" si="10"/>
        <v>0</v>
      </c>
      <c r="H27" s="211">
        <f t="shared" si="10"/>
        <v>0</v>
      </c>
      <c r="I27" s="211">
        <f t="shared" si="10"/>
        <v>0</v>
      </c>
      <c r="J27" s="211">
        <f t="shared" si="10"/>
        <v>0</v>
      </c>
      <c r="K27" s="211">
        <f t="shared" si="10"/>
        <v>0</v>
      </c>
      <c r="L27" s="211">
        <f t="shared" si="10"/>
        <v>0</v>
      </c>
      <c r="M27" s="211">
        <f t="shared" si="10"/>
        <v>0</v>
      </c>
      <c r="N27" s="211">
        <f t="shared" si="10"/>
        <v>0</v>
      </c>
      <c r="O27" s="211">
        <f t="shared" si="10"/>
        <v>0</v>
      </c>
      <c r="P27" s="211">
        <f t="shared" si="10"/>
        <v>0</v>
      </c>
      <c r="Q27" s="211">
        <f t="shared" si="10"/>
        <v>0</v>
      </c>
      <c r="R27" s="211">
        <f t="shared" si="10"/>
        <v>0</v>
      </c>
      <c r="S27" s="211">
        <f t="shared" si="10"/>
        <v>0</v>
      </c>
      <c r="T27" s="211">
        <f t="shared" si="10"/>
        <v>0</v>
      </c>
      <c r="U27" s="211">
        <f t="shared" si="10"/>
        <v>-21.866199999989476</v>
      </c>
      <c r="V27" s="211">
        <f t="shared" si="10"/>
        <v>-35.196500000020023</v>
      </c>
      <c r="W27" s="211">
        <f t="shared" si="10"/>
        <v>32.279299999994691</v>
      </c>
      <c r="X27" s="211">
        <f t="shared" si="10"/>
        <v>131.68439999999828</v>
      </c>
      <c r="Y27" s="211">
        <f t="shared" si="10"/>
        <v>226.9601000000257</v>
      </c>
      <c r="Z27" s="211">
        <f t="shared" si="10"/>
        <v>318.4429999999993</v>
      </c>
      <c r="AA27" s="211">
        <f t="shared" si="10"/>
        <v>645.60050000000047</v>
      </c>
      <c r="AB27" s="211">
        <f t="shared" si="10"/>
        <v>860.79660000000149</v>
      </c>
      <c r="AC27" s="211">
        <f t="shared" si="10"/>
        <v>1055.1878000000142</v>
      </c>
      <c r="AD27" s="211">
        <f t="shared" si="10"/>
        <v>1230.2021999999997</v>
      </c>
      <c r="AE27" s="211">
        <f t="shared" si="10"/>
        <v>1389.7703999999794</v>
      </c>
      <c r="AF27" s="211">
        <f t="shared" si="10"/>
        <v>1978.9649999999965</v>
      </c>
      <c r="AG27" s="211">
        <f t="shared" si="10"/>
        <v>2250.5247999999847</v>
      </c>
      <c r="AH27" s="211">
        <f t="shared" si="10"/>
        <v>2456.7219999999797</v>
      </c>
      <c r="AI27" s="211">
        <f t="shared" si="10"/>
        <v>2625.1723999999813</v>
      </c>
      <c r="AJ27" s="211">
        <f t="shared" si="10"/>
        <v>2766.7945999999938</v>
      </c>
      <c r="AK27" s="211">
        <f t="shared" si="10"/>
        <v>2886.5198999999848</v>
      </c>
      <c r="AL27" s="211">
        <f t="shared" si="10"/>
        <v>2990.4145000000135</v>
      </c>
      <c r="AM27" s="211">
        <f t="shared" si="10"/>
        <v>3076.7265999999945</v>
      </c>
      <c r="AN27" s="211">
        <f t="shared" si="10"/>
        <v>3154.3948999999848</v>
      </c>
      <c r="AO27" s="211">
        <f t="shared" si="10"/>
        <v>3226.0561000000162</v>
      </c>
      <c r="AP27" s="211">
        <f t="shared" si="10"/>
        <v>4368.457699999999</v>
      </c>
      <c r="AQ27" s="211">
        <f t="shared" si="10"/>
        <v>4695.4358000000066</v>
      </c>
      <c r="AR27" s="211">
        <f t="shared" si="10"/>
        <v>4844.7500999999756</v>
      </c>
      <c r="AS27" s="211">
        <f t="shared" si="10"/>
        <v>4903.6551000000036</v>
      </c>
      <c r="AT27" s="211">
        <f t="shared" si="10"/>
        <v>4907.4736999999732</v>
      </c>
      <c r="AU27" s="211">
        <f t="shared" si="10"/>
        <v>4874.372400000022</v>
      </c>
      <c r="AV27" s="267"/>
    </row>
    <row r="28" spans="1:49" x14ac:dyDescent="0.25">
      <c r="B28" s="260" t="s">
        <v>469</v>
      </c>
      <c r="C28" s="262">
        <f t="shared" si="10"/>
        <v>0</v>
      </c>
      <c r="D28" s="262">
        <f t="shared" si="10"/>
        <v>0</v>
      </c>
      <c r="E28" s="262">
        <f t="shared" si="10"/>
        <v>0</v>
      </c>
      <c r="F28" s="262">
        <f t="shared" si="10"/>
        <v>0</v>
      </c>
      <c r="G28" s="262">
        <f t="shared" si="10"/>
        <v>0</v>
      </c>
      <c r="H28" s="262">
        <f t="shared" si="10"/>
        <v>0</v>
      </c>
      <c r="I28" s="262">
        <f t="shared" si="10"/>
        <v>0</v>
      </c>
      <c r="J28" s="262">
        <f t="shared" si="10"/>
        <v>0</v>
      </c>
      <c r="K28" s="262">
        <f t="shared" si="10"/>
        <v>0</v>
      </c>
      <c r="L28" s="262">
        <f t="shared" si="10"/>
        <v>0</v>
      </c>
      <c r="M28" s="262">
        <f t="shared" si="10"/>
        <v>0</v>
      </c>
      <c r="N28" s="262">
        <f t="shared" si="10"/>
        <v>0</v>
      </c>
      <c r="O28" s="262">
        <f t="shared" si="10"/>
        <v>0</v>
      </c>
      <c r="P28" s="262">
        <f t="shared" si="10"/>
        <v>0</v>
      </c>
      <c r="Q28" s="262">
        <f t="shared" si="10"/>
        <v>0</v>
      </c>
      <c r="R28" s="262">
        <f t="shared" si="10"/>
        <v>0</v>
      </c>
      <c r="S28" s="262">
        <f t="shared" si="10"/>
        <v>0</v>
      </c>
      <c r="T28" s="262">
        <f t="shared" si="10"/>
        <v>0</v>
      </c>
      <c r="U28" s="262">
        <f t="shared" si="10"/>
        <v>14.974129999995057</v>
      </c>
      <c r="V28" s="262">
        <f t="shared" si="10"/>
        <v>35.444810000000871</v>
      </c>
      <c r="W28" s="262">
        <f t="shared" si="10"/>
        <v>37.100530000003346</v>
      </c>
      <c r="X28" s="262">
        <f t="shared" si="10"/>
        <v>32.623370000001159</v>
      </c>
      <c r="Y28" s="262">
        <f t="shared" si="10"/>
        <v>28.012170000001788</v>
      </c>
      <c r="Z28" s="262">
        <f t="shared" si="10"/>
        <v>24.293580000005022</v>
      </c>
      <c r="AA28" s="262">
        <f t="shared" si="10"/>
        <v>-839.27420000001439</v>
      </c>
      <c r="AB28" s="262">
        <f t="shared" si="10"/>
        <v>23.437930000000051</v>
      </c>
      <c r="AC28" s="262">
        <f t="shared" si="10"/>
        <v>14.424820000000182</v>
      </c>
      <c r="AD28" s="262">
        <f t="shared" si="10"/>
        <v>5.6250599999984843</v>
      </c>
      <c r="AE28" s="262">
        <f t="shared" si="10"/>
        <v>-4.0808800000013434</v>
      </c>
      <c r="AF28" s="262">
        <f t="shared" si="10"/>
        <v>10.817049999997835</v>
      </c>
      <c r="AG28" s="262">
        <f t="shared" si="10"/>
        <v>-11.313590000005206</v>
      </c>
      <c r="AH28" s="262">
        <f t="shared" si="10"/>
        <v>-27.046659999999974</v>
      </c>
      <c r="AI28" s="262">
        <f t="shared" si="10"/>
        <v>-40.210180000001856</v>
      </c>
      <c r="AJ28" s="262">
        <f t="shared" si="10"/>
        <v>-52.533200000005309</v>
      </c>
      <c r="AK28" s="262">
        <f t="shared" si="10"/>
        <v>-64.532799999993586</v>
      </c>
      <c r="AL28" s="262">
        <f t="shared" si="10"/>
        <v>-78.036180000002787</v>
      </c>
      <c r="AM28" s="262">
        <f t="shared" si="10"/>
        <v>-91.507810000002792</v>
      </c>
      <c r="AN28" s="262">
        <f t="shared" si="10"/>
        <v>-105.08537000000069</v>
      </c>
      <c r="AO28" s="262">
        <f t="shared" si="10"/>
        <v>-119.38627999999881</v>
      </c>
      <c r="AP28" s="262">
        <f t="shared" si="10"/>
        <v>-76.650710000001709</v>
      </c>
      <c r="AQ28" s="262">
        <f t="shared" si="10"/>
        <v>-125.24167000000307</v>
      </c>
      <c r="AR28" s="262">
        <f t="shared" si="10"/>
        <v>-158.23415999999997</v>
      </c>
      <c r="AS28" s="262">
        <f t="shared" si="10"/>
        <v>-185.86310999999841</v>
      </c>
      <c r="AT28" s="262">
        <f t="shared" si="10"/>
        <v>-213.30795999999827</v>
      </c>
      <c r="AU28" s="262">
        <f t="shared" si="10"/>
        <v>-8317.0903999999864</v>
      </c>
      <c r="AV28" s="267"/>
    </row>
    <row r="29" spans="1:49" x14ac:dyDescent="0.25">
      <c r="B29" s="257" t="s">
        <v>470</v>
      </c>
      <c r="C29" s="211">
        <f t="shared" ref="C29:E29" si="11">SUM(C30:C31)</f>
        <v>0</v>
      </c>
      <c r="D29" s="211">
        <f t="shared" si="11"/>
        <v>0</v>
      </c>
      <c r="E29" s="211">
        <f t="shared" si="11"/>
        <v>0</v>
      </c>
      <c r="F29" s="211">
        <f>SUM(F30:F31)</f>
        <v>0</v>
      </c>
      <c r="G29" s="211">
        <f t="shared" ref="G29:AU29" si="12">SUM(G30:G31)</f>
        <v>0</v>
      </c>
      <c r="H29" s="211">
        <f t="shared" si="12"/>
        <v>0</v>
      </c>
      <c r="I29" s="211">
        <f t="shared" si="12"/>
        <v>0</v>
      </c>
      <c r="J29" s="211">
        <f t="shared" si="12"/>
        <v>0</v>
      </c>
      <c r="K29" s="211">
        <f t="shared" si="12"/>
        <v>0</v>
      </c>
      <c r="L29" s="211">
        <f t="shared" si="12"/>
        <v>0</v>
      </c>
      <c r="M29" s="211">
        <f t="shared" si="12"/>
        <v>0</v>
      </c>
      <c r="N29" s="211">
        <f t="shared" si="12"/>
        <v>0</v>
      </c>
      <c r="O29" s="211">
        <f t="shared" si="12"/>
        <v>0</v>
      </c>
      <c r="P29" s="211">
        <f t="shared" si="12"/>
        <v>0</v>
      </c>
      <c r="Q29" s="211">
        <f t="shared" si="12"/>
        <v>0</v>
      </c>
      <c r="R29" s="211">
        <f t="shared" si="12"/>
        <v>0</v>
      </c>
      <c r="S29" s="211">
        <f t="shared" si="12"/>
        <v>0</v>
      </c>
      <c r="T29" s="211">
        <f t="shared" si="12"/>
        <v>0</v>
      </c>
      <c r="U29" s="211">
        <f t="shared" si="12"/>
        <v>106.85149999993155</v>
      </c>
      <c r="V29" s="211">
        <f t="shared" si="12"/>
        <v>378.04710000002524</v>
      </c>
      <c r="W29" s="211">
        <f t="shared" si="12"/>
        <v>414.2793000000529</v>
      </c>
      <c r="X29" s="211">
        <f t="shared" si="12"/>
        <v>315.82589999993797</v>
      </c>
      <c r="Y29" s="211">
        <f t="shared" si="12"/>
        <v>189.71520000006421</v>
      </c>
      <c r="Z29" s="211">
        <f t="shared" si="12"/>
        <v>59.169299999950454</v>
      </c>
      <c r="AA29" s="211">
        <f t="shared" si="12"/>
        <v>274.57165000000532</v>
      </c>
      <c r="AB29" s="211">
        <f t="shared" si="12"/>
        <v>-791.99049999992712</v>
      </c>
      <c r="AC29" s="211">
        <f t="shared" si="12"/>
        <v>-1027.5166999999492</v>
      </c>
      <c r="AD29" s="211">
        <f t="shared" si="12"/>
        <v>-1271.8310999999521</v>
      </c>
      <c r="AE29" s="211">
        <f t="shared" si="12"/>
        <v>-1523.5207999999693</v>
      </c>
      <c r="AF29" s="211">
        <f t="shared" si="12"/>
        <v>-2659.1632999999565</v>
      </c>
      <c r="AG29" s="211">
        <f t="shared" si="12"/>
        <v>-2864.7485999999335</v>
      </c>
      <c r="AH29" s="211">
        <f t="shared" si="12"/>
        <v>-3123.6822000000975</v>
      </c>
      <c r="AI29" s="211">
        <f t="shared" si="12"/>
        <v>-3402.2818000000843</v>
      </c>
      <c r="AJ29" s="211">
        <f t="shared" si="12"/>
        <v>-3683.8369999999704</v>
      </c>
      <c r="AK29" s="211">
        <f t="shared" si="12"/>
        <v>-3965.3098000000464</v>
      </c>
      <c r="AL29" s="211">
        <f t="shared" si="12"/>
        <v>-4281.3735999999335</v>
      </c>
      <c r="AM29" s="211">
        <f t="shared" si="12"/>
        <v>-4592.9780000000028</v>
      </c>
      <c r="AN29" s="211">
        <f t="shared" si="12"/>
        <v>-4916.7765000000072</v>
      </c>
      <c r="AO29" s="211">
        <f t="shared" si="12"/>
        <v>-5258.434600000066</v>
      </c>
      <c r="AP29" s="211">
        <f t="shared" si="12"/>
        <v>-7679.6590000001015</v>
      </c>
      <c r="AQ29" s="211">
        <f t="shared" si="12"/>
        <v>-7909.3108000000648</v>
      </c>
      <c r="AR29" s="211">
        <f t="shared" si="12"/>
        <v>-8249.4916000000085</v>
      </c>
      <c r="AS29" s="211">
        <f t="shared" si="12"/>
        <v>-8657.5005999999994</v>
      </c>
      <c r="AT29" s="211">
        <f t="shared" si="12"/>
        <v>-9130.6078000000562</v>
      </c>
      <c r="AU29" s="211">
        <f t="shared" si="12"/>
        <v>-1612.2869199999986</v>
      </c>
      <c r="AV29" s="267"/>
    </row>
    <row r="30" spans="1:49" x14ac:dyDescent="0.25">
      <c r="B30" s="257" t="s">
        <v>471</v>
      </c>
      <c r="C30" s="211">
        <f t="shared" ref="C30:AU31" si="13">C8-C19</f>
        <v>0</v>
      </c>
      <c r="D30" s="211">
        <f t="shared" si="13"/>
        <v>0</v>
      </c>
      <c r="E30" s="211">
        <f t="shared" si="13"/>
        <v>0</v>
      </c>
      <c r="F30" s="211">
        <f t="shared" si="13"/>
        <v>0</v>
      </c>
      <c r="G30" s="211">
        <f t="shared" si="13"/>
        <v>0</v>
      </c>
      <c r="H30" s="211">
        <f t="shared" si="13"/>
        <v>0</v>
      </c>
      <c r="I30" s="211">
        <f t="shared" si="13"/>
        <v>0</v>
      </c>
      <c r="J30" s="211">
        <f t="shared" si="13"/>
        <v>0</v>
      </c>
      <c r="K30" s="211">
        <f t="shared" si="13"/>
        <v>0</v>
      </c>
      <c r="L30" s="211">
        <f t="shared" si="13"/>
        <v>0</v>
      </c>
      <c r="M30" s="211">
        <f t="shared" si="13"/>
        <v>0</v>
      </c>
      <c r="N30" s="211">
        <f t="shared" si="13"/>
        <v>0</v>
      </c>
      <c r="O30" s="211">
        <f t="shared" si="13"/>
        <v>0</v>
      </c>
      <c r="P30" s="211">
        <f t="shared" si="13"/>
        <v>0</v>
      </c>
      <c r="Q30" s="211">
        <f t="shared" si="13"/>
        <v>0</v>
      </c>
      <c r="R30" s="211">
        <f t="shared" si="13"/>
        <v>0</v>
      </c>
      <c r="S30" s="211">
        <f t="shared" si="13"/>
        <v>0</v>
      </c>
      <c r="T30" s="211">
        <f t="shared" si="13"/>
        <v>0</v>
      </c>
      <c r="U30" s="211">
        <f t="shared" si="13"/>
        <v>80.556499999947846</v>
      </c>
      <c r="V30" s="211">
        <f t="shared" si="13"/>
        <v>230.20770000002813</v>
      </c>
      <c r="W30" s="211">
        <f t="shared" si="13"/>
        <v>292.1480000000447</v>
      </c>
      <c r="X30" s="211">
        <f t="shared" si="13"/>
        <v>297.6640999999363</v>
      </c>
      <c r="Y30" s="211">
        <f t="shared" si="13"/>
        <v>291.64190000004601</v>
      </c>
      <c r="Z30" s="211">
        <f t="shared" si="13"/>
        <v>287.36419999995269</v>
      </c>
      <c r="AA30" s="211">
        <f t="shared" si="13"/>
        <v>241.21100000001024</v>
      </c>
      <c r="AB30" s="211">
        <f t="shared" si="13"/>
        <v>235.6142000000691</v>
      </c>
      <c r="AC30" s="211">
        <f t="shared" si="13"/>
        <v>217.49820000003092</v>
      </c>
      <c r="AD30" s="211">
        <f t="shared" si="13"/>
        <v>192.42720000003465</v>
      </c>
      <c r="AE30" s="211">
        <f t="shared" si="13"/>
        <v>158.83140000002459</v>
      </c>
      <c r="AF30" s="211">
        <f t="shared" si="13"/>
        <v>47.751400000066496</v>
      </c>
      <c r="AG30" s="211">
        <f t="shared" si="13"/>
        <v>31.792300000088289</v>
      </c>
      <c r="AH30" s="211">
        <f t="shared" si="13"/>
        <v>-2.9961000001057982</v>
      </c>
      <c r="AI30" s="211">
        <f t="shared" si="13"/>
        <v>-47.128800000064075</v>
      </c>
      <c r="AJ30" s="211">
        <f t="shared" si="13"/>
        <v>-96.685799999977462</v>
      </c>
      <c r="AK30" s="211">
        <f t="shared" si="13"/>
        <v>-150.69220000004862</v>
      </c>
      <c r="AL30" s="211">
        <f t="shared" si="13"/>
        <v>-215.16929999995045</v>
      </c>
      <c r="AM30" s="211">
        <f t="shared" si="13"/>
        <v>-287.06530000001658</v>
      </c>
      <c r="AN30" s="211">
        <f t="shared" si="13"/>
        <v>-366.74890000000596</v>
      </c>
      <c r="AO30" s="211">
        <f t="shared" si="13"/>
        <v>-455.0920000000624</v>
      </c>
      <c r="AP30" s="211">
        <f t="shared" si="13"/>
        <v>-727.56780000007711</v>
      </c>
      <c r="AQ30" s="211">
        <f t="shared" si="13"/>
        <v>-765.56520000007004</v>
      </c>
      <c r="AR30" s="211">
        <f t="shared" si="13"/>
        <v>-861.26110000000335</v>
      </c>
      <c r="AS30" s="211">
        <f t="shared" si="13"/>
        <v>-993.47519999998622</v>
      </c>
      <c r="AT30" s="211">
        <f t="shared" si="13"/>
        <v>-1161.4468000000343</v>
      </c>
      <c r="AU30" s="211">
        <f t="shared" si="13"/>
        <v>-1368.8821999999927</v>
      </c>
      <c r="AV30" s="267"/>
    </row>
    <row r="31" spans="1:49" x14ac:dyDescent="0.25">
      <c r="B31" s="260" t="s">
        <v>472</v>
      </c>
      <c r="C31" s="262">
        <f t="shared" si="13"/>
        <v>0</v>
      </c>
      <c r="D31" s="262">
        <f t="shared" si="13"/>
        <v>0</v>
      </c>
      <c r="E31" s="262">
        <f t="shared" si="13"/>
        <v>0</v>
      </c>
      <c r="F31" s="262">
        <f t="shared" si="13"/>
        <v>0</v>
      </c>
      <c r="G31" s="262">
        <f t="shared" si="13"/>
        <v>0</v>
      </c>
      <c r="H31" s="262">
        <f t="shared" si="13"/>
        <v>0</v>
      </c>
      <c r="I31" s="262">
        <f t="shared" si="13"/>
        <v>0</v>
      </c>
      <c r="J31" s="262">
        <f t="shared" si="13"/>
        <v>0</v>
      </c>
      <c r="K31" s="262">
        <f t="shared" si="13"/>
        <v>0</v>
      </c>
      <c r="L31" s="262">
        <f t="shared" si="13"/>
        <v>0</v>
      </c>
      <c r="M31" s="262">
        <f t="shared" si="13"/>
        <v>0</v>
      </c>
      <c r="N31" s="262">
        <f t="shared" si="13"/>
        <v>0</v>
      </c>
      <c r="O31" s="262">
        <f t="shared" si="13"/>
        <v>0</v>
      </c>
      <c r="P31" s="262">
        <f t="shared" si="13"/>
        <v>0</v>
      </c>
      <c r="Q31" s="262">
        <f t="shared" si="13"/>
        <v>0</v>
      </c>
      <c r="R31" s="262">
        <f t="shared" si="13"/>
        <v>0</v>
      </c>
      <c r="S31" s="262">
        <f t="shared" si="13"/>
        <v>0</v>
      </c>
      <c r="T31" s="262">
        <f t="shared" si="13"/>
        <v>0</v>
      </c>
      <c r="U31" s="262">
        <f t="shared" si="13"/>
        <v>26.294999999983702</v>
      </c>
      <c r="V31" s="262">
        <f t="shared" si="13"/>
        <v>147.83939999999711</v>
      </c>
      <c r="W31" s="262">
        <f t="shared" si="13"/>
        <v>122.1313000000082</v>
      </c>
      <c r="X31" s="262">
        <f t="shared" si="13"/>
        <v>18.161800000001676</v>
      </c>
      <c r="Y31" s="262">
        <f t="shared" si="13"/>
        <v>-101.92669999998179</v>
      </c>
      <c r="Z31" s="262">
        <f t="shared" si="13"/>
        <v>-228.19490000000224</v>
      </c>
      <c r="AA31" s="262">
        <f t="shared" si="13"/>
        <v>33.360649999995076</v>
      </c>
      <c r="AB31" s="262">
        <f t="shared" si="13"/>
        <v>-1027.6046999999962</v>
      </c>
      <c r="AC31" s="262">
        <f t="shared" si="13"/>
        <v>-1245.0148999999801</v>
      </c>
      <c r="AD31" s="262">
        <f t="shared" si="13"/>
        <v>-1464.2582999999868</v>
      </c>
      <c r="AE31" s="262">
        <f t="shared" si="13"/>
        <v>-1682.3521999999939</v>
      </c>
      <c r="AF31" s="262">
        <f t="shared" si="13"/>
        <v>-2706.914700000023</v>
      </c>
      <c r="AG31" s="262">
        <f t="shared" si="13"/>
        <v>-2896.5409000000218</v>
      </c>
      <c r="AH31" s="262">
        <f t="shared" si="13"/>
        <v>-3120.6860999999917</v>
      </c>
      <c r="AI31" s="262">
        <f t="shared" si="13"/>
        <v>-3355.1530000000203</v>
      </c>
      <c r="AJ31" s="262">
        <f t="shared" si="13"/>
        <v>-3587.151199999993</v>
      </c>
      <c r="AK31" s="262">
        <f t="shared" si="13"/>
        <v>-3814.6175999999978</v>
      </c>
      <c r="AL31" s="262">
        <f t="shared" si="13"/>
        <v>-4066.204299999983</v>
      </c>
      <c r="AM31" s="262">
        <f t="shared" si="13"/>
        <v>-4305.9126999999862</v>
      </c>
      <c r="AN31" s="262">
        <f t="shared" si="13"/>
        <v>-4550.0276000000013</v>
      </c>
      <c r="AO31" s="262">
        <f t="shared" si="13"/>
        <v>-4803.3426000000036</v>
      </c>
      <c r="AP31" s="262">
        <f t="shared" si="13"/>
        <v>-6952.0912000000244</v>
      </c>
      <c r="AQ31" s="262">
        <f t="shared" si="13"/>
        <v>-7143.7455999999947</v>
      </c>
      <c r="AR31" s="262">
        <f t="shared" si="13"/>
        <v>-7388.2305000000051</v>
      </c>
      <c r="AS31" s="262">
        <f t="shared" si="13"/>
        <v>-7664.0254000000132</v>
      </c>
      <c r="AT31" s="262">
        <f t="shared" si="13"/>
        <v>-7969.1610000000219</v>
      </c>
      <c r="AU31" s="262">
        <f t="shared" si="13"/>
        <v>-243.40472000000591</v>
      </c>
      <c r="AV31" s="267"/>
    </row>
    <row r="32" spans="1:49" x14ac:dyDescent="0.25">
      <c r="B32" s="248" t="s">
        <v>473</v>
      </c>
      <c r="C32" s="250">
        <f t="shared" ref="C32:E32" si="14">SUM(C27,C30)</f>
        <v>0</v>
      </c>
      <c r="D32" s="250">
        <f t="shared" si="14"/>
        <v>0</v>
      </c>
      <c r="E32" s="250">
        <f t="shared" si="14"/>
        <v>0</v>
      </c>
      <c r="F32" s="250">
        <f>SUM(F27,F30)</f>
        <v>0</v>
      </c>
      <c r="G32" s="250">
        <f t="shared" ref="G32:AU32" si="15">SUM(G27,G30)</f>
        <v>0</v>
      </c>
      <c r="H32" s="250">
        <f t="shared" si="15"/>
        <v>0</v>
      </c>
      <c r="I32" s="250">
        <f t="shared" si="15"/>
        <v>0</v>
      </c>
      <c r="J32" s="250">
        <f t="shared" si="15"/>
        <v>0</v>
      </c>
      <c r="K32" s="250">
        <f t="shared" si="15"/>
        <v>0</v>
      </c>
      <c r="L32" s="250">
        <f t="shared" si="15"/>
        <v>0</v>
      </c>
      <c r="M32" s="250">
        <f t="shared" si="15"/>
        <v>0</v>
      </c>
      <c r="N32" s="250">
        <f t="shared" si="15"/>
        <v>0</v>
      </c>
      <c r="O32" s="250">
        <f t="shared" si="15"/>
        <v>0</v>
      </c>
      <c r="P32" s="250">
        <f t="shared" si="15"/>
        <v>0</v>
      </c>
      <c r="Q32" s="250">
        <f t="shared" si="15"/>
        <v>0</v>
      </c>
      <c r="R32" s="250">
        <f t="shared" si="15"/>
        <v>0</v>
      </c>
      <c r="S32" s="250">
        <f t="shared" si="15"/>
        <v>0</v>
      </c>
      <c r="T32" s="250">
        <f t="shared" si="15"/>
        <v>0</v>
      </c>
      <c r="U32" s="250">
        <f t="shared" si="15"/>
        <v>58.69029999995837</v>
      </c>
      <c r="V32" s="250">
        <f t="shared" si="15"/>
        <v>195.0112000000081</v>
      </c>
      <c r="W32" s="250">
        <f t="shared" si="15"/>
        <v>324.42730000003939</v>
      </c>
      <c r="X32" s="250">
        <f t="shared" si="15"/>
        <v>429.34849999993457</v>
      </c>
      <c r="Y32" s="250">
        <f t="shared" si="15"/>
        <v>518.60200000007171</v>
      </c>
      <c r="Z32" s="250">
        <f t="shared" si="15"/>
        <v>605.80719999995199</v>
      </c>
      <c r="AA32" s="250">
        <f t="shared" si="15"/>
        <v>886.81150000001071</v>
      </c>
      <c r="AB32" s="250">
        <f t="shared" si="15"/>
        <v>1096.4108000000706</v>
      </c>
      <c r="AC32" s="250">
        <f t="shared" si="15"/>
        <v>1272.6860000000452</v>
      </c>
      <c r="AD32" s="250">
        <f t="shared" si="15"/>
        <v>1422.6294000000344</v>
      </c>
      <c r="AE32" s="250">
        <f t="shared" si="15"/>
        <v>1548.601800000004</v>
      </c>
      <c r="AF32" s="250">
        <f t="shared" si="15"/>
        <v>2026.716400000063</v>
      </c>
      <c r="AG32" s="250">
        <f t="shared" si="15"/>
        <v>2282.317100000073</v>
      </c>
      <c r="AH32" s="250">
        <f t="shared" si="15"/>
        <v>2453.7258999998739</v>
      </c>
      <c r="AI32" s="250">
        <f t="shared" si="15"/>
        <v>2578.0435999999172</v>
      </c>
      <c r="AJ32" s="250">
        <f t="shared" si="15"/>
        <v>2670.1088000000163</v>
      </c>
      <c r="AK32" s="250">
        <f t="shared" si="15"/>
        <v>2735.8276999999362</v>
      </c>
      <c r="AL32" s="250">
        <f t="shared" si="15"/>
        <v>2775.2452000000631</v>
      </c>
      <c r="AM32" s="250">
        <f t="shared" si="15"/>
        <v>2789.6612999999779</v>
      </c>
      <c r="AN32" s="250">
        <f t="shared" si="15"/>
        <v>2787.6459999999788</v>
      </c>
      <c r="AO32" s="250">
        <f t="shared" si="15"/>
        <v>2770.9640999999538</v>
      </c>
      <c r="AP32" s="250">
        <f t="shared" si="15"/>
        <v>3640.8898999999219</v>
      </c>
      <c r="AQ32" s="250">
        <f t="shared" si="15"/>
        <v>3929.8705999999365</v>
      </c>
      <c r="AR32" s="250">
        <f t="shared" si="15"/>
        <v>3983.4889999999723</v>
      </c>
      <c r="AS32" s="250">
        <f t="shared" si="15"/>
        <v>3910.1799000000174</v>
      </c>
      <c r="AT32" s="250">
        <f t="shared" si="15"/>
        <v>3746.0268999999389</v>
      </c>
      <c r="AU32" s="250">
        <f t="shared" si="15"/>
        <v>3505.4902000000293</v>
      </c>
      <c r="AV32" s="267"/>
    </row>
    <row r="36" spans="1:50" s="243" customFormat="1" ht="45" customHeight="1" x14ac:dyDescent="0.25">
      <c r="A36" s="238" t="str">
        <f>[4]Résultats!B1</f>
        <v>SNBC3</v>
      </c>
      <c r="B36" s="239" t="s">
        <v>497</v>
      </c>
      <c r="C36" s="240">
        <v>2006</v>
      </c>
      <c r="D36" s="241">
        <v>2007</v>
      </c>
      <c r="E36" s="241">
        <v>2008</v>
      </c>
      <c r="F36" s="241">
        <v>2009</v>
      </c>
      <c r="G36" s="241">
        <v>2010</v>
      </c>
      <c r="H36" s="241">
        <v>2011</v>
      </c>
      <c r="I36" s="241">
        <v>2012</v>
      </c>
      <c r="J36" s="241">
        <v>2013</v>
      </c>
      <c r="K36" s="241">
        <v>2014</v>
      </c>
      <c r="L36" s="241">
        <v>2015</v>
      </c>
      <c r="M36" s="241">
        <v>2016</v>
      </c>
      <c r="N36" s="241">
        <v>2017</v>
      </c>
      <c r="O36" s="241">
        <v>2018</v>
      </c>
      <c r="P36" s="241">
        <v>2019</v>
      </c>
      <c r="Q36" s="241">
        <v>2020</v>
      </c>
      <c r="R36" s="241">
        <v>2021</v>
      </c>
      <c r="S36" s="241">
        <v>2022</v>
      </c>
      <c r="T36" s="241">
        <v>2023</v>
      </c>
      <c r="U36" s="241">
        <v>2024</v>
      </c>
      <c r="V36" s="241">
        <v>2025</v>
      </c>
      <c r="W36" s="241">
        <v>2026</v>
      </c>
      <c r="X36" s="241">
        <v>2027</v>
      </c>
      <c r="Y36" s="241">
        <v>2028</v>
      </c>
      <c r="Z36" s="241">
        <v>2029</v>
      </c>
      <c r="AA36" s="241">
        <v>2030</v>
      </c>
      <c r="AB36" s="241">
        <v>2031</v>
      </c>
      <c r="AC36" s="241">
        <v>2032</v>
      </c>
      <c r="AD36" s="241">
        <v>2033</v>
      </c>
      <c r="AE36" s="241">
        <v>2034</v>
      </c>
      <c r="AF36" s="241">
        <v>2035</v>
      </c>
      <c r="AG36" s="241">
        <v>2036</v>
      </c>
      <c r="AH36" s="241">
        <v>2037</v>
      </c>
      <c r="AI36" s="241">
        <v>2038</v>
      </c>
      <c r="AJ36" s="241">
        <v>2039</v>
      </c>
      <c r="AK36" s="241">
        <v>2040</v>
      </c>
      <c r="AL36" s="241">
        <v>2041</v>
      </c>
      <c r="AM36" s="241">
        <v>2042</v>
      </c>
      <c r="AN36" s="241">
        <v>2043</v>
      </c>
      <c r="AO36" s="241">
        <v>2044</v>
      </c>
      <c r="AP36" s="241">
        <v>2045</v>
      </c>
      <c r="AQ36" s="241">
        <v>2046</v>
      </c>
      <c r="AR36" s="241">
        <v>2047</v>
      </c>
      <c r="AS36" s="241">
        <v>2048</v>
      </c>
      <c r="AT36" s="241">
        <v>2049</v>
      </c>
      <c r="AU36" s="242">
        <v>2050</v>
      </c>
      <c r="AW36" s="241" t="s">
        <v>498</v>
      </c>
      <c r="AX36" s="241" t="s">
        <v>499</v>
      </c>
    </row>
    <row r="37" spans="1:50" x14ac:dyDescent="0.25">
      <c r="B37" s="244" t="s">
        <v>500</v>
      </c>
      <c r="C37" s="245">
        <f t="shared" ref="C37:AU37" si="16">C38+C39+C42</f>
        <v>1</v>
      </c>
      <c r="D37" s="246">
        <f t="shared" si="16"/>
        <v>0.99999999999999989</v>
      </c>
      <c r="E37" s="246">
        <f t="shared" si="16"/>
        <v>1</v>
      </c>
      <c r="F37" s="246">
        <f t="shared" si="16"/>
        <v>1</v>
      </c>
      <c r="G37" s="246">
        <f t="shared" si="16"/>
        <v>1</v>
      </c>
      <c r="H37" s="246">
        <f t="shared" si="16"/>
        <v>0.99999999999999989</v>
      </c>
      <c r="I37" s="246">
        <f t="shared" si="16"/>
        <v>0.99999999999999989</v>
      </c>
      <c r="J37" s="246">
        <f t="shared" si="16"/>
        <v>1</v>
      </c>
      <c r="K37" s="246">
        <f t="shared" si="16"/>
        <v>1</v>
      </c>
      <c r="L37" s="246">
        <f t="shared" si="16"/>
        <v>1</v>
      </c>
      <c r="M37" s="246">
        <f t="shared" si="16"/>
        <v>1</v>
      </c>
      <c r="N37" s="246">
        <f t="shared" si="16"/>
        <v>0.99999999999999989</v>
      </c>
      <c r="O37" s="246">
        <f t="shared" si="16"/>
        <v>1</v>
      </c>
      <c r="P37" s="246">
        <f t="shared" si="16"/>
        <v>0.99999999999999989</v>
      </c>
      <c r="Q37" s="246">
        <f t="shared" si="16"/>
        <v>0.99999999999999978</v>
      </c>
      <c r="R37" s="246">
        <f t="shared" si="16"/>
        <v>0.99999999999999989</v>
      </c>
      <c r="S37" s="246">
        <f t="shared" si="16"/>
        <v>1</v>
      </c>
      <c r="T37" s="246">
        <f t="shared" si="16"/>
        <v>1</v>
      </c>
      <c r="U37" s="246">
        <f t="shared" si="16"/>
        <v>0.99999999999999978</v>
      </c>
      <c r="V37" s="246">
        <f t="shared" si="16"/>
        <v>1</v>
      </c>
      <c r="W37" s="246">
        <f t="shared" si="16"/>
        <v>1</v>
      </c>
      <c r="X37" s="246">
        <f t="shared" si="16"/>
        <v>1</v>
      </c>
      <c r="Y37" s="246">
        <f t="shared" si="16"/>
        <v>1</v>
      </c>
      <c r="Z37" s="246">
        <f t="shared" si="16"/>
        <v>1.0000000000000002</v>
      </c>
      <c r="AA37" s="246">
        <f t="shared" si="16"/>
        <v>1</v>
      </c>
      <c r="AB37" s="246">
        <f t="shared" si="16"/>
        <v>1</v>
      </c>
      <c r="AC37" s="246">
        <f t="shared" si="16"/>
        <v>1</v>
      </c>
      <c r="AD37" s="246">
        <f t="shared" si="16"/>
        <v>1</v>
      </c>
      <c r="AE37" s="246">
        <f t="shared" si="16"/>
        <v>0.99999999999999989</v>
      </c>
      <c r="AF37" s="246">
        <f t="shared" si="16"/>
        <v>1</v>
      </c>
      <c r="AG37" s="246">
        <f t="shared" si="16"/>
        <v>1</v>
      </c>
      <c r="AH37" s="246">
        <f t="shared" si="16"/>
        <v>1</v>
      </c>
      <c r="AI37" s="246">
        <f t="shared" si="16"/>
        <v>1</v>
      </c>
      <c r="AJ37" s="246">
        <f t="shared" si="16"/>
        <v>1</v>
      </c>
      <c r="AK37" s="246">
        <f t="shared" si="16"/>
        <v>1</v>
      </c>
      <c r="AL37" s="246">
        <f t="shared" si="16"/>
        <v>0.99999999999999989</v>
      </c>
      <c r="AM37" s="246">
        <f t="shared" si="16"/>
        <v>0.99999999999999989</v>
      </c>
      <c r="AN37" s="246">
        <f t="shared" si="16"/>
        <v>1</v>
      </c>
      <c r="AO37" s="246">
        <f t="shared" si="16"/>
        <v>1</v>
      </c>
      <c r="AP37" s="246">
        <f t="shared" si="16"/>
        <v>1</v>
      </c>
      <c r="AQ37" s="246">
        <f t="shared" si="16"/>
        <v>0.99999999999999989</v>
      </c>
      <c r="AR37" s="246">
        <f t="shared" si="16"/>
        <v>0.99999999999999989</v>
      </c>
      <c r="AS37" s="246">
        <f t="shared" si="16"/>
        <v>0.99999999999999989</v>
      </c>
      <c r="AT37" s="246">
        <f t="shared" si="16"/>
        <v>1</v>
      </c>
      <c r="AU37" s="247">
        <f t="shared" si="16"/>
        <v>1</v>
      </c>
    </row>
    <row r="38" spans="1:50" x14ac:dyDescent="0.25">
      <c r="B38" s="248" t="s">
        <v>466</v>
      </c>
      <c r="C38" s="298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1"/>
      <c r="AV38" s="252"/>
      <c r="AW38" s="252"/>
    </row>
    <row r="39" spans="1:50" x14ac:dyDescent="0.25">
      <c r="B39" s="253" t="s">
        <v>467</v>
      </c>
      <c r="C39" s="299">
        <f>C4/(C$2-C$3)</f>
        <v>0.29999999998794452</v>
      </c>
      <c r="D39" s="299">
        <f t="shared" ref="D39:AU45" si="17">D4/(D$2-D$3)</f>
        <v>0.30666008419100299</v>
      </c>
      <c r="E39" s="299">
        <f t="shared" si="17"/>
        <v>0.31172750588495557</v>
      </c>
      <c r="F39" s="299">
        <f t="shared" si="17"/>
        <v>0.31503666809264719</v>
      </c>
      <c r="G39" s="299">
        <f t="shared" si="17"/>
        <v>0.3177294715624121</v>
      </c>
      <c r="H39" s="299">
        <f t="shared" si="17"/>
        <v>0.32360240465935231</v>
      </c>
      <c r="I39" s="299">
        <f t="shared" si="17"/>
        <v>0.33120364530560586</v>
      </c>
      <c r="J39" s="299">
        <f t="shared" si="17"/>
        <v>0.33982343913991886</v>
      </c>
      <c r="K39" s="299">
        <f t="shared" si="17"/>
        <v>0.34859218102886713</v>
      </c>
      <c r="L39" s="299">
        <f t="shared" si="17"/>
        <v>0.35748121703318786</v>
      </c>
      <c r="M39" s="299">
        <f t="shared" si="17"/>
        <v>0.3558693229036976</v>
      </c>
      <c r="N39" s="299">
        <f t="shared" si="17"/>
        <v>0.3541750263872594</v>
      </c>
      <c r="O39" s="299">
        <f t="shared" si="17"/>
        <v>0.35549057059988859</v>
      </c>
      <c r="P39" s="299">
        <f t="shared" si="17"/>
        <v>0.34637507538928147</v>
      </c>
      <c r="Q39" s="299">
        <f t="shared" si="17"/>
        <v>0.35199360039216537</v>
      </c>
      <c r="R39" s="299">
        <f t="shared" si="17"/>
        <v>0.29551377924294309</v>
      </c>
      <c r="S39" s="299">
        <f t="shared" si="17"/>
        <v>0.29505782402667552</v>
      </c>
      <c r="T39" s="299">
        <f t="shared" si="17"/>
        <v>0.28985774198208786</v>
      </c>
      <c r="U39" s="299">
        <f t="shared" si="17"/>
        <v>0.28771648180617243</v>
      </c>
      <c r="V39" s="299">
        <f t="shared" si="17"/>
        <v>0.2547049614981205</v>
      </c>
      <c r="W39" s="299">
        <f t="shared" si="17"/>
        <v>0.25005399917846377</v>
      </c>
      <c r="X39" s="299">
        <f t="shared" si="17"/>
        <v>0.24969609380046004</v>
      </c>
      <c r="Y39" s="299">
        <f t="shared" si="17"/>
        <v>0.2503951430204065</v>
      </c>
      <c r="Z39" s="299">
        <f t="shared" si="17"/>
        <v>0.25139914122426105</v>
      </c>
      <c r="AA39" s="299">
        <f t="shared" si="17"/>
        <v>0.37076025948991032</v>
      </c>
      <c r="AB39" s="299">
        <f t="shared" si="17"/>
        <v>0.23048372605896209</v>
      </c>
      <c r="AC39" s="299">
        <f t="shared" si="17"/>
        <v>0.23324051547747837</v>
      </c>
      <c r="AD39" s="299">
        <f t="shared" si="17"/>
        <v>0.23596385851690979</v>
      </c>
      <c r="AE39" s="299">
        <f t="shared" si="17"/>
        <v>0.23878092648036456</v>
      </c>
      <c r="AF39" s="299">
        <f t="shared" si="17"/>
        <v>0.23191022077289503</v>
      </c>
      <c r="AG39" s="299">
        <f t="shared" si="17"/>
        <v>0.23287990304456846</v>
      </c>
      <c r="AH39" s="299">
        <f t="shared" si="17"/>
        <v>0.23489869021076598</v>
      </c>
      <c r="AI39" s="299">
        <f t="shared" si="17"/>
        <v>0.23729387934569598</v>
      </c>
      <c r="AJ39" s="299">
        <f t="shared" si="17"/>
        <v>0.23973688804109564</v>
      </c>
      <c r="AK39" s="299">
        <f t="shared" si="17"/>
        <v>0.24212470411871129</v>
      </c>
      <c r="AL39" s="299">
        <f t="shared" si="17"/>
        <v>0.24557239871931869</v>
      </c>
      <c r="AM39" s="299">
        <f t="shared" si="17"/>
        <v>0.24833797802436255</v>
      </c>
      <c r="AN39" s="299">
        <f t="shared" si="17"/>
        <v>0.25067058819542759</v>
      </c>
      <c r="AO39" s="299">
        <f t="shared" si="17"/>
        <v>0.25272185177693501</v>
      </c>
      <c r="AP39" s="299">
        <f t="shared" si="17"/>
        <v>0.24423554469744646</v>
      </c>
      <c r="AQ39" s="299">
        <f t="shared" si="17"/>
        <v>0.24576762555165063</v>
      </c>
      <c r="AR39" s="299">
        <f t="shared" si="17"/>
        <v>0.24780332083908155</v>
      </c>
      <c r="AS39" s="299">
        <f t="shared" si="17"/>
        <v>0.24999954610648123</v>
      </c>
      <c r="AT39" s="299">
        <f t="shared" si="17"/>
        <v>0.2522073854174724</v>
      </c>
      <c r="AU39" s="300">
        <f t="shared" si="17"/>
        <v>0.37470572560050269</v>
      </c>
      <c r="AV39" s="252"/>
      <c r="AW39" s="301">
        <f t="shared" ref="AW39:AW44" si="18">AA39-P39</f>
        <v>2.4385184100628843E-2</v>
      </c>
      <c r="AX39" s="301">
        <f t="shared" ref="AX39:AX44" si="19">AU39-P39</f>
        <v>2.833065021122122E-2</v>
      </c>
    </row>
    <row r="40" spans="1:50" x14ac:dyDescent="0.25">
      <c r="B40" s="257" t="s">
        <v>468</v>
      </c>
      <c r="C40" s="302">
        <f>C5/(C$2-C$3)</f>
        <v>0.1970599631421219</v>
      </c>
      <c r="D40" s="302">
        <f t="shared" si="17"/>
        <v>0.20060172629989356</v>
      </c>
      <c r="E40" s="302">
        <f t="shared" si="17"/>
        <v>0.20621401120880187</v>
      </c>
      <c r="F40" s="302">
        <f t="shared" si="17"/>
        <v>0.20910691634817755</v>
      </c>
      <c r="G40" s="302">
        <f t="shared" si="17"/>
        <v>0.21272155271095383</v>
      </c>
      <c r="H40" s="302">
        <f t="shared" si="17"/>
        <v>0.21548894668525784</v>
      </c>
      <c r="I40" s="302">
        <f t="shared" si="17"/>
        <v>0.22285612055979956</v>
      </c>
      <c r="J40" s="302">
        <f t="shared" si="17"/>
        <v>0.22953900062595697</v>
      </c>
      <c r="K40" s="302">
        <f t="shared" si="17"/>
        <v>0.23489415299258426</v>
      </c>
      <c r="L40" s="302">
        <f t="shared" si="17"/>
        <v>0.24472475904962637</v>
      </c>
      <c r="M40" s="302">
        <f t="shared" si="17"/>
        <v>0.24575281142866459</v>
      </c>
      <c r="N40" s="302">
        <f t="shared" si="17"/>
        <v>0.24372315132871486</v>
      </c>
      <c r="O40" s="302">
        <f t="shared" si="17"/>
        <v>0.24146027743008555</v>
      </c>
      <c r="P40" s="302">
        <f t="shared" si="17"/>
        <v>0.23849232371510207</v>
      </c>
      <c r="Q40" s="302">
        <f t="shared" si="17"/>
        <v>0.2400851947791936</v>
      </c>
      <c r="R40" s="302">
        <f t="shared" si="17"/>
        <v>0.24269931201330056</v>
      </c>
      <c r="S40" s="302">
        <f t="shared" si="17"/>
        <v>0.24248159948333189</v>
      </c>
      <c r="T40" s="302">
        <f t="shared" si="17"/>
        <v>0.23763128827278254</v>
      </c>
      <c r="U40" s="302">
        <f t="shared" si="17"/>
        <v>0.23670541743242876</v>
      </c>
      <c r="V40" s="302">
        <f t="shared" si="17"/>
        <v>0.20688444676889736</v>
      </c>
      <c r="W40" s="302">
        <f t="shared" si="17"/>
        <v>0.20184663901618247</v>
      </c>
      <c r="X40" s="302">
        <f t="shared" si="17"/>
        <v>0.20092863158545268</v>
      </c>
      <c r="Y40" s="302">
        <f t="shared" si="17"/>
        <v>0.20138914085548695</v>
      </c>
      <c r="Z40" s="302">
        <f t="shared" si="17"/>
        <v>0.20227406085044577</v>
      </c>
      <c r="AA40" s="302">
        <f t="shared" si="17"/>
        <v>0.18335499380250872</v>
      </c>
      <c r="AB40" s="302">
        <f t="shared" si="17"/>
        <v>0.18173495355811028</v>
      </c>
      <c r="AC40" s="302">
        <f t="shared" si="17"/>
        <v>0.18438773858591079</v>
      </c>
      <c r="AD40" s="302">
        <f t="shared" si="17"/>
        <v>0.18702768843380713</v>
      </c>
      <c r="AE40" s="302">
        <f t="shared" si="17"/>
        <v>0.18984420243738731</v>
      </c>
      <c r="AF40" s="302">
        <f t="shared" si="17"/>
        <v>0.18403588507822574</v>
      </c>
      <c r="AG40" s="302">
        <f t="shared" si="17"/>
        <v>0.18447298601014533</v>
      </c>
      <c r="AH40" s="302">
        <f t="shared" si="17"/>
        <v>0.18631072006765689</v>
      </c>
      <c r="AI40" s="302">
        <f t="shared" si="17"/>
        <v>0.18867858618473263</v>
      </c>
      <c r="AJ40" s="302">
        <f t="shared" si="17"/>
        <v>0.19114141677529362</v>
      </c>
      <c r="AK40" s="302">
        <f t="shared" si="17"/>
        <v>0.19356704641224415</v>
      </c>
      <c r="AL40" s="302">
        <f t="shared" si="17"/>
        <v>0.19731557552592774</v>
      </c>
      <c r="AM40" s="302">
        <f t="shared" si="17"/>
        <v>0.20025949467132198</v>
      </c>
      <c r="AN40" s="302">
        <f t="shared" si="17"/>
        <v>0.20272383659727511</v>
      </c>
      <c r="AO40" s="302">
        <f t="shared" si="17"/>
        <v>0.20488191815619552</v>
      </c>
      <c r="AP40" s="302">
        <f t="shared" si="17"/>
        <v>0.19717748044237932</v>
      </c>
      <c r="AQ40" s="302">
        <f t="shared" si="17"/>
        <v>0.19854845824310532</v>
      </c>
      <c r="AR40" s="302">
        <f t="shared" si="17"/>
        <v>0.20057787885941725</v>
      </c>
      <c r="AS40" s="302">
        <f t="shared" si="17"/>
        <v>0.20282909078139422</v>
      </c>
      <c r="AT40" s="302">
        <f t="shared" si="17"/>
        <v>0.20510950262781086</v>
      </c>
      <c r="AU40" s="303">
        <f t="shared" si="17"/>
        <v>0.20737170603118035</v>
      </c>
      <c r="AW40" s="301">
        <f t="shared" si="18"/>
        <v>-5.5137329912593347E-2</v>
      </c>
      <c r="AX40" s="301">
        <f t="shared" si="19"/>
        <v>-3.1120617683921714E-2</v>
      </c>
    </row>
    <row r="41" spans="1:50" x14ac:dyDescent="0.25">
      <c r="B41" s="260" t="s">
        <v>469</v>
      </c>
      <c r="C41" s="304">
        <f t="shared" ref="C41:R45" si="20">C6/(C$2-C$3)</f>
        <v>5.686325534544661E-2</v>
      </c>
      <c r="D41" s="304">
        <f t="shared" si="20"/>
        <v>5.6164242171278564E-2</v>
      </c>
      <c r="E41" s="304">
        <f t="shared" si="20"/>
        <v>5.5014530115452119E-2</v>
      </c>
      <c r="F41" s="304">
        <f t="shared" si="20"/>
        <v>5.4768135631338928E-2</v>
      </c>
      <c r="G41" s="304">
        <f t="shared" si="20"/>
        <v>5.4368174094881164E-2</v>
      </c>
      <c r="H41" s="304">
        <f t="shared" si="20"/>
        <v>5.3971037700415392E-2</v>
      </c>
      <c r="I41" s="304">
        <f t="shared" si="20"/>
        <v>5.2552416097307438E-2</v>
      </c>
      <c r="J41" s="304">
        <f t="shared" si="20"/>
        <v>5.1297852236139779E-2</v>
      </c>
      <c r="K41" s="304">
        <f t="shared" si="20"/>
        <v>5.0362944905435109E-2</v>
      </c>
      <c r="L41" s="304">
        <f t="shared" si="20"/>
        <v>4.8664656757481446E-2</v>
      </c>
      <c r="M41" s="304">
        <f t="shared" si="20"/>
        <v>4.8591606115222473E-2</v>
      </c>
      <c r="N41" s="304">
        <f t="shared" si="20"/>
        <v>4.9009250126785094E-2</v>
      </c>
      <c r="O41" s="304">
        <f t="shared" si="20"/>
        <v>4.9274880845780328E-2</v>
      </c>
      <c r="P41" s="304">
        <f t="shared" si="20"/>
        <v>5.4711872145831106E-2</v>
      </c>
      <c r="Q41" s="304">
        <f t="shared" si="20"/>
        <v>0.11190840561297177</v>
      </c>
      <c r="R41" s="304">
        <f t="shared" si="20"/>
        <v>5.2814467229642531E-2</v>
      </c>
      <c r="S41" s="304">
        <f t="shared" si="17"/>
        <v>5.2576224543343632E-2</v>
      </c>
      <c r="T41" s="304">
        <f t="shared" si="17"/>
        <v>5.2226453709305294E-2</v>
      </c>
      <c r="U41" s="304">
        <f t="shared" si="17"/>
        <v>5.101106437374367E-2</v>
      </c>
      <c r="V41" s="304">
        <f t="shared" si="17"/>
        <v>4.7820514729223135E-2</v>
      </c>
      <c r="W41" s="304">
        <f t="shared" si="17"/>
        <v>4.8207360162281332E-2</v>
      </c>
      <c r="X41" s="304">
        <f t="shared" si="17"/>
        <v>4.8767462215007357E-2</v>
      </c>
      <c r="Y41" s="304">
        <f t="shared" si="17"/>
        <v>4.9006002164919529E-2</v>
      </c>
      <c r="Z41" s="304">
        <f t="shared" si="17"/>
        <v>4.9125080373815244E-2</v>
      </c>
      <c r="AA41" s="304">
        <f t="shared" si="17"/>
        <v>0.18740526568740162</v>
      </c>
      <c r="AB41" s="304">
        <f t="shared" si="17"/>
        <v>4.8748772500851835E-2</v>
      </c>
      <c r="AC41" s="304">
        <f t="shared" si="17"/>
        <v>4.8852776891567584E-2</v>
      </c>
      <c r="AD41" s="304">
        <f t="shared" si="17"/>
        <v>4.8936170083102665E-2</v>
      </c>
      <c r="AE41" s="304">
        <f t="shared" si="17"/>
        <v>4.8936724042977227E-2</v>
      </c>
      <c r="AF41" s="304">
        <f t="shared" si="17"/>
        <v>4.7874335694669298E-2</v>
      </c>
      <c r="AG41" s="304">
        <f t="shared" si="17"/>
        <v>4.8406917034423146E-2</v>
      </c>
      <c r="AH41" s="304">
        <f t="shared" si="17"/>
        <v>4.8587970143109109E-2</v>
      </c>
      <c r="AI41" s="304">
        <f t="shared" si="17"/>
        <v>4.8615293160963358E-2</v>
      </c>
      <c r="AJ41" s="304">
        <f t="shared" si="17"/>
        <v>4.8595471265802034E-2</v>
      </c>
      <c r="AK41" s="304">
        <f t="shared" si="17"/>
        <v>4.8557657706467132E-2</v>
      </c>
      <c r="AL41" s="304">
        <f t="shared" si="17"/>
        <v>4.825682319339096E-2</v>
      </c>
      <c r="AM41" s="304">
        <f t="shared" si="17"/>
        <v>4.8078483353040588E-2</v>
      </c>
      <c r="AN41" s="304">
        <f t="shared" si="17"/>
        <v>4.7946751598152468E-2</v>
      </c>
      <c r="AO41" s="304">
        <f t="shared" si="17"/>
        <v>4.7839933620739454E-2</v>
      </c>
      <c r="AP41" s="304">
        <f t="shared" si="17"/>
        <v>4.7058064255067145E-2</v>
      </c>
      <c r="AQ41" s="304">
        <f t="shared" si="17"/>
        <v>4.7219167308545321E-2</v>
      </c>
      <c r="AR41" s="304">
        <f t="shared" si="17"/>
        <v>4.722544197966428E-2</v>
      </c>
      <c r="AS41" s="304">
        <f t="shared" si="17"/>
        <v>4.717045532508702E-2</v>
      </c>
      <c r="AT41" s="304">
        <f t="shared" si="17"/>
        <v>4.7097882789661531E-2</v>
      </c>
      <c r="AU41" s="305">
        <f t="shared" si="17"/>
        <v>0.16733401956932234</v>
      </c>
      <c r="AV41" s="252"/>
      <c r="AW41" s="301">
        <f t="shared" si="18"/>
        <v>0.1326933935415705</v>
      </c>
      <c r="AX41" s="301">
        <f t="shared" si="19"/>
        <v>0.11262214742349123</v>
      </c>
    </row>
    <row r="42" spans="1:50" x14ac:dyDescent="0.25">
      <c r="B42" s="257" t="s">
        <v>470</v>
      </c>
      <c r="C42" s="302">
        <f t="shared" si="20"/>
        <v>0.70000000001205542</v>
      </c>
      <c r="D42" s="302">
        <f t="shared" si="17"/>
        <v>0.6933399158089969</v>
      </c>
      <c r="E42" s="302">
        <f t="shared" si="17"/>
        <v>0.68827249411504443</v>
      </c>
      <c r="F42" s="302">
        <f t="shared" si="17"/>
        <v>0.68496333190735281</v>
      </c>
      <c r="G42" s="302">
        <f t="shared" si="17"/>
        <v>0.68227052843758784</v>
      </c>
      <c r="H42" s="302">
        <f t="shared" si="17"/>
        <v>0.67639759534064758</v>
      </c>
      <c r="I42" s="302">
        <f t="shared" si="17"/>
        <v>0.66879635469439402</v>
      </c>
      <c r="J42" s="302">
        <f t="shared" si="17"/>
        <v>0.66017656086008114</v>
      </c>
      <c r="K42" s="302">
        <f t="shared" si="17"/>
        <v>0.65140781897113287</v>
      </c>
      <c r="L42" s="302">
        <f t="shared" si="17"/>
        <v>0.6425187829668122</v>
      </c>
      <c r="M42" s="302">
        <f t="shared" si="17"/>
        <v>0.64413067709630234</v>
      </c>
      <c r="N42" s="302">
        <f t="shared" si="17"/>
        <v>0.64582497361274049</v>
      </c>
      <c r="O42" s="302">
        <f t="shared" si="17"/>
        <v>0.64450942940011136</v>
      </c>
      <c r="P42" s="302">
        <f t="shared" si="17"/>
        <v>0.65362492461071842</v>
      </c>
      <c r="Q42" s="302">
        <f t="shared" si="17"/>
        <v>0.64800639960783446</v>
      </c>
      <c r="R42" s="302">
        <f t="shared" si="17"/>
        <v>0.7044862207570568</v>
      </c>
      <c r="S42" s="302">
        <f t="shared" si="17"/>
        <v>0.70494217597332443</v>
      </c>
      <c r="T42" s="302">
        <f t="shared" si="17"/>
        <v>0.7101422580179122</v>
      </c>
      <c r="U42" s="302">
        <f t="shared" si="17"/>
        <v>0.7122835181938274</v>
      </c>
      <c r="V42" s="302">
        <f t="shared" si="17"/>
        <v>0.74529503850187961</v>
      </c>
      <c r="W42" s="302">
        <f t="shared" si="17"/>
        <v>0.74994600082153617</v>
      </c>
      <c r="X42" s="302">
        <f t="shared" si="17"/>
        <v>0.75030390619954002</v>
      </c>
      <c r="Y42" s="302">
        <f t="shared" si="17"/>
        <v>0.74960485697959356</v>
      </c>
      <c r="Z42" s="302">
        <f t="shared" si="17"/>
        <v>0.74860085877573912</v>
      </c>
      <c r="AA42" s="302">
        <f t="shared" si="17"/>
        <v>0.62923974051008968</v>
      </c>
      <c r="AB42" s="302">
        <f t="shared" si="17"/>
        <v>0.76951627394103794</v>
      </c>
      <c r="AC42" s="302">
        <f t="shared" si="17"/>
        <v>0.76675948452252163</v>
      </c>
      <c r="AD42" s="302">
        <f t="shared" si="17"/>
        <v>0.76403614148309029</v>
      </c>
      <c r="AE42" s="302">
        <f t="shared" si="17"/>
        <v>0.76121907351963536</v>
      </c>
      <c r="AF42" s="302">
        <f t="shared" si="17"/>
        <v>0.76808977922710497</v>
      </c>
      <c r="AG42" s="302">
        <f t="shared" si="17"/>
        <v>0.76712009695543149</v>
      </c>
      <c r="AH42" s="302">
        <f t="shared" si="17"/>
        <v>0.76510130978923396</v>
      </c>
      <c r="AI42" s="302">
        <f t="shared" si="17"/>
        <v>0.7627061206543041</v>
      </c>
      <c r="AJ42" s="302">
        <f t="shared" si="17"/>
        <v>0.76026311195890439</v>
      </c>
      <c r="AK42" s="302">
        <f t="shared" si="17"/>
        <v>0.75787529588128866</v>
      </c>
      <c r="AL42" s="302">
        <f t="shared" si="17"/>
        <v>0.7544276012806812</v>
      </c>
      <c r="AM42" s="302">
        <f t="shared" si="17"/>
        <v>0.75166202197563736</v>
      </c>
      <c r="AN42" s="302">
        <f t="shared" si="17"/>
        <v>0.74932941180457246</v>
      </c>
      <c r="AO42" s="302">
        <f t="shared" si="17"/>
        <v>0.74727814822306493</v>
      </c>
      <c r="AP42" s="302">
        <f t="shared" si="17"/>
        <v>0.75576445530255354</v>
      </c>
      <c r="AQ42" s="302">
        <f t="shared" si="17"/>
        <v>0.75423237444834923</v>
      </c>
      <c r="AR42" s="302">
        <f t="shared" si="17"/>
        <v>0.75219667916091837</v>
      </c>
      <c r="AS42" s="302">
        <f t="shared" si="17"/>
        <v>0.75000045389351866</v>
      </c>
      <c r="AT42" s="302">
        <f t="shared" si="17"/>
        <v>0.74779261458252766</v>
      </c>
      <c r="AU42" s="303">
        <f t="shared" si="17"/>
        <v>0.62529427439949736</v>
      </c>
      <c r="AW42" s="301">
        <f t="shared" si="18"/>
        <v>-2.4385184100628732E-2</v>
      </c>
      <c r="AX42" s="301">
        <f t="shared" si="19"/>
        <v>-2.8330650211221053E-2</v>
      </c>
    </row>
    <row r="43" spans="1:50" x14ac:dyDescent="0.25">
      <c r="B43" s="257" t="s">
        <v>471</v>
      </c>
      <c r="C43" s="302">
        <f t="shared" si="20"/>
        <v>0.64313674466660875</v>
      </c>
      <c r="D43" s="302">
        <f t="shared" si="17"/>
        <v>0.63717591531775775</v>
      </c>
      <c r="E43" s="302">
        <f t="shared" si="17"/>
        <v>0.63326358622399248</v>
      </c>
      <c r="F43" s="302">
        <f t="shared" si="17"/>
        <v>0.63020079468347279</v>
      </c>
      <c r="G43" s="302">
        <f t="shared" si="17"/>
        <v>0.62790827116087977</v>
      </c>
      <c r="H43" s="302">
        <f t="shared" si="17"/>
        <v>0.62243247415004666</v>
      </c>
      <c r="I43" s="302">
        <f t="shared" si="17"/>
        <v>0.61625657559016522</v>
      </c>
      <c r="J43" s="302">
        <f t="shared" si="17"/>
        <v>0.60889469548763353</v>
      </c>
      <c r="K43" s="302">
        <f t="shared" si="17"/>
        <v>0.60106133948170781</v>
      </c>
      <c r="L43" s="302">
        <f t="shared" si="17"/>
        <v>0.59388167797196478</v>
      </c>
      <c r="M43" s="302">
        <f t="shared" si="17"/>
        <v>0.5955671153055363</v>
      </c>
      <c r="N43" s="302">
        <f t="shared" si="17"/>
        <v>0.59684477014994275</v>
      </c>
      <c r="O43" s="302">
        <f t="shared" si="17"/>
        <v>0.59526500593895137</v>
      </c>
      <c r="P43" s="302">
        <f t="shared" si="17"/>
        <v>0.59917241817467592</v>
      </c>
      <c r="Q43" s="302">
        <f t="shared" si="17"/>
        <v>0.59412064891587435</v>
      </c>
      <c r="R43" s="302">
        <f t="shared" si="17"/>
        <v>0.5872326279857939</v>
      </c>
      <c r="S43" s="302">
        <f t="shared" si="17"/>
        <v>0.58482844441245041</v>
      </c>
      <c r="T43" s="302">
        <f t="shared" si="17"/>
        <v>0.5839338721832219</v>
      </c>
      <c r="U43" s="302">
        <f t="shared" si="17"/>
        <v>0.58503372065421233</v>
      </c>
      <c r="V43" s="302">
        <f t="shared" si="17"/>
        <v>0.5796724992801825</v>
      </c>
      <c r="W43" s="302">
        <f t="shared" si="17"/>
        <v>0.58351755456568988</v>
      </c>
      <c r="X43" s="302">
        <f t="shared" si="17"/>
        <v>0.58487450096908111</v>
      </c>
      <c r="Y43" s="302">
        <f t="shared" si="17"/>
        <v>0.58538110015099165</v>
      </c>
      <c r="Z43" s="302">
        <f t="shared" si="17"/>
        <v>0.58557343029674969</v>
      </c>
      <c r="AA43" s="302">
        <f t="shared" si="17"/>
        <v>0.58147810817868917</v>
      </c>
      <c r="AB43" s="302">
        <f t="shared" si="17"/>
        <v>0.58391692189624922</v>
      </c>
      <c r="AC43" s="302">
        <f t="shared" si="17"/>
        <v>0.58409943394521535</v>
      </c>
      <c r="AD43" s="302">
        <f t="shared" si="17"/>
        <v>0.58431634053751891</v>
      </c>
      <c r="AE43" s="302">
        <f t="shared" si="17"/>
        <v>0.58429206010850487</v>
      </c>
      <c r="AF43" s="302">
        <f t="shared" si="17"/>
        <v>0.58164054783247909</v>
      </c>
      <c r="AG43" s="302">
        <f t="shared" si="17"/>
        <v>0.58288214325016996</v>
      </c>
      <c r="AH43" s="302">
        <f t="shared" si="17"/>
        <v>0.58318687825967042</v>
      </c>
      <c r="AI43" s="302">
        <f t="shared" si="17"/>
        <v>0.58309702499663696</v>
      </c>
      <c r="AJ43" s="302">
        <f t="shared" si="17"/>
        <v>0.58291538663797793</v>
      </c>
      <c r="AK43" s="302">
        <f t="shared" si="17"/>
        <v>0.58271799567363247</v>
      </c>
      <c r="AL43" s="302">
        <f t="shared" si="17"/>
        <v>0.58192365698542114</v>
      </c>
      <c r="AM43" s="302">
        <f t="shared" si="17"/>
        <v>0.58143826079325522</v>
      </c>
      <c r="AN43" s="302">
        <f t="shared" si="17"/>
        <v>0.5810396361210679</v>
      </c>
      <c r="AO43" s="302">
        <f t="shared" si="17"/>
        <v>0.58069105272496258</v>
      </c>
      <c r="AP43" s="302">
        <f t="shared" si="17"/>
        <v>0.57867319488116786</v>
      </c>
      <c r="AQ43" s="302">
        <f t="shared" si="17"/>
        <v>0.57897613852832119</v>
      </c>
      <c r="AR43" s="302">
        <f t="shared" si="17"/>
        <v>0.57889847539524308</v>
      </c>
      <c r="AS43" s="302">
        <f t="shared" si="17"/>
        <v>0.57869220584482739</v>
      </c>
      <c r="AT43" s="302">
        <f t="shared" si="17"/>
        <v>0.57848479338879133</v>
      </c>
      <c r="AU43" s="303">
        <f t="shared" si="17"/>
        <v>0.57828039298979261</v>
      </c>
      <c r="AW43" s="301">
        <f t="shared" si="18"/>
        <v>-1.7694309995986757E-2</v>
      </c>
      <c r="AX43" s="301">
        <f t="shared" si="19"/>
        <v>-2.0892025184883312E-2</v>
      </c>
    </row>
    <row r="44" spans="1:50" x14ac:dyDescent="0.25">
      <c r="B44" s="260" t="s">
        <v>472</v>
      </c>
      <c r="C44" s="304">
        <f t="shared" si="20"/>
        <v>0.10294003684582265</v>
      </c>
      <c r="D44" s="304">
        <f t="shared" si="17"/>
        <v>0.10606340496502756</v>
      </c>
      <c r="E44" s="304">
        <f t="shared" si="17"/>
        <v>0.10555550545541087</v>
      </c>
      <c r="F44" s="304">
        <f t="shared" si="17"/>
        <v>0.10597570338208233</v>
      </c>
      <c r="G44" s="304">
        <f t="shared" si="17"/>
        <v>0.10507753189982283</v>
      </c>
      <c r="H44" s="304">
        <f t="shared" si="17"/>
        <v>0.10819389279273231</v>
      </c>
      <c r="I44" s="304">
        <f t="shared" si="17"/>
        <v>0.10846540291281979</v>
      </c>
      <c r="J44" s="304">
        <f t="shared" si="17"/>
        <v>0.1104105643298386</v>
      </c>
      <c r="K44" s="304">
        <f t="shared" si="17"/>
        <v>0.1138295234470198</v>
      </c>
      <c r="L44" s="304">
        <f t="shared" si="17"/>
        <v>0.11298312926903431</v>
      </c>
      <c r="M44" s="304">
        <f t="shared" si="17"/>
        <v>0.11037132831000258</v>
      </c>
      <c r="N44" s="304">
        <f t="shared" si="17"/>
        <v>0.11071037727794319</v>
      </c>
      <c r="O44" s="304">
        <f t="shared" si="17"/>
        <v>0.11435664566985662</v>
      </c>
      <c r="P44" s="304">
        <f t="shared" si="17"/>
        <v>0.10826818188890171</v>
      </c>
      <c r="Q44" s="304">
        <f t="shared" si="17"/>
        <v>5.3885750691960117E-2</v>
      </c>
      <c r="R44" s="304">
        <f t="shared" si="17"/>
        <v>0.11725359277126286</v>
      </c>
      <c r="S44" s="304">
        <f t="shared" si="17"/>
        <v>0.120113731560874</v>
      </c>
      <c r="T44" s="304">
        <f t="shared" si="17"/>
        <v>0.12620838583469043</v>
      </c>
      <c r="U44" s="304">
        <f t="shared" si="17"/>
        <v>0.12724979753961504</v>
      </c>
      <c r="V44" s="304">
        <f t="shared" si="17"/>
        <v>0.16562253922169709</v>
      </c>
      <c r="W44" s="304">
        <f t="shared" si="17"/>
        <v>0.16642844625584638</v>
      </c>
      <c r="X44" s="304">
        <f t="shared" si="17"/>
        <v>0.16542940523045899</v>
      </c>
      <c r="Y44" s="304">
        <f t="shared" si="17"/>
        <v>0.16422375682860194</v>
      </c>
      <c r="Z44" s="304">
        <f t="shared" si="17"/>
        <v>0.16302742847898938</v>
      </c>
      <c r="AA44" s="304">
        <f t="shared" si="17"/>
        <v>4.7761632331400482E-2</v>
      </c>
      <c r="AB44" s="304">
        <f t="shared" si="17"/>
        <v>0.18559935204478867</v>
      </c>
      <c r="AC44" s="304">
        <f t="shared" si="17"/>
        <v>0.18266005057730625</v>
      </c>
      <c r="AD44" s="304">
        <f t="shared" si="17"/>
        <v>0.17971980094557133</v>
      </c>
      <c r="AE44" s="304">
        <f t="shared" si="17"/>
        <v>0.17692701341113048</v>
      </c>
      <c r="AF44" s="304">
        <f t="shared" si="17"/>
        <v>0.18644923139462577</v>
      </c>
      <c r="AG44" s="304">
        <f t="shared" si="17"/>
        <v>0.18423795370526153</v>
      </c>
      <c r="AH44" s="304">
        <f t="shared" si="17"/>
        <v>0.18191443152956355</v>
      </c>
      <c r="AI44" s="304">
        <f t="shared" si="17"/>
        <v>0.17960909565766706</v>
      </c>
      <c r="AJ44" s="304">
        <f t="shared" si="17"/>
        <v>0.17734772532092652</v>
      </c>
      <c r="AK44" s="304">
        <f t="shared" si="17"/>
        <v>0.17515730020765624</v>
      </c>
      <c r="AL44" s="304">
        <f t="shared" si="17"/>
        <v>0.17250394429526006</v>
      </c>
      <c r="AM44" s="304">
        <f t="shared" si="17"/>
        <v>0.17022376118238219</v>
      </c>
      <c r="AN44" s="304">
        <f t="shared" si="17"/>
        <v>0.16828977568350456</v>
      </c>
      <c r="AO44" s="304">
        <f t="shared" si="17"/>
        <v>0.16658709549810238</v>
      </c>
      <c r="AP44" s="304">
        <f t="shared" si="17"/>
        <v>0.17709126042138568</v>
      </c>
      <c r="AQ44" s="304">
        <f t="shared" si="17"/>
        <v>0.17525623592002806</v>
      </c>
      <c r="AR44" s="304">
        <f t="shared" si="17"/>
        <v>0.17329820376567534</v>
      </c>
      <c r="AS44" s="304">
        <f t="shared" si="17"/>
        <v>0.17130824804869121</v>
      </c>
      <c r="AT44" s="304">
        <f t="shared" si="17"/>
        <v>0.16930782119373625</v>
      </c>
      <c r="AU44" s="305">
        <f t="shared" si="17"/>
        <v>4.7013881409704833E-2</v>
      </c>
      <c r="AW44" s="301">
        <f t="shared" si="18"/>
        <v>-6.0506549557501225E-2</v>
      </c>
      <c r="AX44" s="301">
        <f t="shared" si="19"/>
        <v>-6.1254300479196874E-2</v>
      </c>
    </row>
    <row r="45" spans="1:50" x14ac:dyDescent="0.25">
      <c r="B45" s="248" t="s">
        <v>473</v>
      </c>
      <c r="C45" s="306">
        <f t="shared" si="20"/>
        <v>0.84019670780873068</v>
      </c>
      <c r="D45" s="306">
        <f t="shared" si="17"/>
        <v>0.83777764161765134</v>
      </c>
      <c r="E45" s="306">
        <f t="shared" si="17"/>
        <v>0.83947759743279449</v>
      </c>
      <c r="F45" s="306">
        <f t="shared" si="17"/>
        <v>0.83930771103165025</v>
      </c>
      <c r="G45" s="306">
        <f t="shared" si="17"/>
        <v>0.8406298238718336</v>
      </c>
      <c r="H45" s="306">
        <f t="shared" si="17"/>
        <v>0.83792142083530452</v>
      </c>
      <c r="I45" s="306">
        <f t="shared" si="17"/>
        <v>0.83911269614996475</v>
      </c>
      <c r="J45" s="306">
        <f t="shared" ref="J45:AU45" si="21">J10/(J$2-J$3)</f>
        <v>0.83843369611359042</v>
      </c>
      <c r="K45" s="306">
        <f t="shared" si="21"/>
        <v>0.83595549247429213</v>
      </c>
      <c r="L45" s="306">
        <f t="shared" si="21"/>
        <v>0.83860643702159121</v>
      </c>
      <c r="M45" s="306">
        <f t="shared" si="21"/>
        <v>0.84131992673420086</v>
      </c>
      <c r="N45" s="306">
        <f t="shared" si="21"/>
        <v>0.84056792147865755</v>
      </c>
      <c r="O45" s="306">
        <f t="shared" si="21"/>
        <v>0.83672528336903695</v>
      </c>
      <c r="P45" s="306">
        <f t="shared" si="21"/>
        <v>0.83766474188977802</v>
      </c>
      <c r="Q45" s="306">
        <f t="shared" si="21"/>
        <v>0.83420584369506801</v>
      </c>
      <c r="R45" s="306">
        <f t="shared" si="21"/>
        <v>0.82993193999909454</v>
      </c>
      <c r="S45" s="306">
        <f t="shared" si="21"/>
        <v>0.82731004389578233</v>
      </c>
      <c r="T45" s="306">
        <f t="shared" si="21"/>
        <v>0.82156516045600436</v>
      </c>
      <c r="U45" s="306">
        <f t="shared" si="21"/>
        <v>0.82173913808664101</v>
      </c>
      <c r="V45" s="306">
        <f t="shared" si="21"/>
        <v>0.78655694604907977</v>
      </c>
      <c r="W45" s="306">
        <f t="shared" si="21"/>
        <v>0.78536419358187237</v>
      </c>
      <c r="X45" s="306">
        <f t="shared" si="21"/>
        <v>0.78580313255453382</v>
      </c>
      <c r="Y45" s="306">
        <f t="shared" si="21"/>
        <v>0.78677024100647863</v>
      </c>
      <c r="Z45" s="306">
        <f t="shared" si="21"/>
        <v>0.78784749114719543</v>
      </c>
      <c r="AA45" s="306">
        <f t="shared" si="21"/>
        <v>0.76483310198119792</v>
      </c>
      <c r="AB45" s="306">
        <f t="shared" si="21"/>
        <v>0.76565187545435942</v>
      </c>
      <c r="AC45" s="306">
        <f t="shared" si="21"/>
        <v>0.76848717253112608</v>
      </c>
      <c r="AD45" s="306">
        <f t="shared" si="21"/>
        <v>0.77134402897132603</v>
      </c>
      <c r="AE45" s="306">
        <f t="shared" si="21"/>
        <v>0.7741362625458923</v>
      </c>
      <c r="AF45" s="306">
        <f t="shared" si="21"/>
        <v>0.76567643291070486</v>
      </c>
      <c r="AG45" s="306">
        <f t="shared" si="21"/>
        <v>0.76735512926031535</v>
      </c>
      <c r="AH45" s="306">
        <f t="shared" si="21"/>
        <v>0.76949759832732734</v>
      </c>
      <c r="AI45" s="306">
        <f t="shared" si="21"/>
        <v>0.77177561118136961</v>
      </c>
      <c r="AJ45" s="306">
        <f t="shared" si="21"/>
        <v>0.77405680341327143</v>
      </c>
      <c r="AK45" s="306">
        <f t="shared" si="21"/>
        <v>0.77628504208587668</v>
      </c>
      <c r="AL45" s="306">
        <f t="shared" si="21"/>
        <v>0.77923923251134897</v>
      </c>
      <c r="AM45" s="306">
        <f t="shared" si="21"/>
        <v>0.7816977554645772</v>
      </c>
      <c r="AN45" s="306">
        <f t="shared" si="21"/>
        <v>0.78376347271834301</v>
      </c>
      <c r="AO45" s="306">
        <f t="shared" si="21"/>
        <v>0.78557297088115807</v>
      </c>
      <c r="AP45" s="306">
        <f t="shared" si="21"/>
        <v>0.77585067532354712</v>
      </c>
      <c r="AQ45" s="306">
        <f t="shared" si="21"/>
        <v>0.77752459677142649</v>
      </c>
      <c r="AR45" s="306">
        <f t="shared" si="21"/>
        <v>0.77947635425466033</v>
      </c>
      <c r="AS45" s="306">
        <f t="shared" si="21"/>
        <v>0.78152129662622161</v>
      </c>
      <c r="AT45" s="306">
        <f t="shared" si="21"/>
        <v>0.78359429601660224</v>
      </c>
      <c r="AU45" s="307">
        <f t="shared" si="21"/>
        <v>0.78565209902097288</v>
      </c>
      <c r="AW45" s="308">
        <f>AA45-P45</f>
        <v>-7.2831639908580104E-2</v>
      </c>
      <c r="AX45" s="308">
        <f>AU45-P45</f>
        <v>-5.2012642868805137E-2</v>
      </c>
    </row>
    <row r="46" spans="1:50" x14ac:dyDescent="0.25"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4"/>
      <c r="AT46" s="264"/>
      <c r="AU46" s="264"/>
    </row>
    <row r="47" spans="1:50" s="243" customFormat="1" ht="45" customHeight="1" x14ac:dyDescent="0.25">
      <c r="A47" s="238" t="s">
        <v>474</v>
      </c>
      <c r="B47" s="239" t="s">
        <v>497</v>
      </c>
      <c r="C47" s="241">
        <v>2006</v>
      </c>
      <c r="D47" s="241">
        <v>2007</v>
      </c>
      <c r="E47" s="241">
        <v>2008</v>
      </c>
      <c r="F47" s="241">
        <v>2009</v>
      </c>
      <c r="G47" s="241">
        <v>2010</v>
      </c>
      <c r="H47" s="241">
        <v>2011</v>
      </c>
      <c r="I47" s="241">
        <v>2012</v>
      </c>
      <c r="J47" s="241">
        <v>2013</v>
      </c>
      <c r="K47" s="241">
        <v>2014</v>
      </c>
      <c r="L47" s="241">
        <v>2015</v>
      </c>
      <c r="M47" s="241">
        <v>2016</v>
      </c>
      <c r="N47" s="241">
        <v>2017</v>
      </c>
      <c r="O47" s="241">
        <v>2018</v>
      </c>
      <c r="P47" s="241">
        <v>2019</v>
      </c>
      <c r="Q47" s="241">
        <v>2020</v>
      </c>
      <c r="R47" s="241">
        <v>2021</v>
      </c>
      <c r="S47" s="241">
        <v>2022</v>
      </c>
      <c r="T47" s="241">
        <v>2023</v>
      </c>
      <c r="U47" s="241">
        <v>2024</v>
      </c>
      <c r="V47" s="241">
        <v>2025</v>
      </c>
      <c r="W47" s="241">
        <v>2026</v>
      </c>
      <c r="X47" s="241">
        <v>2027</v>
      </c>
      <c r="Y47" s="241">
        <v>2028</v>
      </c>
      <c r="Z47" s="241">
        <v>2029</v>
      </c>
      <c r="AA47" s="241">
        <v>2030</v>
      </c>
      <c r="AB47" s="241">
        <v>2031</v>
      </c>
      <c r="AC47" s="241">
        <v>2032</v>
      </c>
      <c r="AD47" s="241">
        <v>2033</v>
      </c>
      <c r="AE47" s="241">
        <v>2034</v>
      </c>
      <c r="AF47" s="241">
        <v>2035</v>
      </c>
      <c r="AG47" s="241">
        <v>2036</v>
      </c>
      <c r="AH47" s="241">
        <v>2037</v>
      </c>
      <c r="AI47" s="241">
        <v>2038</v>
      </c>
      <c r="AJ47" s="241">
        <v>2039</v>
      </c>
      <c r="AK47" s="241">
        <v>2040</v>
      </c>
      <c r="AL47" s="241">
        <v>2041</v>
      </c>
      <c r="AM47" s="241">
        <v>2042</v>
      </c>
      <c r="AN47" s="241">
        <v>2043</v>
      </c>
      <c r="AO47" s="241">
        <v>2044</v>
      </c>
      <c r="AP47" s="241">
        <v>2045</v>
      </c>
      <c r="AQ47" s="241">
        <v>2046</v>
      </c>
      <c r="AR47" s="241">
        <v>2047</v>
      </c>
      <c r="AS47" s="241">
        <v>2048</v>
      </c>
      <c r="AT47" s="241">
        <v>2049</v>
      </c>
      <c r="AU47" s="242">
        <v>2050</v>
      </c>
      <c r="AW47" s="241" t="s">
        <v>498</v>
      </c>
      <c r="AX47" s="241" t="s">
        <v>499</v>
      </c>
    </row>
    <row r="48" spans="1:50" x14ac:dyDescent="0.25">
      <c r="B48" s="244" t="s">
        <v>1</v>
      </c>
      <c r="C48" s="245">
        <f t="shared" ref="C48:AU48" si="22">C49+C50+C53</f>
        <v>1</v>
      </c>
      <c r="D48" s="246">
        <f t="shared" si="22"/>
        <v>0.99999999999999989</v>
      </c>
      <c r="E48" s="246">
        <f t="shared" si="22"/>
        <v>1</v>
      </c>
      <c r="F48" s="246">
        <f t="shared" si="22"/>
        <v>1</v>
      </c>
      <c r="G48" s="246">
        <f t="shared" si="22"/>
        <v>1</v>
      </c>
      <c r="H48" s="246">
        <f t="shared" si="22"/>
        <v>0.99999999999999989</v>
      </c>
      <c r="I48" s="246">
        <f t="shared" si="22"/>
        <v>0.99999999999999989</v>
      </c>
      <c r="J48" s="246">
        <f t="shared" si="22"/>
        <v>1</v>
      </c>
      <c r="K48" s="246">
        <f t="shared" si="22"/>
        <v>1</v>
      </c>
      <c r="L48" s="246">
        <f t="shared" si="22"/>
        <v>1</v>
      </c>
      <c r="M48" s="246">
        <f t="shared" si="22"/>
        <v>1</v>
      </c>
      <c r="N48" s="246">
        <f t="shared" si="22"/>
        <v>0.99999999999999989</v>
      </c>
      <c r="O48" s="246">
        <f t="shared" si="22"/>
        <v>1</v>
      </c>
      <c r="P48" s="246">
        <f t="shared" si="22"/>
        <v>0.99999999999999989</v>
      </c>
      <c r="Q48" s="246">
        <f t="shared" si="22"/>
        <v>0.99932416786377021</v>
      </c>
      <c r="R48" s="246">
        <f t="shared" si="22"/>
        <v>1.0005467773161885</v>
      </c>
      <c r="S48" s="246">
        <f t="shared" si="22"/>
        <v>1.0005141206198049</v>
      </c>
      <c r="T48" s="246">
        <f t="shared" si="22"/>
        <v>1.0003127895918678</v>
      </c>
      <c r="U48" s="246">
        <f t="shared" si="22"/>
        <v>1.0002065593354781</v>
      </c>
      <c r="V48" s="246">
        <f t="shared" si="22"/>
        <v>0.99303082692673295</v>
      </c>
      <c r="W48" s="246">
        <f t="shared" si="22"/>
        <v>0.99299363135312269</v>
      </c>
      <c r="X48" s="246">
        <f t="shared" si="22"/>
        <v>0.99303544467027371</v>
      </c>
      <c r="Y48" s="246">
        <f t="shared" si="22"/>
        <v>0.99307703634987021</v>
      </c>
      <c r="Z48" s="246">
        <f t="shared" si="22"/>
        <v>0.99311392257890763</v>
      </c>
      <c r="AA48" s="246">
        <f t="shared" si="22"/>
        <v>0.99061926422871971</v>
      </c>
      <c r="AB48" s="246">
        <f t="shared" si="22"/>
        <v>0.99070329802921697</v>
      </c>
      <c r="AC48" s="246">
        <f t="shared" si="22"/>
        <v>0.99071625463114932</v>
      </c>
      <c r="AD48" s="246">
        <f t="shared" si="22"/>
        <v>0.990752262261409</v>
      </c>
      <c r="AE48" s="246">
        <f t="shared" si="22"/>
        <v>0.9907975027717536</v>
      </c>
      <c r="AF48" s="246">
        <f t="shared" si="22"/>
        <v>0.99074027498709583</v>
      </c>
      <c r="AG48" s="246">
        <f t="shared" si="22"/>
        <v>0.99075241932092317</v>
      </c>
      <c r="AH48" s="246">
        <f t="shared" si="22"/>
        <v>0.9908033571220759</v>
      </c>
      <c r="AI48" s="246">
        <f t="shared" si="22"/>
        <v>0.99087525751271766</v>
      </c>
      <c r="AJ48" s="246">
        <f t="shared" si="22"/>
        <v>0.99096448325733344</v>
      </c>
      <c r="AK48" s="246">
        <f t="shared" si="22"/>
        <v>0.99106998508281174</v>
      </c>
      <c r="AL48" s="246">
        <f t="shared" si="22"/>
        <v>0.99116295608529748</v>
      </c>
      <c r="AM48" s="246">
        <f t="shared" si="22"/>
        <v>0.99129571513246728</v>
      </c>
      <c r="AN48" s="246">
        <f t="shared" si="22"/>
        <v>0.99145763818295474</v>
      </c>
      <c r="AO48" s="246">
        <f t="shared" si="22"/>
        <v>0.99164522681300848</v>
      </c>
      <c r="AP48" s="246">
        <f t="shared" si="22"/>
        <v>0.99192607935468269</v>
      </c>
      <c r="AQ48" s="246">
        <f t="shared" si="22"/>
        <v>0.99188996527232265</v>
      </c>
      <c r="AR48" s="246">
        <f t="shared" si="22"/>
        <v>0.99203746422522743</v>
      </c>
      <c r="AS48" s="246">
        <f t="shared" si="22"/>
        <v>0.99229185422215382</v>
      </c>
      <c r="AT48" s="246">
        <f t="shared" si="22"/>
        <v>0.99263564763303491</v>
      </c>
      <c r="AU48" s="247">
        <f t="shared" si="22"/>
        <v>0.99307130033317614</v>
      </c>
    </row>
    <row r="49" spans="1:50" x14ac:dyDescent="0.25">
      <c r="B49" s="248" t="s">
        <v>466</v>
      </c>
      <c r="C49" s="298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1"/>
      <c r="AW49" s="252"/>
    </row>
    <row r="50" spans="1:50" x14ac:dyDescent="0.25">
      <c r="B50" s="253" t="s">
        <v>467</v>
      </c>
      <c r="C50" s="299">
        <f>C15/(C$2-C$3)</f>
        <v>0.29999999998794452</v>
      </c>
      <c r="D50" s="299">
        <f t="shared" ref="D50:AU51" si="23">D15/(D$2-D$3)</f>
        <v>0.30666008419100299</v>
      </c>
      <c r="E50" s="299">
        <f t="shared" si="23"/>
        <v>0.31172750588495557</v>
      </c>
      <c r="F50" s="299">
        <f t="shared" si="23"/>
        <v>0.31503666809264719</v>
      </c>
      <c r="G50" s="299">
        <f t="shared" si="23"/>
        <v>0.3177294715624121</v>
      </c>
      <c r="H50" s="299">
        <f t="shared" si="23"/>
        <v>0.32360240465935231</v>
      </c>
      <c r="I50" s="299">
        <f t="shared" si="23"/>
        <v>0.33120364530560586</v>
      </c>
      <c r="J50" s="299">
        <f t="shared" si="23"/>
        <v>0.33982343913991886</v>
      </c>
      <c r="K50" s="299">
        <f t="shared" si="23"/>
        <v>0.34859218102886713</v>
      </c>
      <c r="L50" s="299">
        <f t="shared" si="23"/>
        <v>0.35748121703318786</v>
      </c>
      <c r="M50" s="299">
        <f t="shared" si="23"/>
        <v>0.3558693229036976</v>
      </c>
      <c r="N50" s="299">
        <f t="shared" si="23"/>
        <v>0.3541750263872594</v>
      </c>
      <c r="O50" s="299">
        <f t="shared" si="23"/>
        <v>0.35549057059988859</v>
      </c>
      <c r="P50" s="299">
        <f t="shared" si="23"/>
        <v>0.34637507538928147</v>
      </c>
      <c r="Q50" s="299">
        <f t="shared" si="23"/>
        <v>0.35157593107564644</v>
      </c>
      <c r="R50" s="299">
        <f t="shared" si="23"/>
        <v>0.3594755377104773</v>
      </c>
      <c r="S50" s="299">
        <f t="shared" si="23"/>
        <v>0.36208953961753715</v>
      </c>
      <c r="T50" s="299">
        <f t="shared" si="23"/>
        <v>0.36313517984169469</v>
      </c>
      <c r="U50" s="299">
        <f t="shared" si="23"/>
        <v>0.36324096424205732</v>
      </c>
      <c r="V50" s="299">
        <f t="shared" si="23"/>
        <v>0.36484013871369148</v>
      </c>
      <c r="W50" s="299">
        <f t="shared" si="23"/>
        <v>0.36061964657680173</v>
      </c>
      <c r="X50" s="299">
        <f t="shared" si="23"/>
        <v>0.35874517225698754</v>
      </c>
      <c r="Y50" s="299">
        <f t="shared" si="23"/>
        <v>0.3580322206346469</v>
      </c>
      <c r="Z50" s="299">
        <f t="shared" si="23"/>
        <v>0.35775063920905564</v>
      </c>
      <c r="AA50" s="299">
        <f t="shared" si="23"/>
        <v>0.36069905512684064</v>
      </c>
      <c r="AB50" s="299">
        <f t="shared" si="23"/>
        <v>0.35734668277386977</v>
      </c>
      <c r="AC50" s="299">
        <f t="shared" si="23"/>
        <v>0.35705020735610626</v>
      </c>
      <c r="AD50" s="299">
        <f t="shared" si="23"/>
        <v>0.35675723729269948</v>
      </c>
      <c r="AE50" s="299">
        <f t="shared" si="23"/>
        <v>0.35679008972247084</v>
      </c>
      <c r="AF50" s="299">
        <f t="shared" si="23"/>
        <v>0.36037884896171379</v>
      </c>
      <c r="AG50" s="299">
        <f t="shared" si="23"/>
        <v>0.35858490617371613</v>
      </c>
      <c r="AH50" s="299">
        <f t="shared" si="23"/>
        <v>0.35810800131975162</v>
      </c>
      <c r="AI50" s="299">
        <f t="shared" si="23"/>
        <v>0.3581954732758017</v>
      </c>
      <c r="AJ50" s="299">
        <f t="shared" si="23"/>
        <v>0.35843585103924896</v>
      </c>
      <c r="AK50" s="299">
        <f t="shared" si="23"/>
        <v>0.35872321294318871</v>
      </c>
      <c r="AL50" s="299">
        <f t="shared" si="23"/>
        <v>0.35985076158561075</v>
      </c>
      <c r="AM50" s="299">
        <f t="shared" si="23"/>
        <v>0.36058012396503891</v>
      </c>
      <c r="AN50" s="299">
        <f t="shared" si="23"/>
        <v>0.3611991356786049</v>
      </c>
      <c r="AO50" s="299">
        <f t="shared" si="23"/>
        <v>0.36176173453240362</v>
      </c>
      <c r="AP50" s="299">
        <f t="shared" si="23"/>
        <v>0.36467165198799717</v>
      </c>
      <c r="AQ50" s="299">
        <f t="shared" si="23"/>
        <v>0.3641035063359146</v>
      </c>
      <c r="AR50" s="299">
        <f t="shared" si="23"/>
        <v>0.36422251014783397</v>
      </c>
      <c r="AS50" s="299">
        <f t="shared" si="23"/>
        <v>0.36461475218020578</v>
      </c>
      <c r="AT50" s="299">
        <f t="shared" si="23"/>
        <v>0.36508792886506675</v>
      </c>
      <c r="AU50" s="300">
        <f t="shared" si="23"/>
        <v>0.36562919517399223</v>
      </c>
      <c r="AW50" s="301">
        <f t="shared" ref="AW50:AW55" si="24">AA50-P50</f>
        <v>1.4323979737559167E-2</v>
      </c>
      <c r="AX50" s="301">
        <f t="shared" ref="AX50:AX55" si="25">AU50-P50</f>
        <v>1.9254119784710755E-2</v>
      </c>
    </row>
    <row r="51" spans="1:50" x14ac:dyDescent="0.25">
      <c r="B51" s="257" t="s">
        <v>468</v>
      </c>
      <c r="C51" s="302">
        <f>C16/(C$2-C$3)</f>
        <v>0.1970599631421219</v>
      </c>
      <c r="D51" s="302">
        <f t="shared" si="23"/>
        <v>0.20060172629989356</v>
      </c>
      <c r="E51" s="302">
        <f t="shared" si="23"/>
        <v>0.20621401120880187</v>
      </c>
      <c r="F51" s="302">
        <f t="shared" si="23"/>
        <v>0.20910691634817755</v>
      </c>
      <c r="G51" s="302">
        <f t="shared" si="23"/>
        <v>0.21272155271095383</v>
      </c>
      <c r="H51" s="302">
        <f t="shared" si="23"/>
        <v>0.21548894668525784</v>
      </c>
      <c r="I51" s="302">
        <f t="shared" si="23"/>
        <v>0.22285612055979956</v>
      </c>
      <c r="J51" s="302">
        <f t="shared" si="23"/>
        <v>0.22953900062595697</v>
      </c>
      <c r="K51" s="302">
        <f t="shared" si="23"/>
        <v>0.23489415299258426</v>
      </c>
      <c r="L51" s="302">
        <f t="shared" si="23"/>
        <v>0.24472475904962637</v>
      </c>
      <c r="M51" s="302">
        <f t="shared" si="23"/>
        <v>0.24575281142866459</v>
      </c>
      <c r="N51" s="302">
        <f t="shared" si="23"/>
        <v>0.24372315132871486</v>
      </c>
      <c r="O51" s="302">
        <f t="shared" si="23"/>
        <v>0.24146027743008555</v>
      </c>
      <c r="P51" s="302">
        <f t="shared" si="23"/>
        <v>0.23849232371510207</v>
      </c>
      <c r="Q51" s="302">
        <f t="shared" si="23"/>
        <v>0.2400851947791936</v>
      </c>
      <c r="R51" s="302">
        <f t="shared" si="23"/>
        <v>0.24269931201330056</v>
      </c>
      <c r="S51" s="302">
        <f t="shared" si="23"/>
        <v>0.24248159948333189</v>
      </c>
      <c r="T51" s="302">
        <f t="shared" si="23"/>
        <v>0.23763128827278254</v>
      </c>
      <c r="U51" s="302">
        <f t="shared" si="23"/>
        <v>0.23672386429696188</v>
      </c>
      <c r="V51" s="302">
        <f t="shared" si="23"/>
        <v>0.20691355333079031</v>
      </c>
      <c r="W51" s="302">
        <f t="shared" si="23"/>
        <v>0.20181974192122845</v>
      </c>
      <c r="X51" s="302">
        <f t="shared" si="23"/>
        <v>0.20081860501600518</v>
      </c>
      <c r="Y51" s="302">
        <f t="shared" si="23"/>
        <v>0.20119936392887194</v>
      </c>
      <c r="Z51" s="302">
        <f t="shared" si="23"/>
        <v>0.20200780350565911</v>
      </c>
      <c r="AA51" s="302">
        <f t="shared" si="23"/>
        <v>0.18282177613021428</v>
      </c>
      <c r="AB51" s="302">
        <f t="shared" si="23"/>
        <v>0.18101970749910995</v>
      </c>
      <c r="AC51" s="302">
        <f t="shared" si="23"/>
        <v>0.18351104478720145</v>
      </c>
      <c r="AD51" s="302">
        <f t="shared" si="23"/>
        <v>0.18600628961621116</v>
      </c>
      <c r="AE51" s="302">
        <f t="shared" si="23"/>
        <v>0.18869162447718701</v>
      </c>
      <c r="AF51" s="302">
        <f t="shared" si="23"/>
        <v>0.1824098754865191</v>
      </c>
      <c r="AG51" s="302">
        <f t="shared" si="23"/>
        <v>0.18262034637396468</v>
      </c>
      <c r="AH51" s="302">
        <f t="shared" si="23"/>
        <v>0.18428993240259681</v>
      </c>
      <c r="AI51" s="302">
        <f t="shared" si="23"/>
        <v>0.1865231845486777</v>
      </c>
      <c r="AJ51" s="302">
        <f t="shared" si="23"/>
        <v>0.18887501005618473</v>
      </c>
      <c r="AK51" s="302">
        <f t="shared" si="23"/>
        <v>0.19120879535341437</v>
      </c>
      <c r="AL51" s="302">
        <f t="shared" si="23"/>
        <v>0.19488419613428315</v>
      </c>
      <c r="AM51" s="302">
        <f t="shared" si="23"/>
        <v>0.19776821552949389</v>
      </c>
      <c r="AN51" s="302">
        <f t="shared" si="23"/>
        <v>0.20017981033007809</v>
      </c>
      <c r="AO51" s="302">
        <f t="shared" si="23"/>
        <v>0.20229026226720959</v>
      </c>
      <c r="AP51" s="302">
        <f t="shared" si="23"/>
        <v>0.19369974242451776</v>
      </c>
      <c r="AQ51" s="302">
        <f t="shared" si="23"/>
        <v>0.19481782179031207</v>
      </c>
      <c r="AR51" s="302">
        <f t="shared" si="23"/>
        <v>0.19673997698483375</v>
      </c>
      <c r="AS51" s="302">
        <f t="shared" si="23"/>
        <v>0.19895708175603063</v>
      </c>
      <c r="AT51" s="302">
        <f t="shared" si="23"/>
        <v>0.20124697409985126</v>
      </c>
      <c r="AU51" s="303">
        <f t="shared" si="23"/>
        <v>0.20354728050608648</v>
      </c>
      <c r="AW51" s="301">
        <f t="shared" si="24"/>
        <v>-5.5670547584887792E-2</v>
      </c>
      <c r="AX51" s="301">
        <f t="shared" si="25"/>
        <v>-3.4945043209015592E-2</v>
      </c>
    </row>
    <row r="52" spans="1:50" x14ac:dyDescent="0.25">
      <c r="B52" s="260" t="s">
        <v>469</v>
      </c>
      <c r="C52" s="304">
        <f t="shared" ref="C52:AU56" si="26">C17/(C$2-C$3)</f>
        <v>5.686325534544661E-2</v>
      </c>
      <c r="D52" s="304">
        <f t="shared" si="26"/>
        <v>5.6164242171278564E-2</v>
      </c>
      <c r="E52" s="304">
        <f t="shared" si="26"/>
        <v>5.5014530115452119E-2</v>
      </c>
      <c r="F52" s="304">
        <f t="shared" si="26"/>
        <v>5.4768135631338928E-2</v>
      </c>
      <c r="G52" s="304">
        <f t="shared" si="26"/>
        <v>5.4368174094881164E-2</v>
      </c>
      <c r="H52" s="304">
        <f t="shared" si="26"/>
        <v>5.3971037700415392E-2</v>
      </c>
      <c r="I52" s="304">
        <f t="shared" si="26"/>
        <v>5.2552416097307438E-2</v>
      </c>
      <c r="J52" s="304">
        <f t="shared" si="26"/>
        <v>5.1297852236139779E-2</v>
      </c>
      <c r="K52" s="304">
        <f t="shared" si="26"/>
        <v>5.0362944905435109E-2</v>
      </c>
      <c r="L52" s="304">
        <f t="shared" si="26"/>
        <v>4.8664656757481446E-2</v>
      </c>
      <c r="M52" s="304">
        <f t="shared" si="26"/>
        <v>4.8591606115222473E-2</v>
      </c>
      <c r="N52" s="304">
        <f t="shared" si="26"/>
        <v>4.9009250126785094E-2</v>
      </c>
      <c r="O52" s="304">
        <f t="shared" si="26"/>
        <v>4.9274880845780328E-2</v>
      </c>
      <c r="P52" s="304">
        <f t="shared" si="26"/>
        <v>5.4711872145831106E-2</v>
      </c>
      <c r="Q52" s="304">
        <f t="shared" si="26"/>
        <v>0.11190840561297177</v>
      </c>
      <c r="R52" s="304">
        <f t="shared" si="26"/>
        <v>5.2814467229642531E-2</v>
      </c>
      <c r="S52" s="304">
        <f t="shared" si="26"/>
        <v>5.2576224543343632E-2</v>
      </c>
      <c r="T52" s="304">
        <f t="shared" si="26"/>
        <v>5.2226453709305294E-2</v>
      </c>
      <c r="U52" s="304">
        <f t="shared" si="26"/>
        <v>5.099843182910347E-2</v>
      </c>
      <c r="V52" s="304">
        <f t="shared" si="26"/>
        <v>4.7791202821617307E-2</v>
      </c>
      <c r="W52" s="304">
        <f t="shared" si="26"/>
        <v>4.8176445722431176E-2</v>
      </c>
      <c r="X52" s="304">
        <f t="shared" si="26"/>
        <v>4.8740204335676794E-2</v>
      </c>
      <c r="Y52" s="304">
        <f t="shared" si="26"/>
        <v>4.8982579265782561E-2</v>
      </c>
      <c r="Z52" s="304">
        <f t="shared" si="26"/>
        <v>4.9104767965923835E-2</v>
      </c>
      <c r="AA52" s="304">
        <f t="shared" si="26"/>
        <v>0.18809844333416734</v>
      </c>
      <c r="AB52" s="304">
        <f t="shared" si="26"/>
        <v>4.8729297648065904E-2</v>
      </c>
      <c r="AC52" s="304">
        <f t="shared" si="26"/>
        <v>4.8840792152697883E-2</v>
      </c>
      <c r="AD52" s="304">
        <f t="shared" si="26"/>
        <v>4.8931499769854232E-2</v>
      </c>
      <c r="AE52" s="304">
        <f t="shared" si="26"/>
        <v>4.8940108438231454E-2</v>
      </c>
      <c r="AF52" s="304">
        <f t="shared" si="26"/>
        <v>4.7865447903801865E-2</v>
      </c>
      <c r="AG52" s="304">
        <f t="shared" si="26"/>
        <v>4.8416230420021703E-2</v>
      </c>
      <c r="AH52" s="304">
        <f t="shared" si="26"/>
        <v>4.8610217494217241E-2</v>
      </c>
      <c r="AI52" s="304">
        <f t="shared" si="26"/>
        <v>4.8648307788024828E-2</v>
      </c>
      <c r="AJ52" s="304">
        <f t="shared" si="26"/>
        <v>4.863850358827957E-2</v>
      </c>
      <c r="AK52" s="304">
        <f t="shared" si="26"/>
        <v>4.8610380205947989E-2</v>
      </c>
      <c r="AL52" s="304">
        <f t="shared" si="26"/>
        <v>4.832027110666675E-2</v>
      </c>
      <c r="AM52" s="304">
        <f t="shared" si="26"/>
        <v>4.8152578821376114E-2</v>
      </c>
      <c r="AN52" s="304">
        <f t="shared" si="26"/>
        <v>4.8031503174937644E-2</v>
      </c>
      <c r="AO52" s="304">
        <f t="shared" si="26"/>
        <v>4.793584272648195E-2</v>
      </c>
      <c r="AP52" s="304">
        <f t="shared" si="26"/>
        <v>4.7119086040459064E-2</v>
      </c>
      <c r="AQ52" s="304">
        <f t="shared" si="26"/>
        <v>4.7318674821673436E-2</v>
      </c>
      <c r="AR52" s="304">
        <f t="shared" si="26"/>
        <v>4.7350791516121725E-2</v>
      </c>
      <c r="AS52" s="304">
        <f t="shared" si="26"/>
        <v>4.73172159811132E-2</v>
      </c>
      <c r="AT52" s="304">
        <f t="shared" si="26"/>
        <v>4.7265771224955816E-2</v>
      </c>
      <c r="AU52" s="305">
        <f t="shared" si="26"/>
        <v>0.17385959665085043</v>
      </c>
      <c r="AW52" s="301">
        <f t="shared" si="24"/>
        <v>0.13338657118833624</v>
      </c>
      <c r="AX52" s="301">
        <f t="shared" si="25"/>
        <v>0.11914772450501933</v>
      </c>
    </row>
    <row r="53" spans="1:50" x14ac:dyDescent="0.25">
      <c r="B53" s="257" t="s">
        <v>470</v>
      </c>
      <c r="C53" s="302">
        <f t="shared" si="26"/>
        <v>0.70000000001205542</v>
      </c>
      <c r="D53" s="302">
        <f t="shared" si="26"/>
        <v>0.6933399158089969</v>
      </c>
      <c r="E53" s="302">
        <f t="shared" si="26"/>
        <v>0.68827249411504443</v>
      </c>
      <c r="F53" s="302">
        <f t="shared" si="26"/>
        <v>0.68496333190735281</v>
      </c>
      <c r="G53" s="302">
        <f t="shared" si="26"/>
        <v>0.68227052843758784</v>
      </c>
      <c r="H53" s="302">
        <f t="shared" si="26"/>
        <v>0.67639759534064758</v>
      </c>
      <c r="I53" s="302">
        <f t="shared" si="26"/>
        <v>0.66879635469439402</v>
      </c>
      <c r="J53" s="302">
        <f t="shared" si="26"/>
        <v>0.66017656086008114</v>
      </c>
      <c r="K53" s="302">
        <f t="shared" si="26"/>
        <v>0.65140781897113287</v>
      </c>
      <c r="L53" s="302">
        <f t="shared" si="26"/>
        <v>0.6425187829668122</v>
      </c>
      <c r="M53" s="302">
        <f t="shared" si="26"/>
        <v>0.64413067709630234</v>
      </c>
      <c r="N53" s="302">
        <f t="shared" si="26"/>
        <v>0.64582497361274049</v>
      </c>
      <c r="O53" s="302">
        <f t="shared" si="26"/>
        <v>0.64450942940011136</v>
      </c>
      <c r="P53" s="302">
        <f t="shared" si="26"/>
        <v>0.65362492461071842</v>
      </c>
      <c r="Q53" s="302">
        <f t="shared" si="26"/>
        <v>0.64774823678812377</v>
      </c>
      <c r="R53" s="302">
        <f t="shared" si="26"/>
        <v>0.64107123960571111</v>
      </c>
      <c r="S53" s="302">
        <f t="shared" si="26"/>
        <v>0.63842458100226784</v>
      </c>
      <c r="T53" s="302">
        <f t="shared" si="26"/>
        <v>0.63717760975017312</v>
      </c>
      <c r="U53" s="302">
        <f t="shared" si="26"/>
        <v>0.63696559509342077</v>
      </c>
      <c r="V53" s="302">
        <f t="shared" si="26"/>
        <v>0.62819068821304147</v>
      </c>
      <c r="W53" s="302">
        <f t="shared" si="26"/>
        <v>0.63237398477632101</v>
      </c>
      <c r="X53" s="302">
        <f t="shared" si="26"/>
        <v>0.63429027241328617</v>
      </c>
      <c r="Y53" s="302">
        <f t="shared" si="26"/>
        <v>0.63504481571522331</v>
      </c>
      <c r="Z53" s="302">
        <f t="shared" si="26"/>
        <v>0.63536328336985193</v>
      </c>
      <c r="AA53" s="302">
        <f t="shared" si="26"/>
        <v>0.62992020910187907</v>
      </c>
      <c r="AB53" s="302">
        <f t="shared" si="26"/>
        <v>0.63335661525534726</v>
      </c>
      <c r="AC53" s="302">
        <f t="shared" si="26"/>
        <v>0.63366604727504305</v>
      </c>
      <c r="AD53" s="302">
        <f t="shared" si="26"/>
        <v>0.63399502496870952</v>
      </c>
      <c r="AE53" s="302">
        <f t="shared" si="26"/>
        <v>0.63400741304928276</v>
      </c>
      <c r="AF53" s="302">
        <f t="shared" si="26"/>
        <v>0.63036142602538203</v>
      </c>
      <c r="AG53" s="302">
        <f t="shared" si="26"/>
        <v>0.63216751314720698</v>
      </c>
      <c r="AH53" s="302">
        <f t="shared" si="26"/>
        <v>0.63269535580232428</v>
      </c>
      <c r="AI53" s="302">
        <f t="shared" si="26"/>
        <v>0.63267978423691595</v>
      </c>
      <c r="AJ53" s="302">
        <f t="shared" si="26"/>
        <v>0.63252863221808453</v>
      </c>
      <c r="AK53" s="302">
        <f t="shared" si="26"/>
        <v>0.63234677213962309</v>
      </c>
      <c r="AL53" s="302">
        <f t="shared" si="26"/>
        <v>0.63131219449968667</v>
      </c>
      <c r="AM53" s="302">
        <f t="shared" si="26"/>
        <v>0.63071559116742837</v>
      </c>
      <c r="AN53" s="302">
        <f t="shared" si="26"/>
        <v>0.63025850250434978</v>
      </c>
      <c r="AO53" s="302">
        <f t="shared" si="26"/>
        <v>0.62988349228060481</v>
      </c>
      <c r="AP53" s="302">
        <f t="shared" si="26"/>
        <v>0.62725442736668546</v>
      </c>
      <c r="AQ53" s="302">
        <f t="shared" si="26"/>
        <v>0.62778645893640805</v>
      </c>
      <c r="AR53" s="302">
        <f t="shared" si="26"/>
        <v>0.62781495407739352</v>
      </c>
      <c r="AS53" s="302">
        <f t="shared" si="26"/>
        <v>0.62767710204194804</v>
      </c>
      <c r="AT53" s="302">
        <f t="shared" si="26"/>
        <v>0.62754771876796822</v>
      </c>
      <c r="AU53" s="303">
        <f t="shared" si="26"/>
        <v>0.62744210515918397</v>
      </c>
      <c r="AW53" s="301">
        <f t="shared" si="24"/>
        <v>-2.3704715508839347E-2</v>
      </c>
      <c r="AX53" s="301">
        <f t="shared" si="25"/>
        <v>-2.6182819451534445E-2</v>
      </c>
    </row>
    <row r="54" spans="1:50" x14ac:dyDescent="0.25">
      <c r="B54" s="257" t="s">
        <v>471</v>
      </c>
      <c r="C54" s="302">
        <f t="shared" si="26"/>
        <v>0.64313674466660875</v>
      </c>
      <c r="D54" s="302">
        <f t="shared" si="26"/>
        <v>0.63717591531775775</v>
      </c>
      <c r="E54" s="302">
        <f t="shared" si="26"/>
        <v>0.63326358622399248</v>
      </c>
      <c r="F54" s="302">
        <f t="shared" si="26"/>
        <v>0.63020079468347279</v>
      </c>
      <c r="G54" s="302">
        <f t="shared" si="26"/>
        <v>0.62790827116087977</v>
      </c>
      <c r="H54" s="302">
        <f t="shared" si="26"/>
        <v>0.62243247415004666</v>
      </c>
      <c r="I54" s="302">
        <f t="shared" si="26"/>
        <v>0.61625657559016522</v>
      </c>
      <c r="J54" s="302">
        <f t="shared" si="26"/>
        <v>0.60889469548763353</v>
      </c>
      <c r="K54" s="302">
        <f t="shared" si="26"/>
        <v>0.60106133948170781</v>
      </c>
      <c r="L54" s="302">
        <f t="shared" si="26"/>
        <v>0.59388167797196478</v>
      </c>
      <c r="M54" s="302">
        <f t="shared" si="26"/>
        <v>0.5955671153055363</v>
      </c>
      <c r="N54" s="302">
        <f t="shared" si="26"/>
        <v>0.59684477014994275</v>
      </c>
      <c r="O54" s="302">
        <f t="shared" si="26"/>
        <v>0.59526500593895137</v>
      </c>
      <c r="P54" s="302">
        <f t="shared" si="26"/>
        <v>0.59917241817467592</v>
      </c>
      <c r="Q54" s="302">
        <f t="shared" si="26"/>
        <v>0.59412064891587435</v>
      </c>
      <c r="R54" s="302">
        <f t="shared" si="26"/>
        <v>0.5872326279857939</v>
      </c>
      <c r="S54" s="302">
        <f t="shared" si="26"/>
        <v>0.58482844441245041</v>
      </c>
      <c r="T54" s="302">
        <f t="shared" si="26"/>
        <v>0.5839338721832219</v>
      </c>
      <c r="U54" s="302">
        <f t="shared" si="26"/>
        <v>0.58496576120800026</v>
      </c>
      <c r="V54" s="302">
        <f t="shared" si="26"/>
        <v>0.57948212368407825</v>
      </c>
      <c r="W54" s="302">
        <f t="shared" si="26"/>
        <v>0.58327411891198511</v>
      </c>
      <c r="X54" s="302">
        <f t="shared" si="26"/>
        <v>0.58462579299933926</v>
      </c>
      <c r="Y54" s="302">
        <f t="shared" si="26"/>
        <v>0.58513723832922582</v>
      </c>
      <c r="Z54" s="302">
        <f t="shared" si="26"/>
        <v>0.58533315863469793</v>
      </c>
      <c r="AA54" s="302">
        <f t="shared" si="26"/>
        <v>0.581278885953874</v>
      </c>
      <c r="AB54" s="302">
        <f t="shared" si="26"/>
        <v>0.58372114727539859</v>
      </c>
      <c r="AC54" s="302">
        <f t="shared" si="26"/>
        <v>0.58391872741774176</v>
      </c>
      <c r="AD54" s="302">
        <f t="shared" si="26"/>
        <v>0.58415657418809008</v>
      </c>
      <c r="AE54" s="302">
        <f t="shared" si="26"/>
        <v>0.58416033650075805</v>
      </c>
      <c r="AF54" s="302">
        <f t="shared" si="26"/>
        <v>0.58160131306358853</v>
      </c>
      <c r="AG54" s="302">
        <f t="shared" si="26"/>
        <v>0.58285597172115355</v>
      </c>
      <c r="AH54" s="302">
        <f t="shared" si="26"/>
        <v>0.58318934271512102</v>
      </c>
      <c r="AI54" s="302">
        <f t="shared" si="26"/>
        <v>0.58313572016676196</v>
      </c>
      <c r="AJ54" s="302">
        <f t="shared" si="26"/>
        <v>0.58299458635405454</v>
      </c>
      <c r="AK54" s="302">
        <f t="shared" si="26"/>
        <v>0.58284110933732403</v>
      </c>
      <c r="AL54" s="302">
        <f t="shared" si="26"/>
        <v>0.58209860203124497</v>
      </c>
      <c r="AM54" s="302">
        <f t="shared" si="26"/>
        <v>0.58167070256895037</v>
      </c>
      <c r="AN54" s="302">
        <f t="shared" si="26"/>
        <v>0.5813354198972418</v>
      </c>
      <c r="AO54" s="302">
        <f t="shared" si="26"/>
        <v>0.58105665140808238</v>
      </c>
      <c r="AP54" s="302">
        <f t="shared" si="26"/>
        <v>0.5792524130795339</v>
      </c>
      <c r="AQ54" s="302">
        <f t="shared" si="26"/>
        <v>0.57958439845642207</v>
      </c>
      <c r="AR54" s="302">
        <f t="shared" si="26"/>
        <v>0.57958074703402085</v>
      </c>
      <c r="AS54" s="302">
        <f t="shared" si="26"/>
        <v>0.57947667067002995</v>
      </c>
      <c r="AT54" s="302">
        <f t="shared" si="26"/>
        <v>0.57939893407969467</v>
      </c>
      <c r="AU54" s="303">
        <f t="shared" si="26"/>
        <v>0.57935441598125026</v>
      </c>
      <c r="AW54" s="301">
        <f t="shared" si="24"/>
        <v>-1.7893532220801922E-2</v>
      </c>
      <c r="AX54" s="301">
        <f t="shared" si="25"/>
        <v>-1.9818002193425666E-2</v>
      </c>
    </row>
    <row r="55" spans="1:50" x14ac:dyDescent="0.25">
      <c r="B55" s="260" t="s">
        <v>472</v>
      </c>
      <c r="C55" s="304">
        <f t="shared" si="26"/>
        <v>0.10294003684582265</v>
      </c>
      <c r="D55" s="304">
        <f t="shared" si="26"/>
        <v>0.10606340496502756</v>
      </c>
      <c r="E55" s="304">
        <f t="shared" si="26"/>
        <v>0.10555550545541087</v>
      </c>
      <c r="F55" s="304">
        <f t="shared" si="26"/>
        <v>0.10597570338208233</v>
      </c>
      <c r="G55" s="304">
        <f t="shared" si="26"/>
        <v>0.10507753189982283</v>
      </c>
      <c r="H55" s="304">
        <f t="shared" si="26"/>
        <v>0.10819389279273231</v>
      </c>
      <c r="I55" s="304">
        <f t="shared" si="26"/>
        <v>0.10846540291281979</v>
      </c>
      <c r="J55" s="304">
        <f t="shared" si="26"/>
        <v>0.1104105643298386</v>
      </c>
      <c r="K55" s="304">
        <f t="shared" si="26"/>
        <v>0.1138295234470198</v>
      </c>
      <c r="L55" s="304">
        <f t="shared" si="26"/>
        <v>0.11298312926903431</v>
      </c>
      <c r="M55" s="304">
        <f t="shared" si="26"/>
        <v>0.11037132831000258</v>
      </c>
      <c r="N55" s="304">
        <f t="shared" si="26"/>
        <v>0.11071037727794319</v>
      </c>
      <c r="O55" s="304">
        <f t="shared" si="26"/>
        <v>0.11435664566985662</v>
      </c>
      <c r="P55" s="304">
        <f t="shared" si="26"/>
        <v>0.10826818188890171</v>
      </c>
      <c r="Q55" s="304">
        <f t="shared" si="26"/>
        <v>5.3885750691960117E-2</v>
      </c>
      <c r="R55" s="304">
        <f t="shared" si="26"/>
        <v>0.11725359277126286</v>
      </c>
      <c r="S55" s="304">
        <f t="shared" si="26"/>
        <v>0.120113731560874</v>
      </c>
      <c r="T55" s="304">
        <f t="shared" si="26"/>
        <v>0.12620838583469043</v>
      </c>
      <c r="U55" s="304">
        <f t="shared" si="26"/>
        <v>0.12722761443039174</v>
      </c>
      <c r="V55" s="304">
        <f t="shared" si="26"/>
        <v>0.16550028000142472</v>
      </c>
      <c r="W55" s="304">
        <f t="shared" si="26"/>
        <v>0.16632667895689751</v>
      </c>
      <c r="X55" s="304">
        <f t="shared" si="26"/>
        <v>0.16541423045995471</v>
      </c>
      <c r="Y55" s="304">
        <f t="shared" si="26"/>
        <v>0.16430898474252162</v>
      </c>
      <c r="Z55" s="304">
        <f t="shared" si="26"/>
        <v>0.16321822736032091</v>
      </c>
      <c r="AA55" s="304">
        <f t="shared" si="26"/>
        <v>4.7734078932449853E-2</v>
      </c>
      <c r="AB55" s="304">
        <f t="shared" si="26"/>
        <v>0.18645320092370526</v>
      </c>
      <c r="AC55" s="304">
        <f t="shared" si="26"/>
        <v>0.18369446060567343</v>
      </c>
      <c r="AD55" s="304">
        <f t="shared" si="26"/>
        <v>0.18093552930004433</v>
      </c>
      <c r="AE55" s="304">
        <f t="shared" si="26"/>
        <v>0.17832223816697113</v>
      </c>
      <c r="AF55" s="304">
        <f t="shared" si="26"/>
        <v>0.188673358282232</v>
      </c>
      <c r="AG55" s="304">
        <f t="shared" si="26"/>
        <v>0.1866223959825288</v>
      </c>
      <c r="AH55" s="304">
        <f t="shared" si="26"/>
        <v>0.18448136583365024</v>
      </c>
      <c r="AI55" s="304">
        <f t="shared" si="26"/>
        <v>0.18236384893231472</v>
      </c>
      <c r="AJ55" s="304">
        <f t="shared" si="26"/>
        <v>0.18028612327144278</v>
      </c>
      <c r="AK55" s="304">
        <f t="shared" si="26"/>
        <v>0.17827379560899775</v>
      </c>
      <c r="AL55" s="304">
        <f t="shared" si="26"/>
        <v>0.17581000281565465</v>
      </c>
      <c r="AM55" s="304">
        <f t="shared" si="26"/>
        <v>0.17371033372868602</v>
      </c>
      <c r="AN55" s="304">
        <f t="shared" si="26"/>
        <v>0.17195938272315311</v>
      </c>
      <c r="AO55" s="304">
        <f t="shared" si="26"/>
        <v>0.17044586631616315</v>
      </c>
      <c r="AP55" s="304">
        <f t="shared" si="26"/>
        <v>0.18262583429854165</v>
      </c>
      <c r="AQ55" s="304">
        <f t="shared" si="26"/>
        <v>0.18093211327838557</v>
      </c>
      <c r="AR55" s="304">
        <f t="shared" si="26"/>
        <v>0.17915099350725666</v>
      </c>
      <c r="AS55" s="304">
        <f t="shared" si="26"/>
        <v>0.17735989216196005</v>
      </c>
      <c r="AT55" s="304">
        <f t="shared" si="26"/>
        <v>0.17558011394314074</v>
      </c>
      <c r="AU55" s="305">
        <f t="shared" si="26"/>
        <v>4.7204856400474178E-2</v>
      </c>
      <c r="AW55" s="301">
        <f t="shared" si="24"/>
        <v>-6.0534102956451855E-2</v>
      </c>
      <c r="AX55" s="301">
        <f t="shared" si="25"/>
        <v>-6.1063325488427529E-2</v>
      </c>
    </row>
    <row r="56" spans="1:50" x14ac:dyDescent="0.25">
      <c r="B56" s="248" t="s">
        <v>473</v>
      </c>
      <c r="C56" s="306">
        <f t="shared" si="26"/>
        <v>0.84019670780873068</v>
      </c>
      <c r="D56" s="306">
        <f t="shared" si="26"/>
        <v>0.83777764161765134</v>
      </c>
      <c r="E56" s="306">
        <f t="shared" si="26"/>
        <v>0.83947759743279449</v>
      </c>
      <c r="F56" s="306">
        <f t="shared" si="26"/>
        <v>0.83930771103165025</v>
      </c>
      <c r="G56" s="306">
        <f t="shared" si="26"/>
        <v>0.8406298238718336</v>
      </c>
      <c r="H56" s="306">
        <f t="shared" si="26"/>
        <v>0.83792142083530452</v>
      </c>
      <c r="I56" s="306">
        <f t="shared" si="26"/>
        <v>0.83911269614996475</v>
      </c>
      <c r="J56" s="306">
        <f t="shared" si="26"/>
        <v>0.83843369611359042</v>
      </c>
      <c r="K56" s="306">
        <f t="shared" si="26"/>
        <v>0.83595549247429213</v>
      </c>
      <c r="L56" s="306">
        <f t="shared" si="26"/>
        <v>0.83860643702159121</v>
      </c>
      <c r="M56" s="306">
        <f t="shared" si="26"/>
        <v>0.84131992673420086</v>
      </c>
      <c r="N56" s="306">
        <f t="shared" si="26"/>
        <v>0.84056792147865755</v>
      </c>
      <c r="O56" s="306">
        <f t="shared" si="26"/>
        <v>0.83672528336903695</v>
      </c>
      <c r="P56" s="306">
        <f t="shared" si="26"/>
        <v>0.83766474188977802</v>
      </c>
      <c r="Q56" s="306">
        <f t="shared" si="26"/>
        <v>0.83420584369506801</v>
      </c>
      <c r="R56" s="306">
        <f t="shared" si="26"/>
        <v>0.82993193999909454</v>
      </c>
      <c r="S56" s="306">
        <f t="shared" si="26"/>
        <v>0.82731004389578233</v>
      </c>
      <c r="T56" s="306">
        <f t="shared" si="26"/>
        <v>0.82156516045600436</v>
      </c>
      <c r="U56" s="306">
        <f t="shared" si="26"/>
        <v>0.82168962550496216</v>
      </c>
      <c r="V56" s="306">
        <f t="shared" si="26"/>
        <v>0.78639567701486857</v>
      </c>
      <c r="W56" s="306">
        <f t="shared" si="26"/>
        <v>0.78509386083321342</v>
      </c>
      <c r="X56" s="306">
        <f t="shared" si="26"/>
        <v>0.78544439801534438</v>
      </c>
      <c r="Y56" s="306">
        <f t="shared" si="26"/>
        <v>0.78633660225809776</v>
      </c>
      <c r="Z56" s="306">
        <f t="shared" si="26"/>
        <v>0.78734096214035709</v>
      </c>
      <c r="AA56" s="306">
        <f t="shared" si="26"/>
        <v>0.76410066208408822</v>
      </c>
      <c r="AB56" s="306">
        <f t="shared" si="26"/>
        <v>0.76474085477450848</v>
      </c>
      <c r="AC56" s="306">
        <f t="shared" si="26"/>
        <v>0.76742977220494324</v>
      </c>
      <c r="AD56" s="306">
        <f t="shared" si="26"/>
        <v>0.77016286380430132</v>
      </c>
      <c r="AE56" s="306">
        <f t="shared" si="26"/>
        <v>0.77285196097794506</v>
      </c>
      <c r="AF56" s="306">
        <f t="shared" si="26"/>
        <v>0.76401118855010763</v>
      </c>
      <c r="AG56" s="306">
        <f t="shared" si="26"/>
        <v>0.76547631809511818</v>
      </c>
      <c r="AH56" s="306">
        <f t="shared" si="26"/>
        <v>0.76747927511771785</v>
      </c>
      <c r="AI56" s="306">
        <f t="shared" si="26"/>
        <v>0.76965890471543963</v>
      </c>
      <c r="AJ56" s="306">
        <f t="shared" si="26"/>
        <v>0.77186959641023933</v>
      </c>
      <c r="AK56" s="306">
        <f t="shared" si="26"/>
        <v>0.77404990469073831</v>
      </c>
      <c r="AL56" s="306">
        <f t="shared" si="26"/>
        <v>0.77698279816552807</v>
      </c>
      <c r="AM56" s="306">
        <f t="shared" si="26"/>
        <v>0.77943891809844434</v>
      </c>
      <c r="AN56" s="306">
        <f t="shared" si="26"/>
        <v>0.78151523022731983</v>
      </c>
      <c r="AO56" s="306">
        <f t="shared" si="26"/>
        <v>0.78334691367529197</v>
      </c>
      <c r="AP56" s="306">
        <f t="shared" si="26"/>
        <v>0.77295215550405161</v>
      </c>
      <c r="AQ56" s="306">
        <f t="shared" si="26"/>
        <v>0.77440222024673411</v>
      </c>
      <c r="AR56" s="306">
        <f t="shared" si="26"/>
        <v>0.77632072401885455</v>
      </c>
      <c r="AS56" s="306">
        <f t="shared" si="26"/>
        <v>0.77843375242606061</v>
      </c>
      <c r="AT56" s="306">
        <f t="shared" si="26"/>
        <v>0.78064590817954593</v>
      </c>
      <c r="AU56" s="307">
        <f t="shared" si="26"/>
        <v>0.78290169648733676</v>
      </c>
      <c r="AW56" s="308">
        <f>AA56-P56</f>
        <v>-7.3564079805689797E-2</v>
      </c>
      <c r="AX56" s="308">
        <f>AU56-P56</f>
        <v>-5.4763045402441257E-2</v>
      </c>
    </row>
    <row r="57" spans="1:50" x14ac:dyDescent="0.25"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W57" s="252"/>
    </row>
    <row r="58" spans="1:50" s="243" customFormat="1" ht="45" customHeight="1" x14ac:dyDescent="0.25">
      <c r="A58" s="238" t="str">
        <f>"Ecarts "&amp;[4]Résultats!B1&amp;"  - TEND"</f>
        <v>Ecarts SNBC3  - TEND</v>
      </c>
      <c r="B58" s="265" t="s">
        <v>501</v>
      </c>
      <c r="C58" s="241">
        <v>2006</v>
      </c>
      <c r="D58" s="241">
        <v>2007</v>
      </c>
      <c r="E58" s="241">
        <v>2008</v>
      </c>
      <c r="F58" s="241">
        <v>2009</v>
      </c>
      <c r="G58" s="241">
        <v>2010</v>
      </c>
      <c r="H58" s="241">
        <v>2011</v>
      </c>
      <c r="I58" s="241">
        <v>2012</v>
      </c>
      <c r="J58" s="241">
        <v>2013</v>
      </c>
      <c r="K58" s="241">
        <v>2014</v>
      </c>
      <c r="L58" s="241">
        <v>2015</v>
      </c>
      <c r="M58" s="241">
        <v>2016</v>
      </c>
      <c r="N58" s="241">
        <v>2017</v>
      </c>
      <c r="O58" s="241">
        <v>2018</v>
      </c>
      <c r="P58" s="241">
        <v>2019</v>
      </c>
      <c r="Q58" s="241">
        <v>2020</v>
      </c>
      <c r="R58" s="241">
        <v>2021</v>
      </c>
      <c r="S58" s="241">
        <v>2022</v>
      </c>
      <c r="T58" s="241">
        <v>2023</v>
      </c>
      <c r="U58" s="241">
        <v>2024</v>
      </c>
      <c r="V58" s="241">
        <v>2025</v>
      </c>
      <c r="W58" s="241">
        <v>2026</v>
      </c>
      <c r="X58" s="241">
        <v>2027</v>
      </c>
      <c r="Y58" s="241">
        <v>2028</v>
      </c>
      <c r="Z58" s="241">
        <v>2029</v>
      </c>
      <c r="AA58" s="241">
        <v>2030</v>
      </c>
      <c r="AB58" s="241">
        <v>2031</v>
      </c>
      <c r="AC58" s="241">
        <v>2032</v>
      </c>
      <c r="AD58" s="241">
        <v>2033</v>
      </c>
      <c r="AE58" s="241">
        <v>2034</v>
      </c>
      <c r="AF58" s="241">
        <v>2035</v>
      </c>
      <c r="AG58" s="241">
        <v>2036</v>
      </c>
      <c r="AH58" s="241">
        <v>2037</v>
      </c>
      <c r="AI58" s="241">
        <v>2038</v>
      </c>
      <c r="AJ58" s="241">
        <v>2039</v>
      </c>
      <c r="AK58" s="241">
        <v>2040</v>
      </c>
      <c r="AL58" s="241">
        <v>2041</v>
      </c>
      <c r="AM58" s="241">
        <v>2042</v>
      </c>
      <c r="AN58" s="241">
        <v>2043</v>
      </c>
      <c r="AO58" s="241">
        <v>2044</v>
      </c>
      <c r="AP58" s="241">
        <v>2045</v>
      </c>
      <c r="AQ58" s="241">
        <v>2046</v>
      </c>
      <c r="AR58" s="241">
        <v>2047</v>
      </c>
      <c r="AS58" s="241">
        <v>2048</v>
      </c>
      <c r="AT58" s="241">
        <v>2049</v>
      </c>
      <c r="AU58" s="242">
        <v>2050</v>
      </c>
      <c r="AV58" s="266"/>
    </row>
    <row r="59" spans="1:50" x14ac:dyDescent="0.25">
      <c r="B59" s="244" t="s">
        <v>1</v>
      </c>
      <c r="C59" s="309"/>
      <c r="D59" s="309"/>
      <c r="E59" s="309"/>
      <c r="F59" s="309"/>
      <c r="G59" s="309"/>
      <c r="H59" s="309"/>
      <c r="I59" s="309"/>
      <c r="J59" s="309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  <c r="AA59" s="309"/>
      <c r="AB59" s="309"/>
      <c r="AC59" s="309"/>
      <c r="AD59" s="309"/>
      <c r="AE59" s="309"/>
      <c r="AF59" s="309"/>
      <c r="AG59" s="309"/>
      <c r="AH59" s="309"/>
      <c r="AI59" s="309"/>
      <c r="AJ59" s="309"/>
      <c r="AK59" s="309"/>
      <c r="AL59" s="309"/>
      <c r="AM59" s="309"/>
      <c r="AN59" s="309"/>
      <c r="AO59" s="309"/>
      <c r="AP59" s="309"/>
      <c r="AQ59" s="309"/>
      <c r="AR59" s="309"/>
      <c r="AS59" s="309"/>
      <c r="AT59" s="309"/>
      <c r="AU59" s="309"/>
      <c r="AV59" s="267"/>
    </row>
    <row r="60" spans="1:50" x14ac:dyDescent="0.25">
      <c r="B60" s="248" t="s">
        <v>466</v>
      </c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267"/>
    </row>
    <row r="61" spans="1:50" x14ac:dyDescent="0.25">
      <c r="B61" s="253" t="s">
        <v>467</v>
      </c>
      <c r="C61" s="299">
        <f t="shared" ref="C61:AU66" si="27">C39-C50</f>
        <v>0</v>
      </c>
      <c r="D61" s="299">
        <f t="shared" si="27"/>
        <v>0</v>
      </c>
      <c r="E61" s="299">
        <f t="shared" si="27"/>
        <v>0</v>
      </c>
      <c r="F61" s="299">
        <f t="shared" si="27"/>
        <v>0</v>
      </c>
      <c r="G61" s="299">
        <f t="shared" si="27"/>
        <v>0</v>
      </c>
      <c r="H61" s="299">
        <f t="shared" si="27"/>
        <v>0</v>
      </c>
      <c r="I61" s="299">
        <f t="shared" si="27"/>
        <v>0</v>
      </c>
      <c r="J61" s="299">
        <f t="shared" si="27"/>
        <v>0</v>
      </c>
      <c r="K61" s="299">
        <f t="shared" si="27"/>
        <v>0</v>
      </c>
      <c r="L61" s="299">
        <f t="shared" si="27"/>
        <v>0</v>
      </c>
      <c r="M61" s="299">
        <f t="shared" si="27"/>
        <v>0</v>
      </c>
      <c r="N61" s="299">
        <f t="shared" si="27"/>
        <v>0</v>
      </c>
      <c r="O61" s="299">
        <f t="shared" si="27"/>
        <v>0</v>
      </c>
      <c r="P61" s="299">
        <f t="shared" si="27"/>
        <v>0</v>
      </c>
      <c r="Q61" s="299">
        <f t="shared" si="27"/>
        <v>4.1766931651893158E-4</v>
      </c>
      <c r="R61" s="299">
        <f t="shared" si="27"/>
        <v>-6.3961758467534213E-2</v>
      </c>
      <c r="S61" s="299">
        <f t="shared" si="27"/>
        <v>-6.7031715590861629E-2</v>
      </c>
      <c r="T61" s="299">
        <f t="shared" si="27"/>
        <v>-7.3277437859606831E-2</v>
      </c>
      <c r="U61" s="299">
        <f t="shared" si="27"/>
        <v>-7.5524482435884888E-2</v>
      </c>
      <c r="V61" s="299">
        <f t="shared" si="27"/>
        <v>-0.11013517721557098</v>
      </c>
      <c r="W61" s="299">
        <f t="shared" si="27"/>
        <v>-0.11056564739833796</v>
      </c>
      <c r="X61" s="299">
        <f t="shared" si="27"/>
        <v>-0.1090490784565275</v>
      </c>
      <c r="Y61" s="299">
        <f t="shared" si="27"/>
        <v>-0.10763707761424041</v>
      </c>
      <c r="Z61" s="299">
        <f t="shared" si="27"/>
        <v>-0.1063514979847946</v>
      </c>
      <c r="AA61" s="299">
        <f t="shared" si="27"/>
        <v>1.0061204363069676E-2</v>
      </c>
      <c r="AB61" s="299">
        <f t="shared" si="27"/>
        <v>-0.12686295671490769</v>
      </c>
      <c r="AC61" s="299">
        <f t="shared" si="27"/>
        <v>-0.12380969187862789</v>
      </c>
      <c r="AD61" s="299">
        <f t="shared" si="27"/>
        <v>-0.12079337877578969</v>
      </c>
      <c r="AE61" s="299">
        <f t="shared" si="27"/>
        <v>-0.11800916324210628</v>
      </c>
      <c r="AF61" s="299">
        <f t="shared" si="27"/>
        <v>-0.12846862818881877</v>
      </c>
      <c r="AG61" s="299">
        <f t="shared" si="27"/>
        <v>-0.12570500312914767</v>
      </c>
      <c r="AH61" s="299">
        <f t="shared" si="27"/>
        <v>-0.12320931110898564</v>
      </c>
      <c r="AI61" s="299">
        <f t="shared" si="27"/>
        <v>-0.12090159393010572</v>
      </c>
      <c r="AJ61" s="299">
        <f t="shared" si="27"/>
        <v>-0.11869896299815333</v>
      </c>
      <c r="AK61" s="299">
        <f t="shared" si="27"/>
        <v>-0.11659850882447742</v>
      </c>
      <c r="AL61" s="299">
        <f t="shared" si="27"/>
        <v>-0.11427836286629206</v>
      </c>
      <c r="AM61" s="299">
        <f t="shared" si="27"/>
        <v>-0.11224214594067636</v>
      </c>
      <c r="AN61" s="299">
        <f t="shared" si="27"/>
        <v>-0.11052854748317731</v>
      </c>
      <c r="AO61" s="299">
        <f t="shared" si="27"/>
        <v>-0.10903988275546861</v>
      </c>
      <c r="AP61" s="299">
        <f t="shared" si="27"/>
        <v>-0.12043610729055071</v>
      </c>
      <c r="AQ61" s="299">
        <f t="shared" si="27"/>
        <v>-0.11833588078426396</v>
      </c>
      <c r="AR61" s="299">
        <f t="shared" si="27"/>
        <v>-0.11641918930875242</v>
      </c>
      <c r="AS61" s="299">
        <f t="shared" si="27"/>
        <v>-0.11461520607372455</v>
      </c>
      <c r="AT61" s="299">
        <f t="shared" si="27"/>
        <v>-0.11288054344759435</v>
      </c>
      <c r="AU61" s="300">
        <f t="shared" si="27"/>
        <v>9.0765304265104652E-3</v>
      </c>
      <c r="AV61" s="267"/>
    </row>
    <row r="62" spans="1:50" x14ac:dyDescent="0.25">
      <c r="B62" s="257" t="s">
        <v>468</v>
      </c>
      <c r="C62" s="302">
        <f t="shared" si="27"/>
        <v>0</v>
      </c>
      <c r="D62" s="302">
        <f t="shared" si="27"/>
        <v>0</v>
      </c>
      <c r="E62" s="302">
        <f t="shared" si="27"/>
        <v>0</v>
      </c>
      <c r="F62" s="302">
        <f t="shared" si="27"/>
        <v>0</v>
      </c>
      <c r="G62" s="302">
        <f t="shared" si="27"/>
        <v>0</v>
      </c>
      <c r="H62" s="302">
        <f t="shared" si="27"/>
        <v>0</v>
      </c>
      <c r="I62" s="302">
        <f t="shared" si="27"/>
        <v>0</v>
      </c>
      <c r="J62" s="302">
        <f t="shared" si="27"/>
        <v>0</v>
      </c>
      <c r="K62" s="302">
        <f t="shared" si="27"/>
        <v>0</v>
      </c>
      <c r="L62" s="302">
        <f t="shared" si="27"/>
        <v>0</v>
      </c>
      <c r="M62" s="302">
        <f t="shared" si="27"/>
        <v>0</v>
      </c>
      <c r="N62" s="302">
        <f t="shared" si="27"/>
        <v>0</v>
      </c>
      <c r="O62" s="302">
        <f t="shared" si="27"/>
        <v>0</v>
      </c>
      <c r="P62" s="302">
        <f t="shared" si="27"/>
        <v>0</v>
      </c>
      <c r="Q62" s="302">
        <f t="shared" si="27"/>
        <v>0</v>
      </c>
      <c r="R62" s="302">
        <f t="shared" si="27"/>
        <v>0</v>
      </c>
      <c r="S62" s="302">
        <f t="shared" si="27"/>
        <v>0</v>
      </c>
      <c r="T62" s="302">
        <f t="shared" si="27"/>
        <v>0</v>
      </c>
      <c r="U62" s="302">
        <f t="shared" si="27"/>
        <v>-1.8446864533117058E-5</v>
      </c>
      <c r="V62" s="302">
        <f t="shared" si="27"/>
        <v>-2.91065618929498E-5</v>
      </c>
      <c r="W62" s="302">
        <f t="shared" si="27"/>
        <v>2.6897094954014822E-5</v>
      </c>
      <c r="X62" s="302">
        <f t="shared" si="27"/>
        <v>1.1002656944750222E-4</v>
      </c>
      <c r="Y62" s="302">
        <f t="shared" si="27"/>
        <v>1.8977692661500956E-4</v>
      </c>
      <c r="Z62" s="302">
        <f t="shared" si="27"/>
        <v>2.6625734478666341E-4</v>
      </c>
      <c r="AA62" s="302">
        <f t="shared" si="27"/>
        <v>5.3321767229444483E-4</v>
      </c>
      <c r="AB62" s="302">
        <f t="shared" si="27"/>
        <v>7.1524605900033511E-4</v>
      </c>
      <c r="AC62" s="302">
        <f t="shared" si="27"/>
        <v>8.7669379870933262E-4</v>
      </c>
      <c r="AD62" s="302">
        <f t="shared" si="27"/>
        <v>1.0213988175959698E-3</v>
      </c>
      <c r="AE62" s="302">
        <f t="shared" si="27"/>
        <v>1.1525779602002961E-3</v>
      </c>
      <c r="AF62" s="302">
        <f t="shared" si="27"/>
        <v>1.6260095917066397E-3</v>
      </c>
      <c r="AG62" s="302">
        <f t="shared" si="27"/>
        <v>1.852639636180653E-3</v>
      </c>
      <c r="AH62" s="302">
        <f t="shared" si="27"/>
        <v>2.0207876650600864E-3</v>
      </c>
      <c r="AI62" s="302">
        <f t="shared" si="27"/>
        <v>2.1554016360549322E-3</v>
      </c>
      <c r="AJ62" s="302">
        <f t="shared" si="27"/>
        <v>2.2664067191088821E-3</v>
      </c>
      <c r="AK62" s="302">
        <f t="shared" si="27"/>
        <v>2.35825105882978E-3</v>
      </c>
      <c r="AL62" s="302">
        <f t="shared" si="27"/>
        <v>2.4313793916445892E-3</v>
      </c>
      <c r="AM62" s="302">
        <f t="shared" si="27"/>
        <v>2.49127914182809E-3</v>
      </c>
      <c r="AN62" s="302">
        <f t="shared" si="27"/>
        <v>2.5440262671970193E-3</v>
      </c>
      <c r="AO62" s="302">
        <f t="shared" si="27"/>
        <v>2.5916558889859387E-3</v>
      </c>
      <c r="AP62" s="302">
        <f t="shared" si="27"/>
        <v>3.4777380178615536E-3</v>
      </c>
      <c r="AQ62" s="302">
        <f t="shared" si="27"/>
        <v>3.7306364527932567E-3</v>
      </c>
      <c r="AR62" s="302">
        <f t="shared" si="27"/>
        <v>3.8379018745834936E-3</v>
      </c>
      <c r="AS62" s="302">
        <f t="shared" si="27"/>
        <v>3.8720090253635819E-3</v>
      </c>
      <c r="AT62" s="302">
        <f t="shared" si="27"/>
        <v>3.8625285279595967E-3</v>
      </c>
      <c r="AU62" s="303">
        <f t="shared" si="27"/>
        <v>3.8244255250938775E-3</v>
      </c>
      <c r="AV62" s="267"/>
    </row>
    <row r="63" spans="1:50" x14ac:dyDescent="0.25">
      <c r="B63" s="260" t="s">
        <v>469</v>
      </c>
      <c r="C63" s="304">
        <f t="shared" si="27"/>
        <v>0</v>
      </c>
      <c r="D63" s="304">
        <f t="shared" si="27"/>
        <v>0</v>
      </c>
      <c r="E63" s="304">
        <f t="shared" si="27"/>
        <v>0</v>
      </c>
      <c r="F63" s="304">
        <f t="shared" si="27"/>
        <v>0</v>
      </c>
      <c r="G63" s="304">
        <f t="shared" si="27"/>
        <v>0</v>
      </c>
      <c r="H63" s="304">
        <f t="shared" si="27"/>
        <v>0</v>
      </c>
      <c r="I63" s="304">
        <f t="shared" si="27"/>
        <v>0</v>
      </c>
      <c r="J63" s="304">
        <f t="shared" si="27"/>
        <v>0</v>
      </c>
      <c r="K63" s="304">
        <f t="shared" si="27"/>
        <v>0</v>
      </c>
      <c r="L63" s="304">
        <f t="shared" si="27"/>
        <v>0</v>
      </c>
      <c r="M63" s="304">
        <f t="shared" si="27"/>
        <v>0</v>
      </c>
      <c r="N63" s="304">
        <f t="shared" si="27"/>
        <v>0</v>
      </c>
      <c r="O63" s="304">
        <f t="shared" si="27"/>
        <v>0</v>
      </c>
      <c r="P63" s="304">
        <f t="shared" si="27"/>
        <v>0</v>
      </c>
      <c r="Q63" s="304">
        <f t="shared" si="27"/>
        <v>0</v>
      </c>
      <c r="R63" s="304">
        <f t="shared" si="27"/>
        <v>0</v>
      </c>
      <c r="S63" s="304">
        <f t="shared" si="27"/>
        <v>0</v>
      </c>
      <c r="T63" s="304">
        <f t="shared" si="27"/>
        <v>0</v>
      </c>
      <c r="U63" s="304">
        <f t="shared" si="27"/>
        <v>1.2632544640199528E-5</v>
      </c>
      <c r="V63" s="304">
        <f t="shared" si="27"/>
        <v>2.9311907605827914E-5</v>
      </c>
      <c r="W63" s="304">
        <f t="shared" si="27"/>
        <v>3.0914439850156239E-5</v>
      </c>
      <c r="X63" s="304">
        <f t="shared" si="27"/>
        <v>2.7257879330562507E-5</v>
      </c>
      <c r="Y63" s="304">
        <f t="shared" si="27"/>
        <v>2.3422899136968378E-5</v>
      </c>
      <c r="Z63" s="304">
        <f t="shared" si="27"/>
        <v>2.0312407891409645E-5</v>
      </c>
      <c r="AA63" s="304">
        <f t="shared" si="27"/>
        <v>-6.9317764676571358E-4</v>
      </c>
      <c r="AB63" s="304">
        <f t="shared" si="27"/>
        <v>1.9474852785930641E-5</v>
      </c>
      <c r="AC63" s="304">
        <f t="shared" si="27"/>
        <v>1.1984738869701139E-5</v>
      </c>
      <c r="AD63" s="304">
        <f t="shared" si="27"/>
        <v>4.6703132484324228E-6</v>
      </c>
      <c r="AE63" s="304">
        <f t="shared" si="27"/>
        <v>-3.3843952542272904E-6</v>
      </c>
      <c r="AF63" s="304">
        <f t="shared" si="27"/>
        <v>8.8877908674331318E-6</v>
      </c>
      <c r="AG63" s="304">
        <f t="shared" si="27"/>
        <v>-9.3133855985569336E-6</v>
      </c>
      <c r="AH63" s="304">
        <f t="shared" si="27"/>
        <v>-2.2247351108131697E-5</v>
      </c>
      <c r="AI63" s="304">
        <f t="shared" si="27"/>
        <v>-3.301462706147007E-5</v>
      </c>
      <c r="AJ63" s="304">
        <f t="shared" si="27"/>
        <v>-4.3032322477536133E-5</v>
      </c>
      <c r="AK63" s="304">
        <f t="shared" si="27"/>
        <v>-5.2722499480857554E-5</v>
      </c>
      <c r="AL63" s="304">
        <f t="shared" si="27"/>
        <v>-6.3447913275789525E-5</v>
      </c>
      <c r="AM63" s="304">
        <f t="shared" si="27"/>
        <v>-7.4095468335526327E-5</v>
      </c>
      <c r="AN63" s="304">
        <f t="shared" si="27"/>
        <v>-8.4751576785176141E-5</v>
      </c>
      <c r="AO63" s="304">
        <f t="shared" si="27"/>
        <v>-9.5909105742496281E-5</v>
      </c>
      <c r="AP63" s="304">
        <f t="shared" si="27"/>
        <v>-6.1021785391919547E-5</v>
      </c>
      <c r="AQ63" s="304">
        <f t="shared" si="27"/>
        <v>-9.9507513128115066E-5</v>
      </c>
      <c r="AR63" s="304">
        <f t="shared" si="27"/>
        <v>-1.2534953645744473E-4</v>
      </c>
      <c r="AS63" s="304">
        <f t="shared" si="27"/>
        <v>-1.4676065602618055E-4</v>
      </c>
      <c r="AT63" s="304">
        <f t="shared" si="27"/>
        <v>-1.6788843529428471E-4</v>
      </c>
      <c r="AU63" s="305">
        <f t="shared" si="27"/>
        <v>-6.5255770815280945E-3</v>
      </c>
      <c r="AV63" s="267"/>
    </row>
    <row r="64" spans="1:50" x14ac:dyDescent="0.25">
      <c r="B64" s="257" t="s">
        <v>470</v>
      </c>
      <c r="C64" s="302">
        <f t="shared" si="27"/>
        <v>0</v>
      </c>
      <c r="D64" s="302">
        <f t="shared" si="27"/>
        <v>0</v>
      </c>
      <c r="E64" s="302">
        <f t="shared" si="27"/>
        <v>0</v>
      </c>
      <c r="F64" s="302">
        <f t="shared" si="27"/>
        <v>0</v>
      </c>
      <c r="G64" s="302">
        <f t="shared" si="27"/>
        <v>0</v>
      </c>
      <c r="H64" s="302">
        <f t="shared" si="27"/>
        <v>0</v>
      </c>
      <c r="I64" s="302">
        <f t="shared" si="27"/>
        <v>0</v>
      </c>
      <c r="J64" s="302">
        <f t="shared" si="27"/>
        <v>0</v>
      </c>
      <c r="K64" s="302">
        <f t="shared" si="27"/>
        <v>0</v>
      </c>
      <c r="L64" s="302">
        <f t="shared" si="27"/>
        <v>0</v>
      </c>
      <c r="M64" s="302">
        <f t="shared" si="27"/>
        <v>0</v>
      </c>
      <c r="N64" s="302">
        <f t="shared" si="27"/>
        <v>0</v>
      </c>
      <c r="O64" s="302">
        <f t="shared" si="27"/>
        <v>0</v>
      </c>
      <c r="P64" s="302">
        <f t="shared" si="27"/>
        <v>0</v>
      </c>
      <c r="Q64" s="302">
        <f t="shared" si="27"/>
        <v>2.5816281971069444E-4</v>
      </c>
      <c r="R64" s="302">
        <f t="shared" si="27"/>
        <v>6.3414981151345695E-2</v>
      </c>
      <c r="S64" s="302">
        <f t="shared" si="27"/>
        <v>6.6517594971056582E-2</v>
      </c>
      <c r="T64" s="302">
        <f t="shared" si="27"/>
        <v>7.2964648267739074E-2</v>
      </c>
      <c r="U64" s="302">
        <f t="shared" si="27"/>
        <v>7.5317923100406636E-2</v>
      </c>
      <c r="V64" s="302">
        <f t="shared" si="27"/>
        <v>0.11710435028883814</v>
      </c>
      <c r="W64" s="302">
        <f t="shared" si="27"/>
        <v>0.11757201604521517</v>
      </c>
      <c r="X64" s="302">
        <f t="shared" si="27"/>
        <v>0.11601363378625384</v>
      </c>
      <c r="Y64" s="302">
        <f t="shared" si="27"/>
        <v>0.11456004126437025</v>
      </c>
      <c r="Z64" s="302">
        <f t="shared" si="27"/>
        <v>0.11323757540588719</v>
      </c>
      <c r="AA64" s="302">
        <f t="shared" si="27"/>
        <v>-6.804685917893849E-4</v>
      </c>
      <c r="AB64" s="302">
        <f t="shared" si="27"/>
        <v>0.13615965868569069</v>
      </c>
      <c r="AC64" s="302">
        <f t="shared" si="27"/>
        <v>0.13309343724747857</v>
      </c>
      <c r="AD64" s="302">
        <f t="shared" si="27"/>
        <v>0.13004111651438077</v>
      </c>
      <c r="AE64" s="302">
        <f t="shared" si="27"/>
        <v>0.12721166047035259</v>
      </c>
      <c r="AF64" s="302">
        <f t="shared" si="27"/>
        <v>0.13772835320172294</v>
      </c>
      <c r="AG64" s="302">
        <f t="shared" si="27"/>
        <v>0.1349525838082245</v>
      </c>
      <c r="AH64" s="302">
        <f t="shared" si="27"/>
        <v>0.13240595398690969</v>
      </c>
      <c r="AI64" s="302">
        <f t="shared" si="27"/>
        <v>0.13002633641738814</v>
      </c>
      <c r="AJ64" s="302">
        <f t="shared" si="27"/>
        <v>0.12773447974081986</v>
      </c>
      <c r="AK64" s="302">
        <f t="shared" si="27"/>
        <v>0.12552852374166557</v>
      </c>
      <c r="AL64" s="302">
        <f t="shared" si="27"/>
        <v>0.12311540678099453</v>
      </c>
      <c r="AM64" s="302">
        <f t="shared" si="27"/>
        <v>0.12094643080820899</v>
      </c>
      <c r="AN64" s="302">
        <f t="shared" si="27"/>
        <v>0.11907090930022268</v>
      </c>
      <c r="AO64" s="302">
        <f t="shared" si="27"/>
        <v>0.11739465594246012</v>
      </c>
      <c r="AP64" s="302">
        <f t="shared" si="27"/>
        <v>0.12851002793586808</v>
      </c>
      <c r="AQ64" s="302">
        <f t="shared" si="27"/>
        <v>0.12644591551194118</v>
      </c>
      <c r="AR64" s="302">
        <f t="shared" si="27"/>
        <v>0.12438172508352485</v>
      </c>
      <c r="AS64" s="302">
        <f t="shared" si="27"/>
        <v>0.12232335185157062</v>
      </c>
      <c r="AT64" s="302">
        <f t="shared" si="27"/>
        <v>0.12024489581455944</v>
      </c>
      <c r="AU64" s="303">
        <f t="shared" si="27"/>
        <v>-2.1478307596866086E-3</v>
      </c>
      <c r="AV64" s="267"/>
    </row>
    <row r="65" spans="2:48" x14ac:dyDescent="0.25">
      <c r="B65" s="257" t="s">
        <v>471</v>
      </c>
      <c r="C65" s="302">
        <f t="shared" si="27"/>
        <v>0</v>
      </c>
      <c r="D65" s="302">
        <f t="shared" si="27"/>
        <v>0</v>
      </c>
      <c r="E65" s="302">
        <f t="shared" si="27"/>
        <v>0</v>
      </c>
      <c r="F65" s="302">
        <f t="shared" si="27"/>
        <v>0</v>
      </c>
      <c r="G65" s="302">
        <f t="shared" si="27"/>
        <v>0</v>
      </c>
      <c r="H65" s="302">
        <f t="shared" si="27"/>
        <v>0</v>
      </c>
      <c r="I65" s="302">
        <f t="shared" si="27"/>
        <v>0</v>
      </c>
      <c r="J65" s="302">
        <f t="shared" si="27"/>
        <v>0</v>
      </c>
      <c r="K65" s="302">
        <f t="shared" si="27"/>
        <v>0</v>
      </c>
      <c r="L65" s="302">
        <f t="shared" si="27"/>
        <v>0</v>
      </c>
      <c r="M65" s="302">
        <f t="shared" si="27"/>
        <v>0</v>
      </c>
      <c r="N65" s="302">
        <f t="shared" si="27"/>
        <v>0</v>
      </c>
      <c r="O65" s="302">
        <f t="shared" si="27"/>
        <v>0</v>
      </c>
      <c r="P65" s="302">
        <f t="shared" si="27"/>
        <v>0</v>
      </c>
      <c r="Q65" s="302">
        <f t="shared" si="27"/>
        <v>0</v>
      </c>
      <c r="R65" s="302">
        <f t="shared" si="27"/>
        <v>0</v>
      </c>
      <c r="S65" s="302">
        <f t="shared" si="27"/>
        <v>0</v>
      </c>
      <c r="T65" s="302">
        <f t="shared" si="27"/>
        <v>0</v>
      </c>
      <c r="U65" s="302">
        <f t="shared" si="27"/>
        <v>6.7959446212073615E-5</v>
      </c>
      <c r="V65" s="302">
        <f t="shared" si="27"/>
        <v>1.9037559610424193E-4</v>
      </c>
      <c r="W65" s="302">
        <f t="shared" si="27"/>
        <v>2.4343565370477105E-4</v>
      </c>
      <c r="X65" s="302">
        <f t="shared" si="27"/>
        <v>2.4870796974185705E-4</v>
      </c>
      <c r="Y65" s="302">
        <f t="shared" si="27"/>
        <v>2.4386182176583393E-4</v>
      </c>
      <c r="Z65" s="302">
        <f t="shared" si="27"/>
        <v>2.4027166205176087E-4</v>
      </c>
      <c r="AA65" s="302">
        <f t="shared" si="27"/>
        <v>1.9922222481516538E-4</v>
      </c>
      <c r="AB65" s="302">
        <f t="shared" si="27"/>
        <v>1.9577462085063058E-4</v>
      </c>
      <c r="AC65" s="302">
        <f t="shared" si="27"/>
        <v>1.8070652747359528E-4</v>
      </c>
      <c r="AD65" s="302">
        <f t="shared" si="27"/>
        <v>1.5976634942882484E-4</v>
      </c>
      <c r="AE65" s="302">
        <f t="shared" si="27"/>
        <v>1.3172360774682534E-4</v>
      </c>
      <c r="AF65" s="302">
        <f t="shared" si="27"/>
        <v>3.9234768890561433E-5</v>
      </c>
      <c r="AG65" s="302">
        <f t="shared" si="27"/>
        <v>2.6171529016405515E-5</v>
      </c>
      <c r="AH65" s="302">
        <f t="shared" si="27"/>
        <v>-2.4644554506014771E-6</v>
      </c>
      <c r="AI65" s="302">
        <f t="shared" si="27"/>
        <v>-3.8695170125002676E-5</v>
      </c>
      <c r="AJ65" s="302">
        <f t="shared" si="27"/>
        <v>-7.9199716076616689E-5</v>
      </c>
      <c r="AK65" s="302">
        <f t="shared" si="27"/>
        <v>-1.2311366369155419E-4</v>
      </c>
      <c r="AL65" s="302">
        <f t="shared" si="27"/>
        <v>-1.7494504582382664E-4</v>
      </c>
      <c r="AM65" s="302">
        <f t="shared" si="27"/>
        <v>-2.324417756951469E-4</v>
      </c>
      <c r="AN65" s="302">
        <f t="shared" si="27"/>
        <v>-2.9578377617389684E-4</v>
      </c>
      <c r="AO65" s="302">
        <f t="shared" si="27"/>
        <v>-3.6559868311980548E-4</v>
      </c>
      <c r="AP65" s="302">
        <f t="shared" si="27"/>
        <v>-5.7921819836603827E-4</v>
      </c>
      <c r="AQ65" s="302">
        <f t="shared" si="27"/>
        <v>-6.0825992810087381E-4</v>
      </c>
      <c r="AR65" s="302">
        <f t="shared" si="27"/>
        <v>-6.8227163877776498E-4</v>
      </c>
      <c r="AS65" s="302">
        <f t="shared" si="27"/>
        <v>-7.8446482520255767E-4</v>
      </c>
      <c r="AT65" s="302">
        <f t="shared" si="27"/>
        <v>-9.1414069090334227E-4</v>
      </c>
      <c r="AU65" s="303">
        <f t="shared" si="27"/>
        <v>-1.074022991457646E-3</v>
      </c>
      <c r="AV65" s="267"/>
    </row>
    <row r="66" spans="2:48" x14ac:dyDescent="0.25">
      <c r="B66" s="260" t="s">
        <v>472</v>
      </c>
      <c r="C66" s="304">
        <f t="shared" si="27"/>
        <v>0</v>
      </c>
      <c r="D66" s="304">
        <f t="shared" si="27"/>
        <v>0</v>
      </c>
      <c r="E66" s="304">
        <f t="shared" si="27"/>
        <v>0</v>
      </c>
      <c r="F66" s="304">
        <f t="shared" si="27"/>
        <v>0</v>
      </c>
      <c r="G66" s="304">
        <f t="shared" si="27"/>
        <v>0</v>
      </c>
      <c r="H66" s="304">
        <f t="shared" si="27"/>
        <v>0</v>
      </c>
      <c r="I66" s="304">
        <f t="shared" si="27"/>
        <v>0</v>
      </c>
      <c r="J66" s="304">
        <f t="shared" si="27"/>
        <v>0</v>
      </c>
      <c r="K66" s="304">
        <f t="shared" si="27"/>
        <v>0</v>
      </c>
      <c r="L66" s="304">
        <f t="shared" si="27"/>
        <v>0</v>
      </c>
      <c r="M66" s="304">
        <f t="shared" si="27"/>
        <v>0</v>
      </c>
      <c r="N66" s="304">
        <f t="shared" si="27"/>
        <v>0</v>
      </c>
      <c r="O66" s="304">
        <f t="shared" si="27"/>
        <v>0</v>
      </c>
      <c r="P66" s="304">
        <f t="shared" si="27"/>
        <v>0</v>
      </c>
      <c r="Q66" s="304">
        <f t="shared" si="27"/>
        <v>0</v>
      </c>
      <c r="R66" s="304">
        <f t="shared" si="27"/>
        <v>0</v>
      </c>
      <c r="S66" s="304">
        <f t="shared" si="27"/>
        <v>0</v>
      </c>
      <c r="T66" s="304">
        <f t="shared" si="27"/>
        <v>0</v>
      </c>
      <c r="U66" s="304">
        <f t="shared" si="27"/>
        <v>2.2183109223306019E-5</v>
      </c>
      <c r="V66" s="304">
        <f t="shared" si="27"/>
        <v>1.2225922027236935E-4</v>
      </c>
      <c r="W66" s="304">
        <f t="shared" si="27"/>
        <v>1.0176729894886827E-4</v>
      </c>
      <c r="X66" s="304">
        <f t="shared" si="27"/>
        <v>1.5174770504278179E-5</v>
      </c>
      <c r="Y66" s="304">
        <f t="shared" si="27"/>
        <v>-8.5227913919683207E-5</v>
      </c>
      <c r="Z66" s="304">
        <f t="shared" si="27"/>
        <v>-1.9079888133152756E-4</v>
      </c>
      <c r="AA66" s="304">
        <f t="shared" si="27"/>
        <v>2.7553398950629082E-5</v>
      </c>
      <c r="AB66" s="304">
        <f t="shared" si="27"/>
        <v>-8.5384887891659655E-4</v>
      </c>
      <c r="AC66" s="304">
        <f t="shared" si="27"/>
        <v>-1.0344100283671831E-3</v>
      </c>
      <c r="AD66" s="304">
        <f t="shared" si="27"/>
        <v>-1.2157283544730058E-3</v>
      </c>
      <c r="AE66" s="304">
        <f t="shared" si="27"/>
        <v>-1.3952247558406405E-3</v>
      </c>
      <c r="AF66" s="304">
        <f t="shared" si="27"/>
        <v>-2.2241268876062315E-3</v>
      </c>
      <c r="AG66" s="304">
        <f t="shared" ref="AG66:AU66" si="28">AG44-AG55</f>
        <v>-2.3844422772672791E-3</v>
      </c>
      <c r="AH66" s="304">
        <f t="shared" si="28"/>
        <v>-2.5669343040866932E-3</v>
      </c>
      <c r="AI66" s="304">
        <f t="shared" si="28"/>
        <v>-2.7547532746476644E-3</v>
      </c>
      <c r="AJ66" s="304">
        <f t="shared" si="28"/>
        <v>-2.9383979505162583E-3</v>
      </c>
      <c r="AK66" s="304">
        <f t="shared" si="28"/>
        <v>-3.1164954013415125E-3</v>
      </c>
      <c r="AL66" s="304">
        <f t="shared" si="28"/>
        <v>-3.3060585203945891E-3</v>
      </c>
      <c r="AM66" s="304">
        <f t="shared" si="28"/>
        <v>-3.4865725463038288E-3</v>
      </c>
      <c r="AN66" s="304">
        <f t="shared" si="28"/>
        <v>-3.6696070396485536E-3</v>
      </c>
      <c r="AO66" s="304">
        <f t="shared" si="28"/>
        <v>-3.8587708180607694E-3</v>
      </c>
      <c r="AP66" s="304">
        <f t="shared" si="28"/>
        <v>-5.5345738771559738E-3</v>
      </c>
      <c r="AQ66" s="304">
        <f t="shared" si="28"/>
        <v>-5.6758773583575062E-3</v>
      </c>
      <c r="AR66" s="304">
        <f t="shared" si="28"/>
        <v>-5.8527897415813213E-3</v>
      </c>
      <c r="AS66" s="304">
        <f t="shared" si="28"/>
        <v>-6.0516441132688337E-3</v>
      </c>
      <c r="AT66" s="304">
        <f t="shared" si="28"/>
        <v>-6.2722927494044955E-3</v>
      </c>
      <c r="AU66" s="305">
        <f t="shared" si="28"/>
        <v>-1.9097499076934504E-4</v>
      </c>
      <c r="AV66" s="267"/>
    </row>
    <row r="67" spans="2:48" x14ac:dyDescent="0.25">
      <c r="B67" s="248" t="s">
        <v>473</v>
      </c>
      <c r="C67" s="306">
        <f t="shared" ref="C67:AU67" si="29">C45-C56</f>
        <v>0</v>
      </c>
      <c r="D67" s="306">
        <f t="shared" si="29"/>
        <v>0</v>
      </c>
      <c r="E67" s="306">
        <f t="shared" si="29"/>
        <v>0</v>
      </c>
      <c r="F67" s="306">
        <f t="shared" si="29"/>
        <v>0</v>
      </c>
      <c r="G67" s="306">
        <f t="shared" si="29"/>
        <v>0</v>
      </c>
      <c r="H67" s="306">
        <f t="shared" si="29"/>
        <v>0</v>
      </c>
      <c r="I67" s="306">
        <f t="shared" si="29"/>
        <v>0</v>
      </c>
      <c r="J67" s="306">
        <f t="shared" si="29"/>
        <v>0</v>
      </c>
      <c r="K67" s="306">
        <f t="shared" si="29"/>
        <v>0</v>
      </c>
      <c r="L67" s="306">
        <f t="shared" si="29"/>
        <v>0</v>
      </c>
      <c r="M67" s="306">
        <f t="shared" si="29"/>
        <v>0</v>
      </c>
      <c r="N67" s="306">
        <f t="shared" si="29"/>
        <v>0</v>
      </c>
      <c r="O67" s="306">
        <f t="shared" si="29"/>
        <v>0</v>
      </c>
      <c r="P67" s="306">
        <f t="shared" si="29"/>
        <v>0</v>
      </c>
      <c r="Q67" s="306">
        <f t="shared" si="29"/>
        <v>0</v>
      </c>
      <c r="R67" s="306">
        <f t="shared" si="29"/>
        <v>0</v>
      </c>
      <c r="S67" s="306">
        <f t="shared" si="29"/>
        <v>0</v>
      </c>
      <c r="T67" s="306">
        <f t="shared" si="29"/>
        <v>0</v>
      </c>
      <c r="U67" s="306">
        <f t="shared" si="29"/>
        <v>4.9512581678845535E-5</v>
      </c>
      <c r="V67" s="306">
        <f t="shared" si="29"/>
        <v>1.6126903421120886E-4</v>
      </c>
      <c r="W67" s="306">
        <f t="shared" si="29"/>
        <v>2.703327486589524E-4</v>
      </c>
      <c r="X67" s="306">
        <f t="shared" si="29"/>
        <v>3.5873453918944254E-4</v>
      </c>
      <c r="Y67" s="306">
        <f t="shared" si="29"/>
        <v>4.3363874838087124E-4</v>
      </c>
      <c r="Z67" s="306">
        <f t="shared" si="29"/>
        <v>5.0652900683834101E-4</v>
      </c>
      <c r="AA67" s="306">
        <f t="shared" si="29"/>
        <v>7.3243989710969348E-4</v>
      </c>
      <c r="AB67" s="306">
        <f t="shared" si="29"/>
        <v>9.1102067985093793E-4</v>
      </c>
      <c r="AC67" s="306">
        <f t="shared" si="29"/>
        <v>1.0574003261828446E-3</v>
      </c>
      <c r="AD67" s="306">
        <f t="shared" si="29"/>
        <v>1.1811651670247114E-3</v>
      </c>
      <c r="AE67" s="306">
        <f t="shared" si="29"/>
        <v>1.2843015679472325E-3</v>
      </c>
      <c r="AF67" s="306">
        <f t="shared" si="29"/>
        <v>1.6652443605972289E-3</v>
      </c>
      <c r="AG67" s="306">
        <f t="shared" si="29"/>
        <v>1.8788111651971695E-3</v>
      </c>
      <c r="AH67" s="306">
        <f t="shared" si="29"/>
        <v>2.018323209609485E-3</v>
      </c>
      <c r="AI67" s="306">
        <f t="shared" si="29"/>
        <v>2.116706465929985E-3</v>
      </c>
      <c r="AJ67" s="306">
        <f t="shared" si="29"/>
        <v>2.1872070030320989E-3</v>
      </c>
      <c r="AK67" s="306">
        <f t="shared" si="29"/>
        <v>2.2351373951383646E-3</v>
      </c>
      <c r="AL67" s="306">
        <f t="shared" si="29"/>
        <v>2.2564343458209013E-3</v>
      </c>
      <c r="AM67" s="306">
        <f t="shared" si="29"/>
        <v>2.2588373661328598E-3</v>
      </c>
      <c r="AN67" s="306">
        <f t="shared" si="29"/>
        <v>2.248242491023178E-3</v>
      </c>
      <c r="AO67" s="306">
        <f t="shared" si="29"/>
        <v>2.2260572058661054E-3</v>
      </c>
      <c r="AP67" s="306">
        <f t="shared" si="29"/>
        <v>2.8985198194955153E-3</v>
      </c>
      <c r="AQ67" s="306">
        <f t="shared" si="29"/>
        <v>3.1223765246923829E-3</v>
      </c>
      <c r="AR67" s="306">
        <f t="shared" si="29"/>
        <v>3.1556302358057842E-3</v>
      </c>
      <c r="AS67" s="306">
        <f t="shared" si="29"/>
        <v>3.0875442001609965E-3</v>
      </c>
      <c r="AT67" s="306">
        <f t="shared" si="29"/>
        <v>2.9483878370563099E-3</v>
      </c>
      <c r="AU67" s="307">
        <f t="shared" si="29"/>
        <v>2.7504025336361204E-3</v>
      </c>
      <c r="AV67" s="267"/>
    </row>
  </sheetData>
  <pageMargins left="0.7" right="0.7" top="0.75" bottom="0.75" header="0.3" footer="0.3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/>
  <dimension ref="A1:CU306"/>
  <sheetViews>
    <sheetView workbookViewId="0">
      <pane xSplit="2" ySplit="1" topLeftCell="AV290" activePane="bottomRight" state="frozen"/>
      <selection pane="topRight" activeCell="B1" sqref="B1"/>
      <selection pane="bottomLeft" activeCell="A2" sqref="A2"/>
      <selection pane="bottomRight" activeCell="B2" sqref="B2:AW306"/>
    </sheetView>
  </sheetViews>
  <sheetFormatPr baseColWidth="10" defaultColWidth="11.42578125" defaultRowHeight="15" x14ac:dyDescent="0.25"/>
  <cols>
    <col min="1" max="1" width="39.28515625" customWidth="1"/>
    <col min="2" max="2" width="65.42578125" customWidth="1"/>
    <col min="47" max="49" width="11.7109375" customWidth="1"/>
    <col min="50" max="50" width="21.85546875" customWidth="1"/>
    <col min="51" max="52" width="11.7109375" customWidth="1"/>
  </cols>
  <sheetData>
    <row r="1" spans="1:49" ht="51.75" thickBot="1" x14ac:dyDescent="0.3">
      <c r="A1" s="233" t="s">
        <v>484</v>
      </c>
      <c r="B1" s="268" t="s">
        <v>492</v>
      </c>
      <c r="C1" s="234">
        <v>2</v>
      </c>
      <c r="D1" s="234">
        <f>C1+1</f>
        <v>3</v>
      </c>
      <c r="E1" s="234">
        <f t="shared" ref="E1:AW1" si="0">D1+1</f>
        <v>4</v>
      </c>
      <c r="F1" s="234">
        <f t="shared" si="0"/>
        <v>5</v>
      </c>
      <c r="G1" s="234">
        <f t="shared" si="0"/>
        <v>6</v>
      </c>
      <c r="H1" s="234">
        <f t="shared" si="0"/>
        <v>7</v>
      </c>
      <c r="I1" s="234">
        <f t="shared" si="0"/>
        <v>8</v>
      </c>
      <c r="J1" s="234">
        <f t="shared" si="0"/>
        <v>9</v>
      </c>
      <c r="K1" s="234">
        <f t="shared" si="0"/>
        <v>10</v>
      </c>
      <c r="L1" s="234">
        <f t="shared" si="0"/>
        <v>11</v>
      </c>
      <c r="M1" s="234">
        <f t="shared" si="0"/>
        <v>12</v>
      </c>
      <c r="N1" s="234">
        <f t="shared" si="0"/>
        <v>13</v>
      </c>
      <c r="O1" s="234">
        <f t="shared" si="0"/>
        <v>14</v>
      </c>
      <c r="P1" s="234">
        <f t="shared" si="0"/>
        <v>15</v>
      </c>
      <c r="Q1" s="234">
        <f t="shared" si="0"/>
        <v>16</v>
      </c>
      <c r="R1" s="234">
        <f t="shared" si="0"/>
        <v>17</v>
      </c>
      <c r="S1" s="234">
        <f t="shared" si="0"/>
        <v>18</v>
      </c>
      <c r="T1" s="234">
        <f t="shared" si="0"/>
        <v>19</v>
      </c>
      <c r="U1" s="234">
        <f t="shared" si="0"/>
        <v>20</v>
      </c>
      <c r="V1" s="234">
        <f t="shared" si="0"/>
        <v>21</v>
      </c>
      <c r="W1" s="234">
        <f t="shared" si="0"/>
        <v>22</v>
      </c>
      <c r="X1" s="234">
        <f t="shared" si="0"/>
        <v>23</v>
      </c>
      <c r="Y1" s="234">
        <f t="shared" si="0"/>
        <v>24</v>
      </c>
      <c r="Z1" s="234">
        <f t="shared" si="0"/>
        <v>25</v>
      </c>
      <c r="AA1" s="234">
        <f t="shared" si="0"/>
        <v>26</v>
      </c>
      <c r="AB1" s="234">
        <f t="shared" si="0"/>
        <v>27</v>
      </c>
      <c r="AC1" s="234">
        <f t="shared" si="0"/>
        <v>28</v>
      </c>
      <c r="AD1" s="234">
        <f t="shared" si="0"/>
        <v>29</v>
      </c>
      <c r="AE1" s="234">
        <f t="shared" si="0"/>
        <v>30</v>
      </c>
      <c r="AF1" s="234">
        <f t="shared" si="0"/>
        <v>31</v>
      </c>
      <c r="AG1" s="234">
        <f t="shared" si="0"/>
        <v>32</v>
      </c>
      <c r="AH1" s="234">
        <f t="shared" si="0"/>
        <v>33</v>
      </c>
      <c r="AI1" s="234">
        <f t="shared" si="0"/>
        <v>34</v>
      </c>
      <c r="AJ1" s="234">
        <f t="shared" si="0"/>
        <v>35</v>
      </c>
      <c r="AK1" s="234">
        <f t="shared" si="0"/>
        <v>36</v>
      </c>
      <c r="AL1" s="234">
        <f t="shared" si="0"/>
        <v>37</v>
      </c>
      <c r="AM1" s="234">
        <f t="shared" si="0"/>
        <v>38</v>
      </c>
      <c r="AN1" s="234">
        <f t="shared" si="0"/>
        <v>39</v>
      </c>
      <c r="AO1" s="234">
        <f t="shared" si="0"/>
        <v>40</v>
      </c>
      <c r="AP1" s="234">
        <f t="shared" si="0"/>
        <v>41</v>
      </c>
      <c r="AQ1" s="234">
        <f t="shared" si="0"/>
        <v>42</v>
      </c>
      <c r="AR1" s="234">
        <f t="shared" si="0"/>
        <v>43</v>
      </c>
      <c r="AS1" s="234">
        <f t="shared" si="0"/>
        <v>44</v>
      </c>
      <c r="AT1" s="234">
        <f t="shared" si="0"/>
        <v>45</v>
      </c>
      <c r="AU1" s="234">
        <f t="shared" si="0"/>
        <v>46</v>
      </c>
      <c r="AV1" s="234">
        <f t="shared" si="0"/>
        <v>47</v>
      </c>
      <c r="AW1" s="234">
        <f t="shared" si="0"/>
        <v>48</v>
      </c>
    </row>
    <row r="2" spans="1:49" x14ac:dyDescent="0.25">
      <c r="B2" s="192"/>
      <c r="C2" s="16">
        <v>2004</v>
      </c>
      <c r="D2" s="16">
        <v>2005</v>
      </c>
      <c r="E2" s="16">
        <v>2006</v>
      </c>
      <c r="F2" s="22">
        <v>2007</v>
      </c>
      <c r="G2">
        <v>2008</v>
      </c>
      <c r="H2">
        <v>2009</v>
      </c>
      <c r="I2">
        <v>2010</v>
      </c>
      <c r="J2">
        <v>2011</v>
      </c>
      <c r="K2">
        <v>2012</v>
      </c>
      <c r="L2">
        <v>2013</v>
      </c>
      <c r="M2">
        <v>2014</v>
      </c>
      <c r="N2">
        <v>2015</v>
      </c>
      <c r="O2">
        <v>2016</v>
      </c>
      <c r="P2">
        <v>2017</v>
      </c>
      <c r="Q2">
        <v>2018</v>
      </c>
      <c r="R2">
        <v>2019</v>
      </c>
      <c r="S2">
        <v>2020</v>
      </c>
      <c r="T2">
        <v>2021</v>
      </c>
      <c r="U2">
        <v>2022</v>
      </c>
      <c r="V2">
        <v>2023</v>
      </c>
      <c r="W2">
        <v>2024</v>
      </c>
      <c r="X2">
        <v>2025</v>
      </c>
      <c r="Y2">
        <v>2026</v>
      </c>
      <c r="Z2">
        <v>2027</v>
      </c>
      <c r="AA2">
        <v>2028</v>
      </c>
      <c r="AB2">
        <v>2029</v>
      </c>
      <c r="AC2">
        <v>2030</v>
      </c>
      <c r="AD2">
        <v>2031</v>
      </c>
      <c r="AE2">
        <v>2032</v>
      </c>
      <c r="AF2">
        <v>2033</v>
      </c>
      <c r="AG2">
        <v>2034</v>
      </c>
      <c r="AH2">
        <v>2035</v>
      </c>
      <c r="AI2">
        <v>2036</v>
      </c>
      <c r="AJ2">
        <v>2037</v>
      </c>
      <c r="AK2">
        <v>2038</v>
      </c>
      <c r="AL2">
        <v>2039</v>
      </c>
      <c r="AM2">
        <v>2040</v>
      </c>
      <c r="AN2">
        <v>2041</v>
      </c>
      <c r="AO2">
        <v>2042</v>
      </c>
      <c r="AP2">
        <v>2043</v>
      </c>
      <c r="AQ2">
        <v>2044</v>
      </c>
      <c r="AR2">
        <v>2045</v>
      </c>
      <c r="AS2">
        <v>2046</v>
      </c>
      <c r="AT2">
        <v>2047</v>
      </c>
      <c r="AU2">
        <v>2048</v>
      </c>
      <c r="AV2">
        <v>2049</v>
      </c>
      <c r="AW2">
        <v>2050</v>
      </c>
    </row>
    <row r="3" spans="1:49" x14ac:dyDescent="0.25">
      <c r="B3" s="13" t="s">
        <v>103</v>
      </c>
      <c r="C3">
        <v>78.155731330970795</v>
      </c>
      <c r="D3" s="39">
        <v>79.410546877677106</v>
      </c>
      <c r="E3" s="39">
        <v>80.666674569999998</v>
      </c>
      <c r="F3" s="39">
        <v>82.035682489999999</v>
      </c>
      <c r="G3">
        <v>78.482848050000001</v>
      </c>
      <c r="H3">
        <v>76.415372660000003</v>
      </c>
      <c r="I3">
        <v>75.517373599999999</v>
      </c>
      <c r="J3">
        <v>73.768785100000002</v>
      </c>
      <c r="K3">
        <v>71.715188029999894</v>
      </c>
      <c r="L3">
        <v>70.391377500000004</v>
      </c>
      <c r="M3">
        <v>70.512891879999998</v>
      </c>
      <c r="N3">
        <v>71.337321540000005</v>
      </c>
      <c r="O3">
        <v>70.080528200000003</v>
      </c>
      <c r="P3">
        <v>68.213216959999997</v>
      </c>
      <c r="Q3">
        <v>65.482835980000004</v>
      </c>
      <c r="R3">
        <v>63.804611970000003</v>
      </c>
      <c r="S3">
        <v>62.28017474</v>
      </c>
      <c r="T3">
        <v>62.233926959999998</v>
      </c>
      <c r="U3">
        <v>62.037374319999998</v>
      </c>
      <c r="V3">
        <v>61.94253904</v>
      </c>
      <c r="W3">
        <v>61.413069100000001</v>
      </c>
      <c r="X3">
        <v>60.421198349999997</v>
      </c>
      <c r="Y3">
        <v>59.77786399</v>
      </c>
      <c r="Z3">
        <v>59.413851800000003</v>
      </c>
      <c r="AA3">
        <v>59.053747909999998</v>
      </c>
      <c r="AB3">
        <v>58.670387429999998</v>
      </c>
      <c r="AC3">
        <v>58.13493193</v>
      </c>
      <c r="AD3">
        <v>57.6651059</v>
      </c>
      <c r="AE3">
        <v>57.268150599999998</v>
      </c>
      <c r="AF3">
        <v>56.87853673</v>
      </c>
      <c r="AG3">
        <v>56.486146910000002</v>
      </c>
      <c r="AH3">
        <v>56.093413580000004</v>
      </c>
      <c r="AI3">
        <v>55.776376890000002</v>
      </c>
      <c r="AJ3">
        <v>55.475860670000003</v>
      </c>
      <c r="AK3">
        <v>55.167626390000002</v>
      </c>
      <c r="AL3">
        <v>54.866157739999998</v>
      </c>
      <c r="AM3">
        <v>54.570650710000002</v>
      </c>
      <c r="AN3">
        <v>54.231704890000003</v>
      </c>
      <c r="AO3">
        <v>53.87864665</v>
      </c>
      <c r="AP3">
        <v>53.501576880000002</v>
      </c>
      <c r="AQ3">
        <v>53.117873789999997</v>
      </c>
      <c r="AR3">
        <v>52.677742170000002</v>
      </c>
      <c r="AS3">
        <v>52.414423599999999</v>
      </c>
      <c r="AT3">
        <v>52.1630678</v>
      </c>
      <c r="AU3">
        <v>51.914351439999997</v>
      </c>
      <c r="AV3">
        <v>51.672543589999997</v>
      </c>
      <c r="AW3">
        <v>51.453215350000001</v>
      </c>
    </row>
    <row r="4" spans="1:49" x14ac:dyDescent="0.25">
      <c r="B4" s="13" t="s">
        <v>104</v>
      </c>
      <c r="C4">
        <v>77.477678819662401</v>
      </c>
      <c r="D4" s="39">
        <v>78.721608013977402</v>
      </c>
      <c r="E4" s="39">
        <v>79.999246659999997</v>
      </c>
      <c r="F4" s="39">
        <v>81.022953920000006</v>
      </c>
      <c r="G4">
        <v>77.195780990000003</v>
      </c>
      <c r="H4">
        <v>74.853666790000005</v>
      </c>
      <c r="I4">
        <v>73.670353710000001</v>
      </c>
      <c r="J4">
        <v>71.669115129999994</v>
      </c>
      <c r="K4">
        <v>69.387954699999995</v>
      </c>
      <c r="L4">
        <v>67.827520680000006</v>
      </c>
      <c r="M4">
        <v>67.665693669999996</v>
      </c>
      <c r="N4">
        <v>68.175815979999996</v>
      </c>
      <c r="O4">
        <v>66.924744700000005</v>
      </c>
      <c r="P4">
        <v>65.089784129999998</v>
      </c>
      <c r="Q4">
        <v>62.43150043</v>
      </c>
      <c r="R4">
        <v>60.776409360000002</v>
      </c>
      <c r="S4">
        <v>59.266794470000001</v>
      </c>
      <c r="T4">
        <v>59.064032939999997</v>
      </c>
      <c r="U4">
        <v>58.724377859999997</v>
      </c>
      <c r="V4">
        <v>58.486609889999997</v>
      </c>
      <c r="W4">
        <v>57.986680399999997</v>
      </c>
      <c r="X4">
        <v>57.050148610000001</v>
      </c>
      <c r="Y4">
        <v>56.442707480000003</v>
      </c>
      <c r="Z4">
        <v>56.099004440000002</v>
      </c>
      <c r="AA4">
        <v>55.758991649999999</v>
      </c>
      <c r="AB4">
        <v>55.397019810000003</v>
      </c>
      <c r="AC4">
        <v>54.891438700000002</v>
      </c>
      <c r="AD4">
        <v>54.447825440000003</v>
      </c>
      <c r="AE4">
        <v>54.073017270000001</v>
      </c>
      <c r="AF4">
        <v>53.70514094</v>
      </c>
      <c r="AG4">
        <v>53.334643530000001</v>
      </c>
      <c r="AH4">
        <v>52.963821770000003</v>
      </c>
      <c r="AI4">
        <v>52.664473350000002</v>
      </c>
      <c r="AJ4">
        <v>52.380723680000003</v>
      </c>
      <c r="AK4">
        <v>52.089686559999997</v>
      </c>
      <c r="AL4">
        <v>51.805037609999999</v>
      </c>
      <c r="AM4">
        <v>51.52601765</v>
      </c>
      <c r="AN4">
        <v>51.205982470000002</v>
      </c>
      <c r="AO4">
        <v>50.872622219999997</v>
      </c>
      <c r="AP4">
        <v>50.516590119999996</v>
      </c>
      <c r="AQ4">
        <v>50.154294780000001</v>
      </c>
      <c r="AR4">
        <v>49.738719209999999</v>
      </c>
      <c r="AS4">
        <v>49.490091839999998</v>
      </c>
      <c r="AT4">
        <v>49.252759810000001</v>
      </c>
      <c r="AU4">
        <v>49.01791995</v>
      </c>
      <c r="AV4">
        <v>48.78960318</v>
      </c>
      <c r="AW4">
        <v>48.582511799999999</v>
      </c>
    </row>
    <row r="5" spans="1:49" x14ac:dyDescent="0.25">
      <c r="B5" s="13" t="s">
        <v>105</v>
      </c>
      <c r="C5">
        <v>0.67805251130835598</v>
      </c>
      <c r="D5" s="39">
        <v>0.68893886369971102</v>
      </c>
      <c r="E5">
        <v>0.66742790890000003</v>
      </c>
      <c r="F5">
        <v>1.012728563</v>
      </c>
      <c r="G5">
        <v>1.28706706</v>
      </c>
      <c r="H5">
        <v>1.5617058720000001</v>
      </c>
      <c r="I5">
        <v>1.847019881</v>
      </c>
      <c r="J5">
        <v>2.099669977</v>
      </c>
      <c r="K5">
        <v>2.3272333330000001</v>
      </c>
      <c r="L5">
        <v>2.5638568199999998</v>
      </c>
      <c r="M5">
        <v>2.8471982119999999</v>
      </c>
      <c r="N5">
        <v>3.1615055600000002</v>
      </c>
      <c r="O5">
        <v>3.1557834979999999</v>
      </c>
      <c r="P5">
        <v>3.1234328229999999</v>
      </c>
      <c r="Q5">
        <v>3.0513355519999998</v>
      </c>
      <c r="R5">
        <v>3.0282026100000001</v>
      </c>
      <c r="S5">
        <v>3.013380277</v>
      </c>
      <c r="T5">
        <v>3.1698940210000002</v>
      </c>
      <c r="U5">
        <v>3.312996461</v>
      </c>
      <c r="V5">
        <v>3.4559291440000002</v>
      </c>
      <c r="W5">
        <v>3.4263886920000002</v>
      </c>
      <c r="X5">
        <v>3.3710497429999999</v>
      </c>
      <c r="Y5">
        <v>3.33515651</v>
      </c>
      <c r="Z5">
        <v>3.3148473599999999</v>
      </c>
      <c r="AA5">
        <v>3.2947562640000001</v>
      </c>
      <c r="AB5">
        <v>3.273367624</v>
      </c>
      <c r="AC5">
        <v>3.2434932230000002</v>
      </c>
      <c r="AD5">
        <v>3.217280454</v>
      </c>
      <c r="AE5">
        <v>3.195133325</v>
      </c>
      <c r="AF5">
        <v>3.1733957930000001</v>
      </c>
      <c r="AG5">
        <v>3.1515033840000002</v>
      </c>
      <c r="AH5">
        <v>3.1295918089999999</v>
      </c>
      <c r="AI5">
        <v>3.1119035390000001</v>
      </c>
      <c r="AJ5">
        <v>3.0951369880000001</v>
      </c>
      <c r="AK5">
        <v>3.0779398269999998</v>
      </c>
      <c r="AL5">
        <v>3.0611201370000001</v>
      </c>
      <c r="AM5">
        <v>3.0446330609999999</v>
      </c>
      <c r="AN5">
        <v>3.0257224260000002</v>
      </c>
      <c r="AO5">
        <v>3.006024424</v>
      </c>
      <c r="AP5">
        <v>2.9849867579999998</v>
      </c>
      <c r="AQ5">
        <v>2.963579003</v>
      </c>
      <c r="AR5">
        <v>2.93902296</v>
      </c>
      <c r="AS5">
        <v>2.9243317580000001</v>
      </c>
      <c r="AT5">
        <v>2.9103079900000002</v>
      </c>
      <c r="AU5">
        <v>2.8964314820000001</v>
      </c>
      <c r="AV5">
        <v>2.882940418</v>
      </c>
      <c r="AW5">
        <v>2.8707035470000002</v>
      </c>
    </row>
    <row r="6" spans="1:49" x14ac:dyDescent="0.25">
      <c r="B6" s="13" t="s">
        <v>106</v>
      </c>
      <c r="C6">
        <v>28.634797354551999</v>
      </c>
      <c r="D6" s="39">
        <v>29.094538288267</v>
      </c>
      <c r="E6" s="39">
        <v>29.72082902</v>
      </c>
      <c r="F6" s="39">
        <v>30.395734449999999</v>
      </c>
      <c r="G6" s="39">
        <v>30.8448803</v>
      </c>
      <c r="H6" s="39">
        <v>28.382861699999999</v>
      </c>
      <c r="I6" s="39">
        <v>29.334870250000002</v>
      </c>
      <c r="J6" s="39">
        <v>30.22711339</v>
      </c>
      <c r="K6" s="39">
        <v>30.510267079999998</v>
      </c>
      <c r="L6" s="39">
        <v>30.317785789999999</v>
      </c>
      <c r="M6">
        <v>30.078583729999998</v>
      </c>
      <c r="N6">
        <v>29.36618502</v>
      </c>
      <c r="O6">
        <v>27.729942860000001</v>
      </c>
      <c r="P6">
        <v>27.282405900000001</v>
      </c>
      <c r="Q6">
        <v>27.211352890000001</v>
      </c>
      <c r="R6">
        <v>26.331808800000001</v>
      </c>
      <c r="S6">
        <v>25.339627480000001</v>
      </c>
      <c r="T6">
        <v>25.195317589999998</v>
      </c>
      <c r="U6">
        <v>25.099697840000001</v>
      </c>
      <c r="V6">
        <v>25.060583269999999</v>
      </c>
      <c r="W6">
        <v>25.321756749999999</v>
      </c>
      <c r="X6">
        <v>25.718836580000001</v>
      </c>
      <c r="Y6">
        <v>26.205490210000001</v>
      </c>
      <c r="Z6">
        <v>26.58695071</v>
      </c>
      <c r="AA6">
        <v>26.954499080000001</v>
      </c>
      <c r="AB6">
        <v>27.311788150000002</v>
      </c>
      <c r="AC6">
        <v>27.72152964</v>
      </c>
      <c r="AD6">
        <v>28.067162459999999</v>
      </c>
      <c r="AE6">
        <v>28.401913350000001</v>
      </c>
      <c r="AF6">
        <v>28.730946549999999</v>
      </c>
      <c r="AG6">
        <v>29.042827240000001</v>
      </c>
      <c r="AH6">
        <v>29.389670750000001</v>
      </c>
      <c r="AI6">
        <v>29.694277419999999</v>
      </c>
      <c r="AJ6">
        <v>29.987409329999998</v>
      </c>
      <c r="AK6">
        <v>30.26860362</v>
      </c>
      <c r="AL6">
        <v>30.54419656</v>
      </c>
      <c r="AM6">
        <v>30.815227239999999</v>
      </c>
      <c r="AN6">
        <v>31.007919470000001</v>
      </c>
      <c r="AO6">
        <v>31.196317090000001</v>
      </c>
      <c r="AP6">
        <v>31.378207840000002</v>
      </c>
      <c r="AQ6">
        <v>31.55102668</v>
      </c>
      <c r="AR6">
        <v>31.74700151</v>
      </c>
      <c r="AS6">
        <v>31.88053081</v>
      </c>
      <c r="AT6">
        <v>32.009240779999999</v>
      </c>
      <c r="AU6">
        <v>32.132936139999998</v>
      </c>
      <c r="AV6">
        <v>32.254183310000002</v>
      </c>
      <c r="AW6">
        <v>32.400369349999998</v>
      </c>
    </row>
    <row r="7" spans="1:49" x14ac:dyDescent="0.25">
      <c r="B7" s="13" t="s">
        <v>107</v>
      </c>
      <c r="C7">
        <v>0.36749349586970598</v>
      </c>
      <c r="D7">
        <v>0.37339372281503302</v>
      </c>
      <c r="E7">
        <v>0.38143141790000001</v>
      </c>
      <c r="F7">
        <v>0.3695945316</v>
      </c>
      <c r="G7">
        <v>0.35534755890000003</v>
      </c>
      <c r="H7">
        <v>0.3098016884</v>
      </c>
      <c r="I7">
        <v>0.30336754910000002</v>
      </c>
      <c r="J7">
        <v>0.29616857689999998</v>
      </c>
      <c r="K7">
        <v>0.283234182</v>
      </c>
      <c r="L7">
        <v>0.26665792030000002</v>
      </c>
      <c r="M7">
        <v>0.2506523282</v>
      </c>
      <c r="N7">
        <v>0.23185648219999999</v>
      </c>
      <c r="O7">
        <v>0.2015233276</v>
      </c>
      <c r="P7">
        <v>0.17977976230000001</v>
      </c>
      <c r="Q7">
        <v>0.1593467019</v>
      </c>
      <c r="R7">
        <v>0.13321387039999999</v>
      </c>
      <c r="S7">
        <v>0.10618667330000001</v>
      </c>
      <c r="T7">
        <v>0.1403693449</v>
      </c>
      <c r="U7">
        <v>0.17561824849999999</v>
      </c>
      <c r="V7">
        <v>0.21225064090000001</v>
      </c>
      <c r="W7">
        <v>0.2144626499</v>
      </c>
      <c r="X7">
        <v>0.21782571810000001</v>
      </c>
      <c r="Y7">
        <v>0.22194743159999999</v>
      </c>
      <c r="Z7">
        <v>0.22517821169999999</v>
      </c>
      <c r="AA7">
        <v>0.2282911631</v>
      </c>
      <c r="AB7">
        <v>0.23131722330000001</v>
      </c>
      <c r="AC7">
        <v>0.2347875294</v>
      </c>
      <c r="AD7">
        <v>0.23771486689999999</v>
      </c>
      <c r="AE7">
        <v>0.2405500401</v>
      </c>
      <c r="AF7">
        <v>0.24333678710000001</v>
      </c>
      <c r="AG7">
        <v>0.245978261</v>
      </c>
      <c r="AH7">
        <v>0.24891585259999999</v>
      </c>
      <c r="AI7">
        <v>0.25149571920000002</v>
      </c>
      <c r="AJ7">
        <v>0.25397840020000001</v>
      </c>
      <c r="AK7">
        <v>0.25635997560000001</v>
      </c>
      <c r="AL7">
        <v>0.2586941103</v>
      </c>
      <c r="AM7">
        <v>0.26098960500000001</v>
      </c>
      <c r="AN7">
        <v>0.26262161210000001</v>
      </c>
      <c r="AO7">
        <v>0.26421724590000001</v>
      </c>
      <c r="AP7" s="39">
        <v>0.2657577699</v>
      </c>
      <c r="AQ7" s="39">
        <v>0.26722145930000002</v>
      </c>
      <c r="AR7" s="39">
        <v>0.26888126829999998</v>
      </c>
      <c r="AS7" s="39">
        <v>0.2700121949</v>
      </c>
      <c r="AT7" s="39">
        <v>0.27110230419999998</v>
      </c>
      <c r="AU7" s="39">
        <v>0.27214994209999999</v>
      </c>
      <c r="AV7" s="39">
        <v>0.27317684520000002</v>
      </c>
      <c r="AW7" s="39">
        <v>0.27441496799999998</v>
      </c>
    </row>
    <row r="8" spans="1:49" x14ac:dyDescent="0.25">
      <c r="B8" t="s">
        <v>108</v>
      </c>
      <c r="C8">
        <v>1.4676116307532601</v>
      </c>
      <c r="D8" s="39">
        <v>1.4911746101974399</v>
      </c>
      <c r="E8" s="39">
        <v>1.5232737220000001</v>
      </c>
      <c r="F8" s="39">
        <v>1.5601303230000001</v>
      </c>
      <c r="G8" s="39">
        <v>1.5854864360000001</v>
      </c>
      <c r="H8" s="39">
        <v>1.461055886</v>
      </c>
      <c r="I8" s="39">
        <v>1.5122584649999999</v>
      </c>
      <c r="J8" s="39">
        <v>1.5605214160000001</v>
      </c>
      <c r="K8" s="39">
        <v>1.5774306410000001</v>
      </c>
      <c r="L8" s="39">
        <v>1.5697588819999999</v>
      </c>
      <c r="M8">
        <v>1.5596388960000001</v>
      </c>
      <c r="N8">
        <v>1.524914206</v>
      </c>
      <c r="O8">
        <v>1.612674546</v>
      </c>
      <c r="P8">
        <v>1.770053265</v>
      </c>
      <c r="Q8">
        <v>1.9634662439999999</v>
      </c>
      <c r="R8">
        <v>2.1081163809999999</v>
      </c>
      <c r="S8">
        <v>2.2469676770000002</v>
      </c>
      <c r="T8">
        <v>2.1597455769999998</v>
      </c>
      <c r="U8">
        <v>2.0749964169999999</v>
      </c>
      <c r="V8">
        <v>1.992804501</v>
      </c>
      <c r="W8">
        <v>2.0135728799999999</v>
      </c>
      <c r="X8">
        <v>2.0451484610000001</v>
      </c>
      <c r="Y8">
        <v>2.083846903</v>
      </c>
      <c r="Z8">
        <v>2.114180443</v>
      </c>
      <c r="AA8">
        <v>2.1434076979999999</v>
      </c>
      <c r="AB8">
        <v>2.171819138</v>
      </c>
      <c r="AC8">
        <v>2.2044015670000001</v>
      </c>
      <c r="AD8">
        <v>2.231886109</v>
      </c>
      <c r="AE8">
        <v>2.2585053249999998</v>
      </c>
      <c r="AF8">
        <v>2.2846698729999999</v>
      </c>
      <c r="AG8">
        <v>2.3094704629999998</v>
      </c>
      <c r="AH8">
        <v>2.3370512780000001</v>
      </c>
      <c r="AI8">
        <v>2.3612734409999998</v>
      </c>
      <c r="AJ8">
        <v>2.384583138</v>
      </c>
      <c r="AK8">
        <v>2.4069435609999998</v>
      </c>
      <c r="AL8">
        <v>2.4288585679999999</v>
      </c>
      <c r="AM8">
        <v>2.450410786</v>
      </c>
      <c r="AN8">
        <v>2.465733572</v>
      </c>
      <c r="AO8">
        <v>2.4807148510000001</v>
      </c>
      <c r="AP8">
        <v>2.4951787090000002</v>
      </c>
      <c r="AQ8">
        <v>2.5089211730000001</v>
      </c>
      <c r="AR8">
        <v>2.524504989</v>
      </c>
      <c r="AS8">
        <v>2.5351231699999999</v>
      </c>
      <c r="AT8">
        <v>2.5453581189999999</v>
      </c>
      <c r="AU8">
        <v>2.5551943100000001</v>
      </c>
      <c r="AV8">
        <v>2.564835822</v>
      </c>
      <c r="AW8">
        <v>2.5764604590000002</v>
      </c>
    </row>
    <row r="9" spans="1:49" x14ac:dyDescent="0.25">
      <c r="B9" t="s">
        <v>109</v>
      </c>
      <c r="C9">
        <v>1.4643633957556199</v>
      </c>
      <c r="D9">
        <v>1.4878742237362399</v>
      </c>
      <c r="E9">
        <v>1.519902291</v>
      </c>
      <c r="F9">
        <v>1.431344376</v>
      </c>
      <c r="G9">
        <v>1.3374924130000001</v>
      </c>
      <c r="H9">
        <v>1.133290277</v>
      </c>
      <c r="I9">
        <v>1.0785639419999999</v>
      </c>
      <c r="J9">
        <v>1.0233758040000001</v>
      </c>
      <c r="K9">
        <v>0.95117674190000001</v>
      </c>
      <c r="L9">
        <v>0.87034098859999998</v>
      </c>
      <c r="M9">
        <v>0.7951079284</v>
      </c>
      <c r="N9">
        <v>0.71481387699999999</v>
      </c>
      <c r="O9">
        <v>0.59939304650000003</v>
      </c>
      <c r="P9">
        <v>0.50945315999999996</v>
      </c>
      <c r="Q9">
        <v>0.42146315629999997</v>
      </c>
      <c r="R9">
        <v>0.3167605154</v>
      </c>
      <c r="S9">
        <v>0.2092941864</v>
      </c>
      <c r="T9">
        <v>0.20105001689999999</v>
      </c>
      <c r="U9">
        <v>0.19303321949999999</v>
      </c>
      <c r="V9">
        <v>0.18525066630000001</v>
      </c>
      <c r="W9">
        <v>0.18718129019999999</v>
      </c>
      <c r="X9">
        <v>0.19011654920000001</v>
      </c>
      <c r="Y9">
        <v>0.19371394789999999</v>
      </c>
      <c r="Z9">
        <v>0.19653374700000001</v>
      </c>
      <c r="AA9">
        <v>0.19925070619999999</v>
      </c>
      <c r="AB9">
        <v>0.2018918274</v>
      </c>
      <c r="AC9">
        <v>0.2049206828</v>
      </c>
      <c r="AD9">
        <v>0.20747563969999999</v>
      </c>
      <c r="AE9">
        <v>0.20995015619999999</v>
      </c>
      <c r="AF9">
        <v>0.21238240680000001</v>
      </c>
      <c r="AG9">
        <v>0.21468786409999999</v>
      </c>
      <c r="AH9">
        <v>0.2172517706</v>
      </c>
      <c r="AI9">
        <v>0.21950345760000001</v>
      </c>
      <c r="AJ9">
        <v>0.22167032179999999</v>
      </c>
      <c r="AK9">
        <v>0.22374894179999999</v>
      </c>
      <c r="AL9">
        <v>0.22578615599999999</v>
      </c>
      <c r="AM9">
        <v>0.22778964539999999</v>
      </c>
      <c r="AN9">
        <v>0.22921404819999999</v>
      </c>
      <c r="AO9">
        <v>0.2306067047</v>
      </c>
      <c r="AP9">
        <v>0.23195126169999999</v>
      </c>
      <c r="AQ9">
        <v>0.23322875809999999</v>
      </c>
      <c r="AR9">
        <v>0.23467742620000001</v>
      </c>
      <c r="AS9">
        <v>0.2356644899</v>
      </c>
      <c r="AT9">
        <v>0.2366159286</v>
      </c>
      <c r="AU9">
        <v>0.23753029859999999</v>
      </c>
      <c r="AV9">
        <v>0.23842657149999999</v>
      </c>
      <c r="AW9">
        <v>0.23950719519999999</v>
      </c>
    </row>
    <row r="10" spans="1:49" x14ac:dyDescent="0.25">
      <c r="B10" t="s">
        <v>110</v>
      </c>
      <c r="C10">
        <v>0.29584764130791702</v>
      </c>
      <c r="D10" s="39">
        <v>0.300597570883747</v>
      </c>
      <c r="E10" s="39">
        <v>0.30706825180000002</v>
      </c>
      <c r="F10">
        <v>0.65195869890000002</v>
      </c>
      <c r="G10">
        <v>0.97825411500000004</v>
      </c>
      <c r="H10">
        <v>1.1655633809999999</v>
      </c>
      <c r="I10">
        <v>1.4492601940000001</v>
      </c>
      <c r="J10">
        <v>1.710639969</v>
      </c>
      <c r="K10">
        <v>1.905128978</v>
      </c>
      <c r="L10">
        <v>2.0219684689999999</v>
      </c>
      <c r="M10">
        <v>2.0752166519999999</v>
      </c>
      <c r="N10">
        <v>2.0225631719999999</v>
      </c>
      <c r="O10">
        <v>2.1546739779999999</v>
      </c>
      <c r="P10">
        <v>2.3798406089999999</v>
      </c>
      <c r="Q10">
        <v>2.6543004520000002</v>
      </c>
      <c r="R10">
        <v>2.863467253</v>
      </c>
      <c r="S10">
        <v>3.0649473490000001</v>
      </c>
      <c r="T10">
        <v>3.2395533049999998</v>
      </c>
      <c r="U10">
        <v>3.4248087269999998</v>
      </c>
      <c r="V10">
        <v>3.6232296449999999</v>
      </c>
      <c r="W10">
        <v>3.6609897990000002</v>
      </c>
      <c r="X10">
        <v>3.7183991340000002</v>
      </c>
      <c r="Y10">
        <v>3.7887589429999999</v>
      </c>
      <c r="Z10">
        <v>3.8439100530000001</v>
      </c>
      <c r="AA10">
        <v>3.8970497650000002</v>
      </c>
      <c r="AB10">
        <v>3.948706198</v>
      </c>
      <c r="AC10">
        <v>4.0079461399999996</v>
      </c>
      <c r="AD10">
        <v>4.0579173260000001</v>
      </c>
      <c r="AE10">
        <v>4.1063152169999997</v>
      </c>
      <c r="AF10">
        <v>4.1538864499999999</v>
      </c>
      <c r="AG10">
        <v>4.1989777930000001</v>
      </c>
      <c r="AH10">
        <v>4.24912402</v>
      </c>
      <c r="AI10">
        <v>4.2931636940000004</v>
      </c>
      <c r="AJ10">
        <v>4.3355443600000001</v>
      </c>
      <c r="AK10">
        <v>4.3761990989999999</v>
      </c>
      <c r="AL10">
        <v>4.4160440029999997</v>
      </c>
      <c r="AM10">
        <v>4.4552293000000001</v>
      </c>
      <c r="AN10">
        <v>4.4830885159999996</v>
      </c>
      <c r="AO10">
        <v>4.5103268209999996</v>
      </c>
      <c r="AP10">
        <v>4.5366243720000003</v>
      </c>
      <c r="AQ10">
        <v>4.5616103170000004</v>
      </c>
      <c r="AR10">
        <v>4.5899441269999999</v>
      </c>
      <c r="AS10">
        <v>4.6092496369999996</v>
      </c>
      <c r="AT10">
        <v>4.6278583729999996</v>
      </c>
      <c r="AU10">
        <v>4.6457421019999998</v>
      </c>
      <c r="AV10">
        <v>4.6632718759999996</v>
      </c>
      <c r="AW10">
        <v>4.6844072800000003</v>
      </c>
    </row>
    <row r="11" spans="1:49" x14ac:dyDescent="0.25">
      <c r="B11" t="s">
        <v>111</v>
      </c>
      <c r="C11">
        <v>6.65657192942814E-2</v>
      </c>
      <c r="D11" s="39">
        <v>6.7634453448843099E-2</v>
      </c>
      <c r="E11" s="39">
        <v>6.90903566E-2</v>
      </c>
      <c r="F11" s="39">
        <v>9.4005240099999998E-2</v>
      </c>
      <c r="G11" s="39">
        <v>0.12691279720000001</v>
      </c>
      <c r="H11" s="39">
        <v>0.15536794230000001</v>
      </c>
      <c r="I11">
        <v>0.2136349535</v>
      </c>
      <c r="J11">
        <v>0.29286516680000002</v>
      </c>
      <c r="K11">
        <v>0.39327827840000001</v>
      </c>
      <c r="L11">
        <v>0.51991738170000001</v>
      </c>
      <c r="M11">
        <v>0.68624176520000002</v>
      </c>
      <c r="N11">
        <v>0.89135396180000004</v>
      </c>
      <c r="O11">
        <v>0.94957587180000003</v>
      </c>
      <c r="P11">
        <v>1.0488079610000001</v>
      </c>
      <c r="Q11">
        <v>1.1697638210000001</v>
      </c>
      <c r="R11">
        <v>1.2619447029999999</v>
      </c>
      <c r="S11">
        <v>1.350738014</v>
      </c>
      <c r="T11">
        <v>1.40806575</v>
      </c>
      <c r="U11">
        <v>1.469600437</v>
      </c>
      <c r="V11">
        <v>1.536290422</v>
      </c>
      <c r="W11">
        <v>1.5523011550000001</v>
      </c>
      <c r="X11">
        <v>1.5766433630000001</v>
      </c>
      <c r="Y11">
        <v>1.606476719</v>
      </c>
      <c r="Z11">
        <v>1.6298614149999999</v>
      </c>
      <c r="AA11">
        <v>1.652393255</v>
      </c>
      <c r="AB11">
        <v>1.6742961679999999</v>
      </c>
      <c r="AC11">
        <v>1.699414574</v>
      </c>
      <c r="AD11">
        <v>1.720602923</v>
      </c>
      <c r="AE11">
        <v>1.7411241770000001</v>
      </c>
      <c r="AF11">
        <v>1.761294919</v>
      </c>
      <c r="AG11">
        <v>1.780414159</v>
      </c>
      <c r="AH11">
        <v>1.8016767279999999</v>
      </c>
      <c r="AI11">
        <v>1.820350049</v>
      </c>
      <c r="AJ11">
        <v>1.838319931</v>
      </c>
      <c r="AK11">
        <v>1.8555580009999999</v>
      </c>
      <c r="AL11">
        <v>1.872452692</v>
      </c>
      <c r="AM11">
        <v>1.889067702</v>
      </c>
      <c r="AN11">
        <v>1.9008803249999999</v>
      </c>
      <c r="AO11">
        <v>1.9124296750000001</v>
      </c>
      <c r="AP11">
        <v>1.9235801349999999</v>
      </c>
      <c r="AQ11">
        <v>1.934174458</v>
      </c>
      <c r="AR11">
        <v>1.9461883149999999</v>
      </c>
      <c r="AS11">
        <v>1.9543740700000001</v>
      </c>
      <c r="AT11">
        <v>1.9622643850000001</v>
      </c>
      <c r="AU11">
        <v>1.969847288</v>
      </c>
      <c r="AV11">
        <v>1.977280111</v>
      </c>
      <c r="AW11">
        <v>1.9862417619999999</v>
      </c>
    </row>
    <row r="12" spans="1:49" x14ac:dyDescent="0.25">
      <c r="B12" t="s">
        <v>112</v>
      </c>
      <c r="C12">
        <v>3.32767453113023</v>
      </c>
      <c r="D12" s="39">
        <v>3.3811014220943498</v>
      </c>
      <c r="E12">
        <v>3.4538832089999998</v>
      </c>
      <c r="F12" s="39">
        <v>3.4079138160000002</v>
      </c>
      <c r="G12" s="39">
        <v>3.3364781360000002</v>
      </c>
      <c r="H12" s="39">
        <v>2.9620378779999998</v>
      </c>
      <c r="I12">
        <v>2.9535738280000001</v>
      </c>
      <c r="J12">
        <v>2.93622659</v>
      </c>
      <c r="K12">
        <v>2.8593553690000002</v>
      </c>
      <c r="L12">
        <v>2.7412512169999999</v>
      </c>
      <c r="M12" s="39">
        <v>2.6238437760000002</v>
      </c>
      <c r="N12">
        <v>2.4714814399999998</v>
      </c>
      <c r="O12">
        <v>2.6329149169999999</v>
      </c>
      <c r="P12">
        <v>2.9080584360000001</v>
      </c>
      <c r="Q12">
        <v>3.243436049</v>
      </c>
      <c r="R12">
        <v>3.4990284950000001</v>
      </c>
      <c r="S12">
        <v>3.7452281300000001</v>
      </c>
      <c r="T12">
        <v>3.939949645</v>
      </c>
      <c r="U12">
        <v>4.1472223650000002</v>
      </c>
      <c r="V12">
        <v>4.3699683269999996</v>
      </c>
      <c r="W12">
        <v>4.4155107549999997</v>
      </c>
      <c r="X12">
        <v>4.4847520129999996</v>
      </c>
      <c r="Y12">
        <v>4.5696128050000002</v>
      </c>
      <c r="Z12">
        <v>4.6361304219999999</v>
      </c>
      <c r="AA12">
        <v>4.7002220970000002</v>
      </c>
      <c r="AB12">
        <v>4.7625247929999999</v>
      </c>
      <c r="AC12">
        <v>4.833973941</v>
      </c>
      <c r="AD12">
        <v>4.8942440649999996</v>
      </c>
      <c r="AE12">
        <v>4.9526166409999997</v>
      </c>
      <c r="AF12">
        <v>5.009992188</v>
      </c>
      <c r="AG12">
        <v>5.0643767459999998</v>
      </c>
      <c r="AH12">
        <v>5.1248579870000004</v>
      </c>
      <c r="AI12">
        <v>5.1779741279999998</v>
      </c>
      <c r="AJ12">
        <v>5.2290893450000002</v>
      </c>
      <c r="AK12">
        <v>5.278122926</v>
      </c>
      <c r="AL12">
        <v>5.3261797660000001</v>
      </c>
      <c r="AM12">
        <v>5.3734410549999998</v>
      </c>
      <c r="AN12">
        <v>5.4070419870000004</v>
      </c>
      <c r="AO12">
        <v>5.4398940400000004</v>
      </c>
      <c r="AP12">
        <v>5.4716114510000002</v>
      </c>
      <c r="AQ12">
        <v>5.5017469370000001</v>
      </c>
      <c r="AR12">
        <v>5.5359202759999997</v>
      </c>
      <c r="AS12">
        <v>5.5592046030000004</v>
      </c>
      <c r="AT12">
        <v>5.581648554</v>
      </c>
      <c r="AU12">
        <v>5.603218075</v>
      </c>
      <c r="AV12">
        <v>5.6243606919999998</v>
      </c>
      <c r="AW12">
        <v>5.649852052</v>
      </c>
    </row>
    <row r="13" spans="1:49" x14ac:dyDescent="0.25">
      <c r="B13" t="s">
        <v>113</v>
      </c>
      <c r="C13">
        <v>0.21556468620722</v>
      </c>
      <c r="D13" s="39">
        <v>0.21902564697065</v>
      </c>
      <c r="E13" s="39">
        <v>0.22374040589999999</v>
      </c>
      <c r="F13" s="39">
        <v>0.25649359290000001</v>
      </c>
      <c r="G13" s="39">
        <v>0.29176107169999999</v>
      </c>
      <c r="H13" s="39">
        <v>0.30094062230000002</v>
      </c>
      <c r="I13" s="39">
        <v>0.34864960880000001</v>
      </c>
      <c r="J13" s="39">
        <v>0.4027004018</v>
      </c>
      <c r="K13" s="39">
        <v>0.45562943620000002</v>
      </c>
      <c r="L13" s="39">
        <v>0.5075088525</v>
      </c>
      <c r="M13">
        <v>0.56439596790000002</v>
      </c>
      <c r="N13">
        <v>0.61766703950000001</v>
      </c>
      <c r="O13">
        <v>0.56696655699999998</v>
      </c>
      <c r="P13">
        <v>0.5405243824</v>
      </c>
      <c r="Q13">
        <v>0.52044672240000001</v>
      </c>
      <c r="R13">
        <v>0.48400306630000001</v>
      </c>
      <c r="S13">
        <v>0.44518555370000001</v>
      </c>
      <c r="T13">
        <v>0.47094716660000002</v>
      </c>
      <c r="U13">
        <v>0.49826553470000001</v>
      </c>
      <c r="V13">
        <v>0.52750938439999995</v>
      </c>
      <c r="W13">
        <v>0.53300692039999997</v>
      </c>
      <c r="X13">
        <v>0.54136519910000003</v>
      </c>
      <c r="Y13">
        <v>0.55160894930000004</v>
      </c>
      <c r="Z13">
        <v>0.55963845079999996</v>
      </c>
      <c r="AA13">
        <v>0.56737511100000004</v>
      </c>
      <c r="AB13">
        <v>0.5748958193</v>
      </c>
      <c r="AC13">
        <v>0.58352061769999997</v>
      </c>
      <c r="AD13">
        <v>0.59079596940000001</v>
      </c>
      <c r="AE13">
        <v>0.59784226340000002</v>
      </c>
      <c r="AF13">
        <v>0.60476820360000005</v>
      </c>
      <c r="AG13">
        <v>0.61133309430000005</v>
      </c>
      <c r="AH13">
        <v>0.61863393030000002</v>
      </c>
      <c r="AI13">
        <v>0.62504570749999999</v>
      </c>
      <c r="AJ13">
        <v>0.63121594830000005</v>
      </c>
      <c r="AK13">
        <v>0.63713490969999997</v>
      </c>
      <c r="AL13">
        <v>0.64293596639999995</v>
      </c>
      <c r="AM13">
        <v>0.6486409903</v>
      </c>
      <c r="AN13">
        <v>0.65269703960000003</v>
      </c>
      <c r="AO13">
        <v>0.65666268979999998</v>
      </c>
      <c r="AP13">
        <v>0.66049137479999998</v>
      </c>
      <c r="AQ13">
        <v>0.66412910179999995</v>
      </c>
      <c r="AR13">
        <v>0.66825424769999997</v>
      </c>
      <c r="AS13">
        <v>0.67106495479999995</v>
      </c>
      <c r="AT13">
        <v>0.67377421800000004</v>
      </c>
      <c r="AU13">
        <v>0.67637792689999998</v>
      </c>
      <c r="AV13">
        <v>0.67893010300000001</v>
      </c>
      <c r="AW13">
        <v>0.68200722629999999</v>
      </c>
    </row>
    <row r="14" spans="1:49" x14ac:dyDescent="0.25">
      <c r="B14" t="s">
        <v>114</v>
      </c>
      <c r="C14">
        <v>35.839918454870201</v>
      </c>
      <c r="D14" s="39">
        <v>36.415339938413297</v>
      </c>
      <c r="E14">
        <v>37.199218680000001</v>
      </c>
      <c r="F14">
        <v>38.167175030000003</v>
      </c>
      <c r="G14">
        <v>38.856612820000002</v>
      </c>
      <c r="H14">
        <v>35.870919379999997</v>
      </c>
      <c r="I14">
        <v>37.194178790000002</v>
      </c>
      <c r="J14">
        <v>38.449611320000002</v>
      </c>
      <c r="K14">
        <v>38.935500699999999</v>
      </c>
      <c r="L14">
        <v>38.815189510000003</v>
      </c>
      <c r="M14">
        <v>38.63368105</v>
      </c>
      <c r="N14">
        <v>37.84083519</v>
      </c>
      <c r="O14">
        <v>36.447665110000003</v>
      </c>
      <c r="P14">
        <v>36.618923479999999</v>
      </c>
      <c r="Q14">
        <v>37.343576040000002</v>
      </c>
      <c r="R14">
        <v>36.998343079999998</v>
      </c>
      <c r="S14">
        <v>36.50817507</v>
      </c>
      <c r="T14">
        <v>36.754998399999998</v>
      </c>
      <c r="U14">
        <v>37.08324279</v>
      </c>
      <c r="V14">
        <v>37.507886859999999</v>
      </c>
      <c r="W14">
        <v>37.898782199999999</v>
      </c>
      <c r="X14">
        <v>38.493087019999997</v>
      </c>
      <c r="Y14">
        <v>39.221455910000003</v>
      </c>
      <c r="Z14">
        <v>39.792383450000003</v>
      </c>
      <c r="AA14">
        <v>40.342488879999998</v>
      </c>
      <c r="AB14">
        <v>40.877239320000001</v>
      </c>
      <c r="AC14">
        <v>41.490494689999998</v>
      </c>
      <c r="AD14">
        <v>42.00779936</v>
      </c>
      <c r="AE14">
        <v>42.50881717</v>
      </c>
      <c r="AF14">
        <v>43.001277379999998</v>
      </c>
      <c r="AG14">
        <v>43.468065619999997</v>
      </c>
      <c r="AH14">
        <v>43.987182320000002</v>
      </c>
      <c r="AI14">
        <v>44.443083620000003</v>
      </c>
      <c r="AJ14">
        <v>44.881810780000002</v>
      </c>
      <c r="AK14">
        <v>45.302671029999999</v>
      </c>
      <c r="AL14">
        <v>45.715147819999999</v>
      </c>
      <c r="AM14">
        <v>46.120796319999997</v>
      </c>
      <c r="AN14">
        <v>46.409196569999999</v>
      </c>
      <c r="AO14">
        <v>46.691169109999997</v>
      </c>
      <c r="AP14">
        <v>46.963402909999999</v>
      </c>
      <c r="AQ14">
        <v>47.222058879999999</v>
      </c>
      <c r="AR14">
        <v>47.515372159999998</v>
      </c>
      <c r="AS14">
        <v>47.715223930000001</v>
      </c>
      <c r="AT14">
        <v>47.907862659999999</v>
      </c>
      <c r="AU14">
        <v>48.092996079999999</v>
      </c>
      <c r="AV14">
        <v>48.274465329999998</v>
      </c>
      <c r="AW14">
        <v>48.493260290000002</v>
      </c>
    </row>
    <row r="15" spans="1:49" x14ac:dyDescent="0.25">
      <c r="B15" t="s">
        <v>115</v>
      </c>
      <c r="C15">
        <v>36.006525643363197</v>
      </c>
      <c r="D15" s="39">
        <v>36.584622059208101</v>
      </c>
      <c r="E15" s="39">
        <v>37.372041430000003</v>
      </c>
      <c r="F15" s="39">
        <v>38.351590280000003</v>
      </c>
      <c r="G15" s="39">
        <v>37.981382429999996</v>
      </c>
      <c r="H15" s="39">
        <v>37.032988379999999</v>
      </c>
      <c r="I15" s="39">
        <v>38.469839219999997</v>
      </c>
      <c r="J15" s="39">
        <v>39.027398320000003</v>
      </c>
      <c r="K15" s="39">
        <v>38.220379749999999</v>
      </c>
      <c r="L15" s="39">
        <v>38.063829390000002</v>
      </c>
      <c r="M15">
        <v>38.77924144</v>
      </c>
      <c r="N15">
        <v>40.035660440000001</v>
      </c>
      <c r="O15">
        <v>40.911636219999998</v>
      </c>
      <c r="P15" s="39">
        <v>41.121830060000001</v>
      </c>
      <c r="Q15">
        <v>39.631093659999998</v>
      </c>
      <c r="R15">
        <v>38.759546829999998</v>
      </c>
      <c r="S15">
        <v>38.147357720000002</v>
      </c>
      <c r="T15">
        <v>37.862247269999997</v>
      </c>
      <c r="U15">
        <v>37.83080665</v>
      </c>
      <c r="V15">
        <v>37.930104319999998</v>
      </c>
      <c r="W15">
        <v>38.588539349999998</v>
      </c>
      <c r="X15">
        <v>39.031340610000001</v>
      </c>
      <c r="Y15">
        <v>39.471796750000003</v>
      </c>
      <c r="Z15">
        <v>40.007334669999999</v>
      </c>
      <c r="AA15">
        <v>40.389027579999997</v>
      </c>
      <c r="AB15">
        <v>40.708318640000002</v>
      </c>
      <c r="AC15">
        <v>41.009846590000002</v>
      </c>
      <c r="AD15">
        <v>41.367146849999997</v>
      </c>
      <c r="AE15">
        <v>41.662102679999997</v>
      </c>
      <c r="AF15">
        <v>41.976584160000002</v>
      </c>
      <c r="AG15">
        <v>42.2507406</v>
      </c>
      <c r="AH15">
        <v>42.491374890000003</v>
      </c>
      <c r="AI15">
        <v>42.656163399999997</v>
      </c>
      <c r="AJ15">
        <v>42.82199043</v>
      </c>
      <c r="AK15">
        <v>42.976703209999997</v>
      </c>
      <c r="AL15">
        <v>43.131763919999997</v>
      </c>
      <c r="AM15">
        <v>43.289145220000002</v>
      </c>
      <c r="AN15">
        <v>43.24954692</v>
      </c>
      <c r="AO15">
        <v>43.225506930000002</v>
      </c>
      <c r="AP15">
        <v>43.19341017</v>
      </c>
      <c r="AQ15">
        <v>43.169571009999999</v>
      </c>
      <c r="AR15">
        <v>43.128198089999998</v>
      </c>
      <c r="AS15">
        <v>43.124785940000002</v>
      </c>
      <c r="AT15">
        <v>43.129449139999998</v>
      </c>
      <c r="AU15">
        <v>43.133267949999997</v>
      </c>
      <c r="AV15">
        <v>43.138443369999997</v>
      </c>
      <c r="AW15">
        <v>43.144658509999999</v>
      </c>
    </row>
    <row r="16" spans="1:49" x14ac:dyDescent="0.25">
      <c r="B16" t="s">
        <v>116</v>
      </c>
      <c r="C16">
        <v>33.108335480742298</v>
      </c>
      <c r="D16">
        <v>33.639900516080203</v>
      </c>
      <c r="E16">
        <v>33.773630109999999</v>
      </c>
      <c r="F16">
        <v>33.607407100000003</v>
      </c>
      <c r="G16">
        <v>32.273942239999997</v>
      </c>
      <c r="H16">
        <v>30.51462106</v>
      </c>
      <c r="I16">
        <v>30.738693000000001</v>
      </c>
      <c r="J16">
        <v>30.24041682</v>
      </c>
      <c r="K16">
        <v>28.719256940000001</v>
      </c>
      <c r="L16">
        <v>27.73129492</v>
      </c>
      <c r="M16">
        <v>27.388097779999999</v>
      </c>
      <c r="N16">
        <v>27.411033509999999</v>
      </c>
      <c r="O16">
        <v>27.889285659999999</v>
      </c>
      <c r="P16">
        <v>27.910670889999999</v>
      </c>
      <c r="Q16">
        <v>26.781588580000001</v>
      </c>
      <c r="R16">
        <v>26.078133300000001</v>
      </c>
      <c r="S16">
        <v>25.553763230000001</v>
      </c>
      <c r="T16">
        <v>24.336834629999998</v>
      </c>
      <c r="U16">
        <v>23.267035440000001</v>
      </c>
      <c r="V16">
        <v>22.250305579999999</v>
      </c>
      <c r="W16">
        <v>22.180184369999999</v>
      </c>
      <c r="X16">
        <v>21.9810546</v>
      </c>
      <c r="Y16">
        <v>21.77560519</v>
      </c>
      <c r="Z16">
        <v>21.61647468</v>
      </c>
      <c r="AA16">
        <v>21.369879789999999</v>
      </c>
      <c r="AB16">
        <v>21.086694420000001</v>
      </c>
      <c r="AC16">
        <v>20.79096762</v>
      </c>
      <c r="AD16">
        <v>20.519582379999999</v>
      </c>
      <c r="AE16">
        <v>20.213997819999999</v>
      </c>
      <c r="AF16">
        <v>19.914450309999999</v>
      </c>
      <c r="AG16">
        <v>19.592816509999999</v>
      </c>
      <c r="AH16">
        <v>19.253054540000001</v>
      </c>
      <c r="AI16">
        <v>18.877187159999998</v>
      </c>
      <c r="AJ16">
        <v>18.500074510000001</v>
      </c>
      <c r="AK16">
        <v>18.116596779999998</v>
      </c>
      <c r="AL16">
        <v>17.731717159999999</v>
      </c>
      <c r="AM16">
        <v>17.34623796</v>
      </c>
      <c r="AN16">
        <v>16.88232958</v>
      </c>
      <c r="AO16">
        <v>16.424982079999999</v>
      </c>
      <c r="AP16">
        <v>15.965161</v>
      </c>
      <c r="AQ16">
        <v>15.50890034</v>
      </c>
      <c r="AR16">
        <v>15.047030599999999</v>
      </c>
      <c r="AS16">
        <v>14.598713200000001</v>
      </c>
      <c r="AT16">
        <v>14.15333601</v>
      </c>
      <c r="AU16">
        <v>13.707901570000001</v>
      </c>
      <c r="AV16">
        <v>13.26311289</v>
      </c>
      <c r="AW16">
        <v>12.81885694</v>
      </c>
    </row>
    <row r="17" spans="2:49" x14ac:dyDescent="0.25">
      <c r="B17" t="s">
        <v>117</v>
      </c>
      <c r="C17">
        <v>1.54983431156195</v>
      </c>
      <c r="D17">
        <v>1.57471740274219</v>
      </c>
      <c r="E17">
        <v>1.5809774190000001</v>
      </c>
      <c r="F17" s="39">
        <v>2.5805979969999999</v>
      </c>
      <c r="G17" s="39">
        <v>3.4409461110000001</v>
      </c>
      <c r="H17" s="39">
        <v>4.1488229250000002</v>
      </c>
      <c r="I17">
        <v>5.0523490689999999</v>
      </c>
      <c r="J17">
        <v>5.7823782799999996</v>
      </c>
      <c r="K17">
        <v>6.194581157</v>
      </c>
      <c r="L17">
        <v>6.5646549250000001</v>
      </c>
      <c r="M17">
        <v>6.9254924249999998</v>
      </c>
      <c r="N17">
        <v>7.1876049460000004</v>
      </c>
      <c r="O17">
        <v>7.4292073529999998</v>
      </c>
      <c r="P17">
        <v>7.5519961919999998</v>
      </c>
      <c r="Q17">
        <v>7.3596288850000002</v>
      </c>
      <c r="R17">
        <v>7.2772520839999997</v>
      </c>
      <c r="S17">
        <v>7.2403882790000003</v>
      </c>
      <c r="T17">
        <v>7.3763362560000001</v>
      </c>
      <c r="U17">
        <v>7.5646540619999998</v>
      </c>
      <c r="V17">
        <v>7.7841789429999997</v>
      </c>
      <c r="W17">
        <v>8.2590686739999999</v>
      </c>
      <c r="X17">
        <v>8.6915774559999903</v>
      </c>
      <c r="Y17">
        <v>9.1272857030000001</v>
      </c>
      <c r="Z17">
        <v>9.5895479659999996</v>
      </c>
      <c r="AA17">
        <v>10.018165460000001</v>
      </c>
      <c r="AB17">
        <v>10.433965199999999</v>
      </c>
      <c r="AC17">
        <v>10.84769885</v>
      </c>
      <c r="AD17">
        <v>11.279113629999999</v>
      </c>
      <c r="AE17">
        <v>11.695967319999999</v>
      </c>
      <c r="AF17">
        <v>12.12086103</v>
      </c>
      <c r="AG17">
        <v>12.53631101</v>
      </c>
      <c r="AH17">
        <v>12.943737629999999</v>
      </c>
      <c r="AI17">
        <v>13.329354970000001</v>
      </c>
      <c r="AJ17">
        <v>13.716566090000001</v>
      </c>
      <c r="AK17">
        <v>14.101381140000001</v>
      </c>
      <c r="AL17">
        <v>14.487463229999999</v>
      </c>
      <c r="AM17">
        <v>14.875481430000001</v>
      </c>
      <c r="AN17">
        <v>15.195437780000001</v>
      </c>
      <c r="AO17">
        <v>15.52049732</v>
      </c>
      <c r="AP17">
        <v>15.842226350000001</v>
      </c>
      <c r="AQ17">
        <v>16.166605669999999</v>
      </c>
      <c r="AR17">
        <v>16.48390504</v>
      </c>
      <c r="AS17">
        <v>16.81548385</v>
      </c>
      <c r="AT17">
        <v>17.150057700000001</v>
      </c>
      <c r="AU17">
        <v>17.484132110000001</v>
      </c>
      <c r="AV17">
        <v>17.81859665</v>
      </c>
      <c r="AW17">
        <v>18.153332020000001</v>
      </c>
    </row>
    <row r="18" spans="2:49" x14ac:dyDescent="0.25">
      <c r="B18" t="s">
        <v>118</v>
      </c>
      <c r="C18">
        <v>0.19372928894524399</v>
      </c>
      <c r="D18">
        <v>0.196839675342774</v>
      </c>
      <c r="E18">
        <v>0.4774907525</v>
      </c>
      <c r="F18">
        <v>0.48983847609999998</v>
      </c>
      <c r="G18">
        <v>0.48495402920000003</v>
      </c>
      <c r="H18">
        <v>0.47270174100000001</v>
      </c>
      <c r="I18">
        <v>0.49090254579999998</v>
      </c>
      <c r="J18">
        <v>0.49788417870000001</v>
      </c>
      <c r="K18">
        <v>0.4874660992</v>
      </c>
      <c r="L18">
        <v>0.48525725219999999</v>
      </c>
      <c r="M18">
        <v>0.49407675379999999</v>
      </c>
      <c r="N18">
        <v>0.50978684910000005</v>
      </c>
      <c r="O18">
        <v>0.58325849090000004</v>
      </c>
      <c r="P18">
        <v>0.64878032230000005</v>
      </c>
      <c r="Q18">
        <v>0.68541131030000002</v>
      </c>
      <c r="R18">
        <v>0.72906017199999995</v>
      </c>
      <c r="S18">
        <v>0.77523603399999996</v>
      </c>
      <c r="T18">
        <v>0.99380941550000002</v>
      </c>
      <c r="U18">
        <v>1.2225233390000001</v>
      </c>
      <c r="V18">
        <v>1.461440909</v>
      </c>
      <c r="W18">
        <v>1.5379731720000001</v>
      </c>
      <c r="X18">
        <v>1.6064790449999999</v>
      </c>
      <c r="Y18">
        <v>1.6754488219999999</v>
      </c>
      <c r="Z18">
        <v>1.749142336</v>
      </c>
      <c r="AA18">
        <v>1.8165962099999999</v>
      </c>
      <c r="AB18">
        <v>1.881644037</v>
      </c>
      <c r="AC18">
        <v>1.9462452779999999</v>
      </c>
      <c r="AD18">
        <v>2.0139343520000001</v>
      </c>
      <c r="AE18">
        <v>2.0789552979999999</v>
      </c>
      <c r="AF18">
        <v>2.1453358530000002</v>
      </c>
      <c r="AG18">
        <v>2.2099868009999999</v>
      </c>
      <c r="AH18">
        <v>2.2731739069999999</v>
      </c>
      <c r="AI18">
        <v>2.332498459</v>
      </c>
      <c r="AJ18">
        <v>2.3920709269999998</v>
      </c>
      <c r="AK18">
        <v>2.4511978249999999</v>
      </c>
      <c r="AL18">
        <v>2.5105181729999999</v>
      </c>
      <c r="AM18">
        <v>2.5701477640000001</v>
      </c>
      <c r="AN18">
        <v>2.6180260959999999</v>
      </c>
      <c r="AO18">
        <v>2.6667915400000002</v>
      </c>
      <c r="AP18">
        <v>2.714994017</v>
      </c>
      <c r="AQ18">
        <v>2.7636585610000002</v>
      </c>
      <c r="AR18">
        <v>2.8111232589999999</v>
      </c>
      <c r="AS18" s="39">
        <v>2.8610277150000001</v>
      </c>
      <c r="AT18">
        <v>2.9114447619999999</v>
      </c>
      <c r="AU18">
        <v>2.9617801610000001</v>
      </c>
      <c r="AV18">
        <v>3.0121846520000002</v>
      </c>
      <c r="AW18">
        <v>3.0626378569999999</v>
      </c>
    </row>
    <row r="19" spans="2:49" x14ac:dyDescent="0.25">
      <c r="B19" t="s">
        <v>119</v>
      </c>
      <c r="C19">
        <v>0.57343869527792402</v>
      </c>
      <c r="D19" s="39">
        <v>0.58264543901461296</v>
      </c>
      <c r="E19" s="39">
        <v>0.58496164500000003</v>
      </c>
      <c r="F19">
        <v>0.58161821069999997</v>
      </c>
      <c r="G19">
        <v>0.55809527709999995</v>
      </c>
      <c r="H19">
        <v>0.52725129110000002</v>
      </c>
      <c r="I19">
        <v>0.53069917079999995</v>
      </c>
      <c r="J19">
        <v>0.52167992559999998</v>
      </c>
      <c r="K19">
        <v>0.49504296380000001</v>
      </c>
      <c r="L19">
        <v>0.48525725219999999</v>
      </c>
      <c r="M19">
        <v>0.49407675379999999</v>
      </c>
      <c r="N19">
        <v>0.50978684910000005</v>
      </c>
      <c r="O19">
        <v>0.72538242139999998</v>
      </c>
      <c r="P19">
        <v>0.93423191360000002</v>
      </c>
      <c r="Q19">
        <v>1.0976961629999999</v>
      </c>
      <c r="R19">
        <v>1.2662021910000001</v>
      </c>
      <c r="S19">
        <v>1.4354666190000001</v>
      </c>
      <c r="T19">
        <v>1.482568434</v>
      </c>
      <c r="U19">
        <v>1.5405007079999999</v>
      </c>
      <c r="V19">
        <v>1.605297768</v>
      </c>
      <c r="W19">
        <v>1.649092571</v>
      </c>
      <c r="X19">
        <v>1.6838489839999999</v>
      </c>
      <c r="Y19">
        <v>1.718678701</v>
      </c>
      <c r="Z19">
        <v>1.757862598</v>
      </c>
      <c r="AA19">
        <v>1.7904382489999999</v>
      </c>
      <c r="AB19">
        <v>1.8203723620000001</v>
      </c>
      <c r="AC19">
        <v>1.8496287360000001</v>
      </c>
      <c r="AD19">
        <v>1.8815378469999999</v>
      </c>
      <c r="AE19">
        <v>1.910725569</v>
      </c>
      <c r="AF19">
        <v>1.94092873</v>
      </c>
      <c r="AG19">
        <v>1.969370474</v>
      </c>
      <c r="AH19">
        <v>1.996339855</v>
      </c>
      <c r="AI19">
        <v>2.0198065359999999</v>
      </c>
      <c r="AJ19">
        <v>2.043381895</v>
      </c>
      <c r="AK19">
        <v>2.066481472</v>
      </c>
      <c r="AL19">
        <v>2.089651827</v>
      </c>
      <c r="AM19">
        <v>2.1129888330000002</v>
      </c>
      <c r="AN19">
        <v>2.126693543</v>
      </c>
      <c r="AO19">
        <v>2.1411462729999999</v>
      </c>
      <c r="AP19">
        <v>2.1551793990000001</v>
      </c>
      <c r="AQ19">
        <v>2.1696068070000001</v>
      </c>
      <c r="AR19">
        <v>2.183128924</v>
      </c>
      <c r="AS19">
        <v>2.1985618420000002</v>
      </c>
      <c r="AT19">
        <v>2.214399244</v>
      </c>
      <c r="AU19">
        <v>2.2301856189999998</v>
      </c>
      <c r="AV19">
        <v>2.2460346470000001</v>
      </c>
      <c r="AW19">
        <v>2.2619303720000001</v>
      </c>
    </row>
    <row r="20" spans="2:49" x14ac:dyDescent="0.25">
      <c r="B20" t="s">
        <v>120</v>
      </c>
      <c r="C20">
        <v>0.19372928894524399</v>
      </c>
      <c r="D20" s="39">
        <v>0.196839675342774</v>
      </c>
      <c r="E20">
        <v>0.4774907525</v>
      </c>
      <c r="F20" s="39">
        <v>0.48983847609999998</v>
      </c>
      <c r="G20">
        <v>0.48495402920000003</v>
      </c>
      <c r="H20" s="39">
        <v>0.47270174100000001</v>
      </c>
      <c r="I20" s="39">
        <v>0.49090254579999998</v>
      </c>
      <c r="J20" s="39">
        <v>0.49788417870000001</v>
      </c>
      <c r="K20" s="39">
        <v>0.4874660992</v>
      </c>
      <c r="L20" s="39">
        <v>0.48525725219999999</v>
      </c>
      <c r="M20">
        <v>0.49407675379999999</v>
      </c>
      <c r="N20">
        <v>0.50978684910000005</v>
      </c>
      <c r="O20">
        <v>0.55423241590000005</v>
      </c>
      <c r="P20">
        <v>0.59048233360000002</v>
      </c>
      <c r="Q20">
        <v>0.60121007130000004</v>
      </c>
      <c r="R20">
        <v>0.61935926190000001</v>
      </c>
      <c r="S20">
        <v>0.64039665540000001</v>
      </c>
      <c r="T20">
        <v>0.70223998460000003</v>
      </c>
      <c r="U20">
        <v>0.76982228669999997</v>
      </c>
      <c r="V20">
        <v>0.8418404867</v>
      </c>
      <c r="W20">
        <v>0.8990764322</v>
      </c>
      <c r="X20">
        <v>0.9517613694</v>
      </c>
      <c r="Y20">
        <v>1.0048559960000001</v>
      </c>
      <c r="Z20">
        <v>1.0609441820000001</v>
      </c>
      <c r="AA20">
        <v>1.1133579199999999</v>
      </c>
      <c r="AB20">
        <v>1.1643852509999999</v>
      </c>
      <c r="AC20">
        <v>1.215216463</v>
      </c>
      <c r="AD20">
        <v>1.2680677140000001</v>
      </c>
      <c r="AE20">
        <v>1.3193136569999999</v>
      </c>
      <c r="AF20">
        <v>1.3714988779999999</v>
      </c>
      <c r="AG20">
        <v>1.422642575</v>
      </c>
      <c r="AH20">
        <v>1.4728987760000001</v>
      </c>
      <c r="AI20">
        <v>1.52068834</v>
      </c>
      <c r="AJ20">
        <v>1.568674151</v>
      </c>
      <c r="AK20">
        <v>1.6163988410000001</v>
      </c>
      <c r="AL20">
        <v>1.664281243</v>
      </c>
      <c r="AM20">
        <v>1.712398284</v>
      </c>
      <c r="AN20">
        <v>1.7526764939999999</v>
      </c>
      <c r="AO20">
        <v>1.7935396480000001</v>
      </c>
      <c r="AP20">
        <v>1.834013602</v>
      </c>
      <c r="AQ20">
        <v>1.874790712</v>
      </c>
      <c r="AR20">
        <v>1.91474191</v>
      </c>
      <c r="AS20">
        <v>1.956349654</v>
      </c>
      <c r="AT20">
        <v>1.998304447</v>
      </c>
      <c r="AU20">
        <v>2.0401995839999998</v>
      </c>
      <c r="AV20">
        <v>2.0821388440000002</v>
      </c>
      <c r="AW20">
        <v>2.1241083889999999</v>
      </c>
    </row>
    <row r="21" spans="2:49" x14ac:dyDescent="0.25">
      <c r="B21" t="s">
        <v>121</v>
      </c>
      <c r="C21">
        <v>0.38745857789048899</v>
      </c>
      <c r="D21" s="39">
        <v>0.39367935068554899</v>
      </c>
      <c r="E21" s="39">
        <v>0.4774907525</v>
      </c>
      <c r="F21" s="39">
        <v>0.60229001459999998</v>
      </c>
      <c r="G21" s="39">
        <v>0.73849074790000002</v>
      </c>
      <c r="H21">
        <v>0.89688961690000002</v>
      </c>
      <c r="I21">
        <v>1.1662928880000001</v>
      </c>
      <c r="J21">
        <v>1.487154938</v>
      </c>
      <c r="K21" s="39">
        <v>1.8365664909999999</v>
      </c>
      <c r="L21" s="39">
        <v>2.3121077880000001</v>
      </c>
      <c r="M21">
        <v>2.9834209760000001</v>
      </c>
      <c r="N21">
        <v>3.9076614360000002</v>
      </c>
      <c r="O21">
        <v>3.730269877</v>
      </c>
      <c r="P21">
        <v>3.4856684179999999</v>
      </c>
      <c r="Q21">
        <v>3.1055586449999999</v>
      </c>
      <c r="R21">
        <v>2.7895398139999998</v>
      </c>
      <c r="S21">
        <v>2.5021068999999998</v>
      </c>
      <c r="T21">
        <v>2.97045855</v>
      </c>
      <c r="U21">
        <v>3.4662708109999998</v>
      </c>
      <c r="V21">
        <v>3.9870406319999998</v>
      </c>
      <c r="W21">
        <v>4.0631441270000002</v>
      </c>
      <c r="X21">
        <v>4.1166191569999997</v>
      </c>
      <c r="Y21">
        <v>4.1699223390000002</v>
      </c>
      <c r="Z21">
        <v>4.2333629049999999</v>
      </c>
      <c r="AA21">
        <v>4.2805899529999998</v>
      </c>
      <c r="AB21">
        <v>4.3212573689999996</v>
      </c>
      <c r="AC21">
        <v>4.3600896440000003</v>
      </c>
      <c r="AD21">
        <v>4.4049109289999997</v>
      </c>
      <c r="AE21">
        <v>4.4431430169999997</v>
      </c>
      <c r="AF21">
        <v>4.483509357</v>
      </c>
      <c r="AG21">
        <v>4.519613219</v>
      </c>
      <c r="AH21">
        <v>4.5521701830000003</v>
      </c>
      <c r="AI21">
        <v>4.576627931</v>
      </c>
      <c r="AJ21">
        <v>4.601222849</v>
      </c>
      <c r="AK21">
        <v>4.6246471509999996</v>
      </c>
      <c r="AL21">
        <v>4.6481322780000003</v>
      </c>
      <c r="AM21">
        <v>4.6718909479999997</v>
      </c>
      <c r="AN21">
        <v>4.6743834270000004</v>
      </c>
      <c r="AO21">
        <v>4.6785500710000001</v>
      </c>
      <c r="AP21">
        <v>4.6818358069999997</v>
      </c>
      <c r="AQ21">
        <v>4.6860089279999997</v>
      </c>
      <c r="AR21">
        <v>4.6882683580000002</v>
      </c>
      <c r="AS21">
        <v>4.694649676</v>
      </c>
      <c r="AT21">
        <v>4.7019069739999999</v>
      </c>
      <c r="AU21">
        <v>4.7090688969999999</v>
      </c>
      <c r="AV21">
        <v>4.7163756880000003</v>
      </c>
      <c r="AW21">
        <v>4.7237929340000004</v>
      </c>
    </row>
    <row r="22" spans="2:49" x14ac:dyDescent="0.25">
      <c r="B22" t="s">
        <v>122</v>
      </c>
      <c r="C22">
        <v>5.5705789795526002</v>
      </c>
      <c r="D22" s="39">
        <v>5.6600164269241402</v>
      </c>
      <c r="E22">
        <v>5.7508898210000003</v>
      </c>
      <c r="F22">
        <v>5.8015808900000003</v>
      </c>
      <c r="G22">
        <v>4.8324865880000001</v>
      </c>
      <c r="H22">
        <v>4.2362817780000004</v>
      </c>
      <c r="I22">
        <v>4.2095741799999997</v>
      </c>
      <c r="J22">
        <v>4.0295060769999997</v>
      </c>
      <c r="K22">
        <v>3.8922582480000001</v>
      </c>
      <c r="L22">
        <v>4.1573082860000001</v>
      </c>
      <c r="M22">
        <v>4.2686746409999996</v>
      </c>
      <c r="N22">
        <v>4.3448537590000003</v>
      </c>
      <c r="O22">
        <v>3.42800729</v>
      </c>
      <c r="P22">
        <v>2.8862511359999998</v>
      </c>
      <c r="Q22">
        <v>2.5374132309999999</v>
      </c>
      <c r="R22">
        <v>2.3104779889999998</v>
      </c>
      <c r="S22">
        <v>2.1012811170000001</v>
      </c>
      <c r="T22">
        <v>2.0606107119999999</v>
      </c>
      <c r="U22">
        <v>2.0365315609999999</v>
      </c>
      <c r="V22">
        <v>2.0297752440000001</v>
      </c>
      <c r="W22">
        <v>1.980369874</v>
      </c>
      <c r="X22">
        <v>1.91681988</v>
      </c>
      <c r="Y22">
        <v>1.9088417010000001</v>
      </c>
      <c r="Z22">
        <v>1.9151854740000001</v>
      </c>
      <c r="AA22">
        <v>1.9227927469999999</v>
      </c>
      <c r="AB22">
        <v>1.929120553</v>
      </c>
      <c r="AC22">
        <v>1.933405297</v>
      </c>
      <c r="AD22">
        <v>1.9589875059999999</v>
      </c>
      <c r="AE22">
        <v>1.9809056249999999</v>
      </c>
      <c r="AF22">
        <v>2.003195678</v>
      </c>
      <c r="AG22">
        <v>2.027145574</v>
      </c>
      <c r="AH22">
        <v>2.0494442409999998</v>
      </c>
      <c r="AI22">
        <v>2.0767816109999999</v>
      </c>
      <c r="AJ22">
        <v>2.1023642890000001</v>
      </c>
      <c r="AK22">
        <v>2.1274288600000002</v>
      </c>
      <c r="AL22">
        <v>2.1526429760000001</v>
      </c>
      <c r="AM22">
        <v>2.1777955659999999</v>
      </c>
      <c r="AN22">
        <v>2.1782477930000002</v>
      </c>
      <c r="AO22">
        <v>2.175009239</v>
      </c>
      <c r="AP22">
        <v>2.1685430220000002</v>
      </c>
      <c r="AQ22">
        <v>2.1602638779999999</v>
      </c>
      <c r="AR22">
        <v>2.1476385489999998</v>
      </c>
      <c r="AS22">
        <v>2.1517757610000001</v>
      </c>
      <c r="AT22">
        <v>2.1566959790000002</v>
      </c>
      <c r="AU22">
        <v>2.161244071</v>
      </c>
      <c r="AV22">
        <v>2.1654005550000002</v>
      </c>
      <c r="AW22">
        <v>2.169658036</v>
      </c>
    </row>
    <row r="23" spans="2:49" x14ac:dyDescent="0.25">
      <c r="B23" t="s">
        <v>123</v>
      </c>
      <c r="C23">
        <v>155.572754408756</v>
      </c>
      <c r="D23" s="39">
        <v>158.07052530222199</v>
      </c>
      <c r="E23" s="39">
        <v>160.98882449999999</v>
      </c>
      <c r="F23" s="39">
        <v>164.3560287</v>
      </c>
      <c r="G23">
        <v>160.15332989999999</v>
      </c>
      <c r="H23">
        <v>153.5555622</v>
      </c>
      <c r="I23">
        <v>155.3909658</v>
      </c>
      <c r="J23">
        <v>155.2753008</v>
      </c>
      <c r="K23">
        <v>152.76332669999999</v>
      </c>
      <c r="L23">
        <v>151.42770469999999</v>
      </c>
      <c r="M23">
        <v>152.194489</v>
      </c>
      <c r="N23">
        <v>153.55867090000001</v>
      </c>
      <c r="O23">
        <v>150.86783679999999</v>
      </c>
      <c r="P23">
        <v>148.84022160000001</v>
      </c>
      <c r="Q23">
        <v>144.99491889999999</v>
      </c>
      <c r="R23">
        <v>141.87297989999999</v>
      </c>
      <c r="S23">
        <v>139.0369886</v>
      </c>
      <c r="T23">
        <v>138.9117833</v>
      </c>
      <c r="U23">
        <v>138.98795530000001</v>
      </c>
      <c r="V23">
        <v>139.41030549999999</v>
      </c>
      <c r="W23">
        <v>139.88076050000001</v>
      </c>
      <c r="X23">
        <v>139.86244590000001</v>
      </c>
      <c r="Y23">
        <v>140.37995839999999</v>
      </c>
      <c r="Z23">
        <v>141.12875539999999</v>
      </c>
      <c r="AA23">
        <v>141.70805709999999</v>
      </c>
      <c r="AB23">
        <v>142.18506590000001</v>
      </c>
      <c r="AC23">
        <v>142.5686785</v>
      </c>
      <c r="AD23">
        <v>142.9990396</v>
      </c>
      <c r="AE23">
        <v>143.41997610000001</v>
      </c>
      <c r="AF23">
        <v>143.85959389999999</v>
      </c>
      <c r="AG23">
        <v>144.23209869999999</v>
      </c>
      <c r="AH23">
        <v>144.62141500000001</v>
      </c>
      <c r="AI23">
        <v>144.9524055</v>
      </c>
      <c r="AJ23">
        <v>145.28202619999999</v>
      </c>
      <c r="AK23">
        <v>145.57442950000001</v>
      </c>
      <c r="AL23">
        <v>145.8657125</v>
      </c>
      <c r="AM23">
        <v>146.15838780000001</v>
      </c>
      <c r="AN23">
        <v>146.06869620000001</v>
      </c>
      <c r="AO23">
        <v>145.97033189999999</v>
      </c>
      <c r="AP23">
        <v>145.826933</v>
      </c>
      <c r="AQ23">
        <v>145.6697676</v>
      </c>
      <c r="AR23">
        <v>145.468951</v>
      </c>
      <c r="AS23">
        <v>145.40620920000001</v>
      </c>
      <c r="AT23">
        <v>145.3570756</v>
      </c>
      <c r="AU23">
        <v>145.30185950000001</v>
      </c>
      <c r="AV23">
        <v>145.25085290000001</v>
      </c>
      <c r="AW23">
        <v>145.2607922</v>
      </c>
    </row>
    <row r="24" spans="2:49" x14ac:dyDescent="0.25">
      <c r="B24" t="s">
        <v>124</v>
      </c>
      <c r="C24">
        <v>2.7703288319169999</v>
      </c>
      <c r="D24">
        <v>2.8148073574016701</v>
      </c>
      <c r="E24">
        <v>2.86</v>
      </c>
      <c r="F24">
        <v>2.9750724609999999</v>
      </c>
      <c r="G24">
        <v>2.8543285279999999</v>
      </c>
      <c r="H24">
        <v>2.9876918520000002</v>
      </c>
      <c r="I24">
        <v>3.1262054720000001</v>
      </c>
      <c r="J24">
        <v>2.9775658639999998</v>
      </c>
      <c r="K24">
        <v>2.8826573280000001</v>
      </c>
      <c r="L24">
        <v>2.8169198309999999</v>
      </c>
      <c r="M24">
        <v>3.0149186220000002</v>
      </c>
      <c r="N24">
        <v>3.1870158489999998</v>
      </c>
      <c r="O24">
        <v>3.2741108090000002</v>
      </c>
      <c r="P24">
        <v>3.2947688159999999</v>
      </c>
      <c r="Q24">
        <v>3.0761674559999999</v>
      </c>
      <c r="R24">
        <v>3.0449855459999999</v>
      </c>
      <c r="S24">
        <v>3.0656449129999999</v>
      </c>
      <c r="T24">
        <v>3.1349565070000001</v>
      </c>
      <c r="U24">
        <v>3.2016592560000001</v>
      </c>
      <c r="V24">
        <v>3.2934322470000001</v>
      </c>
      <c r="W24">
        <v>3.3725546899999999</v>
      </c>
      <c r="X24">
        <v>3.4661832659999998</v>
      </c>
      <c r="Y24">
        <v>3.5358267309999998</v>
      </c>
      <c r="Z24">
        <v>3.5883269680000001</v>
      </c>
      <c r="AA24">
        <v>3.6292183690000002</v>
      </c>
      <c r="AB24">
        <v>3.6670312260000002</v>
      </c>
      <c r="AC24">
        <v>3.7227249769999999</v>
      </c>
      <c r="AD24">
        <v>3.7486377169999998</v>
      </c>
      <c r="AE24">
        <v>3.7820674510000001</v>
      </c>
      <c r="AF24">
        <v>3.818269162</v>
      </c>
      <c r="AG24">
        <v>3.8565421400000002</v>
      </c>
      <c r="AH24">
        <v>3.9062923340000002</v>
      </c>
      <c r="AI24">
        <v>3.9455885890000002</v>
      </c>
      <c r="AJ24">
        <v>3.9926850310000002</v>
      </c>
      <c r="AK24">
        <v>4.0391054540000004</v>
      </c>
      <c r="AL24">
        <v>4.0876601069999996</v>
      </c>
      <c r="AM24">
        <v>4.1385693210000003</v>
      </c>
      <c r="AN24">
        <v>4.1927086359999999</v>
      </c>
      <c r="AO24">
        <v>4.249644773</v>
      </c>
      <c r="AP24">
        <v>4.3065121079999997</v>
      </c>
      <c r="AQ24">
        <v>4.3635822380000002</v>
      </c>
      <c r="AR24">
        <v>4.4281489030000003</v>
      </c>
      <c r="AS24">
        <v>4.4774400449999998</v>
      </c>
      <c r="AT24">
        <v>4.5281112950000004</v>
      </c>
      <c r="AU24">
        <v>4.580013589</v>
      </c>
      <c r="AV24">
        <v>4.6340599280000001</v>
      </c>
      <c r="AW24">
        <v>4.6917015050000002</v>
      </c>
    </row>
    <row r="25" spans="2:49" x14ac:dyDescent="0.25">
      <c r="B25" t="s">
        <v>125</v>
      </c>
      <c r="C25">
        <v>46.663857241186399</v>
      </c>
      <c r="D25">
        <v>47.413060563046002</v>
      </c>
      <c r="E25">
        <v>48.17429259</v>
      </c>
      <c r="F25">
        <v>49.210596340000002</v>
      </c>
      <c r="G25">
        <v>46.577828400000001</v>
      </c>
      <c r="H25">
        <v>42.509675489999999</v>
      </c>
      <c r="I25">
        <v>42.858177990000002</v>
      </c>
      <c r="J25">
        <v>43.269053810000003</v>
      </c>
      <c r="K25">
        <v>41.15659634</v>
      </c>
      <c r="L25">
        <v>40.778093159999997</v>
      </c>
      <c r="M25">
        <v>41.329354819999999</v>
      </c>
      <c r="N25">
        <v>42.201592329999997</v>
      </c>
      <c r="O25">
        <v>39.934166159999997</v>
      </c>
      <c r="P25">
        <v>38.144572179999997</v>
      </c>
      <c r="Q25">
        <v>35.861878310000002</v>
      </c>
      <c r="R25">
        <v>34.205978600000002</v>
      </c>
      <c r="S25">
        <v>32.596466669999998</v>
      </c>
      <c r="T25">
        <v>32.647352929999997</v>
      </c>
      <c r="U25">
        <v>32.751384440000002</v>
      </c>
      <c r="V25">
        <v>33.143499249999998</v>
      </c>
      <c r="W25">
        <v>33.04173686</v>
      </c>
      <c r="X25">
        <v>32.714901480000002</v>
      </c>
      <c r="Y25">
        <v>32.717224780000002</v>
      </c>
      <c r="Z25">
        <v>32.919379550000002</v>
      </c>
      <c r="AA25">
        <v>33.101420660000002</v>
      </c>
      <c r="AB25">
        <v>33.26576008</v>
      </c>
      <c r="AC25">
        <v>33.445273219999997</v>
      </c>
      <c r="AD25">
        <v>33.774135319999999</v>
      </c>
      <c r="AE25">
        <v>34.063416340000003</v>
      </c>
      <c r="AF25">
        <v>34.378168170000002</v>
      </c>
      <c r="AG25">
        <v>34.705034830000002</v>
      </c>
      <c r="AH25">
        <v>35.045202869999997</v>
      </c>
      <c r="AI25">
        <v>35.441075869999999</v>
      </c>
      <c r="AJ25">
        <v>35.829718360000001</v>
      </c>
      <c r="AK25">
        <v>36.21100594</v>
      </c>
      <c r="AL25">
        <v>36.600573359999999</v>
      </c>
      <c r="AM25">
        <v>36.9975977</v>
      </c>
      <c r="AN25">
        <v>37.174768419999999</v>
      </c>
      <c r="AO25">
        <v>37.356994270000001</v>
      </c>
      <c r="AP25">
        <v>37.521227920000001</v>
      </c>
      <c r="AQ25">
        <v>37.683262149999997</v>
      </c>
      <c r="AR25">
        <v>37.823207680000003</v>
      </c>
      <c r="AS25">
        <v>38.107603140000002</v>
      </c>
      <c r="AT25">
        <v>38.402328009999998</v>
      </c>
      <c r="AU25">
        <v>38.699705209999998</v>
      </c>
      <c r="AV25">
        <v>39.006032759999997</v>
      </c>
      <c r="AW25">
        <v>39.351433569999998</v>
      </c>
    </row>
    <row r="26" spans="2:49" x14ac:dyDescent="0.25">
      <c r="B26" t="s">
        <v>126</v>
      </c>
      <c r="C26">
        <v>39.525714811669303</v>
      </c>
      <c r="D26">
        <v>40.160312947925298</v>
      </c>
      <c r="E26">
        <v>40.805099759999997</v>
      </c>
      <c r="F26">
        <v>40.69168913</v>
      </c>
      <c r="G26">
        <v>40.319005009999998</v>
      </c>
      <c r="H26">
        <v>40.240480900000001</v>
      </c>
      <c r="I26">
        <v>40.262663889999999</v>
      </c>
      <c r="J26">
        <v>40.057601179999999</v>
      </c>
      <c r="K26">
        <v>39.600919269999999</v>
      </c>
      <c r="L26">
        <v>39.229183759999998</v>
      </c>
      <c r="M26">
        <v>39.020033480000002</v>
      </c>
      <c r="N26">
        <v>39.025988550000001</v>
      </c>
      <c r="O26">
        <v>39.286587160000003</v>
      </c>
      <c r="P26">
        <v>39.34858337</v>
      </c>
      <c r="Q26">
        <v>39.001634379999999</v>
      </c>
      <c r="R26">
        <v>38.665931409999999</v>
      </c>
      <c r="S26">
        <v>38.30462696</v>
      </c>
      <c r="T26">
        <v>37.826846400000001</v>
      </c>
      <c r="U26">
        <v>37.68611619</v>
      </c>
      <c r="V26">
        <v>37.586656359999999</v>
      </c>
      <c r="W26">
        <v>37.793286680000001</v>
      </c>
      <c r="X26">
        <v>38.007753170000001</v>
      </c>
      <c r="Y26">
        <v>38.273150219999998</v>
      </c>
      <c r="Z26">
        <v>38.672409049999999</v>
      </c>
      <c r="AA26">
        <v>39.062055860000001</v>
      </c>
      <c r="AB26">
        <v>39.432977510000001</v>
      </c>
      <c r="AC26">
        <v>39.777528850000003</v>
      </c>
      <c r="AD26">
        <v>40.09013977</v>
      </c>
      <c r="AE26">
        <v>40.362560000000002</v>
      </c>
      <c r="AF26">
        <v>40.609805510000001</v>
      </c>
      <c r="AG26">
        <v>40.820682609999999</v>
      </c>
      <c r="AH26">
        <v>40.994610280000003</v>
      </c>
      <c r="AI26">
        <v>41.128874230000001</v>
      </c>
      <c r="AJ26">
        <v>41.24260013</v>
      </c>
      <c r="AK26">
        <v>41.33663035</v>
      </c>
      <c r="AL26">
        <v>41.412822759999997</v>
      </c>
      <c r="AM26">
        <v>41.471737689999998</v>
      </c>
      <c r="AN26">
        <v>41.50622284</v>
      </c>
      <c r="AO26">
        <v>41.520013830000003</v>
      </c>
      <c r="AP26">
        <v>41.508756990000002</v>
      </c>
      <c r="AQ26">
        <v>41.47939203</v>
      </c>
      <c r="AR26">
        <v>41.423900099999997</v>
      </c>
      <c r="AS26">
        <v>41.361443450000003</v>
      </c>
      <c r="AT26">
        <v>41.280180100000003</v>
      </c>
      <c r="AU26">
        <v>41.177702940000003</v>
      </c>
      <c r="AV26">
        <v>41.053787810000003</v>
      </c>
      <c r="AW26">
        <v>40.920696220000004</v>
      </c>
    </row>
    <row r="27" spans="2:49" x14ac:dyDescent="0.25">
      <c r="B27" t="s">
        <v>127</v>
      </c>
      <c r="C27">
        <v>21.072806770403201</v>
      </c>
      <c r="D27">
        <v>21.411137499294501</v>
      </c>
      <c r="E27">
        <v>21.754900240000001</v>
      </c>
      <c r="F27">
        <v>22.63283324</v>
      </c>
      <c r="G27">
        <v>22.854260719999999</v>
      </c>
      <c r="H27">
        <v>21.82841385</v>
      </c>
      <c r="I27">
        <v>22.633491070000002</v>
      </c>
      <c r="J27">
        <v>23.15573706</v>
      </c>
      <c r="K27">
        <v>23.318590579999999</v>
      </c>
      <c r="L27">
        <v>23.503301709999999</v>
      </c>
      <c r="M27">
        <v>23.938801479999999</v>
      </c>
      <c r="N27">
        <v>24.466071599999999</v>
      </c>
      <c r="O27">
        <v>24.00964901</v>
      </c>
      <c r="P27">
        <v>23.667000059999999</v>
      </c>
      <c r="Q27">
        <v>23.142981649999999</v>
      </c>
      <c r="R27">
        <v>22.38840978</v>
      </c>
      <c r="S27">
        <v>21.717461620000002</v>
      </c>
      <c r="T27">
        <v>21.657969739999999</v>
      </c>
      <c r="U27">
        <v>21.5786698</v>
      </c>
      <c r="V27">
        <v>21.48629506</v>
      </c>
      <c r="W27">
        <v>21.753064999999999</v>
      </c>
      <c r="X27">
        <v>21.987861049999999</v>
      </c>
      <c r="Y27">
        <v>22.299746240000001</v>
      </c>
      <c r="Z27">
        <v>22.45203369</v>
      </c>
      <c r="AA27">
        <v>22.522911109999999</v>
      </c>
      <c r="AB27">
        <v>22.555741380000001</v>
      </c>
      <c r="AC27">
        <v>22.554078390000001</v>
      </c>
      <c r="AD27">
        <v>22.526142249999999</v>
      </c>
      <c r="AE27">
        <v>22.474955690000002</v>
      </c>
      <c r="AF27">
        <v>22.414062779999998</v>
      </c>
      <c r="AG27">
        <v>22.326152480000001</v>
      </c>
      <c r="AH27">
        <v>22.225775370000001</v>
      </c>
      <c r="AI27">
        <v>22.10842895</v>
      </c>
      <c r="AJ27">
        <v>21.98135006</v>
      </c>
      <c r="AK27">
        <v>21.845103739999999</v>
      </c>
      <c r="AL27">
        <v>21.70186485</v>
      </c>
      <c r="AM27">
        <v>21.55341559</v>
      </c>
      <c r="AN27">
        <v>21.28015246</v>
      </c>
      <c r="AO27">
        <v>20.988571449999998</v>
      </c>
      <c r="AP27">
        <v>20.696745979999999</v>
      </c>
      <c r="AQ27">
        <v>20.406957259999999</v>
      </c>
      <c r="AR27">
        <v>20.121893920000002</v>
      </c>
      <c r="AS27">
        <v>19.84431799</v>
      </c>
      <c r="AT27">
        <v>19.571509240000001</v>
      </c>
      <c r="AU27">
        <v>19.301899509999998</v>
      </c>
      <c r="AV27">
        <v>19.036069139999999</v>
      </c>
      <c r="AW27">
        <v>18.77635836</v>
      </c>
    </row>
    <row r="28" spans="2:49" x14ac:dyDescent="0.25">
      <c r="B28" t="s">
        <v>128</v>
      </c>
      <c r="C28">
        <v>23.690458989791001</v>
      </c>
      <c r="D28">
        <v>24.070816971768199</v>
      </c>
      <c r="E28">
        <v>24.457281720000001</v>
      </c>
      <c r="F28">
        <v>25.36665254</v>
      </c>
      <c r="G28">
        <v>24.938089219999998</v>
      </c>
      <c r="H28">
        <v>25.086295010000001</v>
      </c>
      <c r="I28">
        <v>25.181695779999998</v>
      </c>
      <c r="J28">
        <v>25.046394830000001</v>
      </c>
      <c r="K28">
        <v>24.808934390000001</v>
      </c>
      <c r="L28">
        <v>24.583309830000001</v>
      </c>
      <c r="M28">
        <v>24.430500689999999</v>
      </c>
      <c r="N28">
        <v>24.218427030000001</v>
      </c>
      <c r="O28">
        <v>24.100507990000001</v>
      </c>
      <c r="P28">
        <v>23.85414686</v>
      </c>
      <c r="Q28">
        <v>23.573904429999999</v>
      </c>
      <c r="R28">
        <v>23.32166887</v>
      </c>
      <c r="S28">
        <v>23.319467070000002</v>
      </c>
      <c r="T28">
        <v>23.237888000000002</v>
      </c>
      <c r="U28">
        <v>23.045779469999999</v>
      </c>
      <c r="V28">
        <v>22.748270179999999</v>
      </c>
      <c r="W28">
        <v>22.499597139999999</v>
      </c>
      <c r="X28">
        <v>21.901061980000001</v>
      </c>
      <c r="Y28">
        <v>21.532238</v>
      </c>
      <c r="Z28">
        <v>21.252613149999998</v>
      </c>
      <c r="AA28">
        <v>21.000844180000001</v>
      </c>
      <c r="AB28">
        <v>20.753409430000001</v>
      </c>
      <c r="AC28">
        <v>20.283753820000001</v>
      </c>
      <c r="AD28">
        <v>19.968632849999999</v>
      </c>
      <c r="AE28">
        <v>19.788469280000001</v>
      </c>
      <c r="AF28">
        <v>19.61087191</v>
      </c>
      <c r="AG28">
        <v>19.4326832</v>
      </c>
      <c r="AH28">
        <v>19.22287017</v>
      </c>
      <c r="AI28">
        <v>18.983623940000001</v>
      </c>
      <c r="AJ28">
        <v>18.781957349999999</v>
      </c>
      <c r="AK28">
        <v>18.594522080000001</v>
      </c>
      <c r="AL28">
        <v>18.414795560000002</v>
      </c>
      <c r="AM28">
        <v>18.241057229999999</v>
      </c>
      <c r="AN28">
        <v>18.05489399</v>
      </c>
      <c r="AO28">
        <v>17.855608310000001</v>
      </c>
      <c r="AP28">
        <v>17.651678310000001</v>
      </c>
      <c r="AQ28">
        <v>17.446306910000001</v>
      </c>
      <c r="AR28">
        <v>17.1551601</v>
      </c>
      <c r="AS28">
        <v>16.912046660000001</v>
      </c>
      <c r="AT28">
        <v>16.686189689999999</v>
      </c>
      <c r="AU28">
        <v>16.468248469999999</v>
      </c>
      <c r="AV28">
        <v>16.25489009</v>
      </c>
      <c r="AW28">
        <v>16.045058770000001</v>
      </c>
    </row>
    <row r="29" spans="2:49" x14ac:dyDescent="0.25">
      <c r="B29" t="s">
        <v>129</v>
      </c>
      <c r="C29">
        <v>22.212930412666701</v>
      </c>
      <c r="D29">
        <v>22.569566195417998</v>
      </c>
      <c r="E29">
        <v>22.93725019</v>
      </c>
      <c r="F29">
        <v>23.479184979999999</v>
      </c>
      <c r="G29">
        <v>22.609817889999999</v>
      </c>
      <c r="H29">
        <v>20.903005109999999</v>
      </c>
      <c r="I29">
        <v>21.328721130000002</v>
      </c>
      <c r="J29">
        <v>20.76894802</v>
      </c>
      <c r="K29">
        <v>20.99562882</v>
      </c>
      <c r="L29">
        <v>20.5168964</v>
      </c>
      <c r="M29">
        <v>20.46087992</v>
      </c>
      <c r="N29">
        <v>20.45957555</v>
      </c>
      <c r="O29">
        <v>20.262815679999999</v>
      </c>
      <c r="P29">
        <v>20.531150270000001</v>
      </c>
      <c r="Q29">
        <v>20.338352700000002</v>
      </c>
      <c r="R29">
        <v>20.246005619999998</v>
      </c>
      <c r="S29">
        <v>20.033321409999999</v>
      </c>
      <c r="T29">
        <v>20.40676976</v>
      </c>
      <c r="U29">
        <v>20.724346270000002</v>
      </c>
      <c r="V29">
        <v>21.152152350000001</v>
      </c>
      <c r="W29">
        <v>21.420519859999999</v>
      </c>
      <c r="X29">
        <v>21.784684689999999</v>
      </c>
      <c r="Y29">
        <v>22.02177236</v>
      </c>
      <c r="Z29">
        <v>22.243992980000002</v>
      </c>
      <c r="AA29">
        <v>22.391606929999998</v>
      </c>
      <c r="AB29">
        <v>22.51014631</v>
      </c>
      <c r="AC29">
        <v>22.785319250000001</v>
      </c>
      <c r="AD29">
        <v>22.891351709999999</v>
      </c>
      <c r="AE29">
        <v>22.94850731</v>
      </c>
      <c r="AF29">
        <v>23.028416409999998</v>
      </c>
      <c r="AG29">
        <v>23.091003440000001</v>
      </c>
      <c r="AH29">
        <v>23.22666401</v>
      </c>
      <c r="AI29">
        <v>23.344813930000001</v>
      </c>
      <c r="AJ29">
        <v>23.45371523</v>
      </c>
      <c r="AK29">
        <v>23.548061910000001</v>
      </c>
      <c r="AL29">
        <v>23.647995819999998</v>
      </c>
      <c r="AM29">
        <v>23.756010289999999</v>
      </c>
      <c r="AN29">
        <v>23.859949839999999</v>
      </c>
      <c r="AO29">
        <v>23.999499310000001</v>
      </c>
      <c r="AP29">
        <v>24.14201169</v>
      </c>
      <c r="AQ29">
        <v>24.290267</v>
      </c>
      <c r="AR29">
        <v>24.51664027</v>
      </c>
      <c r="AS29">
        <v>24.70335794</v>
      </c>
      <c r="AT29">
        <v>24.888757250000001</v>
      </c>
      <c r="AU29">
        <v>25.07428981</v>
      </c>
      <c r="AV29">
        <v>25.266013109999999</v>
      </c>
      <c r="AW29">
        <v>25.47554375</v>
      </c>
    </row>
    <row r="30" spans="2:49" x14ac:dyDescent="0.25">
      <c r="B30" t="s">
        <v>130</v>
      </c>
      <c r="C30">
        <v>30998.430217312201</v>
      </c>
      <c r="D30">
        <v>31496.120041177499</v>
      </c>
      <c r="E30">
        <v>32001.800439999999</v>
      </c>
      <c r="F30">
        <v>32688.379000000001</v>
      </c>
      <c r="G30">
        <v>33314.794710000002</v>
      </c>
      <c r="H30">
        <v>34142.844949999999</v>
      </c>
      <c r="I30">
        <v>34863.837440000003</v>
      </c>
      <c r="J30">
        <v>35489.148800000003</v>
      </c>
      <c r="K30">
        <v>35731.31351</v>
      </c>
      <c r="L30">
        <v>35839.916219999999</v>
      </c>
      <c r="M30">
        <v>35948.063869999998</v>
      </c>
      <c r="N30">
        <v>35911.307350000003</v>
      </c>
      <c r="O30">
        <v>35978.501450000003</v>
      </c>
      <c r="P30">
        <v>36321.204380000003</v>
      </c>
      <c r="Q30">
        <v>36708.886160000002</v>
      </c>
      <c r="R30">
        <v>37113.743849999999</v>
      </c>
      <c r="S30">
        <v>37467.881659999999</v>
      </c>
      <c r="T30">
        <v>37680.910770000002</v>
      </c>
      <c r="U30">
        <v>37788.529199999997</v>
      </c>
      <c r="V30">
        <v>37735.726450000002</v>
      </c>
      <c r="W30">
        <v>37793.078909999997</v>
      </c>
      <c r="X30">
        <v>37104.334779999997</v>
      </c>
      <c r="Y30">
        <v>36977.623590000003</v>
      </c>
      <c r="Z30">
        <v>37062.246120000003</v>
      </c>
      <c r="AA30">
        <v>37230.037609999999</v>
      </c>
      <c r="AB30">
        <v>37429.985030000003</v>
      </c>
      <c r="AC30">
        <v>37103.671970000003</v>
      </c>
      <c r="AD30">
        <v>37166.425139999999</v>
      </c>
      <c r="AE30">
        <v>37284.143250000001</v>
      </c>
      <c r="AF30">
        <v>37428.507749999997</v>
      </c>
      <c r="AG30">
        <v>37586.864970000002</v>
      </c>
      <c r="AH30">
        <v>37362.566760000002</v>
      </c>
      <c r="AI30">
        <v>37382.751559999997</v>
      </c>
      <c r="AJ30">
        <v>37511.954230000003</v>
      </c>
      <c r="AK30">
        <v>37683.449970000001</v>
      </c>
      <c r="AL30">
        <v>37875.864829999999</v>
      </c>
      <c r="AM30">
        <v>38081.349679999999</v>
      </c>
      <c r="AN30">
        <v>38195.895270000001</v>
      </c>
      <c r="AO30">
        <v>38269.756269999998</v>
      </c>
      <c r="AP30">
        <v>38325.709860000003</v>
      </c>
      <c r="AQ30">
        <v>38371.473760000001</v>
      </c>
      <c r="AR30">
        <v>38140.02996</v>
      </c>
      <c r="AS30">
        <v>38021.783759999998</v>
      </c>
      <c r="AT30">
        <v>37948.509160000001</v>
      </c>
      <c r="AU30">
        <v>37889.598149999998</v>
      </c>
      <c r="AV30">
        <v>37833.162120000001</v>
      </c>
      <c r="AW30">
        <v>37774.650130000002</v>
      </c>
    </row>
    <row r="31" spans="2:49" x14ac:dyDescent="0.25">
      <c r="B31" t="s">
        <v>131</v>
      </c>
      <c r="C31">
        <v>17.998489648965599</v>
      </c>
      <c r="D31">
        <v>18.287461222056098</v>
      </c>
      <c r="E31">
        <v>18.581072330000001</v>
      </c>
      <c r="F31">
        <v>19.818445740000001</v>
      </c>
      <c r="G31">
        <v>49.759249779999998</v>
      </c>
      <c r="H31">
        <v>82.470063499999995</v>
      </c>
      <c r="I31">
        <v>117.1066033</v>
      </c>
      <c r="J31">
        <v>164.06519549999999</v>
      </c>
      <c r="K31">
        <v>207.18338539999999</v>
      </c>
      <c r="L31">
        <v>245.0945471</v>
      </c>
      <c r="M31">
        <v>280.57302900000002</v>
      </c>
      <c r="N31">
        <v>300.2759977</v>
      </c>
      <c r="O31">
        <v>315.97240310000001</v>
      </c>
      <c r="P31">
        <v>325.64348480000001</v>
      </c>
      <c r="Q31">
        <v>353.54158339999998</v>
      </c>
      <c r="R31">
        <v>384.78688319999998</v>
      </c>
      <c r="S31">
        <v>438.05368679999998</v>
      </c>
      <c r="T31">
        <v>481.46721650000001</v>
      </c>
      <c r="U31">
        <v>554.32449929999996</v>
      </c>
      <c r="V31">
        <v>634.93540399999995</v>
      </c>
      <c r="W31">
        <v>720.0083879</v>
      </c>
      <c r="X31">
        <v>765.87268759999995</v>
      </c>
      <c r="Y31">
        <v>834.0837315</v>
      </c>
      <c r="Z31">
        <v>909.42167689999997</v>
      </c>
      <c r="AA31">
        <v>986.44111210000005</v>
      </c>
      <c r="AB31">
        <v>1062.57629</v>
      </c>
      <c r="AC31">
        <v>1108.3423210000001</v>
      </c>
      <c r="AD31">
        <v>1169.7131300000001</v>
      </c>
      <c r="AE31">
        <v>1230.523463</v>
      </c>
      <c r="AF31">
        <v>1289.67806</v>
      </c>
      <c r="AG31">
        <v>1346.073322</v>
      </c>
      <c r="AH31">
        <v>1380.49584</v>
      </c>
      <c r="AI31">
        <v>1424.4186010000001</v>
      </c>
      <c r="AJ31">
        <v>1471.0840780000001</v>
      </c>
      <c r="AK31">
        <v>1517.80412</v>
      </c>
      <c r="AL31">
        <v>1563.5987660000001</v>
      </c>
      <c r="AM31">
        <v>1608.0717979999999</v>
      </c>
      <c r="AN31">
        <v>1647.2372660000001</v>
      </c>
      <c r="AO31">
        <v>1683.7346250000001</v>
      </c>
      <c r="AP31">
        <v>1718.731826</v>
      </c>
      <c r="AQ31">
        <v>1752.8061889999999</v>
      </c>
      <c r="AR31">
        <v>1771.2920549999999</v>
      </c>
      <c r="AS31">
        <v>1795.6527619999999</v>
      </c>
      <c r="AT31">
        <v>1822.4738199999999</v>
      </c>
      <c r="AU31">
        <v>1850.282614</v>
      </c>
      <c r="AV31">
        <v>1878.396677</v>
      </c>
      <c r="AW31">
        <v>1906.4864259999999</v>
      </c>
    </row>
    <row r="32" spans="2:49" x14ac:dyDescent="0.25">
      <c r="B32" t="s">
        <v>132</v>
      </c>
      <c r="C32">
        <v>1571.8931047778699</v>
      </c>
      <c r="D32">
        <v>1597.13035701831</v>
      </c>
      <c r="E32">
        <v>1622.772802</v>
      </c>
      <c r="F32">
        <v>1973.092384</v>
      </c>
      <c r="G32">
        <v>2310.6983140000002</v>
      </c>
      <c r="H32">
        <v>2679.9221889999999</v>
      </c>
      <c r="I32">
        <v>3016.034228</v>
      </c>
      <c r="J32">
        <v>3326.180073</v>
      </c>
      <c r="K32">
        <v>3553.1510929999999</v>
      </c>
      <c r="L32">
        <v>3744.918666</v>
      </c>
      <c r="M32">
        <v>3927.58977</v>
      </c>
      <c r="N32">
        <v>4076.1899840000001</v>
      </c>
      <c r="O32">
        <v>4234.5323719999997</v>
      </c>
      <c r="P32">
        <v>4416.094486</v>
      </c>
      <c r="Q32">
        <v>4603.8129730000001</v>
      </c>
      <c r="R32">
        <v>4787.8233339999997</v>
      </c>
      <c r="S32">
        <v>4968.4523120000003</v>
      </c>
      <c r="T32">
        <v>5106.4470300000003</v>
      </c>
      <c r="U32">
        <v>5242.1835080000001</v>
      </c>
      <c r="V32">
        <v>5346.3594819999998</v>
      </c>
      <c r="W32">
        <v>5456.9783109999998</v>
      </c>
      <c r="X32">
        <v>5417.7033600000004</v>
      </c>
      <c r="Y32">
        <v>5464.0381690000004</v>
      </c>
      <c r="Z32">
        <v>5530.9282890000004</v>
      </c>
      <c r="AA32">
        <v>5595.4318590000003</v>
      </c>
      <c r="AB32">
        <v>5648.8444870000003</v>
      </c>
      <c r="AC32">
        <v>5606.2132069999998</v>
      </c>
      <c r="AD32">
        <v>5608.2492469999997</v>
      </c>
      <c r="AE32">
        <v>5604.8050489999996</v>
      </c>
      <c r="AF32">
        <v>5592.817736</v>
      </c>
      <c r="AG32">
        <v>5571.4405239999996</v>
      </c>
      <c r="AH32">
        <v>5492.9812190000002</v>
      </c>
      <c r="AI32">
        <v>5436.9704869999996</v>
      </c>
      <c r="AJ32">
        <v>5386.8609839999999</v>
      </c>
      <c r="AK32">
        <v>5335.607223</v>
      </c>
      <c r="AL32">
        <v>5281.5503399999998</v>
      </c>
      <c r="AM32">
        <v>5224.5581730000004</v>
      </c>
      <c r="AN32">
        <v>5154.5513000000001</v>
      </c>
      <c r="AO32">
        <v>5077.6232749999999</v>
      </c>
      <c r="AP32">
        <v>4996.710795</v>
      </c>
      <c r="AQ32">
        <v>4913.1574280000004</v>
      </c>
      <c r="AR32">
        <v>4803.7069549999997</v>
      </c>
      <c r="AS32">
        <v>4703.7747829999998</v>
      </c>
      <c r="AT32">
        <v>4607.4610069999999</v>
      </c>
      <c r="AU32">
        <v>4512.3732620000001</v>
      </c>
      <c r="AV32">
        <v>4417.7409440000001</v>
      </c>
      <c r="AW32">
        <v>4323.3980670000001</v>
      </c>
    </row>
    <row r="33" spans="2:49" x14ac:dyDescent="0.25">
      <c r="B33" t="s">
        <v>133</v>
      </c>
      <c r="C33">
        <v>3720.5673609549599</v>
      </c>
      <c r="D33">
        <v>3780.3022733867101</v>
      </c>
      <c r="E33">
        <v>3840.9962489999998</v>
      </c>
      <c r="F33">
        <v>4323.9343870000002</v>
      </c>
      <c r="G33">
        <v>4770.0348160000003</v>
      </c>
      <c r="H33">
        <v>5260.5671780000002</v>
      </c>
      <c r="I33">
        <v>5705.1976340000001</v>
      </c>
      <c r="J33">
        <v>6108.4804439999998</v>
      </c>
      <c r="K33">
        <v>6389.4356520000001</v>
      </c>
      <c r="L33">
        <v>6619.9729120000002</v>
      </c>
      <c r="M33">
        <v>6838.4698319999998</v>
      </c>
      <c r="N33">
        <v>7016.5736450000004</v>
      </c>
      <c r="O33">
        <v>7212.40967</v>
      </c>
      <c r="P33">
        <v>7457.812981</v>
      </c>
      <c r="Q33">
        <v>7705.1419589999996</v>
      </c>
      <c r="R33">
        <v>7946.8020919999999</v>
      </c>
      <c r="S33">
        <v>8169.0542699999996</v>
      </c>
      <c r="T33">
        <v>8336.5695450000003</v>
      </c>
      <c r="U33">
        <v>8476.5920160000005</v>
      </c>
      <c r="V33">
        <v>8560.2416200000007</v>
      </c>
      <c r="W33">
        <v>8652.8916879999997</v>
      </c>
      <c r="X33">
        <v>8534.01777699999</v>
      </c>
      <c r="Y33">
        <v>8538.4563849999995</v>
      </c>
      <c r="Z33">
        <v>8572.8795069999996</v>
      </c>
      <c r="AA33">
        <v>8604.1746449999901</v>
      </c>
      <c r="AB33">
        <v>8620.0832900000005</v>
      </c>
      <c r="AC33">
        <v>8504.1400140000005</v>
      </c>
      <c r="AD33">
        <v>8451.0460220000004</v>
      </c>
      <c r="AE33">
        <v>8391.3698569999997</v>
      </c>
      <c r="AF33">
        <v>8320.7895210000006</v>
      </c>
      <c r="AG33">
        <v>8238.6496650000008</v>
      </c>
      <c r="AH33">
        <v>8080.7760699999999</v>
      </c>
      <c r="AI33">
        <v>7954.1684359999999</v>
      </c>
      <c r="AJ33">
        <v>7836.5290660000001</v>
      </c>
      <c r="AK33">
        <v>7718.161564</v>
      </c>
      <c r="AL33">
        <v>7596.9591840000003</v>
      </c>
      <c r="AM33">
        <v>7472.8995260000002</v>
      </c>
      <c r="AN33">
        <v>7332.3753999999999</v>
      </c>
      <c r="AO33">
        <v>7183.477457</v>
      </c>
      <c r="AP33">
        <v>7030.1757710000002</v>
      </c>
      <c r="AQ33">
        <v>6874.2390050000004</v>
      </c>
      <c r="AR33">
        <v>6686.8399630000004</v>
      </c>
      <c r="AS33">
        <v>6512.4709220000004</v>
      </c>
      <c r="AT33">
        <v>6343.6732460000003</v>
      </c>
      <c r="AU33">
        <v>6177.4462139999996</v>
      </c>
      <c r="AV33">
        <v>6012.9264069999999</v>
      </c>
      <c r="AW33">
        <v>5850.0183010000001</v>
      </c>
    </row>
    <row r="34" spans="2:49" x14ac:dyDescent="0.25">
      <c r="B34" t="s">
        <v>134</v>
      </c>
      <c r="C34">
        <v>5208.7853750706299</v>
      </c>
      <c r="D34">
        <v>5292.4141090967596</v>
      </c>
      <c r="E34">
        <v>5377.3855290000001</v>
      </c>
      <c r="F34">
        <v>5766.1469630000001</v>
      </c>
      <c r="G34">
        <v>6121.9695789999996</v>
      </c>
      <c r="H34">
        <v>6524.1562270000004</v>
      </c>
      <c r="I34">
        <v>6885.411634</v>
      </c>
      <c r="J34">
        <v>7207.7794469999999</v>
      </c>
      <c r="K34">
        <v>7413.9072640000004</v>
      </c>
      <c r="L34">
        <v>7574.320984</v>
      </c>
      <c r="M34">
        <v>7726.2013150000002</v>
      </c>
      <c r="N34">
        <v>7833.5123450000001</v>
      </c>
      <c r="O34">
        <v>7962.1780070000004</v>
      </c>
      <c r="P34">
        <v>8149.760937</v>
      </c>
      <c r="Q34">
        <v>8334.7414079999999</v>
      </c>
      <c r="R34">
        <v>8518.5658120000007</v>
      </c>
      <c r="S34">
        <v>8673.4160200000006</v>
      </c>
      <c r="T34">
        <v>8793.3768959999998</v>
      </c>
      <c r="U34">
        <v>8874.1632919999902</v>
      </c>
      <c r="V34">
        <v>8896.5776420000002</v>
      </c>
      <c r="W34">
        <v>8928.8326280000001</v>
      </c>
      <c r="X34">
        <v>8764.7527200000004</v>
      </c>
      <c r="Y34">
        <v>8718.4555380000002</v>
      </c>
      <c r="Z34">
        <v>8701.8456719999995</v>
      </c>
      <c r="AA34">
        <v>8683.5524069999901</v>
      </c>
      <c r="AB34">
        <v>8652.0693030000002</v>
      </c>
      <c r="AC34">
        <v>8500.1704869999994</v>
      </c>
      <c r="AD34">
        <v>8407.8383620000004</v>
      </c>
      <c r="AE34">
        <v>8310.7839320000003</v>
      </c>
      <c r="AF34">
        <v>8204.9338260000004</v>
      </c>
      <c r="AG34">
        <v>8089.8832300000004</v>
      </c>
      <c r="AH34">
        <v>7907.1900420000002</v>
      </c>
      <c r="AI34">
        <v>7754.2107779999997</v>
      </c>
      <c r="AJ34">
        <v>7610.6067220000004</v>
      </c>
      <c r="AK34">
        <v>7467.428731</v>
      </c>
      <c r="AL34">
        <v>7322.794629</v>
      </c>
      <c r="AM34">
        <v>7176.7318340000002</v>
      </c>
      <c r="AN34">
        <v>7016.7645229999998</v>
      </c>
      <c r="AO34">
        <v>6850.1884490000002</v>
      </c>
      <c r="AP34">
        <v>6680.6094469999998</v>
      </c>
      <c r="AQ34">
        <v>6509.6109379999998</v>
      </c>
      <c r="AR34">
        <v>6312.1738320000004</v>
      </c>
      <c r="AS34">
        <v>6127.1695069999996</v>
      </c>
      <c r="AT34">
        <v>5948.0504460000002</v>
      </c>
      <c r="AU34">
        <v>5772.1949009999998</v>
      </c>
      <c r="AV34">
        <v>5598.8907840000002</v>
      </c>
      <c r="AW34">
        <v>5428.097025</v>
      </c>
    </row>
    <row r="35" spans="2:49" x14ac:dyDescent="0.25">
      <c r="B35" t="s">
        <v>135</v>
      </c>
      <c r="C35">
        <v>13521.9613593495</v>
      </c>
      <c r="D35">
        <v>13739.0608227762</v>
      </c>
      <c r="E35" s="39">
        <v>13959.64589</v>
      </c>
      <c r="F35" s="39">
        <v>13632.260259999999</v>
      </c>
      <c r="G35" s="39">
        <v>13307.156199999999</v>
      </c>
      <c r="H35" s="39">
        <v>13036.976849999999</v>
      </c>
      <c r="I35">
        <v>12769.915639999999</v>
      </c>
      <c r="J35">
        <v>12501.651980000001</v>
      </c>
      <c r="K35" s="39">
        <v>12186.463239999999</v>
      </c>
      <c r="L35" s="39">
        <v>11872.153770000001</v>
      </c>
      <c r="M35" s="39">
        <v>11574.52822</v>
      </c>
      <c r="N35" s="39">
        <v>11262.150519999999</v>
      </c>
      <c r="O35" s="39">
        <v>10984.59383</v>
      </c>
      <c r="P35">
        <v>10790.98415</v>
      </c>
      <c r="Q35">
        <v>10604.960510000001</v>
      </c>
      <c r="R35">
        <v>10426.50469</v>
      </c>
      <c r="S35">
        <v>10225.673559999999</v>
      </c>
      <c r="T35">
        <v>10034.310149999999</v>
      </c>
      <c r="U35">
        <v>9777.6200659999995</v>
      </c>
      <c r="V35">
        <v>9481.5399880000004</v>
      </c>
      <c r="W35">
        <v>9205.6785500000005</v>
      </c>
      <c r="X35">
        <v>8843.7258120000006</v>
      </c>
      <c r="Y35">
        <v>8557.5290280000008</v>
      </c>
      <c r="Z35">
        <v>8300.1003639999999</v>
      </c>
      <c r="AA35">
        <v>8054.164573</v>
      </c>
      <c r="AB35">
        <v>7813.2226300000002</v>
      </c>
      <c r="AC35">
        <v>7524.273717</v>
      </c>
      <c r="AD35">
        <v>7275.9103070000001</v>
      </c>
      <c r="AE35">
        <v>7035.7002739999998</v>
      </c>
      <c r="AF35">
        <v>6801.0660779999998</v>
      </c>
      <c r="AG35">
        <v>6571.620645</v>
      </c>
      <c r="AH35">
        <v>6319.202945</v>
      </c>
      <c r="AI35">
        <v>6089.5214580000002</v>
      </c>
      <c r="AJ35">
        <v>5872.495484</v>
      </c>
      <c r="AK35">
        <v>5663.3953069999998</v>
      </c>
      <c r="AL35">
        <v>5461.0339489999997</v>
      </c>
      <c r="AM35">
        <v>5265.1504880000002</v>
      </c>
      <c r="AN35">
        <v>5068.9821410000004</v>
      </c>
      <c r="AO35">
        <v>4875.7089900000001</v>
      </c>
      <c r="AP35">
        <v>4686.8270490000004</v>
      </c>
      <c r="AQ35">
        <v>4502.872848</v>
      </c>
      <c r="AR35">
        <v>4312.9820460000001</v>
      </c>
      <c r="AS35">
        <v>4133.7789300000004</v>
      </c>
      <c r="AT35">
        <v>3962.239149</v>
      </c>
      <c r="AU35">
        <v>3797.062234</v>
      </c>
      <c r="AV35">
        <v>3637.7954639999998</v>
      </c>
      <c r="AW35">
        <v>3484.2720370000002</v>
      </c>
    </row>
    <row r="36" spans="2:49" x14ac:dyDescent="0.25">
      <c r="B36" t="s">
        <v>136</v>
      </c>
      <c r="C36">
        <v>4769.5635809194901</v>
      </c>
      <c r="D36" s="39">
        <v>4846.1404669702097</v>
      </c>
      <c r="E36">
        <v>4923.9468200000001</v>
      </c>
      <c r="F36">
        <v>4800.2922429999999</v>
      </c>
      <c r="G36">
        <v>4669.8796080000002</v>
      </c>
      <c r="H36">
        <v>4553.8165019999997</v>
      </c>
      <c r="I36">
        <v>4440.5542740000001</v>
      </c>
      <c r="J36">
        <v>4324.7631170000004</v>
      </c>
      <c r="K36">
        <v>4196.4028870000002</v>
      </c>
      <c r="L36">
        <v>4067.166252</v>
      </c>
      <c r="M36">
        <v>3944.0467960000001</v>
      </c>
      <c r="N36">
        <v>3815.391208</v>
      </c>
      <c r="O36">
        <v>3698.2925919999998</v>
      </c>
      <c r="P36">
        <v>3618.2609980000002</v>
      </c>
      <c r="Q36">
        <v>3538.6597630000001</v>
      </c>
      <c r="R36">
        <v>3459.6683870000002</v>
      </c>
      <c r="S36">
        <v>3366.2732099999998</v>
      </c>
      <c r="T36">
        <v>3252.203434</v>
      </c>
      <c r="U36">
        <v>3111.1319600000002</v>
      </c>
      <c r="V36">
        <v>2960.335595</v>
      </c>
      <c r="W36">
        <v>2817.2756909999998</v>
      </c>
      <c r="X36">
        <v>2669.6278630000002</v>
      </c>
      <c r="Y36">
        <v>2536.4683100000002</v>
      </c>
      <c r="Z36">
        <v>2411.6635449999999</v>
      </c>
      <c r="AA36">
        <v>2292.8029790000001</v>
      </c>
      <c r="AB36">
        <v>2178.9802709999999</v>
      </c>
      <c r="AC36">
        <v>2065.1098780000002</v>
      </c>
      <c r="AD36">
        <v>1959.6680100000001</v>
      </c>
      <c r="AE36">
        <v>1859.272993</v>
      </c>
      <c r="AF36">
        <v>1763.4763849999999</v>
      </c>
      <c r="AG36">
        <v>1672.162934</v>
      </c>
      <c r="AH36">
        <v>1582.9154570000001</v>
      </c>
      <c r="AI36">
        <v>1499.192816</v>
      </c>
      <c r="AJ36">
        <v>1420.0138119999999</v>
      </c>
      <c r="AK36">
        <v>1344.8165819999999</v>
      </c>
      <c r="AL36">
        <v>1273.3746759999999</v>
      </c>
      <c r="AM36">
        <v>1205.5369109999999</v>
      </c>
      <c r="AN36">
        <v>1140.4008940000001</v>
      </c>
      <c r="AO36">
        <v>1078.0972200000001</v>
      </c>
      <c r="AP36">
        <v>1018.640089</v>
      </c>
      <c r="AQ36">
        <v>961.97138689999997</v>
      </c>
      <c r="AR36">
        <v>907.47190590000002</v>
      </c>
      <c r="AS36">
        <v>855.88838850000002</v>
      </c>
      <c r="AT36">
        <v>806.96785039999997</v>
      </c>
      <c r="AU36">
        <v>760.55170220000002</v>
      </c>
      <c r="AV36">
        <v>716.52851980000003</v>
      </c>
      <c r="AW36">
        <v>674.80116750000002</v>
      </c>
    </row>
    <row r="37" spans="2:49" x14ac:dyDescent="0.25">
      <c r="B37" t="s">
        <v>137</v>
      </c>
      <c r="C37">
        <v>2185.3248924602099</v>
      </c>
      <c r="D37">
        <v>2220.4109904720199</v>
      </c>
      <c r="E37">
        <v>2256.0604069999999</v>
      </c>
      <c r="F37">
        <v>2168.6364859999999</v>
      </c>
      <c r="G37">
        <v>2077.922783</v>
      </c>
      <c r="H37">
        <v>1992.4678389999999</v>
      </c>
      <c r="I37">
        <v>1910.1906630000001</v>
      </c>
      <c r="J37">
        <v>1827.3280279999999</v>
      </c>
      <c r="K37">
        <v>1744.6399550000001</v>
      </c>
      <c r="L37">
        <v>1661.8877540000001</v>
      </c>
      <c r="M37">
        <v>1583.3521490000001</v>
      </c>
      <c r="N37">
        <v>1511.212673</v>
      </c>
      <c r="O37">
        <v>1443.269888</v>
      </c>
      <c r="P37">
        <v>1392.16453</v>
      </c>
      <c r="Q37">
        <v>1340.216422</v>
      </c>
      <c r="R37">
        <v>1287.3668110000001</v>
      </c>
      <c r="S37">
        <v>1232.1530760000001</v>
      </c>
      <c r="T37">
        <v>1173.2288639999999</v>
      </c>
      <c r="U37">
        <v>1108.0494819999999</v>
      </c>
      <c r="V37">
        <v>1042.870101</v>
      </c>
      <c r="W37">
        <v>981.52480100000002</v>
      </c>
      <c r="X37">
        <v>923.788048</v>
      </c>
      <c r="Y37">
        <v>869.44757460000005</v>
      </c>
      <c r="Z37">
        <v>818.30359959999998</v>
      </c>
      <c r="AA37">
        <v>770.16809369999999</v>
      </c>
      <c r="AB37">
        <v>724.86408819999997</v>
      </c>
      <c r="AC37">
        <v>682.22502420000001</v>
      </c>
      <c r="AD37">
        <v>642.09414040000001</v>
      </c>
      <c r="AE37">
        <v>604.32389690000002</v>
      </c>
      <c r="AF37">
        <v>568.7754324</v>
      </c>
      <c r="AG37">
        <v>535.31805399999996</v>
      </c>
      <c r="AH37">
        <v>503.82875669999999</v>
      </c>
      <c r="AI37">
        <v>474.19177100000002</v>
      </c>
      <c r="AJ37">
        <v>446.29813739999997</v>
      </c>
      <c r="AK37">
        <v>420.04530579999999</v>
      </c>
      <c r="AL37">
        <v>395.33675840000001</v>
      </c>
      <c r="AM37">
        <v>372.08165500000001</v>
      </c>
      <c r="AN37">
        <v>350.06498900000003</v>
      </c>
      <c r="AO37">
        <v>329.22778729999999</v>
      </c>
      <c r="AP37">
        <v>309.51354850000001</v>
      </c>
      <c r="AQ37">
        <v>290.868154</v>
      </c>
      <c r="AR37">
        <v>273.23978099999999</v>
      </c>
      <c r="AS37">
        <v>256.57881880000002</v>
      </c>
      <c r="AT37">
        <v>240.83778699999999</v>
      </c>
      <c r="AU37">
        <v>225.97125689999999</v>
      </c>
      <c r="AV37">
        <v>211.9357751</v>
      </c>
      <c r="AW37">
        <v>198.68978920000001</v>
      </c>
    </row>
    <row r="38" spans="2:49" x14ac:dyDescent="0.25">
      <c r="B38" t="s">
        <v>138</v>
      </c>
      <c r="C38">
        <v>6.9573204344700098E-3</v>
      </c>
      <c r="D38" s="39">
        <v>7.06902246445449E-3</v>
      </c>
      <c r="E38">
        <v>7.1825179100000001E-3</v>
      </c>
      <c r="F38">
        <v>1.13980881E-2</v>
      </c>
      <c r="G38">
        <v>2.15464582E-2</v>
      </c>
      <c r="H38">
        <v>5.4762045099999997E-2</v>
      </c>
      <c r="I38">
        <v>0.1068282517</v>
      </c>
      <c r="J38">
        <v>0.1845452669</v>
      </c>
      <c r="K38">
        <v>0.27838463879999997</v>
      </c>
      <c r="L38">
        <v>0.40974294690000002</v>
      </c>
      <c r="M38">
        <v>0.61488939139999998</v>
      </c>
      <c r="N38">
        <v>0.88706267969999997</v>
      </c>
      <c r="O38">
        <v>1.2845170809999999</v>
      </c>
      <c r="P38">
        <v>1.4845090830000001</v>
      </c>
      <c r="Q38">
        <v>1.836740818</v>
      </c>
      <c r="R38">
        <v>2.4568316530000001</v>
      </c>
      <c r="S38">
        <v>3.4626674909999999</v>
      </c>
      <c r="T38">
        <v>4.9645845450000001</v>
      </c>
      <c r="U38">
        <v>8.8239134230000005</v>
      </c>
      <c r="V38">
        <v>15.003392740000001</v>
      </c>
      <c r="W38">
        <v>23.295794820000001</v>
      </c>
      <c r="X38">
        <v>30.58914674</v>
      </c>
      <c r="Y38">
        <v>42.346148339999999</v>
      </c>
      <c r="Z38">
        <v>58.148450029999999</v>
      </c>
      <c r="AA38">
        <v>77.978419130000006</v>
      </c>
      <c r="AB38">
        <v>101.9141853</v>
      </c>
      <c r="AC38">
        <v>123.48327860000001</v>
      </c>
      <c r="AD38">
        <v>153.29513510000001</v>
      </c>
      <c r="AE38">
        <v>187.96298179999999</v>
      </c>
      <c r="AF38">
        <v>227.18452809999999</v>
      </c>
      <c r="AG38">
        <v>270.87195809999997</v>
      </c>
      <c r="AH38">
        <v>309.60311960000001</v>
      </c>
      <c r="AI38">
        <v>357.3974528</v>
      </c>
      <c r="AJ38">
        <v>411.91644109999999</v>
      </c>
      <c r="AK38">
        <v>471.6805493</v>
      </c>
      <c r="AL38">
        <v>536.10142789999998</v>
      </c>
      <c r="AM38">
        <v>604.88233920000005</v>
      </c>
      <c r="AN38">
        <v>675.10074380000003</v>
      </c>
      <c r="AO38">
        <v>748.19000759999994</v>
      </c>
      <c r="AP38">
        <v>824.87963019999995</v>
      </c>
      <c r="AQ38">
        <v>905.38054199999999</v>
      </c>
      <c r="AR38">
        <v>975.40373199999999</v>
      </c>
      <c r="AS38">
        <v>1054.491988</v>
      </c>
      <c r="AT38">
        <v>1139.6587919999999</v>
      </c>
      <c r="AU38">
        <v>1229.32431</v>
      </c>
      <c r="AV38">
        <v>1322.7060939999999</v>
      </c>
      <c r="AW38">
        <v>1419.3978139999999</v>
      </c>
    </row>
    <row r="39" spans="2:49" x14ac:dyDescent="0.25">
      <c r="B39" t="s">
        <v>139</v>
      </c>
      <c r="C39">
        <v>1.59483191497851E-2</v>
      </c>
      <c r="D39">
        <v>1.6204374572364899E-2</v>
      </c>
      <c r="E39">
        <v>1.6464540999999999E-2</v>
      </c>
      <c r="F39">
        <v>2.7897849999999998E-2</v>
      </c>
      <c r="G39">
        <v>5.0056665700000003E-2</v>
      </c>
      <c r="H39">
        <v>9.7183615099999995E-2</v>
      </c>
      <c r="I39">
        <v>0.16610405950000001</v>
      </c>
      <c r="J39">
        <v>0.26449523139999997</v>
      </c>
      <c r="K39">
        <v>0.38227313460000001</v>
      </c>
      <c r="L39">
        <v>0.54006876049999997</v>
      </c>
      <c r="M39">
        <v>0.76987713719999995</v>
      </c>
      <c r="N39">
        <v>1.0630029519999999</v>
      </c>
      <c r="O39">
        <v>1.4816074530000001</v>
      </c>
      <c r="P39">
        <v>1.8259814409999999</v>
      </c>
      <c r="Q39">
        <v>2.3418457890000002</v>
      </c>
      <c r="R39">
        <v>3.1211409890000001</v>
      </c>
      <c r="S39">
        <v>4.2474106689999997</v>
      </c>
      <c r="T39">
        <v>5.7814676800000004</v>
      </c>
      <c r="U39">
        <v>9.0048258939999997</v>
      </c>
      <c r="V39">
        <v>13.821606900000001</v>
      </c>
      <c r="W39">
        <v>20.219649319999998</v>
      </c>
      <c r="X39">
        <v>25.608324140000001</v>
      </c>
      <c r="Y39">
        <v>34.44180085</v>
      </c>
      <c r="Z39">
        <v>46.225214530000002</v>
      </c>
      <c r="AA39">
        <v>60.8321459</v>
      </c>
      <c r="AB39">
        <v>78.235373710000005</v>
      </c>
      <c r="AC39">
        <v>93.482798720000005</v>
      </c>
      <c r="AD39">
        <v>114.5944681</v>
      </c>
      <c r="AE39">
        <v>138.85695810000001</v>
      </c>
      <c r="AF39">
        <v>165.97680299999999</v>
      </c>
      <c r="AG39">
        <v>195.8027084</v>
      </c>
      <c r="AH39">
        <v>221.58956019999999</v>
      </c>
      <c r="AI39">
        <v>253.32088920000001</v>
      </c>
      <c r="AJ39">
        <v>289.1494659</v>
      </c>
      <c r="AK39">
        <v>327.92672570000002</v>
      </c>
      <c r="AL39">
        <v>369.16810079999999</v>
      </c>
      <c r="AM39">
        <v>412.60515930000003</v>
      </c>
      <c r="AN39">
        <v>456.0428551</v>
      </c>
      <c r="AO39">
        <v>500.4052623</v>
      </c>
      <c r="AP39">
        <v>546.10283360000005</v>
      </c>
      <c r="AQ39">
        <v>593.19278889999998</v>
      </c>
      <c r="AR39">
        <v>632.62114069999996</v>
      </c>
      <c r="AS39">
        <v>676.76808340000002</v>
      </c>
      <c r="AT39">
        <v>723.5466199</v>
      </c>
      <c r="AU39">
        <v>771.85293820000004</v>
      </c>
      <c r="AV39">
        <v>821.12630309999997</v>
      </c>
      <c r="AW39">
        <v>871.04877850000003</v>
      </c>
    </row>
    <row r="40" spans="2:49" x14ac:dyDescent="0.25">
      <c r="B40" t="s">
        <v>140</v>
      </c>
      <c r="C40">
        <v>6.5291776385026298E-2</v>
      </c>
      <c r="D40" s="39">
        <v>6.63400569741113E-2</v>
      </c>
      <c r="E40">
        <v>6.7405168000000001E-2</v>
      </c>
      <c r="F40">
        <v>0.11700391609999999</v>
      </c>
      <c r="G40">
        <v>0.20598179559999999</v>
      </c>
      <c r="H40">
        <v>0.3534867324</v>
      </c>
      <c r="I40">
        <v>0.55682051099999996</v>
      </c>
      <c r="J40">
        <v>0.83514358129999999</v>
      </c>
      <c r="K40">
        <v>1.165465142</v>
      </c>
      <c r="L40">
        <v>1.5882255249999999</v>
      </c>
      <c r="M40">
        <v>2.1556286920000001</v>
      </c>
      <c r="N40">
        <v>2.84304858</v>
      </c>
      <c r="O40">
        <v>3.7946889800000001</v>
      </c>
      <c r="P40">
        <v>5.0244359449999996</v>
      </c>
      <c r="Q40">
        <v>6.6791557600000004</v>
      </c>
      <c r="R40">
        <v>8.8676023500000003</v>
      </c>
      <c r="S40">
        <v>11.646945970000001</v>
      </c>
      <c r="T40">
        <v>14.97884681</v>
      </c>
      <c r="U40">
        <v>19.691254359999999</v>
      </c>
      <c r="V40">
        <v>25.549982839999998</v>
      </c>
      <c r="W40">
        <v>33.128894019999997</v>
      </c>
      <c r="X40">
        <v>38.703653170000003</v>
      </c>
      <c r="Y40">
        <v>48.407461240000003</v>
      </c>
      <c r="Z40">
        <v>61.093878410000002</v>
      </c>
      <c r="AA40">
        <v>76.270415920000005</v>
      </c>
      <c r="AB40">
        <v>93.661931879999997</v>
      </c>
      <c r="AC40">
        <v>107.5676915</v>
      </c>
      <c r="AD40">
        <v>127.00787750000001</v>
      </c>
      <c r="AE40">
        <v>148.54141949999999</v>
      </c>
      <c r="AF40">
        <v>171.70433850000001</v>
      </c>
      <c r="AG40">
        <v>196.15211819999999</v>
      </c>
      <c r="AH40">
        <v>215.5072715</v>
      </c>
      <c r="AI40">
        <v>239.18491700000001</v>
      </c>
      <c r="AJ40">
        <v>265.04281140000001</v>
      </c>
      <c r="AK40">
        <v>291.83911660000001</v>
      </c>
      <c r="AL40">
        <v>319.03779900000001</v>
      </c>
      <c r="AM40">
        <v>346.33205390000001</v>
      </c>
      <c r="AN40">
        <v>371.57375860000002</v>
      </c>
      <c r="AO40">
        <v>395.50775499999997</v>
      </c>
      <c r="AP40">
        <v>418.3894793</v>
      </c>
      <c r="AQ40">
        <v>440.19639130000002</v>
      </c>
      <c r="AR40">
        <v>455.17560800000001</v>
      </c>
      <c r="AS40">
        <v>471.40881519999999</v>
      </c>
      <c r="AT40">
        <v>487.27734149999998</v>
      </c>
      <c r="AU40">
        <v>501.9877204</v>
      </c>
      <c r="AV40">
        <v>515.17149730000006</v>
      </c>
      <c r="AW40">
        <v>526.62829060000001</v>
      </c>
    </row>
    <row r="41" spans="2:49" x14ac:dyDescent="0.25">
      <c r="B41" t="s">
        <v>141</v>
      </c>
      <c r="C41">
        <v>1.5338215665531501</v>
      </c>
      <c r="D41">
        <v>1.55844756793281</v>
      </c>
      <c r="E41">
        <v>1.5834689479999999</v>
      </c>
      <c r="F41">
        <v>2.7562351710000002</v>
      </c>
      <c r="G41">
        <v>4.8417696299999999</v>
      </c>
      <c r="H41">
        <v>8.1862599780000007</v>
      </c>
      <c r="I41">
        <v>12.75494469</v>
      </c>
      <c r="J41">
        <v>18.9664544</v>
      </c>
      <c r="K41">
        <v>26.32815694</v>
      </c>
      <c r="L41">
        <v>35.67760672</v>
      </c>
      <c r="M41">
        <v>48.044143169999998</v>
      </c>
      <c r="N41">
        <v>62.881333439999999</v>
      </c>
      <c r="O41">
        <v>83.297724840000001</v>
      </c>
      <c r="P41">
        <v>111.69429150000001</v>
      </c>
      <c r="Q41">
        <v>149.34603229999999</v>
      </c>
      <c r="R41">
        <v>198.1288941</v>
      </c>
      <c r="S41">
        <v>258.6992932</v>
      </c>
      <c r="T41">
        <v>329.5189992</v>
      </c>
      <c r="U41">
        <v>420.63968310000001</v>
      </c>
      <c r="V41">
        <v>528.48605220000002</v>
      </c>
      <c r="W41">
        <v>667.28263570000001</v>
      </c>
      <c r="X41">
        <v>765.62439800000004</v>
      </c>
      <c r="Y41">
        <v>940.33518519999996</v>
      </c>
      <c r="Z41">
        <v>1168.0684209999999</v>
      </c>
      <c r="AA41">
        <v>1438.640001</v>
      </c>
      <c r="AB41">
        <v>1746.4530010000001</v>
      </c>
      <c r="AC41">
        <v>1988.0381219999999</v>
      </c>
      <c r="AD41">
        <v>2327.3340990000002</v>
      </c>
      <c r="AE41">
        <v>2701.38841</v>
      </c>
      <c r="AF41">
        <v>3102.0363510000002</v>
      </c>
      <c r="AG41">
        <v>3523.3643069999998</v>
      </c>
      <c r="AH41">
        <v>3854.0612510000001</v>
      </c>
      <c r="AI41">
        <v>4259.8868869999997</v>
      </c>
      <c r="AJ41">
        <v>4703.5746159999999</v>
      </c>
      <c r="AK41">
        <v>5164.1700010000004</v>
      </c>
      <c r="AL41">
        <v>5633.2508939999998</v>
      </c>
      <c r="AM41">
        <v>6106.4716019999996</v>
      </c>
      <c r="AN41">
        <v>6548.47102</v>
      </c>
      <c r="AO41">
        <v>6973.5655370000004</v>
      </c>
      <c r="AP41">
        <v>7387.7170489999999</v>
      </c>
      <c r="AQ41">
        <v>7792.1444300000003</v>
      </c>
      <c r="AR41">
        <v>8086.7747660000005</v>
      </c>
      <c r="AS41">
        <v>8414.4017260000001</v>
      </c>
      <c r="AT41">
        <v>8749.2445310000003</v>
      </c>
      <c r="AU41">
        <v>9079.2471129999994</v>
      </c>
      <c r="AV41">
        <v>9399.4141380000001</v>
      </c>
      <c r="AW41">
        <v>9707.6045639999902</v>
      </c>
    </row>
    <row r="42" spans="2:49" x14ac:dyDescent="0.25">
      <c r="B42" t="s">
        <v>142</v>
      </c>
      <c r="C42">
        <v>0.60453762790594801</v>
      </c>
      <c r="D42" s="39">
        <v>0.61424367506521405</v>
      </c>
      <c r="E42">
        <v>0.62410555599999995</v>
      </c>
      <c r="F42">
        <v>1.08693368</v>
      </c>
      <c r="G42">
        <v>1.90855047</v>
      </c>
      <c r="H42">
        <v>3.216978476</v>
      </c>
      <c r="I42">
        <v>5.0007065610000003</v>
      </c>
      <c r="J42">
        <v>7.4220761739999999</v>
      </c>
      <c r="K42">
        <v>10.29087404</v>
      </c>
      <c r="L42" s="39">
        <v>13.927671180000001</v>
      </c>
      <c r="M42" s="39">
        <v>18.721023129999999</v>
      </c>
      <c r="N42" s="39">
        <v>24.457871770000001</v>
      </c>
      <c r="O42" s="39">
        <v>32.339474209999999</v>
      </c>
      <c r="P42" s="39">
        <v>43.493194510000002</v>
      </c>
      <c r="Q42" s="39">
        <v>58.235035539999998</v>
      </c>
      <c r="R42">
        <v>77.246277680000006</v>
      </c>
      <c r="S42">
        <v>100.7231982</v>
      </c>
      <c r="T42">
        <v>127.9956914</v>
      </c>
      <c r="U42">
        <v>162.04118199999999</v>
      </c>
      <c r="V42">
        <v>201.47105329999999</v>
      </c>
      <c r="W42">
        <v>252.0381371</v>
      </c>
      <c r="X42">
        <v>287.11705519999998</v>
      </c>
      <c r="Y42">
        <v>350.07612230000001</v>
      </c>
      <c r="Z42">
        <v>431.89748539999999</v>
      </c>
      <c r="AA42">
        <v>528.5656682</v>
      </c>
      <c r="AB42">
        <v>637.83380279999994</v>
      </c>
      <c r="AC42">
        <v>722.17150809999998</v>
      </c>
      <c r="AD42">
        <v>840.88049560000002</v>
      </c>
      <c r="AE42">
        <v>970.85628940000004</v>
      </c>
      <c r="AF42">
        <v>1109.0474899999999</v>
      </c>
      <c r="AG42">
        <v>1253.1882370000001</v>
      </c>
      <c r="AH42">
        <v>1364.17795</v>
      </c>
      <c r="AI42">
        <v>1500.2970789999999</v>
      </c>
      <c r="AJ42">
        <v>1648.0841720000001</v>
      </c>
      <c r="AK42">
        <v>1800.071232</v>
      </c>
      <c r="AL42">
        <v>1953.2804060000001</v>
      </c>
      <c r="AM42">
        <v>2106.1954070000002</v>
      </c>
      <c r="AN42">
        <v>2246.456111</v>
      </c>
      <c r="AO42">
        <v>2379.0529230000002</v>
      </c>
      <c r="AP42">
        <v>2506.0517159999999</v>
      </c>
      <c r="AQ42">
        <v>2627.9151029999998</v>
      </c>
      <c r="AR42">
        <v>2712.2109019999998</v>
      </c>
      <c r="AS42">
        <v>2805.7441039999999</v>
      </c>
      <c r="AT42">
        <v>2899.9684390000002</v>
      </c>
      <c r="AU42">
        <v>2991.0178350000001</v>
      </c>
      <c r="AV42">
        <v>3077.4000110000002</v>
      </c>
      <c r="AW42">
        <v>3158.562285</v>
      </c>
    </row>
    <row r="43" spans="2:49" x14ac:dyDescent="0.25">
      <c r="B43" t="s">
        <v>143</v>
      </c>
      <c r="C43">
        <v>8.2417488223721705E-3</v>
      </c>
      <c r="D43">
        <v>8.3740727655845504E-3</v>
      </c>
      <c r="E43">
        <v>8.5085212099999998E-3</v>
      </c>
      <c r="F43">
        <v>1.56538684E-2</v>
      </c>
      <c r="G43">
        <v>2.63351566E-2</v>
      </c>
      <c r="H43">
        <v>3.06842898E-2</v>
      </c>
      <c r="I43">
        <v>3.16484655E-2</v>
      </c>
      <c r="J43">
        <v>4.04374204E-2</v>
      </c>
      <c r="K43">
        <v>5.1015352899999998E-2</v>
      </c>
      <c r="L43">
        <v>6.4656426599999997E-2</v>
      </c>
      <c r="M43">
        <v>8.2927845799999997E-2</v>
      </c>
      <c r="N43">
        <v>0.10499578010000001</v>
      </c>
      <c r="O43">
        <v>0.1355946026</v>
      </c>
      <c r="P43">
        <v>0.21555792160000001</v>
      </c>
      <c r="Q43">
        <v>0.26335323849999998</v>
      </c>
      <c r="R43">
        <v>0.33586451589999999</v>
      </c>
      <c r="S43">
        <v>0.42643140000000002</v>
      </c>
      <c r="T43">
        <v>0.53271902270000004</v>
      </c>
      <c r="U43">
        <v>0.67008643229999998</v>
      </c>
      <c r="V43">
        <v>0.83330752990000001</v>
      </c>
      <c r="W43">
        <v>1.044064093</v>
      </c>
      <c r="X43">
        <v>1.1933733129999999</v>
      </c>
      <c r="Y43">
        <v>1.4596392629999999</v>
      </c>
      <c r="Z43">
        <v>1.807400613</v>
      </c>
      <c r="AA43">
        <v>2.2212530250000002</v>
      </c>
      <c r="AB43">
        <v>2.6927775500000002</v>
      </c>
      <c r="AC43">
        <v>3.0635929769999999</v>
      </c>
      <c r="AD43">
        <v>3.5848171469999999</v>
      </c>
      <c r="AE43">
        <v>4.1603056479999996</v>
      </c>
      <c r="AF43">
        <v>4.7776761739999998</v>
      </c>
      <c r="AG43">
        <v>5.428032902</v>
      </c>
      <c r="AH43">
        <v>5.9401933480000002</v>
      </c>
      <c r="AI43">
        <v>6.5691778129999996</v>
      </c>
      <c r="AJ43">
        <v>7.2580628550000004</v>
      </c>
      <c r="AK43">
        <v>7.9748134679999998</v>
      </c>
      <c r="AL43">
        <v>8.7066036340000004</v>
      </c>
      <c r="AM43">
        <v>9.4468555940000005</v>
      </c>
      <c r="AN43">
        <v>10.141371360000001</v>
      </c>
      <c r="AO43">
        <v>10.81235948</v>
      </c>
      <c r="AP43">
        <v>11.469192380000001</v>
      </c>
      <c r="AQ43">
        <v>12.1138976</v>
      </c>
      <c r="AR43">
        <v>12.589863279999999</v>
      </c>
      <c r="AS43">
        <v>13.12028089</v>
      </c>
      <c r="AT43">
        <v>13.665274889999999</v>
      </c>
      <c r="AU43">
        <v>14.206138169999999</v>
      </c>
      <c r="AV43">
        <v>14.735086340000001</v>
      </c>
      <c r="AW43">
        <v>15.24877721</v>
      </c>
    </row>
    <row r="44" spans="2:49" x14ac:dyDescent="0.25">
      <c r="B44" t="s">
        <v>144</v>
      </c>
      <c r="C44">
        <v>0.101255771246286</v>
      </c>
      <c r="D44" s="39">
        <v>0.10288146540575301</v>
      </c>
      <c r="E44">
        <v>0.1045332606</v>
      </c>
      <c r="F44">
        <v>0.1827084561</v>
      </c>
      <c r="G44">
        <v>0.31991767830000001</v>
      </c>
      <c r="H44">
        <v>0.52873769940000004</v>
      </c>
      <c r="I44">
        <v>0.80971449289999997</v>
      </c>
      <c r="J44">
        <v>1.187362247</v>
      </c>
      <c r="K44">
        <v>1.6338656739999999</v>
      </c>
      <c r="L44">
        <v>2.1933643549999999</v>
      </c>
      <c r="M44">
        <v>2.9142646929999998</v>
      </c>
      <c r="N44">
        <v>3.763661924</v>
      </c>
      <c r="O44">
        <v>4.9190757749999996</v>
      </c>
      <c r="P44">
        <v>6.7448382039999997</v>
      </c>
      <c r="Q44">
        <v>9.1093765839999996</v>
      </c>
      <c r="R44">
        <v>12.06922782</v>
      </c>
      <c r="S44">
        <v>15.59957827</v>
      </c>
      <c r="T44">
        <v>19.53532835</v>
      </c>
      <c r="U44">
        <v>23.593428509999999</v>
      </c>
      <c r="V44">
        <v>27.701226340000002</v>
      </c>
      <c r="W44">
        <v>32.879676940000003</v>
      </c>
      <c r="X44">
        <v>36.010563759999997</v>
      </c>
      <c r="Y44">
        <v>42.07849659</v>
      </c>
      <c r="Z44">
        <v>49.862611800000003</v>
      </c>
      <c r="AA44">
        <v>58.794042609999998</v>
      </c>
      <c r="AB44">
        <v>68.553594200000006</v>
      </c>
      <c r="AC44">
        <v>75.390325070000003</v>
      </c>
      <c r="AD44">
        <v>85.209026899999998</v>
      </c>
      <c r="AE44">
        <v>95.597423730000003</v>
      </c>
      <c r="AF44">
        <v>106.2435261</v>
      </c>
      <c r="AG44">
        <v>116.90923189999999</v>
      </c>
      <c r="AH44">
        <v>124.2970894</v>
      </c>
      <c r="AI44">
        <v>133.42081569999999</v>
      </c>
      <c r="AJ44">
        <v>143.04038109999999</v>
      </c>
      <c r="AK44">
        <v>152.52870129999999</v>
      </c>
      <c r="AL44">
        <v>161.67130209999999</v>
      </c>
      <c r="AM44">
        <v>170.38587799999999</v>
      </c>
      <c r="AN44">
        <v>177.73289560000001</v>
      </c>
      <c r="AO44">
        <v>184.16462580000001</v>
      </c>
      <c r="AP44">
        <v>189.89142989999999</v>
      </c>
      <c r="AQ44">
        <v>195.00465639999999</v>
      </c>
      <c r="AR44">
        <v>197.5474069</v>
      </c>
      <c r="AS44">
        <v>200.5346519</v>
      </c>
      <c r="AT44">
        <v>203.4448573</v>
      </c>
      <c r="AU44">
        <v>206.07991079999999</v>
      </c>
      <c r="AV44">
        <v>208.39441819999999</v>
      </c>
      <c r="AW44">
        <v>210.3968127</v>
      </c>
    </row>
    <row r="45" spans="2:49" x14ac:dyDescent="0.25">
      <c r="B45" t="s">
        <v>145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2:49" x14ac:dyDescent="0.25">
      <c r="B46" t="s">
        <v>146</v>
      </c>
      <c r="C46">
        <v>30996.0941631817</v>
      </c>
      <c r="D46">
        <v>31493.7464809423</v>
      </c>
      <c r="E46">
        <v>31999.388770000001</v>
      </c>
      <c r="F46">
        <v>32684.18117</v>
      </c>
      <c r="G46">
        <v>33307.420550000003</v>
      </c>
      <c r="H46">
        <v>34130.376850000001</v>
      </c>
      <c r="I46">
        <v>34844.410680000001</v>
      </c>
      <c r="J46">
        <v>35460.24828</v>
      </c>
      <c r="K46">
        <v>35691.183470000004</v>
      </c>
      <c r="L46">
        <v>35785.514880000002</v>
      </c>
      <c r="M46">
        <v>35874.761109999999</v>
      </c>
      <c r="N46">
        <v>35815.306380000002</v>
      </c>
      <c r="O46">
        <v>35851.248769999998</v>
      </c>
      <c r="P46">
        <v>36150.721570000002</v>
      </c>
      <c r="Q46">
        <v>36481.074619999999</v>
      </c>
      <c r="R46">
        <v>36811.51801</v>
      </c>
      <c r="S46">
        <v>37073.076130000001</v>
      </c>
      <c r="T46">
        <v>37177.603139999999</v>
      </c>
      <c r="U46">
        <v>37144.06482</v>
      </c>
      <c r="V46">
        <v>36922.859830000001</v>
      </c>
      <c r="W46">
        <v>36763.190060000001</v>
      </c>
      <c r="X46">
        <v>35919.488270000002</v>
      </c>
      <c r="Y46">
        <v>35518.478739999999</v>
      </c>
      <c r="Z46">
        <v>35245.142650000002</v>
      </c>
      <c r="AA46">
        <v>34986.735670000002</v>
      </c>
      <c r="AB46">
        <v>34700.640359999998</v>
      </c>
      <c r="AC46">
        <v>33990.474649999996</v>
      </c>
      <c r="AD46">
        <v>33514.519220000002</v>
      </c>
      <c r="AE46">
        <v>33036.779459999998</v>
      </c>
      <c r="AF46">
        <v>32541.537039999999</v>
      </c>
      <c r="AG46">
        <v>32025.148369999999</v>
      </c>
      <c r="AH46">
        <v>31267.390329999998</v>
      </c>
      <c r="AI46">
        <v>30632.674350000001</v>
      </c>
      <c r="AJ46">
        <v>30043.888279999999</v>
      </c>
      <c r="AK46">
        <v>29467.258829999999</v>
      </c>
      <c r="AL46">
        <v>28894.648300000001</v>
      </c>
      <c r="AM46" s="39">
        <v>28325.03039</v>
      </c>
      <c r="AN46" s="39">
        <v>27710.376509999998</v>
      </c>
      <c r="AO46" s="39">
        <v>27078.057799999999</v>
      </c>
      <c r="AP46" s="39">
        <v>26441.20853</v>
      </c>
      <c r="AQ46" s="39">
        <v>25805.525949999999</v>
      </c>
      <c r="AR46" s="39">
        <v>25067.706539999999</v>
      </c>
      <c r="AS46" s="39">
        <v>24385.314109999999</v>
      </c>
      <c r="AT46" s="39">
        <v>23731.703310000001</v>
      </c>
      <c r="AU46" s="39">
        <v>23095.882180000001</v>
      </c>
      <c r="AV46" s="39">
        <v>22474.21457</v>
      </c>
      <c r="AW46" s="39">
        <v>21865.76281</v>
      </c>
    </row>
    <row r="47" spans="2:49" x14ac:dyDescent="0.25">
      <c r="B47" t="s">
        <v>147</v>
      </c>
      <c r="C47">
        <v>2.3360541304970401</v>
      </c>
      <c r="D47">
        <v>2.3735602351802898</v>
      </c>
      <c r="E47">
        <v>2.411668513</v>
      </c>
      <c r="F47" s="39">
        <v>4.1978310299999997</v>
      </c>
      <c r="G47" s="39">
        <v>7.3741578539999999</v>
      </c>
      <c r="H47">
        <v>12.468092840000001</v>
      </c>
      <c r="I47">
        <v>19.426767030000001</v>
      </c>
      <c r="J47">
        <v>28.90051433</v>
      </c>
      <c r="K47">
        <v>40.13003492</v>
      </c>
      <c r="L47">
        <v>54.40133591</v>
      </c>
      <c r="M47">
        <v>73.302754059999998</v>
      </c>
      <c r="N47">
        <v>96.000977129999995</v>
      </c>
      <c r="O47">
        <v>127.2526829</v>
      </c>
      <c r="P47" s="39">
        <v>170.4828086</v>
      </c>
      <c r="Q47" s="39">
        <v>227.81154000000001</v>
      </c>
      <c r="R47" s="39">
        <v>302.22583909999997</v>
      </c>
      <c r="S47" s="39">
        <v>394.80552519999998</v>
      </c>
      <c r="T47" s="39">
        <v>503.307637</v>
      </c>
      <c r="U47" s="39">
        <v>644.46437379999998</v>
      </c>
      <c r="V47" s="39">
        <v>812.86662190000004</v>
      </c>
      <c r="W47" s="39">
        <v>1029.888852</v>
      </c>
      <c r="X47" s="39">
        <v>1184.8465140000001</v>
      </c>
      <c r="Y47" s="39">
        <v>1459.1448539999999</v>
      </c>
      <c r="Z47" s="39">
        <v>1817.1034609999999</v>
      </c>
      <c r="AA47" s="39">
        <v>2243.301946</v>
      </c>
      <c r="AB47" s="39">
        <v>2729.344666</v>
      </c>
      <c r="AC47" s="39">
        <v>3113.1973170000001</v>
      </c>
      <c r="AD47" s="39">
        <v>3651.9059200000002</v>
      </c>
      <c r="AE47" s="39">
        <v>4247.3637879999997</v>
      </c>
      <c r="AF47" s="39">
        <v>4886.9707129999997</v>
      </c>
      <c r="AG47" s="39">
        <v>5561.7165930000001</v>
      </c>
      <c r="AH47" s="39">
        <v>6095.1764350000003</v>
      </c>
      <c r="AI47">
        <v>6750.0772180000004</v>
      </c>
      <c r="AJ47">
        <v>7468.0659500000002</v>
      </c>
      <c r="AK47">
        <v>8216.1911390000005</v>
      </c>
      <c r="AL47">
        <v>8981.2165330000007</v>
      </c>
      <c r="AM47">
        <v>9756.3192949999902</v>
      </c>
      <c r="AN47">
        <v>10485.518760000001</v>
      </c>
      <c r="AO47">
        <v>11191.698469999999</v>
      </c>
      <c r="AP47">
        <v>11884.501329999999</v>
      </c>
      <c r="AQ47">
        <v>12565.94781</v>
      </c>
      <c r="AR47">
        <v>13072.323420000001</v>
      </c>
      <c r="AS47">
        <v>13636.469649999999</v>
      </c>
      <c r="AT47">
        <v>14216.80586</v>
      </c>
      <c r="AU47">
        <v>14793.715969999999</v>
      </c>
      <c r="AV47">
        <v>15358.947550000001</v>
      </c>
      <c r="AW47">
        <v>15908.88732</v>
      </c>
    </row>
    <row r="48" spans="2:49" x14ac:dyDescent="0.25">
      <c r="B48" t="s">
        <v>148</v>
      </c>
      <c r="C48">
        <v>2.1906436884240502E-2</v>
      </c>
      <c r="D48">
        <v>2.2258151814254699E-2</v>
      </c>
      <c r="E48">
        <v>2.2615513600000001E-2</v>
      </c>
      <c r="F48" s="39">
        <v>2.43638074E-2</v>
      </c>
      <c r="G48" s="39">
        <v>5.85282845E-2</v>
      </c>
      <c r="H48">
        <v>9.5853913400000004E-2</v>
      </c>
      <c r="I48">
        <v>0.13532209980000001</v>
      </c>
      <c r="J48">
        <v>0.18868567219999999</v>
      </c>
      <c r="K48" s="39">
        <v>0.23762721519999999</v>
      </c>
      <c r="L48" s="39">
        <v>0.28065069770000001</v>
      </c>
      <c r="M48" s="39">
        <v>0.32091666229999999</v>
      </c>
      <c r="N48" s="39">
        <v>0.34332551259999999</v>
      </c>
      <c r="O48" s="39">
        <v>0.36121752309999999</v>
      </c>
      <c r="P48" s="39">
        <v>0.37232539279999999</v>
      </c>
      <c r="Q48" s="39">
        <v>0.4040321509</v>
      </c>
      <c r="R48" s="39">
        <v>0.43951684089999998</v>
      </c>
      <c r="S48" s="39">
        <v>0.49987786109999999</v>
      </c>
      <c r="T48" s="39">
        <v>0.54906410029999997</v>
      </c>
      <c r="U48" s="39">
        <v>0.63151338840000004</v>
      </c>
      <c r="V48" s="39">
        <v>0.72269109340000004</v>
      </c>
      <c r="W48" s="39">
        <v>0.81891646139999996</v>
      </c>
      <c r="X48" s="39">
        <v>0.87069429040000001</v>
      </c>
      <c r="Y48" s="39">
        <v>0.94780489479999996</v>
      </c>
      <c r="Z48" s="39">
        <v>1.0329879689999999</v>
      </c>
      <c r="AA48" s="39">
        <v>1.1200683890000001</v>
      </c>
      <c r="AB48" s="39">
        <v>1.2061386919999999</v>
      </c>
      <c r="AC48" s="39">
        <v>1.257802141</v>
      </c>
      <c r="AD48" s="39">
        <v>1.3271404060000001</v>
      </c>
      <c r="AE48" s="39">
        <v>1.3958399699999999</v>
      </c>
      <c r="AF48" s="39">
        <v>1.4626603540000001</v>
      </c>
      <c r="AG48" s="39">
        <v>1.526353874</v>
      </c>
      <c r="AH48" s="39">
        <v>1.5651656890000001</v>
      </c>
      <c r="AI48" s="39">
        <v>1.6147332480000001</v>
      </c>
      <c r="AJ48" s="39">
        <v>1.6674054060000001</v>
      </c>
      <c r="AK48" s="39">
        <v>1.7201380669999999</v>
      </c>
      <c r="AL48" s="39">
        <v>1.7718224199999999</v>
      </c>
      <c r="AM48" s="39">
        <v>1.8220106890000001</v>
      </c>
      <c r="AN48">
        <v>1.866189503</v>
      </c>
      <c r="AO48">
        <v>1.9073469869999999</v>
      </c>
      <c r="AP48">
        <v>1.946805621</v>
      </c>
      <c r="AQ48">
        <v>1.985218999</v>
      </c>
      <c r="AR48">
        <v>2.0059947249999999</v>
      </c>
      <c r="AS48">
        <v>2.0334173170000001</v>
      </c>
      <c r="AT48">
        <v>2.063623212</v>
      </c>
      <c r="AU48">
        <v>2.0949462680000002</v>
      </c>
      <c r="AV48">
        <v>2.1266146699999999</v>
      </c>
      <c r="AW48">
        <v>2.1582558920000001</v>
      </c>
    </row>
    <row r="49" spans="2:99" x14ac:dyDescent="0.25">
      <c r="B49" t="s">
        <v>149</v>
      </c>
      <c r="C49">
        <v>2298.5980133353301</v>
      </c>
      <c r="D49">
        <v>2335.5027479420201</v>
      </c>
      <c r="E49">
        <v>2373</v>
      </c>
      <c r="F49" s="39">
        <v>2446.6775899999998</v>
      </c>
      <c r="G49" s="39">
        <v>2424.2765530000001</v>
      </c>
      <c r="H49">
        <v>2660.3639440000002</v>
      </c>
      <c r="I49">
        <v>2598.8489709999999</v>
      </c>
      <c r="J49">
        <v>2542.822412</v>
      </c>
      <c r="K49" s="39">
        <v>2194.0678939999998</v>
      </c>
      <c r="L49" s="39">
        <v>2073.8249529999998</v>
      </c>
      <c r="M49" s="39">
        <v>2079.3430400000002</v>
      </c>
      <c r="N49" s="39">
        <v>1940.3869999999999</v>
      </c>
      <c r="O49" s="39">
        <v>2042.316</v>
      </c>
      <c r="P49" s="39">
        <v>2141.6280000000002</v>
      </c>
      <c r="Q49" s="39">
        <v>2203.7420000000002</v>
      </c>
      <c r="R49" s="39">
        <v>2240.3020000000001</v>
      </c>
      <c r="S49" s="39">
        <v>2209.8250010000002</v>
      </c>
      <c r="T49" s="39">
        <v>2086.423198</v>
      </c>
      <c r="U49" s="39">
        <v>2201.002356</v>
      </c>
      <c r="V49" s="39">
        <v>2170.0519159999999</v>
      </c>
      <c r="W49" s="39">
        <v>2277.1010689999998</v>
      </c>
      <c r="X49" s="39">
        <v>1534.378168</v>
      </c>
      <c r="Y49" s="39">
        <v>2055.8967360000001</v>
      </c>
      <c r="Z49" s="39">
        <v>2259.7768550000001</v>
      </c>
      <c r="AA49" s="39">
        <v>2347.9236230000001</v>
      </c>
      <c r="AB49" s="39">
        <v>2389.949623</v>
      </c>
      <c r="AC49" s="39">
        <v>1875.450765</v>
      </c>
      <c r="AD49" s="39">
        <v>2245.3221100000001</v>
      </c>
      <c r="AE49" s="39">
        <v>2303.9784169999998</v>
      </c>
      <c r="AF49" s="39">
        <v>2337.5493970000002</v>
      </c>
      <c r="AG49" s="39">
        <v>2360.0341410000001</v>
      </c>
      <c r="AH49" s="39">
        <v>1986.6938540000001</v>
      </c>
      <c r="AI49" s="39">
        <v>2217.9828470000002</v>
      </c>
      <c r="AJ49" s="39">
        <v>2328.1880540000002</v>
      </c>
      <c r="AK49" s="39">
        <v>2378.0812810000002</v>
      </c>
      <c r="AL49" s="39">
        <v>2409.0883920000001</v>
      </c>
      <c r="AM49" s="39">
        <v>2433.4768949999998</v>
      </c>
      <c r="AN49">
        <v>2367.8798879999999</v>
      </c>
      <c r="AO49">
        <v>2347.4261999999999</v>
      </c>
      <c r="AP49">
        <v>2347.555754</v>
      </c>
      <c r="AQ49">
        <v>2354.5416049999999</v>
      </c>
      <c r="AR49">
        <v>2094.100062</v>
      </c>
      <c r="AS49">
        <v>2207.3653880000002</v>
      </c>
      <c r="AT49">
        <v>2259.350171</v>
      </c>
      <c r="AU49">
        <v>2283.5895529999998</v>
      </c>
      <c r="AV49">
        <v>2296.95516</v>
      </c>
      <c r="AW49">
        <v>2306.0606469999998</v>
      </c>
    </row>
    <row r="50" spans="2:99" x14ac:dyDescent="0.25">
      <c r="B50" t="s">
        <v>150</v>
      </c>
      <c r="C50">
        <v>2297.4487143286601</v>
      </c>
      <c r="D50">
        <v>2334.33499656805</v>
      </c>
      <c r="E50">
        <v>2371.8135000000002</v>
      </c>
      <c r="F50" s="39">
        <v>2444.7587859999999</v>
      </c>
      <c r="G50" s="39">
        <v>2420.869346</v>
      </c>
      <c r="H50">
        <v>2654.8644300000001</v>
      </c>
      <c r="I50">
        <v>2591.2045509999998</v>
      </c>
      <c r="J50">
        <v>2532.2801920000002</v>
      </c>
      <c r="K50" s="39">
        <v>2181.2488450000001</v>
      </c>
      <c r="L50" s="39">
        <v>2057.3465000000001</v>
      </c>
      <c r="M50" s="39">
        <v>2057.4495489999999</v>
      </c>
      <c r="N50" s="39">
        <v>1913.657125</v>
      </c>
      <c r="O50" s="39">
        <v>2005.78424</v>
      </c>
      <c r="P50" s="39">
        <v>2092.0352400000002</v>
      </c>
      <c r="Q50" s="39">
        <v>2137.8891279999998</v>
      </c>
      <c r="R50" s="39">
        <v>2154.497124</v>
      </c>
      <c r="S50" s="39">
        <v>2102.1340230000001</v>
      </c>
      <c r="T50" s="39">
        <v>1958.1808100000001</v>
      </c>
      <c r="U50" s="39">
        <v>2031.884084</v>
      </c>
      <c r="V50" s="39">
        <v>1963.7399989999999</v>
      </c>
      <c r="W50" s="39">
        <v>2012.2631550000001</v>
      </c>
      <c r="X50" s="39">
        <v>1318.8388070000001</v>
      </c>
      <c r="Y50" s="39">
        <v>1711.9015429999999</v>
      </c>
      <c r="Z50" s="39">
        <v>1815.9861980000001</v>
      </c>
      <c r="AA50" s="39">
        <v>1814.8367000000001</v>
      </c>
      <c r="AB50" s="39">
        <v>1771.9479650000001</v>
      </c>
      <c r="AC50" s="39">
        <v>1331.0484280000001</v>
      </c>
      <c r="AD50" s="39">
        <v>1523.484254</v>
      </c>
      <c r="AE50" s="39">
        <v>1493.7025530000001</v>
      </c>
      <c r="AF50" s="39">
        <v>1448.0975430000001</v>
      </c>
      <c r="AG50" s="39">
        <v>1397.8193960000001</v>
      </c>
      <c r="AH50" s="39">
        <v>1126.074212</v>
      </c>
      <c r="AI50" s="39">
        <v>1204.542273</v>
      </c>
      <c r="AJ50" s="39">
        <v>1213.135957</v>
      </c>
      <c r="AK50" s="39">
        <v>1190.6580939999999</v>
      </c>
      <c r="AL50" s="39">
        <v>1160.7576369999999</v>
      </c>
      <c r="AM50" s="39">
        <v>1130.067278</v>
      </c>
      <c r="AN50" s="39">
        <v>1061.3834280000001</v>
      </c>
      <c r="AO50" s="39">
        <v>1017.108464</v>
      </c>
      <c r="AP50" s="39">
        <v>984.59130889999994</v>
      </c>
      <c r="AQ50" s="39">
        <v>957.1613112</v>
      </c>
      <c r="AR50" s="39">
        <v>826.15185740000004</v>
      </c>
      <c r="AS50" s="39">
        <v>846.1262653</v>
      </c>
      <c r="AT50" s="39">
        <v>842.42073530000005</v>
      </c>
      <c r="AU50" s="39">
        <v>829.09883539999998</v>
      </c>
      <c r="AV50">
        <v>812.85923119999995</v>
      </c>
      <c r="AW50" s="39">
        <v>796.18665139999996</v>
      </c>
    </row>
    <row r="51" spans="2:99" x14ac:dyDescent="0.25">
      <c r="B51" t="s">
        <v>151</v>
      </c>
      <c r="C51">
        <v>1.1492990066676601</v>
      </c>
      <c r="D51">
        <v>1.1677513739710099</v>
      </c>
      <c r="E51">
        <v>1.1865000000000001</v>
      </c>
      <c r="F51" s="39">
        <v>2.2593323920000001</v>
      </c>
      <c r="G51" s="39">
        <v>31.030818549999999</v>
      </c>
      <c r="H51">
        <v>35.447572460000004</v>
      </c>
      <c r="I51">
        <v>39.17239326</v>
      </c>
      <c r="J51">
        <v>53.399455439999997</v>
      </c>
      <c r="K51" s="39">
        <v>52.141775619999997</v>
      </c>
      <c r="L51" s="39">
        <v>49.306247890000002</v>
      </c>
      <c r="M51" s="39">
        <v>48.958682000000003</v>
      </c>
      <c r="N51" s="39">
        <v>35.134485320000003</v>
      </c>
      <c r="O51" s="39">
        <v>32.211585249999999</v>
      </c>
      <c r="P51" s="39">
        <v>25.469701820000001</v>
      </c>
      <c r="Q51" s="39">
        <v>44.180272860000002</v>
      </c>
      <c r="R51" s="39">
        <v>48.922379020000001</v>
      </c>
      <c r="S51" s="39">
        <v>72.506147720000001</v>
      </c>
      <c r="T51" s="39">
        <v>65.316213989999994</v>
      </c>
      <c r="U51" s="39">
        <v>99.605461509999998</v>
      </c>
      <c r="V51" s="39">
        <v>113.2182282</v>
      </c>
      <c r="W51" s="39">
        <v>122.4221254</v>
      </c>
      <c r="X51" s="39">
        <v>88.217734289999996</v>
      </c>
      <c r="Y51" s="39">
        <v>113.2623784</v>
      </c>
      <c r="Z51" s="39">
        <v>124.4016944</v>
      </c>
      <c r="AA51" s="39">
        <v>130.5148279</v>
      </c>
      <c r="AB51" s="39">
        <v>134.16112570000001</v>
      </c>
      <c r="AC51" s="39">
        <v>108.2705187</v>
      </c>
      <c r="AD51" s="39">
        <v>126.5674156</v>
      </c>
      <c r="AE51" s="39">
        <v>129.6169878</v>
      </c>
      <c r="AF51" s="39">
        <v>131.53833</v>
      </c>
      <c r="AG51" s="39">
        <v>132.25867729999999</v>
      </c>
      <c r="AH51" s="39">
        <v>113.60330159999999</v>
      </c>
      <c r="AI51" s="39">
        <v>125.12839889999999</v>
      </c>
      <c r="AJ51" s="39">
        <v>130.45480649999999</v>
      </c>
      <c r="AK51" s="39">
        <v>133.25439940000001</v>
      </c>
      <c r="AL51" s="39">
        <v>135.07724099999999</v>
      </c>
      <c r="AM51" s="39">
        <v>136.44943000000001</v>
      </c>
      <c r="AN51" s="39">
        <v>134.317646</v>
      </c>
      <c r="AO51" s="39">
        <v>134.54719639999999</v>
      </c>
      <c r="AP51" s="39">
        <v>135.81963339999999</v>
      </c>
      <c r="AQ51" s="39">
        <v>137.6124251</v>
      </c>
      <c r="AR51" s="39">
        <v>124.7165435</v>
      </c>
      <c r="AS51" s="39">
        <v>132.36632</v>
      </c>
      <c r="AT51" s="39">
        <v>136.98380449999999</v>
      </c>
      <c r="AU51" s="39">
        <v>140.30717749999999</v>
      </c>
      <c r="AV51">
        <v>143.03844910000001</v>
      </c>
      <c r="AW51" s="39">
        <v>145.48954140000001</v>
      </c>
    </row>
    <row r="52" spans="2:99" x14ac:dyDescent="0.25">
      <c r="B52" t="s">
        <v>152</v>
      </c>
      <c r="C52">
        <v>413.74764240035898</v>
      </c>
      <c r="D52">
        <v>420.39049462956399</v>
      </c>
      <c r="E52">
        <v>427.14</v>
      </c>
      <c r="F52" s="39">
        <v>439.57208650000001</v>
      </c>
      <c r="G52" s="39">
        <v>446.1260115</v>
      </c>
      <c r="H52">
        <v>496.31228160000001</v>
      </c>
      <c r="I52">
        <v>483.5077594</v>
      </c>
      <c r="J52">
        <v>476.02772820000001</v>
      </c>
      <c r="K52" s="39">
        <v>409.91092359999999</v>
      </c>
      <c r="L52" s="39">
        <v>387.19088379999999</v>
      </c>
      <c r="M52" s="39">
        <v>388.6416304</v>
      </c>
      <c r="N52" s="39">
        <v>364.61765150000002</v>
      </c>
      <c r="O52" s="39">
        <v>382.53283640000001</v>
      </c>
      <c r="P52" s="39">
        <v>393.2887331</v>
      </c>
      <c r="Q52" s="39">
        <v>408.52321089999998</v>
      </c>
      <c r="R52" s="39">
        <v>414.20101019999998</v>
      </c>
      <c r="S52" s="39">
        <v>420.0201442</v>
      </c>
      <c r="T52" s="39">
        <v>386.41733369999997</v>
      </c>
      <c r="U52" s="39">
        <v>419.42797940000003</v>
      </c>
      <c r="V52" s="39">
        <v>412.53971039999999</v>
      </c>
      <c r="W52" s="39">
        <v>425.11056259999998</v>
      </c>
      <c r="X52" s="39">
        <v>281.72377390000003</v>
      </c>
      <c r="Y52" s="39">
        <v>365.02324119999997</v>
      </c>
      <c r="Z52" s="39">
        <v>388.30413069999997</v>
      </c>
      <c r="AA52" s="39">
        <v>389.85229240000001</v>
      </c>
      <c r="AB52" s="39">
        <v>382.55567839999998</v>
      </c>
      <c r="AC52" s="39">
        <v>289.65369029999999</v>
      </c>
      <c r="AD52" s="39">
        <v>331.81328710000003</v>
      </c>
      <c r="AE52" s="39">
        <v>326.45281619999997</v>
      </c>
      <c r="AF52" s="39">
        <v>317.70710179999998</v>
      </c>
      <c r="AG52" s="39">
        <v>307.61206650000003</v>
      </c>
      <c r="AH52" s="39">
        <v>249.2724905</v>
      </c>
      <c r="AI52" s="39">
        <v>267.10581070000001</v>
      </c>
      <c r="AJ52" s="39">
        <v>269.71228989999997</v>
      </c>
      <c r="AK52" s="39">
        <v>265.62041449999998</v>
      </c>
      <c r="AL52" s="39">
        <v>259.80236559999997</v>
      </c>
      <c r="AM52" s="39">
        <v>253.68726509999999</v>
      </c>
      <c r="AN52" s="39">
        <v>239.1385803</v>
      </c>
      <c r="AO52" s="39">
        <v>229.89050520000001</v>
      </c>
      <c r="AP52" s="39">
        <v>223.13681750000001</v>
      </c>
      <c r="AQ52" s="39">
        <v>217.4533079</v>
      </c>
      <c r="AR52" s="39">
        <v>188.31664359999999</v>
      </c>
      <c r="AS52" s="39">
        <v>192.97678869999999</v>
      </c>
      <c r="AT52" s="39">
        <v>192.2613642</v>
      </c>
      <c r="AU52" s="39">
        <v>189.32342879999999</v>
      </c>
      <c r="AV52">
        <v>185.63931310000001</v>
      </c>
      <c r="AW52" s="39">
        <v>181.7659318</v>
      </c>
    </row>
    <row r="53" spans="2:99" x14ac:dyDescent="0.25">
      <c r="B53" t="s">
        <v>153</v>
      </c>
      <c r="C53">
        <v>652.80183578723302</v>
      </c>
      <c r="D53">
        <v>663.28278041553403</v>
      </c>
      <c r="E53">
        <v>673.93200000000002</v>
      </c>
      <c r="F53" s="39">
        <v>694.1929318</v>
      </c>
      <c r="G53" s="39">
        <v>683.91682019999996</v>
      </c>
      <c r="H53">
        <v>752.88427669999999</v>
      </c>
      <c r="I53">
        <v>733.96165080000003</v>
      </c>
      <c r="J53">
        <v>717.06867950000003</v>
      </c>
      <c r="K53" s="39">
        <v>616.92163259999995</v>
      </c>
      <c r="L53" s="39">
        <v>581.95622130000004</v>
      </c>
      <c r="M53" s="39">
        <v>582.59543010000004</v>
      </c>
      <c r="N53" s="39">
        <v>554.21965409999996</v>
      </c>
      <c r="O53" s="39">
        <v>581.74757469999997</v>
      </c>
      <c r="P53" s="39">
        <v>606.02379440000004</v>
      </c>
      <c r="Q53" s="39">
        <v>620.21962780000001</v>
      </c>
      <c r="R53" s="39">
        <v>626.91723049999996</v>
      </c>
      <c r="S53" s="39">
        <v>619.59228240000004</v>
      </c>
      <c r="T53" s="39">
        <v>575.96798839999997</v>
      </c>
      <c r="U53" s="39">
        <v>603.16522350000002</v>
      </c>
      <c r="V53" s="39">
        <v>582.27266429999997</v>
      </c>
      <c r="W53" s="39">
        <v>596.19369210000002</v>
      </c>
      <c r="X53" s="39">
        <v>390.11971770000002</v>
      </c>
      <c r="Y53" s="39">
        <v>506.43965379999997</v>
      </c>
      <c r="Z53" s="39">
        <v>536.68526280000003</v>
      </c>
      <c r="AA53" s="39">
        <v>535.58216789999994</v>
      </c>
      <c r="AB53" s="39">
        <v>522.03656530000001</v>
      </c>
      <c r="AC53" s="39">
        <v>391.12044630000003</v>
      </c>
      <c r="AD53" s="39">
        <v>447.14953850000001</v>
      </c>
      <c r="AE53" s="39">
        <v>437.44418969999998</v>
      </c>
      <c r="AF53" s="39">
        <v>423.02965569999998</v>
      </c>
      <c r="AG53" s="39">
        <v>407.31835109999997</v>
      </c>
      <c r="AH53" s="39">
        <v>326.75285550000001</v>
      </c>
      <c r="AI53" s="39">
        <v>348.73213440000001</v>
      </c>
      <c r="AJ53" s="39">
        <v>350.25289120000002</v>
      </c>
      <c r="AK53" s="39">
        <v>342.60479570000001</v>
      </c>
      <c r="AL53" s="39">
        <v>332.80712440000002</v>
      </c>
      <c r="AM53" s="39">
        <v>322.82029410000001</v>
      </c>
      <c r="AN53" s="39">
        <v>301.65927799999997</v>
      </c>
      <c r="AO53" s="39">
        <v>287.55297339999998</v>
      </c>
      <c r="AP53" s="39">
        <v>276.84666499999997</v>
      </c>
      <c r="AQ53" s="39">
        <v>267.56779779999999</v>
      </c>
      <c r="AR53" s="39">
        <v>229.22150379999999</v>
      </c>
      <c r="AS53" s="39">
        <v>233.36510329999999</v>
      </c>
      <c r="AT53" s="39">
        <v>230.74041740000001</v>
      </c>
      <c r="AU53" s="39">
        <v>225.3577358</v>
      </c>
      <c r="AV53">
        <v>219.17250519999999</v>
      </c>
      <c r="AW53" s="39">
        <v>212.8997937</v>
      </c>
    </row>
    <row r="54" spans="2:99" x14ac:dyDescent="0.25">
      <c r="B54" t="s">
        <v>154</v>
      </c>
      <c r="C54">
        <v>643.60744373389196</v>
      </c>
      <c r="D54">
        <v>653.94076942376603</v>
      </c>
      <c r="E54">
        <v>664.44</v>
      </c>
      <c r="F54" s="39">
        <v>684.51763800000003</v>
      </c>
      <c r="G54" s="39">
        <v>672.96069829999999</v>
      </c>
      <c r="H54">
        <v>738.8949748</v>
      </c>
      <c r="I54">
        <v>720.0839995</v>
      </c>
      <c r="J54">
        <v>701.06545319999998</v>
      </c>
      <c r="K54" s="39">
        <v>602.55568659999994</v>
      </c>
      <c r="L54" s="39">
        <v>568.17861930000004</v>
      </c>
      <c r="M54" s="39">
        <v>568.46798520000004</v>
      </c>
      <c r="N54" s="39">
        <v>532.25210219999997</v>
      </c>
      <c r="O54" s="39">
        <v>559.50884080000003</v>
      </c>
      <c r="P54" s="39">
        <v>585.69183050000004</v>
      </c>
      <c r="Q54" s="39">
        <v>592.46851849999996</v>
      </c>
      <c r="R54" s="39">
        <v>600.56147420000002</v>
      </c>
      <c r="S54" s="39">
        <v>580.77849860000003</v>
      </c>
      <c r="T54" s="39">
        <v>553.63167659999999</v>
      </c>
      <c r="U54" s="39">
        <v>569.30733480000004</v>
      </c>
      <c r="V54" s="39">
        <v>544.42395499999998</v>
      </c>
      <c r="W54" s="39">
        <v>555.58308250000005</v>
      </c>
      <c r="X54" s="39">
        <v>361.14554099999998</v>
      </c>
      <c r="Y54" s="39">
        <v>469.27650779999999</v>
      </c>
      <c r="Z54" s="39">
        <v>496.24045949999999</v>
      </c>
      <c r="AA54" s="39">
        <v>493.5800102</v>
      </c>
      <c r="AB54" s="39">
        <v>479.31409639999998</v>
      </c>
      <c r="AC54" s="39">
        <v>357.04643679999998</v>
      </c>
      <c r="AD54" s="39">
        <v>407.67790380000002</v>
      </c>
      <c r="AE54" s="39">
        <v>397.52429719999998</v>
      </c>
      <c r="AF54" s="39">
        <v>383.01953689999999</v>
      </c>
      <c r="AG54" s="39">
        <v>367.5925704</v>
      </c>
      <c r="AH54" s="39">
        <v>293.18229600000001</v>
      </c>
      <c r="AI54" s="39">
        <v>312.14956189999998</v>
      </c>
      <c r="AJ54" s="39">
        <v>312.52598999999998</v>
      </c>
      <c r="AK54" s="39">
        <v>304.50475669999997</v>
      </c>
      <c r="AL54" s="39">
        <v>294.6264122</v>
      </c>
      <c r="AM54" s="39">
        <v>284.68983009999999</v>
      </c>
      <c r="AN54" s="39">
        <v>264.69137699999999</v>
      </c>
      <c r="AO54" s="39">
        <v>251.08848130000001</v>
      </c>
      <c r="AP54" s="39">
        <v>240.61192310000001</v>
      </c>
      <c r="AQ54" s="39">
        <v>231.4478435</v>
      </c>
      <c r="AR54" s="39">
        <v>197.08476830000001</v>
      </c>
      <c r="AS54" s="39">
        <v>199.88432370000001</v>
      </c>
      <c r="AT54" s="39">
        <v>196.7809092</v>
      </c>
      <c r="AU54" s="39">
        <v>191.30806269999999</v>
      </c>
      <c r="AV54">
        <v>185.21730550000001</v>
      </c>
      <c r="AW54" s="39">
        <v>179.1369143</v>
      </c>
    </row>
    <row r="55" spans="2:99" x14ac:dyDescent="0.25">
      <c r="B55" t="s">
        <v>155</v>
      </c>
      <c r="C55">
        <v>413.74764240035898</v>
      </c>
      <c r="D55">
        <v>420.39049462956399</v>
      </c>
      <c r="E55">
        <v>427.14</v>
      </c>
      <c r="F55" s="39">
        <v>440.39489680000003</v>
      </c>
      <c r="G55" s="39">
        <v>424.67025519999999</v>
      </c>
      <c r="H55">
        <v>461.71424350000001</v>
      </c>
      <c r="I55">
        <v>449.97251349999999</v>
      </c>
      <c r="J55">
        <v>434.08169570000001</v>
      </c>
      <c r="K55" s="39">
        <v>372.40211820000002</v>
      </c>
      <c r="L55" s="39">
        <v>355.94600759999997</v>
      </c>
      <c r="M55" s="39">
        <v>355.34291159999998</v>
      </c>
      <c r="N55" s="39">
        <v>324.22135350000002</v>
      </c>
      <c r="O55" s="39">
        <v>341.86159120000002</v>
      </c>
      <c r="P55" s="39">
        <v>355.62000799999998</v>
      </c>
      <c r="Q55" s="39">
        <v>353.5255654</v>
      </c>
      <c r="R55" s="39">
        <v>351.79220700000002</v>
      </c>
      <c r="S55" s="39">
        <v>320.49410319999998</v>
      </c>
      <c r="T55" s="39">
        <v>319.92027100000001</v>
      </c>
      <c r="U55" s="39">
        <v>300.7715895</v>
      </c>
      <c r="V55" s="39">
        <v>279.0740437</v>
      </c>
      <c r="W55" s="39">
        <v>281.8762084</v>
      </c>
      <c r="X55" s="39">
        <v>179.55776520000001</v>
      </c>
      <c r="Y55" s="39">
        <v>234.02238149999999</v>
      </c>
      <c r="Z55" s="39">
        <v>245.95539629999999</v>
      </c>
      <c r="AA55" s="39">
        <v>242.3054066</v>
      </c>
      <c r="AB55" s="39">
        <v>232.83244339999999</v>
      </c>
      <c r="AC55" s="39">
        <v>170.65241879999999</v>
      </c>
      <c r="AD55" s="39">
        <v>194.24092630000001</v>
      </c>
      <c r="AE55" s="39">
        <v>187.7846907</v>
      </c>
      <c r="AF55" s="39">
        <v>179.2305259</v>
      </c>
      <c r="AG55" s="39">
        <v>170.61727719999999</v>
      </c>
      <c r="AH55" s="39">
        <v>134.1482201</v>
      </c>
      <c r="AI55" s="39">
        <v>142.03633400000001</v>
      </c>
      <c r="AJ55" s="39">
        <v>141.18116989999999</v>
      </c>
      <c r="AK55" s="39">
        <v>136.34073380000001</v>
      </c>
      <c r="AL55" s="39">
        <v>130.7795424</v>
      </c>
      <c r="AM55" s="39">
        <v>125.35383090000001</v>
      </c>
      <c r="AN55" s="39">
        <v>115.3790185</v>
      </c>
      <c r="AO55" s="39">
        <v>108.4519765</v>
      </c>
      <c r="AP55" s="39">
        <v>103.0766813</v>
      </c>
      <c r="AQ55" s="39">
        <v>98.384778080000004</v>
      </c>
      <c r="AR55" s="39">
        <v>83.010582940000006</v>
      </c>
      <c r="AS55" s="39">
        <v>83.783594160000007</v>
      </c>
      <c r="AT55" s="39">
        <v>82.066287959999997</v>
      </c>
      <c r="AU55" s="39">
        <v>79.405748410000001</v>
      </c>
      <c r="AV55">
        <v>76.575604549999994</v>
      </c>
      <c r="AW55" s="39">
        <v>73.838789980000001</v>
      </c>
    </row>
    <row r="56" spans="2:99" x14ac:dyDescent="0.25">
      <c r="B56" t="s">
        <v>156</v>
      </c>
      <c r="C56">
        <v>137.915880800119</v>
      </c>
      <c r="D56">
        <v>140.13016487652101</v>
      </c>
      <c r="E56">
        <v>142.38</v>
      </c>
      <c r="F56" s="39">
        <v>147.16249869999999</v>
      </c>
      <c r="G56" s="39">
        <v>133.60343839999999</v>
      </c>
      <c r="H56">
        <v>140.7802724</v>
      </c>
      <c r="I56">
        <v>137.1976794</v>
      </c>
      <c r="J56">
        <v>128.43932839999999</v>
      </c>
      <c r="K56" s="39">
        <v>109.50174079999999</v>
      </c>
      <c r="L56" s="39">
        <v>101.5655241</v>
      </c>
      <c r="M56" s="39">
        <v>100.5746879</v>
      </c>
      <c r="N56" s="39">
        <v>88.266986189999997</v>
      </c>
      <c r="O56" s="39">
        <v>92.747900479999998</v>
      </c>
      <c r="P56" s="39">
        <v>104.8830356</v>
      </c>
      <c r="Q56" s="39">
        <v>101.3118142</v>
      </c>
      <c r="R56" s="39">
        <v>97.94161278</v>
      </c>
      <c r="S56" s="39">
        <v>79.588241620000005</v>
      </c>
      <c r="T56" s="39">
        <v>54.243884540000003</v>
      </c>
      <c r="U56" s="39">
        <v>39.606495299999999</v>
      </c>
      <c r="V56" s="39">
        <v>32.211397349999999</v>
      </c>
      <c r="W56" s="39">
        <v>31.07748393</v>
      </c>
      <c r="X56" s="39">
        <v>18.07427143</v>
      </c>
      <c r="Y56" s="39">
        <v>23.877379340000001</v>
      </c>
      <c r="Z56" s="39">
        <v>24.39925388</v>
      </c>
      <c r="AA56" s="39">
        <v>23.001994910000001</v>
      </c>
      <c r="AB56" s="39">
        <v>21.04805571</v>
      </c>
      <c r="AC56" s="39">
        <v>14.30491743</v>
      </c>
      <c r="AD56" s="39">
        <v>16.035183379999999</v>
      </c>
      <c r="AE56" s="39">
        <v>14.879571390000001</v>
      </c>
      <c r="AF56" s="39">
        <v>13.57239249</v>
      </c>
      <c r="AG56" s="39">
        <v>12.42045319</v>
      </c>
      <c r="AH56" s="39">
        <v>9.1150488329999995</v>
      </c>
      <c r="AI56" s="39">
        <v>9.3900325109999905</v>
      </c>
      <c r="AJ56" s="39">
        <v>9.0088091339999998</v>
      </c>
      <c r="AK56" s="39">
        <v>8.3329942189999997</v>
      </c>
      <c r="AL56" s="39">
        <v>7.664951576</v>
      </c>
      <c r="AM56" s="39">
        <v>7.0666276789999998</v>
      </c>
      <c r="AN56" s="39">
        <v>6.1975282829999996</v>
      </c>
      <c r="AO56" s="39">
        <v>5.5773314520000001</v>
      </c>
      <c r="AP56" s="39">
        <v>5.0995886439999998</v>
      </c>
      <c r="AQ56" s="39">
        <v>4.6951588400000004</v>
      </c>
      <c r="AR56" s="39">
        <v>3.801815269</v>
      </c>
      <c r="AS56" s="39">
        <v>3.7501353640000001</v>
      </c>
      <c r="AT56" s="39">
        <v>3.5879519480000002</v>
      </c>
      <c r="AU56" s="39">
        <v>3.3966821189999998</v>
      </c>
      <c r="AV56" s="39">
        <v>3.216053713</v>
      </c>
      <c r="AW56" s="39">
        <v>3.0556802439999999</v>
      </c>
    </row>
    <row r="57" spans="2:99" x14ac:dyDescent="0.25">
      <c r="B57" t="s">
        <v>157</v>
      </c>
      <c r="C57">
        <v>34.478970200029899</v>
      </c>
      <c r="D57">
        <v>35.032541219130302</v>
      </c>
      <c r="E57">
        <v>35.594999999999999</v>
      </c>
      <c r="F57" s="39">
        <v>36.659401680000002</v>
      </c>
      <c r="G57" s="39">
        <v>28.56130361</v>
      </c>
      <c r="H57">
        <v>28.83080863</v>
      </c>
      <c r="I57">
        <v>27.308555500000001</v>
      </c>
      <c r="J57">
        <v>22.197851660000001</v>
      </c>
      <c r="K57" s="39">
        <v>17.81496812</v>
      </c>
      <c r="L57" s="39">
        <v>13.202996410000001</v>
      </c>
      <c r="M57" s="39">
        <v>12.86822156</v>
      </c>
      <c r="N57" s="39">
        <v>14.94489276</v>
      </c>
      <c r="O57" s="39">
        <v>15.17391155</v>
      </c>
      <c r="P57" s="39">
        <v>21.058136730000001</v>
      </c>
      <c r="Q57" s="39">
        <v>17.660118570000002</v>
      </c>
      <c r="R57" s="39">
        <v>14.161210069999999</v>
      </c>
      <c r="S57" s="39">
        <v>9.1546052109999998</v>
      </c>
      <c r="T57" s="39">
        <v>2.6834415040000001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0</v>
      </c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v>0</v>
      </c>
      <c r="AI57" s="39">
        <v>0</v>
      </c>
      <c r="AJ57" s="39">
        <v>0</v>
      </c>
      <c r="AK57" s="39">
        <v>0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>
        <v>0</v>
      </c>
      <c r="AS57">
        <v>0</v>
      </c>
      <c r="AT57">
        <v>0</v>
      </c>
      <c r="AU57">
        <v>0</v>
      </c>
      <c r="AV57" s="39">
        <v>0</v>
      </c>
      <c r="AW57" s="39">
        <v>0</v>
      </c>
      <c r="CT57" s="39"/>
      <c r="CU57" s="39"/>
    </row>
    <row r="58" spans="2:99" x14ac:dyDescent="0.25">
      <c r="B58" t="s">
        <v>158</v>
      </c>
      <c r="C58">
        <v>1.1492990066676601</v>
      </c>
      <c r="D58">
        <v>1.1677513739710099</v>
      </c>
      <c r="E58">
        <v>1.1865000000000001</v>
      </c>
      <c r="F58" s="39">
        <v>1.918804285</v>
      </c>
      <c r="G58" s="39">
        <v>3.4072075320000001</v>
      </c>
      <c r="H58">
        <v>5.4995136640000002</v>
      </c>
      <c r="I58">
        <v>7.6444193030000003</v>
      </c>
      <c r="J58">
        <v>10.54221948</v>
      </c>
      <c r="K58" s="39">
        <v>12.81904888</v>
      </c>
      <c r="L58" s="39">
        <v>16.478452910000001</v>
      </c>
      <c r="M58" s="39">
        <v>21.893491619999999</v>
      </c>
      <c r="N58" s="39">
        <v>26.729874540000001</v>
      </c>
      <c r="O58" s="39">
        <v>36.531759559999998</v>
      </c>
      <c r="P58" s="39">
        <v>49.592759770000001</v>
      </c>
      <c r="Q58" s="39">
        <v>65.852871870000001</v>
      </c>
      <c r="R58" s="39">
        <v>85.804876140000005</v>
      </c>
      <c r="S58" s="39">
        <v>107.690978</v>
      </c>
      <c r="T58" s="39">
        <v>128.2423881</v>
      </c>
      <c r="U58" s="39">
        <v>169.11827210000001</v>
      </c>
      <c r="V58" s="39">
        <v>206.31191720000001</v>
      </c>
      <c r="W58" s="39">
        <v>264.8379137</v>
      </c>
      <c r="X58" s="39">
        <v>215.5393602</v>
      </c>
      <c r="Y58" s="39">
        <v>343.99519329999998</v>
      </c>
      <c r="Z58" s="39">
        <v>443.79065780000002</v>
      </c>
      <c r="AA58" s="39">
        <v>533.08692329999997</v>
      </c>
      <c r="AB58" s="39">
        <v>618.00165849999996</v>
      </c>
      <c r="AC58" s="39">
        <v>544.40233650000005</v>
      </c>
      <c r="AD58" s="39">
        <v>721.83785660000001</v>
      </c>
      <c r="AE58" s="39">
        <v>810.27586369999995</v>
      </c>
      <c r="AF58" s="39">
        <v>889.45185379999998</v>
      </c>
      <c r="AG58" s="39">
        <v>962.21474539999997</v>
      </c>
      <c r="AH58" s="39">
        <v>860.61964169999999</v>
      </c>
      <c r="AI58" s="39">
        <v>1013.440573</v>
      </c>
      <c r="AJ58" s="39">
        <v>1115.052097</v>
      </c>
      <c r="AK58" s="39">
        <v>1187.4231870000001</v>
      </c>
      <c r="AL58" s="39">
        <v>1248.330755</v>
      </c>
      <c r="AM58" s="39">
        <v>1303.409617</v>
      </c>
      <c r="AN58">
        <v>1306.4964600000001</v>
      </c>
      <c r="AO58">
        <v>1330.317736</v>
      </c>
      <c r="AP58">
        <v>1362.9644450000001</v>
      </c>
      <c r="AQ58">
        <v>1397.380294</v>
      </c>
      <c r="AR58">
        <v>1267.948204</v>
      </c>
      <c r="AS58">
        <v>1361.2391230000001</v>
      </c>
      <c r="AT58">
        <v>1416.9294359999999</v>
      </c>
      <c r="AU58">
        <v>1454.490718</v>
      </c>
      <c r="AV58">
        <v>1484.0959290000001</v>
      </c>
      <c r="AW58">
        <v>1509.8739949999999</v>
      </c>
    </row>
    <row r="59" spans="2:99" x14ac:dyDescent="0.25">
      <c r="B59" t="s">
        <v>159</v>
      </c>
      <c r="C59">
        <v>3.4228836395600501E-3</v>
      </c>
      <c r="D59">
        <v>3.4778391435562701E-3</v>
      </c>
      <c r="E59">
        <v>3.5336769799999999E-3</v>
      </c>
      <c r="F59" s="39">
        <v>4.6106087200000001E-3</v>
      </c>
      <c r="G59" s="39">
        <v>1.07752649E-2</v>
      </c>
      <c r="H59">
        <v>3.4400642100000003E-2</v>
      </c>
      <c r="I59">
        <v>5.5078119100000003E-2</v>
      </c>
      <c r="J59">
        <v>8.3592569000000005E-2</v>
      </c>
      <c r="K59" s="39">
        <v>0.1039893616</v>
      </c>
      <c r="L59" s="39">
        <v>0.14666946319999999</v>
      </c>
      <c r="M59" s="39">
        <v>0.22768230649999999</v>
      </c>
      <c r="N59" s="39">
        <v>0.30599220490000001</v>
      </c>
      <c r="O59" s="39">
        <v>0.44624284870000003</v>
      </c>
      <c r="P59" s="39">
        <v>0.26421785599999997</v>
      </c>
      <c r="Q59" s="39">
        <v>0.42645718869999999</v>
      </c>
      <c r="R59" s="39">
        <v>0.71192787680000003</v>
      </c>
      <c r="S59" s="39">
        <v>1.12867742</v>
      </c>
      <c r="T59" s="39">
        <v>1.675050428</v>
      </c>
      <c r="U59" s="39">
        <v>4.1351391309999999</v>
      </c>
      <c r="V59" s="39">
        <v>6.6985330459999997</v>
      </c>
      <c r="W59" s="39">
        <v>9.1749545910000005</v>
      </c>
      <c r="X59" s="39">
        <v>8.6636927949999905</v>
      </c>
      <c r="Y59" s="39">
        <v>13.55636318</v>
      </c>
      <c r="Z59" s="39">
        <v>18.293251590000001</v>
      </c>
      <c r="AA59" s="39">
        <v>23.250466159999998</v>
      </c>
      <c r="AB59" s="39">
        <v>28.522732040000001</v>
      </c>
      <c r="AC59" s="39">
        <v>27.564045320000002</v>
      </c>
      <c r="AD59" s="39">
        <v>37.075578790000002</v>
      </c>
      <c r="AE59" s="39">
        <v>43.685207609999999</v>
      </c>
      <c r="AF59" s="39">
        <v>50.278192230000002</v>
      </c>
      <c r="AG59" s="39">
        <v>57.051225850000002</v>
      </c>
      <c r="AH59" s="39">
        <v>54.6648061</v>
      </c>
      <c r="AI59" s="39">
        <v>66.006281400000006</v>
      </c>
      <c r="AJ59" s="39">
        <v>75.542367819999996</v>
      </c>
      <c r="AK59" s="39">
        <v>83.994487090000007</v>
      </c>
      <c r="AL59" s="39">
        <v>92.166793330000004</v>
      </c>
      <c r="AM59" s="39">
        <v>100.3162894</v>
      </c>
      <c r="AN59">
        <v>106.0102589</v>
      </c>
      <c r="AO59">
        <v>113.2738319</v>
      </c>
      <c r="AP59">
        <v>121.49141950000001</v>
      </c>
      <c r="AQ59">
        <v>130.1924558</v>
      </c>
      <c r="AR59">
        <v>124.894738</v>
      </c>
      <c r="AS59">
        <v>138.56409339999999</v>
      </c>
      <c r="AT59">
        <v>149.85956350000001</v>
      </c>
      <c r="AU59">
        <v>160.01482619999999</v>
      </c>
      <c r="AV59">
        <v>169.73733150000001</v>
      </c>
      <c r="AW59">
        <v>179.36085120000001</v>
      </c>
    </row>
    <row r="60" spans="2:99" x14ac:dyDescent="0.25">
      <c r="B60" t="s">
        <v>160</v>
      </c>
      <c r="C60">
        <v>7.8463024968376607E-3</v>
      </c>
      <c r="D60">
        <v>7.9722774213828399E-3</v>
      </c>
      <c r="E60">
        <v>8.10027491E-3</v>
      </c>
      <c r="F60" s="39">
        <v>1.23388587E-2</v>
      </c>
      <c r="G60" s="39">
        <v>2.3693197400000001E-2</v>
      </c>
      <c r="H60">
        <v>4.9880066000000001E-2</v>
      </c>
      <c r="I60">
        <v>7.42655433E-2</v>
      </c>
      <c r="J60">
        <v>0.10752689510000001</v>
      </c>
      <c r="K60" s="39">
        <v>0.1323251409</v>
      </c>
      <c r="L60" s="39">
        <v>0.1788206483</v>
      </c>
      <c r="M60" s="39">
        <v>0.25951215859999999</v>
      </c>
      <c r="N60" s="39">
        <v>0.33546905700000001</v>
      </c>
      <c r="O60" s="39">
        <v>0.47706966360000003</v>
      </c>
      <c r="P60" s="39">
        <v>0.41845436060000002</v>
      </c>
      <c r="Q60" s="39">
        <v>0.60716342030000003</v>
      </c>
      <c r="R60" s="39">
        <v>0.89638748899999998</v>
      </c>
      <c r="S60" s="39">
        <v>1.2823267300000001</v>
      </c>
      <c r="T60" s="39">
        <v>1.7464275440000001</v>
      </c>
      <c r="U60" s="39">
        <v>3.544550863</v>
      </c>
      <c r="V60" s="39">
        <v>5.3464766509999997</v>
      </c>
      <c r="W60" s="39">
        <v>7.2110781179999996</v>
      </c>
      <c r="X60" s="39">
        <v>6.5780659520000002</v>
      </c>
      <c r="Y60" s="39">
        <v>10.339848720000001</v>
      </c>
      <c r="Z60" s="39">
        <v>13.80940197</v>
      </c>
      <c r="AA60" s="39">
        <v>17.326061630000002</v>
      </c>
      <c r="AB60" s="39">
        <v>20.981589329999998</v>
      </c>
      <c r="AC60" s="39">
        <v>19.849505820000001</v>
      </c>
      <c r="AD60" s="39">
        <v>26.610657539999998</v>
      </c>
      <c r="AE60" s="39">
        <v>31.0033411</v>
      </c>
      <c r="AF60" s="39">
        <v>35.287901249999997</v>
      </c>
      <c r="AG60" s="39">
        <v>39.589246680000002</v>
      </c>
      <c r="AH60" s="39">
        <v>37.304658230000001</v>
      </c>
      <c r="AI60" s="39">
        <v>44.766009019999998</v>
      </c>
      <c r="AJ60" s="39">
        <v>50.72980544</v>
      </c>
      <c r="AK60" s="39">
        <v>55.78605194</v>
      </c>
      <c r="AL60" s="39">
        <v>60.531182520000002</v>
      </c>
      <c r="AM60" s="39">
        <v>65.152829069999996</v>
      </c>
      <c r="AN60">
        <v>67.852202270000006</v>
      </c>
      <c r="AO60">
        <v>71.507815309999998</v>
      </c>
      <c r="AP60">
        <v>75.661958209999995</v>
      </c>
      <c r="AQ60">
        <v>79.987716349999999</v>
      </c>
      <c r="AR60">
        <v>75.379429970000004</v>
      </c>
      <c r="AS60">
        <v>82.721402499999996</v>
      </c>
      <c r="AT60">
        <v>88.298050750000002</v>
      </c>
      <c r="AU60">
        <v>92.96968991</v>
      </c>
      <c r="AV60">
        <v>97.214541179999998</v>
      </c>
      <c r="AW60">
        <v>101.2428694</v>
      </c>
    </row>
    <row r="61" spans="2:99" x14ac:dyDescent="0.25">
      <c r="B61" t="s">
        <v>161</v>
      </c>
      <c r="C61">
        <v>3.2122446463563603E-2</v>
      </c>
      <c r="D61">
        <v>3.2638182731835802E-2</v>
      </c>
      <c r="E61">
        <v>3.31621993E-2</v>
      </c>
      <c r="F61" s="39">
        <v>5.33060323E-2</v>
      </c>
      <c r="G61" s="39">
        <v>9.5413094899999995E-2</v>
      </c>
      <c r="H61">
        <v>0.1588339355</v>
      </c>
      <c r="I61">
        <v>0.22277554890000001</v>
      </c>
      <c r="J61">
        <v>0.30894819839999998</v>
      </c>
      <c r="K61" s="39">
        <v>0.37625445749999997</v>
      </c>
      <c r="L61" s="39">
        <v>0.48686096600000001</v>
      </c>
      <c r="M61" s="39">
        <v>0.65475557070000001</v>
      </c>
      <c r="N61" s="39">
        <v>0.80597946659999997</v>
      </c>
      <c r="O61" s="39">
        <v>1.108008071</v>
      </c>
      <c r="P61" s="39">
        <v>1.4194814140000001</v>
      </c>
      <c r="Q61" s="39">
        <v>1.9059416119999999</v>
      </c>
      <c r="R61" s="39">
        <v>2.5224043780000001</v>
      </c>
      <c r="S61" s="39">
        <v>3.2227237369999999</v>
      </c>
      <c r="T61" s="39">
        <v>3.9142481359999999</v>
      </c>
      <c r="U61" s="39">
        <v>5.5445657070000003</v>
      </c>
      <c r="V61" s="39">
        <v>7.0170375590000003</v>
      </c>
      <c r="W61" s="39">
        <v>9.0818513460000005</v>
      </c>
      <c r="X61" s="39">
        <v>7.5235176260000003</v>
      </c>
      <c r="Y61" s="39">
        <v>11.98049355</v>
      </c>
      <c r="Z61" s="39">
        <v>15.53391489</v>
      </c>
      <c r="AA61" s="39">
        <v>18.77029507</v>
      </c>
      <c r="AB61" s="39">
        <v>21.878011010000002</v>
      </c>
      <c r="AC61" s="39">
        <v>19.41528499</v>
      </c>
      <c r="AD61" s="39">
        <v>25.767697299999998</v>
      </c>
      <c r="AE61" s="39">
        <v>29.004593620000001</v>
      </c>
      <c r="AF61" s="39">
        <v>31.900649560000002</v>
      </c>
      <c r="AG61" s="39">
        <v>34.548034870000002</v>
      </c>
      <c r="AH61" s="39">
        <v>30.89351319</v>
      </c>
      <c r="AI61" s="39">
        <v>36.354543880000001</v>
      </c>
      <c r="AJ61" s="39">
        <v>39.927595340000003</v>
      </c>
      <c r="AK61" s="39">
        <v>42.38705882</v>
      </c>
      <c r="AL61" s="39">
        <v>44.365689240000002</v>
      </c>
      <c r="AM61" s="39">
        <v>46.061184259999997</v>
      </c>
      <c r="AN61">
        <v>45.73472563</v>
      </c>
      <c r="AO61">
        <v>46.051482059999998</v>
      </c>
      <c r="AP61">
        <v>46.564823400000002</v>
      </c>
      <c r="AQ61">
        <v>47.011097470000003</v>
      </c>
      <c r="AR61">
        <v>41.657785910000001</v>
      </c>
      <c r="AS61">
        <v>43.987817470000003</v>
      </c>
      <c r="AT61">
        <v>44.789312440000003</v>
      </c>
      <c r="AU61" s="39">
        <v>44.78922721</v>
      </c>
      <c r="AV61">
        <v>44.36313835</v>
      </c>
      <c r="AW61">
        <v>43.655011880000004</v>
      </c>
    </row>
    <row r="62" spans="2:99" x14ac:dyDescent="0.25">
      <c r="B62" t="s">
        <v>162</v>
      </c>
      <c r="C62">
        <v>0.75461419315223899</v>
      </c>
      <c r="D62">
        <v>0.76672976811017601</v>
      </c>
      <c r="E62">
        <v>0.77903986250000001</v>
      </c>
      <c r="F62" s="39">
        <v>1.2598570149999999</v>
      </c>
      <c r="G62" s="39">
        <v>2.2371273930000002</v>
      </c>
      <c r="H62">
        <v>3.6107876779999999</v>
      </c>
      <c r="I62">
        <v>5.0189290120000001</v>
      </c>
      <c r="J62">
        <v>6.9130316709999997</v>
      </c>
      <c r="K62" s="39">
        <v>8.4048575309999904</v>
      </c>
      <c r="L62" s="39">
        <v>10.797498409999999</v>
      </c>
      <c r="M62" s="39">
        <v>14.32880482</v>
      </c>
      <c r="N62" s="39">
        <v>17.47961815</v>
      </c>
      <c r="O62" s="39">
        <v>23.87486474</v>
      </c>
      <c r="P62" s="39">
        <v>32.561452860000003</v>
      </c>
      <c r="Q62" s="39">
        <v>43.236455380000002</v>
      </c>
      <c r="R62" s="39">
        <v>56.250163479999998</v>
      </c>
      <c r="S62" s="39">
        <v>70.476843720000005</v>
      </c>
      <c r="T62" s="39">
        <v>83.754670730000001</v>
      </c>
      <c r="U62" s="39">
        <v>109.42729490000001</v>
      </c>
      <c r="V62" s="39">
        <v>132.5898799</v>
      </c>
      <c r="W62" s="39">
        <v>169.8839983</v>
      </c>
      <c r="X62" s="39">
        <v>137.593682</v>
      </c>
      <c r="Y62" s="39">
        <v>219.74751649999999</v>
      </c>
      <c r="Z62" s="39">
        <v>283.04706979999997</v>
      </c>
      <c r="AA62" s="39">
        <v>339.28148759999999</v>
      </c>
      <c r="AB62" s="39">
        <v>392.43888220000002</v>
      </c>
      <c r="AC62" s="39">
        <v>344.3176502</v>
      </c>
      <c r="AD62" s="39">
        <v>456.23939669999999</v>
      </c>
      <c r="AE62" s="39">
        <v>510.95631639999999</v>
      </c>
      <c r="AF62" s="39">
        <v>559.55314180000005</v>
      </c>
      <c r="AG62" s="39">
        <v>603.80068189999997</v>
      </c>
      <c r="AH62" s="39">
        <v>537.95366820000004</v>
      </c>
      <c r="AI62" s="39">
        <v>632.53512130000001</v>
      </c>
      <c r="AJ62" s="39">
        <v>694.26931030000003</v>
      </c>
      <c r="AK62" s="39">
        <v>737.27624549999996</v>
      </c>
      <c r="AL62" s="39">
        <v>772.85559820000003</v>
      </c>
      <c r="AM62" s="39">
        <v>804.58840810000004</v>
      </c>
      <c r="AN62">
        <v>803.32909849999999</v>
      </c>
      <c r="AO62">
        <v>814.88445890000003</v>
      </c>
      <c r="AP62">
        <v>831.7302866</v>
      </c>
      <c r="AQ62">
        <v>849.47057670000004</v>
      </c>
      <c r="AR62">
        <v>766.88151340000002</v>
      </c>
      <c r="AS62">
        <v>820.72298260000002</v>
      </c>
      <c r="AT62">
        <v>851.06377010000006</v>
      </c>
      <c r="AU62">
        <v>870.07940410000003</v>
      </c>
      <c r="AV62">
        <v>884.09541769999998</v>
      </c>
      <c r="AW62">
        <v>895.65380949999997</v>
      </c>
    </row>
    <row r="63" spans="2:99" x14ac:dyDescent="0.25">
      <c r="B63" t="s">
        <v>163</v>
      </c>
      <c r="C63">
        <v>0.29742225840361802</v>
      </c>
      <c r="D63">
        <v>0.302197468966243</v>
      </c>
      <c r="E63">
        <v>0.30704934709999998</v>
      </c>
      <c r="F63" s="39">
        <v>0.49715392930000002</v>
      </c>
      <c r="G63" s="39">
        <v>0.88139814240000003</v>
      </c>
      <c r="H63">
        <v>1.413398283</v>
      </c>
      <c r="I63">
        <v>1.9606619000000001</v>
      </c>
      <c r="J63">
        <v>2.6964084740000001</v>
      </c>
      <c r="K63" s="39">
        <v>3.2770120519999999</v>
      </c>
      <c r="L63" s="39">
        <v>4.202795214</v>
      </c>
      <c r="M63" s="39">
        <v>5.5593738689999999</v>
      </c>
      <c r="N63" s="39">
        <v>6.7665049100000001</v>
      </c>
      <c r="O63" s="39">
        <v>9.2267853869999996</v>
      </c>
      <c r="P63" s="39">
        <v>12.77069401</v>
      </c>
      <c r="Q63" s="39">
        <v>16.916500760000002</v>
      </c>
      <c r="R63" s="39">
        <v>21.92299392</v>
      </c>
      <c r="S63" s="39">
        <v>27.33923441</v>
      </c>
      <c r="T63" s="39">
        <v>32.308653100000001</v>
      </c>
      <c r="U63" s="39">
        <v>41.156362389999998</v>
      </c>
      <c r="V63" s="39">
        <v>48.961705500000001</v>
      </c>
      <c r="W63" s="39">
        <v>62.418322199999999</v>
      </c>
      <c r="X63" s="39">
        <v>49.904690950000003</v>
      </c>
      <c r="Y63" s="39">
        <v>79.848305589999995</v>
      </c>
      <c r="Z63" s="39">
        <v>102.4140762</v>
      </c>
      <c r="AA63" s="39">
        <v>122.0739172</v>
      </c>
      <c r="AB63" s="39">
        <v>140.36023270000001</v>
      </c>
      <c r="AC63" s="39">
        <v>121.8573408</v>
      </c>
      <c r="AD63" s="39">
        <v>161.1896644</v>
      </c>
      <c r="AE63" s="39">
        <v>179.43935239999999</v>
      </c>
      <c r="AF63" s="39">
        <v>195.30039439999999</v>
      </c>
      <c r="AG63" s="39">
        <v>209.3788346</v>
      </c>
      <c r="AH63" s="39">
        <v>184.70666829999999</v>
      </c>
      <c r="AI63" s="39">
        <v>216.3648901</v>
      </c>
      <c r="AJ63" s="39">
        <v>236.03986259999999</v>
      </c>
      <c r="AK63" s="39">
        <v>248.93318740000001</v>
      </c>
      <c r="AL63" s="39">
        <v>259.0957171</v>
      </c>
      <c r="AM63" s="39">
        <v>267.81384850000001</v>
      </c>
      <c r="AN63">
        <v>264.88765119999999</v>
      </c>
      <c r="AO63">
        <v>266.31443760000002</v>
      </c>
      <c r="AP63">
        <v>269.4570521</v>
      </c>
      <c r="AQ63">
        <v>272.83035749999999</v>
      </c>
      <c r="AR63">
        <v>243.56338120000001</v>
      </c>
      <c r="AS63">
        <v>258.91191609999998</v>
      </c>
      <c r="AT63">
        <v>266.35587509999999</v>
      </c>
      <c r="AU63">
        <v>270.05979359999998</v>
      </c>
      <c r="AV63">
        <v>272.1596811</v>
      </c>
      <c r="AW63">
        <v>273.499774</v>
      </c>
    </row>
    <row r="64" spans="2:99" x14ac:dyDescent="0.25">
      <c r="B64" t="s">
        <v>164</v>
      </c>
      <c r="C64">
        <v>4.0548006191711396E-3</v>
      </c>
      <c r="D64">
        <v>4.1199017546743504E-3</v>
      </c>
      <c r="E64">
        <v>4.1860481099999999E-3</v>
      </c>
      <c r="F64" s="39">
        <v>7.6133158799999998E-3</v>
      </c>
      <c r="G64" s="39">
        <v>1.15422509E-2</v>
      </c>
      <c r="H64">
        <v>5.79756677E-3</v>
      </c>
      <c r="I64" s="39">
        <v>2.65181165E-3</v>
      </c>
      <c r="J64" s="39">
        <v>1.05296205E-2</v>
      </c>
      <c r="K64" s="39">
        <v>1.28019907E-2</v>
      </c>
      <c r="L64" s="39">
        <v>1.6446918099999999E-2</v>
      </c>
      <c r="M64" s="39">
        <v>2.1827522700000001E-2</v>
      </c>
      <c r="N64" s="39">
        <v>2.6628965800000001E-2</v>
      </c>
      <c r="O64" s="39">
        <v>3.6373590400000003E-2</v>
      </c>
      <c r="P64" s="39">
        <v>8.6743049099999997E-2</v>
      </c>
      <c r="Q64" s="39">
        <v>5.8573212999999999E-2</v>
      </c>
      <c r="R64" s="39">
        <v>8.5678939400000001E-2</v>
      </c>
      <c r="S64" s="39">
        <v>0.1073601099</v>
      </c>
      <c r="T64" s="39">
        <v>0.1276091926</v>
      </c>
      <c r="U64" s="39">
        <v>0.16696291090000001</v>
      </c>
      <c r="V64" s="39">
        <v>0.20263794660000001</v>
      </c>
      <c r="W64" s="39">
        <v>0.25977465300000002</v>
      </c>
      <c r="X64" s="39">
        <v>0.21072475539999999</v>
      </c>
      <c r="Y64" s="39">
        <v>0.33646437940000001</v>
      </c>
      <c r="Z64" s="39">
        <v>0.43362248349999999</v>
      </c>
      <c r="AA64" s="39">
        <v>0.520170095</v>
      </c>
      <c r="AB64" s="39">
        <v>0.60218646750000004</v>
      </c>
      <c r="AC64" s="39">
        <v>0.52921410680000003</v>
      </c>
      <c r="AD64" s="39">
        <v>0.70143552119999997</v>
      </c>
      <c r="AE64" s="39">
        <v>0.78636009849999999</v>
      </c>
      <c r="AF64" s="39">
        <v>0.86209438729999999</v>
      </c>
      <c r="AG64" s="39">
        <v>0.93139650259999995</v>
      </c>
      <c r="AH64" s="39">
        <v>0.83145649909999997</v>
      </c>
      <c r="AI64" s="39">
        <v>0.97840760319999998</v>
      </c>
      <c r="AJ64" s="39">
        <v>1.075307266</v>
      </c>
      <c r="AK64" s="39">
        <v>1.143695487</v>
      </c>
      <c r="AL64" s="39">
        <v>1.200896841</v>
      </c>
      <c r="AM64" s="39">
        <v>1.252405115</v>
      </c>
      <c r="AN64">
        <v>1.2535013079999999</v>
      </c>
      <c r="AO64">
        <v>1.274641175</v>
      </c>
      <c r="AP64">
        <v>1.3042795709999999</v>
      </c>
      <c r="AQ64">
        <v>1.335620426</v>
      </c>
      <c r="AR64">
        <v>1.2101412920000001</v>
      </c>
      <c r="AS64">
        <v>1.298092198</v>
      </c>
      <c r="AT64">
        <v>1.3499192090000001</v>
      </c>
      <c r="AU64">
        <v>1.384398767</v>
      </c>
      <c r="AV64">
        <v>1.4113170020000001</v>
      </c>
      <c r="AW64" s="39">
        <v>1.4346337689999999</v>
      </c>
      <c r="BV64" s="39"/>
    </row>
    <row r="65" spans="2:49" x14ac:dyDescent="0.25">
      <c r="B65" t="s">
        <v>165</v>
      </c>
      <c r="C65">
        <v>4.9816121892674002E-2</v>
      </c>
      <c r="D65">
        <v>5.0615935843142099E-2</v>
      </c>
      <c r="E65">
        <v>5.1428591099999997E-2</v>
      </c>
      <c r="F65" s="39">
        <v>8.3924524799999997E-2</v>
      </c>
      <c r="G65" s="39">
        <v>0.1472581872</v>
      </c>
      <c r="H65">
        <v>0.22641549350000001</v>
      </c>
      <c r="I65">
        <v>0.31005736699999997</v>
      </c>
      <c r="J65">
        <v>0.422182051</v>
      </c>
      <c r="K65" s="39">
        <v>0.51180835049999995</v>
      </c>
      <c r="L65" s="39">
        <v>0.64936129310000001</v>
      </c>
      <c r="M65" s="39">
        <v>0.84153537759999997</v>
      </c>
      <c r="N65" s="39">
        <v>1.0096817890000001</v>
      </c>
      <c r="O65" s="39">
        <v>1.3624152570000001</v>
      </c>
      <c r="P65" s="39">
        <v>2.0717162170000001</v>
      </c>
      <c r="Q65" s="39">
        <v>2.7017802899999999</v>
      </c>
      <c r="R65" s="39">
        <v>3.4153200620000002</v>
      </c>
      <c r="S65" s="39">
        <v>4.1338118430000002</v>
      </c>
      <c r="T65" s="39">
        <v>4.7157289909999998</v>
      </c>
      <c r="U65" s="39">
        <v>5.1433961799999999</v>
      </c>
      <c r="V65" s="39">
        <v>5.4956465699999999</v>
      </c>
      <c r="W65" s="39">
        <v>6.8079345040000003</v>
      </c>
      <c r="X65" s="39">
        <v>5.0649854660000004</v>
      </c>
      <c r="Y65" s="39">
        <v>8.1862012810000007</v>
      </c>
      <c r="Z65" s="39">
        <v>10.25932089</v>
      </c>
      <c r="AA65" s="39">
        <v>11.86452562</v>
      </c>
      <c r="AB65" s="39">
        <v>13.21802469</v>
      </c>
      <c r="AC65" s="39">
        <v>10.869295230000001</v>
      </c>
      <c r="AD65" s="39">
        <v>14.253426839999999</v>
      </c>
      <c r="AE65" s="39">
        <v>15.400692530000001</v>
      </c>
      <c r="AF65" s="39">
        <v>16.26948024</v>
      </c>
      <c r="AG65" s="39">
        <v>16.915324999999999</v>
      </c>
      <c r="AH65" s="39">
        <v>14.264871169999999</v>
      </c>
      <c r="AI65" s="39">
        <v>16.43531973</v>
      </c>
      <c r="AJ65" s="39">
        <v>17.46784869</v>
      </c>
      <c r="AK65" s="39">
        <v>17.90246029</v>
      </c>
      <c r="AL65" s="39">
        <v>18.114877360000001</v>
      </c>
      <c r="AM65" s="39">
        <v>18.224652519999999</v>
      </c>
      <c r="AN65">
        <v>17.42902217</v>
      </c>
      <c r="AO65">
        <v>17.011069240000001</v>
      </c>
      <c r="AP65">
        <v>16.75462602</v>
      </c>
      <c r="AQ65">
        <v>16.552469299999998</v>
      </c>
      <c r="AR65">
        <v>14.36121451</v>
      </c>
      <c r="AS65">
        <v>15.03281855</v>
      </c>
      <c r="AT65">
        <v>15.212944800000001</v>
      </c>
      <c r="AU65">
        <v>15.193378040000001</v>
      </c>
      <c r="AV65">
        <v>15.114501880000001</v>
      </c>
      <c r="AW65">
        <v>15.02704555</v>
      </c>
    </row>
    <row r="66" spans="2:49" x14ac:dyDescent="0.25">
      <c r="B66" t="s">
        <v>166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2:49" x14ac:dyDescent="0.25">
      <c r="B67" t="s">
        <v>167</v>
      </c>
      <c r="C67">
        <v>5.2121797950038999</v>
      </c>
      <c r="D67">
        <v>5.29586302754001</v>
      </c>
      <c r="E67">
        <v>5.3808898210000002</v>
      </c>
      <c r="F67">
        <v>5.4346088119999996</v>
      </c>
      <c r="G67">
        <v>4.4695707469999997</v>
      </c>
      <c r="H67">
        <v>3.8779467649999999</v>
      </c>
      <c r="I67">
        <v>3.8538146050000002</v>
      </c>
      <c r="J67">
        <v>3.6766022729999999</v>
      </c>
      <c r="K67">
        <v>3.5439211679999998</v>
      </c>
      <c r="L67">
        <v>3.8152523490000001</v>
      </c>
      <c r="M67">
        <v>3.9328151839999999</v>
      </c>
      <c r="N67">
        <v>4.013633306</v>
      </c>
      <c r="O67">
        <v>3.0982863460000001</v>
      </c>
      <c r="P67">
        <v>2.556619719</v>
      </c>
      <c r="Q67">
        <v>2.2088064599999999</v>
      </c>
      <c r="R67">
        <v>1.986514967</v>
      </c>
      <c r="S67">
        <v>1.783196545</v>
      </c>
      <c r="T67">
        <v>1.7495211079999999</v>
      </c>
      <c r="U67">
        <v>1.732157578</v>
      </c>
      <c r="V67">
        <v>1.731715334</v>
      </c>
      <c r="W67">
        <v>1.6866881229999999</v>
      </c>
      <c r="X67">
        <v>1.6263111889999999</v>
      </c>
      <c r="Y67">
        <v>1.6199428870000001</v>
      </c>
      <c r="Z67">
        <v>1.6268397640000001</v>
      </c>
      <c r="AA67">
        <v>1.634674508</v>
      </c>
      <c r="AB67">
        <v>1.6413040889999999</v>
      </c>
      <c r="AC67">
        <v>1.646148814</v>
      </c>
      <c r="AD67">
        <v>1.6726106409999999</v>
      </c>
      <c r="AE67">
        <v>1.695747796</v>
      </c>
      <c r="AF67">
        <v>1.719569259</v>
      </c>
      <c r="AG67">
        <v>1.745338531</v>
      </c>
      <c r="AH67">
        <v>1.769717843</v>
      </c>
      <c r="AI67">
        <v>1.799372636</v>
      </c>
      <c r="AJ67">
        <v>1.8274691620000001</v>
      </c>
      <c r="AK67">
        <v>1.85518198</v>
      </c>
      <c r="AL67">
        <v>1.8831450009999999</v>
      </c>
      <c r="AM67">
        <v>1.9111255089999999</v>
      </c>
      <c r="AN67">
        <v>1.914487614</v>
      </c>
      <c r="AO67">
        <v>1.914278811</v>
      </c>
      <c r="AP67">
        <v>1.9109599319999999</v>
      </c>
      <c r="AQ67">
        <v>1.905926062</v>
      </c>
      <c r="AR67">
        <v>1.8966309939999999</v>
      </c>
      <c r="AS67">
        <v>1.9041699969999999</v>
      </c>
      <c r="AT67">
        <v>1.9125658999999999</v>
      </c>
      <c r="AU67">
        <v>1.9206587530000001</v>
      </c>
      <c r="AV67">
        <v>1.928422651</v>
      </c>
      <c r="AW67">
        <v>1.9362975060000001</v>
      </c>
    </row>
    <row r="68" spans="2:49" x14ac:dyDescent="0.25">
      <c r="B68" t="s">
        <v>168</v>
      </c>
      <c r="C68">
        <v>0.35839918454870201</v>
      </c>
      <c r="D68">
        <v>0.36415339938413299</v>
      </c>
      <c r="E68">
        <v>0.37</v>
      </c>
      <c r="F68">
        <v>0.36697207739999999</v>
      </c>
      <c r="G68">
        <v>0.36291584040000002</v>
      </c>
      <c r="H68">
        <v>0.3583350133</v>
      </c>
      <c r="I68">
        <v>0.3557595751</v>
      </c>
      <c r="J68">
        <v>0.35290380370000002</v>
      </c>
      <c r="K68">
        <v>0.34833708050000001</v>
      </c>
      <c r="L68">
        <v>0.34205593779999999</v>
      </c>
      <c r="M68">
        <v>0.33585945690000002</v>
      </c>
      <c r="N68">
        <v>0.3312204534</v>
      </c>
      <c r="O68">
        <v>0.32972094419999998</v>
      </c>
      <c r="P68">
        <v>0.32963141620000003</v>
      </c>
      <c r="Q68">
        <v>0.3286067708</v>
      </c>
      <c r="R68">
        <v>0.32396302300000002</v>
      </c>
      <c r="S68">
        <v>0.31808457200000001</v>
      </c>
      <c r="T68">
        <v>0.3110896044</v>
      </c>
      <c r="U68">
        <v>0.30437398329999998</v>
      </c>
      <c r="V68">
        <v>0.29805990989999998</v>
      </c>
      <c r="W68">
        <v>0.29368175120000001</v>
      </c>
      <c r="X68">
        <v>0.29050869060000001</v>
      </c>
      <c r="Y68">
        <v>0.28889881429999997</v>
      </c>
      <c r="Z68">
        <v>0.28834570980000002</v>
      </c>
      <c r="AA68">
        <v>0.288118239</v>
      </c>
      <c r="AB68">
        <v>0.28781646459999999</v>
      </c>
      <c r="AC68">
        <v>0.2872564836</v>
      </c>
      <c r="AD68">
        <v>0.28637686550000002</v>
      </c>
      <c r="AE68">
        <v>0.28515782909999998</v>
      </c>
      <c r="AF68">
        <v>0.28362641900000002</v>
      </c>
      <c r="AG68">
        <v>0.28180704290000003</v>
      </c>
      <c r="AH68">
        <v>0.27972639729999998</v>
      </c>
      <c r="AI68">
        <v>0.27740897530000003</v>
      </c>
      <c r="AJ68">
        <v>0.27489512710000003</v>
      </c>
      <c r="AK68" s="39">
        <v>0.27224688089999999</v>
      </c>
      <c r="AL68" s="39">
        <v>0.26949797440000001</v>
      </c>
      <c r="AM68" s="39">
        <v>0.26667005760000001</v>
      </c>
      <c r="AN68" s="39">
        <v>0.26376017889999998</v>
      </c>
      <c r="AO68" s="39">
        <v>0.26073042810000002</v>
      </c>
      <c r="AP68" s="39">
        <v>0.25758308949999997</v>
      </c>
      <c r="AQ68" s="39">
        <v>0.25433781630000002</v>
      </c>
      <c r="AR68" s="39">
        <v>0.25100755549999998</v>
      </c>
      <c r="AS68" s="39">
        <v>0.2476057636</v>
      </c>
      <c r="AT68" s="39">
        <v>0.2441300787</v>
      </c>
      <c r="AU68" s="39">
        <v>0.24058531759999999</v>
      </c>
      <c r="AV68">
        <v>0.23697790360000001</v>
      </c>
      <c r="AW68">
        <v>0.23336053009999999</v>
      </c>
    </row>
    <row r="69" spans="2:49" x14ac:dyDescent="0.25">
      <c r="B69" t="s">
        <v>169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2:49" x14ac:dyDescent="0.25">
      <c r="B70" t="s">
        <v>170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2:49" x14ac:dyDescent="0.25">
      <c r="B71" t="s">
        <v>171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2:49" x14ac:dyDescent="0.25">
      <c r="B72" t="s">
        <v>172</v>
      </c>
      <c r="C72">
        <v>2.1503951072922098</v>
      </c>
      <c r="D72">
        <v>2.1849203963048001</v>
      </c>
      <c r="E72">
        <v>2.2200000000000002</v>
      </c>
      <c r="F72">
        <v>2.3063009060000002</v>
      </c>
      <c r="G72">
        <v>2.1938337360000002</v>
      </c>
      <c r="H72">
        <v>2.3306206719999998</v>
      </c>
      <c r="I72">
        <v>2.4249145369999998</v>
      </c>
      <c r="J72">
        <v>2.2817090310000001</v>
      </c>
      <c r="K72">
        <v>2.1867380980000002</v>
      </c>
      <c r="L72">
        <v>2.138474736</v>
      </c>
      <c r="M72">
        <v>2.3029922759999999</v>
      </c>
      <c r="N72">
        <v>2.4746179150000001</v>
      </c>
      <c r="O72">
        <v>2.5746507460000001</v>
      </c>
      <c r="P72">
        <v>2.584599211</v>
      </c>
      <c r="Q72">
        <v>2.3877568560000002</v>
      </c>
      <c r="R72">
        <v>2.365942365</v>
      </c>
      <c r="S72">
        <v>2.3850467489999998</v>
      </c>
      <c r="T72">
        <v>2.4451994840000002</v>
      </c>
      <c r="U72">
        <v>2.502388346</v>
      </c>
      <c r="V72">
        <v>2.579013438</v>
      </c>
      <c r="W72">
        <v>2.6398507530000002</v>
      </c>
      <c r="X72">
        <v>2.7164822850000001</v>
      </c>
      <c r="Y72">
        <v>2.767650132</v>
      </c>
      <c r="Z72">
        <v>2.8081370369999998</v>
      </c>
      <c r="AA72">
        <v>2.8414349379999999</v>
      </c>
      <c r="AB72">
        <v>2.8723973759999999</v>
      </c>
      <c r="AC72">
        <v>2.9178051690000002</v>
      </c>
      <c r="AD72">
        <v>2.9397950499999999</v>
      </c>
      <c r="AE72">
        <v>2.96789645</v>
      </c>
      <c r="AF72">
        <v>2.997761557</v>
      </c>
      <c r="AG72">
        <v>3.0299450210000001</v>
      </c>
      <c r="AH72">
        <v>3.0708691809999999</v>
      </c>
      <c r="AI72">
        <v>3.1048742329999999</v>
      </c>
      <c r="AJ72">
        <v>3.1452894140000001</v>
      </c>
      <c r="AK72">
        <v>3.185174526</v>
      </c>
      <c r="AL72">
        <v>3.2267030600000002</v>
      </c>
      <c r="AM72">
        <v>3.2699532320000002</v>
      </c>
      <c r="AN72">
        <v>3.3147812879999998</v>
      </c>
      <c r="AO72">
        <v>3.3614627019999999</v>
      </c>
      <c r="AP72">
        <v>3.4080127739999999</v>
      </c>
      <c r="AQ72">
        <v>3.4548304519999999</v>
      </c>
      <c r="AR72">
        <v>3.5075047979999998</v>
      </c>
      <c r="AS72">
        <v>3.5467232219999998</v>
      </c>
      <c r="AT72">
        <v>3.5866620789999999</v>
      </c>
      <c r="AU72">
        <v>3.6275525709999998</v>
      </c>
      <c r="AV72">
        <v>3.6701641500000002</v>
      </c>
      <c r="AW72">
        <v>3.7154287250000002</v>
      </c>
    </row>
    <row r="73" spans="2:49" x14ac:dyDescent="0.25">
      <c r="B73" t="s">
        <v>173</v>
      </c>
      <c r="C73">
        <v>17.283948650263198</v>
      </c>
      <c r="D73">
        <v>17.561448036494799</v>
      </c>
      <c r="E73">
        <v>17.843402770000001</v>
      </c>
      <c r="F73">
        <v>18.158882909999999</v>
      </c>
      <c r="G73">
        <v>16.95751984</v>
      </c>
      <c r="H73">
        <v>16.05125885</v>
      </c>
      <c r="I73">
        <v>15.293579129999999</v>
      </c>
      <c r="J73">
        <v>15.19517269</v>
      </c>
      <c r="K73">
        <v>13.95852446</v>
      </c>
      <c r="L73">
        <v>13.674934349999999</v>
      </c>
      <c r="M73">
        <v>13.99274335</v>
      </c>
      <c r="N73">
        <v>14.689396759999999</v>
      </c>
      <c r="O73">
        <v>13.838213100000001</v>
      </c>
      <c r="P73">
        <v>12.518056169999999</v>
      </c>
      <c r="Q73">
        <v>11.060432049999999</v>
      </c>
      <c r="R73">
        <v>10.0713708</v>
      </c>
      <c r="S73">
        <v>9.171032748</v>
      </c>
      <c r="T73">
        <v>9.0469095409999998</v>
      </c>
      <c r="U73">
        <v>8.9333319749999998</v>
      </c>
      <c r="V73">
        <v>8.8916746989999904</v>
      </c>
      <c r="W73">
        <v>8.6181479710000009</v>
      </c>
      <c r="X73">
        <v>8.3369779340000001</v>
      </c>
      <c r="Y73">
        <v>8.3138506319999994</v>
      </c>
      <c r="Z73">
        <v>8.3699564930000001</v>
      </c>
      <c r="AA73">
        <v>8.4424439729999996</v>
      </c>
      <c r="AB73">
        <v>8.5146399220000006</v>
      </c>
      <c r="AC73">
        <v>8.6051649250000004</v>
      </c>
      <c r="AD73">
        <v>8.709458197</v>
      </c>
      <c r="AE73">
        <v>8.8086262210000008</v>
      </c>
      <c r="AF73">
        <v>8.9117336009999999</v>
      </c>
      <c r="AG73">
        <v>9.0236118219999994</v>
      </c>
      <c r="AH73">
        <v>9.1451408720000007</v>
      </c>
      <c r="AI73">
        <v>9.2755721990000009</v>
      </c>
      <c r="AJ73">
        <v>9.4048301149999904</v>
      </c>
      <c r="AK73">
        <v>9.5339243880000009</v>
      </c>
      <c r="AL73">
        <v>9.6645921979999905</v>
      </c>
      <c r="AM73">
        <v>9.7958329630000005</v>
      </c>
      <c r="AN73">
        <v>9.7708140980000007</v>
      </c>
      <c r="AO73">
        <v>9.7199473899999997</v>
      </c>
      <c r="AP73">
        <v>9.6538104300000001</v>
      </c>
      <c r="AQ73">
        <v>9.5824507719999996</v>
      </c>
      <c r="AR73">
        <v>9.5017763239999997</v>
      </c>
      <c r="AS73">
        <v>9.4965170229999902</v>
      </c>
      <c r="AT73">
        <v>9.5007088769999903</v>
      </c>
      <c r="AU73">
        <v>9.5044362759999999</v>
      </c>
      <c r="AV73">
        <v>9.5082491430000005</v>
      </c>
      <c r="AW73">
        <v>9.5213881209999904</v>
      </c>
    </row>
    <row r="74" spans="2:49" x14ac:dyDescent="0.25">
      <c r="B74" t="s">
        <v>174</v>
      </c>
      <c r="C74">
        <v>9.6518912203120095</v>
      </c>
      <c r="D74">
        <v>9.8068554558467902</v>
      </c>
      <c r="E74">
        <v>9.9643076920000002</v>
      </c>
      <c r="F74">
        <v>9.5519717629999903</v>
      </c>
      <c r="G74">
        <v>8.8705273289999997</v>
      </c>
      <c r="H74">
        <v>9.1018653129999905</v>
      </c>
      <c r="I74">
        <v>8.5050213760000002</v>
      </c>
      <c r="J74">
        <v>7.926240978</v>
      </c>
      <c r="K74">
        <v>7.4829318850000002</v>
      </c>
      <c r="L74">
        <v>7.2920063009999998</v>
      </c>
      <c r="M74">
        <v>7.1534818969999998</v>
      </c>
      <c r="N74">
        <v>7.2440591620000001</v>
      </c>
      <c r="O74">
        <v>7.2568289840000002</v>
      </c>
      <c r="P74">
        <v>7.0082383740000003</v>
      </c>
      <c r="Q74">
        <v>6.6872583240000001</v>
      </c>
      <c r="R74">
        <v>6.611251169</v>
      </c>
      <c r="S74">
        <v>6.4323582889999997</v>
      </c>
      <c r="T74">
        <v>6.3713012989999998</v>
      </c>
      <c r="U74">
        <v>6.2902516220000004</v>
      </c>
      <c r="V74">
        <v>6.2203872479999998</v>
      </c>
      <c r="W74">
        <v>6.136667085</v>
      </c>
      <c r="X74">
        <v>6.1208859179999999</v>
      </c>
      <c r="Y74">
        <v>6.0444603270000004</v>
      </c>
      <c r="Z74">
        <v>6.0585999509999997</v>
      </c>
      <c r="AA74">
        <v>6.087101272</v>
      </c>
      <c r="AB74">
        <v>6.1113060780000001</v>
      </c>
      <c r="AC74">
        <v>6.133434759</v>
      </c>
      <c r="AD74">
        <v>6.152559514</v>
      </c>
      <c r="AE74">
        <v>6.1657228369999997</v>
      </c>
      <c r="AF74">
        <v>6.1681363070000002</v>
      </c>
      <c r="AG74">
        <v>6.1723164229999998</v>
      </c>
      <c r="AH74">
        <v>6.1666430759999997</v>
      </c>
      <c r="AI74">
        <v>6.1694359790000002</v>
      </c>
      <c r="AJ74">
        <v>6.1690432839999998</v>
      </c>
      <c r="AK74">
        <v>6.1659066219999996</v>
      </c>
      <c r="AL74">
        <v>6.1600687250000004</v>
      </c>
      <c r="AM74">
        <v>6.151504664</v>
      </c>
      <c r="AN74">
        <v>6.1245590009999997</v>
      </c>
      <c r="AO74">
        <v>6.092009569</v>
      </c>
      <c r="AP74">
        <v>6.0549286139999996</v>
      </c>
      <c r="AQ74">
        <v>6.0150618160000002</v>
      </c>
      <c r="AR74">
        <v>5.9697723639999998</v>
      </c>
      <c r="AS74">
        <v>5.906730166</v>
      </c>
      <c r="AT74">
        <v>5.8386354989999996</v>
      </c>
      <c r="AU74">
        <v>5.7670508979999999</v>
      </c>
      <c r="AV74">
        <v>5.6918063229999998</v>
      </c>
      <c r="AW74">
        <v>5.6125670530000003</v>
      </c>
    </row>
    <row r="75" spans="2:49" x14ac:dyDescent="0.25">
      <c r="B75" t="s">
        <v>175</v>
      </c>
      <c r="C75">
        <v>4.6065844460580001</v>
      </c>
      <c r="D75">
        <v>4.68054464938142</v>
      </c>
      <c r="E75">
        <v>4.7556923080000004</v>
      </c>
      <c r="F75">
        <v>4.7696014839999998</v>
      </c>
      <c r="G75">
        <v>4.4870947660000002</v>
      </c>
      <c r="H75">
        <v>4.3313412610000004</v>
      </c>
      <c r="I75">
        <v>4.2412257750000002</v>
      </c>
      <c r="J75">
        <v>4.0293932159999999</v>
      </c>
      <c r="K75">
        <v>3.8092721260000002</v>
      </c>
      <c r="L75">
        <v>3.7189119389999998</v>
      </c>
      <c r="M75">
        <v>3.7118255859999998</v>
      </c>
      <c r="N75">
        <v>3.7835586760000002</v>
      </c>
      <c r="O75">
        <v>3.574852683</v>
      </c>
      <c r="P75">
        <v>3.3281154509999999</v>
      </c>
      <c r="Q75">
        <v>3.0964853630000002</v>
      </c>
      <c r="R75">
        <v>2.9153233900000002</v>
      </c>
      <c r="S75">
        <v>2.728713784</v>
      </c>
      <c r="T75">
        <v>2.7390210860000002</v>
      </c>
      <c r="U75">
        <v>2.755119192</v>
      </c>
      <c r="V75">
        <v>2.774179486</v>
      </c>
      <c r="W75">
        <v>2.6783282160000002</v>
      </c>
      <c r="X75">
        <v>2.5869445550000001</v>
      </c>
      <c r="Y75">
        <v>2.4779735199999999</v>
      </c>
      <c r="Z75">
        <v>2.3976974090000001</v>
      </c>
      <c r="AA75">
        <v>2.3314317849999999</v>
      </c>
      <c r="AB75">
        <v>2.2719312779999998</v>
      </c>
      <c r="AC75">
        <v>2.2188774549999999</v>
      </c>
      <c r="AD75">
        <v>2.1707105090000001</v>
      </c>
      <c r="AE75">
        <v>2.126781083</v>
      </c>
      <c r="AF75">
        <v>2.0849162259999998</v>
      </c>
      <c r="AG75">
        <v>2.0480029590000002</v>
      </c>
      <c r="AH75">
        <v>2.0132997910000001</v>
      </c>
      <c r="AI75">
        <v>1.981764933</v>
      </c>
      <c r="AJ75">
        <v>1.9522667</v>
      </c>
      <c r="AK75">
        <v>1.924589288</v>
      </c>
      <c r="AL75">
        <v>1.898308434</v>
      </c>
      <c r="AM75">
        <v>1.8730848520000001</v>
      </c>
      <c r="AN75">
        <v>1.8713995130000001</v>
      </c>
      <c r="AO75">
        <v>1.8733533149999999</v>
      </c>
      <c r="AP75">
        <v>1.875459553</v>
      </c>
      <c r="AQ75">
        <v>1.8773295059999999</v>
      </c>
      <c r="AR75">
        <v>1.8783477500000001</v>
      </c>
      <c r="AS75">
        <v>1.8779621440000001</v>
      </c>
      <c r="AT75">
        <v>1.8767492670000001</v>
      </c>
      <c r="AU75">
        <v>1.8749835859999999</v>
      </c>
      <c r="AV75">
        <v>1.8725459149999999</v>
      </c>
      <c r="AW75">
        <v>1.8688822730000001</v>
      </c>
    </row>
    <row r="76" spans="2:49" x14ac:dyDescent="0.25">
      <c r="B76" t="s">
        <v>176</v>
      </c>
      <c r="C76">
        <v>23.690015269078899</v>
      </c>
      <c r="D76">
        <v>24.070366126976499</v>
      </c>
      <c r="E76">
        <v>24.45682364</v>
      </c>
      <c r="F76">
        <v>25.365829990000002</v>
      </c>
      <c r="G76">
        <v>24.936672040000001</v>
      </c>
      <c r="H76">
        <v>25.08390314</v>
      </c>
      <c r="I76">
        <v>25.177975870000001</v>
      </c>
      <c r="J76">
        <v>25.040908420000001</v>
      </c>
      <c r="K76">
        <v>24.801349380000001</v>
      </c>
      <c r="L76">
        <v>24.57304031</v>
      </c>
      <c r="M76">
        <v>24.41664566</v>
      </c>
      <c r="N76">
        <v>24.200254019999999</v>
      </c>
      <c r="O76">
        <v>24.07635733</v>
      </c>
      <c r="P76">
        <v>23.822143830000002</v>
      </c>
      <c r="Q76">
        <v>23.53168608</v>
      </c>
      <c r="R76">
        <v>23.266322469999999</v>
      </c>
      <c r="S76">
        <v>23.247082370000001</v>
      </c>
      <c r="T76">
        <v>23.145502539999999</v>
      </c>
      <c r="U76">
        <v>22.927344680000001</v>
      </c>
      <c r="V76">
        <v>22.59871176</v>
      </c>
      <c r="W76">
        <v>22.30988614</v>
      </c>
      <c r="X76">
        <v>21.68254928</v>
      </c>
      <c r="Y76">
        <v>21.26316345</v>
      </c>
      <c r="Z76">
        <v>20.91755989</v>
      </c>
      <c r="AA76">
        <v>20.587242069999999</v>
      </c>
      <c r="AB76">
        <v>20.250239090000001</v>
      </c>
      <c r="AC76">
        <v>19.709866980000001</v>
      </c>
      <c r="AD76">
        <v>19.295444679999999</v>
      </c>
      <c r="AE76">
        <v>19.00080883</v>
      </c>
      <c r="AF76">
        <v>18.69918264</v>
      </c>
      <c r="AG76">
        <v>18.388952539999998</v>
      </c>
      <c r="AH76">
        <v>18.06551237</v>
      </c>
      <c r="AI76">
        <v>17.694508039999999</v>
      </c>
      <c r="AJ76">
        <v>17.347528539999999</v>
      </c>
      <c r="AK76">
        <v>17.007383040000001</v>
      </c>
      <c r="AL76">
        <v>16.6700211</v>
      </c>
      <c r="AM76">
        <v>16.334999440000001</v>
      </c>
      <c r="AN76">
        <v>15.992806610000001</v>
      </c>
      <c r="AO76">
        <v>15.64016063</v>
      </c>
      <c r="AP76">
        <v>15.283707679999999</v>
      </c>
      <c r="AQ76">
        <v>14.92629743</v>
      </c>
      <c r="AR76">
        <v>14.5166833</v>
      </c>
      <c r="AS76">
        <v>14.140581210000001</v>
      </c>
      <c r="AT76">
        <v>13.77684006</v>
      </c>
      <c r="AU76">
        <v>13.42009272</v>
      </c>
      <c r="AV76">
        <v>13.06873264</v>
      </c>
      <c r="AW76">
        <v>12.72250779</v>
      </c>
    </row>
    <row r="77" spans="2:49" x14ac:dyDescent="0.25">
      <c r="B77" t="s">
        <v>177</v>
      </c>
      <c r="C77">
        <v>20.7498358478441</v>
      </c>
      <c r="D77">
        <v>21.0829811741058</v>
      </c>
      <c r="E77">
        <v>21.42644816</v>
      </c>
      <c r="F77">
        <v>21.883095440000002</v>
      </c>
      <c r="G77">
        <v>21.03720027</v>
      </c>
      <c r="H77">
        <v>19.516383430000001</v>
      </c>
      <c r="I77">
        <v>19.87464937</v>
      </c>
      <c r="J77">
        <v>19.295360670000001</v>
      </c>
      <c r="K77">
        <v>19.476372049999998</v>
      </c>
      <c r="L77">
        <v>18.994009859999998</v>
      </c>
      <c r="M77">
        <v>18.935203120000001</v>
      </c>
      <c r="N77">
        <v>18.945434980000002</v>
      </c>
      <c r="O77">
        <v>18.75962535</v>
      </c>
      <c r="P77">
        <v>18.952063849999998</v>
      </c>
      <c r="Q77">
        <v>18.719217319999998</v>
      </c>
      <c r="R77">
        <v>18.574401739999999</v>
      </c>
      <c r="S77">
        <v>18.315940810000001</v>
      </c>
      <c r="T77">
        <v>18.485993010000001</v>
      </c>
      <c r="U77">
        <v>18.62893858</v>
      </c>
      <c r="V77">
        <v>18.878572380000001</v>
      </c>
      <c r="W77">
        <v>19.030188590000002</v>
      </c>
      <c r="X77">
        <v>18.977358129999999</v>
      </c>
      <c r="Y77">
        <v>18.910765919999999</v>
      </c>
      <c r="Z77">
        <v>18.86190101</v>
      </c>
      <c r="AA77">
        <v>18.76409387</v>
      </c>
      <c r="AB77">
        <v>18.64987369</v>
      </c>
      <c r="AC77">
        <v>18.549782650000001</v>
      </c>
      <c r="AD77">
        <v>18.39713794</v>
      </c>
      <c r="AE77">
        <v>18.198315180000002</v>
      </c>
      <c r="AF77">
        <v>18.016806389999999</v>
      </c>
      <c r="AG77">
        <v>17.823318149999999</v>
      </c>
      <c r="AH77">
        <v>17.63194829</v>
      </c>
      <c r="AI77">
        <v>17.550221499999999</v>
      </c>
      <c r="AJ77">
        <v>17.45690261</v>
      </c>
      <c r="AK77">
        <v>17.35064852</v>
      </c>
      <c r="AL77">
        <v>17.246464230000001</v>
      </c>
      <c r="AM77">
        <v>17.145275560000002</v>
      </c>
      <c r="AN77">
        <v>17.157344389999999</v>
      </c>
      <c r="AO77">
        <v>17.191713060000001</v>
      </c>
      <c r="AP77">
        <v>17.22565784</v>
      </c>
      <c r="AQ77">
        <v>17.261903839999999</v>
      </c>
      <c r="AR77">
        <v>17.303657640000001</v>
      </c>
      <c r="AS77">
        <v>17.445909830000002</v>
      </c>
      <c r="AT77">
        <v>17.583472019999999</v>
      </c>
      <c r="AU77">
        <v>17.720235379999998</v>
      </c>
      <c r="AV77">
        <v>17.86104542</v>
      </c>
      <c r="AW77">
        <v>18.012441389999999</v>
      </c>
    </row>
    <row r="78" spans="2:49" x14ac:dyDescent="0.25">
      <c r="B78" t="s">
        <v>178</v>
      </c>
      <c r="C78">
        <v>0.28090746897060398</v>
      </c>
      <c r="D78">
        <v>0.28541752924702302</v>
      </c>
      <c r="E78">
        <v>0.28999999999999998</v>
      </c>
      <c r="F78">
        <v>0.30239438639999999</v>
      </c>
      <c r="G78">
        <v>0.3035397997</v>
      </c>
      <c r="H78">
        <v>0.29544342969999998</v>
      </c>
      <c r="I78">
        <v>0.31278507500000002</v>
      </c>
      <c r="J78">
        <v>0.31389288529999998</v>
      </c>
      <c r="K78">
        <v>0.3204489667</v>
      </c>
      <c r="L78">
        <v>0.31339886610000001</v>
      </c>
      <c r="M78">
        <v>0.325936222</v>
      </c>
      <c r="N78">
        <v>0.31870576340000001</v>
      </c>
      <c r="O78">
        <v>0.3057650428</v>
      </c>
      <c r="P78">
        <v>0.31171051039999997</v>
      </c>
      <c r="Q78">
        <v>0.31276920870000002</v>
      </c>
      <c r="R78">
        <v>0.31157705810000003</v>
      </c>
      <c r="S78">
        <v>0.31303898829999999</v>
      </c>
      <c r="T78">
        <v>0.31696095540000002</v>
      </c>
      <c r="U78">
        <v>0.32008009079999999</v>
      </c>
      <c r="V78">
        <v>0.32527553860000002</v>
      </c>
      <c r="W78">
        <v>0.32852661100000002</v>
      </c>
      <c r="X78">
        <v>0.33181745460000001</v>
      </c>
      <c r="Y78">
        <v>0.33925789140000001</v>
      </c>
      <c r="Z78">
        <v>0.34324681140000002</v>
      </c>
      <c r="AA78">
        <v>0.3459653144</v>
      </c>
      <c r="AB78">
        <v>0.3487086472</v>
      </c>
      <c r="AC78">
        <v>0.35295849080000002</v>
      </c>
      <c r="AD78">
        <v>0.35444397649999998</v>
      </c>
      <c r="AE78">
        <v>0.35670140620000002</v>
      </c>
      <c r="AF78">
        <v>0.35929984619999999</v>
      </c>
      <c r="AG78">
        <v>0.36182112309999998</v>
      </c>
      <c r="AH78">
        <v>0.36579146779999999</v>
      </c>
      <c r="AI78">
        <v>0.3683962201</v>
      </c>
      <c r="AJ78">
        <v>0.37148847820000003</v>
      </c>
      <c r="AK78">
        <v>0.37448050230000002</v>
      </c>
      <c r="AL78">
        <v>0.37767583980000002</v>
      </c>
      <c r="AM78">
        <v>0.38114804200000002</v>
      </c>
      <c r="AN78">
        <v>0.38519090659999999</v>
      </c>
      <c r="AO78">
        <v>0.38950929070000001</v>
      </c>
      <c r="AP78">
        <v>0.3938205467</v>
      </c>
      <c r="AQ78">
        <v>0.39796901639999999</v>
      </c>
      <c r="AR78">
        <v>0.40290282370000002</v>
      </c>
      <c r="AS78">
        <v>0.4070238732</v>
      </c>
      <c r="AT78">
        <v>0.41137746269999997</v>
      </c>
      <c r="AU78">
        <v>0.41583574270000001</v>
      </c>
      <c r="AV78">
        <v>0.42049033879999997</v>
      </c>
      <c r="AW78">
        <v>0.42581768479999998</v>
      </c>
    </row>
    <row r="79" spans="2:49" x14ac:dyDescent="0.25">
      <c r="B79" t="s">
        <v>179</v>
      </c>
      <c r="C79">
        <v>11.323476938849501</v>
      </c>
      <c r="D79">
        <v>11.5052790237851</v>
      </c>
      <c r="E79">
        <v>11.69</v>
      </c>
      <c r="F79">
        <v>11.9654545</v>
      </c>
      <c r="G79">
        <v>11.94186298</v>
      </c>
      <c r="H79">
        <v>10.422254280000001</v>
      </c>
      <c r="I79">
        <v>11.049617080000001</v>
      </c>
      <c r="J79">
        <v>11.50643704</v>
      </c>
      <c r="K79">
        <v>11.360399790000001</v>
      </c>
      <c r="L79">
        <v>11.20156725</v>
      </c>
      <c r="M79">
        <v>11.149139910000001</v>
      </c>
      <c r="N79">
        <v>10.953796049999999</v>
      </c>
      <c r="O79">
        <v>10.19913992</v>
      </c>
      <c r="P79">
        <v>9.9884775890000004</v>
      </c>
      <c r="Q79">
        <v>9.8323700800000005</v>
      </c>
      <c r="R79">
        <v>9.4645067689999998</v>
      </c>
      <c r="S79">
        <v>9.0460201490000003</v>
      </c>
      <c r="T79">
        <v>9.1479569220000005</v>
      </c>
      <c r="U79">
        <v>9.3025762870000008</v>
      </c>
      <c r="V79">
        <v>9.5544131399999994</v>
      </c>
      <c r="W79">
        <v>9.6612452199999996</v>
      </c>
      <c r="X79">
        <v>9.7374236829999994</v>
      </c>
      <c r="Y79">
        <v>9.7924487889999998</v>
      </c>
      <c r="Z79">
        <v>9.8494548420000001</v>
      </c>
      <c r="AA79">
        <v>9.9039901710000002</v>
      </c>
      <c r="AB79">
        <v>9.9594063740000003</v>
      </c>
      <c r="AC79">
        <v>10.00681369</v>
      </c>
      <c r="AD79">
        <v>10.10945063</v>
      </c>
      <c r="AE79">
        <v>10.19973675</v>
      </c>
      <c r="AF79">
        <v>10.294535870000001</v>
      </c>
      <c r="AG79">
        <v>10.3911585</v>
      </c>
      <c r="AH79">
        <v>10.491117060000001</v>
      </c>
      <c r="AI79">
        <v>10.621971050000001</v>
      </c>
      <c r="AJ79">
        <v>10.746562819999999</v>
      </c>
      <c r="AK79">
        <v>10.866320910000001</v>
      </c>
      <c r="AL79">
        <v>10.98767351</v>
      </c>
      <c r="AM79">
        <v>11.11082161</v>
      </c>
      <c r="AN79">
        <v>11.257702009999999</v>
      </c>
      <c r="AO79">
        <v>11.42645598</v>
      </c>
      <c r="AP79">
        <v>11.598540099999999</v>
      </c>
      <c r="AQ79">
        <v>11.771686109999999</v>
      </c>
      <c r="AR79">
        <v>11.942064609999999</v>
      </c>
      <c r="AS79">
        <v>12.10816146</v>
      </c>
      <c r="AT79">
        <v>12.26534865</v>
      </c>
      <c r="AU79">
        <v>12.421487170000001</v>
      </c>
      <c r="AV79">
        <v>12.58049847</v>
      </c>
      <c r="AW79">
        <v>12.756298060000001</v>
      </c>
    </row>
    <row r="80" spans="2:49" x14ac:dyDescent="0.25">
      <c r="B80" t="s">
        <v>180</v>
      </c>
      <c r="C80">
        <v>12.401465507675301</v>
      </c>
      <c r="D80">
        <v>12.6005750477687</v>
      </c>
      <c r="E80">
        <v>12.802881360000001</v>
      </c>
      <c r="F80">
        <v>12.95557632</v>
      </c>
      <c r="G80">
        <v>13.34832705</v>
      </c>
      <c r="H80">
        <v>13.034116389999999</v>
      </c>
      <c r="I80">
        <v>13.28773453</v>
      </c>
      <c r="J80">
        <v>13.643116750000001</v>
      </c>
      <c r="K80">
        <v>13.967392370000001</v>
      </c>
      <c r="L80">
        <v>14.012298619999999</v>
      </c>
      <c r="M80">
        <v>13.95225003</v>
      </c>
      <c r="N80">
        <v>13.732728890000001</v>
      </c>
      <c r="O80">
        <v>13.64036553</v>
      </c>
      <c r="P80">
        <v>13.879280899999999</v>
      </c>
      <c r="Q80">
        <v>14.321438949999999</v>
      </c>
      <c r="R80">
        <v>14.38788652</v>
      </c>
      <c r="S80">
        <v>14.45650828</v>
      </c>
      <c r="T80">
        <v>14.43390063</v>
      </c>
      <c r="U80">
        <v>14.518215980000001</v>
      </c>
      <c r="V80">
        <v>14.60775997</v>
      </c>
      <c r="W80">
        <v>14.67994429</v>
      </c>
      <c r="X80">
        <v>14.78022217</v>
      </c>
      <c r="Y80">
        <v>14.99701307</v>
      </c>
      <c r="Z80">
        <v>15.169221159999999</v>
      </c>
      <c r="AA80">
        <v>15.35867313</v>
      </c>
      <c r="AB80">
        <v>15.548392310000001</v>
      </c>
      <c r="AC80">
        <v>15.725871619999999</v>
      </c>
      <c r="AD80">
        <v>15.89497691</v>
      </c>
      <c r="AE80">
        <v>16.057964030000001</v>
      </c>
      <c r="AF80">
        <v>16.210806850000001</v>
      </c>
      <c r="AG80">
        <v>16.352578309999998</v>
      </c>
      <c r="AH80">
        <v>16.493902349999999</v>
      </c>
      <c r="AI80">
        <v>16.624134080000001</v>
      </c>
      <c r="AJ80">
        <v>16.74114518</v>
      </c>
      <c r="AK80">
        <v>16.850195370000002</v>
      </c>
      <c r="AL80">
        <v>16.95157674</v>
      </c>
      <c r="AM80">
        <v>17.045161610000001</v>
      </c>
      <c r="AN80">
        <v>17.140351469999999</v>
      </c>
      <c r="AO80">
        <v>17.223484410000001</v>
      </c>
      <c r="AP80">
        <v>17.296210850000001</v>
      </c>
      <c r="AQ80">
        <v>17.356868680000002</v>
      </c>
      <c r="AR80">
        <v>17.410370749999998</v>
      </c>
      <c r="AS80">
        <v>17.455377769999998</v>
      </c>
      <c r="AT80">
        <v>17.490771280000001</v>
      </c>
      <c r="AU80">
        <v>17.516318720000001</v>
      </c>
      <c r="AV80">
        <v>17.532533319999999</v>
      </c>
      <c r="AW80">
        <v>17.556762809999999</v>
      </c>
    </row>
    <row r="81" spans="2:99" x14ac:dyDescent="0.25">
      <c r="B81" t="s">
        <v>181</v>
      </c>
      <c r="C81">
        <v>10.826676236859401</v>
      </c>
      <c r="D81">
        <v>11.000502025829901</v>
      </c>
      <c r="E81">
        <v>11.17711864</v>
      </c>
      <c r="F81">
        <v>11.64719873</v>
      </c>
      <c r="G81">
        <v>11.98033742</v>
      </c>
      <c r="H81">
        <v>10.971581710000001</v>
      </c>
      <c r="I81">
        <v>11.32424136</v>
      </c>
      <c r="J81">
        <v>11.74098444</v>
      </c>
      <c r="K81">
        <v>12.012295180000001</v>
      </c>
      <c r="L81">
        <v>12.00414048</v>
      </c>
      <c r="M81">
        <v>11.91408118</v>
      </c>
      <c r="N81">
        <v>11.54863424</v>
      </c>
      <c r="O81">
        <v>11.01113541</v>
      </c>
      <c r="P81">
        <v>11.071415139999999</v>
      </c>
      <c r="Q81">
        <v>11.465582019999999</v>
      </c>
      <c r="R81">
        <v>11.36678251</v>
      </c>
      <c r="S81">
        <v>11.176970989999999</v>
      </c>
      <c r="T81">
        <v>11.177568219999999</v>
      </c>
      <c r="U81">
        <v>11.113064230000001</v>
      </c>
      <c r="V81">
        <v>11.025138460000001</v>
      </c>
      <c r="W81">
        <v>11.109779290000001</v>
      </c>
      <c r="X81">
        <v>11.21150396</v>
      </c>
      <c r="Y81">
        <v>11.45056808</v>
      </c>
      <c r="Z81">
        <v>11.59900055</v>
      </c>
      <c r="AA81">
        <v>11.72542529</v>
      </c>
      <c r="AB81">
        <v>11.837303049999999</v>
      </c>
      <c r="AC81">
        <v>11.92512135</v>
      </c>
      <c r="AD81">
        <v>11.993616790000001</v>
      </c>
      <c r="AE81">
        <v>12.048640560000001</v>
      </c>
      <c r="AF81">
        <v>12.08893773</v>
      </c>
      <c r="AG81">
        <v>12.11115874</v>
      </c>
      <c r="AH81">
        <v>12.128935370000001</v>
      </c>
      <c r="AI81">
        <v>12.13644098</v>
      </c>
      <c r="AJ81">
        <v>12.13009933</v>
      </c>
      <c r="AK81">
        <v>12.11327936</v>
      </c>
      <c r="AL81">
        <v>12.08808406</v>
      </c>
      <c r="AM81">
        <v>12.056046370000001</v>
      </c>
      <c r="AN81">
        <v>11.917873549999999</v>
      </c>
      <c r="AO81">
        <v>11.758477149999999</v>
      </c>
      <c r="AP81">
        <v>11.59577942</v>
      </c>
      <c r="AQ81">
        <v>11.429910599999999</v>
      </c>
      <c r="AR81">
        <v>11.267469220000001</v>
      </c>
      <c r="AS81">
        <v>11.109215259999999</v>
      </c>
      <c r="AT81">
        <v>10.95220883</v>
      </c>
      <c r="AU81">
        <v>10.79628559</v>
      </c>
      <c r="AV81">
        <v>10.64239175</v>
      </c>
      <c r="AW81">
        <v>10.496772849999999</v>
      </c>
    </row>
    <row r="82" spans="2:99" x14ac:dyDescent="0.25">
      <c r="B82" t="s">
        <v>182</v>
      </c>
      <c r="C82" s="39">
        <v>4.42659733299524E-4</v>
      </c>
      <c r="D82" s="39">
        <v>4.4976677849999601E-4</v>
      </c>
      <c r="E82" s="39">
        <v>4.5698792999999998E-4</v>
      </c>
      <c r="F82" s="39">
        <v>8.2126924000000003E-4</v>
      </c>
      <c r="G82" s="39">
        <v>1.4148647000000001E-3</v>
      </c>
      <c r="H82">
        <v>2.3884212399999999E-3</v>
      </c>
      <c r="I82">
        <v>3.71527698E-3</v>
      </c>
      <c r="J82" s="39">
        <v>5.4802574800000003E-3</v>
      </c>
      <c r="K82" s="39">
        <v>7.5774746699999998E-3</v>
      </c>
      <c r="L82" s="39">
        <v>1.02607679E-2</v>
      </c>
      <c r="M82" s="39">
        <v>1.3845119899999999E-2</v>
      </c>
      <c r="N82" s="39">
        <v>1.8162419700000001E-2</v>
      </c>
      <c r="O82" s="39">
        <v>2.4139502699999999E-2</v>
      </c>
      <c r="P82" s="39">
        <v>3.1991638500000003E-2</v>
      </c>
      <c r="Q82" s="39">
        <v>4.2206201899999997E-2</v>
      </c>
      <c r="R82" s="39">
        <v>5.5333401999999997E-2</v>
      </c>
      <c r="S82" s="39">
        <v>7.2370039900000002E-2</v>
      </c>
      <c r="T82" s="39">
        <v>9.2369437700000001E-2</v>
      </c>
      <c r="U82" s="39">
        <v>0.1184165115</v>
      </c>
      <c r="V82" s="39">
        <v>0.14953766330000001</v>
      </c>
      <c r="W82" s="39">
        <v>0.189687621</v>
      </c>
      <c r="X82" s="39">
        <v>0.218487928</v>
      </c>
      <c r="Y82" s="39">
        <v>0.26904770989999999</v>
      </c>
      <c r="Z82" s="39">
        <v>0.33502412850000002</v>
      </c>
      <c r="AA82" s="39">
        <v>0.41357063929999999</v>
      </c>
      <c r="AB82" s="39">
        <v>0.50313656640000004</v>
      </c>
      <c r="AC82" s="39">
        <v>0.57385170559999998</v>
      </c>
      <c r="AD82" s="39">
        <v>0.67315117790000001</v>
      </c>
      <c r="AE82" s="39">
        <v>0.78762140049999996</v>
      </c>
      <c r="AF82" s="39">
        <v>0.91164818189999997</v>
      </c>
      <c r="AG82" s="39">
        <v>1.043687606</v>
      </c>
      <c r="AH82" s="39">
        <v>1.1573131919999999</v>
      </c>
      <c r="AI82" s="39">
        <v>1.2890696829999999</v>
      </c>
      <c r="AJ82" s="39">
        <v>1.434380875</v>
      </c>
      <c r="AK82" s="39">
        <v>1.587089373</v>
      </c>
      <c r="AL82" s="39">
        <v>1.744723077</v>
      </c>
      <c r="AM82" s="39">
        <v>1.9060047149999999</v>
      </c>
      <c r="AN82" s="39">
        <v>2.0620327189999998</v>
      </c>
      <c r="AO82" s="39">
        <v>2.2153915020000001</v>
      </c>
      <c r="AP82" s="39">
        <v>2.3679129689999998</v>
      </c>
      <c r="AQ82" s="39">
        <v>2.5199503640000001</v>
      </c>
      <c r="AR82" s="39">
        <v>2.638416726</v>
      </c>
      <c r="AS82" s="39">
        <v>2.7714041800000002</v>
      </c>
      <c r="AT82" s="39">
        <v>2.9092870830000002</v>
      </c>
      <c r="AU82" s="39">
        <v>3.0480918670000001</v>
      </c>
      <c r="AV82" s="39">
        <v>3.1860922129999998</v>
      </c>
      <c r="AW82" s="39">
        <v>3.3224843719999999</v>
      </c>
    </row>
    <row r="83" spans="2:99" x14ac:dyDescent="0.25">
      <c r="B83" t="s">
        <v>183</v>
      </c>
      <c r="C83">
        <v>1.1996237928359601</v>
      </c>
      <c r="D83">
        <v>1.2188841408592499</v>
      </c>
      <c r="E83">
        <v>1.2387616880000001</v>
      </c>
      <c r="F83">
        <v>1.2957298290000001</v>
      </c>
      <c r="G83">
        <v>1.2811306899999999</v>
      </c>
      <c r="H83">
        <v>1.145135147</v>
      </c>
      <c r="I83">
        <v>1.216085461</v>
      </c>
      <c r="J83">
        <v>1.2396999319999999</v>
      </c>
      <c r="K83">
        <v>1.2673869259999999</v>
      </c>
      <c r="L83">
        <v>1.2735235149999999</v>
      </c>
      <c r="M83">
        <v>1.278428586</v>
      </c>
      <c r="N83">
        <v>1.268807829</v>
      </c>
      <c r="O83">
        <v>1.26711971</v>
      </c>
      <c r="P83">
        <v>1.3360476999999999</v>
      </c>
      <c r="Q83">
        <v>1.3692095769999999</v>
      </c>
      <c r="R83">
        <v>1.4122568129999999</v>
      </c>
      <c r="S83">
        <v>1.4432666119999999</v>
      </c>
      <c r="T83">
        <v>1.5862422430000001</v>
      </c>
      <c r="U83">
        <v>1.7108896920000001</v>
      </c>
      <c r="V83">
        <v>1.845762093</v>
      </c>
      <c r="W83">
        <v>1.9295991690000001</v>
      </c>
      <c r="X83">
        <v>2.2136318250000002</v>
      </c>
      <c r="Y83">
        <v>2.3731203700000001</v>
      </c>
      <c r="Z83">
        <v>2.4964359589999998</v>
      </c>
      <c r="AA83">
        <v>2.594864329</v>
      </c>
      <c r="AB83">
        <v>2.6802923769999998</v>
      </c>
      <c r="AC83">
        <v>2.9058778269999999</v>
      </c>
      <c r="AD83">
        <v>2.9821598730000001</v>
      </c>
      <c r="AE83">
        <v>3.0581530200000002</v>
      </c>
      <c r="AF83">
        <v>3.1360489070000002</v>
      </c>
      <c r="AG83">
        <v>3.2076613379999999</v>
      </c>
      <c r="AH83">
        <v>3.3501228740000002</v>
      </c>
      <c r="AI83">
        <v>3.4030716139999999</v>
      </c>
      <c r="AJ83">
        <v>3.4581340969999999</v>
      </c>
      <c r="AK83">
        <v>3.5113055069999999</v>
      </c>
      <c r="AL83">
        <v>3.5654145910000001</v>
      </c>
      <c r="AM83">
        <v>3.6216139680000001</v>
      </c>
      <c r="AN83">
        <v>3.646045923</v>
      </c>
      <c r="AO83">
        <v>3.6778507810000001</v>
      </c>
      <c r="AP83">
        <v>3.7111390179999999</v>
      </c>
      <c r="AQ83">
        <v>3.7456741230000001</v>
      </c>
      <c r="AR83">
        <v>3.854148028</v>
      </c>
      <c r="AS83">
        <v>3.8640413900000001</v>
      </c>
      <c r="AT83">
        <v>3.878869356</v>
      </c>
      <c r="AU83">
        <v>3.8949769920000001</v>
      </c>
      <c r="AV83">
        <v>3.9124592410000001</v>
      </c>
      <c r="AW83">
        <v>3.9351245160000001</v>
      </c>
    </row>
    <row r="84" spans="2:99" x14ac:dyDescent="0.25">
      <c r="B84" t="s">
        <v>184</v>
      </c>
      <c r="C84">
        <v>0.33902625565417799</v>
      </c>
      <c r="D84">
        <v>0.34446943184985501</v>
      </c>
      <c r="E84">
        <v>0.35</v>
      </c>
      <c r="F84">
        <v>0.36637716790000002</v>
      </c>
      <c r="G84">
        <v>0.35695499180000001</v>
      </c>
      <c r="H84">
        <v>0.36162775000000003</v>
      </c>
      <c r="I84">
        <v>0.38850586030000001</v>
      </c>
      <c r="J84">
        <v>0.3819639473</v>
      </c>
      <c r="K84">
        <v>0.37547026379999998</v>
      </c>
      <c r="L84">
        <v>0.36504622939999998</v>
      </c>
      <c r="M84">
        <v>0.38599012370000002</v>
      </c>
      <c r="N84">
        <v>0.39369217080000002</v>
      </c>
      <c r="O84">
        <v>0.39369502080000002</v>
      </c>
      <c r="P84">
        <v>0.39845909419999997</v>
      </c>
      <c r="Q84">
        <v>0.37564139099999999</v>
      </c>
      <c r="R84">
        <v>0.36746612249999999</v>
      </c>
      <c r="S84">
        <v>0.36755917649999997</v>
      </c>
      <c r="T84">
        <v>0.37279606770000001</v>
      </c>
      <c r="U84">
        <v>0.37919081999999998</v>
      </c>
      <c r="V84">
        <v>0.38914326980000002</v>
      </c>
      <c r="W84">
        <v>0.40417732649999999</v>
      </c>
      <c r="X84">
        <v>0.41788352629999997</v>
      </c>
      <c r="Y84">
        <v>0.42891870679999999</v>
      </c>
      <c r="Z84">
        <v>0.43694311940000002</v>
      </c>
      <c r="AA84">
        <v>0.44181811669999999</v>
      </c>
      <c r="AB84">
        <v>0.44592520250000001</v>
      </c>
      <c r="AC84">
        <v>0.4519613173</v>
      </c>
      <c r="AD84">
        <v>0.45439869030000002</v>
      </c>
      <c r="AE84">
        <v>0.45746959510000001</v>
      </c>
      <c r="AF84">
        <v>0.46120775939999997</v>
      </c>
      <c r="AG84">
        <v>0.46477599629999999</v>
      </c>
      <c r="AH84">
        <v>0.46963168529999999</v>
      </c>
      <c r="AI84">
        <v>0.47231813630000002</v>
      </c>
      <c r="AJ84">
        <v>0.4759071392</v>
      </c>
      <c r="AK84">
        <v>0.47945042570000002</v>
      </c>
      <c r="AL84">
        <v>0.48328120730000002</v>
      </c>
      <c r="AM84">
        <v>0.48746804690000001</v>
      </c>
      <c r="AN84">
        <v>0.49273644119999999</v>
      </c>
      <c r="AO84">
        <v>0.49867278069999998</v>
      </c>
      <c r="AP84">
        <v>0.50467878710000003</v>
      </c>
      <c r="AQ84">
        <v>0.51078276879999995</v>
      </c>
      <c r="AR84">
        <v>0.51774128060000002</v>
      </c>
      <c r="AS84">
        <v>0.52369295029999996</v>
      </c>
      <c r="AT84">
        <v>0.53007175350000002</v>
      </c>
      <c r="AU84">
        <v>0.53662527630000001</v>
      </c>
      <c r="AV84">
        <v>0.54340543939999997</v>
      </c>
      <c r="AW84">
        <v>0.55045509520000002</v>
      </c>
    </row>
    <row r="85" spans="2:99" x14ac:dyDescent="0.25">
      <c r="B85" t="s">
        <v>185</v>
      </c>
      <c r="C85">
        <v>12.8442518570697</v>
      </c>
      <c r="D85">
        <v>13.0504704752259</v>
      </c>
      <c r="E85">
        <v>13.26</v>
      </c>
      <c r="F85">
        <v>13.651650119999999</v>
      </c>
      <c r="G85">
        <v>13.208874829999999</v>
      </c>
      <c r="H85">
        <v>12.1582156</v>
      </c>
      <c r="I85">
        <v>12.66116718</v>
      </c>
      <c r="J85">
        <v>12.89084181</v>
      </c>
      <c r="K85">
        <v>12.293750920000001</v>
      </c>
      <c r="L85">
        <v>12.08633921</v>
      </c>
      <c r="M85">
        <v>12.25465638</v>
      </c>
      <c r="N85">
        <v>12.544766210000001</v>
      </c>
      <c r="O85">
        <v>12.798526799999999</v>
      </c>
      <c r="P85" s="39">
        <v>13.0814187</v>
      </c>
      <c r="Q85" s="39">
        <v>12.760269729999999</v>
      </c>
      <c r="R85" s="39">
        <v>12.68358607</v>
      </c>
      <c r="S85" s="39">
        <v>12.596217230000001</v>
      </c>
      <c r="T85" s="39">
        <v>12.70296536</v>
      </c>
      <c r="U85" s="39">
        <v>12.783318599999999</v>
      </c>
      <c r="V85" s="39">
        <v>12.965696080000001</v>
      </c>
      <c r="W85" s="39">
        <v>13.07565554</v>
      </c>
      <c r="X85" s="39">
        <v>13.014188669999999</v>
      </c>
      <c r="Y85" s="39">
        <v>12.99098248</v>
      </c>
      <c r="Z85" s="39">
        <v>13.07312845</v>
      </c>
      <c r="AA85" s="39">
        <v>13.120312009999999</v>
      </c>
      <c r="AB85" s="39">
        <v>13.150409700000001</v>
      </c>
      <c r="AC85" s="39">
        <v>13.187145790000001</v>
      </c>
      <c r="AD85" s="39">
        <v>13.282615849999999</v>
      </c>
      <c r="AE85" s="39">
        <v>13.35930557</v>
      </c>
      <c r="AF85">
        <v>13.45232944</v>
      </c>
      <c r="AG85">
        <v>13.54492598</v>
      </c>
      <c r="AH85">
        <v>13.639227099999999</v>
      </c>
      <c r="AI85">
        <v>13.74415999</v>
      </c>
      <c r="AJ85">
        <v>13.85085627</v>
      </c>
      <c r="AK85">
        <v>13.95557866</v>
      </c>
      <c r="AL85">
        <v>14.06516265</v>
      </c>
      <c r="AM85">
        <v>14.17981762</v>
      </c>
      <c r="AN85">
        <v>14.231764699999999</v>
      </c>
      <c r="AO85">
        <v>14.296312090000001</v>
      </c>
      <c r="AP85">
        <v>14.357917459999999</v>
      </c>
      <c r="AQ85">
        <v>14.42319921</v>
      </c>
      <c r="AR85">
        <v>14.482735760000001</v>
      </c>
      <c r="AS85">
        <v>14.598754660000001</v>
      </c>
      <c r="AT85">
        <v>14.72370458</v>
      </c>
      <c r="AU85">
        <v>14.853123009999999</v>
      </c>
      <c r="AV85">
        <v>14.9888625</v>
      </c>
      <c r="AW85">
        <v>15.137449889999999</v>
      </c>
    </row>
    <row r="86" spans="2:99" x14ac:dyDescent="0.25">
      <c r="B86" t="s">
        <v>186</v>
      </c>
      <c r="C86">
        <v>17.113958899133198</v>
      </c>
      <c r="D86">
        <v>17.388729044925601</v>
      </c>
      <c r="E86">
        <v>17.667910710000001</v>
      </c>
      <c r="F86">
        <v>17.817168970000001</v>
      </c>
      <c r="G86">
        <v>17.737234789999999</v>
      </c>
      <c r="H86">
        <v>17.746164180000001</v>
      </c>
      <c r="I86">
        <v>18.114148409999999</v>
      </c>
      <c r="J86">
        <v>18.135339649999999</v>
      </c>
      <c r="K86" s="39">
        <v>17.802257940000001</v>
      </c>
      <c r="L86" s="39">
        <v>17.5828229</v>
      </c>
      <c r="M86" s="39">
        <v>17.578442089999999</v>
      </c>
      <c r="N86" s="39">
        <v>17.71798004</v>
      </c>
      <c r="O86" s="39">
        <v>18.05967171</v>
      </c>
      <c r="P86" s="39">
        <v>18.13143268</v>
      </c>
      <c r="Q86" s="39">
        <v>17.664330339999999</v>
      </c>
      <c r="R86" s="39">
        <v>17.3428307</v>
      </c>
      <c r="S86" s="39">
        <v>17.097675819999999</v>
      </c>
      <c r="T86" s="39">
        <v>16.710554869999999</v>
      </c>
      <c r="U86" s="39">
        <v>16.573274600000001</v>
      </c>
      <c r="V86" s="39">
        <v>16.460449239999999</v>
      </c>
      <c r="W86" s="39">
        <v>16.68299356</v>
      </c>
      <c r="X86" s="39">
        <v>16.81613639</v>
      </c>
      <c r="Y86" s="39">
        <v>16.942778010000001</v>
      </c>
      <c r="Z86">
        <v>17.15624223</v>
      </c>
      <c r="AA86">
        <v>17.32816322</v>
      </c>
      <c r="AB86">
        <v>17.48546266</v>
      </c>
      <c r="AC86">
        <v>17.630965979999999</v>
      </c>
      <c r="AD86">
        <v>17.75622649</v>
      </c>
      <c r="AE86">
        <v>17.853715300000001</v>
      </c>
      <c r="AF86">
        <v>17.947235939999999</v>
      </c>
      <c r="AG86">
        <v>18.013980830000001</v>
      </c>
      <c r="AH86">
        <v>18.054338449999999</v>
      </c>
      <c r="AI86">
        <v>18.057895200000001</v>
      </c>
      <c r="AJ86">
        <v>18.057516549999999</v>
      </c>
      <c r="AK86">
        <v>18.04828148</v>
      </c>
      <c r="AL86">
        <v>18.031679319999999</v>
      </c>
      <c r="AM86">
        <v>18.008401360000001</v>
      </c>
      <c r="AN86">
        <v>17.977552190000001</v>
      </c>
      <c r="AO86">
        <v>17.943789420000002</v>
      </c>
      <c r="AP86">
        <v>17.900034430000002</v>
      </c>
      <c r="AQ86">
        <v>17.853123719999999</v>
      </c>
      <c r="AR86">
        <v>17.792749430000001</v>
      </c>
      <c r="AS86">
        <v>17.751729749999999</v>
      </c>
      <c r="AT86" s="39">
        <v>17.706643239999998</v>
      </c>
      <c r="AU86" s="39">
        <v>17.653748010000001</v>
      </c>
      <c r="AV86">
        <v>17.59247027</v>
      </c>
      <c r="AW86">
        <v>17.518005819999999</v>
      </c>
    </row>
    <row r="87" spans="2:99" x14ac:dyDescent="0.25">
      <c r="B87" t="s">
        <v>187</v>
      </c>
      <c r="C87">
        <v>5.6395460874857797</v>
      </c>
      <c r="D87">
        <v>5.7300908240832298</v>
      </c>
      <c r="E87">
        <v>5.8220892859999998</v>
      </c>
      <c r="F87">
        <v>6.2160330259999999</v>
      </c>
      <c r="G87">
        <v>6.3868285309999999</v>
      </c>
      <c r="H87">
        <v>6.5254908770000002</v>
      </c>
      <c r="I87">
        <v>7.0680239330000001</v>
      </c>
      <c r="J87">
        <v>7.3853594029999998</v>
      </c>
      <c r="K87">
        <v>7.4970232770000003</v>
      </c>
      <c r="L87">
        <v>7.7802492860000001</v>
      </c>
      <c r="M87">
        <v>8.3128947160000006</v>
      </c>
      <c r="N87">
        <v>9.1338786830000007</v>
      </c>
      <c r="O87">
        <v>9.4236609209999997</v>
      </c>
      <c r="P87">
        <v>9.2674694669999997</v>
      </c>
      <c r="Q87">
        <v>8.5809142709999904</v>
      </c>
      <c r="R87">
        <v>8.1063038810000005</v>
      </c>
      <c r="S87">
        <v>7.811776837</v>
      </c>
      <c r="T87">
        <v>7.7413804390000003</v>
      </c>
      <c r="U87">
        <v>7.7104863769999996</v>
      </c>
      <c r="V87">
        <v>7.6869771160000004</v>
      </c>
      <c r="W87">
        <v>7.9649574970000003</v>
      </c>
      <c r="X87">
        <v>8.1894125399999904</v>
      </c>
      <c r="Y87">
        <v>8.3712046450000006</v>
      </c>
      <c r="Z87">
        <v>8.4553357350000002</v>
      </c>
      <c r="AA87">
        <v>8.4660540359999903</v>
      </c>
      <c r="AB87">
        <v>8.4465070579999999</v>
      </c>
      <c r="AC87">
        <v>8.4100795789999996</v>
      </c>
      <c r="AD87">
        <v>8.3618149529999997</v>
      </c>
      <c r="AE87">
        <v>8.2995340500000001</v>
      </c>
      <c r="AF87">
        <v>8.2402088320000004</v>
      </c>
      <c r="AG87">
        <v>8.1669907829999904</v>
      </c>
      <c r="AH87">
        <v>8.0835402040000002</v>
      </c>
      <c r="AI87">
        <v>7.9902230339999996</v>
      </c>
      <c r="AJ87">
        <v>7.8989840290000002</v>
      </c>
      <c r="AK87">
        <v>7.8072350889999997</v>
      </c>
      <c r="AL87">
        <v>7.715472353</v>
      </c>
      <c r="AM87">
        <v>7.624284362</v>
      </c>
      <c r="AN87">
        <v>7.4908793989999998</v>
      </c>
      <c r="AO87">
        <v>7.3567409860000001</v>
      </c>
      <c r="AP87">
        <v>7.2255070110000004</v>
      </c>
      <c r="AQ87">
        <v>7.0997171540000004</v>
      </c>
      <c r="AR87">
        <v>6.9760769439999999</v>
      </c>
      <c r="AS87">
        <v>6.857140588</v>
      </c>
      <c r="AT87">
        <v>6.7425511489999996</v>
      </c>
      <c r="AU87">
        <v>6.6306303340000001</v>
      </c>
      <c r="AV87">
        <v>6.5211314790000001</v>
      </c>
      <c r="AW87">
        <v>6.4107032430000004</v>
      </c>
    </row>
    <row r="88" spans="2:99" x14ac:dyDescent="0.25">
      <c r="B88" t="s">
        <v>188</v>
      </c>
      <c r="C88" s="39">
        <v>1.0609788529198101E-6</v>
      </c>
      <c r="D88" s="39">
        <v>1.0780132115867701E-6</v>
      </c>
      <c r="E88" s="39">
        <v>1.0953210600000001E-6</v>
      </c>
      <c r="F88" s="39">
        <v>1.2863057E-6</v>
      </c>
      <c r="G88" s="39">
        <v>2.30996015E-6</v>
      </c>
      <c r="H88" s="39">
        <v>3.4500498100000001E-6</v>
      </c>
      <c r="I88" s="39">
        <v>4.6356936599999998E-6</v>
      </c>
      <c r="J88" s="39">
        <v>6.1512690900000002E-6</v>
      </c>
      <c r="K88" s="39">
        <v>7.5284575399999997E-6</v>
      </c>
      <c r="L88" s="39">
        <v>8.7499474900000008E-6</v>
      </c>
      <c r="M88" s="39">
        <v>9.9157675399999996E-6</v>
      </c>
      <c r="N88" s="39">
        <v>1.0589055E-5</v>
      </c>
      <c r="O88" s="39">
        <v>1.11549143E-5</v>
      </c>
      <c r="P88" s="39">
        <v>1.1388930400000001E-5</v>
      </c>
      <c r="Q88" s="39">
        <v>1.2147772400000001E-5</v>
      </c>
      <c r="R88" s="39">
        <v>1.29966897E-5</v>
      </c>
      <c r="S88" s="39">
        <v>1.46641562E-5</v>
      </c>
      <c r="T88" s="39">
        <v>1.6026779999999999E-5</v>
      </c>
      <c r="U88" s="39">
        <v>1.8276192099999999E-5</v>
      </c>
      <c r="V88" s="39">
        <v>2.0754252200000001E-5</v>
      </c>
      <c r="W88" s="39">
        <v>2.3374501699999999E-5</v>
      </c>
      <c r="X88" s="39">
        <v>2.4772445999999999E-5</v>
      </c>
      <c r="Y88" s="39">
        <v>2.68406565E-5</v>
      </c>
      <c r="Z88" s="39">
        <v>2.91297174E-5</v>
      </c>
      <c r="AA88" s="39">
        <v>3.1468339399999998E-5</v>
      </c>
      <c r="AB88" s="39">
        <v>3.3776490299999998E-5</v>
      </c>
      <c r="AC88" s="39">
        <v>3.5139376600000002E-5</v>
      </c>
      <c r="AD88" s="39">
        <v>3.6989007099999998E-5</v>
      </c>
      <c r="AE88" s="39">
        <v>3.9053597E-5</v>
      </c>
      <c r="AF88" s="39">
        <v>4.1087040200000001E-5</v>
      </c>
      <c r="AG88" s="39">
        <v>4.3054269899999998E-5</v>
      </c>
      <c r="AH88" s="39">
        <v>4.4606244499999998E-5</v>
      </c>
      <c r="AI88" s="39">
        <v>4.6216993000000002E-5</v>
      </c>
      <c r="AJ88" s="39">
        <v>4.7931310700000002E-5</v>
      </c>
      <c r="AK88" s="39">
        <v>4.9663533499999998E-5</v>
      </c>
      <c r="AL88" s="39">
        <v>5.1382023799999999E-5</v>
      </c>
      <c r="AM88" s="39">
        <v>5.3073572500000001E-5</v>
      </c>
      <c r="AN88" s="39">
        <v>5.4660802299999997E-5</v>
      </c>
      <c r="AO88" s="39">
        <v>5.6175654499999997E-5</v>
      </c>
      <c r="AP88" s="39">
        <v>5.7655415100000003E-5</v>
      </c>
      <c r="AQ88" s="39">
        <v>5.9118484800000002E-5</v>
      </c>
      <c r="AR88" s="39">
        <v>6.0072517200000001E-5</v>
      </c>
      <c r="AS88" s="39">
        <v>6.1264828799999999E-5</v>
      </c>
      <c r="AT88" s="39">
        <v>6.2551379799999994E-5</v>
      </c>
      <c r="AU88" s="39">
        <v>6.3883461199999996E-5</v>
      </c>
      <c r="AV88" s="39">
        <v>6.5238351200000005E-5</v>
      </c>
      <c r="AW88" s="39">
        <v>6.6604953800000001E-5</v>
      </c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</row>
    <row r="89" spans="2:99" x14ac:dyDescent="0.25">
      <c r="B89" t="s">
        <v>189</v>
      </c>
      <c r="C89" s="39">
        <v>0.26347077198670499</v>
      </c>
      <c r="D89" s="39">
        <v>0.26770088045298701</v>
      </c>
      <c r="E89" s="39">
        <v>0.27204033830000002</v>
      </c>
      <c r="F89" s="39">
        <v>0.30035970940000001</v>
      </c>
      <c r="G89" s="39">
        <v>0.29148693320000002</v>
      </c>
      <c r="H89" s="39">
        <v>0.2414865259</v>
      </c>
      <c r="I89" s="39">
        <v>0.23798629339999999</v>
      </c>
      <c r="J89" s="39">
        <v>0.23388741809999999</v>
      </c>
      <c r="K89" s="39">
        <v>0.25186984289999997</v>
      </c>
      <c r="L89" s="39">
        <v>0.2493630195</v>
      </c>
      <c r="M89" s="39">
        <v>0.24724821920000001</v>
      </c>
      <c r="N89" s="39">
        <v>0.2453327407</v>
      </c>
      <c r="O89" s="39">
        <v>0.23607061509999999</v>
      </c>
      <c r="P89" s="39">
        <v>0.24303871969999999</v>
      </c>
      <c r="Q89" s="39">
        <v>0.2499257986</v>
      </c>
      <c r="R89" s="39">
        <v>0.25934706600000001</v>
      </c>
      <c r="S89" s="39">
        <v>0.27411399219999999</v>
      </c>
      <c r="T89" s="39">
        <v>0.33453451039999998</v>
      </c>
      <c r="U89" s="39">
        <v>0.38451799959999999</v>
      </c>
      <c r="V89" s="39">
        <v>0.42781787529999998</v>
      </c>
      <c r="W89" s="39">
        <v>0.46073210060000003</v>
      </c>
      <c r="X89" s="39">
        <v>0.59369473709999998</v>
      </c>
      <c r="Y89" s="39">
        <v>0.73788607289999997</v>
      </c>
      <c r="Z89" s="39">
        <v>0.88565600190000004</v>
      </c>
      <c r="AA89" s="39">
        <v>1.0326487369999999</v>
      </c>
      <c r="AB89" s="39">
        <v>1.1799802429999999</v>
      </c>
      <c r="AC89" s="39">
        <v>1.3296587799999999</v>
      </c>
      <c r="AD89" s="39">
        <v>1.5120538889999999</v>
      </c>
      <c r="AE89" s="39">
        <v>1.6920391100000001</v>
      </c>
      <c r="AF89" s="39">
        <v>1.875561104</v>
      </c>
      <c r="AG89" s="39">
        <v>2.0600239500000002</v>
      </c>
      <c r="AH89" s="39">
        <v>2.2445928469999998</v>
      </c>
      <c r="AI89" s="39">
        <v>2.391520817</v>
      </c>
      <c r="AJ89" s="39">
        <v>2.5386785170000001</v>
      </c>
      <c r="AK89" s="39">
        <v>2.686107888</v>
      </c>
      <c r="AL89" s="39">
        <v>2.8361170009999999</v>
      </c>
      <c r="AM89" s="39">
        <v>2.98912076</v>
      </c>
      <c r="AN89" s="39">
        <v>3.0565595280000002</v>
      </c>
      <c r="AO89" s="39">
        <v>3.1299354770000001</v>
      </c>
      <c r="AP89" s="39">
        <v>3.2052148279999999</v>
      </c>
      <c r="AQ89" s="39">
        <v>3.2826890419999999</v>
      </c>
      <c r="AR89" s="39">
        <v>3.358834603</v>
      </c>
      <c r="AS89" s="39">
        <v>3.3934067209999998</v>
      </c>
      <c r="AT89" s="39">
        <v>3.4264158689999999</v>
      </c>
      <c r="AU89" s="39">
        <v>3.4590774369999999</v>
      </c>
      <c r="AV89">
        <v>3.492508451</v>
      </c>
      <c r="AW89">
        <v>3.527977849</v>
      </c>
    </row>
    <row r="90" spans="2:99" x14ac:dyDescent="0.25">
      <c r="B90" t="s">
        <v>190</v>
      </c>
      <c r="C90">
        <v>2318131524.4374599</v>
      </c>
      <c r="D90">
        <v>2355349875.8831902</v>
      </c>
      <c r="E90">
        <v>2393165780</v>
      </c>
      <c r="F90">
        <v>2417743066</v>
      </c>
      <c r="G90">
        <v>2442572755</v>
      </c>
      <c r="H90">
        <v>2467657440</v>
      </c>
      <c r="I90">
        <v>2492999739</v>
      </c>
      <c r="J90">
        <v>2518602297</v>
      </c>
      <c r="K90">
        <v>2544467789</v>
      </c>
      <c r="L90">
        <v>2570598913</v>
      </c>
      <c r="M90">
        <v>2596998398</v>
      </c>
      <c r="N90">
        <v>2623669000</v>
      </c>
      <c r="O90">
        <v>2653988446</v>
      </c>
      <c r="P90">
        <v>2684658267</v>
      </c>
      <c r="Q90">
        <v>2715682513</v>
      </c>
      <c r="R90">
        <v>2745467125</v>
      </c>
      <c r="S90">
        <v>2775151740</v>
      </c>
      <c r="T90">
        <v>2804229571</v>
      </c>
      <c r="U90">
        <v>2833057577</v>
      </c>
      <c r="V90">
        <v>2863783189</v>
      </c>
      <c r="W90">
        <v>2894524521</v>
      </c>
      <c r="X90">
        <v>2924411523</v>
      </c>
      <c r="Y90">
        <v>2953544095</v>
      </c>
      <c r="Z90">
        <v>2981851909</v>
      </c>
      <c r="AA90">
        <v>3009484025</v>
      </c>
      <c r="AB90">
        <v>3036284686</v>
      </c>
      <c r="AC90">
        <v>3062184172</v>
      </c>
      <c r="AD90">
        <v>3087964217</v>
      </c>
      <c r="AE90">
        <v>3113483048</v>
      </c>
      <c r="AF90">
        <v>3138686341</v>
      </c>
      <c r="AG90">
        <v>3163564425</v>
      </c>
      <c r="AH90">
        <v>3188384924</v>
      </c>
      <c r="AI90">
        <v>3212818008</v>
      </c>
      <c r="AJ90">
        <v>3236712515</v>
      </c>
      <c r="AK90">
        <v>3260337894</v>
      </c>
      <c r="AL90">
        <v>3283638812</v>
      </c>
      <c r="AM90">
        <v>3306510935</v>
      </c>
      <c r="AN90">
        <v>3328474335</v>
      </c>
      <c r="AO90">
        <v>3349315510</v>
      </c>
      <c r="AP90">
        <v>3369011741</v>
      </c>
      <c r="AQ90">
        <v>3387834688</v>
      </c>
      <c r="AR90">
        <v>3405571666</v>
      </c>
      <c r="AS90">
        <v>3422253727</v>
      </c>
      <c r="AT90">
        <v>3438013091</v>
      </c>
      <c r="AU90">
        <v>3452736286</v>
      </c>
      <c r="AV90">
        <v>3466409026</v>
      </c>
      <c r="AW90">
        <v>3479017918</v>
      </c>
    </row>
    <row r="91" spans="2:99" x14ac:dyDescent="0.25">
      <c r="B91" t="s">
        <v>191</v>
      </c>
      <c r="C91">
        <v>640398.31806251395</v>
      </c>
      <c r="D91">
        <v>650680.12020171306</v>
      </c>
      <c r="E91">
        <v>661127</v>
      </c>
      <c r="F91">
        <v>1878974.4110000001</v>
      </c>
      <c r="G91">
        <v>3573759.2969999998</v>
      </c>
      <c r="H91">
        <v>5375475.6299999999</v>
      </c>
      <c r="I91">
        <v>6943734.2829999998</v>
      </c>
      <c r="J91">
        <v>8544854.3560000006</v>
      </c>
      <c r="K91">
        <v>10332103.109999999</v>
      </c>
      <c r="L91">
        <v>12311179.130000001</v>
      </c>
      <c r="M91">
        <v>14470608.460000001</v>
      </c>
      <c r="N91">
        <v>16745721.539999999</v>
      </c>
      <c r="O91">
        <v>18850050.440000001</v>
      </c>
      <c r="P91">
        <v>21179099.57</v>
      </c>
      <c r="Q91">
        <v>23966719.210000001</v>
      </c>
      <c r="R91">
        <v>27918323.449999999</v>
      </c>
      <c r="S91">
        <v>32673424.5</v>
      </c>
      <c r="T91">
        <v>38356534.840000004</v>
      </c>
      <c r="U91">
        <v>44716538.149999999</v>
      </c>
      <c r="V91">
        <v>51557760.049999997</v>
      </c>
      <c r="W91">
        <v>57603170.549999997</v>
      </c>
      <c r="X91">
        <v>63082547.43</v>
      </c>
      <c r="Y91">
        <v>67721586.730000004</v>
      </c>
      <c r="Z91">
        <v>71377577.519999996</v>
      </c>
      <c r="AA91">
        <v>74963490.680000007</v>
      </c>
      <c r="AB91">
        <v>78881257.620000005</v>
      </c>
      <c r="AC91">
        <v>83309112.930000007</v>
      </c>
      <c r="AD91">
        <v>88397200.810000002</v>
      </c>
      <c r="AE91">
        <v>94210787.140000001</v>
      </c>
      <c r="AF91">
        <v>100760534.59999999</v>
      </c>
      <c r="AG91">
        <v>108079205.09999999</v>
      </c>
      <c r="AH91">
        <v>116222116.7</v>
      </c>
      <c r="AI91">
        <v>125167385.2</v>
      </c>
      <c r="AJ91">
        <v>134927294.80000001</v>
      </c>
      <c r="AK91">
        <v>145534664.09999999</v>
      </c>
      <c r="AL91">
        <v>157007542.69999999</v>
      </c>
      <c r="AM91">
        <v>169359072.80000001</v>
      </c>
      <c r="AN91">
        <v>182543384.19999999</v>
      </c>
      <c r="AO91">
        <v>196525397.40000001</v>
      </c>
      <c r="AP91">
        <v>211308076.19999999</v>
      </c>
      <c r="AQ91">
        <v>226933354.09999999</v>
      </c>
      <c r="AR91">
        <v>243375746.19999999</v>
      </c>
      <c r="AS91">
        <v>260614928</v>
      </c>
      <c r="AT91">
        <v>278677050.69999999</v>
      </c>
      <c r="AU91">
        <v>297531806.39999998</v>
      </c>
      <c r="AV91">
        <v>317169865.80000001</v>
      </c>
      <c r="AW91">
        <v>337554482</v>
      </c>
    </row>
    <row r="92" spans="2:99" x14ac:dyDescent="0.25">
      <c r="B92" t="s">
        <v>192</v>
      </c>
      <c r="C92">
        <v>41062689.603059798</v>
      </c>
      <c r="D92">
        <v>41721964.366740197</v>
      </c>
      <c r="E92">
        <v>42391824</v>
      </c>
      <c r="F92">
        <v>48345314.210000001</v>
      </c>
      <c r="G92">
        <v>55477704.18</v>
      </c>
      <c r="H92">
        <v>62965906.909999996</v>
      </c>
      <c r="I92">
        <v>69361971.329999998</v>
      </c>
      <c r="J92">
        <v>76017125.069999903</v>
      </c>
      <c r="K92">
        <v>83526414.790000007</v>
      </c>
      <c r="L92" s="271">
        <v>92237841.450000003</v>
      </c>
      <c r="M92">
        <v>101475564.59999999</v>
      </c>
      <c r="N92">
        <v>110646663.8</v>
      </c>
      <c r="O92">
        <v>118202579.5</v>
      </c>
      <c r="P92">
        <v>126224867.5</v>
      </c>
      <c r="Q92">
        <v>135452343.69999999</v>
      </c>
      <c r="R92">
        <v>149127205.30000001</v>
      </c>
      <c r="S92">
        <v>164515225.40000001</v>
      </c>
      <c r="T92">
        <v>182711001.80000001</v>
      </c>
      <c r="U92">
        <v>201214428.30000001</v>
      </c>
      <c r="V92">
        <v>220336820.19999999</v>
      </c>
      <c r="W92">
        <v>236120390.09999999</v>
      </c>
      <c r="X92">
        <v>250554204.80000001</v>
      </c>
      <c r="Y92">
        <v>262037719.09999999</v>
      </c>
      <c r="Z92">
        <v>271043511.30000001</v>
      </c>
      <c r="AA92">
        <v>279606059</v>
      </c>
      <c r="AB92">
        <v>288746950.39999998</v>
      </c>
      <c r="AC92">
        <v>298877670.30000001</v>
      </c>
      <c r="AD92">
        <v>310231854.80000001</v>
      </c>
      <c r="AE92">
        <v>322856154.89999998</v>
      </c>
      <c r="AF92">
        <v>336648250.19999999</v>
      </c>
      <c r="AG92">
        <v>351542890.5</v>
      </c>
      <c r="AH92">
        <v>367496722.60000002</v>
      </c>
      <c r="AI92">
        <v>384348960.80000001</v>
      </c>
      <c r="AJ92">
        <v>401989156.19999999</v>
      </c>
      <c r="AK92">
        <v>420323247.80000001</v>
      </c>
      <c r="AL92">
        <v>439262467.30000001</v>
      </c>
      <c r="AM92">
        <v>458721505.89999998</v>
      </c>
      <c r="AN92">
        <v>478554376</v>
      </c>
      <c r="AO92">
        <v>498654670.10000002</v>
      </c>
      <c r="AP92">
        <v>518923879.69999999</v>
      </c>
      <c r="AQ92">
        <v>539333632</v>
      </c>
      <c r="AR92">
        <v>559784778.29999995</v>
      </c>
      <c r="AS92">
        <v>580199707.29999995</v>
      </c>
      <c r="AT92">
        <v>600572138.10000002</v>
      </c>
      <c r="AU92">
        <v>620819349.29999995</v>
      </c>
      <c r="AV92">
        <v>640884377.5</v>
      </c>
      <c r="AW92">
        <v>660688191.89999998</v>
      </c>
    </row>
    <row r="93" spans="2:99" x14ac:dyDescent="0.25">
      <c r="B93" t="s">
        <v>193</v>
      </c>
      <c r="C93">
        <v>291506404.18067801</v>
      </c>
      <c r="D93">
        <v>296186633.79021603</v>
      </c>
      <c r="E93">
        <v>300942006</v>
      </c>
      <c r="F93">
        <v>329964974.30000001</v>
      </c>
      <c r="G93">
        <v>360070927.60000002</v>
      </c>
      <c r="H93">
        <v>390119483</v>
      </c>
      <c r="I93">
        <v>415240477.39999998</v>
      </c>
      <c r="J93">
        <v>440303294.89999998</v>
      </c>
      <c r="K93">
        <v>467955648.69999999</v>
      </c>
      <c r="L93">
        <v>498064051.39999998</v>
      </c>
      <c r="M93">
        <v>527212265.60000002</v>
      </c>
      <c r="N93">
        <v>552712425.39999998</v>
      </c>
      <c r="O93">
        <v>573256646.20000005</v>
      </c>
      <c r="P93">
        <v>590600545.20000005</v>
      </c>
      <c r="Q93">
        <v>609192625.60000002</v>
      </c>
      <c r="R93">
        <v>632883847.39999998</v>
      </c>
      <c r="S93">
        <v>657651191.70000005</v>
      </c>
      <c r="T93">
        <v>683083097.20000005</v>
      </c>
      <c r="U93">
        <v>706793866.39999998</v>
      </c>
      <c r="V93">
        <v>729704748.5</v>
      </c>
      <c r="W93">
        <v>748850299.29999995</v>
      </c>
      <c r="X93">
        <v>765306686.10000002</v>
      </c>
      <c r="Y93">
        <v>778689456.5</v>
      </c>
      <c r="Z93">
        <v>790101280.39999998</v>
      </c>
      <c r="AA93">
        <v>800467579.20000005</v>
      </c>
      <c r="AB93">
        <v>810218089.20000005</v>
      </c>
      <c r="AC93">
        <v>819558078.70000005</v>
      </c>
      <c r="AD93">
        <v>828857207.89999998</v>
      </c>
      <c r="AE93">
        <v>838053113.29999995</v>
      </c>
      <c r="AF93">
        <v>847072012.70000005</v>
      </c>
      <c r="AG93">
        <v>855859211.5</v>
      </c>
      <c r="AH93">
        <v>864454986.39999998</v>
      </c>
      <c r="AI93">
        <v>872689896.5</v>
      </c>
      <c r="AJ93">
        <v>880412995.89999998</v>
      </c>
      <c r="AK93">
        <v>887618118.29999995</v>
      </c>
      <c r="AL93">
        <v>894229785.89999998</v>
      </c>
      <c r="AM93">
        <v>900179816</v>
      </c>
      <c r="AN93">
        <v>905322141.39999998</v>
      </c>
      <c r="AO93">
        <v>909690005.60000002</v>
      </c>
      <c r="AP93">
        <v>913289898.70000005</v>
      </c>
      <c r="AQ93">
        <v>916196933.60000002</v>
      </c>
      <c r="AR93">
        <v>918324900.29999995</v>
      </c>
      <c r="AS93">
        <v>919692394.39999998</v>
      </c>
      <c r="AT93">
        <v>920381160.29999995</v>
      </c>
      <c r="AU93">
        <v>920366090.79999995</v>
      </c>
      <c r="AV93">
        <v>919640483.29999995</v>
      </c>
      <c r="AW93">
        <v>918202148.89999998</v>
      </c>
    </row>
    <row r="94" spans="2:99" x14ac:dyDescent="0.25">
      <c r="B94" t="s">
        <v>194</v>
      </c>
      <c r="C94">
        <v>640671991.67983496</v>
      </c>
      <c r="D94">
        <v>650958187.73748195</v>
      </c>
      <c r="E94">
        <v>661409532</v>
      </c>
      <c r="F94">
        <v>679027059.5</v>
      </c>
      <c r="G94">
        <v>696714100.29999995</v>
      </c>
      <c r="H94">
        <v>714672816.79999995</v>
      </c>
      <c r="I94">
        <v>730173435.89999998</v>
      </c>
      <c r="J94">
        <v>745783347.89999998</v>
      </c>
      <c r="K94">
        <v>763257447.29999995</v>
      </c>
      <c r="L94">
        <v>782069054.20000005</v>
      </c>
      <c r="M94">
        <v>799903538.89999998</v>
      </c>
      <c r="N94">
        <v>815040239.79999995</v>
      </c>
      <c r="O94">
        <v>828729368.5</v>
      </c>
      <c r="P94">
        <v>839629799.60000002</v>
      </c>
      <c r="Q94">
        <v>850799540.29999995</v>
      </c>
      <c r="R94">
        <v>861720601.70000005</v>
      </c>
      <c r="S94">
        <v>872384831.10000002</v>
      </c>
      <c r="T94">
        <v>880981250.29999995</v>
      </c>
      <c r="U94">
        <v>888416396.70000005</v>
      </c>
      <c r="V94">
        <v>895528966.79999995</v>
      </c>
      <c r="W94">
        <v>903569682.10000002</v>
      </c>
      <c r="X94">
        <v>910885438.29999995</v>
      </c>
      <c r="Y94">
        <v>918788152.70000005</v>
      </c>
      <c r="Z94">
        <v>927511082.29999995</v>
      </c>
      <c r="AA94">
        <v>935820496.5</v>
      </c>
      <c r="AB94">
        <v>943010667.20000005</v>
      </c>
      <c r="AC94">
        <v>948812465</v>
      </c>
      <c r="AD94">
        <v>953493654.79999995</v>
      </c>
      <c r="AE94">
        <v>956911591.89999998</v>
      </c>
      <c r="AF94">
        <v>959084319.20000005</v>
      </c>
      <c r="AG94">
        <v>960013653.89999998</v>
      </c>
      <c r="AH94">
        <v>959841269.60000002</v>
      </c>
      <c r="AI94">
        <v>958492168.10000002</v>
      </c>
      <c r="AJ94">
        <v>955918668.20000005</v>
      </c>
      <c r="AK94">
        <v>952276208.29999995</v>
      </c>
      <c r="AL94">
        <v>947555538.10000002</v>
      </c>
      <c r="AM94">
        <v>941732275</v>
      </c>
      <c r="AN94">
        <v>934672486</v>
      </c>
      <c r="AO94">
        <v>926410679.89999998</v>
      </c>
      <c r="AP94">
        <v>917026330.20000005</v>
      </c>
      <c r="AQ94">
        <v>906663630</v>
      </c>
      <c r="AR94">
        <v>895284786.60000002</v>
      </c>
      <c r="AS94">
        <v>882976218.79999995</v>
      </c>
      <c r="AT94">
        <v>869807846.39999998</v>
      </c>
      <c r="AU94">
        <v>855803238.10000002</v>
      </c>
      <c r="AV94">
        <v>841009800.89999998</v>
      </c>
      <c r="AW94">
        <v>826995919.89999998</v>
      </c>
    </row>
    <row r="95" spans="2:99" x14ac:dyDescent="0.25">
      <c r="B95" t="s">
        <v>195</v>
      </c>
      <c r="C95">
        <v>762047427.55376601</v>
      </c>
      <c r="D95">
        <v>774282345.494367</v>
      </c>
      <c r="E95">
        <v>786713699</v>
      </c>
      <c r="F95">
        <v>767699567.39999998</v>
      </c>
      <c r="G95">
        <v>747527873.20000005</v>
      </c>
      <c r="H95">
        <v>727494973</v>
      </c>
      <c r="I95">
        <v>712522370.20000005</v>
      </c>
      <c r="J95">
        <v>697740250.89999998</v>
      </c>
      <c r="K95">
        <v>680521892.60000002</v>
      </c>
      <c r="L95">
        <v>661043105.79999995</v>
      </c>
      <c r="M95">
        <v>642531837.60000002</v>
      </c>
      <c r="N95">
        <v>627533010.20000005</v>
      </c>
      <c r="O95">
        <v>618851169.29999995</v>
      </c>
      <c r="P95">
        <v>613133278.70000005</v>
      </c>
      <c r="Q95">
        <v>606013796.5</v>
      </c>
      <c r="R95">
        <v>592868486.5</v>
      </c>
      <c r="S95">
        <v>578088001.10000002</v>
      </c>
      <c r="T95">
        <v>561834886.89999998</v>
      </c>
      <c r="U95">
        <v>546572695.29999995</v>
      </c>
      <c r="V95">
        <v>532419949.80000001</v>
      </c>
      <c r="W95">
        <v>522166338.89999998</v>
      </c>
      <c r="X95">
        <v>514370185.10000002</v>
      </c>
      <c r="Y95">
        <v>509625473.39999998</v>
      </c>
      <c r="Z95">
        <v>507020985.5</v>
      </c>
      <c r="AA95">
        <v>505135372</v>
      </c>
      <c r="AB95">
        <v>503245265.5</v>
      </c>
      <c r="AC95">
        <v>501028212.5</v>
      </c>
      <c r="AD95">
        <v>498355484.80000001</v>
      </c>
      <c r="AE95">
        <v>495204721.5</v>
      </c>
      <c r="AF95">
        <v>491633443.39999998</v>
      </c>
      <c r="AG95">
        <v>487685841.89999998</v>
      </c>
      <c r="AH95">
        <v>483405464.60000002</v>
      </c>
      <c r="AI95">
        <v>478852541.39999998</v>
      </c>
      <c r="AJ95">
        <v>474107690.10000002</v>
      </c>
      <c r="AK95">
        <v>469267439.30000001</v>
      </c>
      <c r="AL95">
        <v>464384198.5</v>
      </c>
      <c r="AM95">
        <v>459489088.69999999</v>
      </c>
      <c r="AN95">
        <v>454578971.39999998</v>
      </c>
      <c r="AO95">
        <v>449584524.39999998</v>
      </c>
      <c r="AP95">
        <v>444499425.80000001</v>
      </c>
      <c r="AQ95">
        <v>439342656.30000001</v>
      </c>
      <c r="AR95">
        <v>434129997.69999999</v>
      </c>
      <c r="AS95">
        <v>428872564.89999998</v>
      </c>
      <c r="AT95">
        <v>423545053.80000001</v>
      </c>
      <c r="AU95">
        <v>418144908.10000002</v>
      </c>
      <c r="AV95">
        <v>412675589.60000002</v>
      </c>
      <c r="AW95">
        <v>407147815.89999998</v>
      </c>
    </row>
    <row r="96" spans="2:99" x14ac:dyDescent="0.25">
      <c r="B96" t="s">
        <v>196</v>
      </c>
      <c r="C96">
        <v>399231640.45290101</v>
      </c>
      <c r="D96">
        <v>405641433.57550502</v>
      </c>
      <c r="E96">
        <v>412154138</v>
      </c>
      <c r="F96">
        <v>399770950.30000001</v>
      </c>
      <c r="G96">
        <v>386963496.89999998</v>
      </c>
      <c r="H96">
        <v>374323009.60000002</v>
      </c>
      <c r="I96">
        <v>364686689.80000001</v>
      </c>
      <c r="J96">
        <v>355200166.80000001</v>
      </c>
      <c r="K96">
        <v>344310224.19999999</v>
      </c>
      <c r="L96">
        <v>332226906.69999999</v>
      </c>
      <c r="M96">
        <v>320914479.80000001</v>
      </c>
      <c r="N96">
        <v>311838186</v>
      </c>
      <c r="O96">
        <v>306397282.30000001</v>
      </c>
      <c r="P96">
        <v>302798126.39999998</v>
      </c>
      <c r="Q96">
        <v>298527730.39999998</v>
      </c>
      <c r="R96">
        <v>291233626.19999999</v>
      </c>
      <c r="S96">
        <v>283181391.89999998</v>
      </c>
      <c r="T96">
        <v>274583841.19999999</v>
      </c>
      <c r="U96">
        <v>266580822.69999999</v>
      </c>
      <c r="V96">
        <v>259249835.69999999</v>
      </c>
      <c r="W96">
        <v>253789107.69999999</v>
      </c>
      <c r="X96">
        <v>249568583.59999999</v>
      </c>
      <c r="Y96">
        <v>246796677.80000001</v>
      </c>
      <c r="Z96">
        <v>245007161.80000001</v>
      </c>
      <c r="AA96">
        <v>243598781.30000001</v>
      </c>
      <c r="AB96">
        <v>242258580.90000001</v>
      </c>
      <c r="AC96">
        <v>240838186.59999999</v>
      </c>
      <c r="AD96">
        <v>239275434.40000001</v>
      </c>
      <c r="AE96">
        <v>237554926.19999999</v>
      </c>
      <c r="AF96">
        <v>235692388.69999999</v>
      </c>
      <c r="AG96">
        <v>233698856.80000001</v>
      </c>
      <c r="AH96">
        <v>231587008.30000001</v>
      </c>
      <c r="AI96">
        <v>229374556.30000001</v>
      </c>
      <c r="AJ96">
        <v>227097392.09999999</v>
      </c>
      <c r="AK96">
        <v>224796139.19999999</v>
      </c>
      <c r="AL96">
        <v>222489801.30000001</v>
      </c>
      <c r="AM96">
        <v>220187013.19999999</v>
      </c>
      <c r="AN96">
        <v>217877411</v>
      </c>
      <c r="AO96">
        <v>215513737.90000001</v>
      </c>
      <c r="AP96">
        <v>213084789</v>
      </c>
      <c r="AQ96">
        <v>210596042.69999999</v>
      </c>
      <c r="AR96">
        <v>208054575.19999999</v>
      </c>
      <c r="AS96">
        <v>205461909</v>
      </c>
      <c r="AT96">
        <v>202800608.80000001</v>
      </c>
      <c r="AU96">
        <v>200067959.19999999</v>
      </c>
      <c r="AV96">
        <v>197267083.09999999</v>
      </c>
      <c r="AW96">
        <v>194404252</v>
      </c>
    </row>
    <row r="97" spans="2:49" x14ac:dyDescent="0.25">
      <c r="B97" t="s">
        <v>197</v>
      </c>
      <c r="C97">
        <v>182970972.649156</v>
      </c>
      <c r="D97">
        <v>185908630.79867601</v>
      </c>
      <c r="E97">
        <v>188893454</v>
      </c>
      <c r="F97">
        <v>191056225.80000001</v>
      </c>
      <c r="G97">
        <v>192244893.59999999</v>
      </c>
      <c r="H97">
        <v>192705774.80000001</v>
      </c>
      <c r="I97">
        <v>194071059.69999999</v>
      </c>
      <c r="J97">
        <v>195013257.30000001</v>
      </c>
      <c r="K97">
        <v>194564057.80000001</v>
      </c>
      <c r="L97">
        <v>192646774.30000001</v>
      </c>
      <c r="M97">
        <v>190490103.09999999</v>
      </c>
      <c r="N97">
        <v>189152753.19999999</v>
      </c>
      <c r="O97">
        <v>189701349.59999999</v>
      </c>
      <c r="P97">
        <v>191092550.19999999</v>
      </c>
      <c r="Q97">
        <v>191729756.90000001</v>
      </c>
      <c r="R97">
        <v>189715034.90000001</v>
      </c>
      <c r="S97">
        <v>186657673.90000001</v>
      </c>
      <c r="T97">
        <v>182678959</v>
      </c>
      <c r="U97">
        <v>178762829.40000001</v>
      </c>
      <c r="V97">
        <v>174985108.5</v>
      </c>
      <c r="W97">
        <v>172425532.40000001</v>
      </c>
      <c r="X97">
        <v>170643877.40000001</v>
      </c>
      <c r="Y97">
        <v>169885028.90000001</v>
      </c>
      <c r="Z97">
        <v>169790310.59999999</v>
      </c>
      <c r="AA97">
        <v>169892246.30000001</v>
      </c>
      <c r="AB97">
        <v>169923875.09999999</v>
      </c>
      <c r="AC97">
        <v>169760446.19999999</v>
      </c>
      <c r="AD97">
        <v>169353379.69999999</v>
      </c>
      <c r="AE97">
        <v>168691752.59999999</v>
      </c>
      <c r="AF97">
        <v>167795392.30000001</v>
      </c>
      <c r="AG97">
        <v>166684765.09999999</v>
      </c>
      <c r="AH97">
        <v>165377356.09999999</v>
      </c>
      <c r="AI97">
        <v>163892500</v>
      </c>
      <c r="AJ97">
        <v>162259317.90000001</v>
      </c>
      <c r="AK97">
        <v>160522076.69999999</v>
      </c>
      <c r="AL97">
        <v>158709478.40000001</v>
      </c>
      <c r="AM97">
        <v>156842163.19999999</v>
      </c>
      <c r="AN97">
        <v>154925564.90000001</v>
      </c>
      <c r="AO97">
        <v>152936494.59999999</v>
      </c>
      <c r="AP97">
        <v>150879341</v>
      </c>
      <c r="AQ97">
        <v>148768439.19999999</v>
      </c>
      <c r="AR97">
        <v>146616881.80000001</v>
      </c>
      <c r="AS97">
        <v>144436005</v>
      </c>
      <c r="AT97">
        <v>142229232.40000001</v>
      </c>
      <c r="AU97">
        <v>140002934.09999999</v>
      </c>
      <c r="AV97">
        <v>137761825.69999999</v>
      </c>
      <c r="AW97">
        <v>135510308.5</v>
      </c>
    </row>
    <row r="98" spans="2:49" x14ac:dyDescent="0.25">
      <c r="B98" t="s">
        <v>198</v>
      </c>
      <c r="C98">
        <v>61.608374519870097</v>
      </c>
      <c r="D98">
        <v>61.608374519870097</v>
      </c>
      <c r="E98">
        <v>62.323336920000003</v>
      </c>
      <c r="F98">
        <v>62.123785300000002</v>
      </c>
      <c r="G98">
        <v>62.707758349999999</v>
      </c>
      <c r="H98">
        <v>62.704175919999997</v>
      </c>
      <c r="I98">
        <v>64.549639639999995</v>
      </c>
      <c r="J98">
        <v>64.739390540000002</v>
      </c>
      <c r="K98">
        <v>65.168394280000001</v>
      </c>
      <c r="L98">
        <v>64.941216960000006</v>
      </c>
      <c r="M98">
        <v>69.277368890000005</v>
      </c>
      <c r="N98">
        <v>73.644992849999994</v>
      </c>
      <c r="O98">
        <v>79.897094480000007</v>
      </c>
      <c r="P98">
        <v>86.504941380000005</v>
      </c>
      <c r="Q98">
        <v>97.084078910000002</v>
      </c>
      <c r="R98">
        <v>97.370617839999994</v>
      </c>
      <c r="S98">
        <v>97.131003309999997</v>
      </c>
      <c r="T98">
        <v>97.110488480000001</v>
      </c>
      <c r="U98">
        <v>97.491412130000001</v>
      </c>
      <c r="V98">
        <v>98.034031170000006</v>
      </c>
      <c r="W98">
        <v>98.727796429999998</v>
      </c>
      <c r="X98">
        <v>100.29547959999999</v>
      </c>
      <c r="Y98">
        <v>98.690272699999994</v>
      </c>
      <c r="Z98">
        <v>96.920566429999994</v>
      </c>
      <c r="AA98">
        <v>95.099489379999994</v>
      </c>
      <c r="AB98">
        <v>93.311644020000003</v>
      </c>
      <c r="AC98">
        <v>91.562272919999998</v>
      </c>
      <c r="AD98">
        <v>89.957481060000006</v>
      </c>
      <c r="AE98">
        <v>88.360548519999995</v>
      </c>
      <c r="AF98">
        <v>86.927999069999998</v>
      </c>
      <c r="AG98">
        <v>85.441594230000007</v>
      </c>
      <c r="AH98">
        <v>83.964549079999998</v>
      </c>
      <c r="AI98">
        <v>82.596751679999997</v>
      </c>
      <c r="AJ98">
        <v>81.251185910000004</v>
      </c>
      <c r="AK98">
        <v>79.94709632</v>
      </c>
      <c r="AL98">
        <v>78.708368329999999</v>
      </c>
      <c r="AM98">
        <v>77.540338500000004</v>
      </c>
      <c r="AN98">
        <v>77.893122820000002</v>
      </c>
      <c r="AO98">
        <v>78.455709970000001</v>
      </c>
      <c r="AP98">
        <v>79.212546649999894</v>
      </c>
      <c r="AQ98">
        <v>80.188272459999894</v>
      </c>
      <c r="AR98">
        <v>81.390398039999994</v>
      </c>
      <c r="AS98">
        <v>81.546492000000001</v>
      </c>
      <c r="AT98">
        <v>81.804319190000001</v>
      </c>
      <c r="AU98">
        <v>82.167499070000005</v>
      </c>
      <c r="AV98">
        <v>82.653347879999998</v>
      </c>
      <c r="AW98">
        <v>83.271475390000006</v>
      </c>
    </row>
    <row r="99" spans="2:49" x14ac:dyDescent="0.25">
      <c r="B99" t="s">
        <v>507</v>
      </c>
      <c r="C99">
        <v>61.608374519870097</v>
      </c>
      <c r="D99">
        <v>61.608374519870097</v>
      </c>
      <c r="E99">
        <v>62.323336920000003</v>
      </c>
      <c r="F99">
        <v>62.123785300000002</v>
      </c>
      <c r="G99">
        <v>62.707758349999999</v>
      </c>
      <c r="H99">
        <v>62.704175919999997</v>
      </c>
      <c r="I99">
        <v>64.549639639999995</v>
      </c>
      <c r="J99">
        <v>64.739390540000002</v>
      </c>
      <c r="K99">
        <v>65.168394280000001</v>
      </c>
      <c r="L99">
        <v>64.941216960000006</v>
      </c>
      <c r="M99">
        <v>69.277368890000005</v>
      </c>
      <c r="N99">
        <v>73.644992849999994</v>
      </c>
      <c r="O99">
        <v>79.897094480000007</v>
      </c>
      <c r="P99">
        <v>86.504941380000005</v>
      </c>
      <c r="Q99">
        <v>97.084078910000002</v>
      </c>
      <c r="R99">
        <v>97.370617839999994</v>
      </c>
      <c r="S99">
        <v>97.131003309999997</v>
      </c>
      <c r="T99">
        <v>97.110488480000001</v>
      </c>
      <c r="U99">
        <v>97.491412130000001</v>
      </c>
      <c r="V99">
        <v>98.034031170000006</v>
      </c>
      <c r="W99">
        <v>98.668769710000007</v>
      </c>
      <c r="X99">
        <v>100.10697879999999</v>
      </c>
      <c r="Y99">
        <v>98.358831600000002</v>
      </c>
      <c r="Z99">
        <v>96.442627920000007</v>
      </c>
      <c r="AA99">
        <v>94.480803210000005</v>
      </c>
      <c r="AB99">
        <v>92.556008520000006</v>
      </c>
      <c r="AC99">
        <v>90.671199479999999</v>
      </c>
      <c r="AD99">
        <v>88.935806119999995</v>
      </c>
      <c r="AE99">
        <v>87.215661530000006</v>
      </c>
      <c r="AF99">
        <v>85.661864510000001</v>
      </c>
      <c r="AG99">
        <v>84.060675149999994</v>
      </c>
      <c r="AH99">
        <v>82.474881809999999</v>
      </c>
      <c r="AI99">
        <v>81.009019749999894</v>
      </c>
      <c r="AJ99">
        <v>79.568921829999894</v>
      </c>
      <c r="AK99">
        <v>78.17371618</v>
      </c>
      <c r="AL99">
        <v>76.846369820000007</v>
      </c>
      <c r="AM99">
        <v>75.591807750000001</v>
      </c>
      <c r="AN99">
        <v>75.89135177</v>
      </c>
      <c r="AO99">
        <v>76.404481020000006</v>
      </c>
      <c r="AP99">
        <v>77.117674019999995</v>
      </c>
      <c r="AQ99">
        <v>78.054377189999997</v>
      </c>
      <c r="AR99">
        <v>79.221236050000002</v>
      </c>
      <c r="AS99">
        <v>79.33180969</v>
      </c>
      <c r="AT99">
        <v>79.539345659999995</v>
      </c>
      <c r="AU99">
        <v>79.847626869999999</v>
      </c>
      <c r="AV99">
        <v>80.27126054</v>
      </c>
      <c r="AW99">
        <v>80.813884259999995</v>
      </c>
    </row>
    <row r="100" spans="2:49" x14ac:dyDescent="0.25">
      <c r="B100" t="s">
        <v>199</v>
      </c>
      <c r="C100">
        <v>0.96116878123798499</v>
      </c>
      <c r="D100">
        <v>0.98039215686274495</v>
      </c>
      <c r="E100">
        <v>0.99123344449999995</v>
      </c>
      <c r="F100">
        <v>0.99848436959999998</v>
      </c>
      <c r="G100">
        <v>1.0084733340000001</v>
      </c>
      <c r="H100">
        <v>1.030904117</v>
      </c>
      <c r="I100">
        <v>1.0393482380000001</v>
      </c>
      <c r="J100">
        <v>1.043051889</v>
      </c>
      <c r="K100">
        <v>1.047062793</v>
      </c>
      <c r="L100">
        <v>1.0601075230000001</v>
      </c>
      <c r="M100">
        <v>1.0748079269999999</v>
      </c>
      <c r="N100">
        <v>1.0911527649999999</v>
      </c>
      <c r="O100">
        <v>1.102027313</v>
      </c>
      <c r="P100">
        <v>1.1097140130000001</v>
      </c>
      <c r="Q100">
        <v>1.1207560620000001</v>
      </c>
      <c r="R100">
        <v>1.1412625830000001</v>
      </c>
      <c r="S100">
        <v>1.1628440710000001</v>
      </c>
      <c r="T100">
        <v>1.1853437090000001</v>
      </c>
      <c r="U100">
        <v>1.207797891</v>
      </c>
      <c r="V100">
        <v>1.2344418610000001</v>
      </c>
      <c r="W100">
        <v>1.261146511</v>
      </c>
      <c r="X100">
        <v>1.28795288</v>
      </c>
      <c r="Y100">
        <v>1.3158444899999999</v>
      </c>
      <c r="Z100">
        <v>1.344469983</v>
      </c>
      <c r="AA100">
        <v>1.3764304629999999</v>
      </c>
      <c r="AB100">
        <v>1.409957621</v>
      </c>
      <c r="AC100">
        <v>1.445200643</v>
      </c>
      <c r="AD100">
        <v>1.4811955109999999</v>
      </c>
      <c r="AE100">
        <v>1.5192036040000001</v>
      </c>
      <c r="AF100">
        <v>1.5557588449999999</v>
      </c>
      <c r="AG100">
        <v>1.595751814</v>
      </c>
      <c r="AH100">
        <v>1.638024666</v>
      </c>
      <c r="AI100">
        <v>1.6806107880000001</v>
      </c>
      <c r="AJ100">
        <v>1.725064929</v>
      </c>
      <c r="AK100">
        <v>1.7711252740000001</v>
      </c>
      <c r="AL100">
        <v>1.8179731130000001</v>
      </c>
      <c r="AM100">
        <v>1.865322181</v>
      </c>
      <c r="AN100">
        <v>1.9134005279999999</v>
      </c>
      <c r="AO100">
        <v>1.9618670389999999</v>
      </c>
      <c r="AP100">
        <v>2.0112985970000001</v>
      </c>
      <c r="AQ100">
        <v>2.0612048359999999</v>
      </c>
      <c r="AR100">
        <v>2.1121104289999999</v>
      </c>
      <c r="AS100">
        <v>2.1631052199999998</v>
      </c>
      <c r="AT100">
        <v>2.2146090969999999</v>
      </c>
      <c r="AU100">
        <v>2.2663596159999999</v>
      </c>
      <c r="AV100">
        <v>2.3175406459999999</v>
      </c>
      <c r="AW100">
        <v>2.3683334249999999</v>
      </c>
    </row>
    <row r="101" spans="2:49" x14ac:dyDescent="0.25">
      <c r="B101" t="s">
        <v>508</v>
      </c>
      <c r="C101">
        <v>0.96116878123798499</v>
      </c>
      <c r="D101">
        <v>0.98039215686274495</v>
      </c>
      <c r="E101">
        <v>0.99123344449999995</v>
      </c>
      <c r="F101">
        <v>0.99848436959999998</v>
      </c>
      <c r="G101">
        <v>1.0084733340000001</v>
      </c>
      <c r="H101">
        <v>1.030904117</v>
      </c>
      <c r="I101">
        <v>1.0393482380000001</v>
      </c>
      <c r="J101">
        <v>1.043051889</v>
      </c>
      <c r="K101">
        <v>1.047062793</v>
      </c>
      <c r="L101">
        <v>1.0601075230000001</v>
      </c>
      <c r="M101">
        <v>1.0748079269999999</v>
      </c>
      <c r="N101">
        <v>1.0911527649999999</v>
      </c>
      <c r="O101">
        <v>1.102027313</v>
      </c>
      <c r="P101">
        <v>1.1097140130000001</v>
      </c>
      <c r="Q101">
        <v>1.1207560620000001</v>
      </c>
      <c r="R101">
        <v>1.1412625830000001</v>
      </c>
      <c r="S101">
        <v>1.1628440710000001</v>
      </c>
      <c r="T101">
        <v>1.1853437090000001</v>
      </c>
      <c r="U101">
        <v>1.207797891</v>
      </c>
      <c r="V101">
        <v>1.2344418610000001</v>
      </c>
      <c r="W101">
        <v>1.261310588</v>
      </c>
      <c r="X101">
        <v>1.2881003070000001</v>
      </c>
      <c r="Y101">
        <v>1.3157910960000001</v>
      </c>
      <c r="Z101">
        <v>1.3440651990000001</v>
      </c>
      <c r="AA101">
        <v>1.375577837</v>
      </c>
      <c r="AB101">
        <v>1.408575546</v>
      </c>
      <c r="AC101">
        <v>1.4432031359999999</v>
      </c>
      <c r="AD101">
        <v>1.4784874219999999</v>
      </c>
      <c r="AE101">
        <v>1.5156915639999999</v>
      </c>
      <c r="AF101">
        <v>1.551369107</v>
      </c>
      <c r="AG101">
        <v>1.590393073</v>
      </c>
      <c r="AH101">
        <v>1.63161801</v>
      </c>
      <c r="AI101">
        <v>1.6730701670000001</v>
      </c>
      <c r="AJ101">
        <v>1.716321236</v>
      </c>
      <c r="AK101">
        <v>1.761119216</v>
      </c>
      <c r="AL101">
        <v>1.8066554500000001</v>
      </c>
      <c r="AM101">
        <v>1.8526513330000001</v>
      </c>
      <c r="AN101">
        <v>1.8993496889999999</v>
      </c>
      <c r="AO101">
        <v>1.946429427</v>
      </c>
      <c r="AP101">
        <v>1.9945121960000001</v>
      </c>
      <c r="AQ101">
        <v>2.0431630570000001</v>
      </c>
      <c r="AR101">
        <v>2.093004509</v>
      </c>
      <c r="AS101">
        <v>2.1431264109999999</v>
      </c>
      <c r="AT101">
        <v>2.1942167370000001</v>
      </c>
      <c r="AU101">
        <v>2.2461769949999999</v>
      </c>
      <c r="AV101">
        <v>2.2983800040000002</v>
      </c>
      <c r="AW101">
        <v>2.3513281899999998</v>
      </c>
    </row>
    <row r="102" spans="2:49" x14ac:dyDescent="0.25">
      <c r="B102" t="s">
        <v>509</v>
      </c>
      <c r="C102">
        <v>0</v>
      </c>
      <c r="D102" s="39">
        <v>0</v>
      </c>
      <c r="E102" s="39">
        <v>0</v>
      </c>
      <c r="F102" s="39">
        <v>0</v>
      </c>
      <c r="G102" s="39">
        <v>0</v>
      </c>
      <c r="H102" s="39">
        <v>0</v>
      </c>
      <c r="I102" s="39">
        <v>0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>
        <v>0.12542791889382701</v>
      </c>
      <c r="X102">
        <v>0.17641194678095201</v>
      </c>
      <c r="Y102">
        <v>0.20455243141788099</v>
      </c>
      <c r="Z102">
        <v>0.225176474329913</v>
      </c>
      <c r="AA102">
        <v>0.24638838800294899</v>
      </c>
      <c r="AB102">
        <v>0.26825407647765798</v>
      </c>
      <c r="AC102">
        <v>0.286356823362243</v>
      </c>
      <c r="AD102">
        <v>0.29979511331863501</v>
      </c>
      <c r="AE102">
        <v>0.31055433127655802</v>
      </c>
      <c r="AF102">
        <v>0.31937628640938898</v>
      </c>
      <c r="AG102" s="39">
        <v>0.32468659096962499</v>
      </c>
      <c r="AH102" s="39">
        <v>0.325917909024942</v>
      </c>
      <c r="AI102">
        <v>0.324037963201528</v>
      </c>
      <c r="AJ102">
        <v>0.32137970882948302</v>
      </c>
      <c r="AK102">
        <v>0.31808357908884499</v>
      </c>
      <c r="AL102" s="39">
        <v>0.313864680497277</v>
      </c>
      <c r="AM102">
        <v>0.30844181443583302</v>
      </c>
      <c r="AN102">
        <v>0.301272189033152</v>
      </c>
      <c r="AO102">
        <v>0.29371235955997199</v>
      </c>
      <c r="AP102">
        <v>0.28557118419394401</v>
      </c>
      <c r="AQ102">
        <v>0.27800754998654698</v>
      </c>
      <c r="AR102">
        <v>0.26684200139019898</v>
      </c>
      <c r="AS102">
        <v>0.25373920167317499</v>
      </c>
      <c r="AT102">
        <v>0.24977825307093099</v>
      </c>
      <c r="AU102">
        <v>0.25462214889739798</v>
      </c>
      <c r="AV102">
        <v>0.26692784795629898</v>
      </c>
      <c r="AW102">
        <v>0.28924886639534098</v>
      </c>
    </row>
    <row r="103" spans="2:49" x14ac:dyDescent="0.25">
      <c r="B103" t="s">
        <v>510</v>
      </c>
      <c r="C103" s="39">
        <v>0</v>
      </c>
      <c r="D103" s="39">
        <v>0</v>
      </c>
      <c r="E103" s="39">
        <v>0</v>
      </c>
      <c r="F103" s="39">
        <v>0</v>
      </c>
      <c r="G103" s="39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T103" s="39">
        <v>0</v>
      </c>
      <c r="U103" s="39">
        <v>0</v>
      </c>
      <c r="V103" s="39">
        <v>0</v>
      </c>
      <c r="W103" s="39">
        <v>7.1473228017149198E-2</v>
      </c>
      <c r="X103">
        <v>0.15212167178271199</v>
      </c>
      <c r="Y103">
        <v>0.169474778167266</v>
      </c>
      <c r="Z103">
        <v>0.17415238683451401</v>
      </c>
      <c r="AA103">
        <v>0.182959589397691</v>
      </c>
      <c r="AB103">
        <v>0.19828228963567601</v>
      </c>
      <c r="AC103">
        <v>0.21903286570041899</v>
      </c>
      <c r="AD103">
        <v>0.22633716261519701</v>
      </c>
      <c r="AE103">
        <v>0.231177512293334</v>
      </c>
      <c r="AF103">
        <v>0.23517624433340101</v>
      </c>
      <c r="AG103">
        <v>0.235139763935587</v>
      </c>
      <c r="AH103">
        <v>0.24309048260888699</v>
      </c>
      <c r="AI103">
        <v>0.22939606023539799</v>
      </c>
      <c r="AJ103">
        <v>0.21827736159683001</v>
      </c>
      <c r="AK103">
        <v>0.20866700298851601</v>
      </c>
      <c r="AL103">
        <v>0.19858694681860101</v>
      </c>
      <c r="AM103">
        <v>0.18695498855141299</v>
      </c>
      <c r="AN103">
        <v>0.172628349684433</v>
      </c>
      <c r="AO103">
        <v>0.15818128192372999</v>
      </c>
      <c r="AP103">
        <v>0.143076434742339</v>
      </c>
      <c r="AQ103">
        <v>0.12808127833026001</v>
      </c>
      <c r="AR103">
        <v>0.13645279658644999</v>
      </c>
      <c r="AS103">
        <v>9.4422426809170901E-2</v>
      </c>
      <c r="AT103">
        <v>7.1099148316644503E-2</v>
      </c>
      <c r="AU103">
        <v>6.08122387411036E-2</v>
      </c>
      <c r="AV103">
        <v>5.6784110757357398E-2</v>
      </c>
      <c r="AW103">
        <v>6.0785018271203299E-2</v>
      </c>
    </row>
    <row r="104" spans="2:49" x14ac:dyDescent="0.25">
      <c r="B104" t="s">
        <v>511</v>
      </c>
      <c r="C104">
        <v>0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T104">
        <v>0</v>
      </c>
      <c r="U104">
        <v>0</v>
      </c>
      <c r="V104">
        <v>0</v>
      </c>
      <c r="W104">
        <v>1.07269176179785</v>
      </c>
      <c r="X104">
        <v>1.1682314760936801</v>
      </c>
      <c r="Y104">
        <v>1.3301606448693699</v>
      </c>
      <c r="Z104">
        <v>1.4580112160162899</v>
      </c>
      <c r="AA104">
        <v>1.5995167389595899</v>
      </c>
      <c r="AB104">
        <v>1.7393677877043601</v>
      </c>
      <c r="AC104">
        <v>1.8467385090330499</v>
      </c>
      <c r="AD104">
        <v>1.9612651657340701</v>
      </c>
      <c r="AE104">
        <v>2.07600335112943</v>
      </c>
      <c r="AF104">
        <v>2.1847891728939</v>
      </c>
      <c r="AG104">
        <v>2.2859675775088899</v>
      </c>
      <c r="AH104">
        <v>2.35784598301138</v>
      </c>
      <c r="AI104">
        <v>2.4439908041955198</v>
      </c>
      <c r="AJ104">
        <v>2.5311632891725502</v>
      </c>
      <c r="AK104">
        <v>2.6141938408423999</v>
      </c>
      <c r="AL104">
        <v>2.6930959163213601</v>
      </c>
      <c r="AM104" s="39">
        <v>2.7677071678743501</v>
      </c>
      <c r="AN104">
        <v>2.8521901174084698</v>
      </c>
      <c r="AO104">
        <v>2.9212940692931699</v>
      </c>
      <c r="AP104">
        <v>2.9847979714669099</v>
      </c>
      <c r="AQ104">
        <v>3.0462767227151302</v>
      </c>
      <c r="AR104">
        <v>3.0535479417735698</v>
      </c>
      <c r="AS104">
        <v>3.1047478467432099</v>
      </c>
      <c r="AT104">
        <v>3.1732831164156199</v>
      </c>
      <c r="AU104">
        <v>3.25133410357516</v>
      </c>
      <c r="AV104">
        <v>3.33543228997386</v>
      </c>
      <c r="AW104" s="39">
        <v>3.4258296722400301</v>
      </c>
    </row>
    <row r="105" spans="2:49" x14ac:dyDescent="0.25">
      <c r="B105" t="s">
        <v>512</v>
      </c>
      <c r="C105" s="39">
        <v>0</v>
      </c>
      <c r="D105" s="39">
        <v>0</v>
      </c>
      <c r="E105" s="39">
        <v>0</v>
      </c>
      <c r="F105" s="39">
        <v>0</v>
      </c>
      <c r="G105" s="39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2.06379797247358E-3</v>
      </c>
      <c r="X105" s="39">
        <v>1.0219248075982101E-3</v>
      </c>
      <c r="Y105">
        <v>-4.3347053788389501E-3</v>
      </c>
      <c r="Z105">
        <v>-1.44018650780841E-2</v>
      </c>
      <c r="AA105">
        <v>-2.8534222313547599E-2</v>
      </c>
      <c r="AB105">
        <v>-4.6482987555851403E-2</v>
      </c>
      <c r="AC105">
        <v>-6.8242642376203894E-2</v>
      </c>
      <c r="AD105" s="39">
        <v>-9.3334653242471699E-2</v>
      </c>
      <c r="AE105" s="39">
        <v>-0.121863996663507</v>
      </c>
      <c r="AF105" s="39">
        <v>-0.153349323193607</v>
      </c>
      <c r="AG105" s="39">
        <v>-0.18747301497159499</v>
      </c>
      <c r="AH105">
        <v>-0.223936247803358</v>
      </c>
      <c r="AI105" s="39">
        <v>-0.26215008984432597</v>
      </c>
      <c r="AJ105" s="39">
        <v>-0.30191991715966499</v>
      </c>
      <c r="AK105" s="39">
        <v>-0.342729282786147</v>
      </c>
      <c r="AL105" s="39">
        <v>-0.38418531096854303</v>
      </c>
      <c r="AM105" s="39">
        <v>-0.42591524668312802</v>
      </c>
      <c r="AN105" s="39">
        <v>-0.46730557563967601</v>
      </c>
      <c r="AO105">
        <v>-0.50799904900965498</v>
      </c>
      <c r="AP105">
        <v>-0.54692417933295201</v>
      </c>
      <c r="AQ105">
        <v>-0.58306237044138898</v>
      </c>
      <c r="AR105">
        <v>-0.61476646265512502</v>
      </c>
      <c r="AS105">
        <v>-0.64011233951056701</v>
      </c>
      <c r="AT105">
        <v>-0.65661513015105</v>
      </c>
      <c r="AU105">
        <v>-0.66092119767133795</v>
      </c>
      <c r="AV105">
        <v>-0.64961807170922303</v>
      </c>
      <c r="AW105">
        <v>-0.61781986375629705</v>
      </c>
    </row>
    <row r="106" spans="2:49" x14ac:dyDescent="0.25">
      <c r="B106" t="s">
        <v>513</v>
      </c>
      <c r="C106">
        <v>0</v>
      </c>
      <c r="D106" s="39">
        <v>0</v>
      </c>
      <c r="E106" s="39">
        <v>0</v>
      </c>
      <c r="F106" s="39">
        <v>0</v>
      </c>
      <c r="G106" s="39">
        <v>0</v>
      </c>
      <c r="H106" s="39">
        <v>0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>
        <v>0</v>
      </c>
      <c r="V106" s="39">
        <v>0</v>
      </c>
      <c r="W106" s="39">
        <v>0.25940873521188501</v>
      </c>
      <c r="X106">
        <v>0.297706049846646</v>
      </c>
      <c r="Y106">
        <v>0.303763366003173</v>
      </c>
      <c r="Z106">
        <v>0.29799058869341899</v>
      </c>
      <c r="AA106">
        <v>0.29819722768784601</v>
      </c>
      <c r="AB106">
        <v>0.30379663101895998</v>
      </c>
      <c r="AC106">
        <v>0.319888115295485</v>
      </c>
      <c r="AD106">
        <v>0.31889291733513397</v>
      </c>
      <c r="AE106">
        <v>0.31727293922692001</v>
      </c>
      <c r="AF106">
        <v>0.31623529615130103</v>
      </c>
      <c r="AG106">
        <v>0.31184210112362698</v>
      </c>
      <c r="AH106">
        <v>0.323684460639173</v>
      </c>
      <c r="AI106">
        <v>0.30997708377540301</v>
      </c>
      <c r="AJ106">
        <v>0.30016626576023703</v>
      </c>
      <c r="AK106">
        <v>0.29177993760089999</v>
      </c>
      <c r="AL106">
        <v>0.283472989058419</v>
      </c>
      <c r="AM106">
        <v>0.27429733093824399</v>
      </c>
      <c r="AN106">
        <v>0.26532073722111899</v>
      </c>
      <c r="AO106">
        <v>0.257703420875943</v>
      </c>
      <c r="AP106">
        <v>0.249593071453135</v>
      </c>
      <c r="AQ106">
        <v>0.241899040858917</v>
      </c>
      <c r="AR106">
        <v>0.27213078121468498</v>
      </c>
      <c r="AS106">
        <v>0.23979154951449999</v>
      </c>
      <c r="AT106">
        <v>0.22723392794767799</v>
      </c>
      <c r="AU106">
        <v>0.22715740411285401</v>
      </c>
      <c r="AV106">
        <v>0.233557874465706</v>
      </c>
      <c r="AW106">
        <v>0.24676360017823401</v>
      </c>
    </row>
    <row r="107" spans="2:49" x14ac:dyDescent="0.25">
      <c r="B107" t="s">
        <v>514</v>
      </c>
      <c r="C107">
        <v>0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>
        <v>0</v>
      </c>
      <c r="V107" s="39">
        <v>0</v>
      </c>
      <c r="W107" s="39">
        <v>-8.9931403874285401E-2</v>
      </c>
      <c r="X107">
        <v>-0.101537710898549</v>
      </c>
      <c r="Y107">
        <v>-0.103137059030751</v>
      </c>
      <c r="Z107" s="39">
        <v>-0.100825763199739</v>
      </c>
      <c r="AA107">
        <v>-0.101930079787179</v>
      </c>
      <c r="AB107">
        <v>-0.10625642828365101</v>
      </c>
      <c r="AC107">
        <v>-0.11554103160140899</v>
      </c>
      <c r="AD107">
        <v>-0.119897462984786</v>
      </c>
      <c r="AE107">
        <v>-0.12523357009423999</v>
      </c>
      <c r="AF107">
        <v>-0.13172163942443799</v>
      </c>
      <c r="AG107">
        <v>-0.13818951850407599</v>
      </c>
      <c r="AH107" s="39">
        <v>-0.151649430790368</v>
      </c>
      <c r="AI107" s="39">
        <v>-0.15612047861193101</v>
      </c>
      <c r="AJ107">
        <v>-0.162823040655933</v>
      </c>
      <c r="AK107" s="39">
        <v>-0.17071066463574999</v>
      </c>
      <c r="AL107">
        <v>-0.179081563818002</v>
      </c>
      <c r="AM107">
        <v>-0.18736095755964499</v>
      </c>
      <c r="AN107">
        <v>-0.196159113419515</v>
      </c>
      <c r="AO107">
        <v>-0.205285263534319</v>
      </c>
      <c r="AP107">
        <v>-0.21424324589978799</v>
      </c>
      <c r="AQ107" s="39">
        <v>-0.22315387787618099</v>
      </c>
      <c r="AR107">
        <v>-0.245364035422517</v>
      </c>
      <c r="AS107">
        <v>-0.244132921400774</v>
      </c>
      <c r="AT107">
        <v>-0.24906216942401199</v>
      </c>
      <c r="AU107">
        <v>-0.25720723040350102</v>
      </c>
      <c r="AV107">
        <v>-0.26580466935945402</v>
      </c>
      <c r="AW107">
        <v>-0.27435131409385299</v>
      </c>
    </row>
    <row r="108" spans="2:49" x14ac:dyDescent="0.25">
      <c r="B108" t="s">
        <v>515</v>
      </c>
      <c r="C108" s="39">
        <v>0</v>
      </c>
      <c r="D108" s="39">
        <v>0</v>
      </c>
      <c r="E108" s="39">
        <v>0</v>
      </c>
      <c r="F108" s="39">
        <v>0</v>
      </c>
      <c r="G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-2.4905699999999701E-2</v>
      </c>
      <c r="X108">
        <v>-6.9973440000001205E-2</v>
      </c>
      <c r="Y108">
        <v>-8.8791850000000103E-2</v>
      </c>
      <c r="Z108">
        <v>-9.4510639999999202E-2</v>
      </c>
      <c r="AA108">
        <v>-0.10077524</v>
      </c>
      <c r="AB108">
        <v>-0.11035610999999899</v>
      </c>
      <c r="AC108">
        <v>-0.12032084999999899</v>
      </c>
      <c r="AD108" s="39">
        <v>-0.12792392</v>
      </c>
      <c r="AE108">
        <v>-0.1339486</v>
      </c>
      <c r="AF108">
        <v>-0.13906491999999901</v>
      </c>
      <c r="AG108">
        <v>-0.14336211999999901</v>
      </c>
      <c r="AH108">
        <v>-0.14610455999999999</v>
      </c>
      <c r="AI108">
        <v>-0.146876279999999</v>
      </c>
      <c r="AJ108">
        <v>-0.14737427</v>
      </c>
      <c r="AK108" s="39">
        <v>-0.14782296</v>
      </c>
      <c r="AL108">
        <v>-0.1478428</v>
      </c>
      <c r="AM108" s="39">
        <v>-0.147289489999999</v>
      </c>
      <c r="AN108" s="39">
        <v>-0.14606422999999899</v>
      </c>
      <c r="AO108">
        <v>-0.14434373</v>
      </c>
      <c r="AP108">
        <v>-0.14247412999999901</v>
      </c>
      <c r="AQ108">
        <v>-0.14081175000000001</v>
      </c>
      <c r="AR108">
        <v>-0.13851026</v>
      </c>
      <c r="AS108" s="39">
        <v>-0.13431744000000001</v>
      </c>
      <c r="AT108" s="39">
        <v>-0.133322050000001</v>
      </c>
      <c r="AU108">
        <v>-0.13845712999999901</v>
      </c>
      <c r="AV108">
        <v>-0.14873881</v>
      </c>
      <c r="AW108">
        <v>-0.16500147000000001</v>
      </c>
    </row>
    <row r="109" spans="2:49" x14ac:dyDescent="0.25">
      <c r="B109" t="s">
        <v>516</v>
      </c>
      <c r="C109" s="39">
        <v>0</v>
      </c>
      <c r="D109" s="39">
        <v>0</v>
      </c>
      <c r="E109" s="39">
        <v>0</v>
      </c>
      <c r="F109" s="39">
        <v>0</v>
      </c>
      <c r="G109" s="39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4.0562704113300499E-2</v>
      </c>
      <c r="X109">
        <v>0.11376755133067901</v>
      </c>
      <c r="Y109">
        <v>0.14439911626704599</v>
      </c>
      <c r="Z109">
        <v>0.153640639041841</v>
      </c>
      <c r="AA109">
        <v>0.16411932722755199</v>
      </c>
      <c r="AB109">
        <v>0.17966066772629999</v>
      </c>
      <c r="AC109">
        <v>0.19563516902660799</v>
      </c>
      <c r="AD109">
        <v>0.207649641018958</v>
      </c>
      <c r="AE109">
        <v>0.21715642607358299</v>
      </c>
      <c r="AF109">
        <v>0.22526249084007199</v>
      </c>
      <c r="AG109">
        <v>0.23263967564417501</v>
      </c>
      <c r="AH109">
        <v>0.237018953176626</v>
      </c>
      <c r="AI109">
        <v>0.23792748167139599</v>
      </c>
      <c r="AJ109">
        <v>0.238474792701826</v>
      </c>
      <c r="AK109">
        <v>0.23901779064960901</v>
      </c>
      <c r="AL109">
        <v>0.238954546875147</v>
      </c>
      <c r="AM109">
        <v>0.238095115095182</v>
      </c>
      <c r="AN109">
        <v>0.236261655440483</v>
      </c>
      <c r="AO109">
        <v>0.23359806670582001</v>
      </c>
      <c r="AP109">
        <v>0.23067856794609601</v>
      </c>
      <c r="AQ109">
        <v>0.22800300133698401</v>
      </c>
      <c r="AR109">
        <v>0.224283127234126</v>
      </c>
      <c r="AS109">
        <v>0.217455136431699</v>
      </c>
      <c r="AT109">
        <v>0.215807812504409</v>
      </c>
      <c r="AU109">
        <v>0.22411114317661901</v>
      </c>
      <c r="AV109">
        <v>0.24074923588546199</v>
      </c>
      <c r="AW109">
        <v>0.267086300448449</v>
      </c>
    </row>
    <row r="110" spans="2:49" x14ac:dyDescent="0.25">
      <c r="B110" t="s">
        <v>517</v>
      </c>
      <c r="C110" s="39">
        <v>0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T110" s="39">
        <v>0</v>
      </c>
      <c r="U110" s="39">
        <v>0</v>
      </c>
      <c r="V110" s="39">
        <v>0</v>
      </c>
      <c r="W110">
        <v>5.9997541287426501E-2</v>
      </c>
      <c r="X110">
        <v>7.7792319070990601E-2</v>
      </c>
      <c r="Y110">
        <v>0.129236331323934</v>
      </c>
      <c r="Z110">
        <v>0.184930593071053</v>
      </c>
      <c r="AA110">
        <v>0.233702309697081</v>
      </c>
      <c r="AB110">
        <v>0.27662885859080999</v>
      </c>
      <c r="AC110">
        <v>0.315255059089669</v>
      </c>
      <c r="AD110">
        <v>0.35179744617275199</v>
      </c>
      <c r="AE110">
        <v>0.38518723040878999</v>
      </c>
      <c r="AF110">
        <v>0.41526168726637702</v>
      </c>
      <c r="AG110">
        <v>0.44036254018402499</v>
      </c>
      <c r="AH110">
        <v>0.46091334968993902</v>
      </c>
      <c r="AI110">
        <v>0.478826859244874</v>
      </c>
      <c r="AJ110">
        <v>0.49308506079577202</v>
      </c>
      <c r="AK110">
        <v>0.50417512362113104</v>
      </c>
      <c r="AL110">
        <v>0.51281402063520998</v>
      </c>
      <c r="AM110">
        <v>0.51921759163218095</v>
      </c>
      <c r="AN110" s="39">
        <v>0.52375703957268105</v>
      </c>
      <c r="AO110">
        <v>0.52735711615612402</v>
      </c>
      <c r="AP110">
        <v>0.53074127313459396</v>
      </c>
      <c r="AQ110">
        <v>0.53464448859761304</v>
      </c>
      <c r="AR110">
        <v>0.53651683538387096</v>
      </c>
      <c r="AS110">
        <v>0.53981517227992204</v>
      </c>
      <c r="AT110">
        <v>0.55098236156301195</v>
      </c>
      <c r="AU110">
        <v>0.56790689792041105</v>
      </c>
      <c r="AV110">
        <v>0.59662374152757902</v>
      </c>
      <c r="AW110">
        <v>0.64485450899325303</v>
      </c>
    </row>
    <row r="111" spans="2:49" x14ac:dyDescent="0.25">
      <c r="B111" t="s">
        <v>518</v>
      </c>
      <c r="C111" s="39">
        <v>0</v>
      </c>
      <c r="D111" s="39">
        <v>0</v>
      </c>
      <c r="E111" s="39">
        <v>0</v>
      </c>
      <c r="F111" s="39">
        <v>0</v>
      </c>
      <c r="G111" s="39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-2.181742E-4</v>
      </c>
      <c r="X111" s="39">
        <v>-2.5652099999998798E-5</v>
      </c>
      <c r="Y111" s="39">
        <v>1.34635499999997E-4</v>
      </c>
      <c r="Z111" s="39">
        <v>2.4665100000000002E-4</v>
      </c>
      <c r="AA111" s="39">
        <v>3.1010080000000098E-4</v>
      </c>
      <c r="AB111" s="39">
        <v>3.5604029999999898E-4</v>
      </c>
      <c r="AC111" s="39">
        <v>4.0371290000000201E-4</v>
      </c>
      <c r="AD111" s="39">
        <v>4.5096869999999801E-4</v>
      </c>
      <c r="AE111" s="39">
        <v>4.8874379999999998E-4</v>
      </c>
      <c r="AF111" s="39">
        <v>5.1308419999999901E-4</v>
      </c>
      <c r="AG111" s="39">
        <v>5.4171629999999796E-4</v>
      </c>
      <c r="AH111" s="39">
        <v>5.6548019999999902E-4</v>
      </c>
      <c r="AI111" s="39">
        <v>5.8424560000000102E-4</v>
      </c>
      <c r="AJ111" s="39">
        <v>5.8675010000000104E-4</v>
      </c>
      <c r="AK111" s="39">
        <v>5.8285059999999705E-4</v>
      </c>
      <c r="AL111" s="39">
        <v>5.7525949999999697E-4</v>
      </c>
      <c r="AM111" s="39">
        <v>5.6356429999999903E-4</v>
      </c>
      <c r="AN111" s="39">
        <v>5.4348629999999905E-4</v>
      </c>
      <c r="AO111" s="39">
        <v>5.1406960000000002E-4</v>
      </c>
      <c r="AP111" s="39">
        <v>4.58090000000001E-4</v>
      </c>
      <c r="AQ111" s="39">
        <v>3.75595599999997E-4</v>
      </c>
      <c r="AR111" s="39">
        <v>2.5238680000000001E-4</v>
      </c>
      <c r="AS111" s="39">
        <v>1.3420340000000101E-4</v>
      </c>
      <c r="AT111" s="39">
        <v>-1.3518930000000099E-4</v>
      </c>
      <c r="AU111" s="39">
        <v>-4.5920189999999701E-4</v>
      </c>
      <c r="AV111" s="39">
        <v>-8.5309629999999795E-4</v>
      </c>
      <c r="AW111" s="39">
        <v>-1.3853620999999901E-3</v>
      </c>
    </row>
    <row r="112" spans="2:49" x14ac:dyDescent="0.25">
      <c r="B112" t="s">
        <v>519</v>
      </c>
      <c r="C112" s="39">
        <v>0</v>
      </c>
      <c r="D112" s="39">
        <v>0</v>
      </c>
      <c r="E112" s="39">
        <v>0</v>
      </c>
      <c r="F112" s="39">
        <v>0</v>
      </c>
      <c r="G112" s="39">
        <v>0</v>
      </c>
      <c r="H112" s="39">
        <v>0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0</v>
      </c>
      <c r="U112" s="39">
        <v>0</v>
      </c>
      <c r="V112" s="39">
        <v>0</v>
      </c>
      <c r="W112" s="39">
        <v>-2.1817419999999699E-4</v>
      </c>
      <c r="X112" s="39">
        <v>-2.56520999999954E-5</v>
      </c>
      <c r="Y112" s="39">
        <v>1.3463550000000001E-4</v>
      </c>
      <c r="Z112" s="39">
        <v>2.4665110000000098E-4</v>
      </c>
      <c r="AA112" s="39">
        <v>3.1010070000000301E-4</v>
      </c>
      <c r="AB112" s="39">
        <v>3.5604019999999699E-4</v>
      </c>
      <c r="AC112" s="39">
        <v>4.03712899999998E-4</v>
      </c>
      <c r="AD112" s="39">
        <v>4.5096879999999902E-4</v>
      </c>
      <c r="AE112" s="39">
        <v>4.8874390000000403E-4</v>
      </c>
      <c r="AF112" s="39">
        <v>5.13084099999998E-4</v>
      </c>
      <c r="AG112" s="39">
        <v>5.4171629999999395E-4</v>
      </c>
      <c r="AH112" s="39">
        <v>5.6548020000000195E-4</v>
      </c>
      <c r="AI112" s="39">
        <v>5.8424559999999798E-4</v>
      </c>
      <c r="AJ112" s="39">
        <v>5.8675010000000505E-4</v>
      </c>
      <c r="AK112" s="39">
        <v>5.8285059999999705E-4</v>
      </c>
      <c r="AL112" s="39">
        <v>5.7525939999999998E-4</v>
      </c>
      <c r="AM112" s="39">
        <v>5.6356429999999903E-4</v>
      </c>
      <c r="AN112" s="39">
        <v>5.4348639999999399E-4</v>
      </c>
      <c r="AO112" s="39">
        <v>5.1406949999999803E-4</v>
      </c>
      <c r="AP112" s="39">
        <v>4.5808989999999999E-4</v>
      </c>
      <c r="AQ112" s="39">
        <v>3.75595700000001E-4</v>
      </c>
      <c r="AR112" s="39">
        <v>2.5238679999999703E-4</v>
      </c>
      <c r="AS112" s="39">
        <v>1.3420340000000399E-4</v>
      </c>
      <c r="AT112" s="39">
        <v>-1.3518920000000299E-4</v>
      </c>
      <c r="AU112" s="39">
        <v>-4.5920189999999701E-4</v>
      </c>
      <c r="AV112" s="39">
        <v>-8.5309639999999604E-4</v>
      </c>
      <c r="AW112" s="39">
        <v>-1.3853620999999901E-3</v>
      </c>
    </row>
    <row r="113" spans="2:50" x14ac:dyDescent="0.25">
      <c r="B113" t="s">
        <v>520</v>
      </c>
      <c r="C113">
        <v>0</v>
      </c>
      <c r="D113" s="39">
        <v>0</v>
      </c>
      <c r="E113" s="39">
        <v>0</v>
      </c>
      <c r="F113" s="39">
        <v>0</v>
      </c>
      <c r="G113" s="39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T113">
        <v>0</v>
      </c>
      <c r="U113" s="39">
        <v>0</v>
      </c>
      <c r="V113">
        <v>0</v>
      </c>
      <c r="W113">
        <v>-0.12243648285872299</v>
      </c>
      <c r="X113">
        <v>-0.23396445579686401</v>
      </c>
      <c r="Y113">
        <v>-0.35326448030492602</v>
      </c>
      <c r="Z113">
        <v>-0.47665967573651202</v>
      </c>
      <c r="AA113">
        <v>-0.60578437231846305</v>
      </c>
      <c r="AB113">
        <v>-0.74045001838944902</v>
      </c>
      <c r="AC113">
        <v>-0.87515542736382701</v>
      </c>
      <c r="AD113">
        <v>-1.0061912201588801</v>
      </c>
      <c r="AE113">
        <v>-1.13464030868208</v>
      </c>
      <c r="AF113">
        <v>-1.25904404241306</v>
      </c>
      <c r="AG113">
        <v>-1.3750038060138501</v>
      </c>
      <c r="AH113">
        <v>-1.47946310296205</v>
      </c>
      <c r="AI113">
        <v>-1.5715857899087</v>
      </c>
      <c r="AJ113">
        <v>-1.65352960348355</v>
      </c>
      <c r="AK113">
        <v>-1.7258547966137301</v>
      </c>
      <c r="AL113">
        <v>-1.78766446509606</v>
      </c>
      <c r="AM113">
        <v>-1.8385829898684301</v>
      </c>
      <c r="AN113">
        <v>-1.8768767867309999</v>
      </c>
      <c r="AO113">
        <v>-1.9014206800756599</v>
      </c>
      <c r="AP113">
        <v>-1.91032798399508</v>
      </c>
      <c r="AQ113">
        <v>-1.9032080968092999</v>
      </c>
      <c r="AR113">
        <v>-1.86900536452108</v>
      </c>
      <c r="AS113">
        <v>-1.8115144247118999</v>
      </c>
      <c r="AT113">
        <v>-1.7349028709898699</v>
      </c>
      <c r="AU113">
        <v>-1.63953192307089</v>
      </c>
      <c r="AV113">
        <v>-1.52274950616866</v>
      </c>
      <c r="AW113">
        <v>-1.3764376676540899</v>
      </c>
    </row>
    <row r="114" spans="2:50" x14ac:dyDescent="0.25">
      <c r="B114" t="s">
        <v>521</v>
      </c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>
        <v>-1.2749939999999399E-2</v>
      </c>
      <c r="X114" s="39">
        <v>-6.2785199999999805E-2</v>
      </c>
      <c r="Y114">
        <v>-8.0930580000000002E-2</v>
      </c>
      <c r="Z114">
        <v>-8.4692409999999996E-2</v>
      </c>
      <c r="AA114">
        <v>-8.5987640000000004E-2</v>
      </c>
      <c r="AB114">
        <v>-8.8367370000000306E-2</v>
      </c>
      <c r="AC114">
        <v>-9.1781400000000193E-2</v>
      </c>
      <c r="AD114">
        <v>-9.0959649999999795E-2</v>
      </c>
      <c r="AE114">
        <v>-8.9014960000000004E-2</v>
      </c>
      <c r="AF114">
        <v>-8.6106260000000295E-2</v>
      </c>
      <c r="AG114">
        <v>-8.2092470000000306E-2</v>
      </c>
      <c r="AH114">
        <v>-7.8114890000000006E-2</v>
      </c>
      <c r="AI114">
        <v>-7.0282099999999195E-2</v>
      </c>
      <c r="AJ114">
        <v>-6.2493000000000902E-2</v>
      </c>
      <c r="AK114">
        <v>-5.5151509999999598E-2</v>
      </c>
      <c r="AL114">
        <v>-4.7866990000000602E-2</v>
      </c>
      <c r="AM114">
        <v>-4.0735159999999403E-2</v>
      </c>
      <c r="AN114">
        <v>-3.2681190000000103E-2</v>
      </c>
      <c r="AO114">
        <v>-2.47979199999998E-2</v>
      </c>
      <c r="AP114">
        <v>-1.70360300000005E-2</v>
      </c>
      <c r="AQ114">
        <v>-1.01552500000004E-2</v>
      </c>
      <c r="AR114">
        <v>-6.19263000000008E-3</v>
      </c>
      <c r="AS114">
        <v>-8.0927999999980105E-4</v>
      </c>
      <c r="AT114" s="39">
        <v>-7.7789999999855393E-5</v>
      </c>
      <c r="AU114">
        <v>-1.06545599999993E-2</v>
      </c>
      <c r="AV114">
        <v>-3.2816229999999003E-2</v>
      </c>
      <c r="AW114">
        <v>-6.6045649999998901E-2</v>
      </c>
    </row>
    <row r="115" spans="2:50" x14ac:dyDescent="0.25">
      <c r="B115" s="40" t="s">
        <v>486</v>
      </c>
      <c r="C115">
        <v>96.864644472622402</v>
      </c>
      <c r="D115">
        <v>98.419837671387299</v>
      </c>
      <c r="E115">
        <v>99.839564607128807</v>
      </c>
      <c r="F115">
        <v>100.28174396978601</v>
      </c>
      <c r="G115">
        <v>95.1380363937933</v>
      </c>
      <c r="H115">
        <v>90.377613359241906</v>
      </c>
      <c r="I115">
        <v>89.401091603768407</v>
      </c>
      <c r="J115">
        <v>86.977319950948996</v>
      </c>
      <c r="K115">
        <v>83.531720567327497</v>
      </c>
      <c r="L115">
        <v>81.373942581963803</v>
      </c>
      <c r="M115">
        <v>80.580836156563194</v>
      </c>
      <c r="N115">
        <v>80.523733166940204</v>
      </c>
      <c r="O115">
        <v>78.556270161076199</v>
      </c>
      <c r="P115">
        <v>76.528856440664995</v>
      </c>
      <c r="Q115">
        <v>73.352396957057294</v>
      </c>
      <c r="R115">
        <v>71.224032905349901</v>
      </c>
      <c r="S115">
        <v>69.134257182301894</v>
      </c>
      <c r="T115">
        <v>68.335799413599901</v>
      </c>
      <c r="U115">
        <v>67.524944171727995</v>
      </c>
      <c r="V115">
        <v>66.913193822089099</v>
      </c>
      <c r="W115">
        <v>66.511405736296496</v>
      </c>
      <c r="X115">
        <v>65.696053905406998</v>
      </c>
      <c r="Y115">
        <v>65.104531792916703</v>
      </c>
      <c r="Z115">
        <v>64.766459301824895</v>
      </c>
      <c r="AA115">
        <v>64.383855624032293</v>
      </c>
      <c r="AB115">
        <v>63.9578152490107</v>
      </c>
      <c r="AC115">
        <v>63.416021351295797</v>
      </c>
      <c r="AD115">
        <v>62.9607476124648</v>
      </c>
      <c r="AE115">
        <v>62.527600925329601</v>
      </c>
      <c r="AF115">
        <v>62.109629524118098</v>
      </c>
      <c r="AG115">
        <v>61.674111208161001</v>
      </c>
      <c r="AH115">
        <v>61.234994345237197</v>
      </c>
      <c r="AI115">
        <v>60.835873021627002</v>
      </c>
      <c r="AJ115">
        <v>60.443753014761697</v>
      </c>
      <c r="AK115">
        <v>60.044428795632903</v>
      </c>
      <c r="AL115">
        <v>59.650485826036501</v>
      </c>
      <c r="AM115">
        <v>59.260533766685001</v>
      </c>
      <c r="AN115">
        <v>58.763608875900303</v>
      </c>
      <c r="AO115">
        <v>58.262446452467501</v>
      </c>
      <c r="AP115">
        <v>57.738430468553702</v>
      </c>
      <c r="AQ115">
        <v>57.2131730756088</v>
      </c>
      <c r="AR115">
        <v>56.636985094115701</v>
      </c>
      <c r="AS115">
        <v>56.2105896114915</v>
      </c>
      <c r="AT115">
        <v>55.794009196688499</v>
      </c>
      <c r="AU115">
        <v>55.376535685687301</v>
      </c>
      <c r="AV115">
        <v>54.9642534017839</v>
      </c>
      <c r="AW115">
        <v>54.583886659216901</v>
      </c>
      <c r="AX115">
        <v>9.0244863402317499</v>
      </c>
    </row>
    <row r="116" spans="2:50" x14ac:dyDescent="0.25">
      <c r="B116" t="s">
        <v>522</v>
      </c>
      <c r="C116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>
        <v>0.12542791889382701</v>
      </c>
      <c r="X116">
        <v>0.17641194678095201</v>
      </c>
      <c r="Y116">
        <v>0.20455243141788099</v>
      </c>
      <c r="Z116">
        <v>0.225176474329913</v>
      </c>
      <c r="AA116">
        <v>0.24638838800294899</v>
      </c>
      <c r="AB116">
        <v>0.26825407647765798</v>
      </c>
      <c r="AC116">
        <v>0.286356823362243</v>
      </c>
      <c r="AD116">
        <v>0.29979511331863501</v>
      </c>
      <c r="AE116">
        <v>0.31055433127655802</v>
      </c>
      <c r="AF116">
        <v>0.31937628640938898</v>
      </c>
      <c r="AG116" s="39">
        <v>0.32468659096962499</v>
      </c>
      <c r="AH116" s="39">
        <v>0.325917909024942</v>
      </c>
      <c r="AI116">
        <v>0.324037963201528</v>
      </c>
      <c r="AJ116">
        <v>0.32137970882948302</v>
      </c>
      <c r="AK116">
        <v>0.31808357908884499</v>
      </c>
      <c r="AL116" s="39">
        <v>0.313864680497277</v>
      </c>
      <c r="AM116">
        <v>0.30844181443583302</v>
      </c>
      <c r="AN116">
        <v>0.301272189033152</v>
      </c>
      <c r="AO116">
        <v>0.29371235955997199</v>
      </c>
      <c r="AP116">
        <v>0.28557118419394401</v>
      </c>
      <c r="AQ116">
        <v>0.27800754998654698</v>
      </c>
      <c r="AR116">
        <v>0.26684200139019898</v>
      </c>
      <c r="AS116">
        <v>0.25373920167317499</v>
      </c>
      <c r="AT116">
        <v>0.24977825307093099</v>
      </c>
      <c r="AU116">
        <v>0.25462214889739798</v>
      </c>
      <c r="AV116">
        <v>0.26692784795629898</v>
      </c>
      <c r="AW116">
        <v>0.28924886639534098</v>
      </c>
    </row>
    <row r="117" spans="2:50" x14ac:dyDescent="0.25">
      <c r="B117" t="s">
        <v>523</v>
      </c>
      <c r="C117" s="39">
        <v>0</v>
      </c>
      <c r="D117" s="39">
        <v>0</v>
      </c>
      <c r="E117" s="39">
        <v>0</v>
      </c>
      <c r="F117" s="39">
        <v>0</v>
      </c>
      <c r="G117" s="39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7.1473228017149198E-2</v>
      </c>
      <c r="X117">
        <v>0.15212167178271199</v>
      </c>
      <c r="Y117">
        <v>0.169474778167266</v>
      </c>
      <c r="Z117">
        <v>0.17415238683451401</v>
      </c>
      <c r="AA117">
        <v>0.182959589397691</v>
      </c>
      <c r="AB117">
        <v>0.19828228963567601</v>
      </c>
      <c r="AC117">
        <v>0.21903286570041899</v>
      </c>
      <c r="AD117">
        <v>0.22633716261519701</v>
      </c>
      <c r="AE117">
        <v>0.231177512293334</v>
      </c>
      <c r="AF117">
        <v>0.23517624433340101</v>
      </c>
      <c r="AG117">
        <v>0.235139763935587</v>
      </c>
      <c r="AH117">
        <v>0.24309048260888699</v>
      </c>
      <c r="AI117">
        <v>0.22939606023539799</v>
      </c>
      <c r="AJ117">
        <v>0.21827736159683001</v>
      </c>
      <c r="AK117">
        <v>0.20866700298851601</v>
      </c>
      <c r="AL117">
        <v>0.19858694681860101</v>
      </c>
      <c r="AM117">
        <v>0.18695498855141299</v>
      </c>
      <c r="AN117">
        <v>0.172628349684433</v>
      </c>
      <c r="AO117">
        <v>0.15818128192372999</v>
      </c>
      <c r="AP117">
        <v>0.143076434742339</v>
      </c>
      <c r="AQ117">
        <v>0.12808127833026001</v>
      </c>
      <c r="AR117">
        <v>0.13645279658644999</v>
      </c>
      <c r="AS117">
        <v>9.4422426809170901E-2</v>
      </c>
      <c r="AT117">
        <v>7.1099148316644503E-2</v>
      </c>
      <c r="AU117">
        <v>6.08122387411036E-2</v>
      </c>
      <c r="AV117">
        <v>5.6784110757357398E-2</v>
      </c>
      <c r="AW117">
        <v>6.0785018271203299E-2</v>
      </c>
    </row>
    <row r="118" spans="2:50" x14ac:dyDescent="0.25">
      <c r="B118" t="s">
        <v>524</v>
      </c>
      <c r="C118">
        <v>0</v>
      </c>
      <c r="D118" s="39">
        <v>0</v>
      </c>
      <c r="E118" s="39">
        <v>0</v>
      </c>
      <c r="F118" s="39">
        <v>0</v>
      </c>
      <c r="G118" s="39">
        <v>0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T118">
        <v>0</v>
      </c>
      <c r="U118">
        <v>0</v>
      </c>
      <c r="V118">
        <v>0</v>
      </c>
      <c r="W118">
        <v>1.07269176179785</v>
      </c>
      <c r="X118">
        <v>1.1682314760936801</v>
      </c>
      <c r="Y118">
        <v>1.3301606448693699</v>
      </c>
      <c r="Z118">
        <v>1.4580112160162899</v>
      </c>
      <c r="AA118">
        <v>1.5995167389595899</v>
      </c>
      <c r="AB118">
        <v>1.7393677877043601</v>
      </c>
      <c r="AC118">
        <v>1.8467385090330499</v>
      </c>
      <c r="AD118">
        <v>1.9612651657340701</v>
      </c>
      <c r="AE118">
        <v>2.07600335112943</v>
      </c>
      <c r="AF118">
        <v>2.1847891728939</v>
      </c>
      <c r="AG118">
        <v>2.2859675775088899</v>
      </c>
      <c r="AH118">
        <v>2.35784598301138</v>
      </c>
      <c r="AI118">
        <v>2.4439908041955198</v>
      </c>
      <c r="AJ118">
        <v>2.5311632891725502</v>
      </c>
      <c r="AK118">
        <v>2.6141938408423999</v>
      </c>
      <c r="AL118">
        <v>2.6930959163213601</v>
      </c>
      <c r="AM118" s="39">
        <v>2.7677071678743501</v>
      </c>
      <c r="AN118">
        <v>2.8521901174084698</v>
      </c>
      <c r="AO118">
        <v>2.9212940692931699</v>
      </c>
      <c r="AP118">
        <v>2.9847979714669099</v>
      </c>
      <c r="AQ118">
        <v>3.0462767227151302</v>
      </c>
      <c r="AR118">
        <v>3.0535479417735698</v>
      </c>
      <c r="AS118">
        <v>3.1047478467432099</v>
      </c>
      <c r="AT118">
        <v>3.1732831164156199</v>
      </c>
      <c r="AU118">
        <v>3.25133410357516</v>
      </c>
      <c r="AV118">
        <v>3.33543228997386</v>
      </c>
      <c r="AW118" s="39">
        <v>3.4258296722400301</v>
      </c>
    </row>
    <row r="119" spans="2:50" x14ac:dyDescent="0.25">
      <c r="B119" t="s">
        <v>525</v>
      </c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2.06379797247358E-3</v>
      </c>
      <c r="X119" s="39">
        <v>1.0219248075982101E-3</v>
      </c>
      <c r="Y119">
        <v>-4.3347053788389501E-3</v>
      </c>
      <c r="Z119">
        <v>-1.44018650780841E-2</v>
      </c>
      <c r="AA119">
        <v>-2.8534222313547599E-2</v>
      </c>
      <c r="AB119">
        <v>-4.6482987555851403E-2</v>
      </c>
      <c r="AC119">
        <v>-6.8242642376203894E-2</v>
      </c>
      <c r="AD119" s="39">
        <v>-9.3334653242471699E-2</v>
      </c>
      <c r="AE119" s="39">
        <v>-0.121863996663507</v>
      </c>
      <c r="AF119" s="39">
        <v>-0.153349323193607</v>
      </c>
      <c r="AG119" s="39">
        <v>-0.18747301497159499</v>
      </c>
      <c r="AH119">
        <v>-0.223936247803358</v>
      </c>
      <c r="AI119" s="39">
        <v>-0.26215008984432597</v>
      </c>
      <c r="AJ119" s="39">
        <v>-0.30191991715966499</v>
      </c>
      <c r="AK119" s="39">
        <v>-0.342729282786147</v>
      </c>
      <c r="AL119" s="39">
        <v>-0.38418531096854303</v>
      </c>
      <c r="AM119" s="39">
        <v>-0.42591524668312802</v>
      </c>
      <c r="AN119" s="39">
        <v>-0.46730557563967601</v>
      </c>
      <c r="AO119">
        <v>-0.50799904900965498</v>
      </c>
      <c r="AP119">
        <v>-0.54692417933295201</v>
      </c>
      <c r="AQ119">
        <v>-0.58306237044138898</v>
      </c>
      <c r="AR119">
        <v>-0.61476646265512502</v>
      </c>
      <c r="AS119">
        <v>-0.64011233951056701</v>
      </c>
      <c r="AT119">
        <v>-0.65661513015105</v>
      </c>
      <c r="AU119">
        <v>-0.66092119767133795</v>
      </c>
      <c r="AV119">
        <v>-0.64961807170922303</v>
      </c>
      <c r="AW119">
        <v>-0.61781986375629705</v>
      </c>
    </row>
    <row r="120" spans="2:50" x14ac:dyDescent="0.25">
      <c r="B120" t="s">
        <v>526</v>
      </c>
      <c r="C120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>
        <v>0</v>
      </c>
      <c r="V120" s="39">
        <v>0</v>
      </c>
      <c r="W120" s="39">
        <v>0.25940873521188501</v>
      </c>
      <c r="X120">
        <v>0.297706049846646</v>
      </c>
      <c r="Y120">
        <v>0.303763366003173</v>
      </c>
      <c r="Z120">
        <v>0.29799058869341899</v>
      </c>
      <c r="AA120">
        <v>0.29819722768784601</v>
      </c>
      <c r="AB120">
        <v>0.30379663101895998</v>
      </c>
      <c r="AC120">
        <v>0.319888115295485</v>
      </c>
      <c r="AD120">
        <v>0.31889291733513397</v>
      </c>
      <c r="AE120">
        <v>0.31727293922692001</v>
      </c>
      <c r="AF120">
        <v>0.31623529615130103</v>
      </c>
      <c r="AG120">
        <v>0.31184210112362698</v>
      </c>
      <c r="AH120">
        <v>0.323684460639173</v>
      </c>
      <c r="AI120">
        <v>0.30997708377540301</v>
      </c>
      <c r="AJ120">
        <v>0.30016626576023703</v>
      </c>
      <c r="AK120">
        <v>0.29177993760089999</v>
      </c>
      <c r="AL120">
        <v>0.283472989058419</v>
      </c>
      <c r="AM120">
        <v>0.27429733093824399</v>
      </c>
      <c r="AN120">
        <v>0.26532073722111899</v>
      </c>
      <c r="AO120">
        <v>0.257703420875943</v>
      </c>
      <c r="AP120">
        <v>0.249593071453135</v>
      </c>
      <c r="AQ120">
        <v>0.241899040858917</v>
      </c>
      <c r="AR120">
        <v>0.27213078121468498</v>
      </c>
      <c r="AS120">
        <v>0.23979154951449999</v>
      </c>
      <c r="AT120">
        <v>0.22723392794767799</v>
      </c>
      <c r="AU120">
        <v>0.22715740411285401</v>
      </c>
      <c r="AV120">
        <v>0.233557874465706</v>
      </c>
      <c r="AW120">
        <v>0.24676360017823401</v>
      </c>
    </row>
    <row r="121" spans="2:50" x14ac:dyDescent="0.25">
      <c r="B121" t="s">
        <v>527</v>
      </c>
      <c r="C121" s="39">
        <v>0</v>
      </c>
      <c r="D121" s="39">
        <v>0</v>
      </c>
      <c r="E121" s="39">
        <v>0</v>
      </c>
      <c r="F121" s="39">
        <v>0</v>
      </c>
      <c r="G121" s="39">
        <v>0</v>
      </c>
      <c r="H121" s="39">
        <v>0</v>
      </c>
      <c r="I121" s="39">
        <v>0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T121" s="39">
        <v>0</v>
      </c>
      <c r="U121" s="39">
        <v>0</v>
      </c>
      <c r="V121" s="39">
        <v>0</v>
      </c>
      <c r="W121" s="39">
        <v>-2.4905699999999701E-2</v>
      </c>
      <c r="X121">
        <v>-6.9973440000001205E-2</v>
      </c>
      <c r="Y121">
        <v>-8.8791850000000103E-2</v>
      </c>
      <c r="Z121">
        <v>-9.4510639999999202E-2</v>
      </c>
      <c r="AA121">
        <v>-0.10077524</v>
      </c>
      <c r="AB121">
        <v>-0.11035610999999899</v>
      </c>
      <c r="AC121">
        <v>-0.12032084999999899</v>
      </c>
      <c r="AD121" s="39">
        <v>-0.12792392</v>
      </c>
      <c r="AE121">
        <v>-0.1339486</v>
      </c>
      <c r="AF121">
        <v>-0.13906491999999901</v>
      </c>
      <c r="AG121">
        <v>-0.14336211999999901</v>
      </c>
      <c r="AH121">
        <v>-0.14610455999999999</v>
      </c>
      <c r="AI121">
        <v>-0.146876279999999</v>
      </c>
      <c r="AJ121">
        <v>-0.14737427</v>
      </c>
      <c r="AK121" s="39">
        <v>-0.14782296</v>
      </c>
      <c r="AL121">
        <v>-0.1478428</v>
      </c>
      <c r="AM121" s="39">
        <v>-0.147289489999999</v>
      </c>
      <c r="AN121" s="39">
        <v>-0.14606422999999899</v>
      </c>
      <c r="AO121">
        <v>-0.14434373</v>
      </c>
      <c r="AP121">
        <v>-0.14247412999999901</v>
      </c>
      <c r="AQ121">
        <v>-0.14081175000000001</v>
      </c>
      <c r="AR121">
        <v>-0.13851026</v>
      </c>
      <c r="AS121" s="39">
        <v>-0.13431744000000001</v>
      </c>
      <c r="AT121" s="39">
        <v>-0.133322050000001</v>
      </c>
      <c r="AU121">
        <v>-0.13845712999999901</v>
      </c>
      <c r="AV121">
        <v>-0.14873881</v>
      </c>
      <c r="AW121">
        <v>-0.16500147000000001</v>
      </c>
    </row>
    <row r="122" spans="2:50" x14ac:dyDescent="0.25">
      <c r="B122" t="s">
        <v>528</v>
      </c>
      <c r="C122" s="39">
        <v>0</v>
      </c>
      <c r="D122" s="39">
        <v>0</v>
      </c>
      <c r="E122" s="39">
        <v>0</v>
      </c>
      <c r="F122" s="39">
        <v>0</v>
      </c>
      <c r="G122" s="39">
        <v>0</v>
      </c>
      <c r="H122" s="39">
        <v>0</v>
      </c>
      <c r="I122" s="39">
        <v>0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4.0562704113300499E-2</v>
      </c>
      <c r="X122">
        <v>0.11376755133067901</v>
      </c>
      <c r="Y122">
        <v>0.14439911626704599</v>
      </c>
      <c r="Z122">
        <v>0.153640639041841</v>
      </c>
      <c r="AA122">
        <v>0.16411932722755199</v>
      </c>
      <c r="AB122">
        <v>0.17966066772629999</v>
      </c>
      <c r="AC122">
        <v>0.19563516902660799</v>
      </c>
      <c r="AD122">
        <v>0.207649641018958</v>
      </c>
      <c r="AE122">
        <v>0.21715642607358299</v>
      </c>
      <c r="AF122">
        <v>0.22526249084007199</v>
      </c>
      <c r="AG122">
        <v>0.23263967564417501</v>
      </c>
      <c r="AH122">
        <v>0.237018953176626</v>
      </c>
      <c r="AI122">
        <v>0.23792748167139599</v>
      </c>
      <c r="AJ122">
        <v>0.238474792701826</v>
      </c>
      <c r="AK122">
        <v>0.23901779064960901</v>
      </c>
      <c r="AL122">
        <v>0.238954546875147</v>
      </c>
      <c r="AM122">
        <v>0.238095115095182</v>
      </c>
      <c r="AN122">
        <v>0.236261655440483</v>
      </c>
      <c r="AO122">
        <v>0.23359806670582001</v>
      </c>
      <c r="AP122">
        <v>0.23067856794609601</v>
      </c>
      <c r="AQ122">
        <v>0.22800300133698401</v>
      </c>
      <c r="AR122">
        <v>0.224283127234126</v>
      </c>
      <c r="AS122">
        <v>0.217455136431699</v>
      </c>
      <c r="AT122">
        <v>0.215807812504409</v>
      </c>
      <c r="AU122">
        <v>0.22411114317661901</v>
      </c>
      <c r="AV122">
        <v>0.24074923588546199</v>
      </c>
      <c r="AW122">
        <v>0.267086300448449</v>
      </c>
    </row>
    <row r="123" spans="2:50" x14ac:dyDescent="0.25">
      <c r="B123" t="s">
        <v>529</v>
      </c>
      <c r="C123" s="39">
        <v>0</v>
      </c>
      <c r="D123" s="39">
        <v>0</v>
      </c>
      <c r="E123" s="39">
        <v>0</v>
      </c>
      <c r="F123" s="39">
        <v>0</v>
      </c>
      <c r="G123" s="39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>
        <v>0</v>
      </c>
      <c r="W123" s="39">
        <v>6.0799131620203901E-2</v>
      </c>
      <c r="X123">
        <v>7.9817872174059404E-2</v>
      </c>
      <c r="Y123">
        <v>0.13255313702740201</v>
      </c>
      <c r="Z123">
        <v>0.189290866758073</v>
      </c>
      <c r="AA123">
        <v>0.23879226522331901</v>
      </c>
      <c r="AB123" s="39">
        <v>0.28221007184894198</v>
      </c>
      <c r="AC123">
        <v>0.32117905072257502</v>
      </c>
      <c r="AD123">
        <v>0.357952602636113</v>
      </c>
      <c r="AE123">
        <v>0.39148456705291301</v>
      </c>
      <c r="AF123">
        <v>0.42162794200417603</v>
      </c>
      <c r="AG123">
        <v>0.446760017097314</v>
      </c>
      <c r="AH123">
        <v>0.46724742155346199</v>
      </c>
      <c r="AI123">
        <v>0.48501899792952002</v>
      </c>
      <c r="AJ123">
        <v>0.49909522200457501</v>
      </c>
      <c r="AK123">
        <v>0.50999093161179199</v>
      </c>
      <c r="AL123">
        <v>0.51842655429401496</v>
      </c>
      <c r="AM123">
        <v>0.52461501347811301</v>
      </c>
      <c r="AN123">
        <v>0.52892329627110002</v>
      </c>
      <c r="AO123">
        <v>0.53227441739349601</v>
      </c>
      <c r="AP123">
        <v>0.53539134571340896</v>
      </c>
      <c r="AQ123">
        <v>0.538997490296244</v>
      </c>
      <c r="AR123">
        <v>0.54047970129631395</v>
      </c>
      <c r="AS123">
        <v>0.54329583834640205</v>
      </c>
      <c r="AT123">
        <v>0.55396257159503404</v>
      </c>
      <c r="AU123">
        <v>0.57043067819151305</v>
      </c>
      <c r="AV123">
        <v>0.59879686353185801</v>
      </c>
      <c r="AW123">
        <v>0.64686096292516604</v>
      </c>
    </row>
    <row r="124" spans="2:50" x14ac:dyDescent="0.25">
      <c r="B124" t="s">
        <v>530</v>
      </c>
      <c r="C124" s="39">
        <v>0</v>
      </c>
      <c r="D124" s="39">
        <v>0</v>
      </c>
      <c r="E124" s="39">
        <v>0</v>
      </c>
      <c r="F124" s="39">
        <v>0</v>
      </c>
      <c r="G124" s="39">
        <v>0</v>
      </c>
      <c r="H124" s="39">
        <v>0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>
        <v>0</v>
      </c>
      <c r="W124" s="39">
        <v>-2.1348225379747E-2</v>
      </c>
      <c r="X124">
        <v>-2.3858983059865599E-2</v>
      </c>
      <c r="Y124">
        <v>-1.0665945622922999E-2</v>
      </c>
      <c r="Z124">
        <v>1.3483990257245801E-2</v>
      </c>
      <c r="AA124">
        <v>4.3797697694669603E-2</v>
      </c>
      <c r="AB124">
        <v>7.8591575321063006E-2</v>
      </c>
      <c r="AC124">
        <v>0.118036091636986</v>
      </c>
      <c r="AD124">
        <v>0.16213476585911199</v>
      </c>
      <c r="AE124">
        <v>0.20990708145713899</v>
      </c>
      <c r="AF124">
        <v>0.260156923207777</v>
      </c>
      <c r="AG124">
        <v>0.313163095670487</v>
      </c>
      <c r="AH124">
        <v>0.36847744243921898</v>
      </c>
      <c r="AI124">
        <v>0.42570921082714103</v>
      </c>
      <c r="AJ124">
        <v>0.48318966935116903</v>
      </c>
      <c r="AK124">
        <v>0.54030463213885505</v>
      </c>
      <c r="AL124">
        <v>0.59672079737522699</v>
      </c>
      <c r="AM124">
        <v>0.65204360316624099</v>
      </c>
      <c r="AN124">
        <v>0.70542882557085296</v>
      </c>
      <c r="AO124">
        <v>0.75597486552245696</v>
      </c>
      <c r="AP124">
        <v>0.80104485114509405</v>
      </c>
      <c r="AQ124">
        <v>0.83802580518008696</v>
      </c>
      <c r="AR124">
        <v>0.86288457636787197</v>
      </c>
      <c r="AS124">
        <v>0.87611192768020096</v>
      </c>
      <c r="AT124">
        <v>0.86278576469007695</v>
      </c>
      <c r="AU124">
        <v>0.81752021275556197</v>
      </c>
      <c r="AV124">
        <v>0.73342809023892996</v>
      </c>
      <c r="AW124">
        <v>0.59694917689718796</v>
      </c>
    </row>
    <row r="125" spans="2:50" x14ac:dyDescent="0.25">
      <c r="B125" t="s">
        <v>531</v>
      </c>
      <c r="C125" s="39">
        <v>0</v>
      </c>
      <c r="D125" s="39">
        <v>0</v>
      </c>
      <c r="E125" s="39">
        <v>0</v>
      </c>
      <c r="F125" s="39">
        <v>0</v>
      </c>
      <c r="G125" s="39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>
        <v>-2.1817419999999699E-2</v>
      </c>
      <c r="X125">
        <v>-2.5652099999995399E-3</v>
      </c>
      <c r="Y125">
        <v>1.3463549999999999E-2</v>
      </c>
      <c r="Z125">
        <v>2.4665110000000101E-2</v>
      </c>
      <c r="AA125">
        <v>3.1010070000000299E-2</v>
      </c>
      <c r="AB125">
        <v>3.5604019999999702E-2</v>
      </c>
      <c r="AC125">
        <v>4.0371289999999803E-2</v>
      </c>
      <c r="AD125">
        <v>4.5096879999999902E-2</v>
      </c>
      <c r="AE125">
        <v>4.8874390000000399E-2</v>
      </c>
      <c r="AF125">
        <v>5.1308409999999798E-2</v>
      </c>
      <c r="AG125">
        <v>5.4171629999999402E-2</v>
      </c>
      <c r="AH125">
        <v>5.6548020000000199E-2</v>
      </c>
      <c r="AI125">
        <v>5.8424559999999799E-2</v>
      </c>
      <c r="AJ125">
        <v>5.8675010000000499E-2</v>
      </c>
      <c r="AK125">
        <v>5.8285059999999701E-2</v>
      </c>
      <c r="AL125">
        <v>5.7525939999999998E-2</v>
      </c>
      <c r="AM125">
        <v>5.6356429999999902E-2</v>
      </c>
      <c r="AN125">
        <v>5.43486399999994E-2</v>
      </c>
      <c r="AO125" s="39">
        <v>5.1406949999999799E-2</v>
      </c>
      <c r="AP125" s="39">
        <v>4.5808990000000001E-2</v>
      </c>
      <c r="AQ125" s="39">
        <v>3.7559570000000098E-2</v>
      </c>
      <c r="AR125">
        <v>2.5238679999999701E-2</v>
      </c>
      <c r="AS125">
        <v>1.34203400000004E-2</v>
      </c>
      <c r="AT125" s="39">
        <v>-1.35189200000003E-2</v>
      </c>
      <c r="AU125">
        <v>-4.5920189999999701E-2</v>
      </c>
      <c r="AV125">
        <v>-8.5309639999999604E-2</v>
      </c>
      <c r="AW125">
        <v>-0.13853620999999899</v>
      </c>
    </row>
    <row r="126" spans="2:50" x14ac:dyDescent="0.25">
      <c r="B126" t="s">
        <v>532</v>
      </c>
      <c r="C126">
        <v>0</v>
      </c>
      <c r="D126" s="39">
        <v>0</v>
      </c>
      <c r="E126" s="39">
        <v>0</v>
      </c>
      <c r="F126" s="39">
        <v>0</v>
      </c>
      <c r="G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>
        <v>0</v>
      </c>
      <c r="U126" s="39">
        <v>0</v>
      </c>
      <c r="V126">
        <v>0</v>
      </c>
      <c r="W126">
        <v>-0.12243648285872299</v>
      </c>
      <c r="X126">
        <v>-0.23396445579686401</v>
      </c>
      <c r="Y126">
        <v>-0.35326448030492602</v>
      </c>
      <c r="Z126">
        <v>-0.47665967573651202</v>
      </c>
      <c r="AA126">
        <v>-0.60578437231846305</v>
      </c>
      <c r="AB126">
        <v>-0.74045001838944902</v>
      </c>
      <c r="AC126">
        <v>-0.87515542736382701</v>
      </c>
      <c r="AD126">
        <v>-1.0061912201588801</v>
      </c>
      <c r="AE126">
        <v>-1.13464030868208</v>
      </c>
      <c r="AF126">
        <v>-1.25904404241306</v>
      </c>
      <c r="AG126">
        <v>-1.3750038060138501</v>
      </c>
      <c r="AH126">
        <v>-1.47946310296205</v>
      </c>
      <c r="AI126">
        <v>-1.5715857899087</v>
      </c>
      <c r="AJ126">
        <v>-1.65352960348355</v>
      </c>
      <c r="AK126">
        <v>-1.7258547966137301</v>
      </c>
      <c r="AL126">
        <v>-1.78766446509606</v>
      </c>
      <c r="AM126">
        <v>-1.8385829898684301</v>
      </c>
      <c r="AN126">
        <v>-1.8768767867309999</v>
      </c>
      <c r="AO126">
        <v>-1.9014206800756599</v>
      </c>
      <c r="AP126">
        <v>-1.91032798399508</v>
      </c>
      <c r="AQ126">
        <v>-1.9032080968092999</v>
      </c>
      <c r="AR126">
        <v>-1.86900536452108</v>
      </c>
      <c r="AS126">
        <v>-1.8115144247118999</v>
      </c>
      <c r="AT126">
        <v>-1.7349028709898699</v>
      </c>
      <c r="AU126">
        <v>-1.63953192307089</v>
      </c>
      <c r="AV126">
        <v>-1.52274950616866</v>
      </c>
      <c r="AW126">
        <v>-1.3764376676540899</v>
      </c>
    </row>
    <row r="127" spans="2:50" x14ac:dyDescent="0.25">
      <c r="B127" t="s">
        <v>533</v>
      </c>
      <c r="C127" s="39">
        <v>0</v>
      </c>
      <c r="D127" s="39">
        <v>0</v>
      </c>
      <c r="E127" s="39">
        <v>0</v>
      </c>
      <c r="F127" s="39">
        <v>0</v>
      </c>
      <c r="G127" s="39">
        <v>0</v>
      </c>
      <c r="H127" s="39">
        <v>0</v>
      </c>
      <c r="I127" s="39">
        <v>0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>
        <v>-1.2749939999999399E-2</v>
      </c>
      <c r="X127" s="39">
        <v>-6.2785199999999805E-2</v>
      </c>
      <c r="Y127">
        <v>-8.0930580000000002E-2</v>
      </c>
      <c r="Z127">
        <v>-8.4692409999999996E-2</v>
      </c>
      <c r="AA127">
        <v>-8.5987640000000004E-2</v>
      </c>
      <c r="AB127">
        <v>-8.8367370000000306E-2</v>
      </c>
      <c r="AC127">
        <v>-9.1781400000000193E-2</v>
      </c>
      <c r="AD127">
        <v>-9.0959649999999795E-2</v>
      </c>
      <c r="AE127">
        <v>-8.9014960000000004E-2</v>
      </c>
      <c r="AF127">
        <v>-8.6106260000000295E-2</v>
      </c>
      <c r="AG127">
        <v>-8.2092470000000306E-2</v>
      </c>
      <c r="AH127">
        <v>-7.8114890000000006E-2</v>
      </c>
      <c r="AI127">
        <v>-7.0282099999999195E-2</v>
      </c>
      <c r="AJ127">
        <v>-6.2493000000000902E-2</v>
      </c>
      <c r="AK127">
        <v>-5.5151509999999598E-2</v>
      </c>
      <c r="AL127">
        <v>-4.7866990000000602E-2</v>
      </c>
      <c r="AM127">
        <v>-4.0735159999999403E-2</v>
      </c>
      <c r="AN127">
        <v>-3.2681190000000103E-2</v>
      </c>
      <c r="AO127">
        <v>-2.47979199999998E-2</v>
      </c>
      <c r="AP127">
        <v>-1.70360300000005E-2</v>
      </c>
      <c r="AQ127">
        <v>-1.01552500000004E-2</v>
      </c>
      <c r="AR127">
        <v>-6.19263000000008E-3</v>
      </c>
      <c r="AS127">
        <v>-8.0927999999980105E-4</v>
      </c>
      <c r="AT127" s="39">
        <v>-7.7789999999855393E-5</v>
      </c>
      <c r="AU127">
        <v>-1.06545599999993E-2</v>
      </c>
      <c r="AV127">
        <v>-3.2816229999999003E-2</v>
      </c>
      <c r="AW127">
        <v>-6.6045649999998901E-2</v>
      </c>
    </row>
    <row r="128" spans="2:50" x14ac:dyDescent="0.25">
      <c r="B128" t="s">
        <v>200</v>
      </c>
      <c r="C128">
        <v>97.675608301772399</v>
      </c>
      <c r="D128">
        <v>99.243821787128098</v>
      </c>
      <c r="E128">
        <v>100</v>
      </c>
      <c r="F128">
        <v>103.976386584671</v>
      </c>
      <c r="G128">
        <v>104.325179043807</v>
      </c>
      <c r="H128">
        <v>100.68175450976</v>
      </c>
      <c r="I128">
        <v>103.165105387678</v>
      </c>
      <c r="J128">
        <v>105.502860725974</v>
      </c>
      <c r="K128">
        <v>106.16129694184799</v>
      </c>
      <c r="L128">
        <v>106.453530613326</v>
      </c>
      <c r="M128">
        <v>107.586514333445</v>
      </c>
      <c r="N128">
        <v>108.62297481095899</v>
      </c>
      <c r="O128">
        <v>110.11500876331699</v>
      </c>
      <c r="P128">
        <v>113.185485572071</v>
      </c>
      <c r="Q128">
        <v>115.74629807383999</v>
      </c>
      <c r="R128">
        <v>118.219514361641</v>
      </c>
      <c r="S128">
        <v>118.512459794235</v>
      </c>
      <c r="T128">
        <v>120.471996723792</v>
      </c>
      <c r="U128">
        <v>121.803570107727</v>
      </c>
      <c r="V128">
        <v>123.71527014065499</v>
      </c>
      <c r="W128">
        <v>124.942916024914</v>
      </c>
      <c r="X128">
        <v>126.065977489359</v>
      </c>
      <c r="Y128">
        <v>126.77768884061599</v>
      </c>
      <c r="Z128">
        <v>127.751011733306</v>
      </c>
      <c r="AA128">
        <v>128.4945995276</v>
      </c>
      <c r="AB128">
        <v>129.174938995118</v>
      </c>
      <c r="AC128">
        <v>130.05538135803201</v>
      </c>
      <c r="AD128">
        <v>130.977278589609</v>
      </c>
      <c r="AE128">
        <v>131.75302372655</v>
      </c>
      <c r="AF128">
        <v>132.72819514509001</v>
      </c>
      <c r="AG128">
        <v>133.65595606535501</v>
      </c>
      <c r="AH128">
        <v>134.752736261086</v>
      </c>
      <c r="AI128">
        <v>136.08441447329699</v>
      </c>
      <c r="AJ128">
        <v>137.43434909590701</v>
      </c>
      <c r="AK128">
        <v>138.77798766201099</v>
      </c>
      <c r="AL128">
        <v>140.20534881694201</v>
      </c>
      <c r="AM128">
        <v>141.73442631462399</v>
      </c>
      <c r="AN128">
        <v>143.27689455052601</v>
      </c>
      <c r="AO128">
        <v>145.04535023214001</v>
      </c>
      <c r="AP128">
        <v>146.875963390469</v>
      </c>
      <c r="AQ128">
        <v>148.79046544581499</v>
      </c>
      <c r="AR128">
        <v>150.76566000412299</v>
      </c>
      <c r="AS128">
        <v>152.80963122783501</v>
      </c>
      <c r="AT128">
        <v>154.82552348112199</v>
      </c>
      <c r="AU128">
        <v>156.82710084484401</v>
      </c>
      <c r="AV128">
        <v>158.86391177851399</v>
      </c>
      <c r="AW128">
        <v>161.038968110448</v>
      </c>
      <c r="AX128">
        <v>178.52723229718001</v>
      </c>
    </row>
    <row r="129" spans="2:50" x14ac:dyDescent="0.25">
      <c r="B129" t="s">
        <v>534</v>
      </c>
      <c r="C129" s="39">
        <v>0</v>
      </c>
      <c r="D129" s="39">
        <v>0</v>
      </c>
      <c r="E129" s="39">
        <v>0</v>
      </c>
      <c r="F129" s="39">
        <v>0</v>
      </c>
      <c r="G129" s="39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39">
        <v>0</v>
      </c>
      <c r="W129">
        <v>-0.209211927857955</v>
      </c>
      <c r="X129">
        <v>-0.57761997466297899</v>
      </c>
      <c r="Y129">
        <v>-0.97392807764564704</v>
      </c>
      <c r="Z129">
        <v>-1.39417575794506</v>
      </c>
      <c r="AA129">
        <v>-1.8191277743244501</v>
      </c>
      <c r="AB129">
        <v>-2.2522886144087702</v>
      </c>
      <c r="AC129">
        <v>-2.6989171321552798</v>
      </c>
      <c r="AD129">
        <v>-3.1571098898465699</v>
      </c>
      <c r="AE129">
        <v>-3.6204121600941401</v>
      </c>
      <c r="AF129">
        <v>-4.0927530065402902</v>
      </c>
      <c r="AG129">
        <v>-4.5724513578607802</v>
      </c>
      <c r="AH129">
        <v>-5.05422632818438</v>
      </c>
      <c r="AI129">
        <v>-5.52945974361519</v>
      </c>
      <c r="AJ129">
        <v>-6.0108138792475296</v>
      </c>
      <c r="AK129">
        <v>-6.4958502450504803</v>
      </c>
      <c r="AL129">
        <v>-6.9839916246626297</v>
      </c>
      <c r="AM129">
        <v>-7.4754674852326604</v>
      </c>
      <c r="AN129">
        <v>-7.9494109457517501</v>
      </c>
      <c r="AO129">
        <v>-8.4267563785431392</v>
      </c>
      <c r="AP129">
        <v>-8.9067098745184392</v>
      </c>
      <c r="AQ129">
        <v>-9.3888856199241992</v>
      </c>
      <c r="AR129">
        <v>-9.8713494113138598</v>
      </c>
      <c r="AS129">
        <v>-10.334806425327599</v>
      </c>
      <c r="AT129">
        <v>-10.8017727540332</v>
      </c>
      <c r="AU129">
        <v>-11.263850720984999</v>
      </c>
      <c r="AV129">
        <v>-11.7194916602517</v>
      </c>
      <c r="AW129">
        <v>-12.1744882355864</v>
      </c>
    </row>
    <row r="130" spans="2:50" x14ac:dyDescent="0.25">
      <c r="B130" t="s">
        <v>201</v>
      </c>
      <c r="C130">
        <v>97.020299371083198</v>
      </c>
      <c r="D130">
        <v>98.577991659590893</v>
      </c>
      <c r="E130">
        <v>100</v>
      </c>
      <c r="F130">
        <v>100.44288991483199</v>
      </c>
      <c r="G130">
        <v>95.290916750452396</v>
      </c>
      <c r="H130">
        <v>90.522844039715196</v>
      </c>
      <c r="I130">
        <v>89.544753080168107</v>
      </c>
      <c r="J130">
        <v>87.1170865910793</v>
      </c>
      <c r="K130">
        <v>83.665950363492598</v>
      </c>
      <c r="L130">
        <v>81.504704975599907</v>
      </c>
      <c r="M130">
        <v>80.710324082092001</v>
      </c>
      <c r="N130">
        <v>80.6531293318466</v>
      </c>
      <c r="O130">
        <v>78.682504746687499</v>
      </c>
      <c r="P130">
        <v>76.651833110258394</v>
      </c>
      <c r="Q130">
        <v>73.470269272207702</v>
      </c>
      <c r="R130">
        <v>71.338485084163096</v>
      </c>
      <c r="S130">
        <v>69.245351233598598</v>
      </c>
      <c r="T130">
        <v>68.4456103975443</v>
      </c>
      <c r="U130">
        <v>67.633452166423595</v>
      </c>
      <c r="V130">
        <v>67.020718775561804</v>
      </c>
      <c r="W130">
        <v>66.618285043630294</v>
      </c>
      <c r="X130">
        <v>65.801622997779106</v>
      </c>
      <c r="Y130">
        <v>65.209150349467805</v>
      </c>
      <c r="Z130">
        <v>64.8705345988662</v>
      </c>
      <c r="AA130">
        <v>64.487316102974205</v>
      </c>
      <c r="AB130">
        <v>64.060591110033698</v>
      </c>
      <c r="AC130">
        <v>63.5179265863583</v>
      </c>
      <c r="AD130">
        <v>63.061921253580103</v>
      </c>
      <c r="AE130">
        <v>62.628078529165599</v>
      </c>
      <c r="AF130">
        <v>62.209435476327499</v>
      </c>
      <c r="AG130">
        <v>61.7732173120448</v>
      </c>
      <c r="AH130">
        <v>61.333394818175002</v>
      </c>
      <c r="AI130">
        <v>60.9336321337314</v>
      </c>
      <c r="AJ130">
        <v>60.540882016672903</v>
      </c>
      <c r="AK130">
        <v>60.140916110671398</v>
      </c>
      <c r="AL130">
        <v>59.746340101504501</v>
      </c>
      <c r="AM130">
        <v>59.355761415703903</v>
      </c>
      <c r="AN130">
        <v>58.858038000402502</v>
      </c>
      <c r="AO130">
        <v>58.356070243026103</v>
      </c>
      <c r="AP130">
        <v>57.831212201050597</v>
      </c>
      <c r="AQ130">
        <v>57.305110755184202</v>
      </c>
      <c r="AR130">
        <v>56.727996878776104</v>
      </c>
      <c r="AS130">
        <v>56.3009162075993</v>
      </c>
      <c r="AT130">
        <v>55.883666376390302</v>
      </c>
      <c r="AU130">
        <v>55.465522013838303</v>
      </c>
      <c r="AV130">
        <v>55.052577220333099</v>
      </c>
      <c r="AW130">
        <v>54.671599254269502</v>
      </c>
      <c r="AX130">
        <v>9.0244863084901095</v>
      </c>
    </row>
    <row r="131" spans="2:50" x14ac:dyDescent="0.25">
      <c r="B131" t="s">
        <v>202</v>
      </c>
      <c r="C131">
        <v>651205.12405279896</v>
      </c>
      <c r="D131">
        <v>661660.432957732</v>
      </c>
      <c r="E131">
        <v>672283.60519999999</v>
      </c>
      <c r="F131">
        <v>690924.66559999995</v>
      </c>
      <c r="G131">
        <v>678581.71100000001</v>
      </c>
      <c r="H131">
        <v>619435.65870000003</v>
      </c>
      <c r="I131">
        <v>636180.69220000005</v>
      </c>
      <c r="J131">
        <v>653802.57869999995</v>
      </c>
      <c r="K131">
        <v>644454.95090000005</v>
      </c>
      <c r="L131">
        <v>636957.33299999998</v>
      </c>
      <c r="M131">
        <v>640329.71609999996</v>
      </c>
      <c r="N131">
        <v>649163.82010000001</v>
      </c>
      <c r="O131">
        <v>659683.12349999999</v>
      </c>
      <c r="P131">
        <v>687399.4203</v>
      </c>
      <c r="Q131">
        <v>700150.70160000003</v>
      </c>
      <c r="R131">
        <v>714944.25320000004</v>
      </c>
      <c r="S131">
        <v>711882.74239999999</v>
      </c>
      <c r="T131">
        <v>721555.17850000004</v>
      </c>
      <c r="U131">
        <v>728694.39749999996</v>
      </c>
      <c r="V131">
        <v>741795.46050000004</v>
      </c>
      <c r="W131">
        <v>739553.36560000002</v>
      </c>
      <c r="X131">
        <v>733740.46649999998</v>
      </c>
      <c r="Y131">
        <v>731836.3517</v>
      </c>
      <c r="Z131">
        <v>731310.06839999999</v>
      </c>
      <c r="AA131">
        <v>730454.88710000005</v>
      </c>
      <c r="AB131">
        <v>729932.82609999995</v>
      </c>
      <c r="AC131">
        <v>729241.24820000003</v>
      </c>
      <c r="AD131">
        <v>735286.94</v>
      </c>
      <c r="AE131">
        <v>739554.10919999995</v>
      </c>
      <c r="AF131">
        <v>744470.74829999998</v>
      </c>
      <c r="AG131">
        <v>749218.19810000004</v>
      </c>
      <c r="AH131">
        <v>753849.34739999997</v>
      </c>
      <c r="AI131">
        <v>761425.84629999998</v>
      </c>
      <c r="AJ131">
        <v>768628.59669999999</v>
      </c>
      <c r="AK131">
        <v>775576.4094</v>
      </c>
      <c r="AL131">
        <v>782742.96909999999</v>
      </c>
      <c r="AM131">
        <v>790160.23950000003</v>
      </c>
      <c r="AN131">
        <v>797350.7598</v>
      </c>
      <c r="AO131">
        <v>805751.12190000003</v>
      </c>
      <c r="AP131">
        <v>814453.98149999999</v>
      </c>
      <c r="AQ131">
        <v>823569.94669999997</v>
      </c>
      <c r="AR131">
        <v>832280.98979999998</v>
      </c>
      <c r="AS131">
        <v>842289.37710000004</v>
      </c>
      <c r="AT131">
        <v>851972.57530000003</v>
      </c>
      <c r="AU131">
        <v>861585.14800000004</v>
      </c>
      <c r="AV131">
        <v>871369.41150000005</v>
      </c>
      <c r="AW131">
        <v>881735.58039999998</v>
      </c>
    </row>
    <row r="132" spans="2:50" x14ac:dyDescent="0.25">
      <c r="B132" t="s">
        <v>203</v>
      </c>
      <c r="C132">
        <v>11699515.674308199</v>
      </c>
      <c r="D132">
        <v>11887355.182774801</v>
      </c>
      <c r="E132">
        <v>12078210.52</v>
      </c>
      <c r="F132">
        <v>12394208.23</v>
      </c>
      <c r="G132">
        <v>12130936.02</v>
      </c>
      <c r="H132">
        <v>11018218.310000001</v>
      </c>
      <c r="I132">
        <v>11233802.220000001</v>
      </c>
      <c r="J132">
        <v>11656711.98</v>
      </c>
      <c r="K132">
        <v>11446952.24</v>
      </c>
      <c r="L132">
        <v>11263843.59</v>
      </c>
      <c r="M132">
        <v>11300821.92</v>
      </c>
      <c r="N132">
        <v>11409654.07</v>
      </c>
      <c r="O132">
        <v>11619492.98</v>
      </c>
      <c r="P132">
        <v>12136393.41</v>
      </c>
      <c r="Q132">
        <v>12362443.25</v>
      </c>
      <c r="R132">
        <v>12640256.91</v>
      </c>
      <c r="S132">
        <v>12352593.52</v>
      </c>
      <c r="T132">
        <v>12667602.92</v>
      </c>
      <c r="U132">
        <v>12740456.220000001</v>
      </c>
      <c r="V132">
        <v>13042193.6</v>
      </c>
      <c r="W132">
        <v>13019150.82</v>
      </c>
      <c r="X132">
        <v>12986918.789999999</v>
      </c>
      <c r="Y132">
        <v>12836620.65</v>
      </c>
      <c r="Z132">
        <v>12776014.52</v>
      </c>
      <c r="AA132">
        <v>12739411.18</v>
      </c>
      <c r="AB132">
        <v>12712900.779999999</v>
      </c>
      <c r="AC132">
        <v>12720394.640000001</v>
      </c>
      <c r="AD132">
        <v>12779018.109999999</v>
      </c>
      <c r="AE132">
        <v>12825191.9</v>
      </c>
      <c r="AF132">
        <v>12892013.460000001</v>
      </c>
      <c r="AG132">
        <v>12950874.66</v>
      </c>
      <c r="AH132">
        <v>13044250.51</v>
      </c>
      <c r="AI132">
        <v>13135315.93</v>
      </c>
      <c r="AJ132">
        <v>13214826.49</v>
      </c>
      <c r="AK132">
        <v>13306920.99</v>
      </c>
      <c r="AL132">
        <v>13402380.279999999</v>
      </c>
      <c r="AM132">
        <v>13498687.1</v>
      </c>
      <c r="AN132">
        <v>13568731.470000001</v>
      </c>
      <c r="AO132">
        <v>13658606.68</v>
      </c>
      <c r="AP132">
        <v>13748171.59</v>
      </c>
      <c r="AQ132">
        <v>13855834.449999999</v>
      </c>
      <c r="AR132">
        <v>13959647.75</v>
      </c>
      <c r="AS132">
        <v>14061987.560000001</v>
      </c>
      <c r="AT132">
        <v>14162889.1</v>
      </c>
      <c r="AU132">
        <v>14255399.119999999</v>
      </c>
      <c r="AV132">
        <v>14349381.960000001</v>
      </c>
      <c r="AW132">
        <v>14502099.380000001</v>
      </c>
    </row>
    <row r="133" spans="2:50" x14ac:dyDescent="0.25">
      <c r="B133" t="s">
        <v>204</v>
      </c>
      <c r="C133">
        <v>12350720.798361</v>
      </c>
      <c r="D133">
        <v>12549015.615732601</v>
      </c>
      <c r="E133">
        <v>12750494.119999999</v>
      </c>
      <c r="F133">
        <v>13085132.9</v>
      </c>
      <c r="G133">
        <v>12809517.73</v>
      </c>
      <c r="H133">
        <v>11637653.970000001</v>
      </c>
      <c r="I133">
        <v>11869982.91</v>
      </c>
      <c r="J133">
        <v>12310514.560000001</v>
      </c>
      <c r="K133">
        <v>12091407.189999999</v>
      </c>
      <c r="L133">
        <v>11900800.92</v>
      </c>
      <c r="M133">
        <v>11941151.640000001</v>
      </c>
      <c r="N133">
        <v>12058817.890000001</v>
      </c>
      <c r="O133">
        <v>12279176.1</v>
      </c>
      <c r="P133">
        <v>12823792.83</v>
      </c>
      <c r="Q133">
        <v>13062593.949999999</v>
      </c>
      <c r="R133">
        <v>13355201.16</v>
      </c>
      <c r="S133">
        <v>13064476.26</v>
      </c>
      <c r="T133">
        <v>13389158.09</v>
      </c>
      <c r="U133">
        <v>13469150.609999999</v>
      </c>
      <c r="V133">
        <v>13783989.060000001</v>
      </c>
      <c r="W133">
        <v>13758704.189999999</v>
      </c>
      <c r="X133">
        <v>13720659.25</v>
      </c>
      <c r="Y133">
        <v>13568457</v>
      </c>
      <c r="Z133">
        <v>13507324.59</v>
      </c>
      <c r="AA133">
        <v>13469866.060000001</v>
      </c>
      <c r="AB133">
        <v>13442833.6</v>
      </c>
      <c r="AC133">
        <v>13449635.890000001</v>
      </c>
      <c r="AD133">
        <v>13514305.050000001</v>
      </c>
      <c r="AE133">
        <v>13564746.01</v>
      </c>
      <c r="AF133">
        <v>13636484.210000001</v>
      </c>
      <c r="AG133">
        <v>13700092.859999999</v>
      </c>
      <c r="AH133">
        <v>13798099.85</v>
      </c>
      <c r="AI133">
        <v>13896741.77</v>
      </c>
      <c r="AJ133">
        <v>13983455.08</v>
      </c>
      <c r="AK133">
        <v>14082497.4</v>
      </c>
      <c r="AL133">
        <v>14185123.25</v>
      </c>
      <c r="AM133">
        <v>14288847.34</v>
      </c>
      <c r="AN133">
        <v>14366082.23</v>
      </c>
      <c r="AO133">
        <v>14464357.800000001</v>
      </c>
      <c r="AP133">
        <v>14562625.58</v>
      </c>
      <c r="AQ133">
        <v>14679404.390000001</v>
      </c>
      <c r="AR133">
        <v>14791928.74</v>
      </c>
      <c r="AS133">
        <v>14904276.93</v>
      </c>
      <c r="AT133">
        <v>15014861.67</v>
      </c>
      <c r="AU133">
        <v>15116984.27</v>
      </c>
      <c r="AV133">
        <v>15220751.369999999</v>
      </c>
      <c r="AW133">
        <v>15383834.960000001</v>
      </c>
    </row>
    <row r="134" spans="2:50" x14ac:dyDescent="0.25">
      <c r="B134" t="s">
        <v>205</v>
      </c>
      <c r="C134">
        <v>144913116.15770999</v>
      </c>
      <c r="D134">
        <v>147239743.11109701</v>
      </c>
      <c r="E134">
        <v>149603724.80000001</v>
      </c>
      <c r="F134">
        <v>149849048.90000001</v>
      </c>
      <c r="G134">
        <v>144557799.5</v>
      </c>
      <c r="H134">
        <v>144191908.30000001</v>
      </c>
      <c r="I134">
        <v>141808482.69999999</v>
      </c>
      <c r="J134">
        <v>138106699.80000001</v>
      </c>
      <c r="K134">
        <v>133899500.7</v>
      </c>
      <c r="L134">
        <v>130785530.2</v>
      </c>
      <c r="M134">
        <v>128487761.8</v>
      </c>
      <c r="N134">
        <v>126993668</v>
      </c>
      <c r="O134">
        <v>127019785</v>
      </c>
      <c r="P134">
        <v>125395342.40000001</v>
      </c>
      <c r="Q134">
        <v>122539934.90000001</v>
      </c>
      <c r="R134">
        <v>120742407.09999999</v>
      </c>
      <c r="S134">
        <v>119504026.09999999</v>
      </c>
      <c r="T134">
        <v>116999077.09999999</v>
      </c>
      <c r="U134">
        <v>114493949.3</v>
      </c>
      <c r="V134">
        <v>111728716.59999999</v>
      </c>
      <c r="W134">
        <v>110425231.7</v>
      </c>
      <c r="X134">
        <v>108179460</v>
      </c>
      <c r="Y134">
        <v>106372990.2</v>
      </c>
      <c r="Z134">
        <v>105179882.5</v>
      </c>
      <c r="AA134">
        <v>104018003.40000001</v>
      </c>
      <c r="AB134">
        <v>102799179.3</v>
      </c>
      <c r="AC134">
        <v>100938952.09999999</v>
      </c>
      <c r="AD134">
        <v>99420455.200000003</v>
      </c>
      <c r="AE134">
        <v>98209332.730000004</v>
      </c>
      <c r="AF134">
        <v>96937142.219999999</v>
      </c>
      <c r="AG134">
        <v>95611542.510000005</v>
      </c>
      <c r="AH134">
        <v>94185632.140000001</v>
      </c>
      <c r="AI134">
        <v>92601409.5</v>
      </c>
      <c r="AJ134">
        <v>91077081.799999997</v>
      </c>
      <c r="AK134">
        <v>89557432.920000002</v>
      </c>
      <c r="AL134">
        <v>88032510.859999999</v>
      </c>
      <c r="AM134">
        <v>86502211.640000001</v>
      </c>
      <c r="AN134">
        <v>84890106.790000007</v>
      </c>
      <c r="AO134">
        <v>83227766.959999904</v>
      </c>
      <c r="AP134">
        <v>81532519.760000005</v>
      </c>
      <c r="AQ134">
        <v>79825026.689999998</v>
      </c>
      <c r="AR134">
        <v>77933927.870000005</v>
      </c>
      <c r="AS134">
        <v>76109239.719999999</v>
      </c>
      <c r="AT134">
        <v>74305454.519999996</v>
      </c>
      <c r="AU134">
        <v>72508564.620000005</v>
      </c>
      <c r="AV134">
        <v>70713378.090000004</v>
      </c>
      <c r="AW134">
        <v>68915439.319999903</v>
      </c>
    </row>
    <row r="135" spans="2:50" x14ac:dyDescent="0.25">
      <c r="B135" t="s">
        <v>206</v>
      </c>
      <c r="C135">
        <v>1098851.8998263199</v>
      </c>
      <c r="D135">
        <v>1116494.32251175</v>
      </c>
      <c r="E135">
        <v>1134420</v>
      </c>
      <c r="F135">
        <v>1125136.389</v>
      </c>
      <c r="G135">
        <v>1112699.9669999999</v>
      </c>
      <c r="H135">
        <v>1098655.1510000001</v>
      </c>
      <c r="I135">
        <v>1090758.8570000001</v>
      </c>
      <c r="J135">
        <v>1082003.0619999999</v>
      </c>
      <c r="K135">
        <v>1068001.4890000001</v>
      </c>
      <c r="L135">
        <v>1048743.5049999999</v>
      </c>
      <c r="M135">
        <v>1029745.095</v>
      </c>
      <c r="N135">
        <v>1015521.91</v>
      </c>
      <c r="O135">
        <v>1010924.415</v>
      </c>
      <c r="P135">
        <v>1010649.922</v>
      </c>
      <c r="Q135">
        <v>1007508.3590000001</v>
      </c>
      <c r="R135">
        <v>993270.62849999999</v>
      </c>
      <c r="S135">
        <v>975247.2977</v>
      </c>
      <c r="T135">
        <v>953800.72699999996</v>
      </c>
      <c r="U135">
        <v>933210.63289999997</v>
      </c>
      <c r="V135">
        <v>913851.68389999995</v>
      </c>
      <c r="W135">
        <v>900428.24910000002</v>
      </c>
      <c r="X135">
        <v>890699.64520000003</v>
      </c>
      <c r="Y135">
        <v>885763.76470000006</v>
      </c>
      <c r="Z135">
        <v>884067.94609999994</v>
      </c>
      <c r="AA135">
        <v>883370.52080000006</v>
      </c>
      <c r="AB135">
        <v>882445.28060000006</v>
      </c>
      <c r="AC135">
        <v>880728.37879999995</v>
      </c>
      <c r="AD135">
        <v>878031.46950000001</v>
      </c>
      <c r="AE135">
        <v>874293.90399999998</v>
      </c>
      <c r="AF135">
        <v>869598.60080000001</v>
      </c>
      <c r="AG135">
        <v>864020.39359999995</v>
      </c>
      <c r="AH135">
        <v>857641.13399999996</v>
      </c>
      <c r="AI135">
        <v>850535.91839999997</v>
      </c>
      <c r="AJ135">
        <v>842828.45970000001</v>
      </c>
      <c r="AK135">
        <v>834708.93700000003</v>
      </c>
      <c r="AL135">
        <v>826280.78940000001</v>
      </c>
      <c r="AM135">
        <v>817610.39650000003</v>
      </c>
      <c r="AN135">
        <v>808688.7084</v>
      </c>
      <c r="AO135">
        <v>799399.49269999994</v>
      </c>
      <c r="AP135">
        <v>789749.7524</v>
      </c>
      <c r="AQ135">
        <v>779799.74470000004</v>
      </c>
      <c r="AR135">
        <v>769589.16509999998</v>
      </c>
      <c r="AS135">
        <v>759159.27119999996</v>
      </c>
      <c r="AT135">
        <v>748502.82140000002</v>
      </c>
      <c r="AU135">
        <v>737634.58380000002</v>
      </c>
      <c r="AV135">
        <v>726574.2524</v>
      </c>
      <c r="AW135">
        <v>715483.38529999997</v>
      </c>
    </row>
    <row r="136" spans="2:50" x14ac:dyDescent="0.25">
      <c r="B136" t="s">
        <v>207</v>
      </c>
      <c r="C136">
        <v>1098851.8998263199</v>
      </c>
      <c r="D136">
        <v>1116494.32251175</v>
      </c>
      <c r="E136">
        <v>1134420</v>
      </c>
      <c r="F136">
        <v>1125136.389</v>
      </c>
      <c r="G136">
        <v>1112699.9669999999</v>
      </c>
      <c r="H136">
        <v>1098655.1510000001</v>
      </c>
      <c r="I136">
        <v>1090758.8570000001</v>
      </c>
      <c r="J136">
        <v>1082003.0619999999</v>
      </c>
      <c r="K136">
        <v>1068001.4890000001</v>
      </c>
      <c r="L136">
        <v>1048743.5049999999</v>
      </c>
      <c r="M136">
        <v>1029745.095</v>
      </c>
      <c r="N136">
        <v>1015521.91</v>
      </c>
      <c r="O136">
        <v>1010924.415</v>
      </c>
      <c r="P136">
        <v>1010649.922</v>
      </c>
      <c r="Q136">
        <v>1007508.3590000001</v>
      </c>
      <c r="R136">
        <v>993270.62849999999</v>
      </c>
      <c r="S136">
        <v>975247.2977</v>
      </c>
      <c r="T136">
        <v>953800.72699999996</v>
      </c>
      <c r="U136">
        <v>933210.63289999997</v>
      </c>
      <c r="V136">
        <v>913851.68389999995</v>
      </c>
      <c r="W136">
        <v>900428.24910000002</v>
      </c>
      <c r="X136">
        <v>890699.64520000003</v>
      </c>
      <c r="Y136">
        <v>885763.76470000006</v>
      </c>
      <c r="Z136">
        <v>884067.94609999994</v>
      </c>
      <c r="AA136">
        <v>883370.52080000006</v>
      </c>
      <c r="AB136">
        <v>882445.28060000006</v>
      </c>
      <c r="AC136">
        <v>880728.37879999995</v>
      </c>
      <c r="AD136">
        <v>878031.46950000001</v>
      </c>
      <c r="AE136">
        <v>874293.90399999998</v>
      </c>
      <c r="AF136">
        <v>869598.60080000001</v>
      </c>
      <c r="AG136">
        <v>864020.39359999995</v>
      </c>
      <c r="AH136">
        <v>857641.13399999996</v>
      </c>
      <c r="AI136">
        <v>850535.91839999997</v>
      </c>
      <c r="AJ136">
        <v>842828.45970000001</v>
      </c>
      <c r="AK136">
        <v>834708.93700000003</v>
      </c>
      <c r="AL136">
        <v>826280.78940000001</v>
      </c>
      <c r="AM136">
        <v>817610.39650000003</v>
      </c>
      <c r="AN136">
        <v>808688.7084</v>
      </c>
      <c r="AO136">
        <v>799399.49269999994</v>
      </c>
      <c r="AP136">
        <v>789749.7524</v>
      </c>
      <c r="AQ136">
        <v>779799.74470000004</v>
      </c>
      <c r="AR136">
        <v>769589.16509999998</v>
      </c>
      <c r="AS136">
        <v>759159.27119999996</v>
      </c>
      <c r="AT136">
        <v>748502.82140000002</v>
      </c>
      <c r="AU136">
        <v>737634.58380000002</v>
      </c>
      <c r="AV136">
        <v>726574.2524</v>
      </c>
      <c r="AW136">
        <v>715483.38529999997</v>
      </c>
    </row>
    <row r="137" spans="2:50" x14ac:dyDescent="0.25">
      <c r="B137" t="s">
        <v>208</v>
      </c>
      <c r="C137">
        <v>105875266.531468</v>
      </c>
      <c r="D137">
        <v>107575128.18195701</v>
      </c>
      <c r="E137">
        <v>109302281.7</v>
      </c>
      <c r="F137">
        <v>110424264.7</v>
      </c>
      <c r="G137">
        <v>106473210.5</v>
      </c>
      <c r="H137">
        <v>107223513.7</v>
      </c>
      <c r="I137">
        <v>105212890.40000001</v>
      </c>
      <c r="J137">
        <v>102554129.2</v>
      </c>
      <c r="K137">
        <v>100017595.90000001</v>
      </c>
      <c r="L137">
        <v>98313550.5</v>
      </c>
      <c r="M137">
        <v>97003787.709999904</v>
      </c>
      <c r="N137">
        <v>96220587.140000001</v>
      </c>
      <c r="O137">
        <v>95808989.969999999</v>
      </c>
      <c r="P137">
        <v>94196670.519999996</v>
      </c>
      <c r="Q137">
        <v>92250329.560000002</v>
      </c>
      <c r="R137">
        <v>91125649.379999995</v>
      </c>
      <c r="S137">
        <v>90433569.209999904</v>
      </c>
      <c r="T137">
        <v>89696927.079999998</v>
      </c>
      <c r="U137">
        <v>88556785.590000004</v>
      </c>
      <c r="V137">
        <v>87128490.219999999</v>
      </c>
      <c r="W137">
        <v>86002176.329999998</v>
      </c>
      <c r="X137">
        <v>84057844.109999999</v>
      </c>
      <c r="Y137">
        <v>82558862.459999904</v>
      </c>
      <c r="Z137">
        <v>81556750.890000001</v>
      </c>
      <c r="AA137">
        <v>80644272.129999995</v>
      </c>
      <c r="AB137">
        <v>79698592.560000002</v>
      </c>
      <c r="AC137">
        <v>78131792.450000003</v>
      </c>
      <c r="AD137">
        <v>76936693.400000006</v>
      </c>
      <c r="AE137">
        <v>76085720.340000004</v>
      </c>
      <c r="AF137">
        <v>75181113.579999998</v>
      </c>
      <c r="AG137">
        <v>74255835.739999995</v>
      </c>
      <c r="AH137">
        <v>73260830.200000003</v>
      </c>
      <c r="AI137">
        <v>72147620.310000002</v>
      </c>
      <c r="AJ137">
        <v>71097413.469999999</v>
      </c>
      <c r="AK137">
        <v>70059572</v>
      </c>
      <c r="AL137">
        <v>69021979.409999996</v>
      </c>
      <c r="AM137">
        <v>67983220.159999996</v>
      </c>
      <c r="AN137">
        <v>66867207.479999997</v>
      </c>
      <c r="AO137">
        <v>65702650.100000001</v>
      </c>
      <c r="AP137">
        <v>64512883.039999999</v>
      </c>
      <c r="AQ137">
        <v>63311799.359999999</v>
      </c>
      <c r="AR137">
        <v>61936493.950000003</v>
      </c>
      <c r="AS137">
        <v>60608833.490000002</v>
      </c>
      <c r="AT137">
        <v>59303268.630000003</v>
      </c>
      <c r="AU137">
        <v>58008297.020000003</v>
      </c>
      <c r="AV137">
        <v>56718547.490000002</v>
      </c>
      <c r="AW137">
        <v>55432246.119999997</v>
      </c>
    </row>
    <row r="138" spans="2:50" x14ac:dyDescent="0.25">
      <c r="B138" t="s">
        <v>209</v>
      </c>
      <c r="C138">
        <v>105875266.531468</v>
      </c>
      <c r="D138">
        <v>107575128.18195701</v>
      </c>
      <c r="E138">
        <v>109302281.7</v>
      </c>
      <c r="F138">
        <v>110424264.7</v>
      </c>
      <c r="G138">
        <v>106473210.5</v>
      </c>
      <c r="H138">
        <v>107223513.7</v>
      </c>
      <c r="I138">
        <v>105212890.40000001</v>
      </c>
      <c r="J138">
        <v>102554129.2</v>
      </c>
      <c r="K138">
        <v>100017595.90000001</v>
      </c>
      <c r="L138">
        <v>98313550.5</v>
      </c>
      <c r="M138">
        <v>97003787.709999904</v>
      </c>
      <c r="N138">
        <v>96220587.140000001</v>
      </c>
      <c r="O138">
        <v>95808989.969999999</v>
      </c>
      <c r="P138">
        <v>94196670.519999996</v>
      </c>
      <c r="Q138">
        <v>92250329.560000002</v>
      </c>
      <c r="R138">
        <v>91125649.379999995</v>
      </c>
      <c r="S138">
        <v>90433569.209999904</v>
      </c>
      <c r="T138">
        <v>89696927.079999998</v>
      </c>
      <c r="U138">
        <v>88556785.590000004</v>
      </c>
      <c r="V138">
        <v>87128490.219999999</v>
      </c>
      <c r="W138">
        <v>86002176.329999998</v>
      </c>
      <c r="X138">
        <v>84057844.109999999</v>
      </c>
      <c r="Y138">
        <v>82558862.459999904</v>
      </c>
      <c r="Z138">
        <v>81556750.890000001</v>
      </c>
      <c r="AA138">
        <v>80644272.129999995</v>
      </c>
      <c r="AB138">
        <v>79698592.560000002</v>
      </c>
      <c r="AC138">
        <v>78131792.450000003</v>
      </c>
      <c r="AD138">
        <v>76936693.400000006</v>
      </c>
      <c r="AE138">
        <v>76085720.340000004</v>
      </c>
      <c r="AF138">
        <v>75181113.579999998</v>
      </c>
      <c r="AG138">
        <v>74255835.739999995</v>
      </c>
      <c r="AH138">
        <v>73260830.200000003</v>
      </c>
      <c r="AI138">
        <v>72147620.310000002</v>
      </c>
      <c r="AJ138">
        <v>71097413.469999999</v>
      </c>
      <c r="AK138">
        <v>70059572</v>
      </c>
      <c r="AL138">
        <v>69021979.409999996</v>
      </c>
      <c r="AM138">
        <v>67983220.159999996</v>
      </c>
      <c r="AN138">
        <v>66867207.479999997</v>
      </c>
      <c r="AO138">
        <v>65702650.100000001</v>
      </c>
      <c r="AP138">
        <v>64512883.039999999</v>
      </c>
      <c r="AQ138">
        <v>63311799.359999999</v>
      </c>
      <c r="AR138">
        <v>61936493.950000003</v>
      </c>
      <c r="AS138">
        <v>60608833.490000002</v>
      </c>
      <c r="AT138">
        <v>59303268.630000003</v>
      </c>
      <c r="AU138">
        <v>58008297.020000003</v>
      </c>
      <c r="AV138">
        <v>56718547.490000002</v>
      </c>
      <c r="AW138">
        <v>55432246.119999997</v>
      </c>
    </row>
    <row r="139" spans="2:50" x14ac:dyDescent="0.25">
      <c r="B139" t="s">
        <v>210</v>
      </c>
      <c r="C139">
        <v>37938997.726415001</v>
      </c>
      <c r="D139">
        <v>38548120.6066292</v>
      </c>
      <c r="E139">
        <v>39167023.149999999</v>
      </c>
      <c r="F139">
        <v>38299647.840000004</v>
      </c>
      <c r="G139">
        <v>36971889.119999997</v>
      </c>
      <c r="H139">
        <v>35869739.509999998</v>
      </c>
      <c r="I139">
        <v>35504833.469999999</v>
      </c>
      <c r="J139">
        <v>34470567.539999999</v>
      </c>
      <c r="K139">
        <v>32813903.399999999</v>
      </c>
      <c r="L139">
        <v>31423236.219999999</v>
      </c>
      <c r="M139">
        <v>30454228.969999999</v>
      </c>
      <c r="N139">
        <v>29757558.91</v>
      </c>
      <c r="O139">
        <v>30199870.600000001</v>
      </c>
      <c r="P139">
        <v>30188021.949999999</v>
      </c>
      <c r="Q139">
        <v>29282096.949999999</v>
      </c>
      <c r="R139">
        <v>28623487.100000001</v>
      </c>
      <c r="S139">
        <v>28095209.600000001</v>
      </c>
      <c r="T139">
        <v>26348349.280000001</v>
      </c>
      <c r="U139">
        <v>25003953.109999999</v>
      </c>
      <c r="V139">
        <v>23686374.690000001</v>
      </c>
      <c r="W139">
        <v>23522627.07</v>
      </c>
      <c r="X139">
        <v>23230916.219999999</v>
      </c>
      <c r="Y139">
        <v>22928363.98</v>
      </c>
      <c r="Z139">
        <v>22739063.640000001</v>
      </c>
      <c r="AA139">
        <v>22490360.75</v>
      </c>
      <c r="AB139">
        <v>22218141.440000001</v>
      </c>
      <c r="AC139">
        <v>21926431.239999998</v>
      </c>
      <c r="AD139">
        <v>21605730.329999998</v>
      </c>
      <c r="AE139">
        <v>21249318.48</v>
      </c>
      <c r="AF139">
        <v>20886430.039999999</v>
      </c>
      <c r="AG139">
        <v>20491686.379999999</v>
      </c>
      <c r="AH139">
        <v>20067160.809999999</v>
      </c>
      <c r="AI139">
        <v>19603253.27</v>
      </c>
      <c r="AJ139">
        <v>19136839.859999999</v>
      </c>
      <c r="AK139">
        <v>18663151.98</v>
      </c>
      <c r="AL139">
        <v>18184250.670000002</v>
      </c>
      <c r="AM139">
        <v>17701381.079999998</v>
      </c>
      <c r="AN139">
        <v>17214210.600000001</v>
      </c>
      <c r="AO139">
        <v>16725717.359999999</v>
      </c>
      <c r="AP139">
        <v>16229886.960000001</v>
      </c>
      <c r="AQ139">
        <v>15733427.59</v>
      </c>
      <c r="AR139">
        <v>15227844.75</v>
      </c>
      <c r="AS139">
        <v>14741246.949999999</v>
      </c>
      <c r="AT139">
        <v>14253683.07</v>
      </c>
      <c r="AU139">
        <v>13762633.02</v>
      </c>
      <c r="AV139">
        <v>13268256.35</v>
      </c>
      <c r="AW139">
        <v>12767709.810000001</v>
      </c>
    </row>
    <row r="140" spans="2:50" x14ac:dyDescent="0.25">
      <c r="B140" t="s">
        <v>211</v>
      </c>
      <c r="C140">
        <v>37938997.726415001</v>
      </c>
      <c r="D140">
        <v>38548120.6066292</v>
      </c>
      <c r="E140">
        <v>39167023.149999999</v>
      </c>
      <c r="F140">
        <v>38299647.840000004</v>
      </c>
      <c r="G140">
        <v>36971889.119999997</v>
      </c>
      <c r="H140">
        <v>35869739.509999998</v>
      </c>
      <c r="I140">
        <v>35504833.469999999</v>
      </c>
      <c r="J140">
        <v>34470567.539999999</v>
      </c>
      <c r="K140">
        <v>32813903.399999999</v>
      </c>
      <c r="L140">
        <v>31423236.219999999</v>
      </c>
      <c r="M140">
        <v>30454228.969999999</v>
      </c>
      <c r="N140">
        <v>29757558.91</v>
      </c>
      <c r="O140">
        <v>30199870.600000001</v>
      </c>
      <c r="P140">
        <v>30188021.949999999</v>
      </c>
      <c r="Q140">
        <v>29282096.949999999</v>
      </c>
      <c r="R140">
        <v>28623487.100000001</v>
      </c>
      <c r="S140">
        <v>28095209.600000001</v>
      </c>
      <c r="T140">
        <v>26348349.280000001</v>
      </c>
      <c r="U140">
        <v>25003953.109999999</v>
      </c>
      <c r="V140">
        <v>23686374.690000001</v>
      </c>
      <c r="W140">
        <v>23522627.07</v>
      </c>
      <c r="X140">
        <v>23230916.219999999</v>
      </c>
      <c r="Y140">
        <v>22928363.98</v>
      </c>
      <c r="Z140">
        <v>22739063.640000001</v>
      </c>
      <c r="AA140">
        <v>22490360.75</v>
      </c>
      <c r="AB140">
        <v>22218141.440000001</v>
      </c>
      <c r="AC140">
        <v>21926431.239999998</v>
      </c>
      <c r="AD140">
        <v>21605730.329999998</v>
      </c>
      <c r="AE140">
        <v>21249318.48</v>
      </c>
      <c r="AF140">
        <v>20886430.039999999</v>
      </c>
      <c r="AG140">
        <v>20491686.379999999</v>
      </c>
      <c r="AH140">
        <v>20067160.809999999</v>
      </c>
      <c r="AI140">
        <v>19603253.27</v>
      </c>
      <c r="AJ140">
        <v>19136839.859999999</v>
      </c>
      <c r="AK140">
        <v>18663151.98</v>
      </c>
      <c r="AL140">
        <v>18184250.670000002</v>
      </c>
      <c r="AM140">
        <v>17701381.079999998</v>
      </c>
      <c r="AN140">
        <v>17214210.600000001</v>
      </c>
      <c r="AO140">
        <v>16725717.359999999</v>
      </c>
      <c r="AP140">
        <v>16229886.960000001</v>
      </c>
      <c r="AQ140">
        <v>15733427.59</v>
      </c>
      <c r="AR140">
        <v>15227844.75</v>
      </c>
      <c r="AS140">
        <v>14741246.949999999</v>
      </c>
      <c r="AT140">
        <v>14253683.07</v>
      </c>
      <c r="AU140">
        <v>13762633.02</v>
      </c>
      <c r="AV140">
        <v>13268256.35</v>
      </c>
      <c r="AW140">
        <v>12767709.810000001</v>
      </c>
    </row>
    <row r="141" spans="2:50" x14ac:dyDescent="0.25">
      <c r="B141" t="s">
        <v>212</v>
      </c>
      <c r="C141">
        <v>7249974.6999914004</v>
      </c>
      <c r="D141">
        <v>7366375.3888705196</v>
      </c>
      <c r="E141">
        <v>7474097.0350000001</v>
      </c>
      <c r="F141">
        <v>7717913.5650000004</v>
      </c>
      <c r="G141">
        <v>7309419.1119999997</v>
      </c>
      <c r="H141">
        <v>7678260.2470000004</v>
      </c>
      <c r="I141">
        <v>7960126.8080000002</v>
      </c>
      <c r="J141">
        <v>7471449.8219999997</v>
      </c>
      <c r="K141">
        <v>7130236.227</v>
      </c>
      <c r="L141">
        <v>6923073.3830000004</v>
      </c>
      <c r="M141">
        <v>7394762.8439999996</v>
      </c>
      <c r="N141">
        <v>7860006.9230000004</v>
      </c>
      <c r="O141">
        <v>8143184.4249999998</v>
      </c>
      <c r="P141">
        <v>8171141.5109999999</v>
      </c>
      <c r="Q141">
        <v>7552539.9950000001</v>
      </c>
      <c r="R141">
        <v>7467013.9740000004</v>
      </c>
      <c r="S141">
        <v>7513346.7769999998</v>
      </c>
      <c r="T141">
        <v>7653087.2290000003</v>
      </c>
      <c r="U141">
        <v>7784407.6320000002</v>
      </c>
      <c r="V141">
        <v>7974991.6090000002</v>
      </c>
      <c r="W141">
        <v>8159886.9119999995</v>
      </c>
      <c r="X141">
        <v>8387823.9060000004</v>
      </c>
      <c r="Y141">
        <v>8538266.8239999898</v>
      </c>
      <c r="Z141">
        <v>8653571.6490000002</v>
      </c>
      <c r="AA141">
        <v>8743897.2479999997</v>
      </c>
      <c r="AB141">
        <v>8826392.9570000004</v>
      </c>
      <c r="AC141">
        <v>8952710.6740000006</v>
      </c>
      <c r="AD141">
        <v>9007073.5789999999</v>
      </c>
      <c r="AE141">
        <v>9079747.9810000006</v>
      </c>
      <c r="AF141">
        <v>9158184.9930000007</v>
      </c>
      <c r="AG141">
        <v>9243005.49599999</v>
      </c>
      <c r="AH141">
        <v>9354291.9360000007</v>
      </c>
      <c r="AI141">
        <v>9443169.5040000007</v>
      </c>
      <c r="AJ141">
        <v>9551354.3690000009</v>
      </c>
      <c r="AK141">
        <v>9657833.6679999996</v>
      </c>
      <c r="AL141">
        <v>9769196.8110000007</v>
      </c>
      <c r="AM141">
        <v>9885714.5810000002</v>
      </c>
      <c r="AN141">
        <v>10007627.75</v>
      </c>
      <c r="AO141">
        <v>10135220.689999999</v>
      </c>
      <c r="AP141">
        <v>10262202.07</v>
      </c>
      <c r="AQ141">
        <v>10389737.800000001</v>
      </c>
      <c r="AR141">
        <v>10534552</v>
      </c>
      <c r="AS141">
        <v>10639446.640000001</v>
      </c>
      <c r="AT141">
        <v>10746462.68</v>
      </c>
      <c r="AU141">
        <v>10856044.42</v>
      </c>
      <c r="AV141">
        <v>10970433.380000001</v>
      </c>
      <c r="AW141">
        <v>11092328.01</v>
      </c>
    </row>
    <row r="142" spans="2:50" x14ac:dyDescent="0.25">
      <c r="B142" t="s">
        <v>213</v>
      </c>
      <c r="C142">
        <v>11428306.3019633</v>
      </c>
      <c r="D142">
        <v>11611791.4562317</v>
      </c>
      <c r="E142">
        <v>11711312.449999999</v>
      </c>
      <c r="F142">
        <v>11906017.93</v>
      </c>
      <c r="G142">
        <v>11186742.49</v>
      </c>
      <c r="H142">
        <v>11355713.93</v>
      </c>
      <c r="I142">
        <v>11089934.93</v>
      </c>
      <c r="J142">
        <v>10704783.85</v>
      </c>
      <c r="K142">
        <v>9992594.8640000001</v>
      </c>
      <c r="L142">
        <v>9716585.4140000008</v>
      </c>
      <c r="M142">
        <v>9825547.7479999997</v>
      </c>
      <c r="N142">
        <v>9984195.3379999995</v>
      </c>
      <c r="O142">
        <v>9298561.38199999</v>
      </c>
      <c r="P142">
        <v>8554387.06399999</v>
      </c>
      <c r="Q142">
        <v>7650016.1509999996</v>
      </c>
      <c r="R142">
        <v>7071911.8080000002</v>
      </c>
      <c r="S142">
        <v>6771497.6890000002</v>
      </c>
      <c r="T142">
        <v>6627784.3880000003</v>
      </c>
      <c r="U142">
        <v>6555259.6090000002</v>
      </c>
      <c r="V142">
        <v>6519457.7829999998</v>
      </c>
      <c r="W142">
        <v>6532771.2089999998</v>
      </c>
      <c r="X142">
        <v>6538140.0769999996</v>
      </c>
      <c r="Y142">
        <v>6517772.4730000002</v>
      </c>
      <c r="Z142">
        <v>6530206.6540000001</v>
      </c>
      <c r="AA142">
        <v>6535322.9029999999</v>
      </c>
      <c r="AB142">
        <v>6535383.2429999998</v>
      </c>
      <c r="AC142">
        <v>6571259.3300000001</v>
      </c>
      <c r="AD142">
        <v>6556644.5669999998</v>
      </c>
      <c r="AE142">
        <v>6555778.4359999998</v>
      </c>
      <c r="AF142">
        <v>6555380.8839999996</v>
      </c>
      <c r="AG142">
        <v>6562902.1799999997</v>
      </c>
      <c r="AH142">
        <v>6590985.3399999999</v>
      </c>
      <c r="AI142">
        <v>6595064.7149999999</v>
      </c>
      <c r="AJ142">
        <v>6610377.0219999999</v>
      </c>
      <c r="AK142">
        <v>6621869.4610000001</v>
      </c>
      <c r="AL142">
        <v>6634080.466</v>
      </c>
      <c r="AM142">
        <v>6647430.8430000003</v>
      </c>
      <c r="AN142">
        <v>6623418.2149999999</v>
      </c>
      <c r="AO142">
        <v>6587403.2429999998</v>
      </c>
      <c r="AP142">
        <v>6542655.9900000002</v>
      </c>
      <c r="AQ142">
        <v>6490576.1050000004</v>
      </c>
      <c r="AR142">
        <v>6441295.858</v>
      </c>
      <c r="AS142">
        <v>6400418.3660000004</v>
      </c>
      <c r="AT142">
        <v>6365244.9570000004</v>
      </c>
      <c r="AU142">
        <v>6329978.9699999997</v>
      </c>
      <c r="AV142">
        <v>6294169.5159999998</v>
      </c>
      <c r="AW142">
        <v>6257269.5329999998</v>
      </c>
    </row>
    <row r="143" spans="2:50" x14ac:dyDescent="0.25">
      <c r="B143" t="s">
        <v>214</v>
      </c>
      <c r="C143">
        <v>1153294.1412084801</v>
      </c>
      <c r="D143">
        <v>1171810.6516891399</v>
      </c>
      <c r="E143">
        <v>1177708.3759999999</v>
      </c>
      <c r="F143">
        <v>1262969.4439999999</v>
      </c>
      <c r="G143">
        <v>1175587.9779999999</v>
      </c>
      <c r="H143">
        <v>1031148.137</v>
      </c>
      <c r="I143">
        <v>1119613.58</v>
      </c>
      <c r="J143">
        <v>1080124.5430000001</v>
      </c>
      <c r="K143">
        <v>1019796.983</v>
      </c>
      <c r="L143">
        <v>1010350.262</v>
      </c>
      <c r="M143">
        <v>1055223.1040000001</v>
      </c>
      <c r="N143">
        <v>1158037.284</v>
      </c>
      <c r="O143">
        <v>1083531.899</v>
      </c>
      <c r="P143">
        <v>989623.52410000004</v>
      </c>
      <c r="Q143">
        <v>850525.70090000005</v>
      </c>
      <c r="R143">
        <v>770902.37560000003</v>
      </c>
      <c r="S143">
        <v>672755.30039999995</v>
      </c>
      <c r="T143">
        <v>629596.05390000006</v>
      </c>
      <c r="U143">
        <v>615087.48419999995</v>
      </c>
      <c r="V143">
        <v>606439.08030000003</v>
      </c>
      <c r="W143">
        <v>613224.92119999998</v>
      </c>
      <c r="X143">
        <v>554846.78619999997</v>
      </c>
      <c r="Y143">
        <v>596824.81590000005</v>
      </c>
      <c r="Z143">
        <v>616020.10919999995</v>
      </c>
      <c r="AA143">
        <v>625174.60829999996</v>
      </c>
      <c r="AB143">
        <v>629671.70239999995</v>
      </c>
      <c r="AC143">
        <v>598296.62029999995</v>
      </c>
      <c r="AD143">
        <v>627238.22560000001</v>
      </c>
      <c r="AE143">
        <v>631579.52280000004</v>
      </c>
      <c r="AF143">
        <v>635145.9031</v>
      </c>
      <c r="AG143">
        <v>637968.33770000003</v>
      </c>
      <c r="AH143">
        <v>616257.73439999996</v>
      </c>
      <c r="AI143">
        <v>634073.70830000006</v>
      </c>
      <c r="AJ143">
        <v>642350.21519999998</v>
      </c>
      <c r="AK143">
        <v>645788.61190000002</v>
      </c>
      <c r="AL143">
        <v>647838.11459999997</v>
      </c>
      <c r="AM143">
        <v>649151.6459</v>
      </c>
      <c r="AN143">
        <v>642160.77960000001</v>
      </c>
      <c r="AO143">
        <v>638199.76639999996</v>
      </c>
      <c r="AP143">
        <v>634719.66280000005</v>
      </c>
      <c r="AQ143">
        <v>631167.55180000002</v>
      </c>
      <c r="AR143">
        <v>613817.84860000003</v>
      </c>
      <c r="AS143">
        <v>617614.53570000001</v>
      </c>
      <c r="AT143">
        <v>617377.10820000002</v>
      </c>
      <c r="AU143">
        <v>615413.60939999996</v>
      </c>
      <c r="AV143">
        <v>612703.29350000003</v>
      </c>
      <c r="AW143">
        <v>609761.41359999997</v>
      </c>
    </row>
    <row r="144" spans="2:50" x14ac:dyDescent="0.25">
      <c r="B144" t="s">
        <v>215</v>
      </c>
      <c r="C144">
        <v>6211298.5004764497</v>
      </c>
      <c r="D144">
        <v>6311022.9070030199</v>
      </c>
      <c r="E144">
        <v>6388557.9900000002</v>
      </c>
      <c r="F144">
        <v>6427977.4000000004</v>
      </c>
      <c r="G144">
        <v>5804580.9069999997</v>
      </c>
      <c r="H144">
        <v>5203773.4910000004</v>
      </c>
      <c r="I144">
        <v>4748945.7149999999</v>
      </c>
      <c r="J144">
        <v>4993295.7019999996</v>
      </c>
      <c r="K144">
        <v>4458853.2539999997</v>
      </c>
      <c r="L144">
        <v>4255420.17</v>
      </c>
      <c r="M144">
        <v>4339819.9919999996</v>
      </c>
      <c r="N144">
        <v>4439236.2110000001</v>
      </c>
      <c r="O144">
        <v>4249378.3679999998</v>
      </c>
      <c r="P144">
        <v>3935690.145</v>
      </c>
      <c r="Q144">
        <v>3537948.0389999999</v>
      </c>
      <c r="R144">
        <v>3228457.9440000001</v>
      </c>
      <c r="S144">
        <v>2960224.1549999998</v>
      </c>
      <c r="T144">
        <v>2821822.3990000002</v>
      </c>
      <c r="U144">
        <v>2698426.9580000001</v>
      </c>
      <c r="V144">
        <v>2584276.21</v>
      </c>
      <c r="W144">
        <v>2439502.4580000001</v>
      </c>
      <c r="X144">
        <v>2280699.96</v>
      </c>
      <c r="Y144">
        <v>2253025.2930000001</v>
      </c>
      <c r="Z144">
        <v>2247489.7170000002</v>
      </c>
      <c r="AA144">
        <v>2244422.301</v>
      </c>
      <c r="AB144">
        <v>2240542.5099999998</v>
      </c>
      <c r="AC144">
        <v>2235321.6639999999</v>
      </c>
      <c r="AD144">
        <v>2244880.0049999999</v>
      </c>
      <c r="AE144">
        <v>2248221.321</v>
      </c>
      <c r="AF144">
        <v>2252121.2289999998</v>
      </c>
      <c r="AG144">
        <v>2257503.0860000001</v>
      </c>
      <c r="AH144">
        <v>2260883.5060000001</v>
      </c>
      <c r="AI144">
        <v>2272257.0989999999</v>
      </c>
      <c r="AJ144">
        <v>2281890.3879999998</v>
      </c>
      <c r="AK144">
        <v>2290133.6949999998</v>
      </c>
      <c r="AL144">
        <v>2298359.1970000002</v>
      </c>
      <c r="AM144">
        <v>2306636.0559999999</v>
      </c>
      <c r="AN144">
        <v>2262208.87</v>
      </c>
      <c r="AO144">
        <v>2209191.7969999998</v>
      </c>
      <c r="AP144">
        <v>2153099.7650000001</v>
      </c>
      <c r="AQ144">
        <v>2096229.2679999999</v>
      </c>
      <c r="AR144">
        <v>2036653.15</v>
      </c>
      <c r="AS144">
        <v>2006688.88</v>
      </c>
      <c r="AT144">
        <v>1980069.426</v>
      </c>
      <c r="AU144">
        <v>1953535.7009999999</v>
      </c>
      <c r="AV144">
        <v>1926850.648</v>
      </c>
      <c r="AW144">
        <v>1900454.885</v>
      </c>
    </row>
    <row r="145" spans="2:49" x14ac:dyDescent="0.25">
      <c r="B145" t="s">
        <v>216</v>
      </c>
      <c r="C145">
        <v>19068539.7330263</v>
      </c>
      <c r="D145">
        <v>19374691.306334</v>
      </c>
      <c r="E145">
        <v>19660403.949999999</v>
      </c>
      <c r="F145">
        <v>19869024.75</v>
      </c>
      <c r="G145">
        <v>18023162.050000001</v>
      </c>
      <c r="H145">
        <v>16075783.960000001</v>
      </c>
      <c r="I145">
        <v>15239743.609999999</v>
      </c>
      <c r="J145">
        <v>16316671.43</v>
      </c>
      <c r="K145">
        <v>14576865.5</v>
      </c>
      <c r="L145">
        <v>13959748.949999999</v>
      </c>
      <c r="M145">
        <v>14282627.470000001</v>
      </c>
      <c r="N145">
        <v>14561279.810000001</v>
      </c>
      <c r="O145">
        <v>14038045.109999999</v>
      </c>
      <c r="P145">
        <v>13092582.359999999</v>
      </c>
      <c r="Q145">
        <v>11806282.460000001</v>
      </c>
      <c r="R145">
        <v>10851791.949999999</v>
      </c>
      <c r="S145">
        <v>9784242.7689999994</v>
      </c>
      <c r="T145">
        <v>9599356.557</v>
      </c>
      <c r="U145">
        <v>9322015.1229999997</v>
      </c>
      <c r="V145">
        <v>9169568.3269999996</v>
      </c>
      <c r="W145">
        <v>8729288.7589999996</v>
      </c>
      <c r="X145">
        <v>8272508.5379999997</v>
      </c>
      <c r="Y145">
        <v>8122311.4079999998</v>
      </c>
      <c r="Z145">
        <v>8086144.6859999998</v>
      </c>
      <c r="AA145">
        <v>8085187.909</v>
      </c>
      <c r="AB145">
        <v>8090409.7029999997</v>
      </c>
      <c r="AC145">
        <v>8120043.4330000002</v>
      </c>
      <c r="AD145">
        <v>8172871.0060000001</v>
      </c>
      <c r="AE145">
        <v>8216290.7510000002</v>
      </c>
      <c r="AF145">
        <v>8267441.3619999997</v>
      </c>
      <c r="AG145">
        <v>8321527.551</v>
      </c>
      <c r="AH145">
        <v>8393017.932</v>
      </c>
      <c r="AI145">
        <v>8461937.2479999997</v>
      </c>
      <c r="AJ145">
        <v>8521587.8640000001</v>
      </c>
      <c r="AK145">
        <v>8587618.9480000008</v>
      </c>
      <c r="AL145">
        <v>8653946.7190000005</v>
      </c>
      <c r="AM145">
        <v>8718796.7149999999</v>
      </c>
      <c r="AN145">
        <v>8592021.4879999999</v>
      </c>
      <c r="AO145">
        <v>8434323.6539999899</v>
      </c>
      <c r="AP145">
        <v>8259454.1179999998</v>
      </c>
      <c r="AQ145">
        <v>8084959.8990000002</v>
      </c>
      <c r="AR145">
        <v>7898392.6069999998</v>
      </c>
      <c r="AS145">
        <v>7803717.2580000004</v>
      </c>
      <c r="AT145">
        <v>7722469.4450000003</v>
      </c>
      <c r="AU145">
        <v>7637552.5470000003</v>
      </c>
      <c r="AV145">
        <v>7551789.8159999996</v>
      </c>
      <c r="AW145">
        <v>7493915.8219999997</v>
      </c>
    </row>
    <row r="146" spans="2:49" x14ac:dyDescent="0.25">
      <c r="B146" t="s">
        <v>217</v>
      </c>
      <c r="C146">
        <v>14426006.8404216</v>
      </c>
      <c r="D146">
        <v>14657621.046468699</v>
      </c>
      <c r="E146">
        <v>14856800.300000001</v>
      </c>
      <c r="F146">
        <v>14847690.449999999</v>
      </c>
      <c r="G146">
        <v>13663495.949999999</v>
      </c>
      <c r="H146">
        <v>12750739.560000001</v>
      </c>
      <c r="I146">
        <v>11651290.529999999</v>
      </c>
      <c r="J146">
        <v>10554240.029999999</v>
      </c>
      <c r="K146">
        <v>9574118.8809999898</v>
      </c>
      <c r="L146">
        <v>9446161.5810000002</v>
      </c>
      <c r="M146">
        <v>9395071.3420000002</v>
      </c>
      <c r="N146">
        <v>9776627.5050000008</v>
      </c>
      <c r="O146">
        <v>9048288.8629999999</v>
      </c>
      <c r="P146">
        <v>8094508.4749999996</v>
      </c>
      <c r="Q146">
        <v>7214681.2759999996</v>
      </c>
      <c r="R146">
        <v>6470242.841</v>
      </c>
      <c r="S146">
        <v>5965458.3629999999</v>
      </c>
      <c r="T146">
        <v>5702473.4239999996</v>
      </c>
      <c r="U146">
        <v>5431166.6380000003</v>
      </c>
      <c r="V146">
        <v>5173199.699</v>
      </c>
      <c r="W146">
        <v>4894489.4309999999</v>
      </c>
      <c r="X146">
        <v>4605629.9129999997</v>
      </c>
      <c r="Y146">
        <v>4565617.1900000004</v>
      </c>
      <c r="Z146">
        <v>4592872.5149999997</v>
      </c>
      <c r="AA146">
        <v>4629108.1830000002</v>
      </c>
      <c r="AB146">
        <v>4664036.568</v>
      </c>
      <c r="AC146">
        <v>4710336.7850000001</v>
      </c>
      <c r="AD146">
        <v>4734579.1840000004</v>
      </c>
      <c r="AE146">
        <v>4757851.2580000004</v>
      </c>
      <c r="AF146">
        <v>4782178.8830000004</v>
      </c>
      <c r="AG146">
        <v>4811633.6009999998</v>
      </c>
      <c r="AH146">
        <v>4846103.7419999996</v>
      </c>
      <c r="AI146">
        <v>4880061.852</v>
      </c>
      <c r="AJ146">
        <v>4915040.5659999996</v>
      </c>
      <c r="AK146">
        <v>4948791.04</v>
      </c>
      <c r="AL146">
        <v>4983045.05</v>
      </c>
      <c r="AM146">
        <v>5017572.6560000004</v>
      </c>
      <c r="AN146">
        <v>4925155.9060000004</v>
      </c>
      <c r="AO146">
        <v>4809651.5460000001</v>
      </c>
      <c r="AP146">
        <v>4686005.2479999997</v>
      </c>
      <c r="AQ146">
        <v>4560036.0930000003</v>
      </c>
      <c r="AR146">
        <v>4432866.0999999996</v>
      </c>
      <c r="AS146">
        <v>4368760.6859999998</v>
      </c>
      <c r="AT146">
        <v>4314943.1639999999</v>
      </c>
      <c r="AU146">
        <v>4262714.2980000004</v>
      </c>
      <c r="AV146">
        <v>4210785.6890000002</v>
      </c>
      <c r="AW146">
        <v>4158725.8840000001</v>
      </c>
    </row>
    <row r="147" spans="2:49" x14ac:dyDescent="0.25">
      <c r="B147" t="s">
        <v>218</v>
      </c>
      <c r="C147">
        <v>9279692.21316991</v>
      </c>
      <c r="D147">
        <v>9428680.6732538398</v>
      </c>
      <c r="E147">
        <v>9499041.2960000001</v>
      </c>
      <c r="F147">
        <v>9456164.9240000006</v>
      </c>
      <c r="G147">
        <v>9046829.3289999999</v>
      </c>
      <c r="H147">
        <v>8504533.568</v>
      </c>
      <c r="I147">
        <v>8273617.2640000004</v>
      </c>
      <c r="J147">
        <v>8023204.9299999997</v>
      </c>
      <c r="K147">
        <v>7608670.477</v>
      </c>
      <c r="L147">
        <v>7540002.6569999997</v>
      </c>
      <c r="M147">
        <v>7500259.1449999996</v>
      </c>
      <c r="N147">
        <v>7754034.6349999998</v>
      </c>
      <c r="O147">
        <v>7571759.6619999995</v>
      </c>
      <c r="P147">
        <v>7289029.835</v>
      </c>
      <c r="Q147">
        <v>6912410.5049999999</v>
      </c>
      <c r="R147">
        <v>6770828.8909999998</v>
      </c>
      <c r="S147">
        <v>6508941.0829999996</v>
      </c>
      <c r="T147">
        <v>6332636.5939999996</v>
      </c>
      <c r="U147">
        <v>6163453.6349999998</v>
      </c>
      <c r="V147">
        <v>6023070.0690000001</v>
      </c>
      <c r="W147">
        <v>5792006.0140000004</v>
      </c>
      <c r="X147">
        <v>5528967.466</v>
      </c>
      <c r="Y147">
        <v>5344229.8339999998</v>
      </c>
      <c r="Z147">
        <v>5211883.1059999997</v>
      </c>
      <c r="AA147">
        <v>5077993.4879999999</v>
      </c>
      <c r="AB147">
        <v>4943533.1310000001</v>
      </c>
      <c r="AC147">
        <v>4817135.6960000005</v>
      </c>
      <c r="AD147">
        <v>4792422.1579999998</v>
      </c>
      <c r="AE147">
        <v>4767794.9129999997</v>
      </c>
      <c r="AF147">
        <v>4749214.8870000001</v>
      </c>
      <c r="AG147">
        <v>4729756.3320000004</v>
      </c>
      <c r="AH147">
        <v>4714657.8080000002</v>
      </c>
      <c r="AI147">
        <v>4699925.9009999996</v>
      </c>
      <c r="AJ147">
        <v>4686744.034</v>
      </c>
      <c r="AK147">
        <v>4673902.4939999999</v>
      </c>
      <c r="AL147">
        <v>4662366.5870000003</v>
      </c>
      <c r="AM147">
        <v>4651461.1880000001</v>
      </c>
      <c r="AN147">
        <v>4597964.835</v>
      </c>
      <c r="AO147">
        <v>4538940.1900000004</v>
      </c>
      <c r="AP147">
        <v>4474952.0820000004</v>
      </c>
      <c r="AQ147">
        <v>4409263.8059999999</v>
      </c>
      <c r="AR147">
        <v>4340755.1749999998</v>
      </c>
      <c r="AS147">
        <v>4294237.4390000002</v>
      </c>
      <c r="AT147">
        <v>4250774.2460000003</v>
      </c>
      <c r="AU147">
        <v>4207637</v>
      </c>
      <c r="AV147">
        <v>4164831.551</v>
      </c>
      <c r="AW147">
        <v>4121578.7370000002</v>
      </c>
    </row>
    <row r="148" spans="2:49" x14ac:dyDescent="0.25">
      <c r="B148" t="s">
        <v>219</v>
      </c>
      <c r="C148">
        <v>10783636.5742715</v>
      </c>
      <c r="D148">
        <v>10956771.347537501</v>
      </c>
      <c r="E148">
        <v>11095557.800000001</v>
      </c>
      <c r="F148">
        <v>11097738.58</v>
      </c>
      <c r="G148">
        <v>11034928.57</v>
      </c>
      <c r="H148">
        <v>10238435.77</v>
      </c>
      <c r="I148">
        <v>10578621.560000001</v>
      </c>
      <c r="J148">
        <v>10641479.210000001</v>
      </c>
      <c r="K148">
        <v>10391413.02</v>
      </c>
      <c r="L148">
        <v>10336221.779999999</v>
      </c>
      <c r="M148">
        <v>10324793.35</v>
      </c>
      <c r="N148">
        <v>10610480</v>
      </c>
      <c r="O148">
        <v>10676780.390000001</v>
      </c>
      <c r="P148">
        <v>10808424.85</v>
      </c>
      <c r="Q148">
        <v>10743550.800000001</v>
      </c>
      <c r="R148">
        <v>10944524.51</v>
      </c>
      <c r="S148">
        <v>10931504.699999999</v>
      </c>
      <c r="T148">
        <v>10805747.810000001</v>
      </c>
      <c r="U148">
        <v>10797893.75</v>
      </c>
      <c r="V148">
        <v>10828567.130000001</v>
      </c>
      <c r="W148">
        <v>10962964.23</v>
      </c>
      <c r="X148">
        <v>11057164.99</v>
      </c>
      <c r="Y148">
        <v>11119739.710000001</v>
      </c>
      <c r="Z148">
        <v>11193545.02</v>
      </c>
      <c r="AA148">
        <v>11248376.33</v>
      </c>
      <c r="AB148">
        <v>11292310.460000001</v>
      </c>
      <c r="AC148">
        <v>11329675.529999999</v>
      </c>
      <c r="AD148">
        <v>11358446.59</v>
      </c>
      <c r="AE148">
        <v>11383263.74</v>
      </c>
      <c r="AF148">
        <v>11421501.09</v>
      </c>
      <c r="AG148">
        <v>11451168.74</v>
      </c>
      <c r="AH148">
        <v>11485294.27</v>
      </c>
      <c r="AI148">
        <v>11527893.65</v>
      </c>
      <c r="AJ148">
        <v>11580091.82</v>
      </c>
      <c r="AK148">
        <v>11634998.73</v>
      </c>
      <c r="AL148">
        <v>11695347.77</v>
      </c>
      <c r="AM148">
        <v>11759059.73</v>
      </c>
      <c r="AN148">
        <v>11827240.529999999</v>
      </c>
      <c r="AO148">
        <v>11900395.41</v>
      </c>
      <c r="AP148">
        <v>11970869.91</v>
      </c>
      <c r="AQ148">
        <v>12041183.220000001</v>
      </c>
      <c r="AR148">
        <v>12109819.439999999</v>
      </c>
      <c r="AS148">
        <v>12176691.26</v>
      </c>
      <c r="AT148">
        <v>12244539.289999999</v>
      </c>
      <c r="AU148">
        <v>12314329.85</v>
      </c>
      <c r="AV148">
        <v>12387002.300000001</v>
      </c>
      <c r="AW148">
        <v>12460593.710000001</v>
      </c>
    </row>
    <row r="149" spans="2:49" x14ac:dyDescent="0.25">
      <c r="B149" t="s">
        <v>220</v>
      </c>
      <c r="C149">
        <v>584010.86634464201</v>
      </c>
      <c r="D149">
        <v>593387.34970747295</v>
      </c>
      <c r="E149">
        <v>598227.04830000002</v>
      </c>
      <c r="F149">
        <v>615515.4142</v>
      </c>
      <c r="G149">
        <v>581544.00470000005</v>
      </c>
      <c r="H149">
        <v>504117.5036</v>
      </c>
      <c r="I149">
        <v>526039.62459999998</v>
      </c>
      <c r="J149">
        <v>525479.25829999999</v>
      </c>
      <c r="K149">
        <v>483136.26789999998</v>
      </c>
      <c r="L149">
        <v>452152.35690000001</v>
      </c>
      <c r="M149">
        <v>443002.97960000002</v>
      </c>
      <c r="N149">
        <v>465512.50439999998</v>
      </c>
      <c r="O149">
        <v>443747.68969999999</v>
      </c>
      <c r="P149">
        <v>425014.64439999999</v>
      </c>
      <c r="Q149">
        <v>393083.55670000002</v>
      </c>
      <c r="R149">
        <v>364166.26280000003</v>
      </c>
      <c r="S149">
        <v>344120.59220000001</v>
      </c>
      <c r="T149">
        <v>337594.9056</v>
      </c>
      <c r="U149">
        <v>333429.05589999998</v>
      </c>
      <c r="V149">
        <v>332910.34179999999</v>
      </c>
      <c r="W149">
        <v>335848.68070000003</v>
      </c>
      <c r="X149">
        <v>334831.26280000003</v>
      </c>
      <c r="Y149">
        <v>336757.15059999999</v>
      </c>
      <c r="Z149">
        <v>340849.92839999998</v>
      </c>
      <c r="AA149">
        <v>345253.77389999997</v>
      </c>
      <c r="AB149">
        <v>350241.05180000002</v>
      </c>
      <c r="AC149">
        <v>354246.05209999997</v>
      </c>
      <c r="AD149">
        <v>354210.94449999998</v>
      </c>
      <c r="AE149">
        <v>352637.5686</v>
      </c>
      <c r="AF149">
        <v>351407.49739999999</v>
      </c>
      <c r="AG149">
        <v>350314.54239999998</v>
      </c>
      <c r="AH149">
        <v>347699.39319999999</v>
      </c>
      <c r="AI149">
        <v>348028.09659999999</v>
      </c>
      <c r="AJ149">
        <v>347901.98969999998</v>
      </c>
      <c r="AK149">
        <v>347474.27850000001</v>
      </c>
      <c r="AL149">
        <v>347082.35200000001</v>
      </c>
      <c r="AM149">
        <v>346707.73849999998</v>
      </c>
      <c r="AN149">
        <v>344914.98249999998</v>
      </c>
      <c r="AO149">
        <v>343596.79340000002</v>
      </c>
      <c r="AP149">
        <v>342259.97110000002</v>
      </c>
      <c r="AQ149">
        <v>340991.49420000002</v>
      </c>
      <c r="AR149">
        <v>338411.90120000002</v>
      </c>
      <c r="AS149">
        <v>337922.82260000001</v>
      </c>
      <c r="AT149">
        <v>337235.6937</v>
      </c>
      <c r="AU149">
        <v>336437.33850000001</v>
      </c>
      <c r="AV149">
        <v>335645.59730000002</v>
      </c>
      <c r="AW149">
        <v>335142.3186</v>
      </c>
    </row>
    <row r="150" spans="2:49" x14ac:dyDescent="0.25">
      <c r="B150" t="s">
        <v>221</v>
      </c>
      <c r="C150">
        <v>22712835.5539211</v>
      </c>
      <c r="D150">
        <v>23077497.475414101</v>
      </c>
      <c r="E150">
        <v>23429230.77</v>
      </c>
      <c r="F150">
        <v>23507338.73</v>
      </c>
      <c r="G150">
        <v>19921842.850000001</v>
      </c>
      <c r="H150">
        <v>16592683.279999999</v>
      </c>
      <c r="I150">
        <v>17360187.5</v>
      </c>
      <c r="J150">
        <v>16949590.300000001</v>
      </c>
      <c r="K150">
        <v>16057588.98</v>
      </c>
      <c r="L150">
        <v>16769510.050000001</v>
      </c>
      <c r="M150">
        <v>17163205.760000002</v>
      </c>
      <c r="N150">
        <v>17520587.77</v>
      </c>
      <c r="O150">
        <v>14698693.16</v>
      </c>
      <c r="P150">
        <v>13318411.310000001</v>
      </c>
      <c r="Q150">
        <v>12151579.76</v>
      </c>
      <c r="R150">
        <v>11182450.529999999</v>
      </c>
      <c r="S150">
        <v>10410606.789999999</v>
      </c>
      <c r="T150">
        <v>10266207.970000001</v>
      </c>
      <c r="U150">
        <v>10187416.130000001</v>
      </c>
      <c r="V150">
        <v>10209249.83</v>
      </c>
      <c r="W150">
        <v>10023879.220000001</v>
      </c>
      <c r="X150">
        <v>9721182.5669999998</v>
      </c>
      <c r="Y150">
        <v>9651577.8489999995</v>
      </c>
      <c r="Z150">
        <v>9638238.52999999</v>
      </c>
      <c r="AA150">
        <v>9623104.2780000009</v>
      </c>
      <c r="AB150">
        <v>9599185.8790000007</v>
      </c>
      <c r="AC150">
        <v>9555577.6940000001</v>
      </c>
      <c r="AD150">
        <v>9656831.0030000005</v>
      </c>
      <c r="AE150">
        <v>9732846.8399999999</v>
      </c>
      <c r="AF150">
        <v>9812355.4279999901</v>
      </c>
      <c r="AG150">
        <v>9899516.9260000009</v>
      </c>
      <c r="AH150">
        <v>9974225.8210000005</v>
      </c>
      <c r="AI150">
        <v>10088503.439999999</v>
      </c>
      <c r="AJ150">
        <v>10192354.289999999</v>
      </c>
      <c r="AK150">
        <v>10292800.460000001</v>
      </c>
      <c r="AL150">
        <v>10393578.18</v>
      </c>
      <c r="AM150">
        <v>10493505.51</v>
      </c>
      <c r="AN150">
        <v>10496899.09</v>
      </c>
      <c r="AO150">
        <v>10492571.75</v>
      </c>
      <c r="AP150">
        <v>10476733.42</v>
      </c>
      <c r="AQ150">
        <v>10454918.050000001</v>
      </c>
      <c r="AR150">
        <v>10410656.699999999</v>
      </c>
      <c r="AS150">
        <v>10439358.42</v>
      </c>
      <c r="AT150">
        <v>10467910.810000001</v>
      </c>
      <c r="AU150">
        <v>10494240.859999999</v>
      </c>
      <c r="AV150">
        <v>10519254.02</v>
      </c>
      <c r="AW150">
        <v>10546807.33</v>
      </c>
    </row>
    <row r="151" spans="2:49" x14ac:dyDescent="0.25">
      <c r="B151" t="s">
        <v>222</v>
      </c>
      <c r="C151">
        <v>611949.61832884501</v>
      </c>
      <c r="D151">
        <v>621774.66739182698</v>
      </c>
      <c r="E151">
        <v>620905.01919999998</v>
      </c>
      <c r="F151">
        <v>610647.47409999999</v>
      </c>
      <c r="G151">
        <v>547076.83519999997</v>
      </c>
      <c r="H151">
        <v>460344.79499999998</v>
      </c>
      <c r="I151">
        <v>488243.24359999999</v>
      </c>
      <c r="J151">
        <v>468762.17849999998</v>
      </c>
      <c r="K151">
        <v>421670.6568</v>
      </c>
      <c r="L151">
        <v>400445.10009999998</v>
      </c>
      <c r="M151">
        <v>399065.82459999999</v>
      </c>
      <c r="N151">
        <v>398229.87109999999</v>
      </c>
      <c r="O151">
        <v>368002.94179999997</v>
      </c>
      <c r="P151">
        <v>354639.95319999999</v>
      </c>
      <c r="Q151">
        <v>314361.84100000001</v>
      </c>
      <c r="R151">
        <v>288354.90779999999</v>
      </c>
      <c r="S151">
        <v>272597.24949999998</v>
      </c>
      <c r="T151">
        <v>265126.29369999998</v>
      </c>
      <c r="U151">
        <v>255476.56520000001</v>
      </c>
      <c r="V151">
        <v>248650.52290000001</v>
      </c>
      <c r="W151">
        <v>246867.81270000001</v>
      </c>
      <c r="X151">
        <v>241672.13860000001</v>
      </c>
      <c r="Y151">
        <v>237432.84839999999</v>
      </c>
      <c r="Z151">
        <v>236490.878</v>
      </c>
      <c r="AA151">
        <v>235038.8222</v>
      </c>
      <c r="AB151">
        <v>233195.6721</v>
      </c>
      <c r="AC151">
        <v>231223.91209999999</v>
      </c>
      <c r="AD151">
        <v>229128.0282</v>
      </c>
      <c r="AE151">
        <v>226664.9515</v>
      </c>
      <c r="AF151">
        <v>224395.9418</v>
      </c>
      <c r="AG151">
        <v>222097.2084</v>
      </c>
      <c r="AH151">
        <v>219543.51060000001</v>
      </c>
      <c r="AI151">
        <v>217177.31529999999</v>
      </c>
      <c r="AJ151">
        <v>214636.6036</v>
      </c>
      <c r="AK151">
        <v>212026.36170000001</v>
      </c>
      <c r="AL151">
        <v>209372.81589999999</v>
      </c>
      <c r="AM151">
        <v>206636.101</v>
      </c>
      <c r="AN151">
        <v>202500.38449999999</v>
      </c>
      <c r="AO151">
        <v>198473.478</v>
      </c>
      <c r="AP151">
        <v>194261.72769999999</v>
      </c>
      <c r="AQ151">
        <v>190031.38759999999</v>
      </c>
      <c r="AR151">
        <v>185510.1439</v>
      </c>
      <c r="AS151">
        <v>181893.76379999999</v>
      </c>
      <c r="AT151">
        <v>178266.79250000001</v>
      </c>
      <c r="AU151">
        <v>174597.01869999999</v>
      </c>
      <c r="AV151">
        <v>170891.5453</v>
      </c>
      <c r="AW151">
        <v>167152.93780000001</v>
      </c>
    </row>
    <row r="152" spans="2:49" x14ac:dyDescent="0.25">
      <c r="B152" t="s">
        <v>223</v>
      </c>
      <c r="C152">
        <v>18604230.451297902</v>
      </c>
      <c r="D152">
        <v>18902927.3889024</v>
      </c>
      <c r="E152">
        <v>19054542.649999999</v>
      </c>
      <c r="F152">
        <v>19377026.93</v>
      </c>
      <c r="G152">
        <v>18136291.870000001</v>
      </c>
      <c r="H152">
        <v>16717090.380000001</v>
      </c>
      <c r="I152">
        <v>16703501.93</v>
      </c>
      <c r="J152">
        <v>16186570.32</v>
      </c>
      <c r="K152">
        <v>15279803.470000001</v>
      </c>
      <c r="L152">
        <v>14961640.710000001</v>
      </c>
      <c r="M152">
        <v>15020060.99</v>
      </c>
      <c r="N152">
        <v>15387142.199999999</v>
      </c>
      <c r="O152">
        <v>14613789.66</v>
      </c>
      <c r="P152">
        <v>13783179.220000001</v>
      </c>
      <c r="Q152">
        <v>12726049.810000001</v>
      </c>
      <c r="R152">
        <v>12352071.460000001</v>
      </c>
      <c r="S152">
        <v>11885076.48</v>
      </c>
      <c r="T152">
        <v>11789535.140000001</v>
      </c>
      <c r="U152">
        <v>11634454.390000001</v>
      </c>
      <c r="V152">
        <v>11567469.859999999</v>
      </c>
      <c r="W152">
        <v>11601286.75</v>
      </c>
      <c r="X152">
        <v>11559208.779999999</v>
      </c>
      <c r="Y152">
        <v>11503977.130000001</v>
      </c>
      <c r="Z152">
        <v>11547462.810000001</v>
      </c>
      <c r="AA152">
        <v>11571472.08</v>
      </c>
      <c r="AB152">
        <v>11582785.43</v>
      </c>
      <c r="AC152">
        <v>11618531.140000001</v>
      </c>
      <c r="AD152">
        <v>11634875.43</v>
      </c>
      <c r="AE152">
        <v>11645849.34</v>
      </c>
      <c r="AF152">
        <v>11667683.630000001</v>
      </c>
      <c r="AG152">
        <v>11699028.439999999</v>
      </c>
      <c r="AH152">
        <v>11740619.310000001</v>
      </c>
      <c r="AI152">
        <v>11788860.199999999</v>
      </c>
      <c r="AJ152">
        <v>11838325.119999999</v>
      </c>
      <c r="AK152">
        <v>11886118.890000001</v>
      </c>
      <c r="AL152">
        <v>11937833.4</v>
      </c>
      <c r="AM152">
        <v>11992385.460000001</v>
      </c>
      <c r="AN152">
        <v>11986171.42</v>
      </c>
      <c r="AO152">
        <v>11987525.710000001</v>
      </c>
      <c r="AP152">
        <v>11980114.220000001</v>
      </c>
      <c r="AQ152">
        <v>11968382.32</v>
      </c>
      <c r="AR152">
        <v>11954131.52</v>
      </c>
      <c r="AS152">
        <v>11966250.52</v>
      </c>
      <c r="AT152">
        <v>11976468.689999999</v>
      </c>
      <c r="AU152">
        <v>11986755.199999999</v>
      </c>
      <c r="AV152">
        <v>11997327.35</v>
      </c>
      <c r="AW152">
        <v>12010157.6</v>
      </c>
    </row>
    <row r="153" spans="2:49" x14ac:dyDescent="0.25">
      <c r="B153" t="s">
        <v>224</v>
      </c>
      <c r="C153">
        <v>583438.22926562198</v>
      </c>
      <c r="D153">
        <v>592805.51875492395</v>
      </c>
      <c r="E153">
        <v>591976.45010000002</v>
      </c>
      <c r="F153">
        <v>616695.06880000001</v>
      </c>
      <c r="G153">
        <v>601677.58470000001</v>
      </c>
      <c r="H153">
        <v>522903.77439999999</v>
      </c>
      <c r="I153">
        <v>521185.6703</v>
      </c>
      <c r="J153">
        <v>529174.0956</v>
      </c>
      <c r="K153">
        <v>505800.51779999997</v>
      </c>
      <c r="L153">
        <v>489863.35560000001</v>
      </c>
      <c r="M153">
        <v>455879.78399999999</v>
      </c>
      <c r="N153">
        <v>417042.98759999999</v>
      </c>
      <c r="O153">
        <v>403567.11170000001</v>
      </c>
      <c r="P153">
        <v>404833.36259999999</v>
      </c>
      <c r="Q153">
        <v>392644.8198</v>
      </c>
      <c r="R153">
        <v>397749.69770000002</v>
      </c>
      <c r="S153">
        <v>384002.03100000002</v>
      </c>
      <c r="T153">
        <v>380998.1275</v>
      </c>
      <c r="U153">
        <v>368797.34049999999</v>
      </c>
      <c r="V153">
        <v>363300.23249999998</v>
      </c>
      <c r="W153">
        <v>361878.15269999998</v>
      </c>
      <c r="X153">
        <v>358484.03710000002</v>
      </c>
      <c r="Y153">
        <v>346807.73440000002</v>
      </c>
      <c r="Z153">
        <v>339431.2205</v>
      </c>
      <c r="AA153">
        <v>333032.93440000003</v>
      </c>
      <c r="AB153">
        <v>327129.83319999999</v>
      </c>
      <c r="AC153">
        <v>322722.22159999999</v>
      </c>
      <c r="AD153">
        <v>318884.57579999999</v>
      </c>
      <c r="AE153">
        <v>314610.95429999998</v>
      </c>
      <c r="AF153">
        <v>310853.2035</v>
      </c>
      <c r="AG153">
        <v>306624.48139999999</v>
      </c>
      <c r="AH153">
        <v>303300.4154</v>
      </c>
      <c r="AI153">
        <v>298625.5111</v>
      </c>
      <c r="AJ153">
        <v>293567.43440000003</v>
      </c>
      <c r="AK153">
        <v>288764.3455</v>
      </c>
      <c r="AL153">
        <v>283910.74359999999</v>
      </c>
      <c r="AM153">
        <v>278964.60690000001</v>
      </c>
      <c r="AN153">
        <v>273207.18239999999</v>
      </c>
      <c r="AO153">
        <v>267926.45240000001</v>
      </c>
      <c r="AP153">
        <v>262479.6557</v>
      </c>
      <c r="AQ153">
        <v>257316.73860000001</v>
      </c>
      <c r="AR153">
        <v>252033.24540000001</v>
      </c>
      <c r="AS153">
        <v>246609.2187</v>
      </c>
      <c r="AT153">
        <v>241189.14689999999</v>
      </c>
      <c r="AU153">
        <v>235457.13269999999</v>
      </c>
      <c r="AV153">
        <v>229596.2843</v>
      </c>
      <c r="AW153">
        <v>225413.77369999999</v>
      </c>
    </row>
    <row r="154" spans="2:49" x14ac:dyDescent="0.25">
      <c r="B154" t="s">
        <v>225</v>
      </c>
      <c r="C154">
        <v>640997.091904014</v>
      </c>
      <c r="D154">
        <v>651288.50755091803</v>
      </c>
      <c r="E154">
        <v>661276.25349999999</v>
      </c>
      <c r="F154">
        <v>684481.29110000003</v>
      </c>
      <c r="G154">
        <v>650208.95849999995</v>
      </c>
      <c r="H154">
        <v>652162.06460000004</v>
      </c>
      <c r="I154">
        <v>677883.97470000002</v>
      </c>
      <c r="J154">
        <v>657798.05379999999</v>
      </c>
      <c r="K154">
        <v>625307.05099999998</v>
      </c>
      <c r="L154">
        <v>633833.76820000005</v>
      </c>
      <c r="M154">
        <v>648935.03240000003</v>
      </c>
      <c r="N154">
        <v>687891.09829999995</v>
      </c>
      <c r="O154">
        <v>734911.31610000005</v>
      </c>
      <c r="P154">
        <v>751256.66899999999</v>
      </c>
      <c r="Q154">
        <v>694650.88280000002</v>
      </c>
      <c r="R154">
        <v>708687.14289999998</v>
      </c>
      <c r="S154">
        <v>733573.03509999998</v>
      </c>
      <c r="T154">
        <v>853206.2746</v>
      </c>
      <c r="U154">
        <v>959762.57429999998</v>
      </c>
      <c r="V154">
        <v>1078692.5260000001</v>
      </c>
      <c r="W154">
        <v>1163938.8489999999</v>
      </c>
      <c r="X154">
        <v>1428785.1270000001</v>
      </c>
      <c r="Y154">
        <v>1527176.608</v>
      </c>
      <c r="Z154">
        <v>1601102.365</v>
      </c>
      <c r="AA154">
        <v>1655044.8970000001</v>
      </c>
      <c r="AB154">
        <v>1695615.4650000001</v>
      </c>
      <c r="AC154">
        <v>1873799.2760000001</v>
      </c>
      <c r="AD154">
        <v>1884081.764</v>
      </c>
      <c r="AE154">
        <v>1897971.3060000001</v>
      </c>
      <c r="AF154">
        <v>1911646.0419999999</v>
      </c>
      <c r="AG154">
        <v>1920866.135</v>
      </c>
      <c r="AH154">
        <v>1998448.9</v>
      </c>
      <c r="AI154">
        <v>1993683.6140000001</v>
      </c>
      <c r="AJ154">
        <v>1992873.899</v>
      </c>
      <c r="AK154">
        <v>1990567.202</v>
      </c>
      <c r="AL154">
        <v>1987865.1969999999</v>
      </c>
      <c r="AM154">
        <v>1985217.6869999999</v>
      </c>
      <c r="AN154">
        <v>1982546.031</v>
      </c>
      <c r="AO154">
        <v>1983659.371</v>
      </c>
      <c r="AP154">
        <v>1984920.8089999999</v>
      </c>
      <c r="AQ154">
        <v>1987147.588</v>
      </c>
      <c r="AR154">
        <v>2063683.5830000001</v>
      </c>
      <c r="AS154">
        <v>2058631.8829999999</v>
      </c>
      <c r="AT154">
        <v>2059459.2509999999</v>
      </c>
      <c r="AU154">
        <v>2061908.67</v>
      </c>
      <c r="AV154">
        <v>2065295.1780000001</v>
      </c>
      <c r="AW154">
        <v>2070709.4879999999</v>
      </c>
    </row>
    <row r="155" spans="2:49" x14ac:dyDescent="0.25">
      <c r="B155" t="s">
        <v>226</v>
      </c>
      <c r="C155">
        <v>2194958.1052306499</v>
      </c>
      <c r="D155">
        <v>2230198.86758945</v>
      </c>
      <c r="E155">
        <v>2253521.9539999999</v>
      </c>
      <c r="F155">
        <v>2242070.9019999998</v>
      </c>
      <c r="G155">
        <v>2233518.4890000001</v>
      </c>
      <c r="H155">
        <v>2229905.554</v>
      </c>
      <c r="I155">
        <v>2236841.2659999998</v>
      </c>
      <c r="J155">
        <v>2251167.2850000001</v>
      </c>
      <c r="K155">
        <v>2253272.6009999998</v>
      </c>
      <c r="L155">
        <v>2251637.4730000002</v>
      </c>
      <c r="M155">
        <v>2266363.44</v>
      </c>
      <c r="N155">
        <v>2245284.9530000002</v>
      </c>
      <c r="O155">
        <v>2273215.2259999998</v>
      </c>
      <c r="P155">
        <v>2295583.8590000002</v>
      </c>
      <c r="Q155">
        <v>2324579.6140000001</v>
      </c>
      <c r="R155">
        <v>2353871.2170000002</v>
      </c>
      <c r="S155">
        <v>2343005.798</v>
      </c>
      <c r="T155">
        <v>2315926.449</v>
      </c>
      <c r="U155">
        <v>2304260.2379999999</v>
      </c>
      <c r="V155">
        <v>2292871.6970000002</v>
      </c>
      <c r="W155">
        <v>2255482.7259999998</v>
      </c>
      <c r="X155">
        <v>2155002.4190000002</v>
      </c>
      <c r="Y155">
        <v>2126445.7930000001</v>
      </c>
      <c r="Z155">
        <v>2109133.9309999999</v>
      </c>
      <c r="AA155">
        <v>2085417.0959999999</v>
      </c>
      <c r="AB155">
        <v>2057435.442</v>
      </c>
      <c r="AC155">
        <v>2004280.75</v>
      </c>
      <c r="AD155">
        <v>1988325.4339999999</v>
      </c>
      <c r="AE155">
        <v>1954715.193</v>
      </c>
      <c r="AF155">
        <v>1919778.8230000001</v>
      </c>
      <c r="AG155">
        <v>1884032.8119999999</v>
      </c>
      <c r="AH155">
        <v>1831059.9569999999</v>
      </c>
      <c r="AI155">
        <v>1817566.2290000001</v>
      </c>
      <c r="AJ155">
        <v>1797964.139</v>
      </c>
      <c r="AK155">
        <v>1775023.135</v>
      </c>
      <c r="AL155">
        <v>1750866.727</v>
      </c>
      <c r="AM155">
        <v>1726212.83</v>
      </c>
      <c r="AN155">
        <v>1714984.7679999999</v>
      </c>
      <c r="AO155">
        <v>1705995.2239999999</v>
      </c>
      <c r="AP155">
        <v>1697834.2290000001</v>
      </c>
      <c r="AQ155" s="39">
        <v>1689754.2520000001</v>
      </c>
      <c r="AR155" s="39">
        <v>1671949.551</v>
      </c>
      <c r="AS155" s="39">
        <v>1678370.8759999999</v>
      </c>
      <c r="AT155" s="39">
        <v>1682203.7879999999</v>
      </c>
      <c r="AU155" s="39">
        <v>1684800.2490000001</v>
      </c>
      <c r="AV155">
        <v>1686836.233</v>
      </c>
      <c r="AW155">
        <v>1688740.013</v>
      </c>
    </row>
    <row r="156" spans="2:49" x14ac:dyDescent="0.25">
      <c r="B156" t="s">
        <v>227</v>
      </c>
      <c r="C156">
        <v>48301536.741083004</v>
      </c>
      <c r="D156">
        <v>49077033.537035801</v>
      </c>
      <c r="E156">
        <v>49911744.310000002</v>
      </c>
      <c r="F156">
        <v>49590074.119999997</v>
      </c>
      <c r="G156">
        <v>48595836</v>
      </c>
      <c r="H156">
        <v>46837720.469999999</v>
      </c>
      <c r="I156">
        <v>46424605.030000001</v>
      </c>
      <c r="J156">
        <v>46099608.530000001</v>
      </c>
      <c r="K156">
        <v>45496862.200000003</v>
      </c>
      <c r="L156">
        <v>44625246.950000003</v>
      </c>
      <c r="M156">
        <v>44139616.829999998</v>
      </c>
      <c r="N156">
        <v>43595000.719999999</v>
      </c>
      <c r="O156">
        <v>43545768.200000003</v>
      </c>
      <c r="P156">
        <v>43715693.829999998</v>
      </c>
      <c r="Q156">
        <v>43102147</v>
      </c>
      <c r="R156">
        <v>42517002.200000003</v>
      </c>
      <c r="S156">
        <v>41801498.899999999</v>
      </c>
      <c r="T156">
        <v>42323690.649999999</v>
      </c>
      <c r="U156">
        <v>42600948.210000001</v>
      </c>
      <c r="V156">
        <v>43141219.850000001</v>
      </c>
      <c r="W156">
        <v>43592793.219999999</v>
      </c>
      <c r="X156">
        <v>43542191.859999999</v>
      </c>
      <c r="Y156">
        <v>43433134.240000002</v>
      </c>
      <c r="Z156">
        <v>43363476.140000001</v>
      </c>
      <c r="AA156">
        <v>43174080.640000001</v>
      </c>
      <c r="AB156">
        <v>42947524.229999997</v>
      </c>
      <c r="AC156">
        <v>42649609.439999998</v>
      </c>
      <c r="AD156">
        <v>42342329.920000002</v>
      </c>
      <c r="AE156">
        <v>41917334.57</v>
      </c>
      <c r="AF156">
        <v>41526694.469999999</v>
      </c>
      <c r="AG156">
        <v>41099391.579999998</v>
      </c>
      <c r="AH156">
        <v>40620531.57</v>
      </c>
      <c r="AI156">
        <v>40424334.579999998</v>
      </c>
      <c r="AJ156">
        <v>40187992.609999999</v>
      </c>
      <c r="AK156">
        <v>39914344.479999997</v>
      </c>
      <c r="AL156">
        <v>39639037.670000002</v>
      </c>
      <c r="AM156">
        <v>39363597.25</v>
      </c>
      <c r="AN156">
        <v>39367296.439999998</v>
      </c>
      <c r="AO156">
        <v>39437669.979999997</v>
      </c>
      <c r="AP156">
        <v>39513479.310000002</v>
      </c>
      <c r="AQ156">
        <v>39598217.829999998</v>
      </c>
      <c r="AR156">
        <v>39640156.659999996</v>
      </c>
      <c r="AS156">
        <v>39955289.609999999</v>
      </c>
      <c r="AT156">
        <v>40247241.57</v>
      </c>
      <c r="AU156">
        <v>40533374.670000002</v>
      </c>
      <c r="AV156">
        <v>40827591.920000002</v>
      </c>
      <c r="AW156">
        <v>41145193.899999999</v>
      </c>
    </row>
    <row r="157" spans="2:49" x14ac:dyDescent="0.25">
      <c r="B157" t="s">
        <v>228</v>
      </c>
      <c r="C157">
        <v>9397840.0105028208</v>
      </c>
      <c r="D157">
        <v>9548725.3716889191</v>
      </c>
      <c r="E157">
        <v>9702039.9629999995</v>
      </c>
      <c r="F157">
        <v>11055840.02</v>
      </c>
      <c r="G157">
        <v>9270265.9910000004</v>
      </c>
      <c r="H157">
        <v>6637702.7139999997</v>
      </c>
      <c r="I157">
        <v>7779416.625</v>
      </c>
      <c r="J157">
        <v>6020325.7910000002</v>
      </c>
      <c r="K157">
        <v>7036983.4400000004</v>
      </c>
      <c r="L157">
        <v>6301093.085</v>
      </c>
      <c r="M157">
        <v>6342695.3329999996</v>
      </c>
      <c r="N157">
        <v>6526696.8109999998</v>
      </c>
      <c r="O157">
        <v>5907270.9139999999</v>
      </c>
      <c r="P157">
        <v>6231832.3990000002</v>
      </c>
      <c r="Q157">
        <v>6081256.7640000004</v>
      </c>
      <c r="R157">
        <v>6137437.9210000001</v>
      </c>
      <c r="S157">
        <v>6104504.2580000004</v>
      </c>
      <c r="T157">
        <v>5963888.4079999998</v>
      </c>
      <c r="U157">
        <v>5940903.4950000001</v>
      </c>
      <c r="V157">
        <v>5922300.6699999999</v>
      </c>
      <c r="W157">
        <v>5870773.5029999996</v>
      </c>
      <c r="X157">
        <v>5765644.1560000004</v>
      </c>
      <c r="Y157">
        <v>5766128.8099999996</v>
      </c>
      <c r="Z157">
        <v>5791859.6550000003</v>
      </c>
      <c r="AA157">
        <v>5815349.5650000004</v>
      </c>
      <c r="AB157">
        <v>5840858.3820000002</v>
      </c>
      <c r="AC157">
        <v>5863952.0089999996</v>
      </c>
      <c r="AD157">
        <v>5898726.9639999997</v>
      </c>
      <c r="AE157">
        <v>5927001.1030000001</v>
      </c>
      <c r="AF157">
        <v>5964827.6030000001</v>
      </c>
      <c r="AG157">
        <v>6001002.5970000001</v>
      </c>
      <c r="AH157">
        <v>6035061.7620000001</v>
      </c>
      <c r="AI157">
        <v>6084149.358</v>
      </c>
      <c r="AJ157">
        <v>6134563.0310000004</v>
      </c>
      <c r="AK157">
        <v>6184110.2230000002</v>
      </c>
      <c r="AL157">
        <v>6236897.8559999997</v>
      </c>
      <c r="AM157">
        <v>6292695.8720000004</v>
      </c>
      <c r="AN157">
        <v>6298199.6109999996</v>
      </c>
      <c r="AO157">
        <v>6294718.1310000001</v>
      </c>
      <c r="AP157">
        <v>6281626.2510000002</v>
      </c>
      <c r="AQ157">
        <v>6262268.5980000002</v>
      </c>
      <c r="AR157">
        <v>6232964.2410000004</v>
      </c>
      <c r="AS157">
        <v>6234197.8739999998</v>
      </c>
      <c r="AT157">
        <v>6239957.318</v>
      </c>
      <c r="AU157">
        <v>6247484.4620000003</v>
      </c>
      <c r="AV157">
        <v>6257132.5130000003</v>
      </c>
      <c r="AW157">
        <v>6269390.4819999998</v>
      </c>
    </row>
    <row r="158" spans="2:49" x14ac:dyDescent="0.25">
      <c r="B158" t="s">
        <v>229</v>
      </c>
      <c r="C158">
        <v>2784044.1169573502</v>
      </c>
      <c r="D158">
        <v>2828742.8457796802</v>
      </c>
      <c r="E158">
        <v>2871411.469</v>
      </c>
      <c r="F158">
        <v>2978719.3330000001</v>
      </c>
      <c r="G158">
        <v>2955837.7140000002</v>
      </c>
      <c r="H158">
        <v>2428518.023</v>
      </c>
      <c r="I158">
        <v>2472715.3489999999</v>
      </c>
      <c r="J158">
        <v>2581834.3089999999</v>
      </c>
      <c r="K158">
        <v>2517041.0389999999</v>
      </c>
      <c r="L158">
        <v>2445892.7820000001</v>
      </c>
      <c r="M158">
        <v>2441899.9029999999</v>
      </c>
      <c r="N158">
        <v>2570998.301</v>
      </c>
      <c r="O158">
        <v>2565397.7510000002</v>
      </c>
      <c r="P158">
        <v>2558534.0380000002</v>
      </c>
      <c r="Q158">
        <v>2635902.6630000002</v>
      </c>
      <c r="R158">
        <v>2664979.0389999999</v>
      </c>
      <c r="S158">
        <v>2618807.142</v>
      </c>
      <c r="T158">
        <v>2569798.92</v>
      </c>
      <c r="U158">
        <v>2545684.2650000001</v>
      </c>
      <c r="V158">
        <v>2534361.4270000001</v>
      </c>
      <c r="W158">
        <v>2556348.9890000001</v>
      </c>
      <c r="X158">
        <v>2562430.5490000001</v>
      </c>
      <c r="Y158">
        <v>2583935.8939999999</v>
      </c>
      <c r="Z158">
        <v>2602025.5440000002</v>
      </c>
      <c r="AA158">
        <v>2618863.6159999999</v>
      </c>
      <c r="AB158">
        <v>2634022.33</v>
      </c>
      <c r="AC158">
        <v>2646481.4610000001</v>
      </c>
      <c r="AD158">
        <v>2667297.108</v>
      </c>
      <c r="AE158">
        <v>2681385.5299999998</v>
      </c>
      <c r="AF158">
        <v>2697964.611</v>
      </c>
      <c r="AG158">
        <v>2715578.1949999998</v>
      </c>
      <c r="AH158">
        <v>2732849.1060000001</v>
      </c>
      <c r="AI158">
        <v>2762013.0329999998</v>
      </c>
      <c r="AJ158">
        <v>2791808.8909999998</v>
      </c>
      <c r="AK158">
        <v>2820477.1439999999</v>
      </c>
      <c r="AL158">
        <v>2850532.9470000002</v>
      </c>
      <c r="AM158">
        <v>2882428.1669999999</v>
      </c>
      <c r="AN158">
        <v>2910742.534</v>
      </c>
      <c r="AO158">
        <v>2941595.372</v>
      </c>
      <c r="AP158">
        <v>2972465.0060000001</v>
      </c>
      <c r="AQ158">
        <v>3004386.679</v>
      </c>
      <c r="AR158">
        <v>3035367.4539999999</v>
      </c>
      <c r="AS158">
        <v>3071801.7919999999</v>
      </c>
      <c r="AT158">
        <v>3107184.5580000002</v>
      </c>
      <c r="AU158">
        <v>3142084.554</v>
      </c>
      <c r="AV158">
        <v>3177060.6060000001</v>
      </c>
      <c r="AW158">
        <v>3214489.8849999998</v>
      </c>
    </row>
    <row r="159" spans="2:49" x14ac:dyDescent="0.25">
      <c r="B159" t="s">
        <v>230</v>
      </c>
      <c r="C159">
        <v>20640520.667746101</v>
      </c>
      <c r="D159">
        <v>20971910.903432399</v>
      </c>
      <c r="E159">
        <v>21173004.75</v>
      </c>
      <c r="F159">
        <v>21597058.25</v>
      </c>
      <c r="G159">
        <v>20834265.68</v>
      </c>
      <c r="H159">
        <v>20059337.829999998</v>
      </c>
      <c r="I159">
        <v>20346238.84</v>
      </c>
      <c r="J159">
        <v>19966810.969999999</v>
      </c>
      <c r="K159">
        <v>19227285.539999999</v>
      </c>
      <c r="L159">
        <v>19018064.620000001</v>
      </c>
      <c r="M159">
        <v>19355855.809999999</v>
      </c>
      <c r="N159">
        <v>20194120.32</v>
      </c>
      <c r="O159">
        <v>19975969.719999999</v>
      </c>
      <c r="P159">
        <v>19177088.550000001</v>
      </c>
      <c r="Q159">
        <v>17810302.879999999</v>
      </c>
      <c r="R159">
        <v>16794694.32</v>
      </c>
      <c r="S159">
        <v>15967445.67</v>
      </c>
      <c r="T159">
        <v>15541843.550000001</v>
      </c>
      <c r="U159">
        <v>15168019</v>
      </c>
      <c r="V159">
        <v>14803275.65</v>
      </c>
      <c r="W159">
        <v>14716043.35</v>
      </c>
      <c r="X159">
        <v>14578804.130000001</v>
      </c>
      <c r="Y159">
        <v>14358280.33</v>
      </c>
      <c r="Z159">
        <v>14100767.720000001</v>
      </c>
      <c r="AA159">
        <v>13803314.98</v>
      </c>
      <c r="AB159">
        <v>13492921.59</v>
      </c>
      <c r="AC159">
        <v>13182360.890000001</v>
      </c>
      <c r="AD159">
        <v>12873786.960000001</v>
      </c>
      <c r="AE159">
        <v>12564890.800000001</v>
      </c>
      <c r="AF159">
        <v>12265653.02</v>
      </c>
      <c r="AG159">
        <v>11968763.380000001</v>
      </c>
      <c r="AH159">
        <v>11671750.810000001</v>
      </c>
      <c r="AI159">
        <v>11377456.6</v>
      </c>
      <c r="AJ159">
        <v>11092860.25</v>
      </c>
      <c r="AK159">
        <v>10815539.460000001</v>
      </c>
      <c r="AL159">
        <v>10544938.050000001</v>
      </c>
      <c r="AM159">
        <v>10280734.82</v>
      </c>
      <c r="AN159">
        <v>10044884.619999999</v>
      </c>
      <c r="AO159">
        <v>9821880.5260000005</v>
      </c>
      <c r="AP159">
        <v>9606253.1950000003</v>
      </c>
      <c r="AQ159">
        <v>9398530.4299999997</v>
      </c>
      <c r="AR159">
        <v>9194965.4059999995</v>
      </c>
      <c r="AS159">
        <v>8995673.2770000007</v>
      </c>
      <c r="AT159">
        <v>8801545.34799999</v>
      </c>
      <c r="AU159">
        <v>8612032.29099999</v>
      </c>
      <c r="AV159">
        <v>8426549.8190000001</v>
      </c>
      <c r="AW159">
        <v>8241894.1090000002</v>
      </c>
    </row>
    <row r="160" spans="2:49" x14ac:dyDescent="0.25">
      <c r="B160" t="s">
        <v>231</v>
      </c>
      <c r="C160">
        <v>261855678.291933</v>
      </c>
      <c r="D160">
        <v>266059855.90652901</v>
      </c>
      <c r="E160">
        <v>269637351.89999998</v>
      </c>
      <c r="F160">
        <v>270970636.10000002</v>
      </c>
      <c r="G160">
        <v>254281410.80000001</v>
      </c>
      <c r="H160">
        <v>235221493.59999999</v>
      </c>
      <c r="I160">
        <v>233147319.80000001</v>
      </c>
      <c r="J160">
        <v>225921256.40000001</v>
      </c>
      <c r="K160">
        <v>215438945.30000001</v>
      </c>
      <c r="L160">
        <v>209407124.19999999</v>
      </c>
      <c r="M160">
        <v>208232883.40000001</v>
      </c>
      <c r="N160">
        <v>209362234.40000001</v>
      </c>
      <c r="O160">
        <v>200602827.09999999</v>
      </c>
      <c r="P160">
        <v>192910322.69999999</v>
      </c>
      <c r="Q160">
        <v>181782841.5</v>
      </c>
      <c r="R160">
        <v>174078634.09999999</v>
      </c>
      <c r="S160">
        <v>166565578.09999999</v>
      </c>
      <c r="T160">
        <v>165291032.30000001</v>
      </c>
      <c r="U160">
        <v>164207712.5</v>
      </c>
      <c r="V160">
        <v>164011150.19999999</v>
      </c>
      <c r="W160">
        <v>163601440.19999999</v>
      </c>
      <c r="X160">
        <v>162357345.59999999</v>
      </c>
      <c r="Y160">
        <v>161756585.69999999</v>
      </c>
      <c r="Z160">
        <v>161548034.30000001</v>
      </c>
      <c r="AA160">
        <v>161091900.30000001</v>
      </c>
      <c r="AB160">
        <v>160494340.90000001</v>
      </c>
      <c r="AC160">
        <v>160003500.80000001</v>
      </c>
      <c r="AD160">
        <v>159487423.90000001</v>
      </c>
      <c r="AE160">
        <v>158773941.5</v>
      </c>
      <c r="AF160">
        <v>158165891.09999999</v>
      </c>
      <c r="AG160">
        <v>157543456.5</v>
      </c>
      <c r="AH160">
        <v>156971363.69999999</v>
      </c>
      <c r="AI160">
        <v>156730003.40000001</v>
      </c>
      <c r="AJ160">
        <v>156470970.30000001</v>
      </c>
      <c r="AK160">
        <v>156163757.90000001</v>
      </c>
      <c r="AL160">
        <v>155881519</v>
      </c>
      <c r="AM160">
        <v>155620827.09999999</v>
      </c>
      <c r="AN160">
        <v>155005573.90000001</v>
      </c>
      <c r="AO160">
        <v>154401179.80000001</v>
      </c>
      <c r="AP160">
        <v>153730816.69999999</v>
      </c>
      <c r="AQ160">
        <v>153048817.09999999</v>
      </c>
      <c r="AR160">
        <v>152334308.19999999</v>
      </c>
      <c r="AS160">
        <v>152201695.69999999</v>
      </c>
      <c r="AT160">
        <v>152092412</v>
      </c>
      <c r="AU160">
        <v>151980830.90000001</v>
      </c>
      <c r="AV160">
        <v>151888363.59999999</v>
      </c>
      <c r="AW160">
        <v>151877426.09999999</v>
      </c>
    </row>
    <row r="161" spans="2:49" x14ac:dyDescent="0.25">
      <c r="B161" t="s">
        <v>232</v>
      </c>
      <c r="C161">
        <v>5733144.4507061103</v>
      </c>
      <c r="D161">
        <v>5825191.9393003099</v>
      </c>
      <c r="E161">
        <v>5839451.0650000004</v>
      </c>
      <c r="F161">
        <v>5843668.1969999997</v>
      </c>
      <c r="G161">
        <v>5651938.3590000002</v>
      </c>
      <c r="H161">
        <v>5785840.6789999995</v>
      </c>
      <c r="I161">
        <v>5827326.9119999995</v>
      </c>
      <c r="J161">
        <v>5707166.5470000003</v>
      </c>
      <c r="K161">
        <v>5534019.1720000003</v>
      </c>
      <c r="L161">
        <v>5515352.1639999999</v>
      </c>
      <c r="M161">
        <v>5598575.0800000001</v>
      </c>
      <c r="N161">
        <v>5843076.7340000002</v>
      </c>
      <c r="O161">
        <v>5854111.8590000002</v>
      </c>
      <c r="P161">
        <v>5605158.7319999998</v>
      </c>
      <c r="Q161">
        <v>5110880.2690000003</v>
      </c>
      <c r="R161">
        <v>4764802.7130000005</v>
      </c>
      <c r="S161">
        <v>4511345.9249999998</v>
      </c>
      <c r="T161">
        <v>4328940.7769999998</v>
      </c>
      <c r="U161">
        <v>4167551.8480000002</v>
      </c>
      <c r="V161">
        <v>4008177.7949999999</v>
      </c>
      <c r="W161">
        <v>3984660.7820000001</v>
      </c>
      <c r="X161">
        <v>3939925.7940000002</v>
      </c>
      <c r="Y161">
        <v>3861512.5240000002</v>
      </c>
      <c r="Z161">
        <v>3768662.63</v>
      </c>
      <c r="AA161">
        <v>3661375.7570000002</v>
      </c>
      <c r="AB161">
        <v>3550451.4810000001</v>
      </c>
      <c r="AC161">
        <v>3440515.89</v>
      </c>
      <c r="AD161">
        <v>3332117.8429999999</v>
      </c>
      <c r="AE161">
        <v>3224307.4369999999</v>
      </c>
      <c r="AF161">
        <v>3120886.9169999999</v>
      </c>
      <c r="AG161">
        <v>3018556.19</v>
      </c>
      <c r="AH161">
        <v>2916678.1260000002</v>
      </c>
      <c r="AI161">
        <v>2816136.9449999998</v>
      </c>
      <c r="AJ161">
        <v>2719439.696</v>
      </c>
      <c r="AK161">
        <v>2625590.5759999999</v>
      </c>
      <c r="AL161">
        <v>2534373.5260000001</v>
      </c>
      <c r="AM161">
        <v>2445675.5830000001</v>
      </c>
      <c r="AN161">
        <v>2362134.1889999998</v>
      </c>
      <c r="AO161">
        <v>2282121.4750000001</v>
      </c>
      <c r="AP161">
        <v>2204422.551</v>
      </c>
      <c r="AQ161">
        <v>2129332.4759999998</v>
      </c>
      <c r="AR161">
        <v>2055695.5870000001</v>
      </c>
      <c r="AS161">
        <v>1983656.2279999999</v>
      </c>
      <c r="AT161">
        <v>1913495.277</v>
      </c>
      <c r="AU161">
        <v>1844976.4240000001</v>
      </c>
      <c r="AV161">
        <v>1777953.969</v>
      </c>
      <c r="AW161">
        <v>1711468.777</v>
      </c>
    </row>
    <row r="162" spans="2:49" x14ac:dyDescent="0.25">
      <c r="B162" t="s">
        <v>233</v>
      </c>
      <c r="C162">
        <v>746221.21464997705</v>
      </c>
      <c r="D162">
        <v>758202.03762327298</v>
      </c>
      <c r="E162">
        <v>770375.21660000004</v>
      </c>
      <c r="F162">
        <v>786035.20810000005</v>
      </c>
      <c r="G162">
        <v>645075.67350000003</v>
      </c>
      <c r="H162">
        <v>572853.32909999997</v>
      </c>
      <c r="I162">
        <v>402497.598</v>
      </c>
      <c r="J162">
        <v>409661.68410000001</v>
      </c>
      <c r="K162">
        <v>379097.5269</v>
      </c>
      <c r="L162">
        <v>377161.47610000003</v>
      </c>
      <c r="M162">
        <v>382171.51419999998</v>
      </c>
      <c r="N162">
        <v>370529.25839999999</v>
      </c>
      <c r="O162">
        <v>310783.75770000002</v>
      </c>
      <c r="P162">
        <v>263305.70870000002</v>
      </c>
      <c r="Q162">
        <v>229157.4982</v>
      </c>
      <c r="R162">
        <v>203478.63269999999</v>
      </c>
      <c r="S162">
        <v>175012.11309999999</v>
      </c>
      <c r="T162">
        <v>165807.49789999999</v>
      </c>
      <c r="U162">
        <v>155391.55179999999</v>
      </c>
      <c r="V162">
        <v>147548.2867</v>
      </c>
      <c r="W162">
        <v>134573.7403</v>
      </c>
      <c r="X162">
        <v>122635.274</v>
      </c>
      <c r="Y162">
        <v>119864.19319999999</v>
      </c>
      <c r="Z162">
        <v>119503.5022</v>
      </c>
      <c r="AA162">
        <v>119861.2332</v>
      </c>
      <c r="AB162">
        <v>120368.0481</v>
      </c>
      <c r="AC162">
        <v>121245.7013</v>
      </c>
      <c r="AD162">
        <v>122422.9047</v>
      </c>
      <c r="AE162">
        <v>123459.24770000001</v>
      </c>
      <c r="AF162">
        <v>124602.1142</v>
      </c>
      <c r="AG162">
        <v>125789.7916</v>
      </c>
      <c r="AH162">
        <v>127250.818</v>
      </c>
      <c r="AI162">
        <v>128580.4911</v>
      </c>
      <c r="AJ162">
        <v>129724.8774</v>
      </c>
      <c r="AK162">
        <v>130950.8572</v>
      </c>
      <c r="AL162">
        <v>132176.26180000001</v>
      </c>
      <c r="AM162">
        <v>133379.73610000001</v>
      </c>
      <c r="AN162">
        <v>130622.655</v>
      </c>
      <c r="AO162">
        <v>127268.2933</v>
      </c>
      <c r="AP162">
        <v>123719.99340000001</v>
      </c>
      <c r="AQ162">
        <v>120272.5456</v>
      </c>
      <c r="AR162">
        <v>116755.6534</v>
      </c>
      <c r="AS162">
        <v>115135.4869</v>
      </c>
      <c r="AT162">
        <v>113834.28</v>
      </c>
      <c r="AU162">
        <v>112520.30070000001</v>
      </c>
      <c r="AV162">
        <v>111220.9831</v>
      </c>
      <c r="AW162">
        <v>110364.9699</v>
      </c>
    </row>
    <row r="163" spans="2:49" x14ac:dyDescent="0.25">
      <c r="B163" t="s">
        <v>234</v>
      </c>
      <c r="C163">
        <v>480333.66960581898</v>
      </c>
      <c r="D163">
        <v>488045.58203966799</v>
      </c>
      <c r="E163">
        <v>495881.31170000002</v>
      </c>
      <c r="F163">
        <v>501282.44640000002</v>
      </c>
      <c r="G163">
        <v>416846.18229999999</v>
      </c>
      <c r="H163">
        <v>385241.20679999999</v>
      </c>
      <c r="I163">
        <v>361447.93310000002</v>
      </c>
      <c r="J163">
        <v>324601.50959999999</v>
      </c>
      <c r="K163">
        <v>313325.13170000003</v>
      </c>
      <c r="L163">
        <v>337764.66200000001</v>
      </c>
      <c r="M163">
        <v>339622.88459999999</v>
      </c>
      <c r="N163">
        <v>340483.19520000002</v>
      </c>
      <c r="O163">
        <v>252962.35709999999</v>
      </c>
      <c r="P163">
        <v>192822.4816</v>
      </c>
      <c r="Q163">
        <v>162169.61009999999</v>
      </c>
      <c r="R163">
        <v>142606.6623</v>
      </c>
      <c r="S163">
        <v>125815.4032</v>
      </c>
      <c r="T163">
        <v>123046.96550000001</v>
      </c>
      <c r="U163">
        <v>121371.8903</v>
      </c>
      <c r="V163">
        <v>120371.3273</v>
      </c>
      <c r="W163">
        <v>117019.6629</v>
      </c>
      <c r="X163">
        <v>113476.298</v>
      </c>
      <c r="Y163">
        <v>114334.3934</v>
      </c>
      <c r="Z163">
        <v>116407.6125</v>
      </c>
      <c r="AA163">
        <v>118817.6825</v>
      </c>
      <c r="AB163">
        <v>121280.0824</v>
      </c>
      <c r="AC163">
        <v>124090.81329999999</v>
      </c>
      <c r="AD163">
        <v>126455.03320000001</v>
      </c>
      <c r="AE163">
        <v>128877.11259999999</v>
      </c>
      <c r="AF163">
        <v>131304.4406</v>
      </c>
      <c r="AG163">
        <v>133937.20629999999</v>
      </c>
      <c r="AH163">
        <v>136788.1489</v>
      </c>
      <c r="AI163">
        <v>139601.85079999999</v>
      </c>
      <c r="AJ163">
        <v>142430.39259999999</v>
      </c>
      <c r="AK163">
        <v>145243.0643</v>
      </c>
      <c r="AL163">
        <v>148088.217</v>
      </c>
      <c r="AM163">
        <v>150958.3749</v>
      </c>
      <c r="AN163">
        <v>151078.2102</v>
      </c>
      <c r="AO163">
        <v>150549.3089</v>
      </c>
      <c r="AP163">
        <v>149637.94459999999</v>
      </c>
      <c r="AQ163">
        <v>148464.58249999999</v>
      </c>
      <c r="AR163">
        <v>147082.79029999999</v>
      </c>
      <c r="AS163">
        <v>147226.1991</v>
      </c>
      <c r="AT163">
        <v>147568.35140000001</v>
      </c>
      <c r="AU163">
        <v>147898.20439999999</v>
      </c>
      <c r="AV163">
        <v>148187.00959999999</v>
      </c>
      <c r="AW163">
        <v>148454.63759999999</v>
      </c>
    </row>
    <row r="164" spans="2:49" x14ac:dyDescent="0.25">
      <c r="B164" t="s">
        <v>235</v>
      </c>
      <c r="C164">
        <v>1469582.3108926199</v>
      </c>
      <c r="D164">
        <v>1493176.93024387</v>
      </c>
      <c r="E164">
        <v>1517150.3689999999</v>
      </c>
      <c r="F164">
        <v>1534995.331</v>
      </c>
      <c r="G164">
        <v>1321391.4339999999</v>
      </c>
      <c r="H164">
        <v>1268248.628</v>
      </c>
      <c r="I164">
        <v>1038351.648</v>
      </c>
      <c r="J164">
        <v>963225.76309999998</v>
      </c>
      <c r="K164">
        <v>962310.05440000002</v>
      </c>
      <c r="L164">
        <v>1031204.875</v>
      </c>
      <c r="M164">
        <v>1036757.444</v>
      </c>
      <c r="N164">
        <v>1043724.428</v>
      </c>
      <c r="O164">
        <v>790560.14199999999</v>
      </c>
      <c r="P164">
        <v>610948.08979999996</v>
      </c>
      <c r="Q164">
        <v>514821.16129999998</v>
      </c>
      <c r="R164">
        <v>462585.59539999999</v>
      </c>
      <c r="S164">
        <v>401747.89159999997</v>
      </c>
      <c r="T164">
        <v>385962.78159999999</v>
      </c>
      <c r="U164">
        <v>373422.56319999998</v>
      </c>
      <c r="V164">
        <v>362559.1923</v>
      </c>
      <c r="W164">
        <v>335375.18050000002</v>
      </c>
      <c r="X164">
        <v>309739.30949999997</v>
      </c>
      <c r="Y164">
        <v>301590.66110000003</v>
      </c>
      <c r="Z164">
        <v>297693.11739999999</v>
      </c>
      <c r="AA164">
        <v>294582.10570000001</v>
      </c>
      <c r="AB164">
        <v>291543.50540000002</v>
      </c>
      <c r="AC164">
        <v>288916.62890000001</v>
      </c>
      <c r="AD164">
        <v>292208.50410000002</v>
      </c>
      <c r="AE164">
        <v>295582.43239999999</v>
      </c>
      <c r="AF164">
        <v>299159.79470000003</v>
      </c>
      <c r="AG164">
        <v>302877.81599999999</v>
      </c>
      <c r="AH164">
        <v>306959.29560000001</v>
      </c>
      <c r="AI164">
        <v>310983.86780000001</v>
      </c>
      <c r="AJ164">
        <v>314940.40230000002</v>
      </c>
      <c r="AK164">
        <v>318868.72739999997</v>
      </c>
      <c r="AL164">
        <v>322855.22600000002</v>
      </c>
      <c r="AM164">
        <v>326856.79619999998</v>
      </c>
      <c r="AN164">
        <v>323482.48839999997</v>
      </c>
      <c r="AO164">
        <v>318580.5123</v>
      </c>
      <c r="AP164">
        <v>313002.51260000002</v>
      </c>
      <c r="AQ164">
        <v>307149.6482</v>
      </c>
      <c r="AR164">
        <v>301051.10879999999</v>
      </c>
      <c r="AS164">
        <v>298759.45659999998</v>
      </c>
      <c r="AT164">
        <v>297065.39419999998</v>
      </c>
      <c r="AU164">
        <v>295449.07459999999</v>
      </c>
      <c r="AV164">
        <v>293857.02120000002</v>
      </c>
      <c r="AW164">
        <v>292278.99979999999</v>
      </c>
    </row>
    <row r="165" spans="2:49" x14ac:dyDescent="0.25">
      <c r="B165" t="s">
        <v>236</v>
      </c>
      <c r="C165">
        <v>225722.47732836599</v>
      </c>
      <c r="D165">
        <v>229346.52471387701</v>
      </c>
      <c r="E165">
        <v>233028.7574</v>
      </c>
      <c r="F165">
        <v>236499.32029999999</v>
      </c>
      <c r="G165">
        <v>213778.63560000001</v>
      </c>
      <c r="H165">
        <v>203705.96599999999</v>
      </c>
      <c r="I165">
        <v>192675.22700000001</v>
      </c>
      <c r="J165">
        <v>186703.60569999999</v>
      </c>
      <c r="K165">
        <v>189087.01500000001</v>
      </c>
      <c r="L165">
        <v>202462.7309</v>
      </c>
      <c r="M165">
        <v>206538.10500000001</v>
      </c>
      <c r="N165">
        <v>211190.5037</v>
      </c>
      <c r="O165">
        <v>176056.4749</v>
      </c>
      <c r="P165">
        <v>152491.02309999999</v>
      </c>
      <c r="Q165">
        <v>139734.45619999999</v>
      </c>
      <c r="R165">
        <v>135703.7806</v>
      </c>
      <c r="S165">
        <v>127861.3838</v>
      </c>
      <c r="T165">
        <v>124787.30710000001</v>
      </c>
      <c r="U165">
        <v>123352.9531</v>
      </c>
      <c r="V165">
        <v>122014.5347</v>
      </c>
      <c r="W165">
        <v>119451.88009999999</v>
      </c>
      <c r="X165">
        <v>116048.8747</v>
      </c>
      <c r="Y165">
        <v>116755.6698</v>
      </c>
      <c r="Z165">
        <v>118412.3673</v>
      </c>
      <c r="AA165">
        <v>120094.8021</v>
      </c>
      <c r="AB165">
        <v>121712.0082</v>
      </c>
      <c r="AC165">
        <v>123306.9262</v>
      </c>
      <c r="AD165">
        <v>124765.4863</v>
      </c>
      <c r="AE165">
        <v>126177.5263</v>
      </c>
      <c r="AF165">
        <v>127729.93150000001</v>
      </c>
      <c r="AG165">
        <v>129229.7454</v>
      </c>
      <c r="AH165">
        <v>130765.3247</v>
      </c>
      <c r="AI165">
        <v>132304.5324</v>
      </c>
      <c r="AJ165">
        <v>133913.4112</v>
      </c>
      <c r="AK165">
        <v>135542.95929999999</v>
      </c>
      <c r="AL165">
        <v>137232.67920000001</v>
      </c>
      <c r="AM165">
        <v>138961.8694</v>
      </c>
      <c r="AN165">
        <v>138666.32560000001</v>
      </c>
      <c r="AO165">
        <v>137856.48499999999</v>
      </c>
      <c r="AP165">
        <v>136769.92060000001</v>
      </c>
      <c r="AQ165">
        <v>135521.4124</v>
      </c>
      <c r="AR165">
        <v>134097.44200000001</v>
      </c>
      <c r="AS165">
        <v>133953.09839999999</v>
      </c>
      <c r="AT165">
        <v>134041.49720000001</v>
      </c>
      <c r="AU165">
        <v>134165.2254</v>
      </c>
      <c r="AV165">
        <v>134297.18979999999</v>
      </c>
      <c r="AW165">
        <v>134393.50260000001</v>
      </c>
    </row>
    <row r="166" spans="2:49" x14ac:dyDescent="0.25">
      <c r="B166" t="s">
        <v>237</v>
      </c>
      <c r="C166">
        <v>20679763.666016001</v>
      </c>
      <c r="D166">
        <v>21011783.9607329</v>
      </c>
      <c r="E166">
        <v>21366406.469999999</v>
      </c>
      <c r="F166">
        <v>21492876.670000002</v>
      </c>
      <c r="G166">
        <v>18146592.399999999</v>
      </c>
      <c r="H166">
        <v>15165574.85</v>
      </c>
      <c r="I166">
        <v>15852174.26</v>
      </c>
      <c r="J166">
        <v>15477529.98</v>
      </c>
      <c r="K166">
        <v>14727850.210000001</v>
      </c>
      <c r="L166">
        <v>15476327.5</v>
      </c>
      <c r="M166">
        <v>15881018.640000001</v>
      </c>
      <c r="N166">
        <v>16230681.59</v>
      </c>
      <c r="O166">
        <v>13433333.970000001</v>
      </c>
      <c r="P166">
        <v>12010980.449999999</v>
      </c>
      <c r="Q166">
        <v>10881116.34</v>
      </c>
      <c r="R166">
        <v>9967797.7239999995</v>
      </c>
      <c r="S166">
        <v>9223642.9210000001</v>
      </c>
      <c r="T166">
        <v>9132102.1280000005</v>
      </c>
      <c r="U166">
        <v>9106672.3599999994</v>
      </c>
      <c r="V166">
        <v>9173798.6980000008</v>
      </c>
      <c r="W166">
        <v>9019470.2740000002</v>
      </c>
      <c r="X166">
        <v>8764348.63199999</v>
      </c>
      <c r="Y166">
        <v>8722403.3239999898</v>
      </c>
      <c r="Z166">
        <v>8729403.8379999995</v>
      </c>
      <c r="AA166">
        <v>8735908.5050000008</v>
      </c>
      <c r="AB166">
        <v>8734678.4250000007</v>
      </c>
      <c r="AC166">
        <v>8715357.0429999996</v>
      </c>
      <c r="AD166">
        <v>8828297.96199999</v>
      </c>
      <c r="AE166">
        <v>8918572.1329999994</v>
      </c>
      <c r="AF166">
        <v>9011760.7579999994</v>
      </c>
      <c r="AG166">
        <v>9112387.2540000007</v>
      </c>
      <c r="AH166">
        <v>9201874.6099999994</v>
      </c>
      <c r="AI166">
        <v>9328085.2290000003</v>
      </c>
      <c r="AJ166">
        <v>9444618.4289999995</v>
      </c>
      <c r="AK166">
        <v>9558088.7320000008</v>
      </c>
      <c r="AL166">
        <v>9671960.7369999997</v>
      </c>
      <c r="AM166">
        <v>9785128.4240000006</v>
      </c>
      <c r="AN166">
        <v>9807606.2929999996</v>
      </c>
      <c r="AO166">
        <v>9822323.2430000007</v>
      </c>
      <c r="AP166">
        <v>9825918.7980000004</v>
      </c>
      <c r="AQ166">
        <v>9823533.25</v>
      </c>
      <c r="AR166">
        <v>9799808.9470000006</v>
      </c>
      <c r="AS166">
        <v>9844687.5899999999</v>
      </c>
      <c r="AT166">
        <v>9889353.6710000001</v>
      </c>
      <c r="AU166">
        <v>9931893.7559999898</v>
      </c>
      <c r="AV166">
        <v>9973180.5999999996</v>
      </c>
      <c r="AW166">
        <v>10017016.52</v>
      </c>
    </row>
    <row r="167" spans="2:49" x14ac:dyDescent="0.25">
      <c r="B167" t="s">
        <v>238</v>
      </c>
      <c r="C167">
        <v>2009388.6600685499</v>
      </c>
      <c r="D167">
        <v>2041650.04496113</v>
      </c>
      <c r="E167">
        <v>2074429.3970000001</v>
      </c>
      <c r="F167">
        <v>2146717.3280000002</v>
      </c>
      <c r="G167">
        <v>1714486.392</v>
      </c>
      <c r="H167">
        <v>1630279.652</v>
      </c>
      <c r="I167">
        <v>1633883.3959999999</v>
      </c>
      <c r="J167">
        <v>1505983.746</v>
      </c>
      <c r="K167">
        <v>1539355.28</v>
      </c>
      <c r="L167">
        <v>1763602.5549999999</v>
      </c>
      <c r="M167">
        <v>1840183.3189999999</v>
      </c>
      <c r="N167">
        <v>1852083.3370000001</v>
      </c>
      <c r="O167">
        <v>1208843.92</v>
      </c>
      <c r="P167">
        <v>842520.68709999998</v>
      </c>
      <c r="Q167">
        <v>680136.28819999995</v>
      </c>
      <c r="R167">
        <v>614790.86419999995</v>
      </c>
      <c r="S167">
        <v>532937.76639999996</v>
      </c>
      <c r="T167">
        <v>530868.55229999998</v>
      </c>
      <c r="U167">
        <v>534614.02859999996</v>
      </c>
      <c r="V167">
        <v>545415.51850000001</v>
      </c>
      <c r="W167">
        <v>549691.94819999998</v>
      </c>
      <c r="X167">
        <v>554322.11910000001</v>
      </c>
      <c r="Y167">
        <v>561909.62450000003</v>
      </c>
      <c r="Z167">
        <v>574249.06660000002</v>
      </c>
      <c r="AA167">
        <v>586942.40639999998</v>
      </c>
      <c r="AB167">
        <v>599691.73659999995</v>
      </c>
      <c r="AC167">
        <v>614340.93720000004</v>
      </c>
      <c r="AD167">
        <v>629017.32429999998</v>
      </c>
      <c r="AE167">
        <v>644168.81940000004</v>
      </c>
      <c r="AF167">
        <v>659988.16310000001</v>
      </c>
      <c r="AG167">
        <v>677237.09479999996</v>
      </c>
      <c r="AH167">
        <v>695738.33169999998</v>
      </c>
      <c r="AI167">
        <v>714260.52489999996</v>
      </c>
      <c r="AJ167">
        <v>732888.03090000001</v>
      </c>
      <c r="AK167">
        <v>751775.42949999997</v>
      </c>
      <c r="AL167">
        <v>771273.8432</v>
      </c>
      <c r="AM167">
        <v>791326.5773</v>
      </c>
      <c r="AN167">
        <v>809311.93130000005</v>
      </c>
      <c r="AO167">
        <v>828160.33990000002</v>
      </c>
      <c r="AP167">
        <v>846694.17949999997</v>
      </c>
      <c r="AQ167">
        <v>865148.27549999999</v>
      </c>
      <c r="AR167">
        <v>883672.60010000004</v>
      </c>
      <c r="AS167">
        <v>903926.74430000002</v>
      </c>
      <c r="AT167">
        <v>924334.79429999995</v>
      </c>
      <c r="AU167">
        <v>945083.91390000004</v>
      </c>
      <c r="AV167">
        <v>966142.54330000002</v>
      </c>
      <c r="AW167">
        <v>987704.02650000004</v>
      </c>
    </row>
    <row r="168" spans="2:49" x14ac:dyDescent="0.25">
      <c r="B168" t="s">
        <v>239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2:49" x14ac:dyDescent="0.25">
      <c r="B169" t="s">
        <v>240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2:49" x14ac:dyDescent="0.25">
      <c r="B170" t="s">
        <v>241</v>
      </c>
      <c r="C170">
        <v>20174774.421468802</v>
      </c>
      <c r="D170">
        <v>20498686.950521201</v>
      </c>
      <c r="E170">
        <v>20827800</v>
      </c>
      <c r="F170">
        <v>19672395</v>
      </c>
      <c r="G170">
        <v>18376174.460000001</v>
      </c>
      <c r="H170">
        <v>16044670.67</v>
      </c>
      <c r="I170">
        <v>14931313.01</v>
      </c>
      <c r="J170">
        <v>14041968.310000001</v>
      </c>
      <c r="K170">
        <v>13072711.779999999</v>
      </c>
      <c r="L170">
        <v>11982718.359999999</v>
      </c>
      <c r="M170">
        <v>10936986.9</v>
      </c>
      <c r="N170">
        <v>9845034.841</v>
      </c>
      <c r="O170">
        <v>8337646.2750000004</v>
      </c>
      <c r="P170">
        <v>7053309.074</v>
      </c>
      <c r="Q170">
        <v>5826112.0300000003</v>
      </c>
      <c r="R170">
        <v>4420756.4649999999</v>
      </c>
      <c r="S170">
        <v>2953224.3509999998</v>
      </c>
      <c r="T170">
        <v>2705297.3229999999</v>
      </c>
      <c r="U170">
        <v>2559714.0809999998</v>
      </c>
      <c r="V170">
        <v>2428127.2919999999</v>
      </c>
      <c r="W170">
        <v>2489780.6710000001</v>
      </c>
      <c r="X170">
        <v>2581992.3539999998</v>
      </c>
      <c r="Y170">
        <v>2635881.7140000002</v>
      </c>
      <c r="Z170">
        <v>2681493.4130000002</v>
      </c>
      <c r="AA170">
        <v>2726174.051</v>
      </c>
      <c r="AB170">
        <v>2766569.287</v>
      </c>
      <c r="AC170">
        <v>2807894.2689999999</v>
      </c>
      <c r="AD170">
        <v>2830317.87</v>
      </c>
      <c r="AE170">
        <v>2849506.2650000001</v>
      </c>
      <c r="AF170">
        <v>2867815.3870000001</v>
      </c>
      <c r="AG170">
        <v>2884929.5929999999</v>
      </c>
      <c r="AH170">
        <v>2903188.0490000001</v>
      </c>
      <c r="AI170">
        <v>2920914.4759999998</v>
      </c>
      <c r="AJ170">
        <v>2937694.7749999999</v>
      </c>
      <c r="AK170">
        <v>2953521.3509999998</v>
      </c>
      <c r="AL170">
        <v>2968914.4929999998</v>
      </c>
      <c r="AM170">
        <v>2983833.639</v>
      </c>
      <c r="AN170">
        <v>2996165.3339999998</v>
      </c>
      <c r="AO170">
        <v>3007510.5559999999</v>
      </c>
      <c r="AP170">
        <v>3017945.4989999998</v>
      </c>
      <c r="AQ170">
        <v>3027302.8289999999</v>
      </c>
      <c r="AR170">
        <v>3036331.2749999999</v>
      </c>
      <c r="AS170">
        <v>3047891.267</v>
      </c>
      <c r="AT170">
        <v>3059362.7349999999</v>
      </c>
      <c r="AU170">
        <v>3070208.51</v>
      </c>
      <c r="AV170">
        <v>3080527.46</v>
      </c>
      <c r="AW170">
        <v>3092852.122</v>
      </c>
    </row>
    <row r="171" spans="2:49" x14ac:dyDescent="0.25">
      <c r="B171" t="s">
        <v>242</v>
      </c>
      <c r="C171">
        <v>16278956.881142</v>
      </c>
      <c r="D171">
        <v>16540320.799446501</v>
      </c>
      <c r="E171">
        <v>16805881</v>
      </c>
      <c r="F171">
        <v>16818660.079999998</v>
      </c>
      <c r="G171">
        <v>15833787.800000001</v>
      </c>
      <c r="H171">
        <v>15170932.25</v>
      </c>
      <c r="I171">
        <v>14753663.66</v>
      </c>
      <c r="J171">
        <v>12882187.890000001</v>
      </c>
      <c r="K171">
        <v>11194176.15</v>
      </c>
      <c r="L171">
        <v>9821197.7699999996</v>
      </c>
      <c r="M171">
        <v>8793818.8699999899</v>
      </c>
      <c r="N171">
        <v>7952245.6320000002</v>
      </c>
      <c r="O171">
        <v>7233240.4720000001</v>
      </c>
      <c r="P171">
        <v>6477554.108</v>
      </c>
      <c r="Q171">
        <v>5678408.5449999999</v>
      </c>
      <c r="R171">
        <v>5007442.9879999999</v>
      </c>
      <c r="S171">
        <v>4375562.7379999999</v>
      </c>
      <c r="T171">
        <v>5170113.7620000001</v>
      </c>
      <c r="U171">
        <v>5945247.6799999997</v>
      </c>
      <c r="V171">
        <v>6722782.5839999998</v>
      </c>
      <c r="W171">
        <v>6665317.8430000003</v>
      </c>
      <c r="X171">
        <v>6557667.5609999998</v>
      </c>
      <c r="Y171">
        <v>6487844.824</v>
      </c>
      <c r="Z171">
        <v>6448337.6380000003</v>
      </c>
      <c r="AA171">
        <v>6409254.6289999997</v>
      </c>
      <c r="AB171">
        <v>6367647.5240000002</v>
      </c>
      <c r="AC171">
        <v>6309533.1560000004</v>
      </c>
      <c r="AD171">
        <v>6258541.7240000004</v>
      </c>
      <c r="AE171">
        <v>6215459.1380000003</v>
      </c>
      <c r="AF171">
        <v>6173173.3380000005</v>
      </c>
      <c r="AG171">
        <v>6130586.2560000001</v>
      </c>
      <c r="AH171">
        <v>6087961.892</v>
      </c>
      <c r="AI171">
        <v>6053553.0779999997</v>
      </c>
      <c r="AJ171">
        <v>6020937.2740000002</v>
      </c>
      <c r="AK171">
        <v>5987483.8080000002</v>
      </c>
      <c r="AL171">
        <v>5954764.6349999998</v>
      </c>
      <c r="AM171">
        <v>5922692.4910000004</v>
      </c>
      <c r="AN171">
        <v>5885905.8250000002</v>
      </c>
      <c r="AO171">
        <v>5847587.5010000002</v>
      </c>
      <c r="AP171">
        <v>5806663.1449999996</v>
      </c>
      <c r="AQ171">
        <v>5765018.858</v>
      </c>
      <c r="AR171">
        <v>5717250.2390000001</v>
      </c>
      <c r="AS171">
        <v>5688671.5920000002</v>
      </c>
      <c r="AT171">
        <v>5661391.2960000001</v>
      </c>
      <c r="AU171">
        <v>5634397.4639999997</v>
      </c>
      <c r="AV171">
        <v>5608153.432</v>
      </c>
      <c r="AW171">
        <v>5584349.1679999996</v>
      </c>
    </row>
    <row r="172" spans="2:49" x14ac:dyDescent="0.25">
      <c r="B172" t="s">
        <v>243</v>
      </c>
      <c r="C172">
        <v>6501803.9853722304</v>
      </c>
      <c r="D172">
        <v>6606192.55142547</v>
      </c>
      <c r="E172">
        <v>6714977.4309999999</v>
      </c>
      <c r="F172">
        <v>6947380.5130000003</v>
      </c>
      <c r="G172">
        <v>6581461.7359999996</v>
      </c>
      <c r="H172">
        <v>6963118.3650000002</v>
      </c>
      <c r="I172">
        <v>7215096.6679999996</v>
      </c>
      <c r="J172">
        <v>6761133.5120000001</v>
      </c>
      <c r="K172">
        <v>6453117.2410000004</v>
      </c>
      <c r="L172">
        <v>6284785.2350000003</v>
      </c>
      <c r="M172">
        <v>6740503.409</v>
      </c>
      <c r="N172">
        <v>7213093.0959999999</v>
      </c>
      <c r="O172">
        <v>7499071.9570000004</v>
      </c>
      <c r="P172">
        <v>7522069.5829999996</v>
      </c>
      <c r="Q172">
        <v>6943304.8360000001</v>
      </c>
      <c r="R172">
        <v>6873642.9170000004</v>
      </c>
      <c r="S172">
        <v>6922426.4680000003</v>
      </c>
      <c r="T172">
        <v>7077991.3339999998</v>
      </c>
      <c r="U172">
        <v>7224695.7759999996</v>
      </c>
      <c r="V172">
        <v>7427127.6799999997</v>
      </c>
      <c r="W172">
        <v>7602328.9780000001</v>
      </c>
      <c r="X172">
        <v>7823014.983</v>
      </c>
      <c r="Y172">
        <v>7970369.8329999996</v>
      </c>
      <c r="Z172">
        <v>8086965.3530000001</v>
      </c>
      <c r="AA172">
        <v>8182857.7410000004</v>
      </c>
      <c r="AB172">
        <v>8272024.3880000003</v>
      </c>
      <c r="AC172">
        <v>8402791.2430000007</v>
      </c>
      <c r="AD172">
        <v>8466118.4260000009</v>
      </c>
      <c r="AE172">
        <v>8547045.7620000001</v>
      </c>
      <c r="AF172">
        <v>8633052.2770000007</v>
      </c>
      <c r="AG172">
        <v>8725735.2750000004</v>
      </c>
      <c r="AH172">
        <v>8843590.0179999899</v>
      </c>
      <c r="AI172">
        <v>8941518.8829999994</v>
      </c>
      <c r="AJ172">
        <v>9057907.8499999996</v>
      </c>
      <c r="AK172">
        <v>9172770.307</v>
      </c>
      <c r="AL172">
        <v>9292365.5449999999</v>
      </c>
      <c r="AM172">
        <v>9416918.8110000007</v>
      </c>
      <c r="AN172">
        <v>9546016.1219999995</v>
      </c>
      <c r="AO172">
        <v>9680450.7899999898</v>
      </c>
      <c r="AP172">
        <v>9814507.2180000003</v>
      </c>
      <c r="AQ172">
        <v>9949334.3090000004</v>
      </c>
      <c r="AR172">
        <v>10101027.619999999</v>
      </c>
      <c r="AS172">
        <v>10213970.130000001</v>
      </c>
      <c r="AT172">
        <v>10328987.359999999</v>
      </c>
      <c r="AU172">
        <v>10446745.140000001</v>
      </c>
      <c r="AV172">
        <v>10569459.369999999</v>
      </c>
      <c r="AW172">
        <v>10699813.779999999</v>
      </c>
    </row>
    <row r="173" spans="2:49" x14ac:dyDescent="0.25">
      <c r="B173" t="s">
        <v>244</v>
      </c>
      <c r="C173">
        <v>6377150.6112568304</v>
      </c>
      <c r="D173">
        <v>6479537.8270683698</v>
      </c>
      <c r="E173">
        <v>6586237.0690000001</v>
      </c>
      <c r="F173">
        <v>6751677.1270000003</v>
      </c>
      <c r="G173">
        <v>6352474.2249999996</v>
      </c>
      <c r="H173">
        <v>6651454.9230000004</v>
      </c>
      <c r="I173">
        <v>6464892.5590000004</v>
      </c>
      <c r="J173">
        <v>6193373.7570000002</v>
      </c>
      <c r="K173">
        <v>5785176.4359999998</v>
      </c>
      <c r="L173">
        <v>5700391.699</v>
      </c>
      <c r="M173">
        <v>5831891.477</v>
      </c>
      <c r="N173">
        <v>6055333.8080000002</v>
      </c>
      <c r="O173">
        <v>5416786.7709999997</v>
      </c>
      <c r="P173">
        <v>4693524.0549999997</v>
      </c>
      <c r="Q173">
        <v>3979015.34</v>
      </c>
      <c r="R173">
        <v>3534712.6970000002</v>
      </c>
      <c r="S173">
        <v>3254369.0660000001</v>
      </c>
      <c r="T173">
        <v>3238250.3539999998</v>
      </c>
      <c r="U173">
        <v>3274788.2370000002</v>
      </c>
      <c r="V173">
        <v>3335505.7239999999</v>
      </c>
      <c r="W173">
        <v>3348689.7560000001</v>
      </c>
      <c r="X173">
        <v>3375470.2570000002</v>
      </c>
      <c r="Y173">
        <v>3407945.8390000002</v>
      </c>
      <c r="Z173">
        <v>3453035.1189999999</v>
      </c>
      <c r="AA173">
        <v>3500481.7089999998</v>
      </c>
      <c r="AB173">
        <v>3547070.4470000002</v>
      </c>
      <c r="AC173">
        <v>3615000.4</v>
      </c>
      <c r="AD173">
        <v>3655746.696</v>
      </c>
      <c r="AE173">
        <v>3705404.9169999999</v>
      </c>
      <c r="AF173">
        <v>3753731.358</v>
      </c>
      <c r="AG173">
        <v>3809001.94</v>
      </c>
      <c r="AH173">
        <v>3877073.0329999998</v>
      </c>
      <c r="AI173">
        <v>3933569.2820000001</v>
      </c>
      <c r="AJ173">
        <v>3996698.733</v>
      </c>
      <c r="AK173">
        <v>4057615.3879999998</v>
      </c>
      <c r="AL173">
        <v>4118964.747</v>
      </c>
      <c r="AM173">
        <v>4180860.13</v>
      </c>
      <c r="AN173">
        <v>4210778.3</v>
      </c>
      <c r="AO173">
        <v>4229330.05</v>
      </c>
      <c r="AP173">
        <v>4240180.7209999999</v>
      </c>
      <c r="AQ173">
        <v>4244357.233</v>
      </c>
      <c r="AR173">
        <v>4248663.0559999999</v>
      </c>
      <c r="AS173">
        <v>4261017.8140000002</v>
      </c>
      <c r="AT173">
        <v>4277045.8569999998</v>
      </c>
      <c r="AU173">
        <v>4292797.7390000001</v>
      </c>
      <c r="AV173">
        <v>4307948.2750000004</v>
      </c>
      <c r="AW173">
        <v>4322340.29</v>
      </c>
    </row>
    <row r="174" spans="2:49" x14ac:dyDescent="0.25">
      <c r="B174" t="s">
        <v>245</v>
      </c>
      <c r="C174">
        <v>415184.68418409303</v>
      </c>
      <c r="D174">
        <v>421850.60858395998</v>
      </c>
      <c r="E174">
        <v>428797.26770000003</v>
      </c>
      <c r="F174">
        <v>465444.88900000002</v>
      </c>
      <c r="G174">
        <v>434128.04139999999</v>
      </c>
      <c r="H174">
        <v>398506.39970000001</v>
      </c>
      <c r="I174">
        <v>433597.0773</v>
      </c>
      <c r="J174">
        <v>414130.91979999997</v>
      </c>
      <c r="K174">
        <v>391262.79739999998</v>
      </c>
      <c r="L174">
        <v>395342.83010000002</v>
      </c>
      <c r="M174">
        <v>424522.14750000002</v>
      </c>
      <c r="N174">
        <v>488463.5465</v>
      </c>
      <c r="O174">
        <v>436699.75809999998</v>
      </c>
      <c r="P174">
        <v>368565.66859999998</v>
      </c>
      <c r="Q174">
        <v>295908.14270000003</v>
      </c>
      <c r="R174">
        <v>253389.85329999999</v>
      </c>
      <c r="S174">
        <v>208629.26930000001</v>
      </c>
      <c r="T174">
        <v>200066.23550000001</v>
      </c>
      <c r="U174">
        <v>202455.94390000001</v>
      </c>
      <c r="V174">
        <v>207656.14079999999</v>
      </c>
      <c r="W174">
        <v>212319.6636</v>
      </c>
      <c r="X174">
        <v>195618.6875</v>
      </c>
      <c r="Y174">
        <v>215396.77970000001</v>
      </c>
      <c r="Z174">
        <v>225976.77410000001</v>
      </c>
      <c r="AA174">
        <v>233584.62640000001</v>
      </c>
      <c r="AB174">
        <v>239788.50870000001</v>
      </c>
      <c r="AC174">
        <v>232078.16200000001</v>
      </c>
      <c r="AD174">
        <v>248574.3529</v>
      </c>
      <c r="AE174">
        <v>255290.49419999999</v>
      </c>
      <c r="AF174">
        <v>261692.83429999999</v>
      </c>
      <c r="AG174">
        <v>268146.39230000001</v>
      </c>
      <c r="AH174">
        <v>264079.69309999997</v>
      </c>
      <c r="AI174">
        <v>277695.14659999998</v>
      </c>
      <c r="AJ174">
        <v>287196.61989999999</v>
      </c>
      <c r="AK174">
        <v>294672.64620000002</v>
      </c>
      <c r="AL174">
        <v>301612.39039999997</v>
      </c>
      <c r="AM174">
        <v>308261.07980000001</v>
      </c>
      <c r="AN174">
        <v>311109.39840000001</v>
      </c>
      <c r="AO174">
        <v>315356.24219999998</v>
      </c>
      <c r="AP174">
        <v>319812.98229999997</v>
      </c>
      <c r="AQ174">
        <v>324203.1948</v>
      </c>
      <c r="AR174">
        <v>321313.63370000001</v>
      </c>
      <c r="AS174">
        <v>329016.61680000002</v>
      </c>
      <c r="AT174">
        <v>334475.48710000003</v>
      </c>
      <c r="AU174">
        <v>339028.93070000003</v>
      </c>
      <c r="AV174">
        <v>343207.04619999998</v>
      </c>
      <c r="AW174">
        <v>347311.674</v>
      </c>
    </row>
    <row r="175" spans="2:49" x14ac:dyDescent="0.25">
      <c r="B175" t="s">
        <v>246</v>
      </c>
      <c r="C175">
        <v>4757556.1935294</v>
      </c>
      <c r="D175">
        <v>4833940.2970916703</v>
      </c>
      <c r="E175">
        <v>4913541.3090000004</v>
      </c>
      <c r="F175">
        <v>4965570.4950000001</v>
      </c>
      <c r="G175">
        <v>4487357.551</v>
      </c>
      <c r="H175">
        <v>4088189.6320000002</v>
      </c>
      <c r="I175">
        <v>3617704.702</v>
      </c>
      <c r="J175">
        <v>3773390.3909999998</v>
      </c>
      <c r="K175">
        <v>3373715.6639999999</v>
      </c>
      <c r="L175">
        <v>3242445.0210000002</v>
      </c>
      <c r="M175">
        <v>3328730.2940000002</v>
      </c>
      <c r="N175">
        <v>3442923.28</v>
      </c>
      <c r="O175">
        <v>3207031.3139999998</v>
      </c>
      <c r="P175">
        <v>2854363.125</v>
      </c>
      <c r="Q175">
        <v>2472474.6490000002</v>
      </c>
      <c r="R175">
        <v>2178798.4920000001</v>
      </c>
      <c r="S175">
        <v>1927270.456</v>
      </c>
      <c r="T175">
        <v>1830347.5</v>
      </c>
      <c r="U175">
        <v>1744787.8289999999</v>
      </c>
      <c r="V175">
        <v>1663026.094</v>
      </c>
      <c r="W175">
        <v>1531242.1950000001</v>
      </c>
      <c r="X175">
        <v>1397785.906</v>
      </c>
      <c r="Y175">
        <v>1385926.3319999999</v>
      </c>
      <c r="Z175">
        <v>1392148.0260000001</v>
      </c>
      <c r="AA175">
        <v>1402895.3929999999</v>
      </c>
      <c r="AB175">
        <v>1413840.85</v>
      </c>
      <c r="AC175">
        <v>1424316.084</v>
      </c>
      <c r="AD175">
        <v>1443889.571</v>
      </c>
      <c r="AE175">
        <v>1459613.7579999999</v>
      </c>
      <c r="AF175">
        <v>1475292.2</v>
      </c>
      <c r="AG175">
        <v>1492581.7180000001</v>
      </c>
      <c r="AH175">
        <v>1508627.814</v>
      </c>
      <c r="AI175">
        <v>1530445.007</v>
      </c>
      <c r="AJ175">
        <v>1550898.4029999999</v>
      </c>
      <c r="AK175">
        <v>1570384.7860000001</v>
      </c>
      <c r="AL175">
        <v>1589868.831</v>
      </c>
      <c r="AM175">
        <v>1609392.9620000001</v>
      </c>
      <c r="AN175">
        <v>1579099.004</v>
      </c>
      <c r="AO175">
        <v>1539760.4720000001</v>
      </c>
      <c r="AP175">
        <v>1497525.1429999999</v>
      </c>
      <c r="AQ175">
        <v>1454504.959</v>
      </c>
      <c r="AR175">
        <v>1409545.3049999999</v>
      </c>
      <c r="AS175">
        <v>1391549.9469999999</v>
      </c>
      <c r="AT175">
        <v>1377069.7760000001</v>
      </c>
      <c r="AU175">
        <v>1362961.166</v>
      </c>
      <c r="AV175">
        <v>1348913.0390000001</v>
      </c>
      <c r="AW175">
        <v>1335266.1980000001</v>
      </c>
    </row>
    <row r="176" spans="2:49" x14ac:dyDescent="0.25">
      <c r="B176" t="s">
        <v>247</v>
      </c>
      <c r="C176">
        <v>16503281.675133999</v>
      </c>
      <c r="D176">
        <v>16768247.200565999</v>
      </c>
      <c r="E176">
        <v>17044371.719999999</v>
      </c>
      <c r="F176">
        <v>17250401.800000001</v>
      </c>
      <c r="G176">
        <v>15713851.42</v>
      </c>
      <c r="H176">
        <v>14113572.1</v>
      </c>
      <c r="I176">
        <v>13404238.130000001</v>
      </c>
      <c r="J176">
        <v>14333404.08</v>
      </c>
      <c r="K176">
        <v>12798095.189999999</v>
      </c>
      <c r="L176">
        <v>12279767.07</v>
      </c>
      <c r="M176">
        <v>12604772.359999999</v>
      </c>
      <c r="N176">
        <v>12934130.43</v>
      </c>
      <c r="O176">
        <v>12386064.59</v>
      </c>
      <c r="P176">
        <v>11393745.949999999</v>
      </c>
      <c r="Q176">
        <v>10125314.880000001</v>
      </c>
      <c r="R176">
        <v>9185020.3460000008</v>
      </c>
      <c r="S176">
        <v>8169518.3269999996</v>
      </c>
      <c r="T176">
        <v>8027309.693</v>
      </c>
      <c r="U176">
        <v>7812729.8820000002</v>
      </c>
      <c r="V176">
        <v>7698657.9040000001</v>
      </c>
      <c r="W176">
        <v>7281725.7280000001</v>
      </c>
      <c r="X176">
        <v>6859127.46</v>
      </c>
      <c r="Y176">
        <v>6750953.7719999999</v>
      </c>
      <c r="Z176">
        <v>6742245.0300000003</v>
      </c>
      <c r="AA176">
        <v>6767947.0219999999</v>
      </c>
      <c r="AB176">
        <v>6799746.6030000001</v>
      </c>
      <c r="AC176">
        <v>6852624.7599999998</v>
      </c>
      <c r="AD176">
        <v>6924495.9000000004</v>
      </c>
      <c r="AE176">
        <v>6988580.6040000003</v>
      </c>
      <c r="AF176">
        <v>7058233.1900000004</v>
      </c>
      <c r="AG176">
        <v>7131497.6809999999</v>
      </c>
      <c r="AH176">
        <v>7219799.2280000001</v>
      </c>
      <c r="AI176">
        <v>7306834.8499999996</v>
      </c>
      <c r="AJ176">
        <v>7385407.1869999999</v>
      </c>
      <c r="AK176">
        <v>7469320.7520000003</v>
      </c>
      <c r="AL176">
        <v>7553353.9400000004</v>
      </c>
      <c r="AM176">
        <v>7635921.5470000003</v>
      </c>
      <c r="AN176">
        <v>7532444.9460000005</v>
      </c>
      <c r="AO176">
        <v>7396985.6979999999</v>
      </c>
      <c r="AP176">
        <v>7244728.2769999998</v>
      </c>
      <c r="AQ176">
        <v>7091777.7340000002</v>
      </c>
      <c r="AR176">
        <v>6927486.2070000004</v>
      </c>
      <c r="AS176">
        <v>6852683.443</v>
      </c>
      <c r="AT176">
        <v>6791152.7359999996</v>
      </c>
      <c r="AU176">
        <v>6726671.6260000002</v>
      </c>
      <c r="AV176">
        <v>6661527.0070000002</v>
      </c>
      <c r="AW176">
        <v>6621192.8890000004</v>
      </c>
    </row>
    <row r="177" spans="2:49" x14ac:dyDescent="0.25">
      <c r="B177" t="s">
        <v>248</v>
      </c>
      <c r="C177">
        <v>11632594.838881901</v>
      </c>
      <c r="D177">
        <v>11819359.911689499</v>
      </c>
      <c r="E177">
        <v>12013990.58</v>
      </c>
      <c r="F177">
        <v>12039137.76</v>
      </c>
      <c r="G177">
        <v>11121229.300000001</v>
      </c>
      <c r="H177">
        <v>10500091.85</v>
      </c>
      <c r="I177">
        <v>9347290.6600000001</v>
      </c>
      <c r="J177">
        <v>8415957.182</v>
      </c>
      <c r="K177">
        <v>7626763.7879999997</v>
      </c>
      <c r="L177">
        <v>7539805.801</v>
      </c>
      <c r="M177">
        <v>7530769.9890000001</v>
      </c>
      <c r="N177">
        <v>7907300.659</v>
      </c>
      <c r="O177">
        <v>7219207.7580000004</v>
      </c>
      <c r="P177">
        <v>6293557.0329999998</v>
      </c>
      <c r="Q177">
        <v>5460650.7860000003</v>
      </c>
      <c r="R177">
        <v>4765499.3150000004</v>
      </c>
      <c r="S177">
        <v>4271815.2450000001</v>
      </c>
      <c r="T177">
        <v>4060344.591</v>
      </c>
      <c r="U177">
        <v>3843957.9139999999</v>
      </c>
      <c r="V177">
        <v>3632903.0989999999</v>
      </c>
      <c r="W177">
        <v>3353535.733</v>
      </c>
      <c r="X177">
        <v>3078657.1719999998</v>
      </c>
      <c r="Y177">
        <v>3057962.7689999999</v>
      </c>
      <c r="Z177">
        <v>3093113.7</v>
      </c>
      <c r="AA177">
        <v>3140594.273</v>
      </c>
      <c r="AB177">
        <v>3188864.71</v>
      </c>
      <c r="AC177">
        <v>3246050.21</v>
      </c>
      <c r="AD177">
        <v>3287191.077</v>
      </c>
      <c r="AE177">
        <v>3327886.8829999999</v>
      </c>
      <c r="AF177">
        <v>3368571.16</v>
      </c>
      <c r="AG177">
        <v>3414081.3879999998</v>
      </c>
      <c r="AH177">
        <v>3463348.9019999998</v>
      </c>
      <c r="AI177">
        <v>3512957.352</v>
      </c>
      <c r="AJ177">
        <v>3562907.8169999998</v>
      </c>
      <c r="AK177">
        <v>3611911.446</v>
      </c>
      <c r="AL177">
        <v>3661311.5269999998</v>
      </c>
      <c r="AM177">
        <v>3710940.807</v>
      </c>
      <c r="AN177">
        <v>3639350.3119999999</v>
      </c>
      <c r="AO177">
        <v>3544621.395</v>
      </c>
      <c r="AP177">
        <v>3442633.95</v>
      </c>
      <c r="AQ177">
        <v>3338763.3659999999</v>
      </c>
      <c r="AR177">
        <v>3234173.9739999999</v>
      </c>
      <c r="AS177">
        <v>3189592.8190000001</v>
      </c>
      <c r="AT177">
        <v>3155211.6209999998</v>
      </c>
      <c r="AU177">
        <v>3122750.5189999999</v>
      </c>
      <c r="AV177">
        <v>3090946.8879999998</v>
      </c>
      <c r="AW177">
        <v>3059512.7030000002</v>
      </c>
    </row>
    <row r="178" spans="2:49" x14ac:dyDescent="0.25">
      <c r="B178" t="s">
        <v>249</v>
      </c>
      <c r="C178">
        <v>3166830.51938263</v>
      </c>
      <c r="D178">
        <v>3217675.0077116699</v>
      </c>
      <c r="E178">
        <v>3270660.8059999999</v>
      </c>
      <c r="F178">
        <v>3289231.8149999999</v>
      </c>
      <c r="G178">
        <v>3224348.477</v>
      </c>
      <c r="H178">
        <v>3128104.4</v>
      </c>
      <c r="I178">
        <v>3080732.3369999998</v>
      </c>
      <c r="J178">
        <v>2993273.8089999999</v>
      </c>
      <c r="K178">
        <v>2839094.3709999998</v>
      </c>
      <c r="L178">
        <v>2830550.7310000001</v>
      </c>
      <c r="M178">
        <v>2860036.0649999999</v>
      </c>
      <c r="N178">
        <v>3053538.5750000002</v>
      </c>
      <c r="O178">
        <v>3002893.2209999999</v>
      </c>
      <c r="P178">
        <v>2829195.66</v>
      </c>
      <c r="Q178">
        <v>2608831.5890000002</v>
      </c>
      <c r="R178">
        <v>2504225.8149999999</v>
      </c>
      <c r="S178">
        <v>2362606.676</v>
      </c>
      <c r="T178">
        <v>2340821.5649999999</v>
      </c>
      <c r="U178">
        <v>2325929.8119999999</v>
      </c>
      <c r="V178">
        <v>2322041.284</v>
      </c>
      <c r="W178">
        <v>2236139.4070000001</v>
      </c>
      <c r="X178">
        <v>2140515.466</v>
      </c>
      <c r="Y178">
        <v>2091589.378</v>
      </c>
      <c r="Z178">
        <v>2062585.3470000001</v>
      </c>
      <c r="AA178">
        <v>2033917.3770000001</v>
      </c>
      <c r="AB178">
        <v>2004475.7339999999</v>
      </c>
      <c r="AC178">
        <v>1977682.3940000001</v>
      </c>
      <c r="AD178">
        <v>1992447.0789999999</v>
      </c>
      <c r="AE178">
        <v>2007548.233</v>
      </c>
      <c r="AF178">
        <v>2024924.1980000001</v>
      </c>
      <c r="AG178">
        <v>2042541.5319999999</v>
      </c>
      <c r="AH178">
        <v>2062217.69</v>
      </c>
      <c r="AI178">
        <v>2083295.098</v>
      </c>
      <c r="AJ178">
        <v>2105269.3220000002</v>
      </c>
      <c r="AK178">
        <v>2127563.8020000001</v>
      </c>
      <c r="AL178">
        <v>2150611.0099999998</v>
      </c>
      <c r="AM178">
        <v>2174104.8459999999</v>
      </c>
      <c r="AN178">
        <v>2170659.1800000002</v>
      </c>
      <c r="AO178">
        <v>2162510.8509999998</v>
      </c>
      <c r="AP178">
        <v>2151109.1039999998</v>
      </c>
      <c r="AQ178">
        <v>2138266.5839999998</v>
      </c>
      <c r="AR178">
        <v>2123515.8969999999</v>
      </c>
      <c r="AS178">
        <v>2122484.057</v>
      </c>
      <c r="AT178">
        <v>2123534.068</v>
      </c>
      <c r="AU178">
        <v>2124984.8730000001</v>
      </c>
      <c r="AV178">
        <v>2126807.105</v>
      </c>
      <c r="AW178">
        <v>2128642.287</v>
      </c>
    </row>
    <row r="179" spans="2:49" x14ac:dyDescent="0.25">
      <c r="B179" t="s">
        <v>250</v>
      </c>
      <c r="C179">
        <v>6723975.7599636996</v>
      </c>
      <c r="D179">
        <v>6831931.3657214995</v>
      </c>
      <c r="E179">
        <v>6955657.5080000004</v>
      </c>
      <c r="F179">
        <v>7014961.1550000003</v>
      </c>
      <c r="G179">
        <v>7037360.4500000002</v>
      </c>
      <c r="H179">
        <v>6618042.466</v>
      </c>
      <c r="I179">
        <v>6884145.6900000004</v>
      </c>
      <c r="J179">
        <v>6951020.4929999998</v>
      </c>
      <c r="K179">
        <v>6823413.1720000003</v>
      </c>
      <c r="L179">
        <v>6837237.2609999999</v>
      </c>
      <c r="M179">
        <v>6889619.2949999999</v>
      </c>
      <c r="N179">
        <v>7180850.335</v>
      </c>
      <c r="O179">
        <v>7193084.165</v>
      </c>
      <c r="P179">
        <v>7198797.1699999999</v>
      </c>
      <c r="Q179">
        <v>7070230.426</v>
      </c>
      <c r="R179">
        <v>7128328.7470000004</v>
      </c>
      <c r="S179">
        <v>7059883.4139999999</v>
      </c>
      <c r="T179">
        <v>7072557.9610000001</v>
      </c>
      <c r="U179">
        <v>7177078.8679999998</v>
      </c>
      <c r="V179">
        <v>7316093.8779999996</v>
      </c>
      <c r="W179">
        <v>7452210.5949999997</v>
      </c>
      <c r="X179">
        <v>7571554.8700000001</v>
      </c>
      <c r="Y179">
        <v>7671716.3119999999</v>
      </c>
      <c r="Z179">
        <v>7776325.2170000002</v>
      </c>
      <c r="AA179">
        <v>7870719.0719999997</v>
      </c>
      <c r="AB179">
        <v>7958478.5549999997</v>
      </c>
      <c r="AC179">
        <v>8042509.8969999999</v>
      </c>
      <c r="AD179">
        <v>8120710.6869999999</v>
      </c>
      <c r="AE179">
        <v>8196675.773</v>
      </c>
      <c r="AF179">
        <v>8281714.5199999996</v>
      </c>
      <c r="AG179">
        <v>8361794.7560000001</v>
      </c>
      <c r="AH179">
        <v>8445545.5289999899</v>
      </c>
      <c r="AI179">
        <v>8538676.159</v>
      </c>
      <c r="AJ179">
        <v>8639627.7320000008</v>
      </c>
      <c r="AK179">
        <v>8743091.2789999899</v>
      </c>
      <c r="AL179">
        <v>8851043.06399999</v>
      </c>
      <c r="AM179">
        <v>8961885.7630000003</v>
      </c>
      <c r="AN179">
        <v>9076166.5480000004</v>
      </c>
      <c r="AO179">
        <v>9194556.0490000006</v>
      </c>
      <c r="AP179">
        <v>9311776.8239999898</v>
      </c>
      <c r="AQ179">
        <v>9429899.88199999</v>
      </c>
      <c r="AR179">
        <v>9547804.0179999899</v>
      </c>
      <c r="AS179">
        <v>9663677.4409999996</v>
      </c>
      <c r="AT179">
        <v>9780821.1799999997</v>
      </c>
      <c r="AU179">
        <v>9900552.9570000004</v>
      </c>
      <c r="AV179">
        <v>10023766.23</v>
      </c>
      <c r="AW179">
        <v>10148983.99</v>
      </c>
    </row>
    <row r="180" spans="2:49" x14ac:dyDescent="0.25">
      <c r="B180" t="s">
        <v>251</v>
      </c>
      <c r="C180">
        <v>312332.22295347298</v>
      </c>
      <c r="D180">
        <v>317346.817819711</v>
      </c>
      <c r="E180">
        <v>322572.6018</v>
      </c>
      <c r="F180">
        <v>335409.9339</v>
      </c>
      <c r="G180">
        <v>321882.0148</v>
      </c>
      <c r="H180">
        <v>281536.60920000001</v>
      </c>
      <c r="I180">
        <v>296106.95929999999</v>
      </c>
      <c r="J180">
        <v>299157.97600000002</v>
      </c>
      <c r="K180">
        <v>279463.37390000001</v>
      </c>
      <c r="L180">
        <v>264921.42479999998</v>
      </c>
      <c r="M180">
        <v>261306.23190000001</v>
      </c>
      <c r="N180">
        <v>275833.97869999998</v>
      </c>
      <c r="O180">
        <v>254526.81630000001</v>
      </c>
      <c r="P180">
        <v>236111.27470000001</v>
      </c>
      <c r="Q180">
        <v>214313.79949999999</v>
      </c>
      <c r="R180">
        <v>194798.96479999999</v>
      </c>
      <c r="S180">
        <v>180244.04449999999</v>
      </c>
      <c r="T180">
        <v>180254.63080000001</v>
      </c>
      <c r="U180">
        <v>182158.1655</v>
      </c>
      <c r="V180">
        <v>186398.19330000001</v>
      </c>
      <c r="W180">
        <v>189280.35690000001</v>
      </c>
      <c r="X180">
        <v>190702.2378</v>
      </c>
      <c r="Y180">
        <v>194047.4037</v>
      </c>
      <c r="Z180">
        <v>198336.7127</v>
      </c>
      <c r="AA180">
        <v>203090.88690000001</v>
      </c>
      <c r="AB180">
        <v>208347.2862</v>
      </c>
      <c r="AC180">
        <v>213109.20269999999</v>
      </c>
      <c r="AD180">
        <v>215499.49969999999</v>
      </c>
      <c r="AE180">
        <v>216986.44620000001</v>
      </c>
      <c r="AF180">
        <v>218602.37820000001</v>
      </c>
      <c r="AG180">
        <v>220342.12580000001</v>
      </c>
      <c r="AH180">
        <v>221147.68549999999</v>
      </c>
      <c r="AI180">
        <v>223885.89379999999</v>
      </c>
      <c r="AJ180">
        <v>226302.74559999999</v>
      </c>
      <c r="AK180">
        <v>228510.71249999999</v>
      </c>
      <c r="AL180">
        <v>230728.83180000001</v>
      </c>
      <c r="AM180">
        <v>232943.75399999999</v>
      </c>
      <c r="AN180">
        <v>234304.50210000001</v>
      </c>
      <c r="AO180">
        <v>235960.78460000001</v>
      </c>
      <c r="AP180">
        <v>237585.91589999999</v>
      </c>
      <c r="AQ180">
        <v>239224.24780000001</v>
      </c>
      <c r="AR180">
        <v>239929.27359999999</v>
      </c>
      <c r="AS180">
        <v>241970.10870000001</v>
      </c>
      <c r="AT180">
        <v>243833.00810000001</v>
      </c>
      <c r="AU180">
        <v>245610.0166</v>
      </c>
      <c r="AV180">
        <v>247393.51310000001</v>
      </c>
      <c r="AW180">
        <v>249426.10939999999</v>
      </c>
    </row>
    <row r="181" spans="2:49" x14ac:dyDescent="0.25">
      <c r="B181" t="s">
        <v>252</v>
      </c>
      <c r="C181">
        <v>7845653.0561234802</v>
      </c>
      <c r="D181">
        <v>7971617.5536879301</v>
      </c>
      <c r="E181">
        <v>8102887.0319999997</v>
      </c>
      <c r="F181">
        <v>8304441.2630000003</v>
      </c>
      <c r="G181">
        <v>7926557.8360000001</v>
      </c>
      <c r="H181">
        <v>7560574.9110000003</v>
      </c>
      <c r="I181">
        <v>7579856.6679999996</v>
      </c>
      <c r="J181">
        <v>7325479.125</v>
      </c>
      <c r="K181">
        <v>6859139.6569999997</v>
      </c>
      <c r="L181">
        <v>6694048.2470000004</v>
      </c>
      <c r="M181">
        <v>6850049.716</v>
      </c>
      <c r="N181">
        <v>7318547.9989999998</v>
      </c>
      <c r="O181">
        <v>7026165.7379999999</v>
      </c>
      <c r="P181">
        <v>6413526.9029999999</v>
      </c>
      <c r="Q181">
        <v>5700937.5729999999</v>
      </c>
      <c r="R181">
        <v>5333328.0810000002</v>
      </c>
      <c r="S181">
        <v>4949289.2649999997</v>
      </c>
      <c r="T181">
        <v>5013141.9040000001</v>
      </c>
      <c r="U181">
        <v>5087030.3169999998</v>
      </c>
      <c r="V181">
        <v>5215056.1090000002</v>
      </c>
      <c r="W181">
        <v>5291885.8059999999</v>
      </c>
      <c r="X181">
        <v>5371286.6100000003</v>
      </c>
      <c r="Y181">
        <v>5418815.4859999996</v>
      </c>
      <c r="Z181">
        <v>5495961.9019999998</v>
      </c>
      <c r="AA181">
        <v>5571141.2620000001</v>
      </c>
      <c r="AB181">
        <v>5642503.7350000003</v>
      </c>
      <c r="AC181">
        <v>5728131.3190000001</v>
      </c>
      <c r="AD181">
        <v>5806150.9929999998</v>
      </c>
      <c r="AE181">
        <v>5883435.2429999998</v>
      </c>
      <c r="AF181">
        <v>5964085.892</v>
      </c>
      <c r="AG181">
        <v>6053325.0429999996</v>
      </c>
      <c r="AH181">
        <v>6149016.1629999997</v>
      </c>
      <c r="AI181">
        <v>6254216.6679999996</v>
      </c>
      <c r="AJ181">
        <v>6360802.2470000004</v>
      </c>
      <c r="AK181">
        <v>6467084.5439999998</v>
      </c>
      <c r="AL181">
        <v>6575862.2549999999</v>
      </c>
      <c r="AM181">
        <v>6686257.6469999999</v>
      </c>
      <c r="AN181">
        <v>6766843.335</v>
      </c>
      <c r="AO181">
        <v>6850704.4989999998</v>
      </c>
      <c r="AP181">
        <v>6928523.193</v>
      </c>
      <c r="AQ181">
        <v>7002510.6569999997</v>
      </c>
      <c r="AR181">
        <v>7073811.7390000001</v>
      </c>
      <c r="AS181">
        <v>7152855.7249999996</v>
      </c>
      <c r="AT181">
        <v>7228600.1179999998</v>
      </c>
      <c r="AU181">
        <v>7304033.4620000003</v>
      </c>
      <c r="AV181">
        <v>7379611.4800000004</v>
      </c>
      <c r="AW181">
        <v>7456971.4139999999</v>
      </c>
    </row>
    <row r="182" spans="2:49" x14ac:dyDescent="0.25">
      <c r="B182" t="s">
        <v>253</v>
      </c>
      <c r="C182">
        <v>3.3990718667427999</v>
      </c>
      <c r="D182">
        <v>3.4536450650243098</v>
      </c>
      <c r="E182">
        <v>3.5105166080000001</v>
      </c>
      <c r="F182">
        <v>3.727630027</v>
      </c>
      <c r="G182">
        <v>3.6468882370000002</v>
      </c>
      <c r="H182">
        <v>3.4131511520000002</v>
      </c>
      <c r="I182">
        <v>3.3837493649999999</v>
      </c>
      <c r="J182">
        <v>3.3733499400000002</v>
      </c>
      <c r="K182">
        <v>3.2279549969999999</v>
      </c>
      <c r="L182">
        <v>3.2299660110000001</v>
      </c>
      <c r="M182">
        <v>3.2432206670000001</v>
      </c>
      <c r="N182">
        <v>3.3372510759999998</v>
      </c>
      <c r="O182">
        <v>3.5302472479999998</v>
      </c>
      <c r="P182">
        <v>3.6623028529999999</v>
      </c>
      <c r="Q182">
        <v>3.645602217</v>
      </c>
      <c r="R182">
        <v>3.7531947240000001</v>
      </c>
      <c r="S182">
        <v>3.6544867170000002</v>
      </c>
      <c r="T182">
        <v>3.778218549</v>
      </c>
      <c r="U182">
        <v>3.8064271139999999</v>
      </c>
      <c r="V182">
        <v>3.9094257200000002</v>
      </c>
      <c r="W182">
        <v>3.9080080430000002</v>
      </c>
      <c r="X182">
        <v>3.9227640680000002</v>
      </c>
      <c r="Y182">
        <v>3.857089524</v>
      </c>
      <c r="Z182">
        <v>3.8261970860000001</v>
      </c>
      <c r="AA182">
        <v>3.8166845070000002</v>
      </c>
      <c r="AB182">
        <v>3.8138756620000001</v>
      </c>
      <c r="AC182">
        <v>3.8304183539999999</v>
      </c>
      <c r="AD182">
        <v>3.8555272330000001</v>
      </c>
      <c r="AE182">
        <v>3.8774345559999999</v>
      </c>
      <c r="AF182">
        <v>3.9045984159999998</v>
      </c>
      <c r="AG182">
        <v>3.9307041439999999</v>
      </c>
      <c r="AH182">
        <v>3.97038644</v>
      </c>
      <c r="AI182">
        <v>4.0045916449999996</v>
      </c>
      <c r="AJ182">
        <v>4.0357211350000002</v>
      </c>
      <c r="AK182">
        <v>4.071860354</v>
      </c>
      <c r="AL182">
        <v>4.1087650269999996</v>
      </c>
      <c r="AM182">
        <v>4.1453016319999998</v>
      </c>
      <c r="AN182">
        <v>4.1624448459999996</v>
      </c>
      <c r="AO182">
        <v>4.1858262169999998</v>
      </c>
      <c r="AP182">
        <v>4.2078604359999998</v>
      </c>
      <c r="AQ182">
        <v>4.2363231509999997</v>
      </c>
      <c r="AR182">
        <v>4.2651660419999997</v>
      </c>
      <c r="AS182">
        <v>4.284640789</v>
      </c>
      <c r="AT182">
        <v>4.3037079829999998</v>
      </c>
      <c r="AU182">
        <v>4.3192681049999999</v>
      </c>
      <c r="AV182">
        <v>4.3351482710000004</v>
      </c>
      <c r="AW182">
        <v>4.388110985</v>
      </c>
    </row>
    <row r="183" spans="2:49" x14ac:dyDescent="0.25">
      <c r="B183" t="s">
        <v>254</v>
      </c>
      <c r="C183">
        <v>600391.80946004798</v>
      </c>
      <c r="D183">
        <v>610031.29416316305</v>
      </c>
      <c r="E183">
        <v>620076.74470000004</v>
      </c>
      <c r="F183">
        <v>642594.19889999996</v>
      </c>
      <c r="G183">
        <v>610541.86010000005</v>
      </c>
      <c r="H183">
        <v>615017.03659999999</v>
      </c>
      <c r="I183">
        <v>639108.87789999996</v>
      </c>
      <c r="J183">
        <v>619584.07830000005</v>
      </c>
      <c r="K183">
        <v>589031.32400000002</v>
      </c>
      <c r="L183">
        <v>598167.02399999998</v>
      </c>
      <c r="M183">
        <v>613177.22369999997</v>
      </c>
      <c r="N183">
        <v>651655.11410000001</v>
      </c>
      <c r="O183">
        <v>696363.85389999999</v>
      </c>
      <c r="P183">
        <v>710478.67509999999</v>
      </c>
      <c r="Q183">
        <v>655043.25060000003</v>
      </c>
      <c r="R183">
        <v>668767.51780000003</v>
      </c>
      <c r="S183">
        <v>692740.91859999998</v>
      </c>
      <c r="T183">
        <v>808225.68209999998</v>
      </c>
      <c r="U183">
        <v>911780.4301</v>
      </c>
      <c r="V183">
        <v>1027599.738</v>
      </c>
      <c r="W183">
        <v>1109307.456</v>
      </c>
      <c r="X183">
        <v>1363105.0759999999</v>
      </c>
      <c r="Y183">
        <v>1458020.9450000001</v>
      </c>
      <c r="Z183">
        <v>1529987.9890000001</v>
      </c>
      <c r="AA183">
        <v>1583306.6969999999</v>
      </c>
      <c r="AB183">
        <v>1623968.3119999999</v>
      </c>
      <c r="AC183">
        <v>1796759.92</v>
      </c>
      <c r="AD183">
        <v>1808571.459</v>
      </c>
      <c r="AE183">
        <v>1823931.2490000001</v>
      </c>
      <c r="AF183">
        <v>1839013.0919999999</v>
      </c>
      <c r="AG183">
        <v>1849880.361</v>
      </c>
      <c r="AH183">
        <v>1926678.128</v>
      </c>
      <c r="AI183">
        <v>1924167.477</v>
      </c>
      <c r="AJ183">
        <v>1925439.452</v>
      </c>
      <c r="AK183">
        <v>1925220.4280000001</v>
      </c>
      <c r="AL183">
        <v>1924571.152</v>
      </c>
      <c r="AM183">
        <v>1923919.808</v>
      </c>
      <c r="AN183">
        <v>1923159.611</v>
      </c>
      <c r="AO183">
        <v>1926013.1680000001</v>
      </c>
      <c r="AP183">
        <v>1928986.3319999999</v>
      </c>
      <c r="AQ183">
        <v>1932878.4269999999</v>
      </c>
      <c r="AR183">
        <v>2009117.1980000001</v>
      </c>
      <c r="AS183">
        <v>2005890.1880000001</v>
      </c>
      <c r="AT183">
        <v>2008365.1340000001</v>
      </c>
      <c r="AU183">
        <v>2012416.6129999999</v>
      </c>
      <c r="AV183">
        <v>2017381.8859999999</v>
      </c>
      <c r="AW183">
        <v>2024337.5649999999</v>
      </c>
    </row>
    <row r="184" spans="2:49" x14ac:dyDescent="0.25">
      <c r="B184" t="s">
        <v>255</v>
      </c>
      <c r="C184">
        <v>2139866.37253871</v>
      </c>
      <c r="D184">
        <v>2174222.6193092102</v>
      </c>
      <c r="E184">
        <v>2197623.6850000001</v>
      </c>
      <c r="F184">
        <v>2183234.656</v>
      </c>
      <c r="G184">
        <v>2173457.906</v>
      </c>
      <c r="H184">
        <v>2169536.085</v>
      </c>
      <c r="I184">
        <v>2173608.0860000001</v>
      </c>
      <c r="J184">
        <v>2185845.6860000002</v>
      </c>
      <c r="K184">
        <v>2186561.9190000002</v>
      </c>
      <c r="L184">
        <v>2183200.4509999999</v>
      </c>
      <c r="M184">
        <v>2196114.7420000001</v>
      </c>
      <c r="N184">
        <v>2174130.645</v>
      </c>
      <c r="O184">
        <v>2202601.611</v>
      </c>
      <c r="P184">
        <v>2222241.8459999999</v>
      </c>
      <c r="Q184">
        <v>2249243.4610000001</v>
      </c>
      <c r="R184">
        <v>2271655.0290000001</v>
      </c>
      <c r="S184">
        <v>2245692.5040000002</v>
      </c>
      <c r="T184">
        <v>2208344.3960000002</v>
      </c>
      <c r="U184">
        <v>2189812.2850000001</v>
      </c>
      <c r="V184">
        <v>2174797.017</v>
      </c>
      <c r="W184">
        <v>2134583.8450000002</v>
      </c>
      <c r="X184">
        <v>2014978.199</v>
      </c>
      <c r="Y184">
        <v>1970191.348</v>
      </c>
      <c r="Z184">
        <v>1936298.4180000001</v>
      </c>
      <c r="AA184">
        <v>1896922.8230000001</v>
      </c>
      <c r="AB184">
        <v>1854139.8589999999</v>
      </c>
      <c r="AC184">
        <v>1789370.2479999999</v>
      </c>
      <c r="AD184">
        <v>1756660.5349999999</v>
      </c>
      <c r="AE184">
        <v>1708723.0379999999</v>
      </c>
      <c r="AF184">
        <v>1660148.5020000001</v>
      </c>
      <c r="AG184">
        <v>1611382.575</v>
      </c>
      <c r="AH184">
        <v>1548538.0379999999</v>
      </c>
      <c r="AI184">
        <v>1526627.834</v>
      </c>
      <c r="AJ184">
        <v>1499868.33</v>
      </c>
      <c r="AK184">
        <v>1470648.33</v>
      </c>
      <c r="AL184">
        <v>1440762.8910000001</v>
      </c>
      <c r="AM184">
        <v>1410808.361</v>
      </c>
      <c r="AN184">
        <v>1400742.4569999999</v>
      </c>
      <c r="AO184">
        <v>1392747.5449999999</v>
      </c>
      <c r="AP184">
        <v>1385671.358</v>
      </c>
      <c r="AQ184">
        <v>1378909.007</v>
      </c>
      <c r="AR184">
        <v>1364461.733</v>
      </c>
      <c r="AS184">
        <v>1377229.173</v>
      </c>
      <c r="AT184">
        <v>1387998.2250000001</v>
      </c>
      <c r="AU184">
        <v>1397855.6780000001</v>
      </c>
      <c r="AV184">
        <v>1407350.13</v>
      </c>
      <c r="AW184">
        <v>1416834.2690000001</v>
      </c>
    </row>
    <row r="185" spans="2:49" x14ac:dyDescent="0.25">
      <c r="B185" t="s">
        <v>256</v>
      </c>
      <c r="C185">
        <v>48247577.676067904</v>
      </c>
      <c r="D185">
        <v>49022208.141778298</v>
      </c>
      <c r="E185">
        <v>49856906.039999999</v>
      </c>
      <c r="F185">
        <v>49527389.170000002</v>
      </c>
      <c r="G185">
        <v>48526818.810000002</v>
      </c>
      <c r="H185">
        <v>46763641.960000001</v>
      </c>
      <c r="I185">
        <v>46343564.469999999</v>
      </c>
      <c r="J185">
        <v>46012669.640000001</v>
      </c>
      <c r="K185">
        <v>45405144.880000003</v>
      </c>
      <c r="L185">
        <v>44529463.479999997</v>
      </c>
      <c r="M185">
        <v>44041401.82</v>
      </c>
      <c r="N185">
        <v>43496703.640000001</v>
      </c>
      <c r="O185">
        <v>43437810.140000001</v>
      </c>
      <c r="P185">
        <v>43596230.07</v>
      </c>
      <c r="Q185">
        <v>42970501.039999999</v>
      </c>
      <c r="R185">
        <v>42371135.770000003</v>
      </c>
      <c r="S185">
        <v>41639121.780000001</v>
      </c>
      <c r="T185">
        <v>42084591.969999999</v>
      </c>
      <c r="U185">
        <v>42307132.439999998</v>
      </c>
      <c r="V185">
        <v>42807642.289999999</v>
      </c>
      <c r="W185">
        <v>43223509.43</v>
      </c>
      <c r="X185">
        <v>43026820.359999999</v>
      </c>
      <c r="Y185">
        <v>42760787.659999996</v>
      </c>
      <c r="Z185">
        <v>42537713.450000003</v>
      </c>
      <c r="AA185">
        <v>42201484.57</v>
      </c>
      <c r="AB185">
        <v>41833738.130000003</v>
      </c>
      <c r="AC185">
        <v>41401591.969999999</v>
      </c>
      <c r="AD185">
        <v>40927054.829999998</v>
      </c>
      <c r="AE185">
        <v>40344258.990000002</v>
      </c>
      <c r="AF185">
        <v>39800299.770000003</v>
      </c>
      <c r="AG185">
        <v>39226825.390000001</v>
      </c>
      <c r="AH185">
        <v>38610021.719999999</v>
      </c>
      <c r="AI185">
        <v>38320482.100000001</v>
      </c>
      <c r="AJ185">
        <v>37996623.409999996</v>
      </c>
      <c r="AK185">
        <v>37641406.479999997</v>
      </c>
      <c r="AL185">
        <v>37288632.530000001</v>
      </c>
      <c r="AM185">
        <v>36939731.990000002</v>
      </c>
      <c r="AN185">
        <v>36949239.420000002</v>
      </c>
      <c r="AO185">
        <v>37023476.829999998</v>
      </c>
      <c r="AP185">
        <v>37105013.859999999</v>
      </c>
      <c r="AQ185">
        <v>37197208.159999996</v>
      </c>
      <c r="AR185">
        <v>37251509.119999997</v>
      </c>
      <c r="AS185">
        <v>37612582.640000001</v>
      </c>
      <c r="AT185">
        <v>37953163.469999999</v>
      </c>
      <c r="AU185">
        <v>38289535.18</v>
      </c>
      <c r="AV185">
        <v>38634834.740000002</v>
      </c>
      <c r="AW185">
        <v>39003612.25</v>
      </c>
    </row>
    <row r="186" spans="2:49" x14ac:dyDescent="0.25">
      <c r="B186" t="s">
        <v>257</v>
      </c>
      <c r="C186">
        <v>9181601.5739378203</v>
      </c>
      <c r="D186">
        <v>9329015.1570805702</v>
      </c>
      <c r="E186">
        <v>9482637.0470000003</v>
      </c>
      <c r="F186">
        <v>10810450.75</v>
      </c>
      <c r="G186">
        <v>9065144.6830000002</v>
      </c>
      <c r="H186">
        <v>6500990.659</v>
      </c>
      <c r="I186">
        <v>7642383.0080000004</v>
      </c>
      <c r="J186">
        <v>5915223.6409999998</v>
      </c>
      <c r="K186">
        <v>6913867.6210000003</v>
      </c>
      <c r="L186">
        <v>6193940.142</v>
      </c>
      <c r="M186">
        <v>6251429.2510000002</v>
      </c>
      <c r="N186">
        <v>6449419.4270000001</v>
      </c>
      <c r="O186">
        <v>5847928.5290000001</v>
      </c>
      <c r="P186">
        <v>6174608.5070000002</v>
      </c>
      <c r="Q186">
        <v>6029170.1840000004</v>
      </c>
      <c r="R186">
        <v>6086386.8830000004</v>
      </c>
      <c r="S186">
        <v>6054745.9500000002</v>
      </c>
      <c r="T186">
        <v>5917382.0999999996</v>
      </c>
      <c r="U186">
        <v>5896690.6600000001</v>
      </c>
      <c r="V186">
        <v>5880387.9100000001</v>
      </c>
      <c r="W186">
        <v>5830742.9649999999</v>
      </c>
      <c r="X186">
        <v>5728074.0140000004</v>
      </c>
      <c r="Y186">
        <v>5729161.4199999999</v>
      </c>
      <c r="Z186">
        <v>5754996.9440000001</v>
      </c>
      <c r="AA186">
        <v>5778577.2290000003</v>
      </c>
      <c r="AB186">
        <v>5804160.5829999996</v>
      </c>
      <c r="AC186">
        <v>5827349.8609999996</v>
      </c>
      <c r="AD186">
        <v>5862182.4790000003</v>
      </c>
      <c r="AE186">
        <v>5890569.5219999999</v>
      </c>
      <c r="AF186">
        <v>5928454.5190000003</v>
      </c>
      <c r="AG186">
        <v>5964718.0060000001</v>
      </c>
      <c r="AH186">
        <v>5998888.7060000002</v>
      </c>
      <c r="AI186">
        <v>6048071.6140000001</v>
      </c>
      <c r="AJ186">
        <v>6098597.676</v>
      </c>
      <c r="AK186">
        <v>6148278.6189999999</v>
      </c>
      <c r="AL186">
        <v>6201196.0930000003</v>
      </c>
      <c r="AM186">
        <v>6257119.9469999997</v>
      </c>
      <c r="AN186">
        <v>6263350.7290000003</v>
      </c>
      <c r="AO186">
        <v>6260698.6299999999</v>
      </c>
      <c r="AP186">
        <v>6248486.9000000004</v>
      </c>
      <c r="AQ186">
        <v>6230026.8219999997</v>
      </c>
      <c r="AR186">
        <v>6201650.5530000003</v>
      </c>
      <c r="AS186">
        <v>6203449.9840000002</v>
      </c>
      <c r="AT186">
        <v>6209711.2139999997</v>
      </c>
      <c r="AU186">
        <v>6217725.5860000001</v>
      </c>
      <c r="AV186">
        <v>6227851.7620000001</v>
      </c>
      <c r="AW186">
        <v>6240579.4579999996</v>
      </c>
    </row>
    <row r="187" spans="2:49" x14ac:dyDescent="0.25">
      <c r="B187" t="s">
        <v>258</v>
      </c>
      <c r="C187">
        <v>2568505.4482754301</v>
      </c>
      <c r="D187">
        <v>2609743.6340541099</v>
      </c>
      <c r="E187">
        <v>2652718.5619999999</v>
      </c>
      <c r="F187">
        <v>2755826.0989999999</v>
      </c>
      <c r="G187">
        <v>2735259.0320000001</v>
      </c>
      <c r="H187">
        <v>2259268.1090000002</v>
      </c>
      <c r="I187">
        <v>2336416.105</v>
      </c>
      <c r="J187">
        <v>2442463.9900000002</v>
      </c>
      <c r="K187">
        <v>2380641.2609999999</v>
      </c>
      <c r="L187">
        <v>2316918.4330000002</v>
      </c>
      <c r="M187">
        <v>2318297.818</v>
      </c>
      <c r="N187">
        <v>2450833.0099999998</v>
      </c>
      <c r="O187">
        <v>2455631.3089999999</v>
      </c>
      <c r="P187">
        <v>2453442.5630000001</v>
      </c>
      <c r="Q187">
        <v>2529236.0499999998</v>
      </c>
      <c r="R187">
        <v>2565248.0240000002</v>
      </c>
      <c r="S187">
        <v>2528398.3280000002</v>
      </c>
      <c r="T187">
        <v>2491895.057</v>
      </c>
      <c r="U187">
        <v>2478567.8319999999</v>
      </c>
      <c r="V187">
        <v>2476706.3930000002</v>
      </c>
      <c r="W187">
        <v>2505618.9959999998</v>
      </c>
      <c r="X187">
        <v>2518642.1409999998</v>
      </c>
      <c r="Y187">
        <v>2541683.983</v>
      </c>
      <c r="Z187">
        <v>2560125.7910000002</v>
      </c>
      <c r="AA187">
        <v>2577163.04</v>
      </c>
      <c r="AB187">
        <v>2592512.4580000001</v>
      </c>
      <c r="AC187">
        <v>2605201.8620000002</v>
      </c>
      <c r="AD187">
        <v>2626213.3259999999</v>
      </c>
      <c r="AE187">
        <v>2640623.4890000001</v>
      </c>
      <c r="AF187">
        <v>2657475.4449999998</v>
      </c>
      <c r="AG187">
        <v>2675371.19</v>
      </c>
      <c r="AH187">
        <v>2692937.7050000001</v>
      </c>
      <c r="AI187">
        <v>2722355.7930000001</v>
      </c>
      <c r="AJ187">
        <v>2752433.1349999998</v>
      </c>
      <c r="AK187">
        <v>2781414.1260000002</v>
      </c>
      <c r="AL187">
        <v>2811771.9589999998</v>
      </c>
      <c r="AM187">
        <v>2843948.0649999999</v>
      </c>
      <c r="AN187">
        <v>2873792.173</v>
      </c>
      <c r="AO187">
        <v>2906324.236</v>
      </c>
      <c r="AP187">
        <v>2938857.2779999999</v>
      </c>
      <c r="AQ187">
        <v>2972375.7110000001</v>
      </c>
      <c r="AR187">
        <v>3004903.477</v>
      </c>
      <c r="AS187">
        <v>3042152.6439999999</v>
      </c>
      <c r="AT187">
        <v>3078222.7080000001</v>
      </c>
      <c r="AU187">
        <v>3113783.32</v>
      </c>
      <c r="AV187">
        <v>3149407.2340000002</v>
      </c>
      <c r="AW187">
        <v>3187457.2859999998</v>
      </c>
    </row>
    <row r="188" spans="2:49" x14ac:dyDescent="0.25">
      <c r="B188" t="s">
        <v>259</v>
      </c>
      <c r="C188">
        <v>12693844.6626458</v>
      </c>
      <c r="D188">
        <v>12897648.444645001</v>
      </c>
      <c r="E188">
        <v>13110035.4</v>
      </c>
      <c r="F188">
        <v>13137332.890000001</v>
      </c>
      <c r="G188">
        <v>12331305.32</v>
      </c>
      <c r="H188">
        <v>11801796.76</v>
      </c>
      <c r="I188">
        <v>11546311.76</v>
      </c>
      <c r="J188">
        <v>10950866.26</v>
      </c>
      <c r="K188">
        <v>10319074.01</v>
      </c>
      <c r="L188">
        <v>10038987.550000001</v>
      </c>
      <c r="M188">
        <v>9995166.7019999996</v>
      </c>
      <c r="N188">
        <v>10163227.15</v>
      </c>
      <c r="O188">
        <v>9609884.8959999997</v>
      </c>
      <c r="P188">
        <v>8953288.4230000004</v>
      </c>
      <c r="Q188">
        <v>8332973.9900000002</v>
      </c>
      <c r="R188">
        <v>7846697.5580000002</v>
      </c>
      <c r="S188">
        <v>7344891.1040000003</v>
      </c>
      <c r="T188">
        <v>7350925.8459999999</v>
      </c>
      <c r="U188">
        <v>7372271.9809999997</v>
      </c>
      <c r="V188">
        <v>7401539.6119999997</v>
      </c>
      <c r="W188">
        <v>7155853.2290000003</v>
      </c>
      <c r="X188">
        <v>6920484.3789999997</v>
      </c>
      <c r="Y188">
        <v>6639088.96</v>
      </c>
      <c r="Z188">
        <v>6430658.2810000004</v>
      </c>
      <c r="AA188">
        <v>6257808.4160000002</v>
      </c>
      <c r="AB188">
        <v>6102135.7039999999</v>
      </c>
      <c r="AC188">
        <v>5962967.3969999999</v>
      </c>
      <c r="AD188">
        <v>5836354.5109999999</v>
      </c>
      <c r="AE188">
        <v>5720633.7410000004</v>
      </c>
      <c r="AF188">
        <v>5610233.9179999996</v>
      </c>
      <c r="AG188">
        <v>5512652.4759999998</v>
      </c>
      <c r="AH188">
        <v>5420759.3739999998</v>
      </c>
      <c r="AI188">
        <v>5337083.284</v>
      </c>
      <c r="AJ188">
        <v>5258717.7259999998</v>
      </c>
      <c r="AK188">
        <v>5185096.5190000003</v>
      </c>
      <c r="AL188">
        <v>5115116.8119999999</v>
      </c>
      <c r="AM188">
        <v>5047897.3859999999</v>
      </c>
      <c r="AN188">
        <v>5042091.0590000004</v>
      </c>
      <c r="AO188">
        <v>5045756.1550000003</v>
      </c>
      <c r="AP188">
        <v>5049780.5290000001</v>
      </c>
      <c r="AQ188">
        <v>5053160.5159999998</v>
      </c>
      <c r="AR188">
        <v>5054275.74</v>
      </c>
      <c r="AS188">
        <v>5051694.3569999998</v>
      </c>
      <c r="AT188">
        <v>5046932.6069999998</v>
      </c>
      <c r="AU188">
        <v>5040703.9179999996</v>
      </c>
      <c r="AV188">
        <v>5032700.5329999998</v>
      </c>
      <c r="AW188">
        <v>5021468.4979999997</v>
      </c>
    </row>
    <row r="189" spans="2:49" x14ac:dyDescent="0.25">
      <c r="B189" t="s">
        <v>260</v>
      </c>
      <c r="C189">
        <v>1234344.16589374</v>
      </c>
      <c r="D189">
        <v>1254161.9607370901</v>
      </c>
      <c r="E189">
        <v>1274814.3799999999</v>
      </c>
      <c r="F189">
        <v>1230365.7490000001</v>
      </c>
      <c r="G189">
        <v>1129898.24</v>
      </c>
      <c r="H189">
        <v>1138808.395</v>
      </c>
      <c r="I189">
        <v>1073041.828</v>
      </c>
      <c r="J189">
        <v>988984.58250000002</v>
      </c>
      <c r="K189">
        <v>922180.56189999997</v>
      </c>
      <c r="L189">
        <v>890560.71880000003</v>
      </c>
      <c r="M189">
        <v>868774.64890000003</v>
      </c>
      <c r="N189">
        <v>865207.09920000006</v>
      </c>
      <c r="O189">
        <v>802431.23990000004</v>
      </c>
      <c r="P189">
        <v>732668.25910000002</v>
      </c>
      <c r="Q189">
        <v>671226.64240000001</v>
      </c>
      <c r="R189">
        <v>623031.99470000004</v>
      </c>
      <c r="S189">
        <v>575004.19220000005</v>
      </c>
      <c r="T189">
        <v>577575.54599999997</v>
      </c>
      <c r="U189">
        <v>582088.10959999997</v>
      </c>
      <c r="V189">
        <v>587633.66769999999</v>
      </c>
      <c r="W189">
        <v>557284.41440000001</v>
      </c>
      <c r="X189">
        <v>529483.59120000002</v>
      </c>
      <c r="Y189">
        <v>497060.64049999998</v>
      </c>
      <c r="Z189">
        <v>474309.53619999997</v>
      </c>
      <c r="AA189">
        <v>456325.47930000001</v>
      </c>
      <c r="AB189">
        <v>440646.67680000002</v>
      </c>
      <c r="AC189">
        <v>427028.83860000002</v>
      </c>
      <c r="AD189">
        <v>414928.97120000003</v>
      </c>
      <c r="AE189">
        <v>404140.33679999999</v>
      </c>
      <c r="AF189">
        <v>393976.36920000002</v>
      </c>
      <c r="AG189">
        <v>385253.77049999998</v>
      </c>
      <c r="AH189">
        <v>377207.54810000001</v>
      </c>
      <c r="AI189">
        <v>370068.5183</v>
      </c>
      <c r="AJ189">
        <v>363484.09490000003</v>
      </c>
      <c r="AK189">
        <v>357398.98139999999</v>
      </c>
      <c r="AL189">
        <v>351694.22070000001</v>
      </c>
      <c r="AM189">
        <v>346273.94559999998</v>
      </c>
      <c r="AN189">
        <v>347226.77769999998</v>
      </c>
      <c r="AO189">
        <v>349188.3051</v>
      </c>
      <c r="AP189">
        <v>351229.5428</v>
      </c>
      <c r="AQ189">
        <v>353234.70819999999</v>
      </c>
      <c r="AR189">
        <v>355051.85800000001</v>
      </c>
      <c r="AS189">
        <v>356522.76040000003</v>
      </c>
      <c r="AT189">
        <v>357791.62560000003</v>
      </c>
      <c r="AU189">
        <v>358935.45049999998</v>
      </c>
      <c r="AV189">
        <v>359918.75040000002</v>
      </c>
      <c r="AW189">
        <v>360600.10889999999</v>
      </c>
    </row>
    <row r="190" spans="2:49" x14ac:dyDescent="0.25">
      <c r="B190" t="s">
        <v>261</v>
      </c>
      <c r="C190">
        <v>16278955.912495499</v>
      </c>
      <c r="D190">
        <v>16540319.8152481</v>
      </c>
      <c r="E190">
        <v>16805880</v>
      </c>
      <c r="F190">
        <v>16818659.100000001</v>
      </c>
      <c r="G190">
        <v>15833786.880000001</v>
      </c>
      <c r="H190">
        <v>15170931.380000001</v>
      </c>
      <c r="I190">
        <v>14753662.82</v>
      </c>
      <c r="J190">
        <v>12882187.1</v>
      </c>
      <c r="K190">
        <v>11194175.4</v>
      </c>
      <c r="L190">
        <v>9821197.0549999997</v>
      </c>
      <c r="M190">
        <v>8793818.1799999997</v>
      </c>
      <c r="N190">
        <v>7952244.9570000004</v>
      </c>
      <c r="O190">
        <v>7233239.8080000002</v>
      </c>
      <c r="P190">
        <v>6477553.4610000001</v>
      </c>
      <c r="Q190">
        <v>5678407.9189999998</v>
      </c>
      <c r="R190">
        <v>5007442.3770000003</v>
      </c>
      <c r="S190">
        <v>4375562.1509999996</v>
      </c>
      <c r="T190">
        <v>5170113.2039999999</v>
      </c>
      <c r="U190">
        <v>5945247.1490000002</v>
      </c>
      <c r="V190">
        <v>6722782.0800000001</v>
      </c>
      <c r="W190">
        <v>6665317.3540000003</v>
      </c>
      <c r="X190">
        <v>6557667.0870000003</v>
      </c>
      <c r="Y190">
        <v>6487844.3640000001</v>
      </c>
      <c r="Z190">
        <v>6448337.1909999996</v>
      </c>
      <c r="AA190">
        <v>6409254.1950000003</v>
      </c>
      <c r="AB190">
        <v>6367647.1030000001</v>
      </c>
      <c r="AC190">
        <v>6309532.7489999998</v>
      </c>
      <c r="AD190">
        <v>6258541.3289999999</v>
      </c>
      <c r="AE190">
        <v>6215458.7549999999</v>
      </c>
      <c r="AF190">
        <v>6173172.9670000002</v>
      </c>
      <c r="AG190">
        <v>6130585.8969999999</v>
      </c>
      <c r="AH190">
        <v>6087961.5449999999</v>
      </c>
      <c r="AI190">
        <v>6053552.7419999996</v>
      </c>
      <c r="AJ190">
        <v>6020936.9479999999</v>
      </c>
      <c r="AK190">
        <v>5987483.4939999999</v>
      </c>
      <c r="AL190">
        <v>5954764.3320000004</v>
      </c>
      <c r="AM190">
        <v>5922692.1979999999</v>
      </c>
      <c r="AN190">
        <v>5885905.5420000004</v>
      </c>
      <c r="AO190">
        <v>5847587.2290000003</v>
      </c>
      <c r="AP190">
        <v>5806662.8830000004</v>
      </c>
      <c r="AQ190">
        <v>5765018.6059999997</v>
      </c>
      <c r="AR190">
        <v>5717249.9960000003</v>
      </c>
      <c r="AS190">
        <v>5688671.358</v>
      </c>
      <c r="AT190">
        <v>5661391.0719999997</v>
      </c>
      <c r="AU190">
        <v>5634397.2489999998</v>
      </c>
      <c r="AV190">
        <v>5608153.2259999998</v>
      </c>
      <c r="AW190">
        <v>5584348.9709999999</v>
      </c>
    </row>
    <row r="191" spans="2:49" x14ac:dyDescent="0.25">
      <c r="B191" t="s">
        <v>262</v>
      </c>
      <c r="C191">
        <v>4315668.6239754204</v>
      </c>
      <c r="D191">
        <v>4384958.0796759203</v>
      </c>
      <c r="E191">
        <v>4455360</v>
      </c>
      <c r="F191">
        <v>4300457.1330000004</v>
      </c>
      <c r="G191">
        <v>4116240.61</v>
      </c>
      <c r="H191">
        <v>3683633.5669999998</v>
      </c>
      <c r="I191">
        <v>3513538.1140000001</v>
      </c>
      <c r="J191">
        <v>3386617.8489999999</v>
      </c>
      <c r="K191">
        <v>3231363.0610000002</v>
      </c>
      <c r="L191">
        <v>3035627.469</v>
      </c>
      <c r="M191">
        <v>2839591.9019999998</v>
      </c>
      <c r="N191">
        <v>2619590.86</v>
      </c>
      <c r="O191">
        <v>2296548.3489999999</v>
      </c>
      <c r="P191">
        <v>2035338.956</v>
      </c>
      <c r="Q191">
        <v>1796492.9280000001</v>
      </c>
      <c r="R191">
        <v>1509906.594</v>
      </c>
      <c r="S191">
        <v>1206841.7709999999</v>
      </c>
      <c r="T191">
        <v>1499426.4310000001</v>
      </c>
      <c r="U191">
        <v>1855933.828</v>
      </c>
      <c r="V191">
        <v>2224230.9700000002</v>
      </c>
      <c r="W191">
        <v>2335629.8289999999</v>
      </c>
      <c r="X191">
        <v>2425681.15</v>
      </c>
      <c r="Y191">
        <v>2474354.4989999998</v>
      </c>
      <c r="Z191">
        <v>2514825.5350000001</v>
      </c>
      <c r="AA191">
        <v>2554526.2370000002</v>
      </c>
      <c r="AB191">
        <v>2590362.7850000001</v>
      </c>
      <c r="AC191">
        <v>2627216.8280000002</v>
      </c>
      <c r="AD191">
        <v>2646531.5329999998</v>
      </c>
      <c r="AE191">
        <v>2662966.298</v>
      </c>
      <c r="AF191">
        <v>2678712.929</v>
      </c>
      <c r="AG191">
        <v>2693465.2540000002</v>
      </c>
      <c r="AH191">
        <v>2709396.15</v>
      </c>
      <c r="AI191">
        <v>2724930.0639999998</v>
      </c>
      <c r="AJ191">
        <v>2739671.8739999998</v>
      </c>
      <c r="AK191">
        <v>2753606.7069999999</v>
      </c>
      <c r="AL191">
        <v>2767212.3810000001</v>
      </c>
      <c r="AM191">
        <v>2780444.2220000001</v>
      </c>
      <c r="AN191">
        <v>2791327.0469999998</v>
      </c>
      <c r="AO191">
        <v>2801347.5929999999</v>
      </c>
      <c r="AP191">
        <v>2810571.8149999999</v>
      </c>
      <c r="AQ191">
        <v>2818839.304</v>
      </c>
      <c r="AR191">
        <v>2826843.0060000001</v>
      </c>
      <c r="AS191">
        <v>2837241.62</v>
      </c>
      <c r="AT191">
        <v>2847591.8670000001</v>
      </c>
      <c r="AU191">
        <v>2857390.531</v>
      </c>
      <c r="AV191">
        <v>2866726.7949999999</v>
      </c>
      <c r="AW191">
        <v>2877954.6379999998</v>
      </c>
    </row>
    <row r="192" spans="2:49" x14ac:dyDescent="0.25">
      <c r="B192" t="s">
        <v>263</v>
      </c>
      <c r="C192">
        <v>4315668.6239754204</v>
      </c>
      <c r="D192">
        <v>4384958.0796759203</v>
      </c>
      <c r="E192">
        <v>4455360</v>
      </c>
      <c r="F192">
        <v>4300457.1330000004</v>
      </c>
      <c r="G192">
        <v>4116240.61</v>
      </c>
      <c r="H192">
        <v>3683633.5669999998</v>
      </c>
      <c r="I192">
        <v>3513538.1140000001</v>
      </c>
      <c r="J192">
        <v>3386617.8489999999</v>
      </c>
      <c r="K192">
        <v>3231363.0610000002</v>
      </c>
      <c r="L192">
        <v>3035627.469</v>
      </c>
      <c r="M192">
        <v>2839591.9019999998</v>
      </c>
      <c r="N192">
        <v>2619590.86</v>
      </c>
      <c r="O192">
        <v>2296548.3489999999</v>
      </c>
      <c r="P192">
        <v>2035338.956</v>
      </c>
      <c r="Q192">
        <v>1796492.9280000001</v>
      </c>
      <c r="R192">
        <v>1509906.594</v>
      </c>
      <c r="S192">
        <v>1206841.7709999999</v>
      </c>
      <c r="T192">
        <v>1499426.4310000001</v>
      </c>
      <c r="U192">
        <v>1855933.828</v>
      </c>
      <c r="V192">
        <v>2224230.9700000002</v>
      </c>
      <c r="W192">
        <v>2335629.8289999999</v>
      </c>
      <c r="X192">
        <v>2425681.15</v>
      </c>
      <c r="Y192">
        <v>2474354.4989999998</v>
      </c>
      <c r="Z192">
        <v>2514825.5350000001</v>
      </c>
      <c r="AA192">
        <v>2554526.2370000002</v>
      </c>
      <c r="AB192">
        <v>2590362.7850000001</v>
      </c>
      <c r="AC192">
        <v>2627216.8280000002</v>
      </c>
      <c r="AD192">
        <v>2646531.5329999998</v>
      </c>
      <c r="AE192">
        <v>2662966.298</v>
      </c>
      <c r="AF192">
        <v>2678712.929</v>
      </c>
      <c r="AG192">
        <v>2693465.2540000002</v>
      </c>
      <c r="AH192">
        <v>2709396.15</v>
      </c>
      <c r="AI192">
        <v>2724930.0639999998</v>
      </c>
      <c r="AJ192">
        <v>2739671.8739999998</v>
      </c>
      <c r="AK192">
        <v>2753606.7069999999</v>
      </c>
      <c r="AL192">
        <v>2767212.3810000001</v>
      </c>
      <c r="AM192">
        <v>2780444.2220000001</v>
      </c>
      <c r="AN192">
        <v>2791327.0469999998</v>
      </c>
      <c r="AO192">
        <v>2801347.5929999999</v>
      </c>
      <c r="AP192">
        <v>2810571.8149999999</v>
      </c>
      <c r="AQ192">
        <v>2818839.304</v>
      </c>
      <c r="AR192">
        <v>2826843.0060000001</v>
      </c>
      <c r="AS192">
        <v>2837241.62</v>
      </c>
      <c r="AT192">
        <v>2847591.8670000001</v>
      </c>
      <c r="AU192">
        <v>2857390.531</v>
      </c>
      <c r="AV192">
        <v>2866726.7949999999</v>
      </c>
      <c r="AW192">
        <v>2877954.6379999998</v>
      </c>
    </row>
    <row r="193" spans="2:49" x14ac:dyDescent="0.25">
      <c r="B193" t="s">
        <v>264</v>
      </c>
      <c r="C193">
        <v>8232235.5397947598</v>
      </c>
      <c r="D193">
        <v>8364406.7441781899</v>
      </c>
      <c r="E193">
        <v>8498700</v>
      </c>
      <c r="F193">
        <v>8398047.6270000003</v>
      </c>
      <c r="G193">
        <v>8272617.9270000001</v>
      </c>
      <c r="H193">
        <v>7622943.5279999999</v>
      </c>
      <c r="I193">
        <v>7486950.5240000002</v>
      </c>
      <c r="J193">
        <v>7430693.2319999998</v>
      </c>
      <c r="K193">
        <v>7300285.1119999997</v>
      </c>
      <c r="L193">
        <v>7059854.8039999995</v>
      </c>
      <c r="M193">
        <v>6796830.4160000002</v>
      </c>
      <c r="N193">
        <v>6453335.7390000001</v>
      </c>
      <c r="O193">
        <v>6769600.415</v>
      </c>
      <c r="P193">
        <v>7348746.9910000004</v>
      </c>
      <c r="Q193">
        <v>8087489.9210000001</v>
      </c>
      <c r="R193">
        <v>8691083.4969999995</v>
      </c>
      <c r="S193">
        <v>9235475.6809999999</v>
      </c>
      <c r="T193">
        <v>8519134.0390000008</v>
      </c>
      <c r="U193">
        <v>7744292.5729999999</v>
      </c>
      <c r="V193">
        <v>7004294.5070000002</v>
      </c>
      <c r="W193">
        <v>7027898.1639999999</v>
      </c>
      <c r="X193">
        <v>7131416.7199999997</v>
      </c>
      <c r="Y193">
        <v>7123212.1600000001</v>
      </c>
      <c r="Z193">
        <v>7089590.4380000001</v>
      </c>
      <c r="AA193">
        <v>7051328.5109999999</v>
      </c>
      <c r="AB193">
        <v>6999506.2740000002</v>
      </c>
      <c r="AC193">
        <v>6947486.4550000001</v>
      </c>
      <c r="AD193">
        <v>6847036.9890000001</v>
      </c>
      <c r="AE193">
        <v>6738450.591</v>
      </c>
      <c r="AF193">
        <v>6627418.5180000002</v>
      </c>
      <c r="AG193">
        <v>6513391.9910000004</v>
      </c>
      <c r="AH193">
        <v>6401523.483</v>
      </c>
      <c r="AI193">
        <v>6287871.4630000005</v>
      </c>
      <c r="AJ193">
        <v>6171358.0039999997</v>
      </c>
      <c r="AK193">
        <v>6052091.5190000003</v>
      </c>
      <c r="AL193">
        <v>5931194.6330000004</v>
      </c>
      <c r="AM193">
        <v>5808634.3830000004</v>
      </c>
      <c r="AN193">
        <v>5680464.0980000002</v>
      </c>
      <c r="AO193">
        <v>5549373.3739999998</v>
      </c>
      <c r="AP193">
        <v>5415686.398</v>
      </c>
      <c r="AQ193">
        <v>5279203.4139999999</v>
      </c>
      <c r="AR193">
        <v>5141366.9939999999</v>
      </c>
      <c r="AS193">
        <v>5006851.7560000001</v>
      </c>
      <c r="AT193">
        <v>4871216.8830000004</v>
      </c>
      <c r="AU193">
        <v>4733666.5539999995</v>
      </c>
      <c r="AV193">
        <v>4594432.9759999998</v>
      </c>
      <c r="AW193">
        <v>4457244.7709999997</v>
      </c>
    </row>
    <row r="194" spans="2:49" x14ac:dyDescent="0.25">
      <c r="B194" t="s">
        <v>265</v>
      </c>
      <c r="C194">
        <v>20174774.421468802</v>
      </c>
      <c r="D194">
        <v>20498686.950521201</v>
      </c>
      <c r="E194">
        <v>20827800</v>
      </c>
      <c r="F194">
        <v>19672395</v>
      </c>
      <c r="G194">
        <v>18376174.460000001</v>
      </c>
      <c r="H194">
        <v>16044670.67</v>
      </c>
      <c r="I194">
        <v>14931313.01</v>
      </c>
      <c r="J194">
        <v>14041968.310000001</v>
      </c>
      <c r="K194">
        <v>13072711.779999999</v>
      </c>
      <c r="L194">
        <v>11982718.359999999</v>
      </c>
      <c r="M194">
        <v>10936986.9</v>
      </c>
      <c r="N194">
        <v>9845034.841</v>
      </c>
      <c r="O194">
        <v>8337646.2750000004</v>
      </c>
      <c r="P194">
        <v>7053309.074</v>
      </c>
      <c r="Q194">
        <v>5826112.0300000003</v>
      </c>
      <c r="R194">
        <v>4420756.4649999999</v>
      </c>
      <c r="S194">
        <v>2953224.3509999998</v>
      </c>
      <c r="T194">
        <v>2705297.3229999999</v>
      </c>
      <c r="U194">
        <v>2559714.0809999998</v>
      </c>
      <c r="V194">
        <v>2428127.2919999999</v>
      </c>
      <c r="W194">
        <v>2489780.6710000001</v>
      </c>
      <c r="X194">
        <v>2581992.3539999998</v>
      </c>
      <c r="Y194">
        <v>2635881.7140000002</v>
      </c>
      <c r="Z194">
        <v>2681493.4130000002</v>
      </c>
      <c r="AA194">
        <v>2726174.051</v>
      </c>
      <c r="AB194">
        <v>2766569.287</v>
      </c>
      <c r="AC194">
        <v>2807894.2689999999</v>
      </c>
      <c r="AD194">
        <v>2830317.87</v>
      </c>
      <c r="AE194">
        <v>2849506.2650000001</v>
      </c>
      <c r="AF194">
        <v>2867815.3870000001</v>
      </c>
      <c r="AG194">
        <v>2884929.5929999999</v>
      </c>
      <c r="AH194">
        <v>2903188.0490000001</v>
      </c>
      <c r="AI194">
        <v>2920914.4759999998</v>
      </c>
      <c r="AJ194">
        <v>2937694.7749999999</v>
      </c>
      <c r="AK194">
        <v>2953521.3509999998</v>
      </c>
      <c r="AL194">
        <v>2968914.4929999998</v>
      </c>
      <c r="AM194">
        <v>2983833.639</v>
      </c>
      <c r="AN194">
        <v>2996165.3339999998</v>
      </c>
      <c r="AO194">
        <v>3007510.5559999999</v>
      </c>
      <c r="AP194">
        <v>3017945.4989999998</v>
      </c>
      <c r="AQ194">
        <v>3027302.8289999999</v>
      </c>
      <c r="AR194">
        <v>3036331.2749999999</v>
      </c>
      <c r="AS194">
        <v>3047891.267</v>
      </c>
      <c r="AT194">
        <v>3059362.7349999999</v>
      </c>
      <c r="AU194">
        <v>3070208.51</v>
      </c>
      <c r="AV194">
        <v>3080527.46</v>
      </c>
      <c r="AW194">
        <v>3092852.122</v>
      </c>
    </row>
    <row r="195" spans="2:49" x14ac:dyDescent="0.25">
      <c r="B195" t="s">
        <v>266</v>
      </c>
      <c r="C195">
        <v>463787.91773491597</v>
      </c>
      <c r="D195">
        <v>471234.182770602</v>
      </c>
      <c r="E195">
        <v>478800</v>
      </c>
      <c r="F195">
        <v>476443.49949999998</v>
      </c>
      <c r="G195">
        <v>457539.3137</v>
      </c>
      <c r="H195">
        <v>432597.87339999998</v>
      </c>
      <c r="I195">
        <v>435774.48320000002</v>
      </c>
      <c r="J195">
        <v>450251.94839999999</v>
      </c>
      <c r="K195">
        <v>449089.03950000001</v>
      </c>
      <c r="L195">
        <v>455429.16110000003</v>
      </c>
      <c r="M195">
        <v>472393.57709999999</v>
      </c>
      <c r="N195">
        <v>496545.38949999999</v>
      </c>
      <c r="O195">
        <v>471815.93079999997</v>
      </c>
      <c r="P195">
        <v>438759.2084</v>
      </c>
      <c r="Q195">
        <v>388943.28159999999</v>
      </c>
      <c r="R195">
        <v>347502.81180000002</v>
      </c>
      <c r="S195">
        <v>309918.85450000002</v>
      </c>
      <c r="T195">
        <v>287798.82809999998</v>
      </c>
      <c r="U195">
        <v>268110.3518</v>
      </c>
      <c r="V195">
        <v>249664.50030000001</v>
      </c>
      <c r="W195">
        <v>248877.68960000001</v>
      </c>
      <c r="X195">
        <v>246643.30970000001</v>
      </c>
      <c r="Y195">
        <v>244338.019</v>
      </c>
      <c r="Z195">
        <v>242552.45970000001</v>
      </c>
      <c r="AA195">
        <v>239785.48689999999</v>
      </c>
      <c r="AB195">
        <v>236607.9425</v>
      </c>
      <c r="AC195">
        <v>233289.67420000001</v>
      </c>
      <c r="AD195">
        <v>230244.53580000001</v>
      </c>
      <c r="AE195">
        <v>226815.6563</v>
      </c>
      <c r="AF195">
        <v>223454.51689999999</v>
      </c>
      <c r="AG195">
        <v>219845.5534</v>
      </c>
      <c r="AH195">
        <v>216033.17860000001</v>
      </c>
      <c r="AI195">
        <v>211815.67509999999</v>
      </c>
      <c r="AJ195">
        <v>207584.19880000001</v>
      </c>
      <c r="AK195">
        <v>203281.30170000001</v>
      </c>
      <c r="AL195">
        <v>198962.67430000001</v>
      </c>
      <c r="AM195">
        <v>194637.3193</v>
      </c>
      <c r="AN195">
        <v>189431.93220000001</v>
      </c>
      <c r="AO195">
        <v>184300.16279999999</v>
      </c>
      <c r="AP195">
        <v>179140.63819999999</v>
      </c>
      <c r="AQ195">
        <v>174021.06400000001</v>
      </c>
      <c r="AR195">
        <v>168838.55189999999</v>
      </c>
      <c r="AS195">
        <v>163808.10690000001</v>
      </c>
      <c r="AT195">
        <v>158810.6531</v>
      </c>
      <c r="AU195">
        <v>153812.557</v>
      </c>
      <c r="AV195">
        <v>148821.70670000001</v>
      </c>
      <c r="AW195">
        <v>143836.834</v>
      </c>
    </row>
    <row r="196" spans="2:49" x14ac:dyDescent="0.25">
      <c r="B196" s="272" t="s">
        <v>267</v>
      </c>
      <c r="C196">
        <v>748170.71461916296</v>
      </c>
      <c r="D196">
        <v>760182.83744504896</v>
      </c>
      <c r="E196">
        <v>759119.60400000005</v>
      </c>
      <c r="F196">
        <v>770533.05240000004</v>
      </c>
      <c r="G196">
        <v>727957.37589999998</v>
      </c>
      <c r="H196">
        <v>715141.88230000006</v>
      </c>
      <c r="I196">
        <v>745030.13970000006</v>
      </c>
      <c r="J196">
        <v>710316.30949999997</v>
      </c>
      <c r="K196">
        <v>677118.98510000005</v>
      </c>
      <c r="L196">
        <v>638288.14760000003</v>
      </c>
      <c r="M196">
        <v>654259.43519999995</v>
      </c>
      <c r="N196">
        <v>646913.82640000002</v>
      </c>
      <c r="O196">
        <v>644112.46750000003</v>
      </c>
      <c r="P196">
        <v>649071.92830000003</v>
      </c>
      <c r="Q196">
        <v>609235.15910000005</v>
      </c>
      <c r="R196">
        <v>593371.05689999997</v>
      </c>
      <c r="S196">
        <v>590920.30889999995</v>
      </c>
      <c r="T196">
        <v>575095.89560000005</v>
      </c>
      <c r="U196">
        <v>559711.85580000002</v>
      </c>
      <c r="V196">
        <v>547863.92969999998</v>
      </c>
      <c r="W196">
        <v>557557.93440000003</v>
      </c>
      <c r="X196">
        <v>564808.92310000001</v>
      </c>
      <c r="Y196">
        <v>567896.99089999998</v>
      </c>
      <c r="Z196">
        <v>566606.29590000003</v>
      </c>
      <c r="AA196">
        <v>561039.50639999995</v>
      </c>
      <c r="AB196">
        <v>554368.56909999996</v>
      </c>
      <c r="AC196">
        <v>549919.43019999994</v>
      </c>
      <c r="AD196">
        <v>540955.1531</v>
      </c>
      <c r="AE196">
        <v>532702.21920000005</v>
      </c>
      <c r="AF196">
        <v>525132.71530000004</v>
      </c>
      <c r="AG196">
        <v>517270.22169999999</v>
      </c>
      <c r="AH196">
        <v>510701.91869999998</v>
      </c>
      <c r="AI196">
        <v>501650.62089999998</v>
      </c>
      <c r="AJ196">
        <v>493446.5184</v>
      </c>
      <c r="AK196">
        <v>485063.36080000002</v>
      </c>
      <c r="AL196">
        <v>476831.26669999998</v>
      </c>
      <c r="AM196">
        <v>468795.77029999997</v>
      </c>
      <c r="AN196">
        <v>461611.62400000001</v>
      </c>
      <c r="AO196">
        <v>454769.90230000002</v>
      </c>
      <c r="AP196">
        <v>447694.8529</v>
      </c>
      <c r="AQ196">
        <v>440403.48979999998</v>
      </c>
      <c r="AR196">
        <v>433524.38010000001</v>
      </c>
      <c r="AS196">
        <v>425476.51530000003</v>
      </c>
      <c r="AT196">
        <v>417475.32329999999</v>
      </c>
      <c r="AU196">
        <v>409299.28009999997</v>
      </c>
      <c r="AV196">
        <v>400974.0061</v>
      </c>
      <c r="AW196">
        <v>392514.22690000001</v>
      </c>
    </row>
    <row r="197" spans="2:49" x14ac:dyDescent="0.25">
      <c r="B197" s="272" t="s">
        <v>268</v>
      </c>
      <c r="C197">
        <v>5051155.6907064496</v>
      </c>
      <c r="D197">
        <v>5132253.62916335</v>
      </c>
      <c r="E197">
        <v>5125075.3779999996</v>
      </c>
      <c r="F197">
        <v>5154340.7989999996</v>
      </c>
      <c r="G197">
        <v>4834268.2659999998</v>
      </c>
      <c r="H197">
        <v>4704259.0109999999</v>
      </c>
      <c r="I197">
        <v>4625042.375</v>
      </c>
      <c r="J197">
        <v>4511410.0920000002</v>
      </c>
      <c r="K197">
        <v>4207418.4280000003</v>
      </c>
      <c r="L197">
        <v>4016193.7140000002</v>
      </c>
      <c r="M197">
        <v>3993656.2710000002</v>
      </c>
      <c r="N197">
        <v>3928861.53</v>
      </c>
      <c r="O197">
        <v>3881774.611</v>
      </c>
      <c r="P197">
        <v>3860863.0090000001</v>
      </c>
      <c r="Q197">
        <v>3671000.8110000002</v>
      </c>
      <c r="R197">
        <v>3537199.111</v>
      </c>
      <c r="S197">
        <v>3517128.6230000001</v>
      </c>
      <c r="T197">
        <v>3389534.034</v>
      </c>
      <c r="U197">
        <v>3280471.372</v>
      </c>
      <c r="V197">
        <v>3183952.0589999999</v>
      </c>
      <c r="W197">
        <v>3184081.4530000002</v>
      </c>
      <c r="X197">
        <v>3162669.8190000001</v>
      </c>
      <c r="Y197">
        <v>3109826.6340000001</v>
      </c>
      <c r="Z197">
        <v>3077171.534</v>
      </c>
      <c r="AA197">
        <v>3034841.1940000001</v>
      </c>
      <c r="AB197">
        <v>2988312.7960000001</v>
      </c>
      <c r="AC197">
        <v>2956258.93</v>
      </c>
      <c r="AD197">
        <v>2900897.8709999998</v>
      </c>
      <c r="AE197">
        <v>2850373.5189999999</v>
      </c>
      <c r="AF197">
        <v>2801649.5260000001</v>
      </c>
      <c r="AG197">
        <v>2753900.24</v>
      </c>
      <c r="AH197">
        <v>2713912.3080000002</v>
      </c>
      <c r="AI197">
        <v>2661495.432</v>
      </c>
      <c r="AJ197">
        <v>2613678.2880000002</v>
      </c>
      <c r="AK197">
        <v>2564254.0729999999</v>
      </c>
      <c r="AL197">
        <v>2515115.719</v>
      </c>
      <c r="AM197">
        <v>2466570.713</v>
      </c>
      <c r="AN197">
        <v>2412639.915</v>
      </c>
      <c r="AO197">
        <v>2358073.193</v>
      </c>
      <c r="AP197">
        <v>2302475.2689999999</v>
      </c>
      <c r="AQ197">
        <v>2246218.872</v>
      </c>
      <c r="AR197">
        <v>2192632.8029999998</v>
      </c>
      <c r="AS197">
        <v>2139400.5520000001</v>
      </c>
      <c r="AT197">
        <v>2088199.0989999999</v>
      </c>
      <c r="AU197">
        <v>2037181.2309999999</v>
      </c>
      <c r="AV197">
        <v>1986221.2409999999</v>
      </c>
      <c r="AW197">
        <v>1934929.2439999999</v>
      </c>
    </row>
    <row r="198" spans="2:49" x14ac:dyDescent="0.25">
      <c r="B198" s="272" t="s">
        <v>269</v>
      </c>
      <c r="C198">
        <v>738109.45702439197</v>
      </c>
      <c r="D198">
        <v>749960.04310518701</v>
      </c>
      <c r="E198">
        <v>748911.1078</v>
      </c>
      <c r="F198">
        <v>797524.55460000003</v>
      </c>
      <c r="G198">
        <v>741459.93709999998</v>
      </c>
      <c r="H198">
        <v>632641.73699999996</v>
      </c>
      <c r="I198">
        <v>686016.5024</v>
      </c>
      <c r="J198">
        <v>665993.62329999998</v>
      </c>
      <c r="K198">
        <v>628534.18519999995</v>
      </c>
      <c r="L198">
        <v>615007.43209999998</v>
      </c>
      <c r="M198">
        <v>630700.95689999999</v>
      </c>
      <c r="N198">
        <v>669573.73759999999</v>
      </c>
      <c r="O198">
        <v>646832.14080000005</v>
      </c>
      <c r="P198">
        <v>621057.85549999995</v>
      </c>
      <c r="Q198">
        <v>554617.55810000002</v>
      </c>
      <c r="R198">
        <v>517512.52230000001</v>
      </c>
      <c r="S198">
        <v>464126.03110000002</v>
      </c>
      <c r="T198">
        <v>429529.81839999999</v>
      </c>
      <c r="U198">
        <v>412631.54029999999</v>
      </c>
      <c r="V198">
        <v>398782.93939999997</v>
      </c>
      <c r="W198">
        <v>400905.25760000001</v>
      </c>
      <c r="X198">
        <v>359228.09869999997</v>
      </c>
      <c r="Y198">
        <v>381428.03619999997</v>
      </c>
      <c r="Z198">
        <v>390043.33510000003</v>
      </c>
      <c r="AA198">
        <v>391589.98180000001</v>
      </c>
      <c r="AB198">
        <v>389883.1937</v>
      </c>
      <c r="AC198">
        <v>366218.4583</v>
      </c>
      <c r="AD198">
        <v>378663.87270000001</v>
      </c>
      <c r="AE198">
        <v>376289.02860000002</v>
      </c>
      <c r="AF198">
        <v>373453.06890000001</v>
      </c>
      <c r="AG198">
        <v>369821.94549999997</v>
      </c>
      <c r="AH198">
        <v>352178.04129999998</v>
      </c>
      <c r="AI198">
        <v>356378.56170000002</v>
      </c>
      <c r="AJ198">
        <v>355153.59539999999</v>
      </c>
      <c r="AK198">
        <v>351115.9657</v>
      </c>
      <c r="AL198">
        <v>346225.7242</v>
      </c>
      <c r="AM198">
        <v>340890.5661</v>
      </c>
      <c r="AN198">
        <v>331051.3811</v>
      </c>
      <c r="AO198">
        <v>322843.52419999999</v>
      </c>
      <c r="AP198">
        <v>314906.68050000002</v>
      </c>
      <c r="AQ198">
        <v>306964.35700000002</v>
      </c>
      <c r="AR198">
        <v>292504.21490000002</v>
      </c>
      <c r="AS198">
        <v>288597.91889999999</v>
      </c>
      <c r="AT198">
        <v>282901.62109999999</v>
      </c>
      <c r="AU198">
        <v>276384.67869999999</v>
      </c>
      <c r="AV198">
        <v>269496.24729999999</v>
      </c>
      <c r="AW198">
        <v>262449.73959999997</v>
      </c>
    </row>
    <row r="199" spans="2:49" x14ac:dyDescent="0.25">
      <c r="B199" s="272" t="s">
        <v>270</v>
      </c>
      <c r="C199">
        <v>1453742.3069470399</v>
      </c>
      <c r="D199">
        <v>1477082.6099113501</v>
      </c>
      <c r="E199">
        <v>1475016.6810000001</v>
      </c>
      <c r="F199">
        <v>1462406.906</v>
      </c>
      <c r="G199">
        <v>1317223.3570000001</v>
      </c>
      <c r="H199">
        <v>1115583.8589999999</v>
      </c>
      <c r="I199">
        <v>1131241.013</v>
      </c>
      <c r="J199">
        <v>1219905.311</v>
      </c>
      <c r="K199">
        <v>1085137.5900000001</v>
      </c>
      <c r="L199">
        <v>1012975.149</v>
      </c>
      <c r="M199">
        <v>1011089.698</v>
      </c>
      <c r="N199">
        <v>996312.93090000004</v>
      </c>
      <c r="O199">
        <v>1042347.0550000001</v>
      </c>
      <c r="P199">
        <v>1081327.02</v>
      </c>
      <c r="Q199">
        <v>1065473.3899999999</v>
      </c>
      <c r="R199">
        <v>1049659.452</v>
      </c>
      <c r="S199">
        <v>1032953.699</v>
      </c>
      <c r="T199">
        <v>991474.89890000003</v>
      </c>
      <c r="U199">
        <v>953639.12899999996</v>
      </c>
      <c r="V199">
        <v>921250.11629999999</v>
      </c>
      <c r="W199">
        <v>908260.26249999995</v>
      </c>
      <c r="X199">
        <v>882914.05409999995</v>
      </c>
      <c r="Y199">
        <v>867098.96160000004</v>
      </c>
      <c r="Z199">
        <v>855341.69079999998</v>
      </c>
      <c r="AA199">
        <v>841526.90780000004</v>
      </c>
      <c r="AB199">
        <v>826701.65980000002</v>
      </c>
      <c r="AC199">
        <v>811005.57949999999</v>
      </c>
      <c r="AD199">
        <v>800990.43319999997</v>
      </c>
      <c r="AE199">
        <v>788607.56299999997</v>
      </c>
      <c r="AF199">
        <v>776829.02859999996</v>
      </c>
      <c r="AG199">
        <v>764921.3676</v>
      </c>
      <c r="AH199">
        <v>752255.6925</v>
      </c>
      <c r="AI199">
        <v>741812.09160000004</v>
      </c>
      <c r="AJ199">
        <v>730991.98499999999</v>
      </c>
      <c r="AK199">
        <v>719748.90850000002</v>
      </c>
      <c r="AL199">
        <v>708490.36529999995</v>
      </c>
      <c r="AM199">
        <v>697243.09470000002</v>
      </c>
      <c r="AN199">
        <v>683109.86540000001</v>
      </c>
      <c r="AO199">
        <v>669431.32519999996</v>
      </c>
      <c r="AP199">
        <v>655574.62250000006</v>
      </c>
      <c r="AQ199">
        <v>641724.30870000005</v>
      </c>
      <c r="AR199">
        <v>627107.84439999994</v>
      </c>
      <c r="AS199">
        <v>615138.9327</v>
      </c>
      <c r="AT199">
        <v>602999.64969999995</v>
      </c>
      <c r="AU199">
        <v>590574.53579999995</v>
      </c>
      <c r="AV199">
        <v>577937.60829999996</v>
      </c>
      <c r="AW199">
        <v>565188.68689999997</v>
      </c>
    </row>
    <row r="200" spans="2:49" x14ac:dyDescent="0.25">
      <c r="B200" s="272" t="s">
        <v>271</v>
      </c>
      <c r="C200">
        <v>1819036.8432423901</v>
      </c>
      <c r="D200">
        <v>1848242.0681447799</v>
      </c>
      <c r="E200">
        <v>1845657.0149999999</v>
      </c>
      <c r="F200">
        <v>1832587.736</v>
      </c>
      <c r="G200">
        <v>1664234.9569999999</v>
      </c>
      <c r="H200">
        <v>1389358.5279999999</v>
      </c>
      <c r="I200">
        <v>1433007.8840000001</v>
      </c>
      <c r="J200">
        <v>1573605.6580000001</v>
      </c>
      <c r="K200">
        <v>1399672.7790000001</v>
      </c>
      <c r="L200">
        <v>1302820.405</v>
      </c>
      <c r="M200">
        <v>1295683.5970000001</v>
      </c>
      <c r="N200">
        <v>1256620.1200000001</v>
      </c>
      <c r="O200">
        <v>1341196.7620000001</v>
      </c>
      <c r="P200">
        <v>1435530.703</v>
      </c>
      <c r="Q200">
        <v>1451810.088</v>
      </c>
      <c r="R200">
        <v>1463292.973</v>
      </c>
      <c r="S200">
        <v>1439712.3289999999</v>
      </c>
      <c r="T200">
        <v>1406239.3659999999</v>
      </c>
      <c r="U200">
        <v>1353893.689</v>
      </c>
      <c r="V200">
        <v>1323362.1359999999</v>
      </c>
      <c r="W200">
        <v>1312989.29</v>
      </c>
      <c r="X200">
        <v>1290745.804</v>
      </c>
      <c r="Y200">
        <v>1251493.443</v>
      </c>
      <c r="Z200">
        <v>1224396.1540000001</v>
      </c>
      <c r="AA200">
        <v>1197379.6540000001</v>
      </c>
      <c r="AB200">
        <v>1170295.0519999999</v>
      </c>
      <c r="AC200">
        <v>1146172.9720000001</v>
      </c>
      <c r="AD200">
        <v>1125952.2009999999</v>
      </c>
      <c r="AE200">
        <v>1104250.8999999999</v>
      </c>
      <c r="AF200">
        <v>1084606.058</v>
      </c>
      <c r="AG200">
        <v>1064240.078</v>
      </c>
      <c r="AH200">
        <v>1045967.8860000001</v>
      </c>
      <c r="AI200">
        <v>1026521.907</v>
      </c>
      <c r="AJ200">
        <v>1006455.799</v>
      </c>
      <c r="AK200">
        <v>987347.3395</v>
      </c>
      <c r="AL200">
        <v>968416.51710000006</v>
      </c>
      <c r="AM200">
        <v>949495.43169999996</v>
      </c>
      <c r="AN200">
        <v>928953.88729999994</v>
      </c>
      <c r="AO200">
        <v>910069.66249999998</v>
      </c>
      <c r="AP200">
        <v>891005.84759999998</v>
      </c>
      <c r="AQ200">
        <v>872909.61959999998</v>
      </c>
      <c r="AR200">
        <v>854150.74670000002</v>
      </c>
      <c r="AS200">
        <v>835898.32790000003</v>
      </c>
      <c r="AT200">
        <v>817482.42890000006</v>
      </c>
      <c r="AU200">
        <v>798360.61979999999</v>
      </c>
      <c r="AV200">
        <v>779041.82590000005</v>
      </c>
      <c r="AW200">
        <v>762357.96299999999</v>
      </c>
    </row>
    <row r="201" spans="2:49" x14ac:dyDescent="0.25">
      <c r="B201" s="272" t="s">
        <v>272</v>
      </c>
      <c r="C201">
        <v>2313078.33193391</v>
      </c>
      <c r="D201">
        <v>2350215.5527395001</v>
      </c>
      <c r="E201">
        <v>2346928.412</v>
      </c>
      <c r="F201">
        <v>2307270.2379999999</v>
      </c>
      <c r="G201">
        <v>2125420.4679999999</v>
      </c>
      <c r="H201">
        <v>1865406.5009999999</v>
      </c>
      <c r="I201">
        <v>1942551.9350000001</v>
      </c>
      <c r="J201">
        <v>1813681.341</v>
      </c>
      <c r="K201">
        <v>1634029.9609999999</v>
      </c>
      <c r="L201">
        <v>1568591.118</v>
      </c>
      <c r="M201">
        <v>1524678.4680000001</v>
      </c>
      <c r="N201">
        <v>1528843.6510000001</v>
      </c>
      <c r="O201">
        <v>1576118.747</v>
      </c>
      <c r="P201">
        <v>1608128.96</v>
      </c>
      <c r="Q201">
        <v>1591860.88</v>
      </c>
      <c r="R201">
        <v>1562136.8640000001</v>
      </c>
      <c r="S201">
        <v>1567827.7150000001</v>
      </c>
      <c r="T201">
        <v>1519081.868</v>
      </c>
      <c r="U201">
        <v>1465836.8330000001</v>
      </c>
      <c r="V201">
        <v>1419925.273</v>
      </c>
      <c r="W201">
        <v>1423934.0360000001</v>
      </c>
      <c r="X201">
        <v>1413496.443</v>
      </c>
      <c r="Y201">
        <v>1393320.027</v>
      </c>
      <c r="Z201">
        <v>1383351.202</v>
      </c>
      <c r="AA201">
        <v>1369696.2279999999</v>
      </c>
      <c r="AB201">
        <v>1353891.7749999999</v>
      </c>
      <c r="AC201">
        <v>1340195.7620000001</v>
      </c>
      <c r="AD201">
        <v>1320933.0730000001</v>
      </c>
      <c r="AE201">
        <v>1301087.2620000001</v>
      </c>
      <c r="AF201">
        <v>1282303.2819999999</v>
      </c>
      <c r="AG201">
        <v>1263615.007</v>
      </c>
      <c r="AH201">
        <v>1245966.6910000001</v>
      </c>
      <c r="AI201">
        <v>1227502.649</v>
      </c>
      <c r="AJ201">
        <v>1209702.3559999999</v>
      </c>
      <c r="AK201">
        <v>1191636.53</v>
      </c>
      <c r="AL201">
        <v>1173645.307</v>
      </c>
      <c r="AM201">
        <v>1155673.4750000001</v>
      </c>
      <c r="AN201">
        <v>1134727.3840000001</v>
      </c>
      <c r="AO201">
        <v>1114480.8419999999</v>
      </c>
      <c r="AP201">
        <v>1093733.3529999999</v>
      </c>
      <c r="AQ201">
        <v>1072808.145</v>
      </c>
      <c r="AR201">
        <v>1051609.3359999999</v>
      </c>
      <c r="AS201">
        <v>1031941.6679999999</v>
      </c>
      <c r="AT201">
        <v>1012163.191</v>
      </c>
      <c r="AU201">
        <v>992065.57389999996</v>
      </c>
      <c r="AV201">
        <v>971651.79180000001</v>
      </c>
      <c r="AW201">
        <v>950758.54370000004</v>
      </c>
    </row>
    <row r="202" spans="2:49" x14ac:dyDescent="0.25">
      <c r="B202" s="272" t="s">
        <v>273</v>
      </c>
      <c r="C202">
        <v>4643279.3828946501</v>
      </c>
      <c r="D202">
        <v>4717828.7352982899</v>
      </c>
      <c r="E202">
        <v>4711230.1210000003</v>
      </c>
      <c r="F202">
        <v>4631937.7779999999</v>
      </c>
      <c r="G202">
        <v>4501089.4189999998</v>
      </c>
      <c r="H202">
        <v>4108180.5389999999</v>
      </c>
      <c r="I202">
        <v>4154533.2790000001</v>
      </c>
      <c r="J202">
        <v>4066705.358</v>
      </c>
      <c r="K202">
        <v>3807266.0520000001</v>
      </c>
      <c r="L202">
        <v>3678247.05</v>
      </c>
      <c r="M202">
        <v>3603465.6359999999</v>
      </c>
      <c r="N202">
        <v>3656771.6310000001</v>
      </c>
      <c r="O202">
        <v>3778306.2990000001</v>
      </c>
      <c r="P202">
        <v>3848886.085</v>
      </c>
      <c r="Q202">
        <v>3788757.7540000002</v>
      </c>
      <c r="R202">
        <v>3804017.48</v>
      </c>
      <c r="S202">
        <v>3744586.5159999998</v>
      </c>
      <c r="T202">
        <v>3605852.2480000001</v>
      </c>
      <c r="U202">
        <v>3464101.26</v>
      </c>
      <c r="V202">
        <v>3338469.594</v>
      </c>
      <c r="W202">
        <v>3220491.426</v>
      </c>
      <c r="X202">
        <v>3078712.69</v>
      </c>
      <c r="Y202">
        <v>2951049.7949999999</v>
      </c>
      <c r="Z202">
        <v>2851604.642</v>
      </c>
      <c r="AA202">
        <v>2749494.0049999999</v>
      </c>
      <c r="AB202">
        <v>2647513.892</v>
      </c>
      <c r="AC202">
        <v>2550536.6719999998</v>
      </c>
      <c r="AD202">
        <v>2507766.5750000002</v>
      </c>
      <c r="AE202">
        <v>2464664.2480000001</v>
      </c>
      <c r="AF202">
        <v>2425130.8939999999</v>
      </c>
      <c r="AG202">
        <v>2384336.9840000002</v>
      </c>
      <c r="AH202">
        <v>2345480.8229999999</v>
      </c>
      <c r="AI202">
        <v>2305646.9360000002</v>
      </c>
      <c r="AJ202">
        <v>2266534.31</v>
      </c>
      <c r="AK202">
        <v>2227469.9649999999</v>
      </c>
      <c r="AL202">
        <v>2188900.3509999998</v>
      </c>
      <c r="AM202">
        <v>2150499.5460000001</v>
      </c>
      <c r="AN202">
        <v>2103823.1660000002</v>
      </c>
      <c r="AO202">
        <v>2057848.827</v>
      </c>
      <c r="AP202">
        <v>2010840.466</v>
      </c>
      <c r="AQ202">
        <v>1963847.574</v>
      </c>
      <c r="AR202">
        <v>1916188.169</v>
      </c>
      <c r="AS202">
        <v>1872993.926</v>
      </c>
      <c r="AT202">
        <v>1830174.784</v>
      </c>
      <c r="AU202">
        <v>1787203.0519999999</v>
      </c>
      <c r="AV202">
        <v>1744167.4240000001</v>
      </c>
      <c r="AW202">
        <v>1700657.4509999999</v>
      </c>
    </row>
    <row r="203" spans="2:49" x14ac:dyDescent="0.25">
      <c r="B203" s="272" t="s">
        <v>274</v>
      </c>
      <c r="C203">
        <v>3833938.33697946</v>
      </c>
      <c r="D203">
        <v>3895493.45710216</v>
      </c>
      <c r="E203">
        <v>3906871.531</v>
      </c>
      <c r="F203">
        <v>3846278.108</v>
      </c>
      <c r="G203">
        <v>3783789.4840000002</v>
      </c>
      <c r="H203">
        <v>3416687.341</v>
      </c>
      <c r="I203">
        <v>3501800.6439999999</v>
      </c>
      <c r="J203">
        <v>3503755.108</v>
      </c>
      <c r="K203">
        <v>3378912.8339999998</v>
      </c>
      <c r="L203">
        <v>3296521.7910000002</v>
      </c>
      <c r="M203">
        <v>3228635.946</v>
      </c>
      <c r="N203">
        <v>3218439.165</v>
      </c>
      <c r="O203">
        <v>3307639.7549999999</v>
      </c>
      <c r="P203">
        <v>3457136.6609999998</v>
      </c>
      <c r="Q203">
        <v>3533585.9160000002</v>
      </c>
      <c r="R203">
        <v>3680491.98</v>
      </c>
      <c r="S203">
        <v>3743759.9040000001</v>
      </c>
      <c r="T203">
        <v>3608402.5449999999</v>
      </c>
      <c r="U203">
        <v>3497461.9279999998</v>
      </c>
      <c r="V203">
        <v>3390458.716</v>
      </c>
      <c r="W203">
        <v>3391301.7519999999</v>
      </c>
      <c r="X203">
        <v>3369561.2459999998</v>
      </c>
      <c r="Y203">
        <v>3331267.7319999998</v>
      </c>
      <c r="Z203">
        <v>3298807.44</v>
      </c>
      <c r="AA203">
        <v>3257562.4550000001</v>
      </c>
      <c r="AB203">
        <v>3212119.9</v>
      </c>
      <c r="AC203">
        <v>3163858.7069999999</v>
      </c>
      <c r="AD203">
        <v>3112970.4139999999</v>
      </c>
      <c r="AE203">
        <v>3060410.4360000002</v>
      </c>
      <c r="AF203">
        <v>3012056.6340000001</v>
      </c>
      <c r="AG203">
        <v>2960144.2390000001</v>
      </c>
      <c r="AH203">
        <v>2908983.415</v>
      </c>
      <c r="AI203">
        <v>2856912.963</v>
      </c>
      <c r="AJ203">
        <v>2806550.6779999998</v>
      </c>
      <c r="AK203">
        <v>2756364.49</v>
      </c>
      <c r="AL203">
        <v>2707072.0290000001</v>
      </c>
      <c r="AM203">
        <v>2658212.0929999999</v>
      </c>
      <c r="AN203">
        <v>2612407.659</v>
      </c>
      <c r="AO203">
        <v>2567982.88</v>
      </c>
      <c r="AP203">
        <v>2522323.1639999999</v>
      </c>
      <c r="AQ203">
        <v>2475761.9279999998</v>
      </c>
      <c r="AR203">
        <v>2427917.9780000001</v>
      </c>
      <c r="AS203">
        <v>2379060.7170000002</v>
      </c>
      <c r="AT203">
        <v>2329676.6170000001</v>
      </c>
      <c r="AU203">
        <v>2279611.673</v>
      </c>
      <c r="AV203">
        <v>2228938.8790000002</v>
      </c>
      <c r="AW203">
        <v>2177216.2209999999</v>
      </c>
    </row>
    <row r="204" spans="2:49" x14ac:dyDescent="0.25">
      <c r="B204" s="272" t="s">
        <v>275</v>
      </c>
      <c r="C204">
        <v>271678.64339116903</v>
      </c>
      <c r="D204">
        <v>276040.53188776103</v>
      </c>
      <c r="E204">
        <v>275654.44650000002</v>
      </c>
      <c r="F204">
        <v>280105.4803</v>
      </c>
      <c r="G204">
        <v>259661.99</v>
      </c>
      <c r="H204">
        <v>222580.89439999999</v>
      </c>
      <c r="I204">
        <v>229932.66529999999</v>
      </c>
      <c r="J204">
        <v>226321.28229999999</v>
      </c>
      <c r="K204">
        <v>203672.8939</v>
      </c>
      <c r="L204">
        <v>187230.93220000001</v>
      </c>
      <c r="M204">
        <v>181696.74770000001</v>
      </c>
      <c r="N204">
        <v>189678.5257</v>
      </c>
      <c r="O204">
        <v>189220.87330000001</v>
      </c>
      <c r="P204">
        <v>188903.36970000001</v>
      </c>
      <c r="Q204">
        <v>178769.75719999999</v>
      </c>
      <c r="R204">
        <v>169367.29800000001</v>
      </c>
      <c r="S204">
        <v>163876.5477</v>
      </c>
      <c r="T204">
        <v>157340.27480000001</v>
      </c>
      <c r="U204">
        <v>151270.8904</v>
      </c>
      <c r="V204">
        <v>146512.14850000001</v>
      </c>
      <c r="W204">
        <v>146568.32380000001</v>
      </c>
      <c r="X204">
        <v>144129.02499999999</v>
      </c>
      <c r="Y204">
        <v>142709.7469</v>
      </c>
      <c r="Z204">
        <v>142513.2157</v>
      </c>
      <c r="AA204">
        <v>142162.88699999999</v>
      </c>
      <c r="AB204">
        <v>141893.76560000001</v>
      </c>
      <c r="AC204">
        <v>141136.84940000001</v>
      </c>
      <c r="AD204">
        <v>138711.4449</v>
      </c>
      <c r="AE204">
        <v>135651.12239999999</v>
      </c>
      <c r="AF204">
        <v>132805.11919999999</v>
      </c>
      <c r="AG204">
        <v>129972.4166</v>
      </c>
      <c r="AH204">
        <v>126551.70759999999</v>
      </c>
      <c r="AI204">
        <v>124142.20269999999</v>
      </c>
      <c r="AJ204">
        <v>121599.2441</v>
      </c>
      <c r="AK204">
        <v>118963.56600000001</v>
      </c>
      <c r="AL204">
        <v>116353.5202</v>
      </c>
      <c r="AM204">
        <v>113763.98450000001</v>
      </c>
      <c r="AN204">
        <v>110610.4804</v>
      </c>
      <c r="AO204">
        <v>107636.0088</v>
      </c>
      <c r="AP204">
        <v>104674.0552</v>
      </c>
      <c r="AQ204">
        <v>101767.2464</v>
      </c>
      <c r="AR204">
        <v>98482.627649999995</v>
      </c>
      <c r="AS204">
        <v>95952.713900000002</v>
      </c>
      <c r="AT204">
        <v>93402.685599999997</v>
      </c>
      <c r="AU204">
        <v>90827.321899999995</v>
      </c>
      <c r="AV204">
        <v>88252.084189999994</v>
      </c>
      <c r="AW204">
        <v>85716.209239999996</v>
      </c>
    </row>
    <row r="205" spans="2:49" x14ac:dyDescent="0.25">
      <c r="B205" s="272" t="s">
        <v>276</v>
      </c>
      <c r="C205">
        <v>2033071.8879050901</v>
      </c>
      <c r="D205">
        <v>2065713.51468114</v>
      </c>
      <c r="E205">
        <v>2062824.294</v>
      </c>
      <c r="F205">
        <v>2014462.0549999999</v>
      </c>
      <c r="G205">
        <v>1775250.442</v>
      </c>
      <c r="H205">
        <v>1427108.425</v>
      </c>
      <c r="I205">
        <v>1508013.243</v>
      </c>
      <c r="J205">
        <v>1472060.3119999999</v>
      </c>
      <c r="K205">
        <v>1329738.763</v>
      </c>
      <c r="L205">
        <v>1293182.547</v>
      </c>
      <c r="M205">
        <v>1282187.118</v>
      </c>
      <c r="N205">
        <v>1289906.175</v>
      </c>
      <c r="O205">
        <v>1265359.182</v>
      </c>
      <c r="P205">
        <v>1307430.8540000001</v>
      </c>
      <c r="Q205">
        <v>1270463.4129999999</v>
      </c>
      <c r="R205">
        <v>1214652.807</v>
      </c>
      <c r="S205">
        <v>1186963.8729999999</v>
      </c>
      <c r="T205">
        <v>1134105.8400000001</v>
      </c>
      <c r="U205">
        <v>1080743.77</v>
      </c>
      <c r="V205">
        <v>1035451.137</v>
      </c>
      <c r="W205">
        <v>1004408.943</v>
      </c>
      <c r="X205">
        <v>956833.93480000005</v>
      </c>
      <c r="Y205">
        <v>929174.52500000002</v>
      </c>
      <c r="Z205">
        <v>908834.69209999999</v>
      </c>
      <c r="AA205">
        <v>887195.77309999999</v>
      </c>
      <c r="AB205">
        <v>864507.45460000006</v>
      </c>
      <c r="AC205">
        <v>840220.65110000002</v>
      </c>
      <c r="AD205">
        <v>828533.0405</v>
      </c>
      <c r="AE205">
        <v>814274.70620000002</v>
      </c>
      <c r="AF205">
        <v>800594.67070000002</v>
      </c>
      <c r="AG205">
        <v>787129.67279999994</v>
      </c>
      <c r="AH205">
        <v>772351.21120000002</v>
      </c>
      <c r="AI205">
        <v>760418.21380000003</v>
      </c>
      <c r="AJ205">
        <v>747735.85640000005</v>
      </c>
      <c r="AK205">
        <v>734711.7267</v>
      </c>
      <c r="AL205">
        <v>721617.43929999997</v>
      </c>
      <c r="AM205">
        <v>708377.08829999994</v>
      </c>
      <c r="AN205">
        <v>689292.79310000001</v>
      </c>
      <c r="AO205">
        <v>670248.50529999996</v>
      </c>
      <c r="AP205">
        <v>650814.62269999995</v>
      </c>
      <c r="AQ205">
        <v>631384.80149999994</v>
      </c>
      <c r="AR205">
        <v>610847.74809999997</v>
      </c>
      <c r="AS205">
        <v>594670.83299999998</v>
      </c>
      <c r="AT205">
        <v>578557.14379999996</v>
      </c>
      <c r="AU205">
        <v>562347.10490000003</v>
      </c>
      <c r="AV205">
        <v>546073.41610000003</v>
      </c>
      <c r="AW205">
        <v>529790.80729999999</v>
      </c>
    </row>
    <row r="206" spans="2:49" x14ac:dyDescent="0.25">
      <c r="B206" s="272" t="s">
        <v>277</v>
      </c>
      <c r="C206">
        <v>611949.61832884501</v>
      </c>
      <c r="D206">
        <v>621774.66739182698</v>
      </c>
      <c r="E206">
        <v>620905.01919999998</v>
      </c>
      <c r="F206">
        <v>610647.47409999999</v>
      </c>
      <c r="G206">
        <v>547076.83519999997</v>
      </c>
      <c r="H206">
        <v>460344.79499999998</v>
      </c>
      <c r="I206">
        <v>488243.24359999999</v>
      </c>
      <c r="J206">
        <v>468762.17849999998</v>
      </c>
      <c r="K206">
        <v>421670.6568</v>
      </c>
      <c r="L206">
        <v>400445.10009999998</v>
      </c>
      <c r="M206">
        <v>399065.82459999999</v>
      </c>
      <c r="N206">
        <v>398229.87109999999</v>
      </c>
      <c r="O206">
        <v>368002.94179999997</v>
      </c>
      <c r="P206">
        <v>354639.95319999999</v>
      </c>
      <c r="Q206">
        <v>314361.84100000001</v>
      </c>
      <c r="R206">
        <v>288354.90779999999</v>
      </c>
      <c r="S206">
        <v>272597.24949999998</v>
      </c>
      <c r="T206">
        <v>265126.29369999998</v>
      </c>
      <c r="U206">
        <v>255476.56520000001</v>
      </c>
      <c r="V206">
        <v>248650.52290000001</v>
      </c>
      <c r="W206">
        <v>246867.81270000001</v>
      </c>
      <c r="X206">
        <v>241672.13860000001</v>
      </c>
      <c r="Y206">
        <v>237432.84839999999</v>
      </c>
      <c r="Z206">
        <v>236490.878</v>
      </c>
      <c r="AA206">
        <v>235038.8222</v>
      </c>
      <c r="AB206">
        <v>233195.6721</v>
      </c>
      <c r="AC206">
        <v>231223.91209999999</v>
      </c>
      <c r="AD206">
        <v>229128.0282</v>
      </c>
      <c r="AE206">
        <v>226664.9515</v>
      </c>
      <c r="AF206">
        <v>224395.9418</v>
      </c>
      <c r="AG206">
        <v>222097.2084</v>
      </c>
      <c r="AH206">
        <v>219543.51060000001</v>
      </c>
      <c r="AI206">
        <v>217177.31529999999</v>
      </c>
      <c r="AJ206">
        <v>214636.6036</v>
      </c>
      <c r="AK206">
        <v>212026.36170000001</v>
      </c>
      <c r="AL206">
        <v>209372.81589999999</v>
      </c>
      <c r="AM206">
        <v>206636.101</v>
      </c>
      <c r="AN206">
        <v>202500.38449999999</v>
      </c>
      <c r="AO206">
        <v>198473.478</v>
      </c>
      <c r="AP206">
        <v>194261.72769999999</v>
      </c>
      <c r="AQ206">
        <v>190031.38759999999</v>
      </c>
      <c r="AR206">
        <v>185510.1439</v>
      </c>
      <c r="AS206">
        <v>181893.76379999999</v>
      </c>
      <c r="AT206">
        <v>178266.79250000001</v>
      </c>
      <c r="AU206">
        <v>174597.01869999999</v>
      </c>
      <c r="AV206">
        <v>170891.5453</v>
      </c>
      <c r="AW206">
        <v>167152.93780000001</v>
      </c>
    </row>
    <row r="207" spans="2:49" x14ac:dyDescent="0.25">
      <c r="B207" s="272" t="s">
        <v>278</v>
      </c>
      <c r="C207">
        <v>8749188.7351059392</v>
      </c>
      <c r="D207">
        <v>8889659.7902533505</v>
      </c>
      <c r="E207">
        <v>8877226.2239999995</v>
      </c>
      <c r="F207">
        <v>8925868.3389999997</v>
      </c>
      <c r="G207">
        <v>8495247.6410000008</v>
      </c>
      <c r="H207">
        <v>7526235.8219999997</v>
      </c>
      <c r="I207">
        <v>7489761.8689999999</v>
      </c>
      <c r="J207">
        <v>7355107.4469999997</v>
      </c>
      <c r="K207">
        <v>6881308.5319999997</v>
      </c>
      <c r="L207">
        <v>6503989.9119999995</v>
      </c>
      <c r="M207">
        <v>6329827.9560000002</v>
      </c>
      <c r="N207">
        <v>6216510.8679999998</v>
      </c>
      <c r="O207">
        <v>6378780.0010000002</v>
      </c>
      <c r="P207">
        <v>6527131.6260000002</v>
      </c>
      <c r="Q207">
        <v>6344975.9500000002</v>
      </c>
      <c r="R207">
        <v>6403952.5159999998</v>
      </c>
      <c r="S207">
        <v>6402849.4450000003</v>
      </c>
      <c r="T207">
        <v>6245524.6830000002</v>
      </c>
      <c r="U207">
        <v>6012810.0470000003</v>
      </c>
      <c r="V207">
        <v>5806998.2290000003</v>
      </c>
      <c r="W207">
        <v>5759708.9979999997</v>
      </c>
      <c r="X207">
        <v>5633600.0480000004</v>
      </c>
      <c r="Y207">
        <v>5523252.0199999996</v>
      </c>
      <c r="Z207">
        <v>5477251.8439999996</v>
      </c>
      <c r="AA207">
        <v>5413388.4160000002</v>
      </c>
      <c r="AB207">
        <v>5340589.9550000001</v>
      </c>
      <c r="AC207">
        <v>5276058.8849999998</v>
      </c>
      <c r="AD207">
        <v>5199707.1119999997</v>
      </c>
      <c r="AE207">
        <v>5118245.28</v>
      </c>
      <c r="AF207">
        <v>5043609.5750000002</v>
      </c>
      <c r="AG207">
        <v>4968466.3020000001</v>
      </c>
      <c r="AH207">
        <v>4895864.8119999999</v>
      </c>
      <c r="AI207">
        <v>4820383.0060000001</v>
      </c>
      <c r="AJ207">
        <v>4744634.8380000005</v>
      </c>
      <c r="AK207">
        <v>4667258.92</v>
      </c>
      <c r="AL207">
        <v>4590697.2970000003</v>
      </c>
      <c r="AM207">
        <v>4514801.24</v>
      </c>
      <c r="AN207">
        <v>4410016.1500000004</v>
      </c>
      <c r="AO207">
        <v>4308660.8729999997</v>
      </c>
      <c r="AP207">
        <v>4204896.8509999998</v>
      </c>
      <c r="AQ207">
        <v>4100723.3870000001</v>
      </c>
      <c r="AR207">
        <v>3996647.182</v>
      </c>
      <c r="AS207">
        <v>3909468.0520000001</v>
      </c>
      <c r="AT207">
        <v>3823533.7820000001</v>
      </c>
      <c r="AU207">
        <v>3737637.8289999999</v>
      </c>
      <c r="AV207">
        <v>3651573.3280000002</v>
      </c>
      <c r="AW207">
        <v>3565482.16</v>
      </c>
    </row>
    <row r="208" spans="2:49" x14ac:dyDescent="0.25">
      <c r="B208" s="272" t="s">
        <v>279</v>
      </c>
      <c r="C208">
        <v>583434.83019375498</v>
      </c>
      <c r="D208">
        <v>592802.06510985899</v>
      </c>
      <c r="E208">
        <v>591972.93960000004</v>
      </c>
      <c r="F208">
        <v>616691.34109999996</v>
      </c>
      <c r="G208">
        <v>601673.93779999996</v>
      </c>
      <c r="H208">
        <v>522900.36119999998</v>
      </c>
      <c r="I208">
        <v>521182.28649999999</v>
      </c>
      <c r="J208">
        <v>529170.72219999996</v>
      </c>
      <c r="K208">
        <v>505797.28980000003</v>
      </c>
      <c r="L208">
        <v>489860.12560000003</v>
      </c>
      <c r="M208">
        <v>455876.54080000002</v>
      </c>
      <c r="N208">
        <v>417039.65029999998</v>
      </c>
      <c r="O208">
        <v>403563.58140000002</v>
      </c>
      <c r="P208">
        <v>404829.70030000003</v>
      </c>
      <c r="Q208">
        <v>392641.17420000001</v>
      </c>
      <c r="R208">
        <v>397745.94449999998</v>
      </c>
      <c r="S208">
        <v>383998.37650000001</v>
      </c>
      <c r="T208">
        <v>380994.3492</v>
      </c>
      <c r="U208">
        <v>368793.53399999999</v>
      </c>
      <c r="V208">
        <v>363296.32299999997</v>
      </c>
      <c r="W208">
        <v>361874.24469999998</v>
      </c>
      <c r="X208">
        <v>358480.11440000002</v>
      </c>
      <c r="Y208">
        <v>346803.87729999999</v>
      </c>
      <c r="Z208">
        <v>339427.39429999999</v>
      </c>
      <c r="AA208">
        <v>333029.1177</v>
      </c>
      <c r="AB208">
        <v>327126.01929999999</v>
      </c>
      <c r="AC208">
        <v>322718.39120000001</v>
      </c>
      <c r="AD208">
        <v>318880.72019999998</v>
      </c>
      <c r="AE208">
        <v>314607.07689999999</v>
      </c>
      <c r="AF208">
        <v>310849.299</v>
      </c>
      <c r="AG208">
        <v>306620.55070000002</v>
      </c>
      <c r="AH208">
        <v>303296.44500000001</v>
      </c>
      <c r="AI208">
        <v>298621.50650000002</v>
      </c>
      <c r="AJ208">
        <v>293563.39870000002</v>
      </c>
      <c r="AK208">
        <v>288760.27360000001</v>
      </c>
      <c r="AL208">
        <v>283906.6349</v>
      </c>
      <c r="AM208">
        <v>278960.46159999998</v>
      </c>
      <c r="AN208">
        <v>273203.02</v>
      </c>
      <c r="AO208">
        <v>267922.26650000003</v>
      </c>
      <c r="AP208">
        <v>262475.44780000002</v>
      </c>
      <c r="AQ208">
        <v>257312.50229999999</v>
      </c>
      <c r="AR208">
        <v>252028.9803</v>
      </c>
      <c r="AS208">
        <v>246604.93410000001</v>
      </c>
      <c r="AT208">
        <v>241184.8432</v>
      </c>
      <c r="AU208">
        <v>235452.81349999999</v>
      </c>
      <c r="AV208">
        <v>229591.9491</v>
      </c>
      <c r="AW208">
        <v>225409.38560000001</v>
      </c>
    </row>
    <row r="209" spans="2:49" x14ac:dyDescent="0.25">
      <c r="B209" s="272" t="s">
        <v>280</v>
      </c>
      <c r="C209">
        <v>40605.282443966003</v>
      </c>
      <c r="D209">
        <v>41257.2133877546</v>
      </c>
      <c r="E209">
        <v>41199.50879</v>
      </c>
      <c r="F209">
        <v>41887.092199999999</v>
      </c>
      <c r="G209">
        <v>39667.098429999998</v>
      </c>
      <c r="H209">
        <v>37145.02792</v>
      </c>
      <c r="I209">
        <v>38775.096850000002</v>
      </c>
      <c r="J209">
        <v>38213.975539999999</v>
      </c>
      <c r="K209">
        <v>36275.727059999997</v>
      </c>
      <c r="L209">
        <v>35666.74422</v>
      </c>
      <c r="M209">
        <v>35757.808709999998</v>
      </c>
      <c r="N209">
        <v>36235.984120000001</v>
      </c>
      <c r="O209">
        <v>38547.462140000003</v>
      </c>
      <c r="P209">
        <v>40777.993909999997</v>
      </c>
      <c r="Q209">
        <v>39607.632239999999</v>
      </c>
      <c r="R209">
        <v>39919.625099999997</v>
      </c>
      <c r="S209">
        <v>40832.116529999999</v>
      </c>
      <c r="T209">
        <v>44980.592530000002</v>
      </c>
      <c r="U209">
        <v>47982.144209999999</v>
      </c>
      <c r="V209">
        <v>51092.788630000003</v>
      </c>
      <c r="W209">
        <v>54631.392690000001</v>
      </c>
      <c r="X209">
        <v>65680.050860000003</v>
      </c>
      <c r="Y209">
        <v>69155.663230000006</v>
      </c>
      <c r="Z209">
        <v>71114.375809999998</v>
      </c>
      <c r="AA209">
        <v>71738.200020000004</v>
      </c>
      <c r="AB209">
        <v>71647.153049999906</v>
      </c>
      <c r="AC209">
        <v>77039.356119999997</v>
      </c>
      <c r="AD209">
        <v>75510.305930000002</v>
      </c>
      <c r="AE209">
        <v>74040.057700000005</v>
      </c>
      <c r="AF209">
        <v>72632.950549999994</v>
      </c>
      <c r="AG209">
        <v>70985.773669999995</v>
      </c>
      <c r="AH209">
        <v>71770.771170000007</v>
      </c>
      <c r="AI209">
        <v>69516.136689999999</v>
      </c>
      <c r="AJ209">
        <v>67434.446809999994</v>
      </c>
      <c r="AK209">
        <v>65346.773950000003</v>
      </c>
      <c r="AL209">
        <v>63294.044889999997</v>
      </c>
      <c r="AM209">
        <v>61297.879840000001</v>
      </c>
      <c r="AN209">
        <v>59386.420169999998</v>
      </c>
      <c r="AO209">
        <v>57646.202980000002</v>
      </c>
      <c r="AP209">
        <v>55934.476900000001</v>
      </c>
      <c r="AQ209">
        <v>54269.160360000002</v>
      </c>
      <c r="AR209">
        <v>54566.385219999996</v>
      </c>
      <c r="AS209">
        <v>52741.695529999997</v>
      </c>
      <c r="AT209">
        <v>51094.117109999999</v>
      </c>
      <c r="AU209">
        <v>49492.05702</v>
      </c>
      <c r="AV209">
        <v>47913.291749999997</v>
      </c>
      <c r="AW209">
        <v>46371.923190000001</v>
      </c>
    </row>
    <row r="210" spans="2:49" x14ac:dyDescent="0.25">
      <c r="B210" s="272" t="s">
        <v>281</v>
      </c>
      <c r="C210">
        <v>55091.732691944802</v>
      </c>
      <c r="D210">
        <v>55976.248280239903</v>
      </c>
      <c r="E210">
        <v>55898.269090000002</v>
      </c>
      <c r="F210">
        <v>58836.246070000001</v>
      </c>
      <c r="G210">
        <v>60060.58296</v>
      </c>
      <c r="H210">
        <v>60369.469120000002</v>
      </c>
      <c r="I210">
        <v>63233.180910000003</v>
      </c>
      <c r="J210">
        <v>65321.598619999997</v>
      </c>
      <c r="K210">
        <v>66710.68217</v>
      </c>
      <c r="L210">
        <v>68437.022150000004</v>
      </c>
      <c r="M210">
        <v>70248.698130000004</v>
      </c>
      <c r="N210">
        <v>71154.307969999994</v>
      </c>
      <c r="O210">
        <v>70613.614430000001</v>
      </c>
      <c r="P210">
        <v>73342.013380000004</v>
      </c>
      <c r="Q210">
        <v>75336.153640000004</v>
      </c>
      <c r="R210">
        <v>82216.187290000002</v>
      </c>
      <c r="S210">
        <v>97313.293860000005</v>
      </c>
      <c r="T210">
        <v>107582.053</v>
      </c>
      <c r="U210">
        <v>114447.9526</v>
      </c>
      <c r="V210">
        <v>118074.68</v>
      </c>
      <c r="W210">
        <v>120898.8805</v>
      </c>
      <c r="X210">
        <v>140024.22</v>
      </c>
      <c r="Y210">
        <v>156254.4448</v>
      </c>
      <c r="Z210">
        <v>172835.51269999999</v>
      </c>
      <c r="AA210">
        <v>188494.2733</v>
      </c>
      <c r="AB210">
        <v>203295.5833</v>
      </c>
      <c r="AC210">
        <v>214910.50229999999</v>
      </c>
      <c r="AD210">
        <v>231664.89910000001</v>
      </c>
      <c r="AE210">
        <v>245992.15489999999</v>
      </c>
      <c r="AF210">
        <v>259630.3217</v>
      </c>
      <c r="AG210">
        <v>272650.2365</v>
      </c>
      <c r="AH210">
        <v>282521.9191</v>
      </c>
      <c r="AI210">
        <v>290938.39480000001</v>
      </c>
      <c r="AJ210">
        <v>298095.8088</v>
      </c>
      <c r="AK210">
        <v>304374.80540000001</v>
      </c>
      <c r="AL210">
        <v>310103.83559999999</v>
      </c>
      <c r="AM210">
        <v>315404.46870000003</v>
      </c>
      <c r="AN210">
        <v>314242.31060000003</v>
      </c>
      <c r="AO210">
        <v>313247.67989999999</v>
      </c>
      <c r="AP210">
        <v>312162.87109999999</v>
      </c>
      <c r="AQ210">
        <v>310845.24489999999</v>
      </c>
      <c r="AR210">
        <v>307487.81809999997</v>
      </c>
      <c r="AS210">
        <v>301141.70289999997</v>
      </c>
      <c r="AT210">
        <v>294205.56319999998</v>
      </c>
      <c r="AU210">
        <v>286944.57140000002</v>
      </c>
      <c r="AV210">
        <v>279486.103</v>
      </c>
      <c r="AW210">
        <v>271905.74369999999</v>
      </c>
    </row>
    <row r="211" spans="2:49" x14ac:dyDescent="0.25">
      <c r="B211" s="272" t="s">
        <v>282</v>
      </c>
      <c r="C211">
        <v>53959.065015136701</v>
      </c>
      <c r="D211">
        <v>54825.395257508797</v>
      </c>
      <c r="E211">
        <v>54838.267209999998</v>
      </c>
      <c r="F211">
        <v>62684.951099999998</v>
      </c>
      <c r="G211">
        <v>69017.196790000002</v>
      </c>
      <c r="H211">
        <v>74078.502670000002</v>
      </c>
      <c r="I211">
        <v>81040.552100000001</v>
      </c>
      <c r="J211">
        <v>86938.891359999994</v>
      </c>
      <c r="K211">
        <v>91717.325459999905</v>
      </c>
      <c r="L211">
        <v>95783.470260000002</v>
      </c>
      <c r="M211">
        <v>98215.01341</v>
      </c>
      <c r="N211">
        <v>98297.076430000001</v>
      </c>
      <c r="O211">
        <v>107958.05989999999</v>
      </c>
      <c r="P211">
        <v>119463.7595</v>
      </c>
      <c r="Q211">
        <v>131645.95449999999</v>
      </c>
      <c r="R211">
        <v>145866.43429999999</v>
      </c>
      <c r="S211">
        <v>162377.1182</v>
      </c>
      <c r="T211">
        <v>239098.67800000001</v>
      </c>
      <c r="U211">
        <v>293815.77600000001</v>
      </c>
      <c r="V211">
        <v>333577.56270000001</v>
      </c>
      <c r="W211">
        <v>369283.78519999998</v>
      </c>
      <c r="X211">
        <v>515371.50329999998</v>
      </c>
      <c r="Y211">
        <v>672346.58739999996</v>
      </c>
      <c r="Z211">
        <v>825762.68790000002</v>
      </c>
      <c r="AA211">
        <v>972596.06669999997</v>
      </c>
      <c r="AB211">
        <v>1113786.1000000001</v>
      </c>
      <c r="AC211">
        <v>1248017.4680000001</v>
      </c>
      <c r="AD211">
        <v>1415275.095</v>
      </c>
      <c r="AE211">
        <v>1573075.5759999999</v>
      </c>
      <c r="AF211">
        <v>1726394.6969999999</v>
      </c>
      <c r="AG211">
        <v>1872566.1939999999</v>
      </c>
      <c r="AH211">
        <v>2010509.85</v>
      </c>
      <c r="AI211">
        <v>2103852.4819999998</v>
      </c>
      <c r="AJ211">
        <v>2191369.1970000002</v>
      </c>
      <c r="AK211">
        <v>2272938.0010000002</v>
      </c>
      <c r="AL211">
        <v>2350405.1430000002</v>
      </c>
      <c r="AM211">
        <v>2423865.2609999999</v>
      </c>
      <c r="AN211">
        <v>2418057.0260000001</v>
      </c>
      <c r="AO211">
        <v>2414193.1519999998</v>
      </c>
      <c r="AP211">
        <v>2408465.4509999999</v>
      </c>
      <c r="AQ211">
        <v>2401009.6740000001</v>
      </c>
      <c r="AR211">
        <v>2388647.5380000002</v>
      </c>
      <c r="AS211">
        <v>2342706.9649999999</v>
      </c>
      <c r="AT211">
        <v>2294078.1009999998</v>
      </c>
      <c r="AU211">
        <v>2243839.4849999999</v>
      </c>
      <c r="AV211">
        <v>2192757.1839999999</v>
      </c>
      <c r="AW211">
        <v>2141581.645</v>
      </c>
    </row>
    <row r="212" spans="2:49" x14ac:dyDescent="0.25">
      <c r="B212" s="272" t="s">
        <v>283</v>
      </c>
      <c r="C212">
        <v>216238.436565001</v>
      </c>
      <c r="D212">
        <v>219710.21460835601</v>
      </c>
      <c r="E212">
        <v>219402.91579999999</v>
      </c>
      <c r="F212">
        <v>245389.26939999999</v>
      </c>
      <c r="G212">
        <v>205121.30799999999</v>
      </c>
      <c r="H212">
        <v>136712.0552</v>
      </c>
      <c r="I212">
        <v>137033.61679999999</v>
      </c>
      <c r="J212">
        <v>105102.14939999999</v>
      </c>
      <c r="K212">
        <v>123115.8199</v>
      </c>
      <c r="L212">
        <v>107152.9431</v>
      </c>
      <c r="M212">
        <v>91266.081789999997</v>
      </c>
      <c r="N212">
        <v>77277.383749999906</v>
      </c>
      <c r="O212">
        <v>59342.385060000001</v>
      </c>
      <c r="P212">
        <v>57223.89213</v>
      </c>
      <c r="Q212">
        <v>52086.580410000002</v>
      </c>
      <c r="R212">
        <v>51051.037680000001</v>
      </c>
      <c r="S212">
        <v>49758.307710000001</v>
      </c>
      <c r="T212">
        <v>46506.308400000002</v>
      </c>
      <c r="U212">
        <v>44212.83511</v>
      </c>
      <c r="V212">
        <v>41912.760009999998</v>
      </c>
      <c r="W212">
        <v>40030.538370000002</v>
      </c>
      <c r="X212">
        <v>37570.14215</v>
      </c>
      <c r="Y212">
        <v>36967.389790000001</v>
      </c>
      <c r="Z212">
        <v>36862.711609999998</v>
      </c>
      <c r="AA212">
        <v>36772.336150000003</v>
      </c>
      <c r="AB212">
        <v>36697.799019999999</v>
      </c>
      <c r="AC212">
        <v>36602.147879999997</v>
      </c>
      <c r="AD212">
        <v>36544.485139999997</v>
      </c>
      <c r="AE212">
        <v>36431.581469999997</v>
      </c>
      <c r="AF212">
        <v>36373.083939999997</v>
      </c>
      <c r="AG212">
        <v>36284.590660000002</v>
      </c>
      <c r="AH212">
        <v>36173.055619999999</v>
      </c>
      <c r="AI212">
        <v>36077.74409</v>
      </c>
      <c r="AJ212">
        <v>35965.354930000001</v>
      </c>
      <c r="AK212">
        <v>35831.604449999999</v>
      </c>
      <c r="AL212">
        <v>35701.763039999998</v>
      </c>
      <c r="AM212">
        <v>35575.924229999997</v>
      </c>
      <c r="AN212">
        <v>34848.881350000003</v>
      </c>
      <c r="AO212">
        <v>34019.501620000003</v>
      </c>
      <c r="AP212">
        <v>33139.351640000001</v>
      </c>
      <c r="AQ212">
        <v>32241.775740000001</v>
      </c>
      <c r="AR212">
        <v>31313.687910000001</v>
      </c>
      <c r="AS212">
        <v>30747.890609999999</v>
      </c>
      <c r="AT212">
        <v>30246.10441</v>
      </c>
      <c r="AU212">
        <v>29758.8763</v>
      </c>
      <c r="AV212">
        <v>29280.750950000001</v>
      </c>
      <c r="AW212">
        <v>28811.023860000001</v>
      </c>
    </row>
    <row r="213" spans="2:49" x14ac:dyDescent="0.25">
      <c r="B213" s="272" t="s">
        <v>284</v>
      </c>
      <c r="C213">
        <v>215538.66868192199</v>
      </c>
      <c r="D213">
        <v>218999.21172556799</v>
      </c>
      <c r="E213">
        <v>218692.9074</v>
      </c>
      <c r="F213">
        <v>222893.23420000001</v>
      </c>
      <c r="G213">
        <v>220578.68179999999</v>
      </c>
      <c r="H213">
        <v>169249.91339999999</v>
      </c>
      <c r="I213">
        <v>136299.24419999999</v>
      </c>
      <c r="J213">
        <v>139370.3187</v>
      </c>
      <c r="K213">
        <v>136399.7775</v>
      </c>
      <c r="L213">
        <v>128974.34940000001</v>
      </c>
      <c r="M213">
        <v>123602.0852</v>
      </c>
      <c r="N213">
        <v>120165.2914</v>
      </c>
      <c r="O213">
        <v>109766.4427</v>
      </c>
      <c r="P213">
        <v>105091.47530000001</v>
      </c>
      <c r="Q213">
        <v>106666.61350000001</v>
      </c>
      <c r="R213">
        <v>99731.014989999996</v>
      </c>
      <c r="S213">
        <v>90408.814020000005</v>
      </c>
      <c r="T213">
        <v>77903.862699999998</v>
      </c>
      <c r="U213">
        <v>67116.433130000005</v>
      </c>
      <c r="V213">
        <v>57655.03413</v>
      </c>
      <c r="W213">
        <v>50729.992599999998</v>
      </c>
      <c r="X213">
        <v>43788.408109999997</v>
      </c>
      <c r="Y213">
        <v>42251.91012</v>
      </c>
      <c r="Z213">
        <v>41899.752280000001</v>
      </c>
      <c r="AA213">
        <v>41700.575470000003</v>
      </c>
      <c r="AB213">
        <v>41509.872069999998</v>
      </c>
      <c r="AC213">
        <v>41279.599199999997</v>
      </c>
      <c r="AD213">
        <v>41083.781470000002</v>
      </c>
      <c r="AE213">
        <v>40762.041620000004</v>
      </c>
      <c r="AF213">
        <v>40489.165500000003</v>
      </c>
      <c r="AG213">
        <v>40207.005380000002</v>
      </c>
      <c r="AH213">
        <v>39911.400909999997</v>
      </c>
      <c r="AI213">
        <v>39657.240640000004</v>
      </c>
      <c r="AJ213">
        <v>39375.755100000002</v>
      </c>
      <c r="AK213">
        <v>39063.018730000003</v>
      </c>
      <c r="AL213">
        <v>38760.988230000003</v>
      </c>
      <c r="AM213">
        <v>38480.101750000002</v>
      </c>
      <c r="AN213">
        <v>36950.360399999998</v>
      </c>
      <c r="AO213">
        <v>35271.135920000001</v>
      </c>
      <c r="AP213">
        <v>33607.727630000001</v>
      </c>
      <c r="AQ213">
        <v>32010.96747</v>
      </c>
      <c r="AR213">
        <v>30463.976309999998</v>
      </c>
      <c r="AS213">
        <v>29649.148079999999</v>
      </c>
      <c r="AT213">
        <v>28961.849819999999</v>
      </c>
      <c r="AU213">
        <v>28301.233759999999</v>
      </c>
      <c r="AV213">
        <v>27653.37198</v>
      </c>
      <c r="AW213">
        <v>27032.59849</v>
      </c>
    </row>
    <row r="214" spans="2:49" x14ac:dyDescent="0.25">
      <c r="B214" s="272" t="s">
        <v>285</v>
      </c>
      <c r="C214">
        <v>7946676.0051002903</v>
      </c>
      <c r="D214">
        <v>8074262.4587873695</v>
      </c>
      <c r="E214">
        <v>8062969.352</v>
      </c>
      <c r="F214">
        <v>8459725.3530000001</v>
      </c>
      <c r="G214">
        <v>8502960.3570000008</v>
      </c>
      <c r="H214">
        <v>8257541.0760000004</v>
      </c>
      <c r="I214">
        <v>8799927.0800000001</v>
      </c>
      <c r="J214">
        <v>9015944.7050000001</v>
      </c>
      <c r="K214">
        <v>8908211.5319999997</v>
      </c>
      <c r="L214">
        <v>8979077.0659999996</v>
      </c>
      <c r="M214">
        <v>9360689.1099999994</v>
      </c>
      <c r="N214">
        <v>10030893.17</v>
      </c>
      <c r="O214">
        <v>10366084.83</v>
      </c>
      <c r="P214">
        <v>10223800.119999999</v>
      </c>
      <c r="Q214">
        <v>9477328.8910000008</v>
      </c>
      <c r="R214">
        <v>8947996.7640000004</v>
      </c>
      <c r="S214">
        <v>8622554.5659999996</v>
      </c>
      <c r="T214">
        <v>8190917.7010000004</v>
      </c>
      <c r="U214">
        <v>7795747.0190000003</v>
      </c>
      <c r="V214">
        <v>7401736.0360000003</v>
      </c>
      <c r="W214">
        <v>7560190.1239999998</v>
      </c>
      <c r="X214">
        <v>7658319.7520000003</v>
      </c>
      <c r="Y214">
        <v>7719191.3650000002</v>
      </c>
      <c r="Z214">
        <v>7670109.4390000002</v>
      </c>
      <c r="AA214">
        <v>7545506.5669999998</v>
      </c>
      <c r="AB214">
        <v>7390785.8890000004</v>
      </c>
      <c r="AC214">
        <v>7219393.4919999996</v>
      </c>
      <c r="AD214">
        <v>7037432.4440000001</v>
      </c>
      <c r="AE214">
        <v>6844257.0590000004</v>
      </c>
      <c r="AF214">
        <v>6655419.1069999998</v>
      </c>
      <c r="AG214">
        <v>6456110.9040000001</v>
      </c>
      <c r="AH214">
        <v>6250991.4390000002</v>
      </c>
      <c r="AI214">
        <v>6040373.3140000002</v>
      </c>
      <c r="AJ214">
        <v>5834142.523</v>
      </c>
      <c r="AK214">
        <v>5630442.9419999998</v>
      </c>
      <c r="AL214">
        <v>5429821.2419999996</v>
      </c>
      <c r="AM214">
        <v>5232837.4369999999</v>
      </c>
      <c r="AN214">
        <v>5002793.5659999996</v>
      </c>
      <c r="AO214">
        <v>4776124.3710000003</v>
      </c>
      <c r="AP214">
        <v>4556472.6660000002</v>
      </c>
      <c r="AQ214">
        <v>4345369.9139999999</v>
      </c>
      <c r="AR214">
        <v>4140689.6660000002</v>
      </c>
      <c r="AS214">
        <v>3943978.92</v>
      </c>
      <c r="AT214">
        <v>3754612.74</v>
      </c>
      <c r="AU214">
        <v>3571328.3730000001</v>
      </c>
      <c r="AV214">
        <v>3393849.2859999998</v>
      </c>
      <c r="AW214">
        <v>3220425.611</v>
      </c>
    </row>
    <row r="215" spans="2:49" x14ac:dyDescent="0.25">
      <c r="B215" s="272" t="s">
        <v>286</v>
      </c>
      <c r="C215">
        <v>4498800.2848123703</v>
      </c>
      <c r="D215">
        <v>4571029.97856321</v>
      </c>
      <c r="E215">
        <v>4564636.6849999996</v>
      </c>
      <c r="F215">
        <v>4613302.4479999999</v>
      </c>
      <c r="G215">
        <v>4522040.1179999998</v>
      </c>
      <c r="H215">
        <v>4647032.284</v>
      </c>
      <c r="I215">
        <v>4754285.0839999998</v>
      </c>
      <c r="J215">
        <v>4718181.9649999999</v>
      </c>
      <c r="K215">
        <v>4611838.6100000003</v>
      </c>
      <c r="L215">
        <v>4624791.4450000003</v>
      </c>
      <c r="M215">
        <v>4729800.4309999999</v>
      </c>
      <c r="N215">
        <v>4977869.6349999998</v>
      </c>
      <c r="O215">
        <v>5051680.6189999999</v>
      </c>
      <c r="P215">
        <v>4872490.4730000002</v>
      </c>
      <c r="Q215">
        <v>4439653.6270000003</v>
      </c>
      <c r="R215">
        <v>4141770.719</v>
      </c>
      <c r="S215">
        <v>3936341.733</v>
      </c>
      <c r="T215">
        <v>3751365.2310000001</v>
      </c>
      <c r="U215">
        <v>3585463.7379999999</v>
      </c>
      <c r="V215">
        <v>3420544.1269999999</v>
      </c>
      <c r="W215">
        <v>3427376.3670000001</v>
      </c>
      <c r="X215">
        <v>3410442.2030000002</v>
      </c>
      <c r="Y215">
        <v>3364451.8829999999</v>
      </c>
      <c r="Z215">
        <v>3294353.0929999999</v>
      </c>
      <c r="AA215">
        <v>3205050.2769999998</v>
      </c>
      <c r="AB215">
        <v>3109804.804</v>
      </c>
      <c r="AC215">
        <v>3013487.0520000001</v>
      </c>
      <c r="AD215">
        <v>2917188.872</v>
      </c>
      <c r="AE215">
        <v>2820167.1</v>
      </c>
      <c r="AF215">
        <v>2726910.548</v>
      </c>
      <c r="AG215">
        <v>2633302.4190000002</v>
      </c>
      <c r="AH215">
        <v>2539470.5780000002</v>
      </c>
      <c r="AI215">
        <v>2446068.4270000001</v>
      </c>
      <c r="AJ215">
        <v>2355955.6009999998</v>
      </c>
      <c r="AK215">
        <v>2268191.5950000002</v>
      </c>
      <c r="AL215">
        <v>2182679.3059999999</v>
      </c>
      <c r="AM215">
        <v>2099401.6370000001</v>
      </c>
      <c r="AN215">
        <v>2014907.4110000001</v>
      </c>
      <c r="AO215">
        <v>1932933.17</v>
      </c>
      <c r="AP215">
        <v>1853193.0079999999</v>
      </c>
      <c r="AQ215">
        <v>1776097.7679999999</v>
      </c>
      <c r="AR215">
        <v>1700643.7290000001</v>
      </c>
      <c r="AS215">
        <v>1627133.4669999999</v>
      </c>
      <c r="AT215">
        <v>1555703.6510000001</v>
      </c>
      <c r="AU215">
        <v>1486040.973</v>
      </c>
      <c r="AV215">
        <v>1418035.219</v>
      </c>
      <c r="AW215">
        <v>1350868.6680000001</v>
      </c>
    </row>
    <row r="216" spans="2:49" x14ac:dyDescent="0.25">
      <c r="B216" s="272" t="s">
        <v>287</v>
      </c>
      <c r="C216">
        <v>0.96864644472622397</v>
      </c>
      <c r="D216">
        <v>0.984198376713873</v>
      </c>
      <c r="E216">
        <v>1</v>
      </c>
      <c r="F216">
        <v>0.97945179459999998</v>
      </c>
      <c r="G216">
        <v>0.92159689769999997</v>
      </c>
      <c r="H216">
        <v>0.87118882099999995</v>
      </c>
      <c r="I216">
        <v>0.83955369130000002</v>
      </c>
      <c r="J216">
        <v>0.79663548200000001</v>
      </c>
      <c r="K216">
        <v>0.75115929960000005</v>
      </c>
      <c r="L216">
        <v>0.7158951254</v>
      </c>
      <c r="M216">
        <v>0.69060787980000005</v>
      </c>
      <c r="N216">
        <v>0.67405031140000005</v>
      </c>
      <c r="O216">
        <v>0.66356130020000004</v>
      </c>
      <c r="P216">
        <v>0.64750983409999996</v>
      </c>
      <c r="Q216">
        <v>0.62540615499999996</v>
      </c>
      <c r="R216">
        <v>0.611313522</v>
      </c>
      <c r="S216">
        <v>0.58704513950000003</v>
      </c>
      <c r="T216">
        <v>0.55841214689999996</v>
      </c>
      <c r="U216">
        <v>0.53110160569999998</v>
      </c>
      <c r="V216">
        <v>0.50423830430000005</v>
      </c>
      <c r="W216">
        <v>0.4894795951</v>
      </c>
      <c r="X216">
        <v>0.47374594669999998</v>
      </c>
      <c r="Y216">
        <v>0.46034388209999999</v>
      </c>
      <c r="Z216">
        <v>0.44685830840000001</v>
      </c>
      <c r="AA216">
        <v>0.43379226240000002</v>
      </c>
      <c r="AB216">
        <v>0.4208938841</v>
      </c>
      <c r="AC216">
        <v>0.40755063320000001</v>
      </c>
      <c r="AD216">
        <v>0.39493523219999999</v>
      </c>
      <c r="AE216">
        <v>0.38286618529999999</v>
      </c>
      <c r="AF216">
        <v>0.3709729893</v>
      </c>
      <c r="AG216">
        <v>0.35920733170000002</v>
      </c>
      <c r="AH216">
        <v>0.34756641840000002</v>
      </c>
      <c r="AI216">
        <v>0.33625611389999999</v>
      </c>
      <c r="AJ216">
        <v>0.32510219299999998</v>
      </c>
      <c r="AK216">
        <v>0.31412450920000001</v>
      </c>
      <c r="AL216">
        <v>0.3033222988</v>
      </c>
      <c r="AM216">
        <v>0.29270105210000003</v>
      </c>
      <c r="AN216">
        <v>0.28251769160000001</v>
      </c>
      <c r="AO216">
        <v>0.27253292039999999</v>
      </c>
      <c r="AP216">
        <v>0.26266618860000002</v>
      </c>
      <c r="AQ216">
        <v>0.25298362660000001</v>
      </c>
      <c r="AR216">
        <v>0.24329219490000001</v>
      </c>
      <c r="AS216">
        <v>0.2337969181</v>
      </c>
      <c r="AT216">
        <v>0.2244531709</v>
      </c>
      <c r="AU216" s="39">
        <v>0.21524232900000001</v>
      </c>
      <c r="AV216">
        <v>0.20619138910000001</v>
      </c>
      <c r="AW216">
        <v>0.1973988827</v>
      </c>
    </row>
    <row r="217" spans="2:49" x14ac:dyDescent="0.25">
      <c r="B217" s="273" t="s">
        <v>288</v>
      </c>
      <c r="C217">
        <v>8232235.5397947598</v>
      </c>
      <c r="D217">
        <v>8364406.7441781899</v>
      </c>
      <c r="E217">
        <v>8498700</v>
      </c>
      <c r="F217">
        <v>8398047.6270000003</v>
      </c>
      <c r="G217">
        <v>8272617.9270000001</v>
      </c>
      <c r="H217">
        <v>7622943.5279999999</v>
      </c>
      <c r="I217">
        <v>7486950.5240000002</v>
      </c>
      <c r="J217">
        <v>7430693.2319999998</v>
      </c>
      <c r="K217">
        <v>7300285.1119999997</v>
      </c>
      <c r="L217">
        <v>7059854.8039999995</v>
      </c>
      <c r="M217">
        <v>6796830.4160000002</v>
      </c>
      <c r="N217">
        <v>6453335.7390000001</v>
      </c>
      <c r="O217">
        <v>6769600.415</v>
      </c>
      <c r="P217">
        <v>7348746.9910000004</v>
      </c>
      <c r="Q217">
        <v>8087489.9210000001</v>
      </c>
      <c r="R217">
        <v>8691083.4969999995</v>
      </c>
      <c r="S217">
        <v>9235475.6809999999</v>
      </c>
      <c r="T217">
        <v>8519134.0390000008</v>
      </c>
      <c r="U217">
        <v>7744292.5729999999</v>
      </c>
      <c r="V217">
        <v>7004294.5070000002</v>
      </c>
      <c r="W217">
        <v>7027898.1639999999</v>
      </c>
      <c r="X217">
        <v>7131416.7199999997</v>
      </c>
      <c r="Y217">
        <v>7123212.1600000001</v>
      </c>
      <c r="Z217">
        <v>7089590.4380000001</v>
      </c>
      <c r="AA217">
        <v>7051328.5109999999</v>
      </c>
      <c r="AB217">
        <v>6999506.2740000002</v>
      </c>
      <c r="AC217">
        <v>6947486.4550000001</v>
      </c>
      <c r="AD217">
        <v>6847036.9890000001</v>
      </c>
      <c r="AE217">
        <v>6738450.591</v>
      </c>
      <c r="AF217">
        <v>6627418.5180000002</v>
      </c>
      <c r="AG217">
        <v>6513391.9910000004</v>
      </c>
      <c r="AH217">
        <v>6401523.483</v>
      </c>
      <c r="AI217">
        <v>6287871.4630000005</v>
      </c>
      <c r="AJ217">
        <v>6171358.0039999997</v>
      </c>
      <c r="AK217">
        <v>6052091.5190000003</v>
      </c>
      <c r="AL217">
        <v>5931194.6330000004</v>
      </c>
      <c r="AM217">
        <v>5808634.3830000004</v>
      </c>
      <c r="AN217">
        <v>5680464.0980000002</v>
      </c>
      <c r="AO217">
        <v>5549373.3739999998</v>
      </c>
      <c r="AP217">
        <v>5415686.398</v>
      </c>
      <c r="AQ217">
        <v>5279203.4139999999</v>
      </c>
      <c r="AR217">
        <v>5141366.9939999999</v>
      </c>
      <c r="AS217">
        <v>5006851.7560000001</v>
      </c>
      <c r="AT217">
        <v>4871216.8830000004</v>
      </c>
      <c r="AU217">
        <v>4733666.5539999995</v>
      </c>
      <c r="AV217">
        <v>4594432.9759999998</v>
      </c>
      <c r="AW217">
        <v>4457244.7709999997</v>
      </c>
    </row>
    <row r="218" spans="2:49" x14ac:dyDescent="0.25">
      <c r="B218" s="272" t="s">
        <v>289</v>
      </c>
      <c r="C218">
        <v>463787.91773491597</v>
      </c>
      <c r="D218">
        <v>471234.182770602</v>
      </c>
      <c r="E218">
        <v>478800</v>
      </c>
      <c r="F218">
        <v>476443.49949999998</v>
      </c>
      <c r="G218">
        <v>457539.3137</v>
      </c>
      <c r="H218">
        <v>432597.87339999998</v>
      </c>
      <c r="I218">
        <v>435774.48320000002</v>
      </c>
      <c r="J218">
        <v>450251.94839999999</v>
      </c>
      <c r="K218">
        <v>449089.03950000001</v>
      </c>
      <c r="L218">
        <v>455429.16110000003</v>
      </c>
      <c r="M218">
        <v>472393.57709999999</v>
      </c>
      <c r="N218">
        <v>496545.38949999999</v>
      </c>
      <c r="O218">
        <v>471815.93079999997</v>
      </c>
      <c r="P218">
        <v>438759.2084</v>
      </c>
      <c r="Q218">
        <v>388943.28159999999</v>
      </c>
      <c r="R218">
        <v>347502.81180000002</v>
      </c>
      <c r="S218">
        <v>309918.85450000002</v>
      </c>
      <c r="T218">
        <v>287798.82809999998</v>
      </c>
      <c r="U218">
        <v>268110.3518</v>
      </c>
      <c r="V218">
        <v>249664.50030000001</v>
      </c>
      <c r="W218">
        <v>248877.68960000001</v>
      </c>
      <c r="X218">
        <v>246643.30970000001</v>
      </c>
      <c r="Y218">
        <v>244338.019</v>
      </c>
      <c r="Z218">
        <v>242552.45970000001</v>
      </c>
      <c r="AA218">
        <v>239785.48689999999</v>
      </c>
      <c r="AB218">
        <v>236607.9425</v>
      </c>
      <c r="AC218">
        <v>233289.67420000001</v>
      </c>
      <c r="AD218">
        <v>230244.53580000001</v>
      </c>
      <c r="AE218">
        <v>226815.6563</v>
      </c>
      <c r="AF218">
        <v>223454.51689999999</v>
      </c>
      <c r="AG218">
        <v>219845.5534</v>
      </c>
      <c r="AH218">
        <v>216033.17860000001</v>
      </c>
      <c r="AI218">
        <v>211815.67509999999</v>
      </c>
      <c r="AJ218">
        <v>207584.19880000001</v>
      </c>
      <c r="AK218">
        <v>203281.30170000001</v>
      </c>
      <c r="AL218">
        <v>198962.67430000001</v>
      </c>
      <c r="AM218">
        <v>194637.3193</v>
      </c>
      <c r="AN218">
        <v>189431.93220000001</v>
      </c>
      <c r="AO218">
        <v>184300.16279999999</v>
      </c>
      <c r="AP218">
        <v>179140.63819999999</v>
      </c>
      <c r="AQ218">
        <v>174021.06400000001</v>
      </c>
      <c r="AR218">
        <v>168838.55189999999</v>
      </c>
      <c r="AS218">
        <v>163808.10690000001</v>
      </c>
      <c r="AT218">
        <v>158810.6531</v>
      </c>
      <c r="AU218">
        <v>153812.557</v>
      </c>
      <c r="AV218">
        <v>148821.70670000001</v>
      </c>
      <c r="AW218">
        <v>143836.834</v>
      </c>
    </row>
    <row r="219" spans="2:49" x14ac:dyDescent="0.25">
      <c r="B219" t="s">
        <v>290</v>
      </c>
      <c r="C219">
        <v>247860837.32111701</v>
      </c>
      <c r="D219">
        <v>251840323.237167</v>
      </c>
      <c r="E219">
        <v>255208528.69999999</v>
      </c>
      <c r="F219">
        <v>256526115.90000001</v>
      </c>
      <c r="G219">
        <v>240245751.59999999</v>
      </c>
      <c r="H219">
        <v>222775473</v>
      </c>
      <c r="I219">
        <v>220046280.19999999</v>
      </c>
      <c r="J219">
        <v>212652802.19999999</v>
      </c>
      <c r="K219">
        <v>202606678.30000001</v>
      </c>
      <c r="L219">
        <v>196652558.90000001</v>
      </c>
      <c r="M219">
        <v>195486028.19999999</v>
      </c>
      <c r="N219">
        <v>196374994.30000001</v>
      </c>
      <c r="O219">
        <v>187747061.69999999</v>
      </c>
      <c r="P219">
        <v>179827353.09999999</v>
      </c>
      <c r="Q219">
        <v>168782599.09999999</v>
      </c>
      <c r="R219">
        <v>161072041.19999999</v>
      </c>
      <c r="S219">
        <v>153676380.80000001</v>
      </c>
      <c r="T219">
        <v>152514153.09999999</v>
      </c>
      <c r="U219">
        <v>151434130.40000001</v>
      </c>
      <c r="V219">
        <v>151172430.5</v>
      </c>
      <c r="W219">
        <v>150670726</v>
      </c>
      <c r="X219">
        <v>149408258</v>
      </c>
      <c r="Y219">
        <v>148783106.09999999</v>
      </c>
      <c r="Z219">
        <v>148531422.5</v>
      </c>
      <c r="AA219">
        <v>148050670.69999999</v>
      </c>
      <c r="AB219">
        <v>147440294.90000001</v>
      </c>
      <c r="AC219">
        <v>146950491.09999999</v>
      </c>
      <c r="AD219">
        <v>146391403.30000001</v>
      </c>
      <c r="AE219">
        <v>145647208.90000001</v>
      </c>
      <c r="AF219">
        <v>144995659.40000001</v>
      </c>
      <c r="AG219">
        <v>144336023.69999999</v>
      </c>
      <c r="AH219">
        <v>143726128.5</v>
      </c>
      <c r="AI219">
        <v>143424899.69999999</v>
      </c>
      <c r="AJ219">
        <v>143101643</v>
      </c>
      <c r="AK219">
        <v>142729264.19999999</v>
      </c>
      <c r="AL219">
        <v>142377194.90000001</v>
      </c>
      <c r="AM219">
        <v>142044047.80000001</v>
      </c>
      <c r="AN219">
        <v>141360755.19999999</v>
      </c>
      <c r="AO219">
        <v>140679591.80000001</v>
      </c>
      <c r="AP219">
        <v>139935157.69999999</v>
      </c>
      <c r="AQ219">
        <v>139179190.5</v>
      </c>
      <c r="AR219">
        <v>138396959.40000001</v>
      </c>
      <c r="AS219">
        <v>138187413.30000001</v>
      </c>
      <c r="AT219">
        <v>138002775</v>
      </c>
      <c r="AU219">
        <v>137814901.5</v>
      </c>
      <c r="AV219">
        <v>137643522.40000001</v>
      </c>
      <c r="AW219">
        <v>137549743.5</v>
      </c>
    </row>
    <row r="220" spans="2:49" x14ac:dyDescent="0.25">
      <c r="B220" t="s">
        <v>291</v>
      </c>
      <c r="C220">
        <v>41023493.601484403</v>
      </c>
      <c r="D220">
        <v>41682139.060681202</v>
      </c>
      <c r="E220">
        <v>42351359.289999999</v>
      </c>
      <c r="F220">
        <v>41410830.25</v>
      </c>
      <c r="G220">
        <v>36254457.450000003</v>
      </c>
      <c r="H220">
        <v>31556457.73</v>
      </c>
      <c r="I220">
        <v>30346571.43</v>
      </c>
      <c r="J220">
        <v>28748377.399999999</v>
      </c>
      <c r="K220">
        <v>27248396.449999999</v>
      </c>
      <c r="L220">
        <v>27243727.760000002</v>
      </c>
      <c r="M220">
        <v>26668247.640000001</v>
      </c>
      <c r="N220">
        <v>25899568.059999999</v>
      </c>
      <c r="O220">
        <v>20730791.66</v>
      </c>
      <c r="P220">
        <v>17279787.949999999</v>
      </c>
      <c r="Q220">
        <v>14661337.869999999</v>
      </c>
      <c r="R220">
        <v>12366816.33</v>
      </c>
      <c r="S220">
        <v>10086010.529999999</v>
      </c>
      <c r="T220">
        <v>9703381.7530000005</v>
      </c>
      <c r="U220">
        <v>9488344.3920000009</v>
      </c>
      <c r="V220">
        <v>9354988.6290000007</v>
      </c>
      <c r="W220">
        <v>9236533.1630000006</v>
      </c>
      <c r="X220">
        <v>9087237.1109999996</v>
      </c>
      <c r="Y220">
        <v>9115653.2620000001</v>
      </c>
      <c r="Z220">
        <v>9188852.4710000008</v>
      </c>
      <c r="AA220">
        <v>9264872.0840000007</v>
      </c>
      <c r="AB220">
        <v>9331785.6410000008</v>
      </c>
      <c r="AC220">
        <v>9392489.5240000002</v>
      </c>
      <c r="AD220">
        <v>9520760.4340000004</v>
      </c>
      <c r="AE220">
        <v>9632497.4509999994</v>
      </c>
      <c r="AF220">
        <v>9746092.4210000001</v>
      </c>
      <c r="AG220">
        <v>9866283.716</v>
      </c>
      <c r="AH220">
        <v>9982059.4230000004</v>
      </c>
      <c r="AI220">
        <v>10118405.02</v>
      </c>
      <c r="AJ220">
        <v>10247571.42</v>
      </c>
      <c r="AK220">
        <v>10374249.27</v>
      </c>
      <c r="AL220">
        <v>10501494.5</v>
      </c>
      <c r="AM220">
        <v>10628335.67</v>
      </c>
      <c r="AN220">
        <v>10654115.789999999</v>
      </c>
      <c r="AO220">
        <v>10664625.800000001</v>
      </c>
      <c r="AP220">
        <v>10661785.23</v>
      </c>
      <c r="AQ220">
        <v>10651007.08</v>
      </c>
      <c r="AR220">
        <v>10622855.25</v>
      </c>
      <c r="AS220">
        <v>10664571.26</v>
      </c>
      <c r="AT220">
        <v>10709626.34</v>
      </c>
      <c r="AU220">
        <v>10752843.52</v>
      </c>
      <c r="AV220">
        <v>10794218.060000001</v>
      </c>
      <c r="AW220">
        <v>10838042.15</v>
      </c>
    </row>
    <row r="221" spans="2:49" x14ac:dyDescent="0.25">
      <c r="B221" t="s">
        <v>292</v>
      </c>
      <c r="C221">
        <v>156021257.172526</v>
      </c>
      <c r="D221">
        <v>158526228.92293701</v>
      </c>
      <c r="E221">
        <v>161143122.5</v>
      </c>
      <c r="F221">
        <v>163054561.59999999</v>
      </c>
      <c r="G221">
        <v>153976169.5</v>
      </c>
      <c r="H221">
        <v>145022558</v>
      </c>
      <c r="I221">
        <v>142741284.59999999</v>
      </c>
      <c r="J221">
        <v>137171734.30000001</v>
      </c>
      <c r="K221">
        <v>130787102</v>
      </c>
      <c r="L221">
        <v>126082251.7</v>
      </c>
      <c r="M221">
        <v>125612878.59999999</v>
      </c>
      <c r="N221">
        <v>126853214.59999999</v>
      </c>
      <c r="O221">
        <v>122387466.2</v>
      </c>
      <c r="P221">
        <v>117309754.40000001</v>
      </c>
      <c r="Q221">
        <v>110017983.59999999</v>
      </c>
      <c r="R221">
        <v>105083717.3</v>
      </c>
      <c r="S221">
        <v>100203687.40000001</v>
      </c>
      <c r="T221">
        <v>101374088.5</v>
      </c>
      <c r="U221">
        <v>102555823.09999999</v>
      </c>
      <c r="V221">
        <v>104336984.5</v>
      </c>
      <c r="W221">
        <v>103939002.3</v>
      </c>
      <c r="X221">
        <v>102917054.09999999</v>
      </c>
      <c r="Y221">
        <v>102471064</v>
      </c>
      <c r="Z221">
        <v>102378294.3</v>
      </c>
      <c r="AA221">
        <v>102211054.09999999</v>
      </c>
      <c r="AB221">
        <v>102002076</v>
      </c>
      <c r="AC221">
        <v>101931247.7</v>
      </c>
      <c r="AD221">
        <v>101684941.40000001</v>
      </c>
      <c r="AE221">
        <v>101325722.5</v>
      </c>
      <c r="AF221">
        <v>101038843.2</v>
      </c>
      <c r="AG221">
        <v>100762364.2</v>
      </c>
      <c r="AH221">
        <v>100552456.3</v>
      </c>
      <c r="AI221">
        <v>100680956</v>
      </c>
      <c r="AJ221">
        <v>100798019.40000001</v>
      </c>
      <c r="AK221">
        <v>100879432.8</v>
      </c>
      <c r="AL221">
        <v>100980498.2</v>
      </c>
      <c r="AM221">
        <v>101100116.5</v>
      </c>
      <c r="AN221">
        <v>101161162.59999999</v>
      </c>
      <c r="AO221">
        <v>101225414.5</v>
      </c>
      <c r="AP221">
        <v>101241128.3</v>
      </c>
      <c r="AQ221">
        <v>101246842.3</v>
      </c>
      <c r="AR221">
        <v>101249618.09999999</v>
      </c>
      <c r="AS221">
        <v>101737786.8</v>
      </c>
      <c r="AT221">
        <v>102240609</v>
      </c>
      <c r="AU221">
        <v>102740676.7</v>
      </c>
      <c r="AV221">
        <v>103255952.90000001</v>
      </c>
      <c r="AW221">
        <v>103837013.3</v>
      </c>
    </row>
    <row r="222" spans="2:49" x14ac:dyDescent="0.25">
      <c r="B222" t="s">
        <v>293</v>
      </c>
      <c r="C222">
        <v>50816086.547106199</v>
      </c>
      <c r="D222">
        <v>51631955.253548898</v>
      </c>
      <c r="E222">
        <v>51714046.939999998</v>
      </c>
      <c r="F222">
        <v>52060724.020000003</v>
      </c>
      <c r="G222">
        <v>50015124.659999996</v>
      </c>
      <c r="H222">
        <v>46196457.329999998</v>
      </c>
      <c r="I222">
        <v>46958424.130000003</v>
      </c>
      <c r="J222">
        <v>46732690.469999999</v>
      </c>
      <c r="K222">
        <v>44571179.890000001</v>
      </c>
      <c r="L222">
        <v>43326579.409999996</v>
      </c>
      <c r="M222">
        <v>43204901.960000001</v>
      </c>
      <c r="N222">
        <v>43622211.710000001</v>
      </c>
      <c r="O222">
        <v>44628803.909999996</v>
      </c>
      <c r="P222">
        <v>45237810.729999997</v>
      </c>
      <c r="Q222">
        <v>44103277.609999999</v>
      </c>
      <c r="R222">
        <v>43621507.630000003</v>
      </c>
      <c r="S222">
        <v>43386682.890000001</v>
      </c>
      <c r="T222">
        <v>41436682.829999998</v>
      </c>
      <c r="U222">
        <v>39389962.899999999</v>
      </c>
      <c r="V222">
        <v>37480457.439999998</v>
      </c>
      <c r="W222">
        <v>37495190.530000001</v>
      </c>
      <c r="X222">
        <v>37403966.780000001</v>
      </c>
      <c r="Y222">
        <v>37196388.850000001</v>
      </c>
      <c r="Z222">
        <v>36964275.689999998</v>
      </c>
      <c r="AA222">
        <v>36574744.549999997</v>
      </c>
      <c r="AB222">
        <v>36106433.340000004</v>
      </c>
      <c r="AC222">
        <v>35626753.850000001</v>
      </c>
      <c r="AD222">
        <v>35185701.479999997</v>
      </c>
      <c r="AE222">
        <v>34688988.869999997</v>
      </c>
      <c r="AF222">
        <v>34210723.810000002</v>
      </c>
      <c r="AG222">
        <v>33707375.829999998</v>
      </c>
      <c r="AH222">
        <v>33191612.82</v>
      </c>
      <c r="AI222">
        <v>32625538.640000001</v>
      </c>
      <c r="AJ222">
        <v>32056052.109999999</v>
      </c>
      <c r="AK222">
        <v>31475582.120000001</v>
      </c>
      <c r="AL222">
        <v>30895202.16</v>
      </c>
      <c r="AM222">
        <v>30315595.609999999</v>
      </c>
      <c r="AN222">
        <v>29545476.850000001</v>
      </c>
      <c r="AO222">
        <v>28789551.530000001</v>
      </c>
      <c r="AP222">
        <v>28032244.140000001</v>
      </c>
      <c r="AQ222">
        <v>27281341.07</v>
      </c>
      <c r="AR222">
        <v>26524486.050000001</v>
      </c>
      <c r="AS222">
        <v>25785055.34</v>
      </c>
      <c r="AT222">
        <v>25052539.68</v>
      </c>
      <c r="AU222">
        <v>24321381.309999999</v>
      </c>
      <c r="AV222">
        <v>23593351.469999999</v>
      </c>
      <c r="AW222">
        <v>22874687.969999999</v>
      </c>
    </row>
    <row r="223" spans="2:49" x14ac:dyDescent="0.25">
      <c r="B223" t="s">
        <v>294</v>
      </c>
      <c r="C223">
        <v>392773953.478827</v>
      </c>
      <c r="D223">
        <v>399080066.34826499</v>
      </c>
      <c r="E223">
        <v>404812253.5</v>
      </c>
      <c r="F223">
        <v>406375164.80000001</v>
      </c>
      <c r="G223">
        <v>384803551.10000002</v>
      </c>
      <c r="H223">
        <v>366967381.39999998</v>
      </c>
      <c r="I223">
        <v>361854762.89999998</v>
      </c>
      <c r="J223">
        <v>350759502</v>
      </c>
      <c r="K223">
        <v>336506179.10000002</v>
      </c>
      <c r="L223">
        <v>327438089.10000002</v>
      </c>
      <c r="M223">
        <v>323973790</v>
      </c>
      <c r="N223">
        <v>323368662.30000001</v>
      </c>
      <c r="O223">
        <v>314766846.69999999</v>
      </c>
      <c r="P223">
        <v>305222695.5</v>
      </c>
      <c r="Q223">
        <v>291322534</v>
      </c>
      <c r="R223">
        <v>281814448.30000001</v>
      </c>
      <c r="S223">
        <v>273180406.89999998</v>
      </c>
      <c r="T223">
        <v>269513230.10000002</v>
      </c>
      <c r="U223">
        <v>265928079.69999999</v>
      </c>
      <c r="V223">
        <v>262901147.09999999</v>
      </c>
      <c r="W223">
        <v>261095957.69999999</v>
      </c>
      <c r="X223">
        <v>257587718</v>
      </c>
      <c r="Y223">
        <v>255156096.30000001</v>
      </c>
      <c r="Z223">
        <v>253711305</v>
      </c>
      <c r="AA223">
        <v>252068674.19999999</v>
      </c>
      <c r="AB223">
        <v>250239474.19999999</v>
      </c>
      <c r="AC223">
        <v>247889443.19999999</v>
      </c>
      <c r="AD223">
        <v>245811858.5</v>
      </c>
      <c r="AE223">
        <v>243856541.59999999</v>
      </c>
      <c r="AF223">
        <v>241932801.59999999</v>
      </c>
      <c r="AG223">
        <v>239947566.19999999</v>
      </c>
      <c r="AH223">
        <v>237911760.59999999</v>
      </c>
      <c r="AI223">
        <v>236026309.19999999</v>
      </c>
      <c r="AJ223">
        <v>234178724.80000001</v>
      </c>
      <c r="AK223">
        <v>232286697.19999999</v>
      </c>
      <c r="AL223">
        <v>230409705.80000001</v>
      </c>
      <c r="AM223">
        <v>228546259.40000001</v>
      </c>
      <c r="AN223">
        <v>226250862</v>
      </c>
      <c r="AO223">
        <v>223907358.80000001</v>
      </c>
      <c r="AP223">
        <v>221467677.5</v>
      </c>
      <c r="AQ223">
        <v>219004217.09999999</v>
      </c>
      <c r="AR223">
        <v>216330887.30000001</v>
      </c>
      <c r="AS223">
        <v>214296653.09999999</v>
      </c>
      <c r="AT223">
        <v>212308229.59999999</v>
      </c>
      <c r="AU223">
        <v>210323466.19999999</v>
      </c>
      <c r="AV223">
        <v>208356900.5</v>
      </c>
      <c r="AW223">
        <v>206465182.80000001</v>
      </c>
    </row>
    <row r="224" spans="2:49" x14ac:dyDescent="0.25">
      <c r="B224" t="s">
        <v>295</v>
      </c>
      <c r="C224">
        <v>42122345.501310699</v>
      </c>
      <c r="D224">
        <v>42798633.383193001</v>
      </c>
      <c r="E224">
        <v>43485779.289999999</v>
      </c>
      <c r="F224">
        <v>42535966.640000001</v>
      </c>
      <c r="G224">
        <v>37367157.420000002</v>
      </c>
      <c r="H224">
        <v>32655112.879999999</v>
      </c>
      <c r="I224">
        <v>31437330.289999999</v>
      </c>
      <c r="J224">
        <v>29830380.469999999</v>
      </c>
      <c r="K224">
        <v>28316397.940000001</v>
      </c>
      <c r="L224">
        <v>28292471.260000002</v>
      </c>
      <c r="M224">
        <v>27697992.73</v>
      </c>
      <c r="N224">
        <v>26915089.969999999</v>
      </c>
      <c r="O224">
        <v>21741716.07</v>
      </c>
      <c r="P224">
        <v>18290437.870000001</v>
      </c>
      <c r="Q224">
        <v>15668846.23</v>
      </c>
      <c r="R224">
        <v>13360086.960000001</v>
      </c>
      <c r="S224">
        <v>11061257.83</v>
      </c>
      <c r="T224">
        <v>10657182.48</v>
      </c>
      <c r="U224">
        <v>10421555.029999999</v>
      </c>
      <c r="V224">
        <v>10268840.310000001</v>
      </c>
      <c r="W224">
        <v>10136961.41</v>
      </c>
      <c r="X224">
        <v>9977936.7559999898</v>
      </c>
      <c r="Y224">
        <v>10001417.029999999</v>
      </c>
      <c r="Z224">
        <v>10072920.42</v>
      </c>
      <c r="AA224">
        <v>10148242.6</v>
      </c>
      <c r="AB224">
        <v>10214230.92</v>
      </c>
      <c r="AC224">
        <v>10273217.9</v>
      </c>
      <c r="AD224">
        <v>10398791.9</v>
      </c>
      <c r="AE224">
        <v>10506791.35</v>
      </c>
      <c r="AF224">
        <v>10615691.02</v>
      </c>
      <c r="AG224">
        <v>10730304.109999999</v>
      </c>
      <c r="AH224">
        <v>10839700.560000001</v>
      </c>
      <c r="AI224">
        <v>10968940.939999999</v>
      </c>
      <c r="AJ224">
        <v>11090399.880000001</v>
      </c>
      <c r="AK224">
        <v>11208958.210000001</v>
      </c>
      <c r="AL224">
        <v>11327775.289999999</v>
      </c>
      <c r="AM224">
        <v>11445946.07</v>
      </c>
      <c r="AN224">
        <v>11462804.5</v>
      </c>
      <c r="AO224">
        <v>11464025.289999999</v>
      </c>
      <c r="AP224">
        <v>11451534.98</v>
      </c>
      <c r="AQ224">
        <v>11430806.82</v>
      </c>
      <c r="AR224">
        <v>11392444.42</v>
      </c>
      <c r="AS224">
        <v>11423730.529999999</v>
      </c>
      <c r="AT224">
        <v>11458129.16</v>
      </c>
      <c r="AU224">
        <v>11490478.109999999</v>
      </c>
      <c r="AV224">
        <v>11520792.32</v>
      </c>
      <c r="AW224">
        <v>11553525.529999999</v>
      </c>
    </row>
    <row r="225" spans="2:49" x14ac:dyDescent="0.25">
      <c r="B225" t="s">
        <v>296</v>
      </c>
      <c r="C225">
        <v>261896523.70399499</v>
      </c>
      <c r="D225">
        <v>266101357.10489401</v>
      </c>
      <c r="E225">
        <v>270445404.10000002</v>
      </c>
      <c r="F225">
        <v>273478826.30000001</v>
      </c>
      <c r="G225">
        <v>260449379.90000001</v>
      </c>
      <c r="H225">
        <v>252246071.59999999</v>
      </c>
      <c r="I225">
        <v>247954175</v>
      </c>
      <c r="J225">
        <v>239725863.59999999</v>
      </c>
      <c r="K225">
        <v>230804697.90000001</v>
      </c>
      <c r="L225">
        <v>224395802.19999999</v>
      </c>
      <c r="M225">
        <v>222616666.30000001</v>
      </c>
      <c r="N225">
        <v>223073801.69999999</v>
      </c>
      <c r="O225">
        <v>218196456.09999999</v>
      </c>
      <c r="P225">
        <v>211506424.90000001</v>
      </c>
      <c r="Q225">
        <v>202268313.19999999</v>
      </c>
      <c r="R225">
        <v>196209366.59999999</v>
      </c>
      <c r="S225">
        <v>190637256.59999999</v>
      </c>
      <c r="T225">
        <v>191071015.59999999</v>
      </c>
      <c r="U225">
        <v>191112608.69999999</v>
      </c>
      <c r="V225">
        <v>191465474.69999999</v>
      </c>
      <c r="W225">
        <v>189941178.69999999</v>
      </c>
      <c r="X225">
        <v>186974898.19999999</v>
      </c>
      <c r="Y225">
        <v>185029926.5</v>
      </c>
      <c r="Z225">
        <v>183935045.19999999</v>
      </c>
      <c r="AA225">
        <v>182855326.19999999</v>
      </c>
      <c r="AB225">
        <v>181700668.5</v>
      </c>
      <c r="AC225">
        <v>180063040.19999999</v>
      </c>
      <c r="AD225">
        <v>178621634.80000001</v>
      </c>
      <c r="AE225">
        <v>177411442.90000001</v>
      </c>
      <c r="AF225">
        <v>176219956.69999999</v>
      </c>
      <c r="AG225">
        <v>175018199.90000001</v>
      </c>
      <c r="AH225">
        <v>173813286.40000001</v>
      </c>
      <c r="AI225">
        <v>172828576.40000001</v>
      </c>
      <c r="AJ225">
        <v>171895432.90000001</v>
      </c>
      <c r="AK225">
        <v>170939004.80000001</v>
      </c>
      <c r="AL225">
        <v>170002477.59999999</v>
      </c>
      <c r="AM225">
        <v>169083336.69999999</v>
      </c>
      <c r="AN225">
        <v>168028370</v>
      </c>
      <c r="AO225">
        <v>166928064.59999999</v>
      </c>
      <c r="AP225">
        <v>165754011.40000001</v>
      </c>
      <c r="AQ225">
        <v>164558641.69999999</v>
      </c>
      <c r="AR225">
        <v>163186112.09999999</v>
      </c>
      <c r="AS225">
        <v>162346620.19999999</v>
      </c>
      <c r="AT225">
        <v>161543877.69999999</v>
      </c>
      <c r="AU225">
        <v>160748973.69999999</v>
      </c>
      <c r="AV225">
        <v>159974500.40000001</v>
      </c>
      <c r="AW225">
        <v>159269259.5</v>
      </c>
    </row>
    <row r="226" spans="2:49" x14ac:dyDescent="0.25">
      <c r="B226" t="s">
        <v>297</v>
      </c>
      <c r="C226">
        <v>88755084.273521304</v>
      </c>
      <c r="D226">
        <v>90180075.860178098</v>
      </c>
      <c r="E226">
        <v>90881070.090000004</v>
      </c>
      <c r="F226">
        <v>90360371.870000005</v>
      </c>
      <c r="G226">
        <v>86987013.780000001</v>
      </c>
      <c r="H226">
        <v>82066196.840000004</v>
      </c>
      <c r="I226">
        <v>82463257.590000004</v>
      </c>
      <c r="J226">
        <v>81203258.010000005</v>
      </c>
      <c r="K226">
        <v>77385083.290000007</v>
      </c>
      <c r="L226">
        <v>74749815.629999995</v>
      </c>
      <c r="M226">
        <v>73659130.930000007</v>
      </c>
      <c r="N226">
        <v>73379770.620000005</v>
      </c>
      <c r="O226">
        <v>74828674.510000005</v>
      </c>
      <c r="P226">
        <v>75425832.680000007</v>
      </c>
      <c r="Q226">
        <v>73385374.560000002</v>
      </c>
      <c r="R226">
        <v>72244994.730000004</v>
      </c>
      <c r="S226">
        <v>71481892.480000004</v>
      </c>
      <c r="T226">
        <v>67785032.109999999</v>
      </c>
      <c r="U226">
        <v>64393916.020000003</v>
      </c>
      <c r="V226">
        <v>61166832.130000003</v>
      </c>
      <c r="W226">
        <v>61017817.600000001</v>
      </c>
      <c r="X226">
        <v>60634883</v>
      </c>
      <c r="Y226">
        <v>60124752.829999998</v>
      </c>
      <c r="Z226">
        <v>59703339.32</v>
      </c>
      <c r="AA226">
        <v>59065105.299999997</v>
      </c>
      <c r="AB226">
        <v>58324574.780000001</v>
      </c>
      <c r="AC226">
        <v>57553185.090000004</v>
      </c>
      <c r="AD226">
        <v>56791431.810000002</v>
      </c>
      <c r="AE226">
        <v>55938307.350000001</v>
      </c>
      <c r="AF226">
        <v>55097153.840000004</v>
      </c>
      <c r="AG226">
        <v>54199062.210000001</v>
      </c>
      <c r="AH226">
        <v>53258773.619999997</v>
      </c>
      <c r="AI226">
        <v>52228791.909999996</v>
      </c>
      <c r="AJ226">
        <v>51192891.979999997</v>
      </c>
      <c r="AK226">
        <v>50138734.100000001</v>
      </c>
      <c r="AL226">
        <v>49079452.829999998</v>
      </c>
      <c r="AM226">
        <v>48016976.689999998</v>
      </c>
      <c r="AN226">
        <v>46759687.450000003</v>
      </c>
      <c r="AO226">
        <v>45515268.890000001</v>
      </c>
      <c r="AP226">
        <v>44262131.100000001</v>
      </c>
      <c r="AQ226">
        <v>43014768.659999996</v>
      </c>
      <c r="AR226">
        <v>41752330.799999997</v>
      </c>
      <c r="AS226">
        <v>40526302.289999999</v>
      </c>
      <c r="AT226">
        <v>39306222.75</v>
      </c>
      <c r="AU226">
        <v>38084014.329999998</v>
      </c>
      <c r="AV226">
        <v>36861607.82</v>
      </c>
      <c r="AW226">
        <v>35642397.780000001</v>
      </c>
    </row>
    <row r="227" spans="2:49" x14ac:dyDescent="0.25">
      <c r="B227" t="s">
        <v>298</v>
      </c>
      <c r="C227">
        <v>419119515.24800497</v>
      </c>
      <c r="D227">
        <v>425848614.63336003</v>
      </c>
      <c r="E227">
        <v>431991570.80000001</v>
      </c>
      <c r="F227">
        <v>433904817.89999998</v>
      </c>
      <c r="G227">
        <v>411648728.10000002</v>
      </c>
      <c r="H227">
        <v>391051055.89999998</v>
      </c>
      <c r="I227">
        <v>386825785.39999998</v>
      </c>
      <c r="J227">
        <v>376338470.80000001</v>
      </c>
      <c r="K227">
        <v>361429853.19999999</v>
      </c>
      <c r="L227">
        <v>352093455.30000001</v>
      </c>
      <c r="M227">
        <v>348661796.80000001</v>
      </c>
      <c r="N227">
        <v>348414720.30000001</v>
      </c>
      <c r="O227">
        <v>339901788.19999999</v>
      </c>
      <c r="P227">
        <v>331129457.89999998</v>
      </c>
      <c r="Q227">
        <v>317385370.30000001</v>
      </c>
      <c r="R227">
        <v>308176242.30000001</v>
      </c>
      <c r="S227">
        <v>299134080.5</v>
      </c>
      <c r="T227">
        <v>295679267.5</v>
      </c>
      <c r="U227">
        <v>292170812.39999998</v>
      </c>
      <c r="V227">
        <v>289523855.80000001</v>
      </c>
      <c r="W227">
        <v>287785376</v>
      </c>
      <c r="X227">
        <v>284257464.80000001</v>
      </c>
      <c r="Y227">
        <v>281698032.89999998</v>
      </c>
      <c r="Z227">
        <v>280235241.39999998</v>
      </c>
      <c r="AA227">
        <v>278579769.80000001</v>
      </c>
      <c r="AB227">
        <v>276736353.80000001</v>
      </c>
      <c r="AC227">
        <v>274392088.80000001</v>
      </c>
      <c r="AD227">
        <v>272422184.19999999</v>
      </c>
      <c r="AE227">
        <v>270548020.19999999</v>
      </c>
      <c r="AF227">
        <v>268739517.5</v>
      </c>
      <c r="AG227">
        <v>266855091.80000001</v>
      </c>
      <c r="AH227">
        <v>264955095.69999999</v>
      </c>
      <c r="AI227">
        <v>263228154.59999999</v>
      </c>
      <c r="AJ227">
        <v>261531507.19999999</v>
      </c>
      <c r="AK227">
        <v>259803688.19999999</v>
      </c>
      <c r="AL227">
        <v>258099153.09999999</v>
      </c>
      <c r="AM227">
        <v>256411886.09999999</v>
      </c>
      <c r="AN227">
        <v>254261762.90000001</v>
      </c>
      <c r="AO227">
        <v>252093304.5</v>
      </c>
      <c r="AP227">
        <v>249825962</v>
      </c>
      <c r="AQ227">
        <v>247553248.09999999</v>
      </c>
      <c r="AR227">
        <v>245060164.80000001</v>
      </c>
      <c r="AS227">
        <v>243215212.30000001</v>
      </c>
      <c r="AT227">
        <v>241412728.19999999</v>
      </c>
      <c r="AU227">
        <v>239606379.80000001</v>
      </c>
      <c r="AV227">
        <v>237822493.09999999</v>
      </c>
      <c r="AW227">
        <v>236176700.40000001</v>
      </c>
    </row>
    <row r="228" spans="2:49" x14ac:dyDescent="0.25">
      <c r="B228" t="s">
        <v>299</v>
      </c>
      <c r="C228">
        <v>255.88316116441601</v>
      </c>
      <c r="D228">
        <v>259.991448084664</v>
      </c>
      <c r="E228">
        <v>264.96578670000002</v>
      </c>
      <c r="F228">
        <v>273.23259159999998</v>
      </c>
      <c r="G228">
        <v>273.2177547</v>
      </c>
      <c r="H228">
        <v>262.40160309999999</v>
      </c>
      <c r="I228">
        <v>270.39929899999998</v>
      </c>
      <c r="J228">
        <v>271.19508869999999</v>
      </c>
      <c r="K228">
        <v>267.89971830000002</v>
      </c>
      <c r="L228">
        <v>264.6203246</v>
      </c>
      <c r="M228">
        <v>263.59376129999998</v>
      </c>
      <c r="N228">
        <v>261.97935369999999</v>
      </c>
      <c r="O228">
        <v>252.91567989999999</v>
      </c>
      <c r="P228">
        <v>248.01312920000001</v>
      </c>
      <c r="Q228">
        <v>242.35974400000001</v>
      </c>
      <c r="R228">
        <v>235.10561720000001</v>
      </c>
      <c r="S228">
        <v>227.8387099</v>
      </c>
      <c r="T228">
        <v>225.85558399999999</v>
      </c>
      <c r="U228">
        <v>224.24500259999999</v>
      </c>
      <c r="V228">
        <v>223.18035169999999</v>
      </c>
      <c r="W228">
        <v>229.49659199999999</v>
      </c>
      <c r="X228">
        <v>235.71223280000001</v>
      </c>
      <c r="Y228">
        <v>238.30090440000001</v>
      </c>
      <c r="Z228">
        <v>240.8164634</v>
      </c>
      <c r="AA228">
        <v>243.118371</v>
      </c>
      <c r="AB228">
        <v>244.92658280000001</v>
      </c>
      <c r="AC228">
        <v>246.79317080000001</v>
      </c>
      <c r="AD228">
        <v>247.07230139999999</v>
      </c>
      <c r="AE228">
        <v>247.3106813</v>
      </c>
      <c r="AF228">
        <v>247.5511109</v>
      </c>
      <c r="AG228">
        <v>247.6820409</v>
      </c>
      <c r="AH228">
        <v>247.9337807</v>
      </c>
      <c r="AI228">
        <v>248.13783810000001</v>
      </c>
      <c r="AJ228">
        <v>248.3067039</v>
      </c>
      <c r="AK228">
        <v>248.40221270000001</v>
      </c>
      <c r="AL228">
        <v>248.4945276</v>
      </c>
      <c r="AM228">
        <v>248.57477879999999</v>
      </c>
      <c r="AN228">
        <v>248.3083834</v>
      </c>
      <c r="AO228">
        <v>248.02025459999999</v>
      </c>
      <c r="AP228">
        <v>247.66677989999999</v>
      </c>
      <c r="AQ228">
        <v>247.27231889999999</v>
      </c>
      <c r="AR228">
        <v>246.90148170000001</v>
      </c>
      <c r="AS228">
        <v>247.02148990000001</v>
      </c>
      <c r="AT228">
        <v>247.1411737</v>
      </c>
      <c r="AU228">
        <v>247.2398527</v>
      </c>
      <c r="AV228">
        <v>247.33565569999999</v>
      </c>
      <c r="AW228">
        <v>247.5677154</v>
      </c>
    </row>
    <row r="229" spans="2:49" x14ac:dyDescent="0.25">
      <c r="B229" t="s">
        <v>300</v>
      </c>
      <c r="C229">
        <v>5.5705789795526002</v>
      </c>
      <c r="D229">
        <v>5.6600164269241402</v>
      </c>
      <c r="E229">
        <v>5.7508898210000003</v>
      </c>
      <c r="F229">
        <v>5.8015808900000003</v>
      </c>
      <c r="G229">
        <v>4.8324865880000001</v>
      </c>
      <c r="H229">
        <v>4.2362817780000004</v>
      </c>
      <c r="I229">
        <v>4.2095741799999997</v>
      </c>
      <c r="J229">
        <v>4.0295060769999997</v>
      </c>
      <c r="K229">
        <v>3.8922582480000001</v>
      </c>
      <c r="L229">
        <v>4.1573082860000001</v>
      </c>
      <c r="M229">
        <v>4.2686746409999996</v>
      </c>
      <c r="N229">
        <v>4.3448537590000003</v>
      </c>
      <c r="O229">
        <v>3.42800729</v>
      </c>
      <c r="P229">
        <v>2.8862511359999998</v>
      </c>
      <c r="Q229">
        <v>2.5374132309999999</v>
      </c>
      <c r="R229">
        <v>2.3104779889999998</v>
      </c>
      <c r="S229">
        <v>2.1012811170000001</v>
      </c>
      <c r="T229">
        <v>2.0606107119999999</v>
      </c>
      <c r="U229">
        <v>2.0365315609999999</v>
      </c>
      <c r="V229">
        <v>2.0297752440000001</v>
      </c>
      <c r="W229">
        <v>1.980369874</v>
      </c>
      <c r="X229">
        <v>1.91681988</v>
      </c>
      <c r="Y229">
        <v>1.9088417010000001</v>
      </c>
      <c r="Z229">
        <v>1.9151854740000001</v>
      </c>
      <c r="AA229">
        <v>1.9227927469999999</v>
      </c>
      <c r="AB229">
        <v>1.929120553</v>
      </c>
      <c r="AC229">
        <v>1.933405297</v>
      </c>
      <c r="AD229">
        <v>1.9589875059999999</v>
      </c>
      <c r="AE229">
        <v>1.9809056249999999</v>
      </c>
      <c r="AF229">
        <v>2.003195678</v>
      </c>
      <c r="AG229">
        <v>2.027145574</v>
      </c>
      <c r="AH229">
        <v>2.0494442409999998</v>
      </c>
      <c r="AI229">
        <v>2.0767816109999999</v>
      </c>
      <c r="AJ229">
        <v>2.1023642890000001</v>
      </c>
      <c r="AK229">
        <v>2.1274288600000002</v>
      </c>
      <c r="AL229">
        <v>2.1526429760000001</v>
      </c>
      <c r="AM229">
        <v>2.1777955659999999</v>
      </c>
      <c r="AN229">
        <v>2.1782477930000002</v>
      </c>
      <c r="AO229">
        <v>2.175009239</v>
      </c>
      <c r="AP229">
        <v>2.1685430220000002</v>
      </c>
      <c r="AQ229">
        <v>2.1602638779999999</v>
      </c>
      <c r="AR229">
        <v>2.1476385489999998</v>
      </c>
      <c r="AS229">
        <v>2.1517757610000001</v>
      </c>
      <c r="AT229">
        <v>2.1566959790000002</v>
      </c>
      <c r="AU229">
        <v>2.161244071</v>
      </c>
      <c r="AV229">
        <v>2.1654005550000002</v>
      </c>
      <c r="AW229">
        <v>2.169658036</v>
      </c>
    </row>
    <row r="230" spans="2:49" x14ac:dyDescent="0.25">
      <c r="B230" t="s">
        <v>301</v>
      </c>
      <c r="C230">
        <v>5.5705789795526002</v>
      </c>
      <c r="D230">
        <v>5.6600164269241402</v>
      </c>
      <c r="E230">
        <v>5.7508898210000003</v>
      </c>
      <c r="F230">
        <v>5.8015808900000003</v>
      </c>
      <c r="G230">
        <v>4.8324865880000001</v>
      </c>
      <c r="H230">
        <v>4.2362817780000004</v>
      </c>
      <c r="I230">
        <v>4.2095741799999997</v>
      </c>
      <c r="J230">
        <v>4.0295060769999997</v>
      </c>
      <c r="K230">
        <v>3.8922582480000001</v>
      </c>
      <c r="L230">
        <v>4.1573082860000001</v>
      </c>
      <c r="M230">
        <v>4.2686746409999996</v>
      </c>
      <c r="N230">
        <v>4.3448537590000003</v>
      </c>
      <c r="O230">
        <v>3.42800729</v>
      </c>
      <c r="P230">
        <v>2.8862511359999998</v>
      </c>
      <c r="Q230">
        <v>2.5374132309999999</v>
      </c>
      <c r="R230">
        <v>2.3104779889999998</v>
      </c>
      <c r="S230">
        <v>2.1012811170000001</v>
      </c>
      <c r="T230">
        <v>2.0606107119999999</v>
      </c>
      <c r="U230">
        <v>2.0365315609999999</v>
      </c>
      <c r="V230">
        <v>2.0297752440000001</v>
      </c>
      <c r="W230">
        <v>1.980369874</v>
      </c>
      <c r="X230">
        <v>1.91681988</v>
      </c>
      <c r="Y230">
        <v>1.9088417010000001</v>
      </c>
      <c r="Z230">
        <v>1.9151854740000001</v>
      </c>
      <c r="AA230">
        <v>1.9227927469999999</v>
      </c>
      <c r="AB230">
        <v>1.929120553</v>
      </c>
      <c r="AC230">
        <v>1.933405297</v>
      </c>
      <c r="AD230">
        <v>1.9589875059999999</v>
      </c>
      <c r="AE230">
        <v>1.9809056249999999</v>
      </c>
      <c r="AF230">
        <v>2.003195678</v>
      </c>
      <c r="AG230">
        <v>2.027145574</v>
      </c>
      <c r="AH230">
        <v>2.0494442409999998</v>
      </c>
      <c r="AI230">
        <v>2.0767816109999999</v>
      </c>
      <c r="AJ230">
        <v>2.1023642890000001</v>
      </c>
      <c r="AK230">
        <v>2.1274288600000002</v>
      </c>
      <c r="AL230">
        <v>2.1526429760000001</v>
      </c>
      <c r="AM230">
        <v>2.1777955659999999</v>
      </c>
      <c r="AN230">
        <v>2.1782477930000002</v>
      </c>
      <c r="AO230">
        <v>2.175009239</v>
      </c>
      <c r="AP230">
        <v>2.1685430220000002</v>
      </c>
      <c r="AQ230">
        <v>2.1602638779999999</v>
      </c>
      <c r="AR230">
        <v>2.1476385489999998</v>
      </c>
      <c r="AS230">
        <v>2.1517757610000001</v>
      </c>
      <c r="AT230">
        <v>2.1566959790000002</v>
      </c>
      <c r="AU230">
        <v>2.161244071</v>
      </c>
      <c r="AV230">
        <v>2.1654005550000002</v>
      </c>
      <c r="AW230">
        <v>2.169658036</v>
      </c>
    </row>
    <row r="231" spans="2:49" x14ac:dyDescent="0.25">
      <c r="B231" t="s">
        <v>302</v>
      </c>
      <c r="C231">
        <v>82.165927612137295</v>
      </c>
      <c r="D231">
        <v>83.485128157272499</v>
      </c>
      <c r="E231">
        <v>84.84007794</v>
      </c>
      <c r="F231">
        <v>85.867466149999998</v>
      </c>
      <c r="G231">
        <v>81.756606779999998</v>
      </c>
      <c r="H231">
        <v>79.223561090000004</v>
      </c>
      <c r="I231">
        <v>77.920056349999996</v>
      </c>
      <c r="J231">
        <v>75.37975059</v>
      </c>
      <c r="K231">
        <v>72.612368680000003</v>
      </c>
      <c r="L231">
        <v>70.65645662</v>
      </c>
      <c r="M231">
        <v>70.198699390000002</v>
      </c>
      <c r="N231">
        <v>70.466411660000006</v>
      </c>
      <c r="O231">
        <v>69.008235330000005</v>
      </c>
      <c r="P231">
        <v>66.955603920000001</v>
      </c>
      <c r="Q231">
        <v>64.067131219999894</v>
      </c>
      <c r="R231">
        <v>62.218772610000002</v>
      </c>
      <c r="S231">
        <v>60.52714847</v>
      </c>
      <c r="T231">
        <v>60.553252530000002</v>
      </c>
      <c r="U231">
        <v>60.436870050000003</v>
      </c>
      <c r="V231">
        <v>60.423066290000001</v>
      </c>
      <c r="W231">
        <v>59.906584430000002</v>
      </c>
      <c r="X231">
        <v>58.939044639999999</v>
      </c>
      <c r="Y231">
        <v>58.311491490000002</v>
      </c>
      <c r="Z231">
        <v>57.95640865</v>
      </c>
      <c r="AA231">
        <v>57.605138250000003</v>
      </c>
      <c r="AB231">
        <v>57.231181739999997</v>
      </c>
      <c r="AC231">
        <v>56.708861149999997</v>
      </c>
      <c r="AD231">
        <v>56.250560120000003</v>
      </c>
      <c r="AE231">
        <v>55.863342279999998</v>
      </c>
      <c r="AF231">
        <v>55.483285780000003</v>
      </c>
      <c r="AG231">
        <v>55.10052142</v>
      </c>
      <c r="AH231">
        <v>54.717421979999997</v>
      </c>
      <c r="AI231">
        <v>54.408162310000002</v>
      </c>
      <c r="AJ231">
        <v>54.115017860000002</v>
      </c>
      <c r="AK231">
        <v>53.814344679999998</v>
      </c>
      <c r="AL231">
        <v>53.520271170000001</v>
      </c>
      <c r="AM231">
        <v>53.232013029999997</v>
      </c>
      <c r="AN231">
        <v>52.90138168</v>
      </c>
      <c r="AO231">
        <v>52.556984079999999</v>
      </c>
      <c r="AP231">
        <v>52.189163960000002</v>
      </c>
      <c r="AQ231">
        <v>51.814873249999998</v>
      </c>
      <c r="AR231">
        <v>51.38553821</v>
      </c>
      <c r="AS231">
        <v>51.12867894</v>
      </c>
      <c r="AT231">
        <v>50.883488999999997</v>
      </c>
      <c r="AU231">
        <v>50.640873730000003</v>
      </c>
      <c r="AV231">
        <v>50.404997520000002</v>
      </c>
      <c r="AW231">
        <v>50.191049479999997</v>
      </c>
    </row>
    <row r="232" spans="2:49" x14ac:dyDescent="0.25">
      <c r="B232" t="s">
        <v>303</v>
      </c>
      <c r="C232">
        <v>0.67805251130835598</v>
      </c>
      <c r="D232">
        <v>0.68893886369971102</v>
      </c>
      <c r="E232">
        <v>0.66742790890000003</v>
      </c>
      <c r="F232">
        <v>1.012728563</v>
      </c>
      <c r="G232">
        <v>1.28706706</v>
      </c>
      <c r="H232">
        <v>1.5617058720000001</v>
      </c>
      <c r="I232">
        <v>1.847019881</v>
      </c>
      <c r="J232">
        <v>2.099669977</v>
      </c>
      <c r="K232">
        <v>2.3272333330000001</v>
      </c>
      <c r="L232">
        <v>2.5638568199999998</v>
      </c>
      <c r="M232">
        <v>2.8471982119999999</v>
      </c>
      <c r="N232">
        <v>3.1615055600000002</v>
      </c>
      <c r="O232">
        <v>3.1557834979999999</v>
      </c>
      <c r="P232">
        <v>3.1234328229999999</v>
      </c>
      <c r="Q232">
        <v>3.0513355519999998</v>
      </c>
      <c r="R232">
        <v>3.0282026100000001</v>
      </c>
      <c r="S232">
        <v>3.013380277</v>
      </c>
      <c r="T232">
        <v>3.1698940210000002</v>
      </c>
      <c r="U232">
        <v>3.312996461</v>
      </c>
      <c r="V232">
        <v>3.4559291440000002</v>
      </c>
      <c r="W232">
        <v>3.4263886920000002</v>
      </c>
      <c r="X232">
        <v>3.3710497429999999</v>
      </c>
      <c r="Y232">
        <v>3.33515651</v>
      </c>
      <c r="Z232">
        <v>3.3148473599999999</v>
      </c>
      <c r="AA232">
        <v>3.2947562640000001</v>
      </c>
      <c r="AB232">
        <v>3.273367624</v>
      </c>
      <c r="AC232">
        <v>3.2434932230000002</v>
      </c>
      <c r="AD232">
        <v>3.217280454</v>
      </c>
      <c r="AE232">
        <v>3.195133325</v>
      </c>
      <c r="AF232">
        <v>3.1733957930000001</v>
      </c>
      <c r="AG232">
        <v>3.1515033840000002</v>
      </c>
      <c r="AH232">
        <v>3.1295918089999999</v>
      </c>
      <c r="AI232">
        <v>3.1119035390000001</v>
      </c>
      <c r="AJ232">
        <v>3.0951369880000001</v>
      </c>
      <c r="AK232">
        <v>3.0779398269999998</v>
      </c>
      <c r="AL232">
        <v>3.0611201370000001</v>
      </c>
      <c r="AM232">
        <v>3.0446330609999999</v>
      </c>
      <c r="AN232">
        <v>3.0257224260000002</v>
      </c>
      <c r="AO232">
        <v>3.006024424</v>
      </c>
      <c r="AP232">
        <v>2.9849867579999998</v>
      </c>
      <c r="AQ232">
        <v>2.963579003</v>
      </c>
      <c r="AR232">
        <v>2.93902296</v>
      </c>
      <c r="AS232">
        <v>2.9243317580000001</v>
      </c>
      <c r="AT232">
        <v>2.9103079900000002</v>
      </c>
      <c r="AU232">
        <v>2.8964314820000001</v>
      </c>
      <c r="AV232">
        <v>2.882940418</v>
      </c>
      <c r="AW232">
        <v>2.8707035470000002</v>
      </c>
    </row>
    <row r="233" spans="2:49" x14ac:dyDescent="0.25">
      <c r="B233" t="s">
        <v>304</v>
      </c>
      <c r="C233">
        <v>82.165927612137295</v>
      </c>
      <c r="D233">
        <v>83.485128157272499</v>
      </c>
      <c r="E233">
        <v>84.84007794</v>
      </c>
      <c r="F233">
        <v>85.867466149999998</v>
      </c>
      <c r="G233">
        <v>81.756606779999998</v>
      </c>
      <c r="H233">
        <v>79.223561090000004</v>
      </c>
      <c r="I233">
        <v>77.920056349999996</v>
      </c>
      <c r="J233">
        <v>75.37975059</v>
      </c>
      <c r="K233">
        <v>72.612368680000003</v>
      </c>
      <c r="L233">
        <v>70.65645662</v>
      </c>
      <c r="M233">
        <v>70.198699390000002</v>
      </c>
      <c r="N233">
        <v>70.466411660000006</v>
      </c>
      <c r="O233">
        <v>69.008235330000005</v>
      </c>
      <c r="P233">
        <v>66.955603920000001</v>
      </c>
      <c r="Q233">
        <v>64.067131219999894</v>
      </c>
      <c r="R233">
        <v>62.218772610000002</v>
      </c>
      <c r="S233">
        <v>60.52714847</v>
      </c>
      <c r="T233">
        <v>60.553252530000002</v>
      </c>
      <c r="U233">
        <v>60.436870050000003</v>
      </c>
      <c r="V233">
        <v>60.423066290000001</v>
      </c>
      <c r="W233">
        <v>59.906584430000002</v>
      </c>
      <c r="X233">
        <v>58.939044639999999</v>
      </c>
      <c r="Y233">
        <v>58.311491490000002</v>
      </c>
      <c r="Z233">
        <v>57.95640865</v>
      </c>
      <c r="AA233">
        <v>57.605138250000003</v>
      </c>
      <c r="AB233">
        <v>57.231181739999997</v>
      </c>
      <c r="AC233">
        <v>56.708861149999997</v>
      </c>
      <c r="AD233">
        <v>56.250560120000003</v>
      </c>
      <c r="AE233">
        <v>55.863342279999998</v>
      </c>
      <c r="AF233">
        <v>55.483285780000003</v>
      </c>
      <c r="AG233">
        <v>55.10052142</v>
      </c>
      <c r="AH233">
        <v>54.717421979999997</v>
      </c>
      <c r="AI233">
        <v>54.408162310000002</v>
      </c>
      <c r="AJ233">
        <v>54.115017860000002</v>
      </c>
      <c r="AK233">
        <v>53.814344679999998</v>
      </c>
      <c r="AL233">
        <v>53.520271170000001</v>
      </c>
      <c r="AM233">
        <v>53.232013029999997</v>
      </c>
      <c r="AN233">
        <v>52.90138168</v>
      </c>
      <c r="AO233">
        <v>52.556984079999999</v>
      </c>
      <c r="AP233">
        <v>52.189163960000002</v>
      </c>
      <c r="AQ233">
        <v>51.814873249999998</v>
      </c>
      <c r="AR233">
        <v>51.38553821</v>
      </c>
      <c r="AS233">
        <v>51.12867894</v>
      </c>
      <c r="AT233">
        <v>50.883488999999997</v>
      </c>
      <c r="AU233">
        <v>50.640873730000003</v>
      </c>
      <c r="AV233">
        <v>50.404997520000002</v>
      </c>
      <c r="AW233">
        <v>50.191049479999997</v>
      </c>
    </row>
    <row r="234" spans="2:49" x14ac:dyDescent="0.25">
      <c r="B234" t="s">
        <v>305</v>
      </c>
      <c r="C234">
        <v>0.67805251130835598</v>
      </c>
      <c r="D234">
        <v>0.68893886369971102</v>
      </c>
      <c r="E234">
        <v>0.66742790890000003</v>
      </c>
      <c r="F234">
        <v>1.012728563</v>
      </c>
      <c r="G234">
        <v>1.28706706</v>
      </c>
      <c r="H234">
        <v>1.5617058720000001</v>
      </c>
      <c r="I234">
        <v>1.847019881</v>
      </c>
      <c r="J234">
        <v>2.099669977</v>
      </c>
      <c r="K234">
        <v>2.3272333330000001</v>
      </c>
      <c r="L234">
        <v>2.5638568199999998</v>
      </c>
      <c r="M234">
        <v>2.8471982119999999</v>
      </c>
      <c r="N234">
        <v>3.1615055600000002</v>
      </c>
      <c r="O234">
        <v>3.1557834979999999</v>
      </c>
      <c r="P234">
        <v>3.1234328229999999</v>
      </c>
      <c r="Q234">
        <v>3.0513355519999998</v>
      </c>
      <c r="R234">
        <v>3.0282026100000001</v>
      </c>
      <c r="S234">
        <v>3.013380277</v>
      </c>
      <c r="T234">
        <v>3.1698940210000002</v>
      </c>
      <c r="U234">
        <v>3.312996461</v>
      </c>
      <c r="V234">
        <v>3.4559291440000002</v>
      </c>
      <c r="W234">
        <v>3.4263886920000002</v>
      </c>
      <c r="X234">
        <v>3.3710497429999999</v>
      </c>
      <c r="Y234">
        <v>3.33515651</v>
      </c>
      <c r="Z234">
        <v>3.3148473599999999</v>
      </c>
      <c r="AA234">
        <v>3.2947562640000001</v>
      </c>
      <c r="AB234">
        <v>3.273367624</v>
      </c>
      <c r="AC234">
        <v>3.2434932230000002</v>
      </c>
      <c r="AD234">
        <v>3.217280454</v>
      </c>
      <c r="AE234">
        <v>3.195133325</v>
      </c>
      <c r="AF234">
        <v>3.1733957930000001</v>
      </c>
      <c r="AG234">
        <v>3.1515033840000002</v>
      </c>
      <c r="AH234">
        <v>3.1295918089999999</v>
      </c>
      <c r="AI234">
        <v>3.1119035390000001</v>
      </c>
      <c r="AJ234">
        <v>3.0951369880000001</v>
      </c>
      <c r="AK234">
        <v>3.0779398269999998</v>
      </c>
      <c r="AL234">
        <v>3.0611201370000001</v>
      </c>
      <c r="AM234">
        <v>3.0446330609999999</v>
      </c>
      <c r="AN234">
        <v>3.0257224260000002</v>
      </c>
      <c r="AO234">
        <v>3.006024424</v>
      </c>
      <c r="AP234">
        <v>2.9849867579999998</v>
      </c>
      <c r="AQ234">
        <v>2.963579003</v>
      </c>
      <c r="AR234">
        <v>2.93902296</v>
      </c>
      <c r="AS234">
        <v>2.9243317580000001</v>
      </c>
      <c r="AT234">
        <v>2.9103079900000002</v>
      </c>
      <c r="AU234">
        <v>2.8964314820000001</v>
      </c>
      <c r="AV234">
        <v>2.882940418</v>
      </c>
      <c r="AW234">
        <v>2.8707035470000002</v>
      </c>
    </row>
    <row r="235" spans="2:49" x14ac:dyDescent="0.25">
      <c r="B235" t="s">
        <v>306</v>
      </c>
      <c r="C235">
        <v>114.221490567207</v>
      </c>
      <c r="D235">
        <v>116.055353544252</v>
      </c>
      <c r="E235">
        <v>118.4720543</v>
      </c>
      <c r="F235">
        <v>123.7764739</v>
      </c>
      <c r="G235">
        <v>128.4778666</v>
      </c>
      <c r="H235">
        <v>122.46467250000001</v>
      </c>
      <c r="I235">
        <v>129.2057921</v>
      </c>
      <c r="J235">
        <v>131.29348289999999</v>
      </c>
      <c r="K235">
        <v>131.1576139</v>
      </c>
      <c r="L235">
        <v>129.3418686</v>
      </c>
      <c r="M235">
        <v>127.4633855</v>
      </c>
      <c r="N235">
        <v>123.9363709</v>
      </c>
      <c r="O235">
        <v>116.7247259</v>
      </c>
      <c r="P235">
        <v>113.9230293</v>
      </c>
      <c r="Q235">
        <v>112.53771639999999</v>
      </c>
      <c r="R235">
        <v>108.1948385</v>
      </c>
      <c r="S235">
        <v>103.46436180000001</v>
      </c>
      <c r="T235">
        <v>101.4106618</v>
      </c>
      <c r="U235">
        <v>99.570109340000002</v>
      </c>
      <c r="V235">
        <v>97.972637719999994</v>
      </c>
      <c r="W235">
        <v>103.1329214</v>
      </c>
      <c r="X235">
        <v>108.7967294</v>
      </c>
      <c r="Y235">
        <v>111.12558989999999</v>
      </c>
      <c r="Z235">
        <v>113.0647165</v>
      </c>
      <c r="AA235">
        <v>114.9522995</v>
      </c>
      <c r="AB235">
        <v>116.50558049999999</v>
      </c>
      <c r="AC235">
        <v>118.2531943</v>
      </c>
      <c r="AD235">
        <v>118.5700405</v>
      </c>
      <c r="AE235">
        <v>118.84656990000001</v>
      </c>
      <c r="AF235">
        <v>119.1019156</v>
      </c>
      <c r="AG235">
        <v>119.30170870000001</v>
      </c>
      <c r="AH235">
        <v>119.6310368</v>
      </c>
      <c r="AI235">
        <v>119.9159818</v>
      </c>
      <c r="AJ235">
        <v>120.1584136</v>
      </c>
      <c r="AK235">
        <v>120.3566173</v>
      </c>
      <c r="AL235">
        <v>120.54603400000001</v>
      </c>
      <c r="AM235">
        <v>120.7185477</v>
      </c>
      <c r="AN235">
        <v>120.8271563</v>
      </c>
      <c r="AO235">
        <v>120.9198536</v>
      </c>
      <c r="AP235">
        <v>120.98844339999999</v>
      </c>
      <c r="AQ235">
        <v>121.02342229999999</v>
      </c>
      <c r="AR235">
        <v>121.1441927</v>
      </c>
      <c r="AS235">
        <v>121.47406669999999</v>
      </c>
      <c r="AT235">
        <v>121.7860855</v>
      </c>
      <c r="AU235">
        <v>122.07952539999999</v>
      </c>
      <c r="AV235">
        <v>122.363895</v>
      </c>
      <c r="AW235">
        <v>122.74066139999999</v>
      </c>
    </row>
    <row r="236" spans="2:49" x14ac:dyDescent="0.25">
      <c r="B236" t="s">
        <v>307</v>
      </c>
      <c r="C236">
        <v>1.2736350545564401</v>
      </c>
      <c r="D236">
        <v>1.2940836773262701</v>
      </c>
      <c r="E236">
        <v>1.321031276</v>
      </c>
      <c r="F236">
        <v>1.305717317</v>
      </c>
      <c r="G236">
        <v>1.282218214</v>
      </c>
      <c r="H236">
        <v>1.156314313</v>
      </c>
      <c r="I236">
        <v>1.154217268</v>
      </c>
      <c r="J236">
        <v>1.0852763080000001</v>
      </c>
      <c r="K236">
        <v>1.0033692249999999</v>
      </c>
      <c r="L236">
        <v>0.91595645329999997</v>
      </c>
      <c r="M236">
        <v>0.83580366959999997</v>
      </c>
      <c r="N236">
        <v>0.75271214379999996</v>
      </c>
      <c r="O236">
        <v>0.65039897209999997</v>
      </c>
      <c r="P236">
        <v>0.57370511550000003</v>
      </c>
      <c r="Q236">
        <v>0.5019780694</v>
      </c>
      <c r="R236">
        <v>0.41556582460000002</v>
      </c>
      <c r="S236">
        <v>0.32808931889999998</v>
      </c>
      <c r="T236">
        <v>0.43317480390000002</v>
      </c>
      <c r="U236">
        <v>0.54108923779999996</v>
      </c>
      <c r="V236">
        <v>0.65272665129999996</v>
      </c>
      <c r="W236">
        <v>0.68710619620000002</v>
      </c>
      <c r="X236">
        <v>0.72484038949999996</v>
      </c>
      <c r="Y236">
        <v>0.74035604050000003</v>
      </c>
      <c r="Z236">
        <v>0.75327515389999999</v>
      </c>
      <c r="AA236">
        <v>0.76585086710000005</v>
      </c>
      <c r="AB236">
        <v>0.77619934690000003</v>
      </c>
      <c r="AC236">
        <v>0.7878425375</v>
      </c>
      <c r="AD236">
        <v>0.78995347360000001</v>
      </c>
      <c r="AE236">
        <v>0.79179580530000004</v>
      </c>
      <c r="AF236">
        <v>0.79349700420000002</v>
      </c>
      <c r="AG236">
        <v>0.79482809300000001</v>
      </c>
      <c r="AH236">
        <v>0.79702218759999999</v>
      </c>
      <c r="AI236">
        <v>0.79892058730000004</v>
      </c>
      <c r="AJ236">
        <v>0.80053574949999995</v>
      </c>
      <c r="AK236">
        <v>0.80185624909999997</v>
      </c>
      <c r="AL236">
        <v>0.80311820649999999</v>
      </c>
      <c r="AM236">
        <v>0.80426755120000004</v>
      </c>
      <c r="AN236">
        <v>0.80499113799999999</v>
      </c>
      <c r="AO236">
        <v>0.80560871840000003</v>
      </c>
      <c r="AP236">
        <v>0.80606568649999999</v>
      </c>
      <c r="AQ236" s="39">
        <v>0.80629872790000001</v>
      </c>
      <c r="AR236" s="39">
        <v>0.80710334080000001</v>
      </c>
      <c r="AS236" s="39">
        <v>0.80930107269999996</v>
      </c>
      <c r="AT236" s="39">
        <v>0.81137984649999995</v>
      </c>
      <c r="AU236" s="39">
        <v>0.81333484190000005</v>
      </c>
      <c r="AV236" s="39">
        <v>0.81522940759999996</v>
      </c>
      <c r="AW236" s="39">
        <v>0.81773955229999995</v>
      </c>
    </row>
    <row r="237" spans="2:49" x14ac:dyDescent="0.25">
      <c r="B237" t="s">
        <v>308</v>
      </c>
      <c r="C237">
        <v>3.4574974609126801</v>
      </c>
      <c r="D237">
        <v>3.51300870100687</v>
      </c>
      <c r="E237">
        <v>3.5861625080000001</v>
      </c>
      <c r="F237">
        <v>3.7266675560000002</v>
      </c>
      <c r="G237">
        <v>3.8477228349999999</v>
      </c>
      <c r="H237">
        <v>3.6484212110000001</v>
      </c>
      <c r="I237">
        <v>3.82932184</v>
      </c>
      <c r="J237">
        <v>3.9653308269999998</v>
      </c>
      <c r="K237">
        <v>4.0428751869999999</v>
      </c>
      <c r="L237">
        <v>4.0746349759999996</v>
      </c>
      <c r="M237">
        <v>4.1088120400000001</v>
      </c>
      <c r="N237">
        <v>4.0924520199999996</v>
      </c>
      <c r="O237">
        <v>4.3060612440000003</v>
      </c>
      <c r="P237">
        <v>4.6769792959999998</v>
      </c>
      <c r="Q237">
        <v>5.1256665249999998</v>
      </c>
      <c r="R237">
        <v>5.4541374820000001</v>
      </c>
      <c r="S237">
        <v>5.7625902069999997</v>
      </c>
      <c r="T237">
        <v>5.4711711699999999</v>
      </c>
      <c r="U237">
        <v>5.1912498820000001</v>
      </c>
      <c r="V237">
        <v>4.9232193669999997</v>
      </c>
      <c r="W237">
        <v>5.1825285900000004</v>
      </c>
      <c r="X237">
        <v>5.4671403969999997</v>
      </c>
      <c r="Y237">
        <v>5.5841678740000003</v>
      </c>
      <c r="Z237">
        <v>5.6816108529999996</v>
      </c>
      <c r="AA237">
        <v>5.7764637209999998</v>
      </c>
      <c r="AB237">
        <v>5.8545175839999999</v>
      </c>
      <c r="AC237">
        <v>5.9423368590000001</v>
      </c>
      <c r="AD237">
        <v>5.9582586859999997</v>
      </c>
      <c r="AE237">
        <v>5.9721545540000003</v>
      </c>
      <c r="AF237">
        <v>5.9849859209999998</v>
      </c>
      <c r="AG237">
        <v>5.9950257169999999</v>
      </c>
      <c r="AH237">
        <v>6.0115747720000003</v>
      </c>
      <c r="AI237">
        <v>6.0258935349999998</v>
      </c>
      <c r="AJ237">
        <v>6.0380759660000001</v>
      </c>
      <c r="AK237">
        <v>6.0480358919999997</v>
      </c>
      <c r="AL237">
        <v>6.0575542609999999</v>
      </c>
      <c r="AM237">
        <v>6.0662232439999997</v>
      </c>
      <c r="AN237">
        <v>6.0716809290000002</v>
      </c>
      <c r="AO237">
        <v>6.0763390570000002</v>
      </c>
      <c r="AP237">
        <v>6.079785759</v>
      </c>
      <c r="AQ237">
        <v>6.0815434829999999</v>
      </c>
      <c r="AR237">
        <v>6.087612311</v>
      </c>
      <c r="AS237">
        <v>6.1041888010000003</v>
      </c>
      <c r="AT237">
        <v>6.1198680430000003</v>
      </c>
      <c r="AU237">
        <v>6.1346136810000003</v>
      </c>
      <c r="AV237">
        <v>6.1489035259999998</v>
      </c>
      <c r="AW237">
        <v>6.1678364019999998</v>
      </c>
    </row>
    <row r="238" spans="2:49" x14ac:dyDescent="0.25">
      <c r="B238" t="s">
        <v>309</v>
      </c>
      <c r="C238">
        <v>5.0750954082325404</v>
      </c>
      <c r="D238">
        <v>5.1565777065978304</v>
      </c>
      <c r="E238">
        <v>5.2639566870000003</v>
      </c>
      <c r="F238">
        <v>5.0567066860000001</v>
      </c>
      <c r="G238">
        <v>4.8261401839999998</v>
      </c>
      <c r="H238">
        <v>4.2299310060000002</v>
      </c>
      <c r="I238">
        <v>4.1035935769999998</v>
      </c>
      <c r="J238">
        <v>4.0052172029999999</v>
      </c>
      <c r="K238">
        <v>3.8490389029999998</v>
      </c>
      <c r="L238">
        <v>3.656585143</v>
      </c>
      <c r="M238">
        <v>3.4756695</v>
      </c>
      <c r="N238">
        <v>3.2632691469999999</v>
      </c>
      <c r="O238">
        <v>2.7172725889999998</v>
      </c>
      <c r="P238">
        <v>2.2810378999999998</v>
      </c>
      <c r="Q238">
        <v>1.860764809</v>
      </c>
      <c r="R238">
        <v>1.3833052320000001</v>
      </c>
      <c r="S238">
        <v>0.90422958679999998</v>
      </c>
      <c r="T238">
        <v>0.85863076569999996</v>
      </c>
      <c r="U238">
        <v>0.81476638140000002</v>
      </c>
      <c r="V238">
        <v>0.7726991808</v>
      </c>
      <c r="W238">
        <v>0.81339775830000005</v>
      </c>
      <c r="X238">
        <v>0.85806757560000002</v>
      </c>
      <c r="Y238">
        <v>0.87643503580000004</v>
      </c>
      <c r="Z238">
        <v>0.89172870940000004</v>
      </c>
      <c r="AA238">
        <v>0.90661586500000002</v>
      </c>
      <c r="AB238">
        <v>0.91886641729999996</v>
      </c>
      <c r="AC238">
        <v>0.93264965070000005</v>
      </c>
      <c r="AD238">
        <v>0.9351485813</v>
      </c>
      <c r="AE238">
        <v>0.93732953750000003</v>
      </c>
      <c r="AF238">
        <v>0.93934342029999995</v>
      </c>
      <c r="AG238">
        <v>0.94091916590000002</v>
      </c>
      <c r="AH238">
        <v>0.94351653980000005</v>
      </c>
      <c r="AI238">
        <v>0.9457638693</v>
      </c>
      <c r="AJ238">
        <v>0.94767590170000005</v>
      </c>
      <c r="AK238">
        <v>0.94923911189999999</v>
      </c>
      <c r="AL238">
        <v>0.95073301980000002</v>
      </c>
      <c r="AM238">
        <v>0.95209361640000001</v>
      </c>
      <c r="AN238">
        <v>0.95295019999999997</v>
      </c>
      <c r="AO238">
        <v>0.95368129300000004</v>
      </c>
      <c r="AP238">
        <v>0.95422225279999995</v>
      </c>
      <c r="AQ238">
        <v>0.95449812769999998</v>
      </c>
      <c r="AR238">
        <v>0.95545063009999998</v>
      </c>
      <c r="AS238">
        <v>0.9580523098</v>
      </c>
      <c r="AT238">
        <v>0.96051316649999996</v>
      </c>
      <c r="AU238">
        <v>0.96282749420000002</v>
      </c>
      <c r="AV238">
        <v>0.96507028500000003</v>
      </c>
      <c r="AW238">
        <v>0.96804179960000003</v>
      </c>
    </row>
    <row r="239" spans="2:49" x14ac:dyDescent="0.25">
      <c r="B239" t="s">
        <v>310</v>
      </c>
      <c r="C239">
        <v>0.35516190417563898</v>
      </c>
      <c r="D239">
        <v>0.36086414342755202</v>
      </c>
      <c r="E239">
        <v>0.36837866679999998</v>
      </c>
      <c r="F239">
        <v>0.78080376679999997</v>
      </c>
      <c r="G239">
        <v>1.170857354</v>
      </c>
      <c r="H239">
        <v>1.411658198</v>
      </c>
      <c r="I239">
        <v>1.7500024830000001</v>
      </c>
      <c r="J239">
        <v>2.0658160099999998</v>
      </c>
      <c r="K239">
        <v>2.3077534470000001</v>
      </c>
      <c r="L239">
        <v>2.4624630750000001</v>
      </c>
      <c r="M239">
        <v>2.5424155100000001</v>
      </c>
      <c r="N239">
        <v>2.4987876390000001</v>
      </c>
      <c r="O239">
        <v>2.6577270710000001</v>
      </c>
      <c r="P239">
        <v>2.9149415940000001</v>
      </c>
      <c r="Q239">
        <v>3.2232104619999999</v>
      </c>
      <c r="R239">
        <v>3.458163104</v>
      </c>
      <c r="S239">
        <v>3.6819429349999999</v>
      </c>
      <c r="T239">
        <v>3.834726598</v>
      </c>
      <c r="U239">
        <v>3.9939679890000002</v>
      </c>
      <c r="V239">
        <v>4.162361347</v>
      </c>
      <c r="W239">
        <v>4.3815956749999998</v>
      </c>
      <c r="X239">
        <v>4.6222222029999998</v>
      </c>
      <c r="Y239">
        <v>4.7211636910000001</v>
      </c>
      <c r="Z239">
        <v>4.8035473629999998</v>
      </c>
      <c r="AA239">
        <v>4.8837412120000003</v>
      </c>
      <c r="AB239">
        <v>4.9497322549999998</v>
      </c>
      <c r="AC239">
        <v>5.0239795159999998</v>
      </c>
      <c r="AD239">
        <v>5.0374407080000001</v>
      </c>
      <c r="AE239">
        <v>5.0491890420000001</v>
      </c>
      <c r="AF239">
        <v>5.0600373879999996</v>
      </c>
      <c r="AG239">
        <v>5.0685255849999997</v>
      </c>
      <c r="AH239">
        <v>5.0825170689999997</v>
      </c>
      <c r="AI239">
        <v>5.094622942</v>
      </c>
      <c r="AJ239">
        <v>5.104922642</v>
      </c>
      <c r="AK239">
        <v>5.1133433119999996</v>
      </c>
      <c r="AL239">
        <v>5.121390667</v>
      </c>
      <c r="AM239">
        <v>5.1287199030000004</v>
      </c>
      <c r="AN239">
        <v>5.1333341319999999</v>
      </c>
      <c r="AO239">
        <v>5.1372723699999998</v>
      </c>
      <c r="AP239">
        <v>5.1401864020000003</v>
      </c>
      <c r="AQ239">
        <v>5.1416724790000004</v>
      </c>
      <c r="AR239">
        <v>5.1468034009999997</v>
      </c>
      <c r="AS239">
        <v>5.1608180800000003</v>
      </c>
      <c r="AT239">
        <v>5.1740741769999996</v>
      </c>
      <c r="AU239">
        <v>5.1865409539999998</v>
      </c>
      <c r="AV239">
        <v>5.1986223770000004</v>
      </c>
      <c r="AW239">
        <v>5.2146292750000001</v>
      </c>
    </row>
    <row r="240" spans="2:49" x14ac:dyDescent="0.25">
      <c r="B240" t="s">
        <v>311</v>
      </c>
      <c r="C240">
        <v>7.99114284395189E-2</v>
      </c>
      <c r="D240">
        <v>8.1194432271199296E-2</v>
      </c>
      <c r="E240">
        <v>8.2885200000000006E-2</v>
      </c>
      <c r="F240">
        <v>0.1125832751</v>
      </c>
      <c r="G240">
        <v>0.15189998139999999</v>
      </c>
      <c r="H240">
        <v>0.1881720318</v>
      </c>
      <c r="I240">
        <v>0.25796727219999999</v>
      </c>
      <c r="J240">
        <v>0.35367205330000001</v>
      </c>
      <c r="K240">
        <v>0.47639257680000002</v>
      </c>
      <c r="L240">
        <v>0.63318363950000001</v>
      </c>
      <c r="M240">
        <v>0.84073713729999999</v>
      </c>
      <c r="N240">
        <v>1.101228527</v>
      </c>
      <c r="O240">
        <v>1.17127395</v>
      </c>
      <c r="P240">
        <v>1.2846297090000001</v>
      </c>
      <c r="Q240">
        <v>1.4204853799999999</v>
      </c>
      <c r="R240">
        <v>1.5240302139999999</v>
      </c>
      <c r="S240">
        <v>1.622651133</v>
      </c>
      <c r="T240">
        <v>1.6667567029999999</v>
      </c>
      <c r="U240">
        <v>1.713829171</v>
      </c>
      <c r="V240">
        <v>1.7648883719999999</v>
      </c>
      <c r="W240">
        <v>1.857846211</v>
      </c>
      <c r="X240">
        <v>1.9598745849999999</v>
      </c>
      <c r="Y240">
        <v>2.0018268969999999</v>
      </c>
      <c r="Z240">
        <v>2.0367585070000001</v>
      </c>
      <c r="AA240">
        <v>2.0707616080000002</v>
      </c>
      <c r="AB240">
        <v>2.0987425580000001</v>
      </c>
      <c r="AC240">
        <v>2.1302242379999998</v>
      </c>
      <c r="AD240">
        <v>2.135931936</v>
      </c>
      <c r="AE240">
        <v>2.140913362</v>
      </c>
      <c r="AF240">
        <v>2.1455131839999999</v>
      </c>
      <c r="AG240">
        <v>2.1491122749999998</v>
      </c>
      <c r="AH240">
        <v>2.1550448229999999</v>
      </c>
      <c r="AI240">
        <v>2.1601778500000002</v>
      </c>
      <c r="AJ240">
        <v>2.1645450400000001</v>
      </c>
      <c r="AK240">
        <v>2.1681154999999999</v>
      </c>
      <c r="AL240">
        <v>2.171527669</v>
      </c>
      <c r="AM240">
        <v>2.1746353489999999</v>
      </c>
      <c r="AN240">
        <v>2.1765918339999999</v>
      </c>
      <c r="AO240">
        <v>2.1782616909999999</v>
      </c>
      <c r="AP240">
        <v>2.179497274</v>
      </c>
      <c r="AQ240">
        <v>2.1801273870000002</v>
      </c>
      <c r="AR240">
        <v>2.1823029570000001</v>
      </c>
      <c r="AS240">
        <v>2.1882453389999998</v>
      </c>
      <c r="AT240">
        <v>2.1938660740000002</v>
      </c>
      <c r="AU240">
        <v>2.1991521289999998</v>
      </c>
      <c r="AV240">
        <v>2.2042747889999998</v>
      </c>
      <c r="AW240">
        <v>2.2110618959999999</v>
      </c>
    </row>
    <row r="241" spans="2:49" x14ac:dyDescent="0.25">
      <c r="B241" t="s">
        <v>312</v>
      </c>
      <c r="C241">
        <v>4.4799793836545803</v>
      </c>
      <c r="D241">
        <v>4.5519069017495504</v>
      </c>
      <c r="E241">
        <v>4.6466944039999998</v>
      </c>
      <c r="F241">
        <v>4.593597183</v>
      </c>
      <c r="G241">
        <v>4.5112032329999998</v>
      </c>
      <c r="H241">
        <v>4.0680848300000001</v>
      </c>
      <c r="I241">
        <v>4.0601799410000003</v>
      </c>
      <c r="J241">
        <v>3.9715410850000001</v>
      </c>
      <c r="K241">
        <v>3.824114716</v>
      </c>
      <c r="L241">
        <v>3.6395417170000002</v>
      </c>
      <c r="M241">
        <v>3.465708335</v>
      </c>
      <c r="N241">
        <v>3.2599771780000002</v>
      </c>
      <c r="O241">
        <v>3.4719637369999998</v>
      </c>
      <c r="P241">
        <v>3.8130451920000001</v>
      </c>
      <c r="Q241">
        <v>4.2218789149999996</v>
      </c>
      <c r="R241">
        <v>4.5356060920000001</v>
      </c>
      <c r="S241">
        <v>4.8354556579999999</v>
      </c>
      <c r="T241">
        <v>5.015557641</v>
      </c>
      <c r="U241">
        <v>5.2044949689999997</v>
      </c>
      <c r="V241">
        <v>5.4056572320000003</v>
      </c>
      <c r="W241">
        <v>5.6903767780000001</v>
      </c>
      <c r="X241">
        <v>6.002878366</v>
      </c>
      <c r="Y241">
        <v>6.1313736419999998</v>
      </c>
      <c r="Z241">
        <v>6.2383652869999997</v>
      </c>
      <c r="AA241">
        <v>6.3425130110000003</v>
      </c>
      <c r="AB241">
        <v>6.4282155559999996</v>
      </c>
      <c r="AC241">
        <v>6.5246404489999996</v>
      </c>
      <c r="AD241">
        <v>6.542122494</v>
      </c>
      <c r="AE241">
        <v>6.5573800499999999</v>
      </c>
      <c r="AF241">
        <v>6.5714687930000002</v>
      </c>
      <c r="AG241">
        <v>6.5824924119999997</v>
      </c>
      <c r="AH241">
        <v>6.6006631479999998</v>
      </c>
      <c r="AI241">
        <v>6.6163850399999999</v>
      </c>
      <c r="AJ241">
        <v>6.6297612570000002</v>
      </c>
      <c r="AK241">
        <v>6.640697179</v>
      </c>
      <c r="AL241">
        <v>6.6511482759999998</v>
      </c>
      <c r="AM241">
        <v>6.6606667530000001</v>
      </c>
      <c r="AN241">
        <v>6.6666592490000003</v>
      </c>
      <c r="AO241">
        <v>6.6717738369999999</v>
      </c>
      <c r="AP241">
        <v>6.6755582899999997</v>
      </c>
      <c r="AQ241">
        <v>6.6774882580000003</v>
      </c>
      <c r="AR241">
        <v>6.6841517850000001</v>
      </c>
      <c r="AS241">
        <v>6.7023526440000003</v>
      </c>
      <c r="AT241">
        <v>6.7195683319999997</v>
      </c>
      <c r="AU241">
        <v>6.7357589300000003</v>
      </c>
      <c r="AV241">
        <v>6.7514490699999996</v>
      </c>
      <c r="AW241">
        <v>6.7722372240000004</v>
      </c>
    </row>
    <row r="242" spans="2:49" x14ac:dyDescent="0.25">
      <c r="B242" t="s">
        <v>313</v>
      </c>
      <c r="C242">
        <v>1.4169855567767899</v>
      </c>
      <c r="D242">
        <v>1.4397357182278101</v>
      </c>
      <c r="E242">
        <v>1.46971633</v>
      </c>
      <c r="F242">
        <v>1.7278561859999999</v>
      </c>
      <c r="G242">
        <v>2.0179872620000001</v>
      </c>
      <c r="H242">
        <v>2.1641642619999999</v>
      </c>
      <c r="I242">
        <v>2.5687351039999999</v>
      </c>
      <c r="J242">
        <v>2.8595821369999999</v>
      </c>
      <c r="K242">
        <v>3.1283303990000002</v>
      </c>
      <c r="L242">
        <v>3.3774767040000002</v>
      </c>
      <c r="M242">
        <v>3.6431686910000001</v>
      </c>
      <c r="N242">
        <v>3.8767476109999999</v>
      </c>
      <c r="O242">
        <v>3.531079332</v>
      </c>
      <c r="P242">
        <v>3.3223432079999999</v>
      </c>
      <c r="Q242">
        <v>3.1519448250000002</v>
      </c>
      <c r="R242">
        <v>2.8971572160000001</v>
      </c>
      <c r="S242">
        <v>2.6342868890000002</v>
      </c>
      <c r="T242">
        <v>2.7555140260000002</v>
      </c>
      <c r="U242">
        <v>2.882150609</v>
      </c>
      <c r="V242">
        <v>3.0162084010000001</v>
      </c>
      <c r="W242">
        <v>3.1750740940000002</v>
      </c>
      <c r="X242">
        <v>3.3494414049999999</v>
      </c>
      <c r="Y242">
        <v>3.4211382430000001</v>
      </c>
      <c r="Z242">
        <v>3.4808366450000001</v>
      </c>
      <c r="AA242">
        <v>3.5389482170000002</v>
      </c>
      <c r="AB242">
        <v>3.586767885</v>
      </c>
      <c r="AC242">
        <v>3.6405703300000001</v>
      </c>
      <c r="AD242">
        <v>3.6503248309999998</v>
      </c>
      <c r="AE242">
        <v>3.6588381289999998</v>
      </c>
      <c r="AF242">
        <v>3.6666992610000002</v>
      </c>
      <c r="AG242">
        <v>3.6728501379999998</v>
      </c>
      <c r="AH242">
        <v>3.6829889100000002</v>
      </c>
      <c r="AI242">
        <v>3.691761294</v>
      </c>
      <c r="AJ242">
        <v>3.6992248559999998</v>
      </c>
      <c r="AK242">
        <v>3.705326801</v>
      </c>
      <c r="AL242">
        <v>3.7111582259999998</v>
      </c>
      <c r="AM242">
        <v>3.7164692750000001</v>
      </c>
      <c r="AN242">
        <v>3.7198129230000001</v>
      </c>
      <c r="AO242">
        <v>3.7226667230000001</v>
      </c>
      <c r="AP242">
        <v>3.7247783440000002</v>
      </c>
      <c r="AQ242">
        <v>3.725855213</v>
      </c>
      <c r="AR242">
        <v>3.7295732780000002</v>
      </c>
      <c r="AS242">
        <v>3.7397288579999999</v>
      </c>
      <c r="AT242">
        <v>3.749334739</v>
      </c>
      <c r="AU242">
        <v>3.7583686489999999</v>
      </c>
      <c r="AV242">
        <v>3.7671233169999998</v>
      </c>
      <c r="AW242">
        <v>3.7787225360000001</v>
      </c>
    </row>
    <row r="243" spans="2:49" x14ac:dyDescent="0.25">
      <c r="B243" t="s">
        <v>314</v>
      </c>
      <c r="C243">
        <v>114.221490567207</v>
      </c>
      <c r="D243">
        <v>116.055353544252</v>
      </c>
      <c r="E243">
        <v>118.4720543</v>
      </c>
      <c r="F243">
        <v>123.7764739</v>
      </c>
      <c r="G243">
        <v>128.4778666</v>
      </c>
      <c r="H243">
        <v>122.46467250000001</v>
      </c>
      <c r="I243">
        <v>129.2057921</v>
      </c>
      <c r="J243">
        <v>131.29348289999999</v>
      </c>
      <c r="K243">
        <v>131.1576139</v>
      </c>
      <c r="L243">
        <v>129.3418686</v>
      </c>
      <c r="M243">
        <v>127.4633855</v>
      </c>
      <c r="N243">
        <v>123.9363709</v>
      </c>
      <c r="O243">
        <v>116.7247259</v>
      </c>
      <c r="P243">
        <v>113.9230293</v>
      </c>
      <c r="Q243">
        <v>112.53771639999999</v>
      </c>
      <c r="R243">
        <v>108.1948385</v>
      </c>
      <c r="S243">
        <v>103.46436180000001</v>
      </c>
      <c r="T243">
        <v>101.4106618</v>
      </c>
      <c r="U243">
        <v>99.570109340000002</v>
      </c>
      <c r="V243">
        <v>97.972637719999994</v>
      </c>
      <c r="W243">
        <v>103.1329214</v>
      </c>
      <c r="X243">
        <v>108.7967294</v>
      </c>
      <c r="Y243">
        <v>111.12558989999999</v>
      </c>
      <c r="Z243">
        <v>113.0647165</v>
      </c>
      <c r="AA243">
        <v>114.9522995</v>
      </c>
      <c r="AB243">
        <v>116.50558049999999</v>
      </c>
      <c r="AC243">
        <v>118.2531943</v>
      </c>
      <c r="AD243">
        <v>118.5700405</v>
      </c>
      <c r="AE243">
        <v>118.84656990000001</v>
      </c>
      <c r="AF243">
        <v>119.1019156</v>
      </c>
      <c r="AG243">
        <v>119.30170870000001</v>
      </c>
      <c r="AH243">
        <v>119.6310368</v>
      </c>
      <c r="AI243">
        <v>119.9159818</v>
      </c>
      <c r="AJ243">
        <v>120.1584136</v>
      </c>
      <c r="AK243">
        <v>120.3566173</v>
      </c>
      <c r="AL243">
        <v>120.54603400000001</v>
      </c>
      <c r="AM243">
        <v>120.7185477</v>
      </c>
      <c r="AN243">
        <v>120.8271563</v>
      </c>
      <c r="AO243">
        <v>120.9198536</v>
      </c>
      <c r="AP243">
        <v>120.98844339999999</v>
      </c>
      <c r="AQ243">
        <v>121.02342229999999</v>
      </c>
      <c r="AR243">
        <v>121.1441927</v>
      </c>
      <c r="AS243">
        <v>121.47406669999999</v>
      </c>
      <c r="AT243">
        <v>121.7860855</v>
      </c>
      <c r="AU243">
        <v>122.07952539999999</v>
      </c>
      <c r="AV243">
        <v>122.363895</v>
      </c>
      <c r="AW243">
        <v>122.74066139999999</v>
      </c>
    </row>
    <row r="244" spans="2:49" x14ac:dyDescent="0.25">
      <c r="B244" t="s">
        <v>315</v>
      </c>
      <c r="C244">
        <v>1.2736350545564401</v>
      </c>
      <c r="D244">
        <v>1.2940836773262701</v>
      </c>
      <c r="E244">
        <v>1.321031276</v>
      </c>
      <c r="F244">
        <v>1.305717317</v>
      </c>
      <c r="G244">
        <v>1.282218214</v>
      </c>
      <c r="H244">
        <v>1.156314313</v>
      </c>
      <c r="I244">
        <v>1.154217268</v>
      </c>
      <c r="J244">
        <v>1.0852763080000001</v>
      </c>
      <c r="K244">
        <v>1.0033692249999999</v>
      </c>
      <c r="L244">
        <v>0.91595645329999997</v>
      </c>
      <c r="M244">
        <v>0.83580366959999997</v>
      </c>
      <c r="N244">
        <v>0.75271214379999996</v>
      </c>
      <c r="O244">
        <v>0.65039897209999997</v>
      </c>
      <c r="P244">
        <v>0.57370511550000003</v>
      </c>
      <c r="Q244">
        <v>0.5019780694</v>
      </c>
      <c r="R244">
        <v>0.41556582460000002</v>
      </c>
      <c r="S244">
        <v>0.32808931889999998</v>
      </c>
      <c r="T244">
        <v>0.43317480390000002</v>
      </c>
      <c r="U244">
        <v>0.54108923779999996</v>
      </c>
      <c r="V244">
        <v>0.65272665129999996</v>
      </c>
      <c r="W244">
        <v>0.68710619620000002</v>
      </c>
      <c r="X244">
        <v>0.72484038949999996</v>
      </c>
      <c r="Y244">
        <v>0.74035604050000003</v>
      </c>
      <c r="Z244">
        <v>0.75327515389999999</v>
      </c>
      <c r="AA244">
        <v>0.76585086710000005</v>
      </c>
      <c r="AB244">
        <v>0.77619934690000003</v>
      </c>
      <c r="AC244">
        <v>0.7878425375</v>
      </c>
      <c r="AD244">
        <v>0.78995347360000001</v>
      </c>
      <c r="AE244">
        <v>0.79179580530000004</v>
      </c>
      <c r="AF244">
        <v>0.79349700420000002</v>
      </c>
      <c r="AG244">
        <v>0.79482809300000001</v>
      </c>
      <c r="AH244">
        <v>0.79702218759999999</v>
      </c>
      <c r="AI244">
        <v>0.79892058730000004</v>
      </c>
      <c r="AJ244">
        <v>0.80053574949999995</v>
      </c>
      <c r="AK244">
        <v>0.80185624909999997</v>
      </c>
      <c r="AL244">
        <v>0.80311820649999999</v>
      </c>
      <c r="AM244">
        <v>0.80426755120000004</v>
      </c>
      <c r="AN244">
        <v>0.80499113799999999</v>
      </c>
      <c r="AO244">
        <v>0.80560871840000003</v>
      </c>
      <c r="AP244">
        <v>0.80606568649999999</v>
      </c>
      <c r="AQ244" s="39">
        <v>0.80629872790000001</v>
      </c>
      <c r="AR244" s="39">
        <v>0.80710334080000001</v>
      </c>
      <c r="AS244" s="39">
        <v>0.80930107269999996</v>
      </c>
      <c r="AT244" s="39">
        <v>0.81137984649999995</v>
      </c>
      <c r="AU244" s="39">
        <v>0.81333484190000005</v>
      </c>
      <c r="AV244" s="39">
        <v>0.81522940759999996</v>
      </c>
      <c r="AW244" s="39">
        <v>0.81773955229999995</v>
      </c>
    </row>
    <row r="245" spans="2:49" x14ac:dyDescent="0.25">
      <c r="B245" t="s">
        <v>316</v>
      </c>
      <c r="C245">
        <v>3.4574974609126801</v>
      </c>
      <c r="D245">
        <v>3.51300870100687</v>
      </c>
      <c r="E245">
        <v>3.5861625080000001</v>
      </c>
      <c r="F245">
        <v>3.7266675560000002</v>
      </c>
      <c r="G245">
        <v>3.8477228349999999</v>
      </c>
      <c r="H245">
        <v>3.6484212110000001</v>
      </c>
      <c r="I245">
        <v>3.82932184</v>
      </c>
      <c r="J245">
        <v>3.9653308269999998</v>
      </c>
      <c r="K245">
        <v>4.0428751869999999</v>
      </c>
      <c r="L245">
        <v>4.0746349759999996</v>
      </c>
      <c r="M245">
        <v>4.1088120400000001</v>
      </c>
      <c r="N245">
        <v>4.0924520199999996</v>
      </c>
      <c r="O245">
        <v>4.3060612440000003</v>
      </c>
      <c r="P245">
        <v>4.6769792959999998</v>
      </c>
      <c r="Q245">
        <v>5.1256665249999998</v>
      </c>
      <c r="R245">
        <v>5.4541374820000001</v>
      </c>
      <c r="S245">
        <v>5.7625902069999997</v>
      </c>
      <c r="T245">
        <v>5.4711711699999999</v>
      </c>
      <c r="U245">
        <v>5.1912498820000001</v>
      </c>
      <c r="V245">
        <v>4.9232193669999997</v>
      </c>
      <c r="W245">
        <v>5.1825285900000004</v>
      </c>
      <c r="X245">
        <v>5.4671403969999997</v>
      </c>
      <c r="Y245">
        <v>5.5841678740000003</v>
      </c>
      <c r="Z245">
        <v>5.6816108529999996</v>
      </c>
      <c r="AA245">
        <v>5.7764637209999998</v>
      </c>
      <c r="AB245">
        <v>5.8545175839999999</v>
      </c>
      <c r="AC245">
        <v>5.9423368590000001</v>
      </c>
      <c r="AD245">
        <v>5.9582586859999997</v>
      </c>
      <c r="AE245">
        <v>5.9721545540000003</v>
      </c>
      <c r="AF245">
        <v>5.9849859209999998</v>
      </c>
      <c r="AG245">
        <v>5.9950257169999999</v>
      </c>
      <c r="AH245">
        <v>6.0115747720000003</v>
      </c>
      <c r="AI245">
        <v>6.0258935349999998</v>
      </c>
      <c r="AJ245">
        <v>6.0380759660000001</v>
      </c>
      <c r="AK245">
        <v>6.0480358919999997</v>
      </c>
      <c r="AL245">
        <v>6.0575542609999999</v>
      </c>
      <c r="AM245">
        <v>6.0662232439999997</v>
      </c>
      <c r="AN245">
        <v>6.0716809290000002</v>
      </c>
      <c r="AO245">
        <v>6.0763390570000002</v>
      </c>
      <c r="AP245">
        <v>6.079785759</v>
      </c>
      <c r="AQ245">
        <v>6.0815434829999999</v>
      </c>
      <c r="AR245">
        <v>6.087612311</v>
      </c>
      <c r="AS245">
        <v>6.1041888010000003</v>
      </c>
      <c r="AT245">
        <v>6.1198680430000003</v>
      </c>
      <c r="AU245">
        <v>6.1346136810000003</v>
      </c>
      <c r="AV245">
        <v>6.1489035259999998</v>
      </c>
      <c r="AW245">
        <v>6.1678364019999998</v>
      </c>
    </row>
    <row r="246" spans="2:49" x14ac:dyDescent="0.25">
      <c r="B246" t="s">
        <v>317</v>
      </c>
      <c r="C246">
        <v>5.0750954082325404</v>
      </c>
      <c r="D246">
        <v>5.1565777065978304</v>
      </c>
      <c r="E246">
        <v>5.2639566870000003</v>
      </c>
      <c r="F246">
        <v>5.0567066860000001</v>
      </c>
      <c r="G246">
        <v>4.8261401839999998</v>
      </c>
      <c r="H246">
        <v>4.2299310060000002</v>
      </c>
      <c r="I246">
        <v>4.1035935769999998</v>
      </c>
      <c r="J246">
        <v>4.0052172029999999</v>
      </c>
      <c r="K246">
        <v>3.8490389029999998</v>
      </c>
      <c r="L246">
        <v>3.656585143</v>
      </c>
      <c r="M246">
        <v>3.4756695</v>
      </c>
      <c r="N246">
        <v>3.2632691469999999</v>
      </c>
      <c r="O246">
        <v>2.7172725889999998</v>
      </c>
      <c r="P246">
        <v>2.2810378999999998</v>
      </c>
      <c r="Q246">
        <v>1.860764809</v>
      </c>
      <c r="R246">
        <v>1.3833052320000001</v>
      </c>
      <c r="S246">
        <v>0.90422958679999998</v>
      </c>
      <c r="T246">
        <v>0.85863076569999996</v>
      </c>
      <c r="U246">
        <v>0.81476638140000002</v>
      </c>
      <c r="V246">
        <v>0.7726991808</v>
      </c>
      <c r="W246">
        <v>0.81339775830000005</v>
      </c>
      <c r="X246">
        <v>0.85806757560000002</v>
      </c>
      <c r="Y246">
        <v>0.87643503580000004</v>
      </c>
      <c r="Z246">
        <v>0.89172870940000004</v>
      </c>
      <c r="AA246">
        <v>0.90661586500000002</v>
      </c>
      <c r="AB246">
        <v>0.91886641729999996</v>
      </c>
      <c r="AC246">
        <v>0.93264965070000005</v>
      </c>
      <c r="AD246">
        <v>0.9351485813</v>
      </c>
      <c r="AE246">
        <v>0.93732953750000003</v>
      </c>
      <c r="AF246">
        <v>0.93934342029999995</v>
      </c>
      <c r="AG246">
        <v>0.94091916590000002</v>
      </c>
      <c r="AH246">
        <v>0.94351653980000005</v>
      </c>
      <c r="AI246">
        <v>0.9457638693</v>
      </c>
      <c r="AJ246">
        <v>0.94767590170000005</v>
      </c>
      <c r="AK246">
        <v>0.94923911189999999</v>
      </c>
      <c r="AL246">
        <v>0.95073301980000002</v>
      </c>
      <c r="AM246">
        <v>0.95209361640000001</v>
      </c>
      <c r="AN246">
        <v>0.95295019999999997</v>
      </c>
      <c r="AO246">
        <v>0.95368129300000004</v>
      </c>
      <c r="AP246">
        <v>0.95422225279999995</v>
      </c>
      <c r="AQ246">
        <v>0.95449812769999998</v>
      </c>
      <c r="AR246">
        <v>0.95545063009999998</v>
      </c>
      <c r="AS246">
        <v>0.9580523098</v>
      </c>
      <c r="AT246">
        <v>0.96051316649999996</v>
      </c>
      <c r="AU246">
        <v>0.96282749420000002</v>
      </c>
      <c r="AV246">
        <v>0.96507028500000003</v>
      </c>
      <c r="AW246">
        <v>0.96804179960000003</v>
      </c>
    </row>
    <row r="247" spans="2:49" x14ac:dyDescent="0.25">
      <c r="B247" t="s">
        <v>318</v>
      </c>
      <c r="C247">
        <v>0.35516190417563898</v>
      </c>
      <c r="D247">
        <v>0.36086414342755202</v>
      </c>
      <c r="E247">
        <v>0.36837866679999998</v>
      </c>
      <c r="F247">
        <v>0.78080376679999997</v>
      </c>
      <c r="G247">
        <v>1.170857354</v>
      </c>
      <c r="H247">
        <v>1.411658198</v>
      </c>
      <c r="I247">
        <v>1.7500024830000001</v>
      </c>
      <c r="J247">
        <v>2.0658160099999998</v>
      </c>
      <c r="K247">
        <v>2.3077534470000001</v>
      </c>
      <c r="L247">
        <v>2.4624630750000001</v>
      </c>
      <c r="M247">
        <v>2.5424155100000001</v>
      </c>
      <c r="N247">
        <v>2.4987876390000001</v>
      </c>
      <c r="O247">
        <v>2.6577270710000001</v>
      </c>
      <c r="P247">
        <v>2.9149415940000001</v>
      </c>
      <c r="Q247">
        <v>3.2232104619999999</v>
      </c>
      <c r="R247">
        <v>3.458163104</v>
      </c>
      <c r="S247">
        <v>3.6819429349999999</v>
      </c>
      <c r="T247">
        <v>3.834726598</v>
      </c>
      <c r="U247">
        <v>3.9939679890000002</v>
      </c>
      <c r="V247">
        <v>4.162361347</v>
      </c>
      <c r="W247">
        <v>4.3815956749999998</v>
      </c>
      <c r="X247">
        <v>4.6222222029999998</v>
      </c>
      <c r="Y247">
        <v>4.7211636910000001</v>
      </c>
      <c r="Z247">
        <v>4.8035473629999998</v>
      </c>
      <c r="AA247">
        <v>4.8837412120000003</v>
      </c>
      <c r="AB247">
        <v>4.9497322549999998</v>
      </c>
      <c r="AC247">
        <v>5.0239795159999998</v>
      </c>
      <c r="AD247">
        <v>5.0374407080000001</v>
      </c>
      <c r="AE247">
        <v>5.0491890420000001</v>
      </c>
      <c r="AF247">
        <v>5.0600373879999996</v>
      </c>
      <c r="AG247">
        <v>5.0685255849999997</v>
      </c>
      <c r="AH247">
        <v>5.0825170689999997</v>
      </c>
      <c r="AI247">
        <v>5.094622942</v>
      </c>
      <c r="AJ247">
        <v>5.104922642</v>
      </c>
      <c r="AK247">
        <v>5.1133433119999996</v>
      </c>
      <c r="AL247">
        <v>5.121390667</v>
      </c>
      <c r="AM247">
        <v>5.1287199030000004</v>
      </c>
      <c r="AN247">
        <v>5.1333341319999999</v>
      </c>
      <c r="AO247">
        <v>5.1372723699999998</v>
      </c>
      <c r="AP247">
        <v>5.1401864020000003</v>
      </c>
      <c r="AQ247">
        <v>5.1416724790000004</v>
      </c>
      <c r="AR247">
        <v>5.1468034009999997</v>
      </c>
      <c r="AS247">
        <v>5.1608180800000003</v>
      </c>
      <c r="AT247">
        <v>5.1740741769999996</v>
      </c>
      <c r="AU247">
        <v>5.1865409539999998</v>
      </c>
      <c r="AV247">
        <v>5.1986223770000004</v>
      </c>
      <c r="AW247">
        <v>5.2146292750000001</v>
      </c>
    </row>
    <row r="248" spans="2:49" x14ac:dyDescent="0.25">
      <c r="B248" t="s">
        <v>319</v>
      </c>
      <c r="C248">
        <v>7.99114284395189E-2</v>
      </c>
      <c r="D248">
        <v>8.1194432271199296E-2</v>
      </c>
      <c r="E248">
        <v>8.2885200000000006E-2</v>
      </c>
      <c r="F248">
        <v>0.1125832751</v>
      </c>
      <c r="G248">
        <v>0.15189998139999999</v>
      </c>
      <c r="H248">
        <v>0.1881720318</v>
      </c>
      <c r="I248">
        <v>0.25796727219999999</v>
      </c>
      <c r="J248">
        <v>0.35367205330000001</v>
      </c>
      <c r="K248">
        <v>0.47639257680000002</v>
      </c>
      <c r="L248">
        <v>0.63318363950000001</v>
      </c>
      <c r="M248">
        <v>0.84073713729999999</v>
      </c>
      <c r="N248">
        <v>1.101228527</v>
      </c>
      <c r="O248">
        <v>1.17127395</v>
      </c>
      <c r="P248">
        <v>1.2846297090000001</v>
      </c>
      <c r="Q248">
        <v>1.4204853799999999</v>
      </c>
      <c r="R248">
        <v>1.5240302139999999</v>
      </c>
      <c r="S248">
        <v>1.622651133</v>
      </c>
      <c r="T248">
        <v>1.6667567029999999</v>
      </c>
      <c r="U248">
        <v>1.713829171</v>
      </c>
      <c r="V248">
        <v>1.7648883719999999</v>
      </c>
      <c r="W248">
        <v>1.857846211</v>
      </c>
      <c r="X248">
        <v>1.9598745849999999</v>
      </c>
      <c r="Y248">
        <v>2.0018268969999999</v>
      </c>
      <c r="Z248">
        <v>2.0367585070000001</v>
      </c>
      <c r="AA248">
        <v>2.0707616080000002</v>
      </c>
      <c r="AB248">
        <v>2.0987425580000001</v>
      </c>
      <c r="AC248">
        <v>2.1302242379999998</v>
      </c>
      <c r="AD248">
        <v>2.135931936</v>
      </c>
      <c r="AE248">
        <v>2.140913362</v>
      </c>
      <c r="AF248">
        <v>2.1455131839999999</v>
      </c>
      <c r="AG248">
        <v>2.1491122749999998</v>
      </c>
      <c r="AH248">
        <v>2.1550448229999999</v>
      </c>
      <c r="AI248">
        <v>2.1601778500000002</v>
      </c>
      <c r="AJ248">
        <v>2.1645450400000001</v>
      </c>
      <c r="AK248">
        <v>2.1681154999999999</v>
      </c>
      <c r="AL248">
        <v>2.171527669</v>
      </c>
      <c r="AM248">
        <v>2.1746353489999999</v>
      </c>
      <c r="AN248">
        <v>2.1765918339999999</v>
      </c>
      <c r="AO248">
        <v>2.1782616909999999</v>
      </c>
      <c r="AP248">
        <v>2.179497274</v>
      </c>
      <c r="AQ248">
        <v>2.1801273870000002</v>
      </c>
      <c r="AR248">
        <v>2.1823029570000001</v>
      </c>
      <c r="AS248">
        <v>2.1882453389999998</v>
      </c>
      <c r="AT248">
        <v>2.1938660740000002</v>
      </c>
      <c r="AU248">
        <v>2.1991521289999998</v>
      </c>
      <c r="AV248">
        <v>2.2042747889999998</v>
      </c>
      <c r="AW248">
        <v>2.2110618959999999</v>
      </c>
    </row>
    <row r="249" spans="2:49" x14ac:dyDescent="0.25">
      <c r="B249" t="s">
        <v>320</v>
      </c>
      <c r="C249">
        <v>4.4799793836545803</v>
      </c>
      <c r="D249">
        <v>4.5519069017495504</v>
      </c>
      <c r="E249">
        <v>4.6466944039999998</v>
      </c>
      <c r="F249">
        <v>4.593597183</v>
      </c>
      <c r="G249">
        <v>4.5112032329999998</v>
      </c>
      <c r="H249">
        <v>4.0680848300000001</v>
      </c>
      <c r="I249">
        <v>4.0601799410000003</v>
      </c>
      <c r="J249">
        <v>3.9715410850000001</v>
      </c>
      <c r="K249">
        <v>3.824114716</v>
      </c>
      <c r="L249">
        <v>3.6395417170000002</v>
      </c>
      <c r="M249">
        <v>3.465708335</v>
      </c>
      <c r="N249">
        <v>3.2599771780000002</v>
      </c>
      <c r="O249">
        <v>3.4719637369999998</v>
      </c>
      <c r="P249">
        <v>3.8130451920000001</v>
      </c>
      <c r="Q249">
        <v>4.2218789149999996</v>
      </c>
      <c r="R249">
        <v>4.5356060920000001</v>
      </c>
      <c r="S249">
        <v>4.8354556579999999</v>
      </c>
      <c r="T249">
        <v>5.015557641</v>
      </c>
      <c r="U249">
        <v>5.2044949689999997</v>
      </c>
      <c r="V249">
        <v>5.4056572320000003</v>
      </c>
      <c r="W249">
        <v>5.6903767780000001</v>
      </c>
      <c r="X249">
        <v>6.002878366</v>
      </c>
      <c r="Y249">
        <v>6.1313736419999998</v>
      </c>
      <c r="Z249">
        <v>6.2383652869999997</v>
      </c>
      <c r="AA249">
        <v>6.3425130110000003</v>
      </c>
      <c r="AB249">
        <v>6.4282155559999996</v>
      </c>
      <c r="AC249">
        <v>6.5246404489999996</v>
      </c>
      <c r="AD249">
        <v>6.542122494</v>
      </c>
      <c r="AE249">
        <v>6.5573800499999999</v>
      </c>
      <c r="AF249">
        <v>6.5714687930000002</v>
      </c>
      <c r="AG249">
        <v>6.5824924119999997</v>
      </c>
      <c r="AH249">
        <v>6.6006631479999998</v>
      </c>
      <c r="AI249">
        <v>6.6163850399999999</v>
      </c>
      <c r="AJ249">
        <v>6.6297612570000002</v>
      </c>
      <c r="AK249">
        <v>6.640697179</v>
      </c>
      <c r="AL249">
        <v>6.6511482759999998</v>
      </c>
      <c r="AM249">
        <v>6.6606667530000001</v>
      </c>
      <c r="AN249">
        <v>6.6666592490000003</v>
      </c>
      <c r="AO249">
        <v>6.6717738369999999</v>
      </c>
      <c r="AP249">
        <v>6.6755582899999997</v>
      </c>
      <c r="AQ249">
        <v>6.6774882580000003</v>
      </c>
      <c r="AR249">
        <v>6.6841517850000001</v>
      </c>
      <c r="AS249">
        <v>6.7023526440000003</v>
      </c>
      <c r="AT249">
        <v>6.7195683319999997</v>
      </c>
      <c r="AU249">
        <v>6.7357589300000003</v>
      </c>
      <c r="AV249">
        <v>6.7514490699999996</v>
      </c>
      <c r="AW249">
        <v>6.7722372240000004</v>
      </c>
    </row>
    <row r="250" spans="2:49" x14ac:dyDescent="0.25">
      <c r="B250" t="s">
        <v>321</v>
      </c>
      <c r="C250">
        <v>1.4169855567767899</v>
      </c>
      <c r="D250">
        <v>1.4397357182278101</v>
      </c>
      <c r="E250">
        <v>1.46971633</v>
      </c>
      <c r="F250">
        <v>1.7278561859999999</v>
      </c>
      <c r="G250">
        <v>2.0179872620000001</v>
      </c>
      <c r="H250">
        <v>2.1641642619999999</v>
      </c>
      <c r="I250">
        <v>2.5687351039999999</v>
      </c>
      <c r="J250">
        <v>2.8595821369999999</v>
      </c>
      <c r="K250">
        <v>3.1283303990000002</v>
      </c>
      <c r="L250">
        <v>3.3774767040000002</v>
      </c>
      <c r="M250">
        <v>3.6431686910000001</v>
      </c>
      <c r="N250">
        <v>3.8767476109999999</v>
      </c>
      <c r="O250">
        <v>3.531079332</v>
      </c>
      <c r="P250">
        <v>3.3223432079999999</v>
      </c>
      <c r="Q250">
        <v>3.1519448250000002</v>
      </c>
      <c r="R250">
        <v>2.8971572160000001</v>
      </c>
      <c r="S250">
        <v>2.6342868890000002</v>
      </c>
      <c r="T250">
        <v>2.7555140260000002</v>
      </c>
      <c r="U250">
        <v>2.882150609</v>
      </c>
      <c r="V250">
        <v>3.0162084010000001</v>
      </c>
      <c r="W250">
        <v>3.1750740940000002</v>
      </c>
      <c r="X250">
        <v>3.3494414049999999</v>
      </c>
      <c r="Y250">
        <v>3.4211382430000001</v>
      </c>
      <c r="Z250">
        <v>3.4808366450000001</v>
      </c>
      <c r="AA250">
        <v>3.5389482170000002</v>
      </c>
      <c r="AB250">
        <v>3.586767885</v>
      </c>
      <c r="AC250">
        <v>3.6405703300000001</v>
      </c>
      <c r="AD250">
        <v>3.6503248309999998</v>
      </c>
      <c r="AE250">
        <v>3.6588381289999998</v>
      </c>
      <c r="AF250">
        <v>3.6666992610000002</v>
      </c>
      <c r="AG250">
        <v>3.6728501379999998</v>
      </c>
      <c r="AH250">
        <v>3.6829889100000002</v>
      </c>
      <c r="AI250">
        <v>3.691761294</v>
      </c>
      <c r="AJ250">
        <v>3.6992248559999998</v>
      </c>
      <c r="AK250">
        <v>3.705326801</v>
      </c>
      <c r="AL250">
        <v>3.7111582259999998</v>
      </c>
      <c r="AM250">
        <v>3.7164692750000001</v>
      </c>
      <c r="AN250">
        <v>3.7198129230000001</v>
      </c>
      <c r="AO250">
        <v>3.7226667230000001</v>
      </c>
      <c r="AP250">
        <v>3.7247783440000002</v>
      </c>
      <c r="AQ250">
        <v>3.725855213</v>
      </c>
      <c r="AR250">
        <v>3.7295732780000002</v>
      </c>
      <c r="AS250">
        <v>3.7397288579999999</v>
      </c>
      <c r="AT250">
        <v>3.749334739</v>
      </c>
      <c r="AU250">
        <v>3.7583686489999999</v>
      </c>
      <c r="AV250">
        <v>3.7671233169999998</v>
      </c>
      <c r="AW250">
        <v>3.7787225360000001</v>
      </c>
    </row>
    <row r="251" spans="2:49" x14ac:dyDescent="0.25">
      <c r="B251" t="s">
        <v>322</v>
      </c>
      <c r="C251">
        <v>34.067295461021303</v>
      </c>
      <c r="D251">
        <v>34.614256909026899</v>
      </c>
      <c r="E251">
        <v>34.751859889999999</v>
      </c>
      <c r="F251">
        <v>34.580822349999998</v>
      </c>
      <c r="G251">
        <v>33.2087346</v>
      </c>
      <c r="H251">
        <v>31.398455899999998</v>
      </c>
      <c r="I251">
        <v>31.62901793</v>
      </c>
      <c r="J251">
        <v>31.160320460000001</v>
      </c>
      <c r="K251">
        <v>29.636784649999999</v>
      </c>
      <c r="L251">
        <v>28.66177605</v>
      </c>
      <c r="M251">
        <v>28.35323868</v>
      </c>
      <c r="N251">
        <v>28.425518650000001</v>
      </c>
      <c r="O251">
        <v>28.853246380000002</v>
      </c>
      <c r="P251">
        <v>28.807093869999999</v>
      </c>
      <c r="Q251">
        <v>27.57623332</v>
      </c>
      <c r="R251">
        <v>26.788111579999999</v>
      </c>
      <c r="S251">
        <v>26.186954230000001</v>
      </c>
      <c r="T251">
        <v>24.924832510000002</v>
      </c>
      <c r="U251">
        <v>23.814808060000001</v>
      </c>
      <c r="V251">
        <v>22.760391729999998</v>
      </c>
      <c r="W251">
        <v>22.688662999999998</v>
      </c>
      <c r="X251">
        <v>22.48496819</v>
      </c>
      <c r="Y251">
        <v>22.274808879999998</v>
      </c>
      <c r="Z251">
        <v>22.112030319999999</v>
      </c>
      <c r="AA251">
        <v>21.859782259999999</v>
      </c>
      <c r="AB251">
        <v>21.5701049</v>
      </c>
      <c r="AC251">
        <v>21.267598580000001</v>
      </c>
      <c r="AD251">
        <v>20.98999186</v>
      </c>
      <c r="AE251">
        <v>20.677401809999999</v>
      </c>
      <c r="AF251">
        <v>20.370987199999998</v>
      </c>
      <c r="AG251">
        <v>20.041979980000001</v>
      </c>
      <c r="AH251">
        <v>19.694428989999999</v>
      </c>
      <c r="AI251">
        <v>19.309944890000001</v>
      </c>
      <c r="AJ251">
        <v>18.924186970000001</v>
      </c>
      <c r="AK251">
        <v>18.531918050000002</v>
      </c>
      <c r="AL251">
        <v>18.1382151</v>
      </c>
      <c r="AM251">
        <v>17.743898829999999</v>
      </c>
      <c r="AN251">
        <v>17.269355390000001</v>
      </c>
      <c r="AO251">
        <v>16.801523240000002</v>
      </c>
      <c r="AP251">
        <v>16.331160799999999</v>
      </c>
      <c r="AQ251">
        <v>15.86444041</v>
      </c>
      <c r="AR251">
        <v>15.391982349999999</v>
      </c>
      <c r="AS251">
        <v>14.93338732</v>
      </c>
      <c r="AT251">
        <v>14.477799900000001</v>
      </c>
      <c r="AU251">
        <v>14.022153919999999</v>
      </c>
      <c r="AV251">
        <v>13.567168499999999</v>
      </c>
      <c r="AW251">
        <v>13.11272802</v>
      </c>
    </row>
    <row r="252" spans="2:49" x14ac:dyDescent="0.25">
      <c r="B252" t="s">
        <v>323</v>
      </c>
      <c r="C252">
        <v>1.54983431156195</v>
      </c>
      <c r="D252">
        <v>1.57471740274219</v>
      </c>
      <c r="E252">
        <v>1.5809774190000001</v>
      </c>
      <c r="F252">
        <v>2.5805979969999999</v>
      </c>
      <c r="G252">
        <v>3.4409461110000001</v>
      </c>
      <c r="H252">
        <v>4.1488229250000002</v>
      </c>
      <c r="I252">
        <v>5.0523490689999999</v>
      </c>
      <c r="J252">
        <v>5.7823782799999996</v>
      </c>
      <c r="K252">
        <v>6.194581157</v>
      </c>
      <c r="L252">
        <v>6.5646549250000001</v>
      </c>
      <c r="M252">
        <v>6.9254924249999998</v>
      </c>
      <c r="N252">
        <v>7.1876049460000004</v>
      </c>
      <c r="O252">
        <v>7.4292073529999998</v>
      </c>
      <c r="P252">
        <v>7.5519961919999998</v>
      </c>
      <c r="Q252">
        <v>7.3596288850000002</v>
      </c>
      <c r="R252">
        <v>7.2772520839999997</v>
      </c>
      <c r="S252">
        <v>7.2403882790000003</v>
      </c>
      <c r="T252">
        <v>7.3763362560000001</v>
      </c>
      <c r="U252">
        <v>7.5646540619999998</v>
      </c>
      <c r="V252">
        <v>7.7841789429999997</v>
      </c>
      <c r="W252">
        <v>8.2590686739999999</v>
      </c>
      <c r="X252">
        <v>8.6915774559999903</v>
      </c>
      <c r="Y252">
        <v>9.1272857030000001</v>
      </c>
      <c r="Z252">
        <v>9.5895479659999996</v>
      </c>
      <c r="AA252">
        <v>10.018165460000001</v>
      </c>
      <c r="AB252">
        <v>10.433965199999999</v>
      </c>
      <c r="AC252">
        <v>10.84769885</v>
      </c>
      <c r="AD252">
        <v>11.279113629999999</v>
      </c>
      <c r="AE252">
        <v>11.695967319999999</v>
      </c>
      <c r="AF252">
        <v>12.12086103</v>
      </c>
      <c r="AG252">
        <v>12.53631101</v>
      </c>
      <c r="AH252">
        <v>12.943737629999999</v>
      </c>
      <c r="AI252">
        <v>13.329354970000001</v>
      </c>
      <c r="AJ252">
        <v>13.716566090000001</v>
      </c>
      <c r="AK252">
        <v>14.101381140000001</v>
      </c>
      <c r="AL252">
        <v>14.487463229999999</v>
      </c>
      <c r="AM252">
        <v>14.875481430000001</v>
      </c>
      <c r="AN252">
        <v>15.195437780000001</v>
      </c>
      <c r="AO252">
        <v>15.52049732</v>
      </c>
      <c r="AP252">
        <v>15.842226350000001</v>
      </c>
      <c r="AQ252">
        <v>16.166605669999999</v>
      </c>
      <c r="AR252">
        <v>16.48390504</v>
      </c>
      <c r="AS252">
        <v>16.81548385</v>
      </c>
      <c r="AT252">
        <v>17.150057700000001</v>
      </c>
      <c r="AU252">
        <v>17.484132110000001</v>
      </c>
      <c r="AV252">
        <v>17.81859665</v>
      </c>
      <c r="AW252">
        <v>18.153332020000001</v>
      </c>
    </row>
    <row r="253" spans="2:49" x14ac:dyDescent="0.25">
      <c r="B253" t="s">
        <v>324</v>
      </c>
      <c r="C253">
        <v>0.19372928894524399</v>
      </c>
      <c r="D253">
        <v>0.196839675342774</v>
      </c>
      <c r="E253">
        <v>0.4774907525</v>
      </c>
      <c r="F253">
        <v>0.48983847609999998</v>
      </c>
      <c r="G253">
        <v>0.48495402920000003</v>
      </c>
      <c r="H253">
        <v>0.47270174100000001</v>
      </c>
      <c r="I253">
        <v>0.49090254579999998</v>
      </c>
      <c r="J253">
        <v>0.49788417870000001</v>
      </c>
      <c r="K253">
        <v>0.4874660992</v>
      </c>
      <c r="L253">
        <v>0.48525725219999999</v>
      </c>
      <c r="M253">
        <v>0.49407675379999999</v>
      </c>
      <c r="N253">
        <v>0.50978684910000005</v>
      </c>
      <c r="O253">
        <v>0.58325849090000004</v>
      </c>
      <c r="P253">
        <v>0.64878032230000005</v>
      </c>
      <c r="Q253">
        <v>0.68541131030000002</v>
      </c>
      <c r="R253">
        <v>0.72906017199999995</v>
      </c>
      <c r="S253">
        <v>0.77523603399999996</v>
      </c>
      <c r="T253">
        <v>0.99380941550000002</v>
      </c>
      <c r="U253">
        <v>1.2225233390000001</v>
      </c>
      <c r="V253">
        <v>1.461440909</v>
      </c>
      <c r="W253">
        <v>1.5379731720000001</v>
      </c>
      <c r="X253">
        <v>1.6064790449999999</v>
      </c>
      <c r="Y253">
        <v>1.6754488219999999</v>
      </c>
      <c r="Z253">
        <v>1.749142336</v>
      </c>
      <c r="AA253">
        <v>1.8165962099999999</v>
      </c>
      <c r="AB253">
        <v>1.881644037</v>
      </c>
      <c r="AC253">
        <v>1.9462452779999999</v>
      </c>
      <c r="AD253">
        <v>2.0139343520000001</v>
      </c>
      <c r="AE253">
        <v>2.0789552979999999</v>
      </c>
      <c r="AF253">
        <v>2.1453358530000002</v>
      </c>
      <c r="AG253">
        <v>2.2099868009999999</v>
      </c>
      <c r="AH253">
        <v>2.2731739069999999</v>
      </c>
      <c r="AI253">
        <v>2.332498459</v>
      </c>
      <c r="AJ253">
        <v>2.3920709269999998</v>
      </c>
      <c r="AK253">
        <v>2.4511978249999999</v>
      </c>
      <c r="AL253">
        <v>2.5105181729999999</v>
      </c>
      <c r="AM253">
        <v>2.5701477640000001</v>
      </c>
      <c r="AN253">
        <v>2.6180260959999999</v>
      </c>
      <c r="AO253">
        <v>2.6667915400000002</v>
      </c>
      <c r="AP253">
        <v>2.714994017</v>
      </c>
      <c r="AQ253">
        <v>2.7636585610000002</v>
      </c>
      <c r="AR253">
        <v>2.8111232589999999</v>
      </c>
      <c r="AS253">
        <v>2.8610277150000001</v>
      </c>
      <c r="AT253">
        <v>2.9114447619999999</v>
      </c>
      <c r="AU253">
        <v>2.9617801610000001</v>
      </c>
      <c r="AV253">
        <v>3.0121846520000002</v>
      </c>
      <c r="AW253">
        <v>3.0626378569999999</v>
      </c>
    </row>
    <row r="254" spans="2:49" x14ac:dyDescent="0.25">
      <c r="B254" t="s">
        <v>325</v>
      </c>
      <c r="C254">
        <v>0.71679836909740502</v>
      </c>
      <c r="D254">
        <v>0.72830679876826598</v>
      </c>
      <c r="E254">
        <v>0.73120205630000001</v>
      </c>
      <c r="F254">
        <v>0.72702276330000004</v>
      </c>
      <c r="G254">
        <v>0.69761909639999997</v>
      </c>
      <c r="H254">
        <v>0.65906411389999997</v>
      </c>
      <c r="I254">
        <v>0.6633739635</v>
      </c>
      <c r="J254">
        <v>0.66062155720000004</v>
      </c>
      <c r="K254">
        <v>0.63550514950000003</v>
      </c>
      <c r="L254">
        <v>0.63193925289999997</v>
      </c>
      <c r="M254">
        <v>0.65318308879999998</v>
      </c>
      <c r="N254">
        <v>0.68467884720000005</v>
      </c>
      <c r="O254">
        <v>0.94293645780000002</v>
      </c>
      <c r="P254">
        <v>1.1741088479999999</v>
      </c>
      <c r="Q254">
        <v>1.332176426</v>
      </c>
      <c r="R254">
        <v>1.4820374039999999</v>
      </c>
      <c r="S254">
        <v>1.618210406</v>
      </c>
      <c r="T254">
        <v>1.6579565080000001</v>
      </c>
      <c r="U254">
        <v>1.7088683730000001</v>
      </c>
      <c r="V254">
        <v>1.7662899999999999</v>
      </c>
      <c r="W254">
        <v>1.8144769000000001</v>
      </c>
      <c r="X254">
        <v>1.852718968</v>
      </c>
      <c r="Y254">
        <v>1.8910416889999999</v>
      </c>
      <c r="Z254">
        <v>1.934155265</v>
      </c>
      <c r="AA254">
        <v>1.9699978650000001</v>
      </c>
      <c r="AB254">
        <v>2.002934013</v>
      </c>
      <c r="AC254">
        <v>2.0351244519999998</v>
      </c>
      <c r="AD254">
        <v>2.070233666</v>
      </c>
      <c r="AE254">
        <v>2.1023485700000002</v>
      </c>
      <c r="AF254">
        <v>2.1355807480000002</v>
      </c>
      <c r="AG254">
        <v>2.1668748600000001</v>
      </c>
      <c r="AH254">
        <v>2.1965489479999998</v>
      </c>
      <c r="AI254">
        <v>2.222369058</v>
      </c>
      <c r="AJ254">
        <v>2.248308744</v>
      </c>
      <c r="AK254">
        <v>2.273724933</v>
      </c>
      <c r="AL254">
        <v>2.2992189980000002</v>
      </c>
      <c r="AM254">
        <v>2.3248964280000002</v>
      </c>
      <c r="AN254">
        <v>2.3399755579999999</v>
      </c>
      <c r="AO254">
        <v>2.355877724</v>
      </c>
      <c r="AP254">
        <v>2.3713182050000001</v>
      </c>
      <c r="AQ254">
        <v>2.3871925109999999</v>
      </c>
      <c r="AR254">
        <v>2.4020707350000001</v>
      </c>
      <c r="AS254">
        <v>2.4190513899999999</v>
      </c>
      <c r="AT254">
        <v>2.4364770949999999</v>
      </c>
      <c r="AU254">
        <v>2.453846655</v>
      </c>
      <c r="AV254">
        <v>2.4712851520000001</v>
      </c>
      <c r="AW254">
        <v>2.4887750290000001</v>
      </c>
    </row>
    <row r="255" spans="2:49" x14ac:dyDescent="0.25">
      <c r="B255" t="s">
        <v>326</v>
      </c>
      <c r="C255">
        <v>0.19372928894524399</v>
      </c>
      <c r="D255">
        <v>0.196839675342774</v>
      </c>
      <c r="E255">
        <v>0.4774907525</v>
      </c>
      <c r="F255">
        <v>0.48983847609999998</v>
      </c>
      <c r="G255">
        <v>0.48495402920000003</v>
      </c>
      <c r="H255">
        <v>0.47270174100000001</v>
      </c>
      <c r="I255">
        <v>0.49090254579999998</v>
      </c>
      <c r="J255">
        <v>0.49788417870000001</v>
      </c>
      <c r="K255">
        <v>0.4874660992</v>
      </c>
      <c r="L255">
        <v>0.48525725219999999</v>
      </c>
      <c r="M255">
        <v>0.49407675379999999</v>
      </c>
      <c r="N255">
        <v>0.50978684910000005</v>
      </c>
      <c r="O255">
        <v>0.55423241590000005</v>
      </c>
      <c r="P255">
        <v>0.59048233360000002</v>
      </c>
      <c r="Q255">
        <v>0.60121007130000004</v>
      </c>
      <c r="R255">
        <v>0.61935926190000001</v>
      </c>
      <c r="S255">
        <v>0.64039665540000001</v>
      </c>
      <c r="T255">
        <v>0.70223998460000003</v>
      </c>
      <c r="U255">
        <v>0.76982228669999997</v>
      </c>
      <c r="V255">
        <v>0.8418404867</v>
      </c>
      <c r="W255">
        <v>0.8990764322</v>
      </c>
      <c r="X255">
        <v>0.9517613694</v>
      </c>
      <c r="Y255">
        <v>1.0048559960000001</v>
      </c>
      <c r="Z255">
        <v>1.0609441820000001</v>
      </c>
      <c r="AA255">
        <v>1.1133579199999999</v>
      </c>
      <c r="AB255">
        <v>1.1643852509999999</v>
      </c>
      <c r="AC255">
        <v>1.215216463</v>
      </c>
      <c r="AD255">
        <v>1.2680677140000001</v>
      </c>
      <c r="AE255">
        <v>1.3193136569999999</v>
      </c>
      <c r="AF255">
        <v>1.3714988779999999</v>
      </c>
      <c r="AG255">
        <v>1.422642575</v>
      </c>
      <c r="AH255">
        <v>1.4728987760000001</v>
      </c>
      <c r="AI255">
        <v>1.52068834</v>
      </c>
      <c r="AJ255">
        <v>1.568674151</v>
      </c>
      <c r="AK255">
        <v>1.6163988410000001</v>
      </c>
      <c r="AL255">
        <v>1.664281243</v>
      </c>
      <c r="AM255">
        <v>1.712398284</v>
      </c>
      <c r="AN255">
        <v>1.7526764939999999</v>
      </c>
      <c r="AO255">
        <v>1.7935396480000001</v>
      </c>
      <c r="AP255">
        <v>1.834013602</v>
      </c>
      <c r="AQ255">
        <v>1.874790712</v>
      </c>
      <c r="AR255">
        <v>1.91474191</v>
      </c>
      <c r="AS255">
        <v>1.956349654</v>
      </c>
      <c r="AT255">
        <v>1.998304447</v>
      </c>
      <c r="AU255">
        <v>2.0401995839999998</v>
      </c>
      <c r="AV255">
        <v>2.0821388440000002</v>
      </c>
      <c r="AW255">
        <v>2.1241083889999999</v>
      </c>
    </row>
    <row r="256" spans="2:49" x14ac:dyDescent="0.25">
      <c r="B256" t="s">
        <v>327</v>
      </c>
      <c r="C256">
        <v>0.38745857789048899</v>
      </c>
      <c r="D256">
        <v>0.39367935068554899</v>
      </c>
      <c r="E256">
        <v>0.4774907525</v>
      </c>
      <c r="F256">
        <v>0.60229001459999998</v>
      </c>
      <c r="G256">
        <v>0.73849074790000002</v>
      </c>
      <c r="H256">
        <v>0.89688961690000002</v>
      </c>
      <c r="I256">
        <v>1.1662928880000001</v>
      </c>
      <c r="J256">
        <v>1.487154938</v>
      </c>
      <c r="K256">
        <v>1.8365664909999999</v>
      </c>
      <c r="L256">
        <v>2.3121077880000001</v>
      </c>
      <c r="M256">
        <v>2.9834209760000001</v>
      </c>
      <c r="N256">
        <v>3.9076614360000002</v>
      </c>
      <c r="O256">
        <v>3.730269877</v>
      </c>
      <c r="P256">
        <v>3.4856684179999999</v>
      </c>
      <c r="Q256">
        <v>3.1055586449999999</v>
      </c>
      <c r="R256">
        <v>2.7895398139999998</v>
      </c>
      <c r="S256">
        <v>2.5021068999999998</v>
      </c>
      <c r="T256">
        <v>2.97045855</v>
      </c>
      <c r="U256">
        <v>3.4662708109999998</v>
      </c>
      <c r="V256">
        <v>3.9870406319999998</v>
      </c>
      <c r="W256">
        <v>4.0631441270000002</v>
      </c>
      <c r="X256">
        <v>4.1166191569999997</v>
      </c>
      <c r="Y256">
        <v>4.1699223390000002</v>
      </c>
      <c r="Z256">
        <v>4.2333629049999999</v>
      </c>
      <c r="AA256">
        <v>4.2805899529999998</v>
      </c>
      <c r="AB256">
        <v>4.3212573689999996</v>
      </c>
      <c r="AC256">
        <v>4.3600896440000003</v>
      </c>
      <c r="AD256">
        <v>4.4049109289999997</v>
      </c>
      <c r="AE256">
        <v>4.4431430169999997</v>
      </c>
      <c r="AF256">
        <v>4.483509357</v>
      </c>
      <c r="AG256">
        <v>4.519613219</v>
      </c>
      <c r="AH256">
        <v>4.5521701830000003</v>
      </c>
      <c r="AI256">
        <v>4.576627931</v>
      </c>
      <c r="AJ256">
        <v>4.601222849</v>
      </c>
      <c r="AK256">
        <v>4.6246471509999996</v>
      </c>
      <c r="AL256">
        <v>4.6481322780000003</v>
      </c>
      <c r="AM256">
        <v>4.6718909479999997</v>
      </c>
      <c r="AN256">
        <v>4.6743834270000004</v>
      </c>
      <c r="AO256">
        <v>4.6785500710000001</v>
      </c>
      <c r="AP256">
        <v>4.6818358069999997</v>
      </c>
      <c r="AQ256">
        <v>4.6860089279999997</v>
      </c>
      <c r="AR256">
        <v>4.6882683580000002</v>
      </c>
      <c r="AS256">
        <v>4.694649676</v>
      </c>
      <c r="AT256">
        <v>4.7019069739999999</v>
      </c>
      <c r="AU256">
        <v>4.7090688969999999</v>
      </c>
      <c r="AV256">
        <v>4.7163756880000003</v>
      </c>
      <c r="AW256">
        <v>4.7237929340000004</v>
      </c>
    </row>
    <row r="257" spans="2:49" x14ac:dyDescent="0.25">
      <c r="B257" t="s">
        <v>328</v>
      </c>
      <c r="C257">
        <v>34.067295461021303</v>
      </c>
      <c r="D257">
        <v>34.614256909026899</v>
      </c>
      <c r="E257">
        <v>34.751859889999999</v>
      </c>
      <c r="F257">
        <v>34.580822349999998</v>
      </c>
      <c r="G257">
        <v>33.2087346</v>
      </c>
      <c r="H257">
        <v>31.398455899999998</v>
      </c>
      <c r="I257">
        <v>31.62901793</v>
      </c>
      <c r="J257">
        <v>31.160320460000001</v>
      </c>
      <c r="K257">
        <v>29.636784649999999</v>
      </c>
      <c r="L257">
        <v>28.66177605</v>
      </c>
      <c r="M257">
        <v>28.35323868</v>
      </c>
      <c r="N257">
        <v>28.425518650000001</v>
      </c>
      <c r="O257">
        <v>28.853246380000002</v>
      </c>
      <c r="P257">
        <v>28.807093869999999</v>
      </c>
      <c r="Q257">
        <v>27.57623332</v>
      </c>
      <c r="R257">
        <v>26.788111579999999</v>
      </c>
      <c r="S257">
        <v>26.186954230000001</v>
      </c>
      <c r="T257">
        <v>24.924832510000002</v>
      </c>
      <c r="U257">
        <v>23.814808060000001</v>
      </c>
      <c r="V257">
        <v>22.760391729999998</v>
      </c>
      <c r="W257">
        <v>22.688662999999998</v>
      </c>
      <c r="X257">
        <v>22.48496819</v>
      </c>
      <c r="Y257">
        <v>22.274808879999998</v>
      </c>
      <c r="Z257">
        <v>22.112030319999999</v>
      </c>
      <c r="AA257">
        <v>21.859782259999999</v>
      </c>
      <c r="AB257">
        <v>21.5701049</v>
      </c>
      <c r="AC257">
        <v>21.267598580000001</v>
      </c>
      <c r="AD257">
        <v>20.98999186</v>
      </c>
      <c r="AE257">
        <v>20.677401809999999</v>
      </c>
      <c r="AF257">
        <v>20.370987199999998</v>
      </c>
      <c r="AG257">
        <v>20.041979980000001</v>
      </c>
      <c r="AH257">
        <v>19.694428989999999</v>
      </c>
      <c r="AI257">
        <v>19.309944890000001</v>
      </c>
      <c r="AJ257">
        <v>18.924186970000001</v>
      </c>
      <c r="AK257">
        <v>18.531918050000002</v>
      </c>
      <c r="AL257">
        <v>18.1382151</v>
      </c>
      <c r="AM257">
        <v>17.743898829999999</v>
      </c>
      <c r="AN257">
        <v>17.269355390000001</v>
      </c>
      <c r="AO257">
        <v>16.801523240000002</v>
      </c>
      <c r="AP257">
        <v>16.331160799999999</v>
      </c>
      <c r="AQ257">
        <v>15.86444041</v>
      </c>
      <c r="AR257">
        <v>15.391982349999999</v>
      </c>
      <c r="AS257">
        <v>14.93338732</v>
      </c>
      <c r="AT257">
        <v>14.477799900000001</v>
      </c>
      <c r="AU257">
        <v>14.022153919999999</v>
      </c>
      <c r="AV257">
        <v>13.567168499999999</v>
      </c>
      <c r="AW257">
        <v>13.11272802</v>
      </c>
    </row>
    <row r="258" spans="2:49" x14ac:dyDescent="0.25">
      <c r="B258" t="s">
        <v>329</v>
      </c>
      <c r="C258">
        <v>1.54983431156195</v>
      </c>
      <c r="D258">
        <v>1.57471740274219</v>
      </c>
      <c r="E258">
        <v>1.5809774190000001</v>
      </c>
      <c r="F258">
        <v>2.5805979969999999</v>
      </c>
      <c r="G258">
        <v>3.4409461110000001</v>
      </c>
      <c r="H258">
        <v>4.1488229250000002</v>
      </c>
      <c r="I258">
        <v>5.0523490689999999</v>
      </c>
      <c r="J258">
        <v>5.7823782799999996</v>
      </c>
      <c r="K258">
        <v>6.194581157</v>
      </c>
      <c r="L258">
        <v>6.5646549250000001</v>
      </c>
      <c r="M258">
        <v>6.9254924249999998</v>
      </c>
      <c r="N258">
        <v>7.1876049460000004</v>
      </c>
      <c r="O258">
        <v>7.4292073529999998</v>
      </c>
      <c r="P258">
        <v>7.5519961919999998</v>
      </c>
      <c r="Q258">
        <v>7.3596288850000002</v>
      </c>
      <c r="R258">
        <v>7.2772520839999997</v>
      </c>
      <c r="S258">
        <v>7.2403882790000003</v>
      </c>
      <c r="T258">
        <v>7.3763362560000001</v>
      </c>
      <c r="U258">
        <v>7.5646540619999998</v>
      </c>
      <c r="V258">
        <v>7.7841789429999997</v>
      </c>
      <c r="W258">
        <v>8.2590686739999999</v>
      </c>
      <c r="X258">
        <v>8.6915774559999903</v>
      </c>
      <c r="Y258">
        <v>9.1272857030000001</v>
      </c>
      <c r="Z258">
        <v>9.5895479659999996</v>
      </c>
      <c r="AA258">
        <v>10.018165460000001</v>
      </c>
      <c r="AB258">
        <v>10.433965199999999</v>
      </c>
      <c r="AC258">
        <v>10.84769885</v>
      </c>
      <c r="AD258">
        <v>11.279113629999999</v>
      </c>
      <c r="AE258">
        <v>11.695967319999999</v>
      </c>
      <c r="AF258">
        <v>12.12086103</v>
      </c>
      <c r="AG258">
        <v>12.53631101</v>
      </c>
      <c r="AH258">
        <v>12.943737629999999</v>
      </c>
      <c r="AI258">
        <v>13.329354970000001</v>
      </c>
      <c r="AJ258">
        <v>13.716566090000001</v>
      </c>
      <c r="AK258">
        <v>14.101381140000001</v>
      </c>
      <c r="AL258">
        <v>14.487463229999999</v>
      </c>
      <c r="AM258">
        <v>14.875481430000001</v>
      </c>
      <c r="AN258">
        <v>15.195437780000001</v>
      </c>
      <c r="AO258">
        <v>15.52049732</v>
      </c>
      <c r="AP258">
        <v>15.842226350000001</v>
      </c>
      <c r="AQ258">
        <v>16.166605669999999</v>
      </c>
      <c r="AR258">
        <v>16.48390504</v>
      </c>
      <c r="AS258">
        <v>16.81548385</v>
      </c>
      <c r="AT258">
        <v>17.150057700000001</v>
      </c>
      <c r="AU258">
        <v>17.484132110000001</v>
      </c>
      <c r="AV258">
        <v>17.81859665</v>
      </c>
      <c r="AW258">
        <v>18.153332020000001</v>
      </c>
    </row>
    <row r="259" spans="2:49" x14ac:dyDescent="0.25">
      <c r="B259" t="s">
        <v>330</v>
      </c>
      <c r="C259">
        <v>0.19372928894524399</v>
      </c>
      <c r="D259">
        <v>0.196839675342774</v>
      </c>
      <c r="E259">
        <v>0.4774907525</v>
      </c>
      <c r="F259">
        <v>0.48983847609999998</v>
      </c>
      <c r="G259">
        <v>0.48495402920000003</v>
      </c>
      <c r="H259">
        <v>0.47270174100000001</v>
      </c>
      <c r="I259">
        <v>0.49090254579999998</v>
      </c>
      <c r="J259">
        <v>0.49788417870000001</v>
      </c>
      <c r="K259">
        <v>0.4874660992</v>
      </c>
      <c r="L259">
        <v>0.48525725219999999</v>
      </c>
      <c r="M259">
        <v>0.49407675379999999</v>
      </c>
      <c r="N259">
        <v>0.50978684910000005</v>
      </c>
      <c r="O259">
        <v>0.58325849090000004</v>
      </c>
      <c r="P259">
        <v>0.64878032230000005</v>
      </c>
      <c r="Q259">
        <v>0.68541131030000002</v>
      </c>
      <c r="R259">
        <v>0.72906017199999995</v>
      </c>
      <c r="S259">
        <v>0.77523603399999996</v>
      </c>
      <c r="T259">
        <v>0.99380941550000002</v>
      </c>
      <c r="U259">
        <v>1.2225233390000001</v>
      </c>
      <c r="V259">
        <v>1.461440909</v>
      </c>
      <c r="W259">
        <v>1.5379731720000001</v>
      </c>
      <c r="X259">
        <v>1.6064790449999999</v>
      </c>
      <c r="Y259">
        <v>1.6754488219999999</v>
      </c>
      <c r="Z259">
        <v>1.749142336</v>
      </c>
      <c r="AA259">
        <v>1.8165962099999999</v>
      </c>
      <c r="AB259">
        <v>1.881644037</v>
      </c>
      <c r="AC259">
        <v>1.9462452779999999</v>
      </c>
      <c r="AD259">
        <v>2.0139343520000001</v>
      </c>
      <c r="AE259">
        <v>2.0789552979999999</v>
      </c>
      <c r="AF259">
        <v>2.1453358530000002</v>
      </c>
      <c r="AG259">
        <v>2.2099868009999999</v>
      </c>
      <c r="AH259">
        <v>2.2731739069999999</v>
      </c>
      <c r="AI259">
        <v>2.332498459</v>
      </c>
      <c r="AJ259">
        <v>2.3920709269999998</v>
      </c>
      <c r="AK259">
        <v>2.4511978249999999</v>
      </c>
      <c r="AL259">
        <v>2.5105181729999999</v>
      </c>
      <c r="AM259">
        <v>2.5701477640000001</v>
      </c>
      <c r="AN259">
        <v>2.6180260959999999</v>
      </c>
      <c r="AO259">
        <v>2.6667915400000002</v>
      </c>
      <c r="AP259">
        <v>2.714994017</v>
      </c>
      <c r="AQ259">
        <v>2.7636585610000002</v>
      </c>
      <c r="AR259">
        <v>2.8111232589999999</v>
      </c>
      <c r="AS259">
        <v>2.8610277150000001</v>
      </c>
      <c r="AT259">
        <v>2.9114447619999999</v>
      </c>
      <c r="AU259">
        <v>2.9617801610000001</v>
      </c>
      <c r="AV259">
        <v>3.0121846520000002</v>
      </c>
      <c r="AW259">
        <v>3.0626378569999999</v>
      </c>
    </row>
    <row r="260" spans="2:49" x14ac:dyDescent="0.25">
      <c r="B260" t="s">
        <v>331</v>
      </c>
      <c r="C260">
        <v>0.71679836909740502</v>
      </c>
      <c r="D260">
        <v>0.72830679876826598</v>
      </c>
      <c r="E260">
        <v>0.73120205630000001</v>
      </c>
      <c r="F260">
        <v>0.72702276330000004</v>
      </c>
      <c r="G260">
        <v>0.69761909639999997</v>
      </c>
      <c r="H260">
        <v>0.65906411389999997</v>
      </c>
      <c r="I260">
        <v>0.6633739635</v>
      </c>
      <c r="J260">
        <v>0.66062155720000004</v>
      </c>
      <c r="K260">
        <v>0.63550514950000003</v>
      </c>
      <c r="L260">
        <v>0.63193925289999997</v>
      </c>
      <c r="M260">
        <v>0.65318308879999998</v>
      </c>
      <c r="N260">
        <v>0.68467884720000005</v>
      </c>
      <c r="O260">
        <v>0.94293645780000002</v>
      </c>
      <c r="P260">
        <v>1.1741088479999999</v>
      </c>
      <c r="Q260">
        <v>1.332176426</v>
      </c>
      <c r="R260">
        <v>1.4820374039999999</v>
      </c>
      <c r="S260">
        <v>1.618210406</v>
      </c>
      <c r="T260">
        <v>1.6579565080000001</v>
      </c>
      <c r="U260">
        <v>1.7088683730000001</v>
      </c>
      <c r="V260">
        <v>1.7662899999999999</v>
      </c>
      <c r="W260">
        <v>1.8144769000000001</v>
      </c>
      <c r="X260">
        <v>1.852718968</v>
      </c>
      <c r="Y260">
        <v>1.8910416889999999</v>
      </c>
      <c r="Z260">
        <v>1.934155265</v>
      </c>
      <c r="AA260">
        <v>1.9699978650000001</v>
      </c>
      <c r="AB260">
        <v>2.002934013</v>
      </c>
      <c r="AC260">
        <v>2.0351244519999998</v>
      </c>
      <c r="AD260">
        <v>2.070233666</v>
      </c>
      <c r="AE260">
        <v>2.1023485700000002</v>
      </c>
      <c r="AF260">
        <v>2.1355807480000002</v>
      </c>
      <c r="AG260">
        <v>2.1668748600000001</v>
      </c>
      <c r="AH260">
        <v>2.1965489479999998</v>
      </c>
      <c r="AI260">
        <v>2.222369058</v>
      </c>
      <c r="AJ260">
        <v>2.248308744</v>
      </c>
      <c r="AK260">
        <v>2.273724933</v>
      </c>
      <c r="AL260">
        <v>2.2992189980000002</v>
      </c>
      <c r="AM260">
        <v>2.3248964280000002</v>
      </c>
      <c r="AN260">
        <v>2.3399755579999999</v>
      </c>
      <c r="AO260">
        <v>2.355877724</v>
      </c>
      <c r="AP260">
        <v>2.3713182050000001</v>
      </c>
      <c r="AQ260">
        <v>2.3871925109999999</v>
      </c>
      <c r="AR260">
        <v>2.4020707350000001</v>
      </c>
      <c r="AS260">
        <v>2.4190513899999999</v>
      </c>
      <c r="AT260">
        <v>2.4364770949999999</v>
      </c>
      <c r="AU260">
        <v>2.453846655</v>
      </c>
      <c r="AV260">
        <v>2.4712851520000001</v>
      </c>
      <c r="AW260">
        <v>2.4887750290000001</v>
      </c>
    </row>
    <row r="261" spans="2:49" x14ac:dyDescent="0.25">
      <c r="B261" t="s">
        <v>332</v>
      </c>
      <c r="C261">
        <v>0.19372928894524399</v>
      </c>
      <c r="D261">
        <v>0.196839675342774</v>
      </c>
      <c r="E261">
        <v>0.4774907525</v>
      </c>
      <c r="F261">
        <v>0.48983847609999998</v>
      </c>
      <c r="G261">
        <v>0.48495402920000003</v>
      </c>
      <c r="H261">
        <v>0.47270174100000001</v>
      </c>
      <c r="I261">
        <v>0.49090254579999998</v>
      </c>
      <c r="J261">
        <v>0.49788417870000001</v>
      </c>
      <c r="K261">
        <v>0.4874660992</v>
      </c>
      <c r="L261">
        <v>0.48525725219999999</v>
      </c>
      <c r="M261">
        <v>0.49407675379999999</v>
      </c>
      <c r="N261">
        <v>0.50978684910000005</v>
      </c>
      <c r="O261">
        <v>0.55423241590000005</v>
      </c>
      <c r="P261">
        <v>0.59048233360000002</v>
      </c>
      <c r="Q261">
        <v>0.60121007130000004</v>
      </c>
      <c r="R261">
        <v>0.61935926190000001</v>
      </c>
      <c r="S261">
        <v>0.64039665540000001</v>
      </c>
      <c r="T261">
        <v>0.70223998460000003</v>
      </c>
      <c r="U261">
        <v>0.76982228669999997</v>
      </c>
      <c r="V261">
        <v>0.8418404867</v>
      </c>
      <c r="W261">
        <v>0.8990764322</v>
      </c>
      <c r="X261">
        <v>0.9517613694</v>
      </c>
      <c r="Y261">
        <v>1.0048559960000001</v>
      </c>
      <c r="Z261">
        <v>1.0609441820000001</v>
      </c>
      <c r="AA261">
        <v>1.1133579199999999</v>
      </c>
      <c r="AB261">
        <v>1.1643852509999999</v>
      </c>
      <c r="AC261">
        <v>1.215216463</v>
      </c>
      <c r="AD261">
        <v>1.2680677140000001</v>
      </c>
      <c r="AE261">
        <v>1.3193136569999999</v>
      </c>
      <c r="AF261">
        <v>1.3714988779999999</v>
      </c>
      <c r="AG261">
        <v>1.422642575</v>
      </c>
      <c r="AH261">
        <v>1.4728987760000001</v>
      </c>
      <c r="AI261">
        <v>1.52068834</v>
      </c>
      <c r="AJ261">
        <v>1.568674151</v>
      </c>
      <c r="AK261">
        <v>1.6163988410000001</v>
      </c>
      <c r="AL261">
        <v>1.664281243</v>
      </c>
      <c r="AM261">
        <v>1.712398284</v>
      </c>
      <c r="AN261">
        <v>1.7526764939999999</v>
      </c>
      <c r="AO261">
        <v>1.7935396480000001</v>
      </c>
      <c r="AP261">
        <v>1.834013602</v>
      </c>
      <c r="AQ261">
        <v>1.874790712</v>
      </c>
      <c r="AR261">
        <v>1.91474191</v>
      </c>
      <c r="AS261">
        <v>1.956349654</v>
      </c>
      <c r="AT261">
        <v>1.998304447</v>
      </c>
      <c r="AU261">
        <v>2.0401995839999998</v>
      </c>
      <c r="AV261">
        <v>2.0821388440000002</v>
      </c>
      <c r="AW261">
        <v>2.1241083889999999</v>
      </c>
    </row>
    <row r="262" spans="2:49" x14ac:dyDescent="0.25">
      <c r="B262" t="s">
        <v>333</v>
      </c>
      <c r="C262">
        <v>0.38745857789048899</v>
      </c>
      <c r="D262">
        <v>0.39367935068554899</v>
      </c>
      <c r="E262">
        <v>0.4774907525</v>
      </c>
      <c r="F262">
        <v>0.60229001459999998</v>
      </c>
      <c r="G262">
        <v>0.73849074790000002</v>
      </c>
      <c r="H262">
        <v>0.89688961690000002</v>
      </c>
      <c r="I262">
        <v>1.1662928880000001</v>
      </c>
      <c r="J262">
        <v>1.487154938</v>
      </c>
      <c r="K262">
        <v>1.8365664909999999</v>
      </c>
      <c r="L262">
        <v>2.3121077880000001</v>
      </c>
      <c r="M262">
        <v>2.9834209760000001</v>
      </c>
      <c r="N262">
        <v>3.9076614360000002</v>
      </c>
      <c r="O262">
        <v>3.730269877</v>
      </c>
      <c r="P262">
        <v>3.4856684179999999</v>
      </c>
      <c r="Q262">
        <v>3.1055586449999999</v>
      </c>
      <c r="R262">
        <v>2.7895398139999998</v>
      </c>
      <c r="S262">
        <v>2.5021068999999998</v>
      </c>
      <c r="T262">
        <v>2.97045855</v>
      </c>
      <c r="U262">
        <v>3.4662708109999998</v>
      </c>
      <c r="V262">
        <v>3.9870406319999998</v>
      </c>
      <c r="W262">
        <v>4.0631441270000002</v>
      </c>
      <c r="X262">
        <v>4.1166191569999997</v>
      </c>
      <c r="Y262">
        <v>4.1699223390000002</v>
      </c>
      <c r="Z262">
        <v>4.2333629049999999</v>
      </c>
      <c r="AA262">
        <v>4.2805899529999998</v>
      </c>
      <c r="AB262">
        <v>4.3212573689999996</v>
      </c>
      <c r="AC262">
        <v>4.3600896440000003</v>
      </c>
      <c r="AD262">
        <v>4.4049109289999997</v>
      </c>
      <c r="AE262">
        <v>4.4431430169999997</v>
      </c>
      <c r="AF262">
        <v>4.483509357</v>
      </c>
      <c r="AG262">
        <v>4.519613219</v>
      </c>
      <c r="AH262">
        <v>4.5521701830000003</v>
      </c>
      <c r="AI262">
        <v>4.576627931</v>
      </c>
      <c r="AJ262">
        <v>4.601222849</v>
      </c>
      <c r="AK262">
        <v>4.6246471509999996</v>
      </c>
      <c r="AL262">
        <v>4.6481322780000003</v>
      </c>
      <c r="AM262">
        <v>4.6718909479999997</v>
      </c>
      <c r="AN262">
        <v>4.6743834270000004</v>
      </c>
      <c r="AO262">
        <v>4.6785500710000001</v>
      </c>
      <c r="AP262">
        <v>4.6818358069999997</v>
      </c>
      <c r="AQ262">
        <v>4.6860089279999997</v>
      </c>
      <c r="AR262">
        <v>4.6882683580000002</v>
      </c>
      <c r="AS262">
        <v>4.694649676</v>
      </c>
      <c r="AT262">
        <v>4.7019069739999999</v>
      </c>
      <c r="AU262">
        <v>4.7090688969999999</v>
      </c>
      <c r="AV262">
        <v>4.7163756880000003</v>
      </c>
      <c r="AW262">
        <v>4.7237929340000004</v>
      </c>
    </row>
    <row r="263" spans="2:49" x14ac:dyDescent="0.25">
      <c r="B263" t="s">
        <v>334</v>
      </c>
      <c r="C263">
        <v>1.1905732046364299</v>
      </c>
      <c r="D263">
        <v>1.2096882425386799</v>
      </c>
      <c r="E263">
        <v>1.233428059</v>
      </c>
      <c r="F263">
        <v>1.2399927639999999</v>
      </c>
      <c r="G263">
        <v>1.1449719330000001</v>
      </c>
      <c r="H263">
        <v>0.92852914379999996</v>
      </c>
      <c r="I263">
        <v>1.0164429100000001</v>
      </c>
      <c r="J263">
        <v>1.0403243</v>
      </c>
      <c r="K263">
        <v>0.98383513749999996</v>
      </c>
      <c r="L263">
        <v>0.98187860090000001</v>
      </c>
      <c r="M263">
        <v>0.9887577931</v>
      </c>
      <c r="N263">
        <v>0.99853977270000005</v>
      </c>
      <c r="O263">
        <v>0.9448488102</v>
      </c>
      <c r="P263">
        <v>0.96164739089999995</v>
      </c>
      <c r="Q263">
        <v>0.94297737930000003</v>
      </c>
      <c r="R263">
        <v>0.89522584829999996</v>
      </c>
      <c r="S263">
        <v>0.86355782449999996</v>
      </c>
      <c r="T263">
        <v>0.86612270049999995</v>
      </c>
      <c r="U263">
        <v>0.87154875909999996</v>
      </c>
      <c r="V263">
        <v>0.88621155510000005</v>
      </c>
      <c r="W263">
        <v>0.88220754859999995</v>
      </c>
      <c r="X263">
        <v>0.86883143770000004</v>
      </c>
      <c r="Y263">
        <v>0.86427157970000001</v>
      </c>
      <c r="Z263">
        <v>0.86207761159999996</v>
      </c>
      <c r="AA263">
        <v>0.85937717540000003</v>
      </c>
      <c r="AB263">
        <v>0.85601436279999998</v>
      </c>
      <c r="AC263">
        <v>0.85066569879999998</v>
      </c>
      <c r="AD263">
        <v>0.85818116280000001</v>
      </c>
      <c r="AE263">
        <v>0.8634615216</v>
      </c>
      <c r="AF263">
        <v>0.86906704189999995</v>
      </c>
      <c r="AG263">
        <v>0.8750261963</v>
      </c>
      <c r="AH263">
        <v>0.88012628879999999</v>
      </c>
      <c r="AI263">
        <v>0.88908148860000003</v>
      </c>
      <c r="AJ263">
        <v>0.89715972359999996</v>
      </c>
      <c r="AK263">
        <v>0.90493546300000005</v>
      </c>
      <c r="AL263">
        <v>0.91275173970000001</v>
      </c>
      <c r="AM263" s="39">
        <v>0.92052743589999997</v>
      </c>
      <c r="AN263" s="39">
        <v>0.92570436160000003</v>
      </c>
      <c r="AO263" s="39">
        <v>0.93190573470000004</v>
      </c>
      <c r="AP263" s="39">
        <v>0.93797590509999995</v>
      </c>
      <c r="AQ263" s="39">
        <v>0.94409636679999998</v>
      </c>
      <c r="AR263" s="39">
        <v>0.94898614169999995</v>
      </c>
      <c r="AS263" s="39">
        <v>0.95675214639999995</v>
      </c>
      <c r="AT263" s="39">
        <v>0.96398359659999999</v>
      </c>
      <c r="AU263" s="39">
        <v>0.97109386559999999</v>
      </c>
      <c r="AV263">
        <v>0.9782986857</v>
      </c>
      <c r="AW263">
        <v>0.98625565770000001</v>
      </c>
    </row>
    <row r="264" spans="2:49" x14ac:dyDescent="0.25">
      <c r="B264" t="s">
        <v>335</v>
      </c>
      <c r="C264">
        <v>1.7112081308179601</v>
      </c>
      <c r="D264">
        <v>1.7386821308642</v>
      </c>
      <c r="E264">
        <v>1.7701033129999999</v>
      </c>
      <c r="F264">
        <v>1.7927007399999999</v>
      </c>
      <c r="G264">
        <v>1.8100206750000001</v>
      </c>
      <c r="H264">
        <v>1.702783983</v>
      </c>
      <c r="I264">
        <v>1.779586997</v>
      </c>
      <c r="J264">
        <v>1.808929749</v>
      </c>
      <c r="K264">
        <v>1.7879381219999999</v>
      </c>
      <c r="L264">
        <v>1.7988206920000001</v>
      </c>
      <c r="M264">
        <v>1.8165621000000001</v>
      </c>
      <c r="N264">
        <v>1.893003596</v>
      </c>
      <c r="O264">
        <v>1.8933443480000001</v>
      </c>
      <c r="P264">
        <v>1.8990851049999999</v>
      </c>
      <c r="Q264">
        <v>1.87331677</v>
      </c>
      <c r="R264">
        <v>1.892252963</v>
      </c>
      <c r="S264">
        <v>1.876856834</v>
      </c>
      <c r="T264">
        <v>1.8852028270000001</v>
      </c>
      <c r="U264">
        <v>1.917555119</v>
      </c>
      <c r="V264">
        <v>1.958985634</v>
      </c>
      <c r="W264">
        <v>1.9942236149999999</v>
      </c>
      <c r="X264">
        <v>2.0248715879999999</v>
      </c>
      <c r="Y264">
        <v>2.0511972319999998</v>
      </c>
      <c r="Z264">
        <v>2.078690929</v>
      </c>
      <c r="AA264">
        <v>2.1035906280000001</v>
      </c>
      <c r="AB264">
        <v>2.1268303610000001</v>
      </c>
      <c r="AC264">
        <v>2.1490387640000002</v>
      </c>
      <c r="AD264">
        <v>2.1696615289999999</v>
      </c>
      <c r="AE264">
        <v>2.1897176489999999</v>
      </c>
      <c r="AF264">
        <v>2.2121899190000001</v>
      </c>
      <c r="AG264">
        <v>2.2332779330000001</v>
      </c>
      <c r="AH264">
        <v>2.2554439159999999</v>
      </c>
      <c r="AI264">
        <v>2.2800835589999999</v>
      </c>
      <c r="AJ264">
        <v>2.3067556979999999</v>
      </c>
      <c r="AK264">
        <v>2.334077615</v>
      </c>
      <c r="AL264">
        <v>2.3625889299999998</v>
      </c>
      <c r="AM264">
        <v>2.3918747699999998</v>
      </c>
      <c r="AN264">
        <v>2.4221372319999999</v>
      </c>
      <c r="AO264">
        <v>2.4534761700000001</v>
      </c>
      <c r="AP264">
        <v>2.4844986040000001</v>
      </c>
      <c r="AQ264">
        <v>2.5157120499999999</v>
      </c>
      <c r="AR264">
        <v>2.5469020480000002</v>
      </c>
      <c r="AS264">
        <v>2.5776611260000002</v>
      </c>
      <c r="AT264">
        <v>2.6087723349999998</v>
      </c>
      <c r="AU264">
        <v>2.6405689680000002</v>
      </c>
      <c r="AV264">
        <v>2.6732959840000001</v>
      </c>
      <c r="AW264">
        <v>2.7066595260000001</v>
      </c>
    </row>
    <row r="265" spans="2:49" x14ac:dyDescent="0.25">
      <c r="B265" t="s">
        <v>336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2:49" x14ac:dyDescent="0.25">
      <c r="B266" t="s">
        <v>337</v>
      </c>
      <c r="C266">
        <v>1.5692072404564801</v>
      </c>
      <c r="D266">
        <v>1.5944013702764701</v>
      </c>
      <c r="E266">
        <v>1.6271514730000001</v>
      </c>
      <c r="F266">
        <v>1.6520480900000001</v>
      </c>
      <c r="G266">
        <v>1.676439971</v>
      </c>
      <c r="H266">
        <v>1.56045732</v>
      </c>
      <c r="I266">
        <v>1.6493759400000001</v>
      </c>
      <c r="J266">
        <v>1.7022751739999999</v>
      </c>
      <c r="K266">
        <v>1.693329927</v>
      </c>
      <c r="L266">
        <v>1.70387541</v>
      </c>
      <c r="M266">
        <v>1.721097836</v>
      </c>
      <c r="N266">
        <v>1.768943605</v>
      </c>
      <c r="O266">
        <v>1.8254410409999999</v>
      </c>
      <c r="P266">
        <v>1.9165789630000001</v>
      </c>
      <c r="Q266">
        <v>1.968287946</v>
      </c>
      <c r="R266">
        <v>2.0593339890000002</v>
      </c>
      <c r="S266">
        <v>2.1040699049999998</v>
      </c>
      <c r="T266">
        <v>2.113479001</v>
      </c>
      <c r="U266">
        <v>2.140849174</v>
      </c>
      <c r="V266">
        <v>2.1758016090000001</v>
      </c>
      <c r="W266">
        <v>2.2209763549999999</v>
      </c>
      <c r="X266">
        <v>2.2521261680000002</v>
      </c>
      <c r="Y266">
        <v>2.2728462820000002</v>
      </c>
      <c r="Z266">
        <v>2.2979724749999999</v>
      </c>
      <c r="AA266">
        <v>2.3172865370000002</v>
      </c>
      <c r="AB266">
        <v>2.3339272389999999</v>
      </c>
      <c r="AC266">
        <v>2.3487997690000002</v>
      </c>
      <c r="AD266">
        <v>2.3619548560000001</v>
      </c>
      <c r="AE266">
        <v>2.3739580450000002</v>
      </c>
      <c r="AF266">
        <v>2.3894672240000001</v>
      </c>
      <c r="AG266">
        <v>2.4023878440000002</v>
      </c>
      <c r="AH266">
        <v>2.4161893289999998</v>
      </c>
      <c r="AI266">
        <v>2.4295470520000002</v>
      </c>
      <c r="AJ266">
        <v>2.4448050979999998</v>
      </c>
      <c r="AK266">
        <v>2.4607359029999998</v>
      </c>
      <c r="AL266">
        <v>2.4780609550000001</v>
      </c>
      <c r="AM266">
        <v>2.4964516649999999</v>
      </c>
      <c r="AN266">
        <v>2.5185195359999999</v>
      </c>
      <c r="AO266">
        <v>2.5431829370000001</v>
      </c>
      <c r="AP266">
        <v>2.5679723239999999</v>
      </c>
      <c r="AQ266">
        <v>2.5932557549999999</v>
      </c>
      <c r="AR266">
        <v>2.618661549</v>
      </c>
      <c r="AS266">
        <v>2.6445391640000002</v>
      </c>
      <c r="AT266">
        <v>2.6714090439999998</v>
      </c>
      <c r="AU266" s="39">
        <v>2.6991650520000001</v>
      </c>
      <c r="AV266">
        <v>2.7279849270000001</v>
      </c>
      <c r="AW266">
        <v>2.757424001</v>
      </c>
    </row>
    <row r="267" spans="2:49" x14ac:dyDescent="0.25">
      <c r="B267" t="s">
        <v>338</v>
      </c>
      <c r="C267">
        <v>0.99151022292981705</v>
      </c>
      <c r="D267">
        <v>0.99151022292981705</v>
      </c>
      <c r="E267">
        <v>0.99190376039999995</v>
      </c>
      <c r="F267">
        <v>0.98791902549999999</v>
      </c>
      <c r="G267">
        <v>0.98397034409999995</v>
      </c>
      <c r="H267">
        <v>0.98000841370000003</v>
      </c>
      <c r="I267">
        <v>0.97610488350000002</v>
      </c>
      <c r="J267">
        <v>0.9722183982</v>
      </c>
      <c r="K267">
        <v>0.96833830809999999</v>
      </c>
      <c r="L267">
        <v>0.96448469619999999</v>
      </c>
      <c r="M267">
        <v>0.9606357016</v>
      </c>
      <c r="N267">
        <v>0.95682791860000005</v>
      </c>
      <c r="O267">
        <v>0.95615376269999997</v>
      </c>
      <c r="P267">
        <v>0.95545100169999997</v>
      </c>
      <c r="Q267">
        <v>0.95469848810000002</v>
      </c>
      <c r="R267">
        <v>0.95390643659999996</v>
      </c>
      <c r="S267">
        <v>0.95303117670000004</v>
      </c>
      <c r="T267">
        <v>0.9505624292</v>
      </c>
      <c r="U267">
        <v>0.94819794989999995</v>
      </c>
      <c r="V267">
        <v>0.9459178922</v>
      </c>
      <c r="W267">
        <v>0.94596223010000002</v>
      </c>
      <c r="X267">
        <v>0.94601662289999999</v>
      </c>
      <c r="Y267">
        <v>0.94605843199999995</v>
      </c>
      <c r="Z267">
        <v>0.94609350640000001</v>
      </c>
      <c r="AA267">
        <v>0.94612655909999999</v>
      </c>
      <c r="AB267">
        <v>0.94615925300000003</v>
      </c>
      <c r="AC267">
        <v>0.9461964236</v>
      </c>
      <c r="AD267">
        <v>0.9462305848</v>
      </c>
      <c r="AE267">
        <v>0.94626222869999999</v>
      </c>
      <c r="AF267">
        <v>0.94629621310000001</v>
      </c>
      <c r="AG267">
        <v>0.94632945759999998</v>
      </c>
      <c r="AH267">
        <v>0.94636412869999997</v>
      </c>
      <c r="AI267">
        <v>0.94639866920000004</v>
      </c>
      <c r="AJ267">
        <v>0.94643480719999995</v>
      </c>
      <c r="AK267">
        <v>0.94647219800000004</v>
      </c>
      <c r="AL267">
        <v>0.94651079540000005</v>
      </c>
      <c r="AM267">
        <v>0.94655024450000003</v>
      </c>
      <c r="AN267">
        <v>0.94659281149999996</v>
      </c>
      <c r="AO267">
        <v>0.94663747300000001</v>
      </c>
      <c r="AP267">
        <v>0.94668340770000003</v>
      </c>
      <c r="AQ267">
        <v>0.94673039749999999</v>
      </c>
      <c r="AR267">
        <v>0.94678059039999996</v>
      </c>
      <c r="AS267">
        <v>0.94682267870000003</v>
      </c>
      <c r="AT267">
        <v>0.94686488560000004</v>
      </c>
      <c r="AU267">
        <v>0.94690796980000003</v>
      </c>
      <c r="AV267">
        <v>0.94695195730000004</v>
      </c>
      <c r="AW267">
        <v>0.94699575000000003</v>
      </c>
    </row>
    <row r="268" spans="2:49" x14ac:dyDescent="0.25">
      <c r="B268" t="s">
        <v>339</v>
      </c>
      <c r="C268">
        <v>8.4897770701825997E-3</v>
      </c>
      <c r="D268">
        <v>8.4897770701825997E-3</v>
      </c>
      <c r="E268">
        <v>8.0962396400000008E-3</v>
      </c>
      <c r="F268">
        <v>1.2080974499999999E-2</v>
      </c>
      <c r="G268">
        <v>1.6029655899999998E-2</v>
      </c>
      <c r="H268">
        <v>1.9991586299999999E-2</v>
      </c>
      <c r="I268">
        <v>2.3895116500000001E-2</v>
      </c>
      <c r="J268">
        <v>2.77816018E-2</v>
      </c>
      <c r="K268">
        <v>3.1661691899999997E-2</v>
      </c>
      <c r="L268">
        <v>3.5515303800000002E-2</v>
      </c>
      <c r="M268">
        <v>3.9364298399999997E-2</v>
      </c>
      <c r="N268">
        <v>4.3172081399999999E-2</v>
      </c>
      <c r="O268">
        <v>4.38462373E-2</v>
      </c>
      <c r="P268">
        <v>4.4548998300000003E-2</v>
      </c>
      <c r="Q268">
        <v>4.5301511900000001E-2</v>
      </c>
      <c r="R268">
        <v>4.6093563400000002E-2</v>
      </c>
      <c r="S268">
        <v>4.6968823299999997E-2</v>
      </c>
      <c r="T268">
        <v>4.9437570799999997E-2</v>
      </c>
      <c r="U268">
        <v>5.1802050099999997E-2</v>
      </c>
      <c r="V268">
        <v>5.4082107800000001E-2</v>
      </c>
      <c r="W268">
        <v>5.4037769899999998E-2</v>
      </c>
      <c r="X268">
        <v>5.39833771E-2</v>
      </c>
      <c r="Y268">
        <v>5.3941568000000002E-2</v>
      </c>
      <c r="Z268">
        <v>5.3906493600000001E-2</v>
      </c>
      <c r="AA268">
        <v>5.38734409E-2</v>
      </c>
      <c r="AB268">
        <v>5.3840747000000001E-2</v>
      </c>
      <c r="AC268">
        <v>5.3803576399999997E-2</v>
      </c>
      <c r="AD268">
        <v>5.3769415199999997E-2</v>
      </c>
      <c r="AE268">
        <v>5.3737771300000001E-2</v>
      </c>
      <c r="AF268">
        <v>5.3703786900000001E-2</v>
      </c>
      <c r="AG268">
        <v>5.36705424E-2</v>
      </c>
      <c r="AH268">
        <v>5.3635871299999999E-2</v>
      </c>
      <c r="AI268">
        <v>5.3601330799999999E-2</v>
      </c>
      <c r="AJ268">
        <v>5.3565192800000001E-2</v>
      </c>
      <c r="AK268">
        <v>5.3527801999999999E-2</v>
      </c>
      <c r="AL268">
        <v>5.34892046E-2</v>
      </c>
      <c r="AM268">
        <v>5.3449755500000001E-2</v>
      </c>
      <c r="AN268">
        <v>5.3407188500000001E-2</v>
      </c>
      <c r="AO268">
        <v>5.3362527E-2</v>
      </c>
      <c r="AP268">
        <v>5.33165923E-2</v>
      </c>
      <c r="AQ268">
        <v>5.3269602499999999E-2</v>
      </c>
      <c r="AR268">
        <v>5.3219409600000003E-2</v>
      </c>
      <c r="AS268">
        <v>5.3177321299999997E-2</v>
      </c>
      <c r="AT268">
        <v>5.3135114400000003E-2</v>
      </c>
      <c r="AU268">
        <v>5.3092030200000001E-2</v>
      </c>
      <c r="AV268">
        <v>5.3048042699999999E-2</v>
      </c>
      <c r="AW268">
        <v>5.3004250000000003E-2</v>
      </c>
    </row>
    <row r="269" spans="2:49" x14ac:dyDescent="0.25">
      <c r="B269" t="s">
        <v>340</v>
      </c>
      <c r="C269">
        <v>0.79896379760487002</v>
      </c>
      <c r="D269">
        <v>0.79896379760486902</v>
      </c>
      <c r="E269">
        <v>0.79896379760000003</v>
      </c>
      <c r="F269">
        <v>0.79638418170000003</v>
      </c>
      <c r="G269">
        <v>0.79381289450000003</v>
      </c>
      <c r="H269">
        <v>0.79124990930000005</v>
      </c>
      <c r="I269">
        <v>0.78869519919999997</v>
      </c>
      <c r="J269">
        <v>0.78614873750000003</v>
      </c>
      <c r="K269">
        <v>0.7836104975</v>
      </c>
      <c r="L269">
        <v>0.78108045280000005</v>
      </c>
      <c r="M269">
        <v>0.77855857679999996</v>
      </c>
      <c r="N269">
        <v>0.7760448432</v>
      </c>
      <c r="O269">
        <v>0.76081534390000005</v>
      </c>
      <c r="P269">
        <v>0.74503571680000003</v>
      </c>
      <c r="Q269">
        <v>0.72867560580000001</v>
      </c>
      <c r="R269">
        <v>0.71170237920000001</v>
      </c>
      <c r="S269">
        <v>0.69408091299999997</v>
      </c>
      <c r="T269">
        <v>0.68549363870000002</v>
      </c>
      <c r="U269">
        <v>0.67684743709999995</v>
      </c>
      <c r="V269">
        <v>0.66814169960000003</v>
      </c>
      <c r="W269">
        <v>0.66814169960000003</v>
      </c>
      <c r="X269">
        <v>0.66814169960000003</v>
      </c>
      <c r="Y269">
        <v>0.66814169960000003</v>
      </c>
      <c r="Z269">
        <v>0.66814169960000003</v>
      </c>
      <c r="AA269">
        <v>0.66814169960000003</v>
      </c>
      <c r="AB269">
        <v>0.66814169960000003</v>
      </c>
      <c r="AC269">
        <v>0.66814169960000003</v>
      </c>
      <c r="AD269">
        <v>0.66814169960000003</v>
      </c>
      <c r="AE269">
        <v>0.66814169960000003</v>
      </c>
      <c r="AF269">
        <v>0.66814169960000003</v>
      </c>
      <c r="AG269">
        <v>0.66814169960000003</v>
      </c>
      <c r="AH269">
        <v>0.66814169960000003</v>
      </c>
      <c r="AI269">
        <v>0.66814169960000003</v>
      </c>
      <c r="AJ269">
        <v>0.66814169960000003</v>
      </c>
      <c r="AK269">
        <v>0.66814169960000003</v>
      </c>
      <c r="AL269">
        <v>0.66814169960000003</v>
      </c>
      <c r="AM269">
        <v>0.66814169960000003</v>
      </c>
      <c r="AN269">
        <v>0.66814169960000003</v>
      </c>
      <c r="AO269">
        <v>0.66814169960000003</v>
      </c>
      <c r="AP269">
        <v>0.66814169960000003</v>
      </c>
      <c r="AQ269">
        <v>0.66814169960000003</v>
      </c>
      <c r="AR269">
        <v>0.66814169960000003</v>
      </c>
      <c r="AS269">
        <v>0.66814169960000003</v>
      </c>
      <c r="AT269">
        <v>0.66814169960000003</v>
      </c>
      <c r="AU269">
        <v>0.66814169960000003</v>
      </c>
      <c r="AV269">
        <v>0.66814169960000003</v>
      </c>
      <c r="AW269">
        <v>0.66814169960000003</v>
      </c>
    </row>
    <row r="270" spans="2:49" x14ac:dyDescent="0.25">
      <c r="B270" t="s">
        <v>341</v>
      </c>
      <c r="C270">
        <v>1.02537481030392E-2</v>
      </c>
      <c r="D270">
        <v>1.02537481030392E-2</v>
      </c>
      <c r="E270">
        <v>1.02537481E-2</v>
      </c>
      <c r="F270">
        <v>9.6835705400000003E-3</v>
      </c>
      <c r="G270">
        <v>9.1450986900000007E-3</v>
      </c>
      <c r="H270">
        <v>8.6365695100000008E-3</v>
      </c>
      <c r="I270">
        <v>8.1563179799999906E-3</v>
      </c>
      <c r="J270">
        <v>7.7027716699999997E-3</v>
      </c>
      <c r="K270">
        <v>7.2744456000000002E-3</v>
      </c>
      <c r="L270">
        <v>6.8699373499999999E-3</v>
      </c>
      <c r="M270">
        <v>6.4879224899999999E-3</v>
      </c>
      <c r="N270">
        <v>6.1271502300000004E-3</v>
      </c>
      <c r="O270">
        <v>5.5291148799999999E-3</v>
      </c>
      <c r="P270">
        <v>4.9094769899999998E-3</v>
      </c>
      <c r="Q270">
        <v>4.2670445299999998E-3</v>
      </c>
      <c r="R270">
        <v>3.6005361100000001E-3</v>
      </c>
      <c r="S270">
        <v>2.9085724800000001E-3</v>
      </c>
      <c r="T270">
        <v>3.81905458E-3</v>
      </c>
      <c r="U270">
        <v>4.7357845600000002E-3</v>
      </c>
      <c r="V270">
        <v>5.6588269500000002E-3</v>
      </c>
      <c r="W270">
        <v>5.6588269500000002E-3</v>
      </c>
      <c r="X270">
        <v>5.6588269500000002E-3</v>
      </c>
      <c r="Y270">
        <v>5.6588269500000002E-3</v>
      </c>
      <c r="Z270">
        <v>5.6588269500000002E-3</v>
      </c>
      <c r="AA270">
        <v>5.6588269500000002E-3</v>
      </c>
      <c r="AB270">
        <v>5.6588269500000002E-3</v>
      </c>
      <c r="AC270">
        <v>5.6588269500000002E-3</v>
      </c>
      <c r="AD270">
        <v>5.6588269500000002E-3</v>
      </c>
      <c r="AE270">
        <v>5.6588269500000002E-3</v>
      </c>
      <c r="AF270">
        <v>5.6588269500000002E-3</v>
      </c>
      <c r="AG270">
        <v>5.6588269500000002E-3</v>
      </c>
      <c r="AH270">
        <v>5.6588269500000002E-3</v>
      </c>
      <c r="AI270" s="39">
        <v>5.6588269500000002E-3</v>
      </c>
      <c r="AJ270" s="39">
        <v>5.6588269500000002E-3</v>
      </c>
      <c r="AK270" s="39">
        <v>5.6588269500000002E-3</v>
      </c>
      <c r="AL270" s="39">
        <v>5.6588269500000002E-3</v>
      </c>
      <c r="AM270" s="39">
        <v>5.6588269500000002E-3</v>
      </c>
      <c r="AN270" s="39">
        <v>5.6588269500000002E-3</v>
      </c>
      <c r="AO270" s="39">
        <v>5.6588269500000002E-3</v>
      </c>
      <c r="AP270" s="39">
        <v>5.6588269500000002E-3</v>
      </c>
      <c r="AQ270" s="39">
        <v>5.6588269500000002E-3</v>
      </c>
      <c r="AR270" s="39">
        <v>5.6588269500000002E-3</v>
      </c>
      <c r="AS270" s="39">
        <v>5.6588269500000002E-3</v>
      </c>
      <c r="AT270" s="39">
        <v>5.6588269500000002E-3</v>
      </c>
      <c r="AU270" s="39">
        <v>5.6588269500000002E-3</v>
      </c>
      <c r="AV270" s="39">
        <v>5.6588269500000002E-3</v>
      </c>
      <c r="AW270" s="39">
        <v>5.6588269500000002E-3</v>
      </c>
    </row>
    <row r="271" spans="2:49" x14ac:dyDescent="0.25">
      <c r="B271" t="s">
        <v>342</v>
      </c>
      <c r="C271">
        <v>4.0949078402655603E-2</v>
      </c>
      <c r="D271">
        <v>4.0949078402655603E-2</v>
      </c>
      <c r="E271">
        <v>4.0949078399999998E-2</v>
      </c>
      <c r="F271">
        <v>4.08762326E-2</v>
      </c>
      <c r="G271">
        <v>4.0803516300000002E-2</v>
      </c>
      <c r="H271">
        <v>4.0730929399999997E-2</v>
      </c>
      <c r="I271">
        <v>4.0658471699999997E-2</v>
      </c>
      <c r="J271">
        <v>4.0586142800000002E-2</v>
      </c>
      <c r="K271">
        <v>4.0513942599999998E-2</v>
      </c>
      <c r="L271">
        <v>4.0441870900000003E-2</v>
      </c>
      <c r="M271">
        <v>4.0369927299999997E-2</v>
      </c>
      <c r="N271">
        <v>4.0298111800000001E-2</v>
      </c>
      <c r="O271">
        <v>4.42463061E-2</v>
      </c>
      <c r="P271">
        <v>4.8337119099999999E-2</v>
      </c>
      <c r="Q271">
        <v>5.25784205E-2</v>
      </c>
      <c r="R271">
        <v>5.6978670000000002E-2</v>
      </c>
      <c r="S271">
        <v>6.1546973300000002E-2</v>
      </c>
      <c r="T271">
        <v>5.8760594999999999E-2</v>
      </c>
      <c r="U271">
        <v>5.5955096199999999E-2</v>
      </c>
      <c r="V271">
        <v>5.3130279199999998E-2</v>
      </c>
      <c r="W271">
        <v>5.3130279199999998E-2</v>
      </c>
      <c r="X271">
        <v>5.3130279199999998E-2</v>
      </c>
      <c r="Y271">
        <v>5.3130279199999998E-2</v>
      </c>
      <c r="Z271">
        <v>5.3130279199999998E-2</v>
      </c>
      <c r="AA271">
        <v>5.3130279199999998E-2</v>
      </c>
      <c r="AB271">
        <v>5.3130279199999998E-2</v>
      </c>
      <c r="AC271">
        <v>5.3130279199999998E-2</v>
      </c>
      <c r="AD271">
        <v>5.3130279199999998E-2</v>
      </c>
      <c r="AE271">
        <v>5.3130279199999998E-2</v>
      </c>
      <c r="AF271">
        <v>5.3130279199999998E-2</v>
      </c>
      <c r="AG271">
        <v>5.3130279199999998E-2</v>
      </c>
      <c r="AH271">
        <v>5.3130279199999998E-2</v>
      </c>
      <c r="AI271">
        <v>5.3130279199999998E-2</v>
      </c>
      <c r="AJ271">
        <v>5.3130279199999998E-2</v>
      </c>
      <c r="AK271">
        <v>5.3130279199999998E-2</v>
      </c>
      <c r="AL271">
        <v>5.3130279199999998E-2</v>
      </c>
      <c r="AM271">
        <v>5.3130279199999998E-2</v>
      </c>
      <c r="AN271">
        <v>5.3130279199999998E-2</v>
      </c>
      <c r="AO271">
        <v>5.3130279199999998E-2</v>
      </c>
      <c r="AP271">
        <v>5.3130279199999998E-2</v>
      </c>
      <c r="AQ271">
        <v>5.3130279199999998E-2</v>
      </c>
      <c r="AR271">
        <v>5.3130279199999998E-2</v>
      </c>
      <c r="AS271">
        <v>5.3130279199999998E-2</v>
      </c>
      <c r="AT271">
        <v>5.3130279199999998E-2</v>
      </c>
      <c r="AU271">
        <v>5.3130279199999998E-2</v>
      </c>
      <c r="AV271">
        <v>5.3130279199999998E-2</v>
      </c>
      <c r="AW271">
        <v>5.3130279199999998E-2</v>
      </c>
    </row>
    <row r="272" spans="2:49" x14ac:dyDescent="0.25">
      <c r="B272" t="s">
        <v>343</v>
      </c>
      <c r="C272">
        <v>4.0858446639591303E-2</v>
      </c>
      <c r="D272">
        <v>4.0858446639591303E-2</v>
      </c>
      <c r="E272">
        <v>4.0858446600000001E-2</v>
      </c>
      <c r="F272">
        <v>3.7501973199999997E-2</v>
      </c>
      <c r="G272">
        <v>3.44212302E-2</v>
      </c>
      <c r="H272">
        <v>3.1593566500000003E-2</v>
      </c>
      <c r="I272">
        <v>2.89981921E-2</v>
      </c>
      <c r="J272">
        <v>2.6616024700000001E-2</v>
      </c>
      <c r="K272">
        <v>2.4429549500000002E-2</v>
      </c>
      <c r="L272">
        <v>2.2422690700000001E-2</v>
      </c>
      <c r="M272">
        <v>2.0580693000000001E-2</v>
      </c>
      <c r="N272">
        <v>1.88900132E-2</v>
      </c>
      <c r="O272">
        <v>1.6445307100000001E-2</v>
      </c>
      <c r="P272">
        <v>1.3912292099999999E-2</v>
      </c>
      <c r="Q272">
        <v>1.12860953E-2</v>
      </c>
      <c r="R272">
        <v>8.5614784100000001E-3</v>
      </c>
      <c r="S272">
        <v>5.7328033000000004E-3</v>
      </c>
      <c r="T272">
        <v>5.47000478E-3</v>
      </c>
      <c r="U272">
        <v>5.2054029000000003E-3</v>
      </c>
      <c r="V272">
        <v>4.9389790200000004E-3</v>
      </c>
      <c r="W272">
        <v>4.9389790200000004E-3</v>
      </c>
      <c r="X272">
        <v>4.9389790200000004E-3</v>
      </c>
      <c r="Y272">
        <v>4.9389790200000004E-3</v>
      </c>
      <c r="Z272">
        <v>4.9389790200000004E-3</v>
      </c>
      <c r="AA272">
        <v>4.9389790200000004E-3</v>
      </c>
      <c r="AB272">
        <v>4.9389790200000004E-3</v>
      </c>
      <c r="AC272">
        <v>4.9389790200000004E-3</v>
      </c>
      <c r="AD272">
        <v>4.9389790200000004E-3</v>
      </c>
      <c r="AE272">
        <v>4.9389790200000004E-3</v>
      </c>
      <c r="AF272">
        <v>4.9389790200000004E-3</v>
      </c>
      <c r="AG272">
        <v>4.9389790200000004E-3</v>
      </c>
      <c r="AH272">
        <v>4.9389790200000004E-3</v>
      </c>
      <c r="AI272">
        <v>4.9389790200000004E-3</v>
      </c>
      <c r="AJ272">
        <v>4.9389790200000004E-3</v>
      </c>
      <c r="AK272">
        <v>4.9389790200000004E-3</v>
      </c>
      <c r="AL272">
        <v>4.9389790200000004E-3</v>
      </c>
      <c r="AM272">
        <v>4.9389790200000004E-3</v>
      </c>
      <c r="AN272">
        <v>4.9389790200000004E-3</v>
      </c>
      <c r="AO272">
        <v>4.9389790200000004E-3</v>
      </c>
      <c r="AP272">
        <v>4.9389790200000004E-3</v>
      </c>
      <c r="AQ272">
        <v>4.9389790200000004E-3</v>
      </c>
      <c r="AR272">
        <v>4.9389790200000004E-3</v>
      </c>
      <c r="AS272">
        <v>4.9389790200000004E-3</v>
      </c>
      <c r="AT272" s="39">
        <v>4.9389790200000004E-3</v>
      </c>
      <c r="AU272" s="39">
        <v>4.9389790200000004E-3</v>
      </c>
      <c r="AV272" s="39">
        <v>4.9389790200000004E-3</v>
      </c>
      <c r="AW272" s="39">
        <v>4.9389790200000004E-3</v>
      </c>
    </row>
    <row r="273" spans="2:49" x14ac:dyDescent="0.25">
      <c r="B273" t="s">
        <v>344</v>
      </c>
      <c r="C273">
        <v>8.2546962733871607E-3</v>
      </c>
      <c r="D273">
        <v>8.2546962733871607E-3</v>
      </c>
      <c r="E273">
        <v>8.2546962700000004E-3</v>
      </c>
      <c r="F273">
        <v>1.7081659799999999E-2</v>
      </c>
      <c r="G273">
        <v>2.5176000800000001E-2</v>
      </c>
      <c r="H273">
        <v>3.2493267499999999E-2</v>
      </c>
      <c r="I273">
        <v>3.8964704699999998E-2</v>
      </c>
      <c r="J273">
        <v>4.44904359E-2</v>
      </c>
      <c r="K273">
        <v>4.8930383399999999E-2</v>
      </c>
      <c r="L273">
        <v>5.2092196299999997E-2</v>
      </c>
      <c r="M273">
        <v>5.37152194E-2</v>
      </c>
      <c r="N273">
        <v>5.3449221200000001E-2</v>
      </c>
      <c r="O273">
        <v>5.9116927600000001E-2</v>
      </c>
      <c r="P273">
        <v>6.4989365699999996E-2</v>
      </c>
      <c r="Q273">
        <v>7.1077832800000004E-2</v>
      </c>
      <c r="R273">
        <v>7.7394472699999994E-2</v>
      </c>
      <c r="S273">
        <v>8.39523571E-2</v>
      </c>
      <c r="T273">
        <v>8.81391225E-2</v>
      </c>
      <c r="U273">
        <v>9.2354618099999994E-2</v>
      </c>
      <c r="V273">
        <v>9.6599140799999997E-2</v>
      </c>
      <c r="W273">
        <v>9.6599140799999997E-2</v>
      </c>
      <c r="X273">
        <v>9.6599140799999997E-2</v>
      </c>
      <c r="Y273">
        <v>9.6599140799999997E-2</v>
      </c>
      <c r="Z273">
        <v>9.6599140799999997E-2</v>
      </c>
      <c r="AA273">
        <v>9.6599140799999997E-2</v>
      </c>
      <c r="AB273">
        <v>9.6599140799999997E-2</v>
      </c>
      <c r="AC273">
        <v>9.6599140799999997E-2</v>
      </c>
      <c r="AD273">
        <v>9.6599140799999997E-2</v>
      </c>
      <c r="AE273">
        <v>9.6599140799999997E-2</v>
      </c>
      <c r="AF273">
        <v>9.6599140799999997E-2</v>
      </c>
      <c r="AG273">
        <v>9.6599140799999997E-2</v>
      </c>
      <c r="AH273">
        <v>9.6599140799999997E-2</v>
      </c>
      <c r="AI273">
        <v>9.6599140799999997E-2</v>
      </c>
      <c r="AJ273">
        <v>9.6599140799999997E-2</v>
      </c>
      <c r="AK273">
        <v>9.6599140799999997E-2</v>
      </c>
      <c r="AL273">
        <v>9.6599140799999997E-2</v>
      </c>
      <c r="AM273">
        <v>9.6599140799999997E-2</v>
      </c>
      <c r="AN273">
        <v>9.6599140799999997E-2</v>
      </c>
      <c r="AO273">
        <v>9.6599140799999997E-2</v>
      </c>
      <c r="AP273">
        <v>9.6599140799999997E-2</v>
      </c>
      <c r="AQ273">
        <v>9.6599140799999997E-2</v>
      </c>
      <c r="AR273">
        <v>9.6599140799999997E-2</v>
      </c>
      <c r="AS273">
        <v>9.6599140799999997E-2</v>
      </c>
      <c r="AT273">
        <v>9.6599140799999997E-2</v>
      </c>
      <c r="AU273">
        <v>9.6599140799999997E-2</v>
      </c>
      <c r="AV273">
        <v>9.6599140799999997E-2</v>
      </c>
      <c r="AW273">
        <v>9.6599140799999997E-2</v>
      </c>
    </row>
    <row r="274" spans="2:49" x14ac:dyDescent="0.25">
      <c r="B274" t="s">
        <v>345</v>
      </c>
      <c r="C274">
        <v>1.85730666151211E-3</v>
      </c>
      <c r="D274">
        <v>1.85730666151211E-3</v>
      </c>
      <c r="E274">
        <v>1.8573066599999999E-3</v>
      </c>
      <c r="F274">
        <v>2.4629865800000002E-3</v>
      </c>
      <c r="G274">
        <v>3.26618272E-3</v>
      </c>
      <c r="H274">
        <v>4.3313063900000002E-3</v>
      </c>
      <c r="I274">
        <v>5.7437738999999996E-3</v>
      </c>
      <c r="J274">
        <v>7.6168563700000002E-3</v>
      </c>
      <c r="K274">
        <v>1.0100763299999999E-2</v>
      </c>
      <c r="L274">
        <v>1.3394688700000001E-2</v>
      </c>
      <c r="M274">
        <v>1.7762784899999998E-2</v>
      </c>
      <c r="N274">
        <v>2.35553459E-2</v>
      </c>
      <c r="O274">
        <v>2.60531331E-2</v>
      </c>
      <c r="P274">
        <v>2.8641146700000002E-2</v>
      </c>
      <c r="Q274">
        <v>3.1324365399999998E-2</v>
      </c>
      <c r="R274">
        <v>3.4108141000000002E-2</v>
      </c>
      <c r="S274">
        <v>3.6998234300000002E-2</v>
      </c>
      <c r="T274">
        <v>3.8309503799999998E-2</v>
      </c>
      <c r="U274">
        <v>3.9629771500000001E-2</v>
      </c>
      <c r="V274">
        <v>4.0959130199999999E-2</v>
      </c>
      <c r="W274">
        <v>4.0959130199999999E-2</v>
      </c>
      <c r="X274">
        <v>4.0959130199999999E-2</v>
      </c>
      <c r="Y274">
        <v>4.0959130199999999E-2</v>
      </c>
      <c r="Z274">
        <v>4.0959130199999999E-2</v>
      </c>
      <c r="AA274">
        <v>4.0959130199999999E-2</v>
      </c>
      <c r="AB274">
        <v>4.0959130199999999E-2</v>
      </c>
      <c r="AC274">
        <v>4.0959130199999999E-2</v>
      </c>
      <c r="AD274">
        <v>4.0959130199999999E-2</v>
      </c>
      <c r="AE274">
        <v>4.0959130199999999E-2</v>
      </c>
      <c r="AF274">
        <v>4.0959130199999999E-2</v>
      </c>
      <c r="AG274">
        <v>4.0959130199999999E-2</v>
      </c>
      <c r="AH274">
        <v>4.0959130199999999E-2</v>
      </c>
      <c r="AI274">
        <v>4.0959130199999999E-2</v>
      </c>
      <c r="AJ274">
        <v>4.0959130199999999E-2</v>
      </c>
      <c r="AK274">
        <v>4.0959130199999999E-2</v>
      </c>
      <c r="AL274">
        <v>4.0959130199999999E-2</v>
      </c>
      <c r="AM274">
        <v>4.0959130199999999E-2</v>
      </c>
      <c r="AN274">
        <v>4.0959130199999999E-2</v>
      </c>
      <c r="AO274">
        <v>4.0959130199999999E-2</v>
      </c>
      <c r="AP274">
        <v>4.0959130199999999E-2</v>
      </c>
      <c r="AQ274">
        <v>4.0959130199999999E-2</v>
      </c>
      <c r="AR274">
        <v>4.0959130199999999E-2</v>
      </c>
      <c r="AS274">
        <v>4.0959130199999999E-2</v>
      </c>
      <c r="AT274">
        <v>4.0959130199999999E-2</v>
      </c>
      <c r="AU274">
        <v>4.0959130199999999E-2</v>
      </c>
      <c r="AV274">
        <v>4.0959130199999999E-2</v>
      </c>
      <c r="AW274">
        <v>4.0959130199999999E-2</v>
      </c>
    </row>
    <row r="275" spans="2:49" x14ac:dyDescent="0.25">
      <c r="B275" t="s">
        <v>346</v>
      </c>
      <c r="C275">
        <v>9.2848272947954696E-2</v>
      </c>
      <c r="D275">
        <v>9.2848272947954599E-2</v>
      </c>
      <c r="E275">
        <v>9.2848272900000001E-2</v>
      </c>
      <c r="F275">
        <v>8.9289128999999995E-2</v>
      </c>
      <c r="G275">
        <v>8.5866417400000006E-2</v>
      </c>
      <c r="H275">
        <v>8.2574908299999999E-2</v>
      </c>
      <c r="I275">
        <v>7.9409572299999995E-2</v>
      </c>
      <c r="J275">
        <v>7.6365572699999995E-2</v>
      </c>
      <c r="K275">
        <v>7.34382586E-2</v>
      </c>
      <c r="L275">
        <v>7.0623156899999998E-2</v>
      </c>
      <c r="M275">
        <v>6.7915966199999997E-2</v>
      </c>
      <c r="N275">
        <v>6.5312549999999997E-2</v>
      </c>
      <c r="O275">
        <v>7.2238232799999996E-2</v>
      </c>
      <c r="P275">
        <v>7.9414088699999996E-2</v>
      </c>
      <c r="Q275">
        <v>8.6853922200000003E-2</v>
      </c>
      <c r="R275">
        <v>9.4572572800000004E-2</v>
      </c>
      <c r="S275">
        <v>0.10258601320000001</v>
      </c>
      <c r="T275">
        <v>0.10719493450000001</v>
      </c>
      <c r="U275">
        <v>0.11183548290000001</v>
      </c>
      <c r="V275">
        <v>0.1165079852</v>
      </c>
      <c r="W275">
        <v>0.1165079852</v>
      </c>
      <c r="X275">
        <v>0.1165079852</v>
      </c>
      <c r="Y275">
        <v>0.1165079852</v>
      </c>
      <c r="Z275">
        <v>0.1165079852</v>
      </c>
      <c r="AA275">
        <v>0.1165079852</v>
      </c>
      <c r="AB275">
        <v>0.1165079852</v>
      </c>
      <c r="AC275">
        <v>0.1165079852</v>
      </c>
      <c r="AD275">
        <v>0.1165079852</v>
      </c>
      <c r="AE275">
        <v>0.1165079852</v>
      </c>
      <c r="AF275">
        <v>0.1165079852</v>
      </c>
      <c r="AG275">
        <v>0.1165079852</v>
      </c>
      <c r="AH275">
        <v>0.1165079852</v>
      </c>
      <c r="AI275">
        <v>0.1165079852</v>
      </c>
      <c r="AJ275">
        <v>0.1165079852</v>
      </c>
      <c r="AK275">
        <v>0.1165079852</v>
      </c>
      <c r="AL275">
        <v>0.1165079852</v>
      </c>
      <c r="AM275">
        <v>0.1165079852</v>
      </c>
      <c r="AN275">
        <v>0.1165079852</v>
      </c>
      <c r="AO275">
        <v>0.1165079852</v>
      </c>
      <c r="AP275">
        <v>0.1165079852</v>
      </c>
      <c r="AQ275">
        <v>0.1165079852</v>
      </c>
      <c r="AR275">
        <v>0.1165079852</v>
      </c>
      <c r="AS275">
        <v>0.1165079852</v>
      </c>
      <c r="AT275">
        <v>0.1165079852</v>
      </c>
      <c r="AU275">
        <v>0.1165079852</v>
      </c>
      <c r="AV275">
        <v>0.1165079852</v>
      </c>
      <c r="AW275">
        <v>0.1165079852</v>
      </c>
    </row>
    <row r="276" spans="2:49" x14ac:dyDescent="0.25">
      <c r="B276" t="s">
        <v>347</v>
      </c>
      <c r="C276">
        <v>6.0146533669896496E-3</v>
      </c>
      <c r="D276">
        <v>6.0146533669896496E-3</v>
      </c>
      <c r="E276">
        <v>6.0146533700000003E-3</v>
      </c>
      <c r="F276">
        <v>6.72026663E-3</v>
      </c>
      <c r="G276">
        <v>7.50865942E-3</v>
      </c>
      <c r="H276">
        <v>8.38954305E-3</v>
      </c>
      <c r="I276">
        <v>9.3737681600000004E-3</v>
      </c>
      <c r="J276">
        <v>1.04734583E-2</v>
      </c>
      <c r="K276">
        <v>1.17021594E-2</v>
      </c>
      <c r="L276">
        <v>1.30750064E-2</v>
      </c>
      <c r="M276">
        <v>1.4608909999999999E-2</v>
      </c>
      <c r="N276">
        <v>1.63227645E-2</v>
      </c>
      <c r="O276">
        <v>1.55556345E-2</v>
      </c>
      <c r="P276">
        <v>1.4760793899999999E-2</v>
      </c>
      <c r="Q276">
        <v>1.3936713599999999E-2</v>
      </c>
      <c r="R276">
        <v>1.30817498E-2</v>
      </c>
      <c r="S276">
        <v>1.21941333E-2</v>
      </c>
      <c r="T276">
        <v>1.28131462E-2</v>
      </c>
      <c r="U276">
        <v>1.34364068E-2</v>
      </c>
      <c r="V276">
        <v>1.4063958999999999E-2</v>
      </c>
      <c r="W276">
        <v>1.4063958999999999E-2</v>
      </c>
      <c r="X276">
        <v>1.4063958999999999E-2</v>
      </c>
      <c r="Y276">
        <v>1.4063958999999999E-2</v>
      </c>
      <c r="Z276">
        <v>1.4063958999999999E-2</v>
      </c>
      <c r="AA276">
        <v>1.4063958999999999E-2</v>
      </c>
      <c r="AB276">
        <v>1.4063958999999999E-2</v>
      </c>
      <c r="AC276">
        <v>1.4063958999999999E-2</v>
      </c>
      <c r="AD276">
        <v>1.4063958999999999E-2</v>
      </c>
      <c r="AE276">
        <v>1.4063958999999999E-2</v>
      </c>
      <c r="AF276">
        <v>1.4063958999999999E-2</v>
      </c>
      <c r="AG276">
        <v>1.4063958999999999E-2</v>
      </c>
      <c r="AH276">
        <v>1.4063958999999999E-2</v>
      </c>
      <c r="AI276">
        <v>1.4063958999999999E-2</v>
      </c>
      <c r="AJ276">
        <v>1.4063958999999999E-2</v>
      </c>
      <c r="AK276">
        <v>1.4063958999999999E-2</v>
      </c>
      <c r="AL276">
        <v>1.4063958999999999E-2</v>
      </c>
      <c r="AM276">
        <v>1.4063958999999999E-2</v>
      </c>
      <c r="AN276">
        <v>1.4063958999999999E-2</v>
      </c>
      <c r="AO276">
        <v>1.4063958999999999E-2</v>
      </c>
      <c r="AP276">
        <v>1.4063958999999999E-2</v>
      </c>
      <c r="AQ276">
        <v>1.4063958999999999E-2</v>
      </c>
      <c r="AR276">
        <v>1.4063958999999999E-2</v>
      </c>
      <c r="AS276">
        <v>1.4063958999999999E-2</v>
      </c>
      <c r="AT276">
        <v>1.4063958999999999E-2</v>
      </c>
      <c r="AU276">
        <v>1.4063958999999999E-2</v>
      </c>
      <c r="AV276">
        <v>1.4063958999999999E-2</v>
      </c>
      <c r="AW276">
        <v>1.4063958999999999E-2</v>
      </c>
    </row>
    <row r="277" spans="2:49" x14ac:dyDescent="0.25">
      <c r="B277" t="s">
        <v>348</v>
      </c>
      <c r="C277">
        <v>0.92287069498865704</v>
      </c>
      <c r="D277">
        <v>0.92287069498865704</v>
      </c>
      <c r="E277">
        <v>0.90773113360000002</v>
      </c>
      <c r="F277">
        <v>0.88140620780000001</v>
      </c>
      <c r="G277">
        <v>0.85608286460000005</v>
      </c>
      <c r="H277">
        <v>0.83110170139999995</v>
      </c>
      <c r="I277">
        <v>0.8072956764</v>
      </c>
      <c r="J277">
        <v>0.78426093929999996</v>
      </c>
      <c r="K277">
        <v>0.76195841259999997</v>
      </c>
      <c r="L277">
        <v>0.7401777517</v>
      </c>
      <c r="M277">
        <v>0.71873954969999998</v>
      </c>
      <c r="N277">
        <v>0.69800869499999996</v>
      </c>
      <c r="O277">
        <v>0.69529150350000002</v>
      </c>
      <c r="P277">
        <v>0.69303792870000003</v>
      </c>
      <c r="Q277">
        <v>0.69111307479999995</v>
      </c>
      <c r="R277">
        <v>0.68932481069999996</v>
      </c>
      <c r="S277">
        <v>0.68712676210000001</v>
      </c>
      <c r="T277">
        <v>0.66165936430000005</v>
      </c>
      <c r="U277">
        <v>0.63564753809999996</v>
      </c>
      <c r="V277">
        <v>0.60904015570000003</v>
      </c>
      <c r="W277">
        <v>0.59792821129999996</v>
      </c>
      <c r="X277">
        <v>0.58699481070000004</v>
      </c>
      <c r="Y277">
        <v>0.57608473149999995</v>
      </c>
      <c r="Z277">
        <v>0.56528243779999998</v>
      </c>
      <c r="AA277">
        <v>0.55465255700000005</v>
      </c>
      <c r="AB277">
        <v>0.5441310318</v>
      </c>
      <c r="AC277">
        <v>0.53368288289999999</v>
      </c>
      <c r="AD277">
        <v>0.52325651210000002</v>
      </c>
      <c r="AE277">
        <v>0.5129422454</v>
      </c>
      <c r="AF277">
        <v>0.50272487269999999</v>
      </c>
      <c r="AG277">
        <v>0.4925792464</v>
      </c>
      <c r="AH277">
        <v>0.48252993109999998</v>
      </c>
      <c r="AI277">
        <v>0.47258286490000001</v>
      </c>
      <c r="AJ277">
        <v>0.46269852700000003</v>
      </c>
      <c r="AK277">
        <v>0.45287175260000001</v>
      </c>
      <c r="AL277">
        <v>0.44310141879999998</v>
      </c>
      <c r="AM277">
        <v>0.43338278800000002</v>
      </c>
      <c r="AN277">
        <v>0.4238948817</v>
      </c>
      <c r="AO277">
        <v>0.4144353939</v>
      </c>
      <c r="AP277">
        <v>0.40499504850000001</v>
      </c>
      <c r="AQ277">
        <v>0.39556463990000001</v>
      </c>
      <c r="AR277">
        <v>0.3861618543</v>
      </c>
      <c r="AS277">
        <v>0.37674255249999999</v>
      </c>
      <c r="AT277">
        <v>0.3673456289</v>
      </c>
      <c r="AU277">
        <v>0.35797939470000001</v>
      </c>
      <c r="AV277">
        <v>0.34864493299999999</v>
      </c>
      <c r="AW277">
        <v>0.33933712999999999</v>
      </c>
    </row>
    <row r="278" spans="2:49" x14ac:dyDescent="0.25">
      <c r="B278" t="s">
        <v>349</v>
      </c>
      <c r="C278">
        <v>4.1245617653124303E-2</v>
      </c>
      <c r="D278">
        <v>4.1245617653124303E-2</v>
      </c>
      <c r="E278">
        <v>4.05387215E-2</v>
      </c>
      <c r="F278">
        <v>6.4509082199999998E-2</v>
      </c>
      <c r="G278">
        <v>8.6765886299999997E-2</v>
      </c>
      <c r="H278">
        <v>0.1075007129</v>
      </c>
      <c r="I278">
        <v>0.12593339749999999</v>
      </c>
      <c r="J278">
        <v>0.1419696694</v>
      </c>
      <c r="K278">
        <v>0.15519933399999999</v>
      </c>
      <c r="L278">
        <v>0.16507502660000001</v>
      </c>
      <c r="M278">
        <v>0.17099838049999999</v>
      </c>
      <c r="N278">
        <v>0.17193333390000001</v>
      </c>
      <c r="O278">
        <v>0.17383517609999999</v>
      </c>
      <c r="P278">
        <v>0.17547108180000001</v>
      </c>
      <c r="Q278">
        <v>0.1769167858</v>
      </c>
      <c r="R278">
        <v>0.17828151919999999</v>
      </c>
      <c r="S278">
        <v>0.17987904299999999</v>
      </c>
      <c r="T278">
        <v>0.18452038130000001</v>
      </c>
      <c r="U278">
        <v>0.18925045530000001</v>
      </c>
      <c r="V278">
        <v>0.19409059000000001</v>
      </c>
      <c r="W278">
        <v>0.20238095289999999</v>
      </c>
      <c r="X278">
        <v>0.21053409840000001</v>
      </c>
      <c r="Y278">
        <v>0.2186456762</v>
      </c>
      <c r="Z278">
        <v>0.226674822</v>
      </c>
      <c r="AA278">
        <v>0.23458276989999999</v>
      </c>
      <c r="AB278">
        <v>0.24241219259999999</v>
      </c>
      <c r="AC278">
        <v>0.25018536699999999</v>
      </c>
      <c r="AD278">
        <v>0.25793151910000001</v>
      </c>
      <c r="AE278">
        <v>0.26559976359999998</v>
      </c>
      <c r="AF278">
        <v>0.27320125750000002</v>
      </c>
      <c r="AG278">
        <v>0.28074877279999999</v>
      </c>
      <c r="AH278">
        <v>0.28823067679999997</v>
      </c>
      <c r="AI278">
        <v>0.29564478059999999</v>
      </c>
      <c r="AJ278">
        <v>0.30301606139999998</v>
      </c>
      <c r="AK278">
        <v>0.31034718090000002</v>
      </c>
      <c r="AL278">
        <v>0.31763908930000001</v>
      </c>
      <c r="AM278">
        <v>0.32489434309999998</v>
      </c>
      <c r="AN278">
        <v>0.33200960750000003</v>
      </c>
      <c r="AO278">
        <v>0.33910731039999997</v>
      </c>
      <c r="AP278">
        <v>0.34619203980000002</v>
      </c>
      <c r="AQ278">
        <v>0.35326938499999999</v>
      </c>
      <c r="AR278">
        <v>0.36032866889999998</v>
      </c>
      <c r="AS278">
        <v>0.367396369</v>
      </c>
      <c r="AT278">
        <v>0.37444839210000003</v>
      </c>
      <c r="AU278">
        <v>0.38147946710000002</v>
      </c>
      <c r="AV278">
        <v>0.38848886449999998</v>
      </c>
      <c r="AW278">
        <v>0.39547948640000002</v>
      </c>
    </row>
    <row r="279" spans="2:49" x14ac:dyDescent="0.25">
      <c r="B279" t="s">
        <v>350</v>
      </c>
      <c r="C279">
        <v>5.1557022066405396E-3</v>
      </c>
      <c r="D279">
        <v>5.1557022066405396E-3</v>
      </c>
      <c r="E279">
        <v>1.2243606000000001E-2</v>
      </c>
      <c r="F279">
        <v>1.22448481E-2</v>
      </c>
      <c r="G279">
        <v>1.22284583E-2</v>
      </c>
      <c r="H279">
        <v>1.22482389E-2</v>
      </c>
      <c r="I279">
        <v>1.2236095400000001E-2</v>
      </c>
      <c r="J279">
        <v>1.22241142E-2</v>
      </c>
      <c r="K279">
        <v>1.22129991E-2</v>
      </c>
      <c r="L279">
        <v>1.22022947E-2</v>
      </c>
      <c r="M279">
        <v>1.21993238E-2</v>
      </c>
      <c r="N279">
        <v>1.21945145E-2</v>
      </c>
      <c r="O279">
        <v>1.3647599E-2</v>
      </c>
      <c r="P279">
        <v>1.50744495E-2</v>
      </c>
      <c r="Q279">
        <v>1.64764783E-2</v>
      </c>
      <c r="R279">
        <v>1.7860856500000001E-2</v>
      </c>
      <c r="S279">
        <v>1.9259839500000001E-2</v>
      </c>
      <c r="T279">
        <v>2.48603217E-2</v>
      </c>
      <c r="U279">
        <v>3.0584756000000001E-2</v>
      </c>
      <c r="V279">
        <v>3.6439543599999999E-2</v>
      </c>
      <c r="W279">
        <v>3.7686631300000002E-2</v>
      </c>
      <c r="X279">
        <v>3.89133755E-2</v>
      </c>
      <c r="Y279">
        <v>4.0135660500000003E-2</v>
      </c>
      <c r="Z279">
        <v>4.1345695199999997E-2</v>
      </c>
      <c r="AA279">
        <v>4.2536946800000003E-2</v>
      </c>
      <c r="AB279">
        <v>4.3716214099999998E-2</v>
      </c>
      <c r="AC279">
        <v>4.4887131900000002E-2</v>
      </c>
      <c r="AD279">
        <v>4.60547844E-2</v>
      </c>
      <c r="AE279">
        <v>4.7210292299999998E-2</v>
      </c>
      <c r="AF279">
        <v>4.8355347999999999E-2</v>
      </c>
      <c r="AG279">
        <v>4.9492317299999998E-2</v>
      </c>
      <c r="AH279">
        <v>5.0618953500000001E-2</v>
      </c>
      <c r="AI279">
        <v>5.1734761099999999E-2</v>
      </c>
      <c r="AJ279">
        <v>5.2843831799999998E-2</v>
      </c>
      <c r="AK279">
        <v>5.3946654400000002E-2</v>
      </c>
      <c r="AL279">
        <v>5.5043363599999999E-2</v>
      </c>
      <c r="AM279">
        <v>5.6134416499999999E-2</v>
      </c>
      <c r="AN279">
        <v>5.7202025300000001E-2</v>
      </c>
      <c r="AO279">
        <v>5.8266722200000003E-2</v>
      </c>
      <c r="AP279">
        <v>5.9329370499999999E-2</v>
      </c>
      <c r="AQ279">
        <v>6.0390905799999998E-2</v>
      </c>
      <c r="AR279">
        <v>6.1449535100000001E-2</v>
      </c>
      <c r="AS279">
        <v>6.2509720399999996E-2</v>
      </c>
      <c r="AT279">
        <v>6.3567471799999997E-2</v>
      </c>
      <c r="AU279">
        <v>6.4621927499999995E-2</v>
      </c>
      <c r="AV279">
        <v>6.5672971799999896E-2</v>
      </c>
      <c r="AW279">
        <v>6.6721109099999995E-2</v>
      </c>
    </row>
    <row r="280" spans="2:49" x14ac:dyDescent="0.25">
      <c r="B280" t="s">
        <v>351</v>
      </c>
      <c r="C280">
        <v>1.5260878531656001E-2</v>
      </c>
      <c r="D280">
        <v>1.5260878531656001E-2</v>
      </c>
      <c r="E280">
        <v>1.49993269E-2</v>
      </c>
      <c r="F280">
        <v>1.45391328E-2</v>
      </c>
      <c r="G280">
        <v>1.40727666E-2</v>
      </c>
      <c r="H280">
        <v>1.3661679600000001E-2</v>
      </c>
      <c r="I280">
        <v>1.32280547E-2</v>
      </c>
      <c r="J280">
        <v>1.28083503E-2</v>
      </c>
      <c r="K280">
        <v>1.2402830199999999E-2</v>
      </c>
      <c r="L280">
        <v>1.22022947E-2</v>
      </c>
      <c r="M280">
        <v>1.21993238E-2</v>
      </c>
      <c r="N280">
        <v>1.21945145E-2</v>
      </c>
      <c r="O280">
        <v>1.6973140599999999E-2</v>
      </c>
      <c r="P280">
        <v>2.17069342E-2</v>
      </c>
      <c r="Q280">
        <v>2.63873193E-2</v>
      </c>
      <c r="R280">
        <v>3.1020012499999999E-2</v>
      </c>
      <c r="S280">
        <v>3.5662501999999999E-2</v>
      </c>
      <c r="T280">
        <v>3.7086716700000001E-2</v>
      </c>
      <c r="U280">
        <v>3.8539827200000001E-2</v>
      </c>
      <c r="V280">
        <v>4.0026468199999998E-2</v>
      </c>
      <c r="W280">
        <v>4.0409510900000001E-2</v>
      </c>
      <c r="X280">
        <v>4.0787489900000001E-2</v>
      </c>
      <c r="Y280">
        <v>4.1171239599999999E-2</v>
      </c>
      <c r="Z280">
        <v>4.1551822099999997E-2</v>
      </c>
      <c r="AA280">
        <v>4.1924438699999997E-2</v>
      </c>
      <c r="AB280">
        <v>4.2292690000000001E-2</v>
      </c>
      <c r="AC280">
        <v>4.2658821E-2</v>
      </c>
      <c r="AD280">
        <v>4.30271323E-2</v>
      </c>
      <c r="AE280">
        <v>4.3390020299999998E-2</v>
      </c>
      <c r="AF280">
        <v>4.37480612E-2</v>
      </c>
      <c r="AG280">
        <v>4.4103751400000002E-2</v>
      </c>
      <c r="AH280">
        <v>4.4454423E-2</v>
      </c>
      <c r="AI280">
        <v>4.4799261600000001E-2</v>
      </c>
      <c r="AJ280">
        <v>4.5140855899999999E-2</v>
      </c>
      <c r="AK280">
        <v>4.5479708200000003E-2</v>
      </c>
      <c r="AL280">
        <v>4.5815826599999998E-2</v>
      </c>
      <c r="AM280">
        <v>4.6149640399999997E-2</v>
      </c>
      <c r="AN280">
        <v>4.6466755300000002E-2</v>
      </c>
      <c r="AO280">
        <v>4.6781900000000001E-2</v>
      </c>
      <c r="AP280">
        <v>4.7096028999999998E-2</v>
      </c>
      <c r="AQ280">
        <v>4.7409807499999998E-2</v>
      </c>
      <c r="AR280">
        <v>4.77219407E-2</v>
      </c>
      <c r="AS280">
        <v>4.8035705900000003E-2</v>
      </c>
      <c r="AT280">
        <v>4.8348422500000002E-2</v>
      </c>
      <c r="AU280">
        <v>4.8659551199999998E-2</v>
      </c>
      <c r="AV280">
        <v>4.8969033100000003E-2</v>
      </c>
      <c r="AW280">
        <v>4.9277293100000001E-2</v>
      </c>
    </row>
    <row r="281" spans="2:49" x14ac:dyDescent="0.25">
      <c r="B281" t="s">
        <v>352</v>
      </c>
      <c r="C281">
        <v>5.1557022066405396E-3</v>
      </c>
      <c r="D281">
        <v>5.1557022066405396E-3</v>
      </c>
      <c r="E281">
        <v>1.2243606000000001E-2</v>
      </c>
      <c r="F281">
        <v>1.22448481E-2</v>
      </c>
      <c r="G281">
        <v>1.22284583E-2</v>
      </c>
      <c r="H281">
        <v>1.22482389E-2</v>
      </c>
      <c r="I281">
        <v>1.2236095400000001E-2</v>
      </c>
      <c r="J281">
        <v>1.22241142E-2</v>
      </c>
      <c r="K281">
        <v>1.22129991E-2</v>
      </c>
      <c r="L281">
        <v>1.22022947E-2</v>
      </c>
      <c r="M281">
        <v>1.21993238E-2</v>
      </c>
      <c r="N281">
        <v>1.21945145E-2</v>
      </c>
      <c r="O281">
        <v>1.29684211E-2</v>
      </c>
      <c r="P281">
        <v>1.37198922E-2</v>
      </c>
      <c r="Q281">
        <v>1.4452380000000001E-2</v>
      </c>
      <c r="R281">
        <v>1.5173352399999999E-2</v>
      </c>
      <c r="S281">
        <v>1.59099116E-2</v>
      </c>
      <c r="T281">
        <v>1.7566659799999999E-2</v>
      </c>
      <c r="U281">
        <v>1.9259204299999999E-2</v>
      </c>
      <c r="V281">
        <v>2.0990436899999999E-2</v>
      </c>
      <c r="W281">
        <v>2.2031048800000001E-2</v>
      </c>
      <c r="X281">
        <v>2.3054298599999998E-2</v>
      </c>
      <c r="Y281">
        <v>2.4071495700000001E-2</v>
      </c>
      <c r="Z281">
        <v>2.5078276300000001E-2</v>
      </c>
      <c r="AA281">
        <v>2.60701009E-2</v>
      </c>
      <c r="AB281">
        <v>2.7052149099999999E-2</v>
      </c>
      <c r="AC281">
        <v>2.8027084899999999E-2</v>
      </c>
      <c r="AD281">
        <v>2.8998256600000001E-2</v>
      </c>
      <c r="AE281">
        <v>2.99598474E-2</v>
      </c>
      <c r="AF281">
        <v>3.0913250900000001E-2</v>
      </c>
      <c r="AG281">
        <v>3.1859863400000001E-2</v>
      </c>
      <c r="AH281">
        <v>3.2798456099999998E-2</v>
      </c>
      <c r="AI281">
        <v>3.3728831700000003E-2</v>
      </c>
      <c r="AJ281">
        <v>3.4653969499999999E-2</v>
      </c>
      <c r="AK281">
        <v>3.5574162499999999E-2</v>
      </c>
      <c r="AL281">
        <v>3.64895337E-2</v>
      </c>
      <c r="AM281">
        <v>3.7400370400000001E-2</v>
      </c>
      <c r="AN281">
        <v>3.8294746300000002E-2</v>
      </c>
      <c r="AO281">
        <v>3.91870437E-2</v>
      </c>
      <c r="AP281">
        <v>4.0077757800000002E-2</v>
      </c>
      <c r="AQ281">
        <v>4.0967546000000001E-2</v>
      </c>
      <c r="AR281">
        <v>4.1855155200000001E-2</v>
      </c>
      <c r="AS281">
        <v>4.2743685900000002E-2</v>
      </c>
      <c r="AT281">
        <v>4.3630283899999997E-2</v>
      </c>
      <c r="AU281">
        <v>4.4514319900000002E-2</v>
      </c>
      <c r="AV281">
        <v>4.53957049E-2</v>
      </c>
      <c r="AW281">
        <v>4.6274771700000002E-2</v>
      </c>
    </row>
    <row r="282" spans="2:49" x14ac:dyDescent="0.25">
      <c r="B282" t="s">
        <v>353</v>
      </c>
      <c r="C282">
        <v>1.0311404413280999E-2</v>
      </c>
      <c r="D282">
        <v>1.0311404413280999E-2</v>
      </c>
      <c r="E282">
        <v>1.2243606000000001E-2</v>
      </c>
      <c r="F282">
        <v>1.5055880900000001E-2</v>
      </c>
      <c r="G282">
        <v>1.86215658E-2</v>
      </c>
      <c r="H282">
        <v>2.3239428400000001E-2</v>
      </c>
      <c r="I282">
        <v>2.9070680599999999E-2</v>
      </c>
      <c r="J282">
        <v>3.6512812700000001E-2</v>
      </c>
      <c r="K282">
        <v>4.6013425099999998E-2</v>
      </c>
      <c r="L282">
        <v>5.8140337700000003E-2</v>
      </c>
      <c r="M282">
        <v>7.3664098400000003E-2</v>
      </c>
      <c r="N282">
        <v>9.3474427600000007E-2</v>
      </c>
      <c r="O282">
        <v>8.7284159700000002E-2</v>
      </c>
      <c r="P282">
        <v>8.0989713500000005E-2</v>
      </c>
      <c r="Q282">
        <v>7.4653961800000002E-2</v>
      </c>
      <c r="R282">
        <v>6.8339448799999994E-2</v>
      </c>
      <c r="S282">
        <v>6.2161941800000002E-2</v>
      </c>
      <c r="T282">
        <v>7.4306556199999999E-2</v>
      </c>
      <c r="U282">
        <v>8.6718219200000002E-2</v>
      </c>
      <c r="V282">
        <v>9.9412805600000001E-2</v>
      </c>
      <c r="W282">
        <v>9.9563644800000003E-2</v>
      </c>
      <c r="X282">
        <v>9.9715926900000001E-2</v>
      </c>
      <c r="Y282">
        <v>9.9891196500000001E-2</v>
      </c>
      <c r="Z282">
        <v>0.1000669465</v>
      </c>
      <c r="AA282">
        <v>0.1002331866</v>
      </c>
      <c r="AB282">
        <v>0.1003957224</v>
      </c>
      <c r="AC282">
        <v>0.10055871230000001</v>
      </c>
      <c r="AD282">
        <v>0.1007317955</v>
      </c>
      <c r="AE282">
        <v>0.1008978311</v>
      </c>
      <c r="AF282">
        <v>0.1010572097</v>
      </c>
      <c r="AG282">
        <v>0.1012160486</v>
      </c>
      <c r="AH282">
        <v>0.1013675594</v>
      </c>
      <c r="AI282">
        <v>0.1015095001</v>
      </c>
      <c r="AJ282">
        <v>0.1016467544</v>
      </c>
      <c r="AK282">
        <v>0.10178054139999999</v>
      </c>
      <c r="AL282">
        <v>0.1019107679</v>
      </c>
      <c r="AM282">
        <v>0.10203844149999999</v>
      </c>
      <c r="AN282">
        <v>0.1021319839</v>
      </c>
      <c r="AO282">
        <v>0.10222162980000001</v>
      </c>
      <c r="AP282">
        <v>0.1023097545</v>
      </c>
      <c r="AQ282">
        <v>0.1023977158</v>
      </c>
      <c r="AR282">
        <v>0.10248284570000001</v>
      </c>
      <c r="AS282">
        <v>0.10257196640000001</v>
      </c>
      <c r="AT282">
        <v>0.1026598007</v>
      </c>
      <c r="AU282">
        <v>0.10274533969999999</v>
      </c>
      <c r="AV282">
        <v>0.1028284927</v>
      </c>
      <c r="AW282">
        <v>0.1029102097</v>
      </c>
    </row>
    <row r="283" spans="2:49" x14ac:dyDescent="0.25">
      <c r="B283" t="s">
        <v>354</v>
      </c>
      <c r="C283">
        <v>0.99132434052165697</v>
      </c>
      <c r="D283">
        <v>0.99132434052165697</v>
      </c>
      <c r="E283">
        <v>0.99172610110000003</v>
      </c>
      <c r="F283">
        <v>0.98765502360000001</v>
      </c>
      <c r="G283">
        <v>0.98360065809999997</v>
      </c>
      <c r="H283">
        <v>0.97956293589999999</v>
      </c>
      <c r="I283">
        <v>0.97554178869999997</v>
      </c>
      <c r="J283">
        <v>0.97153714849999995</v>
      </c>
      <c r="K283">
        <v>0.96754894749999998</v>
      </c>
      <c r="L283">
        <v>0.96357711820000003</v>
      </c>
      <c r="M283">
        <v>0.95962159349999998</v>
      </c>
      <c r="N283">
        <v>0.95568230639999996</v>
      </c>
      <c r="O283">
        <v>0.95496918220000004</v>
      </c>
      <c r="P283">
        <v>0.95421073860000005</v>
      </c>
      <c r="Q283">
        <v>0.95340251369999995</v>
      </c>
      <c r="R283">
        <v>0.95253944010000002</v>
      </c>
      <c r="S283">
        <v>0.95161573820000001</v>
      </c>
      <c r="T283">
        <v>0.94906485620000003</v>
      </c>
      <c r="U283">
        <v>0.94659676530000003</v>
      </c>
      <c r="V283">
        <v>0.94420749940000004</v>
      </c>
      <c r="W283">
        <v>0.94420749940000004</v>
      </c>
      <c r="X283">
        <v>0.94420749940000004</v>
      </c>
      <c r="Y283">
        <v>0.94420749940000004</v>
      </c>
      <c r="Z283">
        <v>0.94420749940000004</v>
      </c>
      <c r="AA283">
        <v>0.94420749940000004</v>
      </c>
      <c r="AB283">
        <v>0.94420749940000004</v>
      </c>
      <c r="AC283">
        <v>0.94420749940000004</v>
      </c>
      <c r="AD283">
        <v>0.94420749940000004</v>
      </c>
      <c r="AE283">
        <v>0.94420749940000004</v>
      </c>
      <c r="AF283">
        <v>0.94420749940000004</v>
      </c>
      <c r="AG283">
        <v>0.94420749940000004</v>
      </c>
      <c r="AH283">
        <v>0.94420749940000004</v>
      </c>
      <c r="AI283">
        <v>0.94420749940000004</v>
      </c>
      <c r="AJ283">
        <v>0.94420749940000004</v>
      </c>
      <c r="AK283">
        <v>0.94420749940000004</v>
      </c>
      <c r="AL283">
        <v>0.94420749940000004</v>
      </c>
      <c r="AM283">
        <v>0.94420749940000004</v>
      </c>
      <c r="AN283">
        <v>0.94420749940000004</v>
      </c>
      <c r="AO283">
        <v>0.94420749940000004</v>
      </c>
      <c r="AP283">
        <v>0.94420749940000004</v>
      </c>
      <c r="AQ283">
        <v>0.94420749940000004</v>
      </c>
      <c r="AR283">
        <v>0.94420749940000004</v>
      </c>
      <c r="AS283">
        <v>0.94420749940000004</v>
      </c>
      <c r="AT283">
        <v>0.94420749940000004</v>
      </c>
      <c r="AU283">
        <v>0.94420749940000004</v>
      </c>
      <c r="AV283">
        <v>0.94420749940000004</v>
      </c>
      <c r="AW283">
        <v>0.94420749940000004</v>
      </c>
    </row>
    <row r="284" spans="2:49" x14ac:dyDescent="0.25">
      <c r="B284" t="s">
        <v>355</v>
      </c>
      <c r="C284">
        <v>0.91950930808135101</v>
      </c>
      <c r="D284">
        <v>0.91950930808135101</v>
      </c>
      <c r="E284">
        <v>0.90371381429999997</v>
      </c>
      <c r="F284">
        <v>0.87629761530000005</v>
      </c>
      <c r="G284">
        <v>0.84973058300000004</v>
      </c>
      <c r="H284">
        <v>0.82398484159999996</v>
      </c>
      <c r="I284">
        <v>0.79903357080000004</v>
      </c>
      <c r="J284">
        <v>0.77485095400000004</v>
      </c>
      <c r="K284">
        <v>0.75141212950000003</v>
      </c>
      <c r="L284">
        <v>0.72854716310000001</v>
      </c>
      <c r="M284">
        <v>0.70625666620000005</v>
      </c>
      <c r="N284">
        <v>0.68466545089999997</v>
      </c>
      <c r="O284">
        <v>0.6816956797</v>
      </c>
      <c r="P284">
        <v>0.67873124429999998</v>
      </c>
      <c r="Q284">
        <v>0.67577213020000004</v>
      </c>
      <c r="R284">
        <v>0.67281832320000001</v>
      </c>
      <c r="S284">
        <v>0.66986980900000004</v>
      </c>
      <c r="T284">
        <v>0.64277311530000003</v>
      </c>
      <c r="U284">
        <v>0.61502879539999999</v>
      </c>
      <c r="V284">
        <v>0.58661335059999997</v>
      </c>
      <c r="W284">
        <v>0.57478683429999999</v>
      </c>
      <c r="X284">
        <v>0.56316422269999999</v>
      </c>
      <c r="Y284">
        <v>0.55167504349999996</v>
      </c>
      <c r="Z284">
        <v>0.54031279160000001</v>
      </c>
      <c r="AA284">
        <v>0.52910112149999999</v>
      </c>
      <c r="AB284">
        <v>0.51799472749999997</v>
      </c>
      <c r="AC284">
        <v>0.50697501560000002</v>
      </c>
      <c r="AD284">
        <v>0.4960357178</v>
      </c>
      <c r="AE284">
        <v>0.48518909319999998</v>
      </c>
      <c r="AF284">
        <v>0.4744180764</v>
      </c>
      <c r="AG284">
        <v>0.46372717349999998</v>
      </c>
      <c r="AH284">
        <v>0.4531050029</v>
      </c>
      <c r="AI284">
        <v>0.44254301499999998</v>
      </c>
      <c r="AJ284">
        <v>0.43202276049999999</v>
      </c>
      <c r="AK284">
        <v>0.42154459109999998</v>
      </c>
      <c r="AL284">
        <v>0.41110577329999998</v>
      </c>
      <c r="AM284">
        <v>0.4007064098</v>
      </c>
      <c r="AN284">
        <v>0.39034696969999999</v>
      </c>
      <c r="AO284">
        <v>0.37998356160000002</v>
      </c>
      <c r="AP284">
        <v>0.36962029470000002</v>
      </c>
      <c r="AQ284">
        <v>0.35925537299999999</v>
      </c>
      <c r="AR284">
        <v>0.34889077829999998</v>
      </c>
      <c r="AS284">
        <v>0.33852256609999998</v>
      </c>
      <c r="AT284">
        <v>0.328159443</v>
      </c>
      <c r="AU284">
        <v>0.3178034548</v>
      </c>
      <c r="AV284">
        <v>0.30745460099999999</v>
      </c>
      <c r="AW284">
        <v>0.29711341749999998</v>
      </c>
    </row>
    <row r="285" spans="2:49" x14ac:dyDescent="0.25">
      <c r="B285" t="s">
        <v>476</v>
      </c>
      <c r="C285">
        <v>383714635.27038902</v>
      </c>
      <c r="D285">
        <v>389875297.85567099</v>
      </c>
      <c r="E285">
        <v>396134871.89999998</v>
      </c>
      <c r="F285">
        <v>411164895</v>
      </c>
      <c r="G285">
        <v>421111895.89999998</v>
      </c>
      <c r="H285">
        <v>435538157.80000001</v>
      </c>
      <c r="I285">
        <v>447880701.60000002</v>
      </c>
      <c r="J285">
        <v>466610429.89999998</v>
      </c>
      <c r="K285">
        <v>488098479.39999998</v>
      </c>
      <c r="L285">
        <v>512283492.30000001</v>
      </c>
      <c r="M285">
        <v>541377887.79999995</v>
      </c>
      <c r="N285">
        <v>568656953.20000005</v>
      </c>
      <c r="O285">
        <v>572594982.79999995</v>
      </c>
      <c r="P285">
        <v>571610209.89999998</v>
      </c>
      <c r="Q285">
        <v>570244140.60000002</v>
      </c>
      <c r="R285">
        <v>583918262.70000005</v>
      </c>
      <c r="S285">
        <v>590195974.10000002</v>
      </c>
      <c r="T285">
        <v>594261621.10000002</v>
      </c>
      <c r="U285">
        <v>596670889.10000002</v>
      </c>
      <c r="V285">
        <v>596548182.10000002</v>
      </c>
      <c r="W285">
        <v>598166957.89999998</v>
      </c>
      <c r="X285">
        <v>587965052.39999998</v>
      </c>
      <c r="Y285">
        <v>585910662.89999998</v>
      </c>
      <c r="Z285">
        <v>587204910.39999998</v>
      </c>
      <c r="AA285">
        <v>589816548.79999995</v>
      </c>
      <c r="AB285">
        <v>592937154.60000002</v>
      </c>
      <c r="AC285">
        <v>587721304</v>
      </c>
      <c r="AD285">
        <v>588715312.79999995</v>
      </c>
      <c r="AE285">
        <v>594133072.70000005</v>
      </c>
      <c r="AF285">
        <v>600000426</v>
      </c>
      <c r="AG285">
        <v>606120939.39999998</v>
      </c>
      <c r="AH285">
        <v>609625098.10000002</v>
      </c>
      <c r="AI285">
        <v>613480030.39999998</v>
      </c>
      <c r="AJ285">
        <v>619138119.60000002</v>
      </c>
      <c r="AK285">
        <v>625522618.70000005</v>
      </c>
      <c r="AL285">
        <v>632288683.20000005</v>
      </c>
      <c r="AM285">
        <v>639310460.5</v>
      </c>
      <c r="AN285">
        <v>645481555.79999995</v>
      </c>
      <c r="AO285">
        <v>650986067</v>
      </c>
      <c r="AP285">
        <v>656200402.60000002</v>
      </c>
      <c r="AQ285">
        <v>661251586.70000005</v>
      </c>
      <c r="AR285">
        <v>661505028.39999998</v>
      </c>
      <c r="AS285">
        <v>664036447.5</v>
      </c>
      <c r="AT285">
        <v>667330197.29999995</v>
      </c>
      <c r="AU285">
        <v>670860602.20000005</v>
      </c>
      <c r="AV285">
        <v>674420927</v>
      </c>
      <c r="AW285">
        <v>677930392.20000005</v>
      </c>
    </row>
    <row r="286" spans="2:49" x14ac:dyDescent="0.25">
      <c r="B286" t="s">
        <v>477</v>
      </c>
      <c r="C286">
        <v>13020.598862561899</v>
      </c>
      <c r="D286">
        <v>13229.6487889324</v>
      </c>
      <c r="E286">
        <v>13442.05508</v>
      </c>
      <c r="F286">
        <v>13760.19225</v>
      </c>
      <c r="G286">
        <v>14220.485549999999</v>
      </c>
      <c r="H286">
        <v>13766.210730000001</v>
      </c>
      <c r="I286">
        <v>13331.850189999999</v>
      </c>
      <c r="J286">
        <v>13703.8518</v>
      </c>
      <c r="K286">
        <v>14002.182559999999</v>
      </c>
      <c r="L286">
        <v>13923.816199999999</v>
      </c>
      <c r="M286">
        <v>14159.13111</v>
      </c>
      <c r="N286">
        <v>14649.34064</v>
      </c>
      <c r="O286">
        <v>14980.434160000001</v>
      </c>
      <c r="P286">
        <v>15295.703879999999</v>
      </c>
      <c r="Q286">
        <v>15688.26807</v>
      </c>
      <c r="R286">
        <v>16073.32857</v>
      </c>
      <c r="S286">
        <v>15622.740019999999</v>
      </c>
      <c r="T286">
        <v>15009.360619999999</v>
      </c>
      <c r="U286">
        <v>14842.635630000001</v>
      </c>
      <c r="V286">
        <v>14731.549849999999</v>
      </c>
      <c r="W286">
        <v>14973.11628</v>
      </c>
      <c r="X286">
        <v>15159.904630000001</v>
      </c>
      <c r="Y286">
        <v>15339.5877</v>
      </c>
      <c r="Z286">
        <v>15494.552240000001</v>
      </c>
      <c r="AA286">
        <v>15665.08382</v>
      </c>
      <c r="AB286">
        <v>15826.081899999999</v>
      </c>
      <c r="AC286">
        <v>16007.840050000001</v>
      </c>
      <c r="AD286">
        <v>16217.138360000001</v>
      </c>
      <c r="AE286">
        <v>16394.31122</v>
      </c>
      <c r="AF286">
        <v>16576.295750000001</v>
      </c>
      <c r="AG286">
        <v>16776.720789999999</v>
      </c>
      <c r="AH286">
        <v>17017.779689999999</v>
      </c>
      <c r="AI286">
        <v>17318.208330000001</v>
      </c>
      <c r="AJ286">
        <v>17634.935819999999</v>
      </c>
      <c r="AK286">
        <v>17941.374919999998</v>
      </c>
      <c r="AL286">
        <v>18254.90236</v>
      </c>
      <c r="AM286">
        <v>18586.380560000001</v>
      </c>
      <c r="AN286">
        <v>18946.205320000001</v>
      </c>
      <c r="AO286">
        <v>19327.731670000001</v>
      </c>
      <c r="AP286">
        <v>19721.301230000001</v>
      </c>
      <c r="AQ286">
        <v>20139.60958</v>
      </c>
      <c r="AR286">
        <v>20583.084750000002</v>
      </c>
      <c r="AS286">
        <v>21040.145349999999</v>
      </c>
      <c r="AT286">
        <v>21493.25834</v>
      </c>
      <c r="AU286">
        <v>21939.64906</v>
      </c>
      <c r="AV286">
        <v>22379.60241</v>
      </c>
      <c r="AW286">
        <v>22841.49278</v>
      </c>
    </row>
    <row r="287" spans="2:49" x14ac:dyDescent="0.25">
      <c r="B287" t="s">
        <v>478</v>
      </c>
      <c r="C287">
        <v>158336.21117690401</v>
      </c>
      <c r="D287">
        <v>160878.35026264799</v>
      </c>
      <c r="E287">
        <v>163461.30420000001</v>
      </c>
      <c r="F287">
        <v>171749.84469999999</v>
      </c>
      <c r="G287">
        <v>178981.26250000001</v>
      </c>
      <c r="H287">
        <v>186059.1151</v>
      </c>
      <c r="I287">
        <v>192587.0503</v>
      </c>
      <c r="J287">
        <v>202066.85339999999</v>
      </c>
      <c r="K287">
        <v>216540.18950000001</v>
      </c>
      <c r="L287">
        <v>232360.57699999999</v>
      </c>
      <c r="M287">
        <v>249881.97560000001</v>
      </c>
      <c r="N287">
        <v>273491.51199999999</v>
      </c>
      <c r="O287">
        <v>275067.85879999999</v>
      </c>
      <c r="P287">
        <v>271817.42989999999</v>
      </c>
      <c r="Q287">
        <v>269192.7415</v>
      </c>
      <c r="R287">
        <v>271077.19270000001</v>
      </c>
      <c r="S287">
        <v>276580.47090000001</v>
      </c>
      <c r="T287">
        <v>283315.92959999997</v>
      </c>
      <c r="U287">
        <v>285160.36599999998</v>
      </c>
      <c r="V287">
        <v>281064.75</v>
      </c>
      <c r="W287">
        <v>280581.45</v>
      </c>
      <c r="X287">
        <v>250170.68169999999</v>
      </c>
      <c r="Y287">
        <v>242236.87450000001</v>
      </c>
      <c r="Z287">
        <v>240479.7898</v>
      </c>
      <c r="AA287">
        <v>240847.50640000001</v>
      </c>
      <c r="AB287">
        <v>241919.18090000001</v>
      </c>
      <c r="AC287">
        <v>221999.53570000001</v>
      </c>
      <c r="AD287">
        <v>218717.50030000001</v>
      </c>
      <c r="AE287">
        <v>221928.90210000001</v>
      </c>
      <c r="AF287">
        <v>225261.54310000001</v>
      </c>
      <c r="AG287">
        <v>228912.80439999999</v>
      </c>
      <c r="AH287">
        <v>223984.27239999999</v>
      </c>
      <c r="AI287">
        <v>224091.6268</v>
      </c>
      <c r="AJ287">
        <v>226502.59239999999</v>
      </c>
      <c r="AK287">
        <v>229801.16959999999</v>
      </c>
      <c r="AL287">
        <v>233342.51319999999</v>
      </c>
      <c r="AM287">
        <v>236927.75599999999</v>
      </c>
      <c r="AN287">
        <v>242683.3756</v>
      </c>
      <c r="AO287">
        <v>247320.22349999999</v>
      </c>
      <c r="AP287">
        <v>251361.8057</v>
      </c>
      <c r="AQ287">
        <v>255034.0748</v>
      </c>
      <c r="AR287">
        <v>247678.65729999999</v>
      </c>
      <c r="AS287">
        <v>249896.11040000001</v>
      </c>
      <c r="AT287">
        <v>253198.16149999999</v>
      </c>
      <c r="AU287">
        <v>256870.24460000001</v>
      </c>
      <c r="AV287">
        <v>260598.59039999999</v>
      </c>
      <c r="AW287">
        <v>264302.94270000001</v>
      </c>
    </row>
    <row r="288" spans="2:49" x14ac:dyDescent="0.25">
      <c r="B288" t="s">
        <v>479</v>
      </c>
      <c r="C288">
        <v>516755.579312385</v>
      </c>
      <c r="D288">
        <v>525052.257287574</v>
      </c>
      <c r="E288">
        <v>533482.14110000001</v>
      </c>
      <c r="F288">
        <v>545533.01470000006</v>
      </c>
      <c r="G288">
        <v>549634.40890000004</v>
      </c>
      <c r="H288">
        <v>560739.95180000004</v>
      </c>
      <c r="I288">
        <v>568475.55059999996</v>
      </c>
      <c r="J288">
        <v>583663.21539999999</v>
      </c>
      <c r="K288">
        <v>598791.34270000004</v>
      </c>
      <c r="L288">
        <v>616379.44920000003</v>
      </c>
      <c r="M288">
        <v>639413.08479999995</v>
      </c>
      <c r="N288">
        <v>663690.91009999998</v>
      </c>
      <c r="O288">
        <v>666610.36439999996</v>
      </c>
      <c r="P288">
        <v>665643.82819999999</v>
      </c>
      <c r="Q288">
        <v>663633.04379999998</v>
      </c>
      <c r="R288">
        <v>681036.49849999999</v>
      </c>
      <c r="S288">
        <v>684432.74479999999</v>
      </c>
      <c r="T288">
        <v>685508.15619999997</v>
      </c>
      <c r="U288">
        <v>687763.08640000003</v>
      </c>
      <c r="V288">
        <v>690663.37600000005</v>
      </c>
      <c r="W288">
        <v>693476.35309999995</v>
      </c>
      <c r="X288">
        <v>700956.82189999998</v>
      </c>
      <c r="Y288">
        <v>700281.5074</v>
      </c>
      <c r="Z288">
        <v>700002.26419999998</v>
      </c>
      <c r="AA288">
        <v>700075.37479999999</v>
      </c>
      <c r="AB288">
        <v>700344.09759999998</v>
      </c>
      <c r="AC288">
        <v>704032.47470000002</v>
      </c>
      <c r="AD288">
        <v>702742.35660000006</v>
      </c>
      <c r="AE288">
        <v>703021.50829999999</v>
      </c>
      <c r="AF288">
        <v>703767.45620000002</v>
      </c>
      <c r="AG288">
        <v>704535.25760000001</v>
      </c>
      <c r="AH288">
        <v>707896.36950000003</v>
      </c>
      <c r="AI288">
        <v>708065.77450000006</v>
      </c>
      <c r="AJ288">
        <v>708994.84329999995</v>
      </c>
      <c r="AK288">
        <v>710183.28599999996</v>
      </c>
      <c r="AL288">
        <v>711614.17339999997</v>
      </c>
      <c r="AM288">
        <v>713251.9179</v>
      </c>
      <c r="AN288">
        <v>715722.50210000004</v>
      </c>
      <c r="AO288">
        <v>718075.51919999998</v>
      </c>
      <c r="AP288">
        <v>720444.00190000003</v>
      </c>
      <c r="AQ288">
        <v>722835.89839999995</v>
      </c>
      <c r="AR288">
        <v>726883.21</v>
      </c>
      <c r="AS288">
        <v>728708.17689999996</v>
      </c>
      <c r="AT288">
        <v>730768.66949999996</v>
      </c>
      <c r="AU288">
        <v>732877.16220000002</v>
      </c>
      <c r="AV288">
        <v>734984.58039999998</v>
      </c>
      <c r="AW288">
        <v>737039.84259999997</v>
      </c>
    </row>
    <row r="289" spans="2:49" x14ac:dyDescent="0.25">
      <c r="B289" t="s">
        <v>480</v>
      </c>
      <c r="C289">
        <v>82711.5521017555</v>
      </c>
      <c r="D289">
        <v>84039.512824558697</v>
      </c>
      <c r="E289">
        <v>85388.794399999999</v>
      </c>
      <c r="F289">
        <v>90808.656870000006</v>
      </c>
      <c r="G289">
        <v>91615.780710000006</v>
      </c>
      <c r="H289">
        <v>94295.04264</v>
      </c>
      <c r="I289">
        <v>95131.742240000007</v>
      </c>
      <c r="J289">
        <v>101454.8533</v>
      </c>
      <c r="K289">
        <v>105391.4016</v>
      </c>
      <c r="L289">
        <v>111767.7709</v>
      </c>
      <c r="M289">
        <v>121092.6106</v>
      </c>
      <c r="N289">
        <v>126263.99950000001</v>
      </c>
      <c r="O289">
        <v>123537.1623</v>
      </c>
      <c r="P289">
        <v>123472.10370000001</v>
      </c>
      <c r="Q289">
        <v>127490.8622</v>
      </c>
      <c r="R289">
        <v>123060.7105</v>
      </c>
      <c r="S289">
        <v>128919.5677</v>
      </c>
      <c r="T289">
        <v>136876.41039999999</v>
      </c>
      <c r="U289">
        <v>141254.7415</v>
      </c>
      <c r="V289">
        <v>149276.3376</v>
      </c>
      <c r="W289">
        <v>150836.9901</v>
      </c>
      <c r="X289">
        <v>200275.58470000001</v>
      </c>
      <c r="Y289">
        <v>199731.37450000001</v>
      </c>
      <c r="Z289">
        <v>197992.83100000001</v>
      </c>
      <c r="AA289">
        <v>196400.27340000001</v>
      </c>
      <c r="AB289">
        <v>194980.3242</v>
      </c>
      <c r="AC289">
        <v>226903.4571</v>
      </c>
      <c r="AD289">
        <v>223368.2929</v>
      </c>
      <c r="AE289">
        <v>219849.45850000001</v>
      </c>
      <c r="AF289">
        <v>216459.7126</v>
      </c>
      <c r="AG289">
        <v>213337.3487</v>
      </c>
      <c r="AH289">
        <v>226921.48009999999</v>
      </c>
      <c r="AI289">
        <v>223806.11739999999</v>
      </c>
      <c r="AJ289">
        <v>221157.91469999999</v>
      </c>
      <c r="AK289">
        <v>218754.97949999999</v>
      </c>
      <c r="AL289">
        <v>216503.386</v>
      </c>
      <c r="AM289">
        <v>214394.06580000001</v>
      </c>
      <c r="AN289">
        <v>212166.92800000001</v>
      </c>
      <c r="AO289">
        <v>210226.1305</v>
      </c>
      <c r="AP289">
        <v>208666.2457</v>
      </c>
      <c r="AQ289">
        <v>207365.2285</v>
      </c>
      <c r="AR289">
        <v>222447.94639999999</v>
      </c>
      <c r="AS289">
        <v>220580.16500000001</v>
      </c>
      <c r="AT289">
        <v>218761.8437</v>
      </c>
      <c r="AU289">
        <v>216951.0863</v>
      </c>
      <c r="AV289">
        <v>215111.33799999999</v>
      </c>
      <c r="AW289">
        <v>213273.424</v>
      </c>
    </row>
    <row r="290" spans="2:49" x14ac:dyDescent="0.25">
      <c r="B290" t="s">
        <v>481</v>
      </c>
      <c r="C290">
        <v>45689.201708803201</v>
      </c>
      <c r="D290">
        <v>46422.756620829103</v>
      </c>
      <c r="E290">
        <v>47168.089</v>
      </c>
      <c r="F290">
        <v>48086.325320000004</v>
      </c>
      <c r="G290">
        <v>47749.277549999999</v>
      </c>
      <c r="H290">
        <v>48731.582049999997</v>
      </c>
      <c r="I290">
        <v>49222.122280000003</v>
      </c>
      <c r="J290">
        <v>50609.360390000002</v>
      </c>
      <c r="K290">
        <v>51063.03615</v>
      </c>
      <c r="L290">
        <v>51928.42398</v>
      </c>
      <c r="M290">
        <v>53576.438620000001</v>
      </c>
      <c r="N290">
        <v>54385.059399999998</v>
      </c>
      <c r="O290">
        <v>54387.939539999999</v>
      </c>
      <c r="P290">
        <v>54658.608910000003</v>
      </c>
      <c r="Q290">
        <v>54934.254209999999</v>
      </c>
      <c r="R290">
        <v>62187.077879999997</v>
      </c>
      <c r="S290">
        <v>62076.906969999996</v>
      </c>
      <c r="T290">
        <v>61653.161500000002</v>
      </c>
      <c r="U290">
        <v>61830.074800000002</v>
      </c>
      <c r="V290">
        <v>61772.232360000002</v>
      </c>
      <c r="W290">
        <v>60466.543449999997</v>
      </c>
      <c r="X290">
        <v>57825.955289999998</v>
      </c>
      <c r="Y290">
        <v>57853.82561</v>
      </c>
      <c r="Z290">
        <v>58366.938399999999</v>
      </c>
      <c r="AA290">
        <v>58607.794690000002</v>
      </c>
      <c r="AB290">
        <v>58753.451410000001</v>
      </c>
      <c r="AC290">
        <v>57828.041559999998</v>
      </c>
      <c r="AD290">
        <v>58669.009209999997</v>
      </c>
      <c r="AE290">
        <v>58799.154560000003</v>
      </c>
      <c r="AF290">
        <v>58940.134899999997</v>
      </c>
      <c r="AG290">
        <v>59007.55775</v>
      </c>
      <c r="AH290">
        <v>58266.344319999997</v>
      </c>
      <c r="AI290">
        <v>58803.107279999997</v>
      </c>
      <c r="AJ290">
        <v>59069.607980000001</v>
      </c>
      <c r="AK290">
        <v>59211.018349999998</v>
      </c>
      <c r="AL290">
        <v>59324.606809999997</v>
      </c>
      <c r="AM290">
        <v>59434.997280000003</v>
      </c>
      <c r="AN290">
        <v>59352.277269999999</v>
      </c>
      <c r="AO290">
        <v>59376.86634</v>
      </c>
      <c r="AP290">
        <v>59450.246509999997</v>
      </c>
      <c r="AQ290">
        <v>59550.463600000003</v>
      </c>
      <c r="AR290">
        <v>59110.594899999996</v>
      </c>
      <c r="AS290">
        <v>59430.7624</v>
      </c>
      <c r="AT290">
        <v>59614.724979999999</v>
      </c>
      <c r="AU290">
        <v>59738.405129999999</v>
      </c>
      <c r="AV290">
        <v>59839.459940000001</v>
      </c>
      <c r="AW290">
        <v>59920.938309999998</v>
      </c>
    </row>
    <row r="291" spans="2:49" x14ac:dyDescent="0.25">
      <c r="B291" t="s">
        <v>482</v>
      </c>
      <c r="C291">
        <v>562444.78102118801</v>
      </c>
      <c r="D291">
        <v>571475.01390840299</v>
      </c>
      <c r="E291">
        <v>580650.23010000004</v>
      </c>
      <c r="F291">
        <v>593619.13309999998</v>
      </c>
      <c r="G291">
        <v>597378.80669999996</v>
      </c>
      <c r="H291">
        <v>609466.55249999999</v>
      </c>
      <c r="I291">
        <v>617692.31610000005</v>
      </c>
      <c r="J291">
        <v>634267.02780000004</v>
      </c>
      <c r="K291">
        <v>649842.1</v>
      </c>
      <c r="L291">
        <v>668291.68980000005</v>
      </c>
      <c r="M291">
        <v>692972.0074</v>
      </c>
      <c r="N291">
        <v>718045.17909999995</v>
      </c>
      <c r="O291">
        <v>720966.91429999995</v>
      </c>
      <c r="P291">
        <v>720270.04220000003</v>
      </c>
      <c r="Q291">
        <v>718533.34250000003</v>
      </c>
      <c r="R291">
        <v>742928.77390000003</v>
      </c>
      <c r="S291">
        <v>746212.24569999997</v>
      </c>
      <c r="T291">
        <v>748356.85640000005</v>
      </c>
      <c r="U291">
        <v>750792.58620000002</v>
      </c>
      <c r="V291">
        <v>753638.82799999998</v>
      </c>
      <c r="W291">
        <v>755130.25899999996</v>
      </c>
      <c r="X291">
        <v>759893.11179999996</v>
      </c>
      <c r="Y291">
        <v>759244.66440000001</v>
      </c>
      <c r="Z291">
        <v>759476.59030000004</v>
      </c>
      <c r="AA291">
        <v>759790.58050000004</v>
      </c>
      <c r="AB291">
        <v>760205.44550000003</v>
      </c>
      <c r="AC291">
        <v>762960.35629999998</v>
      </c>
      <c r="AD291">
        <v>762503.44409999996</v>
      </c>
      <c r="AE291">
        <v>762913.23840000003</v>
      </c>
      <c r="AF291">
        <v>763801.39020000002</v>
      </c>
      <c r="AG291">
        <v>764637.81209999998</v>
      </c>
      <c r="AH291">
        <v>767253.22569999995</v>
      </c>
      <c r="AI291">
        <v>767958.24140000006</v>
      </c>
      <c r="AJ291">
        <v>769155.22829999996</v>
      </c>
      <c r="AK291">
        <v>770486.95589999994</v>
      </c>
      <c r="AL291">
        <v>772033.62490000005</v>
      </c>
      <c r="AM291">
        <v>773784.23719999997</v>
      </c>
      <c r="AN291">
        <v>776174.84499999997</v>
      </c>
      <c r="AO291">
        <v>778555.59950000001</v>
      </c>
      <c r="AP291">
        <v>781000.81079999998</v>
      </c>
      <c r="AQ291">
        <v>783496.38710000005</v>
      </c>
      <c r="AR291">
        <v>787104.28989999997</v>
      </c>
      <c r="AS291">
        <v>789252.22499999998</v>
      </c>
      <c r="AT291">
        <v>791499.84860000003</v>
      </c>
      <c r="AU291">
        <v>793735.15639999998</v>
      </c>
      <c r="AV291">
        <v>795946.71030000004</v>
      </c>
      <c r="AW291">
        <v>798086.41200000001</v>
      </c>
    </row>
    <row r="292" spans="2:49" x14ac:dyDescent="0.25">
      <c r="B292" t="s">
        <v>483</v>
      </c>
      <c r="C292">
        <v>241047.76327865999</v>
      </c>
      <c r="D292">
        <v>244917.86308720699</v>
      </c>
      <c r="E292">
        <v>248850.0986</v>
      </c>
      <c r="F292">
        <v>262554.18040000001</v>
      </c>
      <c r="G292">
        <v>270560.58039999998</v>
      </c>
      <c r="H292">
        <v>280313.2709</v>
      </c>
      <c r="I292">
        <v>287655.76850000001</v>
      </c>
      <c r="J292">
        <v>303446.2819</v>
      </c>
      <c r="K292">
        <v>321817.05369999999</v>
      </c>
      <c r="L292">
        <v>344000.67170000001</v>
      </c>
      <c r="M292">
        <v>370834.70049999998</v>
      </c>
      <c r="N292">
        <v>399502.19559999998</v>
      </c>
      <c r="O292">
        <v>398319.80800000002</v>
      </c>
      <c r="P292">
        <v>395001.23349999997</v>
      </c>
      <c r="Q292">
        <v>396319.76860000001</v>
      </c>
      <c r="R292">
        <v>393699.81219999999</v>
      </c>
      <c r="S292">
        <v>405018.87949999998</v>
      </c>
      <c r="T292">
        <v>419635.08380000002</v>
      </c>
      <c r="U292">
        <v>425820.29259999999</v>
      </c>
      <c r="V292">
        <v>429507.82819999999</v>
      </c>
      <c r="W292">
        <v>430575.91930000001</v>
      </c>
      <c r="X292">
        <v>441258.60019999999</v>
      </c>
      <c r="Y292">
        <v>432906.92129999999</v>
      </c>
      <c r="Z292">
        <v>429482.84759999998</v>
      </c>
      <c r="AA292">
        <v>428278.22879999998</v>
      </c>
      <c r="AB292">
        <v>427929.85969999997</v>
      </c>
      <c r="AC292">
        <v>436612.94790000003</v>
      </c>
      <c r="AD292">
        <v>429982.35399999999</v>
      </c>
      <c r="AE292">
        <v>429633.527</v>
      </c>
      <c r="AF292">
        <v>429528.23300000001</v>
      </c>
      <c r="AG292">
        <v>429992.20309999998</v>
      </c>
      <c r="AH292">
        <v>438026.2401</v>
      </c>
      <c r="AI292">
        <v>435093.02529999998</v>
      </c>
      <c r="AJ292">
        <v>434834.79710000003</v>
      </c>
      <c r="AK292">
        <v>435669.69949999999</v>
      </c>
      <c r="AL292">
        <v>436886.52639999997</v>
      </c>
      <c r="AM292">
        <v>438285.6422</v>
      </c>
      <c r="AN292">
        <v>441646.90629999997</v>
      </c>
      <c r="AO292">
        <v>444221.02510000003</v>
      </c>
      <c r="AP292">
        <v>446599.4289</v>
      </c>
      <c r="AQ292">
        <v>448877.50719999999</v>
      </c>
      <c r="AR292">
        <v>455818.98349999997</v>
      </c>
      <c r="AS292">
        <v>456140.9142</v>
      </c>
      <c r="AT292">
        <v>457553.34389999998</v>
      </c>
      <c r="AU292">
        <v>459328.4129</v>
      </c>
      <c r="AV292">
        <v>461129.1801</v>
      </c>
      <c r="AW292">
        <v>462908.90029999998</v>
      </c>
    </row>
    <row r="293" spans="2:49" x14ac:dyDescent="0.25">
      <c r="B293" t="s">
        <v>535</v>
      </c>
      <c r="C293">
        <v>383714635.27038902</v>
      </c>
      <c r="D293">
        <v>389875297.85567099</v>
      </c>
      <c r="E293">
        <v>396134871.89999998</v>
      </c>
      <c r="F293">
        <v>411164895</v>
      </c>
      <c r="G293">
        <v>421111895.89999998</v>
      </c>
      <c r="H293">
        <v>435538157.80000001</v>
      </c>
      <c r="I293">
        <v>447880701.60000002</v>
      </c>
      <c r="J293">
        <v>466610429.89999998</v>
      </c>
      <c r="K293">
        <v>488098479.39999998</v>
      </c>
      <c r="L293">
        <v>512283492.30000001</v>
      </c>
      <c r="M293">
        <v>541377887.79999995</v>
      </c>
      <c r="N293">
        <v>568656953.20000005</v>
      </c>
      <c r="O293">
        <v>572594982.79999995</v>
      </c>
      <c r="P293">
        <v>571610209.89999998</v>
      </c>
      <c r="Q293">
        <v>570244140.60000002</v>
      </c>
      <c r="R293">
        <v>583918262.70000005</v>
      </c>
      <c r="S293">
        <v>590195974.10000002</v>
      </c>
      <c r="T293">
        <v>594261621.10000002</v>
      </c>
      <c r="U293">
        <v>596670889.10000002</v>
      </c>
      <c r="V293">
        <v>596548182.10000002</v>
      </c>
      <c r="W293">
        <v>598124597.70000005</v>
      </c>
      <c r="X293">
        <v>587830406</v>
      </c>
      <c r="Y293">
        <v>585700623.29999995</v>
      </c>
      <c r="Z293">
        <v>586940437.79999995</v>
      </c>
      <c r="AA293">
        <v>589507004</v>
      </c>
      <c r="AB293">
        <v>592582919.10000002</v>
      </c>
      <c r="AC293">
        <v>587230480.39999998</v>
      </c>
      <c r="AD293">
        <v>588115293.29999995</v>
      </c>
      <c r="AE293">
        <v>593441780.5</v>
      </c>
      <c r="AF293">
        <v>599231551.70000005</v>
      </c>
      <c r="AG293">
        <v>605287464.20000005</v>
      </c>
      <c r="AH293">
        <v>608554999</v>
      </c>
      <c r="AI293">
        <v>612271492.29999995</v>
      </c>
      <c r="AJ293">
        <v>617837376.89999998</v>
      </c>
      <c r="AK293">
        <v>624155302</v>
      </c>
      <c r="AL293">
        <v>630872241.29999995</v>
      </c>
      <c r="AM293">
        <v>637859303.20000005</v>
      </c>
      <c r="AN293">
        <v>644017574.29999995</v>
      </c>
      <c r="AO293">
        <v>649524085.29999995</v>
      </c>
      <c r="AP293">
        <v>654750742.60000002</v>
      </c>
      <c r="AQ293">
        <v>659823827.20000005</v>
      </c>
      <c r="AR293">
        <v>659648380.70000005</v>
      </c>
      <c r="AS293">
        <v>662028910</v>
      </c>
      <c r="AT293">
        <v>665310488.70000005</v>
      </c>
      <c r="AU293">
        <v>668904495.79999995</v>
      </c>
      <c r="AV293">
        <v>672584372.5</v>
      </c>
      <c r="AW293">
        <v>676262111.10000002</v>
      </c>
    </row>
    <row r="294" spans="2:49" x14ac:dyDescent="0.25">
      <c r="B294" t="s">
        <v>536</v>
      </c>
      <c r="C294">
        <v>13020.598862561899</v>
      </c>
      <c r="D294">
        <v>13229.6487889324</v>
      </c>
      <c r="E294">
        <v>13442.05508</v>
      </c>
      <c r="F294">
        <v>13760.19225</v>
      </c>
      <c r="G294">
        <v>14220.485549999999</v>
      </c>
      <c r="H294">
        <v>13766.210730000001</v>
      </c>
      <c r="I294">
        <v>13331.850189999999</v>
      </c>
      <c r="J294">
        <v>13703.8518</v>
      </c>
      <c r="K294">
        <v>14002.182559999999</v>
      </c>
      <c r="L294">
        <v>13923.816199999999</v>
      </c>
      <c r="M294">
        <v>14159.13111</v>
      </c>
      <c r="N294">
        <v>14649.34064</v>
      </c>
      <c r="O294">
        <v>14980.434160000001</v>
      </c>
      <c r="P294">
        <v>15295.703879999999</v>
      </c>
      <c r="Q294">
        <v>15688.26807</v>
      </c>
      <c r="R294">
        <v>16073.32857</v>
      </c>
      <c r="S294">
        <v>15622.740019999999</v>
      </c>
      <c r="T294">
        <v>15009.360619999999</v>
      </c>
      <c r="U294">
        <v>14842.635630000001</v>
      </c>
      <c r="V294">
        <v>14731.549849999999</v>
      </c>
      <c r="W294">
        <v>14959.77432</v>
      </c>
      <c r="X294">
        <v>15126.04732</v>
      </c>
      <c r="Y294">
        <v>15296.654850000001</v>
      </c>
      <c r="Z294">
        <v>15448.32769</v>
      </c>
      <c r="AA294">
        <v>15616.16388</v>
      </c>
      <c r="AB294">
        <v>15773.718999999999</v>
      </c>
      <c r="AC294">
        <v>15952.09634</v>
      </c>
      <c r="AD294">
        <v>16158.95959</v>
      </c>
      <c r="AE294">
        <v>16334.69262</v>
      </c>
      <c r="AF294">
        <v>16515.644619999999</v>
      </c>
      <c r="AG294">
        <v>16715.901330000001</v>
      </c>
      <c r="AH294">
        <v>16957.227200000001</v>
      </c>
      <c r="AI294">
        <v>17258.86911</v>
      </c>
      <c r="AJ294">
        <v>17577.025519999999</v>
      </c>
      <c r="AK294">
        <v>17885.213039999999</v>
      </c>
      <c r="AL294">
        <v>18200.820960000001</v>
      </c>
      <c r="AM294">
        <v>18534.926179999999</v>
      </c>
      <c r="AN294">
        <v>18898.252519999998</v>
      </c>
      <c r="AO294">
        <v>19283.57977</v>
      </c>
      <c r="AP294">
        <v>19681.63481</v>
      </c>
      <c r="AQ294">
        <v>20105.288519999998</v>
      </c>
      <c r="AR294">
        <v>20555.624820000001</v>
      </c>
      <c r="AS294">
        <v>21023.18979</v>
      </c>
      <c r="AT294">
        <v>21487.53268</v>
      </c>
      <c r="AU294">
        <v>21945.992890000001</v>
      </c>
      <c r="AV294">
        <v>22399.792310000001</v>
      </c>
      <c r="AW294">
        <v>22880.903750000001</v>
      </c>
    </row>
    <row r="295" spans="2:49" x14ac:dyDescent="0.25">
      <c r="B295" t="s">
        <v>537</v>
      </c>
      <c r="C295">
        <v>158336.21117690401</v>
      </c>
      <c r="D295">
        <v>160878.35026264799</v>
      </c>
      <c r="E295">
        <v>163461.30420000001</v>
      </c>
      <c r="F295">
        <v>171749.84469999999</v>
      </c>
      <c r="G295">
        <v>178981.26250000001</v>
      </c>
      <c r="H295">
        <v>186059.1151</v>
      </c>
      <c r="I295">
        <v>192587.0503</v>
      </c>
      <c r="J295">
        <v>202066.85339999999</v>
      </c>
      <c r="K295">
        <v>216540.18950000001</v>
      </c>
      <c r="L295">
        <v>232360.57699999999</v>
      </c>
      <c r="M295">
        <v>249881.97560000001</v>
      </c>
      <c r="N295">
        <v>273491.51199999999</v>
      </c>
      <c r="O295">
        <v>275067.85879999999</v>
      </c>
      <c r="P295">
        <v>271817.42989999999</v>
      </c>
      <c r="Q295">
        <v>269192.7415</v>
      </c>
      <c r="R295">
        <v>271077.19270000001</v>
      </c>
      <c r="S295">
        <v>276580.47090000001</v>
      </c>
      <c r="T295">
        <v>283315.92959999997</v>
      </c>
      <c r="U295">
        <v>285160.36599999998</v>
      </c>
      <c r="V295">
        <v>281064.75</v>
      </c>
      <c r="W295">
        <v>280603.3162</v>
      </c>
      <c r="X295">
        <v>250205.87820000001</v>
      </c>
      <c r="Y295">
        <v>242204.59520000001</v>
      </c>
      <c r="Z295">
        <v>240348.1054</v>
      </c>
      <c r="AA295">
        <v>240620.54629999999</v>
      </c>
      <c r="AB295">
        <v>241600.73790000001</v>
      </c>
      <c r="AC295">
        <v>221353.93520000001</v>
      </c>
      <c r="AD295">
        <v>217856.70370000001</v>
      </c>
      <c r="AE295">
        <v>220873.71429999999</v>
      </c>
      <c r="AF295">
        <v>224031.34090000001</v>
      </c>
      <c r="AG295">
        <v>227523.03400000001</v>
      </c>
      <c r="AH295">
        <v>222005.30739999999</v>
      </c>
      <c r="AI295">
        <v>221841.10200000001</v>
      </c>
      <c r="AJ295">
        <v>224045.87040000001</v>
      </c>
      <c r="AK295">
        <v>227175.99720000001</v>
      </c>
      <c r="AL295">
        <v>230575.71859999999</v>
      </c>
      <c r="AM295">
        <v>234041.23610000001</v>
      </c>
      <c r="AN295">
        <v>239692.96109999999</v>
      </c>
      <c r="AO295">
        <v>244243.4969</v>
      </c>
      <c r="AP295">
        <v>248207.41080000001</v>
      </c>
      <c r="AQ295">
        <v>251808.01869999999</v>
      </c>
      <c r="AR295">
        <v>243310.19959999999</v>
      </c>
      <c r="AS295">
        <v>245200.6746</v>
      </c>
      <c r="AT295">
        <v>248353.41140000001</v>
      </c>
      <c r="AU295">
        <v>251966.5895</v>
      </c>
      <c r="AV295">
        <v>255691.11670000001</v>
      </c>
      <c r="AW295">
        <v>259428.57029999999</v>
      </c>
    </row>
    <row r="296" spans="2:49" x14ac:dyDescent="0.25">
      <c r="B296" t="s">
        <v>538</v>
      </c>
      <c r="C296">
        <v>516755.579312385</v>
      </c>
      <c r="D296">
        <v>525052.257287574</v>
      </c>
      <c r="E296">
        <v>533482.14110000001</v>
      </c>
      <c r="F296">
        <v>545533.01470000006</v>
      </c>
      <c r="G296">
        <v>549634.40890000004</v>
      </c>
      <c r="H296">
        <v>560739.95180000004</v>
      </c>
      <c r="I296">
        <v>568475.55059999996</v>
      </c>
      <c r="J296">
        <v>583663.21539999999</v>
      </c>
      <c r="K296">
        <v>598791.34270000004</v>
      </c>
      <c r="L296">
        <v>616379.44920000003</v>
      </c>
      <c r="M296">
        <v>639413.08479999995</v>
      </c>
      <c r="N296">
        <v>663690.91009999998</v>
      </c>
      <c r="O296">
        <v>666610.36439999996</v>
      </c>
      <c r="P296">
        <v>665643.82819999999</v>
      </c>
      <c r="Q296">
        <v>663633.04379999998</v>
      </c>
      <c r="R296">
        <v>681036.49849999999</v>
      </c>
      <c r="S296">
        <v>684432.74479999999</v>
      </c>
      <c r="T296">
        <v>685508.15619999997</v>
      </c>
      <c r="U296">
        <v>687763.08640000003</v>
      </c>
      <c r="V296">
        <v>690663.37600000005</v>
      </c>
      <c r="W296">
        <v>693395.7966</v>
      </c>
      <c r="X296">
        <v>700726.61419999995</v>
      </c>
      <c r="Y296">
        <v>699989.35939999996</v>
      </c>
      <c r="Z296">
        <v>699704.60010000004</v>
      </c>
      <c r="AA296">
        <v>699783.73289999994</v>
      </c>
      <c r="AB296">
        <v>700056.73340000003</v>
      </c>
      <c r="AC296">
        <v>703791.26370000001</v>
      </c>
      <c r="AD296">
        <v>702506.74239999999</v>
      </c>
      <c r="AE296">
        <v>702804.01009999996</v>
      </c>
      <c r="AF296">
        <v>703575.02899999998</v>
      </c>
      <c r="AG296">
        <v>704376.42619999999</v>
      </c>
      <c r="AH296">
        <v>707848.61809999996</v>
      </c>
      <c r="AI296">
        <v>708033.98219999997</v>
      </c>
      <c r="AJ296">
        <v>708997.83940000006</v>
      </c>
      <c r="AK296">
        <v>710230.41480000003</v>
      </c>
      <c r="AL296">
        <v>711710.85919999995</v>
      </c>
      <c r="AM296">
        <v>713402.61010000005</v>
      </c>
      <c r="AN296">
        <v>715937.67139999999</v>
      </c>
      <c r="AO296">
        <v>718362.5845</v>
      </c>
      <c r="AP296">
        <v>720810.75080000004</v>
      </c>
      <c r="AQ296">
        <v>723290.99040000001</v>
      </c>
      <c r="AR296">
        <v>727610.77780000004</v>
      </c>
      <c r="AS296">
        <v>729473.74210000003</v>
      </c>
      <c r="AT296">
        <v>731629.93059999996</v>
      </c>
      <c r="AU296">
        <v>733870.63740000001</v>
      </c>
      <c r="AV296">
        <v>736146.02720000001</v>
      </c>
      <c r="AW296">
        <v>738408.72479999997</v>
      </c>
    </row>
    <row r="297" spans="2:49" x14ac:dyDescent="0.25">
      <c r="B297" t="s">
        <v>539</v>
      </c>
      <c r="C297">
        <v>82711.5521017555</v>
      </c>
      <c r="D297">
        <v>84039.512824558697</v>
      </c>
      <c r="E297">
        <v>85388.794399999999</v>
      </c>
      <c r="F297">
        <v>90808.656870000006</v>
      </c>
      <c r="G297">
        <v>91615.780710000006</v>
      </c>
      <c r="H297">
        <v>94295.04264</v>
      </c>
      <c r="I297">
        <v>95131.742240000007</v>
      </c>
      <c r="J297">
        <v>101454.8533</v>
      </c>
      <c r="K297">
        <v>105391.4016</v>
      </c>
      <c r="L297">
        <v>111767.7709</v>
      </c>
      <c r="M297">
        <v>121092.6106</v>
      </c>
      <c r="N297">
        <v>126263.99950000001</v>
      </c>
      <c r="O297">
        <v>123537.1623</v>
      </c>
      <c r="P297">
        <v>123472.10370000001</v>
      </c>
      <c r="Q297">
        <v>127490.8622</v>
      </c>
      <c r="R297">
        <v>123060.7105</v>
      </c>
      <c r="S297">
        <v>128919.5677</v>
      </c>
      <c r="T297">
        <v>136876.41039999999</v>
      </c>
      <c r="U297">
        <v>141254.7415</v>
      </c>
      <c r="V297">
        <v>149276.3376</v>
      </c>
      <c r="W297">
        <v>150810.69510000001</v>
      </c>
      <c r="X297">
        <v>200127.74530000001</v>
      </c>
      <c r="Y297">
        <v>199609.2432</v>
      </c>
      <c r="Z297">
        <v>197974.6692</v>
      </c>
      <c r="AA297">
        <v>196502.20009999999</v>
      </c>
      <c r="AB297">
        <v>195208.5191</v>
      </c>
      <c r="AC297">
        <v>227742.73130000001</v>
      </c>
      <c r="AD297">
        <v>224395.8976</v>
      </c>
      <c r="AE297">
        <v>221094.47339999999</v>
      </c>
      <c r="AF297">
        <v>217923.97089999999</v>
      </c>
      <c r="AG297">
        <v>215019.7009</v>
      </c>
      <c r="AH297">
        <v>229628.39480000001</v>
      </c>
      <c r="AI297">
        <v>226702.65830000001</v>
      </c>
      <c r="AJ297">
        <v>224278.60079999999</v>
      </c>
      <c r="AK297">
        <v>222110.13250000001</v>
      </c>
      <c r="AL297">
        <v>220090.53719999999</v>
      </c>
      <c r="AM297">
        <v>218208.68340000001</v>
      </c>
      <c r="AN297">
        <v>216233.1323</v>
      </c>
      <c r="AO297">
        <v>214532.04319999999</v>
      </c>
      <c r="AP297">
        <v>213216.2733</v>
      </c>
      <c r="AQ297">
        <v>212168.5711</v>
      </c>
      <c r="AR297">
        <v>229400.03760000001</v>
      </c>
      <c r="AS297">
        <v>227723.9106</v>
      </c>
      <c r="AT297">
        <v>226150.0742</v>
      </c>
      <c r="AU297">
        <v>224615.11170000001</v>
      </c>
      <c r="AV297">
        <v>223080.49900000001</v>
      </c>
      <c r="AW297">
        <v>221590.51439999999</v>
      </c>
    </row>
    <row r="298" spans="2:49" x14ac:dyDescent="0.25">
      <c r="B298" t="s">
        <v>540</v>
      </c>
      <c r="C298">
        <v>45689.201708803201</v>
      </c>
      <c r="D298">
        <v>46422.756620829103</v>
      </c>
      <c r="E298">
        <v>47168.089</v>
      </c>
      <c r="F298">
        <v>48086.325320000004</v>
      </c>
      <c r="G298">
        <v>47749.277549999999</v>
      </c>
      <c r="H298">
        <v>48731.582049999997</v>
      </c>
      <c r="I298">
        <v>49222.122280000003</v>
      </c>
      <c r="J298">
        <v>50609.360390000002</v>
      </c>
      <c r="K298">
        <v>51063.03615</v>
      </c>
      <c r="L298">
        <v>51928.42398</v>
      </c>
      <c r="M298">
        <v>53576.438620000001</v>
      </c>
      <c r="N298">
        <v>54385.059399999998</v>
      </c>
      <c r="O298">
        <v>54387.939539999999</v>
      </c>
      <c r="P298">
        <v>54658.608910000003</v>
      </c>
      <c r="Q298">
        <v>54934.254209999999</v>
      </c>
      <c r="R298">
        <v>62187.077879999997</v>
      </c>
      <c r="S298">
        <v>62076.906969999996</v>
      </c>
      <c r="T298">
        <v>61653.161500000002</v>
      </c>
      <c r="U298">
        <v>61830.074800000002</v>
      </c>
      <c r="V298">
        <v>61772.232360000002</v>
      </c>
      <c r="W298">
        <v>60451.569320000002</v>
      </c>
      <c r="X298">
        <v>57790.510479999997</v>
      </c>
      <c r="Y298">
        <v>57816.725079999997</v>
      </c>
      <c r="Z298">
        <v>58334.315029999998</v>
      </c>
      <c r="AA298">
        <v>58579.782520000001</v>
      </c>
      <c r="AB298">
        <v>58729.157829999996</v>
      </c>
      <c r="AC298">
        <v>57794.680910000003</v>
      </c>
      <c r="AD298">
        <v>58645.571279999996</v>
      </c>
      <c r="AE298">
        <v>58784.729740000002</v>
      </c>
      <c r="AF298">
        <v>58934.509839999999</v>
      </c>
      <c r="AG298">
        <v>59011.638630000001</v>
      </c>
      <c r="AH298">
        <v>58255.527269999999</v>
      </c>
      <c r="AI298">
        <v>58814.420870000002</v>
      </c>
      <c r="AJ298">
        <v>59096.654640000001</v>
      </c>
      <c r="AK298">
        <v>59251.22853</v>
      </c>
      <c r="AL298">
        <v>59377.140010000003</v>
      </c>
      <c r="AM298">
        <v>59499.530079999997</v>
      </c>
      <c r="AN298">
        <v>59430.313450000001</v>
      </c>
      <c r="AO298">
        <v>59468.374150000003</v>
      </c>
      <c r="AP298">
        <v>59555.331879999998</v>
      </c>
      <c r="AQ298">
        <v>59669.849880000002</v>
      </c>
      <c r="AR298">
        <v>59187.245609999998</v>
      </c>
      <c r="AS298">
        <v>59556.004070000003</v>
      </c>
      <c r="AT298">
        <v>59772.959139999999</v>
      </c>
      <c r="AU298">
        <v>59924.268239999998</v>
      </c>
      <c r="AV298">
        <v>60052.767899999999</v>
      </c>
      <c r="AW298">
        <v>60164.343030000004</v>
      </c>
    </row>
    <row r="299" spans="2:49" x14ac:dyDescent="0.25">
      <c r="B299" t="s">
        <v>541</v>
      </c>
      <c r="C299">
        <v>562444.78102118801</v>
      </c>
      <c r="D299">
        <v>571475.01390840299</v>
      </c>
      <c r="E299">
        <v>580650.23010000004</v>
      </c>
      <c r="F299">
        <v>593619.13309999998</v>
      </c>
      <c r="G299">
        <v>597378.80669999996</v>
      </c>
      <c r="H299">
        <v>609466.55249999999</v>
      </c>
      <c r="I299">
        <v>617692.31610000005</v>
      </c>
      <c r="J299">
        <v>634267.02780000004</v>
      </c>
      <c r="K299">
        <v>649842.1</v>
      </c>
      <c r="L299">
        <v>668291.68980000005</v>
      </c>
      <c r="M299">
        <v>692972.0074</v>
      </c>
      <c r="N299">
        <v>718045.17909999995</v>
      </c>
      <c r="O299">
        <v>720966.91429999995</v>
      </c>
      <c r="P299">
        <v>720270.04220000003</v>
      </c>
      <c r="Q299">
        <v>718533.34250000003</v>
      </c>
      <c r="R299">
        <v>742928.77390000003</v>
      </c>
      <c r="S299">
        <v>746212.24569999997</v>
      </c>
      <c r="T299">
        <v>748356.85640000005</v>
      </c>
      <c r="U299">
        <v>750792.58620000002</v>
      </c>
      <c r="V299">
        <v>753638.82799999998</v>
      </c>
      <c r="W299">
        <v>755034.38919999998</v>
      </c>
      <c r="X299">
        <v>759626.42509999999</v>
      </c>
      <c r="Y299">
        <v>758914.28430000006</v>
      </c>
      <c r="Z299">
        <v>759145.12620000006</v>
      </c>
      <c r="AA299">
        <v>759469.74930000002</v>
      </c>
      <c r="AB299">
        <v>759892.6152</v>
      </c>
      <c r="AC299">
        <v>762684.40280000004</v>
      </c>
      <c r="AD299">
        <v>762242.88710000005</v>
      </c>
      <c r="AE299">
        <v>762679.83570000005</v>
      </c>
      <c r="AF299">
        <v>763601.89679999999</v>
      </c>
      <c r="AG299">
        <v>764481.68059999996</v>
      </c>
      <c r="AH299">
        <v>767193.01399999997</v>
      </c>
      <c r="AI299">
        <v>767935.99699999997</v>
      </c>
      <c r="AJ299">
        <v>769183.53509999998</v>
      </c>
      <c r="AK299">
        <v>770572.63009999995</v>
      </c>
      <c r="AL299">
        <v>772181.2635</v>
      </c>
      <c r="AM299">
        <v>773997.97389999998</v>
      </c>
      <c r="AN299">
        <v>776466.70319999999</v>
      </c>
      <c r="AO299">
        <v>778932.96010000003</v>
      </c>
      <c r="AP299">
        <v>781471.57189999998</v>
      </c>
      <c r="AQ299">
        <v>784069.94200000004</v>
      </c>
      <c r="AR299">
        <v>787907.08759999997</v>
      </c>
      <c r="AS299">
        <v>790141.58880000003</v>
      </c>
      <c r="AT299">
        <v>792518.06350000005</v>
      </c>
      <c r="AU299">
        <v>794913.44220000005</v>
      </c>
      <c r="AV299">
        <v>797320.69369999995</v>
      </c>
      <c r="AW299">
        <v>799698.27099999995</v>
      </c>
    </row>
    <row r="300" spans="2:49" x14ac:dyDescent="0.25">
      <c r="B300" t="s">
        <v>542</v>
      </c>
      <c r="C300">
        <v>241047.76327865999</v>
      </c>
      <c r="D300">
        <v>244917.86308720699</v>
      </c>
      <c r="E300">
        <v>248850.0986</v>
      </c>
      <c r="F300">
        <v>262554.18040000001</v>
      </c>
      <c r="G300">
        <v>270560.58039999998</v>
      </c>
      <c r="H300">
        <v>280313.2709</v>
      </c>
      <c r="I300">
        <v>287655.76850000001</v>
      </c>
      <c r="J300">
        <v>303446.2819</v>
      </c>
      <c r="K300">
        <v>321817.05369999999</v>
      </c>
      <c r="L300">
        <v>344000.67170000001</v>
      </c>
      <c r="M300">
        <v>370834.70049999998</v>
      </c>
      <c r="N300">
        <v>399502.19559999998</v>
      </c>
      <c r="O300">
        <v>398319.80800000002</v>
      </c>
      <c r="P300">
        <v>395001.23349999997</v>
      </c>
      <c r="Q300">
        <v>396319.76860000001</v>
      </c>
      <c r="R300">
        <v>393699.81219999999</v>
      </c>
      <c r="S300">
        <v>405018.87949999998</v>
      </c>
      <c r="T300">
        <v>419635.08380000002</v>
      </c>
      <c r="U300">
        <v>425820.29259999999</v>
      </c>
      <c r="V300">
        <v>429507.82819999999</v>
      </c>
      <c r="W300">
        <v>430571.79489999998</v>
      </c>
      <c r="X300">
        <v>441175.29200000002</v>
      </c>
      <c r="Y300">
        <v>432780.92959999997</v>
      </c>
      <c r="Z300">
        <v>429361.22610000003</v>
      </c>
      <c r="AA300">
        <v>428181.81349999999</v>
      </c>
      <c r="AB300">
        <v>427868.71059999999</v>
      </c>
      <c r="AC300">
        <v>436721.2537</v>
      </c>
      <c r="AD300">
        <v>430065.71750000003</v>
      </c>
      <c r="AE300">
        <v>429745.28090000001</v>
      </c>
      <c r="AF300">
        <v>429688.70789999998</v>
      </c>
      <c r="AG300">
        <v>430214.98139999999</v>
      </c>
      <c r="AH300">
        <v>438605.73300000001</v>
      </c>
      <c r="AI300">
        <v>435596.97659999999</v>
      </c>
      <c r="AJ300">
        <v>435360.83500000002</v>
      </c>
      <c r="AK300">
        <v>436264.33909999998</v>
      </c>
      <c r="AL300">
        <v>437572.99550000002</v>
      </c>
      <c r="AM300">
        <v>439080.3468</v>
      </c>
      <c r="AN300">
        <v>442589.47779999999</v>
      </c>
      <c r="AO300">
        <v>445315.99859999999</v>
      </c>
      <c r="AP300">
        <v>447858.86300000001</v>
      </c>
      <c r="AQ300">
        <v>450315.82140000002</v>
      </c>
      <c r="AR300">
        <v>458071.50449999998</v>
      </c>
      <c r="AS300">
        <v>458266.21279999998</v>
      </c>
      <c r="AT300">
        <v>459773.88170000003</v>
      </c>
      <c r="AU300">
        <v>461761.57579999999</v>
      </c>
      <c r="AV300">
        <v>463856.6152</v>
      </c>
      <c r="AW300">
        <v>466007.9915</v>
      </c>
    </row>
    <row r="301" spans="2:49" x14ac:dyDescent="0.25">
      <c r="B301" t="s">
        <v>209</v>
      </c>
      <c r="C301">
        <v>105875266.531468</v>
      </c>
      <c r="D301">
        <v>107575128.18195701</v>
      </c>
      <c r="E301">
        <v>109302281.7</v>
      </c>
      <c r="F301">
        <v>110424264.7</v>
      </c>
      <c r="G301">
        <v>106473210.5</v>
      </c>
      <c r="H301">
        <v>107223513.7</v>
      </c>
      <c r="I301">
        <v>105212890.40000001</v>
      </c>
      <c r="J301">
        <v>102554129.2</v>
      </c>
      <c r="K301">
        <v>100017595.90000001</v>
      </c>
      <c r="L301">
        <v>98313550.5</v>
      </c>
      <c r="M301">
        <v>97003787.709999904</v>
      </c>
      <c r="N301">
        <v>96220587.140000001</v>
      </c>
      <c r="O301">
        <v>95808989.969999999</v>
      </c>
      <c r="P301">
        <v>94196670.519999996</v>
      </c>
      <c r="Q301">
        <v>92250329.560000002</v>
      </c>
      <c r="R301">
        <v>91125649.379999995</v>
      </c>
      <c r="S301">
        <v>90433569.209999904</v>
      </c>
      <c r="T301">
        <v>89696927.079999998</v>
      </c>
      <c r="U301">
        <v>88556785.590000004</v>
      </c>
      <c r="V301">
        <v>87128490.219999999</v>
      </c>
      <c r="W301">
        <v>86002176.329999998</v>
      </c>
      <c r="X301">
        <v>84057844.109999999</v>
      </c>
      <c r="Y301">
        <v>82558862.459999904</v>
      </c>
      <c r="Z301">
        <v>81556750.890000001</v>
      </c>
      <c r="AA301">
        <v>80644272.129999995</v>
      </c>
      <c r="AB301">
        <v>79698592.560000002</v>
      </c>
      <c r="AC301">
        <v>78131792.450000003</v>
      </c>
      <c r="AD301">
        <v>76936693.400000006</v>
      </c>
      <c r="AE301">
        <v>76085720.340000004</v>
      </c>
      <c r="AF301">
        <v>75181113.579999998</v>
      </c>
      <c r="AG301">
        <v>74255835.739999995</v>
      </c>
      <c r="AH301">
        <v>73260830.200000003</v>
      </c>
      <c r="AI301">
        <v>72147620.310000002</v>
      </c>
      <c r="AJ301">
        <v>71097413.469999999</v>
      </c>
      <c r="AK301">
        <v>70059572</v>
      </c>
      <c r="AL301">
        <v>69021979.409999996</v>
      </c>
      <c r="AM301">
        <v>67983220.159999996</v>
      </c>
      <c r="AN301">
        <v>66867207.479999997</v>
      </c>
      <c r="AO301">
        <v>65702650.100000001</v>
      </c>
      <c r="AP301">
        <v>64512883.039999999</v>
      </c>
      <c r="AQ301">
        <v>63311799.359999999</v>
      </c>
      <c r="AR301">
        <v>61936493.950000003</v>
      </c>
      <c r="AS301">
        <v>60608833.490000002</v>
      </c>
      <c r="AT301">
        <v>59303268.630000003</v>
      </c>
      <c r="AU301">
        <v>58008297.020000003</v>
      </c>
      <c r="AV301">
        <v>56718547.490000002</v>
      </c>
      <c r="AW301">
        <v>55432246.119999997</v>
      </c>
    </row>
    <row r="302" spans="2:49" x14ac:dyDescent="0.25">
      <c r="B302" t="s">
        <v>211</v>
      </c>
      <c r="C302">
        <v>37938997.726415001</v>
      </c>
      <c r="D302">
        <v>38548120.6066292</v>
      </c>
      <c r="E302">
        <v>39167023.149999999</v>
      </c>
      <c r="F302">
        <v>38299647.840000004</v>
      </c>
      <c r="G302">
        <v>36971889.119999997</v>
      </c>
      <c r="H302">
        <v>35869739.509999998</v>
      </c>
      <c r="I302">
        <v>35504833.469999999</v>
      </c>
      <c r="J302">
        <v>34470567.539999999</v>
      </c>
      <c r="K302">
        <v>32813903.399999999</v>
      </c>
      <c r="L302">
        <v>31423236.219999999</v>
      </c>
      <c r="M302">
        <v>30454228.969999999</v>
      </c>
      <c r="N302">
        <v>29757558.91</v>
      </c>
      <c r="O302">
        <v>30199870.600000001</v>
      </c>
      <c r="P302">
        <v>30188021.949999999</v>
      </c>
      <c r="Q302">
        <v>29282096.949999999</v>
      </c>
      <c r="R302">
        <v>28623487.100000001</v>
      </c>
      <c r="S302">
        <v>28095209.600000001</v>
      </c>
      <c r="T302">
        <v>26348349.280000001</v>
      </c>
      <c r="U302">
        <v>25003953.109999999</v>
      </c>
      <c r="V302">
        <v>23686374.690000001</v>
      </c>
      <c r="W302">
        <v>23522627.07</v>
      </c>
      <c r="X302">
        <v>23230916.219999999</v>
      </c>
      <c r="Y302">
        <v>22928363.98</v>
      </c>
      <c r="Z302">
        <v>22739063.640000001</v>
      </c>
      <c r="AA302">
        <v>22490360.75</v>
      </c>
      <c r="AB302">
        <v>22218141.440000001</v>
      </c>
      <c r="AC302">
        <v>21926431.239999998</v>
      </c>
      <c r="AD302">
        <v>21605730.329999998</v>
      </c>
      <c r="AE302">
        <v>21249318.48</v>
      </c>
      <c r="AF302">
        <v>20886430.039999999</v>
      </c>
      <c r="AG302">
        <v>20491686.379999999</v>
      </c>
      <c r="AH302">
        <v>20067160.809999999</v>
      </c>
      <c r="AI302">
        <v>19603253.27</v>
      </c>
      <c r="AJ302">
        <v>19136839.859999999</v>
      </c>
      <c r="AK302">
        <v>18663151.98</v>
      </c>
      <c r="AL302">
        <v>18184250.670000002</v>
      </c>
      <c r="AM302">
        <v>17701381.079999998</v>
      </c>
      <c r="AN302">
        <v>17214210.600000001</v>
      </c>
      <c r="AO302">
        <v>16725717.359999999</v>
      </c>
      <c r="AP302">
        <v>16229886.960000001</v>
      </c>
      <c r="AQ302">
        <v>15733427.59</v>
      </c>
      <c r="AR302">
        <v>15227844.75</v>
      </c>
      <c r="AS302">
        <v>14741246.949999999</v>
      </c>
      <c r="AT302">
        <v>14253683.07</v>
      </c>
      <c r="AU302">
        <v>13762633.02</v>
      </c>
      <c r="AV302">
        <v>13268256.35</v>
      </c>
      <c r="AW302">
        <v>12767709.810000001</v>
      </c>
    </row>
    <row r="303" spans="2:49" x14ac:dyDescent="0.25">
      <c r="B303" t="s">
        <v>548</v>
      </c>
      <c r="C303">
        <v>30618095.036040202</v>
      </c>
      <c r="D303">
        <v>31109678.455547299</v>
      </c>
      <c r="E303">
        <v>31621964.859999999</v>
      </c>
      <c r="F303">
        <v>30188969.27</v>
      </c>
      <c r="G303">
        <v>27920180.859999999</v>
      </c>
      <c r="H303">
        <v>28530719.699999999</v>
      </c>
      <c r="I303">
        <v>26550412.050000001</v>
      </c>
      <c r="J303">
        <v>24642040.190000001</v>
      </c>
      <c r="K303">
        <v>23168329.18</v>
      </c>
      <c r="L303">
        <v>22484513.34</v>
      </c>
      <c r="M303">
        <v>21966834.23</v>
      </c>
      <c r="N303">
        <v>22153661.34</v>
      </c>
      <c r="O303">
        <v>22176153.73</v>
      </c>
      <c r="P303">
        <v>21399476.210000001</v>
      </c>
      <c r="Q303">
        <v>20402076.469999999</v>
      </c>
      <c r="R303">
        <v>20151927.960000001</v>
      </c>
      <c r="S303">
        <v>19587626.82</v>
      </c>
      <c r="T303">
        <v>19349690.079999998</v>
      </c>
      <c r="U303">
        <v>19053861.879999999</v>
      </c>
      <c r="V303">
        <v>18794676.120000001</v>
      </c>
      <c r="W303">
        <v>18541718.670000002</v>
      </c>
      <c r="X303">
        <v>18494036.440000001</v>
      </c>
      <c r="Y303">
        <v>18263119.27</v>
      </c>
      <c r="Z303">
        <v>18305841.629999999</v>
      </c>
      <c r="AA303">
        <v>18391957.350000001</v>
      </c>
      <c r="AB303">
        <v>18465091.300000001</v>
      </c>
      <c r="AC303">
        <v>18531952.309999999</v>
      </c>
      <c r="AD303">
        <v>18589737.07</v>
      </c>
      <c r="AE303">
        <v>18629509.57</v>
      </c>
      <c r="AF303">
        <v>18636801.789999999</v>
      </c>
      <c r="AG303">
        <v>18649431.859999999</v>
      </c>
      <c r="AH303">
        <v>18632290.039999999</v>
      </c>
      <c r="AI303">
        <v>18640728.699999999</v>
      </c>
      <c r="AJ303">
        <v>18639542.18</v>
      </c>
      <c r="AK303">
        <v>18630064.879999999</v>
      </c>
      <c r="AL303">
        <v>18612425.879999999</v>
      </c>
      <c r="AM303">
        <v>18586549.879999999</v>
      </c>
      <c r="AN303">
        <v>18505134.530000001</v>
      </c>
      <c r="AO303">
        <v>18406787.59</v>
      </c>
      <c r="AP303">
        <v>18294748.82</v>
      </c>
      <c r="AQ303">
        <v>18174292.719999999</v>
      </c>
      <c r="AR303">
        <v>18037452.27</v>
      </c>
      <c r="AS303">
        <v>17846972.539999999</v>
      </c>
      <c r="AT303">
        <v>17641226.960000001</v>
      </c>
      <c r="AU303">
        <v>17424936.670000002</v>
      </c>
      <c r="AV303">
        <v>17197587.890000001</v>
      </c>
      <c r="AW303">
        <v>16958169.289999999</v>
      </c>
    </row>
    <row r="304" spans="2:49" x14ac:dyDescent="0.25">
      <c r="B304" t="s">
        <v>549</v>
      </c>
      <c r="C304">
        <v>37673048.147063904</v>
      </c>
      <c r="D304">
        <v>38277901.120757699</v>
      </c>
      <c r="E304">
        <v>38224363.549999997</v>
      </c>
      <c r="F304">
        <v>37377863.57</v>
      </c>
      <c r="G304">
        <v>36082058.850000001</v>
      </c>
      <c r="H304">
        <v>35006433.25</v>
      </c>
      <c r="I304">
        <v>34650307.57</v>
      </c>
      <c r="J304">
        <v>33640931.43</v>
      </c>
      <c r="K304">
        <v>32024137.120000001</v>
      </c>
      <c r="L304">
        <v>30666938.289999999</v>
      </c>
      <c r="M304">
        <v>29721251.23</v>
      </c>
      <c r="N304">
        <v>29041347.780000001</v>
      </c>
      <c r="O304">
        <v>29473013.23</v>
      </c>
      <c r="P304">
        <v>29461449.449999999</v>
      </c>
      <c r="Q304">
        <v>28577326.760000002</v>
      </c>
      <c r="R304">
        <v>27934566.809999999</v>
      </c>
      <c r="S304">
        <v>27419001.109999999</v>
      </c>
      <c r="T304">
        <v>25714182.420000002</v>
      </c>
      <c r="U304">
        <v>24402140.43</v>
      </c>
      <c r="V304">
        <v>23116270.75</v>
      </c>
      <c r="W304">
        <v>22956461.140000001</v>
      </c>
      <c r="X304">
        <v>22671769.84</v>
      </c>
      <c r="Y304">
        <v>22376497.260000002</v>
      </c>
      <c r="Z304">
        <v>22191750.690000001</v>
      </c>
      <c r="AA304">
        <v>21949031.309999999</v>
      </c>
      <c r="AB304">
        <v>21683361.66</v>
      </c>
      <c r="AC304">
        <v>21398671.460000001</v>
      </c>
      <c r="AD304">
        <v>21085687.780000001</v>
      </c>
      <c r="AE304">
        <v>20737852.48</v>
      </c>
      <c r="AF304">
        <v>20383696.600000001</v>
      </c>
      <c r="AG304">
        <v>19998452.350000001</v>
      </c>
      <c r="AH304">
        <v>19584143.510000002</v>
      </c>
      <c r="AI304">
        <v>19131400.550000001</v>
      </c>
      <c r="AJ304">
        <v>18676212</v>
      </c>
      <c r="AK304">
        <v>18213924.109999999</v>
      </c>
      <c r="AL304">
        <v>17746548.370000001</v>
      </c>
      <c r="AM304">
        <v>17275299.960000001</v>
      </c>
      <c r="AN304">
        <v>16799854.350000001</v>
      </c>
      <c r="AO304">
        <v>16323117.960000001</v>
      </c>
      <c r="AP304">
        <v>15839221.109999999</v>
      </c>
      <c r="AQ304">
        <v>15354710.5</v>
      </c>
      <c r="AR304">
        <v>14861296.52</v>
      </c>
      <c r="AS304">
        <v>14386410.49</v>
      </c>
      <c r="AT304">
        <v>13910581.630000001</v>
      </c>
      <c r="AU304">
        <v>13431350.52</v>
      </c>
      <c r="AV304">
        <v>12948872.91</v>
      </c>
      <c r="AW304">
        <v>12460373.98</v>
      </c>
    </row>
    <row r="305" spans="2:49" x14ac:dyDescent="0.25">
      <c r="B305" t="s">
        <v>550</v>
      </c>
      <c r="C305">
        <v>75150364.0434165</v>
      </c>
      <c r="D305">
        <v>76356927.446207598</v>
      </c>
      <c r="E305">
        <v>77614305.140000001</v>
      </c>
      <c r="F305">
        <v>80168606.120000005</v>
      </c>
      <c r="G305">
        <v>78488726.510000005</v>
      </c>
      <c r="H305">
        <v>78628037.760000005</v>
      </c>
      <c r="I305">
        <v>78598936.370000005</v>
      </c>
      <c r="J305">
        <v>77850152.849999994</v>
      </c>
      <c r="K305">
        <v>76788862.370000005</v>
      </c>
      <c r="L305">
        <v>75769661.989999995</v>
      </c>
      <c r="M305">
        <v>74978369.319999903</v>
      </c>
      <c r="N305">
        <v>74008814.650000006</v>
      </c>
      <c r="O305">
        <v>73574973.680000007</v>
      </c>
      <c r="P305">
        <v>72740305.480000004</v>
      </c>
      <c r="Q305">
        <v>71792539.719999999</v>
      </c>
      <c r="R305">
        <v>70918687.299999997</v>
      </c>
      <c r="S305">
        <v>70791326.230000004</v>
      </c>
      <c r="T305">
        <v>70293065.730000004</v>
      </c>
      <c r="U305">
        <v>69449441.010000005</v>
      </c>
      <c r="V305">
        <v>68281193.989999995</v>
      </c>
      <c r="W305">
        <v>67408517.790000007</v>
      </c>
      <c r="X305">
        <v>65513042.039999999</v>
      </c>
      <c r="Y305">
        <v>64245882.859999999</v>
      </c>
      <c r="Z305">
        <v>63201654.140000001</v>
      </c>
      <c r="AA305">
        <v>62203610.75</v>
      </c>
      <c r="AB305">
        <v>61185368.350000001</v>
      </c>
      <c r="AC305">
        <v>59552653.479999997</v>
      </c>
      <c r="AD305">
        <v>58300491.439999998</v>
      </c>
      <c r="AE305">
        <v>57410259.810000002</v>
      </c>
      <c r="AF305">
        <v>56498907.149999999</v>
      </c>
      <c r="AG305">
        <v>55561558.049999997</v>
      </c>
      <c r="AH305">
        <v>54584295.240000002</v>
      </c>
      <c r="AI305">
        <v>53463319.009999998</v>
      </c>
      <c r="AJ305">
        <v>52414932.950000003</v>
      </c>
      <c r="AK305">
        <v>51387195.57</v>
      </c>
      <c r="AL305">
        <v>50367868.619999997</v>
      </c>
      <c r="AM305">
        <v>49355612.719999999</v>
      </c>
      <c r="AN305">
        <v>48321689.390000001</v>
      </c>
      <c r="AO305">
        <v>47256182.270000003</v>
      </c>
      <c r="AP305">
        <v>46179172.520000003</v>
      </c>
      <c r="AQ305">
        <v>45099270.310000002</v>
      </c>
      <c r="AR305">
        <v>43861635.950000003</v>
      </c>
      <c r="AS305">
        <v>42725257.049999997</v>
      </c>
      <c r="AT305">
        <v>41626226.240000002</v>
      </c>
      <c r="AU305">
        <v>40548327.009999998</v>
      </c>
      <c r="AV305">
        <v>39486705.18</v>
      </c>
      <c r="AW305">
        <v>38440599.259999998</v>
      </c>
    </row>
    <row r="306" spans="2:49" x14ac:dyDescent="0.25">
      <c r="B306" t="s">
        <v>551</v>
      </c>
      <c r="C306">
        <v>2.3355383546637598</v>
      </c>
      <c r="D306">
        <v>2.37303617839917</v>
      </c>
      <c r="E306">
        <v>2.3697171199999998</v>
      </c>
      <c r="F306">
        <v>2.6984847670000001</v>
      </c>
      <c r="G306">
        <v>4.699048028</v>
      </c>
      <c r="H306">
        <v>6.8056362530000003</v>
      </c>
      <c r="I306">
        <v>8.8675552189999998</v>
      </c>
      <c r="J306">
        <v>11.410562240000001</v>
      </c>
      <c r="K306">
        <v>13.5427965</v>
      </c>
      <c r="L306">
        <v>15.261150110000001</v>
      </c>
      <c r="M306">
        <v>16.765366159999999</v>
      </c>
      <c r="N306">
        <v>17.356404560000001</v>
      </c>
      <c r="O306">
        <v>18.204590939999999</v>
      </c>
      <c r="P306">
        <v>18.505674760000002</v>
      </c>
      <c r="Q306">
        <v>19.652647699999999</v>
      </c>
      <c r="R306">
        <v>20.934119920000001</v>
      </c>
      <c r="S306">
        <v>23.516442730000001</v>
      </c>
      <c r="T306">
        <v>24.661990410000001</v>
      </c>
      <c r="U306">
        <v>26.909480210000002</v>
      </c>
      <c r="V306">
        <v>29.146283010000001</v>
      </c>
      <c r="W306">
        <v>32.164241920000002</v>
      </c>
      <c r="X306">
        <v>33.398586979999997</v>
      </c>
      <c r="Y306">
        <v>35.448724839999997</v>
      </c>
      <c r="Z306">
        <v>37.679546530000003</v>
      </c>
      <c r="AA306">
        <v>39.859941239999998</v>
      </c>
      <c r="AB306">
        <v>41.885529089999999</v>
      </c>
      <c r="AC306">
        <v>42.648597629999998</v>
      </c>
      <c r="AD306">
        <v>43.924797669999997</v>
      </c>
      <c r="AE306">
        <v>45.362420069999999</v>
      </c>
      <c r="AF306">
        <v>46.664888329999997</v>
      </c>
      <c r="AG306">
        <v>47.797251170000003</v>
      </c>
      <c r="AH306">
        <v>48.385882199999998</v>
      </c>
      <c r="AI306">
        <v>48.964499760000002</v>
      </c>
      <c r="AJ306">
        <v>49.573556670000002</v>
      </c>
      <c r="AK306">
        <v>50.119333040000001</v>
      </c>
      <c r="AL306">
        <v>50.569531220000002</v>
      </c>
      <c r="AM306">
        <v>50.913008159999997</v>
      </c>
      <c r="AN306">
        <v>51.080008419999999</v>
      </c>
      <c r="AO306">
        <v>51.101905690000002</v>
      </c>
      <c r="AP306">
        <v>51.01760402</v>
      </c>
      <c r="AQ306">
        <v>50.845288140000001</v>
      </c>
      <c r="AR306">
        <v>50.175240959999996</v>
      </c>
      <c r="AS306">
        <v>49.650427800000003</v>
      </c>
      <c r="AT306">
        <v>49.141221309999999</v>
      </c>
      <c r="AU306">
        <v>48.603908930000003</v>
      </c>
      <c r="AV306">
        <v>48.018447999999999</v>
      </c>
      <c r="AW306">
        <v>47.375405749999999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tabColor rgb="FF0070C0"/>
  </sheetPr>
  <dimension ref="A1:BV376"/>
  <sheetViews>
    <sheetView tabSelected="1" topLeftCell="A60" zoomScale="80" zoomScaleNormal="80" workbookViewId="0">
      <selection activeCell="K81" sqref="K81"/>
    </sheetView>
  </sheetViews>
  <sheetFormatPr baseColWidth="10" defaultRowHeight="15" x14ac:dyDescent="0.25"/>
  <cols>
    <col min="1" max="2" width="29.85546875" customWidth="1"/>
    <col min="6" max="7" width="11.42578125" customWidth="1"/>
    <col min="9" max="9" width="13.140625" customWidth="1"/>
    <col min="10" max="12" width="11.42578125" style="3"/>
    <col min="13" max="13" width="11.42578125" style="3" customWidth="1"/>
    <col min="14" max="15" width="11.42578125" style="3"/>
    <col min="16" max="16" width="13.42578125" style="3" customWidth="1"/>
    <col min="17" max="19" width="11.42578125" style="3"/>
    <col min="20" max="20" width="11.42578125" style="3" customWidth="1"/>
    <col min="21" max="74" width="11.42578125" style="3"/>
  </cols>
  <sheetData>
    <row r="1" spans="1:28" ht="23.25" x14ac:dyDescent="0.35">
      <c r="A1" s="1" t="s">
        <v>86</v>
      </c>
      <c r="B1" s="46"/>
      <c r="C1" s="3"/>
      <c r="D1" s="3"/>
      <c r="E1" s="3"/>
      <c r="F1" s="3"/>
      <c r="G1" s="3"/>
      <c r="H1" s="3"/>
      <c r="I1" s="3"/>
    </row>
    <row r="2" spans="1:28" ht="18.75" x14ac:dyDescent="0.3">
      <c r="A2" s="41"/>
      <c r="B2" s="41"/>
      <c r="C2" s="3"/>
      <c r="D2" s="3"/>
      <c r="E2" s="3"/>
      <c r="F2" s="3"/>
      <c r="G2" s="3"/>
      <c r="H2" s="3"/>
      <c r="I2" s="3"/>
      <c r="R2" s="41"/>
      <c r="V2" s="45"/>
      <c r="W2" s="45"/>
    </row>
    <row r="3" spans="1:28" ht="23.25" x14ac:dyDescent="0.35">
      <c r="A3" s="161" t="str">
        <f>Résultats!B1</f>
        <v>SNBC3</v>
      </c>
      <c r="B3" s="161"/>
      <c r="C3" s="3"/>
      <c r="D3" s="3"/>
      <c r="E3" s="3"/>
      <c r="F3" s="3"/>
      <c r="G3" s="3"/>
      <c r="H3" s="3"/>
      <c r="I3" s="3"/>
      <c r="R3" s="41"/>
      <c r="V3" s="45"/>
      <c r="W3" s="45"/>
    </row>
    <row r="4" spans="1:28" x14ac:dyDescent="0.25">
      <c r="A4" s="3"/>
      <c r="B4" s="3"/>
      <c r="C4" s="43"/>
      <c r="D4" s="43"/>
      <c r="E4" s="43"/>
      <c r="F4" s="43"/>
      <c r="G4" s="44"/>
      <c r="H4" s="3"/>
      <c r="I4" s="3"/>
      <c r="J4" s="44"/>
      <c r="K4" s="44"/>
      <c r="L4" s="44"/>
      <c r="M4" s="44"/>
      <c r="O4" s="42"/>
      <c r="Q4" s="44"/>
      <c r="R4" s="44"/>
      <c r="S4" s="44"/>
      <c r="T4" s="44"/>
      <c r="X4" s="44"/>
      <c r="Y4" s="44"/>
      <c r="Z4" s="44"/>
      <c r="AA4" s="44"/>
    </row>
    <row r="5" spans="1:28" ht="21" x14ac:dyDescent="0.35">
      <c r="A5" s="145">
        <v>2015</v>
      </c>
      <c r="B5" s="186"/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93" t="s">
        <v>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62" t="s">
        <v>18</v>
      </c>
      <c r="B6" s="187"/>
      <c r="C6" s="36">
        <f>C7+C8</f>
        <v>0</v>
      </c>
      <c r="D6" s="36">
        <f>D7+D8</f>
        <v>129.2315564861</v>
      </c>
      <c r="E6" s="36">
        <f>E7+E8</f>
        <v>0.64340159025920984</v>
      </c>
      <c r="F6" s="36">
        <f>F7+F8</f>
        <v>0.40314740007455996</v>
      </c>
      <c r="G6" s="36">
        <f>G7+G8</f>
        <v>0</v>
      </c>
      <c r="H6" s="163">
        <f t="shared" ref="H6:H15" si="0">SUM(C6:G6)</f>
        <v>130.27810547643378</v>
      </c>
      <c r="I6" s="166"/>
      <c r="J6" s="166"/>
      <c r="K6" s="166" t="s">
        <v>89</v>
      </c>
      <c r="L6" s="166"/>
      <c r="M6" s="166"/>
      <c r="N6" s="38"/>
      <c r="O6" s="205"/>
      <c r="P6" s="205"/>
      <c r="Q6" s="205"/>
      <c r="R6" s="205"/>
      <c r="S6" s="205"/>
      <c r="T6" s="206"/>
      <c r="U6" s="38"/>
      <c r="V6" s="45"/>
      <c r="W6" s="82"/>
      <c r="X6" s="207"/>
      <c r="Y6" s="207"/>
      <c r="Z6" s="207"/>
      <c r="AA6" s="207"/>
      <c r="AB6" s="207"/>
    </row>
    <row r="7" spans="1:28" x14ac:dyDescent="0.25">
      <c r="A7" s="148" t="s">
        <v>19</v>
      </c>
      <c r="B7" s="35"/>
      <c r="C7" s="16">
        <v>0</v>
      </c>
      <c r="D7" s="16">
        <f>Résultats!N$305/1000000</f>
        <v>74.008814650000005</v>
      </c>
      <c r="E7" s="16">
        <f>'T energie usages'!J12/'T energie usages'!J$20*(Résultats!N$192+Résultats!N$193+Résultats!N$194)/1000000</f>
        <v>9.0800309717642969E-3</v>
      </c>
      <c r="F7" s="16">
        <f>Résultats!N$306/1000000</f>
        <v>1.735640456E-5</v>
      </c>
      <c r="G7" s="16">
        <v>0</v>
      </c>
      <c r="H7" s="95">
        <f t="shared" si="0"/>
        <v>74.01791203737632</v>
      </c>
      <c r="I7" s="166"/>
      <c r="J7" s="166"/>
      <c r="K7" s="193"/>
      <c r="L7" s="194">
        <v>2020</v>
      </c>
      <c r="M7" s="194">
        <v>2030</v>
      </c>
      <c r="N7" s="195">
        <v>2050</v>
      </c>
      <c r="O7" s="205"/>
      <c r="P7" s="205"/>
      <c r="Q7" s="205"/>
      <c r="R7" s="205"/>
      <c r="S7" s="205"/>
      <c r="T7" s="206"/>
      <c r="U7" s="38"/>
      <c r="V7" s="45"/>
      <c r="W7" s="30"/>
      <c r="X7" s="207"/>
      <c r="Y7" s="207"/>
      <c r="Z7" s="207"/>
      <c r="AA7" s="207"/>
      <c r="AB7" s="207"/>
    </row>
    <row r="8" spans="1:28" x14ac:dyDescent="0.25">
      <c r="A8" s="149" t="s">
        <v>20</v>
      </c>
      <c r="B8" s="35"/>
      <c r="C8" s="16">
        <v>0</v>
      </c>
      <c r="D8" s="16">
        <f>(Résultats!N$183+Résultats!N$184+Résultats!N$185+Résultats!N$186+Résultats!N$187)/1000000</f>
        <v>55.222741836099999</v>
      </c>
      <c r="E8" s="16">
        <f>'T energie usages'!J13/'T energie usages'!J$20*(Résultats!N$192+Résultats!N$193+Résultats!N$194)/1000000</f>
        <v>0.63432155928744549</v>
      </c>
      <c r="F8" s="16">
        <f>(Résultats!N$209+Résultats!N$210+Résultats!N$211+Résultats!N$212+Résultats!N$213)/1000000</f>
        <v>0.40313004366999994</v>
      </c>
      <c r="G8" s="16">
        <v>0</v>
      </c>
      <c r="H8" s="95">
        <f t="shared" si="0"/>
        <v>56.260193439057439</v>
      </c>
      <c r="I8" s="166"/>
      <c r="J8" s="166"/>
      <c r="K8" s="196" t="s">
        <v>18</v>
      </c>
      <c r="L8" s="45">
        <f>H19</f>
        <v>124.92926969190789</v>
      </c>
      <c r="M8" s="45">
        <f>H45</f>
        <v>115.24373789410231</v>
      </c>
      <c r="N8" s="86">
        <f>H71</f>
        <v>93.788102691176903</v>
      </c>
      <c r="O8" s="205"/>
      <c r="P8" s="205"/>
      <c r="Q8" s="205"/>
      <c r="R8" s="205"/>
      <c r="S8" s="205"/>
      <c r="T8" s="206"/>
      <c r="U8" s="38"/>
      <c r="V8" s="45"/>
      <c r="W8" s="30"/>
      <c r="X8" s="207"/>
      <c r="Y8" s="207"/>
      <c r="Z8" s="207"/>
      <c r="AA8" s="207"/>
      <c r="AB8" s="207"/>
    </row>
    <row r="9" spans="1:28" x14ac:dyDescent="0.25">
      <c r="A9" s="162" t="s">
        <v>21</v>
      </c>
      <c r="B9" s="187"/>
      <c r="C9" s="36">
        <f>Résultats!N$135/1000000</f>
        <v>1.0155219100000001</v>
      </c>
      <c r="D9" s="36">
        <f>Résultats!N$303/1000000</f>
        <v>22.153661339999999</v>
      </c>
      <c r="E9" s="36">
        <f>'T energie usages'!J14/'T energie usages'!J$20*(Résultats!N$192+Résultats!N$193+Résultats!N$194)/1000000</f>
        <v>6.8654730871593257</v>
      </c>
      <c r="F9" s="36">
        <f>Résultats!N$304/1000000</f>
        <v>29.041347780000002</v>
      </c>
      <c r="G9" s="36">
        <v>0</v>
      </c>
      <c r="H9" s="163">
        <f t="shared" si="0"/>
        <v>59.076004117159329</v>
      </c>
      <c r="I9" s="166"/>
      <c r="J9" s="166"/>
      <c r="K9" s="196" t="s">
        <v>87</v>
      </c>
      <c r="L9" s="45">
        <f>H22</f>
        <v>53.099435662269485</v>
      </c>
      <c r="M9" s="45">
        <f>H48</f>
        <v>45.591426688023915</v>
      </c>
      <c r="N9" s="86">
        <f>H74</f>
        <v>34.467710063468715</v>
      </c>
      <c r="O9" s="205"/>
      <c r="P9" s="205"/>
      <c r="Q9" s="205"/>
      <c r="R9" s="205"/>
      <c r="S9" s="205"/>
      <c r="T9" s="206"/>
      <c r="U9" s="38"/>
      <c r="V9" s="45"/>
      <c r="W9" s="82"/>
      <c r="X9" s="207"/>
      <c r="Y9" s="207"/>
      <c r="Z9" s="207"/>
      <c r="AA9" s="207"/>
      <c r="AB9" s="207"/>
    </row>
    <row r="10" spans="1:28" x14ac:dyDescent="0.25">
      <c r="A10" s="162" t="s">
        <v>22</v>
      </c>
      <c r="B10" s="187"/>
      <c r="C10" s="36">
        <f>(Résultats!N$168+Résultats!N$169)/1000000</f>
        <v>0</v>
      </c>
      <c r="D10" s="36">
        <f>(Résultats!N$188+Résultats!N$189)/1000000</f>
        <v>11.028434249200002</v>
      </c>
      <c r="E10" s="36">
        <f>'T energie usages'!J15/'T energie usages'!J$20*(Résultats!N$192+Résultats!N$193+Résultats!N$194)/1000000</f>
        <v>5.7735675264005506</v>
      </c>
      <c r="F10" s="36">
        <f>(Résultats!N$214+Résultats!N$215)/1000000</f>
        <v>15.008762805</v>
      </c>
      <c r="G10" s="36">
        <v>0</v>
      </c>
      <c r="H10" s="163">
        <f t="shared" si="0"/>
        <v>31.810764580600551</v>
      </c>
      <c r="I10" s="166"/>
      <c r="J10" s="166"/>
      <c r="K10" s="157" t="s">
        <v>22</v>
      </c>
      <c r="L10" s="45">
        <f>H23</f>
        <v>24.435405696537821</v>
      </c>
      <c r="M10" s="45">
        <f>H49</f>
        <v>20.230615663063077</v>
      </c>
      <c r="N10" s="86">
        <f>H75</f>
        <v>13.239648173207557</v>
      </c>
      <c r="O10" s="205"/>
      <c r="P10" s="205"/>
      <c r="Q10" s="205"/>
      <c r="R10" s="205"/>
      <c r="S10" s="205"/>
      <c r="T10" s="206"/>
      <c r="U10" s="38"/>
      <c r="V10" s="45"/>
      <c r="W10" s="82"/>
      <c r="X10" s="207"/>
      <c r="Y10" s="207"/>
      <c r="Z10" s="207"/>
      <c r="AA10" s="207"/>
      <c r="AB10" s="207"/>
    </row>
    <row r="11" spans="1:28" x14ac:dyDescent="0.25">
      <c r="A11" s="162" t="s">
        <v>23</v>
      </c>
      <c r="B11" s="187"/>
      <c r="C11" s="36">
        <f>C12+C13</f>
        <v>20.048692312300002</v>
      </c>
      <c r="D11" s="36">
        <f>D12+D13</f>
        <v>63.82226467645107</v>
      </c>
      <c r="E11" s="36">
        <f>E12+E13</f>
        <v>5.6355192361809134</v>
      </c>
      <c r="F11" s="36">
        <f>F12+F13</f>
        <v>24.910247745550311</v>
      </c>
      <c r="G11" s="36">
        <f>G12+G13</f>
        <v>12.05881789</v>
      </c>
      <c r="H11" s="163">
        <f t="shared" si="0"/>
        <v>126.47554186048229</v>
      </c>
      <c r="I11" s="166"/>
      <c r="J11" s="166"/>
      <c r="K11" s="197" t="s">
        <v>88</v>
      </c>
      <c r="L11" s="198">
        <f>H24</f>
        <v>95.467411196822951</v>
      </c>
      <c r="M11" s="198">
        <f>H50</f>
        <v>92.642455015429789</v>
      </c>
      <c r="N11" s="89">
        <f>H76</f>
        <v>95.346234682828054</v>
      </c>
      <c r="O11" s="205"/>
      <c r="P11" s="205"/>
      <c r="Q11" s="205"/>
      <c r="R11" s="205"/>
      <c r="S11" s="205"/>
      <c r="T11" s="206"/>
      <c r="U11" s="38"/>
      <c r="V11" s="45"/>
      <c r="W11" s="82"/>
      <c r="X11" s="207"/>
      <c r="Y11" s="207"/>
      <c r="Z11" s="207"/>
      <c r="AA11" s="207"/>
      <c r="AB11" s="207"/>
    </row>
    <row r="12" spans="1:28" x14ac:dyDescent="0.25">
      <c r="A12" s="149" t="s">
        <v>24</v>
      </c>
      <c r="B12" s="35"/>
      <c r="C12" s="16">
        <f>(Résultats!N$162+Résultats!N$163+Résultats!N$164+Résultats!N$165+Résultats!N$166+Résultats!N$167)/1000000</f>
        <v>20.048692312300002</v>
      </c>
      <c r="D12" s="16">
        <f>(Résultats!N$171+Résultats!N$173+Résultats!N$174+Résultats!N$175+Résultats!N$176+Résultats!N$177+Résultats!N$178+Résultats!N$179+Résultats!N$180+Résultats!N$181+Résultats!N$182)/1000000</f>
        <v>56.609171580451068</v>
      </c>
      <c r="E12" s="16">
        <f>'T energie usages'!J17/'T energie usages'!J$20*(Résultats!N$192+Résultats!N$193+Résultats!N$194)/1000000</f>
        <v>5.4761870408924311</v>
      </c>
      <c r="F12" s="16">
        <f>(Résultats!N$197+Résultats!N$198+Résultats!N$199+Résultats!N$200+Résultats!N$201+Résultats!N$202+Résultats!N$203+Résultats!N$204+Résultats!N$205+Résultats!N$206+Résultats!N$207+Résultats!N$208+Résultats!N$216+Résultats!N$218)/1000000</f>
        <v>24.263333919150313</v>
      </c>
      <c r="G12" s="16">
        <f>Résultats!N$133/1000000</f>
        <v>12.05881789</v>
      </c>
      <c r="H12" s="95">
        <f t="shared" si="0"/>
        <v>118.45620274279381</v>
      </c>
      <c r="I12" s="166"/>
      <c r="J12" s="166"/>
      <c r="K12" s="199" t="s">
        <v>1</v>
      </c>
      <c r="L12" s="188">
        <f>SUM(L8:L11)</f>
        <v>297.93152224753817</v>
      </c>
      <c r="M12" s="188">
        <f t="shared" ref="M12:N12" si="1">SUM(M8:M11)</f>
        <v>273.70823526061906</v>
      </c>
      <c r="N12" s="188">
        <f t="shared" si="1"/>
        <v>236.84169561068123</v>
      </c>
      <c r="O12" s="205"/>
      <c r="P12" s="205"/>
      <c r="Q12" s="205"/>
      <c r="R12" s="205"/>
      <c r="S12" s="205"/>
      <c r="T12" s="206"/>
      <c r="U12" s="38"/>
      <c r="V12" s="45"/>
      <c r="W12" s="30"/>
      <c r="X12" s="207"/>
      <c r="Y12" s="207"/>
      <c r="Z12" s="207"/>
      <c r="AA12" s="207"/>
      <c r="AB12" s="207"/>
    </row>
    <row r="13" spans="1:28" x14ac:dyDescent="0.25">
      <c r="A13" s="149" t="s">
        <v>25</v>
      </c>
      <c r="B13" s="35"/>
      <c r="C13" s="16">
        <v>0</v>
      </c>
      <c r="D13" s="16">
        <f>(Résultats!N$172)/1000000</f>
        <v>7.2130930959999997</v>
      </c>
      <c r="E13" s="16">
        <f>'T energie usages'!J19/'T energie usages'!J$20*(Résultats!N$192+Résultats!N$193+Résultats!N$194)/1000000</f>
        <v>0.15933219528848264</v>
      </c>
      <c r="F13" s="16">
        <f>(Résultats!N$196)/1000000</f>
        <v>0.64691382640000006</v>
      </c>
      <c r="G13" s="16">
        <v>0</v>
      </c>
      <c r="H13" s="95">
        <f t="shared" si="0"/>
        <v>8.0193391176884816</v>
      </c>
      <c r="I13" s="166"/>
      <c r="J13" s="166"/>
      <c r="K13" s="166"/>
      <c r="L13" s="166"/>
      <c r="M13" s="166"/>
      <c r="N13" s="38"/>
      <c r="O13" s="205"/>
      <c r="P13" s="205"/>
      <c r="Q13" s="205"/>
      <c r="R13" s="205"/>
      <c r="S13" s="205"/>
      <c r="T13" s="206"/>
      <c r="U13" s="38"/>
      <c r="V13" s="45"/>
      <c r="W13" s="30"/>
      <c r="X13" s="207"/>
      <c r="Y13" s="207"/>
      <c r="Z13" s="207"/>
      <c r="AA13" s="207"/>
      <c r="AB13" s="207"/>
    </row>
    <row r="14" spans="1:28" x14ac:dyDescent="0.25">
      <c r="A14" s="48" t="s">
        <v>41</v>
      </c>
      <c r="B14" s="37"/>
      <c r="C14" s="37">
        <f>SUM(C9:C11)+C6</f>
        <v>21.064214222300002</v>
      </c>
      <c r="D14" s="37">
        <f>SUM(D9:D11)+D6</f>
        <v>226.23591675175106</v>
      </c>
      <c r="E14" s="37">
        <f>SUM(E9:E11)+E6</f>
        <v>18.917961439999999</v>
      </c>
      <c r="F14" s="37">
        <f>SUM(F9:F11)+F6</f>
        <v>69.363505730624865</v>
      </c>
      <c r="G14" s="37">
        <f>SUM(G9:G11)+G6</f>
        <v>12.05881789</v>
      </c>
      <c r="H14" s="167">
        <f t="shared" si="0"/>
        <v>347.64041603467592</v>
      </c>
      <c r="I14" s="166"/>
      <c r="J14" s="166"/>
      <c r="K14" s="166"/>
      <c r="L14" s="166"/>
      <c r="M14" s="166"/>
      <c r="N14" s="38"/>
      <c r="O14" s="205"/>
      <c r="P14" s="205"/>
      <c r="Q14" s="205"/>
      <c r="R14" s="205"/>
      <c r="S14" s="205"/>
      <c r="T14" s="206"/>
      <c r="U14" s="38"/>
      <c r="V14" s="45"/>
      <c r="W14" s="80"/>
      <c r="X14" s="207"/>
      <c r="Y14" s="207"/>
      <c r="Z14" s="207"/>
      <c r="AA14" s="207"/>
      <c r="AB14" s="207"/>
    </row>
    <row r="15" spans="1:28" x14ac:dyDescent="0.25">
      <c r="A15" s="164" t="s">
        <v>43</v>
      </c>
      <c r="B15" s="164"/>
      <c r="C15" s="165">
        <f>(Résultats!N$135+Résultats!N$162+Résultats!N$163+Résultats!N$164+Résultats!N$165+Résultats!N$166+Résultats!N$167+Résultats!N$168+Résultats!N$169)/1000000</f>
        <v>21.064214222300002</v>
      </c>
      <c r="D15" s="165">
        <f>(Résultats!N$137+Résultats!N$171+Résultats!N$172+Résultats!N$173+Résultats!N$174+Résultats!N$175+Résultats!N$176+Résultats!N$177+Résultats!N$178+Résultats!N$179+Résultats!N$180+Résultats!N$181+Résultats!N$182+Résultats!N$183+Résultats!N$184+Résultats!N$185+Résultats!N$186+Résultats!N$187+Résultats!N$188+Résultats!N$189)/1000000</f>
        <v>226.29402790175112</v>
      </c>
      <c r="E15" s="165">
        <f>(Résultats!N$192+Résultats!N$193+Résultats!N$194)/1000000</f>
        <v>18.917961439999999</v>
      </c>
      <c r="F15" s="165">
        <f>(Résultats!N$139+Résultats!N$196+Résultats!N$197+Résultats!N$198+Résultats!N$199+Résultats!N$200+Résultats!N$201+Résultats!N$202+Résultats!N$203+Résultats!N$204+Résultats!N$205+Résultats!N$206+Résultats!N$207+Résultats!N$208+Résultats!N$209+Résultats!N$210+Résultats!N$211+Résultats!N$212+Résultats!N$213+Résultats!N$214+Résultats!N$215+Résultats!N$216+Résultats!N$218)/1000000</f>
        <v>70.079699504220315</v>
      </c>
      <c r="G15" s="165">
        <f>Résultats!N$133/1000000</f>
        <v>12.05881789</v>
      </c>
      <c r="H15" s="188">
        <f t="shared" si="0"/>
        <v>348.41472095827146</v>
      </c>
      <c r="I15" s="166"/>
      <c r="J15" s="166"/>
      <c r="K15" s="166"/>
      <c r="L15" s="166"/>
      <c r="M15" s="206"/>
      <c r="N15" s="45"/>
      <c r="O15" s="166"/>
      <c r="P15" s="166"/>
      <c r="Q15" s="166"/>
      <c r="R15" s="166"/>
      <c r="S15" s="206"/>
      <c r="T15" s="206"/>
      <c r="U15" s="45"/>
      <c r="V15" s="45"/>
      <c r="W15" s="79"/>
      <c r="X15" s="207"/>
      <c r="Y15" s="207"/>
      <c r="Z15" s="207"/>
      <c r="AA15" s="207"/>
      <c r="AB15" s="207"/>
    </row>
    <row r="16" spans="1:28" x14ac:dyDescent="0.25">
      <c r="A16" s="164"/>
      <c r="B16" s="164"/>
      <c r="C16" s="189"/>
      <c r="D16" s="189"/>
      <c r="E16" s="189"/>
      <c r="F16" s="189"/>
      <c r="G16" s="189"/>
      <c r="H16" s="165">
        <f>Résultats!N227/1000000</f>
        <v>348.4147203</v>
      </c>
      <c r="I16" s="166"/>
      <c r="J16" s="166"/>
      <c r="K16" s="166"/>
      <c r="L16" s="166"/>
      <c r="M16" s="206"/>
      <c r="N16" s="208"/>
      <c r="O16" s="166"/>
      <c r="P16" s="166"/>
      <c r="Q16" s="166"/>
      <c r="R16" s="166"/>
      <c r="S16" s="206"/>
      <c r="T16" s="206"/>
      <c r="U16" s="208"/>
      <c r="V16" s="208"/>
      <c r="W16" s="209"/>
      <c r="X16" s="207"/>
      <c r="Y16" s="207"/>
      <c r="Z16" s="207"/>
      <c r="AA16" s="207"/>
      <c r="AB16" s="207"/>
    </row>
    <row r="17" spans="1:28" x14ac:dyDescent="0.25">
      <c r="A17" s="3"/>
      <c r="B17" s="3"/>
      <c r="C17" s="75"/>
      <c r="D17" s="75"/>
      <c r="E17" s="75"/>
      <c r="F17" s="75"/>
      <c r="G17" s="75"/>
      <c r="H17" s="45"/>
      <c r="I17" s="166"/>
      <c r="J17" s="166"/>
      <c r="K17" s="166"/>
      <c r="L17" s="166"/>
      <c r="M17" s="206"/>
      <c r="O17" s="166"/>
      <c r="P17" s="166"/>
      <c r="Q17" s="166"/>
      <c r="R17" s="166"/>
      <c r="S17" s="206"/>
      <c r="T17" s="206"/>
      <c r="X17" s="207"/>
      <c r="Y17" s="207"/>
      <c r="Z17" s="207"/>
      <c r="AA17" s="207"/>
      <c r="AB17" s="207"/>
    </row>
    <row r="18" spans="1:28" ht="21" x14ac:dyDescent="0.35">
      <c r="A18" s="145">
        <v>2020</v>
      </c>
      <c r="B18" s="186"/>
      <c r="C18" s="27" t="s">
        <v>36</v>
      </c>
      <c r="D18" s="27" t="s">
        <v>37</v>
      </c>
      <c r="E18" s="27" t="s">
        <v>38</v>
      </c>
      <c r="F18" s="27" t="s">
        <v>39</v>
      </c>
      <c r="G18" s="27" t="s">
        <v>40</v>
      </c>
      <c r="H18" s="190" t="s">
        <v>1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W18" s="19"/>
      <c r="X18" s="19"/>
      <c r="Y18" s="19"/>
      <c r="Z18" s="19"/>
      <c r="AA18" s="19"/>
      <c r="AB18" s="207"/>
    </row>
    <row r="19" spans="1:28" x14ac:dyDescent="0.25">
      <c r="A19" s="162" t="s">
        <v>18</v>
      </c>
      <c r="B19" s="187"/>
      <c r="C19" s="36">
        <f>C20+C21</f>
        <v>0</v>
      </c>
      <c r="D19" s="36">
        <f>D20+D21</f>
        <v>123.95202571060003</v>
      </c>
      <c r="E19" s="36">
        <f>E20+E21</f>
        <v>0.53653081454512941</v>
      </c>
      <c r="F19" s="36">
        <f>F20+F21</f>
        <v>0.44071316676273004</v>
      </c>
      <c r="G19" s="36">
        <f>G20+G21</f>
        <v>0</v>
      </c>
      <c r="H19" s="163">
        <f t="shared" ref="H19:H27" si="2">SUM(C19:G19)</f>
        <v>124.92926969190789</v>
      </c>
      <c r="I19" s="166"/>
      <c r="J19" s="166"/>
      <c r="K19" s="166"/>
      <c r="L19" s="166"/>
      <c r="M19" s="166"/>
      <c r="N19" s="38"/>
      <c r="O19" s="205"/>
      <c r="P19" s="205"/>
      <c r="Q19" s="205"/>
      <c r="R19" s="205"/>
      <c r="S19" s="205"/>
      <c r="T19" s="206"/>
      <c r="U19" s="75"/>
      <c r="W19" s="82"/>
      <c r="X19" s="207"/>
      <c r="Y19" s="207"/>
      <c r="Z19" s="207"/>
      <c r="AA19" s="207"/>
      <c r="AB19" s="207"/>
    </row>
    <row r="20" spans="1:28" x14ac:dyDescent="0.25">
      <c r="A20" s="148" t="s">
        <v>19</v>
      </c>
      <c r="B20" s="35"/>
      <c r="C20" s="16">
        <v>0</v>
      </c>
      <c r="D20" s="16">
        <f>Résultats!S$305/1000000</f>
        <v>70.79132623000001</v>
      </c>
      <c r="E20" s="16">
        <f>'T energie usages'!J25/'T energie usages'!J$20*(Résultats!S$192+Résultats!S$193+Résultats!S$194)/1000000</f>
        <v>2.5618776378583112E-2</v>
      </c>
      <c r="F20" s="16">
        <f>Résultats!S$306/1000000</f>
        <v>2.3516442730000003E-5</v>
      </c>
      <c r="G20" s="16">
        <v>0</v>
      </c>
      <c r="H20" s="95">
        <f t="shared" si="2"/>
        <v>70.816968522821313</v>
      </c>
      <c r="I20" s="166"/>
      <c r="J20" s="166"/>
      <c r="K20" s="166"/>
      <c r="L20" s="166"/>
      <c r="M20" s="166"/>
      <c r="N20" s="38"/>
      <c r="O20" s="205"/>
      <c r="P20" s="205"/>
      <c r="Q20" s="205"/>
      <c r="R20" s="205"/>
      <c r="S20" s="205"/>
      <c r="T20" s="206"/>
      <c r="U20" s="16"/>
      <c r="W20" s="30"/>
      <c r="X20" s="207"/>
      <c r="Y20" s="207"/>
      <c r="Z20" s="207"/>
      <c r="AA20" s="207"/>
      <c r="AB20" s="207"/>
    </row>
    <row r="21" spans="1:28" x14ac:dyDescent="0.25">
      <c r="A21" s="149" t="s">
        <v>20</v>
      </c>
      <c r="B21" s="35"/>
      <c r="C21" s="16">
        <v>0</v>
      </c>
      <c r="D21" s="16">
        <f>(Résultats!S$183+Résultats!S$184+Résultats!S$185+Résultats!S$186+Résultats!S$187)/1000000</f>
        <v>53.160699480600009</v>
      </c>
      <c r="E21" s="16">
        <f>'T energie usages'!J26/'T energie usages'!J$20*(Résultats!S$192+Résultats!S$193+Résultats!S$194)/1000000</f>
        <v>0.51091203816654629</v>
      </c>
      <c r="F21" s="16">
        <f>(Résultats!S$209+Résultats!S$210+Résultats!S$211+Résultats!S$212+Résultats!S$213)/1000000</f>
        <v>0.44068965032000001</v>
      </c>
      <c r="G21" s="16">
        <v>0</v>
      </c>
      <c r="H21" s="95">
        <f t="shared" si="2"/>
        <v>54.112301169086557</v>
      </c>
      <c r="I21" s="166"/>
      <c r="J21" s="166"/>
      <c r="K21" s="166"/>
      <c r="L21" s="166"/>
      <c r="M21" s="166"/>
      <c r="N21" s="38"/>
      <c r="O21" s="205"/>
      <c r="P21" s="205"/>
      <c r="Q21" s="205"/>
      <c r="R21" s="205"/>
      <c r="S21" s="205"/>
      <c r="T21" s="206"/>
      <c r="U21" s="16"/>
      <c r="W21" s="30"/>
      <c r="X21" s="207"/>
      <c r="Y21" s="207"/>
      <c r="Z21" s="207"/>
      <c r="AA21" s="207"/>
      <c r="AB21" s="207"/>
    </row>
    <row r="22" spans="1:28" x14ac:dyDescent="0.25">
      <c r="A22" s="162" t="s">
        <v>21</v>
      </c>
      <c r="B22" s="187"/>
      <c r="C22" s="36">
        <f>Résultats!S$135/1000000</f>
        <v>0.97524729769999996</v>
      </c>
      <c r="D22" s="36">
        <f>Résultats!S$303/1000000</f>
        <v>19.587626820000001</v>
      </c>
      <c r="E22" s="36">
        <f>'T energie usages'!J27/'T energie usages'!J$20*(Résultats!S$192+Résultats!S$193+Résultats!S$194)/1000000</f>
        <v>5.1175604345694881</v>
      </c>
      <c r="F22" s="36">
        <f>Résultats!S$304/1000000</f>
        <v>27.41900111</v>
      </c>
      <c r="G22" s="36">
        <v>0</v>
      </c>
      <c r="H22" s="163">
        <f t="shared" si="2"/>
        <v>53.099435662269485</v>
      </c>
      <c r="I22" s="166"/>
      <c r="J22" s="166"/>
      <c r="K22" s="166"/>
      <c r="L22" s="166"/>
      <c r="M22" s="166"/>
      <c r="N22" s="38"/>
      <c r="O22" s="205"/>
      <c r="P22" s="205"/>
      <c r="Q22" s="205"/>
      <c r="R22" s="205"/>
      <c r="S22" s="205"/>
      <c r="T22" s="206"/>
      <c r="U22" s="75"/>
      <c r="W22" s="82"/>
      <c r="X22" s="207"/>
      <c r="Y22" s="207"/>
      <c r="Z22" s="207"/>
      <c r="AA22" s="207"/>
      <c r="AB22" s="207"/>
    </row>
    <row r="23" spans="1:28" x14ac:dyDescent="0.25">
      <c r="A23" s="162" t="s">
        <v>22</v>
      </c>
      <c r="B23" s="187"/>
      <c r="C23" s="36">
        <f>(Résultats!S$168+Résultats!S$169)/1000000</f>
        <v>0</v>
      </c>
      <c r="D23" s="36">
        <f>(Résultats!S$188+Résultats!S$189)/1000000</f>
        <v>7.9198952962000009</v>
      </c>
      <c r="E23" s="36">
        <f>'T energie usages'!J28/'T energie usages'!J$20*(Résultats!S$192+Résultats!S$193+Résultats!S$194)/1000000</f>
        <v>3.9566141013378204</v>
      </c>
      <c r="F23" s="36">
        <f>(Résultats!S$214+Résultats!S$215)/1000000</f>
        <v>12.558896298999999</v>
      </c>
      <c r="G23" s="36">
        <v>0</v>
      </c>
      <c r="H23" s="163">
        <f t="shared" si="2"/>
        <v>24.435405696537821</v>
      </c>
      <c r="I23" s="166"/>
      <c r="J23" s="166"/>
      <c r="K23" s="166"/>
      <c r="L23" s="166"/>
      <c r="M23" s="166"/>
      <c r="N23" s="38"/>
      <c r="O23" s="205"/>
      <c r="P23" s="205"/>
      <c r="Q23" s="205"/>
      <c r="R23" s="205"/>
      <c r="S23" s="205"/>
      <c r="T23" s="206"/>
      <c r="U23" s="75"/>
      <c r="W23" s="82"/>
      <c r="X23" s="207"/>
      <c r="Y23" s="207"/>
      <c r="Z23" s="207"/>
      <c r="AA23" s="207"/>
      <c r="AB23" s="207"/>
    </row>
    <row r="24" spans="1:28" x14ac:dyDescent="0.25">
      <c r="A24" s="162" t="s">
        <v>23</v>
      </c>
      <c r="B24" s="187"/>
      <c r="C24" s="36">
        <f>C25+C26</f>
        <v>10.5870174791</v>
      </c>
      <c r="D24" s="36">
        <f>D25+D26</f>
        <v>43.68161862328671</v>
      </c>
      <c r="E24" s="36">
        <f>E25+E26</f>
        <v>3.313078775191109</v>
      </c>
      <c r="F24" s="36">
        <f>F25+F26</f>
        <v>24.821220059245135</v>
      </c>
      <c r="G24" s="36">
        <f>G25+G26</f>
        <v>13.064476259999999</v>
      </c>
      <c r="H24" s="163">
        <f t="shared" si="2"/>
        <v>95.467411196822951</v>
      </c>
      <c r="I24" s="166"/>
      <c r="J24" s="166"/>
      <c r="K24" s="166"/>
      <c r="L24" s="166"/>
      <c r="M24" s="166"/>
      <c r="N24" s="38"/>
      <c r="O24" s="205"/>
      <c r="P24" s="205"/>
      <c r="Q24" s="205"/>
      <c r="R24" s="205"/>
      <c r="S24" s="205"/>
      <c r="T24" s="206"/>
      <c r="U24" s="75"/>
      <c r="W24" s="82"/>
      <c r="X24" s="207"/>
      <c r="Y24" s="207"/>
      <c r="Z24" s="207"/>
      <c r="AA24" s="207"/>
      <c r="AB24" s="207"/>
    </row>
    <row r="25" spans="1:28" x14ac:dyDescent="0.25">
      <c r="A25" s="149" t="s">
        <v>24</v>
      </c>
      <c r="B25" s="35"/>
      <c r="C25" s="16">
        <f>(Résultats!S$162+Résultats!S$163+Résultats!S$164+Résultats!S$165+Résultats!S$166+Résultats!S$167)/1000000</f>
        <v>10.5870174791</v>
      </c>
      <c r="D25" s="16">
        <f>(Résultats!S$171+Résultats!S$173+Résultats!S$174+Résultats!S$175+Résultats!S$176+Résultats!S$177+Résultats!S$178+Résultats!S$179+Résultats!S$180+Résultats!S$181+Résultats!S$182)/1000000</f>
        <v>36.759192155286712</v>
      </c>
      <c r="E25" s="16">
        <f>'T energie usages'!J30/'T energie usages'!J$20*(Résultats!S$192+Résultats!S$193+Résultats!S$194)/1000000</f>
        <v>3.2022639152004682</v>
      </c>
      <c r="F25" s="16">
        <f>(Résultats!S$197+Résultats!S$198+Résultats!S$199+Résultats!S$200+Résultats!S$201+Résultats!S$202+Résultats!S$203+Résultats!S$204+Résultats!S$205+Résultats!S$206+Résultats!S$207+Résultats!S$208+Résultats!S$216+Résultats!S$218)/1000000</f>
        <v>24.230299750345136</v>
      </c>
      <c r="G25" s="16">
        <f>Résultats!S$133/1000000</f>
        <v>13.064476259999999</v>
      </c>
      <c r="H25" s="95">
        <f t="shared" si="2"/>
        <v>87.843249559932303</v>
      </c>
      <c r="I25" s="166"/>
      <c r="J25" s="166"/>
      <c r="K25" s="166"/>
      <c r="L25" s="166"/>
      <c r="M25" s="166"/>
      <c r="N25" s="38"/>
      <c r="O25" s="205"/>
      <c r="P25" s="205"/>
      <c r="Q25" s="205"/>
      <c r="R25" s="205"/>
      <c r="S25" s="205"/>
      <c r="T25" s="206"/>
      <c r="U25" s="16"/>
      <c r="W25" s="30"/>
      <c r="X25" s="207"/>
      <c r="Y25" s="207"/>
      <c r="Z25" s="207"/>
      <c r="AA25" s="207"/>
      <c r="AB25" s="207"/>
    </row>
    <row r="26" spans="1:28" x14ac:dyDescent="0.25">
      <c r="A26" s="149" t="s">
        <v>25</v>
      </c>
      <c r="B26" s="35"/>
      <c r="C26" s="16">
        <v>0</v>
      </c>
      <c r="D26" s="16">
        <f>(Résultats!S$172)/1000000</f>
        <v>6.9224264680000003</v>
      </c>
      <c r="E26" s="16">
        <f>'T energie usages'!J32/'T energie usages'!J$20*(Résultats!S$192+Résultats!S$193+Résultats!S$194)/1000000</f>
        <v>0.11081485999064088</v>
      </c>
      <c r="F26" s="16">
        <f>(Résultats!S$196)/1000000</f>
        <v>0.59092030889999991</v>
      </c>
      <c r="G26" s="16">
        <v>0</v>
      </c>
      <c r="H26" s="95">
        <f t="shared" si="2"/>
        <v>7.6241616368906406</v>
      </c>
      <c r="I26" s="166"/>
      <c r="J26" s="166"/>
      <c r="K26" s="166"/>
      <c r="L26" s="166"/>
      <c r="M26" s="166"/>
      <c r="N26" s="38"/>
      <c r="O26" s="205"/>
      <c r="P26" s="205"/>
      <c r="Q26" s="205"/>
      <c r="R26" s="205"/>
      <c r="S26" s="205"/>
      <c r="T26" s="206"/>
      <c r="U26" s="16"/>
      <c r="W26" s="30"/>
      <c r="X26" s="207"/>
      <c r="Y26" s="207"/>
      <c r="Z26" s="207"/>
      <c r="AA26" s="207"/>
      <c r="AB26" s="207"/>
    </row>
    <row r="27" spans="1:28" x14ac:dyDescent="0.25">
      <c r="A27" s="48" t="s">
        <v>41</v>
      </c>
      <c r="B27" s="37"/>
      <c r="C27" s="37">
        <f>SUM(C22:C24)+C19</f>
        <v>11.562264776799999</v>
      </c>
      <c r="D27" s="37">
        <f>SUM(D22:D24)+D19</f>
        <v>195.14116645008673</v>
      </c>
      <c r="E27" s="37">
        <f>SUM(E22:E24)+E19</f>
        <v>12.923784125643547</v>
      </c>
      <c r="F27" s="37">
        <f>SUM(F22:F24)+F19</f>
        <v>65.239830635007863</v>
      </c>
      <c r="G27" s="37">
        <f>SUM(G22:G24)+G19</f>
        <v>13.064476259999999</v>
      </c>
      <c r="H27" s="167">
        <f t="shared" si="2"/>
        <v>297.93152224753811</v>
      </c>
      <c r="I27" s="166"/>
      <c r="J27" s="166"/>
      <c r="K27" s="166"/>
      <c r="L27" s="166"/>
      <c r="M27" s="166"/>
      <c r="N27" s="38"/>
      <c r="O27" s="205"/>
      <c r="P27" s="205"/>
      <c r="Q27" s="205"/>
      <c r="R27" s="205"/>
      <c r="S27" s="205"/>
      <c r="T27" s="206"/>
      <c r="U27" s="79"/>
      <c r="W27" s="80"/>
      <c r="X27" s="207"/>
      <c r="Y27" s="207"/>
      <c r="Z27" s="207"/>
      <c r="AA27" s="207"/>
      <c r="AB27" s="207"/>
    </row>
    <row r="28" spans="1:28" x14ac:dyDescent="0.25">
      <c r="A28" s="164" t="s">
        <v>43</v>
      </c>
      <c r="B28" s="164"/>
      <c r="C28" s="165">
        <f>(Résultats!S$135+Résultats!S$162+Résultats!S$163+Résultats!S$164+Résultats!S$165+Résultats!S$166+Résultats!S$167+Résultats!S$168+Résultats!S$169)/1000000</f>
        <v>11.562264776800001</v>
      </c>
      <c r="D28" s="165">
        <f>(Résultats!S$137+Résultats!S$171+Résultats!S$172+Résultats!S$173+Résultats!S$174+Résultats!S$175+Résultats!S$176+Résultats!S$177+Résultats!S$178+Résultats!S$179+Résultats!S$180+Résultats!S$181+Résultats!S$182+Résultats!S$183+Résultats!S$184+Résultats!S$185+Résultats!S$186+Résultats!S$187+Résultats!S$188+Résultats!S$189)/1000000</f>
        <v>195.19578261008664</v>
      </c>
      <c r="E28" s="165">
        <f>(Résultats!S$192+Résultats!S$193+Résultats!S$194)/1000000</f>
        <v>13.395541802999999</v>
      </c>
      <c r="F28" s="165">
        <f>(Résultats!S$139+Résultats!S$196+Résultats!S$197+Résultats!S$198+Résultats!S$199+Résultats!S$200+Résultats!S$201+Résultats!S$202+Résultats!S$203+Résultats!S$204+Résultats!S$205+Résultats!S$206+Résultats!S$207+Résultats!S$208+Résultats!S$209+Résultats!S$210+Résultats!S$211+Résultats!S$212+Résultats!S$213+Résultats!S$214+Résultats!S$215+Résultats!S$216+Résultats!S$218)/1000000</f>
        <v>65.916015608565161</v>
      </c>
      <c r="G28" s="165">
        <f>Résultats!S$133/1000000</f>
        <v>13.064476259999999</v>
      </c>
      <c r="H28" s="188">
        <f t="shared" ref="H28" si="3">SUM(C28:G28)</f>
        <v>299.13408105845178</v>
      </c>
      <c r="I28" s="166"/>
      <c r="J28" s="166"/>
      <c r="K28" s="166"/>
      <c r="L28" s="166"/>
      <c r="M28" s="166"/>
      <c r="N28" s="45"/>
      <c r="O28" s="166"/>
      <c r="P28" s="166"/>
      <c r="Q28" s="166"/>
      <c r="R28" s="166"/>
      <c r="S28" s="166"/>
      <c r="T28" s="206"/>
      <c r="U28" s="45"/>
      <c r="V28" s="45"/>
      <c r="W28" s="45"/>
      <c r="X28" s="207"/>
      <c r="Y28" s="207"/>
      <c r="Z28" s="207"/>
      <c r="AA28" s="207"/>
      <c r="AB28" s="207"/>
    </row>
    <row r="29" spans="1:28" x14ac:dyDescent="0.25">
      <c r="A29" s="164"/>
      <c r="B29" s="164"/>
      <c r="C29" s="189"/>
      <c r="D29" s="189"/>
      <c r="E29" s="189"/>
      <c r="F29" s="189"/>
      <c r="G29" s="189"/>
      <c r="H29" s="165">
        <f>Résultats!S227/1000000</f>
        <v>299.13408049999998</v>
      </c>
      <c r="I29" s="166"/>
      <c r="J29" s="166"/>
      <c r="K29" s="166"/>
      <c r="L29" s="166"/>
      <c r="M29" s="166"/>
      <c r="N29" s="45"/>
      <c r="O29" s="166"/>
      <c r="P29" s="166"/>
      <c r="Q29" s="166"/>
      <c r="R29" s="166"/>
      <c r="S29" s="166"/>
      <c r="T29" s="206"/>
      <c r="U29" s="45"/>
      <c r="V29" s="45"/>
      <c r="W29" s="45"/>
      <c r="X29" s="207"/>
      <c r="Y29" s="207"/>
      <c r="Z29" s="207"/>
      <c r="AA29" s="207"/>
      <c r="AB29" s="207"/>
    </row>
    <row r="30" spans="1:28" x14ac:dyDescent="0.25">
      <c r="A30" s="3"/>
      <c r="B30" s="3"/>
      <c r="C30" s="191"/>
      <c r="D30" s="191"/>
      <c r="E30" s="191"/>
      <c r="F30" s="191"/>
      <c r="G30" s="75"/>
      <c r="H30" s="45"/>
      <c r="I30" s="166"/>
      <c r="J30" s="166"/>
      <c r="K30" s="166"/>
      <c r="L30" s="166"/>
      <c r="N30" s="45"/>
      <c r="O30" s="166"/>
      <c r="P30" s="166"/>
      <c r="Q30" s="166"/>
      <c r="R30" s="166"/>
      <c r="S30" s="166"/>
      <c r="T30" s="206"/>
      <c r="U30" s="45"/>
      <c r="V30" s="45"/>
      <c r="W30" s="45"/>
      <c r="X30" s="207"/>
      <c r="Y30" s="207"/>
      <c r="Z30" s="207"/>
      <c r="AA30" s="207"/>
      <c r="AB30" s="207"/>
    </row>
    <row r="31" spans="1:28" ht="21" x14ac:dyDescent="0.35">
      <c r="A31" s="145">
        <v>2025</v>
      </c>
      <c r="B31" s="186"/>
      <c r="C31" s="27" t="s">
        <v>36</v>
      </c>
      <c r="D31" s="27" t="s">
        <v>37</v>
      </c>
      <c r="E31" s="27" t="s">
        <v>38</v>
      </c>
      <c r="F31" s="27" t="s">
        <v>39</v>
      </c>
      <c r="G31" s="27" t="s">
        <v>40</v>
      </c>
      <c r="H31" s="190" t="s">
        <v>1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45"/>
      <c r="W31" s="19"/>
      <c r="X31" s="19"/>
      <c r="Y31" s="19"/>
      <c r="Z31" s="19"/>
      <c r="AA31" s="19"/>
      <c r="AB31" s="207"/>
    </row>
    <row r="32" spans="1:28" x14ac:dyDescent="0.25">
      <c r="A32" s="162" t="s">
        <v>18</v>
      </c>
      <c r="B32" s="187"/>
      <c r="C32" s="36">
        <f>C33+C34</f>
        <v>0</v>
      </c>
      <c r="D32" s="36">
        <f>D33+D34</f>
        <v>120.16466183</v>
      </c>
      <c r="E32" s="36">
        <f>E33+E34</f>
        <v>0.58682935878342768</v>
      </c>
      <c r="F32" s="36">
        <f>F33+F34</f>
        <v>0.80246772300697999</v>
      </c>
      <c r="G32" s="36">
        <f>G33+G34</f>
        <v>0</v>
      </c>
      <c r="H32" s="163">
        <f t="shared" ref="H32:H40" si="4">SUM(C32:G32)</f>
        <v>121.55395891179042</v>
      </c>
      <c r="I32" s="166"/>
      <c r="J32" s="166"/>
      <c r="K32" s="166"/>
      <c r="L32" s="166"/>
      <c r="M32" s="166"/>
      <c r="N32" s="38"/>
      <c r="O32" s="205"/>
      <c r="P32" s="205"/>
      <c r="Q32" s="205"/>
      <c r="R32" s="205"/>
      <c r="S32" s="205"/>
      <c r="T32" s="206"/>
      <c r="U32" s="75"/>
      <c r="V32" s="45"/>
      <c r="W32" s="82"/>
      <c r="X32" s="207"/>
      <c r="Y32" s="207"/>
      <c r="Z32" s="207"/>
      <c r="AA32" s="207"/>
      <c r="AB32" s="207"/>
    </row>
    <row r="33" spans="1:28" x14ac:dyDescent="0.25">
      <c r="A33" s="148" t="s">
        <v>19</v>
      </c>
      <c r="B33" s="35"/>
      <c r="C33" s="16">
        <v>0</v>
      </c>
      <c r="D33" s="16">
        <f>Résultats!X$305/1000000</f>
        <v>65.513042040000002</v>
      </c>
      <c r="E33" s="16">
        <f>'T energie usages'!J38/'T energie usages'!J$20*(Résultats!X$192+Résultats!X$193+Résultats!X$194)/1000000</f>
        <v>3.7987235477559778E-2</v>
      </c>
      <c r="F33" s="16">
        <f>Résultats!X$306/1000000</f>
        <v>3.339858698E-5</v>
      </c>
      <c r="G33" s="16">
        <v>0</v>
      </c>
      <c r="H33" s="95">
        <f t="shared" si="4"/>
        <v>65.551062674064539</v>
      </c>
      <c r="I33" s="166"/>
      <c r="J33" s="166"/>
      <c r="K33" s="166"/>
      <c r="L33" s="166"/>
      <c r="M33" s="166"/>
      <c r="N33" s="38"/>
      <c r="O33" s="205"/>
      <c r="P33" s="205"/>
      <c r="Q33" s="205"/>
      <c r="R33" s="205"/>
      <c r="S33" s="205"/>
      <c r="T33" s="206"/>
      <c r="U33" s="16"/>
      <c r="V33" s="45"/>
      <c r="W33" s="30"/>
      <c r="X33" s="207"/>
      <c r="Y33" s="207"/>
      <c r="Z33" s="207"/>
      <c r="AA33" s="207"/>
      <c r="AB33" s="207"/>
    </row>
    <row r="34" spans="1:28" x14ac:dyDescent="0.25">
      <c r="A34" s="149" t="s">
        <v>20</v>
      </c>
      <c r="B34" s="35"/>
      <c r="C34" s="16">
        <v>0</v>
      </c>
      <c r="D34" s="16">
        <f>(Résultats!X$183+Résultats!X$184+Résultats!X$185+Résultats!X$186+Résultats!X$187)/1000000</f>
        <v>54.651619789999998</v>
      </c>
      <c r="E34" s="16">
        <f>'T energie usages'!J39/'T energie usages'!J$20*(Résultats!X$192+Résultats!X$193+Résultats!X$194)/1000000</f>
        <v>0.5488421233058679</v>
      </c>
      <c r="F34" s="16">
        <f>(Résultats!X$209+Résultats!X$210+Résultats!X$211+Résultats!X$212+Résultats!X$213)/1000000</f>
        <v>0.80243432441999996</v>
      </c>
      <c r="G34" s="16">
        <v>0</v>
      </c>
      <c r="H34" s="95">
        <f t="shared" si="4"/>
        <v>56.002896237725864</v>
      </c>
      <c r="I34" s="166"/>
      <c r="J34" s="166"/>
      <c r="K34" s="166"/>
      <c r="L34" s="166"/>
      <c r="M34" s="166"/>
      <c r="N34" s="38"/>
      <c r="O34" s="205"/>
      <c r="P34" s="205"/>
      <c r="Q34" s="205"/>
      <c r="R34" s="205"/>
      <c r="S34" s="205"/>
      <c r="T34" s="206"/>
      <c r="U34" s="16"/>
      <c r="V34" s="45"/>
      <c r="W34" s="30"/>
      <c r="X34" s="207"/>
      <c r="Y34" s="207"/>
      <c r="Z34" s="207"/>
      <c r="AA34" s="207"/>
      <c r="AB34" s="207"/>
    </row>
    <row r="35" spans="1:28" x14ac:dyDescent="0.25">
      <c r="A35" s="162" t="s">
        <v>21</v>
      </c>
      <c r="B35" s="187"/>
      <c r="C35" s="36">
        <f>Résultats!X$135/1000000</f>
        <v>0.8906996452</v>
      </c>
      <c r="D35" s="36">
        <f>Résultats!X$303/1000000</f>
        <v>18.494036440000002</v>
      </c>
      <c r="E35" s="36">
        <f>'T energie usages'!J40/'T energie usages'!J$20*(Résultats!X$192+Résultats!X$193+Résultats!X$194)/1000000</f>
        <v>4.6573478829962935</v>
      </c>
      <c r="F35" s="36">
        <f>Résultats!X$304/1000000</f>
        <v>22.67176984</v>
      </c>
      <c r="G35" s="36">
        <v>0</v>
      </c>
      <c r="H35" s="163">
        <f t="shared" si="4"/>
        <v>46.713853808196298</v>
      </c>
      <c r="I35" s="166"/>
      <c r="J35" s="166"/>
      <c r="K35" s="166"/>
      <c r="L35" s="166"/>
      <c r="M35" s="166"/>
      <c r="N35" s="38"/>
      <c r="O35" s="205"/>
      <c r="P35" s="205"/>
      <c r="Q35" s="205"/>
      <c r="R35" s="205"/>
      <c r="S35" s="205"/>
      <c r="T35" s="206"/>
      <c r="U35" s="75"/>
      <c r="V35" s="45"/>
      <c r="W35" s="82"/>
      <c r="X35" s="207"/>
      <c r="Y35" s="207"/>
      <c r="Z35" s="207"/>
      <c r="AA35" s="207"/>
      <c r="AB35" s="207"/>
    </row>
    <row r="36" spans="1:28" x14ac:dyDescent="0.25">
      <c r="A36" s="162" t="s">
        <v>22</v>
      </c>
      <c r="B36" s="187"/>
      <c r="C36" s="36">
        <f>(Résultats!X$168+Résultats!X$169)/1000000</f>
        <v>0</v>
      </c>
      <c r="D36" s="36">
        <f>(Résultats!X$188+Résultats!X$189)/1000000</f>
        <v>7.4499679701999995</v>
      </c>
      <c r="E36" s="36">
        <f>'T energie usages'!J41/'T energie usages'!J$20*(Résultats!X$192+Résultats!X$193+Résultats!X$194)/1000000</f>
        <v>3.5649976716486584</v>
      </c>
      <c r="F36" s="36">
        <f>(Résultats!X$214+Résultats!X$215)/1000000</f>
        <v>11.068761954999999</v>
      </c>
      <c r="G36" s="36">
        <v>0</v>
      </c>
      <c r="H36" s="163">
        <f t="shared" si="4"/>
        <v>22.083727596848657</v>
      </c>
      <c r="I36" s="166"/>
      <c r="J36" s="166"/>
      <c r="K36" s="166"/>
      <c r="L36" s="166"/>
      <c r="M36" s="166"/>
      <c r="N36" s="38"/>
      <c r="O36" s="205"/>
      <c r="P36" s="205"/>
      <c r="Q36" s="205"/>
      <c r="R36" s="205"/>
      <c r="S36" s="205"/>
      <c r="T36" s="206"/>
      <c r="U36" s="75"/>
      <c r="V36" s="45"/>
      <c r="W36" s="82"/>
      <c r="X36" s="207"/>
      <c r="Y36" s="207"/>
      <c r="Z36" s="207"/>
      <c r="AA36" s="207"/>
      <c r="AB36" s="207"/>
    </row>
    <row r="37" spans="1:28" x14ac:dyDescent="0.25">
      <c r="A37" s="162" t="s">
        <v>23</v>
      </c>
      <c r="B37" s="187"/>
      <c r="C37" s="36">
        <f>C38+C39</f>
        <v>9.9805705072999906</v>
      </c>
      <c r="D37" s="36">
        <f>D38+D39</f>
        <v>44.561405133064063</v>
      </c>
      <c r="E37" s="36">
        <f>E38+E39</f>
        <v>3.0868846676261952</v>
      </c>
      <c r="F37" s="36">
        <f>F38+F39</f>
        <v>21.70349612214595</v>
      </c>
      <c r="G37" s="36">
        <f>G38+G39</f>
        <v>13.720659250000001</v>
      </c>
      <c r="H37" s="163">
        <f t="shared" si="4"/>
        <v>93.053015680136198</v>
      </c>
      <c r="I37" s="166"/>
      <c r="J37" s="166"/>
      <c r="K37" s="166"/>
      <c r="L37" s="166"/>
      <c r="M37" s="166"/>
      <c r="N37" s="38"/>
      <c r="O37" s="205"/>
      <c r="P37" s="205"/>
      <c r="Q37" s="205"/>
      <c r="R37" s="205"/>
      <c r="S37" s="205"/>
      <c r="T37" s="206"/>
      <c r="U37" s="75"/>
      <c r="V37" s="45"/>
      <c r="W37" s="82"/>
      <c r="X37" s="207"/>
      <c r="Y37" s="207"/>
      <c r="Z37" s="207"/>
      <c r="AA37" s="207"/>
      <c r="AB37" s="207"/>
    </row>
    <row r="38" spans="1:28" x14ac:dyDescent="0.25">
      <c r="A38" s="149" t="s">
        <v>24</v>
      </c>
      <c r="B38" s="35"/>
      <c r="C38" s="16">
        <f>(Résultats!X$162+Résultats!X$163+Résultats!X$164+Résultats!X$165+Résultats!X$166+Résultats!X$167)/1000000</f>
        <v>9.9805705072999906</v>
      </c>
      <c r="D38" s="16">
        <f>(Résultats!X$171+Résultats!X$173+Résultats!X$174+Résultats!X$175+Résultats!X$176+Résultats!X$177+Résultats!X$178+Résultats!X$179+Résultats!X$180+Résultats!X$181+Résultats!X$182)/1000000</f>
        <v>36.738390150064063</v>
      </c>
      <c r="E38" s="16">
        <f>'T energie usages'!J43/'T energie usages'!J$20*(Résultats!X$192+Résultats!X$193+Résultats!X$194)/1000000</f>
        <v>2.9842050866549359</v>
      </c>
      <c r="F38" s="16">
        <f>(Résultats!X$197+Résultats!X$198+Résultats!X$199+Résultats!X$200+Résultats!X$201+Résultats!X$202+Résultats!X$203+Résultats!X$204+Résultats!X$205+Résultats!X$206+Résultats!X$207+Résultats!X$208+Résultats!X$216+Résultats!X$218)/1000000</f>
        <v>21.13868719904595</v>
      </c>
      <c r="G38" s="16">
        <f>Résultats!X$133/1000000</f>
        <v>13.720659250000001</v>
      </c>
      <c r="H38" s="95">
        <f t="shared" si="4"/>
        <v>84.562512193064933</v>
      </c>
      <c r="I38" s="166"/>
      <c r="J38" s="166"/>
      <c r="K38" s="166"/>
      <c r="L38" s="166"/>
      <c r="M38" s="166"/>
      <c r="N38" s="38"/>
      <c r="O38" s="205"/>
      <c r="P38" s="205"/>
      <c r="Q38" s="205"/>
      <c r="R38" s="205"/>
      <c r="S38" s="205"/>
      <c r="T38" s="206"/>
      <c r="U38" s="16"/>
      <c r="V38" s="45"/>
      <c r="W38" s="30"/>
      <c r="X38" s="207"/>
      <c r="Y38" s="207"/>
      <c r="Z38" s="207"/>
      <c r="AA38" s="207"/>
      <c r="AB38" s="207"/>
    </row>
    <row r="39" spans="1:28" x14ac:dyDescent="0.25">
      <c r="A39" s="149" t="s">
        <v>25</v>
      </c>
      <c r="B39" s="35"/>
      <c r="C39" s="16">
        <v>0</v>
      </c>
      <c r="D39" s="16">
        <f>(Résultats!X$172)/1000000</f>
        <v>7.8230149830000002</v>
      </c>
      <c r="E39" s="16">
        <f>'T energie usages'!J45/'T energie usages'!J$20*(Résultats!X$192+Résultats!X$193+Résultats!X$194)/1000000</f>
        <v>0.10267958097125936</v>
      </c>
      <c r="F39" s="16">
        <f>(Résultats!X$196)/1000000</f>
        <v>0.56480892309999997</v>
      </c>
      <c r="G39" s="16">
        <v>0</v>
      </c>
      <c r="H39" s="95">
        <f t="shared" si="4"/>
        <v>8.4905034870712601</v>
      </c>
      <c r="I39" s="166"/>
      <c r="J39" s="166"/>
      <c r="K39" s="166"/>
      <c r="L39" s="166"/>
      <c r="M39" s="166"/>
      <c r="N39" s="38"/>
      <c r="O39" s="205"/>
      <c r="P39" s="205"/>
      <c r="Q39" s="205"/>
      <c r="R39" s="205"/>
      <c r="S39" s="205"/>
      <c r="T39" s="206"/>
      <c r="U39" s="16"/>
      <c r="V39" s="45"/>
      <c r="W39" s="30"/>
      <c r="X39" s="207"/>
      <c r="Y39" s="207"/>
      <c r="Z39" s="207"/>
      <c r="AA39" s="207"/>
      <c r="AB39" s="207"/>
    </row>
    <row r="40" spans="1:28" x14ac:dyDescent="0.25">
      <c r="A40" s="48" t="s">
        <v>41</v>
      </c>
      <c r="B40" s="37"/>
      <c r="C40" s="37">
        <f>SUM(C35:C37)+C32</f>
        <v>10.87127015249999</v>
      </c>
      <c r="D40" s="37">
        <f>SUM(D35:D37)+D32</f>
        <v>190.67007137326408</v>
      </c>
      <c r="E40" s="37">
        <f>SUM(E35:E37)+E32</f>
        <v>11.896059581054576</v>
      </c>
      <c r="F40" s="37">
        <f>SUM(F35:F37)+F32</f>
        <v>56.246495640152922</v>
      </c>
      <c r="G40" s="37">
        <f>SUM(G35:G37)+G32</f>
        <v>13.720659250000001</v>
      </c>
      <c r="H40" s="167">
        <f t="shared" si="4"/>
        <v>283.40455599697157</v>
      </c>
      <c r="I40" s="166"/>
      <c r="J40" s="166"/>
      <c r="K40" s="166"/>
      <c r="L40" s="166"/>
      <c r="M40" s="166"/>
      <c r="N40" s="38"/>
      <c r="O40" s="205"/>
      <c r="P40" s="205"/>
      <c r="Q40" s="205"/>
      <c r="R40" s="205"/>
      <c r="S40" s="205"/>
      <c r="T40" s="206"/>
      <c r="U40" s="79"/>
      <c r="V40" s="45"/>
      <c r="W40" s="80"/>
      <c r="X40" s="207"/>
      <c r="Y40" s="207"/>
      <c r="Z40" s="207"/>
      <c r="AA40" s="207"/>
      <c r="AB40" s="207"/>
    </row>
    <row r="41" spans="1:28" x14ac:dyDescent="0.25">
      <c r="A41" s="164" t="s">
        <v>43</v>
      </c>
      <c r="B41" s="164"/>
      <c r="C41" s="165">
        <f>(Résultats!X$135+Résultats!X$162+Résultats!X$163+Résultats!X$164+Résultats!X$165+Résultats!X$166+Résultats!X$167+Résultats!X$168+Résultats!X$169)/1000000</f>
        <v>10.87127015249999</v>
      </c>
      <c r="D41" s="165">
        <f>+(Résultats!X$137+Résultats!X$171+Résultats!X$172+Résultats!X$173+Résultats!X$174+Résultats!X$175+Résultats!X$176+Résultats!X$177+Résultats!X$178+Résultats!X$179+Résultats!X$180+Résultats!X$181+Résultats!X$182+Résultats!X$183+Résultats!X$184+Résultats!X$185+Résultats!X$186+Résultats!X$187+Résultats!X$188+Résultats!X$189)/1000000</f>
        <v>190.72083700326411</v>
      </c>
      <c r="E41" s="165">
        <f>(Résultats!X$192+Résultats!X$193+Résultats!X$194)/1000000</f>
        <v>12.139090224</v>
      </c>
      <c r="F41" s="165">
        <f>(Résultats!X$139+Résultats!X$196+Résultats!X$197+Résultats!X$198+Résultats!X$199+Résultats!X$200+Résultats!X$201+Résultats!X$202+Résultats!X$203+Résultats!X$204+Résultats!X$205+Résultats!X$206+Résultats!X$207+Résultats!X$208+Résultats!X$209+Résultats!X$210+Résultats!X$211+Résultats!X$212+Résultats!X$213+Résultats!X$214+Résultats!X$215+Résultats!X$216+Résultats!X$218)/1000000</f>
        <v>56.805608621565938</v>
      </c>
      <c r="G41" s="165">
        <f>Résultats!X$133/1000000</f>
        <v>13.720659250000001</v>
      </c>
      <c r="H41" s="188">
        <f t="shared" ref="H41" si="5">SUM(C41:G41)</f>
        <v>284.25746525133002</v>
      </c>
      <c r="I41" s="166"/>
      <c r="J41" s="166"/>
      <c r="K41" s="166"/>
      <c r="L41" s="166"/>
      <c r="M41" s="206"/>
      <c r="N41" s="45"/>
      <c r="O41" s="166"/>
      <c r="P41" s="166"/>
      <c r="Q41" s="166"/>
      <c r="R41" s="166"/>
      <c r="S41" s="206"/>
      <c r="T41" s="206"/>
      <c r="U41" s="45"/>
      <c r="V41" s="45"/>
      <c r="W41" s="45"/>
      <c r="X41" s="207"/>
      <c r="Y41" s="207"/>
      <c r="Z41" s="207"/>
      <c r="AA41" s="207"/>
      <c r="AB41" s="207"/>
    </row>
    <row r="42" spans="1:28" x14ac:dyDescent="0.25">
      <c r="A42" s="164"/>
      <c r="B42" s="164"/>
      <c r="C42" s="189"/>
      <c r="D42" s="189"/>
      <c r="E42" s="189"/>
      <c r="F42" s="189"/>
      <c r="G42" s="189"/>
      <c r="H42" s="165">
        <f>Résultats!X227/1000000</f>
        <v>284.25746480000004</v>
      </c>
      <c r="I42" s="166"/>
      <c r="J42" s="166"/>
      <c r="K42" s="166"/>
      <c r="L42" s="166"/>
      <c r="M42" s="206"/>
      <c r="N42" s="45"/>
      <c r="O42" s="166"/>
      <c r="P42" s="166"/>
      <c r="Q42" s="166"/>
      <c r="R42" s="166"/>
      <c r="S42" s="206"/>
      <c r="T42" s="206"/>
      <c r="U42" s="45"/>
      <c r="V42" s="45"/>
      <c r="W42" s="45"/>
      <c r="X42" s="207"/>
      <c r="Y42" s="207"/>
      <c r="Z42" s="207"/>
      <c r="AA42" s="207"/>
      <c r="AB42" s="207"/>
    </row>
    <row r="43" spans="1:28" x14ac:dyDescent="0.25">
      <c r="A43" s="3"/>
      <c r="B43" s="3"/>
      <c r="C43" s="75"/>
      <c r="D43" s="75"/>
      <c r="E43" s="75"/>
      <c r="F43" s="75"/>
      <c r="G43" s="75"/>
      <c r="H43" s="45"/>
      <c r="I43" s="166"/>
      <c r="J43" s="166"/>
      <c r="K43" s="166"/>
      <c r="L43" s="166"/>
      <c r="M43" s="206"/>
      <c r="N43" s="45"/>
      <c r="O43" s="166"/>
      <c r="P43" s="166"/>
      <c r="Q43" s="166"/>
      <c r="R43" s="166"/>
      <c r="S43" s="206"/>
      <c r="T43" s="206"/>
      <c r="U43" s="45"/>
      <c r="V43" s="45"/>
      <c r="W43" s="79"/>
      <c r="X43" s="207"/>
      <c r="Y43" s="207"/>
      <c r="Z43" s="207"/>
      <c r="AA43" s="207"/>
      <c r="AB43" s="207"/>
    </row>
    <row r="44" spans="1:28" ht="21" x14ac:dyDescent="0.35">
      <c r="A44" s="145">
        <v>2030</v>
      </c>
      <c r="B44" s="186"/>
      <c r="C44" s="27" t="s">
        <v>36</v>
      </c>
      <c r="D44" s="27" t="s">
        <v>37</v>
      </c>
      <c r="E44" s="27" t="s">
        <v>38</v>
      </c>
      <c r="F44" s="27" t="s">
        <v>39</v>
      </c>
      <c r="G44" s="27" t="s">
        <v>40</v>
      </c>
      <c r="H44" s="190" t="s">
        <v>1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W44" s="19"/>
      <c r="X44" s="19"/>
      <c r="Y44" s="19"/>
      <c r="Z44" s="19"/>
      <c r="AA44" s="19"/>
      <c r="AB44" s="207"/>
    </row>
    <row r="45" spans="1:28" x14ac:dyDescent="0.25">
      <c r="A45" s="162" t="s">
        <v>18</v>
      </c>
      <c r="B45" s="187"/>
      <c r="C45" s="36">
        <f>C46+C47</f>
        <v>0</v>
      </c>
      <c r="D45" s="36">
        <f>D46+D47</f>
        <v>112.972927341</v>
      </c>
      <c r="E45" s="36">
        <f>E46+E47</f>
        <v>0.65291883100467707</v>
      </c>
      <c r="F45" s="36">
        <f>F46+F47</f>
        <v>1.6178917220976301</v>
      </c>
      <c r="G45" s="36">
        <f>G46+G47</f>
        <v>0</v>
      </c>
      <c r="H45" s="163">
        <f t="shared" ref="H45:H53" si="6">SUM(C45:G45)</f>
        <v>115.24373789410231</v>
      </c>
      <c r="I45" s="166"/>
      <c r="J45" s="166"/>
      <c r="K45" s="166"/>
      <c r="L45" s="166"/>
      <c r="M45" s="166"/>
      <c r="N45" s="38"/>
      <c r="O45" s="205"/>
      <c r="P45" s="205"/>
      <c r="Q45" s="205"/>
      <c r="R45" s="205"/>
      <c r="S45" s="205"/>
      <c r="T45" s="206"/>
      <c r="U45" s="75"/>
      <c r="W45" s="82"/>
      <c r="X45" s="207"/>
      <c r="Y45" s="207"/>
      <c r="Z45" s="207"/>
      <c r="AA45" s="207"/>
      <c r="AB45" s="207"/>
    </row>
    <row r="46" spans="1:28" x14ac:dyDescent="0.25">
      <c r="A46" s="148" t="s">
        <v>19</v>
      </c>
      <c r="B46" s="35"/>
      <c r="C46" s="16">
        <v>0</v>
      </c>
      <c r="D46" s="16">
        <f>Résultats!AC$305/1000000</f>
        <v>59.552653479999996</v>
      </c>
      <c r="E46" s="16">
        <f>'T energie usages'!J51/'T energie usages'!J$20*(Résultats!AC$192+Résultats!AC$193+Résultats!AC$194)/1000000</f>
        <v>4.893297661402967E-2</v>
      </c>
      <c r="F46" s="16">
        <f>Résultats!AC$306/1000000</f>
        <v>4.2648597629999994E-5</v>
      </c>
      <c r="G46" s="16">
        <v>0</v>
      </c>
      <c r="H46" s="95">
        <f t="shared" si="6"/>
        <v>59.601629105211657</v>
      </c>
      <c r="I46" s="166"/>
      <c r="J46" s="166"/>
      <c r="K46" s="166"/>
      <c r="L46" s="166"/>
      <c r="M46" s="166"/>
      <c r="N46" s="38"/>
      <c r="O46" s="205"/>
      <c r="P46" s="205"/>
      <c r="Q46" s="205"/>
      <c r="R46" s="205"/>
      <c r="S46" s="205"/>
      <c r="T46" s="206"/>
      <c r="U46" s="16"/>
      <c r="W46" s="30"/>
      <c r="X46" s="207"/>
      <c r="Y46" s="207"/>
      <c r="Z46" s="207"/>
      <c r="AA46" s="207"/>
      <c r="AB46" s="207"/>
    </row>
    <row r="47" spans="1:28" x14ac:dyDescent="0.25">
      <c r="A47" s="149" t="s">
        <v>20</v>
      </c>
      <c r="B47" s="35"/>
      <c r="C47" s="16">
        <v>0</v>
      </c>
      <c r="D47" s="16">
        <f>(Résultats!AC$183+Résultats!AC$184+Résultats!AC$185+Résultats!AC$186+Résultats!AC$187)/1000000</f>
        <v>53.420273860999998</v>
      </c>
      <c r="E47" s="16">
        <f>'T energie usages'!J52/'T energie usages'!J$20*(Résultats!AC$192+Résultats!AC$193+Résultats!AC$194)/1000000</f>
        <v>0.60398585439064745</v>
      </c>
      <c r="F47" s="16">
        <f>(Résultats!AC$209+Résultats!AC$210+Résultats!AC$211+Résultats!AC$212+Résultats!AC$213)/1000000</f>
        <v>1.6178490735000002</v>
      </c>
      <c r="G47" s="16">
        <v>0</v>
      </c>
      <c r="H47" s="95">
        <f t="shared" si="6"/>
        <v>55.642108788890646</v>
      </c>
      <c r="I47" s="166"/>
      <c r="J47" s="166"/>
      <c r="K47" s="166"/>
      <c r="L47" s="166"/>
      <c r="M47" s="166"/>
      <c r="N47" s="38"/>
      <c r="O47" s="205"/>
      <c r="P47" s="205"/>
      <c r="Q47" s="205"/>
      <c r="R47" s="205"/>
      <c r="S47" s="205"/>
      <c r="T47" s="206"/>
      <c r="U47" s="16"/>
      <c r="W47" s="30"/>
      <c r="X47" s="207"/>
      <c r="Y47" s="207"/>
      <c r="Z47" s="207"/>
      <c r="AA47" s="207"/>
      <c r="AB47" s="207"/>
    </row>
    <row r="48" spans="1:28" x14ac:dyDescent="0.25">
      <c r="A48" s="162" t="s">
        <v>21</v>
      </c>
      <c r="B48" s="187"/>
      <c r="C48" s="36">
        <f>Résultats!AC$135/1000000</f>
        <v>0.88072837879999999</v>
      </c>
      <c r="D48" s="36">
        <f>Résultats!AC$303/1000000</f>
        <v>18.531952309999998</v>
      </c>
      <c r="E48" s="36">
        <f>'T energie usages'!J53/'T energie usages'!J$20*(Résultats!AC$192+Résultats!AC$193+Résultats!AC$194)/1000000</f>
        <v>4.7800745392239179</v>
      </c>
      <c r="F48" s="36">
        <f>Résultats!AC$304/1000000</f>
        <v>21.398671459999999</v>
      </c>
      <c r="G48" s="36">
        <v>0</v>
      </c>
      <c r="H48" s="163">
        <f t="shared" si="6"/>
        <v>45.591426688023915</v>
      </c>
      <c r="I48" s="166"/>
      <c r="J48" s="166"/>
      <c r="K48" s="166"/>
      <c r="L48" s="166"/>
      <c r="M48" s="166"/>
      <c r="N48" s="38"/>
      <c r="O48" s="205"/>
      <c r="P48" s="205"/>
      <c r="Q48" s="205"/>
      <c r="R48" s="205"/>
      <c r="S48" s="205"/>
      <c r="T48" s="206"/>
      <c r="U48" s="75"/>
      <c r="W48" s="82"/>
      <c r="X48" s="207"/>
      <c r="Y48" s="207"/>
      <c r="Z48" s="207"/>
      <c r="AA48" s="207"/>
      <c r="AB48" s="207"/>
    </row>
    <row r="49" spans="1:28" x14ac:dyDescent="0.25">
      <c r="A49" s="162" t="s">
        <v>22</v>
      </c>
      <c r="B49" s="187"/>
      <c r="C49" s="36">
        <f>(Résultats!AC$168+Résultats!AC$169)/1000000</f>
        <v>0</v>
      </c>
      <c r="D49" s="36">
        <f>(Résultats!AC$188+Résultats!AC$189)/1000000</f>
        <v>6.3899962356</v>
      </c>
      <c r="E49" s="36">
        <f>'T energie usages'!J54/'T energie usages'!J$20*(Résultats!AC$192+Résultats!AC$193+Résultats!AC$194)/1000000</f>
        <v>3.6077388834630741</v>
      </c>
      <c r="F49" s="36">
        <f>(Résultats!AC$214+Résultats!AC$215)/1000000</f>
        <v>10.232880544</v>
      </c>
      <c r="G49" s="36">
        <v>0</v>
      </c>
      <c r="H49" s="163">
        <f t="shared" si="6"/>
        <v>20.230615663063077</v>
      </c>
      <c r="I49" s="166"/>
      <c r="J49" s="166"/>
      <c r="K49" s="166"/>
      <c r="L49" s="166"/>
      <c r="M49" s="166"/>
      <c r="N49" s="38"/>
      <c r="O49" s="205"/>
      <c r="P49" s="205"/>
      <c r="Q49" s="205"/>
      <c r="R49" s="205"/>
      <c r="S49" s="205"/>
      <c r="T49" s="206"/>
      <c r="U49" s="75"/>
      <c r="W49" s="82"/>
      <c r="X49" s="207"/>
      <c r="Y49" s="207"/>
      <c r="Z49" s="207"/>
      <c r="AA49" s="207"/>
      <c r="AB49" s="207"/>
    </row>
    <row r="50" spans="1:28" x14ac:dyDescent="0.25">
      <c r="A50" s="162" t="s">
        <v>23</v>
      </c>
      <c r="B50" s="187"/>
      <c r="C50" s="36">
        <f>C51+C52</f>
        <v>9.9872580499000012</v>
      </c>
      <c r="D50" s="36">
        <f>D51+D52</f>
        <v>46.04383065811836</v>
      </c>
      <c r="E50" s="36">
        <f>E51+E52</f>
        <v>3.2329151358608099</v>
      </c>
      <c r="F50" s="36">
        <f>F51+F52</f>
        <v>19.92881528155063</v>
      </c>
      <c r="G50" s="36">
        <f>G51+G52</f>
        <v>13.449635890000001</v>
      </c>
      <c r="H50" s="163">
        <f t="shared" si="6"/>
        <v>92.642455015429789</v>
      </c>
      <c r="I50" s="166"/>
      <c r="J50" s="166"/>
      <c r="K50" s="166"/>
      <c r="L50" s="166"/>
      <c r="M50" s="166"/>
      <c r="N50" s="38"/>
      <c r="O50" s="205"/>
      <c r="P50" s="205"/>
      <c r="Q50" s="205"/>
      <c r="R50" s="205"/>
      <c r="S50" s="205"/>
      <c r="T50" s="206"/>
      <c r="U50" s="75"/>
      <c r="W50" s="82"/>
      <c r="X50" s="207"/>
      <c r="Y50" s="207"/>
      <c r="Z50" s="207"/>
      <c r="AA50" s="207"/>
      <c r="AB50" s="207"/>
    </row>
    <row r="51" spans="1:28" x14ac:dyDescent="0.25">
      <c r="A51" s="149" t="s">
        <v>24</v>
      </c>
      <c r="B51" s="35"/>
      <c r="C51" s="16">
        <f>(Résultats!AC$162+Résultats!AC$163+Résultats!AC$164+Résultats!AC$165+Résultats!AC$166+Résultats!AC$167)/1000000</f>
        <v>9.9872580499000012</v>
      </c>
      <c r="D51" s="16">
        <f>(Résultats!AC$171+Résultats!AC$173+Résultats!AC$174+Résultats!AC$175+Résultats!AC$176+Résultats!AC$177+Résultats!AC$178+Résultats!AC$179+Résultats!AC$180+Résultats!AC$181+Résultats!AC$182)/1000000</f>
        <v>37.641039415118357</v>
      </c>
      <c r="E51" s="16">
        <f>'T energie usages'!J56/'T energie usages'!J$20*(Résultats!AC$192+Résultats!AC$193+Résultats!AC$194)/1000000</f>
        <v>3.1264757280743054</v>
      </c>
      <c r="F51" s="16">
        <f>(Résultats!AC$197+Résultats!AC$198+Résultats!AC$199+Résultats!AC$200+Résultats!AC$201+Résultats!AC$202+Résultats!AC$203+Résultats!AC$204+Résultats!AC$205+Résultats!AC$206+Résultats!AC$207+Résultats!AC$208+Résultats!AC$216+Résultats!AC$218)/1000000</f>
        <v>19.378895851350631</v>
      </c>
      <c r="G51" s="16">
        <f>Résultats!AC$133/1000000</f>
        <v>13.449635890000001</v>
      </c>
      <c r="H51" s="95">
        <f t="shared" si="6"/>
        <v>83.583304934443291</v>
      </c>
      <c r="I51" s="166"/>
      <c r="J51" s="166"/>
      <c r="K51" s="166"/>
      <c r="L51" s="166"/>
      <c r="M51" s="166"/>
      <c r="N51" s="38"/>
      <c r="O51" s="205"/>
      <c r="P51" s="205"/>
      <c r="Q51" s="205"/>
      <c r="R51" s="205"/>
      <c r="S51" s="205"/>
      <c r="T51" s="206"/>
      <c r="U51" s="16"/>
      <c r="W51" s="30"/>
      <c r="X51" s="207"/>
      <c r="Y51" s="207"/>
      <c r="Z51" s="207"/>
      <c r="AA51" s="207"/>
      <c r="AB51" s="207"/>
    </row>
    <row r="52" spans="1:28" x14ac:dyDescent="0.25">
      <c r="A52" s="149" t="s">
        <v>25</v>
      </c>
      <c r="B52" s="35"/>
      <c r="C52" s="16">
        <v>0</v>
      </c>
      <c r="D52" s="16">
        <f>(Résultats!AC$172)/1000000</f>
        <v>8.4027912430000011</v>
      </c>
      <c r="E52" s="16">
        <f>'T energie usages'!J58/'T energie usages'!J$20*(Résultats!AC$192+Résultats!AC$193+Résultats!AC$194)/1000000</f>
        <v>0.1064394077865045</v>
      </c>
      <c r="F52" s="16">
        <f>(Résultats!AC$196)/1000000</f>
        <v>0.54991943019999989</v>
      </c>
      <c r="G52" s="16">
        <v>0</v>
      </c>
      <c r="H52" s="95">
        <f t="shared" si="6"/>
        <v>9.0591500809865053</v>
      </c>
      <c r="I52" s="166"/>
      <c r="J52" s="166"/>
      <c r="K52" s="166"/>
      <c r="L52" s="166"/>
      <c r="M52" s="166"/>
      <c r="N52" s="38"/>
      <c r="O52" s="205"/>
      <c r="P52" s="205"/>
      <c r="Q52" s="205"/>
      <c r="R52" s="205"/>
      <c r="S52" s="205"/>
      <c r="T52" s="206"/>
      <c r="U52" s="16"/>
      <c r="W52" s="30"/>
      <c r="X52" s="207"/>
      <c r="Y52" s="207"/>
      <c r="Z52" s="207"/>
      <c r="AA52" s="207"/>
      <c r="AB52" s="207"/>
    </row>
    <row r="53" spans="1:28" x14ac:dyDescent="0.25">
      <c r="A53" s="48" t="s">
        <v>41</v>
      </c>
      <c r="B53" s="37"/>
      <c r="C53" s="37">
        <f>SUM(C48:C50)+C45</f>
        <v>10.867986428700002</v>
      </c>
      <c r="D53" s="37">
        <f>SUM(D48:D50)+D45</f>
        <v>183.93870654471834</v>
      </c>
      <c r="E53" s="37">
        <f>SUM(E48:E50)+E45</f>
        <v>12.27364738955248</v>
      </c>
      <c r="F53" s="37">
        <f>SUM(F48:F50)+F45</f>
        <v>53.178259007648258</v>
      </c>
      <c r="G53" s="37">
        <f>SUM(G48:G50)+G45</f>
        <v>13.449635890000001</v>
      </c>
      <c r="H53" s="167">
        <f t="shared" si="6"/>
        <v>273.70823526061912</v>
      </c>
      <c r="I53" s="166"/>
      <c r="J53" s="166"/>
      <c r="K53" s="166"/>
      <c r="L53" s="166"/>
      <c r="M53" s="166"/>
      <c r="N53" s="38"/>
      <c r="O53" s="205"/>
      <c r="P53" s="205"/>
      <c r="Q53" s="205"/>
      <c r="R53" s="205"/>
      <c r="S53" s="205"/>
      <c r="T53" s="206"/>
      <c r="U53" s="79"/>
      <c r="W53" s="80"/>
      <c r="X53" s="207"/>
      <c r="Y53" s="207"/>
      <c r="Z53" s="207"/>
      <c r="AA53" s="207"/>
      <c r="AB53" s="207"/>
    </row>
    <row r="54" spans="1:28" x14ac:dyDescent="0.25">
      <c r="A54" s="164" t="s">
        <v>43</v>
      </c>
      <c r="B54" s="164"/>
      <c r="C54" s="165">
        <f>(Résultats!AC$135+Résultats!AC$162+Résultats!AC$163+Résultats!AC$164+Résultats!AC$165+Résultats!AC$166+Résultats!AC$167+Résultats!AC$168+Résultats!AC$169)/1000000</f>
        <v>10.8679864287</v>
      </c>
      <c r="D54" s="165">
        <f>(Résultats!AC$137+Résultats!AC$171+Résultats!AC$172+Résultats!AC$173+Résultats!AC$174+Résultats!AC$175+Résultats!AC$176+Résultats!AC$177+Résultats!AC$178+Résultats!AC$179+Résultats!AC$180+Résultats!AC$181+Résultats!AC$182+Résultats!AC$183+Résultats!AC$184+Résultats!AC$185+Résultats!AC$186+Résultats!AC$187+Résultats!AC$188+Résultats!AC$189)/1000000</f>
        <v>183.98589320471839</v>
      </c>
      <c r="E54" s="165">
        <f>(Résultats!AC$192+Résultats!AC$193+Résultats!AC$194)/1000000</f>
        <v>12.382597552</v>
      </c>
      <c r="F54" s="165">
        <f>(Résultats!AC$139+Résultats!AC$196+Résultats!AC$197+Résultats!AC$198+Résultats!AC$199+Résultats!AC$200+Résultats!AC$201+Résultats!AC$202+Résultats!AC$203+Résultats!AC$204+Résultats!AC$205+Résultats!AC$206+Résultats!AC$207+Résultats!AC$208+Résultats!AC$209+Résultats!AC$210+Résultats!AC$211+Résultats!AC$212+Résultats!AC$213+Résultats!AC$214+Résultats!AC$215+Résultats!AC$216+Résultats!AC$218)/1000000</f>
        <v>53.705976139050634</v>
      </c>
      <c r="G54" s="165">
        <f>Résultats!AC$133/1000000</f>
        <v>13.449635890000001</v>
      </c>
      <c r="H54" s="188">
        <f t="shared" ref="H54" si="7">SUM(C54:G54)</f>
        <v>274.39208921446902</v>
      </c>
      <c r="I54" s="166"/>
      <c r="J54" s="166"/>
      <c r="K54" s="166"/>
      <c r="L54" s="166"/>
      <c r="M54" s="206"/>
      <c r="O54" s="166"/>
      <c r="P54" s="166"/>
      <c r="Q54" s="166"/>
      <c r="R54" s="166"/>
      <c r="S54" s="206"/>
      <c r="T54" s="206"/>
      <c r="X54" s="207"/>
      <c r="Y54" s="207"/>
      <c r="Z54" s="207"/>
      <c r="AA54" s="207"/>
      <c r="AB54" s="207"/>
    </row>
    <row r="55" spans="1:28" x14ac:dyDescent="0.25">
      <c r="A55" s="164"/>
      <c r="B55" s="164"/>
      <c r="C55" s="189"/>
      <c r="D55" s="189"/>
      <c r="E55" s="189"/>
      <c r="F55" s="189"/>
      <c r="G55" s="189"/>
      <c r="H55" s="165">
        <f>Résultats!AC227/1000000</f>
        <v>274.39208880000001</v>
      </c>
      <c r="I55" s="166"/>
      <c r="J55" s="166"/>
      <c r="K55" s="166"/>
      <c r="L55" s="166"/>
      <c r="M55" s="206"/>
      <c r="O55" s="166"/>
      <c r="P55" s="166"/>
      <c r="Q55" s="166"/>
      <c r="R55" s="166"/>
      <c r="S55" s="206"/>
      <c r="T55" s="206"/>
      <c r="W55" s="79"/>
      <c r="X55" s="207"/>
      <c r="Y55" s="207"/>
      <c r="Z55" s="207"/>
      <c r="AA55" s="207"/>
      <c r="AB55" s="207"/>
    </row>
    <row r="56" spans="1:28" x14ac:dyDescent="0.25">
      <c r="A56" s="3"/>
      <c r="B56" s="3"/>
      <c r="C56" s="75"/>
      <c r="D56" s="75"/>
      <c r="E56" s="75"/>
      <c r="F56" s="75"/>
      <c r="G56" s="75"/>
      <c r="H56" s="45"/>
      <c r="I56" s="166"/>
      <c r="J56" s="166"/>
      <c r="K56" s="166"/>
      <c r="L56" s="166"/>
      <c r="M56" s="206"/>
      <c r="O56" s="166"/>
      <c r="P56" s="166"/>
      <c r="Q56" s="166"/>
      <c r="R56" s="166"/>
      <c r="S56" s="206"/>
      <c r="T56" s="206"/>
      <c r="W56" s="209"/>
      <c r="X56" s="207"/>
      <c r="Y56" s="207"/>
      <c r="Z56" s="207"/>
      <c r="AA56" s="207"/>
      <c r="AB56" s="207"/>
    </row>
    <row r="57" spans="1:28" ht="21" x14ac:dyDescent="0.35">
      <c r="A57" s="145">
        <v>2035</v>
      </c>
      <c r="B57" s="186"/>
      <c r="C57" s="27" t="s">
        <v>36</v>
      </c>
      <c r="D57" s="27" t="s">
        <v>37</v>
      </c>
      <c r="E57" s="27" t="s">
        <v>38</v>
      </c>
      <c r="F57" s="27" t="s">
        <v>39</v>
      </c>
      <c r="G57" s="27" t="s">
        <v>40</v>
      </c>
      <c r="H57" s="190" t="s">
        <v>1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W57" s="19"/>
      <c r="X57" s="19"/>
      <c r="Y57" s="19"/>
      <c r="Z57" s="19"/>
      <c r="AA57" s="19"/>
      <c r="AB57" s="207"/>
    </row>
    <row r="58" spans="1:28" x14ac:dyDescent="0.25">
      <c r="A58" s="162" t="s">
        <v>18</v>
      </c>
      <c r="B58" s="187"/>
      <c r="C58" s="36">
        <f>C59+C60</f>
        <v>0</v>
      </c>
      <c r="D58" s="36">
        <f>D59+D60</f>
        <v>105.361359537</v>
      </c>
      <c r="E58" s="36">
        <f>E59+E60</f>
        <v>0.77217504475592103</v>
      </c>
      <c r="F58" s="36">
        <f>F59+F60</f>
        <v>2.4409353826822002</v>
      </c>
      <c r="G58" s="36">
        <f>G59+G60</f>
        <v>0</v>
      </c>
      <c r="H58" s="163">
        <f t="shared" ref="H58:H66" si="8">SUM(C58:G58)</f>
        <v>108.57446996443812</v>
      </c>
      <c r="I58" s="166"/>
      <c r="J58" s="166"/>
      <c r="K58" s="166"/>
      <c r="L58" s="166"/>
      <c r="M58" s="166"/>
      <c r="N58" s="38"/>
      <c r="O58" s="166"/>
      <c r="P58" s="166"/>
      <c r="Q58" s="166"/>
      <c r="R58" s="166"/>
      <c r="S58" s="166"/>
      <c r="T58" s="206"/>
      <c r="U58" s="75"/>
      <c r="W58" s="82"/>
      <c r="X58" s="207"/>
      <c r="Y58" s="207"/>
      <c r="Z58" s="207"/>
      <c r="AA58" s="207"/>
      <c r="AB58" s="207"/>
    </row>
    <row r="59" spans="1:28" x14ac:dyDescent="0.25">
      <c r="A59" s="148" t="s">
        <v>19</v>
      </c>
      <c r="B59" s="35"/>
      <c r="C59" s="16">
        <v>0</v>
      </c>
      <c r="D59" s="16">
        <f>Résultats!AH$305/1000000</f>
        <v>54.584295240000003</v>
      </c>
      <c r="E59" s="16">
        <f>'T energie usages'!J64/'T energie usages'!J$20*(Résultats!AH$192+Résultats!AH$193+Résultats!AH$194)/1000000</f>
        <v>6.9367853031876772E-2</v>
      </c>
      <c r="F59" s="16">
        <f>Résultats!AH$306/1000000</f>
        <v>4.8385882199999994E-5</v>
      </c>
      <c r="G59" s="16">
        <v>0</v>
      </c>
      <c r="H59" s="95">
        <f t="shared" si="8"/>
        <v>54.653711478914083</v>
      </c>
      <c r="I59" s="166"/>
      <c r="J59" s="166"/>
      <c r="K59" s="166"/>
      <c r="L59" s="166"/>
      <c r="M59" s="166"/>
      <c r="N59" s="38"/>
      <c r="O59" s="166"/>
      <c r="P59" s="166"/>
      <c r="Q59" s="166"/>
      <c r="R59" s="166"/>
      <c r="S59" s="166"/>
      <c r="T59" s="206"/>
      <c r="U59" s="16"/>
      <c r="W59" s="30"/>
      <c r="X59" s="207"/>
      <c r="Y59" s="207"/>
      <c r="Z59" s="207"/>
      <c r="AA59" s="207"/>
      <c r="AB59" s="207"/>
    </row>
    <row r="60" spans="1:28" x14ac:dyDescent="0.25">
      <c r="A60" s="149" t="s">
        <v>20</v>
      </c>
      <c r="B60" s="35"/>
      <c r="C60" s="16">
        <v>0</v>
      </c>
      <c r="D60" s="16">
        <f>(Résultats!AH$183+Résultats!AH$184+Résultats!AH$185+Résultats!AH$186+Résultats!AH$187)/1000000</f>
        <v>50.777064296999995</v>
      </c>
      <c r="E60" s="16">
        <f>'T energie usages'!J65/'T energie usages'!J$20*(Résultats!AH$192+Résultats!AH$193+Résultats!AH$194)/1000000</f>
        <v>0.70280719172404427</v>
      </c>
      <c r="F60" s="16">
        <f>(Résultats!AH$209+Résultats!AH$210+Résultats!AH$211+Résultats!AH$212+Résultats!AH$213)/1000000</f>
        <v>2.4408869968000002</v>
      </c>
      <c r="G60" s="16">
        <v>0</v>
      </c>
      <c r="H60" s="95">
        <f t="shared" si="8"/>
        <v>53.92075848552404</v>
      </c>
      <c r="I60" s="166"/>
      <c r="J60" s="166"/>
      <c r="K60" s="166"/>
      <c r="L60" s="166"/>
      <c r="M60" s="166"/>
      <c r="N60" s="38"/>
      <c r="O60" s="166"/>
      <c r="P60" s="166"/>
      <c r="Q60" s="166"/>
      <c r="R60" s="166"/>
      <c r="S60" s="166"/>
      <c r="T60" s="206"/>
      <c r="U60" s="16"/>
      <c r="W60" s="30"/>
      <c r="X60" s="207"/>
      <c r="Y60" s="207"/>
      <c r="Z60" s="207"/>
      <c r="AA60" s="207"/>
      <c r="AB60" s="207"/>
    </row>
    <row r="61" spans="1:28" x14ac:dyDescent="0.25">
      <c r="A61" s="162" t="s">
        <v>21</v>
      </c>
      <c r="B61" s="187"/>
      <c r="C61" s="36">
        <f>Résultats!AH$135/1000000</f>
        <v>0.85764113399999997</v>
      </c>
      <c r="D61" s="36">
        <f>Résultats!AH$303/1000000</f>
        <v>18.632290039999997</v>
      </c>
      <c r="E61" s="36">
        <f>'T energie usages'!J66/'T energie usages'!J$20*(Résultats!AH$192+Résultats!AH$193+Résultats!AH$194)/1000000</f>
        <v>4.6925809066533271</v>
      </c>
      <c r="F61" s="36">
        <f>Résultats!AH$304/1000000</f>
        <v>19.584143510000001</v>
      </c>
      <c r="G61" s="36">
        <v>0</v>
      </c>
      <c r="H61" s="163">
        <f t="shared" si="8"/>
        <v>43.766655590653329</v>
      </c>
      <c r="I61" s="166"/>
      <c r="J61" s="166"/>
      <c r="K61" s="166"/>
      <c r="L61" s="166"/>
      <c r="M61" s="166"/>
      <c r="N61" s="38"/>
      <c r="O61" s="166"/>
      <c r="P61" s="166"/>
      <c r="Q61" s="166"/>
      <c r="R61" s="166"/>
      <c r="S61" s="166"/>
      <c r="T61" s="206"/>
      <c r="U61" s="75"/>
      <c r="W61" s="82"/>
      <c r="X61" s="207"/>
      <c r="Y61" s="207"/>
      <c r="Z61" s="207"/>
      <c r="AA61" s="207"/>
      <c r="AB61" s="207"/>
    </row>
    <row r="62" spans="1:28" x14ac:dyDescent="0.25">
      <c r="A62" s="162" t="s">
        <v>22</v>
      </c>
      <c r="B62" s="187"/>
      <c r="C62" s="36">
        <f>(Résultats!AH$168+Résultats!AH$169)/1000000</f>
        <v>0</v>
      </c>
      <c r="D62" s="36">
        <f>(Résultats!AH$188+Résultats!AH$189)/1000000</f>
        <v>5.7979669220999996</v>
      </c>
      <c r="E62" s="36">
        <f>'T energie usages'!J67/'T energie usages'!J$20*(Résultats!AH$192+Résultats!AH$193+Résultats!AH$194)/1000000</f>
        <v>3.5595465895195111</v>
      </c>
      <c r="F62" s="36">
        <f>(Résultats!AH$214+Résultats!AH$215)/1000000</f>
        <v>8.7904620170000012</v>
      </c>
      <c r="G62" s="36">
        <v>0</v>
      </c>
      <c r="H62" s="163">
        <f t="shared" si="8"/>
        <v>18.147975528619511</v>
      </c>
      <c r="I62" s="166"/>
      <c r="J62" s="166"/>
      <c r="K62" s="166"/>
      <c r="L62" s="166"/>
      <c r="M62" s="166"/>
      <c r="N62" s="38"/>
      <c r="O62" s="166"/>
      <c r="P62" s="166"/>
      <c r="Q62" s="166"/>
      <c r="R62" s="166"/>
      <c r="S62" s="166"/>
      <c r="T62" s="206"/>
      <c r="U62" s="75"/>
      <c r="W62" s="82"/>
      <c r="X62" s="207"/>
      <c r="Y62" s="207"/>
      <c r="Z62" s="207"/>
      <c r="AA62" s="207"/>
      <c r="AB62" s="207"/>
    </row>
    <row r="63" spans="1:28" x14ac:dyDescent="0.25">
      <c r="A63" s="162" t="s">
        <v>23</v>
      </c>
      <c r="B63" s="187"/>
      <c r="C63" s="36">
        <f>C64+C65</f>
        <v>10.599376528900001</v>
      </c>
      <c r="D63" s="36">
        <f>D64+D65</f>
        <v>48.142411617986411</v>
      </c>
      <c r="E63" s="36">
        <f>E64+E65</f>
        <v>3.1968889346397407</v>
      </c>
      <c r="F63" s="36">
        <f>F64+F65</f>
        <v>18.409087988066418</v>
      </c>
      <c r="G63" s="36">
        <f>G64+G65</f>
        <v>13.79809985</v>
      </c>
      <c r="H63" s="163">
        <f t="shared" si="8"/>
        <v>94.145864919592569</v>
      </c>
      <c r="I63" s="166"/>
      <c r="J63" s="166"/>
      <c r="K63" s="166"/>
      <c r="L63" s="166"/>
      <c r="M63" s="166"/>
      <c r="N63" s="38"/>
      <c r="O63" s="166"/>
      <c r="P63" s="166"/>
      <c r="Q63" s="166"/>
      <c r="R63" s="166"/>
      <c r="S63" s="166"/>
      <c r="T63" s="206"/>
      <c r="U63" s="75"/>
      <c r="W63" s="82"/>
      <c r="X63" s="207"/>
      <c r="Y63" s="207"/>
      <c r="Z63" s="207"/>
      <c r="AA63" s="207"/>
      <c r="AB63" s="207"/>
    </row>
    <row r="64" spans="1:28" x14ac:dyDescent="0.25">
      <c r="A64" s="149" t="s">
        <v>24</v>
      </c>
      <c r="B64" s="35"/>
      <c r="C64" s="16">
        <f>(Résultats!AH$162+Résultats!AH$163+Résultats!AH$164+Résultats!AH$165+Résultats!AH$166+Résultats!AH$167)/1000000</f>
        <v>10.599376528900001</v>
      </c>
      <c r="D64" s="16">
        <f>(Résultats!AH$171+Résultats!AH$173+Résultats!AH$174+Résultats!AH$175+Résultats!AH$176+Résultats!AH$177+Résultats!AH$178+Résultats!AH$179+Résultats!AH$180+Résultats!AH$181+Résultats!AH$182)/1000000</f>
        <v>39.298821599986425</v>
      </c>
      <c r="E64" s="16">
        <f>'T energie usages'!J69/'T energie usages'!J$20*(Résultats!AH$192+Résultats!AH$193+Résultats!AH$194)/1000000</f>
        <v>3.0915400275637204</v>
      </c>
      <c r="F64" s="16">
        <f>(Résultats!AH$197+Résultats!AH$198+Résultats!AH$199+Résultats!AH$200+Résultats!AH$201+Résultats!AH$202+Résultats!AH$203+Résultats!AH$204+Résultats!AH$205+Résultats!AH$206+Résultats!AH$207+Résultats!AH$208+Résultats!AH$216+Résultats!AH$218)/1000000</f>
        <v>17.898386069366417</v>
      </c>
      <c r="G64" s="16">
        <f>Résultats!AH$133/1000000</f>
        <v>13.79809985</v>
      </c>
      <c r="H64" s="95">
        <f t="shared" si="8"/>
        <v>84.686224075816568</v>
      </c>
      <c r="I64" s="166"/>
      <c r="K64" s="166"/>
      <c r="L64" s="166"/>
      <c r="M64" s="166"/>
      <c r="N64" s="38"/>
      <c r="O64" s="166"/>
      <c r="P64" s="166"/>
      <c r="Q64" s="166"/>
      <c r="R64" s="166"/>
      <c r="S64" s="166"/>
      <c r="T64" s="206"/>
      <c r="U64" s="16"/>
      <c r="W64" s="30"/>
      <c r="X64" s="207"/>
      <c r="Y64" s="207"/>
      <c r="Z64" s="207"/>
      <c r="AA64" s="207"/>
      <c r="AB64" s="207"/>
    </row>
    <row r="65" spans="1:28" x14ac:dyDescent="0.25">
      <c r="A65" s="149" t="s">
        <v>25</v>
      </c>
      <c r="B65" s="35"/>
      <c r="C65" s="16">
        <v>0</v>
      </c>
      <c r="D65" s="16">
        <f>(Résultats!AH$172)/1000000</f>
        <v>8.8435900179999898</v>
      </c>
      <c r="E65" s="16">
        <f>'T energie usages'!J71/'T energie usages'!J$20*(Résultats!AH$192+Résultats!AH$193+Résultats!AH$194)/1000000</f>
        <v>0.10534890707602043</v>
      </c>
      <c r="F65" s="16">
        <f>(Résultats!AH$196)/1000000</f>
        <v>0.51070191870000003</v>
      </c>
      <c r="G65" s="16">
        <v>0</v>
      </c>
      <c r="H65" s="95">
        <f t="shared" si="8"/>
        <v>9.4596408437760111</v>
      </c>
      <c r="I65" s="166"/>
      <c r="K65" s="166"/>
      <c r="L65" s="166"/>
      <c r="M65" s="166"/>
      <c r="N65" s="38"/>
      <c r="O65" s="166"/>
      <c r="P65" s="166"/>
      <c r="Q65" s="166"/>
      <c r="R65" s="166"/>
      <c r="S65" s="166"/>
      <c r="T65" s="206"/>
      <c r="U65" s="16"/>
      <c r="W65" s="30"/>
      <c r="X65" s="207"/>
      <c r="Y65" s="207"/>
      <c r="Z65" s="207"/>
      <c r="AA65" s="207"/>
      <c r="AB65" s="207"/>
    </row>
    <row r="66" spans="1:28" x14ac:dyDescent="0.25">
      <c r="A66" s="48" t="s">
        <v>41</v>
      </c>
      <c r="B66" s="37"/>
      <c r="C66" s="37">
        <f>SUM(C61:C63)+C58</f>
        <v>11.4570176629</v>
      </c>
      <c r="D66" s="37">
        <f>SUM(D61:D63)+D58</f>
        <v>177.9340281170864</v>
      </c>
      <c r="E66" s="37">
        <f>SUM(E61:E63)+E58</f>
        <v>12.221191475568499</v>
      </c>
      <c r="F66" s="37">
        <f>SUM(F61:F63)+F58</f>
        <v>49.224628897748616</v>
      </c>
      <c r="G66" s="37">
        <f>SUM(G61:G63)+G58</f>
        <v>13.79809985</v>
      </c>
      <c r="H66" s="167">
        <f t="shared" si="8"/>
        <v>264.63496600330348</v>
      </c>
      <c r="I66" s="79"/>
      <c r="J66" s="210"/>
      <c r="K66" s="166"/>
      <c r="L66" s="166"/>
      <c r="M66" s="166"/>
      <c r="N66" s="38"/>
      <c r="O66" s="166"/>
      <c r="P66" s="166"/>
      <c r="Q66" s="166"/>
      <c r="R66" s="166"/>
      <c r="S66" s="166"/>
      <c r="T66" s="206"/>
      <c r="U66" s="79"/>
      <c r="W66" s="80"/>
      <c r="X66" s="207"/>
      <c r="Y66" s="207"/>
      <c r="Z66" s="207"/>
      <c r="AA66" s="207"/>
      <c r="AB66" s="207"/>
    </row>
    <row r="67" spans="1:28" x14ac:dyDescent="0.25">
      <c r="A67" s="164" t="s">
        <v>43</v>
      </c>
      <c r="B67" s="164"/>
      <c r="C67" s="165">
        <f>(Résultats!AH$135+Résultats!AH$162+Résultats!AH$163+Résultats!AH$164+Résultats!AH$165+Résultats!AH$166+Résultats!AH$167+Résultats!AH$168+Résultats!AH$169)/1000000</f>
        <v>11.4570176629</v>
      </c>
      <c r="D67" s="165">
        <f>(Résultats!AH$137+Résultats!AH$171+Résultats!AH$172+Résultats!AH$173+Résultats!AH$174+Résultats!AH$175+Résultats!AH$176+Résultats!AH$177+Résultats!AH$178+Résultats!AH$179+Résultats!AH$180+Résultats!AH$181+Résultats!AH$182+Résultats!AH$183+Résultats!AH$184+Résultats!AH$185+Résultats!AH$186+Résultats!AH$187+Résultats!AH$188+Résultats!AH$189)/1000000</f>
        <v>177.97827303708647</v>
      </c>
      <c r="E67" s="165">
        <f>(Résultats!AH$192+Résultats!AH$193+Résultats!AH$194)/1000000</f>
        <v>12.014107682000001</v>
      </c>
      <c r="F67" s="165">
        <f>(Résultats!AH$139+Résultats!AH$196+Résultats!AH$197+Résultats!AH$198+Résultats!AH$199+Résultats!AH$200+Résultats!AH$201+Résultats!AH$202+Résultats!AH$203+Résultats!AH$204+Résultats!AH$205+Résultats!AH$206+Résultats!AH$207+Résultats!AH$208+Résultats!AH$209+Résultats!AH$210+Résultats!AH$211+Résultats!AH$212+Résultats!AH$213+Résultats!AH$214+Résultats!AH$215+Résultats!AH$216+Résultats!AH$218)/1000000</f>
        <v>49.707597811866407</v>
      </c>
      <c r="G67" s="165">
        <f>Résultats!AH$133/1000000</f>
        <v>13.79809985</v>
      </c>
      <c r="H67" s="188">
        <f t="shared" ref="H67" si="9">SUM(C67:G67)</f>
        <v>264.9550960438529</v>
      </c>
      <c r="I67" s="45"/>
      <c r="K67" s="45"/>
      <c r="L67" s="166"/>
    </row>
    <row r="68" spans="1:28" x14ac:dyDescent="0.25">
      <c r="A68" s="164"/>
      <c r="B68" s="164"/>
      <c r="C68" s="165"/>
      <c r="D68" s="165"/>
      <c r="E68" s="165"/>
      <c r="F68" s="165"/>
      <c r="G68" s="165"/>
      <c r="H68" s="165">
        <f>Résultats!AH227/1000000</f>
        <v>264.95509570000002</v>
      </c>
      <c r="I68" s="45"/>
      <c r="K68" s="45"/>
      <c r="L68" s="166"/>
    </row>
    <row r="69" spans="1:28" x14ac:dyDescent="0.25">
      <c r="A69" s="3"/>
      <c r="B69" s="3"/>
      <c r="C69" s="45"/>
      <c r="D69" s="45"/>
      <c r="E69" s="45"/>
      <c r="F69" s="45"/>
      <c r="G69" s="45"/>
      <c r="H69" s="45"/>
      <c r="I69" s="45"/>
      <c r="K69" s="45"/>
      <c r="L69" s="166"/>
    </row>
    <row r="70" spans="1:28" ht="21" x14ac:dyDescent="0.35">
      <c r="A70" s="145">
        <v>2050</v>
      </c>
      <c r="B70" s="186"/>
      <c r="C70" s="27" t="s">
        <v>36</v>
      </c>
      <c r="D70" s="27" t="s">
        <v>37</v>
      </c>
      <c r="E70" s="27" t="s">
        <v>38</v>
      </c>
      <c r="F70" s="27" t="s">
        <v>39</v>
      </c>
      <c r="G70" s="27" t="s">
        <v>40</v>
      </c>
      <c r="H70" s="190" t="s">
        <v>1</v>
      </c>
      <c r="I70" s="3"/>
    </row>
    <row r="71" spans="1:28" x14ac:dyDescent="0.25">
      <c r="A71" s="162" t="s">
        <v>18</v>
      </c>
      <c r="B71" s="187"/>
      <c r="C71" s="36">
        <f>C72+C73</f>
        <v>0</v>
      </c>
      <c r="D71" s="36">
        <f>D72+D73</f>
        <v>90.313420087999987</v>
      </c>
      <c r="E71" s="36">
        <f>E72+E73</f>
        <v>0.95893229353116671</v>
      </c>
      <c r="F71" s="36">
        <f>F72+F73</f>
        <v>2.5157503096457496</v>
      </c>
      <c r="G71" s="36">
        <f>G72+G73</f>
        <v>0</v>
      </c>
      <c r="H71" s="163">
        <f t="shared" ref="H71:H79" si="10">SUM(C71:G71)</f>
        <v>93.788102691176903</v>
      </c>
      <c r="I71" s="3"/>
    </row>
    <row r="72" spans="1:28" x14ac:dyDescent="0.25">
      <c r="A72" s="148" t="s">
        <v>19</v>
      </c>
      <c r="B72" s="35"/>
      <c r="C72" s="16">
        <v>0</v>
      </c>
      <c r="D72" s="16">
        <f>Résultats!AW$305/1000000</f>
        <v>38.440599259999999</v>
      </c>
      <c r="E72" s="16">
        <f>'T energie usages'!J77/'T energie usages'!J$20*(Résultats!AW$192+Résultats!AW$193+Résultats!AW$194)/1000000</f>
        <v>0.15814014481367336</v>
      </c>
      <c r="F72" s="16">
        <f>Résultats!AW$306/1000000</f>
        <v>4.7375405749999998E-5</v>
      </c>
      <c r="G72" s="16">
        <v>0</v>
      </c>
      <c r="H72" s="95">
        <f t="shared" si="10"/>
        <v>38.59878678021942</v>
      </c>
      <c r="I72" s="3"/>
    </row>
    <row r="73" spans="1:28" x14ac:dyDescent="0.25">
      <c r="A73" s="149" t="s">
        <v>20</v>
      </c>
      <c r="B73" s="35"/>
      <c r="C73" s="16">
        <v>0</v>
      </c>
      <c r="D73" s="16">
        <f>(Résultats!AW$183+Résultats!AW$184+Résultats!AW$185+Résultats!AW$186+Résultats!AW$187)/1000000</f>
        <v>51.872820827999995</v>
      </c>
      <c r="E73" s="16">
        <f>'T energie usages'!J78/'T energie usages'!J$20*(Résultats!AW$192+Résultats!AW$193+Résultats!AW$194)/1000000</f>
        <v>0.80079214871749338</v>
      </c>
      <c r="F73" s="16">
        <f>(Résultats!AW$209+Résultats!AW$210+Résultats!AW$211+Résultats!AW$212+Résultats!AW$213)/1000000</f>
        <v>2.5157029342399997</v>
      </c>
      <c r="G73" s="16">
        <v>0</v>
      </c>
      <c r="H73" s="95">
        <f t="shared" si="10"/>
        <v>55.189315910957482</v>
      </c>
      <c r="I73" s="3"/>
    </row>
    <row r="74" spans="1:28" x14ac:dyDescent="0.25">
      <c r="A74" s="162" t="s">
        <v>21</v>
      </c>
      <c r="B74" s="187"/>
      <c r="C74" s="36">
        <f>Résultats!AW$135/1000000</f>
        <v>0.7154833853</v>
      </c>
      <c r="D74" s="36">
        <f>Résultats!AW$303/1000000</f>
        <v>16.958169290000001</v>
      </c>
      <c r="E74" s="36">
        <f>'T energie usages'!J79/'T energie usages'!J$20*(Résultats!AW$192+Résultats!AW$193+Résultats!AW$194)/1000000</f>
        <v>4.3336834081687119</v>
      </c>
      <c r="F74" s="36">
        <f>Résultats!AW$304/1000000</f>
        <v>12.46037398</v>
      </c>
      <c r="G74" s="36">
        <v>0</v>
      </c>
      <c r="H74" s="163">
        <f t="shared" si="10"/>
        <v>34.467710063468715</v>
      </c>
      <c r="I74" s="3"/>
    </row>
    <row r="75" spans="1:28" x14ac:dyDescent="0.25">
      <c r="A75" s="162" t="s">
        <v>22</v>
      </c>
      <c r="B75" s="187"/>
      <c r="C75" s="36">
        <f>(Résultats!AW$168+Résultats!AW$169)/1000000</f>
        <v>0</v>
      </c>
      <c r="D75" s="36">
        <f>(Résultats!AW$188+Résultats!AW$189)/1000000</f>
        <v>5.3820686068999999</v>
      </c>
      <c r="E75" s="36">
        <f>'T energie usages'!J80/'T energie usages'!J$20*(Résultats!AW$192+Résultats!AW$193+Résultats!AW$194)/1000000</f>
        <v>3.2862852873075576</v>
      </c>
      <c r="F75" s="36">
        <f>(Résultats!AW$214+Résultats!AW$215)/1000000</f>
        <v>4.571294279</v>
      </c>
      <c r="G75" s="36">
        <v>0</v>
      </c>
      <c r="H75" s="163">
        <f t="shared" si="10"/>
        <v>13.239648173207557</v>
      </c>
      <c r="I75" s="3"/>
    </row>
    <row r="76" spans="1:28" x14ac:dyDescent="0.25">
      <c r="A76" s="162" t="s">
        <v>23</v>
      </c>
      <c r="B76" s="187"/>
      <c r="C76" s="36">
        <f>C77+C78</f>
        <v>11.690212656399998</v>
      </c>
      <c r="D76" s="36">
        <f>D77+D78</f>
        <v>51.953814890510991</v>
      </c>
      <c r="E76" s="36">
        <f>E77+E78</f>
        <v>2.8549115684781836</v>
      </c>
      <c r="F76" s="36">
        <f>F77+F78</f>
        <v>13.463460607438883</v>
      </c>
      <c r="G76" s="36">
        <f>G77+G78</f>
        <v>15.383834960000002</v>
      </c>
      <c r="H76" s="163">
        <f t="shared" si="10"/>
        <v>95.346234682828054</v>
      </c>
      <c r="I76" s="3"/>
    </row>
    <row r="77" spans="1:28" x14ac:dyDescent="0.25">
      <c r="A77" s="149" t="s">
        <v>24</v>
      </c>
      <c r="B77" s="35"/>
      <c r="C77" s="16">
        <f>(Résultats!AW$162+Résultats!AW$163+Résultats!AW$164+Résultats!AW$165+Résultats!AW$166+Résultats!AW$167)/1000000</f>
        <v>11.690212656399998</v>
      </c>
      <c r="D77" s="16">
        <f>(Résultats!AW$171+Résultats!AW$173+Résultats!AW$174+Résultats!AW$175+Résultats!AW$176+Résultats!AW$177+Résultats!AW$178+Résultats!AW$179+Résultats!AW$180+Résultats!AW$181+Résultats!AW$182)/1000000</f>
        <v>41.254001110510991</v>
      </c>
      <c r="E77" s="16">
        <f>'T energie usages'!J82/'T energie usages'!J$20*(Résultats!AW$192+Résultats!AW$193+Résultats!AW$194)/1000000</f>
        <v>2.7576444412680843</v>
      </c>
      <c r="F77" s="16">
        <f>(Résultats!AW$197+Résultats!AW$198+Résultats!AW$199+Résultats!AW$200+Résultats!AW$201+Résultats!AW$202+Résultats!AW$203+Résultats!AW$204+Résultats!AW$205+Résultats!AW$206+Résultats!AW$207+Résultats!AW$208+Résultats!AW$216+Résultats!AW$218)/1000000</f>
        <v>13.070946380538883</v>
      </c>
      <c r="G77" s="16">
        <f>Résultats!AW$133/1000000</f>
        <v>15.383834960000002</v>
      </c>
      <c r="H77" s="95">
        <f t="shared" si="10"/>
        <v>84.156639548717962</v>
      </c>
      <c r="I77" s="3"/>
    </row>
    <row r="78" spans="1:28" x14ac:dyDescent="0.25">
      <c r="A78" s="149" t="s">
        <v>25</v>
      </c>
      <c r="B78" s="35"/>
      <c r="C78" s="16">
        <v>0</v>
      </c>
      <c r="D78" s="16">
        <f>(Résultats!AW$172)/1000000</f>
        <v>10.699813779999999</v>
      </c>
      <c r="E78" s="16">
        <f>'T energie usages'!J84/'T energie usages'!J$20*(Résultats!AW$192+Résultats!AW$193+Résultats!AW$194)/1000000</f>
        <v>9.7267127210099225E-2</v>
      </c>
      <c r="F78" s="16">
        <f>(Résultats!AW$196)/1000000</f>
        <v>0.39251422689999999</v>
      </c>
      <c r="G78" s="16">
        <v>0</v>
      </c>
      <c r="H78" s="95">
        <f t="shared" si="10"/>
        <v>11.189595134110098</v>
      </c>
      <c r="I78" s="3"/>
    </row>
    <row r="79" spans="1:28" x14ac:dyDescent="0.25">
      <c r="A79" s="48" t="s">
        <v>41</v>
      </c>
      <c r="B79" s="37"/>
      <c r="C79" s="37">
        <f>SUM(C74:C76)+C71</f>
        <v>12.405696041699999</v>
      </c>
      <c r="D79" s="37">
        <f>SUM(D74:D76)+D71</f>
        <v>164.60747287541096</v>
      </c>
      <c r="E79" s="37">
        <f>SUM(E74:E76)+E71</f>
        <v>11.43381255748562</v>
      </c>
      <c r="F79" s="37">
        <f>SUM(F74:F76)+F71</f>
        <v>33.010879176084629</v>
      </c>
      <c r="G79" s="37">
        <f>SUM(G74:G76)+G71</f>
        <v>15.383834960000002</v>
      </c>
      <c r="H79" s="167">
        <f t="shared" si="10"/>
        <v>236.8416956106812</v>
      </c>
      <c r="I79" s="322">
        <f>(H79-'[5]T CO2'!$G$79)</f>
        <v>-32.890704241421076</v>
      </c>
    </row>
    <row r="80" spans="1:28" x14ac:dyDescent="0.25">
      <c r="A80" s="164" t="s">
        <v>43</v>
      </c>
      <c r="B80" s="164"/>
      <c r="C80" s="165">
        <f>(Résultats!AW$135+Résultats!AW$162+Résultats!AW$163+Résultats!AW$164+Résultats!AW$165+Résultats!AW$166+Résultats!AW$167+Résultats!AW$168+Résultats!AW$169)/1000000</f>
        <v>12.405696041700001</v>
      </c>
      <c r="D80" s="165">
        <f>(Résultats!AW$137+Résultats!AW$171+Résultats!AW$172+Résultats!AW$173+Résultats!AW$174+Résultats!AW$175+Résultats!AW$176+Résultats!AW$177+Résultats!AW$178+Résultats!AW$179+Résultats!AW$180+Résultats!AW$181+Résultats!AW$182+Résultats!AW$183+Résultats!AW$184+Résultats!AW$185+Résultats!AW$186+Résultats!AW$187+Résultats!AW$188+Résultats!AW$189)/1000000</f>
        <v>164.64095044541099</v>
      </c>
      <c r="E80" s="165">
        <f>(Résultats!AW$192+Résultats!AW$193+Résultats!AW$194)/1000000</f>
        <v>10.428051530999999</v>
      </c>
      <c r="F80" s="165">
        <f>(Résultats!AW$139+Résultats!AW$196+Résultats!AW$197+Résultats!AW$198+Résultats!AW$199+Résultats!AW$200+Résultats!AW$201+Résultats!AW$202+Résultats!AW$203+Résultats!AW$204+Résultats!AW$205+Résultats!AW$206+Résultats!AW$207+Résultats!AW$208+Résultats!AW$209+Résultats!AW$210+Résultats!AW$211+Résultats!AW$212+Résultats!AW$213+Résultats!AW$214+Résultats!AW$215+Résultats!AW$216+Résultats!AW$218)/1000000</f>
        <v>33.318167630678893</v>
      </c>
      <c r="G80" s="165">
        <f>Résultats!AW133/1000000</f>
        <v>15.383834960000002</v>
      </c>
      <c r="H80" s="188">
        <f t="shared" ref="H80" si="11">SUM(C80:G80)</f>
        <v>236.17670060878987</v>
      </c>
      <c r="I80" s="47"/>
    </row>
    <row r="81" spans="1:9" x14ac:dyDescent="0.25">
      <c r="A81" s="164"/>
      <c r="B81" s="164"/>
      <c r="C81" s="165"/>
      <c r="D81" s="165"/>
      <c r="E81" s="165"/>
      <c r="F81" s="165"/>
      <c r="G81" s="165"/>
      <c r="H81" s="165">
        <f>Résultats!AW227/1000000</f>
        <v>236.17670040000002</v>
      </c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s="3" customFormat="1" x14ac:dyDescent="0.25"/>
    <row r="85" spans="1:9" s="3" customFormat="1" x14ac:dyDescent="0.25">
      <c r="G85" s="45"/>
    </row>
    <row r="86" spans="1:9" s="3" customFormat="1" x14ac:dyDescent="0.25">
      <c r="H86" s="47"/>
    </row>
    <row r="87" spans="1:9" s="3" customFormat="1" x14ac:dyDescent="0.25">
      <c r="C87" s="45"/>
      <c r="H87" s="47"/>
    </row>
    <row r="88" spans="1:9" s="3" customFormat="1" x14ac:dyDescent="0.25">
      <c r="C88" s="45"/>
      <c r="H88" s="47"/>
    </row>
    <row r="89" spans="1:9" s="3" customFormat="1" x14ac:dyDescent="0.25">
      <c r="C89" s="45"/>
      <c r="H89" s="47"/>
    </row>
    <row r="90" spans="1:9" s="3" customFormat="1" x14ac:dyDescent="0.25">
      <c r="C90" s="45"/>
      <c r="H90" s="47"/>
    </row>
    <row r="91" spans="1:9" s="3" customFormat="1" x14ac:dyDescent="0.25">
      <c r="C91" s="45"/>
      <c r="H91" s="47"/>
    </row>
    <row r="92" spans="1:9" s="3" customFormat="1" x14ac:dyDescent="0.25">
      <c r="C92" s="45"/>
    </row>
    <row r="93" spans="1:9" s="3" customFormat="1" x14ac:dyDescent="0.25">
      <c r="C93" s="45"/>
    </row>
    <row r="94" spans="1:9" s="3" customFormat="1" x14ac:dyDescent="0.25">
      <c r="C94" s="45"/>
    </row>
    <row r="95" spans="1:9" s="3" customFormat="1" x14ac:dyDescent="0.25">
      <c r="C95" s="45"/>
    </row>
    <row r="96" spans="1:9" s="3" customFormat="1" x14ac:dyDescent="0.25">
      <c r="C96" s="45"/>
    </row>
    <row r="97" spans="3:5" s="3" customFormat="1" x14ac:dyDescent="0.25">
      <c r="C97" s="45"/>
    </row>
    <row r="98" spans="3:5" s="3" customFormat="1" x14ac:dyDescent="0.25">
      <c r="C98" s="45"/>
    </row>
    <row r="99" spans="3:5" s="3" customFormat="1" x14ac:dyDescent="0.25">
      <c r="C99" s="45"/>
    </row>
    <row r="100" spans="3:5" s="3" customFormat="1" x14ac:dyDescent="0.25">
      <c r="C100" s="45"/>
    </row>
    <row r="101" spans="3:5" s="3" customFormat="1" x14ac:dyDescent="0.25">
      <c r="C101" s="45"/>
    </row>
    <row r="102" spans="3:5" s="3" customFormat="1" x14ac:dyDescent="0.25">
      <c r="C102" s="45"/>
    </row>
    <row r="103" spans="3:5" s="3" customFormat="1" x14ac:dyDescent="0.25"/>
    <row r="104" spans="3:5" s="3" customFormat="1" x14ac:dyDescent="0.25">
      <c r="C104" s="45"/>
    </row>
    <row r="105" spans="3:5" s="3" customFormat="1" x14ac:dyDescent="0.25">
      <c r="C105" s="45"/>
    </row>
    <row r="106" spans="3:5" s="3" customFormat="1" x14ac:dyDescent="0.25">
      <c r="C106" s="45"/>
    </row>
    <row r="107" spans="3:5" s="3" customFormat="1" x14ac:dyDescent="0.25">
      <c r="C107" s="45"/>
    </row>
    <row r="108" spans="3:5" s="3" customFormat="1" x14ac:dyDescent="0.25">
      <c r="C108" s="45"/>
    </row>
    <row r="109" spans="3:5" s="3" customFormat="1" x14ac:dyDescent="0.25">
      <c r="C109" s="45"/>
    </row>
    <row r="110" spans="3:5" s="3" customFormat="1" x14ac:dyDescent="0.25">
      <c r="C110" s="45"/>
    </row>
    <row r="111" spans="3:5" s="3" customFormat="1" x14ac:dyDescent="0.25">
      <c r="C111" s="45"/>
    </row>
    <row r="112" spans="3:5" s="3" customFormat="1" x14ac:dyDescent="0.25">
      <c r="C112" s="45"/>
      <c r="D112" s="211"/>
      <c r="E112" s="211"/>
    </row>
    <row r="113" spans="3:3" s="3" customFormat="1" x14ac:dyDescent="0.25">
      <c r="C113" s="45"/>
    </row>
    <row r="114" spans="3:3" s="3" customFormat="1" x14ac:dyDescent="0.25">
      <c r="C114" s="45"/>
    </row>
    <row r="115" spans="3:3" s="3" customFormat="1" x14ac:dyDescent="0.25">
      <c r="C115" s="45"/>
    </row>
    <row r="116" spans="3:3" s="3" customFormat="1" x14ac:dyDescent="0.25">
      <c r="C116" s="45"/>
    </row>
    <row r="117" spans="3:3" s="3" customFormat="1" x14ac:dyDescent="0.25">
      <c r="C117" s="45"/>
    </row>
    <row r="118" spans="3:3" s="3" customFormat="1" x14ac:dyDescent="0.25">
      <c r="C118" s="45"/>
    </row>
    <row r="119" spans="3:3" s="3" customFormat="1" x14ac:dyDescent="0.25">
      <c r="C119" s="45"/>
    </row>
    <row r="120" spans="3:3" s="3" customFormat="1" x14ac:dyDescent="0.25">
      <c r="C120" s="45"/>
    </row>
    <row r="121" spans="3:3" s="3" customFormat="1" x14ac:dyDescent="0.25">
      <c r="C121" s="45"/>
    </row>
    <row r="122" spans="3:3" s="3" customFormat="1" x14ac:dyDescent="0.25"/>
    <row r="123" spans="3:3" s="3" customFormat="1" x14ac:dyDescent="0.25"/>
    <row r="124" spans="3:3" s="3" customFormat="1" x14ac:dyDescent="0.25"/>
    <row r="125" spans="3:3" s="3" customFormat="1" x14ac:dyDescent="0.25"/>
    <row r="126" spans="3:3" s="3" customFormat="1" x14ac:dyDescent="0.25"/>
    <row r="127" spans="3:3" s="3" customFormat="1" x14ac:dyDescent="0.25"/>
    <row r="128" spans="3:3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6">
    <tabColor rgb="FF0070C0"/>
  </sheetPr>
  <dimension ref="A1:BD32"/>
  <sheetViews>
    <sheetView topLeftCell="A2" zoomScale="80" zoomScaleNormal="80" workbookViewId="0">
      <selection activeCell="E2" sqref="E2"/>
    </sheetView>
  </sheetViews>
  <sheetFormatPr baseColWidth="10" defaultRowHeight="15" x14ac:dyDescent="0.25"/>
  <cols>
    <col min="2" max="2" width="19.7109375" customWidth="1"/>
    <col min="3" max="3" width="21.5703125" bestFit="1" customWidth="1"/>
    <col min="4" max="6" width="13.5703125" hidden="1" customWidth="1"/>
    <col min="7" max="8" width="7.140625" customWidth="1"/>
    <col min="9" max="18" width="7.140625" bestFit="1" customWidth="1"/>
    <col min="19" max="19" width="7.85546875" customWidth="1"/>
    <col min="20" max="22" width="7.140625" bestFit="1" customWidth="1"/>
    <col min="23" max="23" width="7.85546875" customWidth="1"/>
    <col min="30" max="30" width="19.7109375" hidden="1" customWidth="1"/>
    <col min="31" max="31" width="21.5703125" hidden="1" customWidth="1"/>
    <col min="32" max="34" width="13.5703125" hidden="1" customWidth="1"/>
    <col min="35" max="46" width="7.140625" hidden="1" customWidth="1"/>
    <col min="47" max="47" width="7.85546875" customWidth="1"/>
    <col min="48" max="50" width="7.140625" bestFit="1" customWidth="1"/>
    <col min="51" max="51" width="7.85546875" customWidth="1"/>
  </cols>
  <sheetData>
    <row r="1" spans="1:56" s="3" customFormat="1" ht="23.25" x14ac:dyDescent="0.35">
      <c r="A1" s="46" t="s">
        <v>99</v>
      </c>
      <c r="AC1" s="46" t="s">
        <v>99</v>
      </c>
    </row>
    <row r="2" spans="1:56" s="3" customFormat="1" ht="23.25" x14ac:dyDescent="0.35">
      <c r="A2" s="46"/>
      <c r="D2" s="7"/>
      <c r="E2" s="234">
        <f>'T energie vecteurs'!E5</f>
        <v>4</v>
      </c>
      <c r="F2" s="234">
        <f>E2+9</f>
        <v>13</v>
      </c>
      <c r="G2" s="234">
        <f>F2+3</f>
        <v>16</v>
      </c>
      <c r="H2" s="234">
        <f t="shared" ref="H2:S2" si="0">G2+1</f>
        <v>17</v>
      </c>
      <c r="I2" s="234">
        <f t="shared" si="0"/>
        <v>18</v>
      </c>
      <c r="J2" s="234">
        <f t="shared" si="0"/>
        <v>19</v>
      </c>
      <c r="K2" s="234">
        <f t="shared" si="0"/>
        <v>20</v>
      </c>
      <c r="L2" s="234">
        <f t="shared" si="0"/>
        <v>21</v>
      </c>
      <c r="M2" s="234">
        <f t="shared" si="0"/>
        <v>22</v>
      </c>
      <c r="N2" s="234">
        <f t="shared" si="0"/>
        <v>23</v>
      </c>
      <c r="O2" s="234">
        <f t="shared" si="0"/>
        <v>24</v>
      </c>
      <c r="P2" s="234">
        <f t="shared" si="0"/>
        <v>25</v>
      </c>
      <c r="Q2" s="234">
        <f t="shared" si="0"/>
        <v>26</v>
      </c>
      <c r="R2" s="234">
        <f t="shared" si="0"/>
        <v>27</v>
      </c>
      <c r="S2" s="234">
        <f t="shared" si="0"/>
        <v>28</v>
      </c>
      <c r="T2" s="234">
        <f>S2+5</f>
        <v>33</v>
      </c>
      <c r="U2" s="234">
        <f>T2+5</f>
        <v>38</v>
      </c>
      <c r="V2" s="234">
        <f>U2+5</f>
        <v>43</v>
      </c>
      <c r="W2" s="234">
        <f>V2+5</f>
        <v>48</v>
      </c>
      <c r="AC2" s="46"/>
      <c r="AF2" s="7"/>
      <c r="AG2" s="234">
        <v>3</v>
      </c>
      <c r="AH2" s="234">
        <v>12</v>
      </c>
      <c r="AI2" s="234">
        <v>15</v>
      </c>
      <c r="AJ2" s="234">
        <v>16</v>
      </c>
      <c r="AK2" s="234">
        <v>17</v>
      </c>
      <c r="AL2" s="234">
        <v>18</v>
      </c>
      <c r="AM2" s="234">
        <v>19</v>
      </c>
      <c r="AN2" s="234">
        <v>20</v>
      </c>
      <c r="AO2" s="234">
        <v>21</v>
      </c>
      <c r="AP2" s="234">
        <v>22</v>
      </c>
      <c r="AQ2" s="234">
        <v>23</v>
      </c>
      <c r="AR2" s="234">
        <v>24</v>
      </c>
      <c r="AS2" s="234">
        <v>25</v>
      </c>
      <c r="AT2" s="234">
        <v>26</v>
      </c>
      <c r="AU2" s="234">
        <v>27</v>
      </c>
      <c r="AV2" s="234">
        <v>32</v>
      </c>
      <c r="AW2" s="234">
        <v>37</v>
      </c>
      <c r="AX2" s="234">
        <v>42</v>
      </c>
      <c r="AY2" s="234">
        <v>47</v>
      </c>
    </row>
    <row r="3" spans="1:56" ht="23.25" x14ac:dyDescent="0.35">
      <c r="A3" s="227"/>
      <c r="B3" s="3"/>
      <c r="C3" s="42"/>
      <c r="D3" s="11"/>
      <c r="E3" s="237">
        <v>2006</v>
      </c>
      <c r="F3" s="49">
        <v>2015</v>
      </c>
      <c r="G3" s="20">
        <v>2018</v>
      </c>
      <c r="H3" s="4">
        <v>2019</v>
      </c>
      <c r="I3" s="190">
        <v>2020</v>
      </c>
      <c r="J3" s="91">
        <v>2021</v>
      </c>
      <c r="K3" s="27">
        <v>2022</v>
      </c>
      <c r="L3" s="4">
        <v>2023</v>
      </c>
      <c r="M3" s="27">
        <v>2024</v>
      </c>
      <c r="N3" s="83">
        <v>2025</v>
      </c>
      <c r="O3" s="91">
        <v>2026</v>
      </c>
      <c r="P3" s="4">
        <v>2027</v>
      </c>
      <c r="Q3" s="27">
        <v>2028</v>
      </c>
      <c r="R3" s="27">
        <v>2029</v>
      </c>
      <c r="S3" s="83">
        <v>2030</v>
      </c>
      <c r="T3" s="93">
        <v>2035</v>
      </c>
      <c r="U3" s="93">
        <v>2040</v>
      </c>
      <c r="V3" s="4">
        <v>2045</v>
      </c>
      <c r="W3" s="93">
        <v>2050</v>
      </c>
      <c r="X3" s="3"/>
      <c r="AC3" s="227"/>
      <c r="AD3" s="3"/>
      <c r="AE3" s="42"/>
      <c r="AF3" s="11"/>
      <c r="AG3" s="237">
        <v>2006</v>
      </c>
      <c r="AH3" s="49">
        <v>2015</v>
      </c>
      <c r="AI3" s="20">
        <v>2018</v>
      </c>
      <c r="AJ3" s="4">
        <v>2019</v>
      </c>
      <c r="AK3" s="190">
        <v>2020</v>
      </c>
      <c r="AL3" s="91">
        <v>2021</v>
      </c>
      <c r="AM3" s="27">
        <v>2022</v>
      </c>
      <c r="AN3" s="4">
        <v>2023</v>
      </c>
      <c r="AO3" s="27">
        <v>2024</v>
      </c>
      <c r="AP3" s="83">
        <v>2025</v>
      </c>
      <c r="AQ3" s="91">
        <v>2026</v>
      </c>
      <c r="AR3" s="4">
        <v>2027</v>
      </c>
      <c r="AS3" s="27">
        <v>2028</v>
      </c>
      <c r="AT3" s="27">
        <v>2029</v>
      </c>
      <c r="AU3" s="83">
        <v>2030</v>
      </c>
      <c r="AV3" s="93">
        <v>2035</v>
      </c>
      <c r="AW3" s="93">
        <v>2040</v>
      </c>
      <c r="AX3" s="4">
        <v>2045</v>
      </c>
      <c r="AY3" s="93">
        <v>2050</v>
      </c>
      <c r="AZ3" s="3"/>
    </row>
    <row r="4" spans="1:56" ht="23.25" x14ac:dyDescent="0.35">
      <c r="A4" s="161" t="str">
        <f>Résultats!B1</f>
        <v>SNBC3</v>
      </c>
      <c r="B4" s="228" t="s">
        <v>100</v>
      </c>
      <c r="C4" s="5" t="s">
        <v>92</v>
      </c>
      <c r="D4" s="12" t="s">
        <v>190</v>
      </c>
      <c r="E4" s="18">
        <f>VLOOKUP($D4,Résultats!$B$2:$AX$212,E$2,FALSE)</f>
        <v>2393165780</v>
      </c>
      <c r="F4" s="18">
        <f>VLOOKUP($D4,Résultats!$B$2:$AX$212,F$2,FALSE)</f>
        <v>2623669000</v>
      </c>
      <c r="G4" s="106">
        <f>VLOOKUP($D4,Résultats!$B$2:$AX$212,G$2,FALSE)/1000000</f>
        <v>2715.6825130000002</v>
      </c>
      <c r="H4" s="18">
        <f>VLOOKUP($D4,Résultats!$B$2:$AX$212,H$2,FALSE)/1000000</f>
        <v>2745.4671250000001</v>
      </c>
      <c r="I4" s="114">
        <f>VLOOKUP($D4,Résultats!$B$2:$AX$212,I$2,FALSE)/1000000</f>
        <v>2775.1517399999998</v>
      </c>
      <c r="J4" s="106">
        <f>VLOOKUP($D4,Résultats!$B$2:$AX$212,J$2,FALSE)/1000000</f>
        <v>2804.2295709999999</v>
      </c>
      <c r="K4" s="18">
        <f>VLOOKUP($D4,Résultats!$B$2:$AX$212,K$2,FALSE)/1000000</f>
        <v>2833.057577</v>
      </c>
      <c r="L4" s="18">
        <f>VLOOKUP($D4,Résultats!$B$2:$AX$212,L$2,FALSE)/1000000</f>
        <v>2863.7831890000002</v>
      </c>
      <c r="M4" s="18">
        <f>VLOOKUP($D4,Résultats!$B$2:$AX$212,M$2,FALSE)/1000000</f>
        <v>2894.5245209999998</v>
      </c>
      <c r="N4" s="107">
        <f>VLOOKUP($D4,Résultats!$B$2:$AX$212,N$2,FALSE)/1000000</f>
        <v>2924.4115230000002</v>
      </c>
      <c r="O4" s="106">
        <f>VLOOKUP($D4,Résultats!$B$2:$AX$212,O$2,FALSE)/1000000</f>
        <v>2953.5440950000002</v>
      </c>
      <c r="P4" s="18">
        <f>VLOOKUP($D4,Résultats!$B$2:$AX$212,P$2,FALSE)/1000000</f>
        <v>2981.851909</v>
      </c>
      <c r="Q4" s="18">
        <f>VLOOKUP($D4,Résultats!$B$2:$AX$212,Q$2,FALSE)/1000000</f>
        <v>3009.4840250000002</v>
      </c>
      <c r="R4" s="18">
        <f>VLOOKUP($D4,Résultats!$B$2:$AX$212,R$2,FALSE)/1000000</f>
        <v>3036.284686</v>
      </c>
      <c r="S4" s="107">
        <f>VLOOKUP($D4,Résultats!$B$2:$AX$212,S$2,FALSE)/1000000</f>
        <v>3062.1841720000002</v>
      </c>
      <c r="T4" s="114">
        <f>VLOOKUP($D4,Résultats!$B$2:$AX$212,T$2,FALSE)/1000000</f>
        <v>3188.384924</v>
      </c>
      <c r="U4" s="114">
        <f>VLOOKUP($D4,Résultats!$B$2:$AX$212,U$2,FALSE)/1000000</f>
        <v>3306.5109349999998</v>
      </c>
      <c r="V4" s="18">
        <f>VLOOKUP($D4,Résultats!$B$2:$AX$212,V$2,FALSE)/1000000</f>
        <v>3405.5716659999998</v>
      </c>
      <c r="W4" s="114">
        <f>VLOOKUP($D4,Résultats!$B$2:$AX$212,W$2,FALSE)/1000000</f>
        <v>3479.017918</v>
      </c>
      <c r="X4" s="3"/>
      <c r="AC4" s="161" t="s">
        <v>464</v>
      </c>
      <c r="AD4" s="228" t="s">
        <v>100</v>
      </c>
      <c r="AE4" s="5" t="s">
        <v>92</v>
      </c>
      <c r="AF4" s="12" t="s">
        <v>190</v>
      </c>
      <c r="AG4" s="18">
        <v>2355349875.8831902</v>
      </c>
      <c r="AH4" s="18">
        <v>2596998398</v>
      </c>
      <c r="AI4" s="106">
        <v>2655.7572249999998</v>
      </c>
      <c r="AJ4" s="18">
        <v>2671.9482079999998</v>
      </c>
      <c r="AK4" s="114">
        <v>2688.2378990000002</v>
      </c>
      <c r="AL4" s="106">
        <v>2704.626902</v>
      </c>
      <c r="AM4" s="18">
        <v>2721.2510619999998</v>
      </c>
      <c r="AN4" s="18">
        <v>2733.314965</v>
      </c>
      <c r="AO4" s="18">
        <v>2745.2011419999999</v>
      </c>
      <c r="AP4" s="107">
        <v>2756.950288</v>
      </c>
      <c r="AQ4" s="106">
        <v>2768.561725</v>
      </c>
      <c r="AR4" s="18">
        <v>2779.993097</v>
      </c>
      <c r="AS4" s="18">
        <v>2791.5774529999999</v>
      </c>
      <c r="AT4" s="18">
        <v>2802.855591</v>
      </c>
      <c r="AU4" s="107">
        <v>2814.3284440000002</v>
      </c>
      <c r="AV4" s="114">
        <v>2869.6227979999999</v>
      </c>
      <c r="AW4" s="114">
        <v>2921.4190490000001</v>
      </c>
      <c r="AX4" s="18">
        <v>2966.1644070000002</v>
      </c>
      <c r="AY4" s="114">
        <v>3002.7028059999998</v>
      </c>
      <c r="AZ4" s="3"/>
    </row>
    <row r="5" spans="1:56" x14ac:dyDescent="0.25">
      <c r="A5" s="3"/>
      <c r="B5" s="229"/>
      <c r="C5" s="35" t="s">
        <v>27</v>
      </c>
      <c r="D5" s="13" t="s">
        <v>191</v>
      </c>
      <c r="E5" s="25">
        <f>VLOOKUP($D5,Résultats!$B$2:$AX$212,E$2,FALSE)</f>
        <v>661127</v>
      </c>
      <c r="F5" s="25">
        <f>VLOOKUP($D5,Résultats!$B$2:$AX$212,F$2,FALSE)</f>
        <v>16745721.539999999</v>
      </c>
      <c r="G5" s="101">
        <f>VLOOKUP($D5,Résultats!$B$2:$AX$212,G$2,FALSE)/1000000</f>
        <v>23.966719210000001</v>
      </c>
      <c r="H5" s="25">
        <f>VLOOKUP($D5,Résultats!$B$2:$AX$212,H$2,FALSE)/1000000</f>
        <v>27.918323449999999</v>
      </c>
      <c r="I5" s="102">
        <f>VLOOKUP($D5,Résultats!$B$2:$AX$212,I$2,FALSE)/1000000</f>
        <v>32.673424500000003</v>
      </c>
      <c r="J5" s="101">
        <f>VLOOKUP($D5,Résultats!$B$2:$AX$212,J$2,FALSE)/1000000</f>
        <v>38.356534840000002</v>
      </c>
      <c r="K5" s="25">
        <f>VLOOKUP($D5,Résultats!$B$2:$AX$212,K$2,FALSE)/1000000</f>
        <v>44.716538149999998</v>
      </c>
      <c r="L5" s="25">
        <f>VLOOKUP($D5,Résultats!$B$2:$AX$212,L$2,FALSE)/1000000</f>
        <v>51.557760049999999</v>
      </c>
      <c r="M5" s="25">
        <f>VLOOKUP($D5,Résultats!$B$2:$AX$212,M$2,FALSE)/1000000</f>
        <v>57.603170549999994</v>
      </c>
      <c r="N5" s="102">
        <f>VLOOKUP($D5,Résultats!$B$2:$AX$212,N$2,FALSE)/1000000</f>
        <v>63.082547429999998</v>
      </c>
      <c r="O5" s="101">
        <f>VLOOKUP($D5,Résultats!$B$2:$AX$212,O$2,FALSE)/1000000</f>
        <v>67.721586729999999</v>
      </c>
      <c r="P5" s="25">
        <f>VLOOKUP($D5,Résultats!$B$2:$AX$212,P$2,FALSE)/1000000</f>
        <v>71.377577520000003</v>
      </c>
      <c r="Q5" s="25">
        <f>VLOOKUP($D5,Résultats!$B$2:$AX$212,Q$2,FALSE)/1000000</f>
        <v>74.963490680000007</v>
      </c>
      <c r="R5" s="25">
        <f>VLOOKUP($D5,Résultats!$B$2:$AX$212,R$2,FALSE)/1000000</f>
        <v>78.88125762</v>
      </c>
      <c r="S5" s="102">
        <f>VLOOKUP($D5,Résultats!$B$2:$AX$212,S$2,FALSE)/1000000</f>
        <v>83.309112930000012</v>
      </c>
      <c r="T5" s="105">
        <f>VLOOKUP($D5,Résultats!$B$2:$AX$212,T$2,FALSE)/1000000</f>
        <v>116.2221167</v>
      </c>
      <c r="U5" s="105">
        <f>VLOOKUP($D5,Résultats!$B$2:$AX$212,U$2,FALSE)/1000000</f>
        <v>169.35907280000001</v>
      </c>
      <c r="V5" s="25">
        <f>VLOOKUP($D5,Résultats!$B$2:$AX$212,V$2,FALSE)/1000000</f>
        <v>243.37574619999998</v>
      </c>
      <c r="W5" s="105">
        <f>VLOOKUP($D5,Résultats!$B$2:$AX$212,W$2,FALSE)/1000000</f>
        <v>337.55448200000001</v>
      </c>
      <c r="X5" s="3"/>
      <c r="AC5" s="3"/>
      <c r="AD5" s="229"/>
      <c r="AE5" s="35" t="s">
        <v>27</v>
      </c>
      <c r="AF5" s="13" t="s">
        <v>191</v>
      </c>
      <c r="AG5" s="25">
        <v>650680.12020171306</v>
      </c>
      <c r="AH5" s="25">
        <v>43187152.149999999</v>
      </c>
      <c r="AI5" s="101">
        <v>50.412683960000003</v>
      </c>
      <c r="AJ5" s="25">
        <v>52.585453389999998</v>
      </c>
      <c r="AK5" s="102">
        <v>55.248827470000002</v>
      </c>
      <c r="AL5" s="101">
        <v>58.446187070000001</v>
      </c>
      <c r="AM5" s="25">
        <v>61.862481409999994</v>
      </c>
      <c r="AN5" s="25">
        <v>65.420231920000006</v>
      </c>
      <c r="AO5" s="25">
        <v>69.449230379999989</v>
      </c>
      <c r="AP5" s="102">
        <v>74.034006009999999</v>
      </c>
      <c r="AQ5" s="101">
        <v>79.004304869999999</v>
      </c>
      <c r="AR5" s="25">
        <v>83.804995500000004</v>
      </c>
      <c r="AS5" s="25">
        <v>87.363160239999999</v>
      </c>
      <c r="AT5" s="25">
        <v>89.222456459999904</v>
      </c>
      <c r="AU5" s="102">
        <v>90.697099290000011</v>
      </c>
      <c r="AV5" s="105">
        <v>97.114109620000008</v>
      </c>
      <c r="AW5" s="105">
        <v>103.08508359999999</v>
      </c>
      <c r="AX5" s="25">
        <v>108.2989291</v>
      </c>
      <c r="AY5" s="105">
        <v>112.66037159999999</v>
      </c>
      <c r="AZ5" s="3"/>
    </row>
    <row r="6" spans="1:56" x14ac:dyDescent="0.25">
      <c r="A6" s="3"/>
      <c r="B6" s="229"/>
      <c r="C6" s="35" t="s">
        <v>28</v>
      </c>
      <c r="D6" s="13" t="s">
        <v>192</v>
      </c>
      <c r="E6" s="25">
        <f>VLOOKUP($D6,Résultats!$B$2:$AX$212,E$2,FALSE)</f>
        <v>42391824</v>
      </c>
      <c r="F6" s="25">
        <f>VLOOKUP($D6,Résultats!$B$2:$AX$212,F$2,FALSE)</f>
        <v>110646663.8</v>
      </c>
      <c r="G6" s="101">
        <f>VLOOKUP($D6,Résultats!$B$2:$AX$212,G$2,FALSE)/1000000</f>
        <v>135.4523437</v>
      </c>
      <c r="H6" s="25">
        <f>VLOOKUP($D6,Résultats!$B$2:$AX$212,H$2,FALSE)/1000000</f>
        <v>149.12720530000001</v>
      </c>
      <c r="I6" s="102">
        <f>VLOOKUP($D6,Résultats!$B$2:$AX$212,I$2,FALSE)/1000000</f>
        <v>164.51522540000002</v>
      </c>
      <c r="J6" s="101">
        <f>VLOOKUP($D6,Résultats!$B$2:$AX$212,J$2,FALSE)/1000000</f>
        <v>182.71100180000002</v>
      </c>
      <c r="K6" s="25">
        <f>VLOOKUP($D6,Résultats!$B$2:$AX$212,K$2,FALSE)/1000000</f>
        <v>201.21442830000001</v>
      </c>
      <c r="L6" s="25">
        <f>VLOOKUP($D6,Résultats!$B$2:$AX$212,L$2,FALSE)/1000000</f>
        <v>220.33682019999998</v>
      </c>
      <c r="M6" s="25">
        <f>VLOOKUP($D6,Résultats!$B$2:$AX$212,M$2,FALSE)/1000000</f>
        <v>236.12039009999998</v>
      </c>
      <c r="N6" s="102">
        <f>VLOOKUP($D6,Résultats!$B$2:$AX$212,N$2,FALSE)/1000000</f>
        <v>250.55420480000001</v>
      </c>
      <c r="O6" s="101">
        <f>VLOOKUP($D6,Résultats!$B$2:$AX$212,O$2,FALSE)/1000000</f>
        <v>262.0377191</v>
      </c>
      <c r="P6" s="25">
        <f>VLOOKUP($D6,Résultats!$B$2:$AX$212,P$2,FALSE)/1000000</f>
        <v>271.04351130000003</v>
      </c>
      <c r="Q6" s="25">
        <f>VLOOKUP($D6,Résultats!$B$2:$AX$212,Q$2,FALSE)/1000000</f>
        <v>279.60605900000002</v>
      </c>
      <c r="R6" s="25">
        <f>VLOOKUP($D6,Résultats!$B$2:$AX$212,R$2,FALSE)/1000000</f>
        <v>288.7469504</v>
      </c>
      <c r="S6" s="102">
        <f>VLOOKUP($D6,Résultats!$B$2:$AX$212,S$2,FALSE)/1000000</f>
        <v>298.87767030000003</v>
      </c>
      <c r="T6" s="105">
        <f>VLOOKUP($D6,Résultats!$B$2:$AX$212,T$2,FALSE)/1000000</f>
        <v>367.4967226</v>
      </c>
      <c r="U6" s="105">
        <f>VLOOKUP($D6,Résultats!$B$2:$AX$212,U$2,FALSE)/1000000</f>
        <v>458.72150589999995</v>
      </c>
      <c r="V6" s="25">
        <f>VLOOKUP($D6,Résultats!$B$2:$AX$212,V$2,FALSE)/1000000</f>
        <v>559.78477829999997</v>
      </c>
      <c r="W6" s="105">
        <f>VLOOKUP($D6,Résultats!$B$2:$AX$212,W$2,FALSE)/1000000</f>
        <v>660.68819189999999</v>
      </c>
      <c r="X6" s="3"/>
      <c r="AC6" s="3"/>
      <c r="AD6" s="229"/>
      <c r="AE6" s="35" t="s">
        <v>28</v>
      </c>
      <c r="AF6" s="13" t="s">
        <v>192</v>
      </c>
      <c r="AG6" s="25">
        <v>41721964.366740197</v>
      </c>
      <c r="AH6" s="25">
        <v>181120567.69999999</v>
      </c>
      <c r="AI6" s="101">
        <v>215.590058</v>
      </c>
      <c r="AJ6" s="25">
        <v>228.76262990000001</v>
      </c>
      <c r="AK6" s="102">
        <v>245.54528809999999</v>
      </c>
      <c r="AL6" s="101">
        <v>266.69365629999999</v>
      </c>
      <c r="AM6" s="25">
        <v>288.86536289999998</v>
      </c>
      <c r="AN6" s="25">
        <v>307.95133449999997</v>
      </c>
      <c r="AO6" s="25">
        <v>327.0308915</v>
      </c>
      <c r="AP6" s="102">
        <v>345.91796049999999</v>
      </c>
      <c r="AQ6" s="101">
        <v>364.40862630000004</v>
      </c>
      <c r="AR6" s="25">
        <v>382.0194525</v>
      </c>
      <c r="AS6" s="25">
        <v>398.17266369999999</v>
      </c>
      <c r="AT6" s="25">
        <v>412.14001530000002</v>
      </c>
      <c r="AU6" s="102">
        <v>424.70792360000002</v>
      </c>
      <c r="AV6" s="105">
        <v>482.66274469999996</v>
      </c>
      <c r="AW6" s="105">
        <v>537.15071260000002</v>
      </c>
      <c r="AX6" s="25">
        <v>585.07997970000008</v>
      </c>
      <c r="AY6" s="105">
        <v>625.4614967</v>
      </c>
      <c r="AZ6" s="3"/>
    </row>
    <row r="7" spans="1:56" x14ac:dyDescent="0.25">
      <c r="A7" s="3"/>
      <c r="B7" s="229"/>
      <c r="C7" s="35" t="s">
        <v>29</v>
      </c>
      <c r="D7" s="13" t="s">
        <v>193</v>
      </c>
      <c r="E7" s="25">
        <f>VLOOKUP($D7,Résultats!$B$2:$AX$212,E$2,FALSE)</f>
        <v>300942006</v>
      </c>
      <c r="F7" s="25">
        <f>VLOOKUP($D7,Résultats!$B$2:$AX$212,F$2,FALSE)</f>
        <v>552712425.39999998</v>
      </c>
      <c r="G7" s="101">
        <f>VLOOKUP($D7,Résultats!$B$2:$AX$212,G$2,FALSE)/1000000</f>
        <v>609.19262560000004</v>
      </c>
      <c r="H7" s="25">
        <f>VLOOKUP($D7,Résultats!$B$2:$AX$212,H$2,FALSE)/1000000</f>
        <v>632.88384739999992</v>
      </c>
      <c r="I7" s="102">
        <f>VLOOKUP($D7,Résultats!$B$2:$AX$212,I$2,FALSE)/1000000</f>
        <v>657.65119170000003</v>
      </c>
      <c r="J7" s="101">
        <f>VLOOKUP($D7,Résultats!$B$2:$AX$212,J$2,FALSE)/1000000</f>
        <v>683.0830972</v>
      </c>
      <c r="K7" s="25">
        <f>VLOOKUP($D7,Résultats!$B$2:$AX$212,K$2,FALSE)/1000000</f>
        <v>706.79386639999996</v>
      </c>
      <c r="L7" s="25">
        <f>VLOOKUP($D7,Résultats!$B$2:$AX$212,L$2,FALSE)/1000000</f>
        <v>729.70474850000005</v>
      </c>
      <c r="M7" s="25">
        <f>VLOOKUP($D7,Résultats!$B$2:$AX$212,M$2,FALSE)/1000000</f>
        <v>748.85029929999996</v>
      </c>
      <c r="N7" s="102">
        <f>VLOOKUP($D7,Résultats!$B$2:$AX$212,N$2,FALSE)/1000000</f>
        <v>765.30668609999998</v>
      </c>
      <c r="O7" s="101">
        <f>VLOOKUP($D7,Résultats!$B$2:$AX$212,O$2,FALSE)/1000000</f>
        <v>778.68945650000001</v>
      </c>
      <c r="P7" s="25">
        <f>VLOOKUP($D7,Résultats!$B$2:$AX$212,P$2,FALSE)/1000000</f>
        <v>790.10128039999995</v>
      </c>
      <c r="Q7" s="25">
        <f>VLOOKUP($D7,Résultats!$B$2:$AX$212,Q$2,FALSE)/1000000</f>
        <v>800.46757920000005</v>
      </c>
      <c r="R7" s="25">
        <f>VLOOKUP($D7,Résultats!$B$2:$AX$212,R$2,FALSE)/1000000</f>
        <v>810.21808920000001</v>
      </c>
      <c r="S7" s="102">
        <f>VLOOKUP($D7,Résultats!$B$2:$AX$212,S$2,FALSE)/1000000</f>
        <v>819.55807870000001</v>
      </c>
      <c r="T7" s="105">
        <f>VLOOKUP($D7,Résultats!$B$2:$AX$212,T$2,FALSE)/1000000</f>
        <v>864.45498639999994</v>
      </c>
      <c r="U7" s="105">
        <f>VLOOKUP($D7,Résultats!$B$2:$AX$212,U$2,FALSE)/1000000</f>
        <v>900.17981599999996</v>
      </c>
      <c r="V7" s="25">
        <f>VLOOKUP($D7,Résultats!$B$2:$AX$212,V$2,FALSE)/1000000</f>
        <v>918.32490029999997</v>
      </c>
      <c r="W7" s="105">
        <f>VLOOKUP($D7,Résultats!$B$2:$AX$212,W$2,FALSE)/1000000</f>
        <v>918.2021489</v>
      </c>
      <c r="X7" s="3"/>
      <c r="AC7" s="3"/>
      <c r="AD7" s="229"/>
      <c r="AE7" s="35" t="s">
        <v>29</v>
      </c>
      <c r="AF7" s="13" t="s">
        <v>193</v>
      </c>
      <c r="AG7" s="25">
        <v>296186633.79021603</v>
      </c>
      <c r="AH7" s="25">
        <v>569035477.39999998</v>
      </c>
      <c r="AI7" s="101">
        <v>632.75076910000007</v>
      </c>
      <c r="AJ7" s="25">
        <v>645.57478270000001</v>
      </c>
      <c r="AK7" s="102">
        <v>657.42506470000001</v>
      </c>
      <c r="AL7" s="101">
        <v>667.32190209999999</v>
      </c>
      <c r="AM7" s="25">
        <v>679.26979920000008</v>
      </c>
      <c r="AN7" s="25">
        <v>692.50705210000001</v>
      </c>
      <c r="AO7" s="25">
        <v>704.80679639999994</v>
      </c>
      <c r="AP7" s="102">
        <v>715.45919620000006</v>
      </c>
      <c r="AQ7" s="101">
        <v>724.50526070000001</v>
      </c>
      <c r="AR7" s="25">
        <v>732.1551892</v>
      </c>
      <c r="AS7" s="25">
        <v>738.47130540000001</v>
      </c>
      <c r="AT7" s="25">
        <v>743.1869147000001</v>
      </c>
      <c r="AU7" s="102">
        <v>744.57653449999998</v>
      </c>
      <c r="AV7" s="105">
        <v>744.73285629999998</v>
      </c>
      <c r="AW7" s="105">
        <v>744.52864450000004</v>
      </c>
      <c r="AX7" s="25">
        <v>744.18700850000005</v>
      </c>
      <c r="AY7" s="105">
        <v>743.80258720000006</v>
      </c>
      <c r="AZ7" s="3"/>
    </row>
    <row r="8" spans="1:56" x14ac:dyDescent="0.25">
      <c r="A8" s="3"/>
      <c r="B8" s="229"/>
      <c r="C8" s="35" t="s">
        <v>30</v>
      </c>
      <c r="D8" s="13" t="s">
        <v>194</v>
      </c>
      <c r="E8" s="25">
        <f>VLOOKUP($D8,Résultats!$B$2:$AX$212,E$2,FALSE)</f>
        <v>661409532</v>
      </c>
      <c r="F8" s="25">
        <f>VLOOKUP($D8,Résultats!$B$2:$AX$212,F$2,FALSE)</f>
        <v>815040239.79999995</v>
      </c>
      <c r="G8" s="101">
        <f>VLOOKUP($D8,Résultats!$B$2:$AX$212,G$2,FALSE)/1000000</f>
        <v>850.79954029999999</v>
      </c>
      <c r="H8" s="25">
        <f>VLOOKUP($D8,Résultats!$B$2:$AX$212,H$2,FALSE)/1000000</f>
        <v>861.72060170000009</v>
      </c>
      <c r="I8" s="102">
        <f>VLOOKUP($D8,Résultats!$B$2:$AX$212,I$2,FALSE)/1000000</f>
        <v>872.38483110000004</v>
      </c>
      <c r="J8" s="101">
        <f>VLOOKUP($D8,Résultats!$B$2:$AX$212,J$2,FALSE)/1000000</f>
        <v>880.98125029999994</v>
      </c>
      <c r="K8" s="25">
        <f>VLOOKUP($D8,Résultats!$B$2:$AX$212,K$2,FALSE)/1000000</f>
        <v>888.41639670000006</v>
      </c>
      <c r="L8" s="25">
        <f>VLOOKUP($D8,Résultats!$B$2:$AX$212,L$2,FALSE)/1000000</f>
        <v>895.52896679999992</v>
      </c>
      <c r="M8" s="25">
        <f>VLOOKUP($D8,Résultats!$B$2:$AX$212,M$2,FALSE)/1000000</f>
        <v>903.56968210000002</v>
      </c>
      <c r="N8" s="102">
        <f>VLOOKUP($D8,Résultats!$B$2:$AX$212,N$2,FALSE)/1000000</f>
        <v>910.88543829999992</v>
      </c>
      <c r="O8" s="101">
        <f>VLOOKUP($D8,Résultats!$B$2:$AX$212,O$2,FALSE)/1000000</f>
        <v>918.78815270000007</v>
      </c>
      <c r="P8" s="25">
        <f>VLOOKUP($D8,Résultats!$B$2:$AX$212,P$2,FALSE)/1000000</f>
        <v>927.5110823</v>
      </c>
      <c r="Q8" s="25">
        <f>VLOOKUP($D8,Résultats!$B$2:$AX$212,Q$2,FALSE)/1000000</f>
        <v>935.82049649999999</v>
      </c>
      <c r="R8" s="25">
        <f>VLOOKUP($D8,Résultats!$B$2:$AX$212,R$2,FALSE)/1000000</f>
        <v>943.01066720000006</v>
      </c>
      <c r="S8" s="102">
        <f>VLOOKUP($D8,Résultats!$B$2:$AX$212,S$2,FALSE)/1000000</f>
        <v>948.81246499999997</v>
      </c>
      <c r="T8" s="105">
        <f>VLOOKUP($D8,Résultats!$B$2:$AX$212,T$2,FALSE)/1000000</f>
        <v>959.84126960000003</v>
      </c>
      <c r="U8" s="105">
        <f>VLOOKUP($D8,Résultats!$B$2:$AX$212,U$2,FALSE)/1000000</f>
        <v>941.73227499999996</v>
      </c>
      <c r="V8" s="25">
        <f>VLOOKUP($D8,Résultats!$B$2:$AX$212,V$2,FALSE)/1000000</f>
        <v>895.28478660000007</v>
      </c>
      <c r="W8" s="105">
        <f>VLOOKUP($D8,Résultats!$B$2:$AX$212,W$2,FALSE)/1000000</f>
        <v>826.99591989999999</v>
      </c>
      <c r="X8" s="3"/>
      <c r="AC8" s="3"/>
      <c r="AD8" s="229"/>
      <c r="AE8" s="35" t="s">
        <v>30</v>
      </c>
      <c r="AF8" s="13" t="s">
        <v>194</v>
      </c>
      <c r="AG8" s="25">
        <v>650958187.73748195</v>
      </c>
      <c r="AH8" s="25">
        <v>633667547</v>
      </c>
      <c r="AI8" s="101">
        <v>628.52988640000001</v>
      </c>
      <c r="AJ8" s="25">
        <v>627.05710270000009</v>
      </c>
      <c r="AK8" s="102">
        <v>626.0079624</v>
      </c>
      <c r="AL8" s="101">
        <v>625.30736860000002</v>
      </c>
      <c r="AM8" s="25">
        <v>624.74556860000007</v>
      </c>
      <c r="AN8" s="25">
        <v>623.84060450000004</v>
      </c>
      <c r="AO8" s="25">
        <v>622.26125309999998</v>
      </c>
      <c r="AP8" s="102">
        <v>619.89497360000007</v>
      </c>
      <c r="AQ8" s="101">
        <v>616.94481870000004</v>
      </c>
      <c r="AR8" s="25">
        <v>613.84423860000004</v>
      </c>
      <c r="AS8" s="25">
        <v>611.24747579999996</v>
      </c>
      <c r="AT8" s="25">
        <v>609.73983529999998</v>
      </c>
      <c r="AU8" s="102">
        <v>609.83384439999998</v>
      </c>
      <c r="AV8" s="105">
        <v>612.04639099999997</v>
      </c>
      <c r="AW8" s="105">
        <v>613.18375549999996</v>
      </c>
      <c r="AX8" s="25">
        <v>613.83096479999995</v>
      </c>
      <c r="AY8" s="105">
        <v>614.26554610000005</v>
      </c>
      <c r="AZ8" s="3"/>
    </row>
    <row r="9" spans="1:56" x14ac:dyDescent="0.25">
      <c r="A9" s="3"/>
      <c r="B9" s="229"/>
      <c r="C9" s="35" t="s">
        <v>31</v>
      </c>
      <c r="D9" s="13" t="s">
        <v>195</v>
      </c>
      <c r="E9" s="25">
        <f>VLOOKUP($D9,Résultats!$B$2:$AX$212,E$2,FALSE)</f>
        <v>786713699</v>
      </c>
      <c r="F9" s="25">
        <f>VLOOKUP($D9,Résultats!$B$2:$AX$212,F$2,FALSE)</f>
        <v>627533010.20000005</v>
      </c>
      <c r="G9" s="101">
        <f>VLOOKUP($D9,Résultats!$B$2:$AX$212,G$2,FALSE)/1000000</f>
        <v>606.01379650000001</v>
      </c>
      <c r="H9" s="25">
        <f>VLOOKUP($D9,Résultats!$B$2:$AX$212,H$2,FALSE)/1000000</f>
        <v>592.86848650000002</v>
      </c>
      <c r="I9" s="102">
        <f>VLOOKUP($D9,Résultats!$B$2:$AX$212,I$2,FALSE)/1000000</f>
        <v>578.08800110000004</v>
      </c>
      <c r="J9" s="101">
        <f>VLOOKUP($D9,Résultats!$B$2:$AX$212,J$2,FALSE)/1000000</f>
        <v>561.83488690000001</v>
      </c>
      <c r="K9" s="25">
        <f>VLOOKUP($D9,Résultats!$B$2:$AX$212,K$2,FALSE)/1000000</f>
        <v>546.57269529999996</v>
      </c>
      <c r="L9" s="25">
        <f>VLOOKUP($D9,Résultats!$B$2:$AX$212,L$2,FALSE)/1000000</f>
        <v>532.41994980000004</v>
      </c>
      <c r="M9" s="25">
        <f>VLOOKUP($D9,Résultats!$B$2:$AX$212,M$2,FALSE)/1000000</f>
        <v>522.16633890000003</v>
      </c>
      <c r="N9" s="102">
        <f>VLOOKUP($D9,Résultats!$B$2:$AX$212,N$2,FALSE)/1000000</f>
        <v>514.37018510000007</v>
      </c>
      <c r="O9" s="101">
        <f>VLOOKUP($D9,Résultats!$B$2:$AX$212,O$2,FALSE)/1000000</f>
        <v>509.62547339999998</v>
      </c>
      <c r="P9" s="25">
        <f>VLOOKUP($D9,Résultats!$B$2:$AX$212,P$2,FALSE)/1000000</f>
        <v>507.02098549999999</v>
      </c>
      <c r="Q9" s="25">
        <f>VLOOKUP($D9,Résultats!$B$2:$AX$212,Q$2,FALSE)/1000000</f>
        <v>505.13537200000002</v>
      </c>
      <c r="R9" s="25">
        <f>VLOOKUP($D9,Résultats!$B$2:$AX$212,R$2,FALSE)/1000000</f>
        <v>503.24526550000002</v>
      </c>
      <c r="S9" s="102">
        <f>VLOOKUP($D9,Résultats!$B$2:$AX$212,S$2,FALSE)/1000000</f>
        <v>501.0282125</v>
      </c>
      <c r="T9" s="105">
        <f>VLOOKUP($D9,Résultats!$B$2:$AX$212,T$2,FALSE)/1000000</f>
        <v>483.40546460000002</v>
      </c>
      <c r="U9" s="105">
        <f>VLOOKUP($D9,Résultats!$B$2:$AX$212,U$2,FALSE)/1000000</f>
        <v>459.48908869999997</v>
      </c>
      <c r="V9" s="25">
        <f>VLOOKUP($D9,Résultats!$B$2:$AX$212,V$2,FALSE)/1000000</f>
        <v>434.12999769999999</v>
      </c>
      <c r="W9" s="105">
        <f>VLOOKUP($D9,Résultats!$B$2:$AX$212,W$2,FALSE)/1000000</f>
        <v>407.14781589999996</v>
      </c>
      <c r="X9" s="3"/>
      <c r="AC9" s="3"/>
      <c r="AD9" s="229"/>
      <c r="AE9" s="35" t="s">
        <v>31</v>
      </c>
      <c r="AF9" s="13" t="s">
        <v>195</v>
      </c>
      <c r="AG9" s="25">
        <v>774282345.494367</v>
      </c>
      <c r="AH9" s="25">
        <v>688439089.5</v>
      </c>
      <c r="AI9" s="101">
        <v>670.45152770000004</v>
      </c>
      <c r="AJ9" s="25">
        <v>665.95475250000004</v>
      </c>
      <c r="AK9" s="102">
        <v>659.88800020000008</v>
      </c>
      <c r="AL9" s="101">
        <v>652.34777539999993</v>
      </c>
      <c r="AM9" s="25">
        <v>643.27403679999998</v>
      </c>
      <c r="AN9" s="25">
        <v>632.84907470000007</v>
      </c>
      <c r="AO9" s="25">
        <v>622.61724920000006</v>
      </c>
      <c r="AP9" s="102">
        <v>613.00283739999998</v>
      </c>
      <c r="AQ9" s="101">
        <v>604.12207049999995</v>
      </c>
      <c r="AR9" s="25">
        <v>596.24764210000001</v>
      </c>
      <c r="AS9" s="25">
        <v>590.12780510000005</v>
      </c>
      <c r="AT9" s="25">
        <v>586.09317070000009</v>
      </c>
      <c r="AU9" s="102">
        <v>584.34791289999998</v>
      </c>
      <c r="AV9" s="105">
        <v>581.87145939999994</v>
      </c>
      <c r="AW9" s="105">
        <v>578.55799479999996</v>
      </c>
      <c r="AX9" s="25">
        <v>574.87388099999998</v>
      </c>
      <c r="AY9" s="105">
        <v>571.04697310000006</v>
      </c>
      <c r="AZ9" s="3"/>
    </row>
    <row r="10" spans="1:56" x14ac:dyDescent="0.25">
      <c r="A10" s="3"/>
      <c r="B10" s="229"/>
      <c r="C10" s="35" t="s">
        <v>32</v>
      </c>
      <c r="D10" s="13" t="s">
        <v>196</v>
      </c>
      <c r="E10" s="25">
        <f>VLOOKUP($D10,Résultats!$B$2:$AX$212,E$2,FALSE)</f>
        <v>412154138</v>
      </c>
      <c r="F10" s="25">
        <f>VLOOKUP($D10,Résultats!$B$2:$AX$212,F$2,FALSE)</f>
        <v>311838186</v>
      </c>
      <c r="G10" s="101">
        <f>VLOOKUP($D10,Résultats!$B$2:$AX$212,G$2,FALSE)/1000000</f>
        <v>298.5277304</v>
      </c>
      <c r="H10" s="25">
        <f>VLOOKUP($D10,Résultats!$B$2:$AX$212,H$2,FALSE)/1000000</f>
        <v>291.2336262</v>
      </c>
      <c r="I10" s="102">
        <f>VLOOKUP($D10,Résultats!$B$2:$AX$212,I$2,FALSE)/1000000</f>
        <v>283.18139189999999</v>
      </c>
      <c r="J10" s="101">
        <f>VLOOKUP($D10,Résultats!$B$2:$AX$212,J$2,FALSE)/1000000</f>
        <v>274.58384119999999</v>
      </c>
      <c r="K10" s="25">
        <f>VLOOKUP($D10,Résultats!$B$2:$AX$212,K$2,FALSE)/1000000</f>
        <v>266.5808227</v>
      </c>
      <c r="L10" s="25">
        <f>VLOOKUP($D10,Résultats!$B$2:$AX$212,L$2,FALSE)/1000000</f>
        <v>259.24983570000001</v>
      </c>
      <c r="M10" s="25">
        <f>VLOOKUP($D10,Résultats!$B$2:$AX$212,M$2,FALSE)/1000000</f>
        <v>253.78910769999999</v>
      </c>
      <c r="N10" s="102">
        <f>VLOOKUP($D10,Résultats!$B$2:$AX$212,N$2,FALSE)/1000000</f>
        <v>249.56858359999998</v>
      </c>
      <c r="O10" s="101">
        <f>VLOOKUP($D10,Résultats!$B$2:$AX$212,O$2,FALSE)/1000000</f>
        <v>246.79667780000003</v>
      </c>
      <c r="P10" s="25">
        <f>VLOOKUP($D10,Résultats!$B$2:$AX$212,P$2,FALSE)/1000000</f>
        <v>245.00716180000001</v>
      </c>
      <c r="Q10" s="25">
        <f>VLOOKUP($D10,Résultats!$B$2:$AX$212,Q$2,FALSE)/1000000</f>
        <v>243.59878130000001</v>
      </c>
      <c r="R10" s="25">
        <f>VLOOKUP($D10,Résultats!$B$2:$AX$212,R$2,FALSE)/1000000</f>
        <v>242.2585809</v>
      </c>
      <c r="S10" s="102">
        <f>VLOOKUP($D10,Résultats!$B$2:$AX$212,S$2,FALSE)/1000000</f>
        <v>240.8381866</v>
      </c>
      <c r="T10" s="105">
        <f>VLOOKUP($D10,Résultats!$B$2:$AX$212,T$2,FALSE)/1000000</f>
        <v>231.58700830000001</v>
      </c>
      <c r="U10" s="105">
        <f>VLOOKUP($D10,Résultats!$B$2:$AX$212,U$2,FALSE)/1000000</f>
        <v>220.1870132</v>
      </c>
      <c r="V10" s="25">
        <f>VLOOKUP($D10,Résultats!$B$2:$AX$212,V$2,FALSE)/1000000</f>
        <v>208.05457519999999</v>
      </c>
      <c r="W10" s="105">
        <f>VLOOKUP($D10,Résultats!$B$2:$AX$212,W$2,FALSE)/1000000</f>
        <v>194.40425200000001</v>
      </c>
      <c r="X10" s="3"/>
      <c r="Y10">
        <f>(K10+K11-S10-S11)*10</f>
        <v>347.45019299999996</v>
      </c>
      <c r="AC10" s="3"/>
      <c r="AD10" s="229"/>
      <c r="AE10" s="35" t="s">
        <v>32</v>
      </c>
      <c r="AF10" s="13" t="s">
        <v>196</v>
      </c>
      <c r="AG10" s="25">
        <v>405641433.57550502</v>
      </c>
      <c r="AH10" s="25">
        <v>358699989.39999998</v>
      </c>
      <c r="AI10" s="101">
        <v>349.78984839999998</v>
      </c>
      <c r="AJ10" s="25">
        <v>347.84470189999996</v>
      </c>
      <c r="AK10" s="102">
        <v>344.37584369999996</v>
      </c>
      <c r="AL10" s="101">
        <v>339.4637755</v>
      </c>
      <c r="AM10" s="25">
        <v>333.12609300000003</v>
      </c>
      <c r="AN10" s="25">
        <v>325.73093399999999</v>
      </c>
      <c r="AO10" s="25">
        <v>318.93370930000003</v>
      </c>
      <c r="AP10" s="102">
        <v>313.19780250000002</v>
      </c>
      <c r="AQ10" s="101">
        <v>308.52180600000003</v>
      </c>
      <c r="AR10" s="25">
        <v>304.94413470000001</v>
      </c>
      <c r="AS10" s="25">
        <v>302.85805119999998</v>
      </c>
      <c r="AT10" s="25">
        <v>302.32541989999999</v>
      </c>
      <c r="AU10" s="102">
        <v>302.79875079999999</v>
      </c>
      <c r="AV10" s="105">
        <v>303.19194399999998</v>
      </c>
      <c r="AW10" s="105">
        <v>301.2874711</v>
      </c>
      <c r="AX10" s="25">
        <v>298.19526869999999</v>
      </c>
      <c r="AY10" s="105">
        <v>294.5149955</v>
      </c>
      <c r="AZ10" s="3"/>
    </row>
    <row r="11" spans="1:56" x14ac:dyDescent="0.25">
      <c r="A11" s="3"/>
      <c r="B11" s="229"/>
      <c r="C11" s="56" t="s">
        <v>33</v>
      </c>
      <c r="D11" s="26" t="s">
        <v>197</v>
      </c>
      <c r="E11" s="17">
        <f>VLOOKUP($D11,Résultats!$B$2:$AX$212,E$2,FALSE)</f>
        <v>188893454</v>
      </c>
      <c r="F11" s="17">
        <f>VLOOKUP($D11,Résultats!$B$2:$AX$212,F$2,FALSE)</f>
        <v>189152753.19999999</v>
      </c>
      <c r="G11" s="88">
        <f>VLOOKUP($D11,Résultats!$B$2:$AX$212,G$2,FALSE)/1000000</f>
        <v>191.72975690000001</v>
      </c>
      <c r="H11" s="17">
        <f>VLOOKUP($D11,Résultats!$B$2:$AX$212,H$2,FALSE)/1000000</f>
        <v>189.71503490000001</v>
      </c>
      <c r="I11" s="89">
        <f>VLOOKUP($D11,Résultats!$B$2:$AX$212,I$2,FALSE)/1000000</f>
        <v>186.65767389999999</v>
      </c>
      <c r="J11" s="88">
        <f>VLOOKUP($D11,Résultats!$B$2:$AX$212,J$2,FALSE)/1000000</f>
        <v>182.67895899999999</v>
      </c>
      <c r="K11" s="17">
        <f>VLOOKUP($D11,Résultats!$B$2:$AX$212,K$2,FALSE)/1000000</f>
        <v>178.76282940000002</v>
      </c>
      <c r="L11" s="17">
        <f>VLOOKUP($D11,Résultats!$B$2:$AX$212,L$2,FALSE)/1000000</f>
        <v>174.9851085</v>
      </c>
      <c r="M11" s="17">
        <f>VLOOKUP($D11,Résultats!$B$2:$AX$212,M$2,FALSE)/1000000</f>
        <v>172.42553240000001</v>
      </c>
      <c r="N11" s="89">
        <f>VLOOKUP($D11,Résultats!$B$2:$AX$212,N$2,FALSE)/1000000</f>
        <v>170.64387740000001</v>
      </c>
      <c r="O11" s="88">
        <f>VLOOKUP($D11,Résultats!$B$2:$AX$212,O$2,FALSE)/1000000</f>
        <v>169.88502890000001</v>
      </c>
      <c r="P11" s="17">
        <f>VLOOKUP($D11,Résultats!$B$2:$AX$212,P$2,FALSE)/1000000</f>
        <v>169.7903106</v>
      </c>
      <c r="Q11" s="17">
        <f>VLOOKUP($D11,Résultats!$B$2:$AX$212,Q$2,FALSE)/1000000</f>
        <v>169.89224630000001</v>
      </c>
      <c r="R11" s="17">
        <f>VLOOKUP($D11,Résultats!$B$2:$AX$212,R$2,FALSE)/1000000</f>
        <v>169.9238751</v>
      </c>
      <c r="S11" s="89">
        <f>VLOOKUP($D11,Résultats!$B$2:$AX$212,S$2,FALSE)/1000000</f>
        <v>169.76044619999999</v>
      </c>
      <c r="T11" s="97">
        <f>VLOOKUP($D11,Résultats!$B$2:$AX$212,T$2,FALSE)/1000000</f>
        <v>165.37735609999999</v>
      </c>
      <c r="U11" s="97">
        <f>VLOOKUP($D11,Résultats!$B$2:$AX$212,U$2,FALSE)/1000000</f>
        <v>156.84216319999999</v>
      </c>
      <c r="V11" s="17">
        <f>VLOOKUP($D11,Résultats!$B$2:$AX$212,V$2,FALSE)/1000000</f>
        <v>146.61688180000002</v>
      </c>
      <c r="W11" s="97">
        <f>VLOOKUP($D11,Résultats!$B$2:$AX$212,W$2,FALSE)/1000000</f>
        <v>135.51030850000001</v>
      </c>
      <c r="X11" s="3"/>
      <c r="AC11" s="3"/>
      <c r="AD11" s="229"/>
      <c r="AE11" s="56" t="s">
        <v>33</v>
      </c>
      <c r="AF11" s="26" t="s">
        <v>197</v>
      </c>
      <c r="AG11" s="17">
        <v>185908630.79867601</v>
      </c>
      <c r="AH11" s="17">
        <v>122848574.7</v>
      </c>
      <c r="AI11" s="88">
        <v>108.23245179999999</v>
      </c>
      <c r="AJ11" s="17">
        <v>104.1687845</v>
      </c>
      <c r="AK11" s="89">
        <v>99.74691254999999</v>
      </c>
      <c r="AL11" s="88">
        <v>95.046236530000002</v>
      </c>
      <c r="AM11" s="17">
        <v>90.107720040000004</v>
      </c>
      <c r="AN11" s="17">
        <v>85.015733400000002</v>
      </c>
      <c r="AO11" s="17">
        <v>80.102011930000003</v>
      </c>
      <c r="AP11" s="89">
        <v>75.443511400000006</v>
      </c>
      <c r="AQ11" s="88">
        <v>71.054838119999999</v>
      </c>
      <c r="AR11" s="17">
        <v>66.977444469999995</v>
      </c>
      <c r="AS11" s="17">
        <v>63.336991279999999</v>
      </c>
      <c r="AT11" s="17">
        <v>60.147778989999999</v>
      </c>
      <c r="AU11" s="89">
        <v>57.366378259999998</v>
      </c>
      <c r="AV11" s="97">
        <v>48.003292939999994</v>
      </c>
      <c r="AW11" s="97">
        <v>43.625386599999999</v>
      </c>
      <c r="AX11" s="17">
        <v>41.698375349999999</v>
      </c>
      <c r="AY11" s="97">
        <v>40.95083563</v>
      </c>
      <c r="AZ11" s="3"/>
    </row>
    <row r="12" spans="1:5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6" x14ac:dyDescent="0.25">
      <c r="A14" s="3"/>
      <c r="B14" s="3"/>
      <c r="C14" s="42"/>
      <c r="D14" s="11"/>
      <c r="E14" s="236">
        <v>2006</v>
      </c>
      <c r="F14" s="24">
        <v>2015</v>
      </c>
      <c r="G14" s="20">
        <v>2018</v>
      </c>
      <c r="H14" s="4">
        <v>2019</v>
      </c>
      <c r="I14" s="190">
        <v>2020</v>
      </c>
      <c r="J14" s="91">
        <v>2021</v>
      </c>
      <c r="K14" s="27">
        <v>2022</v>
      </c>
      <c r="L14" s="4">
        <v>2023</v>
      </c>
      <c r="M14" s="27">
        <v>2024</v>
      </c>
      <c r="N14" s="83">
        <v>2025</v>
      </c>
      <c r="O14" s="91">
        <v>2026</v>
      </c>
      <c r="P14" s="4">
        <v>2027</v>
      </c>
      <c r="Q14" s="27">
        <v>2028</v>
      </c>
      <c r="R14" s="27">
        <v>2029</v>
      </c>
      <c r="S14" s="83">
        <v>2030</v>
      </c>
      <c r="T14" s="4">
        <v>2035</v>
      </c>
      <c r="U14" s="93">
        <v>2040</v>
      </c>
      <c r="V14" s="4">
        <v>2045</v>
      </c>
      <c r="W14" s="93">
        <v>2050</v>
      </c>
      <c r="X14" s="3"/>
      <c r="AC14" s="3"/>
      <c r="AD14" s="3"/>
      <c r="AE14" s="42"/>
      <c r="AF14" s="11"/>
      <c r="AG14" s="236">
        <v>2006</v>
      </c>
      <c r="AH14" s="24">
        <v>2015</v>
      </c>
      <c r="AI14" s="20">
        <v>2018</v>
      </c>
      <c r="AJ14" s="4">
        <v>2019</v>
      </c>
      <c r="AK14" s="190">
        <v>2020</v>
      </c>
      <c r="AL14" s="91">
        <v>2021</v>
      </c>
      <c r="AM14" s="27">
        <v>2022</v>
      </c>
      <c r="AN14" s="4">
        <v>2023</v>
      </c>
      <c r="AO14" s="27">
        <v>2024</v>
      </c>
      <c r="AP14" s="83">
        <v>2025</v>
      </c>
      <c r="AQ14" s="91">
        <v>2026</v>
      </c>
      <c r="AR14" s="4">
        <v>2027</v>
      </c>
      <c r="AS14" s="27">
        <v>2028</v>
      </c>
      <c r="AT14" s="27">
        <v>2029</v>
      </c>
      <c r="AU14" s="83">
        <v>2030</v>
      </c>
      <c r="AV14" s="4">
        <v>2035</v>
      </c>
      <c r="AW14" s="93">
        <v>2040</v>
      </c>
      <c r="AX14" s="4">
        <v>2045</v>
      </c>
      <c r="AY14" s="93">
        <v>2050</v>
      </c>
      <c r="AZ14" s="3"/>
    </row>
    <row r="15" spans="1:56" ht="15.75" thickBot="1" x14ac:dyDescent="0.3">
      <c r="A15" s="3"/>
      <c r="B15" s="228" t="s">
        <v>101</v>
      </c>
      <c r="C15" s="5" t="s">
        <v>44</v>
      </c>
      <c r="D15" s="12" t="s">
        <v>190</v>
      </c>
      <c r="E15" s="18">
        <f>E4/100</f>
        <v>23931657.800000001</v>
      </c>
      <c r="F15" s="18">
        <f>F4/100</f>
        <v>26236690</v>
      </c>
      <c r="G15" s="106">
        <f>G4*1000/100</f>
        <v>27156.825130000001</v>
      </c>
      <c r="H15" s="18">
        <f t="shared" ref="H15:W15" si="1">H4*1000/100</f>
        <v>27454.671249999999</v>
      </c>
      <c r="I15" s="232">
        <f t="shared" si="1"/>
        <v>27751.517399999997</v>
      </c>
      <c r="J15" s="106">
        <f t="shared" si="1"/>
        <v>28042.295709999999</v>
      </c>
      <c r="K15" s="18">
        <f t="shared" si="1"/>
        <v>28330.575769999999</v>
      </c>
      <c r="L15" s="18">
        <f t="shared" si="1"/>
        <v>28637.831890000001</v>
      </c>
      <c r="M15" s="18">
        <f t="shared" si="1"/>
        <v>28945.245209999997</v>
      </c>
      <c r="N15" s="107">
        <f t="shared" si="1"/>
        <v>29244.115229999999</v>
      </c>
      <c r="O15" s="106">
        <f t="shared" si="1"/>
        <v>29535.440950000004</v>
      </c>
      <c r="P15" s="18">
        <f t="shared" si="1"/>
        <v>29818.519090000002</v>
      </c>
      <c r="Q15" s="18">
        <f t="shared" si="1"/>
        <v>30094.840250000005</v>
      </c>
      <c r="R15" s="18">
        <f t="shared" si="1"/>
        <v>30362.846859999998</v>
      </c>
      <c r="S15" s="107">
        <f t="shared" si="1"/>
        <v>30621.841720000004</v>
      </c>
      <c r="T15" s="18">
        <f t="shared" si="1"/>
        <v>31883.84924</v>
      </c>
      <c r="U15" s="114">
        <f t="shared" si="1"/>
        <v>33065.109349999999</v>
      </c>
      <c r="V15" s="18">
        <f t="shared" si="1"/>
        <v>34055.716659999998</v>
      </c>
      <c r="W15" s="114">
        <f t="shared" si="1"/>
        <v>34790.179179999999</v>
      </c>
      <c r="X15" s="3"/>
      <c r="Y15" s="33" t="s">
        <v>102</v>
      </c>
      <c r="AC15" s="3"/>
      <c r="AD15" s="228" t="s">
        <v>101</v>
      </c>
      <c r="AE15" s="5" t="s">
        <v>44</v>
      </c>
      <c r="AF15" s="12" t="s">
        <v>190</v>
      </c>
      <c r="AG15" s="18">
        <v>23553498.758831903</v>
      </c>
      <c r="AH15" s="18">
        <v>25969983.98</v>
      </c>
      <c r="AI15" s="106">
        <v>26557.572249999997</v>
      </c>
      <c r="AJ15" s="18">
        <v>26719.482079999998</v>
      </c>
      <c r="AK15" s="232">
        <v>26882.378990000001</v>
      </c>
      <c r="AL15" s="106">
        <v>27046.269019999996</v>
      </c>
      <c r="AM15" s="18">
        <v>27212.510620000001</v>
      </c>
      <c r="AN15" s="18">
        <v>27333.149649999999</v>
      </c>
      <c r="AO15" s="18">
        <v>27452.011419999999</v>
      </c>
      <c r="AP15" s="107">
        <v>27569.50288</v>
      </c>
      <c r="AQ15" s="106">
        <v>27685.617249999999</v>
      </c>
      <c r="AR15" s="18">
        <v>27799.930970000001</v>
      </c>
      <c r="AS15" s="18">
        <v>27915.774529999999</v>
      </c>
      <c r="AT15" s="18">
        <v>28028.555909999999</v>
      </c>
      <c r="AU15" s="107">
        <v>28143.284440000003</v>
      </c>
      <c r="AV15" s="18">
        <v>28696.22798</v>
      </c>
      <c r="AW15" s="114">
        <v>29214.190490000001</v>
      </c>
      <c r="AX15" s="18">
        <v>29661.644070000002</v>
      </c>
      <c r="AY15" s="114">
        <v>30027.028059999997</v>
      </c>
      <c r="AZ15" s="3"/>
      <c r="BA15" s="33" t="s">
        <v>102</v>
      </c>
    </row>
    <row r="16" spans="1:56" x14ac:dyDescent="0.25">
      <c r="A16" s="3"/>
      <c r="B16" s="229"/>
      <c r="C16" s="35" t="s">
        <v>27</v>
      </c>
      <c r="D16" s="13" t="s">
        <v>191</v>
      </c>
      <c r="E16" s="74">
        <f>E5/E$4</f>
        <v>2.7625624832392512E-4</v>
      </c>
      <c r="F16" s="74">
        <f>F5/F$4</f>
        <v>6.3825587526475328E-3</v>
      </c>
      <c r="G16" s="108">
        <f>G5/G$4</f>
        <v>8.8253023301770612E-3</v>
      </c>
      <c r="H16" s="74">
        <f t="shared" ref="H16:W16" si="2">H5/H$4</f>
        <v>1.0168879166600838E-2</v>
      </c>
      <c r="I16" s="109">
        <f t="shared" si="2"/>
        <v>1.1773563235861116E-2</v>
      </c>
      <c r="J16" s="108">
        <f t="shared" si="2"/>
        <v>1.3678100836202902E-2</v>
      </c>
      <c r="K16" s="74">
        <f t="shared" si="2"/>
        <v>1.5783843757016591E-2</v>
      </c>
      <c r="L16" s="74">
        <f t="shared" si="2"/>
        <v>1.8003374085034479E-2</v>
      </c>
      <c r="M16" s="74">
        <f t="shared" si="2"/>
        <v>1.9900736764219659E-2</v>
      </c>
      <c r="N16" s="109">
        <f t="shared" si="2"/>
        <v>2.1571022728458861E-2</v>
      </c>
      <c r="O16" s="108">
        <f t="shared" si="2"/>
        <v>2.2928923541261702E-2</v>
      </c>
      <c r="P16" s="74">
        <f t="shared" si="2"/>
        <v>2.3937331463230627E-2</v>
      </c>
      <c r="Q16" s="74">
        <f t="shared" si="2"/>
        <v>2.4909084101218979E-2</v>
      </c>
      <c r="R16" s="74">
        <f t="shared" si="2"/>
        <v>2.5979532809855894E-2</v>
      </c>
      <c r="S16" s="109">
        <f t="shared" si="2"/>
        <v>2.7205781315102429E-2</v>
      </c>
      <c r="T16" s="74">
        <f t="shared" si="2"/>
        <v>3.6451720689418238E-2</v>
      </c>
      <c r="U16" s="115">
        <f t="shared" si="2"/>
        <v>5.1219873797272053E-2</v>
      </c>
      <c r="V16" s="74">
        <f t="shared" si="2"/>
        <v>7.1463991972265842E-2</v>
      </c>
      <c r="W16" s="115">
        <f t="shared" si="2"/>
        <v>9.7025795772288398E-2</v>
      </c>
      <c r="X16" s="3"/>
      <c r="Y16" s="133"/>
      <c r="Z16" s="134">
        <v>2020</v>
      </c>
      <c r="AA16" s="134">
        <v>2030</v>
      </c>
      <c r="AB16" s="135">
        <v>2050</v>
      </c>
      <c r="AC16" s="3"/>
      <c r="AD16" s="229"/>
      <c r="AE16" s="35" t="s">
        <v>27</v>
      </c>
      <c r="AF16" s="13" t="s">
        <v>191</v>
      </c>
      <c r="AG16" s="74">
        <v>2.7625624832392523E-4</v>
      </c>
      <c r="AH16" s="74">
        <v>1.6629641428835412E-2</v>
      </c>
      <c r="AI16" s="108">
        <v>1.898241431311554E-2</v>
      </c>
      <c r="AJ16" s="74">
        <v>1.9680566124955369E-2</v>
      </c>
      <c r="AK16" s="109">
        <v>2.055206032566986E-2</v>
      </c>
      <c r="AL16" s="108">
        <v>2.160970410624127E-2</v>
      </c>
      <c r="AM16" s="74">
        <v>2.2733103267779265E-2</v>
      </c>
      <c r="AN16" s="74">
        <v>2.393439203227719E-2</v>
      </c>
      <c r="AO16" s="74">
        <v>2.529841231575591E-2</v>
      </c>
      <c r="AP16" s="109">
        <v>2.6853587579088043E-2</v>
      </c>
      <c r="AQ16" s="108">
        <v>2.8536226646707685E-2</v>
      </c>
      <c r="AR16" s="74">
        <v>3.0145756689265623E-2</v>
      </c>
      <c r="AS16" s="74">
        <v>3.1295266461661024E-2</v>
      </c>
      <c r="AT16" s="74">
        <v>3.1832698318990882E-2</v>
      </c>
      <c r="AU16" s="109">
        <v>3.2226906380938385E-2</v>
      </c>
      <c r="AV16" s="74">
        <v>3.3842116701778453E-2</v>
      </c>
      <c r="AW16" s="115">
        <v>3.528596270202522E-2</v>
      </c>
      <c r="AX16" s="74">
        <v>3.6511438423446764E-2</v>
      </c>
      <c r="AY16" s="115">
        <v>3.7519654417640692E-2</v>
      </c>
      <c r="AZ16" s="3"/>
      <c r="BA16" s="133"/>
      <c r="BB16" s="134">
        <v>2020</v>
      </c>
      <c r="BC16" s="134">
        <v>2030</v>
      </c>
      <c r="BD16" s="135">
        <v>2050</v>
      </c>
    </row>
    <row r="17" spans="1:56" x14ac:dyDescent="0.25">
      <c r="A17" s="3"/>
      <c r="B17" s="229"/>
      <c r="C17" s="35" t="s">
        <v>28</v>
      </c>
      <c r="D17" s="13" t="s">
        <v>192</v>
      </c>
      <c r="E17" s="68">
        <f t="shared" ref="E17:G22" si="3">E6/E$4</f>
        <v>1.77137013884596E-2</v>
      </c>
      <c r="F17" s="68">
        <f t="shared" si="3"/>
        <v>4.2172493481456692E-2</v>
      </c>
      <c r="G17" s="110">
        <f t="shared" si="3"/>
        <v>4.9877827415976732E-2</v>
      </c>
      <c r="H17" s="68">
        <f t="shared" ref="H17:W17" si="4">H6/H$4</f>
        <v>5.4317607354340477E-2</v>
      </c>
      <c r="I17" s="111">
        <f t="shared" si="4"/>
        <v>5.928152433207131E-2</v>
      </c>
      <c r="J17" s="110">
        <f t="shared" si="4"/>
        <v>6.5155507840552629E-2</v>
      </c>
      <c r="K17" s="68">
        <f t="shared" si="4"/>
        <v>7.102376948973671E-2</v>
      </c>
      <c r="L17" s="68">
        <f t="shared" si="4"/>
        <v>7.6939071730824371E-2</v>
      </c>
      <c r="M17" s="68">
        <f t="shared" si="4"/>
        <v>8.157484532845663E-2</v>
      </c>
      <c r="N17" s="111">
        <f t="shared" si="4"/>
        <v>8.5676794401004688E-2</v>
      </c>
      <c r="O17" s="110">
        <f t="shared" si="4"/>
        <v>8.871975859226168E-2</v>
      </c>
      <c r="P17" s="68">
        <f t="shared" si="4"/>
        <v>9.0897710406717597E-2</v>
      </c>
      <c r="Q17" s="68">
        <f t="shared" si="4"/>
        <v>9.2908304771612799E-2</v>
      </c>
      <c r="R17" s="68">
        <f t="shared" si="4"/>
        <v>9.5098773751810181E-2</v>
      </c>
      <c r="S17" s="111">
        <f t="shared" si="4"/>
        <v>9.7602774200480066E-2</v>
      </c>
      <c r="T17" s="68">
        <f t="shared" si="4"/>
        <v>0.11526109028860783</v>
      </c>
      <c r="U17" s="116">
        <f t="shared" si="4"/>
        <v>0.13873279566214408</v>
      </c>
      <c r="V17" s="68">
        <f t="shared" si="4"/>
        <v>0.1643732193007974</v>
      </c>
      <c r="W17" s="116">
        <f t="shared" si="4"/>
        <v>0.18990652174617514</v>
      </c>
      <c r="X17" s="3"/>
      <c r="Y17" s="136" t="s">
        <v>54</v>
      </c>
      <c r="Z17" s="137">
        <f>I16+I17</f>
        <v>7.1055087567932426E-2</v>
      </c>
      <c r="AA17" s="137">
        <f>S16+S17</f>
        <v>0.12480855551558249</v>
      </c>
      <c r="AB17" s="138">
        <f>W16+W17</f>
        <v>0.28693231751846354</v>
      </c>
      <c r="AC17" s="3"/>
      <c r="AD17" s="229"/>
      <c r="AE17" s="35" t="s">
        <v>28</v>
      </c>
      <c r="AF17" s="13" t="s">
        <v>192</v>
      </c>
      <c r="AG17" s="68">
        <v>1.7713701388459593E-2</v>
      </c>
      <c r="AH17" s="68">
        <v>6.9742271631543756E-2</v>
      </c>
      <c r="AI17" s="110">
        <v>8.1178375783200599E-2</v>
      </c>
      <c r="AJ17" s="68">
        <v>8.5616416222091693E-2</v>
      </c>
      <c r="AK17" s="111">
        <v>9.1340609471855363E-2</v>
      </c>
      <c r="AL17" s="110">
        <v>9.8606449600418852E-2</v>
      </c>
      <c r="AM17" s="68">
        <v>0.10615167668053996</v>
      </c>
      <c r="AN17" s="68">
        <v>0.1126658795064988</v>
      </c>
      <c r="AO17" s="68">
        <v>0.11912820758253932</v>
      </c>
      <c r="AP17" s="111">
        <v>0.12547123609941566</v>
      </c>
      <c r="AQ17" s="110">
        <v>0.13162380416134664</v>
      </c>
      <c r="AR17" s="68">
        <v>0.13741741046488648</v>
      </c>
      <c r="AS17" s="68">
        <v>0.14263357202290744</v>
      </c>
      <c r="AT17" s="68">
        <v>0.14704290032757525</v>
      </c>
      <c r="AU17" s="111">
        <v>0.15090915365811511</v>
      </c>
      <c r="AV17" s="68">
        <v>0.16819727841456883</v>
      </c>
      <c r="AW17" s="116">
        <v>0.18386636890858446</v>
      </c>
      <c r="AX17" s="68">
        <v>0.19725136554104705</v>
      </c>
      <c r="AY17" s="116">
        <v>0.20829950118613239</v>
      </c>
      <c r="AZ17" s="3"/>
      <c r="BA17" s="136" t="s">
        <v>54</v>
      </c>
      <c r="BB17" s="137">
        <v>0.11189266979752523</v>
      </c>
      <c r="BC17" s="137">
        <v>0.1831360600390535</v>
      </c>
      <c r="BD17" s="138">
        <v>0.24581915560377307</v>
      </c>
    </row>
    <row r="18" spans="1:56" x14ac:dyDescent="0.25">
      <c r="A18" s="3"/>
      <c r="B18" s="229"/>
      <c r="C18" s="35" t="s">
        <v>29</v>
      </c>
      <c r="D18" s="13" t="s">
        <v>193</v>
      </c>
      <c r="E18" s="68">
        <f t="shared" si="3"/>
        <v>0.12575058882882739</v>
      </c>
      <c r="F18" s="68">
        <f t="shared" si="3"/>
        <v>0.21066393108276996</v>
      </c>
      <c r="G18" s="110">
        <f t="shared" si="3"/>
        <v>0.22432394901973579</v>
      </c>
      <c r="H18" s="68">
        <f t="shared" ref="H18:W18" si="5">H7/H$4</f>
        <v>0.23051955043898037</v>
      </c>
      <c r="I18" s="111">
        <f t="shared" si="5"/>
        <v>0.23697846219392676</v>
      </c>
      <c r="J18" s="110">
        <f t="shared" si="5"/>
        <v>0.24359029098905399</v>
      </c>
      <c r="K18" s="68">
        <f t="shared" si="5"/>
        <v>0.24948093965264298</v>
      </c>
      <c r="L18" s="68">
        <f t="shared" si="5"/>
        <v>0.25480446679862118</v>
      </c>
      <c r="M18" s="68">
        <f t="shared" si="5"/>
        <v>0.25871271563499737</v>
      </c>
      <c r="N18" s="111">
        <f t="shared" si="5"/>
        <v>0.26169596176221877</v>
      </c>
      <c r="O18" s="110">
        <f t="shared" si="5"/>
        <v>0.26364578670696975</v>
      </c>
      <c r="P18" s="68">
        <f t="shared" si="5"/>
        <v>0.26496999331699539</v>
      </c>
      <c r="Q18" s="68">
        <f t="shared" si="5"/>
        <v>0.2659816674720511</v>
      </c>
      <c r="R18" s="68">
        <f t="shared" si="5"/>
        <v>0.26684523125773851</v>
      </c>
      <c r="S18" s="111">
        <f t="shared" si="5"/>
        <v>0.26763840209020578</v>
      </c>
      <c r="T18" s="68">
        <f t="shared" si="5"/>
        <v>0.27112629340735145</v>
      </c>
      <c r="U18" s="116">
        <f t="shared" si="5"/>
        <v>0.27224462089976426</v>
      </c>
      <c r="V18" s="68">
        <f t="shared" si="5"/>
        <v>0.26965367062106632</v>
      </c>
      <c r="W18" s="116">
        <f t="shared" si="5"/>
        <v>0.26392567400970768</v>
      </c>
      <c r="X18" s="3"/>
      <c r="Y18" s="136" t="s">
        <v>55</v>
      </c>
      <c r="Z18" s="137">
        <f>I18+I19+I20</f>
        <v>0.75964279484767927</v>
      </c>
      <c r="AA18" s="137">
        <f>S18+S19+S20</f>
        <v>0.74110459356133052</v>
      </c>
      <c r="AB18" s="138">
        <f>W18+W19+W20</f>
        <v>0.61866478857841856</v>
      </c>
      <c r="AC18" s="3"/>
      <c r="AD18" s="229"/>
      <c r="AE18" s="35" t="s">
        <v>29</v>
      </c>
      <c r="AF18" s="13" t="s">
        <v>193</v>
      </c>
      <c r="AG18" s="68">
        <v>0.12575058882882711</v>
      </c>
      <c r="AH18" s="68">
        <v>0.21911275641841962</v>
      </c>
      <c r="AI18" s="110">
        <v>0.23825625442852749</v>
      </c>
      <c r="AJ18" s="68">
        <v>0.24161201207684488</v>
      </c>
      <c r="AK18" s="111">
        <v>0.24455613282758795</v>
      </c>
      <c r="AL18" s="110">
        <v>0.24673344098091057</v>
      </c>
      <c r="AM18" s="68">
        <v>0.24961673279082403</v>
      </c>
      <c r="AN18" s="68">
        <v>0.25335794116943272</v>
      </c>
      <c r="AO18" s="68">
        <v>0.2567414043426039</v>
      </c>
      <c r="AP18" s="111">
        <v>0.25951109793823024</v>
      </c>
      <c r="AQ18" s="110">
        <v>0.26169012384941498</v>
      </c>
      <c r="AR18" s="68">
        <v>0.26336582993321006</v>
      </c>
      <c r="AS18" s="68">
        <v>0.264535488566292</v>
      </c>
      <c r="AT18" s="68">
        <v>0.2651534802885962</v>
      </c>
      <c r="AU18" s="111">
        <v>0.26456632525865909</v>
      </c>
      <c r="AV18" s="68">
        <v>0.25952290901056607</v>
      </c>
      <c r="AW18" s="116">
        <v>0.25485171144990371</v>
      </c>
      <c r="AX18" s="68">
        <v>0.25089202970130575</v>
      </c>
      <c r="AY18" s="116">
        <v>0.24771102411924817</v>
      </c>
      <c r="AZ18" s="3"/>
      <c r="BA18" s="136" t="s">
        <v>55</v>
      </c>
      <c r="BB18" s="137">
        <v>0.72289771229804389</v>
      </c>
      <c r="BC18" s="137">
        <v>0.68888842591678678</v>
      </c>
      <c r="BD18" s="138">
        <v>0.64245955428730506</v>
      </c>
    </row>
    <row r="19" spans="1:56" ht="15.75" thickBot="1" x14ac:dyDescent="0.3">
      <c r="A19" s="3"/>
      <c r="B19" s="229"/>
      <c r="C19" s="35" t="s">
        <v>30</v>
      </c>
      <c r="D19" s="13" t="s">
        <v>194</v>
      </c>
      <c r="E19" s="68">
        <f t="shared" si="3"/>
        <v>0.27637430617113368</v>
      </c>
      <c r="F19" s="68">
        <f t="shared" si="3"/>
        <v>0.31064903377674546</v>
      </c>
      <c r="G19" s="110">
        <f t="shared" si="3"/>
        <v>0.31329123939459558</v>
      </c>
      <c r="H19" s="68">
        <f t="shared" ref="H19:W19" si="6">H8/H$4</f>
        <v>0.31387030420187606</v>
      </c>
      <c r="I19" s="111">
        <f t="shared" si="6"/>
        <v>0.31435572279734159</v>
      </c>
      <c r="J19" s="110">
        <f t="shared" si="6"/>
        <v>0.3141616005375189</v>
      </c>
      <c r="K19" s="68">
        <f t="shared" si="6"/>
        <v>0.31358924856047854</v>
      </c>
      <c r="L19" s="68">
        <f t="shared" si="6"/>
        <v>0.31270836781212763</v>
      </c>
      <c r="M19" s="68">
        <f t="shared" si="6"/>
        <v>0.31216515028445324</v>
      </c>
      <c r="N19" s="111">
        <f t="shared" si="6"/>
        <v>0.31147649061564714</v>
      </c>
      <c r="O19" s="110">
        <f t="shared" si="6"/>
        <v>0.31107988340360293</v>
      </c>
      <c r="P19" s="68">
        <f t="shared" si="6"/>
        <v>0.31105202760087841</v>
      </c>
      <c r="Q19" s="68">
        <f t="shared" si="6"/>
        <v>0.31095712378802209</v>
      </c>
      <c r="R19" s="68">
        <f t="shared" si="6"/>
        <v>0.31058045101901227</v>
      </c>
      <c r="S19" s="111">
        <f t="shared" si="6"/>
        <v>0.30984826898256201</v>
      </c>
      <c r="T19" s="68">
        <f t="shared" si="6"/>
        <v>0.30104309626324155</v>
      </c>
      <c r="U19" s="116">
        <f t="shared" si="6"/>
        <v>0.28481148059472544</v>
      </c>
      <c r="V19" s="68">
        <f t="shared" si="6"/>
        <v>0.26288825325222215</v>
      </c>
      <c r="W19" s="116">
        <f t="shared" si="6"/>
        <v>0.23770958914043741</v>
      </c>
      <c r="X19" s="3"/>
      <c r="Y19" s="139" t="s">
        <v>60</v>
      </c>
      <c r="Z19" s="140">
        <f>I21+I22</f>
        <v>0.16930211744025214</v>
      </c>
      <c r="AA19" s="140">
        <f>S21+S22</f>
        <v>0.13408685099819656</v>
      </c>
      <c r="AB19" s="270">
        <f>W21+W22</f>
        <v>9.4829796303452105E-2</v>
      </c>
      <c r="AC19" s="3"/>
      <c r="AD19" s="229"/>
      <c r="AE19" s="35" t="s">
        <v>30</v>
      </c>
      <c r="AF19" s="13" t="s">
        <v>194</v>
      </c>
      <c r="AG19" s="68">
        <v>0.27637430617113345</v>
      </c>
      <c r="AH19" s="68">
        <v>0.24399997608315813</v>
      </c>
      <c r="AI19" s="110">
        <v>0.2366669213900002</v>
      </c>
      <c r="AJ19" s="68">
        <v>0.23468160828213183</v>
      </c>
      <c r="AK19" s="111">
        <v>0.23286925708207196</v>
      </c>
      <c r="AL19" s="110">
        <v>0.23119912330148079</v>
      </c>
      <c r="AM19" s="68">
        <v>0.22958027552990262</v>
      </c>
      <c r="AN19" s="68">
        <v>0.22823590127309021</v>
      </c>
      <c r="AO19" s="68">
        <v>0.22667237149939959</v>
      </c>
      <c r="AP19" s="111">
        <v>0.22484807807314372</v>
      </c>
      <c r="AQ19" s="110">
        <v>0.22283946683543782</v>
      </c>
      <c r="AR19" s="68">
        <v>0.22080782835843135</v>
      </c>
      <c r="AS19" s="68">
        <v>0.21896131706577443</v>
      </c>
      <c r="AT19" s="68">
        <v>0.21754236545681527</v>
      </c>
      <c r="AU19" s="111">
        <v>0.21668893895456073</v>
      </c>
      <c r="AV19" s="68">
        <v>0.21328461407073057</v>
      </c>
      <c r="AW19" s="116">
        <v>0.20989243419559833</v>
      </c>
      <c r="AX19" s="68">
        <v>0.2069443498652298</v>
      </c>
      <c r="AY19" s="116">
        <v>0.20457087690216122</v>
      </c>
      <c r="AZ19" s="3"/>
      <c r="BA19" s="139" t="s">
        <v>60</v>
      </c>
      <c r="BB19" s="140">
        <v>0.16520961794906971</v>
      </c>
      <c r="BC19" s="140">
        <v>0.12797551395532852</v>
      </c>
      <c r="BD19" s="270">
        <v>0.11172129005230631</v>
      </c>
    </row>
    <row r="20" spans="1:56" x14ac:dyDescent="0.25">
      <c r="A20" s="3"/>
      <c r="B20" s="229"/>
      <c r="C20" s="35" t="s">
        <v>31</v>
      </c>
      <c r="D20" s="13" t="s">
        <v>195</v>
      </c>
      <c r="E20" s="68">
        <f t="shared" si="3"/>
        <v>0.32873347328240671</v>
      </c>
      <c r="F20" s="68">
        <f t="shared" si="3"/>
        <v>0.2391814707571725</v>
      </c>
      <c r="G20" s="110">
        <f t="shared" si="3"/>
        <v>0.22315340383089913</v>
      </c>
      <c r="H20" s="68">
        <f t="shared" ref="H20:W20" si="7">H9/H$4</f>
        <v>0.21594448576760866</v>
      </c>
      <c r="I20" s="111">
        <f t="shared" si="7"/>
        <v>0.20830860985641098</v>
      </c>
      <c r="J20" s="110">
        <f t="shared" si="7"/>
        <v>0.20035267180341707</v>
      </c>
      <c r="K20" s="68">
        <f t="shared" si="7"/>
        <v>0.19292678685294504</v>
      </c>
      <c r="L20" s="68">
        <f t="shared" si="7"/>
        <v>0.18591489462088606</v>
      </c>
      <c r="M20" s="68">
        <f t="shared" si="7"/>
        <v>0.18039796695852559</v>
      </c>
      <c r="N20" s="111">
        <f t="shared" si="7"/>
        <v>0.17588844150509114</v>
      </c>
      <c r="O20" s="110">
        <f t="shared" si="7"/>
        <v>0.17254710172187218</v>
      </c>
      <c r="P20" s="68">
        <f t="shared" si="7"/>
        <v>0.1700356023616329</v>
      </c>
      <c r="Q20" s="68">
        <f t="shared" si="7"/>
        <v>0.16784783298525732</v>
      </c>
      <c r="R20" s="68">
        <f t="shared" si="7"/>
        <v>0.16574376830354964</v>
      </c>
      <c r="S20" s="111">
        <f t="shared" si="7"/>
        <v>0.16361792248856283</v>
      </c>
      <c r="T20" s="68">
        <f t="shared" si="7"/>
        <v>0.15161452463322461</v>
      </c>
      <c r="U20" s="116">
        <f t="shared" si="7"/>
        <v>0.13896493849036673</v>
      </c>
      <c r="V20" s="68">
        <f t="shared" si="7"/>
        <v>0.12747639464886246</v>
      </c>
      <c r="W20" s="116">
        <f t="shared" si="7"/>
        <v>0.11702952542827345</v>
      </c>
      <c r="X20" s="3"/>
      <c r="Y20" s="173" t="s">
        <v>92</v>
      </c>
      <c r="Z20" s="174">
        <f>SUM(Z17:Z19)</f>
        <v>0.99999999985586385</v>
      </c>
      <c r="AA20" s="174">
        <f t="shared" ref="AA20:AB20" si="8">SUM(AA17:AA19)</f>
        <v>1.0000000000751095</v>
      </c>
      <c r="AB20" s="174">
        <f t="shared" si="8"/>
        <v>1.0004269024003343</v>
      </c>
      <c r="AC20" s="3"/>
      <c r="AD20" s="229"/>
      <c r="AE20" s="35" t="s">
        <v>31</v>
      </c>
      <c r="AF20" s="13" t="s">
        <v>195</v>
      </c>
      <c r="AG20" s="68">
        <v>0.32873347328240687</v>
      </c>
      <c r="AH20" s="68">
        <v>0.26509030195404842</v>
      </c>
      <c r="AI20" s="110">
        <v>0.25245211474478813</v>
      </c>
      <c r="AJ20" s="68">
        <v>0.24923939412675924</v>
      </c>
      <c r="AK20" s="111">
        <v>0.24547232238838398</v>
      </c>
      <c r="AL20" s="110">
        <v>0.24119695582322501</v>
      </c>
      <c r="AM20" s="68">
        <v>0.23638908066322328</v>
      </c>
      <c r="AN20" s="68">
        <v>0.23153170520178237</v>
      </c>
      <c r="AO20" s="68">
        <v>0.22680205092235828</v>
      </c>
      <c r="AP20" s="111">
        <v>0.22234816495175047</v>
      </c>
      <c r="AQ20" s="110">
        <v>0.21820791100476547</v>
      </c>
      <c r="AR20" s="68">
        <v>0.21447810166990497</v>
      </c>
      <c r="AS20" s="68">
        <v>0.21139582011805283</v>
      </c>
      <c r="AT20" s="68">
        <v>0.20910573223320947</v>
      </c>
      <c r="AU20" s="111">
        <v>0.20763316170356694</v>
      </c>
      <c r="AV20" s="68">
        <v>0.20276931860366407</v>
      </c>
      <c r="AW20" s="116">
        <v>0.19804005693672738</v>
      </c>
      <c r="AX20" s="68">
        <v>0.19381052501450233</v>
      </c>
      <c r="AY20" s="116">
        <v>0.1901776532658957</v>
      </c>
      <c r="AZ20" s="3"/>
      <c r="BA20" s="173" t="s">
        <v>92</v>
      </c>
      <c r="BB20" s="174">
        <v>1.0000000000446387</v>
      </c>
      <c r="BC20" s="174">
        <v>0.99999999991116884</v>
      </c>
      <c r="BD20" s="174">
        <v>0.99999999994338451</v>
      </c>
    </row>
    <row r="21" spans="1:56" x14ac:dyDescent="0.25">
      <c r="A21" s="3"/>
      <c r="B21" s="229"/>
      <c r="C21" s="35" t="s">
        <v>32</v>
      </c>
      <c r="D21" s="13" t="s">
        <v>196</v>
      </c>
      <c r="E21" s="68">
        <f t="shared" si="3"/>
        <v>0.1722213067913749</v>
      </c>
      <c r="F21" s="68">
        <f t="shared" si="3"/>
        <v>0.11885576496120509</v>
      </c>
      <c r="G21" s="110">
        <f t="shared" si="3"/>
        <v>0.10992733096411111</v>
      </c>
      <c r="H21" s="68">
        <f t="shared" ref="H21:W21" si="9">H10/H$4</f>
        <v>0.10607798707478604</v>
      </c>
      <c r="I21" s="111">
        <f t="shared" si="9"/>
        <v>0.10204176867820569</v>
      </c>
      <c r="J21" s="110">
        <f t="shared" si="9"/>
        <v>9.7917746834857836E-2</v>
      </c>
      <c r="K21" s="68">
        <f t="shared" si="9"/>
        <v>9.4096507202754948E-2</v>
      </c>
      <c r="L21" s="68">
        <f t="shared" si="9"/>
        <v>9.0527047122770155E-2</v>
      </c>
      <c r="M21" s="68">
        <f t="shared" si="9"/>
        <v>8.7679031861274737E-2</v>
      </c>
      <c r="N21" s="111">
        <f t="shared" si="9"/>
        <v>8.533976208108382E-2</v>
      </c>
      <c r="O21" s="110">
        <f t="shared" si="9"/>
        <v>8.3559503383679803E-2</v>
      </c>
      <c r="P21" s="68">
        <f t="shared" si="9"/>
        <v>8.2166106593189639E-2</v>
      </c>
      <c r="Q21" s="68">
        <f t="shared" si="9"/>
        <v>8.0943703065511366E-2</v>
      </c>
      <c r="R21" s="68">
        <f t="shared" si="9"/>
        <v>7.9787834789349532E-2</v>
      </c>
      <c r="S21" s="111">
        <f t="shared" si="9"/>
        <v>7.8649151413613921E-2</v>
      </c>
      <c r="T21" s="68">
        <f t="shared" si="9"/>
        <v>7.263458265555392E-2</v>
      </c>
      <c r="U21" s="116">
        <f t="shared" si="9"/>
        <v>6.6591950708307576E-2</v>
      </c>
      <c r="V21" s="68">
        <f t="shared" si="9"/>
        <v>6.1092408442653519E-2</v>
      </c>
      <c r="W21" s="116">
        <f t="shared" si="9"/>
        <v>5.5879060292899595E-2</v>
      </c>
      <c r="X21" s="3"/>
      <c r="AC21" s="3"/>
      <c r="AD21" s="229"/>
      <c r="AE21" s="35" t="s">
        <v>32</v>
      </c>
      <c r="AF21" s="13" t="s">
        <v>196</v>
      </c>
      <c r="AG21" s="68">
        <v>0.17222130679137462</v>
      </c>
      <c r="AH21" s="68">
        <v>0.13812098986131141</v>
      </c>
      <c r="AI21" s="110">
        <v>0.13171002420976188</v>
      </c>
      <c r="AJ21" s="68">
        <v>0.13018392379707383</v>
      </c>
      <c r="AK21" s="111">
        <v>0.12810467549323093</v>
      </c>
      <c r="AL21" s="110">
        <v>0.12551223802772041</v>
      </c>
      <c r="AM21" s="68">
        <v>0.12241652291911904</v>
      </c>
      <c r="AN21" s="68">
        <v>0.11917065474377191</v>
      </c>
      <c r="AO21" s="68">
        <v>0.11617863056389478</v>
      </c>
      <c r="AP21" s="111">
        <v>0.11360299235834463</v>
      </c>
      <c r="AQ21" s="110">
        <v>0.11143757540749792</v>
      </c>
      <c r="AR21" s="68">
        <v>0.10969240716067864</v>
      </c>
      <c r="AS21" s="68">
        <v>0.10848993312885881</v>
      </c>
      <c r="AT21" s="68">
        <v>0.10786335937918821</v>
      </c>
      <c r="AU21" s="111">
        <v>0.107591831168658</v>
      </c>
      <c r="AV21" s="68">
        <v>0.1056556785830219</v>
      </c>
      <c r="AW21" s="116">
        <v>0.10313052186167217</v>
      </c>
      <c r="AX21" s="68">
        <v>0.10053227932891177</v>
      </c>
      <c r="AY21" s="116">
        <v>9.8083298457476459E-2</v>
      </c>
      <c r="AZ21" s="3"/>
    </row>
    <row r="22" spans="1:56" x14ac:dyDescent="0.25">
      <c r="A22" s="3"/>
      <c r="B22" s="229"/>
      <c r="C22" s="56" t="s">
        <v>33</v>
      </c>
      <c r="D22" s="26" t="s">
        <v>197</v>
      </c>
      <c r="E22" s="70">
        <f t="shared" si="3"/>
        <v>7.893036728947378E-2</v>
      </c>
      <c r="F22" s="70">
        <f t="shared" si="3"/>
        <v>7.2094747165134018E-2</v>
      </c>
      <c r="G22" s="112">
        <f t="shared" si="3"/>
        <v>7.0600946900894232E-2</v>
      </c>
      <c r="H22" s="70">
        <f t="shared" ref="H22:W22" si="10">H11/H$4</f>
        <v>6.910118615971407E-2</v>
      </c>
      <c r="I22" s="113">
        <f t="shared" si="10"/>
        <v>6.7260348762046437E-2</v>
      </c>
      <c r="J22" s="112">
        <f t="shared" si="10"/>
        <v>6.5144081243981716E-2</v>
      </c>
      <c r="K22" s="70">
        <f t="shared" si="10"/>
        <v>6.3098904466776393E-2</v>
      </c>
      <c r="L22" s="70">
        <f t="shared" si="10"/>
        <v>6.1102778021789685E-2</v>
      </c>
      <c r="M22" s="70">
        <f t="shared" si="10"/>
        <v>5.9569553185346819E-2</v>
      </c>
      <c r="N22" s="113">
        <f t="shared" si="10"/>
        <v>5.835152681416924E-2</v>
      </c>
      <c r="O22" s="112">
        <f t="shared" si="10"/>
        <v>5.7519042694366813E-2</v>
      </c>
      <c r="P22" s="70">
        <f t="shared" si="10"/>
        <v>5.6941228398207484E-2</v>
      </c>
      <c r="Q22" s="70">
        <f t="shared" si="10"/>
        <v>5.6452283809680634E-2</v>
      </c>
      <c r="R22" s="70">
        <f t="shared" si="10"/>
        <v>5.5964408042335989E-2</v>
      </c>
      <c r="S22" s="113">
        <f t="shared" si="10"/>
        <v>5.5437699584582653E-2</v>
      </c>
      <c r="T22" s="70">
        <f t="shared" si="10"/>
        <v>5.1868692156693937E-2</v>
      </c>
      <c r="U22" s="117">
        <f t="shared" si="10"/>
        <v>4.7434339786933143E-2</v>
      </c>
      <c r="V22" s="70">
        <f t="shared" si="10"/>
        <v>4.305206179149601E-2</v>
      </c>
      <c r="W22" s="117">
        <f t="shared" si="10"/>
        <v>3.895073601055251E-2</v>
      </c>
      <c r="X22" s="3"/>
      <c r="AC22" s="3"/>
      <c r="AD22" s="229"/>
      <c r="AE22" s="56" t="s">
        <v>33</v>
      </c>
      <c r="AF22" s="26" t="s">
        <v>197</v>
      </c>
      <c r="AG22" s="70">
        <v>7.8930367289473502E-2</v>
      </c>
      <c r="AH22" s="70">
        <v>4.7304062564924233E-2</v>
      </c>
      <c r="AI22" s="112">
        <v>4.0753895266160862E-2</v>
      </c>
      <c r="AJ22" s="70">
        <v>3.8986079216697153E-2</v>
      </c>
      <c r="AK22" s="113">
        <v>3.7104942455838792E-2</v>
      </c>
      <c r="AL22" s="112">
        <v>3.5142087975134698E-2</v>
      </c>
      <c r="AM22" s="70">
        <v>3.311260813023801E-2</v>
      </c>
      <c r="AN22" s="70">
        <v>3.1103526117049595E-2</v>
      </c>
      <c r="AO22" s="70">
        <v>2.9178922704236585E-2</v>
      </c>
      <c r="AP22" s="113">
        <v>2.7364842858566628E-2</v>
      </c>
      <c r="AQ22" s="112">
        <v>2.5664892163457183E-2</v>
      </c>
      <c r="AR22" s="70">
        <v>2.4092665748802755E-2</v>
      </c>
      <c r="AS22" s="70">
        <v>2.2688602536151806E-2</v>
      </c>
      <c r="AT22" s="70">
        <v>2.1459464120497387E-2</v>
      </c>
      <c r="AU22" s="113">
        <v>2.0383682786670507E-2</v>
      </c>
      <c r="AV22" s="70">
        <v>1.6728084601730989E-2</v>
      </c>
      <c r="AW22" s="117">
        <v>1.4932943842798909E-2</v>
      </c>
      <c r="AX22" s="70">
        <v>1.4058012176126823E-2</v>
      </c>
      <c r="AY22" s="117">
        <v>1.3637991594829849E-2</v>
      </c>
      <c r="AZ22" s="3"/>
    </row>
    <row r="23" spans="1:5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293">
        <v>2023</v>
      </c>
      <c r="M24" s="293">
        <v>2024</v>
      </c>
      <c r="N24" s="293">
        <v>2025</v>
      </c>
      <c r="O24" s="293">
        <v>2026</v>
      </c>
      <c r="P24" s="293">
        <v>2027</v>
      </c>
      <c r="Q24" s="293">
        <v>2028</v>
      </c>
      <c r="R24" s="293">
        <v>2029</v>
      </c>
      <c r="S24" s="294">
        <v>2030</v>
      </c>
      <c r="T24" s="293">
        <v>2035</v>
      </c>
      <c r="U24" s="293">
        <v>2040</v>
      </c>
      <c r="V24" s="293">
        <v>2045</v>
      </c>
      <c r="W24" s="293">
        <v>2050</v>
      </c>
      <c r="X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293">
        <v>27409.152760000001</v>
      </c>
      <c r="M25" s="293">
        <v>27534.384159999998</v>
      </c>
      <c r="N25" s="293">
        <v>27700.864130000002</v>
      </c>
      <c r="O25" s="293">
        <v>27827.24728</v>
      </c>
      <c r="P25" s="293">
        <v>27954.14676</v>
      </c>
      <c r="Q25" s="293">
        <v>28081.564560000003</v>
      </c>
      <c r="R25" s="293">
        <v>28209.502670000002</v>
      </c>
      <c r="S25" s="295">
        <v>28379.33238</v>
      </c>
      <c r="T25" s="293">
        <v>28988.170300000002</v>
      </c>
      <c r="U25" s="293">
        <v>29523.746120000003</v>
      </c>
      <c r="V25" s="293">
        <v>30025.638859999999</v>
      </c>
      <c r="W25" s="293">
        <v>30354.287279999997</v>
      </c>
      <c r="X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6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293">
        <v>4.1624116914148641E-2</v>
      </c>
      <c r="M26" s="293">
        <v>5.2596252256255291E-2</v>
      </c>
      <c r="N26" s="293">
        <v>6.5747814416647232E-2</v>
      </c>
      <c r="O26" s="293">
        <v>7.9997070734335318E-2</v>
      </c>
      <c r="P26" s="293">
        <v>9.530484041860271E-2</v>
      </c>
      <c r="Q26" s="293">
        <v>0.11128804035554064</v>
      </c>
      <c r="R26" s="293">
        <v>0.1277171678688088</v>
      </c>
      <c r="S26" s="293">
        <v>0.144310124817672</v>
      </c>
      <c r="T26" s="293">
        <v>0.23039888057370769</v>
      </c>
      <c r="U26" s="293">
        <v>0.31790028036591178</v>
      </c>
      <c r="V26" s="293">
        <v>0.40549770104042343</v>
      </c>
      <c r="W26" s="293">
        <v>0.47588868639053089</v>
      </c>
      <c r="X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6" x14ac:dyDescent="0.25">
      <c r="L27" s="296">
        <v>7.5898692499388284E-2</v>
      </c>
      <c r="M27" s="296">
        <v>8.7239713154347157E-2</v>
      </c>
      <c r="N27" s="296">
        <v>0.10006509916050045</v>
      </c>
      <c r="O27" s="296">
        <v>0.11371798001286168</v>
      </c>
      <c r="P27" s="296">
        <v>0.1274660875036488</v>
      </c>
      <c r="Q27" s="296">
        <v>0.14072834010214422</v>
      </c>
      <c r="R27" s="296">
        <v>0.15318021985532579</v>
      </c>
      <c r="S27" s="296">
        <v>0.16456568482531725</v>
      </c>
      <c r="T27" s="296">
        <v>0.20721591048469865</v>
      </c>
      <c r="U27" s="296">
        <v>0.22820456318840612</v>
      </c>
      <c r="V27" s="296">
        <v>0.23319455071871201</v>
      </c>
      <c r="W27" s="296">
        <v>0.22857891325195365</v>
      </c>
    </row>
    <row r="28" spans="1:56" x14ac:dyDescent="0.25">
      <c r="L28" s="296">
        <v>0.26241690854073663</v>
      </c>
      <c r="M28" s="296">
        <v>0.27026887864122834</v>
      </c>
      <c r="N28" s="296">
        <v>0.27839092335925619</v>
      </c>
      <c r="O28" s="296">
        <v>0.28610080486552525</v>
      </c>
      <c r="P28" s="296">
        <v>0.29266041443648771</v>
      </c>
      <c r="Q28" s="296">
        <v>0.29772521175365735</v>
      </c>
      <c r="R28" s="296">
        <v>0.30120146258501901</v>
      </c>
      <c r="S28" s="296">
        <v>0.30323983675052191</v>
      </c>
      <c r="T28" s="296">
        <v>0.29498535614715909</v>
      </c>
      <c r="U28" s="296">
        <v>0.26827909015361767</v>
      </c>
      <c r="V28" s="296">
        <v>0.23329132171544412</v>
      </c>
      <c r="W28" s="296">
        <v>0.20267551921910915</v>
      </c>
    </row>
    <row r="29" spans="1:56" x14ac:dyDescent="0.25">
      <c r="L29" s="296">
        <v>0.31103555008243167</v>
      </c>
      <c r="M29" s="296">
        <v>0.30726089883972912</v>
      </c>
      <c r="N29" s="296">
        <v>0.30173638121086294</v>
      </c>
      <c r="O29" s="296">
        <v>0.2935316151759873</v>
      </c>
      <c r="P29" s="296">
        <v>0.28335135949611795</v>
      </c>
      <c r="Q29" s="296">
        <v>0.27192376089603459</v>
      </c>
      <c r="R29" s="296">
        <v>0.25983147135716589</v>
      </c>
      <c r="S29" s="296">
        <v>0.24783389389937438</v>
      </c>
      <c r="T29" s="296">
        <v>0.18863571541112406</v>
      </c>
      <c r="U29" s="296">
        <v>0.13973920214024654</v>
      </c>
      <c r="V29" s="296">
        <v>0.10072426615471522</v>
      </c>
      <c r="W29" s="296">
        <v>7.4843140444838016E-2</v>
      </c>
    </row>
    <row r="30" spans="1:56" x14ac:dyDescent="0.25">
      <c r="L30" s="296">
        <v>0.19282409942685141</v>
      </c>
      <c r="M30" s="296">
        <v>0.18053517021170232</v>
      </c>
      <c r="N30" s="296">
        <v>0.16652767539494082</v>
      </c>
      <c r="O30" s="296">
        <v>0.15239289579490162</v>
      </c>
      <c r="P30" s="296">
        <v>0.13860999544240785</v>
      </c>
      <c r="Q30" s="296">
        <v>0.1257152202989647</v>
      </c>
      <c r="R30" s="296">
        <v>0.11391359910139104</v>
      </c>
      <c r="S30" s="296">
        <v>0.103079395238402</v>
      </c>
      <c r="T30" s="296">
        <v>6.3467552762376311E-2</v>
      </c>
      <c r="U30" s="296">
        <v>3.9545033860357556E-2</v>
      </c>
      <c r="V30" s="296">
        <v>2.4676156279460425E-2</v>
      </c>
      <c r="W30" s="296">
        <v>1.6744166140737666E-2</v>
      </c>
    </row>
    <row r="31" spans="1:56" x14ac:dyDescent="0.25">
      <c r="L31" s="296">
        <v>9.2131982375072877E-2</v>
      </c>
      <c r="M31" s="296">
        <v>8.1418386152131025E-2</v>
      </c>
      <c r="N31" s="296">
        <v>7.0011436534922269E-2</v>
      </c>
      <c r="O31" s="296">
        <v>5.9489629762617326E-2</v>
      </c>
      <c r="P31" s="296">
        <v>5.0197046650977808E-2</v>
      </c>
      <c r="Q31" s="296">
        <v>4.2209707883882945E-2</v>
      </c>
      <c r="R31" s="296">
        <v>3.5432382332034926E-2</v>
      </c>
      <c r="S31" s="296">
        <v>2.9674727658269173E-2</v>
      </c>
      <c r="T31" s="296">
        <v>1.2288807106945967E-2</v>
      </c>
      <c r="U31" s="296">
        <v>5.089130118830598E-3</v>
      </c>
      <c r="V31" s="296">
        <v>2.1033528640129659E-3</v>
      </c>
      <c r="W31" s="296">
        <v>1.0223712098306266E-3</v>
      </c>
    </row>
    <row r="32" spans="1:56" x14ac:dyDescent="0.25">
      <c r="L32" s="296">
        <v>2.4068650205151396E-2</v>
      </c>
      <c r="M32" s="296">
        <v>2.0680700846297775E-2</v>
      </c>
      <c r="N32" s="296">
        <v>1.7520670016729908E-2</v>
      </c>
      <c r="O32" s="296">
        <v>1.4770003520808185E-2</v>
      </c>
      <c r="P32" s="296">
        <v>1.2410255987366076E-2</v>
      </c>
      <c r="Q32" s="296">
        <v>1.0409718652798595E-2</v>
      </c>
      <c r="R32" s="296">
        <v>8.7236969569729744E-3</v>
      </c>
      <c r="S32" s="296">
        <v>7.2963369126303589E-3</v>
      </c>
      <c r="T32" s="296">
        <v>3.007777410842653E-3</v>
      </c>
      <c r="U32" s="296">
        <v>1.2427002258072527E-3</v>
      </c>
      <c r="V32" s="296">
        <v>5.126512452165023E-4</v>
      </c>
      <c r="W32" s="296">
        <v>2.4720344861940046E-4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tabColor rgb="FF0070C0"/>
    <pageSetUpPr fitToPage="1"/>
  </sheetPr>
  <dimension ref="A1:CF648"/>
  <sheetViews>
    <sheetView topLeftCell="W1" zoomScale="80" zoomScaleNormal="80" workbookViewId="0">
      <selection activeCell="AM7" sqref="AM7"/>
    </sheetView>
  </sheetViews>
  <sheetFormatPr baseColWidth="10" defaultRowHeight="15" x14ac:dyDescent="0.25"/>
  <cols>
    <col min="1" max="1" width="11.42578125" style="3"/>
    <col min="2" max="2" width="17.140625" style="3" customWidth="1"/>
    <col min="3" max="3" width="28.140625" customWidth="1"/>
    <col min="4" max="4" width="41" hidden="1" customWidth="1"/>
    <col min="5" max="8" width="20.140625" hidden="1" customWidth="1"/>
    <col min="9" max="39" width="20.140625" customWidth="1"/>
    <col min="40" max="40" width="13" style="3" customWidth="1"/>
    <col min="41" max="84" width="11.42578125" style="3"/>
  </cols>
  <sheetData>
    <row r="1" spans="1:39" s="3" customFormat="1" ht="23.25" x14ac:dyDescent="0.35">
      <c r="A1" s="227" t="s">
        <v>69</v>
      </c>
      <c r="C1" s="227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</row>
    <row r="2" spans="1:39" s="3" customFormat="1" ht="23.25" x14ac:dyDescent="0.35">
      <c r="A2" s="46"/>
      <c r="E2" s="234">
        <f>Résultats!E1</f>
        <v>4</v>
      </c>
      <c r="F2" s="234">
        <f>Résultats!N1</f>
        <v>13</v>
      </c>
      <c r="G2" s="234">
        <f>F2+3</f>
        <v>16</v>
      </c>
      <c r="H2" s="234">
        <f t="shared" ref="H2:AA2" si="0">G2+1</f>
        <v>17</v>
      </c>
      <c r="I2" s="234">
        <f t="shared" si="0"/>
        <v>18</v>
      </c>
      <c r="J2" s="234">
        <f t="shared" si="0"/>
        <v>19</v>
      </c>
      <c r="K2" s="234">
        <f t="shared" si="0"/>
        <v>20</v>
      </c>
      <c r="L2" s="234">
        <f t="shared" si="0"/>
        <v>21</v>
      </c>
      <c r="M2" s="234">
        <f t="shared" si="0"/>
        <v>22</v>
      </c>
      <c r="N2" s="234">
        <f t="shared" si="0"/>
        <v>23</v>
      </c>
      <c r="O2" s="234">
        <f t="shared" si="0"/>
        <v>24</v>
      </c>
      <c r="P2" s="234">
        <f t="shared" si="0"/>
        <v>25</v>
      </c>
      <c r="Q2" s="234">
        <f t="shared" si="0"/>
        <v>26</v>
      </c>
      <c r="R2" s="234">
        <f t="shared" si="0"/>
        <v>27</v>
      </c>
      <c r="S2" s="234">
        <f t="shared" si="0"/>
        <v>28</v>
      </c>
      <c r="T2" s="234">
        <f t="shared" si="0"/>
        <v>29</v>
      </c>
      <c r="U2" s="234">
        <f t="shared" si="0"/>
        <v>30</v>
      </c>
      <c r="V2" s="234">
        <f t="shared" si="0"/>
        <v>31</v>
      </c>
      <c r="W2" s="234">
        <f t="shared" si="0"/>
        <v>32</v>
      </c>
      <c r="X2" s="234">
        <f>S2+5</f>
        <v>33</v>
      </c>
      <c r="Y2" s="234">
        <f t="shared" si="0"/>
        <v>34</v>
      </c>
      <c r="Z2" s="234">
        <f t="shared" ref="Z2" si="1">U2+5</f>
        <v>35</v>
      </c>
      <c r="AA2" s="234">
        <f t="shared" si="0"/>
        <v>36</v>
      </c>
      <c r="AB2" s="234">
        <f t="shared" ref="AB2" si="2">W2+5</f>
        <v>37</v>
      </c>
      <c r="AC2" s="234">
        <f>X2+5</f>
        <v>38</v>
      </c>
      <c r="AD2" s="234">
        <f t="shared" ref="AD2:AG2" si="3">Y2+5</f>
        <v>39</v>
      </c>
      <c r="AE2" s="234">
        <f t="shared" si="3"/>
        <v>40</v>
      </c>
      <c r="AF2" s="234">
        <f t="shared" si="3"/>
        <v>41</v>
      </c>
      <c r="AG2" s="234">
        <f t="shared" si="3"/>
        <v>42</v>
      </c>
      <c r="AH2" s="234">
        <f>AC2+5</f>
        <v>43</v>
      </c>
      <c r="AI2" s="234">
        <f t="shared" ref="AI2:AL2" si="4">AD2+5</f>
        <v>44</v>
      </c>
      <c r="AJ2" s="234">
        <f t="shared" si="4"/>
        <v>45</v>
      </c>
      <c r="AK2" s="234">
        <f t="shared" si="4"/>
        <v>46</v>
      </c>
      <c r="AL2" s="234">
        <f t="shared" si="4"/>
        <v>47</v>
      </c>
      <c r="AM2" s="235">
        <f>AH2+5</f>
        <v>48</v>
      </c>
    </row>
    <row r="3" spans="1:39" ht="23.25" x14ac:dyDescent="0.35">
      <c r="B3" s="46"/>
      <c r="D3" s="146"/>
      <c r="E3" s="92">
        <v>2006</v>
      </c>
      <c r="F3" s="92">
        <v>2015</v>
      </c>
      <c r="G3" s="92">
        <v>2018</v>
      </c>
      <c r="H3" s="92">
        <v>2019</v>
      </c>
      <c r="I3" s="92">
        <v>2020</v>
      </c>
      <c r="J3" s="20">
        <v>2021</v>
      </c>
      <c r="K3" s="4">
        <v>2022</v>
      </c>
      <c r="L3" s="4">
        <v>2023</v>
      </c>
      <c r="M3" s="4">
        <v>2024</v>
      </c>
      <c r="N3" s="92">
        <v>2025</v>
      </c>
      <c r="O3" s="20">
        <v>2026</v>
      </c>
      <c r="P3" s="4">
        <v>2027</v>
      </c>
      <c r="Q3" s="4">
        <v>2028</v>
      </c>
      <c r="R3" s="4">
        <v>2029</v>
      </c>
      <c r="S3" s="92">
        <v>2030</v>
      </c>
      <c r="T3" s="4">
        <v>2031</v>
      </c>
      <c r="U3" s="92">
        <v>2032</v>
      </c>
      <c r="V3" s="4">
        <v>2033</v>
      </c>
      <c r="W3" s="92">
        <v>2034</v>
      </c>
      <c r="X3" s="4">
        <v>2035</v>
      </c>
      <c r="Y3" s="92">
        <v>2036</v>
      </c>
      <c r="Z3" s="4">
        <v>2037</v>
      </c>
      <c r="AA3" s="92">
        <v>2038</v>
      </c>
      <c r="AB3" s="4">
        <v>2039</v>
      </c>
      <c r="AC3" s="93">
        <v>2040</v>
      </c>
      <c r="AD3" s="4">
        <v>2041</v>
      </c>
      <c r="AE3" s="93">
        <v>2042</v>
      </c>
      <c r="AF3" s="4">
        <v>2043</v>
      </c>
      <c r="AG3" s="93">
        <v>2044</v>
      </c>
      <c r="AH3" s="4">
        <v>2045</v>
      </c>
      <c r="AI3" s="93">
        <v>2046</v>
      </c>
      <c r="AJ3" s="4">
        <v>2047</v>
      </c>
      <c r="AK3" s="93">
        <v>2048</v>
      </c>
      <c r="AL3" s="4">
        <v>2049</v>
      </c>
      <c r="AM3" s="93">
        <v>2050</v>
      </c>
    </row>
    <row r="4" spans="1:39" x14ac:dyDescent="0.25">
      <c r="A4" s="152" t="str">
        <f>Résultats!B1</f>
        <v>SNBC3</v>
      </c>
      <c r="C4" s="175" t="s">
        <v>71</v>
      </c>
      <c r="D4" s="58" t="s">
        <v>130</v>
      </c>
      <c r="E4" s="59">
        <f t="shared" ref="E4:H4" si="5">E43</f>
        <v>32001.800439999999</v>
      </c>
      <c r="F4" s="59">
        <f t="shared" si="5"/>
        <v>35911.307350000003</v>
      </c>
      <c r="G4" s="59">
        <f t="shared" si="5"/>
        <v>36708.886160000002</v>
      </c>
      <c r="H4" s="59">
        <f t="shared" si="5"/>
        <v>37113.743849999999</v>
      </c>
      <c r="I4" s="59">
        <f t="shared" ref="I4:AM4" si="6">I43</f>
        <v>37467.881659999999</v>
      </c>
      <c r="J4" s="59">
        <f t="shared" si="6"/>
        <v>37680.910770000002</v>
      </c>
      <c r="K4" s="59">
        <f t="shared" si="6"/>
        <v>37788.529199999997</v>
      </c>
      <c r="L4" s="59">
        <f t="shared" si="6"/>
        <v>37735.726450000002</v>
      </c>
      <c r="M4" s="59">
        <f t="shared" si="6"/>
        <v>37793.078909999997</v>
      </c>
      <c r="N4" s="59">
        <f t="shared" si="6"/>
        <v>37104.334779999997</v>
      </c>
      <c r="O4" s="59">
        <f t="shared" si="6"/>
        <v>36977.623590000003</v>
      </c>
      <c r="P4" s="59">
        <f t="shared" si="6"/>
        <v>37062.246120000003</v>
      </c>
      <c r="Q4" s="59">
        <f t="shared" si="6"/>
        <v>37230.037609999999</v>
      </c>
      <c r="R4" s="59">
        <f t="shared" si="6"/>
        <v>37429.985030000003</v>
      </c>
      <c r="S4" s="59">
        <f t="shared" si="6"/>
        <v>37103.671970000003</v>
      </c>
      <c r="T4" s="59">
        <f t="shared" si="6"/>
        <v>37166.425139999999</v>
      </c>
      <c r="U4" s="59">
        <f t="shared" si="6"/>
        <v>37284.143250000001</v>
      </c>
      <c r="V4" s="59">
        <f t="shared" si="6"/>
        <v>37428.507749999997</v>
      </c>
      <c r="W4" s="59">
        <f t="shared" si="6"/>
        <v>37586.864970000002</v>
      </c>
      <c r="X4" s="59">
        <f t="shared" si="6"/>
        <v>37362.566760000002</v>
      </c>
      <c r="Y4" s="59">
        <f t="shared" si="6"/>
        <v>37382.751559999997</v>
      </c>
      <c r="Z4" s="59">
        <f t="shared" si="6"/>
        <v>37511.954230000003</v>
      </c>
      <c r="AA4" s="59">
        <f t="shared" si="6"/>
        <v>37683.449970000001</v>
      </c>
      <c r="AB4" s="59">
        <f t="shared" si="6"/>
        <v>37875.864829999999</v>
      </c>
      <c r="AC4" s="59">
        <f t="shared" si="6"/>
        <v>38081.349679999999</v>
      </c>
      <c r="AD4" s="59">
        <f t="shared" si="6"/>
        <v>38195.895270000001</v>
      </c>
      <c r="AE4" s="59">
        <f t="shared" si="6"/>
        <v>38269.756269999998</v>
      </c>
      <c r="AF4" s="59">
        <f t="shared" si="6"/>
        <v>38325.709860000003</v>
      </c>
      <c r="AG4" s="59">
        <f t="shared" si="6"/>
        <v>38371.473760000001</v>
      </c>
      <c r="AH4" s="59">
        <f t="shared" si="6"/>
        <v>38140.02996</v>
      </c>
      <c r="AI4" s="59">
        <f t="shared" si="6"/>
        <v>38021.783759999998</v>
      </c>
      <c r="AJ4" s="59">
        <f t="shared" si="6"/>
        <v>37948.509160000001</v>
      </c>
      <c r="AK4" s="59">
        <f t="shared" si="6"/>
        <v>37889.598149999998</v>
      </c>
      <c r="AL4" s="59">
        <f t="shared" si="6"/>
        <v>37833.162120000001</v>
      </c>
      <c r="AM4" s="103">
        <f t="shared" si="6"/>
        <v>37774.650130000002</v>
      </c>
    </row>
    <row r="5" spans="1:39" x14ac:dyDescent="0.25">
      <c r="C5" s="175" t="s">
        <v>72</v>
      </c>
      <c r="D5" s="58" t="s">
        <v>422</v>
      </c>
      <c r="E5" s="154"/>
      <c r="F5" s="154"/>
      <c r="G5" s="154">
        <f t="shared" ref="G5:AM5" si="7">G4/1000</f>
        <v>36.708886159999999</v>
      </c>
      <c r="H5" s="154">
        <f t="shared" si="7"/>
        <v>37.113743849999999</v>
      </c>
      <c r="I5" s="154">
        <f t="shared" si="7"/>
        <v>37.467881659999996</v>
      </c>
      <c r="J5" s="154">
        <f t="shared" si="7"/>
        <v>37.680910770000004</v>
      </c>
      <c r="K5" s="154">
        <f t="shared" si="7"/>
        <v>37.788529199999999</v>
      </c>
      <c r="L5" s="154">
        <f t="shared" si="7"/>
        <v>37.735726450000001</v>
      </c>
      <c r="M5" s="154">
        <f t="shared" si="7"/>
        <v>37.793078909999998</v>
      </c>
      <c r="N5" s="154">
        <f t="shared" si="7"/>
        <v>37.104334779999995</v>
      </c>
      <c r="O5" s="154">
        <f t="shared" si="7"/>
        <v>36.97762359</v>
      </c>
      <c r="P5" s="154">
        <f t="shared" si="7"/>
        <v>37.062246120000005</v>
      </c>
      <c r="Q5" s="154">
        <f t="shared" si="7"/>
        <v>37.230037609999997</v>
      </c>
      <c r="R5" s="154">
        <f t="shared" si="7"/>
        <v>37.429985030000005</v>
      </c>
      <c r="S5" s="154">
        <f t="shared" si="7"/>
        <v>37.103671970000001</v>
      </c>
      <c r="T5" s="154">
        <f t="shared" si="7"/>
        <v>37.166425140000001</v>
      </c>
      <c r="U5" s="154">
        <f t="shared" si="7"/>
        <v>37.28414325</v>
      </c>
      <c r="V5" s="154">
        <f t="shared" si="7"/>
        <v>37.428507749999994</v>
      </c>
      <c r="W5" s="154">
        <f t="shared" si="7"/>
        <v>37.586864970000001</v>
      </c>
      <c r="X5" s="154">
        <f t="shared" si="7"/>
        <v>37.36256676</v>
      </c>
      <c r="Y5" s="154">
        <f t="shared" si="7"/>
        <v>37.382751559999996</v>
      </c>
      <c r="Z5" s="154">
        <f t="shared" si="7"/>
        <v>37.511954230000001</v>
      </c>
      <c r="AA5" s="154">
        <f t="shared" si="7"/>
        <v>37.683449969999998</v>
      </c>
      <c r="AB5" s="154">
        <f t="shared" si="7"/>
        <v>37.875864829999998</v>
      </c>
      <c r="AC5" s="154">
        <f t="shared" si="7"/>
        <v>38.081349680000002</v>
      </c>
      <c r="AD5" s="154">
        <f t="shared" si="7"/>
        <v>38.195895270000001</v>
      </c>
      <c r="AE5" s="154">
        <f t="shared" si="7"/>
        <v>38.269756269999995</v>
      </c>
      <c r="AF5" s="154">
        <f t="shared" si="7"/>
        <v>38.325709860000003</v>
      </c>
      <c r="AG5" s="154">
        <f t="shared" si="7"/>
        <v>38.371473760000001</v>
      </c>
      <c r="AH5" s="154">
        <f t="shared" si="7"/>
        <v>38.14002996</v>
      </c>
      <c r="AI5" s="154">
        <f t="shared" si="7"/>
        <v>38.021783759999998</v>
      </c>
      <c r="AJ5" s="154">
        <f t="shared" si="7"/>
        <v>37.94850916</v>
      </c>
      <c r="AK5" s="154">
        <f t="shared" si="7"/>
        <v>37.889598149999998</v>
      </c>
      <c r="AL5" s="154">
        <f t="shared" si="7"/>
        <v>37.833162120000004</v>
      </c>
      <c r="AM5" s="176">
        <f t="shared" si="7"/>
        <v>37.774650130000005</v>
      </c>
    </row>
    <row r="6" spans="1:39" x14ac:dyDescent="0.25">
      <c r="C6" s="157" t="s">
        <v>73</v>
      </c>
      <c r="D6" s="3" t="s">
        <v>423</v>
      </c>
      <c r="E6" s="155"/>
      <c r="F6" s="155"/>
      <c r="G6" s="155">
        <f>G91</f>
        <v>6.2058962782759628E-3</v>
      </c>
      <c r="H6" s="155">
        <f t="shared" ref="H6:AM6" si="8">H91</f>
        <v>8.1432323379038458E-3</v>
      </c>
      <c r="I6" s="155">
        <f t="shared" si="8"/>
        <v>1.0537172311545088E-2</v>
      </c>
      <c r="J6" s="155">
        <f t="shared" si="8"/>
        <v>1.3357098507308717E-2</v>
      </c>
      <c r="K6" s="155">
        <f t="shared" si="8"/>
        <v>1.7054497421402685E-2</v>
      </c>
      <c r="L6" s="155">
        <f t="shared" si="8"/>
        <v>2.1541035468789816E-2</v>
      </c>
      <c r="M6" s="155">
        <f t="shared" si="8"/>
        <v>2.725072636851222E-2</v>
      </c>
      <c r="N6" s="155">
        <f t="shared" si="8"/>
        <v>3.1932832673735381E-2</v>
      </c>
      <c r="O6" s="155">
        <f t="shared" si="8"/>
        <v>3.9460211672299079E-2</v>
      </c>
      <c r="P6" s="155">
        <f t="shared" si="8"/>
        <v>4.9028422484611131E-2</v>
      </c>
      <c r="Q6" s="155">
        <f t="shared" si="8"/>
        <v>6.0255161960874527E-2</v>
      </c>
      <c r="R6" s="155">
        <f t="shared" si="8"/>
        <v>7.2918668383448182E-2</v>
      </c>
      <c r="S6" s="155">
        <f t="shared" si="8"/>
        <v>8.3905369784348052E-2</v>
      </c>
      <c r="T6" s="155">
        <f t="shared" si="8"/>
        <v>9.8258196914119467E-2</v>
      </c>
      <c r="U6" s="155">
        <f t="shared" si="8"/>
        <v>0.11391877129964625</v>
      </c>
      <c r="V6" s="155">
        <f t="shared" si="8"/>
        <v>0.13056814195324151</v>
      </c>
      <c r="W6" s="155">
        <f t="shared" si="8"/>
        <v>0.14796968561860879</v>
      </c>
      <c r="X6" s="155">
        <f t="shared" si="8"/>
        <v>0.1631359128550407</v>
      </c>
      <c r="Y6" s="155">
        <f t="shared" si="8"/>
        <v>0.18056662327720857</v>
      </c>
      <c r="Z6" s="155">
        <f t="shared" si="8"/>
        <v>0.19908496113560117</v>
      </c>
      <c r="AA6" s="155">
        <f t="shared" si="8"/>
        <v>0.21803181888975012</v>
      </c>
      <c r="AB6" s="155">
        <f t="shared" si="8"/>
        <v>0.23712241484942487</v>
      </c>
      <c r="AC6" s="155">
        <f t="shared" si="8"/>
        <v>0.25619678338564578</v>
      </c>
      <c r="AD6" s="155">
        <f t="shared" si="8"/>
        <v>0.27451951802359209</v>
      </c>
      <c r="AE6" s="155">
        <f t="shared" si="8"/>
        <v>0.29244237645624283</v>
      </c>
      <c r="AF6" s="155">
        <f t="shared" si="8"/>
        <v>0.31009213849953199</v>
      </c>
      <c r="AG6" s="155">
        <f t="shared" si="8"/>
        <v>0.32748150067405696</v>
      </c>
      <c r="AH6" s="155">
        <f t="shared" si="8"/>
        <v>0.34274549426704226</v>
      </c>
      <c r="AI6" s="155">
        <f t="shared" si="8"/>
        <v>0.35864886655701711</v>
      </c>
      <c r="AJ6" s="155">
        <f t="shared" si="8"/>
        <v>0.37463410749704401</v>
      </c>
      <c r="AK6" s="155">
        <f t="shared" si="8"/>
        <v>0.39044267272071875</v>
      </c>
      <c r="AL6" s="155">
        <f t="shared" si="8"/>
        <v>0.40596520854598872</v>
      </c>
      <c r="AM6" s="177">
        <f t="shared" si="8"/>
        <v>0.42115247302755093</v>
      </c>
    </row>
    <row r="7" spans="1:39" x14ac:dyDescent="0.25">
      <c r="C7" s="178" t="s">
        <v>75</v>
      </c>
      <c r="D7" s="7" t="s">
        <v>424</v>
      </c>
      <c r="E7" s="179"/>
      <c r="F7" s="179"/>
      <c r="G7" s="179">
        <f>G99</f>
        <v>0.99379410372172394</v>
      </c>
      <c r="H7" s="179">
        <f t="shared" ref="H7:AM7" si="9">H99</f>
        <v>0.99185676763784636</v>
      </c>
      <c r="I7" s="179">
        <f t="shared" si="9"/>
        <v>0.9894628275603452</v>
      </c>
      <c r="J7" s="179">
        <f t="shared" si="9"/>
        <v>0.98664290167846169</v>
      </c>
      <c r="K7" s="179">
        <f t="shared" si="9"/>
        <v>0.98294550241452638</v>
      </c>
      <c r="L7" s="179">
        <f t="shared" si="9"/>
        <v>0.97845896458156034</v>
      </c>
      <c r="M7" s="179">
        <f t="shared" si="9"/>
        <v>0.97274927368440767</v>
      </c>
      <c r="N7" s="179">
        <f t="shared" si="9"/>
        <v>0.96806716743406884</v>
      </c>
      <c r="O7" s="179">
        <f t="shared" si="9"/>
        <v>0.96053978843587429</v>
      </c>
      <c r="P7" s="179">
        <f t="shared" si="9"/>
        <v>0.9509715772725541</v>
      </c>
      <c r="Q7" s="179">
        <f t="shared" si="9"/>
        <v>0.93974483820028576</v>
      </c>
      <c r="R7" s="179">
        <f t="shared" si="9"/>
        <v>0.92708133150968541</v>
      </c>
      <c r="S7" s="179">
        <f t="shared" si="9"/>
        <v>0.91609463013479719</v>
      </c>
      <c r="T7" s="179">
        <f t="shared" si="9"/>
        <v>0.90174180308588059</v>
      </c>
      <c r="U7" s="179">
        <f t="shared" si="9"/>
        <v>0.88608122864671157</v>
      </c>
      <c r="V7" s="179">
        <f t="shared" si="9"/>
        <v>0.86943185812691137</v>
      </c>
      <c r="W7" s="179">
        <f t="shared" si="9"/>
        <v>0.85203031419515585</v>
      </c>
      <c r="X7" s="179">
        <f t="shared" si="9"/>
        <v>0.83686408727878303</v>
      </c>
      <c r="Y7" s="179">
        <f t="shared" si="9"/>
        <v>0.81943337693679397</v>
      </c>
      <c r="Z7" s="179">
        <f t="shared" si="9"/>
        <v>0.80091503886439874</v>
      </c>
      <c r="AA7" s="179">
        <f t="shared" si="9"/>
        <v>0.78196818108371291</v>
      </c>
      <c r="AB7" s="179">
        <f t="shared" si="9"/>
        <v>0.76287758522978133</v>
      </c>
      <c r="AC7" s="179">
        <f t="shared" si="9"/>
        <v>0.74380321674565186</v>
      </c>
      <c r="AD7" s="179">
        <f t="shared" si="9"/>
        <v>0.72548048197640791</v>
      </c>
      <c r="AE7" s="179">
        <f t="shared" si="9"/>
        <v>0.70755762354375717</v>
      </c>
      <c r="AF7" s="179">
        <f t="shared" si="9"/>
        <v>0.6899078615004679</v>
      </c>
      <c r="AG7" s="179">
        <f t="shared" si="9"/>
        <v>0.67251849932594299</v>
      </c>
      <c r="AH7" s="179">
        <f t="shared" si="9"/>
        <v>0.65725450573295774</v>
      </c>
      <c r="AI7" s="179">
        <f t="shared" si="9"/>
        <v>0.64135113344298289</v>
      </c>
      <c r="AJ7" s="179">
        <f t="shared" si="9"/>
        <v>0.62536589276647092</v>
      </c>
      <c r="AK7" s="179">
        <f t="shared" si="9"/>
        <v>0.60955732727928136</v>
      </c>
      <c r="AL7" s="179">
        <f t="shared" si="9"/>
        <v>0.59403479145401128</v>
      </c>
      <c r="AM7" s="180">
        <f t="shared" si="9"/>
        <v>0.57884752697244901</v>
      </c>
    </row>
    <row r="8" spans="1:39" s="3" customFormat="1" x14ac:dyDescent="0.25">
      <c r="C8" s="153" t="s">
        <v>70</v>
      </c>
      <c r="E8" s="230"/>
      <c r="F8" s="230"/>
      <c r="G8" s="230">
        <f>SUM(G6:G7)</f>
        <v>0.99999999999999989</v>
      </c>
      <c r="H8" s="230">
        <f t="shared" ref="H8:AM8" si="10">SUM(H6:H7)</f>
        <v>0.99999999997575018</v>
      </c>
      <c r="I8" s="230">
        <f t="shared" si="10"/>
        <v>0.99999999987189025</v>
      </c>
      <c r="J8" s="230">
        <f t="shared" si="10"/>
        <v>1.0000000001857705</v>
      </c>
      <c r="K8" s="230">
        <f t="shared" si="10"/>
        <v>0.99999999983592902</v>
      </c>
      <c r="L8" s="230">
        <f t="shared" si="10"/>
        <v>1.0000000000503502</v>
      </c>
      <c r="M8" s="230">
        <f t="shared" si="10"/>
        <v>1.0000000000529199</v>
      </c>
      <c r="N8" s="230">
        <f t="shared" si="10"/>
        <v>1.0000000001078042</v>
      </c>
      <c r="O8" s="230">
        <f t="shared" si="10"/>
        <v>1.0000000001081735</v>
      </c>
      <c r="P8" s="230">
        <f t="shared" si="10"/>
        <v>0.99999999975716525</v>
      </c>
      <c r="Q8" s="230">
        <f t="shared" si="10"/>
        <v>1.0000000001611602</v>
      </c>
      <c r="R8" s="230">
        <f t="shared" si="10"/>
        <v>0.9999999998931336</v>
      </c>
      <c r="S8" s="230">
        <f t="shared" si="10"/>
        <v>0.99999999991914523</v>
      </c>
      <c r="T8" s="230">
        <f t="shared" si="10"/>
        <v>1</v>
      </c>
      <c r="U8" s="230">
        <f t="shared" si="10"/>
        <v>0.9999999999463578</v>
      </c>
      <c r="V8" s="230">
        <f t="shared" si="10"/>
        <v>1.0000000000801528</v>
      </c>
      <c r="W8" s="230">
        <f t="shared" si="10"/>
        <v>0.99999999981376464</v>
      </c>
      <c r="X8" s="230">
        <f t="shared" si="10"/>
        <v>1.0000000001338236</v>
      </c>
      <c r="Y8" s="230">
        <f t="shared" si="10"/>
        <v>1.0000000002140026</v>
      </c>
      <c r="Z8" s="230">
        <f t="shared" si="10"/>
        <v>0.99999999999999989</v>
      </c>
      <c r="AA8" s="230">
        <f t="shared" si="10"/>
        <v>0.99999999997346301</v>
      </c>
      <c r="AB8" s="230">
        <f t="shared" si="10"/>
        <v>1.0000000000792062</v>
      </c>
      <c r="AC8" s="230">
        <f t="shared" si="10"/>
        <v>1.0000000001312976</v>
      </c>
      <c r="AD8" s="230">
        <f t="shared" si="10"/>
        <v>1</v>
      </c>
      <c r="AE8" s="230">
        <f t="shared" si="10"/>
        <v>1</v>
      </c>
      <c r="AF8" s="230">
        <f t="shared" si="10"/>
        <v>0.99999999999999989</v>
      </c>
      <c r="AG8" s="230">
        <f t="shared" si="10"/>
        <v>1</v>
      </c>
      <c r="AH8" s="230">
        <f t="shared" si="10"/>
        <v>1</v>
      </c>
      <c r="AI8" s="230">
        <f t="shared" si="10"/>
        <v>1</v>
      </c>
      <c r="AJ8" s="230">
        <f t="shared" si="10"/>
        <v>1.000000000263515</v>
      </c>
      <c r="AK8" s="230">
        <f t="shared" si="10"/>
        <v>1</v>
      </c>
      <c r="AL8" s="230">
        <f t="shared" si="10"/>
        <v>1</v>
      </c>
      <c r="AM8" s="230">
        <f t="shared" si="10"/>
        <v>1</v>
      </c>
    </row>
    <row r="9" spans="1:39" s="3" customFormat="1" x14ac:dyDescent="0.25"/>
    <row r="10" spans="1:39" s="3" customFormat="1" x14ac:dyDescent="0.25"/>
    <row r="11" spans="1:39" s="3" customFormat="1" x14ac:dyDescent="0.25"/>
    <row r="12" spans="1:39" x14ac:dyDescent="0.25">
      <c r="C12" s="156"/>
      <c r="E12" s="20"/>
      <c r="F12" s="20"/>
      <c r="G12" s="20"/>
      <c r="H12" s="20"/>
      <c r="I12" s="20">
        <v>2020</v>
      </c>
      <c r="J12" s="93">
        <v>2030</v>
      </c>
      <c r="K12" s="93">
        <v>2050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25">
      <c r="C13" s="157" t="s">
        <v>73</v>
      </c>
      <c r="D13" s="3"/>
      <c r="E13" s="181"/>
      <c r="F13" s="181"/>
      <c r="G13" s="181"/>
      <c r="H13" s="181"/>
      <c r="I13" s="181">
        <f>I91</f>
        <v>1.0537172311545088E-2</v>
      </c>
      <c r="J13" s="182">
        <f>S91</f>
        <v>8.3905369784348052E-2</v>
      </c>
      <c r="K13" s="182">
        <f>AM91</f>
        <v>0.42115247302755093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25">
      <c r="C14" s="158" t="s">
        <v>59</v>
      </c>
      <c r="D14" s="3"/>
      <c r="E14" s="183"/>
      <c r="F14" s="183"/>
      <c r="G14" s="183"/>
      <c r="H14" s="183"/>
      <c r="I14" s="183">
        <f>I91</f>
        <v>1.0537172311545088E-2</v>
      </c>
      <c r="J14" s="183">
        <f>S91</f>
        <v>8.3905369784348052E-2</v>
      </c>
      <c r="K14" s="183">
        <f>AM91</f>
        <v>0.42115247302755093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25">
      <c r="C15" s="157" t="s">
        <v>74</v>
      </c>
      <c r="D15" s="3"/>
      <c r="E15" s="181"/>
      <c r="F15" s="181"/>
      <c r="G15" s="181"/>
      <c r="H15" s="181"/>
      <c r="I15" s="181">
        <f>I99</f>
        <v>0.9894628275603452</v>
      </c>
      <c r="J15" s="181">
        <f>S99</f>
        <v>0.91609463013479719</v>
      </c>
      <c r="K15" s="182">
        <f>AM99</f>
        <v>0.57884752697244901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25">
      <c r="C16" s="158" t="s">
        <v>56</v>
      </c>
      <c r="D16" s="3"/>
      <c r="E16" s="184"/>
      <c r="F16" s="184"/>
      <c r="G16" s="184"/>
      <c r="H16" s="184"/>
      <c r="I16" s="184">
        <f>I100+I101</f>
        <v>0.14429708217456777</v>
      </c>
      <c r="J16" s="184">
        <f>S100+S101</f>
        <v>0.18096741296734786</v>
      </c>
      <c r="K16" s="184">
        <f>AM100+AM101</f>
        <v>0.16492236120149606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25">
      <c r="C17" s="159" t="s">
        <v>57</v>
      </c>
      <c r="D17" s="3"/>
      <c r="E17" s="183"/>
      <c r="F17" s="183"/>
      <c r="G17" s="183"/>
      <c r="H17" s="183"/>
      <c r="I17" s="183">
        <f>I102+I103+I104</f>
        <v>0.72243592780686705</v>
      </c>
      <c r="J17" s="183">
        <f>S102+S103+S104</f>
        <v>0.66108239200239993</v>
      </c>
      <c r="K17" s="183">
        <f>AM102+AM103+AM104</f>
        <v>0.39080143197080086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25">
      <c r="C18" s="159" t="s">
        <v>58</v>
      </c>
      <c r="D18" s="3"/>
      <c r="E18" s="183"/>
      <c r="F18" s="183"/>
      <c r="G18" s="183"/>
      <c r="H18" s="183"/>
      <c r="I18" s="183">
        <f>I105+I106</f>
        <v>0.12272981770702004</v>
      </c>
      <c r="J18" s="183">
        <f>S105+S106</f>
        <v>7.4044825116536844E-2</v>
      </c>
      <c r="K18" s="183">
        <f>AM105+AM106</f>
        <v>2.3123733871628582E-2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25">
      <c r="C19" s="160" t="s">
        <v>70</v>
      </c>
      <c r="E19" s="185"/>
      <c r="F19" s="185"/>
      <c r="G19" s="185"/>
      <c r="H19" s="185"/>
      <c r="I19" s="185">
        <f>SUM(I16:I18)</f>
        <v>0.98946282768845484</v>
      </c>
      <c r="J19" s="185">
        <f>SUM(J16:J18)</f>
        <v>0.91609463008628467</v>
      </c>
      <c r="K19" s="185">
        <f>SUM(K16:K18)</f>
        <v>0.5788475270439255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s="3" customFormat="1" x14ac:dyDescent="0.25"/>
    <row r="21" spans="1:39" s="3" customFormat="1" x14ac:dyDescent="0.25"/>
    <row r="22" spans="1:39" s="3" customFormat="1" x14ac:dyDescent="0.25"/>
    <row r="23" spans="1:39" s="3" customFormat="1" ht="23.25" x14ac:dyDescent="0.35">
      <c r="B23" s="46"/>
      <c r="C23" s="41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</row>
    <row r="24" spans="1:39" s="3" customFormat="1" ht="23.25" x14ac:dyDescent="0.35">
      <c r="A24" s="227" t="s">
        <v>76</v>
      </c>
      <c r="C24" s="227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</row>
    <row r="25" spans="1:39" x14ac:dyDescent="0.25">
      <c r="C25" s="11"/>
      <c r="D25" s="11"/>
      <c r="E25" s="93">
        <v>2006</v>
      </c>
      <c r="F25" s="93">
        <v>2015</v>
      </c>
      <c r="G25" s="93">
        <v>2018</v>
      </c>
      <c r="H25" s="93">
        <v>2019</v>
      </c>
      <c r="I25" s="93">
        <v>2020</v>
      </c>
      <c r="J25" s="20">
        <v>2021</v>
      </c>
      <c r="K25" s="4">
        <v>2022</v>
      </c>
      <c r="L25" s="4">
        <v>2023</v>
      </c>
      <c r="M25" s="4">
        <v>2024</v>
      </c>
      <c r="N25" s="92">
        <v>2025</v>
      </c>
      <c r="O25" s="20">
        <v>2026</v>
      </c>
      <c r="P25" s="4">
        <v>2027</v>
      </c>
      <c r="Q25" s="4">
        <v>2028</v>
      </c>
      <c r="R25" s="4">
        <v>2029</v>
      </c>
      <c r="S25" s="92">
        <v>2030</v>
      </c>
      <c r="T25" s="4">
        <v>2031</v>
      </c>
      <c r="U25" s="92">
        <v>2032</v>
      </c>
      <c r="V25" s="4">
        <v>2033</v>
      </c>
      <c r="W25" s="92">
        <v>2034</v>
      </c>
      <c r="X25" s="4">
        <v>2035</v>
      </c>
      <c r="Y25" s="92">
        <v>2036</v>
      </c>
      <c r="Z25" s="4">
        <v>2037</v>
      </c>
      <c r="AA25" s="92">
        <v>2038</v>
      </c>
      <c r="AB25" s="4">
        <v>2039</v>
      </c>
      <c r="AC25" s="93">
        <v>2040</v>
      </c>
      <c r="AD25" s="4">
        <v>2041</v>
      </c>
      <c r="AE25" s="93">
        <v>2042</v>
      </c>
      <c r="AF25" s="4">
        <v>2043</v>
      </c>
      <c r="AG25" s="93">
        <v>2044</v>
      </c>
      <c r="AH25" s="4">
        <v>2045</v>
      </c>
      <c r="AI25" s="93">
        <v>2046</v>
      </c>
      <c r="AJ25" s="4">
        <v>2047</v>
      </c>
      <c r="AK25" s="93">
        <v>2048</v>
      </c>
      <c r="AL25" s="4">
        <v>2049</v>
      </c>
      <c r="AM25" s="93">
        <v>2050</v>
      </c>
    </row>
    <row r="26" spans="1:39" x14ac:dyDescent="0.25">
      <c r="A26" s="152" t="str">
        <f>Résultats!B1</f>
        <v>SNBC3</v>
      </c>
      <c r="B26" s="60" t="s">
        <v>77</v>
      </c>
      <c r="C26" s="215" t="s">
        <v>51</v>
      </c>
      <c r="D26" s="50" t="s">
        <v>149</v>
      </c>
      <c r="E26" s="99">
        <f>VLOOKUP($D26,Résultats!$B$2:$AZ$251,E$2,FALSE)</f>
        <v>2373</v>
      </c>
      <c r="F26" s="99">
        <f>VLOOKUP($D26,Résultats!$B$2:$AZ$251,F$2,FALSE)</f>
        <v>1940.3869999999999</v>
      </c>
      <c r="G26" s="99">
        <f>VLOOKUP($D26,Résultats!$B$2:$AZ$251,G$2,FALSE)</f>
        <v>2203.7420000000002</v>
      </c>
      <c r="H26" s="99">
        <f>VLOOKUP($D26,Résultats!$B$2:$AZ$251,H$2,FALSE)</f>
        <v>2240.3020000000001</v>
      </c>
      <c r="I26" s="99">
        <f>VLOOKUP($D26,Résultats!$B$2:$AZ$251,I$2,FALSE)</f>
        <v>2209.8250010000002</v>
      </c>
      <c r="J26" s="51">
        <f>VLOOKUP($D26,Résultats!$B$2:$AZ$251,J$2,FALSE)</f>
        <v>2086.423198</v>
      </c>
      <c r="K26" s="51">
        <f>VLOOKUP($D26,Résultats!$B$2:$AZ$251,K$2,FALSE)</f>
        <v>2201.002356</v>
      </c>
      <c r="L26" s="51">
        <f>VLOOKUP($D26,Résultats!$B$2:$AZ$251,L$2,FALSE)</f>
        <v>2170.0519159999999</v>
      </c>
      <c r="M26" s="51">
        <f>VLOOKUP($D26,Résultats!$B$2:$AZ$251,M$2,FALSE)</f>
        <v>2277.1010689999998</v>
      </c>
      <c r="N26" s="51">
        <f>VLOOKUP($D26,Résultats!$B$2:$AZ$251,N$2,FALSE)</f>
        <v>1534.378168</v>
      </c>
      <c r="O26" s="51">
        <f>VLOOKUP($D26,Résultats!$B$2:$AZ$251,O$2,FALSE)</f>
        <v>2055.8967360000001</v>
      </c>
      <c r="P26" s="51">
        <f>VLOOKUP($D26,Résultats!$B$2:$AZ$251,P$2,FALSE)</f>
        <v>2259.7768550000001</v>
      </c>
      <c r="Q26" s="51">
        <f>VLOOKUP($D26,Résultats!$B$2:$AZ$251,Q$2,FALSE)</f>
        <v>2347.9236230000001</v>
      </c>
      <c r="R26" s="51">
        <f>VLOOKUP($D26,Résultats!$B$2:$AZ$251,R$2,FALSE)</f>
        <v>2389.949623</v>
      </c>
      <c r="S26" s="51">
        <f>VLOOKUP($D26,Résultats!$B$2:$AZ$251,S$2,FALSE)</f>
        <v>1875.450765</v>
      </c>
      <c r="T26" s="51">
        <f>VLOOKUP($D26,Résultats!$B$2:$AZ$251,T$2,FALSE)</f>
        <v>2245.3221100000001</v>
      </c>
      <c r="U26" s="51">
        <f>VLOOKUP($D26,Résultats!$B$2:$AZ$251,U$2,FALSE)</f>
        <v>2303.9784169999998</v>
      </c>
      <c r="V26" s="51">
        <f>VLOOKUP($D26,Résultats!$B$2:$AZ$251,V$2,FALSE)</f>
        <v>2337.5493970000002</v>
      </c>
      <c r="W26" s="51">
        <f>VLOOKUP($D26,Résultats!$B$2:$AZ$251,W$2,FALSE)</f>
        <v>2360.0341410000001</v>
      </c>
      <c r="X26" s="51">
        <f>VLOOKUP($D26,Résultats!$B$2:$AZ$251,X$2,FALSE)</f>
        <v>1986.6938540000001</v>
      </c>
      <c r="Y26" s="51">
        <f>VLOOKUP($D26,Résultats!$B$2:$AZ$251,Y$2,FALSE)</f>
        <v>2217.9828470000002</v>
      </c>
      <c r="Z26" s="51">
        <f>VLOOKUP($D26,Résultats!$B$2:$AZ$251,Z$2,FALSE)</f>
        <v>2328.1880540000002</v>
      </c>
      <c r="AA26" s="51">
        <f>VLOOKUP($D26,Résultats!$B$2:$AZ$251,AA$2,FALSE)</f>
        <v>2378.0812810000002</v>
      </c>
      <c r="AB26" s="51">
        <f>VLOOKUP($D26,Résultats!$B$2:$AZ$251,AB$2,FALSE)</f>
        <v>2409.0883920000001</v>
      </c>
      <c r="AC26" s="51">
        <f>VLOOKUP($D26,Résultats!$B$2:$AZ$251,AC$2,FALSE)</f>
        <v>2433.4768949999998</v>
      </c>
      <c r="AD26" s="51">
        <f>VLOOKUP($D26,Résultats!$B$2:$AZ$251,AD$2,FALSE)</f>
        <v>2367.8798879999999</v>
      </c>
      <c r="AE26" s="51">
        <f>VLOOKUP($D26,Résultats!$B$2:$AZ$251,AE$2,FALSE)</f>
        <v>2347.4261999999999</v>
      </c>
      <c r="AF26" s="51">
        <f>VLOOKUP($D26,Résultats!$B$2:$AZ$251,AF$2,FALSE)</f>
        <v>2347.555754</v>
      </c>
      <c r="AG26" s="51">
        <f>VLOOKUP($D26,Résultats!$B$2:$AZ$251,AG$2,FALSE)</f>
        <v>2354.5416049999999</v>
      </c>
      <c r="AH26" s="51">
        <f>VLOOKUP($D26,Résultats!$B$2:$AZ$251,AH$2,FALSE)</f>
        <v>2094.100062</v>
      </c>
      <c r="AI26" s="51">
        <f>VLOOKUP($D26,Résultats!$B$2:$AZ$251,AI$2,FALSE)</f>
        <v>2207.3653880000002</v>
      </c>
      <c r="AJ26" s="51">
        <f>VLOOKUP($D26,Résultats!$B$2:$AZ$251,AJ$2,FALSE)</f>
        <v>2259.350171</v>
      </c>
      <c r="AK26" s="51">
        <f>VLOOKUP($D26,Résultats!$B$2:$AZ$251,AK$2,FALSE)</f>
        <v>2283.5895529999998</v>
      </c>
      <c r="AL26" s="51">
        <f>VLOOKUP($D26,Résultats!$B$2:$AZ$251,AL$2,FALSE)</f>
        <v>2296.95516</v>
      </c>
      <c r="AM26" s="100">
        <f>VLOOKUP($D26,Résultats!$B$2:$AZ$251,AM$2,FALSE)</f>
        <v>2306.0606469999998</v>
      </c>
    </row>
    <row r="27" spans="1:39" x14ac:dyDescent="0.25">
      <c r="C27" s="216" t="s">
        <v>462</v>
      </c>
      <c r="D27" s="52" t="s">
        <v>158</v>
      </c>
      <c r="E27" s="53">
        <f>VLOOKUP($D27,Résultats!$B$2:$AZ$251,E$2,FALSE)</f>
        <v>1.1865000000000001</v>
      </c>
      <c r="F27" s="53">
        <f>VLOOKUP($D27,Résultats!$B$2:$AZ$251,F$2,FALSE)</f>
        <v>26.729874540000001</v>
      </c>
      <c r="G27" s="53">
        <f>VLOOKUP($D27,Résultats!$B$2:$AZ$251,G$2,FALSE)</f>
        <v>65.852871870000001</v>
      </c>
      <c r="H27" s="53">
        <f>VLOOKUP($D27,Résultats!$B$2:$AZ$251,H$2,FALSE)</f>
        <v>85.804876140000005</v>
      </c>
      <c r="I27" s="53">
        <f>VLOOKUP($D27,Résultats!$B$2:$AZ$251,I$2,FALSE)</f>
        <v>107.690978</v>
      </c>
      <c r="J27" s="53">
        <f>VLOOKUP($D27,Résultats!$B$2:$AZ$251,J$2,FALSE)</f>
        <v>128.2423881</v>
      </c>
      <c r="K27" s="53">
        <f>VLOOKUP($D27,Résultats!$B$2:$AZ$251,K$2,FALSE)</f>
        <v>169.11827210000001</v>
      </c>
      <c r="L27" s="53">
        <f>VLOOKUP($D27,Résultats!$B$2:$AZ$251,L$2,FALSE)</f>
        <v>206.31191720000001</v>
      </c>
      <c r="M27" s="53">
        <f>VLOOKUP($D27,Résultats!$B$2:$AZ$251,M$2,FALSE)</f>
        <v>264.8379137</v>
      </c>
      <c r="N27" s="53">
        <f>VLOOKUP($D27,Résultats!$B$2:$AZ$251,N$2,FALSE)</f>
        <v>215.5393602</v>
      </c>
      <c r="O27" s="53">
        <f>VLOOKUP($D27,Résultats!$B$2:$AZ$251,O$2,FALSE)</f>
        <v>343.99519329999998</v>
      </c>
      <c r="P27" s="53">
        <f>VLOOKUP($D27,Résultats!$B$2:$AZ$251,P$2,FALSE)</f>
        <v>443.79065780000002</v>
      </c>
      <c r="Q27" s="53">
        <f>VLOOKUP($D27,Résultats!$B$2:$AZ$251,Q$2,FALSE)</f>
        <v>533.08692329999997</v>
      </c>
      <c r="R27" s="53">
        <f>VLOOKUP($D27,Résultats!$B$2:$AZ$251,R$2,FALSE)</f>
        <v>618.00165849999996</v>
      </c>
      <c r="S27" s="53">
        <f>VLOOKUP($D27,Résultats!$B$2:$AZ$251,S$2,FALSE)</f>
        <v>544.40233650000005</v>
      </c>
      <c r="T27" s="53">
        <f>VLOOKUP($D27,Résultats!$B$2:$AZ$251,T$2,FALSE)</f>
        <v>721.83785660000001</v>
      </c>
      <c r="U27" s="53">
        <f>VLOOKUP($D27,Résultats!$B$2:$AZ$251,U$2,FALSE)</f>
        <v>810.27586369999995</v>
      </c>
      <c r="V27" s="53">
        <f>VLOOKUP($D27,Résultats!$B$2:$AZ$251,V$2,FALSE)</f>
        <v>889.45185379999998</v>
      </c>
      <c r="W27" s="53">
        <f>VLOOKUP($D27,Résultats!$B$2:$AZ$251,W$2,FALSE)</f>
        <v>962.21474539999997</v>
      </c>
      <c r="X27" s="53">
        <f>VLOOKUP($D27,Résultats!$B$2:$AZ$251,X$2,FALSE)</f>
        <v>860.61964169999999</v>
      </c>
      <c r="Y27" s="53">
        <f>VLOOKUP($D27,Résultats!$B$2:$AZ$251,Y$2,FALSE)</f>
        <v>1013.440573</v>
      </c>
      <c r="Z27" s="53">
        <f>VLOOKUP($D27,Résultats!$B$2:$AZ$251,Z$2,FALSE)</f>
        <v>1115.052097</v>
      </c>
      <c r="AA27" s="53">
        <f>VLOOKUP($D27,Résultats!$B$2:$AZ$251,AA$2,FALSE)</f>
        <v>1187.4231870000001</v>
      </c>
      <c r="AB27" s="53">
        <f>VLOOKUP($D27,Résultats!$B$2:$AZ$251,AB$2,FALSE)</f>
        <v>1248.330755</v>
      </c>
      <c r="AC27" s="53">
        <f>VLOOKUP($D27,Résultats!$B$2:$AZ$251,AC$2,FALSE)</f>
        <v>1303.409617</v>
      </c>
      <c r="AD27" s="53">
        <f>VLOOKUP($D27,Résultats!$B$2:$AZ$251,AD$2,FALSE)</f>
        <v>1306.4964600000001</v>
      </c>
      <c r="AE27" s="53">
        <f>VLOOKUP($D27,Résultats!$B$2:$AZ$251,AE$2,FALSE)</f>
        <v>1330.317736</v>
      </c>
      <c r="AF27" s="53">
        <f>VLOOKUP($D27,Résultats!$B$2:$AZ$251,AF$2,FALSE)</f>
        <v>1362.9644450000001</v>
      </c>
      <c r="AG27" s="53">
        <f>VLOOKUP($D27,Résultats!$B$2:$AZ$251,AG$2,FALSE)</f>
        <v>1397.380294</v>
      </c>
      <c r="AH27" s="53">
        <f>VLOOKUP($D27,Résultats!$B$2:$AZ$251,AH$2,FALSE)</f>
        <v>1267.948204</v>
      </c>
      <c r="AI27" s="53">
        <f>VLOOKUP($D27,Résultats!$B$2:$AZ$251,AI$2,FALSE)</f>
        <v>1361.2391230000001</v>
      </c>
      <c r="AJ27" s="53">
        <f>VLOOKUP($D27,Résultats!$B$2:$AZ$251,AJ$2,FALSE)</f>
        <v>1416.9294359999999</v>
      </c>
      <c r="AK27" s="53">
        <f>VLOOKUP($D27,Résultats!$B$2:$AZ$251,AK$2,FALSE)</f>
        <v>1454.490718</v>
      </c>
      <c r="AL27" s="53">
        <f>VLOOKUP($D27,Résultats!$B$2:$AZ$251,AL$2,FALSE)</f>
        <v>1484.0959290000001</v>
      </c>
      <c r="AM27" s="212">
        <f>VLOOKUP($D27,Résultats!$B$2:$AZ$251,AM$2,FALSE)</f>
        <v>1509.8739949999999</v>
      </c>
    </row>
    <row r="28" spans="1:39" x14ac:dyDescent="0.25">
      <c r="C28" s="217" t="s">
        <v>27</v>
      </c>
      <c r="D28" s="54" t="s">
        <v>159</v>
      </c>
      <c r="E28" s="25">
        <f>VLOOKUP($D28,Résultats!$B$2:$AZ$251,E$2,FALSE)</f>
        <v>3.5336769799999999E-3</v>
      </c>
      <c r="F28" s="25">
        <f>VLOOKUP($D28,Résultats!$B$2:$AZ$251,F$2,FALSE)</f>
        <v>0.30599220490000001</v>
      </c>
      <c r="G28" s="25">
        <f>VLOOKUP($D28,Résultats!$B$2:$AZ$251,G$2,FALSE)</f>
        <v>0.42645718869999999</v>
      </c>
      <c r="H28" s="25">
        <f>VLOOKUP($D28,Résultats!$B$2:$AZ$251,H$2,FALSE)</f>
        <v>0.71192787680000003</v>
      </c>
      <c r="I28" s="25">
        <f>VLOOKUP($D28,Résultats!$B$2:$AZ$251,I$2,FALSE)</f>
        <v>1.12867742</v>
      </c>
      <c r="J28" s="25">
        <f>VLOOKUP($D28,Résultats!$B$2:$AZ$251,J$2,FALSE)</f>
        <v>1.675050428</v>
      </c>
      <c r="K28" s="25">
        <f>VLOOKUP($D28,Résultats!$B$2:$AZ$251,K$2,FALSE)</f>
        <v>4.1351391309999999</v>
      </c>
      <c r="L28" s="25">
        <f>VLOOKUP($D28,Résultats!$B$2:$AZ$251,L$2,FALSE)</f>
        <v>6.6985330459999997</v>
      </c>
      <c r="M28" s="25">
        <f>VLOOKUP($D28,Résultats!$B$2:$AZ$251,M$2,FALSE)</f>
        <v>9.1749545910000005</v>
      </c>
      <c r="N28" s="25">
        <f>VLOOKUP($D28,Résultats!$B$2:$AZ$251,N$2,FALSE)</f>
        <v>8.6636927949999905</v>
      </c>
      <c r="O28" s="25">
        <f>VLOOKUP($D28,Résultats!$B$2:$AZ$251,O$2,FALSE)</f>
        <v>13.55636318</v>
      </c>
      <c r="P28" s="25">
        <f>VLOOKUP($D28,Résultats!$B$2:$AZ$251,P$2,FALSE)</f>
        <v>18.293251590000001</v>
      </c>
      <c r="Q28" s="25">
        <f>VLOOKUP($D28,Résultats!$B$2:$AZ$251,Q$2,FALSE)</f>
        <v>23.250466159999998</v>
      </c>
      <c r="R28" s="25">
        <f>VLOOKUP($D28,Résultats!$B$2:$AZ$251,R$2,FALSE)</f>
        <v>28.522732040000001</v>
      </c>
      <c r="S28" s="25">
        <f>VLOOKUP($D28,Résultats!$B$2:$AZ$251,S$2,FALSE)</f>
        <v>27.564045320000002</v>
      </c>
      <c r="T28" s="25">
        <f>VLOOKUP($D28,Résultats!$B$2:$AZ$251,T$2,FALSE)</f>
        <v>37.075578790000002</v>
      </c>
      <c r="U28" s="25">
        <f>VLOOKUP($D28,Résultats!$B$2:$AZ$251,U$2,FALSE)</f>
        <v>43.685207609999999</v>
      </c>
      <c r="V28" s="25">
        <f>VLOOKUP($D28,Résultats!$B$2:$AZ$251,V$2,FALSE)</f>
        <v>50.278192230000002</v>
      </c>
      <c r="W28" s="25">
        <f>VLOOKUP($D28,Résultats!$B$2:$AZ$251,W$2,FALSE)</f>
        <v>57.051225850000002</v>
      </c>
      <c r="X28" s="25">
        <f>VLOOKUP($D28,Résultats!$B$2:$AZ$251,X$2,FALSE)</f>
        <v>54.6648061</v>
      </c>
      <c r="Y28" s="25">
        <f>VLOOKUP($D28,Résultats!$B$2:$AZ$251,Y$2,FALSE)</f>
        <v>66.006281400000006</v>
      </c>
      <c r="Z28" s="25">
        <f>VLOOKUP($D28,Résultats!$B$2:$AZ$251,Z$2,FALSE)</f>
        <v>75.542367819999996</v>
      </c>
      <c r="AA28" s="25">
        <f>VLOOKUP($D28,Résultats!$B$2:$AZ$251,AA$2,FALSE)</f>
        <v>83.994487090000007</v>
      </c>
      <c r="AB28" s="25">
        <f>VLOOKUP($D28,Résultats!$B$2:$AZ$251,AB$2,FALSE)</f>
        <v>92.166793330000004</v>
      </c>
      <c r="AC28" s="25">
        <f>VLOOKUP($D28,Résultats!$B$2:$AZ$251,AC$2,FALSE)</f>
        <v>100.3162894</v>
      </c>
      <c r="AD28" s="25">
        <f>VLOOKUP($D28,Résultats!$B$2:$AZ$251,AD$2,FALSE)</f>
        <v>106.0102589</v>
      </c>
      <c r="AE28" s="25">
        <f>VLOOKUP($D28,Résultats!$B$2:$AZ$251,AE$2,FALSE)</f>
        <v>113.2738319</v>
      </c>
      <c r="AF28" s="25">
        <f>VLOOKUP($D28,Résultats!$B$2:$AZ$251,AF$2,FALSE)</f>
        <v>121.49141950000001</v>
      </c>
      <c r="AG28" s="25">
        <f>VLOOKUP($D28,Résultats!$B$2:$AZ$251,AG$2,FALSE)</f>
        <v>130.1924558</v>
      </c>
      <c r="AH28" s="25">
        <f>VLOOKUP($D28,Résultats!$B$2:$AZ$251,AH$2,FALSE)</f>
        <v>124.894738</v>
      </c>
      <c r="AI28" s="25">
        <f>VLOOKUP($D28,Résultats!$B$2:$AZ$251,AI$2,FALSE)</f>
        <v>138.56409339999999</v>
      </c>
      <c r="AJ28" s="25">
        <f>VLOOKUP($D28,Résultats!$B$2:$AZ$251,AJ$2,FALSE)</f>
        <v>149.85956350000001</v>
      </c>
      <c r="AK28" s="25">
        <f>VLOOKUP($D28,Résultats!$B$2:$AZ$251,AK$2,FALSE)</f>
        <v>160.01482619999999</v>
      </c>
      <c r="AL28" s="25">
        <f>VLOOKUP($D28,Résultats!$B$2:$AZ$251,AL$2,FALSE)</f>
        <v>169.73733150000001</v>
      </c>
      <c r="AM28" s="102">
        <f>VLOOKUP($D28,Résultats!$B$2:$AZ$251,AM$2,FALSE)</f>
        <v>179.36085120000001</v>
      </c>
    </row>
    <row r="29" spans="1:39" x14ac:dyDescent="0.25">
      <c r="C29" s="217" t="s">
        <v>28</v>
      </c>
      <c r="D29" s="54" t="s">
        <v>160</v>
      </c>
      <c r="E29" s="25">
        <f>VLOOKUP($D29,Résultats!$B$2:$AZ$251,E$2,FALSE)</f>
        <v>8.10027491E-3</v>
      </c>
      <c r="F29" s="25">
        <f>VLOOKUP($D29,Résultats!$B$2:$AZ$251,F$2,FALSE)</f>
        <v>0.33546905700000001</v>
      </c>
      <c r="G29" s="25">
        <f>VLOOKUP($D29,Résultats!$B$2:$AZ$251,G$2,FALSE)</f>
        <v>0.60716342030000003</v>
      </c>
      <c r="H29" s="25">
        <f>VLOOKUP($D29,Résultats!$B$2:$AZ$251,H$2,FALSE)</f>
        <v>0.89638748899999998</v>
      </c>
      <c r="I29" s="25">
        <f>VLOOKUP($D29,Résultats!$B$2:$AZ$251,I$2,FALSE)</f>
        <v>1.2823267300000001</v>
      </c>
      <c r="J29" s="25">
        <f>VLOOKUP($D29,Résultats!$B$2:$AZ$251,J$2,FALSE)</f>
        <v>1.7464275440000001</v>
      </c>
      <c r="K29" s="25">
        <f>VLOOKUP($D29,Résultats!$B$2:$AZ$251,K$2,FALSE)</f>
        <v>3.544550863</v>
      </c>
      <c r="L29" s="25">
        <f>VLOOKUP($D29,Résultats!$B$2:$AZ$251,L$2,FALSE)</f>
        <v>5.3464766509999997</v>
      </c>
      <c r="M29" s="25">
        <f>VLOOKUP($D29,Résultats!$B$2:$AZ$251,M$2,FALSE)</f>
        <v>7.2110781179999996</v>
      </c>
      <c r="N29" s="25">
        <f>VLOOKUP($D29,Résultats!$B$2:$AZ$251,N$2,FALSE)</f>
        <v>6.5780659520000002</v>
      </c>
      <c r="O29" s="25">
        <f>VLOOKUP($D29,Résultats!$B$2:$AZ$251,O$2,FALSE)</f>
        <v>10.339848720000001</v>
      </c>
      <c r="P29" s="25">
        <f>VLOOKUP($D29,Résultats!$B$2:$AZ$251,P$2,FALSE)</f>
        <v>13.80940197</v>
      </c>
      <c r="Q29" s="25">
        <f>VLOOKUP($D29,Résultats!$B$2:$AZ$251,Q$2,FALSE)</f>
        <v>17.326061630000002</v>
      </c>
      <c r="R29" s="25">
        <f>VLOOKUP($D29,Résultats!$B$2:$AZ$251,R$2,FALSE)</f>
        <v>20.981589329999998</v>
      </c>
      <c r="S29" s="25">
        <f>VLOOKUP($D29,Résultats!$B$2:$AZ$251,S$2,FALSE)</f>
        <v>19.849505820000001</v>
      </c>
      <c r="T29" s="25">
        <f>VLOOKUP($D29,Résultats!$B$2:$AZ$251,T$2,FALSE)</f>
        <v>26.610657539999998</v>
      </c>
      <c r="U29" s="25">
        <f>VLOOKUP($D29,Résultats!$B$2:$AZ$251,U$2,FALSE)</f>
        <v>31.0033411</v>
      </c>
      <c r="V29" s="25">
        <f>VLOOKUP($D29,Résultats!$B$2:$AZ$251,V$2,FALSE)</f>
        <v>35.287901249999997</v>
      </c>
      <c r="W29" s="25">
        <f>VLOOKUP($D29,Résultats!$B$2:$AZ$251,W$2,FALSE)</f>
        <v>39.589246680000002</v>
      </c>
      <c r="X29" s="25">
        <f>VLOOKUP($D29,Résultats!$B$2:$AZ$251,X$2,FALSE)</f>
        <v>37.304658230000001</v>
      </c>
      <c r="Y29" s="25">
        <f>VLOOKUP($D29,Résultats!$B$2:$AZ$251,Y$2,FALSE)</f>
        <v>44.766009019999998</v>
      </c>
      <c r="Z29" s="25">
        <f>VLOOKUP($D29,Résultats!$B$2:$AZ$251,Z$2,FALSE)</f>
        <v>50.72980544</v>
      </c>
      <c r="AA29" s="25">
        <f>VLOOKUP($D29,Résultats!$B$2:$AZ$251,AA$2,FALSE)</f>
        <v>55.78605194</v>
      </c>
      <c r="AB29" s="25">
        <f>VLOOKUP($D29,Résultats!$B$2:$AZ$251,AB$2,FALSE)</f>
        <v>60.531182520000002</v>
      </c>
      <c r="AC29" s="25">
        <f>VLOOKUP($D29,Résultats!$B$2:$AZ$251,AC$2,FALSE)</f>
        <v>65.152829069999996</v>
      </c>
      <c r="AD29" s="25">
        <f>VLOOKUP($D29,Résultats!$B$2:$AZ$251,AD$2,FALSE)</f>
        <v>67.852202270000006</v>
      </c>
      <c r="AE29" s="25">
        <f>VLOOKUP($D29,Résultats!$B$2:$AZ$251,AE$2,FALSE)</f>
        <v>71.507815309999998</v>
      </c>
      <c r="AF29" s="25">
        <f>VLOOKUP($D29,Résultats!$B$2:$AZ$251,AF$2,FALSE)</f>
        <v>75.661958209999995</v>
      </c>
      <c r="AG29" s="25">
        <f>VLOOKUP($D29,Résultats!$B$2:$AZ$251,AG$2,FALSE)</f>
        <v>79.987716349999999</v>
      </c>
      <c r="AH29" s="25">
        <f>VLOOKUP($D29,Résultats!$B$2:$AZ$251,AH$2,FALSE)</f>
        <v>75.379429970000004</v>
      </c>
      <c r="AI29" s="25">
        <f>VLOOKUP($D29,Résultats!$B$2:$AZ$251,AI$2,FALSE)</f>
        <v>82.721402499999996</v>
      </c>
      <c r="AJ29" s="25">
        <f>VLOOKUP($D29,Résultats!$B$2:$AZ$251,AJ$2,FALSE)</f>
        <v>88.298050750000002</v>
      </c>
      <c r="AK29" s="25">
        <f>VLOOKUP($D29,Résultats!$B$2:$AZ$251,AK$2,FALSE)</f>
        <v>92.96968991</v>
      </c>
      <c r="AL29" s="25">
        <f>VLOOKUP($D29,Résultats!$B$2:$AZ$251,AL$2,FALSE)</f>
        <v>97.214541179999998</v>
      </c>
      <c r="AM29" s="102">
        <f>VLOOKUP($D29,Résultats!$B$2:$AZ$251,AM$2,FALSE)</f>
        <v>101.2428694</v>
      </c>
    </row>
    <row r="30" spans="1:39" x14ac:dyDescent="0.25">
      <c r="C30" s="217" t="s">
        <v>29</v>
      </c>
      <c r="D30" s="54" t="s">
        <v>161</v>
      </c>
      <c r="E30" s="25">
        <f>VLOOKUP($D30,Résultats!$B$2:$AZ$251,E$2,FALSE)</f>
        <v>3.31621993E-2</v>
      </c>
      <c r="F30" s="25">
        <f>VLOOKUP($D30,Résultats!$B$2:$AZ$251,F$2,FALSE)</f>
        <v>0.80597946659999997</v>
      </c>
      <c r="G30" s="25">
        <f>VLOOKUP($D30,Résultats!$B$2:$AZ$251,G$2,FALSE)</f>
        <v>1.9059416119999999</v>
      </c>
      <c r="H30" s="25">
        <f>VLOOKUP($D30,Résultats!$B$2:$AZ$251,H$2,FALSE)</f>
        <v>2.5224043780000001</v>
      </c>
      <c r="I30" s="25">
        <f>VLOOKUP($D30,Résultats!$B$2:$AZ$251,I$2,FALSE)</f>
        <v>3.2227237369999999</v>
      </c>
      <c r="J30" s="25">
        <f>VLOOKUP($D30,Résultats!$B$2:$AZ$251,J$2,FALSE)</f>
        <v>3.9142481359999999</v>
      </c>
      <c r="K30" s="25">
        <f>VLOOKUP($D30,Résultats!$B$2:$AZ$251,K$2,FALSE)</f>
        <v>5.5445657070000003</v>
      </c>
      <c r="L30" s="25">
        <f>VLOOKUP($D30,Résultats!$B$2:$AZ$251,L$2,FALSE)</f>
        <v>7.0170375590000003</v>
      </c>
      <c r="M30" s="25">
        <f>VLOOKUP($D30,Résultats!$B$2:$AZ$251,M$2,FALSE)</f>
        <v>9.0818513460000005</v>
      </c>
      <c r="N30" s="25">
        <f>VLOOKUP($D30,Résultats!$B$2:$AZ$251,N$2,FALSE)</f>
        <v>7.5235176260000003</v>
      </c>
      <c r="O30" s="25">
        <f>VLOOKUP($D30,Résultats!$B$2:$AZ$251,O$2,FALSE)</f>
        <v>11.98049355</v>
      </c>
      <c r="P30" s="25">
        <f>VLOOKUP($D30,Résultats!$B$2:$AZ$251,P$2,FALSE)</f>
        <v>15.53391489</v>
      </c>
      <c r="Q30" s="25">
        <f>VLOOKUP($D30,Résultats!$B$2:$AZ$251,Q$2,FALSE)</f>
        <v>18.77029507</v>
      </c>
      <c r="R30" s="25">
        <f>VLOOKUP($D30,Résultats!$B$2:$AZ$251,R$2,FALSE)</f>
        <v>21.878011010000002</v>
      </c>
      <c r="S30" s="25">
        <f>VLOOKUP($D30,Résultats!$B$2:$AZ$251,S$2,FALSE)</f>
        <v>19.41528499</v>
      </c>
      <c r="T30" s="25">
        <f>VLOOKUP($D30,Résultats!$B$2:$AZ$251,T$2,FALSE)</f>
        <v>25.767697299999998</v>
      </c>
      <c r="U30" s="25">
        <f>VLOOKUP($D30,Résultats!$B$2:$AZ$251,U$2,FALSE)</f>
        <v>29.004593620000001</v>
      </c>
      <c r="V30" s="25">
        <f>VLOOKUP($D30,Résultats!$B$2:$AZ$251,V$2,FALSE)</f>
        <v>31.900649560000002</v>
      </c>
      <c r="W30" s="25">
        <f>VLOOKUP($D30,Résultats!$B$2:$AZ$251,W$2,FALSE)</f>
        <v>34.548034870000002</v>
      </c>
      <c r="X30" s="25">
        <f>VLOOKUP($D30,Résultats!$B$2:$AZ$251,X$2,FALSE)</f>
        <v>30.89351319</v>
      </c>
      <c r="Y30" s="25">
        <f>VLOOKUP($D30,Résultats!$B$2:$AZ$251,Y$2,FALSE)</f>
        <v>36.354543880000001</v>
      </c>
      <c r="Z30" s="25">
        <f>VLOOKUP($D30,Résultats!$B$2:$AZ$251,Z$2,FALSE)</f>
        <v>39.927595340000003</v>
      </c>
      <c r="AA30" s="25">
        <f>VLOOKUP($D30,Résultats!$B$2:$AZ$251,AA$2,FALSE)</f>
        <v>42.38705882</v>
      </c>
      <c r="AB30" s="25">
        <f>VLOOKUP($D30,Résultats!$B$2:$AZ$251,AB$2,FALSE)</f>
        <v>44.365689240000002</v>
      </c>
      <c r="AC30" s="25">
        <f>VLOOKUP($D30,Résultats!$B$2:$AZ$251,AC$2,FALSE)</f>
        <v>46.061184259999997</v>
      </c>
      <c r="AD30" s="25">
        <f>VLOOKUP($D30,Résultats!$B$2:$AZ$251,AD$2,FALSE)</f>
        <v>45.73472563</v>
      </c>
      <c r="AE30" s="25">
        <f>VLOOKUP($D30,Résultats!$B$2:$AZ$251,AE$2,FALSE)</f>
        <v>46.051482059999998</v>
      </c>
      <c r="AF30" s="25">
        <f>VLOOKUP($D30,Résultats!$B$2:$AZ$251,AF$2,FALSE)</f>
        <v>46.564823400000002</v>
      </c>
      <c r="AG30" s="25">
        <f>VLOOKUP($D30,Résultats!$B$2:$AZ$251,AG$2,FALSE)</f>
        <v>47.011097470000003</v>
      </c>
      <c r="AH30" s="25">
        <f>VLOOKUP($D30,Résultats!$B$2:$AZ$251,AH$2,FALSE)</f>
        <v>41.657785910000001</v>
      </c>
      <c r="AI30" s="25">
        <f>VLOOKUP($D30,Résultats!$B$2:$AZ$251,AI$2,FALSE)</f>
        <v>43.987817470000003</v>
      </c>
      <c r="AJ30" s="25">
        <f>VLOOKUP($D30,Résultats!$B$2:$AZ$251,AJ$2,FALSE)</f>
        <v>44.789312440000003</v>
      </c>
      <c r="AK30" s="25">
        <f>VLOOKUP($D30,Résultats!$B$2:$AZ$251,AK$2,FALSE)</f>
        <v>44.78922721</v>
      </c>
      <c r="AL30" s="25">
        <f>VLOOKUP($D30,Résultats!$B$2:$AZ$251,AL$2,FALSE)</f>
        <v>44.36313835</v>
      </c>
      <c r="AM30" s="102">
        <f>VLOOKUP($D30,Résultats!$B$2:$AZ$251,AM$2,FALSE)</f>
        <v>43.655011880000004</v>
      </c>
    </row>
    <row r="31" spans="1:39" x14ac:dyDescent="0.25">
      <c r="C31" s="217" t="s">
        <v>30</v>
      </c>
      <c r="D31" s="54" t="s">
        <v>162</v>
      </c>
      <c r="E31" s="25">
        <f>VLOOKUP($D31,Résultats!$B$2:$AZ$251,E$2,FALSE)</f>
        <v>0.77903986250000001</v>
      </c>
      <c r="F31" s="25">
        <f>VLOOKUP($D31,Résultats!$B$2:$AZ$251,F$2,FALSE)</f>
        <v>17.47961815</v>
      </c>
      <c r="G31" s="25">
        <f>VLOOKUP($D31,Résultats!$B$2:$AZ$251,G$2,FALSE)</f>
        <v>43.236455380000002</v>
      </c>
      <c r="H31" s="25">
        <f>VLOOKUP($D31,Résultats!$B$2:$AZ$251,H$2,FALSE)</f>
        <v>56.250163479999998</v>
      </c>
      <c r="I31" s="25">
        <f>VLOOKUP($D31,Résultats!$B$2:$AZ$251,I$2,FALSE)</f>
        <v>70.476843720000005</v>
      </c>
      <c r="J31" s="25">
        <f>VLOOKUP($D31,Résultats!$B$2:$AZ$251,J$2,FALSE)</f>
        <v>83.754670730000001</v>
      </c>
      <c r="K31" s="25">
        <f>VLOOKUP($D31,Résultats!$B$2:$AZ$251,K$2,FALSE)</f>
        <v>109.42729490000001</v>
      </c>
      <c r="L31" s="25">
        <f>VLOOKUP($D31,Résultats!$B$2:$AZ$251,L$2,FALSE)</f>
        <v>132.5898799</v>
      </c>
      <c r="M31" s="25">
        <f>VLOOKUP($D31,Résultats!$B$2:$AZ$251,M$2,FALSE)</f>
        <v>169.8839983</v>
      </c>
      <c r="N31" s="25">
        <f>VLOOKUP($D31,Résultats!$B$2:$AZ$251,N$2,FALSE)</f>
        <v>137.593682</v>
      </c>
      <c r="O31" s="25">
        <f>VLOOKUP($D31,Résultats!$B$2:$AZ$251,O$2,FALSE)</f>
        <v>219.74751649999999</v>
      </c>
      <c r="P31" s="25">
        <f>VLOOKUP($D31,Résultats!$B$2:$AZ$251,P$2,FALSE)</f>
        <v>283.04706979999997</v>
      </c>
      <c r="Q31" s="25">
        <f>VLOOKUP($D31,Résultats!$B$2:$AZ$251,Q$2,FALSE)</f>
        <v>339.28148759999999</v>
      </c>
      <c r="R31" s="25">
        <f>VLOOKUP($D31,Résultats!$B$2:$AZ$251,R$2,FALSE)</f>
        <v>392.43888220000002</v>
      </c>
      <c r="S31" s="25">
        <f>VLOOKUP($D31,Résultats!$B$2:$AZ$251,S$2,FALSE)</f>
        <v>344.3176502</v>
      </c>
      <c r="T31" s="25">
        <f>VLOOKUP($D31,Résultats!$B$2:$AZ$251,T$2,FALSE)</f>
        <v>456.23939669999999</v>
      </c>
      <c r="U31" s="25">
        <f>VLOOKUP($D31,Résultats!$B$2:$AZ$251,U$2,FALSE)</f>
        <v>510.95631639999999</v>
      </c>
      <c r="V31" s="25">
        <f>VLOOKUP($D31,Résultats!$B$2:$AZ$251,V$2,FALSE)</f>
        <v>559.55314180000005</v>
      </c>
      <c r="W31" s="25">
        <f>VLOOKUP($D31,Résultats!$B$2:$AZ$251,W$2,FALSE)</f>
        <v>603.80068189999997</v>
      </c>
      <c r="X31" s="25">
        <f>VLOOKUP($D31,Résultats!$B$2:$AZ$251,X$2,FALSE)</f>
        <v>537.95366820000004</v>
      </c>
      <c r="Y31" s="25">
        <f>VLOOKUP($D31,Résultats!$B$2:$AZ$251,Y$2,FALSE)</f>
        <v>632.53512130000001</v>
      </c>
      <c r="Z31" s="25">
        <f>VLOOKUP($D31,Résultats!$B$2:$AZ$251,Z$2,FALSE)</f>
        <v>694.26931030000003</v>
      </c>
      <c r="AA31" s="25">
        <f>VLOOKUP($D31,Résultats!$B$2:$AZ$251,AA$2,FALSE)</f>
        <v>737.27624549999996</v>
      </c>
      <c r="AB31" s="25">
        <f>VLOOKUP($D31,Résultats!$B$2:$AZ$251,AB$2,FALSE)</f>
        <v>772.85559820000003</v>
      </c>
      <c r="AC31" s="25">
        <f>VLOOKUP($D31,Résultats!$B$2:$AZ$251,AC$2,FALSE)</f>
        <v>804.58840810000004</v>
      </c>
      <c r="AD31" s="25">
        <f>VLOOKUP($D31,Résultats!$B$2:$AZ$251,AD$2,FALSE)</f>
        <v>803.32909849999999</v>
      </c>
      <c r="AE31" s="25">
        <f>VLOOKUP($D31,Résultats!$B$2:$AZ$251,AE$2,FALSE)</f>
        <v>814.88445890000003</v>
      </c>
      <c r="AF31" s="25">
        <f>VLOOKUP($D31,Résultats!$B$2:$AZ$251,AF$2,FALSE)</f>
        <v>831.7302866</v>
      </c>
      <c r="AG31" s="25">
        <f>VLOOKUP($D31,Résultats!$B$2:$AZ$251,AG$2,FALSE)</f>
        <v>849.47057670000004</v>
      </c>
      <c r="AH31" s="25">
        <f>VLOOKUP($D31,Résultats!$B$2:$AZ$251,AH$2,FALSE)</f>
        <v>766.88151340000002</v>
      </c>
      <c r="AI31" s="25">
        <f>VLOOKUP($D31,Résultats!$B$2:$AZ$251,AI$2,FALSE)</f>
        <v>820.72298260000002</v>
      </c>
      <c r="AJ31" s="25">
        <f>VLOOKUP($D31,Résultats!$B$2:$AZ$251,AJ$2,FALSE)</f>
        <v>851.06377010000006</v>
      </c>
      <c r="AK31" s="25">
        <f>VLOOKUP($D31,Résultats!$B$2:$AZ$251,AK$2,FALSE)</f>
        <v>870.07940410000003</v>
      </c>
      <c r="AL31" s="25">
        <f>VLOOKUP($D31,Résultats!$B$2:$AZ$251,AL$2,FALSE)</f>
        <v>884.09541769999998</v>
      </c>
      <c r="AM31" s="102">
        <f>VLOOKUP($D31,Résultats!$B$2:$AZ$251,AM$2,FALSE)</f>
        <v>895.65380949999997</v>
      </c>
    </row>
    <row r="32" spans="1:39" x14ac:dyDescent="0.25">
      <c r="C32" s="217" t="s">
        <v>31</v>
      </c>
      <c r="D32" s="54" t="s">
        <v>163</v>
      </c>
      <c r="E32" s="25">
        <f>VLOOKUP($D32,Résultats!$B$2:$AZ$251,E$2,FALSE)</f>
        <v>0.30704934709999998</v>
      </c>
      <c r="F32" s="25">
        <f>VLOOKUP($D32,Résultats!$B$2:$AZ$251,F$2,FALSE)</f>
        <v>6.7665049100000001</v>
      </c>
      <c r="G32" s="25">
        <f>VLOOKUP($D32,Résultats!$B$2:$AZ$251,G$2,FALSE)</f>
        <v>16.916500760000002</v>
      </c>
      <c r="H32" s="25">
        <f>VLOOKUP($D32,Résultats!$B$2:$AZ$251,H$2,FALSE)</f>
        <v>21.92299392</v>
      </c>
      <c r="I32" s="25">
        <f>VLOOKUP($D32,Résultats!$B$2:$AZ$251,I$2,FALSE)</f>
        <v>27.33923441</v>
      </c>
      <c r="J32" s="25">
        <f>VLOOKUP($D32,Résultats!$B$2:$AZ$251,J$2,FALSE)</f>
        <v>32.308653100000001</v>
      </c>
      <c r="K32" s="25">
        <f>VLOOKUP($D32,Résultats!$B$2:$AZ$251,K$2,FALSE)</f>
        <v>41.156362389999998</v>
      </c>
      <c r="L32" s="25">
        <f>VLOOKUP($D32,Résultats!$B$2:$AZ$251,L$2,FALSE)</f>
        <v>48.961705500000001</v>
      </c>
      <c r="M32" s="25">
        <f>VLOOKUP($D32,Résultats!$B$2:$AZ$251,M$2,FALSE)</f>
        <v>62.418322199999999</v>
      </c>
      <c r="N32" s="25">
        <f>VLOOKUP($D32,Résultats!$B$2:$AZ$251,N$2,FALSE)</f>
        <v>49.904690950000003</v>
      </c>
      <c r="O32" s="25">
        <f>VLOOKUP($D32,Résultats!$B$2:$AZ$251,O$2,FALSE)</f>
        <v>79.848305589999995</v>
      </c>
      <c r="P32" s="25">
        <f>VLOOKUP($D32,Résultats!$B$2:$AZ$251,P$2,FALSE)</f>
        <v>102.4140762</v>
      </c>
      <c r="Q32" s="25">
        <f>VLOOKUP($D32,Résultats!$B$2:$AZ$251,Q$2,FALSE)</f>
        <v>122.0739172</v>
      </c>
      <c r="R32" s="25">
        <f>VLOOKUP($D32,Résultats!$B$2:$AZ$251,R$2,FALSE)</f>
        <v>140.36023270000001</v>
      </c>
      <c r="S32" s="25">
        <f>VLOOKUP($D32,Résultats!$B$2:$AZ$251,S$2,FALSE)</f>
        <v>121.8573408</v>
      </c>
      <c r="T32" s="25">
        <f>VLOOKUP($D32,Résultats!$B$2:$AZ$251,T$2,FALSE)</f>
        <v>161.1896644</v>
      </c>
      <c r="U32" s="25">
        <f>VLOOKUP($D32,Résultats!$B$2:$AZ$251,U$2,FALSE)</f>
        <v>179.43935239999999</v>
      </c>
      <c r="V32" s="25">
        <f>VLOOKUP($D32,Résultats!$B$2:$AZ$251,V$2,FALSE)</f>
        <v>195.30039439999999</v>
      </c>
      <c r="W32" s="25">
        <f>VLOOKUP($D32,Résultats!$B$2:$AZ$251,W$2,FALSE)</f>
        <v>209.3788346</v>
      </c>
      <c r="X32" s="25">
        <f>VLOOKUP($D32,Résultats!$B$2:$AZ$251,X$2,FALSE)</f>
        <v>184.70666829999999</v>
      </c>
      <c r="Y32" s="25">
        <f>VLOOKUP($D32,Résultats!$B$2:$AZ$251,Y$2,FALSE)</f>
        <v>216.3648901</v>
      </c>
      <c r="Z32" s="25">
        <f>VLOOKUP($D32,Résultats!$B$2:$AZ$251,Z$2,FALSE)</f>
        <v>236.03986259999999</v>
      </c>
      <c r="AA32" s="25">
        <f>VLOOKUP($D32,Résultats!$B$2:$AZ$251,AA$2,FALSE)</f>
        <v>248.93318740000001</v>
      </c>
      <c r="AB32" s="25">
        <f>VLOOKUP($D32,Résultats!$B$2:$AZ$251,AB$2,FALSE)</f>
        <v>259.0957171</v>
      </c>
      <c r="AC32" s="25">
        <f>VLOOKUP($D32,Résultats!$B$2:$AZ$251,AC$2,FALSE)</f>
        <v>267.81384850000001</v>
      </c>
      <c r="AD32" s="25">
        <f>VLOOKUP($D32,Résultats!$B$2:$AZ$251,AD$2,FALSE)</f>
        <v>264.88765119999999</v>
      </c>
      <c r="AE32" s="25">
        <f>VLOOKUP($D32,Résultats!$B$2:$AZ$251,AE$2,FALSE)</f>
        <v>266.31443760000002</v>
      </c>
      <c r="AF32" s="25">
        <f>VLOOKUP($D32,Résultats!$B$2:$AZ$251,AF$2,FALSE)</f>
        <v>269.4570521</v>
      </c>
      <c r="AG32" s="25">
        <f>VLOOKUP($D32,Résultats!$B$2:$AZ$251,AG$2,FALSE)</f>
        <v>272.83035749999999</v>
      </c>
      <c r="AH32" s="25">
        <f>VLOOKUP($D32,Résultats!$B$2:$AZ$251,AH$2,FALSE)</f>
        <v>243.56338120000001</v>
      </c>
      <c r="AI32" s="25">
        <f>VLOOKUP($D32,Résultats!$B$2:$AZ$251,AI$2,FALSE)</f>
        <v>258.91191609999998</v>
      </c>
      <c r="AJ32" s="25">
        <f>VLOOKUP($D32,Résultats!$B$2:$AZ$251,AJ$2,FALSE)</f>
        <v>266.35587509999999</v>
      </c>
      <c r="AK32" s="25">
        <f>VLOOKUP($D32,Résultats!$B$2:$AZ$251,AK$2,FALSE)</f>
        <v>270.05979359999998</v>
      </c>
      <c r="AL32" s="25">
        <f>VLOOKUP($D32,Résultats!$B$2:$AZ$251,AL$2,FALSE)</f>
        <v>272.1596811</v>
      </c>
      <c r="AM32" s="102">
        <f>VLOOKUP($D32,Résultats!$B$2:$AZ$251,AM$2,FALSE)</f>
        <v>273.499774</v>
      </c>
    </row>
    <row r="33" spans="2:39" x14ac:dyDescent="0.25">
      <c r="C33" s="217" t="s">
        <v>32</v>
      </c>
      <c r="D33" s="54" t="s">
        <v>164</v>
      </c>
      <c r="E33" s="25">
        <f>VLOOKUP($D33,Résultats!$B$2:$AZ$251,E$2,FALSE)</f>
        <v>4.1860481099999999E-3</v>
      </c>
      <c r="F33" s="25">
        <f>VLOOKUP($D33,Résultats!$B$2:$AZ$251,F$2,FALSE)</f>
        <v>2.6628965800000001E-2</v>
      </c>
      <c r="G33" s="25">
        <f>VLOOKUP($D33,Résultats!$B$2:$AZ$251,G$2,FALSE)</f>
        <v>5.8573212999999999E-2</v>
      </c>
      <c r="H33" s="25">
        <f>VLOOKUP($D33,Résultats!$B$2:$AZ$251,H$2,FALSE)</f>
        <v>8.5678939400000001E-2</v>
      </c>
      <c r="I33" s="25">
        <f>VLOOKUP($D33,Résultats!$B$2:$AZ$251,I$2,FALSE)</f>
        <v>0.1073601099</v>
      </c>
      <c r="J33" s="25">
        <f>VLOOKUP($D33,Résultats!$B$2:$AZ$251,J$2,FALSE)</f>
        <v>0.1276091926</v>
      </c>
      <c r="K33" s="25">
        <f>VLOOKUP($D33,Résultats!$B$2:$AZ$251,K$2,FALSE)</f>
        <v>0.16696291090000001</v>
      </c>
      <c r="L33" s="25">
        <f>VLOOKUP($D33,Résultats!$B$2:$AZ$251,L$2,FALSE)</f>
        <v>0.20263794660000001</v>
      </c>
      <c r="M33" s="25">
        <f>VLOOKUP($D33,Résultats!$B$2:$AZ$251,M$2,FALSE)</f>
        <v>0.25977465300000002</v>
      </c>
      <c r="N33" s="25">
        <f>VLOOKUP($D33,Résultats!$B$2:$AZ$251,N$2,FALSE)</f>
        <v>0.21072475539999999</v>
      </c>
      <c r="O33" s="25">
        <f>VLOOKUP($D33,Résultats!$B$2:$AZ$251,O$2,FALSE)</f>
        <v>0.33646437940000001</v>
      </c>
      <c r="P33" s="25">
        <f>VLOOKUP($D33,Résultats!$B$2:$AZ$251,P$2,FALSE)</f>
        <v>0.43362248349999999</v>
      </c>
      <c r="Q33" s="25">
        <f>VLOOKUP($D33,Résultats!$B$2:$AZ$251,Q$2,FALSE)</f>
        <v>0.520170095</v>
      </c>
      <c r="R33" s="25">
        <f>VLOOKUP($D33,Résultats!$B$2:$AZ$251,R$2,FALSE)</f>
        <v>0.60218646750000004</v>
      </c>
      <c r="S33" s="25">
        <f>VLOOKUP($D33,Résultats!$B$2:$AZ$251,S$2,FALSE)</f>
        <v>0.52921410680000003</v>
      </c>
      <c r="T33" s="25">
        <f>VLOOKUP($D33,Résultats!$B$2:$AZ$251,T$2,FALSE)</f>
        <v>0.70143552119999997</v>
      </c>
      <c r="U33" s="25">
        <f>VLOOKUP($D33,Résultats!$B$2:$AZ$251,U$2,FALSE)</f>
        <v>0.78636009849999999</v>
      </c>
      <c r="V33" s="25">
        <f>VLOOKUP($D33,Résultats!$B$2:$AZ$251,V$2,FALSE)</f>
        <v>0.86209438729999999</v>
      </c>
      <c r="W33" s="25">
        <f>VLOOKUP($D33,Résultats!$B$2:$AZ$251,W$2,FALSE)</f>
        <v>0.93139650259999995</v>
      </c>
      <c r="X33" s="25">
        <f>VLOOKUP($D33,Résultats!$B$2:$AZ$251,X$2,FALSE)</f>
        <v>0.83145649909999997</v>
      </c>
      <c r="Y33" s="25">
        <f>VLOOKUP($D33,Résultats!$B$2:$AZ$251,Y$2,FALSE)</f>
        <v>0.97840760319999998</v>
      </c>
      <c r="Z33" s="25">
        <f>VLOOKUP($D33,Résultats!$B$2:$AZ$251,Z$2,FALSE)</f>
        <v>1.075307266</v>
      </c>
      <c r="AA33" s="25">
        <f>VLOOKUP($D33,Résultats!$B$2:$AZ$251,AA$2,FALSE)</f>
        <v>1.143695487</v>
      </c>
      <c r="AB33" s="25">
        <f>VLOOKUP($D33,Résultats!$B$2:$AZ$251,AB$2,FALSE)</f>
        <v>1.200896841</v>
      </c>
      <c r="AC33" s="25">
        <f>VLOOKUP($D33,Résultats!$B$2:$AZ$251,AC$2,FALSE)</f>
        <v>1.252405115</v>
      </c>
      <c r="AD33" s="25">
        <f>VLOOKUP($D33,Résultats!$B$2:$AZ$251,AD$2,FALSE)</f>
        <v>1.2535013079999999</v>
      </c>
      <c r="AE33" s="25">
        <f>VLOOKUP($D33,Résultats!$B$2:$AZ$251,AE$2,FALSE)</f>
        <v>1.274641175</v>
      </c>
      <c r="AF33" s="25">
        <f>VLOOKUP($D33,Résultats!$B$2:$AZ$251,AF$2,FALSE)</f>
        <v>1.3042795709999999</v>
      </c>
      <c r="AG33" s="25">
        <f>VLOOKUP($D33,Résultats!$B$2:$AZ$251,AG$2,FALSE)</f>
        <v>1.335620426</v>
      </c>
      <c r="AH33" s="25">
        <f>VLOOKUP($D33,Résultats!$B$2:$AZ$251,AH$2,FALSE)</f>
        <v>1.2101412920000001</v>
      </c>
      <c r="AI33" s="25">
        <f>VLOOKUP($D33,Résultats!$B$2:$AZ$251,AI$2,FALSE)</f>
        <v>1.298092198</v>
      </c>
      <c r="AJ33" s="25">
        <f>VLOOKUP($D33,Résultats!$B$2:$AZ$251,AJ$2,FALSE)</f>
        <v>1.3499192090000001</v>
      </c>
      <c r="AK33" s="25">
        <f>VLOOKUP($D33,Résultats!$B$2:$AZ$251,AK$2,FALSE)</f>
        <v>1.384398767</v>
      </c>
      <c r="AL33" s="25">
        <f>VLOOKUP($D33,Résultats!$B$2:$AZ$251,AL$2,FALSE)</f>
        <v>1.4113170020000001</v>
      </c>
      <c r="AM33" s="102">
        <f>VLOOKUP($D33,Résultats!$B$2:$AZ$251,AM$2,FALSE)</f>
        <v>1.4346337689999999</v>
      </c>
    </row>
    <row r="34" spans="2:39" x14ac:dyDescent="0.25">
      <c r="C34" s="217" t="s">
        <v>33</v>
      </c>
      <c r="D34" s="54" t="s">
        <v>165</v>
      </c>
      <c r="E34" s="55">
        <f>VLOOKUP($D34,Résultats!$B$2:$AZ$251,E$2,FALSE)</f>
        <v>5.1428591099999997E-2</v>
      </c>
      <c r="F34" s="55">
        <f>VLOOKUP($D34,Résultats!$B$2:$AZ$251,F$2,FALSE)</f>
        <v>1.0096817890000001</v>
      </c>
      <c r="G34" s="55">
        <f>VLOOKUP($D34,Résultats!$B$2:$AZ$251,G$2,FALSE)</f>
        <v>2.7017802899999999</v>
      </c>
      <c r="H34" s="55">
        <f>VLOOKUP($D34,Résultats!$B$2:$AZ$251,H$2,FALSE)</f>
        <v>3.4153200620000002</v>
      </c>
      <c r="I34" s="55">
        <f>VLOOKUP($D34,Résultats!$B$2:$AZ$251,I$2,FALSE)</f>
        <v>4.1338118430000002</v>
      </c>
      <c r="J34" s="55">
        <f>VLOOKUP($D34,Résultats!$B$2:$AZ$251,J$2,FALSE)</f>
        <v>4.7157289909999998</v>
      </c>
      <c r="K34" s="55">
        <f>VLOOKUP($D34,Résultats!$B$2:$AZ$251,K$2,FALSE)</f>
        <v>5.1433961799999999</v>
      </c>
      <c r="L34" s="55">
        <f>VLOOKUP($D34,Résultats!$B$2:$AZ$251,L$2,FALSE)</f>
        <v>5.4956465699999999</v>
      </c>
      <c r="M34" s="55">
        <f>VLOOKUP($D34,Résultats!$B$2:$AZ$251,M$2,FALSE)</f>
        <v>6.8079345040000003</v>
      </c>
      <c r="N34" s="55">
        <f>VLOOKUP($D34,Résultats!$B$2:$AZ$251,N$2,FALSE)</f>
        <v>5.0649854660000004</v>
      </c>
      <c r="O34" s="55">
        <f>VLOOKUP($D34,Résultats!$B$2:$AZ$251,O$2,FALSE)</f>
        <v>8.1862012810000007</v>
      </c>
      <c r="P34" s="55">
        <f>VLOOKUP($D34,Résultats!$B$2:$AZ$251,P$2,FALSE)</f>
        <v>10.25932089</v>
      </c>
      <c r="Q34" s="55">
        <f>VLOOKUP($D34,Résultats!$B$2:$AZ$251,Q$2,FALSE)</f>
        <v>11.86452562</v>
      </c>
      <c r="R34" s="55">
        <f>VLOOKUP($D34,Résultats!$B$2:$AZ$251,R$2,FALSE)</f>
        <v>13.21802469</v>
      </c>
      <c r="S34" s="55">
        <f>VLOOKUP($D34,Résultats!$B$2:$AZ$251,S$2,FALSE)</f>
        <v>10.869295230000001</v>
      </c>
      <c r="T34" s="55">
        <f>VLOOKUP($D34,Résultats!$B$2:$AZ$251,T$2,FALSE)</f>
        <v>14.253426839999999</v>
      </c>
      <c r="U34" s="55">
        <f>VLOOKUP($D34,Résultats!$B$2:$AZ$251,U$2,FALSE)</f>
        <v>15.400692530000001</v>
      </c>
      <c r="V34" s="55">
        <f>VLOOKUP($D34,Résultats!$B$2:$AZ$251,V$2,FALSE)</f>
        <v>16.26948024</v>
      </c>
      <c r="W34" s="55">
        <f>VLOOKUP($D34,Résultats!$B$2:$AZ$251,W$2,FALSE)</f>
        <v>16.915324999999999</v>
      </c>
      <c r="X34" s="55">
        <f>VLOOKUP($D34,Résultats!$B$2:$AZ$251,X$2,FALSE)</f>
        <v>14.264871169999999</v>
      </c>
      <c r="Y34" s="55">
        <f>VLOOKUP($D34,Résultats!$B$2:$AZ$251,Y$2,FALSE)</f>
        <v>16.43531973</v>
      </c>
      <c r="Z34" s="55">
        <f>VLOOKUP($D34,Résultats!$B$2:$AZ$251,Z$2,FALSE)</f>
        <v>17.46784869</v>
      </c>
      <c r="AA34" s="55">
        <f>VLOOKUP($D34,Résultats!$B$2:$AZ$251,AA$2,FALSE)</f>
        <v>17.90246029</v>
      </c>
      <c r="AB34" s="55">
        <f>VLOOKUP($D34,Résultats!$B$2:$AZ$251,AB$2,FALSE)</f>
        <v>18.114877360000001</v>
      </c>
      <c r="AC34" s="55">
        <f>VLOOKUP($D34,Résultats!$B$2:$AZ$251,AC$2,FALSE)</f>
        <v>18.224652519999999</v>
      </c>
      <c r="AD34" s="55">
        <f>VLOOKUP($D34,Résultats!$B$2:$AZ$251,AD$2,FALSE)</f>
        <v>17.42902217</v>
      </c>
      <c r="AE34" s="55">
        <f>VLOOKUP($D34,Résultats!$B$2:$AZ$251,AE$2,FALSE)</f>
        <v>17.011069240000001</v>
      </c>
      <c r="AF34" s="55">
        <f>VLOOKUP($D34,Résultats!$B$2:$AZ$251,AF$2,FALSE)</f>
        <v>16.75462602</v>
      </c>
      <c r="AG34" s="55">
        <f>VLOOKUP($D34,Résultats!$B$2:$AZ$251,AG$2,FALSE)</f>
        <v>16.552469299999998</v>
      </c>
      <c r="AH34" s="55">
        <f>VLOOKUP($D34,Résultats!$B$2:$AZ$251,AH$2,FALSE)</f>
        <v>14.36121451</v>
      </c>
      <c r="AI34" s="55">
        <f>VLOOKUP($D34,Résultats!$B$2:$AZ$251,AI$2,FALSE)</f>
        <v>15.03281855</v>
      </c>
      <c r="AJ34" s="55">
        <f>VLOOKUP($D34,Résultats!$B$2:$AZ$251,AJ$2,FALSE)</f>
        <v>15.212944800000001</v>
      </c>
      <c r="AK34" s="55">
        <f>VLOOKUP($D34,Résultats!$B$2:$AZ$251,AK$2,FALSE)</f>
        <v>15.193378040000001</v>
      </c>
      <c r="AL34" s="55">
        <f>VLOOKUP($D34,Résultats!$B$2:$AZ$251,AL$2,FALSE)</f>
        <v>15.114501880000001</v>
      </c>
      <c r="AM34" s="213">
        <f>VLOOKUP($D34,Résultats!$B$2:$AZ$251,AM$2,FALSE)</f>
        <v>15.02704555</v>
      </c>
    </row>
    <row r="35" spans="2:39" x14ac:dyDescent="0.25">
      <c r="C35" s="216" t="s">
        <v>46</v>
      </c>
      <c r="D35" s="52" t="s">
        <v>150</v>
      </c>
      <c r="E35" s="53">
        <f>VLOOKUP($D35,Résultats!$B$2:$AZ$251,E$2,FALSE)</f>
        <v>2371.8135000000002</v>
      </c>
      <c r="F35" s="53">
        <f>VLOOKUP($D35,Résultats!$B$2:$AZ$251,F$2,FALSE)</f>
        <v>1913.657125</v>
      </c>
      <c r="G35" s="53">
        <f>VLOOKUP($D35,Résultats!$B$2:$AZ$251,G$2,FALSE)</f>
        <v>2137.8891279999998</v>
      </c>
      <c r="H35" s="53">
        <f>VLOOKUP($D35,Résultats!$B$2:$AZ$251,H$2,FALSE)</f>
        <v>2154.497124</v>
      </c>
      <c r="I35" s="53">
        <f>VLOOKUP($D35,Résultats!$B$2:$AZ$251,I$2,FALSE)</f>
        <v>2102.1340230000001</v>
      </c>
      <c r="J35" s="53">
        <f>VLOOKUP($D35,Résultats!$B$2:$AZ$251,J$2,FALSE)</f>
        <v>1958.1808100000001</v>
      </c>
      <c r="K35" s="53">
        <f>VLOOKUP($D35,Résultats!$B$2:$AZ$251,K$2,FALSE)</f>
        <v>2031.884084</v>
      </c>
      <c r="L35" s="53">
        <f>VLOOKUP($D35,Résultats!$B$2:$AZ$251,L$2,FALSE)</f>
        <v>1963.7399989999999</v>
      </c>
      <c r="M35" s="53">
        <f>VLOOKUP($D35,Résultats!$B$2:$AZ$251,M$2,FALSE)</f>
        <v>2012.2631550000001</v>
      </c>
      <c r="N35" s="53">
        <f>VLOOKUP($D35,Résultats!$B$2:$AZ$251,N$2,FALSE)</f>
        <v>1318.8388070000001</v>
      </c>
      <c r="O35" s="53">
        <f>VLOOKUP($D35,Résultats!$B$2:$AZ$251,O$2,FALSE)</f>
        <v>1711.9015429999999</v>
      </c>
      <c r="P35" s="53">
        <f>VLOOKUP($D35,Résultats!$B$2:$AZ$251,P$2,FALSE)</f>
        <v>1815.9861980000001</v>
      </c>
      <c r="Q35" s="53">
        <f>VLOOKUP($D35,Résultats!$B$2:$AZ$251,Q$2,FALSE)</f>
        <v>1814.8367000000001</v>
      </c>
      <c r="R35" s="53">
        <f>VLOOKUP($D35,Résultats!$B$2:$AZ$251,R$2,FALSE)</f>
        <v>1771.9479650000001</v>
      </c>
      <c r="S35" s="53">
        <f>VLOOKUP($D35,Résultats!$B$2:$AZ$251,S$2,FALSE)</f>
        <v>1331.0484280000001</v>
      </c>
      <c r="T35" s="53">
        <f>VLOOKUP($D35,Résultats!$B$2:$AZ$251,T$2,FALSE)</f>
        <v>1523.484254</v>
      </c>
      <c r="U35" s="53">
        <f>VLOOKUP($D35,Résultats!$B$2:$AZ$251,U$2,FALSE)</f>
        <v>1493.7025530000001</v>
      </c>
      <c r="V35" s="53">
        <f>VLOOKUP($D35,Résultats!$B$2:$AZ$251,V$2,FALSE)</f>
        <v>1448.0975430000001</v>
      </c>
      <c r="W35" s="53">
        <f>VLOOKUP($D35,Résultats!$B$2:$AZ$251,W$2,FALSE)</f>
        <v>1397.8193960000001</v>
      </c>
      <c r="X35" s="53">
        <f>VLOOKUP($D35,Résultats!$B$2:$AZ$251,X$2,FALSE)</f>
        <v>1126.074212</v>
      </c>
      <c r="Y35" s="53">
        <f>VLOOKUP($D35,Résultats!$B$2:$AZ$251,Y$2,FALSE)</f>
        <v>1204.542273</v>
      </c>
      <c r="Z35" s="53">
        <f>VLOOKUP($D35,Résultats!$B$2:$AZ$251,Z$2,FALSE)</f>
        <v>1213.135957</v>
      </c>
      <c r="AA35" s="53">
        <f>VLOOKUP($D35,Résultats!$B$2:$AZ$251,AA$2,FALSE)</f>
        <v>1190.6580939999999</v>
      </c>
      <c r="AB35" s="53">
        <f>VLOOKUP($D35,Résultats!$B$2:$AZ$251,AB$2,FALSE)</f>
        <v>1160.7576369999999</v>
      </c>
      <c r="AC35" s="53">
        <f>VLOOKUP($D35,Résultats!$B$2:$AZ$251,AC$2,FALSE)</f>
        <v>1130.067278</v>
      </c>
      <c r="AD35" s="53">
        <f>VLOOKUP($D35,Résultats!$B$2:$AZ$251,AD$2,FALSE)</f>
        <v>1061.3834280000001</v>
      </c>
      <c r="AE35" s="53">
        <f>VLOOKUP($D35,Résultats!$B$2:$AZ$251,AE$2,FALSE)</f>
        <v>1017.108464</v>
      </c>
      <c r="AF35" s="53">
        <f>VLOOKUP($D35,Résultats!$B$2:$AZ$251,AF$2,FALSE)</f>
        <v>984.59130889999994</v>
      </c>
      <c r="AG35" s="53">
        <f>VLOOKUP($D35,Résultats!$B$2:$AZ$251,AG$2,FALSE)</f>
        <v>957.1613112</v>
      </c>
      <c r="AH35" s="53">
        <f>VLOOKUP($D35,Résultats!$B$2:$AZ$251,AH$2,FALSE)</f>
        <v>826.15185740000004</v>
      </c>
      <c r="AI35" s="53">
        <f>VLOOKUP($D35,Résultats!$B$2:$AZ$251,AI$2,FALSE)</f>
        <v>846.1262653</v>
      </c>
      <c r="AJ35" s="53">
        <f>VLOOKUP($D35,Résultats!$B$2:$AZ$251,AJ$2,FALSE)</f>
        <v>842.42073530000005</v>
      </c>
      <c r="AK35" s="53">
        <f>VLOOKUP($D35,Résultats!$B$2:$AZ$251,AK$2,FALSE)</f>
        <v>829.09883539999998</v>
      </c>
      <c r="AL35" s="53">
        <f>VLOOKUP($D35,Résultats!$B$2:$AZ$251,AL$2,FALSE)</f>
        <v>812.85923119999995</v>
      </c>
      <c r="AM35" s="212">
        <f>VLOOKUP($D35,Résultats!$B$2:$AZ$251,AM$2,FALSE)</f>
        <v>796.18665139999996</v>
      </c>
    </row>
    <row r="36" spans="2:39" x14ac:dyDescent="0.25">
      <c r="C36" s="217" t="s">
        <v>27</v>
      </c>
      <c r="D36" s="3" t="s">
        <v>151</v>
      </c>
      <c r="E36" s="25">
        <f>VLOOKUP($D36,Résultats!$B$2:$AZ$251,E$2,FALSE)</f>
        <v>1.1865000000000001</v>
      </c>
      <c r="F36" s="25">
        <f>VLOOKUP($D36,Résultats!$B$2:$AZ$251,F$2,FALSE)</f>
        <v>35.134485320000003</v>
      </c>
      <c r="G36" s="25">
        <f>VLOOKUP($D36,Résultats!$B$2:$AZ$251,G$2,FALSE)</f>
        <v>44.180272860000002</v>
      </c>
      <c r="H36" s="25">
        <f>VLOOKUP($D36,Résultats!$B$2:$AZ$251,H$2,FALSE)</f>
        <v>48.922379020000001</v>
      </c>
      <c r="I36" s="25">
        <f>VLOOKUP($D36,Résultats!$B$2:$AZ$251,I$2,FALSE)</f>
        <v>72.506147720000001</v>
      </c>
      <c r="J36" s="25">
        <f>VLOOKUP($D36,Résultats!$B$2:$AZ$251,J$2,FALSE)</f>
        <v>65.316213989999994</v>
      </c>
      <c r="K36" s="25">
        <f>VLOOKUP($D36,Résultats!$B$2:$AZ$251,K$2,FALSE)</f>
        <v>99.605461509999998</v>
      </c>
      <c r="L36" s="25">
        <f>VLOOKUP($D36,Résultats!$B$2:$AZ$251,L$2,FALSE)</f>
        <v>113.2182282</v>
      </c>
      <c r="M36" s="25">
        <f>VLOOKUP($D36,Résultats!$B$2:$AZ$251,M$2,FALSE)</f>
        <v>122.4221254</v>
      </c>
      <c r="N36" s="25">
        <f>VLOOKUP($D36,Résultats!$B$2:$AZ$251,N$2,FALSE)</f>
        <v>88.217734289999996</v>
      </c>
      <c r="O36" s="25">
        <f>VLOOKUP($D36,Résultats!$B$2:$AZ$251,O$2,FALSE)</f>
        <v>113.2623784</v>
      </c>
      <c r="P36" s="25">
        <f>VLOOKUP($D36,Résultats!$B$2:$AZ$251,P$2,FALSE)</f>
        <v>124.4016944</v>
      </c>
      <c r="Q36" s="25">
        <f>VLOOKUP($D36,Résultats!$B$2:$AZ$251,Q$2,FALSE)</f>
        <v>130.5148279</v>
      </c>
      <c r="R36" s="25">
        <f>VLOOKUP($D36,Résultats!$B$2:$AZ$251,R$2,FALSE)</f>
        <v>134.16112570000001</v>
      </c>
      <c r="S36" s="25">
        <f>VLOOKUP($D36,Résultats!$B$2:$AZ$251,S$2,FALSE)</f>
        <v>108.2705187</v>
      </c>
      <c r="T36" s="25">
        <f>VLOOKUP($D36,Résultats!$B$2:$AZ$251,T$2,FALSE)</f>
        <v>126.5674156</v>
      </c>
      <c r="U36" s="25">
        <f>VLOOKUP($D36,Résultats!$B$2:$AZ$251,U$2,FALSE)</f>
        <v>129.6169878</v>
      </c>
      <c r="V36" s="25">
        <f>VLOOKUP($D36,Résultats!$B$2:$AZ$251,V$2,FALSE)</f>
        <v>131.53833</v>
      </c>
      <c r="W36" s="25">
        <f>VLOOKUP($D36,Résultats!$B$2:$AZ$251,W$2,FALSE)</f>
        <v>132.25867729999999</v>
      </c>
      <c r="X36" s="25">
        <f>VLOOKUP($D36,Résultats!$B$2:$AZ$251,X$2,FALSE)</f>
        <v>113.60330159999999</v>
      </c>
      <c r="Y36" s="25">
        <f>VLOOKUP($D36,Résultats!$B$2:$AZ$251,Y$2,FALSE)</f>
        <v>125.12839889999999</v>
      </c>
      <c r="Z36" s="25">
        <f>VLOOKUP($D36,Résultats!$B$2:$AZ$251,Z$2,FALSE)</f>
        <v>130.45480649999999</v>
      </c>
      <c r="AA36" s="25">
        <f>VLOOKUP($D36,Résultats!$B$2:$AZ$251,AA$2,FALSE)</f>
        <v>133.25439940000001</v>
      </c>
      <c r="AB36" s="25">
        <f>VLOOKUP($D36,Résultats!$B$2:$AZ$251,AB$2,FALSE)</f>
        <v>135.07724099999999</v>
      </c>
      <c r="AC36" s="25">
        <f>VLOOKUP($D36,Résultats!$B$2:$AZ$251,AC$2,FALSE)</f>
        <v>136.44943000000001</v>
      </c>
      <c r="AD36" s="25">
        <f>VLOOKUP($D36,Résultats!$B$2:$AZ$251,AD$2,FALSE)</f>
        <v>134.317646</v>
      </c>
      <c r="AE36" s="25">
        <f>VLOOKUP($D36,Résultats!$B$2:$AZ$251,AE$2,FALSE)</f>
        <v>134.54719639999999</v>
      </c>
      <c r="AF36" s="25">
        <f>VLOOKUP($D36,Résultats!$B$2:$AZ$251,AF$2,FALSE)</f>
        <v>135.81963339999999</v>
      </c>
      <c r="AG36" s="25">
        <f>VLOOKUP($D36,Résultats!$B$2:$AZ$251,AG$2,FALSE)</f>
        <v>137.6124251</v>
      </c>
      <c r="AH36" s="25">
        <f>VLOOKUP($D36,Résultats!$B$2:$AZ$251,AH$2,FALSE)</f>
        <v>124.7165435</v>
      </c>
      <c r="AI36" s="25">
        <f>VLOOKUP($D36,Résultats!$B$2:$AZ$251,AI$2,FALSE)</f>
        <v>132.36632</v>
      </c>
      <c r="AJ36" s="25">
        <f>VLOOKUP($D36,Résultats!$B$2:$AZ$251,AJ$2,FALSE)</f>
        <v>136.98380449999999</v>
      </c>
      <c r="AK36" s="25">
        <f>VLOOKUP($D36,Résultats!$B$2:$AZ$251,AK$2,FALSE)</f>
        <v>140.30717749999999</v>
      </c>
      <c r="AL36" s="25">
        <f>VLOOKUP($D36,Résultats!$B$2:$AZ$251,AL$2,FALSE)</f>
        <v>143.03844910000001</v>
      </c>
      <c r="AM36" s="102">
        <f>VLOOKUP($D36,Résultats!$B$2:$AZ$251,AM$2,FALSE)</f>
        <v>145.48954140000001</v>
      </c>
    </row>
    <row r="37" spans="2:39" x14ac:dyDescent="0.25">
      <c r="C37" s="217" t="s">
        <v>28</v>
      </c>
      <c r="D37" s="3" t="s">
        <v>152</v>
      </c>
      <c r="E37" s="25">
        <f>VLOOKUP($D37,Résultats!$B$2:$AZ$251,E$2,FALSE)</f>
        <v>427.14</v>
      </c>
      <c r="F37" s="25">
        <f>VLOOKUP($D37,Résultats!$B$2:$AZ$251,F$2,FALSE)</f>
        <v>364.61765150000002</v>
      </c>
      <c r="G37" s="25">
        <f>VLOOKUP($D37,Résultats!$B$2:$AZ$251,G$2,FALSE)</f>
        <v>408.52321089999998</v>
      </c>
      <c r="H37" s="25">
        <f>VLOOKUP($D37,Résultats!$B$2:$AZ$251,H$2,FALSE)</f>
        <v>414.20101019999998</v>
      </c>
      <c r="I37" s="25">
        <f>VLOOKUP($D37,Résultats!$B$2:$AZ$251,I$2,FALSE)</f>
        <v>420.0201442</v>
      </c>
      <c r="J37" s="25">
        <f>VLOOKUP($D37,Résultats!$B$2:$AZ$251,J$2,FALSE)</f>
        <v>386.41733369999997</v>
      </c>
      <c r="K37" s="25">
        <f>VLOOKUP($D37,Résultats!$B$2:$AZ$251,K$2,FALSE)</f>
        <v>419.42797940000003</v>
      </c>
      <c r="L37" s="25">
        <f>VLOOKUP($D37,Résultats!$B$2:$AZ$251,L$2,FALSE)</f>
        <v>412.53971039999999</v>
      </c>
      <c r="M37" s="25">
        <f>VLOOKUP($D37,Résultats!$B$2:$AZ$251,M$2,FALSE)</f>
        <v>425.11056259999998</v>
      </c>
      <c r="N37" s="25">
        <f>VLOOKUP($D37,Résultats!$B$2:$AZ$251,N$2,FALSE)</f>
        <v>281.72377390000003</v>
      </c>
      <c r="O37" s="25">
        <f>VLOOKUP($D37,Résultats!$B$2:$AZ$251,O$2,FALSE)</f>
        <v>365.02324119999997</v>
      </c>
      <c r="P37" s="25">
        <f>VLOOKUP($D37,Résultats!$B$2:$AZ$251,P$2,FALSE)</f>
        <v>388.30413069999997</v>
      </c>
      <c r="Q37" s="25">
        <f>VLOOKUP($D37,Résultats!$B$2:$AZ$251,Q$2,FALSE)</f>
        <v>389.85229240000001</v>
      </c>
      <c r="R37" s="25">
        <f>VLOOKUP($D37,Résultats!$B$2:$AZ$251,R$2,FALSE)</f>
        <v>382.55567839999998</v>
      </c>
      <c r="S37" s="25">
        <f>VLOOKUP($D37,Résultats!$B$2:$AZ$251,S$2,FALSE)</f>
        <v>289.65369029999999</v>
      </c>
      <c r="T37" s="25">
        <f>VLOOKUP($D37,Résultats!$B$2:$AZ$251,T$2,FALSE)</f>
        <v>331.81328710000003</v>
      </c>
      <c r="U37" s="25">
        <f>VLOOKUP($D37,Résultats!$B$2:$AZ$251,U$2,FALSE)</f>
        <v>326.45281619999997</v>
      </c>
      <c r="V37" s="25">
        <f>VLOOKUP($D37,Résultats!$B$2:$AZ$251,V$2,FALSE)</f>
        <v>317.70710179999998</v>
      </c>
      <c r="W37" s="25">
        <f>VLOOKUP($D37,Résultats!$B$2:$AZ$251,W$2,FALSE)</f>
        <v>307.61206650000003</v>
      </c>
      <c r="X37" s="25">
        <f>VLOOKUP($D37,Résultats!$B$2:$AZ$251,X$2,FALSE)</f>
        <v>249.2724905</v>
      </c>
      <c r="Y37" s="25">
        <f>VLOOKUP($D37,Résultats!$B$2:$AZ$251,Y$2,FALSE)</f>
        <v>267.10581070000001</v>
      </c>
      <c r="Z37" s="25">
        <f>VLOOKUP($D37,Résultats!$B$2:$AZ$251,Z$2,FALSE)</f>
        <v>269.71228989999997</v>
      </c>
      <c r="AA37" s="25">
        <f>VLOOKUP($D37,Résultats!$B$2:$AZ$251,AA$2,FALSE)</f>
        <v>265.62041449999998</v>
      </c>
      <c r="AB37" s="25">
        <f>VLOOKUP($D37,Résultats!$B$2:$AZ$251,AB$2,FALSE)</f>
        <v>259.80236559999997</v>
      </c>
      <c r="AC37" s="25">
        <f>VLOOKUP($D37,Résultats!$B$2:$AZ$251,AC$2,FALSE)</f>
        <v>253.68726509999999</v>
      </c>
      <c r="AD37" s="25">
        <f>VLOOKUP($D37,Résultats!$B$2:$AZ$251,AD$2,FALSE)</f>
        <v>239.1385803</v>
      </c>
      <c r="AE37" s="25">
        <f>VLOOKUP($D37,Résultats!$B$2:$AZ$251,AE$2,FALSE)</f>
        <v>229.89050520000001</v>
      </c>
      <c r="AF37" s="25">
        <f>VLOOKUP($D37,Résultats!$B$2:$AZ$251,AF$2,FALSE)</f>
        <v>223.13681750000001</v>
      </c>
      <c r="AG37" s="25">
        <f>VLOOKUP($D37,Résultats!$B$2:$AZ$251,AG$2,FALSE)</f>
        <v>217.4533079</v>
      </c>
      <c r="AH37" s="25">
        <f>VLOOKUP($D37,Résultats!$B$2:$AZ$251,AH$2,FALSE)</f>
        <v>188.31664359999999</v>
      </c>
      <c r="AI37" s="25">
        <f>VLOOKUP($D37,Résultats!$B$2:$AZ$251,AI$2,FALSE)</f>
        <v>192.97678869999999</v>
      </c>
      <c r="AJ37" s="25">
        <f>VLOOKUP($D37,Résultats!$B$2:$AZ$251,AJ$2,FALSE)</f>
        <v>192.2613642</v>
      </c>
      <c r="AK37" s="25">
        <f>VLOOKUP($D37,Résultats!$B$2:$AZ$251,AK$2,FALSE)</f>
        <v>189.32342879999999</v>
      </c>
      <c r="AL37" s="25">
        <f>VLOOKUP($D37,Résultats!$B$2:$AZ$251,AL$2,FALSE)</f>
        <v>185.63931310000001</v>
      </c>
      <c r="AM37" s="102">
        <f>VLOOKUP($D37,Résultats!$B$2:$AZ$251,AM$2,FALSE)</f>
        <v>181.7659318</v>
      </c>
    </row>
    <row r="38" spans="2:39" x14ac:dyDescent="0.25">
      <c r="C38" s="217" t="s">
        <v>29</v>
      </c>
      <c r="D38" s="3" t="s">
        <v>153</v>
      </c>
      <c r="E38" s="25">
        <f>VLOOKUP($D38,Résultats!$B$2:$AZ$251,E$2,FALSE)</f>
        <v>673.93200000000002</v>
      </c>
      <c r="F38" s="25">
        <f>VLOOKUP($D38,Résultats!$B$2:$AZ$251,F$2,FALSE)</f>
        <v>554.21965409999996</v>
      </c>
      <c r="G38" s="25">
        <f>VLOOKUP($D38,Résultats!$B$2:$AZ$251,G$2,FALSE)</f>
        <v>620.21962780000001</v>
      </c>
      <c r="H38" s="25">
        <f>VLOOKUP($D38,Résultats!$B$2:$AZ$251,H$2,FALSE)</f>
        <v>626.91723049999996</v>
      </c>
      <c r="I38" s="25">
        <f>VLOOKUP($D38,Résultats!$B$2:$AZ$251,I$2,FALSE)</f>
        <v>619.59228240000004</v>
      </c>
      <c r="J38" s="25">
        <f>VLOOKUP($D38,Résultats!$B$2:$AZ$251,J$2,FALSE)</f>
        <v>575.96798839999997</v>
      </c>
      <c r="K38" s="25">
        <f>VLOOKUP($D38,Résultats!$B$2:$AZ$251,K$2,FALSE)</f>
        <v>603.16522350000002</v>
      </c>
      <c r="L38" s="25">
        <f>VLOOKUP($D38,Résultats!$B$2:$AZ$251,L$2,FALSE)</f>
        <v>582.27266429999997</v>
      </c>
      <c r="M38" s="25">
        <f>VLOOKUP($D38,Résultats!$B$2:$AZ$251,M$2,FALSE)</f>
        <v>596.19369210000002</v>
      </c>
      <c r="N38" s="25">
        <f>VLOOKUP($D38,Résultats!$B$2:$AZ$251,N$2,FALSE)</f>
        <v>390.11971770000002</v>
      </c>
      <c r="O38" s="25">
        <f>VLOOKUP($D38,Résultats!$B$2:$AZ$251,O$2,FALSE)</f>
        <v>506.43965379999997</v>
      </c>
      <c r="P38" s="25">
        <f>VLOOKUP($D38,Résultats!$B$2:$AZ$251,P$2,FALSE)</f>
        <v>536.68526280000003</v>
      </c>
      <c r="Q38" s="25">
        <f>VLOOKUP($D38,Résultats!$B$2:$AZ$251,Q$2,FALSE)</f>
        <v>535.58216789999994</v>
      </c>
      <c r="R38" s="25">
        <f>VLOOKUP($D38,Résultats!$B$2:$AZ$251,R$2,FALSE)</f>
        <v>522.03656530000001</v>
      </c>
      <c r="S38" s="25">
        <f>VLOOKUP($D38,Résultats!$B$2:$AZ$251,S$2,FALSE)</f>
        <v>391.12044630000003</v>
      </c>
      <c r="T38" s="25">
        <f>VLOOKUP($D38,Résultats!$B$2:$AZ$251,T$2,FALSE)</f>
        <v>447.14953850000001</v>
      </c>
      <c r="U38" s="25">
        <f>VLOOKUP($D38,Résultats!$B$2:$AZ$251,U$2,FALSE)</f>
        <v>437.44418969999998</v>
      </c>
      <c r="V38" s="25">
        <f>VLOOKUP($D38,Résultats!$B$2:$AZ$251,V$2,FALSE)</f>
        <v>423.02965569999998</v>
      </c>
      <c r="W38" s="25">
        <f>VLOOKUP($D38,Résultats!$B$2:$AZ$251,W$2,FALSE)</f>
        <v>407.31835109999997</v>
      </c>
      <c r="X38" s="25">
        <f>VLOOKUP($D38,Résultats!$B$2:$AZ$251,X$2,FALSE)</f>
        <v>326.75285550000001</v>
      </c>
      <c r="Y38" s="25">
        <f>VLOOKUP($D38,Résultats!$B$2:$AZ$251,Y$2,FALSE)</f>
        <v>348.73213440000001</v>
      </c>
      <c r="Z38" s="25">
        <f>VLOOKUP($D38,Résultats!$B$2:$AZ$251,Z$2,FALSE)</f>
        <v>350.25289120000002</v>
      </c>
      <c r="AA38" s="25">
        <f>VLOOKUP($D38,Résultats!$B$2:$AZ$251,AA$2,FALSE)</f>
        <v>342.60479570000001</v>
      </c>
      <c r="AB38" s="25">
        <f>VLOOKUP($D38,Résultats!$B$2:$AZ$251,AB$2,FALSE)</f>
        <v>332.80712440000002</v>
      </c>
      <c r="AC38" s="25">
        <f>VLOOKUP($D38,Résultats!$B$2:$AZ$251,AC$2,FALSE)</f>
        <v>322.82029410000001</v>
      </c>
      <c r="AD38" s="25">
        <f>VLOOKUP($D38,Résultats!$B$2:$AZ$251,AD$2,FALSE)</f>
        <v>301.65927799999997</v>
      </c>
      <c r="AE38" s="25">
        <f>VLOOKUP($D38,Résultats!$B$2:$AZ$251,AE$2,FALSE)</f>
        <v>287.55297339999998</v>
      </c>
      <c r="AF38" s="25">
        <f>VLOOKUP($D38,Résultats!$B$2:$AZ$251,AF$2,FALSE)</f>
        <v>276.84666499999997</v>
      </c>
      <c r="AG38" s="25">
        <f>VLOOKUP($D38,Résultats!$B$2:$AZ$251,AG$2,FALSE)</f>
        <v>267.56779779999999</v>
      </c>
      <c r="AH38" s="25">
        <f>VLOOKUP($D38,Résultats!$B$2:$AZ$251,AH$2,FALSE)</f>
        <v>229.22150379999999</v>
      </c>
      <c r="AI38" s="25">
        <f>VLOOKUP($D38,Résultats!$B$2:$AZ$251,AI$2,FALSE)</f>
        <v>233.36510329999999</v>
      </c>
      <c r="AJ38" s="25">
        <f>VLOOKUP($D38,Résultats!$B$2:$AZ$251,AJ$2,FALSE)</f>
        <v>230.74041740000001</v>
      </c>
      <c r="AK38" s="25">
        <f>VLOOKUP($D38,Résultats!$B$2:$AZ$251,AK$2,FALSE)</f>
        <v>225.3577358</v>
      </c>
      <c r="AL38" s="25">
        <f>VLOOKUP($D38,Résultats!$B$2:$AZ$251,AL$2,FALSE)</f>
        <v>219.17250519999999</v>
      </c>
      <c r="AM38" s="102">
        <f>VLOOKUP($D38,Résultats!$B$2:$AZ$251,AM$2,FALSE)</f>
        <v>212.8997937</v>
      </c>
    </row>
    <row r="39" spans="2:39" x14ac:dyDescent="0.25">
      <c r="C39" s="217" t="s">
        <v>30</v>
      </c>
      <c r="D39" s="3" t="s">
        <v>154</v>
      </c>
      <c r="E39" s="25">
        <f>VLOOKUP($D39,Résultats!$B$2:$AZ$251,E$2,FALSE)</f>
        <v>664.44</v>
      </c>
      <c r="F39" s="25">
        <f>VLOOKUP($D39,Résultats!$B$2:$AZ$251,F$2,FALSE)</f>
        <v>532.25210219999997</v>
      </c>
      <c r="G39" s="25">
        <f>VLOOKUP($D39,Résultats!$B$2:$AZ$251,G$2,FALSE)</f>
        <v>592.46851849999996</v>
      </c>
      <c r="H39" s="25">
        <f>VLOOKUP($D39,Résultats!$B$2:$AZ$251,H$2,FALSE)</f>
        <v>600.56147420000002</v>
      </c>
      <c r="I39" s="25">
        <f>VLOOKUP($D39,Résultats!$B$2:$AZ$251,I$2,FALSE)</f>
        <v>580.77849860000003</v>
      </c>
      <c r="J39" s="25">
        <f>VLOOKUP($D39,Résultats!$B$2:$AZ$251,J$2,FALSE)</f>
        <v>553.63167659999999</v>
      </c>
      <c r="K39" s="25">
        <f>VLOOKUP($D39,Résultats!$B$2:$AZ$251,K$2,FALSE)</f>
        <v>569.30733480000004</v>
      </c>
      <c r="L39" s="25">
        <f>VLOOKUP($D39,Résultats!$B$2:$AZ$251,L$2,FALSE)</f>
        <v>544.42395499999998</v>
      </c>
      <c r="M39" s="25">
        <f>VLOOKUP($D39,Résultats!$B$2:$AZ$251,M$2,FALSE)</f>
        <v>555.58308250000005</v>
      </c>
      <c r="N39" s="25">
        <f>VLOOKUP($D39,Résultats!$B$2:$AZ$251,N$2,FALSE)</f>
        <v>361.14554099999998</v>
      </c>
      <c r="O39" s="25">
        <f>VLOOKUP($D39,Résultats!$B$2:$AZ$251,O$2,FALSE)</f>
        <v>469.27650779999999</v>
      </c>
      <c r="P39" s="25">
        <f>VLOOKUP($D39,Résultats!$B$2:$AZ$251,P$2,FALSE)</f>
        <v>496.24045949999999</v>
      </c>
      <c r="Q39" s="25">
        <f>VLOOKUP($D39,Résultats!$B$2:$AZ$251,Q$2,FALSE)</f>
        <v>493.5800102</v>
      </c>
      <c r="R39" s="25">
        <f>VLOOKUP($D39,Résultats!$B$2:$AZ$251,R$2,FALSE)</f>
        <v>479.31409639999998</v>
      </c>
      <c r="S39" s="25">
        <f>VLOOKUP($D39,Résultats!$B$2:$AZ$251,S$2,FALSE)</f>
        <v>357.04643679999998</v>
      </c>
      <c r="T39" s="25">
        <f>VLOOKUP($D39,Résultats!$B$2:$AZ$251,T$2,FALSE)</f>
        <v>407.67790380000002</v>
      </c>
      <c r="U39" s="25">
        <f>VLOOKUP($D39,Résultats!$B$2:$AZ$251,U$2,FALSE)</f>
        <v>397.52429719999998</v>
      </c>
      <c r="V39" s="25">
        <f>VLOOKUP($D39,Résultats!$B$2:$AZ$251,V$2,FALSE)</f>
        <v>383.01953689999999</v>
      </c>
      <c r="W39" s="25">
        <f>VLOOKUP($D39,Résultats!$B$2:$AZ$251,W$2,FALSE)</f>
        <v>367.5925704</v>
      </c>
      <c r="X39" s="25">
        <f>VLOOKUP($D39,Résultats!$B$2:$AZ$251,X$2,FALSE)</f>
        <v>293.18229600000001</v>
      </c>
      <c r="Y39" s="25">
        <f>VLOOKUP($D39,Résultats!$B$2:$AZ$251,Y$2,FALSE)</f>
        <v>312.14956189999998</v>
      </c>
      <c r="Z39" s="25">
        <f>VLOOKUP($D39,Résultats!$B$2:$AZ$251,Z$2,FALSE)</f>
        <v>312.52598999999998</v>
      </c>
      <c r="AA39" s="25">
        <f>VLOOKUP($D39,Résultats!$B$2:$AZ$251,AA$2,FALSE)</f>
        <v>304.50475669999997</v>
      </c>
      <c r="AB39" s="25">
        <f>VLOOKUP($D39,Résultats!$B$2:$AZ$251,AB$2,FALSE)</f>
        <v>294.6264122</v>
      </c>
      <c r="AC39" s="25">
        <f>VLOOKUP($D39,Résultats!$B$2:$AZ$251,AC$2,FALSE)</f>
        <v>284.68983009999999</v>
      </c>
      <c r="AD39" s="25">
        <f>VLOOKUP($D39,Résultats!$B$2:$AZ$251,AD$2,FALSE)</f>
        <v>264.69137699999999</v>
      </c>
      <c r="AE39" s="25">
        <f>VLOOKUP($D39,Résultats!$B$2:$AZ$251,AE$2,FALSE)</f>
        <v>251.08848130000001</v>
      </c>
      <c r="AF39" s="25">
        <f>VLOOKUP($D39,Résultats!$B$2:$AZ$251,AF$2,FALSE)</f>
        <v>240.61192310000001</v>
      </c>
      <c r="AG39" s="25">
        <f>VLOOKUP($D39,Résultats!$B$2:$AZ$251,AG$2,FALSE)</f>
        <v>231.4478435</v>
      </c>
      <c r="AH39" s="25">
        <f>VLOOKUP($D39,Résultats!$B$2:$AZ$251,AH$2,FALSE)</f>
        <v>197.08476830000001</v>
      </c>
      <c r="AI39" s="25">
        <f>VLOOKUP($D39,Résultats!$B$2:$AZ$251,AI$2,FALSE)</f>
        <v>199.88432370000001</v>
      </c>
      <c r="AJ39" s="25">
        <f>VLOOKUP($D39,Résultats!$B$2:$AZ$251,AJ$2,FALSE)</f>
        <v>196.7809092</v>
      </c>
      <c r="AK39" s="25">
        <f>VLOOKUP($D39,Résultats!$B$2:$AZ$251,AK$2,FALSE)</f>
        <v>191.30806269999999</v>
      </c>
      <c r="AL39" s="25">
        <f>VLOOKUP($D39,Résultats!$B$2:$AZ$251,AL$2,FALSE)</f>
        <v>185.21730550000001</v>
      </c>
      <c r="AM39" s="102">
        <f>VLOOKUP($D39,Résultats!$B$2:$AZ$251,AM$2,FALSE)</f>
        <v>179.1369143</v>
      </c>
    </row>
    <row r="40" spans="2:39" x14ac:dyDescent="0.25">
      <c r="C40" s="217" t="s">
        <v>31</v>
      </c>
      <c r="D40" s="3" t="s">
        <v>155</v>
      </c>
      <c r="E40" s="25">
        <f>VLOOKUP($D40,Résultats!$B$2:$AZ$251,E$2,FALSE)</f>
        <v>427.14</v>
      </c>
      <c r="F40" s="25">
        <f>VLOOKUP($D40,Résultats!$B$2:$AZ$251,F$2,FALSE)</f>
        <v>324.22135350000002</v>
      </c>
      <c r="G40" s="25">
        <f>VLOOKUP($D40,Résultats!$B$2:$AZ$251,G$2,FALSE)</f>
        <v>353.5255654</v>
      </c>
      <c r="H40" s="25">
        <f>VLOOKUP($D40,Résultats!$B$2:$AZ$251,H$2,FALSE)</f>
        <v>351.79220700000002</v>
      </c>
      <c r="I40" s="25">
        <f>VLOOKUP($D40,Résultats!$B$2:$AZ$251,I$2,FALSE)</f>
        <v>320.49410319999998</v>
      </c>
      <c r="J40" s="25">
        <f>VLOOKUP($D40,Résultats!$B$2:$AZ$251,J$2,FALSE)</f>
        <v>319.92027100000001</v>
      </c>
      <c r="K40" s="25">
        <f>VLOOKUP($D40,Résultats!$B$2:$AZ$251,K$2,FALSE)</f>
        <v>300.7715895</v>
      </c>
      <c r="L40" s="25">
        <f>VLOOKUP($D40,Résultats!$B$2:$AZ$251,L$2,FALSE)</f>
        <v>279.0740437</v>
      </c>
      <c r="M40" s="25">
        <f>VLOOKUP($D40,Résultats!$B$2:$AZ$251,M$2,FALSE)</f>
        <v>281.8762084</v>
      </c>
      <c r="N40" s="25">
        <f>VLOOKUP($D40,Résultats!$B$2:$AZ$251,N$2,FALSE)</f>
        <v>179.55776520000001</v>
      </c>
      <c r="O40" s="25">
        <f>VLOOKUP($D40,Résultats!$B$2:$AZ$251,O$2,FALSE)</f>
        <v>234.02238149999999</v>
      </c>
      <c r="P40" s="25">
        <f>VLOOKUP($D40,Résultats!$B$2:$AZ$251,P$2,FALSE)</f>
        <v>245.95539629999999</v>
      </c>
      <c r="Q40" s="25">
        <f>VLOOKUP($D40,Résultats!$B$2:$AZ$251,Q$2,FALSE)</f>
        <v>242.3054066</v>
      </c>
      <c r="R40" s="25">
        <f>VLOOKUP($D40,Résultats!$B$2:$AZ$251,R$2,FALSE)</f>
        <v>232.83244339999999</v>
      </c>
      <c r="S40" s="25">
        <f>VLOOKUP($D40,Résultats!$B$2:$AZ$251,S$2,FALSE)</f>
        <v>170.65241879999999</v>
      </c>
      <c r="T40" s="25">
        <f>VLOOKUP($D40,Résultats!$B$2:$AZ$251,T$2,FALSE)</f>
        <v>194.24092630000001</v>
      </c>
      <c r="U40" s="25">
        <f>VLOOKUP($D40,Résultats!$B$2:$AZ$251,U$2,FALSE)</f>
        <v>187.7846907</v>
      </c>
      <c r="V40" s="25">
        <f>VLOOKUP($D40,Résultats!$B$2:$AZ$251,V$2,FALSE)</f>
        <v>179.2305259</v>
      </c>
      <c r="W40" s="25">
        <f>VLOOKUP($D40,Résultats!$B$2:$AZ$251,W$2,FALSE)</f>
        <v>170.61727719999999</v>
      </c>
      <c r="X40" s="25">
        <f>VLOOKUP($D40,Résultats!$B$2:$AZ$251,X$2,FALSE)</f>
        <v>134.1482201</v>
      </c>
      <c r="Y40" s="25">
        <f>VLOOKUP($D40,Résultats!$B$2:$AZ$251,Y$2,FALSE)</f>
        <v>142.03633400000001</v>
      </c>
      <c r="Z40" s="25">
        <f>VLOOKUP($D40,Résultats!$B$2:$AZ$251,Z$2,FALSE)</f>
        <v>141.18116989999999</v>
      </c>
      <c r="AA40" s="25">
        <f>VLOOKUP($D40,Résultats!$B$2:$AZ$251,AA$2,FALSE)</f>
        <v>136.34073380000001</v>
      </c>
      <c r="AB40" s="25">
        <f>VLOOKUP($D40,Résultats!$B$2:$AZ$251,AB$2,FALSE)</f>
        <v>130.7795424</v>
      </c>
      <c r="AC40" s="25">
        <f>VLOOKUP($D40,Résultats!$B$2:$AZ$251,AC$2,FALSE)</f>
        <v>125.35383090000001</v>
      </c>
      <c r="AD40" s="25">
        <f>VLOOKUP($D40,Résultats!$B$2:$AZ$251,AD$2,FALSE)</f>
        <v>115.3790185</v>
      </c>
      <c r="AE40" s="25">
        <f>VLOOKUP($D40,Résultats!$B$2:$AZ$251,AE$2,FALSE)</f>
        <v>108.4519765</v>
      </c>
      <c r="AF40" s="25">
        <f>VLOOKUP($D40,Résultats!$B$2:$AZ$251,AF$2,FALSE)</f>
        <v>103.0766813</v>
      </c>
      <c r="AG40" s="25">
        <f>VLOOKUP($D40,Résultats!$B$2:$AZ$251,AG$2,FALSE)</f>
        <v>98.384778080000004</v>
      </c>
      <c r="AH40" s="25">
        <f>VLOOKUP($D40,Résultats!$B$2:$AZ$251,AH$2,FALSE)</f>
        <v>83.010582940000006</v>
      </c>
      <c r="AI40" s="25">
        <f>VLOOKUP($D40,Résultats!$B$2:$AZ$251,AI$2,FALSE)</f>
        <v>83.783594160000007</v>
      </c>
      <c r="AJ40" s="25">
        <f>VLOOKUP($D40,Résultats!$B$2:$AZ$251,AJ$2,FALSE)</f>
        <v>82.066287959999997</v>
      </c>
      <c r="AK40" s="25">
        <f>VLOOKUP($D40,Résultats!$B$2:$AZ$251,AK$2,FALSE)</f>
        <v>79.405748410000001</v>
      </c>
      <c r="AL40" s="25">
        <f>VLOOKUP($D40,Résultats!$B$2:$AZ$251,AL$2,FALSE)</f>
        <v>76.575604549999994</v>
      </c>
      <c r="AM40" s="102">
        <f>VLOOKUP($D40,Résultats!$B$2:$AZ$251,AM$2,FALSE)</f>
        <v>73.838789980000001</v>
      </c>
    </row>
    <row r="41" spans="2:39" x14ac:dyDescent="0.25">
      <c r="C41" s="217" t="s">
        <v>32</v>
      </c>
      <c r="D41" s="3" t="s">
        <v>156</v>
      </c>
      <c r="E41" s="25">
        <f>VLOOKUP($D41,Résultats!$B$2:$AZ$251,E$2,FALSE)</f>
        <v>142.38</v>
      </c>
      <c r="F41" s="25">
        <f>VLOOKUP($D41,Résultats!$B$2:$AZ$251,F$2,FALSE)</f>
        <v>88.266986189999997</v>
      </c>
      <c r="G41" s="25">
        <f>VLOOKUP($D41,Résultats!$B$2:$AZ$251,G$2,FALSE)</f>
        <v>101.3118142</v>
      </c>
      <c r="H41" s="25">
        <f>VLOOKUP($D41,Résultats!$B$2:$AZ$251,H$2,FALSE)</f>
        <v>97.94161278</v>
      </c>
      <c r="I41" s="25">
        <f>VLOOKUP($D41,Résultats!$B$2:$AZ$251,I$2,FALSE)</f>
        <v>79.588241620000005</v>
      </c>
      <c r="J41" s="25">
        <f>VLOOKUP($D41,Résultats!$B$2:$AZ$251,J$2,FALSE)</f>
        <v>54.243884540000003</v>
      </c>
      <c r="K41" s="25">
        <f>VLOOKUP($D41,Résultats!$B$2:$AZ$251,K$2,FALSE)</f>
        <v>39.606495299999999</v>
      </c>
      <c r="L41" s="25">
        <f>VLOOKUP($D41,Résultats!$B$2:$AZ$251,L$2,FALSE)</f>
        <v>32.211397349999999</v>
      </c>
      <c r="M41" s="25">
        <f>VLOOKUP($D41,Résultats!$B$2:$AZ$251,M$2,FALSE)</f>
        <v>31.07748393</v>
      </c>
      <c r="N41" s="25">
        <f>VLOOKUP($D41,Résultats!$B$2:$AZ$251,N$2,FALSE)</f>
        <v>18.07427143</v>
      </c>
      <c r="O41" s="25">
        <f>VLOOKUP($D41,Résultats!$B$2:$AZ$251,O$2,FALSE)</f>
        <v>23.877379340000001</v>
      </c>
      <c r="P41" s="25">
        <f>VLOOKUP($D41,Résultats!$B$2:$AZ$251,P$2,FALSE)</f>
        <v>24.39925388</v>
      </c>
      <c r="Q41" s="25">
        <f>VLOOKUP($D41,Résultats!$B$2:$AZ$251,Q$2,FALSE)</f>
        <v>23.001994910000001</v>
      </c>
      <c r="R41" s="25">
        <f>VLOOKUP($D41,Résultats!$B$2:$AZ$251,R$2,FALSE)</f>
        <v>21.04805571</v>
      </c>
      <c r="S41" s="25">
        <f>VLOOKUP($D41,Résultats!$B$2:$AZ$251,S$2,FALSE)</f>
        <v>14.30491743</v>
      </c>
      <c r="T41" s="25">
        <f>VLOOKUP($D41,Résultats!$B$2:$AZ$251,T$2,FALSE)</f>
        <v>16.035183379999999</v>
      </c>
      <c r="U41" s="25">
        <f>VLOOKUP($D41,Résultats!$B$2:$AZ$251,U$2,FALSE)</f>
        <v>14.879571390000001</v>
      </c>
      <c r="V41" s="25">
        <f>VLOOKUP($D41,Résultats!$B$2:$AZ$251,V$2,FALSE)</f>
        <v>13.57239249</v>
      </c>
      <c r="W41" s="25">
        <f>VLOOKUP($D41,Résultats!$B$2:$AZ$251,W$2,FALSE)</f>
        <v>12.42045319</v>
      </c>
      <c r="X41" s="25">
        <f>VLOOKUP($D41,Résultats!$B$2:$AZ$251,X$2,FALSE)</f>
        <v>9.1150488329999995</v>
      </c>
      <c r="Y41" s="25">
        <f>VLOOKUP($D41,Résultats!$B$2:$AZ$251,Y$2,FALSE)</f>
        <v>9.3900325109999905</v>
      </c>
      <c r="Z41" s="25">
        <f>VLOOKUP($D41,Résultats!$B$2:$AZ$251,Z$2,FALSE)</f>
        <v>9.0088091339999998</v>
      </c>
      <c r="AA41" s="25">
        <f>VLOOKUP($D41,Résultats!$B$2:$AZ$251,AA$2,FALSE)</f>
        <v>8.3329942189999997</v>
      </c>
      <c r="AB41" s="25">
        <f>VLOOKUP($D41,Résultats!$B$2:$AZ$251,AB$2,FALSE)</f>
        <v>7.664951576</v>
      </c>
      <c r="AC41" s="25">
        <f>VLOOKUP($D41,Résultats!$B$2:$AZ$251,AC$2,FALSE)</f>
        <v>7.0666276789999998</v>
      </c>
      <c r="AD41" s="25">
        <f>VLOOKUP($D41,Résultats!$B$2:$AZ$251,AD$2,FALSE)</f>
        <v>6.1975282829999996</v>
      </c>
      <c r="AE41" s="25">
        <f>VLOOKUP($D41,Résultats!$B$2:$AZ$251,AE$2,FALSE)</f>
        <v>5.5773314520000001</v>
      </c>
      <c r="AF41" s="25">
        <f>VLOOKUP($D41,Résultats!$B$2:$AZ$251,AF$2,FALSE)</f>
        <v>5.0995886439999998</v>
      </c>
      <c r="AG41" s="25">
        <f>VLOOKUP($D41,Résultats!$B$2:$AZ$251,AG$2,FALSE)</f>
        <v>4.6951588400000004</v>
      </c>
      <c r="AH41" s="25">
        <f>VLOOKUP($D41,Résultats!$B$2:$AZ$251,AH$2,FALSE)</f>
        <v>3.801815269</v>
      </c>
      <c r="AI41" s="25">
        <f>VLOOKUP($D41,Résultats!$B$2:$AZ$251,AI$2,FALSE)</f>
        <v>3.7501353640000001</v>
      </c>
      <c r="AJ41" s="25">
        <f>VLOOKUP($D41,Résultats!$B$2:$AZ$251,AJ$2,FALSE)</f>
        <v>3.5879519480000002</v>
      </c>
      <c r="AK41" s="25">
        <f>VLOOKUP($D41,Résultats!$B$2:$AZ$251,AK$2,FALSE)</f>
        <v>3.3966821189999998</v>
      </c>
      <c r="AL41" s="25">
        <f>VLOOKUP($D41,Résultats!$B$2:$AZ$251,AL$2,FALSE)</f>
        <v>3.216053713</v>
      </c>
      <c r="AM41" s="102">
        <f>VLOOKUP($D41,Résultats!$B$2:$AZ$251,AM$2,FALSE)</f>
        <v>3.0556802439999999</v>
      </c>
    </row>
    <row r="42" spans="2:39" x14ac:dyDescent="0.25">
      <c r="C42" s="218" t="s">
        <v>33</v>
      </c>
      <c r="D42" s="7" t="s">
        <v>157</v>
      </c>
      <c r="E42" s="57">
        <f>VLOOKUP($D42,Résultats!$B$2:$AZ$251,E$2,FALSE)</f>
        <v>35.594999999999999</v>
      </c>
      <c r="F42" s="57">
        <f>VLOOKUP($D42,Résultats!$B$2:$AZ$251,F$2,FALSE)</f>
        <v>14.94489276</v>
      </c>
      <c r="G42" s="57">
        <f>VLOOKUP($D42,Résultats!$B$2:$AZ$251,G$2,FALSE)</f>
        <v>17.660118570000002</v>
      </c>
      <c r="H42" s="57">
        <f>VLOOKUP($D42,Résultats!$B$2:$AZ$251,H$2,FALSE)</f>
        <v>14.161210069999999</v>
      </c>
      <c r="I42" s="57">
        <f>VLOOKUP($D42,Résultats!$B$2:$AZ$251,I$2,FALSE)</f>
        <v>9.1546052109999998</v>
      </c>
      <c r="J42" s="57">
        <f>VLOOKUP($D42,Résultats!$B$2:$AZ$251,J$2,FALSE)</f>
        <v>2.6834415040000001</v>
      </c>
      <c r="K42" s="57">
        <f>VLOOKUP($D42,Résultats!$B$2:$AZ$251,K$2,FALSE)</f>
        <v>0</v>
      </c>
      <c r="L42" s="57">
        <f>VLOOKUP($D42,Résultats!$B$2:$AZ$251,L$2,FALSE)</f>
        <v>0</v>
      </c>
      <c r="M42" s="57">
        <f>VLOOKUP($D42,Résultats!$B$2:$AZ$251,M$2,FALSE)</f>
        <v>0</v>
      </c>
      <c r="N42" s="57">
        <f>VLOOKUP($D42,Résultats!$B$2:$AZ$251,N$2,FALSE)</f>
        <v>0</v>
      </c>
      <c r="O42" s="57">
        <f>VLOOKUP($D42,Résultats!$B$2:$AZ$251,O$2,FALSE)</f>
        <v>0</v>
      </c>
      <c r="P42" s="57">
        <f>VLOOKUP($D42,Résultats!$B$2:$AZ$251,P$2,FALSE)</f>
        <v>0</v>
      </c>
      <c r="Q42" s="57">
        <f>VLOOKUP($D42,Résultats!$B$2:$AZ$251,Q$2,FALSE)</f>
        <v>0</v>
      </c>
      <c r="R42" s="57">
        <f>VLOOKUP($D42,Résultats!$B$2:$AZ$251,R$2,FALSE)</f>
        <v>0</v>
      </c>
      <c r="S42" s="57">
        <f>VLOOKUP($D42,Résultats!$B$2:$AZ$251,S$2,FALSE)</f>
        <v>0</v>
      </c>
      <c r="T42" s="57">
        <f>VLOOKUP($D42,Résultats!$B$2:$AZ$251,T$2,FALSE)</f>
        <v>0</v>
      </c>
      <c r="U42" s="57">
        <f>VLOOKUP($D42,Résultats!$B$2:$AZ$251,U$2,FALSE)</f>
        <v>0</v>
      </c>
      <c r="V42" s="57">
        <f>VLOOKUP($D42,Résultats!$B$2:$AZ$251,V$2,FALSE)</f>
        <v>0</v>
      </c>
      <c r="W42" s="57">
        <f>VLOOKUP($D42,Résultats!$B$2:$AZ$251,W$2,FALSE)</f>
        <v>0</v>
      </c>
      <c r="X42" s="57">
        <f>VLOOKUP($D42,Résultats!$B$2:$AZ$251,X$2,FALSE)</f>
        <v>0</v>
      </c>
      <c r="Y42" s="57">
        <f>VLOOKUP($D42,Résultats!$B$2:$AZ$251,Y$2,FALSE)</f>
        <v>0</v>
      </c>
      <c r="Z42" s="57">
        <f>VLOOKUP($D42,Résultats!$B$2:$AZ$251,Z$2,FALSE)</f>
        <v>0</v>
      </c>
      <c r="AA42" s="57">
        <f>VLOOKUP($D42,Résultats!$B$2:$AZ$251,AA$2,FALSE)</f>
        <v>0</v>
      </c>
      <c r="AB42" s="57">
        <f>VLOOKUP($D42,Résultats!$B$2:$AZ$251,AB$2,FALSE)</f>
        <v>0</v>
      </c>
      <c r="AC42" s="57">
        <f>VLOOKUP($D42,Résultats!$B$2:$AZ$251,AC$2,FALSE)</f>
        <v>0</v>
      </c>
      <c r="AD42" s="57">
        <f>VLOOKUP($D42,Résultats!$B$2:$AZ$251,AD$2,FALSE)</f>
        <v>0</v>
      </c>
      <c r="AE42" s="57">
        <f>VLOOKUP($D42,Résultats!$B$2:$AZ$251,AE$2,FALSE)</f>
        <v>0</v>
      </c>
      <c r="AF42" s="57">
        <f>VLOOKUP($D42,Résultats!$B$2:$AZ$251,AF$2,FALSE)</f>
        <v>0</v>
      </c>
      <c r="AG42" s="57">
        <f>VLOOKUP($D42,Résultats!$B$2:$AZ$251,AG$2,FALSE)</f>
        <v>0</v>
      </c>
      <c r="AH42" s="57">
        <f>VLOOKUP($D42,Résultats!$B$2:$AZ$251,AH$2,FALSE)</f>
        <v>0</v>
      </c>
      <c r="AI42" s="57">
        <f>VLOOKUP($D42,Résultats!$B$2:$AZ$251,AI$2,FALSE)</f>
        <v>0</v>
      </c>
      <c r="AJ42" s="57">
        <f>VLOOKUP($D42,Résultats!$B$2:$AZ$251,AJ$2,FALSE)</f>
        <v>0</v>
      </c>
      <c r="AK42" s="57">
        <f>VLOOKUP($D42,Résultats!$B$2:$AZ$251,AK$2,FALSE)</f>
        <v>0</v>
      </c>
      <c r="AL42" s="57">
        <f>VLOOKUP($D42,Résultats!$B$2:$AZ$251,AL$2,FALSE)</f>
        <v>0</v>
      </c>
      <c r="AM42" s="214">
        <f>VLOOKUP($D42,Résultats!$B$2:$AZ$251,AM$2,FALSE)</f>
        <v>0</v>
      </c>
    </row>
    <row r="43" spans="2:39" x14ac:dyDescent="0.25">
      <c r="B43" s="228" t="s">
        <v>78</v>
      </c>
      <c r="C43" s="219" t="s">
        <v>463</v>
      </c>
      <c r="D43" s="58" t="s">
        <v>130</v>
      </c>
      <c r="E43" s="99">
        <f>VLOOKUP($D48,Résultats!$B$2:$AZ$212,E$2,FALSE)</f>
        <v>32001.800439999999</v>
      </c>
      <c r="F43" s="99">
        <f>VLOOKUP($D48,Résultats!$B$2:$AZ$212,F$2,FALSE)</f>
        <v>35911.307350000003</v>
      </c>
      <c r="G43" s="99">
        <f>VLOOKUP($D48,Résultats!$B$2:$AZ$212,G$2,FALSE)</f>
        <v>36708.886160000002</v>
      </c>
      <c r="H43" s="99">
        <f>VLOOKUP($D48,Résultats!$B$2:$AZ$212,H$2,FALSE)</f>
        <v>37113.743849999999</v>
      </c>
      <c r="I43" s="99">
        <f>VLOOKUP($D48,Résultats!$B$2:$AZ$212,I$2,FALSE)</f>
        <v>37467.881659999999</v>
      </c>
      <c r="J43" s="99">
        <f>VLOOKUP($D48,Résultats!$B$2:$AZ$212,J$2,FALSE)</f>
        <v>37680.910770000002</v>
      </c>
      <c r="K43" s="99">
        <f>VLOOKUP($D48,Résultats!$B$2:$AZ$212,K$2,FALSE)</f>
        <v>37788.529199999997</v>
      </c>
      <c r="L43" s="99">
        <f>VLOOKUP($D48,Résultats!$B$2:$AZ$212,L$2,FALSE)</f>
        <v>37735.726450000002</v>
      </c>
      <c r="M43" s="99">
        <f>VLOOKUP($D48,Résultats!$B$2:$AZ$212,M$2,FALSE)</f>
        <v>37793.078909999997</v>
      </c>
      <c r="N43" s="99">
        <f>VLOOKUP($D48,Résultats!$B$2:$AZ$212,N$2,FALSE)</f>
        <v>37104.334779999997</v>
      </c>
      <c r="O43" s="99">
        <f>VLOOKUP($D48,Résultats!$B$2:$AZ$212,O$2,FALSE)</f>
        <v>36977.623590000003</v>
      </c>
      <c r="P43" s="99">
        <f>VLOOKUP($D48,Résultats!$B$2:$AZ$212,P$2,FALSE)</f>
        <v>37062.246120000003</v>
      </c>
      <c r="Q43" s="99">
        <f>VLOOKUP($D48,Résultats!$B$2:$AZ$212,Q$2,FALSE)</f>
        <v>37230.037609999999</v>
      </c>
      <c r="R43" s="99">
        <f>VLOOKUP($D48,Résultats!$B$2:$AZ$212,R$2,FALSE)</f>
        <v>37429.985030000003</v>
      </c>
      <c r="S43" s="99">
        <f>VLOOKUP($D48,Résultats!$B$2:$AZ$212,S$2,FALSE)</f>
        <v>37103.671970000003</v>
      </c>
      <c r="T43" s="99">
        <f>VLOOKUP($D48,Résultats!$B$2:$AZ$212,T$2,FALSE)</f>
        <v>37166.425139999999</v>
      </c>
      <c r="U43" s="99">
        <f>VLOOKUP($D48,Résultats!$B$2:$AZ$212,U$2,FALSE)</f>
        <v>37284.143250000001</v>
      </c>
      <c r="V43" s="99">
        <f>VLOOKUP($D48,Résultats!$B$2:$AZ$212,V$2,FALSE)</f>
        <v>37428.507749999997</v>
      </c>
      <c r="W43" s="99">
        <f>VLOOKUP($D48,Résultats!$B$2:$AZ$212,W$2,FALSE)</f>
        <v>37586.864970000002</v>
      </c>
      <c r="X43" s="99">
        <f>VLOOKUP($D48,Résultats!$B$2:$AZ$212,X$2,FALSE)</f>
        <v>37362.566760000002</v>
      </c>
      <c r="Y43" s="99">
        <f>VLOOKUP($D48,Résultats!$B$2:$AZ$212,Y$2,FALSE)</f>
        <v>37382.751559999997</v>
      </c>
      <c r="Z43" s="99">
        <f>VLOOKUP($D48,Résultats!$B$2:$AZ$212,Z$2,FALSE)</f>
        <v>37511.954230000003</v>
      </c>
      <c r="AA43" s="99">
        <f>VLOOKUP($D48,Résultats!$B$2:$AZ$212,AA$2,FALSE)</f>
        <v>37683.449970000001</v>
      </c>
      <c r="AB43" s="99">
        <f>VLOOKUP($D48,Résultats!$B$2:$AZ$212,AB$2,FALSE)</f>
        <v>37875.864829999999</v>
      </c>
      <c r="AC43" s="99">
        <f>VLOOKUP($D48,Résultats!$B$2:$AZ$212,AC$2,FALSE)</f>
        <v>38081.349679999999</v>
      </c>
      <c r="AD43" s="99">
        <f>VLOOKUP($D48,Résultats!$B$2:$AZ$212,AD$2,FALSE)</f>
        <v>38195.895270000001</v>
      </c>
      <c r="AE43" s="99">
        <f>VLOOKUP($D48,Résultats!$B$2:$AZ$212,AE$2,FALSE)</f>
        <v>38269.756269999998</v>
      </c>
      <c r="AF43" s="99">
        <f>VLOOKUP($D48,Résultats!$B$2:$AZ$212,AF$2,FALSE)</f>
        <v>38325.709860000003</v>
      </c>
      <c r="AG43" s="99">
        <f>VLOOKUP($D48,Résultats!$B$2:$AZ$212,AG$2,FALSE)</f>
        <v>38371.473760000001</v>
      </c>
      <c r="AH43" s="99">
        <f>VLOOKUP($D48,Résultats!$B$2:$AZ$212,AH$2,FALSE)</f>
        <v>38140.02996</v>
      </c>
      <c r="AI43" s="99">
        <f>VLOOKUP($D48,Résultats!$B$2:$AZ$212,AI$2,FALSE)</f>
        <v>38021.783759999998</v>
      </c>
      <c r="AJ43" s="99">
        <f>VLOOKUP($D48,Résultats!$B$2:$AZ$212,AJ$2,FALSE)</f>
        <v>37948.509160000001</v>
      </c>
      <c r="AK43" s="99">
        <f>VLOOKUP($D48,Résultats!$B$2:$AZ$212,AK$2,FALSE)</f>
        <v>37889.598149999998</v>
      </c>
      <c r="AL43" s="99">
        <f>VLOOKUP($D48,Résultats!$B$2:$AZ$212,AL$2,FALSE)</f>
        <v>37833.162120000001</v>
      </c>
      <c r="AM43" s="104">
        <f>VLOOKUP($D48,Résultats!$B$2:$AZ$212,AM$2,FALSE)</f>
        <v>37774.650130000002</v>
      </c>
    </row>
    <row r="44" spans="2:39" x14ac:dyDescent="0.25">
      <c r="B44" s="229"/>
      <c r="C44" s="217" t="s">
        <v>8</v>
      </c>
      <c r="D44" s="54" t="s">
        <v>145</v>
      </c>
      <c r="E44" s="25">
        <f>VLOOKUP($D44,Résultats!$B$2:$AZ$212,E$2,FALSE)</f>
        <v>0</v>
      </c>
      <c r="F44" s="25">
        <f>VLOOKUP($D44,Résultats!$B$2:$AZ$212,F$2,FALSE)</f>
        <v>0</v>
      </c>
      <c r="G44" s="25">
        <f>VLOOKUP($D44,Résultats!$B$2:$AZ$212,G$2,FALSE)</f>
        <v>0</v>
      </c>
      <c r="H44" s="25">
        <f>VLOOKUP($D44,Résultats!$B$2:$AZ$212,H$2,FALSE)</f>
        <v>0</v>
      </c>
      <c r="I44" s="25">
        <f>VLOOKUP($D44,Résultats!$B$2:$AZ$212,I$2,FALSE)</f>
        <v>0</v>
      </c>
      <c r="J44" s="25">
        <f>VLOOKUP($D44,Résultats!$B$2:$AZ$212,J$2,FALSE)</f>
        <v>0</v>
      </c>
      <c r="K44" s="25">
        <f>VLOOKUP($D44,Résultats!$B$2:$AZ$212,K$2,FALSE)</f>
        <v>0</v>
      </c>
      <c r="L44" s="25">
        <f>VLOOKUP($D44,Résultats!$B$2:$AZ$212,L$2,FALSE)</f>
        <v>0</v>
      </c>
      <c r="M44" s="25">
        <f>VLOOKUP($D44,Résultats!$B$2:$AZ$212,M$2,FALSE)</f>
        <v>0</v>
      </c>
      <c r="N44" s="25">
        <f>VLOOKUP($D44,Résultats!$B$2:$AZ$212,N$2,FALSE)</f>
        <v>0</v>
      </c>
      <c r="O44" s="25">
        <f>VLOOKUP($D44,Résultats!$B$2:$AZ$212,O$2,FALSE)</f>
        <v>0</v>
      </c>
      <c r="P44" s="25">
        <f>VLOOKUP($D44,Résultats!$B$2:$AZ$212,P$2,FALSE)</f>
        <v>0</v>
      </c>
      <c r="Q44" s="25">
        <f>VLOOKUP($D44,Résultats!$B$2:$AZ$212,Q$2,FALSE)</f>
        <v>0</v>
      </c>
      <c r="R44" s="25">
        <f>VLOOKUP($D44,Résultats!$B$2:$AZ$212,R$2,FALSE)</f>
        <v>0</v>
      </c>
      <c r="S44" s="25">
        <f>VLOOKUP($D44,Résultats!$B$2:$AZ$212,S$2,FALSE)</f>
        <v>0</v>
      </c>
      <c r="T44" s="25">
        <f>VLOOKUP($D44,Résultats!$B$2:$AZ$212,T$2,FALSE)</f>
        <v>0</v>
      </c>
      <c r="U44" s="25">
        <f>VLOOKUP($D44,Résultats!$B$2:$AZ$212,U$2,FALSE)</f>
        <v>0</v>
      </c>
      <c r="V44" s="25">
        <f>VLOOKUP($D44,Résultats!$B$2:$AZ$212,V$2,FALSE)</f>
        <v>0</v>
      </c>
      <c r="W44" s="25">
        <f>VLOOKUP($D44,Résultats!$B$2:$AZ$212,W$2,FALSE)</f>
        <v>0</v>
      </c>
      <c r="X44" s="25">
        <f>VLOOKUP($D44,Résultats!$B$2:$AZ$212,X$2,FALSE)</f>
        <v>0</v>
      </c>
      <c r="Y44" s="25">
        <f>VLOOKUP($D44,Résultats!$B$2:$AZ$212,Y$2,FALSE)</f>
        <v>0</v>
      </c>
      <c r="Z44" s="25">
        <f>VLOOKUP($D44,Résultats!$B$2:$AZ$212,Z$2,FALSE)</f>
        <v>0</v>
      </c>
      <c r="AA44" s="25">
        <f>VLOOKUP($D44,Résultats!$B$2:$AZ$212,AA$2,FALSE)</f>
        <v>0</v>
      </c>
      <c r="AB44" s="25">
        <f>VLOOKUP($D44,Résultats!$B$2:$AZ$212,AB$2,FALSE)</f>
        <v>0</v>
      </c>
      <c r="AC44" s="25">
        <f>VLOOKUP($D44,Résultats!$B$2:$AZ$212,AC$2,FALSE)</f>
        <v>0</v>
      </c>
      <c r="AD44" s="25">
        <f>VLOOKUP($D44,Résultats!$B$2:$AZ$212,AD$2,FALSE)</f>
        <v>0</v>
      </c>
      <c r="AE44" s="25">
        <f>VLOOKUP($D44,Résultats!$B$2:$AZ$212,AE$2,FALSE)</f>
        <v>0</v>
      </c>
      <c r="AF44" s="25">
        <f>VLOOKUP($D44,Résultats!$B$2:$AZ$212,AF$2,FALSE)</f>
        <v>0</v>
      </c>
      <c r="AG44" s="25">
        <f>VLOOKUP($D44,Résultats!$B$2:$AZ$212,AG$2,FALSE)</f>
        <v>0</v>
      </c>
      <c r="AH44" s="25">
        <f>VLOOKUP($D44,Résultats!$B$2:$AZ$212,AH$2,FALSE)</f>
        <v>0</v>
      </c>
      <c r="AI44" s="25">
        <f>VLOOKUP($D44,Résultats!$B$2:$AZ$212,AI$2,FALSE)</f>
        <v>0</v>
      </c>
      <c r="AJ44" s="25">
        <f>VLOOKUP($D44,Résultats!$B$2:$AZ$212,AJ$2,FALSE)</f>
        <v>0</v>
      </c>
      <c r="AK44" s="25">
        <f>VLOOKUP($D44,Résultats!$B$2:$AZ$212,AK$2,FALSE)</f>
        <v>0</v>
      </c>
      <c r="AL44" s="25">
        <f>VLOOKUP($D44,Résultats!$B$2:$AZ$212,AL$2,FALSE)</f>
        <v>0</v>
      </c>
      <c r="AM44" s="102">
        <f>VLOOKUP($D44,Résultats!$B$2:$AZ$212,AM$2,FALSE)</f>
        <v>0</v>
      </c>
    </row>
    <row r="45" spans="2:39" x14ac:dyDescent="0.25">
      <c r="B45" s="229"/>
      <c r="C45" s="217" t="s">
        <v>6</v>
      </c>
      <c r="D45" s="3" t="s">
        <v>146</v>
      </c>
      <c r="E45" s="25">
        <f>VLOOKUP($D45,Résultats!$B$2:$AZ$212,E$2,FALSE)</f>
        <v>31999.388770000001</v>
      </c>
      <c r="F45" s="25">
        <f>VLOOKUP($D45,Résultats!$B$2:$AZ$212,F$2,FALSE)</f>
        <v>35815.306380000002</v>
      </c>
      <c r="G45" s="25">
        <f>VLOOKUP($D45,Résultats!$B$2:$AZ$212,G$2,FALSE)</f>
        <v>36481.074619999999</v>
      </c>
      <c r="H45" s="25">
        <f>VLOOKUP($D45,Résultats!$B$2:$AZ$212,H$2,FALSE)</f>
        <v>36811.51801</v>
      </c>
      <c r="I45" s="25">
        <f>VLOOKUP($D45,Résultats!$B$2:$AZ$212,I$2,FALSE)</f>
        <v>37073.076130000001</v>
      </c>
      <c r="J45" s="25">
        <f>VLOOKUP($D45,Résultats!$B$2:$AZ$212,J$2,FALSE)</f>
        <v>37177.603139999999</v>
      </c>
      <c r="K45" s="25">
        <f>VLOOKUP($D45,Résultats!$B$2:$AZ$212,K$2,FALSE)</f>
        <v>37144.06482</v>
      </c>
      <c r="L45" s="25">
        <f>VLOOKUP($D45,Résultats!$B$2:$AZ$212,L$2,FALSE)</f>
        <v>36922.859830000001</v>
      </c>
      <c r="M45" s="25">
        <f>VLOOKUP($D45,Résultats!$B$2:$AZ$212,M$2,FALSE)</f>
        <v>36763.190060000001</v>
      </c>
      <c r="N45" s="25">
        <f>VLOOKUP($D45,Résultats!$B$2:$AZ$212,N$2,FALSE)</f>
        <v>35919.488270000002</v>
      </c>
      <c r="O45" s="25">
        <f>VLOOKUP($D45,Résultats!$B$2:$AZ$212,O$2,FALSE)</f>
        <v>35518.478739999999</v>
      </c>
      <c r="P45" s="25">
        <f>VLOOKUP($D45,Résultats!$B$2:$AZ$212,P$2,FALSE)</f>
        <v>35245.142650000002</v>
      </c>
      <c r="Q45" s="25">
        <f>VLOOKUP($D45,Résultats!$B$2:$AZ$212,Q$2,FALSE)</f>
        <v>34986.735670000002</v>
      </c>
      <c r="R45" s="25">
        <f>VLOOKUP($D45,Résultats!$B$2:$AZ$212,R$2,FALSE)</f>
        <v>34700.640359999998</v>
      </c>
      <c r="S45" s="25">
        <f>VLOOKUP($D45,Résultats!$B$2:$AZ$212,S$2,FALSE)</f>
        <v>33990.474649999996</v>
      </c>
      <c r="T45" s="25">
        <f>VLOOKUP($D45,Résultats!$B$2:$AZ$212,T$2,FALSE)</f>
        <v>33514.519220000002</v>
      </c>
      <c r="U45" s="25">
        <f>VLOOKUP($D45,Résultats!$B$2:$AZ$212,U$2,FALSE)</f>
        <v>33036.779459999998</v>
      </c>
      <c r="V45" s="25">
        <f>VLOOKUP($D45,Résultats!$B$2:$AZ$212,V$2,FALSE)</f>
        <v>32541.537039999999</v>
      </c>
      <c r="W45" s="25">
        <f>VLOOKUP($D45,Résultats!$B$2:$AZ$212,W$2,FALSE)</f>
        <v>32025.148369999999</v>
      </c>
      <c r="X45" s="25">
        <f>VLOOKUP($D45,Résultats!$B$2:$AZ$212,X$2,FALSE)</f>
        <v>31267.390329999998</v>
      </c>
      <c r="Y45" s="25">
        <f>VLOOKUP($D45,Résultats!$B$2:$AZ$212,Y$2,FALSE)</f>
        <v>30632.674350000001</v>
      </c>
      <c r="Z45" s="25">
        <f>VLOOKUP($D45,Résultats!$B$2:$AZ$212,Z$2,FALSE)</f>
        <v>30043.888279999999</v>
      </c>
      <c r="AA45" s="25">
        <f>VLOOKUP($D45,Résultats!$B$2:$AZ$212,AA$2,FALSE)</f>
        <v>29467.258829999999</v>
      </c>
      <c r="AB45" s="25">
        <f>VLOOKUP($D45,Résultats!$B$2:$AZ$212,AB$2,FALSE)</f>
        <v>28894.648300000001</v>
      </c>
      <c r="AC45" s="25">
        <f>VLOOKUP($D45,Résultats!$B$2:$AZ$212,AC$2,FALSE)</f>
        <v>28325.03039</v>
      </c>
      <c r="AD45" s="25">
        <f>VLOOKUP($D45,Résultats!$B$2:$AZ$212,AD$2,FALSE)</f>
        <v>27710.376509999998</v>
      </c>
      <c r="AE45" s="25">
        <f>VLOOKUP($D45,Résultats!$B$2:$AZ$212,AE$2,FALSE)</f>
        <v>27078.057799999999</v>
      </c>
      <c r="AF45" s="25">
        <f>VLOOKUP($D45,Résultats!$B$2:$AZ$212,AF$2,FALSE)</f>
        <v>26441.20853</v>
      </c>
      <c r="AG45" s="25">
        <f>VLOOKUP($D45,Résultats!$B$2:$AZ$212,AG$2,FALSE)</f>
        <v>25805.525949999999</v>
      </c>
      <c r="AH45" s="25">
        <f>VLOOKUP($D45,Résultats!$B$2:$AZ$212,AH$2,FALSE)</f>
        <v>25067.706539999999</v>
      </c>
      <c r="AI45" s="25">
        <f>VLOOKUP($D45,Résultats!$B$2:$AZ$212,AI$2,FALSE)</f>
        <v>24385.314109999999</v>
      </c>
      <c r="AJ45" s="25">
        <f>VLOOKUP($D45,Résultats!$B$2:$AZ$212,AJ$2,FALSE)</f>
        <v>23731.703310000001</v>
      </c>
      <c r="AK45" s="25">
        <f>VLOOKUP($D45,Résultats!$B$2:$AZ$212,AK$2,FALSE)</f>
        <v>23095.882180000001</v>
      </c>
      <c r="AL45" s="25">
        <f>VLOOKUP($D45,Résultats!$B$2:$AZ$212,AL$2,FALSE)</f>
        <v>22474.21457</v>
      </c>
      <c r="AM45" s="102">
        <f>VLOOKUP($D45,Résultats!$B$2:$AZ$212,AM$2,FALSE)</f>
        <v>21865.76281</v>
      </c>
    </row>
    <row r="46" spans="2:39" x14ac:dyDescent="0.25">
      <c r="B46" s="229"/>
      <c r="C46" s="217" t="s">
        <v>34</v>
      </c>
      <c r="D46" s="3" t="s">
        <v>147</v>
      </c>
      <c r="E46" s="25">
        <f>VLOOKUP($D46,Résultats!$B$2:$AZ$212,E$2,FALSE)</f>
        <v>2.411668513</v>
      </c>
      <c r="F46" s="25">
        <f>VLOOKUP($D46,Résultats!$B$2:$AZ$212,F$2,FALSE)</f>
        <v>96.000977129999995</v>
      </c>
      <c r="G46" s="25">
        <f>VLOOKUP($D46,Résultats!$B$2:$AZ$212,G$2,FALSE)</f>
        <v>227.81154000000001</v>
      </c>
      <c r="H46" s="25">
        <f>VLOOKUP($D46,Résultats!$B$2:$AZ$212,H$2,FALSE)</f>
        <v>302.22583909999997</v>
      </c>
      <c r="I46" s="25">
        <f>VLOOKUP($D46,Résultats!$B$2:$AZ$212,I$2,FALSE)</f>
        <v>394.80552519999998</v>
      </c>
      <c r="J46" s="25">
        <f>VLOOKUP($D46,Résultats!$B$2:$AZ$212,J$2,FALSE)</f>
        <v>503.307637</v>
      </c>
      <c r="K46" s="25">
        <f>VLOOKUP($D46,Résultats!$B$2:$AZ$212,K$2,FALSE)</f>
        <v>644.46437379999998</v>
      </c>
      <c r="L46" s="25">
        <f>VLOOKUP($D46,Résultats!$B$2:$AZ$212,L$2,FALSE)</f>
        <v>812.86662190000004</v>
      </c>
      <c r="M46" s="25">
        <f>VLOOKUP($D46,Résultats!$B$2:$AZ$212,M$2,FALSE)</f>
        <v>1029.888852</v>
      </c>
      <c r="N46" s="25">
        <f>VLOOKUP($D46,Résultats!$B$2:$AZ$212,N$2,FALSE)</f>
        <v>1184.8465140000001</v>
      </c>
      <c r="O46" s="25">
        <f>VLOOKUP($D46,Résultats!$B$2:$AZ$212,O$2,FALSE)</f>
        <v>1459.1448539999999</v>
      </c>
      <c r="P46" s="25">
        <f>VLOOKUP($D46,Résultats!$B$2:$AZ$212,P$2,FALSE)</f>
        <v>1817.1034609999999</v>
      </c>
      <c r="Q46" s="25">
        <f>VLOOKUP($D46,Résultats!$B$2:$AZ$212,Q$2,FALSE)</f>
        <v>2243.301946</v>
      </c>
      <c r="R46" s="25">
        <f>VLOOKUP($D46,Résultats!$B$2:$AZ$212,R$2,FALSE)</f>
        <v>2729.344666</v>
      </c>
      <c r="S46" s="25">
        <f>VLOOKUP($D46,Résultats!$B$2:$AZ$212,S$2,FALSE)</f>
        <v>3113.1973170000001</v>
      </c>
      <c r="T46" s="25">
        <f>VLOOKUP($D46,Résultats!$B$2:$AZ$212,T$2,FALSE)</f>
        <v>3651.9059200000002</v>
      </c>
      <c r="U46" s="25">
        <f>VLOOKUP($D46,Résultats!$B$2:$AZ$212,U$2,FALSE)</f>
        <v>4247.3637879999997</v>
      </c>
      <c r="V46" s="25">
        <f>VLOOKUP($D46,Résultats!$B$2:$AZ$212,V$2,FALSE)</f>
        <v>4886.9707129999997</v>
      </c>
      <c r="W46" s="25">
        <f>VLOOKUP($D46,Résultats!$B$2:$AZ$212,W$2,FALSE)</f>
        <v>5561.7165930000001</v>
      </c>
      <c r="X46" s="25">
        <f>VLOOKUP($D46,Résultats!$B$2:$AZ$212,X$2,FALSE)</f>
        <v>6095.1764350000003</v>
      </c>
      <c r="Y46" s="25">
        <f>VLOOKUP($D46,Résultats!$B$2:$AZ$212,Y$2,FALSE)</f>
        <v>6750.0772180000004</v>
      </c>
      <c r="Z46" s="25">
        <f>VLOOKUP($D46,Résultats!$B$2:$AZ$212,Z$2,FALSE)</f>
        <v>7468.0659500000002</v>
      </c>
      <c r="AA46" s="25">
        <f>VLOOKUP($D46,Résultats!$B$2:$AZ$212,AA$2,FALSE)</f>
        <v>8216.1911390000005</v>
      </c>
      <c r="AB46" s="25">
        <f>VLOOKUP($D46,Résultats!$B$2:$AZ$212,AB$2,FALSE)</f>
        <v>8981.2165330000007</v>
      </c>
      <c r="AC46" s="25">
        <f>VLOOKUP($D46,Résultats!$B$2:$AZ$212,AC$2,FALSE)</f>
        <v>9756.3192949999902</v>
      </c>
      <c r="AD46" s="25">
        <f>VLOOKUP($D46,Résultats!$B$2:$AZ$212,AD$2,FALSE)</f>
        <v>10485.518760000001</v>
      </c>
      <c r="AE46" s="25">
        <f>VLOOKUP($D46,Résultats!$B$2:$AZ$212,AE$2,FALSE)</f>
        <v>11191.698469999999</v>
      </c>
      <c r="AF46" s="25">
        <f>VLOOKUP($D46,Résultats!$B$2:$AZ$212,AF$2,FALSE)</f>
        <v>11884.501329999999</v>
      </c>
      <c r="AG46" s="25">
        <f>VLOOKUP($D46,Résultats!$B$2:$AZ$212,AG$2,FALSE)</f>
        <v>12565.94781</v>
      </c>
      <c r="AH46" s="25">
        <f>VLOOKUP($D46,Résultats!$B$2:$AZ$212,AH$2,FALSE)</f>
        <v>13072.323420000001</v>
      </c>
      <c r="AI46" s="25">
        <f>VLOOKUP($D46,Résultats!$B$2:$AZ$212,AI$2,FALSE)</f>
        <v>13636.469649999999</v>
      </c>
      <c r="AJ46" s="25">
        <f>VLOOKUP($D46,Résultats!$B$2:$AZ$212,AJ$2,FALSE)</f>
        <v>14216.80586</v>
      </c>
      <c r="AK46" s="25">
        <f>VLOOKUP($D46,Résultats!$B$2:$AZ$212,AK$2,FALSE)</f>
        <v>14793.715969999999</v>
      </c>
      <c r="AL46" s="25">
        <f>VLOOKUP($D46,Résultats!$B$2:$AZ$212,AL$2,FALSE)</f>
        <v>15358.947550000001</v>
      </c>
      <c r="AM46" s="102">
        <f>VLOOKUP($D46,Résultats!$B$2:$AZ$212,AM$2,FALSE)</f>
        <v>15908.88732</v>
      </c>
    </row>
    <row r="47" spans="2:39" x14ac:dyDescent="0.25">
      <c r="B47" s="229"/>
      <c r="C47" s="217" t="s">
        <v>35</v>
      </c>
      <c r="D47" s="3" t="s">
        <v>148</v>
      </c>
      <c r="E47" s="25">
        <f>VLOOKUP($D47,Résultats!$B$2:$AZ$212,E$2,FALSE)</f>
        <v>2.2615513600000001E-2</v>
      </c>
      <c r="F47" s="25">
        <f>VLOOKUP($D47,Résultats!$B$2:$AZ$212,F$2,FALSE)</f>
        <v>0.34332551259999999</v>
      </c>
      <c r="G47" s="25">
        <f>VLOOKUP($D47,Résultats!$B$2:$AZ$212,G$2,FALSE)</f>
        <v>0.4040321509</v>
      </c>
      <c r="H47" s="25">
        <f>VLOOKUP($D47,Résultats!$B$2:$AZ$212,H$2,FALSE)</f>
        <v>0.43951684089999998</v>
      </c>
      <c r="I47" s="25">
        <f>VLOOKUP($D47,Résultats!$B$2:$AZ$212,I$2,FALSE)</f>
        <v>0.49987786109999999</v>
      </c>
      <c r="J47" s="25">
        <f>VLOOKUP($D47,Résultats!$B$2:$AZ$212,J$2,FALSE)</f>
        <v>0.54906410029999997</v>
      </c>
      <c r="K47" s="25">
        <f>VLOOKUP($D47,Résultats!$B$2:$AZ$212,K$2,FALSE)</f>
        <v>0.63151338840000004</v>
      </c>
      <c r="L47" s="25">
        <f>VLOOKUP($D47,Résultats!$B$2:$AZ$212,L$2,FALSE)</f>
        <v>0.72269109340000004</v>
      </c>
      <c r="M47" s="25">
        <f>VLOOKUP($D47,Résultats!$B$2:$AZ$212,M$2,FALSE)</f>
        <v>0.81891646139999996</v>
      </c>
      <c r="N47" s="25">
        <f>VLOOKUP($D47,Résultats!$B$2:$AZ$212,N$2,FALSE)</f>
        <v>0.87069429040000001</v>
      </c>
      <c r="O47" s="25">
        <f>VLOOKUP($D47,Résultats!$B$2:$AZ$212,O$2,FALSE)</f>
        <v>0.94780489479999996</v>
      </c>
      <c r="P47" s="25">
        <f>VLOOKUP($D47,Résultats!$B$2:$AZ$212,P$2,FALSE)</f>
        <v>1.0329879689999999</v>
      </c>
      <c r="Q47" s="25">
        <f>VLOOKUP($D47,Résultats!$B$2:$AZ$212,Q$2,FALSE)</f>
        <v>1.1200683890000001</v>
      </c>
      <c r="R47" s="25">
        <f>VLOOKUP($D47,Résultats!$B$2:$AZ$212,R$2,FALSE)</f>
        <v>1.2061386919999999</v>
      </c>
      <c r="S47" s="25">
        <f>VLOOKUP($D47,Résultats!$B$2:$AZ$212,S$2,FALSE)</f>
        <v>1.257802141</v>
      </c>
      <c r="T47" s="25">
        <f>VLOOKUP($D47,Résultats!$B$2:$AZ$212,T$2,FALSE)</f>
        <v>1.3271404060000001</v>
      </c>
      <c r="U47" s="25">
        <f>VLOOKUP($D47,Résultats!$B$2:$AZ$212,U$2,FALSE)</f>
        <v>1.3958399699999999</v>
      </c>
      <c r="V47" s="25">
        <f>VLOOKUP($D47,Résultats!$B$2:$AZ$212,V$2,FALSE)</f>
        <v>1.4626603540000001</v>
      </c>
      <c r="W47" s="25">
        <f>VLOOKUP($D47,Résultats!$B$2:$AZ$212,W$2,FALSE)</f>
        <v>1.526353874</v>
      </c>
      <c r="X47" s="25">
        <f>VLOOKUP($D47,Résultats!$B$2:$AZ$212,X$2,FALSE)</f>
        <v>1.5651656890000001</v>
      </c>
      <c r="Y47" s="25">
        <f>VLOOKUP($D47,Résultats!$B$2:$AZ$212,Y$2,FALSE)</f>
        <v>1.6147332480000001</v>
      </c>
      <c r="Z47" s="25">
        <f>VLOOKUP($D47,Résultats!$B$2:$AZ$212,Z$2,FALSE)</f>
        <v>1.6674054060000001</v>
      </c>
      <c r="AA47" s="25">
        <f>VLOOKUP($D47,Résultats!$B$2:$AZ$212,AA$2,FALSE)</f>
        <v>1.7201380669999999</v>
      </c>
      <c r="AB47" s="25">
        <f>VLOOKUP($D47,Résultats!$B$2:$AZ$212,AB$2,FALSE)</f>
        <v>1.7718224199999999</v>
      </c>
      <c r="AC47" s="25">
        <f>VLOOKUP($D47,Résultats!$B$2:$AZ$212,AC$2,FALSE)</f>
        <v>1.8220106890000001</v>
      </c>
      <c r="AD47" s="25">
        <f>VLOOKUP($D47,Résultats!$B$2:$AZ$212,AD$2,FALSE)</f>
        <v>1.866189503</v>
      </c>
      <c r="AE47" s="25">
        <f>VLOOKUP($D47,Résultats!$B$2:$AZ$212,AE$2,FALSE)</f>
        <v>1.9073469869999999</v>
      </c>
      <c r="AF47" s="25">
        <f>VLOOKUP($D47,Résultats!$B$2:$AZ$212,AF$2,FALSE)</f>
        <v>1.946805621</v>
      </c>
      <c r="AG47" s="25">
        <f>VLOOKUP($D47,Résultats!$B$2:$AZ$212,AG$2,FALSE)</f>
        <v>1.985218999</v>
      </c>
      <c r="AH47" s="25">
        <f>VLOOKUP($D47,Résultats!$B$2:$AZ$212,AH$2,FALSE)</f>
        <v>2.0059947249999999</v>
      </c>
      <c r="AI47" s="25">
        <f>VLOOKUP($D47,Résultats!$B$2:$AZ$212,AI$2,FALSE)</f>
        <v>2.0334173170000001</v>
      </c>
      <c r="AJ47" s="25">
        <f>VLOOKUP($D47,Résultats!$B$2:$AZ$212,AJ$2,FALSE)</f>
        <v>2.063623212</v>
      </c>
      <c r="AK47" s="25">
        <f>VLOOKUP($D47,Résultats!$B$2:$AZ$212,AK$2,FALSE)</f>
        <v>2.0949462680000002</v>
      </c>
      <c r="AL47" s="25">
        <f>VLOOKUP($D47,Résultats!$B$2:$AZ$212,AL$2,FALSE)</f>
        <v>2.1266146699999999</v>
      </c>
      <c r="AM47" s="102">
        <f>VLOOKUP($D47,Résultats!$B$2:$AZ$212,AM$2,FALSE)</f>
        <v>2.1582558920000001</v>
      </c>
    </row>
    <row r="48" spans="2:39" x14ac:dyDescent="0.25">
      <c r="B48" s="229"/>
      <c r="C48" s="219" t="s">
        <v>463</v>
      </c>
      <c r="D48" s="58" t="s">
        <v>130</v>
      </c>
      <c r="E48" s="59">
        <f>VLOOKUP($D48,Résultats!$B$2:$AZ$212,E$2,FALSE)</f>
        <v>32001.800439999999</v>
      </c>
      <c r="F48" s="59">
        <f>VLOOKUP($D48,Résultats!$B$2:$AZ$212,F$2,FALSE)</f>
        <v>35911.307350000003</v>
      </c>
      <c r="G48" s="59">
        <f>VLOOKUP($D48,Résultats!$B$2:$AZ$212,G$2,FALSE)</f>
        <v>36708.886160000002</v>
      </c>
      <c r="H48" s="59">
        <f>VLOOKUP($D48,Résultats!$B$2:$AZ$212,H$2,FALSE)</f>
        <v>37113.743849999999</v>
      </c>
      <c r="I48" s="59">
        <f>VLOOKUP($D48,Résultats!$B$2:$AZ$212,I$2,FALSE)</f>
        <v>37467.881659999999</v>
      </c>
      <c r="J48" s="59">
        <f>VLOOKUP($D48,Résultats!$B$2:$AZ$212,J$2,FALSE)</f>
        <v>37680.910770000002</v>
      </c>
      <c r="K48" s="59">
        <f>VLOOKUP($D48,Résultats!$B$2:$AZ$212,K$2,FALSE)</f>
        <v>37788.529199999997</v>
      </c>
      <c r="L48" s="59">
        <f>VLOOKUP($D48,Résultats!$B$2:$AZ$212,L$2,FALSE)</f>
        <v>37735.726450000002</v>
      </c>
      <c r="M48" s="59">
        <f>VLOOKUP($D48,Résultats!$B$2:$AZ$212,M$2,FALSE)</f>
        <v>37793.078909999997</v>
      </c>
      <c r="N48" s="59">
        <f>VLOOKUP($D48,Résultats!$B$2:$AZ$212,N$2,FALSE)</f>
        <v>37104.334779999997</v>
      </c>
      <c r="O48" s="59">
        <f>VLOOKUP($D48,Résultats!$B$2:$AZ$212,O$2,FALSE)</f>
        <v>36977.623590000003</v>
      </c>
      <c r="P48" s="59">
        <f>VLOOKUP($D48,Résultats!$B$2:$AZ$212,P$2,FALSE)</f>
        <v>37062.246120000003</v>
      </c>
      <c r="Q48" s="59">
        <f>VLOOKUP($D48,Résultats!$B$2:$AZ$212,Q$2,FALSE)</f>
        <v>37230.037609999999</v>
      </c>
      <c r="R48" s="59">
        <f>VLOOKUP($D48,Résultats!$B$2:$AZ$212,R$2,FALSE)</f>
        <v>37429.985030000003</v>
      </c>
      <c r="S48" s="59">
        <f>VLOOKUP($D48,Résultats!$B$2:$AZ$212,S$2,FALSE)</f>
        <v>37103.671970000003</v>
      </c>
      <c r="T48" s="59">
        <f>VLOOKUP($D48,Résultats!$B$2:$AZ$212,T$2,FALSE)</f>
        <v>37166.425139999999</v>
      </c>
      <c r="U48" s="59">
        <f>VLOOKUP($D48,Résultats!$B$2:$AZ$212,U$2,FALSE)</f>
        <v>37284.143250000001</v>
      </c>
      <c r="V48" s="59">
        <f>VLOOKUP($D48,Résultats!$B$2:$AZ$212,V$2,FALSE)</f>
        <v>37428.507749999997</v>
      </c>
      <c r="W48" s="59">
        <f>VLOOKUP($D48,Résultats!$B$2:$AZ$212,W$2,FALSE)</f>
        <v>37586.864970000002</v>
      </c>
      <c r="X48" s="59">
        <f>VLOOKUP($D48,Résultats!$B$2:$AZ$212,X$2,FALSE)</f>
        <v>37362.566760000002</v>
      </c>
      <c r="Y48" s="59">
        <f>VLOOKUP($D48,Résultats!$B$2:$AZ$212,Y$2,FALSE)</f>
        <v>37382.751559999997</v>
      </c>
      <c r="Z48" s="59">
        <f>VLOOKUP($D48,Résultats!$B$2:$AZ$212,Z$2,FALSE)</f>
        <v>37511.954230000003</v>
      </c>
      <c r="AA48" s="59">
        <f>VLOOKUP($D48,Résultats!$B$2:$AZ$212,AA$2,FALSE)</f>
        <v>37683.449970000001</v>
      </c>
      <c r="AB48" s="59">
        <f>VLOOKUP($D48,Résultats!$B$2:$AZ$212,AB$2,FALSE)</f>
        <v>37875.864829999999</v>
      </c>
      <c r="AC48" s="59">
        <f>VLOOKUP($D48,Résultats!$B$2:$AZ$212,AC$2,FALSE)</f>
        <v>38081.349679999999</v>
      </c>
      <c r="AD48" s="59">
        <f>VLOOKUP($D48,Résultats!$B$2:$AZ$212,AD$2,FALSE)</f>
        <v>38195.895270000001</v>
      </c>
      <c r="AE48" s="59">
        <f>VLOOKUP($D48,Résultats!$B$2:$AZ$212,AE$2,FALSE)</f>
        <v>38269.756269999998</v>
      </c>
      <c r="AF48" s="59">
        <f>VLOOKUP($D48,Résultats!$B$2:$AZ$212,AF$2,FALSE)</f>
        <v>38325.709860000003</v>
      </c>
      <c r="AG48" s="59">
        <f>VLOOKUP($D48,Résultats!$B$2:$AZ$212,AG$2,FALSE)</f>
        <v>38371.473760000001</v>
      </c>
      <c r="AH48" s="59">
        <f>VLOOKUP($D48,Résultats!$B$2:$AZ$212,AH$2,FALSE)</f>
        <v>38140.02996</v>
      </c>
      <c r="AI48" s="59">
        <f>VLOOKUP($D48,Résultats!$B$2:$AZ$212,AI$2,FALSE)</f>
        <v>38021.783759999998</v>
      </c>
      <c r="AJ48" s="59">
        <f>VLOOKUP($D48,Résultats!$B$2:$AZ$212,AJ$2,FALSE)</f>
        <v>37948.509160000001</v>
      </c>
      <c r="AK48" s="59">
        <f>VLOOKUP($D48,Résultats!$B$2:$AZ$212,AK$2,FALSE)</f>
        <v>37889.598149999998</v>
      </c>
      <c r="AL48" s="59">
        <f>VLOOKUP($D48,Résultats!$B$2:$AZ$212,AL$2,FALSE)</f>
        <v>37833.162120000001</v>
      </c>
      <c r="AM48" s="103">
        <f>VLOOKUP($D48,Résultats!$B$2:$AZ$212,AM$2,FALSE)</f>
        <v>37774.650130000002</v>
      </c>
    </row>
    <row r="49" spans="2:40" x14ac:dyDescent="0.25">
      <c r="B49" s="229"/>
      <c r="C49" s="220" t="s">
        <v>462</v>
      </c>
      <c r="D49" s="3" t="s">
        <v>147</v>
      </c>
      <c r="E49" s="61">
        <f>VLOOKUP($D49,Résultats!$B$2:$AZ$212,E$2,FALSE)</f>
        <v>2.411668513</v>
      </c>
      <c r="F49" s="61">
        <f>VLOOKUP($D49,Résultats!$B$2:$AZ$212,F$2,FALSE)</f>
        <v>96.000977129999995</v>
      </c>
      <c r="G49" s="61">
        <f>VLOOKUP($D49,Résultats!$B$2:$AZ$212,G$2,FALSE)</f>
        <v>227.81154000000001</v>
      </c>
      <c r="H49" s="61">
        <f>VLOOKUP($D49,Résultats!$B$2:$AZ$212,H$2,FALSE)</f>
        <v>302.22583909999997</v>
      </c>
      <c r="I49" s="61">
        <f>VLOOKUP($D49,Résultats!$B$2:$AZ$212,I$2,FALSE)</f>
        <v>394.80552519999998</v>
      </c>
      <c r="J49" s="61">
        <f>VLOOKUP($D49,Résultats!$B$2:$AZ$212,J$2,FALSE)</f>
        <v>503.307637</v>
      </c>
      <c r="K49" s="61">
        <f>VLOOKUP($D49,Résultats!$B$2:$AZ$212,K$2,FALSE)</f>
        <v>644.46437379999998</v>
      </c>
      <c r="L49" s="61">
        <f>VLOOKUP($D49,Résultats!$B$2:$AZ$212,L$2,FALSE)</f>
        <v>812.86662190000004</v>
      </c>
      <c r="M49" s="61">
        <f>VLOOKUP($D49,Résultats!$B$2:$AZ$212,M$2,FALSE)</f>
        <v>1029.888852</v>
      </c>
      <c r="N49" s="61">
        <f>VLOOKUP($D49,Résultats!$B$2:$AZ$212,N$2,FALSE)</f>
        <v>1184.8465140000001</v>
      </c>
      <c r="O49" s="61">
        <f>VLOOKUP($D49,Résultats!$B$2:$AZ$212,O$2,FALSE)</f>
        <v>1459.1448539999999</v>
      </c>
      <c r="P49" s="61">
        <f>VLOOKUP($D49,Résultats!$B$2:$AZ$212,P$2,FALSE)</f>
        <v>1817.1034609999999</v>
      </c>
      <c r="Q49" s="61">
        <f>VLOOKUP($D49,Résultats!$B$2:$AZ$212,Q$2,FALSE)</f>
        <v>2243.301946</v>
      </c>
      <c r="R49" s="61">
        <f>VLOOKUP($D49,Résultats!$B$2:$AZ$212,R$2,FALSE)</f>
        <v>2729.344666</v>
      </c>
      <c r="S49" s="61">
        <f>VLOOKUP($D49,Résultats!$B$2:$AZ$212,S$2,FALSE)</f>
        <v>3113.1973170000001</v>
      </c>
      <c r="T49" s="61">
        <f>VLOOKUP($D49,Résultats!$B$2:$AZ$212,T$2,FALSE)</f>
        <v>3651.9059200000002</v>
      </c>
      <c r="U49" s="61">
        <f>VLOOKUP($D49,Résultats!$B$2:$AZ$212,U$2,FALSE)</f>
        <v>4247.3637879999997</v>
      </c>
      <c r="V49" s="61">
        <f>VLOOKUP($D49,Résultats!$B$2:$AZ$212,V$2,FALSE)</f>
        <v>4886.9707129999997</v>
      </c>
      <c r="W49" s="61">
        <f>VLOOKUP($D49,Résultats!$B$2:$AZ$212,W$2,FALSE)</f>
        <v>5561.7165930000001</v>
      </c>
      <c r="X49" s="61">
        <f>VLOOKUP($D49,Résultats!$B$2:$AZ$212,X$2,FALSE)</f>
        <v>6095.1764350000003</v>
      </c>
      <c r="Y49" s="61">
        <f>VLOOKUP($D49,Résultats!$B$2:$AZ$212,Y$2,FALSE)</f>
        <v>6750.0772180000004</v>
      </c>
      <c r="Z49" s="61">
        <f>VLOOKUP($D49,Résultats!$B$2:$AZ$212,Z$2,FALSE)</f>
        <v>7468.0659500000002</v>
      </c>
      <c r="AA49" s="61">
        <f>VLOOKUP($D49,Résultats!$B$2:$AZ$212,AA$2,FALSE)</f>
        <v>8216.1911390000005</v>
      </c>
      <c r="AB49" s="61">
        <f>VLOOKUP($D49,Résultats!$B$2:$AZ$212,AB$2,FALSE)</f>
        <v>8981.2165330000007</v>
      </c>
      <c r="AC49" s="61">
        <f>VLOOKUP($D49,Résultats!$B$2:$AZ$212,AC$2,FALSE)</f>
        <v>9756.3192949999902</v>
      </c>
      <c r="AD49" s="61">
        <f>VLOOKUP($D49,Résultats!$B$2:$AZ$212,AD$2,FALSE)</f>
        <v>10485.518760000001</v>
      </c>
      <c r="AE49" s="61">
        <f>VLOOKUP($D49,Résultats!$B$2:$AZ$212,AE$2,FALSE)</f>
        <v>11191.698469999999</v>
      </c>
      <c r="AF49" s="61">
        <f>VLOOKUP($D49,Résultats!$B$2:$AZ$212,AF$2,FALSE)</f>
        <v>11884.501329999999</v>
      </c>
      <c r="AG49" s="61">
        <f>VLOOKUP($D49,Résultats!$B$2:$AZ$212,AG$2,FALSE)</f>
        <v>12565.94781</v>
      </c>
      <c r="AH49" s="61">
        <f>VLOOKUP($D49,Résultats!$B$2:$AZ$212,AH$2,FALSE)</f>
        <v>13072.323420000001</v>
      </c>
      <c r="AI49" s="61">
        <f>VLOOKUP($D49,Résultats!$B$2:$AZ$212,AI$2,FALSE)</f>
        <v>13636.469649999999</v>
      </c>
      <c r="AJ49" s="61">
        <f>VLOOKUP($D49,Résultats!$B$2:$AZ$212,AJ$2,FALSE)</f>
        <v>14216.80586</v>
      </c>
      <c r="AK49" s="61">
        <f>VLOOKUP($D49,Résultats!$B$2:$AZ$212,AK$2,FALSE)</f>
        <v>14793.715969999999</v>
      </c>
      <c r="AL49" s="61">
        <f>VLOOKUP($D49,Résultats!$B$2:$AZ$212,AL$2,FALSE)</f>
        <v>15358.947550000001</v>
      </c>
      <c r="AM49" s="224">
        <f>VLOOKUP($D49,Résultats!$B$2:$AZ$212,AM$2,FALSE)</f>
        <v>15908.88732</v>
      </c>
    </row>
    <row r="50" spans="2:40" x14ac:dyDescent="0.25">
      <c r="B50" s="229"/>
      <c r="C50" s="221" t="s">
        <v>27</v>
      </c>
      <c r="D50" s="63" t="s">
        <v>138</v>
      </c>
      <c r="E50" s="25">
        <f>VLOOKUP($D50,Résultats!$B$2:$AZ$212,E$2,FALSE)</f>
        <v>7.1825179100000001E-3</v>
      </c>
      <c r="F50" s="25">
        <f>VLOOKUP($D50,Résultats!$B$2:$AZ$212,F$2,FALSE)</f>
        <v>0.88706267969999997</v>
      </c>
      <c r="G50" s="25">
        <f>VLOOKUP($D50,Résultats!$B$2:$AZ$212,G$2,FALSE)</f>
        <v>1.836740818</v>
      </c>
      <c r="H50" s="25">
        <f>VLOOKUP($D50,Résultats!$B$2:$AZ$212,H$2,FALSE)</f>
        <v>2.4568316530000001</v>
      </c>
      <c r="I50" s="25">
        <f>VLOOKUP($D50,Résultats!$B$2:$AZ$212,I$2,FALSE)</f>
        <v>3.4626674909999999</v>
      </c>
      <c r="J50" s="25">
        <f>VLOOKUP($D50,Résultats!$B$2:$AZ$212,J$2,FALSE)</f>
        <v>4.9645845450000001</v>
      </c>
      <c r="K50" s="25">
        <f>VLOOKUP($D50,Résultats!$B$2:$AZ$212,K$2,FALSE)</f>
        <v>8.8239134230000005</v>
      </c>
      <c r="L50" s="25">
        <f>VLOOKUP($D50,Résultats!$B$2:$AZ$212,L$2,FALSE)</f>
        <v>15.003392740000001</v>
      </c>
      <c r="M50" s="25">
        <f>VLOOKUP($D50,Résultats!$B$2:$AZ$212,M$2,FALSE)</f>
        <v>23.295794820000001</v>
      </c>
      <c r="N50" s="25">
        <f>VLOOKUP($D50,Résultats!$B$2:$AZ$212,N$2,FALSE)</f>
        <v>30.58914674</v>
      </c>
      <c r="O50" s="25">
        <f>VLOOKUP($D50,Résultats!$B$2:$AZ$212,O$2,FALSE)</f>
        <v>42.346148339999999</v>
      </c>
      <c r="P50" s="25">
        <f>VLOOKUP($D50,Résultats!$B$2:$AZ$212,P$2,FALSE)</f>
        <v>58.148450029999999</v>
      </c>
      <c r="Q50" s="25">
        <f>VLOOKUP($D50,Résultats!$B$2:$AZ$212,Q$2,FALSE)</f>
        <v>77.978419130000006</v>
      </c>
      <c r="R50" s="25">
        <f>VLOOKUP($D50,Résultats!$B$2:$AZ$212,R$2,FALSE)</f>
        <v>101.9141853</v>
      </c>
      <c r="S50" s="25">
        <f>VLOOKUP($D50,Résultats!$B$2:$AZ$212,S$2,FALSE)</f>
        <v>123.48327860000001</v>
      </c>
      <c r="T50" s="25">
        <f>VLOOKUP($D50,Résultats!$B$2:$AZ$212,T$2,FALSE)</f>
        <v>153.29513510000001</v>
      </c>
      <c r="U50" s="25">
        <f>VLOOKUP($D50,Résultats!$B$2:$AZ$212,U$2,FALSE)</f>
        <v>187.96298179999999</v>
      </c>
      <c r="V50" s="25">
        <f>VLOOKUP($D50,Résultats!$B$2:$AZ$212,V$2,FALSE)</f>
        <v>227.18452809999999</v>
      </c>
      <c r="W50" s="25">
        <f>VLOOKUP($D50,Résultats!$B$2:$AZ$212,W$2,FALSE)</f>
        <v>270.87195809999997</v>
      </c>
      <c r="X50" s="25">
        <f>VLOOKUP($D50,Résultats!$B$2:$AZ$212,X$2,FALSE)</f>
        <v>309.60311960000001</v>
      </c>
      <c r="Y50" s="25">
        <f>VLOOKUP($D50,Résultats!$B$2:$AZ$212,Y$2,FALSE)</f>
        <v>357.3974528</v>
      </c>
      <c r="Z50" s="25">
        <f>VLOOKUP($D50,Résultats!$B$2:$AZ$212,Z$2,FALSE)</f>
        <v>411.91644109999999</v>
      </c>
      <c r="AA50" s="25">
        <f>VLOOKUP($D50,Résultats!$B$2:$AZ$212,AA$2,FALSE)</f>
        <v>471.6805493</v>
      </c>
      <c r="AB50" s="25">
        <f>VLOOKUP($D50,Résultats!$B$2:$AZ$212,AB$2,FALSE)</f>
        <v>536.10142789999998</v>
      </c>
      <c r="AC50" s="25">
        <f>VLOOKUP($D50,Résultats!$B$2:$AZ$212,AC$2,FALSE)</f>
        <v>604.88233920000005</v>
      </c>
      <c r="AD50" s="25">
        <f>VLOOKUP($D50,Résultats!$B$2:$AZ$212,AD$2,FALSE)</f>
        <v>675.10074380000003</v>
      </c>
      <c r="AE50" s="25">
        <f>VLOOKUP($D50,Résultats!$B$2:$AZ$212,AE$2,FALSE)</f>
        <v>748.19000759999994</v>
      </c>
      <c r="AF50" s="25">
        <f>VLOOKUP($D50,Résultats!$B$2:$AZ$212,AF$2,FALSE)</f>
        <v>824.87963019999995</v>
      </c>
      <c r="AG50" s="25">
        <f>VLOOKUP($D50,Résultats!$B$2:$AZ$212,AG$2,FALSE)</f>
        <v>905.38054199999999</v>
      </c>
      <c r="AH50" s="25">
        <f>VLOOKUP($D50,Résultats!$B$2:$AZ$212,AH$2,FALSE)</f>
        <v>975.40373199999999</v>
      </c>
      <c r="AI50" s="25">
        <f>VLOOKUP($D50,Résultats!$B$2:$AZ$212,AI$2,FALSE)</f>
        <v>1054.491988</v>
      </c>
      <c r="AJ50" s="25">
        <f>VLOOKUP($D50,Résultats!$B$2:$AZ$212,AJ$2,FALSE)</f>
        <v>1139.6587919999999</v>
      </c>
      <c r="AK50" s="25">
        <f>VLOOKUP($D50,Résultats!$B$2:$AZ$212,AK$2,FALSE)</f>
        <v>1229.32431</v>
      </c>
      <c r="AL50" s="25">
        <f>VLOOKUP($D50,Résultats!$B$2:$AZ$212,AL$2,FALSE)</f>
        <v>1322.7060939999999</v>
      </c>
      <c r="AM50" s="102">
        <f>VLOOKUP($D50,Résultats!$B$2:$AZ$212,AM$2,FALSE)</f>
        <v>1419.3978139999999</v>
      </c>
    </row>
    <row r="51" spans="2:40" x14ac:dyDescent="0.25">
      <c r="B51" s="229"/>
      <c r="C51" s="217" t="s">
        <v>28</v>
      </c>
      <c r="D51" s="54" t="s">
        <v>139</v>
      </c>
      <c r="E51" s="25">
        <f>VLOOKUP($D51,Résultats!$B$2:$AZ$212,E$2,FALSE)</f>
        <v>1.6464540999999999E-2</v>
      </c>
      <c r="F51" s="25">
        <f>VLOOKUP($D51,Résultats!$B$2:$AZ$212,F$2,FALSE)</f>
        <v>1.0630029519999999</v>
      </c>
      <c r="G51" s="25">
        <f>VLOOKUP($D51,Résultats!$B$2:$AZ$212,G$2,FALSE)</f>
        <v>2.3418457890000002</v>
      </c>
      <c r="H51" s="25">
        <f>VLOOKUP($D51,Résultats!$B$2:$AZ$212,H$2,FALSE)</f>
        <v>3.1211409890000001</v>
      </c>
      <c r="I51" s="25">
        <f>VLOOKUP($D51,Résultats!$B$2:$AZ$212,I$2,FALSE)</f>
        <v>4.2474106689999997</v>
      </c>
      <c r="J51" s="25">
        <f>VLOOKUP($D51,Résultats!$B$2:$AZ$212,J$2,FALSE)</f>
        <v>5.7814676800000004</v>
      </c>
      <c r="K51" s="25">
        <f>VLOOKUP($D51,Résultats!$B$2:$AZ$212,K$2,FALSE)</f>
        <v>9.0048258939999997</v>
      </c>
      <c r="L51" s="25">
        <f>VLOOKUP($D51,Résultats!$B$2:$AZ$212,L$2,FALSE)</f>
        <v>13.821606900000001</v>
      </c>
      <c r="M51" s="25">
        <f>VLOOKUP($D51,Résultats!$B$2:$AZ$212,M$2,FALSE)</f>
        <v>20.219649319999998</v>
      </c>
      <c r="N51" s="25">
        <f>VLOOKUP($D51,Résultats!$B$2:$AZ$212,N$2,FALSE)</f>
        <v>25.608324140000001</v>
      </c>
      <c r="O51" s="25">
        <f>VLOOKUP($D51,Résultats!$B$2:$AZ$212,O$2,FALSE)</f>
        <v>34.44180085</v>
      </c>
      <c r="P51" s="25">
        <f>VLOOKUP($D51,Résultats!$B$2:$AZ$212,P$2,FALSE)</f>
        <v>46.225214530000002</v>
      </c>
      <c r="Q51" s="25">
        <f>VLOOKUP($D51,Résultats!$B$2:$AZ$212,Q$2,FALSE)</f>
        <v>60.8321459</v>
      </c>
      <c r="R51" s="25">
        <f>VLOOKUP($D51,Résultats!$B$2:$AZ$212,R$2,FALSE)</f>
        <v>78.235373710000005</v>
      </c>
      <c r="S51" s="25">
        <f>VLOOKUP($D51,Résultats!$B$2:$AZ$212,S$2,FALSE)</f>
        <v>93.482798720000005</v>
      </c>
      <c r="T51" s="25">
        <f>VLOOKUP($D51,Résultats!$B$2:$AZ$212,T$2,FALSE)</f>
        <v>114.5944681</v>
      </c>
      <c r="U51" s="25">
        <f>VLOOKUP($D51,Résultats!$B$2:$AZ$212,U$2,FALSE)</f>
        <v>138.85695810000001</v>
      </c>
      <c r="V51" s="25">
        <f>VLOOKUP($D51,Résultats!$B$2:$AZ$212,V$2,FALSE)</f>
        <v>165.97680299999999</v>
      </c>
      <c r="W51" s="25">
        <f>VLOOKUP($D51,Résultats!$B$2:$AZ$212,W$2,FALSE)</f>
        <v>195.8027084</v>
      </c>
      <c r="X51" s="25">
        <f>VLOOKUP($D51,Résultats!$B$2:$AZ$212,X$2,FALSE)</f>
        <v>221.58956019999999</v>
      </c>
      <c r="Y51" s="25">
        <f>VLOOKUP($D51,Résultats!$B$2:$AZ$212,Y$2,FALSE)</f>
        <v>253.32088920000001</v>
      </c>
      <c r="Z51" s="25">
        <f>VLOOKUP($D51,Résultats!$B$2:$AZ$212,Z$2,FALSE)</f>
        <v>289.1494659</v>
      </c>
      <c r="AA51" s="25">
        <f>VLOOKUP($D51,Résultats!$B$2:$AZ$212,AA$2,FALSE)</f>
        <v>327.92672570000002</v>
      </c>
      <c r="AB51" s="25">
        <f>VLOOKUP($D51,Résultats!$B$2:$AZ$212,AB$2,FALSE)</f>
        <v>369.16810079999999</v>
      </c>
      <c r="AC51" s="25">
        <f>VLOOKUP($D51,Résultats!$B$2:$AZ$212,AC$2,FALSE)</f>
        <v>412.60515930000003</v>
      </c>
      <c r="AD51" s="25">
        <f>VLOOKUP($D51,Résultats!$B$2:$AZ$212,AD$2,FALSE)</f>
        <v>456.0428551</v>
      </c>
      <c r="AE51" s="25">
        <f>VLOOKUP($D51,Résultats!$B$2:$AZ$212,AE$2,FALSE)</f>
        <v>500.4052623</v>
      </c>
      <c r="AF51" s="25">
        <f>VLOOKUP($D51,Résultats!$B$2:$AZ$212,AF$2,FALSE)</f>
        <v>546.10283360000005</v>
      </c>
      <c r="AG51" s="25">
        <f>VLOOKUP($D51,Résultats!$B$2:$AZ$212,AG$2,FALSE)</f>
        <v>593.19278889999998</v>
      </c>
      <c r="AH51" s="25">
        <f>VLOOKUP($D51,Résultats!$B$2:$AZ$212,AH$2,FALSE)</f>
        <v>632.62114069999996</v>
      </c>
      <c r="AI51" s="25">
        <f>VLOOKUP($D51,Résultats!$B$2:$AZ$212,AI$2,FALSE)</f>
        <v>676.76808340000002</v>
      </c>
      <c r="AJ51" s="25">
        <f>VLOOKUP($D51,Résultats!$B$2:$AZ$212,AJ$2,FALSE)</f>
        <v>723.5466199</v>
      </c>
      <c r="AK51" s="25">
        <f>VLOOKUP($D51,Résultats!$B$2:$AZ$212,AK$2,FALSE)</f>
        <v>771.85293820000004</v>
      </c>
      <c r="AL51" s="25">
        <f>VLOOKUP($D51,Résultats!$B$2:$AZ$212,AL$2,FALSE)</f>
        <v>821.12630309999997</v>
      </c>
      <c r="AM51" s="102">
        <f>VLOOKUP($D51,Résultats!$B$2:$AZ$212,AM$2,FALSE)</f>
        <v>871.04877850000003</v>
      </c>
    </row>
    <row r="52" spans="2:40" x14ac:dyDescent="0.25">
      <c r="B52" s="229"/>
      <c r="C52" s="217" t="s">
        <v>29</v>
      </c>
      <c r="D52" s="54" t="s">
        <v>140</v>
      </c>
      <c r="E52" s="25">
        <f>VLOOKUP($D52,Résultats!$B$2:$AZ$212,E$2,FALSE)</f>
        <v>6.7405168000000001E-2</v>
      </c>
      <c r="F52" s="25">
        <f>VLOOKUP($D52,Résultats!$B$2:$AZ$212,F$2,FALSE)</f>
        <v>2.84304858</v>
      </c>
      <c r="G52" s="25">
        <f>VLOOKUP($D52,Résultats!$B$2:$AZ$212,G$2,FALSE)</f>
        <v>6.6791557600000004</v>
      </c>
      <c r="H52" s="25">
        <f>VLOOKUP($D52,Résultats!$B$2:$AZ$212,H$2,FALSE)</f>
        <v>8.8676023500000003</v>
      </c>
      <c r="I52" s="25">
        <f>VLOOKUP($D52,Résultats!$B$2:$AZ$212,I$2,FALSE)</f>
        <v>11.646945970000001</v>
      </c>
      <c r="J52" s="25">
        <f>VLOOKUP($D52,Résultats!$B$2:$AZ$212,J$2,FALSE)</f>
        <v>14.97884681</v>
      </c>
      <c r="K52" s="25">
        <f>VLOOKUP($D52,Résultats!$B$2:$AZ$212,K$2,FALSE)</f>
        <v>19.691254359999999</v>
      </c>
      <c r="L52" s="25">
        <f>VLOOKUP($D52,Résultats!$B$2:$AZ$212,L$2,FALSE)</f>
        <v>25.549982839999998</v>
      </c>
      <c r="M52" s="25">
        <f>VLOOKUP($D52,Résultats!$B$2:$AZ$212,M$2,FALSE)</f>
        <v>33.128894019999997</v>
      </c>
      <c r="N52" s="25">
        <f>VLOOKUP($D52,Résultats!$B$2:$AZ$212,N$2,FALSE)</f>
        <v>38.703653170000003</v>
      </c>
      <c r="O52" s="25">
        <f>VLOOKUP($D52,Résultats!$B$2:$AZ$212,O$2,FALSE)</f>
        <v>48.407461240000003</v>
      </c>
      <c r="P52" s="25">
        <f>VLOOKUP($D52,Résultats!$B$2:$AZ$212,P$2,FALSE)</f>
        <v>61.093878410000002</v>
      </c>
      <c r="Q52" s="25">
        <f>VLOOKUP($D52,Résultats!$B$2:$AZ$212,Q$2,FALSE)</f>
        <v>76.270415920000005</v>
      </c>
      <c r="R52" s="25">
        <f>VLOOKUP($D52,Résultats!$B$2:$AZ$212,R$2,FALSE)</f>
        <v>93.661931879999997</v>
      </c>
      <c r="S52" s="25">
        <f>VLOOKUP($D52,Résultats!$B$2:$AZ$212,S$2,FALSE)</f>
        <v>107.5676915</v>
      </c>
      <c r="T52" s="25">
        <f>VLOOKUP($D52,Résultats!$B$2:$AZ$212,T$2,FALSE)</f>
        <v>127.00787750000001</v>
      </c>
      <c r="U52" s="25">
        <f>VLOOKUP($D52,Résultats!$B$2:$AZ$212,U$2,FALSE)</f>
        <v>148.54141949999999</v>
      </c>
      <c r="V52" s="25">
        <f>VLOOKUP($D52,Résultats!$B$2:$AZ$212,V$2,FALSE)</f>
        <v>171.70433850000001</v>
      </c>
      <c r="W52" s="25">
        <f>VLOOKUP($D52,Résultats!$B$2:$AZ$212,W$2,FALSE)</f>
        <v>196.15211819999999</v>
      </c>
      <c r="X52" s="25">
        <f>VLOOKUP($D52,Résultats!$B$2:$AZ$212,X$2,FALSE)</f>
        <v>215.5072715</v>
      </c>
      <c r="Y52" s="25">
        <f>VLOOKUP($D52,Résultats!$B$2:$AZ$212,Y$2,FALSE)</f>
        <v>239.18491700000001</v>
      </c>
      <c r="Z52" s="25">
        <f>VLOOKUP($D52,Résultats!$B$2:$AZ$212,Z$2,FALSE)</f>
        <v>265.04281140000001</v>
      </c>
      <c r="AA52" s="25">
        <f>VLOOKUP($D52,Résultats!$B$2:$AZ$212,AA$2,FALSE)</f>
        <v>291.83911660000001</v>
      </c>
      <c r="AB52" s="25">
        <f>VLOOKUP($D52,Résultats!$B$2:$AZ$212,AB$2,FALSE)</f>
        <v>319.03779900000001</v>
      </c>
      <c r="AC52" s="25">
        <f>VLOOKUP($D52,Résultats!$B$2:$AZ$212,AC$2,FALSE)</f>
        <v>346.33205390000001</v>
      </c>
      <c r="AD52" s="25">
        <f>VLOOKUP($D52,Résultats!$B$2:$AZ$212,AD$2,FALSE)</f>
        <v>371.57375860000002</v>
      </c>
      <c r="AE52" s="25">
        <f>VLOOKUP($D52,Résultats!$B$2:$AZ$212,AE$2,FALSE)</f>
        <v>395.50775499999997</v>
      </c>
      <c r="AF52" s="25">
        <f>VLOOKUP($D52,Résultats!$B$2:$AZ$212,AF$2,FALSE)</f>
        <v>418.3894793</v>
      </c>
      <c r="AG52" s="25">
        <f>VLOOKUP($D52,Résultats!$B$2:$AZ$212,AG$2,FALSE)</f>
        <v>440.19639130000002</v>
      </c>
      <c r="AH52" s="25">
        <f>VLOOKUP($D52,Résultats!$B$2:$AZ$212,AH$2,FALSE)</f>
        <v>455.17560800000001</v>
      </c>
      <c r="AI52" s="25">
        <f>VLOOKUP($D52,Résultats!$B$2:$AZ$212,AI$2,FALSE)</f>
        <v>471.40881519999999</v>
      </c>
      <c r="AJ52" s="25">
        <f>VLOOKUP($D52,Résultats!$B$2:$AZ$212,AJ$2,FALSE)</f>
        <v>487.27734149999998</v>
      </c>
      <c r="AK52" s="25">
        <f>VLOOKUP($D52,Résultats!$B$2:$AZ$212,AK$2,FALSE)</f>
        <v>501.9877204</v>
      </c>
      <c r="AL52" s="25">
        <f>VLOOKUP($D52,Résultats!$B$2:$AZ$212,AL$2,FALSE)</f>
        <v>515.17149730000006</v>
      </c>
      <c r="AM52" s="102">
        <f>VLOOKUP($D52,Résultats!$B$2:$AZ$212,AM$2,FALSE)</f>
        <v>526.62829060000001</v>
      </c>
    </row>
    <row r="53" spans="2:40" x14ac:dyDescent="0.25">
      <c r="B53" s="229"/>
      <c r="C53" s="217" t="s">
        <v>30</v>
      </c>
      <c r="D53" s="54" t="s">
        <v>141</v>
      </c>
      <c r="E53" s="25">
        <f>VLOOKUP($D53,Résultats!$B$2:$AZ$212,E$2,FALSE)</f>
        <v>1.5834689479999999</v>
      </c>
      <c r="F53" s="25">
        <f>VLOOKUP($D53,Résultats!$B$2:$AZ$212,F$2,FALSE)</f>
        <v>62.881333439999999</v>
      </c>
      <c r="G53" s="25">
        <f>VLOOKUP($D53,Résultats!$B$2:$AZ$212,G$2,FALSE)</f>
        <v>149.34603229999999</v>
      </c>
      <c r="H53" s="25">
        <f>VLOOKUP($D53,Résultats!$B$2:$AZ$212,H$2,FALSE)</f>
        <v>198.1288941</v>
      </c>
      <c r="I53" s="25">
        <f>VLOOKUP($D53,Résultats!$B$2:$AZ$212,I$2,FALSE)</f>
        <v>258.6992932</v>
      </c>
      <c r="J53" s="25">
        <f>VLOOKUP($D53,Résultats!$B$2:$AZ$212,J$2,FALSE)</f>
        <v>329.5189992</v>
      </c>
      <c r="K53" s="25">
        <f>VLOOKUP($D53,Résultats!$B$2:$AZ$212,K$2,FALSE)</f>
        <v>420.63968310000001</v>
      </c>
      <c r="L53" s="25">
        <f>VLOOKUP($D53,Résultats!$B$2:$AZ$212,L$2,FALSE)</f>
        <v>528.48605220000002</v>
      </c>
      <c r="M53" s="25">
        <f>VLOOKUP($D53,Résultats!$B$2:$AZ$212,M$2,FALSE)</f>
        <v>667.28263570000001</v>
      </c>
      <c r="N53" s="25">
        <f>VLOOKUP($D53,Résultats!$B$2:$AZ$212,N$2,FALSE)</f>
        <v>765.62439800000004</v>
      </c>
      <c r="O53" s="25">
        <f>VLOOKUP($D53,Résultats!$B$2:$AZ$212,O$2,FALSE)</f>
        <v>940.33518519999996</v>
      </c>
      <c r="P53" s="25">
        <f>VLOOKUP($D53,Résultats!$B$2:$AZ$212,P$2,FALSE)</f>
        <v>1168.0684209999999</v>
      </c>
      <c r="Q53" s="25">
        <f>VLOOKUP($D53,Résultats!$B$2:$AZ$212,Q$2,FALSE)</f>
        <v>1438.640001</v>
      </c>
      <c r="R53" s="25">
        <f>VLOOKUP($D53,Résultats!$B$2:$AZ$212,R$2,FALSE)</f>
        <v>1746.4530010000001</v>
      </c>
      <c r="S53" s="25">
        <f>VLOOKUP($D53,Résultats!$B$2:$AZ$212,S$2,FALSE)</f>
        <v>1988.0381219999999</v>
      </c>
      <c r="T53" s="25">
        <f>VLOOKUP($D53,Résultats!$B$2:$AZ$212,T$2,FALSE)</f>
        <v>2327.3340990000002</v>
      </c>
      <c r="U53" s="25">
        <f>VLOOKUP($D53,Résultats!$B$2:$AZ$212,U$2,FALSE)</f>
        <v>2701.38841</v>
      </c>
      <c r="V53" s="25">
        <f>VLOOKUP($D53,Résultats!$B$2:$AZ$212,V$2,FALSE)</f>
        <v>3102.0363510000002</v>
      </c>
      <c r="W53" s="25">
        <f>VLOOKUP($D53,Résultats!$B$2:$AZ$212,W$2,FALSE)</f>
        <v>3523.3643069999998</v>
      </c>
      <c r="X53" s="25">
        <f>VLOOKUP($D53,Résultats!$B$2:$AZ$212,X$2,FALSE)</f>
        <v>3854.0612510000001</v>
      </c>
      <c r="Y53" s="25">
        <f>VLOOKUP($D53,Résultats!$B$2:$AZ$212,Y$2,FALSE)</f>
        <v>4259.8868869999997</v>
      </c>
      <c r="Z53" s="25">
        <f>VLOOKUP($D53,Résultats!$B$2:$AZ$212,Z$2,FALSE)</f>
        <v>4703.5746159999999</v>
      </c>
      <c r="AA53" s="25">
        <f>VLOOKUP($D53,Résultats!$B$2:$AZ$212,AA$2,FALSE)</f>
        <v>5164.1700010000004</v>
      </c>
      <c r="AB53" s="25">
        <f>VLOOKUP($D53,Résultats!$B$2:$AZ$212,AB$2,FALSE)</f>
        <v>5633.2508939999998</v>
      </c>
      <c r="AC53" s="25">
        <f>VLOOKUP($D53,Résultats!$B$2:$AZ$212,AC$2,FALSE)</f>
        <v>6106.4716019999996</v>
      </c>
      <c r="AD53" s="25">
        <f>VLOOKUP($D53,Résultats!$B$2:$AZ$212,AD$2,FALSE)</f>
        <v>6548.47102</v>
      </c>
      <c r="AE53" s="25">
        <f>VLOOKUP($D53,Résultats!$B$2:$AZ$212,AE$2,FALSE)</f>
        <v>6973.5655370000004</v>
      </c>
      <c r="AF53" s="25">
        <f>VLOOKUP($D53,Résultats!$B$2:$AZ$212,AF$2,FALSE)</f>
        <v>7387.7170489999999</v>
      </c>
      <c r="AG53" s="25">
        <f>VLOOKUP($D53,Résultats!$B$2:$AZ$212,AG$2,FALSE)</f>
        <v>7792.1444300000003</v>
      </c>
      <c r="AH53" s="25">
        <f>VLOOKUP($D53,Résultats!$B$2:$AZ$212,AH$2,FALSE)</f>
        <v>8086.7747660000005</v>
      </c>
      <c r="AI53" s="25">
        <f>VLOOKUP($D53,Résultats!$B$2:$AZ$212,AI$2,FALSE)</f>
        <v>8414.4017260000001</v>
      </c>
      <c r="AJ53" s="25">
        <f>VLOOKUP($D53,Résultats!$B$2:$AZ$212,AJ$2,FALSE)</f>
        <v>8749.2445310000003</v>
      </c>
      <c r="AK53" s="25">
        <f>VLOOKUP($D53,Résultats!$B$2:$AZ$212,AK$2,FALSE)</f>
        <v>9079.2471129999994</v>
      </c>
      <c r="AL53" s="25">
        <f>VLOOKUP($D53,Résultats!$B$2:$AZ$212,AL$2,FALSE)</f>
        <v>9399.4141380000001</v>
      </c>
      <c r="AM53" s="102">
        <f>VLOOKUP($D53,Résultats!$B$2:$AZ$212,AM$2,FALSE)</f>
        <v>9707.6045639999902</v>
      </c>
    </row>
    <row r="54" spans="2:40" x14ac:dyDescent="0.25">
      <c r="B54" s="229"/>
      <c r="C54" s="217" t="s">
        <v>31</v>
      </c>
      <c r="D54" s="54" t="s">
        <v>142</v>
      </c>
      <c r="E54" s="25">
        <f>VLOOKUP($D54,Résultats!$B$2:$AZ$212,E$2,FALSE)</f>
        <v>0.62410555599999995</v>
      </c>
      <c r="F54" s="25">
        <f>VLOOKUP($D54,Résultats!$B$2:$AZ$212,F$2,FALSE)</f>
        <v>24.457871770000001</v>
      </c>
      <c r="G54" s="25">
        <f>VLOOKUP($D54,Résultats!$B$2:$AZ$212,G$2,FALSE)</f>
        <v>58.235035539999998</v>
      </c>
      <c r="H54" s="25">
        <f>VLOOKUP($D54,Résultats!$B$2:$AZ$212,H$2,FALSE)</f>
        <v>77.246277680000006</v>
      </c>
      <c r="I54" s="25">
        <f>VLOOKUP($D54,Résultats!$B$2:$AZ$212,I$2,FALSE)</f>
        <v>100.7231982</v>
      </c>
      <c r="J54" s="25">
        <f>VLOOKUP($D54,Résultats!$B$2:$AZ$212,J$2,FALSE)</f>
        <v>127.9956914</v>
      </c>
      <c r="K54" s="25">
        <f>VLOOKUP($D54,Résultats!$B$2:$AZ$212,K$2,FALSE)</f>
        <v>162.04118199999999</v>
      </c>
      <c r="L54" s="25">
        <f>VLOOKUP($D54,Résultats!$B$2:$AZ$212,L$2,FALSE)</f>
        <v>201.47105329999999</v>
      </c>
      <c r="M54" s="25">
        <f>VLOOKUP($D54,Résultats!$B$2:$AZ$212,M$2,FALSE)</f>
        <v>252.0381371</v>
      </c>
      <c r="N54" s="25">
        <f>VLOOKUP($D54,Résultats!$B$2:$AZ$212,N$2,FALSE)</f>
        <v>287.11705519999998</v>
      </c>
      <c r="O54" s="25">
        <f>VLOOKUP($D54,Résultats!$B$2:$AZ$212,O$2,FALSE)</f>
        <v>350.07612230000001</v>
      </c>
      <c r="P54" s="25">
        <f>VLOOKUP($D54,Résultats!$B$2:$AZ$212,P$2,FALSE)</f>
        <v>431.89748539999999</v>
      </c>
      <c r="Q54" s="25">
        <f>VLOOKUP($D54,Résultats!$B$2:$AZ$212,Q$2,FALSE)</f>
        <v>528.5656682</v>
      </c>
      <c r="R54" s="25">
        <f>VLOOKUP($D54,Résultats!$B$2:$AZ$212,R$2,FALSE)</f>
        <v>637.83380279999994</v>
      </c>
      <c r="S54" s="25">
        <f>VLOOKUP($D54,Résultats!$B$2:$AZ$212,S$2,FALSE)</f>
        <v>722.17150809999998</v>
      </c>
      <c r="T54" s="25">
        <f>VLOOKUP($D54,Résultats!$B$2:$AZ$212,T$2,FALSE)</f>
        <v>840.88049560000002</v>
      </c>
      <c r="U54" s="25">
        <f>VLOOKUP($D54,Résultats!$B$2:$AZ$212,U$2,FALSE)</f>
        <v>970.85628940000004</v>
      </c>
      <c r="V54" s="25">
        <f>VLOOKUP($D54,Résultats!$B$2:$AZ$212,V$2,FALSE)</f>
        <v>1109.0474899999999</v>
      </c>
      <c r="W54" s="25">
        <f>VLOOKUP($D54,Résultats!$B$2:$AZ$212,W$2,FALSE)</f>
        <v>1253.1882370000001</v>
      </c>
      <c r="X54" s="25">
        <f>VLOOKUP($D54,Résultats!$B$2:$AZ$212,X$2,FALSE)</f>
        <v>1364.17795</v>
      </c>
      <c r="Y54" s="25">
        <f>VLOOKUP($D54,Résultats!$B$2:$AZ$212,Y$2,FALSE)</f>
        <v>1500.2970789999999</v>
      </c>
      <c r="Z54" s="25">
        <f>VLOOKUP($D54,Résultats!$B$2:$AZ$212,Z$2,FALSE)</f>
        <v>1648.0841720000001</v>
      </c>
      <c r="AA54" s="25">
        <f>VLOOKUP($D54,Résultats!$B$2:$AZ$212,AA$2,FALSE)</f>
        <v>1800.071232</v>
      </c>
      <c r="AB54" s="25">
        <f>VLOOKUP($D54,Résultats!$B$2:$AZ$212,AB$2,FALSE)</f>
        <v>1953.2804060000001</v>
      </c>
      <c r="AC54" s="25">
        <f>VLOOKUP($D54,Résultats!$B$2:$AZ$212,AC$2,FALSE)</f>
        <v>2106.1954070000002</v>
      </c>
      <c r="AD54" s="25">
        <f>VLOOKUP($D54,Résultats!$B$2:$AZ$212,AD$2,FALSE)</f>
        <v>2246.456111</v>
      </c>
      <c r="AE54" s="25">
        <f>VLOOKUP($D54,Résultats!$B$2:$AZ$212,AE$2,FALSE)</f>
        <v>2379.0529230000002</v>
      </c>
      <c r="AF54" s="25">
        <f>VLOOKUP($D54,Résultats!$B$2:$AZ$212,AF$2,FALSE)</f>
        <v>2506.0517159999999</v>
      </c>
      <c r="AG54" s="25">
        <f>VLOOKUP($D54,Résultats!$B$2:$AZ$212,AG$2,FALSE)</f>
        <v>2627.9151029999998</v>
      </c>
      <c r="AH54" s="25">
        <f>VLOOKUP($D54,Résultats!$B$2:$AZ$212,AH$2,FALSE)</f>
        <v>2712.2109019999998</v>
      </c>
      <c r="AI54" s="25">
        <f>VLOOKUP($D54,Résultats!$B$2:$AZ$212,AI$2,FALSE)</f>
        <v>2805.7441039999999</v>
      </c>
      <c r="AJ54" s="25">
        <f>VLOOKUP($D54,Résultats!$B$2:$AZ$212,AJ$2,FALSE)</f>
        <v>2899.9684390000002</v>
      </c>
      <c r="AK54" s="25">
        <f>VLOOKUP($D54,Résultats!$B$2:$AZ$212,AK$2,FALSE)</f>
        <v>2991.0178350000001</v>
      </c>
      <c r="AL54" s="25">
        <f>VLOOKUP($D54,Résultats!$B$2:$AZ$212,AL$2,FALSE)</f>
        <v>3077.4000110000002</v>
      </c>
      <c r="AM54" s="102">
        <f>VLOOKUP($D54,Résultats!$B$2:$AZ$212,AM$2,FALSE)</f>
        <v>3158.562285</v>
      </c>
    </row>
    <row r="55" spans="2:40" x14ac:dyDescent="0.25">
      <c r="B55" s="229"/>
      <c r="C55" s="217" t="s">
        <v>32</v>
      </c>
      <c r="D55" s="54" t="s">
        <v>143</v>
      </c>
      <c r="E55" s="25">
        <f>VLOOKUP($D55,Résultats!$B$2:$AZ$212,E$2,FALSE)</f>
        <v>8.5085212099999998E-3</v>
      </c>
      <c r="F55" s="25">
        <f>VLOOKUP($D55,Résultats!$B$2:$AZ$212,F$2,FALSE)</f>
        <v>0.10499578010000001</v>
      </c>
      <c r="G55" s="25">
        <f>VLOOKUP($D55,Résultats!$B$2:$AZ$212,G$2,FALSE)</f>
        <v>0.26335323849999998</v>
      </c>
      <c r="H55" s="25">
        <f>VLOOKUP($D55,Résultats!$B$2:$AZ$212,H$2,FALSE)</f>
        <v>0.33586451589999999</v>
      </c>
      <c r="I55" s="25">
        <f>VLOOKUP($D55,Résultats!$B$2:$AZ$212,I$2,FALSE)</f>
        <v>0.42643140000000002</v>
      </c>
      <c r="J55" s="25">
        <f>VLOOKUP($D55,Résultats!$B$2:$AZ$212,J$2,FALSE)</f>
        <v>0.53271902270000004</v>
      </c>
      <c r="K55" s="25">
        <f>VLOOKUP($D55,Résultats!$B$2:$AZ$212,K$2,FALSE)</f>
        <v>0.67008643229999998</v>
      </c>
      <c r="L55" s="25">
        <f>VLOOKUP($D55,Résultats!$B$2:$AZ$212,L$2,FALSE)</f>
        <v>0.83330752990000001</v>
      </c>
      <c r="M55" s="25">
        <f>VLOOKUP($D55,Résultats!$B$2:$AZ$212,M$2,FALSE)</f>
        <v>1.044064093</v>
      </c>
      <c r="N55" s="25">
        <f>VLOOKUP($D55,Résultats!$B$2:$AZ$212,N$2,FALSE)</f>
        <v>1.1933733129999999</v>
      </c>
      <c r="O55" s="25">
        <f>VLOOKUP($D55,Résultats!$B$2:$AZ$212,O$2,FALSE)</f>
        <v>1.4596392629999999</v>
      </c>
      <c r="P55" s="25">
        <f>VLOOKUP($D55,Résultats!$B$2:$AZ$212,P$2,FALSE)</f>
        <v>1.807400613</v>
      </c>
      <c r="Q55" s="25">
        <f>VLOOKUP($D55,Résultats!$B$2:$AZ$212,Q$2,FALSE)</f>
        <v>2.2212530250000002</v>
      </c>
      <c r="R55" s="25">
        <f>VLOOKUP($D55,Résultats!$B$2:$AZ$212,R$2,FALSE)</f>
        <v>2.6927775500000002</v>
      </c>
      <c r="S55" s="25">
        <f>VLOOKUP($D55,Résultats!$B$2:$AZ$212,S$2,FALSE)</f>
        <v>3.0635929769999999</v>
      </c>
      <c r="T55" s="25">
        <f>VLOOKUP($D55,Résultats!$B$2:$AZ$212,T$2,FALSE)</f>
        <v>3.5848171469999999</v>
      </c>
      <c r="U55" s="25">
        <f>VLOOKUP($D55,Résultats!$B$2:$AZ$212,U$2,FALSE)</f>
        <v>4.1603056479999996</v>
      </c>
      <c r="V55" s="25">
        <f>VLOOKUP($D55,Résultats!$B$2:$AZ$212,V$2,FALSE)</f>
        <v>4.7776761739999998</v>
      </c>
      <c r="W55" s="25">
        <f>VLOOKUP($D55,Résultats!$B$2:$AZ$212,W$2,FALSE)</f>
        <v>5.428032902</v>
      </c>
      <c r="X55" s="25">
        <f>VLOOKUP($D55,Résultats!$B$2:$AZ$212,X$2,FALSE)</f>
        <v>5.9401933480000002</v>
      </c>
      <c r="Y55" s="25">
        <f>VLOOKUP($D55,Résultats!$B$2:$AZ$212,Y$2,FALSE)</f>
        <v>6.5691778129999996</v>
      </c>
      <c r="Z55" s="25">
        <f>VLOOKUP($D55,Résultats!$B$2:$AZ$212,Z$2,FALSE)</f>
        <v>7.2580628550000004</v>
      </c>
      <c r="AA55" s="25">
        <f>VLOOKUP($D55,Résultats!$B$2:$AZ$212,AA$2,FALSE)</f>
        <v>7.9748134679999998</v>
      </c>
      <c r="AB55" s="25">
        <f>VLOOKUP($D55,Résultats!$B$2:$AZ$212,AB$2,FALSE)</f>
        <v>8.7066036340000004</v>
      </c>
      <c r="AC55" s="25">
        <f>VLOOKUP($D55,Résultats!$B$2:$AZ$212,AC$2,FALSE)</f>
        <v>9.4468555940000005</v>
      </c>
      <c r="AD55" s="25">
        <f>VLOOKUP($D55,Résultats!$B$2:$AZ$212,AD$2,FALSE)</f>
        <v>10.141371360000001</v>
      </c>
      <c r="AE55" s="25">
        <f>VLOOKUP($D55,Résultats!$B$2:$AZ$212,AE$2,FALSE)</f>
        <v>10.81235948</v>
      </c>
      <c r="AF55" s="25">
        <f>VLOOKUP($D55,Résultats!$B$2:$AZ$212,AF$2,FALSE)</f>
        <v>11.469192380000001</v>
      </c>
      <c r="AG55" s="25">
        <f>VLOOKUP($D55,Résultats!$B$2:$AZ$212,AG$2,FALSE)</f>
        <v>12.1138976</v>
      </c>
      <c r="AH55" s="25">
        <f>VLOOKUP($D55,Résultats!$B$2:$AZ$212,AH$2,FALSE)</f>
        <v>12.589863279999999</v>
      </c>
      <c r="AI55" s="25">
        <f>VLOOKUP($D55,Résultats!$B$2:$AZ$212,AI$2,FALSE)</f>
        <v>13.12028089</v>
      </c>
      <c r="AJ55" s="25">
        <f>VLOOKUP($D55,Résultats!$B$2:$AZ$212,AJ$2,FALSE)</f>
        <v>13.665274889999999</v>
      </c>
      <c r="AK55" s="25">
        <f>VLOOKUP($D55,Résultats!$B$2:$AZ$212,AK$2,FALSE)</f>
        <v>14.206138169999999</v>
      </c>
      <c r="AL55" s="25">
        <f>VLOOKUP($D55,Résultats!$B$2:$AZ$212,AL$2,FALSE)</f>
        <v>14.735086340000001</v>
      </c>
      <c r="AM55" s="102">
        <f>VLOOKUP($D55,Résultats!$B$2:$AZ$212,AM$2,FALSE)</f>
        <v>15.24877721</v>
      </c>
    </row>
    <row r="56" spans="2:40" x14ac:dyDescent="0.25">
      <c r="B56" s="229"/>
      <c r="C56" s="217" t="s">
        <v>33</v>
      </c>
      <c r="D56" s="54" t="s">
        <v>144</v>
      </c>
      <c r="E56" s="25">
        <f>VLOOKUP($D56,Résultats!$B$2:$AZ$212,E$2,FALSE)</f>
        <v>0.1045332606</v>
      </c>
      <c r="F56" s="25">
        <f>VLOOKUP($D56,Résultats!$B$2:$AZ$212,F$2,FALSE)</f>
        <v>3.763661924</v>
      </c>
      <c r="G56" s="25">
        <f>VLOOKUP($D56,Résultats!$B$2:$AZ$212,G$2,FALSE)</f>
        <v>9.1093765839999996</v>
      </c>
      <c r="H56" s="25">
        <f>VLOOKUP($D56,Résultats!$B$2:$AZ$212,H$2,FALSE)</f>
        <v>12.06922782</v>
      </c>
      <c r="I56" s="25">
        <f>VLOOKUP($D56,Résultats!$B$2:$AZ$212,I$2,FALSE)</f>
        <v>15.59957827</v>
      </c>
      <c r="J56" s="25">
        <f>VLOOKUP($D56,Résultats!$B$2:$AZ$212,J$2,FALSE)</f>
        <v>19.53532835</v>
      </c>
      <c r="K56" s="25">
        <f>VLOOKUP($D56,Résultats!$B$2:$AZ$212,K$2,FALSE)</f>
        <v>23.593428509999999</v>
      </c>
      <c r="L56" s="25">
        <f>VLOOKUP($D56,Résultats!$B$2:$AZ$212,L$2,FALSE)</f>
        <v>27.701226340000002</v>
      </c>
      <c r="M56" s="25">
        <f>VLOOKUP($D56,Résultats!$B$2:$AZ$212,M$2,FALSE)</f>
        <v>32.879676940000003</v>
      </c>
      <c r="N56" s="25">
        <f>VLOOKUP($D56,Résultats!$B$2:$AZ$212,N$2,FALSE)</f>
        <v>36.010563759999997</v>
      </c>
      <c r="O56" s="25">
        <f>VLOOKUP($D56,Résultats!$B$2:$AZ$212,O$2,FALSE)</f>
        <v>42.07849659</v>
      </c>
      <c r="P56" s="25">
        <f>VLOOKUP($D56,Résultats!$B$2:$AZ$212,P$2,FALSE)</f>
        <v>49.862611800000003</v>
      </c>
      <c r="Q56" s="25">
        <f>VLOOKUP($D56,Résultats!$B$2:$AZ$212,Q$2,FALSE)</f>
        <v>58.794042609999998</v>
      </c>
      <c r="R56" s="25">
        <f>VLOOKUP($D56,Résultats!$B$2:$AZ$212,R$2,FALSE)</f>
        <v>68.553594200000006</v>
      </c>
      <c r="S56" s="25">
        <f>VLOOKUP($D56,Résultats!$B$2:$AZ$212,S$2,FALSE)</f>
        <v>75.390325070000003</v>
      </c>
      <c r="T56" s="25">
        <f>VLOOKUP($D56,Résultats!$B$2:$AZ$212,T$2,FALSE)</f>
        <v>85.209026899999998</v>
      </c>
      <c r="U56" s="25">
        <f>VLOOKUP($D56,Résultats!$B$2:$AZ$212,U$2,FALSE)</f>
        <v>95.597423730000003</v>
      </c>
      <c r="V56" s="25">
        <f>VLOOKUP($D56,Résultats!$B$2:$AZ$212,V$2,FALSE)</f>
        <v>106.2435261</v>
      </c>
      <c r="W56" s="25">
        <f>VLOOKUP($D56,Résultats!$B$2:$AZ$212,W$2,FALSE)</f>
        <v>116.90923189999999</v>
      </c>
      <c r="X56" s="25">
        <f>VLOOKUP($D56,Résultats!$B$2:$AZ$212,X$2,FALSE)</f>
        <v>124.2970894</v>
      </c>
      <c r="Y56" s="25">
        <f>VLOOKUP($D56,Résultats!$B$2:$AZ$212,Y$2,FALSE)</f>
        <v>133.42081569999999</v>
      </c>
      <c r="Z56" s="25">
        <f>VLOOKUP($D56,Résultats!$B$2:$AZ$212,Z$2,FALSE)</f>
        <v>143.04038109999999</v>
      </c>
      <c r="AA56" s="25">
        <f>VLOOKUP($D56,Résultats!$B$2:$AZ$212,AA$2,FALSE)</f>
        <v>152.52870129999999</v>
      </c>
      <c r="AB56" s="25">
        <f>VLOOKUP($D56,Résultats!$B$2:$AZ$212,AB$2,FALSE)</f>
        <v>161.67130209999999</v>
      </c>
      <c r="AC56" s="25">
        <f>VLOOKUP($D56,Résultats!$B$2:$AZ$212,AC$2,FALSE)</f>
        <v>170.38587799999999</v>
      </c>
      <c r="AD56" s="25">
        <f>VLOOKUP($D56,Résultats!$B$2:$AZ$212,AD$2,FALSE)</f>
        <v>177.73289560000001</v>
      </c>
      <c r="AE56" s="25">
        <f>VLOOKUP($D56,Résultats!$B$2:$AZ$212,AE$2,FALSE)</f>
        <v>184.16462580000001</v>
      </c>
      <c r="AF56" s="25">
        <f>VLOOKUP($D56,Résultats!$B$2:$AZ$212,AF$2,FALSE)</f>
        <v>189.89142989999999</v>
      </c>
      <c r="AG56" s="25">
        <f>VLOOKUP($D56,Résultats!$B$2:$AZ$212,AG$2,FALSE)</f>
        <v>195.00465639999999</v>
      </c>
      <c r="AH56" s="25">
        <f>VLOOKUP($D56,Résultats!$B$2:$AZ$212,AH$2,FALSE)</f>
        <v>197.5474069</v>
      </c>
      <c r="AI56" s="25">
        <f>VLOOKUP($D56,Résultats!$B$2:$AZ$212,AI$2,FALSE)</f>
        <v>200.5346519</v>
      </c>
      <c r="AJ56" s="25">
        <f>VLOOKUP($D56,Résultats!$B$2:$AZ$212,AJ$2,FALSE)</f>
        <v>203.4448573</v>
      </c>
      <c r="AK56" s="25">
        <f>VLOOKUP($D56,Résultats!$B$2:$AZ$212,AK$2,FALSE)</f>
        <v>206.07991079999999</v>
      </c>
      <c r="AL56" s="25">
        <f>VLOOKUP($D56,Résultats!$B$2:$AZ$212,AL$2,FALSE)</f>
        <v>208.39441819999999</v>
      </c>
      <c r="AM56" s="102">
        <f>VLOOKUP($D56,Résultats!$B$2:$AZ$212,AM$2,FALSE)</f>
        <v>210.3968127</v>
      </c>
    </row>
    <row r="57" spans="2:40" x14ac:dyDescent="0.25">
      <c r="B57" s="229"/>
      <c r="C57" s="222" t="s">
        <v>46</v>
      </c>
      <c r="D57" s="52" t="s">
        <v>146</v>
      </c>
      <c r="E57" s="61">
        <f>VLOOKUP($D57,Résultats!$B$2:$AZ$212,E$2,FALSE)</f>
        <v>31999.388770000001</v>
      </c>
      <c r="F57" s="61">
        <f>VLOOKUP($D57,Résultats!$B$2:$AZ$212,F$2,FALSE)</f>
        <v>35815.306380000002</v>
      </c>
      <c r="G57" s="61">
        <f>VLOOKUP($D57,Résultats!$B$2:$AZ$212,G$2,FALSE)</f>
        <v>36481.074619999999</v>
      </c>
      <c r="H57" s="61">
        <f>VLOOKUP($D57,Résultats!$B$2:$AZ$212,H$2,FALSE)</f>
        <v>36811.51801</v>
      </c>
      <c r="I57" s="61">
        <f>VLOOKUP($D57,Résultats!$B$2:$AZ$212,I$2,FALSE)</f>
        <v>37073.076130000001</v>
      </c>
      <c r="J57" s="61">
        <f>VLOOKUP($D57,Résultats!$B$2:$AZ$212,J$2,FALSE)</f>
        <v>37177.603139999999</v>
      </c>
      <c r="K57" s="61">
        <f>VLOOKUP($D57,Résultats!$B$2:$AZ$212,K$2,FALSE)</f>
        <v>37144.06482</v>
      </c>
      <c r="L57" s="61">
        <f>VLOOKUP($D57,Résultats!$B$2:$AZ$212,L$2,FALSE)</f>
        <v>36922.859830000001</v>
      </c>
      <c r="M57" s="61">
        <f>VLOOKUP($D57,Résultats!$B$2:$AZ$212,M$2,FALSE)</f>
        <v>36763.190060000001</v>
      </c>
      <c r="N57" s="61">
        <f>VLOOKUP($D57,Résultats!$B$2:$AZ$212,N$2,FALSE)</f>
        <v>35919.488270000002</v>
      </c>
      <c r="O57" s="61">
        <f>VLOOKUP($D57,Résultats!$B$2:$AZ$212,O$2,FALSE)</f>
        <v>35518.478739999999</v>
      </c>
      <c r="P57" s="61">
        <f>VLOOKUP($D57,Résultats!$B$2:$AZ$212,P$2,FALSE)</f>
        <v>35245.142650000002</v>
      </c>
      <c r="Q57" s="61">
        <f>VLOOKUP($D57,Résultats!$B$2:$AZ$212,Q$2,FALSE)</f>
        <v>34986.735670000002</v>
      </c>
      <c r="R57" s="61">
        <f>VLOOKUP($D57,Résultats!$B$2:$AZ$212,R$2,FALSE)</f>
        <v>34700.640359999998</v>
      </c>
      <c r="S57" s="61">
        <f>VLOOKUP($D57,Résultats!$B$2:$AZ$212,S$2,FALSE)</f>
        <v>33990.474649999996</v>
      </c>
      <c r="T57" s="61">
        <f>VLOOKUP($D57,Résultats!$B$2:$AZ$212,T$2,FALSE)</f>
        <v>33514.519220000002</v>
      </c>
      <c r="U57" s="61">
        <f>VLOOKUP($D57,Résultats!$B$2:$AZ$212,U$2,FALSE)</f>
        <v>33036.779459999998</v>
      </c>
      <c r="V57" s="61">
        <f>VLOOKUP($D57,Résultats!$B$2:$AZ$212,V$2,FALSE)</f>
        <v>32541.537039999999</v>
      </c>
      <c r="W57" s="61">
        <f>VLOOKUP($D57,Résultats!$B$2:$AZ$212,W$2,FALSE)</f>
        <v>32025.148369999999</v>
      </c>
      <c r="X57" s="61">
        <f>VLOOKUP($D57,Résultats!$B$2:$AZ$212,X$2,FALSE)</f>
        <v>31267.390329999998</v>
      </c>
      <c r="Y57" s="61">
        <f>VLOOKUP($D57,Résultats!$B$2:$AZ$212,Y$2,FALSE)</f>
        <v>30632.674350000001</v>
      </c>
      <c r="Z57" s="61">
        <f>VLOOKUP($D57,Résultats!$B$2:$AZ$212,Z$2,FALSE)</f>
        <v>30043.888279999999</v>
      </c>
      <c r="AA57" s="61">
        <f>VLOOKUP($D57,Résultats!$B$2:$AZ$212,AA$2,FALSE)</f>
        <v>29467.258829999999</v>
      </c>
      <c r="AB57" s="61">
        <f>VLOOKUP($D57,Résultats!$B$2:$AZ$212,AB$2,FALSE)</f>
        <v>28894.648300000001</v>
      </c>
      <c r="AC57" s="61">
        <f>VLOOKUP($D57,Résultats!$B$2:$AZ$212,AC$2,FALSE)</f>
        <v>28325.03039</v>
      </c>
      <c r="AD57" s="61">
        <f>VLOOKUP($D57,Résultats!$B$2:$AZ$212,AD$2,FALSE)</f>
        <v>27710.376509999998</v>
      </c>
      <c r="AE57" s="61">
        <f>VLOOKUP($D57,Résultats!$B$2:$AZ$212,AE$2,FALSE)</f>
        <v>27078.057799999999</v>
      </c>
      <c r="AF57" s="61">
        <f>VLOOKUP($D57,Résultats!$B$2:$AZ$212,AF$2,FALSE)</f>
        <v>26441.20853</v>
      </c>
      <c r="AG57" s="61">
        <f>VLOOKUP($D57,Résultats!$B$2:$AZ$212,AG$2,FALSE)</f>
        <v>25805.525949999999</v>
      </c>
      <c r="AH57" s="61">
        <f>VLOOKUP($D57,Résultats!$B$2:$AZ$212,AH$2,FALSE)</f>
        <v>25067.706539999999</v>
      </c>
      <c r="AI57" s="61">
        <f>VLOOKUP($D57,Résultats!$B$2:$AZ$212,AI$2,FALSE)</f>
        <v>24385.314109999999</v>
      </c>
      <c r="AJ57" s="61">
        <f>VLOOKUP($D57,Résultats!$B$2:$AZ$212,AJ$2,FALSE)</f>
        <v>23731.703310000001</v>
      </c>
      <c r="AK57" s="61">
        <f>VLOOKUP($D57,Résultats!$B$2:$AZ$212,AK$2,FALSE)</f>
        <v>23095.882180000001</v>
      </c>
      <c r="AL57" s="61">
        <f>VLOOKUP($D57,Résultats!$B$2:$AZ$212,AL$2,FALSE)</f>
        <v>22474.21457</v>
      </c>
      <c r="AM57" s="224">
        <f>VLOOKUP($D57,Résultats!$B$2:$AZ$212,AM$2,FALSE)</f>
        <v>21865.76281</v>
      </c>
      <c r="AN57" s="211"/>
    </row>
    <row r="58" spans="2:40" x14ac:dyDescent="0.25">
      <c r="B58" s="229"/>
      <c r="C58" s="217" t="s">
        <v>27</v>
      </c>
      <c r="D58" s="54" t="s">
        <v>131</v>
      </c>
      <c r="E58" s="65">
        <f>VLOOKUP($D58,Résultats!$B$2:$AZ$212,E$2,FALSE)</f>
        <v>18.581072330000001</v>
      </c>
      <c r="F58" s="65">
        <f>VLOOKUP($D58,Résultats!$B$2:$AZ$212,F$2,FALSE)</f>
        <v>300.2759977</v>
      </c>
      <c r="G58" s="65">
        <f>VLOOKUP($D58,Résultats!$B$2:$AZ$212,G$2,FALSE)</f>
        <v>353.54158339999998</v>
      </c>
      <c r="H58" s="65">
        <f>VLOOKUP($D58,Résultats!$B$2:$AZ$212,H$2,FALSE)</f>
        <v>384.78688319999998</v>
      </c>
      <c r="I58" s="65">
        <f>VLOOKUP($D58,Résultats!$B$2:$AZ$212,I$2,FALSE)</f>
        <v>438.05368679999998</v>
      </c>
      <c r="J58" s="65">
        <f>VLOOKUP($D58,Résultats!$B$2:$AZ$212,J$2,FALSE)</f>
        <v>481.46721650000001</v>
      </c>
      <c r="K58" s="65">
        <f>VLOOKUP($D58,Résultats!$B$2:$AZ$212,K$2,FALSE)</f>
        <v>554.32449929999996</v>
      </c>
      <c r="L58" s="65">
        <f>VLOOKUP($D58,Résultats!$B$2:$AZ$212,L$2,FALSE)</f>
        <v>634.93540399999995</v>
      </c>
      <c r="M58" s="65">
        <f>VLOOKUP($D58,Résultats!$B$2:$AZ$212,M$2,FALSE)</f>
        <v>720.0083879</v>
      </c>
      <c r="N58" s="65">
        <f>VLOOKUP($D58,Résultats!$B$2:$AZ$212,N$2,FALSE)</f>
        <v>765.87268759999995</v>
      </c>
      <c r="O58" s="65">
        <f>VLOOKUP($D58,Résultats!$B$2:$AZ$212,O$2,FALSE)</f>
        <v>834.0837315</v>
      </c>
      <c r="P58" s="65">
        <f>VLOOKUP($D58,Résultats!$B$2:$AZ$212,P$2,FALSE)</f>
        <v>909.42167689999997</v>
      </c>
      <c r="Q58" s="65">
        <f>VLOOKUP($D58,Résultats!$B$2:$AZ$212,Q$2,FALSE)</f>
        <v>986.44111210000005</v>
      </c>
      <c r="R58" s="65">
        <f>VLOOKUP($D58,Résultats!$B$2:$AZ$212,R$2,FALSE)</f>
        <v>1062.57629</v>
      </c>
      <c r="S58" s="65">
        <f>VLOOKUP($D58,Résultats!$B$2:$AZ$212,S$2,FALSE)</f>
        <v>1108.3423210000001</v>
      </c>
      <c r="T58" s="65">
        <f>VLOOKUP($D58,Résultats!$B$2:$AZ$212,T$2,FALSE)</f>
        <v>1169.7131300000001</v>
      </c>
      <c r="U58" s="65">
        <f>VLOOKUP($D58,Résultats!$B$2:$AZ$212,U$2,FALSE)</f>
        <v>1230.523463</v>
      </c>
      <c r="V58" s="65">
        <f>VLOOKUP($D58,Résultats!$B$2:$AZ$212,V$2,FALSE)</f>
        <v>1289.67806</v>
      </c>
      <c r="W58" s="65">
        <f>VLOOKUP($D58,Résultats!$B$2:$AZ$212,W$2,FALSE)</f>
        <v>1346.073322</v>
      </c>
      <c r="X58" s="65">
        <f>VLOOKUP($D58,Résultats!$B$2:$AZ$212,X$2,FALSE)</f>
        <v>1380.49584</v>
      </c>
      <c r="Y58" s="65">
        <f>VLOOKUP($D58,Résultats!$B$2:$AZ$212,Y$2,FALSE)</f>
        <v>1424.4186010000001</v>
      </c>
      <c r="Z58" s="65">
        <f>VLOOKUP($D58,Résultats!$B$2:$AZ$212,Z$2,FALSE)</f>
        <v>1471.0840780000001</v>
      </c>
      <c r="AA58" s="65">
        <f>VLOOKUP($D58,Résultats!$B$2:$AZ$212,AA$2,FALSE)</f>
        <v>1517.80412</v>
      </c>
      <c r="AB58" s="65">
        <f>VLOOKUP($D58,Résultats!$B$2:$AZ$212,AB$2,FALSE)</f>
        <v>1563.5987660000001</v>
      </c>
      <c r="AC58" s="65">
        <f>VLOOKUP($D58,Résultats!$B$2:$AZ$212,AC$2,FALSE)</f>
        <v>1608.0717979999999</v>
      </c>
      <c r="AD58" s="65">
        <f>VLOOKUP($D58,Résultats!$B$2:$AZ$212,AD$2,FALSE)</f>
        <v>1647.2372660000001</v>
      </c>
      <c r="AE58" s="65">
        <f>VLOOKUP($D58,Résultats!$B$2:$AZ$212,AE$2,FALSE)</f>
        <v>1683.7346250000001</v>
      </c>
      <c r="AF58" s="65">
        <f>VLOOKUP($D58,Résultats!$B$2:$AZ$212,AF$2,FALSE)</f>
        <v>1718.731826</v>
      </c>
      <c r="AG58" s="65">
        <f>VLOOKUP($D58,Résultats!$B$2:$AZ$212,AG$2,FALSE)</f>
        <v>1752.8061889999999</v>
      </c>
      <c r="AH58" s="65">
        <f>VLOOKUP($D58,Résultats!$B$2:$AZ$212,AH$2,FALSE)</f>
        <v>1771.2920549999999</v>
      </c>
      <c r="AI58" s="65">
        <f>VLOOKUP($D58,Résultats!$B$2:$AZ$212,AI$2,FALSE)</f>
        <v>1795.6527619999999</v>
      </c>
      <c r="AJ58" s="65">
        <f>VLOOKUP($D58,Résultats!$B$2:$AZ$212,AJ$2,FALSE)</f>
        <v>1822.4738199999999</v>
      </c>
      <c r="AK58" s="65">
        <f>VLOOKUP($D58,Résultats!$B$2:$AZ$212,AK$2,FALSE)</f>
        <v>1850.282614</v>
      </c>
      <c r="AL58" s="65">
        <f>VLOOKUP($D58,Résultats!$B$2:$AZ$212,AL$2,FALSE)</f>
        <v>1878.396677</v>
      </c>
      <c r="AM58" s="225">
        <f>VLOOKUP($D58,Résultats!$B$2:$AZ$212,AM$2,FALSE)</f>
        <v>1906.4864259999999</v>
      </c>
    </row>
    <row r="59" spans="2:40" x14ac:dyDescent="0.25">
      <c r="B59" s="229"/>
      <c r="C59" s="217" t="s">
        <v>28</v>
      </c>
      <c r="D59" s="54" t="s">
        <v>132</v>
      </c>
      <c r="E59" s="65">
        <f>VLOOKUP($D59,Résultats!$B$2:$AZ$212,E$2,FALSE)</f>
        <v>1622.772802</v>
      </c>
      <c r="F59" s="65">
        <f>VLOOKUP($D59,Résultats!$B$2:$AZ$212,F$2,FALSE)</f>
        <v>4076.1899840000001</v>
      </c>
      <c r="G59" s="65">
        <f>VLOOKUP($D59,Résultats!$B$2:$AZ$212,G$2,FALSE)</f>
        <v>4603.8129730000001</v>
      </c>
      <c r="H59" s="65">
        <f>VLOOKUP($D59,Résultats!$B$2:$AZ$212,H$2,FALSE)</f>
        <v>4787.8233339999997</v>
      </c>
      <c r="I59" s="65">
        <f>VLOOKUP($D59,Résultats!$B$2:$AZ$212,I$2,FALSE)</f>
        <v>4968.4523120000003</v>
      </c>
      <c r="J59" s="65">
        <f>VLOOKUP($D59,Résultats!$B$2:$AZ$212,J$2,FALSE)</f>
        <v>5106.4470300000003</v>
      </c>
      <c r="K59" s="65">
        <f>VLOOKUP($D59,Résultats!$B$2:$AZ$212,K$2,FALSE)</f>
        <v>5242.1835080000001</v>
      </c>
      <c r="L59" s="65">
        <f>VLOOKUP($D59,Résultats!$B$2:$AZ$212,L$2,FALSE)</f>
        <v>5346.3594819999998</v>
      </c>
      <c r="M59" s="65">
        <f>VLOOKUP($D59,Résultats!$B$2:$AZ$212,M$2,FALSE)</f>
        <v>5456.9783109999998</v>
      </c>
      <c r="N59" s="65">
        <f>VLOOKUP($D59,Résultats!$B$2:$AZ$212,N$2,FALSE)</f>
        <v>5417.7033600000004</v>
      </c>
      <c r="O59" s="65">
        <f>VLOOKUP($D59,Résultats!$B$2:$AZ$212,O$2,FALSE)</f>
        <v>5464.0381690000004</v>
      </c>
      <c r="P59" s="65">
        <f>VLOOKUP($D59,Résultats!$B$2:$AZ$212,P$2,FALSE)</f>
        <v>5530.9282890000004</v>
      </c>
      <c r="Q59" s="65">
        <f>VLOOKUP($D59,Résultats!$B$2:$AZ$212,Q$2,FALSE)</f>
        <v>5595.4318590000003</v>
      </c>
      <c r="R59" s="65">
        <f>VLOOKUP($D59,Résultats!$B$2:$AZ$212,R$2,FALSE)</f>
        <v>5648.8444870000003</v>
      </c>
      <c r="S59" s="65">
        <f>VLOOKUP($D59,Résultats!$B$2:$AZ$212,S$2,FALSE)</f>
        <v>5606.2132069999998</v>
      </c>
      <c r="T59" s="65">
        <f>VLOOKUP($D59,Résultats!$B$2:$AZ$212,T$2,FALSE)</f>
        <v>5608.2492469999997</v>
      </c>
      <c r="U59" s="65">
        <f>VLOOKUP($D59,Résultats!$B$2:$AZ$212,U$2,FALSE)</f>
        <v>5604.8050489999996</v>
      </c>
      <c r="V59" s="65">
        <f>VLOOKUP($D59,Résultats!$B$2:$AZ$212,V$2,FALSE)</f>
        <v>5592.817736</v>
      </c>
      <c r="W59" s="65">
        <f>VLOOKUP($D59,Résultats!$B$2:$AZ$212,W$2,FALSE)</f>
        <v>5571.4405239999996</v>
      </c>
      <c r="X59" s="65">
        <f>VLOOKUP($D59,Résultats!$B$2:$AZ$212,X$2,FALSE)</f>
        <v>5492.9812190000002</v>
      </c>
      <c r="Y59" s="65">
        <f>VLOOKUP($D59,Résultats!$B$2:$AZ$212,Y$2,FALSE)</f>
        <v>5436.9704869999996</v>
      </c>
      <c r="Z59" s="65">
        <f>VLOOKUP($D59,Résultats!$B$2:$AZ$212,Z$2,FALSE)</f>
        <v>5386.8609839999999</v>
      </c>
      <c r="AA59" s="65">
        <f>VLOOKUP($D59,Résultats!$B$2:$AZ$212,AA$2,FALSE)</f>
        <v>5335.607223</v>
      </c>
      <c r="AB59" s="65">
        <f>VLOOKUP($D59,Résultats!$B$2:$AZ$212,AB$2,FALSE)</f>
        <v>5281.5503399999998</v>
      </c>
      <c r="AC59" s="65">
        <f>VLOOKUP($D59,Résultats!$B$2:$AZ$212,AC$2,FALSE)</f>
        <v>5224.5581730000004</v>
      </c>
      <c r="AD59" s="65">
        <f>VLOOKUP($D59,Résultats!$B$2:$AZ$212,AD$2,FALSE)</f>
        <v>5154.5513000000001</v>
      </c>
      <c r="AE59" s="65">
        <f>VLOOKUP($D59,Résultats!$B$2:$AZ$212,AE$2,FALSE)</f>
        <v>5077.6232749999999</v>
      </c>
      <c r="AF59" s="65">
        <f>VLOOKUP($D59,Résultats!$B$2:$AZ$212,AF$2,FALSE)</f>
        <v>4996.710795</v>
      </c>
      <c r="AG59" s="65">
        <f>VLOOKUP($D59,Résultats!$B$2:$AZ$212,AG$2,FALSE)</f>
        <v>4913.1574280000004</v>
      </c>
      <c r="AH59" s="65">
        <f>VLOOKUP($D59,Résultats!$B$2:$AZ$212,AH$2,FALSE)</f>
        <v>4803.7069549999997</v>
      </c>
      <c r="AI59" s="65">
        <f>VLOOKUP($D59,Résultats!$B$2:$AZ$212,AI$2,FALSE)</f>
        <v>4703.7747829999998</v>
      </c>
      <c r="AJ59" s="65">
        <f>VLOOKUP($D59,Résultats!$B$2:$AZ$212,AJ$2,FALSE)</f>
        <v>4607.4610069999999</v>
      </c>
      <c r="AK59" s="65">
        <f>VLOOKUP($D59,Résultats!$B$2:$AZ$212,AK$2,FALSE)</f>
        <v>4512.3732620000001</v>
      </c>
      <c r="AL59" s="65">
        <f>VLOOKUP($D59,Résultats!$B$2:$AZ$212,AL$2,FALSE)</f>
        <v>4417.7409440000001</v>
      </c>
      <c r="AM59" s="225">
        <f>VLOOKUP($D59,Résultats!$B$2:$AZ$212,AM$2,FALSE)</f>
        <v>4323.3980670000001</v>
      </c>
    </row>
    <row r="60" spans="2:40" x14ac:dyDescent="0.25">
      <c r="B60" s="229"/>
      <c r="C60" s="217" t="s">
        <v>29</v>
      </c>
      <c r="D60" s="54" t="s">
        <v>133</v>
      </c>
      <c r="E60" s="65">
        <f>VLOOKUP($D60,Résultats!$B$2:$AZ$212,E$2,FALSE)</f>
        <v>3840.9962489999998</v>
      </c>
      <c r="F60" s="65">
        <f>VLOOKUP($D60,Résultats!$B$2:$AZ$212,F$2,FALSE)</f>
        <v>7016.5736450000004</v>
      </c>
      <c r="G60" s="65">
        <f>VLOOKUP($D60,Résultats!$B$2:$AZ$212,G$2,FALSE)</f>
        <v>7705.1419589999996</v>
      </c>
      <c r="H60" s="65">
        <f>VLOOKUP($D60,Résultats!$B$2:$AZ$212,H$2,FALSE)</f>
        <v>7946.8020919999999</v>
      </c>
      <c r="I60" s="65">
        <f>VLOOKUP($D60,Résultats!$B$2:$AZ$212,I$2,FALSE)</f>
        <v>8169.0542699999996</v>
      </c>
      <c r="J60" s="65">
        <f>VLOOKUP($D60,Résultats!$B$2:$AZ$212,J$2,FALSE)</f>
        <v>8336.5695450000003</v>
      </c>
      <c r="K60" s="65">
        <f>VLOOKUP($D60,Résultats!$B$2:$AZ$212,K$2,FALSE)</f>
        <v>8476.5920160000005</v>
      </c>
      <c r="L60" s="65">
        <f>VLOOKUP($D60,Résultats!$B$2:$AZ$212,L$2,FALSE)</f>
        <v>8560.2416200000007</v>
      </c>
      <c r="M60" s="65">
        <f>VLOOKUP($D60,Résultats!$B$2:$AZ$212,M$2,FALSE)</f>
        <v>8652.8916879999997</v>
      </c>
      <c r="N60" s="65">
        <f>VLOOKUP($D60,Résultats!$B$2:$AZ$212,N$2,FALSE)</f>
        <v>8534.01777699999</v>
      </c>
      <c r="O60" s="65">
        <f>VLOOKUP($D60,Résultats!$B$2:$AZ$212,O$2,FALSE)</f>
        <v>8538.4563849999995</v>
      </c>
      <c r="P60" s="65">
        <f>VLOOKUP($D60,Résultats!$B$2:$AZ$212,P$2,FALSE)</f>
        <v>8572.8795069999996</v>
      </c>
      <c r="Q60" s="65">
        <f>VLOOKUP($D60,Résultats!$B$2:$AZ$212,Q$2,FALSE)</f>
        <v>8604.1746449999901</v>
      </c>
      <c r="R60" s="65">
        <f>VLOOKUP($D60,Résultats!$B$2:$AZ$212,R$2,FALSE)</f>
        <v>8620.0832900000005</v>
      </c>
      <c r="S60" s="65">
        <f>VLOOKUP($D60,Résultats!$B$2:$AZ$212,S$2,FALSE)</f>
        <v>8504.1400140000005</v>
      </c>
      <c r="T60" s="65">
        <f>VLOOKUP($D60,Résultats!$B$2:$AZ$212,T$2,FALSE)</f>
        <v>8451.0460220000004</v>
      </c>
      <c r="U60" s="65">
        <f>VLOOKUP($D60,Résultats!$B$2:$AZ$212,U$2,FALSE)</f>
        <v>8391.3698569999997</v>
      </c>
      <c r="V60" s="65">
        <f>VLOOKUP($D60,Résultats!$B$2:$AZ$212,V$2,FALSE)</f>
        <v>8320.7895210000006</v>
      </c>
      <c r="W60" s="65">
        <f>VLOOKUP($D60,Résultats!$B$2:$AZ$212,W$2,FALSE)</f>
        <v>8238.6496650000008</v>
      </c>
      <c r="X60" s="65">
        <f>VLOOKUP($D60,Résultats!$B$2:$AZ$212,X$2,FALSE)</f>
        <v>8080.7760699999999</v>
      </c>
      <c r="Y60" s="65">
        <f>VLOOKUP($D60,Résultats!$B$2:$AZ$212,Y$2,FALSE)</f>
        <v>7954.1684359999999</v>
      </c>
      <c r="Z60" s="65">
        <f>VLOOKUP($D60,Résultats!$B$2:$AZ$212,Z$2,FALSE)</f>
        <v>7836.5290660000001</v>
      </c>
      <c r="AA60" s="65">
        <f>VLOOKUP($D60,Résultats!$B$2:$AZ$212,AA$2,FALSE)</f>
        <v>7718.161564</v>
      </c>
      <c r="AB60" s="65">
        <f>VLOOKUP($D60,Résultats!$B$2:$AZ$212,AB$2,FALSE)</f>
        <v>7596.9591840000003</v>
      </c>
      <c r="AC60" s="65">
        <f>VLOOKUP($D60,Résultats!$B$2:$AZ$212,AC$2,FALSE)</f>
        <v>7472.8995260000002</v>
      </c>
      <c r="AD60" s="65">
        <f>VLOOKUP($D60,Résultats!$B$2:$AZ$212,AD$2,FALSE)</f>
        <v>7332.3753999999999</v>
      </c>
      <c r="AE60" s="65">
        <f>VLOOKUP($D60,Résultats!$B$2:$AZ$212,AE$2,FALSE)</f>
        <v>7183.477457</v>
      </c>
      <c r="AF60" s="65">
        <f>VLOOKUP($D60,Résultats!$B$2:$AZ$212,AF$2,FALSE)</f>
        <v>7030.1757710000002</v>
      </c>
      <c r="AG60" s="65">
        <f>VLOOKUP($D60,Résultats!$B$2:$AZ$212,AG$2,FALSE)</f>
        <v>6874.2390050000004</v>
      </c>
      <c r="AH60" s="65">
        <f>VLOOKUP($D60,Résultats!$B$2:$AZ$212,AH$2,FALSE)</f>
        <v>6686.8399630000004</v>
      </c>
      <c r="AI60" s="65">
        <f>VLOOKUP($D60,Résultats!$B$2:$AZ$212,AI$2,FALSE)</f>
        <v>6512.4709220000004</v>
      </c>
      <c r="AJ60" s="65">
        <f>VLOOKUP($D60,Résultats!$B$2:$AZ$212,AJ$2,FALSE)</f>
        <v>6343.6732460000003</v>
      </c>
      <c r="AK60" s="65">
        <f>VLOOKUP($D60,Résultats!$B$2:$AZ$212,AK$2,FALSE)</f>
        <v>6177.4462139999996</v>
      </c>
      <c r="AL60" s="65">
        <f>VLOOKUP($D60,Résultats!$B$2:$AZ$212,AL$2,FALSE)</f>
        <v>6012.9264069999999</v>
      </c>
      <c r="AM60" s="225">
        <f>VLOOKUP($D60,Résultats!$B$2:$AZ$212,AM$2,FALSE)</f>
        <v>5850.0183010000001</v>
      </c>
    </row>
    <row r="61" spans="2:40" x14ac:dyDescent="0.25">
      <c r="B61" s="229"/>
      <c r="C61" s="217" t="s">
        <v>30</v>
      </c>
      <c r="D61" s="54" t="s">
        <v>134</v>
      </c>
      <c r="E61" s="65">
        <f>VLOOKUP($D61,Résultats!$B$2:$AZ$212,E$2,FALSE)</f>
        <v>5377.3855290000001</v>
      </c>
      <c r="F61" s="65">
        <f>VLOOKUP($D61,Résultats!$B$2:$AZ$212,F$2,FALSE)</f>
        <v>7833.5123450000001</v>
      </c>
      <c r="G61" s="65">
        <f>VLOOKUP($D61,Résultats!$B$2:$AZ$212,G$2,FALSE)</f>
        <v>8334.7414079999999</v>
      </c>
      <c r="H61" s="65">
        <f>VLOOKUP($D61,Résultats!$B$2:$AZ$212,H$2,FALSE)</f>
        <v>8518.5658120000007</v>
      </c>
      <c r="I61" s="65">
        <f>VLOOKUP($D61,Résultats!$B$2:$AZ$212,I$2,FALSE)</f>
        <v>8673.4160200000006</v>
      </c>
      <c r="J61" s="65">
        <f>VLOOKUP($D61,Résultats!$B$2:$AZ$212,J$2,FALSE)</f>
        <v>8793.3768959999998</v>
      </c>
      <c r="K61" s="65">
        <f>VLOOKUP($D61,Résultats!$B$2:$AZ$212,K$2,FALSE)</f>
        <v>8874.1632919999902</v>
      </c>
      <c r="L61" s="65">
        <f>VLOOKUP($D61,Résultats!$B$2:$AZ$212,L$2,FALSE)</f>
        <v>8896.5776420000002</v>
      </c>
      <c r="M61" s="65">
        <f>VLOOKUP($D61,Résultats!$B$2:$AZ$212,M$2,FALSE)</f>
        <v>8928.8326280000001</v>
      </c>
      <c r="N61" s="65">
        <f>VLOOKUP($D61,Résultats!$B$2:$AZ$212,N$2,FALSE)</f>
        <v>8764.7527200000004</v>
      </c>
      <c r="O61" s="65">
        <f>VLOOKUP($D61,Résultats!$B$2:$AZ$212,O$2,FALSE)</f>
        <v>8718.4555380000002</v>
      </c>
      <c r="P61" s="65">
        <f>VLOOKUP($D61,Résultats!$B$2:$AZ$212,P$2,FALSE)</f>
        <v>8701.8456719999995</v>
      </c>
      <c r="Q61" s="65">
        <f>VLOOKUP($D61,Résultats!$B$2:$AZ$212,Q$2,FALSE)</f>
        <v>8683.5524069999901</v>
      </c>
      <c r="R61" s="65">
        <f>VLOOKUP($D61,Résultats!$B$2:$AZ$212,R$2,FALSE)</f>
        <v>8652.0693030000002</v>
      </c>
      <c r="S61" s="65">
        <f>VLOOKUP($D61,Résultats!$B$2:$AZ$212,S$2,FALSE)</f>
        <v>8500.1704869999994</v>
      </c>
      <c r="T61" s="65">
        <f>VLOOKUP($D61,Résultats!$B$2:$AZ$212,T$2,FALSE)</f>
        <v>8407.8383620000004</v>
      </c>
      <c r="U61" s="65">
        <f>VLOOKUP($D61,Résultats!$B$2:$AZ$212,U$2,FALSE)</f>
        <v>8310.7839320000003</v>
      </c>
      <c r="V61" s="65">
        <f>VLOOKUP($D61,Résultats!$B$2:$AZ$212,V$2,FALSE)</f>
        <v>8204.9338260000004</v>
      </c>
      <c r="W61" s="65">
        <f>VLOOKUP($D61,Résultats!$B$2:$AZ$212,W$2,FALSE)</f>
        <v>8089.8832300000004</v>
      </c>
      <c r="X61" s="65">
        <f>VLOOKUP($D61,Résultats!$B$2:$AZ$212,X$2,FALSE)</f>
        <v>7907.1900420000002</v>
      </c>
      <c r="Y61" s="65">
        <f>VLOOKUP($D61,Résultats!$B$2:$AZ$212,Y$2,FALSE)</f>
        <v>7754.2107779999997</v>
      </c>
      <c r="Z61" s="65">
        <f>VLOOKUP($D61,Résultats!$B$2:$AZ$212,Z$2,FALSE)</f>
        <v>7610.6067220000004</v>
      </c>
      <c r="AA61" s="65">
        <f>VLOOKUP($D61,Résultats!$B$2:$AZ$212,AA$2,FALSE)</f>
        <v>7467.428731</v>
      </c>
      <c r="AB61" s="65">
        <f>VLOOKUP($D61,Résultats!$B$2:$AZ$212,AB$2,FALSE)</f>
        <v>7322.794629</v>
      </c>
      <c r="AC61" s="65">
        <f>VLOOKUP($D61,Résultats!$B$2:$AZ$212,AC$2,FALSE)</f>
        <v>7176.7318340000002</v>
      </c>
      <c r="AD61" s="65">
        <f>VLOOKUP($D61,Résultats!$B$2:$AZ$212,AD$2,FALSE)</f>
        <v>7016.7645229999998</v>
      </c>
      <c r="AE61" s="65">
        <f>VLOOKUP($D61,Résultats!$B$2:$AZ$212,AE$2,FALSE)</f>
        <v>6850.1884490000002</v>
      </c>
      <c r="AF61" s="65">
        <f>VLOOKUP($D61,Résultats!$B$2:$AZ$212,AF$2,FALSE)</f>
        <v>6680.6094469999998</v>
      </c>
      <c r="AG61" s="65">
        <f>VLOOKUP($D61,Résultats!$B$2:$AZ$212,AG$2,FALSE)</f>
        <v>6509.6109379999998</v>
      </c>
      <c r="AH61" s="65">
        <f>VLOOKUP($D61,Résultats!$B$2:$AZ$212,AH$2,FALSE)</f>
        <v>6312.1738320000004</v>
      </c>
      <c r="AI61" s="65">
        <f>VLOOKUP($D61,Résultats!$B$2:$AZ$212,AI$2,FALSE)</f>
        <v>6127.1695069999996</v>
      </c>
      <c r="AJ61" s="65">
        <f>VLOOKUP($D61,Résultats!$B$2:$AZ$212,AJ$2,FALSE)</f>
        <v>5948.0504460000002</v>
      </c>
      <c r="AK61" s="65">
        <f>VLOOKUP($D61,Résultats!$B$2:$AZ$212,AK$2,FALSE)</f>
        <v>5772.1949009999998</v>
      </c>
      <c r="AL61" s="65">
        <f>VLOOKUP($D61,Résultats!$B$2:$AZ$212,AL$2,FALSE)</f>
        <v>5598.8907840000002</v>
      </c>
      <c r="AM61" s="225">
        <f>VLOOKUP($D61,Résultats!$B$2:$AZ$212,AM$2,FALSE)</f>
        <v>5428.097025</v>
      </c>
    </row>
    <row r="62" spans="2:40" x14ac:dyDescent="0.25">
      <c r="B62" s="229"/>
      <c r="C62" s="217" t="s">
        <v>31</v>
      </c>
      <c r="D62" s="54" t="s">
        <v>135</v>
      </c>
      <c r="E62" s="65">
        <f>VLOOKUP($D62,Résultats!$B$2:$AZ$212,E$2,FALSE)</f>
        <v>13959.64589</v>
      </c>
      <c r="F62" s="65">
        <f>VLOOKUP($D62,Résultats!$B$2:$AZ$212,F$2,FALSE)</f>
        <v>11262.150519999999</v>
      </c>
      <c r="G62" s="65">
        <f>VLOOKUP($D62,Résultats!$B$2:$AZ$212,G$2,FALSE)</f>
        <v>10604.960510000001</v>
      </c>
      <c r="H62" s="65">
        <f>VLOOKUP($D62,Résultats!$B$2:$AZ$212,H$2,FALSE)</f>
        <v>10426.50469</v>
      </c>
      <c r="I62" s="65">
        <f>VLOOKUP($D62,Résultats!$B$2:$AZ$212,I$2,FALSE)</f>
        <v>10225.673559999999</v>
      </c>
      <c r="J62" s="65">
        <f>VLOOKUP($D62,Résultats!$B$2:$AZ$212,J$2,FALSE)</f>
        <v>10034.310149999999</v>
      </c>
      <c r="K62" s="65">
        <f>VLOOKUP($D62,Résultats!$B$2:$AZ$212,K$2,FALSE)</f>
        <v>9777.6200659999995</v>
      </c>
      <c r="L62" s="65">
        <f>VLOOKUP($D62,Résultats!$B$2:$AZ$212,L$2,FALSE)</f>
        <v>9481.5399880000004</v>
      </c>
      <c r="M62" s="65">
        <f>VLOOKUP($D62,Résultats!$B$2:$AZ$212,M$2,FALSE)</f>
        <v>9205.6785500000005</v>
      </c>
      <c r="N62" s="65">
        <f>VLOOKUP($D62,Résultats!$B$2:$AZ$212,N$2,FALSE)</f>
        <v>8843.7258120000006</v>
      </c>
      <c r="O62" s="65">
        <f>VLOOKUP($D62,Résultats!$B$2:$AZ$212,O$2,FALSE)</f>
        <v>8557.5290280000008</v>
      </c>
      <c r="P62" s="65">
        <f>VLOOKUP($D62,Résultats!$B$2:$AZ$212,P$2,FALSE)</f>
        <v>8300.1003639999999</v>
      </c>
      <c r="Q62" s="65">
        <f>VLOOKUP($D62,Résultats!$B$2:$AZ$212,Q$2,FALSE)</f>
        <v>8054.164573</v>
      </c>
      <c r="R62" s="65">
        <f>VLOOKUP($D62,Résultats!$B$2:$AZ$212,R$2,FALSE)</f>
        <v>7813.2226300000002</v>
      </c>
      <c r="S62" s="65">
        <f>VLOOKUP($D62,Résultats!$B$2:$AZ$212,S$2,FALSE)</f>
        <v>7524.273717</v>
      </c>
      <c r="T62" s="65">
        <f>VLOOKUP($D62,Résultats!$B$2:$AZ$212,T$2,FALSE)</f>
        <v>7275.9103070000001</v>
      </c>
      <c r="U62" s="65">
        <f>VLOOKUP($D62,Résultats!$B$2:$AZ$212,U$2,FALSE)</f>
        <v>7035.7002739999998</v>
      </c>
      <c r="V62" s="65">
        <f>VLOOKUP($D62,Résultats!$B$2:$AZ$212,V$2,FALSE)</f>
        <v>6801.0660779999998</v>
      </c>
      <c r="W62" s="65">
        <f>VLOOKUP($D62,Résultats!$B$2:$AZ$212,W$2,FALSE)</f>
        <v>6571.620645</v>
      </c>
      <c r="X62" s="65">
        <f>VLOOKUP($D62,Résultats!$B$2:$AZ$212,X$2,FALSE)</f>
        <v>6319.202945</v>
      </c>
      <c r="Y62" s="65">
        <f>VLOOKUP($D62,Résultats!$B$2:$AZ$212,Y$2,FALSE)</f>
        <v>6089.5214580000002</v>
      </c>
      <c r="Z62" s="65">
        <f>VLOOKUP($D62,Résultats!$B$2:$AZ$212,Z$2,FALSE)</f>
        <v>5872.495484</v>
      </c>
      <c r="AA62" s="65">
        <f>VLOOKUP($D62,Résultats!$B$2:$AZ$212,AA$2,FALSE)</f>
        <v>5663.3953069999998</v>
      </c>
      <c r="AB62" s="65">
        <f>VLOOKUP($D62,Résultats!$B$2:$AZ$212,AB$2,FALSE)</f>
        <v>5461.0339489999997</v>
      </c>
      <c r="AC62" s="65">
        <f>VLOOKUP($D62,Résultats!$B$2:$AZ$212,AC$2,FALSE)</f>
        <v>5265.1504880000002</v>
      </c>
      <c r="AD62" s="65">
        <f>VLOOKUP($D62,Résultats!$B$2:$AZ$212,AD$2,FALSE)</f>
        <v>5068.9821410000004</v>
      </c>
      <c r="AE62" s="65">
        <f>VLOOKUP($D62,Résultats!$B$2:$AZ$212,AE$2,FALSE)</f>
        <v>4875.7089900000001</v>
      </c>
      <c r="AF62" s="65">
        <f>VLOOKUP($D62,Résultats!$B$2:$AZ$212,AF$2,FALSE)</f>
        <v>4686.8270490000004</v>
      </c>
      <c r="AG62" s="65">
        <f>VLOOKUP($D62,Résultats!$B$2:$AZ$212,AG$2,FALSE)</f>
        <v>4502.872848</v>
      </c>
      <c r="AH62" s="65">
        <f>VLOOKUP($D62,Résultats!$B$2:$AZ$212,AH$2,FALSE)</f>
        <v>4312.9820460000001</v>
      </c>
      <c r="AI62" s="65">
        <f>VLOOKUP($D62,Résultats!$B$2:$AZ$212,AI$2,FALSE)</f>
        <v>4133.7789300000004</v>
      </c>
      <c r="AJ62" s="65">
        <f>VLOOKUP($D62,Résultats!$B$2:$AZ$212,AJ$2,FALSE)</f>
        <v>3962.239149</v>
      </c>
      <c r="AK62" s="65">
        <f>VLOOKUP($D62,Résultats!$B$2:$AZ$212,AK$2,FALSE)</f>
        <v>3797.062234</v>
      </c>
      <c r="AL62" s="65">
        <f>VLOOKUP($D62,Résultats!$B$2:$AZ$212,AL$2,FALSE)</f>
        <v>3637.7954639999998</v>
      </c>
      <c r="AM62" s="225">
        <f>VLOOKUP($D62,Résultats!$B$2:$AZ$212,AM$2,FALSE)</f>
        <v>3484.2720370000002</v>
      </c>
    </row>
    <row r="63" spans="2:40" x14ac:dyDescent="0.25">
      <c r="B63" s="229"/>
      <c r="C63" s="217" t="s">
        <v>32</v>
      </c>
      <c r="D63" s="54" t="s">
        <v>136</v>
      </c>
      <c r="E63" s="65">
        <f>VLOOKUP($D63,Résultats!$B$2:$AZ$212,E$2,FALSE)</f>
        <v>4923.9468200000001</v>
      </c>
      <c r="F63" s="65">
        <f>VLOOKUP($D63,Résultats!$B$2:$AZ$212,F$2,FALSE)</f>
        <v>3815.391208</v>
      </c>
      <c r="G63" s="65">
        <f>VLOOKUP($D63,Résultats!$B$2:$AZ$212,G$2,FALSE)</f>
        <v>3538.6597630000001</v>
      </c>
      <c r="H63" s="65">
        <f>VLOOKUP($D63,Résultats!$B$2:$AZ$212,H$2,FALSE)</f>
        <v>3459.6683870000002</v>
      </c>
      <c r="I63" s="65">
        <f>VLOOKUP($D63,Résultats!$B$2:$AZ$212,I$2,FALSE)</f>
        <v>3366.2732099999998</v>
      </c>
      <c r="J63" s="65">
        <f>VLOOKUP($D63,Résultats!$B$2:$AZ$212,J$2,FALSE)</f>
        <v>3252.203434</v>
      </c>
      <c r="K63" s="65">
        <f>VLOOKUP($D63,Résultats!$B$2:$AZ$212,K$2,FALSE)</f>
        <v>3111.1319600000002</v>
      </c>
      <c r="L63" s="65">
        <f>VLOOKUP($D63,Résultats!$B$2:$AZ$212,L$2,FALSE)</f>
        <v>2960.335595</v>
      </c>
      <c r="M63" s="65">
        <f>VLOOKUP($D63,Résultats!$B$2:$AZ$212,M$2,FALSE)</f>
        <v>2817.2756909999998</v>
      </c>
      <c r="N63" s="65">
        <f>VLOOKUP($D63,Résultats!$B$2:$AZ$212,N$2,FALSE)</f>
        <v>2669.6278630000002</v>
      </c>
      <c r="O63" s="65">
        <f>VLOOKUP($D63,Résultats!$B$2:$AZ$212,O$2,FALSE)</f>
        <v>2536.4683100000002</v>
      </c>
      <c r="P63" s="65">
        <f>VLOOKUP($D63,Résultats!$B$2:$AZ$212,P$2,FALSE)</f>
        <v>2411.6635449999999</v>
      </c>
      <c r="Q63" s="65">
        <f>VLOOKUP($D63,Résultats!$B$2:$AZ$212,Q$2,FALSE)</f>
        <v>2292.8029790000001</v>
      </c>
      <c r="R63" s="65">
        <f>VLOOKUP($D63,Résultats!$B$2:$AZ$212,R$2,FALSE)</f>
        <v>2178.9802709999999</v>
      </c>
      <c r="S63" s="65">
        <f>VLOOKUP($D63,Résultats!$B$2:$AZ$212,S$2,FALSE)</f>
        <v>2065.1098780000002</v>
      </c>
      <c r="T63" s="65">
        <f>VLOOKUP($D63,Résultats!$B$2:$AZ$212,T$2,FALSE)</f>
        <v>1959.6680100000001</v>
      </c>
      <c r="U63" s="65">
        <f>VLOOKUP($D63,Résultats!$B$2:$AZ$212,U$2,FALSE)</f>
        <v>1859.272993</v>
      </c>
      <c r="V63" s="65">
        <f>VLOOKUP($D63,Résultats!$B$2:$AZ$212,V$2,FALSE)</f>
        <v>1763.4763849999999</v>
      </c>
      <c r="W63" s="65">
        <f>VLOOKUP($D63,Résultats!$B$2:$AZ$212,W$2,FALSE)</f>
        <v>1672.162934</v>
      </c>
      <c r="X63" s="65">
        <f>VLOOKUP($D63,Résultats!$B$2:$AZ$212,X$2,FALSE)</f>
        <v>1582.9154570000001</v>
      </c>
      <c r="Y63" s="65">
        <f>VLOOKUP($D63,Résultats!$B$2:$AZ$212,Y$2,FALSE)</f>
        <v>1499.192816</v>
      </c>
      <c r="Z63" s="65">
        <f>VLOOKUP($D63,Résultats!$B$2:$AZ$212,Z$2,FALSE)</f>
        <v>1420.0138119999999</v>
      </c>
      <c r="AA63" s="65">
        <f>VLOOKUP($D63,Résultats!$B$2:$AZ$212,AA$2,FALSE)</f>
        <v>1344.8165819999999</v>
      </c>
      <c r="AB63" s="65">
        <f>VLOOKUP($D63,Résultats!$B$2:$AZ$212,AB$2,FALSE)</f>
        <v>1273.3746759999999</v>
      </c>
      <c r="AC63" s="65">
        <f>VLOOKUP($D63,Résultats!$B$2:$AZ$212,AC$2,FALSE)</f>
        <v>1205.5369109999999</v>
      </c>
      <c r="AD63" s="65">
        <f>VLOOKUP($D63,Résultats!$B$2:$AZ$212,AD$2,FALSE)</f>
        <v>1140.4008940000001</v>
      </c>
      <c r="AE63" s="65">
        <f>VLOOKUP($D63,Résultats!$B$2:$AZ$212,AE$2,FALSE)</f>
        <v>1078.0972200000001</v>
      </c>
      <c r="AF63" s="65">
        <f>VLOOKUP($D63,Résultats!$B$2:$AZ$212,AF$2,FALSE)</f>
        <v>1018.640089</v>
      </c>
      <c r="AG63" s="65">
        <f>VLOOKUP($D63,Résultats!$B$2:$AZ$212,AG$2,FALSE)</f>
        <v>961.97138689999997</v>
      </c>
      <c r="AH63" s="65">
        <f>VLOOKUP($D63,Résultats!$B$2:$AZ$212,AH$2,FALSE)</f>
        <v>907.47190590000002</v>
      </c>
      <c r="AI63" s="65">
        <f>VLOOKUP($D63,Résultats!$B$2:$AZ$212,AI$2,FALSE)</f>
        <v>855.88838850000002</v>
      </c>
      <c r="AJ63" s="65">
        <f>VLOOKUP($D63,Résultats!$B$2:$AZ$212,AJ$2,FALSE)</f>
        <v>806.96785039999997</v>
      </c>
      <c r="AK63" s="65">
        <f>VLOOKUP($D63,Résultats!$B$2:$AZ$212,AK$2,FALSE)</f>
        <v>760.55170220000002</v>
      </c>
      <c r="AL63" s="65">
        <f>VLOOKUP($D63,Résultats!$B$2:$AZ$212,AL$2,FALSE)</f>
        <v>716.52851980000003</v>
      </c>
      <c r="AM63" s="225">
        <f>VLOOKUP($D63,Résultats!$B$2:$AZ$212,AM$2,FALSE)</f>
        <v>674.80116750000002</v>
      </c>
    </row>
    <row r="64" spans="2:40" x14ac:dyDescent="0.25">
      <c r="B64" s="229"/>
      <c r="C64" s="218" t="s">
        <v>33</v>
      </c>
      <c r="D64" s="54" t="s">
        <v>137</v>
      </c>
      <c r="E64" s="223">
        <f>VLOOKUP($D64,Résultats!$B$2:$AZ$212,E$2,FALSE)</f>
        <v>2256.0604069999999</v>
      </c>
      <c r="F64" s="223">
        <f>VLOOKUP($D64,Résultats!$B$2:$AZ$212,F$2,FALSE)</f>
        <v>1511.212673</v>
      </c>
      <c r="G64" s="223">
        <f>VLOOKUP($D64,Résultats!$B$2:$AZ$212,G$2,FALSE)</f>
        <v>1340.216422</v>
      </c>
      <c r="H64" s="223">
        <f>VLOOKUP($D64,Résultats!$B$2:$AZ$212,H$2,FALSE)</f>
        <v>1287.3668110000001</v>
      </c>
      <c r="I64" s="223">
        <f>VLOOKUP($D64,Résultats!$B$2:$AZ$212,I$2,FALSE)</f>
        <v>1232.1530760000001</v>
      </c>
      <c r="J64" s="223">
        <f>VLOOKUP($D64,Résultats!$B$2:$AZ$212,J$2,FALSE)</f>
        <v>1173.2288639999999</v>
      </c>
      <c r="K64" s="223">
        <f>VLOOKUP($D64,Résultats!$B$2:$AZ$212,K$2,FALSE)</f>
        <v>1108.0494819999999</v>
      </c>
      <c r="L64" s="223">
        <f>VLOOKUP($D64,Résultats!$B$2:$AZ$212,L$2,FALSE)</f>
        <v>1042.870101</v>
      </c>
      <c r="M64" s="223">
        <f>VLOOKUP($D64,Résultats!$B$2:$AZ$212,M$2,FALSE)</f>
        <v>981.52480100000002</v>
      </c>
      <c r="N64" s="223">
        <f>VLOOKUP($D64,Résultats!$B$2:$AZ$212,N$2,FALSE)</f>
        <v>923.788048</v>
      </c>
      <c r="O64" s="223">
        <f>VLOOKUP($D64,Résultats!$B$2:$AZ$212,O$2,FALSE)</f>
        <v>869.44757460000005</v>
      </c>
      <c r="P64" s="223">
        <f>VLOOKUP($D64,Résultats!$B$2:$AZ$212,P$2,FALSE)</f>
        <v>818.30359959999998</v>
      </c>
      <c r="Q64" s="223">
        <f>VLOOKUP($D64,Résultats!$B$2:$AZ$212,Q$2,FALSE)</f>
        <v>770.16809369999999</v>
      </c>
      <c r="R64" s="223">
        <f>VLOOKUP($D64,Résultats!$B$2:$AZ$212,R$2,FALSE)</f>
        <v>724.86408819999997</v>
      </c>
      <c r="S64" s="223">
        <f>VLOOKUP($D64,Résultats!$B$2:$AZ$212,S$2,FALSE)</f>
        <v>682.22502420000001</v>
      </c>
      <c r="T64" s="223">
        <f>VLOOKUP($D64,Résultats!$B$2:$AZ$212,T$2,FALSE)</f>
        <v>642.09414040000001</v>
      </c>
      <c r="U64" s="223">
        <f>VLOOKUP($D64,Résultats!$B$2:$AZ$212,U$2,FALSE)</f>
        <v>604.32389690000002</v>
      </c>
      <c r="V64" s="223">
        <f>VLOOKUP($D64,Résultats!$B$2:$AZ$212,V$2,FALSE)</f>
        <v>568.7754324</v>
      </c>
      <c r="W64" s="223">
        <f>VLOOKUP($D64,Résultats!$B$2:$AZ$212,W$2,FALSE)</f>
        <v>535.31805399999996</v>
      </c>
      <c r="X64" s="223">
        <f>VLOOKUP($D64,Résultats!$B$2:$AZ$212,X$2,FALSE)</f>
        <v>503.82875669999999</v>
      </c>
      <c r="Y64" s="223">
        <f>VLOOKUP($D64,Résultats!$B$2:$AZ$212,Y$2,FALSE)</f>
        <v>474.19177100000002</v>
      </c>
      <c r="Z64" s="223">
        <f>VLOOKUP($D64,Résultats!$B$2:$AZ$212,Z$2,FALSE)</f>
        <v>446.29813739999997</v>
      </c>
      <c r="AA64" s="223">
        <f>VLOOKUP($D64,Résultats!$B$2:$AZ$212,AA$2,FALSE)</f>
        <v>420.04530579999999</v>
      </c>
      <c r="AB64" s="223">
        <f>VLOOKUP($D64,Résultats!$B$2:$AZ$212,AB$2,FALSE)</f>
        <v>395.33675840000001</v>
      </c>
      <c r="AC64" s="223">
        <f>VLOOKUP($D64,Résultats!$B$2:$AZ$212,AC$2,FALSE)</f>
        <v>372.08165500000001</v>
      </c>
      <c r="AD64" s="223">
        <f>VLOOKUP($D64,Résultats!$B$2:$AZ$212,AD$2,FALSE)</f>
        <v>350.06498900000003</v>
      </c>
      <c r="AE64" s="223">
        <f>VLOOKUP($D64,Résultats!$B$2:$AZ$212,AE$2,FALSE)</f>
        <v>329.22778729999999</v>
      </c>
      <c r="AF64" s="223">
        <f>VLOOKUP($D64,Résultats!$B$2:$AZ$212,AF$2,FALSE)</f>
        <v>309.51354850000001</v>
      </c>
      <c r="AG64" s="223">
        <f>VLOOKUP($D64,Résultats!$B$2:$AZ$212,AG$2,FALSE)</f>
        <v>290.868154</v>
      </c>
      <c r="AH64" s="223">
        <f>VLOOKUP($D64,Résultats!$B$2:$AZ$212,AH$2,FALSE)</f>
        <v>273.23978099999999</v>
      </c>
      <c r="AI64" s="223">
        <f>VLOOKUP($D64,Résultats!$B$2:$AZ$212,AI$2,FALSE)</f>
        <v>256.57881880000002</v>
      </c>
      <c r="AJ64" s="223">
        <f>VLOOKUP($D64,Résultats!$B$2:$AZ$212,AJ$2,FALSE)</f>
        <v>240.83778699999999</v>
      </c>
      <c r="AK64" s="223">
        <f>VLOOKUP($D64,Résultats!$B$2:$AZ$212,AK$2,FALSE)</f>
        <v>225.97125689999999</v>
      </c>
      <c r="AL64" s="223">
        <f>VLOOKUP($D64,Résultats!$B$2:$AZ$212,AL$2,FALSE)</f>
        <v>211.9357751</v>
      </c>
      <c r="AM64" s="226">
        <f>VLOOKUP($D64,Résultats!$B$2:$AZ$212,AM$2,FALSE)</f>
        <v>198.68978920000001</v>
      </c>
    </row>
    <row r="65" spans="2:39" s="3" customFormat="1" x14ac:dyDescent="0.25"/>
    <row r="66" spans="2:39" s="3" customFormat="1" x14ac:dyDescent="0.25"/>
    <row r="67" spans="2:39" x14ac:dyDescent="0.25">
      <c r="C67" s="11"/>
      <c r="D67" s="11"/>
      <c r="E67" s="93">
        <v>2006</v>
      </c>
      <c r="F67" s="93">
        <v>2015</v>
      </c>
      <c r="G67" s="93">
        <v>2018</v>
      </c>
      <c r="H67" s="93">
        <v>2019</v>
      </c>
      <c r="I67" s="93">
        <v>2020</v>
      </c>
      <c r="J67" s="20">
        <v>2021</v>
      </c>
      <c r="K67" s="4">
        <v>2022</v>
      </c>
      <c r="L67" s="4">
        <v>2023</v>
      </c>
      <c r="M67" s="4">
        <v>2024</v>
      </c>
      <c r="N67" s="92">
        <v>2025</v>
      </c>
      <c r="O67" s="20">
        <v>2026</v>
      </c>
      <c r="P67" s="4">
        <v>2027</v>
      </c>
      <c r="Q67" s="4">
        <v>2028</v>
      </c>
      <c r="R67" s="4">
        <v>2029</v>
      </c>
      <c r="S67" s="92">
        <v>2030</v>
      </c>
      <c r="T67" s="92">
        <v>2031</v>
      </c>
      <c r="U67" s="92">
        <v>2032</v>
      </c>
      <c r="V67" s="92">
        <v>2033</v>
      </c>
      <c r="W67" s="92">
        <v>2034</v>
      </c>
      <c r="X67" s="93">
        <v>2035</v>
      </c>
      <c r="Y67" s="93">
        <v>2036</v>
      </c>
      <c r="Z67" s="93">
        <v>2037</v>
      </c>
      <c r="AA67" s="93">
        <v>2038</v>
      </c>
      <c r="AB67" s="93">
        <v>2039</v>
      </c>
      <c r="AC67" s="93">
        <v>2040</v>
      </c>
      <c r="AD67" s="93">
        <v>2041</v>
      </c>
      <c r="AE67" s="93">
        <v>2042</v>
      </c>
      <c r="AF67" s="93">
        <v>2043</v>
      </c>
      <c r="AG67" s="93">
        <v>2044</v>
      </c>
      <c r="AH67" s="93">
        <v>2045</v>
      </c>
      <c r="AI67" s="93">
        <v>2046</v>
      </c>
      <c r="AJ67" s="93">
        <v>2047</v>
      </c>
      <c r="AK67" s="93">
        <v>2048</v>
      </c>
      <c r="AL67" s="93">
        <v>2049</v>
      </c>
      <c r="AM67" s="93">
        <v>2050</v>
      </c>
    </row>
    <row r="68" spans="2:39" x14ac:dyDescent="0.25">
      <c r="B68" s="228" t="s">
        <v>79</v>
      </c>
      <c r="C68" s="50" t="s">
        <v>51</v>
      </c>
      <c r="D68" s="50" t="s">
        <v>149</v>
      </c>
      <c r="E68" s="51">
        <f t="shared" ref="E68:AM68" si="11">E26</f>
        <v>2373</v>
      </c>
      <c r="F68" s="51">
        <f t="shared" si="11"/>
        <v>1940.3869999999999</v>
      </c>
      <c r="G68" s="51">
        <f t="shared" si="11"/>
        <v>2203.7420000000002</v>
      </c>
      <c r="H68" s="51">
        <f t="shared" si="11"/>
        <v>2240.3020000000001</v>
      </c>
      <c r="I68" s="51">
        <f t="shared" si="11"/>
        <v>2209.8250010000002</v>
      </c>
      <c r="J68" s="51">
        <f t="shared" si="11"/>
        <v>2086.423198</v>
      </c>
      <c r="K68" s="51">
        <f t="shared" si="11"/>
        <v>2201.002356</v>
      </c>
      <c r="L68" s="51">
        <f t="shared" si="11"/>
        <v>2170.0519159999999</v>
      </c>
      <c r="M68" s="51">
        <f t="shared" si="11"/>
        <v>2277.1010689999998</v>
      </c>
      <c r="N68" s="51">
        <f t="shared" si="11"/>
        <v>1534.378168</v>
      </c>
      <c r="O68" s="51">
        <f t="shared" si="11"/>
        <v>2055.8967360000001</v>
      </c>
      <c r="P68" s="51">
        <f t="shared" si="11"/>
        <v>2259.7768550000001</v>
      </c>
      <c r="Q68" s="51">
        <f t="shared" si="11"/>
        <v>2347.9236230000001</v>
      </c>
      <c r="R68" s="51">
        <f t="shared" si="11"/>
        <v>2389.949623</v>
      </c>
      <c r="S68" s="51">
        <f t="shared" si="11"/>
        <v>1875.450765</v>
      </c>
      <c r="T68" s="51">
        <f t="shared" si="11"/>
        <v>2245.3221100000001</v>
      </c>
      <c r="U68" s="51">
        <f t="shared" si="11"/>
        <v>2303.9784169999998</v>
      </c>
      <c r="V68" s="51">
        <f t="shared" si="11"/>
        <v>2337.5493970000002</v>
      </c>
      <c r="W68" s="51">
        <f t="shared" si="11"/>
        <v>2360.0341410000001</v>
      </c>
      <c r="X68" s="51">
        <f t="shared" si="11"/>
        <v>1986.6938540000001</v>
      </c>
      <c r="Y68" s="51">
        <f t="shared" si="11"/>
        <v>2217.9828470000002</v>
      </c>
      <c r="Z68" s="51">
        <f t="shared" si="11"/>
        <v>2328.1880540000002</v>
      </c>
      <c r="AA68" s="51">
        <f t="shared" si="11"/>
        <v>2378.0812810000002</v>
      </c>
      <c r="AB68" s="51">
        <f t="shared" si="11"/>
        <v>2409.0883920000001</v>
      </c>
      <c r="AC68" s="51">
        <f t="shared" si="11"/>
        <v>2433.4768949999998</v>
      </c>
      <c r="AD68" s="51">
        <f t="shared" si="11"/>
        <v>2367.8798879999999</v>
      </c>
      <c r="AE68" s="51">
        <f t="shared" si="11"/>
        <v>2347.4261999999999</v>
      </c>
      <c r="AF68" s="51">
        <f t="shared" si="11"/>
        <v>2347.555754</v>
      </c>
      <c r="AG68" s="51">
        <f t="shared" si="11"/>
        <v>2354.5416049999999</v>
      </c>
      <c r="AH68" s="51">
        <f t="shared" si="11"/>
        <v>2094.100062</v>
      </c>
      <c r="AI68" s="51">
        <f t="shared" si="11"/>
        <v>2207.3653880000002</v>
      </c>
      <c r="AJ68" s="51">
        <f t="shared" si="11"/>
        <v>2259.350171</v>
      </c>
      <c r="AK68" s="51">
        <f t="shared" si="11"/>
        <v>2283.5895529999998</v>
      </c>
      <c r="AL68" s="51">
        <f t="shared" si="11"/>
        <v>2296.95516</v>
      </c>
      <c r="AM68" s="100">
        <f t="shared" si="11"/>
        <v>2306.0606469999998</v>
      </c>
    </row>
    <row r="69" spans="2:39" x14ac:dyDescent="0.25">
      <c r="B69" s="229"/>
      <c r="C69" s="52" t="s">
        <v>45</v>
      </c>
      <c r="D69" s="52" t="s">
        <v>425</v>
      </c>
      <c r="E69" s="124">
        <f t="shared" ref="E69:AM69" si="12">E27/E$26</f>
        <v>5.0000000000000001E-4</v>
      </c>
      <c r="F69" s="124">
        <f t="shared" si="12"/>
        <v>1.3775537838585809E-2</v>
      </c>
      <c r="G69" s="124">
        <f t="shared" si="12"/>
        <v>2.9882296507485903E-2</v>
      </c>
      <c r="H69" s="124">
        <f t="shared" si="12"/>
        <v>3.8300584537263281E-2</v>
      </c>
      <c r="I69" s="124">
        <f t="shared" si="12"/>
        <v>4.8732808231994475E-2</v>
      </c>
      <c r="J69" s="123">
        <f t="shared" si="12"/>
        <v>6.1465185118211092E-2</v>
      </c>
      <c r="K69" s="67">
        <f t="shared" si="12"/>
        <v>7.6836933699311327E-2</v>
      </c>
      <c r="L69" s="67">
        <f t="shared" si="12"/>
        <v>9.5072341670188881E-2</v>
      </c>
      <c r="M69" s="67">
        <f t="shared" si="12"/>
        <v>0.11630485677840592</v>
      </c>
      <c r="N69" s="124">
        <f t="shared" si="12"/>
        <v>0.14047342740867258</v>
      </c>
      <c r="O69" s="123">
        <f t="shared" si="12"/>
        <v>0.1673212410314367</v>
      </c>
      <c r="P69" s="67">
        <f t="shared" si="12"/>
        <v>0.19638693830236614</v>
      </c>
      <c r="Q69" s="67">
        <f t="shared" si="12"/>
        <v>0.22704610919960916</v>
      </c>
      <c r="R69" s="67">
        <f t="shared" si="12"/>
        <v>0.2585835502776202</v>
      </c>
      <c r="S69" s="124">
        <f t="shared" si="12"/>
        <v>0.29027812761589611</v>
      </c>
      <c r="T69" s="124">
        <f t="shared" si="12"/>
        <v>0.32148521291673382</v>
      </c>
      <c r="U69" s="124">
        <f t="shared" si="12"/>
        <v>0.35168552696559396</v>
      </c>
      <c r="V69" s="124">
        <f t="shared" si="12"/>
        <v>0.3805061210434818</v>
      </c>
      <c r="W69" s="124">
        <f t="shared" si="12"/>
        <v>0.40771221427851367</v>
      </c>
      <c r="X69" s="118">
        <f t="shared" si="12"/>
        <v>0.43319187803759118</v>
      </c>
      <c r="Y69" s="118">
        <f t="shared" si="12"/>
        <v>0.45691993261839681</v>
      </c>
      <c r="Z69" s="118">
        <f t="shared" si="12"/>
        <v>0.4789355804331431</v>
      </c>
      <c r="AA69" s="118">
        <f t="shared" si="12"/>
        <v>0.49931984936220519</v>
      </c>
      <c r="AB69" s="118">
        <f t="shared" si="12"/>
        <v>0.51817557178283891</v>
      </c>
      <c r="AC69" s="118">
        <f t="shared" si="12"/>
        <v>0.53561618755373475</v>
      </c>
      <c r="AD69" s="118">
        <f t="shared" si="12"/>
        <v>0.55175791078808301</v>
      </c>
      <c r="AE69" s="118">
        <f t="shared" si="12"/>
        <v>0.56671333735646301</v>
      </c>
      <c r="AF69" s="118">
        <f t="shared" si="12"/>
        <v>0.58058874328230337</v>
      </c>
      <c r="AG69" s="118">
        <f t="shared" si="12"/>
        <v>0.59348294845696736</v>
      </c>
      <c r="AH69" s="118">
        <f t="shared" si="12"/>
        <v>0.60548596841596392</v>
      </c>
      <c r="AI69" s="118">
        <f t="shared" si="12"/>
        <v>0.61668046912403607</v>
      </c>
      <c r="AJ69" s="118">
        <f t="shared" si="12"/>
        <v>0.62714025217828873</v>
      </c>
      <c r="AK69" s="118">
        <f t="shared" si="12"/>
        <v>0.63693176214140801</v>
      </c>
      <c r="AL69" s="118">
        <f t="shared" si="12"/>
        <v>0.64611445397131739</v>
      </c>
      <c r="AM69" s="118">
        <f t="shared" si="12"/>
        <v>0.65474166820557167</v>
      </c>
    </row>
    <row r="70" spans="2:39" x14ac:dyDescent="0.25">
      <c r="B70" s="229"/>
      <c r="C70" s="35" t="s">
        <v>27</v>
      </c>
      <c r="D70" s="54" t="s">
        <v>426</v>
      </c>
      <c r="E70" s="111">
        <f t="shared" ref="E70:AM70" si="13">E28/E$26</f>
        <v>1.489117985672145E-6</v>
      </c>
      <c r="F70" s="111">
        <f t="shared" si="13"/>
        <v>1.5769648266041774E-4</v>
      </c>
      <c r="G70" s="111">
        <f t="shared" si="13"/>
        <v>1.9351502521620042E-4</v>
      </c>
      <c r="H70" s="111">
        <f t="shared" si="13"/>
        <v>3.1778210116314672E-4</v>
      </c>
      <c r="I70" s="111">
        <f t="shared" si="13"/>
        <v>5.1075420881257377E-4</v>
      </c>
      <c r="J70" s="110">
        <f t="shared" si="13"/>
        <v>8.0283349495235056E-4</v>
      </c>
      <c r="K70" s="68">
        <f t="shared" si="13"/>
        <v>1.8787527054332693E-3</v>
      </c>
      <c r="L70" s="68">
        <f t="shared" si="13"/>
        <v>3.0868077379214184E-3</v>
      </c>
      <c r="M70" s="68">
        <f t="shared" si="13"/>
        <v>4.029225894232805E-3</v>
      </c>
      <c r="N70" s="111">
        <f t="shared" si="13"/>
        <v>5.6463869049262899E-3</v>
      </c>
      <c r="O70" s="110">
        <f t="shared" si="13"/>
        <v>6.5938930407446299E-3</v>
      </c>
      <c r="P70" s="68">
        <f t="shared" si="13"/>
        <v>8.0951584000536203E-3</v>
      </c>
      <c r="Q70" s="68">
        <f t="shared" si="13"/>
        <v>9.9025649438682778E-3</v>
      </c>
      <c r="R70" s="68">
        <f t="shared" si="13"/>
        <v>1.1934449063489738E-2</v>
      </c>
      <c r="S70" s="111">
        <f t="shared" si="13"/>
        <v>1.4697290824374161E-2</v>
      </c>
      <c r="T70" s="111">
        <f t="shared" si="13"/>
        <v>1.6512365252573939E-2</v>
      </c>
      <c r="U70" s="111">
        <f t="shared" si="13"/>
        <v>1.8960771198057627E-2</v>
      </c>
      <c r="V70" s="111">
        <f t="shared" si="13"/>
        <v>2.1508932514763879E-2</v>
      </c>
      <c r="W70" s="111">
        <f t="shared" si="13"/>
        <v>2.417389852920776E-2</v>
      </c>
      <c r="X70" s="116">
        <f t="shared" si="13"/>
        <v>2.751546545026962E-2</v>
      </c>
      <c r="Y70" s="116">
        <f t="shared" si="13"/>
        <v>2.9759599579085472E-2</v>
      </c>
      <c r="Z70" s="116">
        <f t="shared" si="13"/>
        <v>3.2446849682186363E-2</v>
      </c>
      <c r="AA70" s="116">
        <f t="shared" si="13"/>
        <v>3.5320275955698081E-2</v>
      </c>
      <c r="AB70" s="116">
        <f t="shared" si="13"/>
        <v>3.825795418551832E-2</v>
      </c>
      <c r="AC70" s="116">
        <f t="shared" si="13"/>
        <v>4.1223440257894872E-2</v>
      </c>
      <c r="AD70" s="116">
        <f t="shared" si="13"/>
        <v>4.4770116692675756E-2</v>
      </c>
      <c r="AE70" s="116">
        <f t="shared" si="13"/>
        <v>4.8254480545543883E-2</v>
      </c>
      <c r="AF70" s="116">
        <f t="shared" si="13"/>
        <v>5.1752304196818665E-2</v>
      </c>
      <c r="AG70" s="116">
        <f t="shared" si="13"/>
        <v>5.5294183599699023E-2</v>
      </c>
      <c r="AH70" s="116">
        <f t="shared" si="13"/>
        <v>5.9641246503148233E-2</v>
      </c>
      <c r="AI70" s="116">
        <f t="shared" si="13"/>
        <v>6.2773519125235086E-2</v>
      </c>
      <c r="AJ70" s="116">
        <f t="shared" si="13"/>
        <v>6.6328613166533365E-2</v>
      </c>
      <c r="AK70" s="116">
        <f t="shared" si="13"/>
        <v>7.0071622980489259E-2</v>
      </c>
      <c r="AL70" s="116">
        <f t="shared" si="13"/>
        <v>7.3896667403816452E-2</v>
      </c>
      <c r="AM70" s="116">
        <f t="shared" si="13"/>
        <v>7.7778028705938029E-2</v>
      </c>
    </row>
    <row r="71" spans="2:39" x14ac:dyDescent="0.25">
      <c r="B71" s="229"/>
      <c r="C71" s="35" t="s">
        <v>28</v>
      </c>
      <c r="D71" s="54" t="s">
        <v>427</v>
      </c>
      <c r="E71" s="111">
        <f t="shared" ref="E71:AM71" si="14">E29/E$26</f>
        <v>3.4135166076696166E-6</v>
      </c>
      <c r="F71" s="111">
        <f t="shared" si="14"/>
        <v>1.7288770590608989E-4</v>
      </c>
      <c r="G71" s="111">
        <f t="shared" si="14"/>
        <v>2.7551474732523135E-4</v>
      </c>
      <c r="H71" s="111">
        <f t="shared" si="14"/>
        <v>4.0011904153993522E-4</v>
      </c>
      <c r="I71" s="111">
        <f t="shared" si="14"/>
        <v>5.8028428921734336E-4</v>
      </c>
      <c r="J71" s="110">
        <f t="shared" si="14"/>
        <v>8.3704377217147876E-4</v>
      </c>
      <c r="K71" s="68">
        <f t="shared" si="14"/>
        <v>1.6104257468591279E-3</v>
      </c>
      <c r="L71" s="68">
        <f t="shared" si="14"/>
        <v>2.4637551809613021E-3</v>
      </c>
      <c r="M71" s="68">
        <f t="shared" si="14"/>
        <v>3.1667799976778281E-3</v>
      </c>
      <c r="N71" s="111">
        <f t="shared" si="14"/>
        <v>4.2871217077953107E-3</v>
      </c>
      <c r="O71" s="110">
        <f t="shared" si="14"/>
        <v>5.0293619027371225E-3</v>
      </c>
      <c r="P71" s="68">
        <f t="shared" si="14"/>
        <v>6.1109582299885973E-3</v>
      </c>
      <c r="Q71" s="68">
        <f t="shared" si="14"/>
        <v>7.3793122826806704E-3</v>
      </c>
      <c r="R71" s="68">
        <f t="shared" si="14"/>
        <v>8.779092717302853E-3</v>
      </c>
      <c r="S71" s="111">
        <f t="shared" si="14"/>
        <v>1.0583858659707337E-2</v>
      </c>
      <c r="T71" s="111">
        <f t="shared" si="14"/>
        <v>1.1851599118667209E-2</v>
      </c>
      <c r="U71" s="111">
        <f t="shared" si="14"/>
        <v>1.3456437296131147E-2</v>
      </c>
      <c r="V71" s="111">
        <f t="shared" si="14"/>
        <v>1.509610932512841E-2</v>
      </c>
      <c r="W71" s="111">
        <f t="shared" si="14"/>
        <v>1.6774861851458274E-2</v>
      </c>
      <c r="X71" s="116">
        <f t="shared" si="14"/>
        <v>1.8777255567027088E-2</v>
      </c>
      <c r="Y71" s="116">
        <f t="shared" si="14"/>
        <v>2.0183207945250622E-2</v>
      </c>
      <c r="Z71" s="116">
        <f t="shared" si="14"/>
        <v>2.1789393409541134E-2</v>
      </c>
      <c r="AA71" s="116">
        <f t="shared" si="14"/>
        <v>2.3458429442975794E-2</v>
      </c>
      <c r="AB71" s="116">
        <f t="shared" si="14"/>
        <v>2.5126177487305744E-2</v>
      </c>
      <c r="AC71" s="116">
        <f t="shared" si="14"/>
        <v>2.6773555649477414E-2</v>
      </c>
      <c r="AD71" s="116">
        <f t="shared" si="14"/>
        <v>2.8655255114021227E-2</v>
      </c>
      <c r="AE71" s="116">
        <f t="shared" si="14"/>
        <v>3.0462220839999145E-2</v>
      </c>
      <c r="AF71" s="116">
        <f t="shared" si="14"/>
        <v>3.2230100640242343E-2</v>
      </c>
      <c r="AG71" s="116">
        <f t="shared" si="14"/>
        <v>3.3971672524342592E-2</v>
      </c>
      <c r="AH71" s="116">
        <f t="shared" si="14"/>
        <v>3.5996097482566242E-2</v>
      </c>
      <c r="AI71" s="116">
        <f t="shared" si="14"/>
        <v>3.7475174227928953E-2</v>
      </c>
      <c r="AJ71" s="116">
        <f t="shared" si="14"/>
        <v>3.9081171162998085E-2</v>
      </c>
      <c r="AK71" s="116">
        <f t="shared" si="14"/>
        <v>4.071208409053359E-2</v>
      </c>
      <c r="AL71" s="116">
        <f t="shared" si="14"/>
        <v>4.2323221137673409E-2</v>
      </c>
      <c r="AM71" s="116">
        <f t="shared" si="14"/>
        <v>4.39029517856388E-2</v>
      </c>
    </row>
    <row r="72" spans="2:39" x14ac:dyDescent="0.25">
      <c r="B72" s="229"/>
      <c r="C72" s="35" t="s">
        <v>29</v>
      </c>
      <c r="D72" s="54" t="s">
        <v>428</v>
      </c>
      <c r="E72" s="111">
        <f t="shared" ref="E72:AM72" si="15">E30/E$26</f>
        <v>1.3974799536451749E-5</v>
      </c>
      <c r="F72" s="111">
        <f t="shared" si="15"/>
        <v>4.1537047331279789E-4</v>
      </c>
      <c r="G72" s="111">
        <f t="shared" si="15"/>
        <v>8.6486603785742601E-4</v>
      </c>
      <c r="H72" s="111">
        <f t="shared" si="15"/>
        <v>1.1259215846792085E-3</v>
      </c>
      <c r="I72" s="111">
        <f t="shared" si="15"/>
        <v>1.4583615152972014E-3</v>
      </c>
      <c r="J72" s="110">
        <f t="shared" si="15"/>
        <v>1.8760566599106611E-3</v>
      </c>
      <c r="K72" s="68">
        <f t="shared" si="15"/>
        <v>2.5191093920846311E-3</v>
      </c>
      <c r="L72" s="68">
        <f t="shared" si="15"/>
        <v>3.2335804997395282E-3</v>
      </c>
      <c r="M72" s="68">
        <f t="shared" si="15"/>
        <v>3.9883391517568168E-3</v>
      </c>
      <c r="N72" s="111">
        <f t="shared" si="15"/>
        <v>4.9033007526473101E-3</v>
      </c>
      <c r="O72" s="110">
        <f t="shared" si="15"/>
        <v>5.827380986707301E-3</v>
      </c>
      <c r="P72" s="68">
        <f t="shared" si="15"/>
        <v>6.8740923935164382E-3</v>
      </c>
      <c r="Q72" s="68">
        <f t="shared" si="15"/>
        <v>7.9944231942335204E-3</v>
      </c>
      <c r="R72" s="68">
        <f t="shared" si="15"/>
        <v>9.1541724559605925E-3</v>
      </c>
      <c r="S72" s="111">
        <f t="shared" si="15"/>
        <v>1.0352329878411923E-2</v>
      </c>
      <c r="T72" s="111">
        <f t="shared" si="15"/>
        <v>1.1476169581744331E-2</v>
      </c>
      <c r="U72" s="111">
        <f t="shared" si="15"/>
        <v>1.2588917242448285E-2</v>
      </c>
      <c r="V72" s="111">
        <f t="shared" si="15"/>
        <v>1.3647048315189036E-2</v>
      </c>
      <c r="W72" s="111">
        <f t="shared" si="15"/>
        <v>1.4638786053900565E-2</v>
      </c>
      <c r="X72" s="116">
        <f t="shared" si="15"/>
        <v>1.555021329924545E-2</v>
      </c>
      <c r="Y72" s="116">
        <f t="shared" si="15"/>
        <v>1.6390813810473078E-2</v>
      </c>
      <c r="Z72" s="116">
        <f t="shared" si="15"/>
        <v>1.7149643591462222E-2</v>
      </c>
      <c r="AA72" s="116">
        <f t="shared" si="15"/>
        <v>1.7824058058341866E-2</v>
      </c>
      <c r="AB72" s="116">
        <f t="shared" si="15"/>
        <v>1.8415965718538069E-2</v>
      </c>
      <c r="AC72" s="116">
        <f t="shared" si="15"/>
        <v>1.8928137084284914E-2</v>
      </c>
      <c r="AD72" s="116">
        <f t="shared" si="15"/>
        <v>1.9314630721674511E-2</v>
      </c>
      <c r="AE72" s="116">
        <f t="shared" si="15"/>
        <v>1.9617861494431645E-2</v>
      </c>
      <c r="AF72" s="116">
        <f t="shared" si="15"/>
        <v>1.9835449411865172E-2</v>
      </c>
      <c r="AG72" s="116">
        <f t="shared" si="15"/>
        <v>1.9966135816062595E-2</v>
      </c>
      <c r="AH72" s="116">
        <f t="shared" si="15"/>
        <v>1.9892929982636139E-2</v>
      </c>
      <c r="AI72" s="116">
        <f t="shared" si="15"/>
        <v>1.9927746312021089E-2</v>
      </c>
      <c r="AJ72" s="116">
        <f t="shared" si="15"/>
        <v>1.9823979927899367E-2</v>
      </c>
      <c r="AK72" s="116">
        <f t="shared" si="15"/>
        <v>1.9613519054314927E-2</v>
      </c>
      <c r="AL72" s="116">
        <f t="shared" si="15"/>
        <v>1.931388958851073E-2</v>
      </c>
      <c r="AM72" s="116">
        <f t="shared" si="15"/>
        <v>1.8930556720956875E-2</v>
      </c>
    </row>
    <row r="73" spans="2:39" x14ac:dyDescent="0.25">
      <c r="B73" s="229"/>
      <c r="C73" s="35" t="s">
        <v>30</v>
      </c>
      <c r="D73" s="54" t="s">
        <v>429</v>
      </c>
      <c r="E73" s="111">
        <f t="shared" ref="E73:AM73" si="16">E31/E$26</f>
        <v>3.2829324167720186E-4</v>
      </c>
      <c r="F73" s="111">
        <f t="shared" si="16"/>
        <v>9.0083154288294037E-3</v>
      </c>
      <c r="G73" s="111">
        <f t="shared" si="16"/>
        <v>1.9619563170280369E-2</v>
      </c>
      <c r="H73" s="111">
        <f t="shared" si="16"/>
        <v>2.5108294988800614E-2</v>
      </c>
      <c r="I73" s="111">
        <f t="shared" si="16"/>
        <v>3.1892499943709345E-2</v>
      </c>
      <c r="J73" s="110">
        <f t="shared" si="16"/>
        <v>4.0142704898165155E-2</v>
      </c>
      <c r="K73" s="68">
        <f t="shared" si="16"/>
        <v>4.9717027608670132E-2</v>
      </c>
      <c r="L73" s="68">
        <f t="shared" si="16"/>
        <v>6.109986536377409E-2</v>
      </c>
      <c r="M73" s="68">
        <f t="shared" si="16"/>
        <v>7.4605383402944606E-2</v>
      </c>
      <c r="N73" s="111">
        <f t="shared" si="16"/>
        <v>8.9673904953527728E-2</v>
      </c>
      <c r="O73" s="110">
        <f t="shared" si="16"/>
        <v>0.10688645623687588</v>
      </c>
      <c r="P73" s="68">
        <f t="shared" si="16"/>
        <v>0.12525443349582407</v>
      </c>
      <c r="Q73" s="68">
        <f t="shared" si="16"/>
        <v>0.14450277865788991</v>
      </c>
      <c r="R73" s="68">
        <f t="shared" si="16"/>
        <v>0.16420383024952157</v>
      </c>
      <c r="S73" s="111">
        <f t="shared" si="16"/>
        <v>0.18359194313480151</v>
      </c>
      <c r="T73" s="111">
        <f t="shared" si="16"/>
        <v>0.20319552133212637</v>
      </c>
      <c r="U73" s="111">
        <f t="shared" si="16"/>
        <v>0.22177131201832784</v>
      </c>
      <c r="V73" s="111">
        <f t="shared" si="16"/>
        <v>0.23937596463977526</v>
      </c>
      <c r="W73" s="111">
        <f t="shared" si="16"/>
        <v>0.25584404539340938</v>
      </c>
      <c r="X73" s="116">
        <f t="shared" si="16"/>
        <v>0.27077834217732472</v>
      </c>
      <c r="Y73" s="116">
        <f t="shared" si="16"/>
        <v>0.28518485711264835</v>
      </c>
      <c r="Z73" s="116">
        <f t="shared" si="16"/>
        <v>0.29820156026794903</v>
      </c>
      <c r="AA73" s="116">
        <f t="shared" si="16"/>
        <v>0.31002987635055518</v>
      </c>
      <c r="AB73" s="116">
        <f t="shared" si="16"/>
        <v>0.3208083193487074</v>
      </c>
      <c r="AC73" s="116">
        <f t="shared" si="16"/>
        <v>0.33063326376887592</v>
      </c>
      <c r="AD73" s="116">
        <f t="shared" si="16"/>
        <v>0.33926091545906994</v>
      </c>
      <c r="AE73" s="116">
        <f t="shared" si="16"/>
        <v>0.34713954325805857</v>
      </c>
      <c r="AF73" s="116">
        <f t="shared" si="16"/>
        <v>0.35429628675818026</v>
      </c>
      <c r="AG73" s="116">
        <f t="shared" si="16"/>
        <v>0.36077959926301667</v>
      </c>
      <c r="AH73" s="116">
        <f t="shared" si="16"/>
        <v>0.36621053946561605</v>
      </c>
      <c r="AI73" s="116">
        <f t="shared" si="16"/>
        <v>0.37181111340321515</v>
      </c>
      <c r="AJ73" s="116">
        <f t="shared" si="16"/>
        <v>0.37668519958697455</v>
      </c>
      <c r="AK73" s="116">
        <f t="shared" si="16"/>
        <v>0.38101391861639861</v>
      </c>
      <c r="AL73" s="116">
        <f t="shared" si="16"/>
        <v>0.38489885788628109</v>
      </c>
      <c r="AM73" s="116">
        <f t="shared" si="16"/>
        <v>0.38839126397875695</v>
      </c>
    </row>
    <row r="74" spans="2:39" x14ac:dyDescent="0.25">
      <c r="B74" s="229"/>
      <c r="C74" s="35" t="s">
        <v>31</v>
      </c>
      <c r="D74" s="54" t="s">
        <v>430</v>
      </c>
      <c r="E74" s="111">
        <f t="shared" ref="E74:AM74" si="17">E32/E$26</f>
        <v>1.2939289806152549E-4</v>
      </c>
      <c r="F74" s="111">
        <f t="shared" si="17"/>
        <v>3.4871934876908577E-3</v>
      </c>
      <c r="G74" s="111">
        <f t="shared" si="17"/>
        <v>7.6762619036166669E-3</v>
      </c>
      <c r="H74" s="111">
        <f t="shared" si="17"/>
        <v>9.7857315308382525E-3</v>
      </c>
      <c r="I74" s="111">
        <f t="shared" si="17"/>
        <v>1.2371673955009254E-2</v>
      </c>
      <c r="J74" s="110">
        <f t="shared" si="17"/>
        <v>1.5485186864759928E-2</v>
      </c>
      <c r="K74" s="68">
        <f t="shared" si="17"/>
        <v>1.8698917917014713E-2</v>
      </c>
      <c r="L74" s="68">
        <f t="shared" si="17"/>
        <v>2.2562458132453271E-2</v>
      </c>
      <c r="M74" s="68">
        <f t="shared" si="17"/>
        <v>2.7411309515309002E-2</v>
      </c>
      <c r="N74" s="111">
        <f t="shared" si="17"/>
        <v>3.2524375014439076E-2</v>
      </c>
      <c r="O74" s="110">
        <f t="shared" si="17"/>
        <v>3.883867520766373E-2</v>
      </c>
      <c r="P74" s="68">
        <f t="shared" si="17"/>
        <v>4.5320437711979307E-2</v>
      </c>
      <c r="Q74" s="68">
        <f t="shared" si="17"/>
        <v>5.199228629252562E-2</v>
      </c>
      <c r="R74" s="68">
        <f t="shared" si="17"/>
        <v>5.8729368748706892E-2</v>
      </c>
      <c r="S74" s="111">
        <f t="shared" si="17"/>
        <v>6.497496125951352E-2</v>
      </c>
      <c r="T74" s="111">
        <f t="shared" si="17"/>
        <v>7.1789104860326691E-2</v>
      </c>
      <c r="U74" s="111">
        <f t="shared" si="17"/>
        <v>7.7882392940836306E-2</v>
      </c>
      <c r="V74" s="111">
        <f t="shared" si="17"/>
        <v>8.3549205270548543E-2</v>
      </c>
      <c r="W74" s="111">
        <f t="shared" si="17"/>
        <v>8.8718561720162847E-2</v>
      </c>
      <c r="X74" s="116">
        <f t="shared" si="17"/>
        <v>9.297188287370621E-2</v>
      </c>
      <c r="Y74" s="116">
        <f t="shared" si="17"/>
        <v>9.755029908939597E-2</v>
      </c>
      <c r="Z74" s="116">
        <f t="shared" si="17"/>
        <v>0.10138350387738909</v>
      </c>
      <c r="AA74" s="116">
        <f t="shared" si="17"/>
        <v>0.10467816612867069</v>
      </c>
      <c r="AB74" s="116">
        <f t="shared" si="17"/>
        <v>0.10754927795941162</v>
      </c>
      <c r="AC74" s="116">
        <f t="shared" si="17"/>
        <v>0.11005399272549905</v>
      </c>
      <c r="AD74" s="116">
        <f t="shared" si="17"/>
        <v>0.1118670134166873</v>
      </c>
      <c r="AE74" s="116">
        <f t="shared" si="17"/>
        <v>0.11344954640107537</v>
      </c>
      <c r="AF74" s="116">
        <f t="shared" si="17"/>
        <v>0.11478196061621632</v>
      </c>
      <c r="AG74" s="116">
        <f t="shared" si="17"/>
        <v>0.11587408645514251</v>
      </c>
      <c r="AH74" s="116">
        <f t="shared" si="17"/>
        <v>0.11630933288229854</v>
      </c>
      <c r="AI74" s="116">
        <f t="shared" si="17"/>
        <v>0.11729454376132492</v>
      </c>
      <c r="AJ74" s="116">
        <f t="shared" si="17"/>
        <v>0.11789047953647198</v>
      </c>
      <c r="AK74" s="116">
        <f t="shared" si="17"/>
        <v>0.11826109172956091</v>
      </c>
      <c r="AL74" s="116">
        <f t="shared" si="17"/>
        <v>0.1184871545772796</v>
      </c>
      <c r="AM74" s="116">
        <f t="shared" si="17"/>
        <v>0.1186004255160424</v>
      </c>
    </row>
    <row r="75" spans="2:39" x14ac:dyDescent="0.25">
      <c r="B75" s="229"/>
      <c r="C75" s="35" t="s">
        <v>32</v>
      </c>
      <c r="D75" s="54" t="s">
        <v>431</v>
      </c>
      <c r="E75" s="111">
        <f t="shared" ref="E75:AM75" si="18">E33/E$26</f>
        <v>1.7640320733249051E-6</v>
      </c>
      <c r="F75" s="111">
        <f t="shared" si="18"/>
        <v>1.3723533398234477E-5</v>
      </c>
      <c r="G75" s="111">
        <f t="shared" si="18"/>
        <v>2.6578979299754687E-5</v>
      </c>
      <c r="H75" s="111">
        <f t="shared" si="18"/>
        <v>3.8244370357210769E-5</v>
      </c>
      <c r="I75" s="111">
        <f t="shared" si="18"/>
        <v>4.8583082303538475E-5</v>
      </c>
      <c r="J75" s="110">
        <f t="shared" si="18"/>
        <v>6.1161701385569056E-5</v>
      </c>
      <c r="K75" s="68">
        <f t="shared" si="18"/>
        <v>7.5857670231407973E-5</v>
      </c>
      <c r="L75" s="68">
        <f t="shared" si="18"/>
        <v>9.3379308165823631E-5</v>
      </c>
      <c r="M75" s="68">
        <f t="shared" si="18"/>
        <v>1.1408130123713892E-4</v>
      </c>
      <c r="N75" s="111">
        <f t="shared" si="18"/>
        <v>1.3733560591172331E-4</v>
      </c>
      <c r="O75" s="110">
        <f t="shared" si="18"/>
        <v>1.6365820982557365E-4</v>
      </c>
      <c r="P75" s="68">
        <f t="shared" si="18"/>
        <v>1.9188730185485504E-4</v>
      </c>
      <c r="Q75" s="68">
        <f t="shared" si="18"/>
        <v>2.2154472569059372E-4</v>
      </c>
      <c r="R75" s="68">
        <f t="shared" si="18"/>
        <v>2.5196617606696727E-4</v>
      </c>
      <c r="S75" s="111">
        <f t="shared" si="18"/>
        <v>2.8217968537286558E-4</v>
      </c>
      <c r="T75" s="111">
        <f t="shared" si="18"/>
        <v>3.1239861669557956E-4</v>
      </c>
      <c r="U75" s="111">
        <f t="shared" si="18"/>
        <v>3.4130532330416358E-4</v>
      </c>
      <c r="V75" s="111">
        <f t="shared" si="18"/>
        <v>3.6880263938225553E-4</v>
      </c>
      <c r="W75" s="111">
        <f t="shared" si="18"/>
        <v>3.9465382573039646E-4</v>
      </c>
      <c r="X75" s="116">
        <f t="shared" si="18"/>
        <v>4.1851264472679035E-4</v>
      </c>
      <c r="Y75" s="116">
        <f t="shared" si="18"/>
        <v>4.4112496384873974E-4</v>
      </c>
      <c r="Z75" s="116">
        <f t="shared" si="18"/>
        <v>4.6186443751935856E-4</v>
      </c>
      <c r="AA75" s="116">
        <f t="shared" si="18"/>
        <v>4.8093204220465833E-4</v>
      </c>
      <c r="AB75" s="116">
        <f t="shared" si="18"/>
        <v>4.9848600200303481E-4</v>
      </c>
      <c r="AC75" s="116">
        <f t="shared" si="18"/>
        <v>5.1465666987563494E-4</v>
      </c>
      <c r="AD75" s="116">
        <f t="shared" si="18"/>
        <v>5.2937706610564357E-4</v>
      </c>
      <c r="AE75" s="116">
        <f t="shared" si="18"/>
        <v>5.4299520683546943E-4</v>
      </c>
      <c r="AF75" s="116">
        <f t="shared" si="18"/>
        <v>5.5559045563780029E-4</v>
      </c>
      <c r="AG75" s="116">
        <f t="shared" si="18"/>
        <v>5.6725284580392882E-4</v>
      </c>
      <c r="AH75" s="116">
        <f t="shared" si="18"/>
        <v>5.7788131234007864E-4</v>
      </c>
      <c r="AI75" s="116">
        <f t="shared" si="18"/>
        <v>5.8807309612485411E-4</v>
      </c>
      <c r="AJ75" s="116">
        <f t="shared" si="18"/>
        <v>5.9748118123828444E-4</v>
      </c>
      <c r="AK75" s="116">
        <f t="shared" si="18"/>
        <v>6.062380015626215E-4</v>
      </c>
      <c r="AL75" s="116">
        <f t="shared" si="18"/>
        <v>6.1442949630762498E-4</v>
      </c>
      <c r="AM75" s="116">
        <f t="shared" si="18"/>
        <v>6.2211450113696862E-4</v>
      </c>
    </row>
    <row r="76" spans="2:39" x14ac:dyDescent="0.25">
      <c r="B76" s="229"/>
      <c r="C76" s="35" t="s">
        <v>33</v>
      </c>
      <c r="D76" s="54" t="s">
        <v>432</v>
      </c>
      <c r="E76" s="126">
        <f t="shared" ref="E76:AM76" si="19">E34/E$26</f>
        <v>2.1672394058154232E-5</v>
      </c>
      <c r="F76" s="126">
        <f t="shared" si="19"/>
        <v>5.2035072848869845E-4</v>
      </c>
      <c r="G76" s="126">
        <f t="shared" si="19"/>
        <v>1.2259966411676138E-3</v>
      </c>
      <c r="H76" s="126">
        <f t="shared" si="19"/>
        <v>1.5244909222060241E-3</v>
      </c>
      <c r="I76" s="126">
        <f t="shared" si="19"/>
        <v>1.870651224024232E-3</v>
      </c>
      <c r="J76" s="125">
        <f t="shared" si="19"/>
        <v>2.2601977372186024E-3</v>
      </c>
      <c r="K76" s="69">
        <f t="shared" si="19"/>
        <v>2.336842650794509E-3</v>
      </c>
      <c r="L76" s="69">
        <f t="shared" si="19"/>
        <v>2.5324954345470139E-3</v>
      </c>
      <c r="M76" s="69">
        <f t="shared" si="19"/>
        <v>2.9897375205175845E-3</v>
      </c>
      <c r="N76" s="126">
        <f t="shared" si="19"/>
        <v>3.301002042151059E-3</v>
      </c>
      <c r="O76" s="125">
        <f t="shared" si="19"/>
        <v>3.9818153984364319E-3</v>
      </c>
      <c r="P76" s="69">
        <f t="shared" si="19"/>
        <v>4.539970779548496E-3</v>
      </c>
      <c r="Q76" s="69">
        <f t="shared" si="19"/>
        <v>5.0531991346636747E-3</v>
      </c>
      <c r="R76" s="69">
        <f t="shared" si="19"/>
        <v>5.5306708404204716E-3</v>
      </c>
      <c r="S76" s="126">
        <f t="shared" si="19"/>
        <v>5.7955641560123814E-3</v>
      </c>
      <c r="T76" s="126">
        <f t="shared" si="19"/>
        <v>6.3480543733656098E-3</v>
      </c>
      <c r="U76" s="126">
        <f t="shared" si="19"/>
        <v>6.6843909718794911E-3</v>
      </c>
      <c r="V76" s="126">
        <f t="shared" si="19"/>
        <v>6.9600583674852704E-3</v>
      </c>
      <c r="W76" s="126">
        <f t="shared" si="19"/>
        <v>7.1674069057461138E-3</v>
      </c>
      <c r="X76" s="119">
        <f t="shared" si="19"/>
        <v>7.1802060198047999E-3</v>
      </c>
      <c r="Y76" s="119">
        <f t="shared" si="19"/>
        <v>7.4100301326631484E-3</v>
      </c>
      <c r="Z76" s="119">
        <f t="shared" si="19"/>
        <v>7.5027653629563713E-3</v>
      </c>
      <c r="AA76" s="119">
        <f t="shared" si="19"/>
        <v>7.528111184859034E-3</v>
      </c>
      <c r="AB76" s="119">
        <f t="shared" si="19"/>
        <v>7.5193909115809643E-3</v>
      </c>
      <c r="AC76" s="119">
        <f t="shared" si="19"/>
        <v>7.4891413834442845E-3</v>
      </c>
      <c r="AD76" s="119">
        <f t="shared" si="19"/>
        <v>7.3606023085576377E-3</v>
      </c>
      <c r="AE76" s="119">
        <f t="shared" si="19"/>
        <v>7.2466896893286789E-3</v>
      </c>
      <c r="AF76" s="119">
        <f t="shared" si="19"/>
        <v>7.137051374158758E-3</v>
      </c>
      <c r="AG76" s="119">
        <f t="shared" si="19"/>
        <v>7.0300177600811599E-3</v>
      </c>
      <c r="AH76" s="119">
        <f t="shared" si="19"/>
        <v>6.8579409220226647E-3</v>
      </c>
      <c r="AI76" s="119">
        <f t="shared" si="19"/>
        <v>6.8102991157347982E-3</v>
      </c>
      <c r="AJ76" s="119">
        <f t="shared" si="19"/>
        <v>6.7333275714701064E-3</v>
      </c>
      <c r="AK76" s="119">
        <f t="shared" si="19"/>
        <v>6.6532875927901051E-3</v>
      </c>
      <c r="AL76" s="119">
        <f t="shared" si="19"/>
        <v>6.580233756065138E-3</v>
      </c>
      <c r="AM76" s="119">
        <f t="shared" si="19"/>
        <v>6.5163271267600804E-3</v>
      </c>
    </row>
    <row r="77" spans="2:39" x14ac:dyDescent="0.25">
      <c r="B77" s="229"/>
      <c r="C77" s="52" t="s">
        <v>46</v>
      </c>
      <c r="D77" s="52" t="s">
        <v>433</v>
      </c>
      <c r="E77" s="124">
        <f t="shared" ref="E77:AM77" si="20">E35/E$26</f>
        <v>0.99950000000000006</v>
      </c>
      <c r="F77" s="124">
        <f t="shared" si="20"/>
        <v>0.98622446192434809</v>
      </c>
      <c r="G77" s="124">
        <f t="shared" si="20"/>
        <v>0.97011770343352333</v>
      </c>
      <c r="H77" s="124">
        <f t="shared" si="20"/>
        <v>0.9616994155252282</v>
      </c>
      <c r="I77" s="124">
        <f t="shared" si="20"/>
        <v>0.95126719176800545</v>
      </c>
      <c r="J77" s="123">
        <f t="shared" si="20"/>
        <v>0.93853481492971791</v>
      </c>
      <c r="K77" s="67">
        <f t="shared" si="20"/>
        <v>0.92316306634612255</v>
      </c>
      <c r="L77" s="67">
        <f t="shared" si="20"/>
        <v>0.90492765842197487</v>
      </c>
      <c r="M77" s="67">
        <f t="shared" si="20"/>
        <v>0.88369514308984776</v>
      </c>
      <c r="N77" s="124">
        <f t="shared" si="20"/>
        <v>0.85952657206994365</v>
      </c>
      <c r="O77" s="123">
        <f t="shared" si="20"/>
        <v>0.83267875911448497</v>
      </c>
      <c r="P77" s="67">
        <f t="shared" si="20"/>
        <v>0.80361306205165106</v>
      </c>
      <c r="Q77" s="67">
        <f t="shared" si="20"/>
        <v>0.77295389092816325</v>
      </c>
      <c r="R77" s="67">
        <f t="shared" si="20"/>
        <v>0.74141644993158928</v>
      </c>
      <c r="S77" s="124">
        <f t="shared" si="20"/>
        <v>0.70972187211750137</v>
      </c>
      <c r="T77" s="124">
        <f t="shared" si="20"/>
        <v>0.67851478735048842</v>
      </c>
      <c r="U77" s="124">
        <f t="shared" si="20"/>
        <v>0.64831447290419653</v>
      </c>
      <c r="V77" s="124">
        <f t="shared" si="20"/>
        <v>0.61949387887095841</v>
      </c>
      <c r="W77" s="124">
        <f t="shared" si="20"/>
        <v>0.59228778589097542</v>
      </c>
      <c r="X77" s="118">
        <f t="shared" si="20"/>
        <v>0.56680812181140416</v>
      </c>
      <c r="Y77" s="118">
        <f t="shared" si="20"/>
        <v>0.54308006693074296</v>
      </c>
      <c r="Z77" s="118">
        <f t="shared" si="20"/>
        <v>0.52106441956685678</v>
      </c>
      <c r="AA77" s="118">
        <f t="shared" si="20"/>
        <v>0.5006801506377947</v>
      </c>
      <c r="AB77" s="118">
        <f t="shared" si="20"/>
        <v>0.48182442821716104</v>
      </c>
      <c r="AC77" s="118">
        <f t="shared" si="20"/>
        <v>0.46438381244626531</v>
      </c>
      <c r="AD77" s="118">
        <f t="shared" si="20"/>
        <v>0.44824208921191705</v>
      </c>
      <c r="AE77" s="118">
        <f t="shared" si="20"/>
        <v>0.43328666264353705</v>
      </c>
      <c r="AF77" s="118">
        <f t="shared" si="20"/>
        <v>0.41941125667509915</v>
      </c>
      <c r="AG77" s="118">
        <f t="shared" si="20"/>
        <v>0.40651705162797497</v>
      </c>
      <c r="AH77" s="118">
        <f t="shared" si="20"/>
        <v>0.39451403129751689</v>
      </c>
      <c r="AI77" s="118">
        <f t="shared" si="20"/>
        <v>0.38331953101187249</v>
      </c>
      <c r="AJ77" s="118">
        <f t="shared" si="20"/>
        <v>0.37285974795449273</v>
      </c>
      <c r="AK77" s="118">
        <f t="shared" si="20"/>
        <v>0.36306823803375493</v>
      </c>
      <c r="AL77" s="118">
        <f t="shared" si="20"/>
        <v>0.35388554611575435</v>
      </c>
      <c r="AM77" s="118">
        <f t="shared" si="20"/>
        <v>0.34525833153424434</v>
      </c>
    </row>
    <row r="78" spans="2:39" x14ac:dyDescent="0.25">
      <c r="B78" s="229"/>
      <c r="C78" s="35" t="s">
        <v>27</v>
      </c>
      <c r="D78" s="3" t="s">
        <v>434</v>
      </c>
      <c r="E78" s="111">
        <f t="shared" ref="E78:AM78" si="21">E36/E$26</f>
        <v>5.0000000000000001E-4</v>
      </c>
      <c r="F78" s="111">
        <f t="shared" si="21"/>
        <v>1.8106947387299545E-2</v>
      </c>
      <c r="G78" s="111">
        <f t="shared" si="21"/>
        <v>2.0047842651272244E-2</v>
      </c>
      <c r="H78" s="111">
        <f t="shared" si="21"/>
        <v>2.1837403626832452E-2</v>
      </c>
      <c r="I78" s="111">
        <f t="shared" si="21"/>
        <v>3.2810809764207208E-2</v>
      </c>
      <c r="J78" s="110">
        <f t="shared" si="21"/>
        <v>3.1305352649745606E-2</v>
      </c>
      <c r="K78" s="68">
        <f t="shared" si="21"/>
        <v>4.5254591045062922E-2</v>
      </c>
      <c r="L78" s="68">
        <f t="shared" si="21"/>
        <v>5.2173050499497824E-2</v>
      </c>
      <c r="M78" s="68">
        <f t="shared" si="21"/>
        <v>5.376227127843837E-2</v>
      </c>
      <c r="N78" s="111">
        <f t="shared" si="21"/>
        <v>5.7494127673224295E-2</v>
      </c>
      <c r="O78" s="110">
        <f t="shared" si="21"/>
        <v>5.5091472454188474E-2</v>
      </c>
      <c r="P78" s="68">
        <f t="shared" si="21"/>
        <v>5.5050433021626814E-2</v>
      </c>
      <c r="Q78" s="68">
        <f t="shared" si="21"/>
        <v>5.558733964831359E-2</v>
      </c>
      <c r="R78" s="68">
        <f t="shared" si="21"/>
        <v>5.6135545456223207E-2</v>
      </c>
      <c r="S78" s="111">
        <f t="shared" si="21"/>
        <v>5.7730397790527972E-2</v>
      </c>
      <c r="T78" s="111">
        <f t="shared" si="21"/>
        <v>5.6369380159891624E-2</v>
      </c>
      <c r="U78" s="111">
        <f t="shared" si="21"/>
        <v>5.6257900179800174E-2</v>
      </c>
      <c r="V78" s="111">
        <f t="shared" si="21"/>
        <v>5.6271893192424371E-2</v>
      </c>
      <c r="W78" s="111">
        <f t="shared" si="21"/>
        <v>5.6041001696678416E-2</v>
      </c>
      <c r="X78" s="116">
        <f t="shared" si="21"/>
        <v>5.7182087401776396E-2</v>
      </c>
      <c r="Y78" s="116">
        <f t="shared" si="21"/>
        <v>5.6415404235089645E-2</v>
      </c>
      <c r="Z78" s="116">
        <f t="shared" si="21"/>
        <v>5.6032761733258156E-2</v>
      </c>
      <c r="AA78" s="116">
        <f t="shared" si="21"/>
        <v>5.6034417521660815E-2</v>
      </c>
      <c r="AB78" s="116">
        <f t="shared" si="21"/>
        <v>5.6069856734422378E-2</v>
      </c>
      <c r="AC78" s="116">
        <f t="shared" si="21"/>
        <v>5.6071800098188324E-2</v>
      </c>
      <c r="AD78" s="116">
        <f t="shared" si="21"/>
        <v>5.672485613847994E-2</v>
      </c>
      <c r="AE78" s="116">
        <f t="shared" si="21"/>
        <v>5.7316901549450204E-2</v>
      </c>
      <c r="AF78" s="116">
        <f t="shared" si="21"/>
        <v>5.7855764732563618E-2</v>
      </c>
      <c r="AG78" s="116">
        <f t="shared" si="21"/>
        <v>5.8445527064704385E-2</v>
      </c>
      <c r="AH78" s="116">
        <f t="shared" si="21"/>
        <v>5.9556152909373251E-2</v>
      </c>
      <c r="AI78" s="116">
        <f t="shared" si="21"/>
        <v>5.9965749539966959E-2</v>
      </c>
      <c r="AJ78" s="116">
        <f t="shared" si="21"/>
        <v>6.0629736044577033E-2</v>
      </c>
      <c r="AK78" s="116">
        <f t="shared" si="21"/>
        <v>6.1441504370028099E-2</v>
      </c>
      <c r="AL78" s="116">
        <f t="shared" si="21"/>
        <v>6.2273069840858369E-2</v>
      </c>
      <c r="AM78" s="116">
        <f t="shared" si="21"/>
        <v>6.309007596537855E-2</v>
      </c>
    </row>
    <row r="79" spans="2:39" x14ac:dyDescent="0.25">
      <c r="B79" s="229"/>
      <c r="C79" s="35" t="s">
        <v>28</v>
      </c>
      <c r="D79" s="3" t="s">
        <v>435</v>
      </c>
      <c r="E79" s="111">
        <f t="shared" ref="E79:AM79" si="22">E37/E$26</f>
        <v>0.18</v>
      </c>
      <c r="F79" s="111">
        <f t="shared" si="22"/>
        <v>0.18790975795034703</v>
      </c>
      <c r="G79" s="111">
        <f t="shared" si="22"/>
        <v>0.18537705906589788</v>
      </c>
      <c r="H79" s="111">
        <f t="shared" si="22"/>
        <v>0.18488623864104034</v>
      </c>
      <c r="I79" s="111">
        <f t="shared" si="22"/>
        <v>0.19006941455089454</v>
      </c>
      <c r="J79" s="110">
        <f t="shared" si="22"/>
        <v>0.18520563520881633</v>
      </c>
      <c r="K79" s="68">
        <f t="shared" si="22"/>
        <v>0.19056225826229875</v>
      </c>
      <c r="L79" s="68">
        <f t="shared" si="22"/>
        <v>0.1901059174475529</v>
      </c>
      <c r="M79" s="68">
        <f t="shared" si="22"/>
        <v>0.18668936938608938</v>
      </c>
      <c r="N79" s="111">
        <f t="shared" si="22"/>
        <v>0.18360778312377554</v>
      </c>
      <c r="O79" s="110">
        <f t="shared" si="22"/>
        <v>0.17754940450472118</v>
      </c>
      <c r="P79" s="68">
        <f t="shared" si="22"/>
        <v>0.1718329532585641</v>
      </c>
      <c r="Q79" s="68">
        <f t="shared" si="22"/>
        <v>0.16604130073953433</v>
      </c>
      <c r="R79" s="68">
        <f t="shared" si="22"/>
        <v>0.16006851136878544</v>
      </c>
      <c r="S79" s="111">
        <f t="shared" si="22"/>
        <v>0.15444483838529346</v>
      </c>
      <c r="T79" s="111">
        <f t="shared" si="22"/>
        <v>0.1477798154760076</v>
      </c>
      <c r="U79" s="111">
        <f t="shared" si="22"/>
        <v>0.14169091767147401</v>
      </c>
      <c r="V79" s="111">
        <f t="shared" si="22"/>
        <v>0.13591460450322196</v>
      </c>
      <c r="W79" s="111">
        <f t="shared" si="22"/>
        <v>0.13034221037567609</v>
      </c>
      <c r="X79" s="116">
        <f t="shared" si="22"/>
        <v>0.12547101305926725</v>
      </c>
      <c r="Y79" s="116">
        <f t="shared" si="22"/>
        <v>0.12042735635276984</v>
      </c>
      <c r="Z79" s="116">
        <f t="shared" si="22"/>
        <v>0.1158464366469943</v>
      </c>
      <c r="AA79" s="116">
        <f t="shared" si="22"/>
        <v>0.11169526316119216</v>
      </c>
      <c r="AB79" s="116">
        <f t="shared" si="22"/>
        <v>0.10784260405834041</v>
      </c>
      <c r="AC79" s="116">
        <f t="shared" si="22"/>
        <v>0.10424888998175592</v>
      </c>
      <c r="AD79" s="116">
        <f t="shared" si="22"/>
        <v>0.10099269879013391</v>
      </c>
      <c r="AE79" s="116">
        <f t="shared" si="22"/>
        <v>9.7933006456177418E-2</v>
      </c>
      <c r="AF79" s="116">
        <f t="shared" si="22"/>
        <v>9.5050699911939138E-2</v>
      </c>
      <c r="AG79" s="116">
        <f t="shared" si="22"/>
        <v>9.2354837747706739E-2</v>
      </c>
      <c r="AH79" s="116">
        <f t="shared" si="22"/>
        <v>8.9927242263746224E-2</v>
      </c>
      <c r="AI79" s="116">
        <f t="shared" si="22"/>
        <v>8.7424034892042965E-2</v>
      </c>
      <c r="AJ79" s="116">
        <f t="shared" si="22"/>
        <v>8.5095868125171642E-2</v>
      </c>
      <c r="AK79" s="116">
        <f t="shared" si="22"/>
        <v>8.2906067139465495E-2</v>
      </c>
      <c r="AL79" s="116">
        <f t="shared" si="22"/>
        <v>8.0819737508502354E-2</v>
      </c>
      <c r="AM79" s="116">
        <f t="shared" si="22"/>
        <v>7.882096771238993E-2</v>
      </c>
    </row>
    <row r="80" spans="2:39" x14ac:dyDescent="0.25">
      <c r="B80" s="229"/>
      <c r="C80" s="35" t="s">
        <v>29</v>
      </c>
      <c r="D80" s="3" t="s">
        <v>436</v>
      </c>
      <c r="E80" s="111">
        <f t="shared" ref="E80:AM80" si="23">E38/E$26</f>
        <v>0.28400000000000003</v>
      </c>
      <c r="F80" s="111">
        <f t="shared" si="23"/>
        <v>0.28562325664931787</v>
      </c>
      <c r="G80" s="111">
        <f t="shared" si="23"/>
        <v>0.28143930995552108</v>
      </c>
      <c r="H80" s="111">
        <f t="shared" si="23"/>
        <v>0.27983603572196958</v>
      </c>
      <c r="I80" s="111">
        <f t="shared" si="23"/>
        <v>0.2803807007883517</v>
      </c>
      <c r="J80" s="110">
        <f t="shared" si="23"/>
        <v>0.27605520728110694</v>
      </c>
      <c r="K80" s="68">
        <f t="shared" si="23"/>
        <v>0.27404115304817966</v>
      </c>
      <c r="L80" s="68">
        <f t="shared" si="23"/>
        <v>0.26832199727888906</v>
      </c>
      <c r="M80" s="68">
        <f t="shared" si="23"/>
        <v>0.26182135708267945</v>
      </c>
      <c r="N80" s="111">
        <f t="shared" si="23"/>
        <v>0.25425265155362925</v>
      </c>
      <c r="O80" s="110">
        <f t="shared" si="23"/>
        <v>0.24633516116443699</v>
      </c>
      <c r="P80" s="68">
        <f t="shared" si="23"/>
        <v>0.23749480468061526</v>
      </c>
      <c r="Q80" s="68">
        <f t="shared" si="23"/>
        <v>0.22810885441651349</v>
      </c>
      <c r="R80" s="68">
        <f t="shared" si="23"/>
        <v>0.21842994524910117</v>
      </c>
      <c r="S80" s="111">
        <f t="shared" si="23"/>
        <v>0.20854743488827338</v>
      </c>
      <c r="T80" s="111">
        <f t="shared" si="23"/>
        <v>0.19914716757498993</v>
      </c>
      <c r="U80" s="111">
        <f t="shared" si="23"/>
        <v>0.18986470813801901</v>
      </c>
      <c r="V80" s="111">
        <f t="shared" si="23"/>
        <v>0.18097142941360478</v>
      </c>
      <c r="W80" s="111">
        <f t="shared" si="23"/>
        <v>0.17259002487455963</v>
      </c>
      <c r="X80" s="116">
        <f t="shared" si="23"/>
        <v>0.1644706630778151</v>
      </c>
      <c r="Y80" s="116">
        <f t="shared" si="23"/>
        <v>0.15722940998921078</v>
      </c>
      <c r="Z80" s="116">
        <f t="shared" si="23"/>
        <v>0.15044012041821087</v>
      </c>
      <c r="AA80" s="116">
        <f t="shared" si="23"/>
        <v>0.1440677400042156</v>
      </c>
      <c r="AB80" s="116">
        <f t="shared" si="23"/>
        <v>0.13814649786415972</v>
      </c>
      <c r="AC80" s="116">
        <f t="shared" si="23"/>
        <v>0.13265804773543988</v>
      </c>
      <c r="AD80" s="116">
        <f t="shared" si="23"/>
        <v>0.12739635972616528</v>
      </c>
      <c r="AE80" s="116">
        <f t="shared" si="23"/>
        <v>0.12249713043161911</v>
      </c>
      <c r="AF80" s="116">
        <f t="shared" si="23"/>
        <v>0.11792975077515452</v>
      </c>
      <c r="AG80" s="116">
        <f t="shared" si="23"/>
        <v>0.11363901883568543</v>
      </c>
      <c r="AH80" s="116">
        <f t="shared" si="23"/>
        <v>0.1094606260510201</v>
      </c>
      <c r="AI80" s="116">
        <f t="shared" si="23"/>
        <v>0.1057211028897405</v>
      </c>
      <c r="AJ80" s="116">
        <f t="shared" si="23"/>
        <v>0.1021268948752079</v>
      </c>
      <c r="AK80" s="116">
        <f t="shared" si="23"/>
        <v>9.8685744775781958E-2</v>
      </c>
      <c r="AL80" s="116">
        <f t="shared" si="23"/>
        <v>9.5418713006134609E-2</v>
      </c>
      <c r="AM80" s="116">
        <f t="shared" si="23"/>
        <v>9.2321853710554222E-2</v>
      </c>
    </row>
    <row r="81" spans="2:39" x14ac:dyDescent="0.25">
      <c r="B81" s="229"/>
      <c r="C81" s="35" t="s">
        <v>30</v>
      </c>
      <c r="D81" s="3" t="s">
        <v>437</v>
      </c>
      <c r="E81" s="111">
        <f t="shared" ref="E81:AM81" si="24">E39/E$26</f>
        <v>0.28000000000000003</v>
      </c>
      <c r="F81" s="111">
        <f t="shared" si="24"/>
        <v>0.27430203469720216</v>
      </c>
      <c r="G81" s="111">
        <f t="shared" si="24"/>
        <v>0.26884658843911852</v>
      </c>
      <c r="H81" s="111">
        <f t="shared" si="24"/>
        <v>0.26807165917809295</v>
      </c>
      <c r="I81" s="111">
        <f t="shared" si="24"/>
        <v>0.26281651186731231</v>
      </c>
      <c r="J81" s="110">
        <f t="shared" si="24"/>
        <v>0.26534965539622996</v>
      </c>
      <c r="K81" s="68">
        <f t="shared" si="24"/>
        <v>0.25865821235858777</v>
      </c>
      <c r="L81" s="68">
        <f t="shared" si="24"/>
        <v>0.25088061303322295</v>
      </c>
      <c r="M81" s="68">
        <f t="shared" si="24"/>
        <v>0.24398701053001004</v>
      </c>
      <c r="N81" s="111">
        <f t="shared" si="24"/>
        <v>0.23536931672505393</v>
      </c>
      <c r="O81" s="110">
        <f t="shared" si="24"/>
        <v>0.22825879314981312</v>
      </c>
      <c r="P81" s="68">
        <f t="shared" si="24"/>
        <v>0.21959710685681838</v>
      </c>
      <c r="Q81" s="68">
        <f t="shared" si="24"/>
        <v>0.21021978967498978</v>
      </c>
      <c r="R81" s="68">
        <f t="shared" si="24"/>
        <v>0.20055405845682128</v>
      </c>
      <c r="S81" s="111">
        <f t="shared" si="24"/>
        <v>0.19037899765926405</v>
      </c>
      <c r="T81" s="111">
        <f t="shared" si="24"/>
        <v>0.1815676699500367</v>
      </c>
      <c r="U81" s="111">
        <f t="shared" si="24"/>
        <v>0.17253820359897928</v>
      </c>
      <c r="V81" s="111">
        <f t="shared" si="24"/>
        <v>0.16385516275787174</v>
      </c>
      <c r="W81" s="111">
        <f t="shared" si="24"/>
        <v>0.15575731046172184</v>
      </c>
      <c r="X81" s="116">
        <f t="shared" si="24"/>
        <v>0.14757296168692935</v>
      </c>
      <c r="Y81" s="116">
        <f t="shared" si="24"/>
        <v>0.14073578716905197</v>
      </c>
      <c r="Z81" s="116">
        <f t="shared" si="24"/>
        <v>0.13423571582332325</v>
      </c>
      <c r="AA81" s="116">
        <f t="shared" si="24"/>
        <v>0.12804640410438517</v>
      </c>
      <c r="AB81" s="116">
        <f t="shared" si="24"/>
        <v>0.12229788378806816</v>
      </c>
      <c r="AC81" s="116">
        <f t="shared" si="24"/>
        <v>0.11698891848323878</v>
      </c>
      <c r="AD81" s="116">
        <f t="shared" si="24"/>
        <v>0.11178412314805725</v>
      </c>
      <c r="AE81" s="116">
        <f t="shared" si="24"/>
        <v>0.10696331211605291</v>
      </c>
      <c r="AF81" s="116">
        <f t="shared" si="24"/>
        <v>0.10249465755606502</v>
      </c>
      <c r="AG81" s="116">
        <f t="shared" si="24"/>
        <v>9.8298472623506689E-2</v>
      </c>
      <c r="AH81" s="116">
        <f t="shared" si="24"/>
        <v>9.4114303263890559E-2</v>
      </c>
      <c r="AI81" s="116">
        <f t="shared" si="24"/>
        <v>9.0553346893378031E-2</v>
      </c>
      <c r="AJ81" s="116">
        <f t="shared" si="24"/>
        <v>8.7096241975144456E-2</v>
      </c>
      <c r="AK81" s="116">
        <f t="shared" si="24"/>
        <v>8.3775152346740489E-2</v>
      </c>
      <c r="AL81" s="116">
        <f t="shared" si="24"/>
        <v>8.0636012720422465E-2</v>
      </c>
      <c r="AM81" s="116">
        <f t="shared" si="24"/>
        <v>7.7680920722116645E-2</v>
      </c>
    </row>
    <row r="82" spans="2:39" x14ac:dyDescent="0.25">
      <c r="B82" s="229"/>
      <c r="C82" s="35" t="s">
        <v>31</v>
      </c>
      <c r="D82" s="3" t="s">
        <v>438</v>
      </c>
      <c r="E82" s="111">
        <f t="shared" ref="E82:AM82" si="25">E40/E$26</f>
        <v>0.18</v>
      </c>
      <c r="F82" s="111">
        <f t="shared" si="25"/>
        <v>0.16709107693465275</v>
      </c>
      <c r="G82" s="111">
        <f t="shared" si="25"/>
        <v>0.16042057799869494</v>
      </c>
      <c r="H82" s="111">
        <f t="shared" si="25"/>
        <v>0.15702892154718426</v>
      </c>
      <c r="I82" s="111">
        <f t="shared" si="25"/>
        <v>0.14503144052355663</v>
      </c>
      <c r="J82" s="110">
        <f t="shared" si="25"/>
        <v>0.1533343145852043</v>
      </c>
      <c r="K82" s="68">
        <f t="shared" si="25"/>
        <v>0.13665209793169344</v>
      </c>
      <c r="L82" s="68">
        <f t="shared" si="25"/>
        <v>0.12860247335207073</v>
      </c>
      <c r="M82" s="68">
        <f t="shared" si="25"/>
        <v>0.12378730669332448</v>
      </c>
      <c r="N82" s="111">
        <f t="shared" si="25"/>
        <v>0.11702314914584995</v>
      </c>
      <c r="O82" s="110">
        <f t="shared" si="25"/>
        <v>0.11382983269642195</v>
      </c>
      <c r="P82" s="68">
        <f t="shared" si="25"/>
        <v>0.10884056793297849</v>
      </c>
      <c r="Q82" s="68">
        <f t="shared" si="25"/>
        <v>0.10319986741749307</v>
      </c>
      <c r="R82" s="68">
        <f t="shared" si="25"/>
        <v>9.7421485858658202E-2</v>
      </c>
      <c r="S82" s="111">
        <f t="shared" si="25"/>
        <v>9.099274797544471E-2</v>
      </c>
      <c r="T82" s="111">
        <f t="shared" si="25"/>
        <v>8.6509158501093641E-2</v>
      </c>
      <c r="U82" s="111">
        <f t="shared" si="25"/>
        <v>8.1504535508849785E-2</v>
      </c>
      <c r="V82" s="111">
        <f t="shared" si="25"/>
        <v>7.6674540495282634E-2</v>
      </c>
      <c r="W82" s="111">
        <f t="shared" si="25"/>
        <v>7.2294410591749139E-2</v>
      </c>
      <c r="X82" s="116">
        <f t="shared" si="25"/>
        <v>6.7523347812198944E-2</v>
      </c>
      <c r="Y82" s="116">
        <f t="shared" si="25"/>
        <v>6.4038517787509297E-2</v>
      </c>
      <c r="Z82" s="116">
        <f t="shared" si="25"/>
        <v>6.06399339853326E-2</v>
      </c>
      <c r="AA82" s="116">
        <f t="shared" si="25"/>
        <v>5.7332242968023257E-2</v>
      </c>
      <c r="AB82" s="116">
        <f t="shared" si="25"/>
        <v>5.4285904508231092E-2</v>
      </c>
      <c r="AC82" s="116">
        <f t="shared" si="25"/>
        <v>5.1512233856652261E-2</v>
      </c>
      <c r="AD82" s="116">
        <f t="shared" si="25"/>
        <v>4.8726719241428011E-2</v>
      </c>
      <c r="AE82" s="116">
        <f t="shared" si="25"/>
        <v>4.620037746021579E-2</v>
      </c>
      <c r="AF82" s="116">
        <f t="shared" si="25"/>
        <v>4.3908086580848042E-2</v>
      </c>
      <c r="AG82" s="116">
        <f t="shared" si="25"/>
        <v>4.1785109199631243E-2</v>
      </c>
      <c r="AH82" s="116">
        <f t="shared" si="25"/>
        <v>3.964021798496084E-2</v>
      </c>
      <c r="AI82" s="116">
        <f t="shared" si="25"/>
        <v>3.7956377596331144E-2</v>
      </c>
      <c r="AJ82" s="116">
        <f t="shared" si="25"/>
        <v>3.6322960917420356E-2</v>
      </c>
      <c r="AK82" s="116">
        <f t="shared" si="25"/>
        <v>3.4772338271421406E-2</v>
      </c>
      <c r="AL82" s="116">
        <f t="shared" si="25"/>
        <v>3.333787523740777E-2</v>
      </c>
      <c r="AM82" s="116">
        <f t="shared" si="25"/>
        <v>3.2019448437341988E-2</v>
      </c>
    </row>
    <row r="83" spans="2:39" x14ac:dyDescent="0.25">
      <c r="B83" s="229"/>
      <c r="C83" s="35" t="s">
        <v>32</v>
      </c>
      <c r="D83" s="3" t="s">
        <v>439</v>
      </c>
      <c r="E83" s="111">
        <f t="shared" ref="E83:AM83" si="26">E41/E$26</f>
        <v>0.06</v>
      </c>
      <c r="F83" s="111">
        <f t="shared" si="26"/>
        <v>4.5489372063407967E-2</v>
      </c>
      <c r="G83" s="111">
        <f t="shared" si="26"/>
        <v>4.5972629373129882E-2</v>
      </c>
      <c r="H83" s="111">
        <f t="shared" si="26"/>
        <v>4.3718040148158596E-2</v>
      </c>
      <c r="I83" s="111">
        <f t="shared" si="26"/>
        <v>3.6015630913753066E-2</v>
      </c>
      <c r="J83" s="110">
        <f t="shared" si="26"/>
        <v>2.5998505285024159E-2</v>
      </c>
      <c r="K83" s="68">
        <f t="shared" si="26"/>
        <v>1.7994753704843377E-2</v>
      </c>
      <c r="L83" s="68">
        <f t="shared" si="26"/>
        <v>1.4843606787700466E-2</v>
      </c>
      <c r="M83" s="68">
        <f t="shared" si="26"/>
        <v>1.3647828088565182E-2</v>
      </c>
      <c r="N83" s="111">
        <f t="shared" si="26"/>
        <v>1.1779541580390891E-2</v>
      </c>
      <c r="O83" s="110">
        <f t="shared" si="26"/>
        <v>1.1614094677953707E-2</v>
      </c>
      <c r="P83" s="68">
        <f t="shared" si="26"/>
        <v>1.0797196115188992E-2</v>
      </c>
      <c r="Q83" s="68">
        <f t="shared" si="26"/>
        <v>9.7967389929872507E-3</v>
      </c>
      <c r="R83" s="68">
        <f t="shared" si="26"/>
        <v>8.8069035043421926E-3</v>
      </c>
      <c r="S83" s="111">
        <f t="shared" si="26"/>
        <v>7.6274555946553996E-3</v>
      </c>
      <c r="T83" s="111">
        <f t="shared" si="26"/>
        <v>7.1415959913208168E-3</v>
      </c>
      <c r="U83" s="111">
        <f t="shared" si="26"/>
        <v>6.458207802733945E-3</v>
      </c>
      <c r="V83" s="111">
        <f t="shared" si="26"/>
        <v>5.8062484187152343E-3</v>
      </c>
      <c r="W83" s="111">
        <f t="shared" si="26"/>
        <v>5.2628277592362167E-3</v>
      </c>
      <c r="X83" s="116">
        <f t="shared" si="26"/>
        <v>4.5880490417020232E-3</v>
      </c>
      <c r="Y83" s="116">
        <f t="shared" si="26"/>
        <v>4.2335911315548556E-3</v>
      </c>
      <c r="Z83" s="116">
        <f t="shared" si="26"/>
        <v>3.8694508025338401E-3</v>
      </c>
      <c r="AA83" s="116">
        <f t="shared" si="26"/>
        <v>3.5040830124594882E-3</v>
      </c>
      <c r="AB83" s="116">
        <f t="shared" si="26"/>
        <v>3.1816813369959568E-3</v>
      </c>
      <c r="AC83" s="116">
        <f t="shared" si="26"/>
        <v>2.9039222412670577E-3</v>
      </c>
      <c r="AD83" s="116">
        <f t="shared" si="26"/>
        <v>2.6173322027050385E-3</v>
      </c>
      <c r="AE83" s="116">
        <f t="shared" si="26"/>
        <v>2.3759347373732134E-3</v>
      </c>
      <c r="AF83" s="116">
        <f t="shared" si="26"/>
        <v>2.1722971372717397E-3</v>
      </c>
      <c r="AG83" s="116">
        <f t="shared" si="26"/>
        <v>1.9940861652346978E-3</v>
      </c>
      <c r="AH83" s="116">
        <f t="shared" si="26"/>
        <v>1.8154888288236916E-3</v>
      </c>
      <c r="AI83" s="116">
        <f t="shared" si="26"/>
        <v>1.6989191659826824E-3</v>
      </c>
      <c r="AJ83" s="116">
        <f t="shared" si="26"/>
        <v>1.5880459762516379E-3</v>
      </c>
      <c r="AK83" s="116">
        <f t="shared" si="26"/>
        <v>1.4874310992260876E-3</v>
      </c>
      <c r="AL83" s="116">
        <f t="shared" si="26"/>
        <v>1.4001377863205654E-3</v>
      </c>
      <c r="AM83" s="116">
        <f t="shared" si="26"/>
        <v>1.3250649968703967E-3</v>
      </c>
    </row>
    <row r="84" spans="2:39" x14ac:dyDescent="0.25">
      <c r="B84" s="229"/>
      <c r="C84" s="56" t="s">
        <v>33</v>
      </c>
      <c r="D84" s="7" t="s">
        <v>440</v>
      </c>
      <c r="E84" s="113">
        <f t="shared" ref="E84:AM84" si="27">E42/E$26</f>
        <v>1.4999999999999999E-2</v>
      </c>
      <c r="F84" s="113">
        <f t="shared" si="27"/>
        <v>7.702016535876606E-3</v>
      </c>
      <c r="G84" s="113">
        <f t="shared" si="27"/>
        <v>8.0136960542568046E-3</v>
      </c>
      <c r="H84" s="113">
        <f t="shared" si="27"/>
        <v>6.3211165592853098E-3</v>
      </c>
      <c r="I84" s="113">
        <f t="shared" si="27"/>
        <v>4.1426833377562998E-3</v>
      </c>
      <c r="J84" s="112">
        <f t="shared" si="27"/>
        <v>1.286144396099645E-3</v>
      </c>
      <c r="K84" s="70">
        <f t="shared" si="27"/>
        <v>0</v>
      </c>
      <c r="L84" s="70">
        <f t="shared" si="27"/>
        <v>0</v>
      </c>
      <c r="M84" s="70">
        <f t="shared" si="27"/>
        <v>0</v>
      </c>
      <c r="N84" s="113">
        <f t="shared" si="27"/>
        <v>0</v>
      </c>
      <c r="O84" s="112">
        <f t="shared" si="27"/>
        <v>0</v>
      </c>
      <c r="P84" s="70">
        <f t="shared" si="27"/>
        <v>0</v>
      </c>
      <c r="Q84" s="70">
        <f t="shared" si="27"/>
        <v>0</v>
      </c>
      <c r="R84" s="70">
        <f t="shared" si="27"/>
        <v>0</v>
      </c>
      <c r="S84" s="113">
        <f t="shared" si="27"/>
        <v>0</v>
      </c>
      <c r="T84" s="113">
        <f t="shared" si="27"/>
        <v>0</v>
      </c>
      <c r="U84" s="113">
        <f t="shared" si="27"/>
        <v>0</v>
      </c>
      <c r="V84" s="113">
        <f t="shared" si="27"/>
        <v>0</v>
      </c>
      <c r="W84" s="113">
        <f t="shared" si="27"/>
        <v>0</v>
      </c>
      <c r="X84" s="117">
        <f t="shared" si="27"/>
        <v>0</v>
      </c>
      <c r="Y84" s="117">
        <f t="shared" si="27"/>
        <v>0</v>
      </c>
      <c r="Z84" s="117">
        <f t="shared" si="27"/>
        <v>0</v>
      </c>
      <c r="AA84" s="117">
        <f t="shared" si="27"/>
        <v>0</v>
      </c>
      <c r="AB84" s="117">
        <f t="shared" si="27"/>
        <v>0</v>
      </c>
      <c r="AC84" s="117">
        <f t="shared" si="27"/>
        <v>0</v>
      </c>
      <c r="AD84" s="117">
        <f t="shared" si="27"/>
        <v>0</v>
      </c>
      <c r="AE84" s="117">
        <f t="shared" si="27"/>
        <v>0</v>
      </c>
      <c r="AF84" s="117">
        <f t="shared" si="27"/>
        <v>0</v>
      </c>
      <c r="AG84" s="117">
        <f t="shared" si="27"/>
        <v>0</v>
      </c>
      <c r="AH84" s="117">
        <f t="shared" si="27"/>
        <v>0</v>
      </c>
      <c r="AI84" s="117">
        <f t="shared" si="27"/>
        <v>0</v>
      </c>
      <c r="AJ84" s="117">
        <f t="shared" si="27"/>
        <v>0</v>
      </c>
      <c r="AK84" s="117">
        <f t="shared" si="27"/>
        <v>0</v>
      </c>
      <c r="AL84" s="117">
        <f t="shared" si="27"/>
        <v>0</v>
      </c>
      <c r="AM84" s="117">
        <f t="shared" si="27"/>
        <v>0</v>
      </c>
    </row>
    <row r="85" spans="2:39" x14ac:dyDescent="0.25">
      <c r="B85" s="228" t="s">
        <v>80</v>
      </c>
      <c r="C85" s="58" t="s">
        <v>52</v>
      </c>
      <c r="D85" s="58" t="s">
        <v>130</v>
      </c>
      <c r="E85" s="100">
        <f t="shared" ref="E85:AM85" si="28">E43</f>
        <v>32001.800439999999</v>
      </c>
      <c r="F85" s="100">
        <f t="shared" si="28"/>
        <v>35911.307350000003</v>
      </c>
      <c r="G85" s="100">
        <f t="shared" si="28"/>
        <v>36708.886160000002</v>
      </c>
      <c r="H85" s="100">
        <f t="shared" si="28"/>
        <v>37113.743849999999</v>
      </c>
      <c r="I85" s="100">
        <f t="shared" si="28"/>
        <v>37467.881659999999</v>
      </c>
      <c r="J85" s="99">
        <f t="shared" si="28"/>
        <v>37680.910770000002</v>
      </c>
      <c r="K85" s="51">
        <f t="shared" si="28"/>
        <v>37788.529199999997</v>
      </c>
      <c r="L85" s="51">
        <f t="shared" si="28"/>
        <v>37735.726450000002</v>
      </c>
      <c r="M85" s="51">
        <f t="shared" si="28"/>
        <v>37793.078909999997</v>
      </c>
      <c r="N85" s="100">
        <f t="shared" si="28"/>
        <v>37104.334779999997</v>
      </c>
      <c r="O85" s="99">
        <f t="shared" si="28"/>
        <v>36977.623590000003</v>
      </c>
      <c r="P85" s="51">
        <f t="shared" si="28"/>
        <v>37062.246120000003</v>
      </c>
      <c r="Q85" s="51">
        <f t="shared" si="28"/>
        <v>37230.037609999999</v>
      </c>
      <c r="R85" s="51">
        <f t="shared" si="28"/>
        <v>37429.985030000003</v>
      </c>
      <c r="S85" s="100">
        <f t="shared" si="28"/>
        <v>37103.671970000003</v>
      </c>
      <c r="T85" s="100">
        <f t="shared" si="28"/>
        <v>37166.425139999999</v>
      </c>
      <c r="U85" s="100">
        <f t="shared" si="28"/>
        <v>37284.143250000001</v>
      </c>
      <c r="V85" s="100">
        <f t="shared" si="28"/>
        <v>37428.507749999997</v>
      </c>
      <c r="W85" s="100">
        <f t="shared" si="28"/>
        <v>37586.864970000002</v>
      </c>
      <c r="X85" s="104">
        <f t="shared" si="28"/>
        <v>37362.566760000002</v>
      </c>
      <c r="Y85" s="104">
        <f t="shared" si="28"/>
        <v>37382.751559999997</v>
      </c>
      <c r="Z85" s="104">
        <f t="shared" si="28"/>
        <v>37511.954230000003</v>
      </c>
      <c r="AA85" s="104">
        <f t="shared" si="28"/>
        <v>37683.449970000001</v>
      </c>
      <c r="AB85" s="104">
        <f t="shared" si="28"/>
        <v>37875.864829999999</v>
      </c>
      <c r="AC85" s="104">
        <f t="shared" si="28"/>
        <v>38081.349679999999</v>
      </c>
      <c r="AD85" s="104">
        <f t="shared" si="28"/>
        <v>38195.895270000001</v>
      </c>
      <c r="AE85" s="104">
        <f t="shared" si="28"/>
        <v>38269.756269999998</v>
      </c>
      <c r="AF85" s="104">
        <f t="shared" si="28"/>
        <v>38325.709860000003</v>
      </c>
      <c r="AG85" s="104">
        <f t="shared" si="28"/>
        <v>38371.473760000001</v>
      </c>
      <c r="AH85" s="104">
        <f t="shared" si="28"/>
        <v>38140.02996</v>
      </c>
      <c r="AI85" s="104">
        <f t="shared" si="28"/>
        <v>38021.783759999998</v>
      </c>
      <c r="AJ85" s="104">
        <f t="shared" si="28"/>
        <v>37948.509160000001</v>
      </c>
      <c r="AK85" s="104">
        <f t="shared" si="28"/>
        <v>37889.598149999998</v>
      </c>
      <c r="AL85" s="104">
        <f t="shared" si="28"/>
        <v>37833.162120000001</v>
      </c>
      <c r="AM85" s="104">
        <f t="shared" si="28"/>
        <v>37774.650130000002</v>
      </c>
    </row>
    <row r="86" spans="2:39" x14ac:dyDescent="0.25">
      <c r="B86" s="229"/>
      <c r="C86" s="35" t="s">
        <v>8</v>
      </c>
      <c r="D86" s="54" t="s">
        <v>441</v>
      </c>
      <c r="E86" s="111">
        <f t="shared" ref="E86:AM89" si="29">E44/E$43</f>
        <v>0</v>
      </c>
      <c r="F86" s="111">
        <f t="shared" si="29"/>
        <v>0</v>
      </c>
      <c r="G86" s="111">
        <f t="shared" si="29"/>
        <v>0</v>
      </c>
      <c r="H86" s="111">
        <f t="shared" si="29"/>
        <v>0</v>
      </c>
      <c r="I86" s="111">
        <f t="shared" si="29"/>
        <v>0</v>
      </c>
      <c r="J86" s="110">
        <f t="shared" si="29"/>
        <v>0</v>
      </c>
      <c r="K86" s="68">
        <f t="shared" si="29"/>
        <v>0</v>
      </c>
      <c r="L86" s="68">
        <f t="shared" si="29"/>
        <v>0</v>
      </c>
      <c r="M86" s="68">
        <f t="shared" si="29"/>
        <v>0</v>
      </c>
      <c r="N86" s="111">
        <f t="shared" si="29"/>
        <v>0</v>
      </c>
      <c r="O86" s="110">
        <f t="shared" si="29"/>
        <v>0</v>
      </c>
      <c r="P86" s="68">
        <f t="shared" si="29"/>
        <v>0</v>
      </c>
      <c r="Q86" s="68">
        <f t="shared" si="29"/>
        <v>0</v>
      </c>
      <c r="R86" s="68">
        <f t="shared" si="29"/>
        <v>0</v>
      </c>
      <c r="S86" s="111">
        <f t="shared" si="29"/>
        <v>0</v>
      </c>
      <c r="T86" s="111">
        <f t="shared" si="29"/>
        <v>0</v>
      </c>
      <c r="U86" s="111">
        <f t="shared" si="29"/>
        <v>0</v>
      </c>
      <c r="V86" s="111">
        <f t="shared" si="29"/>
        <v>0</v>
      </c>
      <c r="W86" s="111">
        <f t="shared" si="29"/>
        <v>0</v>
      </c>
      <c r="X86" s="116">
        <f t="shared" si="29"/>
        <v>0</v>
      </c>
      <c r="Y86" s="116">
        <f t="shared" si="29"/>
        <v>0</v>
      </c>
      <c r="Z86" s="116">
        <f t="shared" si="29"/>
        <v>0</v>
      </c>
      <c r="AA86" s="116">
        <f t="shared" si="29"/>
        <v>0</v>
      </c>
      <c r="AB86" s="116">
        <f t="shared" si="29"/>
        <v>0</v>
      </c>
      <c r="AC86" s="116">
        <f t="shared" si="29"/>
        <v>0</v>
      </c>
      <c r="AD86" s="116">
        <f t="shared" si="29"/>
        <v>0</v>
      </c>
      <c r="AE86" s="116">
        <f t="shared" si="29"/>
        <v>0</v>
      </c>
      <c r="AF86" s="116">
        <f t="shared" si="29"/>
        <v>0</v>
      </c>
      <c r="AG86" s="116">
        <f t="shared" si="29"/>
        <v>0</v>
      </c>
      <c r="AH86" s="116">
        <f t="shared" si="29"/>
        <v>0</v>
      </c>
      <c r="AI86" s="116">
        <f t="shared" si="29"/>
        <v>0</v>
      </c>
      <c r="AJ86" s="116">
        <f t="shared" si="29"/>
        <v>0</v>
      </c>
      <c r="AK86" s="116">
        <f t="shared" si="29"/>
        <v>0</v>
      </c>
      <c r="AL86" s="116">
        <f t="shared" si="29"/>
        <v>0</v>
      </c>
      <c r="AM86" s="116">
        <f t="shared" si="29"/>
        <v>0</v>
      </c>
    </row>
    <row r="87" spans="2:39" x14ac:dyDescent="0.25">
      <c r="B87" s="229"/>
      <c r="C87" s="35" t="s">
        <v>6</v>
      </c>
      <c r="D87" s="3" t="s">
        <v>424</v>
      </c>
      <c r="E87" s="111">
        <f t="shared" si="29"/>
        <v>0.9999246395525615</v>
      </c>
      <c r="F87" s="111">
        <f t="shared" si="29"/>
        <v>0.99732672027046099</v>
      </c>
      <c r="G87" s="111">
        <f t="shared" si="29"/>
        <v>0.99379410372172394</v>
      </c>
      <c r="H87" s="111">
        <f t="shared" si="29"/>
        <v>0.99185676763784636</v>
      </c>
      <c r="I87" s="111">
        <f t="shared" si="29"/>
        <v>0.9894628275603452</v>
      </c>
      <c r="J87" s="110">
        <f t="shared" si="29"/>
        <v>0.98664290167846169</v>
      </c>
      <c r="K87" s="68">
        <f t="shared" si="29"/>
        <v>0.98294550241452638</v>
      </c>
      <c r="L87" s="68">
        <f t="shared" si="29"/>
        <v>0.97845896458156034</v>
      </c>
      <c r="M87" s="68">
        <f t="shared" si="29"/>
        <v>0.97274927368440767</v>
      </c>
      <c r="N87" s="111">
        <f t="shared" si="29"/>
        <v>0.96806716743406884</v>
      </c>
      <c r="O87" s="110">
        <f t="shared" si="29"/>
        <v>0.96053978843587429</v>
      </c>
      <c r="P87" s="68">
        <f t="shared" si="29"/>
        <v>0.9509715772725541</v>
      </c>
      <c r="Q87" s="68">
        <f t="shared" si="29"/>
        <v>0.93974483820028576</v>
      </c>
      <c r="R87" s="68">
        <f t="shared" si="29"/>
        <v>0.92708133150968541</v>
      </c>
      <c r="S87" s="111">
        <f t="shared" si="29"/>
        <v>0.91609463013479719</v>
      </c>
      <c r="T87" s="111">
        <f t="shared" si="29"/>
        <v>0.90174180308588059</v>
      </c>
      <c r="U87" s="111">
        <f t="shared" si="29"/>
        <v>0.88608122864671157</v>
      </c>
      <c r="V87" s="111">
        <f t="shared" si="29"/>
        <v>0.86943185812691137</v>
      </c>
      <c r="W87" s="111">
        <f t="shared" si="29"/>
        <v>0.85203031419515585</v>
      </c>
      <c r="X87" s="116">
        <f t="shared" si="29"/>
        <v>0.83686408727878303</v>
      </c>
      <c r="Y87" s="116">
        <f t="shared" si="29"/>
        <v>0.81943337693679397</v>
      </c>
      <c r="Z87" s="116">
        <f t="shared" si="29"/>
        <v>0.80091503886439874</v>
      </c>
      <c r="AA87" s="116">
        <f t="shared" si="29"/>
        <v>0.78196818108371291</v>
      </c>
      <c r="AB87" s="116">
        <f t="shared" si="29"/>
        <v>0.76287758522978133</v>
      </c>
      <c r="AC87" s="116">
        <f t="shared" si="29"/>
        <v>0.74380321674565186</v>
      </c>
      <c r="AD87" s="116">
        <f t="shared" si="29"/>
        <v>0.72548048197640791</v>
      </c>
      <c r="AE87" s="116">
        <f t="shared" si="29"/>
        <v>0.70755762354375717</v>
      </c>
      <c r="AF87" s="116">
        <f t="shared" si="29"/>
        <v>0.6899078615004679</v>
      </c>
      <c r="AG87" s="116">
        <f t="shared" si="29"/>
        <v>0.67251849932594299</v>
      </c>
      <c r="AH87" s="116">
        <f t="shared" si="29"/>
        <v>0.65725450573295774</v>
      </c>
      <c r="AI87" s="116">
        <f t="shared" si="29"/>
        <v>0.64135113344298289</v>
      </c>
      <c r="AJ87" s="116">
        <f t="shared" si="29"/>
        <v>0.62536589276647092</v>
      </c>
      <c r="AK87" s="116">
        <f t="shared" si="29"/>
        <v>0.60955732727928136</v>
      </c>
      <c r="AL87" s="116">
        <f t="shared" si="29"/>
        <v>0.59403479145401128</v>
      </c>
      <c r="AM87" s="116">
        <f t="shared" si="29"/>
        <v>0.57884752697244901</v>
      </c>
    </row>
    <row r="88" spans="2:39" x14ac:dyDescent="0.25">
      <c r="B88" s="229"/>
      <c r="C88" s="35" t="s">
        <v>34</v>
      </c>
      <c r="D88" s="3" t="s">
        <v>423</v>
      </c>
      <c r="E88" s="111">
        <f t="shared" si="29"/>
        <v>7.5360400972489787E-5</v>
      </c>
      <c r="F88" s="111">
        <f t="shared" si="29"/>
        <v>2.6732799280837095E-3</v>
      </c>
      <c r="G88" s="111">
        <f t="shared" si="29"/>
        <v>6.2058962782759628E-3</v>
      </c>
      <c r="H88" s="111">
        <f t="shared" si="29"/>
        <v>8.1432323379038458E-3</v>
      </c>
      <c r="I88" s="111">
        <f t="shared" si="29"/>
        <v>1.0537172311545088E-2</v>
      </c>
      <c r="J88" s="110">
        <f t="shared" si="29"/>
        <v>1.3357098507308717E-2</v>
      </c>
      <c r="K88" s="68">
        <f t="shared" si="29"/>
        <v>1.7054497421402685E-2</v>
      </c>
      <c r="L88" s="68">
        <f t="shared" si="29"/>
        <v>2.1541035468789816E-2</v>
      </c>
      <c r="M88" s="68">
        <f t="shared" si="29"/>
        <v>2.725072636851222E-2</v>
      </c>
      <c r="N88" s="111">
        <f t="shared" si="29"/>
        <v>3.1932832673735381E-2</v>
      </c>
      <c r="O88" s="110">
        <f t="shared" si="29"/>
        <v>3.9460211672299079E-2</v>
      </c>
      <c r="P88" s="68">
        <f t="shared" si="29"/>
        <v>4.9028422484611131E-2</v>
      </c>
      <c r="Q88" s="68">
        <f t="shared" si="29"/>
        <v>6.0255161960874527E-2</v>
      </c>
      <c r="R88" s="68">
        <f t="shared" si="29"/>
        <v>7.2918668383448182E-2</v>
      </c>
      <c r="S88" s="111">
        <f t="shared" si="29"/>
        <v>8.3905369784348052E-2</v>
      </c>
      <c r="T88" s="111">
        <f t="shared" si="29"/>
        <v>9.8258196914119467E-2</v>
      </c>
      <c r="U88" s="111">
        <f t="shared" si="29"/>
        <v>0.11391877129964625</v>
      </c>
      <c r="V88" s="111">
        <f t="shared" si="29"/>
        <v>0.13056814195324151</v>
      </c>
      <c r="W88" s="111">
        <f t="shared" si="29"/>
        <v>0.14796968561860879</v>
      </c>
      <c r="X88" s="116">
        <f t="shared" si="29"/>
        <v>0.1631359128550407</v>
      </c>
      <c r="Y88" s="116">
        <f t="shared" si="29"/>
        <v>0.18056662327720857</v>
      </c>
      <c r="Z88" s="116">
        <f t="shared" si="29"/>
        <v>0.19908496113560117</v>
      </c>
      <c r="AA88" s="116">
        <f t="shared" si="29"/>
        <v>0.21803181888975012</v>
      </c>
      <c r="AB88" s="116">
        <f t="shared" si="29"/>
        <v>0.23712241484942487</v>
      </c>
      <c r="AC88" s="116">
        <f t="shared" si="29"/>
        <v>0.25619678338564578</v>
      </c>
      <c r="AD88" s="116">
        <f t="shared" si="29"/>
        <v>0.27451951802359209</v>
      </c>
      <c r="AE88" s="116">
        <f t="shared" si="29"/>
        <v>0.29244237645624283</v>
      </c>
      <c r="AF88" s="116">
        <f t="shared" si="29"/>
        <v>0.31009213849953199</v>
      </c>
      <c r="AG88" s="116">
        <f t="shared" si="29"/>
        <v>0.32748150067405696</v>
      </c>
      <c r="AH88" s="116">
        <f t="shared" si="29"/>
        <v>0.34274549426704226</v>
      </c>
      <c r="AI88" s="116">
        <f t="shared" si="29"/>
        <v>0.35864886655701711</v>
      </c>
      <c r="AJ88" s="116">
        <f t="shared" si="29"/>
        <v>0.37463410749704401</v>
      </c>
      <c r="AK88" s="116">
        <f t="shared" si="29"/>
        <v>0.39044267272071875</v>
      </c>
      <c r="AL88" s="116">
        <f t="shared" si="29"/>
        <v>0.40596520854598872</v>
      </c>
      <c r="AM88" s="116">
        <f t="shared" si="29"/>
        <v>0.42115247302755093</v>
      </c>
    </row>
    <row r="89" spans="2:39" x14ac:dyDescent="0.25">
      <c r="B89" s="229"/>
      <c r="C89" s="35" t="s">
        <v>35</v>
      </c>
      <c r="D89" s="3" t="s">
        <v>442</v>
      </c>
      <c r="E89" s="111">
        <f t="shared" si="29"/>
        <v>7.0669503868701714E-7</v>
      </c>
      <c r="F89" s="111">
        <f t="shared" si="29"/>
        <v>9.5603735406753437E-6</v>
      </c>
      <c r="G89" s="111">
        <f t="shared" si="29"/>
        <v>1.1006385460429889E-5</v>
      </c>
      <c r="H89" s="111">
        <f t="shared" si="29"/>
        <v>1.1842428041653901E-5</v>
      </c>
      <c r="I89" s="111">
        <f t="shared" si="29"/>
        <v>1.33415031475788E-5</v>
      </c>
      <c r="J89" s="110">
        <f t="shared" si="29"/>
        <v>1.4571412661743365E-5</v>
      </c>
      <c r="K89" s="68">
        <f t="shared" si="29"/>
        <v>1.6711774757298575E-5</v>
      </c>
      <c r="L89" s="68">
        <f t="shared" si="29"/>
        <v>1.9151376199357626E-5</v>
      </c>
      <c r="M89" s="68">
        <f t="shared" si="29"/>
        <v>2.1668424087652616E-5</v>
      </c>
      <c r="N89" s="111">
        <f t="shared" si="29"/>
        <v>2.3466107007780724E-5</v>
      </c>
      <c r="O89" s="110">
        <f t="shared" si="29"/>
        <v>2.5631849826507467E-5</v>
      </c>
      <c r="P89" s="68">
        <f t="shared" si="29"/>
        <v>2.7871704420055796E-5</v>
      </c>
      <c r="Q89" s="68">
        <f t="shared" si="29"/>
        <v>3.0085072723621136E-5</v>
      </c>
      <c r="R89" s="68">
        <f t="shared" si="29"/>
        <v>3.2223862527149929E-5</v>
      </c>
      <c r="S89" s="111">
        <f t="shared" si="29"/>
        <v>3.3899667451161975E-5</v>
      </c>
      <c r="T89" s="111">
        <f t="shared" si="29"/>
        <v>3.570804566220382E-5</v>
      </c>
      <c r="U89" s="111">
        <f t="shared" si="29"/>
        <v>3.7437898482486918E-5</v>
      </c>
      <c r="V89" s="111">
        <f t="shared" si="29"/>
        <v>3.907877823421908E-5</v>
      </c>
      <c r="W89" s="111">
        <f t="shared" si="29"/>
        <v>4.0608704003865737E-5</v>
      </c>
      <c r="X89" s="116">
        <f t="shared" si="29"/>
        <v>4.1891278483459311E-5</v>
      </c>
      <c r="Y89" s="116">
        <f t="shared" si="29"/>
        <v>4.3194606619802283E-5</v>
      </c>
      <c r="Z89" s="116">
        <f t="shared" si="29"/>
        <v>4.4449974420860773E-5</v>
      </c>
      <c r="AA89" s="116">
        <f t="shared" si="29"/>
        <v>4.5647043154737987E-5</v>
      </c>
      <c r="AB89" s="116">
        <f t="shared" si="29"/>
        <v>4.6779721808401014E-5</v>
      </c>
      <c r="AC89" s="116">
        <f t="shared" si="29"/>
        <v>4.7845223562464873E-5</v>
      </c>
      <c r="AD89" s="116">
        <f t="shared" si="29"/>
        <v>4.8858378362602519E-5</v>
      </c>
      <c r="AE89" s="116">
        <f t="shared" si="29"/>
        <v>4.9839538395366946E-5</v>
      </c>
      <c r="AF89" s="116">
        <f t="shared" si="29"/>
        <v>5.0796335622001178E-5</v>
      </c>
      <c r="AG89" s="116">
        <f t="shared" si="29"/>
        <v>5.1736845225618459E-5</v>
      </c>
      <c r="AH89" s="116">
        <f t="shared" si="29"/>
        <v>5.259552043099653E-5</v>
      </c>
      <c r="AI89" s="116">
        <f t="shared" si="29"/>
        <v>5.3480324064627736E-5</v>
      </c>
      <c r="AJ89" s="116">
        <f t="shared" si="29"/>
        <v>5.4379559505204024E-5</v>
      </c>
      <c r="AK89" s="116">
        <f t="shared" si="29"/>
        <v>5.529080196908872E-5</v>
      </c>
      <c r="AL89" s="116">
        <f t="shared" si="29"/>
        <v>5.6210333761020549E-5</v>
      </c>
      <c r="AM89" s="116">
        <f t="shared" si="29"/>
        <v>5.7135033271584138E-5</v>
      </c>
    </row>
    <row r="90" spans="2:39" x14ac:dyDescent="0.25">
      <c r="B90" s="229"/>
      <c r="C90" s="58" t="s">
        <v>52</v>
      </c>
      <c r="D90" s="58" t="s">
        <v>130</v>
      </c>
      <c r="E90" s="59">
        <f>E43</f>
        <v>32001.800439999999</v>
      </c>
      <c r="F90" s="59">
        <f t="shared" ref="F90:AM90" si="30">F43</f>
        <v>35911.307350000003</v>
      </c>
      <c r="G90" s="59">
        <f t="shared" si="30"/>
        <v>36708.886160000002</v>
      </c>
      <c r="H90" s="59">
        <f t="shared" si="30"/>
        <v>37113.743849999999</v>
      </c>
      <c r="I90" s="59">
        <f t="shared" si="30"/>
        <v>37467.881659999999</v>
      </c>
      <c r="J90" s="59">
        <f t="shared" si="30"/>
        <v>37680.910770000002</v>
      </c>
      <c r="K90" s="59">
        <f t="shared" si="30"/>
        <v>37788.529199999997</v>
      </c>
      <c r="L90" s="59">
        <f t="shared" si="30"/>
        <v>37735.726450000002</v>
      </c>
      <c r="M90" s="59">
        <f t="shared" si="30"/>
        <v>37793.078909999997</v>
      </c>
      <c r="N90" s="59">
        <f t="shared" si="30"/>
        <v>37104.334779999997</v>
      </c>
      <c r="O90" s="59">
        <f t="shared" si="30"/>
        <v>36977.623590000003</v>
      </c>
      <c r="P90" s="59">
        <f t="shared" si="30"/>
        <v>37062.246120000003</v>
      </c>
      <c r="Q90" s="59">
        <f t="shared" si="30"/>
        <v>37230.037609999999</v>
      </c>
      <c r="R90" s="59">
        <f t="shared" si="30"/>
        <v>37429.985030000003</v>
      </c>
      <c r="S90" s="59">
        <f t="shared" si="30"/>
        <v>37103.671970000003</v>
      </c>
      <c r="T90" s="59">
        <f t="shared" si="30"/>
        <v>37166.425139999999</v>
      </c>
      <c r="U90" s="59">
        <f t="shared" si="30"/>
        <v>37284.143250000001</v>
      </c>
      <c r="V90" s="59">
        <f t="shared" si="30"/>
        <v>37428.507749999997</v>
      </c>
      <c r="W90" s="59">
        <f t="shared" si="30"/>
        <v>37586.864970000002</v>
      </c>
      <c r="X90" s="59">
        <f t="shared" si="30"/>
        <v>37362.566760000002</v>
      </c>
      <c r="Y90" s="59">
        <f t="shared" si="30"/>
        <v>37382.751559999997</v>
      </c>
      <c r="Z90" s="59">
        <f t="shared" si="30"/>
        <v>37511.954230000003</v>
      </c>
      <c r="AA90" s="59">
        <f t="shared" si="30"/>
        <v>37683.449970000001</v>
      </c>
      <c r="AB90" s="59">
        <f t="shared" si="30"/>
        <v>37875.864829999999</v>
      </c>
      <c r="AC90" s="59">
        <f t="shared" si="30"/>
        <v>38081.349679999999</v>
      </c>
      <c r="AD90" s="59">
        <f t="shared" si="30"/>
        <v>38195.895270000001</v>
      </c>
      <c r="AE90" s="59">
        <f t="shared" si="30"/>
        <v>38269.756269999998</v>
      </c>
      <c r="AF90" s="59">
        <f t="shared" si="30"/>
        <v>38325.709860000003</v>
      </c>
      <c r="AG90" s="59">
        <f t="shared" si="30"/>
        <v>38371.473760000001</v>
      </c>
      <c r="AH90" s="59">
        <f t="shared" si="30"/>
        <v>38140.02996</v>
      </c>
      <c r="AI90" s="59">
        <f t="shared" si="30"/>
        <v>38021.783759999998</v>
      </c>
      <c r="AJ90" s="59">
        <f t="shared" si="30"/>
        <v>37948.509160000001</v>
      </c>
      <c r="AK90" s="59">
        <f t="shared" si="30"/>
        <v>37889.598149999998</v>
      </c>
      <c r="AL90" s="59">
        <f t="shared" si="30"/>
        <v>37833.162120000001</v>
      </c>
      <c r="AM90" s="59">
        <f t="shared" si="30"/>
        <v>37774.650130000002</v>
      </c>
    </row>
    <row r="91" spans="2:39" x14ac:dyDescent="0.25">
      <c r="B91" s="229"/>
      <c r="C91" s="60" t="s">
        <v>45</v>
      </c>
      <c r="D91" s="3" t="s">
        <v>423</v>
      </c>
      <c r="E91" s="128">
        <f t="shared" ref="E91:AM98" si="31">E49/E$48</f>
        <v>7.5360400972489787E-5</v>
      </c>
      <c r="F91" s="128">
        <f t="shared" si="31"/>
        <v>2.6732799280837095E-3</v>
      </c>
      <c r="G91" s="128">
        <f t="shared" si="31"/>
        <v>6.2058962782759628E-3</v>
      </c>
      <c r="H91" s="128">
        <f t="shared" si="31"/>
        <v>8.1432323379038458E-3</v>
      </c>
      <c r="I91" s="128">
        <f t="shared" si="31"/>
        <v>1.0537172311545088E-2</v>
      </c>
      <c r="J91" s="127">
        <f t="shared" si="31"/>
        <v>1.3357098507308717E-2</v>
      </c>
      <c r="K91" s="71">
        <f t="shared" si="31"/>
        <v>1.7054497421402685E-2</v>
      </c>
      <c r="L91" s="71">
        <f t="shared" si="31"/>
        <v>2.1541035468789816E-2</v>
      </c>
      <c r="M91" s="71">
        <f t="shared" si="31"/>
        <v>2.725072636851222E-2</v>
      </c>
      <c r="N91" s="128">
        <f t="shared" si="31"/>
        <v>3.1932832673735381E-2</v>
      </c>
      <c r="O91" s="127">
        <f t="shared" si="31"/>
        <v>3.9460211672299079E-2</v>
      </c>
      <c r="P91" s="71">
        <f t="shared" si="31"/>
        <v>4.9028422484611131E-2</v>
      </c>
      <c r="Q91" s="71">
        <f t="shared" si="31"/>
        <v>6.0255161960874527E-2</v>
      </c>
      <c r="R91" s="71">
        <f t="shared" si="31"/>
        <v>7.2918668383448182E-2</v>
      </c>
      <c r="S91" s="128">
        <f t="shared" si="31"/>
        <v>8.3905369784348052E-2</v>
      </c>
      <c r="T91" s="128">
        <f t="shared" si="31"/>
        <v>9.8258196914119467E-2</v>
      </c>
      <c r="U91" s="128">
        <f t="shared" si="31"/>
        <v>0.11391877129964625</v>
      </c>
      <c r="V91" s="128">
        <f t="shared" si="31"/>
        <v>0.13056814195324151</v>
      </c>
      <c r="W91" s="128">
        <f t="shared" si="31"/>
        <v>0.14796968561860879</v>
      </c>
      <c r="X91" s="120">
        <f t="shared" si="31"/>
        <v>0.1631359128550407</v>
      </c>
      <c r="Y91" s="120">
        <f t="shared" si="31"/>
        <v>0.18056662327720857</v>
      </c>
      <c r="Z91" s="120">
        <f t="shared" si="31"/>
        <v>0.19908496113560117</v>
      </c>
      <c r="AA91" s="120">
        <f t="shared" si="31"/>
        <v>0.21803181888975012</v>
      </c>
      <c r="AB91" s="120">
        <f t="shared" si="31"/>
        <v>0.23712241484942487</v>
      </c>
      <c r="AC91" s="120">
        <f t="shared" si="31"/>
        <v>0.25619678338564578</v>
      </c>
      <c r="AD91" s="120">
        <f t="shared" si="31"/>
        <v>0.27451951802359209</v>
      </c>
      <c r="AE91" s="120">
        <f t="shared" si="31"/>
        <v>0.29244237645624283</v>
      </c>
      <c r="AF91" s="120">
        <f t="shared" si="31"/>
        <v>0.31009213849953199</v>
      </c>
      <c r="AG91" s="120">
        <f t="shared" si="31"/>
        <v>0.32748150067405696</v>
      </c>
      <c r="AH91" s="120">
        <f t="shared" si="31"/>
        <v>0.34274549426704226</v>
      </c>
      <c r="AI91" s="120">
        <f t="shared" si="31"/>
        <v>0.35864886655701711</v>
      </c>
      <c r="AJ91" s="120">
        <f t="shared" si="31"/>
        <v>0.37463410749704401</v>
      </c>
      <c r="AK91" s="120">
        <f t="shared" si="31"/>
        <v>0.39044267272071875</v>
      </c>
      <c r="AL91" s="120">
        <f t="shared" si="31"/>
        <v>0.40596520854598872</v>
      </c>
      <c r="AM91" s="120">
        <f t="shared" si="31"/>
        <v>0.42115247302755093</v>
      </c>
    </row>
    <row r="92" spans="2:39" x14ac:dyDescent="0.25">
      <c r="B92" s="229"/>
      <c r="C92" s="62" t="s">
        <v>27</v>
      </c>
      <c r="D92" s="63" t="s">
        <v>443</v>
      </c>
      <c r="E92" s="111">
        <f t="shared" si="31"/>
        <v>2.2444105679199093E-7</v>
      </c>
      <c r="F92" s="111">
        <f t="shared" si="31"/>
        <v>2.4701486666984289E-5</v>
      </c>
      <c r="G92" s="111">
        <f t="shared" si="31"/>
        <v>5.0035318696251062E-5</v>
      </c>
      <c r="H92" s="111">
        <f t="shared" si="31"/>
        <v>6.6197354352867324E-5</v>
      </c>
      <c r="I92" s="111">
        <f t="shared" si="31"/>
        <v>9.2416953870564774E-5</v>
      </c>
      <c r="J92" s="110">
        <f t="shared" si="31"/>
        <v>1.3175330541512811E-4</v>
      </c>
      <c r="K92" s="68">
        <f t="shared" si="31"/>
        <v>2.3350772337019142E-4</v>
      </c>
      <c r="L92" s="68">
        <f t="shared" si="31"/>
        <v>3.9759119941362622E-4</v>
      </c>
      <c r="M92" s="68">
        <f t="shared" si="31"/>
        <v>6.1640373030936004E-4</v>
      </c>
      <c r="N92" s="111">
        <f t="shared" si="31"/>
        <v>8.2440897866435225E-4</v>
      </c>
      <c r="O92" s="110">
        <f t="shared" si="31"/>
        <v>1.1451830655621641E-3</v>
      </c>
      <c r="P92" s="68">
        <f t="shared" si="31"/>
        <v>1.5689402590908052E-3</v>
      </c>
      <c r="Q92" s="68">
        <f t="shared" si="31"/>
        <v>2.0945028298616324E-3</v>
      </c>
      <c r="R92" s="68">
        <f t="shared" si="31"/>
        <v>2.7227952460658514E-3</v>
      </c>
      <c r="S92" s="111">
        <f t="shared" si="31"/>
        <v>3.3280608641603404E-3</v>
      </c>
      <c r="T92" s="111">
        <f t="shared" si="31"/>
        <v>4.1245595863083863E-3</v>
      </c>
      <c r="U92" s="111">
        <f t="shared" si="31"/>
        <v>5.0413651867942545E-3</v>
      </c>
      <c r="V92" s="111">
        <f t="shared" si="31"/>
        <v>6.0698259630722253E-3</v>
      </c>
      <c r="W92" s="111">
        <f t="shared" si="31"/>
        <v>7.2065589486166705E-3</v>
      </c>
      <c r="X92" s="116">
        <f t="shared" si="31"/>
        <v>8.2864520949202589E-3</v>
      </c>
      <c r="Y92" s="116">
        <f t="shared" si="31"/>
        <v>9.5604908115543754E-3</v>
      </c>
      <c r="Z92" s="116">
        <f t="shared" si="31"/>
        <v>1.0980937931795935E-2</v>
      </c>
      <c r="AA92" s="116">
        <f t="shared" si="31"/>
        <v>1.2516915241983083E-2</v>
      </c>
      <c r="AB92" s="116">
        <f t="shared" si="31"/>
        <v>1.4154169952454125E-2</v>
      </c>
      <c r="AC92" s="116">
        <f t="shared" si="31"/>
        <v>1.5883952230760327E-2</v>
      </c>
      <c r="AD92" s="116">
        <f t="shared" si="31"/>
        <v>1.7674693550912546E-2</v>
      </c>
      <c r="AE92" s="116">
        <f t="shared" si="31"/>
        <v>1.9550425205778297E-2</v>
      </c>
      <c r="AF92" s="116">
        <f t="shared" si="31"/>
        <v>2.1522879372964075E-2</v>
      </c>
      <c r="AG92" s="116">
        <f t="shared" si="31"/>
        <v>2.3595146427339099E-2</v>
      </c>
      <c r="AH92" s="116">
        <f t="shared" si="31"/>
        <v>2.5574278075370448E-2</v>
      </c>
      <c r="AI92" s="116">
        <f t="shared" si="31"/>
        <v>2.7733890515398586E-2</v>
      </c>
      <c r="AJ92" s="116">
        <f t="shared" si="31"/>
        <v>3.0031714479083371E-2</v>
      </c>
      <c r="AK92" s="116">
        <f t="shared" si="31"/>
        <v>3.2444902295697742E-2</v>
      </c>
      <c r="AL92" s="116">
        <f t="shared" si="31"/>
        <v>3.4961552772264017E-2</v>
      </c>
      <c r="AM92" s="116">
        <f t="shared" si="31"/>
        <v>3.7575405969749474E-2</v>
      </c>
    </row>
    <row r="93" spans="2:39" x14ac:dyDescent="0.25">
      <c r="B93" s="229"/>
      <c r="C93" s="35" t="s">
        <v>28</v>
      </c>
      <c r="D93" s="54" t="s">
        <v>444</v>
      </c>
      <c r="E93" s="111">
        <f t="shared" si="31"/>
        <v>5.1448795922808401E-7</v>
      </c>
      <c r="F93" s="111">
        <f t="shared" si="31"/>
        <v>2.9600786783943133E-5</v>
      </c>
      <c r="G93" s="111">
        <f t="shared" si="31"/>
        <v>6.3795065281817314E-5</v>
      </c>
      <c r="H93" s="111">
        <f t="shared" si="31"/>
        <v>8.4096635510944287E-5</v>
      </c>
      <c r="I93" s="111">
        <f t="shared" si="31"/>
        <v>1.1336137728689517E-4</v>
      </c>
      <c r="J93" s="110">
        <f t="shared" si="31"/>
        <v>1.5343227012981248E-4</v>
      </c>
      <c r="K93" s="68">
        <f t="shared" si="31"/>
        <v>2.3829522039190665E-4</v>
      </c>
      <c r="L93" s="68">
        <f t="shared" si="31"/>
        <v>3.662737729009587E-4</v>
      </c>
      <c r="M93" s="68">
        <f t="shared" si="31"/>
        <v>5.3500931660399619E-4</v>
      </c>
      <c r="N93" s="111">
        <f t="shared" si="31"/>
        <v>6.9017068468785528E-4</v>
      </c>
      <c r="O93" s="110">
        <f t="shared" si="31"/>
        <v>9.3142277697137428E-4</v>
      </c>
      <c r="P93" s="68">
        <f t="shared" si="31"/>
        <v>1.2472318698745935E-3</v>
      </c>
      <c r="Q93" s="68">
        <f t="shared" si="31"/>
        <v>1.6339533829442189E-3</v>
      </c>
      <c r="R93" s="68">
        <f t="shared" si="31"/>
        <v>2.0901791343836931E-3</v>
      </c>
      <c r="S93" s="111">
        <f t="shared" si="31"/>
        <v>2.5195026194600114E-3</v>
      </c>
      <c r="T93" s="111">
        <f t="shared" si="31"/>
        <v>3.0832792680044129E-3</v>
      </c>
      <c r="U93" s="111">
        <f t="shared" si="31"/>
        <v>3.7242898990310046E-3</v>
      </c>
      <c r="V93" s="111">
        <f t="shared" si="31"/>
        <v>4.4345022812190531E-3</v>
      </c>
      <c r="W93" s="111">
        <f t="shared" si="31"/>
        <v>5.2093386494532108E-3</v>
      </c>
      <c r="X93" s="116">
        <f t="shared" si="31"/>
        <v>5.9307906125237522E-3</v>
      </c>
      <c r="Y93" s="116">
        <f t="shared" si="31"/>
        <v>6.7764110085212796E-3</v>
      </c>
      <c r="Z93" s="116">
        <f t="shared" si="31"/>
        <v>7.7081952096421068E-3</v>
      </c>
      <c r="AA93" s="116">
        <f t="shared" si="31"/>
        <v>8.7021418145383257E-3</v>
      </c>
      <c r="AB93" s="116">
        <f t="shared" si="31"/>
        <v>9.7467900061676289E-3</v>
      </c>
      <c r="AC93" s="116">
        <f t="shared" si="31"/>
        <v>1.0834835497353623E-2</v>
      </c>
      <c r="AD93" s="116">
        <f t="shared" si="31"/>
        <v>1.1939577587495045E-2</v>
      </c>
      <c r="AE93" s="116">
        <f t="shared" si="31"/>
        <v>1.3075736849995884E-2</v>
      </c>
      <c r="AF93" s="116">
        <f t="shared" si="31"/>
        <v>1.4248994619926396E-2</v>
      </c>
      <c r="AG93" s="116">
        <f t="shared" si="31"/>
        <v>1.545921307610469E-2</v>
      </c>
      <c r="AH93" s="116">
        <f t="shared" si="31"/>
        <v>1.6586802405857363E-2</v>
      </c>
      <c r="AI93" s="116">
        <f t="shared" si="31"/>
        <v>1.7799482730002252E-2</v>
      </c>
      <c r="AJ93" s="116">
        <f t="shared" si="31"/>
        <v>1.9066536101572638E-2</v>
      </c>
      <c r="AK93" s="116">
        <f t="shared" si="31"/>
        <v>2.03711038355259E-2</v>
      </c>
      <c r="AL93" s="116">
        <f t="shared" si="31"/>
        <v>2.1703877156647247E-2</v>
      </c>
      <c r="AM93" s="116">
        <f t="shared" si="31"/>
        <v>2.3059082625578774E-2</v>
      </c>
    </row>
    <row r="94" spans="2:39" x14ac:dyDescent="0.25">
      <c r="B94" s="229"/>
      <c r="C94" s="35" t="s">
        <v>29</v>
      </c>
      <c r="D94" s="54" t="s">
        <v>445</v>
      </c>
      <c r="E94" s="111">
        <f t="shared" si="31"/>
        <v>2.1062929920576682E-6</v>
      </c>
      <c r="F94" s="111">
        <f t="shared" si="31"/>
        <v>7.9168618181760513E-5</v>
      </c>
      <c r="G94" s="111">
        <f t="shared" si="31"/>
        <v>1.8194928963216465E-4</v>
      </c>
      <c r="H94" s="111">
        <f t="shared" si="31"/>
        <v>2.3893041849508805E-4</v>
      </c>
      <c r="I94" s="111">
        <f t="shared" si="31"/>
        <v>3.1085146674929477E-4</v>
      </c>
      <c r="J94" s="110">
        <f t="shared" si="31"/>
        <v>3.9751817309908403E-4</v>
      </c>
      <c r="K94" s="68">
        <f t="shared" si="31"/>
        <v>5.2109078540161862E-4</v>
      </c>
      <c r="L94" s="68">
        <f t="shared" si="31"/>
        <v>6.7707674513312565E-4</v>
      </c>
      <c r="M94" s="68">
        <f t="shared" si="31"/>
        <v>8.7658626858353524E-4</v>
      </c>
      <c r="N94" s="111">
        <f t="shared" si="31"/>
        <v>1.0431032761935425E-3</v>
      </c>
      <c r="O94" s="110">
        <f t="shared" si="31"/>
        <v>1.3091014657061687E-3</v>
      </c>
      <c r="P94" s="68">
        <f t="shared" si="31"/>
        <v>1.648412732789871E-3</v>
      </c>
      <c r="Q94" s="68">
        <f t="shared" si="31"/>
        <v>2.048625809056764E-3</v>
      </c>
      <c r="R94" s="68">
        <f t="shared" si="31"/>
        <v>2.5023235196308595E-3</v>
      </c>
      <c r="S94" s="111">
        <f t="shared" si="31"/>
        <v>2.8991117533319435E-3</v>
      </c>
      <c r="T94" s="111">
        <f t="shared" si="31"/>
        <v>3.4172745164912036E-3</v>
      </c>
      <c r="U94" s="111">
        <f t="shared" si="31"/>
        <v>3.9840373561487157E-3</v>
      </c>
      <c r="V94" s="111">
        <f t="shared" si="31"/>
        <v>4.5875282992012961E-3</v>
      </c>
      <c r="W94" s="111">
        <f t="shared" si="31"/>
        <v>5.2186347107309704E-3</v>
      </c>
      <c r="X94" s="116">
        <f t="shared" si="31"/>
        <v>5.7679996367572895E-3</v>
      </c>
      <c r="Y94" s="116">
        <f t="shared" si="31"/>
        <v>6.3982694429569704E-3</v>
      </c>
      <c r="Z94" s="116">
        <f t="shared" si="31"/>
        <v>7.065555949842605E-3</v>
      </c>
      <c r="AA94" s="116">
        <f t="shared" si="31"/>
        <v>7.7444904018165719E-3</v>
      </c>
      <c r="AB94" s="116">
        <f t="shared" si="31"/>
        <v>8.4232479029047163E-3</v>
      </c>
      <c r="AC94" s="116">
        <f t="shared" si="31"/>
        <v>9.09453201659737E-3</v>
      </c>
      <c r="AD94" s="116">
        <f t="shared" si="31"/>
        <v>9.7281070642122949E-3</v>
      </c>
      <c r="AE94" s="116">
        <f t="shared" si="31"/>
        <v>1.0334734096805367E-2</v>
      </c>
      <c r="AF94" s="116">
        <f t="shared" si="31"/>
        <v>1.091667919076607E-2</v>
      </c>
      <c r="AG94" s="116">
        <f t="shared" si="31"/>
        <v>1.1471969881930331E-2</v>
      </c>
      <c r="AH94" s="116">
        <f t="shared" si="31"/>
        <v>1.1934327489448044E-2</v>
      </c>
      <c r="AI94" s="116">
        <f t="shared" si="31"/>
        <v>1.2398387676275607E-2</v>
      </c>
      <c r="AJ94" s="116">
        <f t="shared" si="31"/>
        <v>1.284048707804362E-2</v>
      </c>
      <c r="AK94" s="116">
        <f t="shared" si="31"/>
        <v>1.3248694758194474E-2</v>
      </c>
      <c r="AL94" s="116">
        <f t="shared" si="31"/>
        <v>1.3616929392948137E-2</v>
      </c>
      <c r="AM94" s="116">
        <f t="shared" si="31"/>
        <v>1.3941314844416269E-2</v>
      </c>
    </row>
    <row r="95" spans="2:39" x14ac:dyDescent="0.25">
      <c r="B95" s="229"/>
      <c r="C95" s="35" t="s">
        <v>30</v>
      </c>
      <c r="D95" s="54" t="s">
        <v>446</v>
      </c>
      <c r="E95" s="111">
        <f t="shared" si="31"/>
        <v>4.9480620659729355E-5</v>
      </c>
      <c r="F95" s="111">
        <f t="shared" si="31"/>
        <v>1.7510176621291956E-3</v>
      </c>
      <c r="G95" s="111">
        <f t="shared" si="31"/>
        <v>4.0683890992785163E-3</v>
      </c>
      <c r="H95" s="111">
        <f t="shared" si="31"/>
        <v>5.3384238168146976E-3</v>
      </c>
      <c r="I95" s="111">
        <f t="shared" si="31"/>
        <v>6.9045615001016311E-3</v>
      </c>
      <c r="J95" s="110">
        <f t="shared" si="31"/>
        <v>8.7449849928348741E-3</v>
      </c>
      <c r="K95" s="68">
        <f t="shared" si="31"/>
        <v>1.1131411886229223E-2</v>
      </c>
      <c r="L95" s="68">
        <f t="shared" si="31"/>
        <v>1.4004925886354574E-2</v>
      </c>
      <c r="M95" s="68">
        <f t="shared" si="31"/>
        <v>1.7656212590910075E-2</v>
      </c>
      <c r="N95" s="111">
        <f t="shared" si="31"/>
        <v>2.063436529827473E-2</v>
      </c>
      <c r="O95" s="110">
        <f t="shared" si="31"/>
        <v>2.5429843616405309E-2</v>
      </c>
      <c r="P95" s="68">
        <f t="shared" si="31"/>
        <v>3.1516395882160847E-2</v>
      </c>
      <c r="Q95" s="68">
        <f t="shared" si="31"/>
        <v>3.8641916402834382E-2</v>
      </c>
      <c r="R95" s="68">
        <f t="shared" si="31"/>
        <v>4.6659195818545586E-2</v>
      </c>
      <c r="S95" s="111">
        <f t="shared" si="31"/>
        <v>5.3580630068296706E-2</v>
      </c>
      <c r="T95" s="111">
        <f t="shared" si="31"/>
        <v>6.2619261611341515E-2</v>
      </c>
      <c r="U95" s="111">
        <f t="shared" si="31"/>
        <v>7.2454083010208364E-2</v>
      </c>
      <c r="V95" s="111">
        <f t="shared" si="31"/>
        <v>8.2878974810316891E-2</v>
      </c>
      <c r="W95" s="111">
        <f t="shared" si="31"/>
        <v>9.3739244010166242E-2</v>
      </c>
      <c r="X95" s="116">
        <f t="shared" si="31"/>
        <v>0.10315301075958519</v>
      </c>
      <c r="Y95" s="116">
        <f t="shared" si="31"/>
        <v>0.11395327281253773</v>
      </c>
      <c r="Z95" s="116">
        <f t="shared" si="31"/>
        <v>0.12538868508850812</v>
      </c>
      <c r="AA95" s="116">
        <f t="shared" si="31"/>
        <v>0.13704079655953008</v>
      </c>
      <c r="AB95" s="116">
        <f t="shared" si="31"/>
        <v>0.14872930081686533</v>
      </c>
      <c r="AC95" s="116">
        <f t="shared" si="31"/>
        <v>0.1603533397138775</v>
      </c>
      <c r="AD95" s="116">
        <f t="shared" si="31"/>
        <v>0.17144436525731421</v>
      </c>
      <c r="AE95" s="116">
        <f t="shared" si="31"/>
        <v>0.18222132087281256</v>
      </c>
      <c r="AF95" s="116">
        <f t="shared" si="31"/>
        <v>0.19276138852969962</v>
      </c>
      <c r="AG95" s="116">
        <f t="shared" si="31"/>
        <v>0.20307128359825605</v>
      </c>
      <c r="AH95" s="116">
        <f t="shared" si="31"/>
        <v>0.21202853732629842</v>
      </c>
      <c r="AI95" s="116">
        <f t="shared" si="31"/>
        <v>0.22130475990061757</v>
      </c>
      <c r="AJ95" s="116">
        <f t="shared" si="31"/>
        <v>0.23055568518149397</v>
      </c>
      <c r="AK95" s="116">
        <f t="shared" si="31"/>
        <v>0.23962373728685216</v>
      </c>
      <c r="AL95" s="116">
        <f t="shared" si="31"/>
        <v>0.24844378876359172</v>
      </c>
      <c r="AM95" s="116">
        <f t="shared" si="31"/>
        <v>0.25698727931540449</v>
      </c>
    </row>
    <row r="96" spans="2:39" x14ac:dyDescent="0.25">
      <c r="B96" s="229"/>
      <c r="C96" s="35" t="s">
        <v>31</v>
      </c>
      <c r="D96" s="54" t="s">
        <v>447</v>
      </c>
      <c r="E96" s="111">
        <f t="shared" si="31"/>
        <v>1.950220135801834E-5</v>
      </c>
      <c r="F96" s="111">
        <f t="shared" si="31"/>
        <v>6.8106325207344478E-4</v>
      </c>
      <c r="G96" s="111">
        <f t="shared" si="31"/>
        <v>1.5864015945941737E-3</v>
      </c>
      <c r="H96" s="111">
        <f t="shared" si="31"/>
        <v>2.0813388698321797E-3</v>
      </c>
      <c r="I96" s="111">
        <f t="shared" si="31"/>
        <v>2.6882544125127355E-3</v>
      </c>
      <c r="J96" s="110">
        <f t="shared" si="31"/>
        <v>3.3968311483040087E-3</v>
      </c>
      <c r="K96" s="68">
        <f t="shared" si="31"/>
        <v>4.2881050263263486E-3</v>
      </c>
      <c r="L96" s="68">
        <f t="shared" si="31"/>
        <v>5.339000259262267E-3</v>
      </c>
      <c r="M96" s="68">
        <f t="shared" si="31"/>
        <v>6.668896643753231E-3</v>
      </c>
      <c r="N96" s="111">
        <f t="shared" si="31"/>
        <v>7.7381000603401733E-3</v>
      </c>
      <c r="O96" s="110">
        <f t="shared" si="31"/>
        <v>9.467242302576534E-3</v>
      </c>
      <c r="P96" s="68">
        <f t="shared" si="31"/>
        <v>1.165330034239166E-2</v>
      </c>
      <c r="Q96" s="68">
        <f t="shared" si="31"/>
        <v>1.4197290739723215E-2</v>
      </c>
      <c r="R96" s="68">
        <f t="shared" si="31"/>
        <v>1.7040717550081262E-2</v>
      </c>
      <c r="S96" s="111">
        <f t="shared" si="31"/>
        <v>1.9463612892112358E-2</v>
      </c>
      <c r="T96" s="111">
        <f t="shared" si="31"/>
        <v>2.2624734351838715E-2</v>
      </c>
      <c r="U96" s="111">
        <f t="shared" si="31"/>
        <v>2.603938845771922E-2</v>
      </c>
      <c r="V96" s="111">
        <f t="shared" si="31"/>
        <v>2.9631090221597201E-2</v>
      </c>
      <c r="W96" s="111">
        <f t="shared" si="31"/>
        <v>3.3341121639174583E-2</v>
      </c>
      <c r="X96" s="116">
        <f t="shared" si="31"/>
        <v>3.6511890597957404E-2</v>
      </c>
      <c r="Y96" s="116">
        <f t="shared" si="31"/>
        <v>4.0133404214293747E-2</v>
      </c>
      <c r="Z96" s="116">
        <f t="shared" si="31"/>
        <v>4.3934905707523834E-2</v>
      </c>
      <c r="AA96" s="116">
        <f t="shared" si="31"/>
        <v>4.7768217438505407E-2</v>
      </c>
      <c r="AB96" s="116">
        <f t="shared" si="31"/>
        <v>5.1570582342264637E-2</v>
      </c>
      <c r="AC96" s="116">
        <f t="shared" si="31"/>
        <v>5.5307793045637668E-2</v>
      </c>
      <c r="AD96" s="116">
        <f t="shared" si="31"/>
        <v>5.8814071384377838E-2</v>
      </c>
      <c r="AE96" s="116">
        <f t="shared" si="31"/>
        <v>6.2165353398525844E-2</v>
      </c>
      <c r="AF96" s="116">
        <f t="shared" si="31"/>
        <v>6.5388266131386916E-2</v>
      </c>
      <c r="AG96" s="116">
        <f t="shared" si="31"/>
        <v>6.8486165515473277E-2</v>
      </c>
      <c r="AH96" s="116">
        <f t="shared" si="31"/>
        <v>7.1111923741131733E-2</v>
      </c>
      <c r="AI96" s="116">
        <f t="shared" si="31"/>
        <v>7.3793068776318763E-2</v>
      </c>
      <c r="AJ96" s="116">
        <f t="shared" si="31"/>
        <v>7.6418507688221393E-2</v>
      </c>
      <c r="AK96" s="116">
        <f t="shared" si="31"/>
        <v>7.8940341968234892E-2</v>
      </c>
      <c r="AL96" s="116">
        <f t="shared" si="31"/>
        <v>8.1341337560921809E-2</v>
      </c>
      <c r="AM96" s="116">
        <f t="shared" si="31"/>
        <v>8.3615924280699611E-2</v>
      </c>
    </row>
    <row r="97" spans="2:40" x14ac:dyDescent="0.25">
      <c r="B97" s="229"/>
      <c r="C97" s="35" t="s">
        <v>32</v>
      </c>
      <c r="D97" s="54" t="s">
        <v>448</v>
      </c>
      <c r="E97" s="111">
        <f t="shared" si="31"/>
        <v>2.6587632861321598E-7</v>
      </c>
      <c r="F97" s="111">
        <f t="shared" si="31"/>
        <v>2.9237526519624185E-6</v>
      </c>
      <c r="G97" s="111">
        <f t="shared" si="31"/>
        <v>7.1741004985044737E-6</v>
      </c>
      <c r="H97" s="111">
        <f t="shared" si="31"/>
        <v>9.0495994491269835E-6</v>
      </c>
      <c r="I97" s="111">
        <f t="shared" si="31"/>
        <v>1.1381251917832603E-5</v>
      </c>
      <c r="J97" s="110">
        <f t="shared" si="31"/>
        <v>1.4137636586112698E-5</v>
      </c>
      <c r="K97" s="68">
        <f t="shared" si="31"/>
        <v>1.7732535414477049E-5</v>
      </c>
      <c r="L97" s="68">
        <f t="shared" si="31"/>
        <v>2.2082721290767676E-5</v>
      </c>
      <c r="M97" s="68">
        <f t="shared" si="31"/>
        <v>2.76258014195224E-5</v>
      </c>
      <c r="N97" s="111">
        <f t="shared" si="31"/>
        <v>3.2162638680245329E-5</v>
      </c>
      <c r="O97" s="110">
        <f t="shared" si="31"/>
        <v>3.9473582163747689E-5</v>
      </c>
      <c r="P97" s="68">
        <f t="shared" si="31"/>
        <v>4.8766623780652823E-5</v>
      </c>
      <c r="Q97" s="68">
        <f t="shared" si="31"/>
        <v>5.9662927238176383E-5</v>
      </c>
      <c r="R97" s="68">
        <f t="shared" si="31"/>
        <v>7.1941721265497395E-5</v>
      </c>
      <c r="S97" s="111">
        <f t="shared" si="31"/>
        <v>8.2568457900259932E-5</v>
      </c>
      <c r="T97" s="111">
        <f t="shared" si="31"/>
        <v>9.6453106089610858E-5</v>
      </c>
      <c r="U97" s="111">
        <f t="shared" si="31"/>
        <v>1.1158378027098691E-4</v>
      </c>
      <c r="V97" s="111">
        <f t="shared" si="31"/>
        <v>1.2764805388213748E-4</v>
      </c>
      <c r="W97" s="111">
        <f t="shared" si="31"/>
        <v>1.4441302583581764E-4</v>
      </c>
      <c r="X97" s="116">
        <f t="shared" si="31"/>
        <v>1.5898782827628195E-4</v>
      </c>
      <c r="Y97" s="116">
        <f t="shared" si="31"/>
        <v>1.757275090480258E-4</v>
      </c>
      <c r="Z97" s="116">
        <f t="shared" si="31"/>
        <v>1.934866632246901E-4</v>
      </c>
      <c r="AA97" s="116">
        <f t="shared" si="31"/>
        <v>2.1162641622114728E-4</v>
      </c>
      <c r="AB97" s="116">
        <f t="shared" si="31"/>
        <v>2.2987207481804715E-4</v>
      </c>
      <c r="AC97" s="116">
        <f t="shared" si="31"/>
        <v>2.4807039859097769E-4</v>
      </c>
      <c r="AD97" s="116">
        <f t="shared" si="31"/>
        <v>2.6550945561852781E-4</v>
      </c>
      <c r="AE97" s="116">
        <f t="shared" si="31"/>
        <v>2.8253013694983745E-4</v>
      </c>
      <c r="AF97" s="116">
        <f t="shared" si="31"/>
        <v>2.9925583692763468E-4</v>
      </c>
      <c r="AG97" s="116">
        <f t="shared" si="31"/>
        <v>3.1570060810716172E-4</v>
      </c>
      <c r="AH97" s="116">
        <f t="shared" si="31"/>
        <v>3.3009578894415738E-4</v>
      </c>
      <c r="AI97" s="116">
        <f t="shared" si="31"/>
        <v>3.450727344308057E-4</v>
      </c>
      <c r="AJ97" s="116">
        <f t="shared" si="31"/>
        <v>3.6010044116315421E-4</v>
      </c>
      <c r="AK97" s="116">
        <f t="shared" si="31"/>
        <v>3.7493504454071385E-4</v>
      </c>
      <c r="AL97" s="116">
        <f t="shared" si="31"/>
        <v>3.8947541030968946E-4</v>
      </c>
      <c r="AM97" s="116">
        <f t="shared" si="31"/>
        <v>4.036775233528814E-4</v>
      </c>
    </row>
    <row r="98" spans="2:40" x14ac:dyDescent="0.25">
      <c r="B98" s="229"/>
      <c r="C98" s="35" t="s">
        <v>33</v>
      </c>
      <c r="D98" s="54" t="s">
        <v>449</v>
      </c>
      <c r="E98" s="111">
        <f t="shared" si="31"/>
        <v>3.2664806093016185E-6</v>
      </c>
      <c r="F98" s="111">
        <f t="shared" si="31"/>
        <v>1.0480436947946423E-4</v>
      </c>
      <c r="G98" s="111">
        <f t="shared" si="31"/>
        <v>2.4815181109815506E-4</v>
      </c>
      <c r="H98" s="111">
        <f t="shared" si="31"/>
        <v>3.2519564366180215E-4</v>
      </c>
      <c r="I98" s="111">
        <f t="shared" si="31"/>
        <v>4.1634534910613358E-4</v>
      </c>
      <c r="J98" s="110">
        <f t="shared" si="31"/>
        <v>5.184409811440447E-4</v>
      </c>
      <c r="K98" s="68">
        <f t="shared" si="31"/>
        <v>6.2435424213335095E-4</v>
      </c>
      <c r="L98" s="68">
        <f t="shared" si="31"/>
        <v>7.3408488310684153E-4</v>
      </c>
      <c r="M98" s="68">
        <f t="shared" si="31"/>
        <v>8.6999201674728031E-4</v>
      </c>
      <c r="N98" s="111">
        <f t="shared" si="31"/>
        <v>9.7052174559966601E-4</v>
      </c>
      <c r="O98" s="110">
        <f t="shared" ref="O98:AM106" si="32">O56/O$48</f>
        <v>1.1379448570453686E-3</v>
      </c>
      <c r="P98" s="68">
        <f t="shared" si="32"/>
        <v>1.3453747956493254E-3</v>
      </c>
      <c r="Q98" s="68">
        <f t="shared" si="32"/>
        <v>1.5792098634412311E-3</v>
      </c>
      <c r="R98" s="68">
        <f t="shared" si="32"/>
        <v>1.8315154052307137E-3</v>
      </c>
      <c r="S98" s="111">
        <f t="shared" si="32"/>
        <v>2.0318831281970285E-3</v>
      </c>
      <c r="T98" s="111">
        <f t="shared" si="32"/>
        <v>2.2926344564760041E-3</v>
      </c>
      <c r="U98" s="111">
        <f t="shared" si="32"/>
        <v>2.5640236142478613E-3</v>
      </c>
      <c r="V98" s="111">
        <f t="shared" si="32"/>
        <v>2.838572320586305E-3</v>
      </c>
      <c r="W98" s="111">
        <f t="shared" si="32"/>
        <v>3.1103746479870355E-3</v>
      </c>
      <c r="X98" s="116">
        <f t="shared" si="32"/>
        <v>3.3267813263052168E-3</v>
      </c>
      <c r="Y98" s="116">
        <f t="shared" si="32"/>
        <v>3.5690474920193381E-3</v>
      </c>
      <c r="Z98" s="116">
        <f t="shared" si="32"/>
        <v>3.8131945945275264E-3</v>
      </c>
      <c r="AA98" s="116">
        <f t="shared" si="32"/>
        <v>4.0476310269210733E-3</v>
      </c>
      <c r="AB98" s="116">
        <f t="shared" si="32"/>
        <v>4.2684517654088374E-3</v>
      </c>
      <c r="AC98" s="116">
        <f t="shared" si="32"/>
        <v>4.474260482671002E-3</v>
      </c>
      <c r="AD98" s="116">
        <f t="shared" si="32"/>
        <v>4.6531936048006661E-3</v>
      </c>
      <c r="AE98" s="116">
        <f t="shared" si="32"/>
        <v>4.8122759000785251E-3</v>
      </c>
      <c r="AF98" s="116">
        <f t="shared" si="32"/>
        <v>4.9546748277763007E-3</v>
      </c>
      <c r="AG98" s="116">
        <f t="shared" si="32"/>
        <v>5.0820215459975596E-3</v>
      </c>
      <c r="AH98" s="116">
        <f t="shared" si="32"/>
        <v>5.1795294106266087E-3</v>
      </c>
      <c r="AI98" s="116">
        <f t="shared" si="32"/>
        <v>5.2742042079300909E-3</v>
      </c>
      <c r="AJ98" s="116">
        <f t="shared" si="32"/>
        <v>5.3610764112557822E-3</v>
      </c>
      <c r="AK98" s="116">
        <f t="shared" si="32"/>
        <v>5.4389574147542131E-3</v>
      </c>
      <c r="AL98" s="116">
        <f t="shared" si="32"/>
        <v>5.5082474348564971E-3</v>
      </c>
      <c r="AM98" s="116">
        <f t="shared" si="32"/>
        <v>5.5697885215594978E-3</v>
      </c>
    </row>
    <row r="99" spans="2:40" x14ac:dyDescent="0.25">
      <c r="B99" s="229"/>
      <c r="C99" s="64" t="s">
        <v>46</v>
      </c>
      <c r="D99" s="52" t="s">
        <v>424</v>
      </c>
      <c r="E99" s="128">
        <f t="shared" ref="E99:AM106" si="33">E57/E$48</f>
        <v>0.9999246395525615</v>
      </c>
      <c r="F99" s="128">
        <f t="shared" si="33"/>
        <v>0.99732672027046099</v>
      </c>
      <c r="G99" s="128">
        <f t="shared" si="33"/>
        <v>0.99379410372172394</v>
      </c>
      <c r="H99" s="128">
        <f t="shared" si="33"/>
        <v>0.99185676763784636</v>
      </c>
      <c r="I99" s="128">
        <f t="shared" si="33"/>
        <v>0.9894628275603452</v>
      </c>
      <c r="J99" s="127">
        <f t="shared" si="33"/>
        <v>0.98664290167846169</v>
      </c>
      <c r="K99" s="71">
        <f t="shared" si="33"/>
        <v>0.98294550241452638</v>
      </c>
      <c r="L99" s="71">
        <f t="shared" si="33"/>
        <v>0.97845896458156034</v>
      </c>
      <c r="M99" s="71">
        <f t="shared" si="33"/>
        <v>0.97274927368440767</v>
      </c>
      <c r="N99" s="128">
        <f t="shared" si="33"/>
        <v>0.96806716743406884</v>
      </c>
      <c r="O99" s="127">
        <f t="shared" si="33"/>
        <v>0.96053978843587429</v>
      </c>
      <c r="P99" s="71">
        <f t="shared" si="33"/>
        <v>0.9509715772725541</v>
      </c>
      <c r="Q99" s="71">
        <f t="shared" si="33"/>
        <v>0.93974483820028576</v>
      </c>
      <c r="R99" s="71">
        <f t="shared" si="33"/>
        <v>0.92708133150968541</v>
      </c>
      <c r="S99" s="128">
        <f t="shared" si="33"/>
        <v>0.91609463013479719</v>
      </c>
      <c r="T99" s="128">
        <f t="shared" si="32"/>
        <v>0.90174180308588059</v>
      </c>
      <c r="U99" s="128">
        <f t="shared" si="32"/>
        <v>0.88608122864671157</v>
      </c>
      <c r="V99" s="128">
        <f t="shared" si="32"/>
        <v>0.86943185812691137</v>
      </c>
      <c r="W99" s="128">
        <f t="shared" si="32"/>
        <v>0.85203031419515585</v>
      </c>
      <c r="X99" s="120">
        <f t="shared" si="33"/>
        <v>0.83686408727878303</v>
      </c>
      <c r="Y99" s="120">
        <f t="shared" si="32"/>
        <v>0.81943337693679397</v>
      </c>
      <c r="Z99" s="120">
        <f t="shared" si="32"/>
        <v>0.80091503886439874</v>
      </c>
      <c r="AA99" s="120">
        <f t="shared" si="32"/>
        <v>0.78196818108371291</v>
      </c>
      <c r="AB99" s="120">
        <f t="shared" si="32"/>
        <v>0.76287758522978133</v>
      </c>
      <c r="AC99" s="120">
        <f t="shared" si="33"/>
        <v>0.74380321674565186</v>
      </c>
      <c r="AD99" s="120">
        <f t="shared" si="32"/>
        <v>0.72548048197640791</v>
      </c>
      <c r="AE99" s="120">
        <f t="shared" si="32"/>
        <v>0.70755762354375717</v>
      </c>
      <c r="AF99" s="120">
        <f t="shared" si="32"/>
        <v>0.6899078615004679</v>
      </c>
      <c r="AG99" s="120">
        <f t="shared" si="32"/>
        <v>0.67251849932594299</v>
      </c>
      <c r="AH99" s="120">
        <f t="shared" si="33"/>
        <v>0.65725450573295774</v>
      </c>
      <c r="AI99" s="120">
        <f t="shared" si="32"/>
        <v>0.64135113344298289</v>
      </c>
      <c r="AJ99" s="120">
        <f t="shared" si="32"/>
        <v>0.62536589276647092</v>
      </c>
      <c r="AK99" s="120">
        <f t="shared" si="32"/>
        <v>0.60955732727928136</v>
      </c>
      <c r="AL99" s="120">
        <f t="shared" si="32"/>
        <v>0.59403479145401128</v>
      </c>
      <c r="AM99" s="120">
        <f t="shared" si="33"/>
        <v>0.57884752697244901</v>
      </c>
      <c r="AN99" s="231"/>
    </row>
    <row r="100" spans="2:40" x14ac:dyDescent="0.25">
      <c r="B100" s="229"/>
      <c r="C100" s="35" t="s">
        <v>27</v>
      </c>
      <c r="D100" s="54" t="s">
        <v>450</v>
      </c>
      <c r="E100" s="130">
        <f t="shared" si="33"/>
        <v>5.806258421252752E-4</v>
      </c>
      <c r="F100" s="130">
        <f t="shared" si="33"/>
        <v>8.3616002829816211E-3</v>
      </c>
      <c r="G100" s="130">
        <f t="shared" si="33"/>
        <v>9.6309537112907045E-3</v>
      </c>
      <c r="H100" s="130">
        <f t="shared" si="33"/>
        <v>1.0367773317484919E-2</v>
      </c>
      <c r="I100" s="130">
        <f t="shared" si="33"/>
        <v>1.1691445243024182E-2</v>
      </c>
      <c r="J100" s="129">
        <f t="shared" si="33"/>
        <v>1.2777483523124512E-2</v>
      </c>
      <c r="K100" s="72">
        <f t="shared" si="33"/>
        <v>1.46691207897025E-2</v>
      </c>
      <c r="L100" s="72">
        <f t="shared" si="33"/>
        <v>1.6825842874425435E-2</v>
      </c>
      <c r="M100" s="72">
        <f t="shared" si="33"/>
        <v>1.9051329202752168E-2</v>
      </c>
      <c r="N100" s="130">
        <f t="shared" si="33"/>
        <v>2.064105695846678E-2</v>
      </c>
      <c r="O100" s="129">
        <f t="shared" si="33"/>
        <v>2.2556444966505756E-2</v>
      </c>
      <c r="P100" s="72">
        <f t="shared" si="33"/>
        <v>2.4537683818608234E-2</v>
      </c>
      <c r="Q100" s="72">
        <f t="shared" si="33"/>
        <v>2.6495839795634309E-2</v>
      </c>
      <c r="R100" s="72">
        <f t="shared" si="33"/>
        <v>2.8388370691261263E-2</v>
      </c>
      <c r="S100" s="130">
        <f t="shared" si="33"/>
        <v>2.9871499561987962E-2</v>
      </c>
      <c r="T100" s="130">
        <f t="shared" si="32"/>
        <v>3.1472306674475072E-2</v>
      </c>
      <c r="U100" s="130">
        <f t="shared" si="32"/>
        <v>3.3003935607397922E-2</v>
      </c>
      <c r="V100" s="130">
        <f t="shared" si="32"/>
        <v>3.4457106027690886E-2</v>
      </c>
      <c r="W100" s="130">
        <f t="shared" si="32"/>
        <v>3.5812332927323678E-2</v>
      </c>
      <c r="X100" s="121">
        <f t="shared" si="33"/>
        <v>3.6948634949725813E-2</v>
      </c>
      <c r="Y100" s="121">
        <f t="shared" si="32"/>
        <v>3.8103631796974131E-2</v>
      </c>
      <c r="Z100" s="121">
        <f t="shared" si="32"/>
        <v>3.9216407361243467E-2</v>
      </c>
      <c r="AA100" s="121">
        <f t="shared" si="32"/>
        <v>4.0277737871886252E-2</v>
      </c>
      <c r="AB100" s="121">
        <f t="shared" si="32"/>
        <v>4.1282193106823378E-2</v>
      </c>
      <c r="AC100" s="121">
        <f t="shared" si="33"/>
        <v>4.2227279534804554E-2</v>
      </c>
      <c r="AD100" s="121">
        <f t="shared" si="32"/>
        <v>4.3126028447715972E-2</v>
      </c>
      <c r="AE100" s="121">
        <f t="shared" si="32"/>
        <v>4.3996481532857179E-2</v>
      </c>
      <c r="AF100" s="121">
        <f t="shared" si="32"/>
        <v>4.4845400966566723E-2</v>
      </c>
      <c r="AG100" s="121">
        <f t="shared" si="32"/>
        <v>4.5679928791976632E-2</v>
      </c>
      <c r="AH100" s="121">
        <f t="shared" si="33"/>
        <v>4.6441810791907408E-2</v>
      </c>
      <c r="AI100" s="121">
        <f t="shared" si="32"/>
        <v>4.7226946882199618E-2</v>
      </c>
      <c r="AJ100" s="121">
        <f t="shared" si="32"/>
        <v>4.8024912186036453E-2</v>
      </c>
      <c r="AK100" s="121">
        <f t="shared" si="32"/>
        <v>4.8833524353437886E-2</v>
      </c>
      <c r="AL100" s="121">
        <f t="shared" si="32"/>
        <v>4.9649476061294127E-2</v>
      </c>
      <c r="AM100" s="121">
        <f t="shared" si="33"/>
        <v>5.0469995603901037E-2</v>
      </c>
    </row>
    <row r="101" spans="2:40" x14ac:dyDescent="0.25">
      <c r="B101" s="229"/>
      <c r="C101" s="35" t="s">
        <v>28</v>
      </c>
      <c r="D101" s="54" t="s">
        <v>451</v>
      </c>
      <c r="E101" s="130">
        <f t="shared" si="33"/>
        <v>5.070879699542305E-2</v>
      </c>
      <c r="F101" s="130">
        <f t="shared" si="33"/>
        <v>0.11350714537548018</v>
      </c>
      <c r="G101" s="130">
        <f t="shared" si="33"/>
        <v>0.12541412869172164</v>
      </c>
      <c r="H101" s="130">
        <f t="shared" si="33"/>
        <v>0.1290040517968386</v>
      </c>
      <c r="I101" s="130">
        <f t="shared" si="33"/>
        <v>0.13260563693154359</v>
      </c>
      <c r="J101" s="129">
        <f t="shared" si="33"/>
        <v>0.13551814236044274</v>
      </c>
      <c r="K101" s="72">
        <f t="shared" si="33"/>
        <v>0.13872420067622004</v>
      </c>
      <c r="L101" s="72">
        <f t="shared" si="33"/>
        <v>0.14167898659865338</v>
      </c>
      <c r="M101" s="72">
        <f t="shared" si="33"/>
        <v>0.14439094321992621</v>
      </c>
      <c r="N101" s="130">
        <f t="shared" si="33"/>
        <v>0.14601267997722611</v>
      </c>
      <c r="O101" s="129">
        <f t="shared" si="33"/>
        <v>0.14776607143779949</v>
      </c>
      <c r="P101" s="72">
        <f t="shared" si="33"/>
        <v>0.14923348873924103</v>
      </c>
      <c r="Q101" s="72">
        <f t="shared" si="33"/>
        <v>0.15029347855122943</v>
      </c>
      <c r="R101" s="72">
        <f t="shared" si="33"/>
        <v>0.15091762613510187</v>
      </c>
      <c r="S101" s="130">
        <f t="shared" si="33"/>
        <v>0.15109591340535991</v>
      </c>
      <c r="T101" s="130">
        <f t="shared" si="32"/>
        <v>0.15089557916519059</v>
      </c>
      <c r="U101" s="130">
        <f t="shared" si="32"/>
        <v>0.15032677595454735</v>
      </c>
      <c r="V101" s="130">
        <f t="shared" si="32"/>
        <v>0.14942668228604439</v>
      </c>
      <c r="W101" s="130">
        <f t="shared" si="32"/>
        <v>0.1482283911799202</v>
      </c>
      <c r="X101" s="121">
        <f t="shared" si="33"/>
        <v>0.14701830455825995</v>
      </c>
      <c r="Y101" s="121">
        <f t="shared" si="32"/>
        <v>0.14544061793508065</v>
      </c>
      <c r="Z101" s="121">
        <f t="shared" si="32"/>
        <v>0.14360384828183342</v>
      </c>
      <c r="AA101" s="121">
        <f t="shared" si="32"/>
        <v>0.14159020013421558</v>
      </c>
      <c r="AB101" s="121">
        <f t="shared" si="32"/>
        <v>0.13944368963469025</v>
      </c>
      <c r="AC101" s="121">
        <f t="shared" si="33"/>
        <v>0.13719466922528467</v>
      </c>
      <c r="AD101" s="121">
        <f t="shared" si="32"/>
        <v>0.13495039882069507</v>
      </c>
      <c r="AE101" s="121">
        <f t="shared" si="32"/>
        <v>0.13267979129985716</v>
      </c>
      <c r="AF101" s="121">
        <f t="shared" si="32"/>
        <v>0.13037490533776117</v>
      </c>
      <c r="AG101" s="121">
        <f t="shared" si="32"/>
        <v>0.12804192663357322</v>
      </c>
      <c r="AH101" s="121">
        <f t="shared" si="33"/>
        <v>0.12594921818462043</v>
      </c>
      <c r="AI101" s="121">
        <f t="shared" si="32"/>
        <v>0.12371262781070533</v>
      </c>
      <c r="AJ101" s="121">
        <f t="shared" si="32"/>
        <v>0.12141349183373294</v>
      </c>
      <c r="AK101" s="121">
        <f t="shared" si="32"/>
        <v>0.11909266612266776</v>
      </c>
      <c r="AL101" s="121">
        <f t="shared" si="32"/>
        <v>0.11676901153511088</v>
      </c>
      <c r="AM101" s="121">
        <f t="shared" si="33"/>
        <v>0.11445236559759502</v>
      </c>
    </row>
    <row r="102" spans="2:40" x14ac:dyDescent="0.25">
      <c r="B102" s="229"/>
      <c r="C102" s="35" t="s">
        <v>29</v>
      </c>
      <c r="D102" s="54" t="s">
        <v>452</v>
      </c>
      <c r="E102" s="130">
        <f t="shared" si="33"/>
        <v>0.1200243797595533</v>
      </c>
      <c r="F102" s="130">
        <f t="shared" si="33"/>
        <v>0.19538619345196298</v>
      </c>
      <c r="G102" s="130">
        <f t="shared" si="33"/>
        <v>0.20989854950695674</v>
      </c>
      <c r="H102" s="130">
        <f t="shared" si="33"/>
        <v>0.21412019558355605</v>
      </c>
      <c r="I102" s="130">
        <f t="shared" si="33"/>
        <v>0.21802818595749776</v>
      </c>
      <c r="J102" s="129">
        <f t="shared" si="33"/>
        <v>0.22124119015820698</v>
      </c>
      <c r="K102" s="72">
        <f t="shared" si="33"/>
        <v>0.22431653719933617</v>
      </c>
      <c r="L102" s="72">
        <f t="shared" si="33"/>
        <v>0.2268471399733713</v>
      </c>
      <c r="M102" s="72">
        <f t="shared" si="33"/>
        <v>0.22895439952394184</v>
      </c>
      <c r="N102" s="130">
        <f t="shared" si="33"/>
        <v>0.23000055997769839</v>
      </c>
      <c r="O102" s="129">
        <f t="shared" si="33"/>
        <v>0.23090873766450168</v>
      </c>
      <c r="P102" s="72">
        <f t="shared" si="33"/>
        <v>0.23131030642996547</v>
      </c>
      <c r="Q102" s="72">
        <f t="shared" si="33"/>
        <v>0.23110840593641802</v>
      </c>
      <c r="R102" s="72">
        <f t="shared" si="33"/>
        <v>0.23029887089431197</v>
      </c>
      <c r="S102" s="130">
        <f t="shared" si="33"/>
        <v>0.22919941780630182</v>
      </c>
      <c r="T102" s="130">
        <f t="shared" si="32"/>
        <v>0.22738388182792016</v>
      </c>
      <c r="U102" s="130">
        <f t="shared" si="32"/>
        <v>0.22506537969060075</v>
      </c>
      <c r="V102" s="130">
        <f t="shared" si="32"/>
        <v>0.22231154863501074</v>
      </c>
      <c r="W102" s="130">
        <f t="shared" si="32"/>
        <v>0.21918959380027273</v>
      </c>
      <c r="X102" s="121">
        <f t="shared" si="33"/>
        <v>0.21628000351012286</v>
      </c>
      <c r="Y102" s="121">
        <f t="shared" si="32"/>
        <v>0.21277643041426245</v>
      </c>
      <c r="Z102" s="121">
        <f t="shared" si="32"/>
        <v>0.20890751300108951</v>
      </c>
      <c r="AA102" s="121">
        <f t="shared" si="32"/>
        <v>0.2048156835466092</v>
      </c>
      <c r="AB102" s="121">
        <f t="shared" si="32"/>
        <v>0.20057520054255618</v>
      </c>
      <c r="AC102" s="121">
        <f t="shared" si="33"/>
        <v>0.19623515418427262</v>
      </c>
      <c r="AD102" s="121">
        <f t="shared" si="32"/>
        <v>0.19196762762513458</v>
      </c>
      <c r="AE102" s="121">
        <f t="shared" si="32"/>
        <v>0.18770638115171881</v>
      </c>
      <c r="AF102" s="121">
        <f t="shared" si="32"/>
        <v>0.18343236946374983</v>
      </c>
      <c r="AG102" s="121">
        <f t="shared" si="32"/>
        <v>0.17914972586135039</v>
      </c>
      <c r="AH102" s="121">
        <f t="shared" si="33"/>
        <v>0.17532340614343872</v>
      </c>
      <c r="AI102" s="121">
        <f t="shared" si="32"/>
        <v>0.17128262480024165</v>
      </c>
      <c r="AJ102" s="121">
        <f t="shared" si="32"/>
        <v>0.16716528228430674</v>
      </c>
      <c r="AK102" s="121">
        <f t="shared" si="32"/>
        <v>0.16303805043126329</v>
      </c>
      <c r="AL102" s="121">
        <f t="shared" si="32"/>
        <v>0.15893269475937741</v>
      </c>
      <c r="AM102" s="121">
        <f t="shared" si="33"/>
        <v>0.15486624709606542</v>
      </c>
    </row>
    <row r="103" spans="2:40" x14ac:dyDescent="0.25">
      <c r="B103" s="229"/>
      <c r="C103" s="35" t="s">
        <v>30</v>
      </c>
      <c r="D103" s="54" t="s">
        <v>453</v>
      </c>
      <c r="E103" s="130">
        <f t="shared" si="33"/>
        <v>0.16803384356708401</v>
      </c>
      <c r="F103" s="130">
        <f t="shared" si="33"/>
        <v>0.21813498095885944</v>
      </c>
      <c r="G103" s="130">
        <f t="shared" si="33"/>
        <v>0.22704969504310341</v>
      </c>
      <c r="H103" s="130">
        <f t="shared" si="33"/>
        <v>0.22952590949673218</v>
      </c>
      <c r="I103" s="130">
        <f t="shared" si="33"/>
        <v>0.23148936197424727</v>
      </c>
      <c r="J103" s="129">
        <f t="shared" si="33"/>
        <v>0.23336423447070515</v>
      </c>
      <c r="K103" s="72">
        <f t="shared" si="33"/>
        <v>0.23483748851490072</v>
      </c>
      <c r="L103" s="72">
        <f t="shared" si="33"/>
        <v>0.23576007351516085</v>
      </c>
      <c r="M103" s="72">
        <f t="shared" si="33"/>
        <v>0.23625576125361522</v>
      </c>
      <c r="N103" s="130">
        <f t="shared" si="33"/>
        <v>0.23621910410113006</v>
      </c>
      <c r="O103" s="129">
        <f t="shared" si="33"/>
        <v>0.23577652351780023</v>
      </c>
      <c r="P103" s="72">
        <f t="shared" si="33"/>
        <v>0.23479002443147121</v>
      </c>
      <c r="Q103" s="72">
        <f t="shared" si="33"/>
        <v>0.23324049516048798</v>
      </c>
      <c r="R103" s="72">
        <f t="shared" si="33"/>
        <v>0.23115342675305364</v>
      </c>
      <c r="S103" s="130">
        <f t="shared" si="33"/>
        <v>0.2290924330581828</v>
      </c>
      <c r="T103" s="130">
        <f t="shared" si="32"/>
        <v>0.2262213363359272</v>
      </c>
      <c r="U103" s="130">
        <f t="shared" si="32"/>
        <v>0.22290398028657935</v>
      </c>
      <c r="V103" s="130">
        <f t="shared" si="32"/>
        <v>0.21921616220459661</v>
      </c>
      <c r="W103" s="130">
        <f t="shared" si="32"/>
        <v>0.21523165702851116</v>
      </c>
      <c r="X103" s="121">
        <f t="shared" si="33"/>
        <v>0.2116340157460852</v>
      </c>
      <c r="Y103" s="121">
        <f t="shared" si="32"/>
        <v>0.20742750210760569</v>
      </c>
      <c r="Z103" s="121">
        <f t="shared" si="32"/>
        <v>0.20288483706651184</v>
      </c>
      <c r="AA103" s="121">
        <f t="shared" si="32"/>
        <v>0.1981620243620173</v>
      </c>
      <c r="AB103" s="121">
        <f t="shared" si="32"/>
        <v>0.1933366977062369</v>
      </c>
      <c r="AC103" s="121">
        <f t="shared" si="33"/>
        <v>0.18845791691488178</v>
      </c>
      <c r="AD103" s="121">
        <f t="shared" si="32"/>
        <v>0.18370467489764902</v>
      </c>
      <c r="AE103" s="121">
        <f t="shared" si="32"/>
        <v>0.17899744123455325</v>
      </c>
      <c r="AF103" s="121">
        <f t="shared" si="32"/>
        <v>0.17431143405832794</v>
      </c>
      <c r="AG103" s="121">
        <f t="shared" si="32"/>
        <v>0.16964714409238785</v>
      </c>
      <c r="AH103" s="121">
        <f t="shared" si="33"/>
        <v>0.16549997046724921</v>
      </c>
      <c r="AI103" s="121">
        <f t="shared" si="32"/>
        <v>0.1611489230930285</v>
      </c>
      <c r="AJ103" s="121">
        <f t="shared" si="32"/>
        <v>0.15674002952056945</v>
      </c>
      <c r="AK103" s="121">
        <f t="shared" si="32"/>
        <v>0.15234246819268524</v>
      </c>
      <c r="AL103" s="121">
        <f t="shared" si="32"/>
        <v>0.14798897237934602</v>
      </c>
      <c r="AM103" s="121">
        <f t="shared" si="33"/>
        <v>0.14369681800676945</v>
      </c>
    </row>
    <row r="104" spans="2:40" x14ac:dyDescent="0.25">
      <c r="B104" s="229"/>
      <c r="C104" s="35" t="s">
        <v>31</v>
      </c>
      <c r="D104" s="54" t="s">
        <v>454</v>
      </c>
      <c r="E104" s="130">
        <f t="shared" si="33"/>
        <v>0.4362143910050581</v>
      </c>
      <c r="F104" s="130">
        <f t="shared" si="33"/>
        <v>0.31361015098215295</v>
      </c>
      <c r="G104" s="130">
        <f t="shared" si="33"/>
        <v>0.28889355192573896</v>
      </c>
      <c r="H104" s="130">
        <f t="shared" si="33"/>
        <v>0.28093378916824097</v>
      </c>
      <c r="I104" s="130">
        <f t="shared" si="33"/>
        <v>0.27291837987512207</v>
      </c>
      <c r="J104" s="129">
        <f t="shared" si="33"/>
        <v>0.26629691121980276</v>
      </c>
      <c r="K104" s="72">
        <f t="shared" si="33"/>
        <v>0.25874571657051948</v>
      </c>
      <c r="L104" s="72">
        <f t="shared" si="33"/>
        <v>0.25126162604986768</v>
      </c>
      <c r="M104" s="72">
        <f t="shared" si="33"/>
        <v>0.24358106869044191</v>
      </c>
      <c r="N104" s="130">
        <f t="shared" si="33"/>
        <v>0.23834751018813444</v>
      </c>
      <c r="O104" s="129">
        <f t="shared" si="33"/>
        <v>0.23142452643479894</v>
      </c>
      <c r="P104" s="72">
        <f t="shared" si="33"/>
        <v>0.22395027913650903</v>
      </c>
      <c r="Q104" s="72">
        <f t="shared" si="33"/>
        <v>0.21633511782530804</v>
      </c>
      <c r="R104" s="72">
        <f t="shared" si="33"/>
        <v>0.20874233916304613</v>
      </c>
      <c r="S104" s="130">
        <f t="shared" si="33"/>
        <v>0.20279054113791528</v>
      </c>
      <c r="T104" s="130">
        <f t="shared" si="32"/>
        <v>0.19576567505733483</v>
      </c>
      <c r="U104" s="130">
        <f t="shared" si="32"/>
        <v>0.18870489330608395</v>
      </c>
      <c r="V104" s="130">
        <f t="shared" si="32"/>
        <v>0.18170818145962553</v>
      </c>
      <c r="W104" s="130">
        <f t="shared" si="32"/>
        <v>0.17483822208223926</v>
      </c>
      <c r="X104" s="121">
        <f t="shared" si="33"/>
        <v>0.1691319278354633</v>
      </c>
      <c r="Y104" s="121">
        <f t="shared" si="32"/>
        <v>0.1628965553331784</v>
      </c>
      <c r="Z104" s="121">
        <f t="shared" si="32"/>
        <v>0.15654997465590584</v>
      </c>
      <c r="AA104" s="121">
        <f t="shared" si="32"/>
        <v>0.15028866283497555</v>
      </c>
      <c r="AB104" s="121">
        <f t="shared" si="32"/>
        <v>0.14418242259314767</v>
      </c>
      <c r="AC104" s="121">
        <f t="shared" si="33"/>
        <v>0.13826060610360175</v>
      </c>
      <c r="AD104" s="121">
        <f t="shared" si="32"/>
        <v>0.13271012775504451</v>
      </c>
      <c r="AE104" s="121">
        <f t="shared" si="32"/>
        <v>0.1274037115784328</v>
      </c>
      <c r="AF104" s="121">
        <f t="shared" si="32"/>
        <v>0.12228937353334125</v>
      </c>
      <c r="AG104" s="121">
        <f t="shared" si="32"/>
        <v>0.11734948926287996</v>
      </c>
      <c r="AH104" s="121">
        <f t="shared" si="33"/>
        <v>0.11308281746299918</v>
      </c>
      <c r="AI104" s="121">
        <f t="shared" si="32"/>
        <v>0.10872133080586434</v>
      </c>
      <c r="AJ104" s="121">
        <f t="shared" si="32"/>
        <v>0.1044109304082079</v>
      </c>
      <c r="AK104" s="121">
        <f t="shared" si="32"/>
        <v>0.10021384283274591</v>
      </c>
      <c r="AL104" s="121">
        <f t="shared" si="32"/>
        <v>9.6153619210087846E-2</v>
      </c>
      <c r="AM104" s="121">
        <f t="shared" si="33"/>
        <v>9.2238366867966007E-2</v>
      </c>
    </row>
    <row r="105" spans="2:40" x14ac:dyDescent="0.25">
      <c r="B105" s="229"/>
      <c r="C105" s="35" t="s">
        <v>32</v>
      </c>
      <c r="D105" s="54" t="s">
        <v>455</v>
      </c>
      <c r="E105" s="130">
        <f t="shared" si="33"/>
        <v>0.15386468112104759</v>
      </c>
      <c r="F105" s="130">
        <f t="shared" si="33"/>
        <v>0.10624484290739696</v>
      </c>
      <c r="G105" s="130">
        <f t="shared" si="33"/>
        <v>9.6397906152105375E-2</v>
      </c>
      <c r="H105" s="130">
        <f t="shared" si="33"/>
        <v>9.3217984178117358E-2</v>
      </c>
      <c r="I105" s="130">
        <f t="shared" si="33"/>
        <v>8.9844236206013464E-2</v>
      </c>
      <c r="J105" s="129">
        <f t="shared" si="33"/>
        <v>8.6309045284257604E-2</v>
      </c>
      <c r="K105" s="72">
        <f t="shared" si="33"/>
        <v>8.2330062213694211E-2</v>
      </c>
      <c r="L105" s="72">
        <f t="shared" si="33"/>
        <v>7.844914815466604E-2</v>
      </c>
      <c r="M105" s="72">
        <f t="shared" si="33"/>
        <v>7.4544751903093884E-2</v>
      </c>
      <c r="N105" s="130">
        <f t="shared" si="33"/>
        <v>7.1949217761990023E-2</v>
      </c>
      <c r="O105" s="129">
        <f t="shared" si="33"/>
        <v>6.8594681424739984E-2</v>
      </c>
      <c r="P105" s="72">
        <f t="shared" si="33"/>
        <v>6.507062570335119E-2</v>
      </c>
      <c r="Q105" s="72">
        <f t="shared" si="33"/>
        <v>6.1584761289205696E-2</v>
      </c>
      <c r="R105" s="72">
        <f t="shared" si="33"/>
        <v>5.8214831484799015E-2</v>
      </c>
      <c r="S105" s="130">
        <f t="shared" si="33"/>
        <v>5.5657830299646216E-2</v>
      </c>
      <c r="T105" s="130">
        <f t="shared" si="32"/>
        <v>5.272683618664542E-2</v>
      </c>
      <c r="U105" s="130">
        <f t="shared" si="32"/>
        <v>4.9867660375969618E-2</v>
      </c>
      <c r="V105" s="130">
        <f t="shared" si="32"/>
        <v>4.7115861438531435E-2</v>
      </c>
      <c r="W105" s="130">
        <f t="shared" si="32"/>
        <v>4.4487959699076755E-2</v>
      </c>
      <c r="X105" s="121">
        <f t="shared" si="33"/>
        <v>4.2366346701176158E-2</v>
      </c>
      <c r="Y105" s="121">
        <f t="shared" si="32"/>
        <v>4.0103864842419859E-2</v>
      </c>
      <c r="Z105" s="121">
        <f t="shared" si="32"/>
        <v>3.785496760028436E-2</v>
      </c>
      <c r="AA105" s="121">
        <f t="shared" si="32"/>
        <v>3.5687193796497284E-2</v>
      </c>
      <c r="AB105" s="121">
        <f t="shared" si="32"/>
        <v>3.3619685826722284E-2</v>
      </c>
      <c r="AC105" s="121">
        <f t="shared" si="33"/>
        <v>3.1656885092839489E-2</v>
      </c>
      <c r="AD105" s="121">
        <f t="shared" si="32"/>
        <v>2.9856634749328658E-2</v>
      </c>
      <c r="AE105" s="121">
        <f t="shared" si="32"/>
        <v>2.8170997808134202E-2</v>
      </c>
      <c r="AF105" s="121">
        <f t="shared" si="32"/>
        <v>2.6578505465938939E-2</v>
      </c>
      <c r="AG105" s="121">
        <f t="shared" si="32"/>
        <v>2.5069961944041836E-2</v>
      </c>
      <c r="AH105" s="121">
        <f t="shared" si="33"/>
        <v>2.3793161852566098E-2</v>
      </c>
      <c r="AI105" s="121">
        <f t="shared" si="32"/>
        <v>2.2510474361290198E-2</v>
      </c>
      <c r="AJ105" s="121">
        <f t="shared" si="32"/>
        <v>2.1264810351248064E-2</v>
      </c>
      <c r="AK105" s="121">
        <f t="shared" si="32"/>
        <v>2.0072836328035852E-2</v>
      </c>
      <c r="AL105" s="121">
        <f t="shared" si="32"/>
        <v>1.8939165526986618E-2</v>
      </c>
      <c r="AM105" s="121">
        <f t="shared" si="33"/>
        <v>1.7863862806874395E-2</v>
      </c>
    </row>
    <row r="106" spans="2:40" x14ac:dyDescent="0.25">
      <c r="B106" s="229"/>
      <c r="C106" s="56" t="s">
        <v>33</v>
      </c>
      <c r="D106" s="66" t="s">
        <v>456</v>
      </c>
      <c r="E106" s="132">
        <f t="shared" si="33"/>
        <v>7.0497921241333764E-2</v>
      </c>
      <c r="F106" s="132">
        <f t="shared" si="33"/>
        <v>4.2081806108348205E-2</v>
      </c>
      <c r="G106" s="132">
        <f t="shared" si="33"/>
        <v>3.650931864722097E-2</v>
      </c>
      <c r="H106" s="132">
        <f t="shared" si="33"/>
        <v>3.4687064075320982E-2</v>
      </c>
      <c r="I106" s="132">
        <f t="shared" si="33"/>
        <v>3.2885581501006587E-2</v>
      </c>
      <c r="J106" s="131">
        <f t="shared" si="33"/>
        <v>3.1135894542498072E-2</v>
      </c>
      <c r="K106" s="73">
        <f t="shared" si="33"/>
        <v>2.9322376537481116E-2</v>
      </c>
      <c r="L106" s="73">
        <f t="shared" si="33"/>
        <v>2.7636147468415834E-2</v>
      </c>
      <c r="M106" s="73">
        <f t="shared" si="33"/>
        <v>2.5971019808610774E-2</v>
      </c>
      <c r="N106" s="132">
        <f t="shared" si="33"/>
        <v>2.4897038404740269E-2</v>
      </c>
      <c r="O106" s="131">
        <f t="shared" si="33"/>
        <v>2.3512802884259117E-2</v>
      </c>
      <c r="P106" s="73">
        <f t="shared" si="33"/>
        <v>2.2079169107843587E-2</v>
      </c>
      <c r="Q106" s="73">
        <f t="shared" si="33"/>
        <v>2.068673960976963E-2</v>
      </c>
      <c r="R106" s="73">
        <f t="shared" si="33"/>
        <v>1.936586636673843E-2</v>
      </c>
      <c r="S106" s="132">
        <f t="shared" si="33"/>
        <v>1.8386994816890625E-2</v>
      </c>
      <c r="T106" s="132">
        <f t="shared" si="32"/>
        <v>1.7276187795337693E-2</v>
      </c>
      <c r="U106" s="132">
        <f t="shared" si="32"/>
        <v>1.620860355695581E-2</v>
      </c>
      <c r="V106" s="132">
        <f t="shared" si="32"/>
        <v>1.5196316032663634E-2</v>
      </c>
      <c r="W106" s="132">
        <f t="shared" si="32"/>
        <v>1.4242157584232275E-2</v>
      </c>
      <c r="X106" s="122">
        <f t="shared" si="33"/>
        <v>1.3484853969920347E-2</v>
      </c>
      <c r="Y106" s="122">
        <f t="shared" si="32"/>
        <v>1.2684774427021874E-2</v>
      </c>
      <c r="Z106" s="122">
        <f t="shared" si="32"/>
        <v>1.1897490988168119E-2</v>
      </c>
      <c r="AA106" s="122">
        <f t="shared" si="32"/>
        <v>1.114667861181501E-2</v>
      </c>
      <c r="AB106" s="122">
        <f t="shared" si="32"/>
        <v>1.0437695882969493E-2</v>
      </c>
      <c r="AC106" s="122">
        <f t="shared" si="33"/>
        <v>9.7707055586691589E-3</v>
      </c>
      <c r="AD106" s="122">
        <f t="shared" si="32"/>
        <v>9.1649897593825934E-3</v>
      </c>
      <c r="AE106" s="122">
        <f t="shared" si="32"/>
        <v>8.6028190244337825E-3</v>
      </c>
      <c r="AF106" s="122">
        <f t="shared" si="32"/>
        <v>8.0758725573674209E-3</v>
      </c>
      <c r="AG106" s="122">
        <f t="shared" si="32"/>
        <v>7.5803227110659722E-3</v>
      </c>
      <c r="AH106" s="122">
        <f t="shared" si="33"/>
        <v>7.164120775116454E-3</v>
      </c>
      <c r="AI106" s="122">
        <f t="shared" si="32"/>
        <v>6.7482057238442417E-3</v>
      </c>
      <c r="AJ106" s="122">
        <f t="shared" si="32"/>
        <v>6.3464360611525002E-3</v>
      </c>
      <c r="AK106" s="122">
        <f t="shared" si="32"/>
        <v>5.9639391266544748E-3</v>
      </c>
      <c r="AL106" s="122">
        <f t="shared" si="32"/>
        <v>5.6018520055970411E-3</v>
      </c>
      <c r="AM106" s="122">
        <f t="shared" si="33"/>
        <v>5.2598710647541874E-3</v>
      </c>
    </row>
    <row r="107" spans="2:40" s="3" customFormat="1" x14ac:dyDescent="0.25"/>
    <row r="108" spans="2:40" s="3" customFormat="1" x14ac:dyDescent="0.25"/>
    <row r="109" spans="2:40" s="3" customFormat="1" x14ac:dyDescent="0.25"/>
    <row r="110" spans="2:40" s="3" customFormat="1" x14ac:dyDescent="0.25"/>
    <row r="111" spans="2:40" s="3" customFormat="1" x14ac:dyDescent="0.25"/>
    <row r="112" spans="2:40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</sheetData>
  <pageMargins left="0.7" right="0.7" top="0.75" bottom="0.75" header="0.3" footer="0.3"/>
  <pageSetup paperSize="9" scale="6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7B43-FABB-4AB4-94ED-69E7D0E5DE82}">
  <sheetPr>
    <tabColor rgb="FFFF0000"/>
  </sheetPr>
  <dimension ref="A1:F48"/>
  <sheetViews>
    <sheetView workbookViewId="0">
      <selection activeCell="L46" sqref="L46"/>
    </sheetView>
  </sheetViews>
  <sheetFormatPr baseColWidth="10" defaultRowHeight="15" x14ac:dyDescent="0.25"/>
  <sheetData>
    <row r="1" spans="1:6" x14ac:dyDescent="0.25">
      <c r="B1" t="s">
        <v>544</v>
      </c>
      <c r="C1" t="s">
        <v>298</v>
      </c>
      <c r="E1" t="s">
        <v>545</v>
      </c>
      <c r="F1" t="s">
        <v>546</v>
      </c>
    </row>
    <row r="2" spans="1:6" hidden="1" x14ac:dyDescent="0.25">
      <c r="A2">
        <v>2004</v>
      </c>
      <c r="B2">
        <v>419119515.24800497</v>
      </c>
      <c r="C2">
        <v>419119515.24800497</v>
      </c>
      <c r="D2">
        <v>2004</v>
      </c>
      <c r="E2" s="319">
        <f>B2/1000000</f>
        <v>419.11951524800497</v>
      </c>
      <c r="F2" s="319">
        <f>C2/1000000</f>
        <v>419.11951524800497</v>
      </c>
    </row>
    <row r="3" spans="1:6" hidden="1" x14ac:dyDescent="0.25">
      <c r="A3">
        <v>2005</v>
      </c>
      <c r="B3">
        <v>425848614.63336003</v>
      </c>
      <c r="C3">
        <v>425848614.63336003</v>
      </c>
      <c r="D3">
        <v>2005</v>
      </c>
      <c r="E3" s="319">
        <f t="shared" ref="E3:E48" si="0">B3/1000000</f>
        <v>425.84861463336</v>
      </c>
      <c r="F3" s="319">
        <f t="shared" ref="F3:F48" si="1">C3/1000000</f>
        <v>425.84861463336</v>
      </c>
    </row>
    <row r="4" spans="1:6" hidden="1" x14ac:dyDescent="0.25">
      <c r="A4">
        <v>2006</v>
      </c>
      <c r="B4">
        <v>402018807.39999998</v>
      </c>
      <c r="C4">
        <v>402018807.39999998</v>
      </c>
      <c r="D4">
        <v>2006</v>
      </c>
      <c r="E4" s="319">
        <f t="shared" si="0"/>
        <v>402.01880739999996</v>
      </c>
      <c r="F4" s="319">
        <f t="shared" si="1"/>
        <v>402.01880739999996</v>
      </c>
    </row>
    <row r="5" spans="1:6" hidden="1" x14ac:dyDescent="0.25">
      <c r="A5">
        <v>2007</v>
      </c>
      <c r="B5">
        <v>403718236.80000001</v>
      </c>
      <c r="C5">
        <v>403718236.80000001</v>
      </c>
      <c r="D5">
        <v>2007</v>
      </c>
      <c r="E5" s="319">
        <f t="shared" si="0"/>
        <v>403.7182368</v>
      </c>
      <c r="F5" s="319">
        <f t="shared" si="1"/>
        <v>403.7182368</v>
      </c>
    </row>
    <row r="6" spans="1:6" hidden="1" x14ac:dyDescent="0.25">
      <c r="A6">
        <v>2008</v>
      </c>
      <c r="B6">
        <v>383303590.60000002</v>
      </c>
      <c r="C6">
        <v>383303590.60000002</v>
      </c>
      <c r="D6">
        <v>2008</v>
      </c>
      <c r="E6" s="319">
        <f t="shared" si="0"/>
        <v>383.30359060000001</v>
      </c>
      <c r="F6" s="319">
        <f t="shared" si="1"/>
        <v>383.30359060000001</v>
      </c>
    </row>
    <row r="7" spans="1:6" hidden="1" x14ac:dyDescent="0.25">
      <c r="A7">
        <v>2009</v>
      </c>
      <c r="B7">
        <v>364721157.89999998</v>
      </c>
      <c r="C7">
        <v>364721157.89999998</v>
      </c>
      <c r="D7">
        <v>2009</v>
      </c>
      <c r="E7" s="319">
        <f t="shared" si="0"/>
        <v>364.72115789999998</v>
      </c>
      <c r="F7" s="319">
        <f t="shared" si="1"/>
        <v>364.72115789999998</v>
      </c>
    </row>
    <row r="8" spans="1:6" hidden="1" x14ac:dyDescent="0.25">
      <c r="A8">
        <v>2010</v>
      </c>
      <c r="B8">
        <v>361273775.10000002</v>
      </c>
      <c r="C8">
        <v>361273775.10000002</v>
      </c>
      <c r="D8">
        <v>2010</v>
      </c>
      <c r="E8" s="319">
        <f t="shared" si="0"/>
        <v>361.27377510000002</v>
      </c>
      <c r="F8" s="319">
        <f t="shared" si="1"/>
        <v>361.27377510000002</v>
      </c>
    </row>
    <row r="9" spans="1:6" hidden="1" x14ac:dyDescent="0.25">
      <c r="A9">
        <v>2011</v>
      </c>
      <c r="B9">
        <v>351598899.80000001</v>
      </c>
      <c r="C9">
        <v>351598899.80000001</v>
      </c>
      <c r="D9">
        <v>2011</v>
      </c>
      <c r="E9" s="319">
        <f t="shared" si="0"/>
        <v>351.59889980000003</v>
      </c>
      <c r="F9" s="319">
        <f t="shared" si="1"/>
        <v>351.59889980000003</v>
      </c>
    </row>
    <row r="10" spans="1:6" hidden="1" x14ac:dyDescent="0.25">
      <c r="A10">
        <v>2012</v>
      </c>
      <c r="B10">
        <v>337830004.39999998</v>
      </c>
      <c r="C10">
        <v>337830004.39999998</v>
      </c>
      <c r="D10">
        <v>2012</v>
      </c>
      <c r="E10" s="319">
        <f t="shared" si="0"/>
        <v>337.83000439999995</v>
      </c>
      <c r="F10" s="319">
        <f t="shared" si="1"/>
        <v>337.83000439999995</v>
      </c>
    </row>
    <row r="11" spans="1:6" hidden="1" x14ac:dyDescent="0.25">
      <c r="A11">
        <v>2013</v>
      </c>
      <c r="B11">
        <v>329276638.89999998</v>
      </c>
      <c r="C11">
        <v>329276638.89999998</v>
      </c>
      <c r="D11">
        <v>2013</v>
      </c>
      <c r="E11" s="319">
        <f t="shared" si="0"/>
        <v>329.27663889999997</v>
      </c>
      <c r="F11" s="319">
        <f t="shared" si="1"/>
        <v>329.27663889999997</v>
      </c>
    </row>
    <row r="12" spans="1:6" hidden="1" x14ac:dyDescent="0.25">
      <c r="A12">
        <v>2014</v>
      </c>
      <c r="B12">
        <v>325891528.60000002</v>
      </c>
      <c r="C12">
        <v>325891528.60000002</v>
      </c>
      <c r="D12">
        <v>2014</v>
      </c>
      <c r="E12" s="319">
        <f t="shared" si="0"/>
        <v>325.89152860000002</v>
      </c>
      <c r="F12" s="319">
        <f t="shared" si="1"/>
        <v>325.89152860000002</v>
      </c>
    </row>
    <row r="13" spans="1:6" hidden="1" x14ac:dyDescent="0.25">
      <c r="A13">
        <v>2015</v>
      </c>
      <c r="B13">
        <v>325351560.39999998</v>
      </c>
      <c r="C13">
        <v>325351560.39999998</v>
      </c>
      <c r="D13">
        <v>2015</v>
      </c>
      <c r="E13" s="319">
        <f t="shared" si="0"/>
        <v>325.35156039999998</v>
      </c>
      <c r="F13" s="319">
        <f t="shared" si="1"/>
        <v>325.35156039999998</v>
      </c>
    </row>
    <row r="14" spans="1:6" hidden="1" x14ac:dyDescent="0.25">
      <c r="A14">
        <v>2016</v>
      </c>
      <c r="B14">
        <v>317601202.60000002</v>
      </c>
      <c r="C14">
        <v>317601328.89999998</v>
      </c>
      <c r="D14">
        <v>2016</v>
      </c>
      <c r="E14" s="319">
        <f t="shared" si="0"/>
        <v>317.60120260000002</v>
      </c>
      <c r="F14" s="319">
        <f t="shared" si="1"/>
        <v>317.6013289</v>
      </c>
    </row>
    <row r="15" spans="1:6" hidden="1" x14ac:dyDescent="0.25">
      <c r="A15">
        <v>2017</v>
      </c>
      <c r="B15">
        <v>309808956.89999998</v>
      </c>
      <c r="C15">
        <v>309809265.69999999</v>
      </c>
      <c r="D15">
        <v>2017</v>
      </c>
      <c r="E15" s="319">
        <f t="shared" si="0"/>
        <v>309.8089569</v>
      </c>
      <c r="F15" s="319">
        <f t="shared" si="1"/>
        <v>309.80926569999997</v>
      </c>
    </row>
    <row r="16" spans="1:6" hidden="1" x14ac:dyDescent="0.25">
      <c r="A16">
        <v>2018</v>
      </c>
      <c r="B16">
        <v>298468472.60000002</v>
      </c>
      <c r="C16">
        <v>298468814.89999998</v>
      </c>
      <c r="D16">
        <v>2018</v>
      </c>
      <c r="E16" s="319">
        <f t="shared" si="0"/>
        <v>298.46847260000004</v>
      </c>
      <c r="F16" s="319">
        <f t="shared" si="1"/>
        <v>298.46881489999998</v>
      </c>
    </row>
    <row r="17" spans="1:6" hidden="1" x14ac:dyDescent="0.25">
      <c r="A17">
        <v>2019</v>
      </c>
      <c r="B17">
        <v>291526082.10000002</v>
      </c>
      <c r="C17">
        <v>291526267.69999999</v>
      </c>
      <c r="D17">
        <v>2019</v>
      </c>
      <c r="E17" s="319">
        <f t="shared" si="0"/>
        <v>291.5260821</v>
      </c>
      <c r="F17" s="319">
        <f t="shared" si="1"/>
        <v>291.52626770000001</v>
      </c>
    </row>
    <row r="18" spans="1:6" hidden="1" x14ac:dyDescent="0.25">
      <c r="A18">
        <v>2020</v>
      </c>
      <c r="B18">
        <v>284726497.80000001</v>
      </c>
      <c r="C18">
        <v>284739843.69999999</v>
      </c>
      <c r="D18">
        <v>2020</v>
      </c>
      <c r="E18" s="319">
        <f t="shared" si="0"/>
        <v>284.7264978</v>
      </c>
      <c r="F18" s="319">
        <f t="shared" si="1"/>
        <v>284.73984369999999</v>
      </c>
    </row>
    <row r="19" spans="1:6" hidden="1" x14ac:dyDescent="0.25">
      <c r="A19">
        <v>2021</v>
      </c>
      <c r="B19">
        <v>281620565.89999998</v>
      </c>
      <c r="C19">
        <v>281640933.39999998</v>
      </c>
      <c r="D19">
        <v>2021</v>
      </c>
      <c r="E19" s="319">
        <f t="shared" si="0"/>
        <v>281.62056589999997</v>
      </c>
      <c r="F19" s="319">
        <f t="shared" si="1"/>
        <v>281.64093339999999</v>
      </c>
    </row>
    <row r="20" spans="1:6" hidden="1" x14ac:dyDescent="0.25">
      <c r="A20">
        <v>2022</v>
      </c>
      <c r="B20">
        <v>278553175.5</v>
      </c>
      <c r="C20">
        <v>278579595.10000002</v>
      </c>
      <c r="D20">
        <v>2022</v>
      </c>
      <c r="E20" s="319">
        <f t="shared" si="0"/>
        <v>278.55317550000001</v>
      </c>
      <c r="F20" s="319">
        <f t="shared" si="1"/>
        <v>278.57959510000001</v>
      </c>
    </row>
    <row r="21" spans="1:6" x14ac:dyDescent="0.25">
      <c r="A21">
        <v>2023</v>
      </c>
      <c r="B21">
        <v>276268836.30000001</v>
      </c>
      <c r="C21">
        <v>276445339</v>
      </c>
      <c r="D21">
        <v>2023</v>
      </c>
      <c r="E21" s="319">
        <f t="shared" si="0"/>
        <v>276.26883630000003</v>
      </c>
      <c r="F21" s="319">
        <f t="shared" si="1"/>
        <v>276.44533899999999</v>
      </c>
    </row>
    <row r="22" spans="1:6" x14ac:dyDescent="0.25">
      <c r="A22">
        <v>2024</v>
      </c>
      <c r="B22">
        <v>277278323.80000001</v>
      </c>
      <c r="C22">
        <v>269988715.39999998</v>
      </c>
      <c r="D22">
        <v>2024</v>
      </c>
      <c r="E22" s="319">
        <f t="shared" si="0"/>
        <v>277.27832380000001</v>
      </c>
      <c r="F22" s="319">
        <f t="shared" si="1"/>
        <v>269.98871539999999</v>
      </c>
    </row>
    <row r="23" spans="1:6" x14ac:dyDescent="0.25">
      <c r="A23">
        <v>2025</v>
      </c>
      <c r="B23">
        <v>276428390.89999998</v>
      </c>
      <c r="C23">
        <v>264637490.69999999</v>
      </c>
      <c r="D23">
        <v>2025</v>
      </c>
      <c r="E23" s="319">
        <f t="shared" si="0"/>
        <v>276.42839089999995</v>
      </c>
      <c r="F23" s="319">
        <f t="shared" si="1"/>
        <v>264.6374907</v>
      </c>
    </row>
    <row r="24" spans="1:6" x14ac:dyDescent="0.25">
      <c r="A24">
        <v>2026</v>
      </c>
      <c r="B24">
        <v>274348470.5</v>
      </c>
      <c r="C24">
        <v>254226016.59999999</v>
      </c>
      <c r="D24">
        <v>2026</v>
      </c>
      <c r="E24" s="319">
        <f t="shared" si="0"/>
        <v>274.34847050000002</v>
      </c>
      <c r="F24" s="319">
        <f t="shared" si="1"/>
        <v>254.22601659999998</v>
      </c>
    </row>
    <row r="25" spans="1:6" x14ac:dyDescent="0.25">
      <c r="A25">
        <v>2027</v>
      </c>
      <c r="B25">
        <v>273570965.80000001</v>
      </c>
      <c r="C25">
        <v>243208290.30000001</v>
      </c>
      <c r="D25">
        <v>2027</v>
      </c>
      <c r="E25" s="319">
        <f t="shared" si="0"/>
        <v>273.57096580000001</v>
      </c>
      <c r="F25" s="319">
        <f t="shared" si="1"/>
        <v>243.20829030000002</v>
      </c>
    </row>
    <row r="26" spans="1:6" x14ac:dyDescent="0.25">
      <c r="A26">
        <v>2028</v>
      </c>
      <c r="B26">
        <v>272519016.30000001</v>
      </c>
      <c r="C26">
        <v>233320548.19999999</v>
      </c>
      <c r="D26">
        <v>2028</v>
      </c>
      <c r="E26" s="319">
        <f t="shared" si="0"/>
        <v>272.51901630000003</v>
      </c>
      <c r="F26" s="319">
        <f t="shared" si="1"/>
        <v>233.32054819999999</v>
      </c>
    </row>
    <row r="27" spans="1:6" x14ac:dyDescent="0.25">
      <c r="A27">
        <v>2029</v>
      </c>
      <c r="B27">
        <v>271433436.69999999</v>
      </c>
      <c r="C27">
        <v>223118619.80000001</v>
      </c>
      <c r="D27">
        <v>2029</v>
      </c>
      <c r="E27" s="319">
        <f t="shared" si="0"/>
        <v>271.43343670000002</v>
      </c>
      <c r="F27" s="319">
        <f t="shared" si="1"/>
        <v>223.1186198</v>
      </c>
    </row>
    <row r="28" spans="1:6" x14ac:dyDescent="0.25">
      <c r="A28">
        <v>2030</v>
      </c>
      <c r="B28">
        <v>269889251.10000002</v>
      </c>
      <c r="C28">
        <v>212842261.69999999</v>
      </c>
      <c r="D28">
        <v>2030</v>
      </c>
      <c r="E28" s="319">
        <f t="shared" si="0"/>
        <v>269.88925110000002</v>
      </c>
      <c r="F28" s="319">
        <f t="shared" si="1"/>
        <v>212.84226169999999</v>
      </c>
    </row>
    <row r="29" spans="1:6" x14ac:dyDescent="0.25">
      <c r="A29">
        <v>2031</v>
      </c>
      <c r="B29">
        <v>268725804.10000002</v>
      </c>
      <c r="C29">
        <v>202210418.90000001</v>
      </c>
      <c r="D29">
        <v>2031</v>
      </c>
      <c r="E29" s="319">
        <f t="shared" si="0"/>
        <v>268.7258041</v>
      </c>
      <c r="F29" s="319">
        <f t="shared" si="1"/>
        <v>202.21041890000001</v>
      </c>
    </row>
    <row r="30" spans="1:6" x14ac:dyDescent="0.25">
      <c r="A30">
        <v>2032</v>
      </c>
      <c r="B30">
        <v>267750721.59999999</v>
      </c>
      <c r="C30">
        <v>191769349.69999999</v>
      </c>
      <c r="D30">
        <v>2032</v>
      </c>
      <c r="E30" s="319">
        <f t="shared" si="0"/>
        <v>267.75072160000002</v>
      </c>
      <c r="F30" s="319">
        <f t="shared" si="1"/>
        <v>191.76934969999999</v>
      </c>
    </row>
    <row r="31" spans="1:6" x14ac:dyDescent="0.25">
      <c r="A31">
        <v>2033</v>
      </c>
      <c r="B31">
        <v>266854991.90000001</v>
      </c>
      <c r="C31">
        <v>181945812.5</v>
      </c>
      <c r="D31">
        <v>2033</v>
      </c>
      <c r="E31" s="319">
        <f t="shared" si="0"/>
        <v>266.85499190000002</v>
      </c>
      <c r="F31" s="319">
        <f t="shared" si="1"/>
        <v>181.94581249999999</v>
      </c>
    </row>
    <row r="32" spans="1:6" x14ac:dyDescent="0.25">
      <c r="A32">
        <v>2034</v>
      </c>
      <c r="B32">
        <v>265898060.59999999</v>
      </c>
      <c r="C32">
        <v>172424050.5</v>
      </c>
      <c r="D32">
        <v>2034</v>
      </c>
      <c r="E32" s="319">
        <f t="shared" si="0"/>
        <v>265.89806060000001</v>
      </c>
      <c r="F32" s="319">
        <f t="shared" si="1"/>
        <v>172.42405049999999</v>
      </c>
    </row>
    <row r="33" spans="1:6" x14ac:dyDescent="0.25">
      <c r="A33">
        <v>2035</v>
      </c>
      <c r="B33">
        <v>264985311.59999999</v>
      </c>
      <c r="C33">
        <v>163286129.90000001</v>
      </c>
      <c r="D33">
        <v>2035</v>
      </c>
      <c r="E33" s="319">
        <f t="shared" si="0"/>
        <v>264.98531159999999</v>
      </c>
      <c r="F33" s="319">
        <f t="shared" si="1"/>
        <v>163.28612990000002</v>
      </c>
    </row>
    <row r="34" spans="1:6" x14ac:dyDescent="0.25">
      <c r="A34">
        <v>2036</v>
      </c>
      <c r="B34">
        <v>264420936.09999999</v>
      </c>
      <c r="C34">
        <v>153436583.30000001</v>
      </c>
      <c r="D34">
        <v>2036</v>
      </c>
      <c r="E34" s="319">
        <f t="shared" si="0"/>
        <v>264.42093610000001</v>
      </c>
      <c r="F34" s="319">
        <f t="shared" si="1"/>
        <v>153.43658330000002</v>
      </c>
    </row>
    <row r="35" spans="1:6" x14ac:dyDescent="0.25">
      <c r="A35">
        <v>2037</v>
      </c>
      <c r="B35">
        <v>263916768.40000001</v>
      </c>
      <c r="C35">
        <v>143909184</v>
      </c>
      <c r="D35">
        <v>2037</v>
      </c>
      <c r="E35" s="319">
        <f t="shared" si="0"/>
        <v>263.91676840000002</v>
      </c>
      <c r="F35" s="319">
        <f t="shared" si="1"/>
        <v>143.90918400000001</v>
      </c>
    </row>
    <row r="36" spans="1:6" x14ac:dyDescent="0.25">
      <c r="A36">
        <v>2038</v>
      </c>
      <c r="B36">
        <v>263412059.09999999</v>
      </c>
      <c r="C36">
        <v>134768510</v>
      </c>
      <c r="D36">
        <v>2038</v>
      </c>
      <c r="E36" s="319">
        <f t="shared" si="0"/>
        <v>263.41205910000002</v>
      </c>
      <c r="F36" s="319">
        <f t="shared" si="1"/>
        <v>134.76850999999999</v>
      </c>
    </row>
    <row r="37" spans="1:6" x14ac:dyDescent="0.25">
      <c r="A37">
        <v>2039</v>
      </c>
      <c r="B37">
        <v>262967553.30000001</v>
      </c>
      <c r="C37">
        <v>126344281.3</v>
      </c>
      <c r="D37">
        <v>2039</v>
      </c>
      <c r="E37" s="319">
        <f t="shared" si="0"/>
        <v>262.96755330000002</v>
      </c>
      <c r="F37" s="319">
        <f t="shared" si="1"/>
        <v>126.34428129999999</v>
      </c>
    </row>
    <row r="38" spans="1:6" x14ac:dyDescent="0.25">
      <c r="A38">
        <v>2040</v>
      </c>
      <c r="B38">
        <v>262556757.59999999</v>
      </c>
      <c r="C38">
        <v>118097289.09999999</v>
      </c>
      <c r="D38">
        <v>2040</v>
      </c>
      <c r="E38" s="319">
        <f t="shared" si="0"/>
        <v>262.55675759999997</v>
      </c>
      <c r="F38" s="319">
        <f t="shared" si="1"/>
        <v>118.0972891</v>
      </c>
    </row>
    <row r="39" spans="1:6" x14ac:dyDescent="0.25">
      <c r="A39">
        <v>2041</v>
      </c>
      <c r="B39">
        <v>261534356.09999999</v>
      </c>
      <c r="C39">
        <v>114089664.40000001</v>
      </c>
      <c r="D39">
        <v>2041</v>
      </c>
      <c r="E39" s="319">
        <f t="shared" si="0"/>
        <v>261.53435609999997</v>
      </c>
      <c r="F39" s="319">
        <f t="shared" si="1"/>
        <v>114.0896644</v>
      </c>
    </row>
    <row r="40" spans="1:6" x14ac:dyDescent="0.25">
      <c r="A40">
        <v>2042</v>
      </c>
      <c r="B40">
        <v>260514512.5</v>
      </c>
      <c r="C40">
        <v>110071642.5</v>
      </c>
      <c r="D40">
        <v>2042</v>
      </c>
      <c r="E40" s="319">
        <f t="shared" si="0"/>
        <v>260.51451250000002</v>
      </c>
      <c r="F40" s="319">
        <f t="shared" si="1"/>
        <v>110.0716425</v>
      </c>
    </row>
    <row r="41" spans="1:6" x14ac:dyDescent="0.25">
      <c r="A41">
        <v>2043</v>
      </c>
      <c r="B41">
        <v>259406434.40000001</v>
      </c>
      <c r="C41">
        <v>106053162.90000001</v>
      </c>
      <c r="D41">
        <v>2043</v>
      </c>
      <c r="E41" s="319">
        <f t="shared" si="0"/>
        <v>259.40643440000002</v>
      </c>
      <c r="F41" s="319">
        <f t="shared" si="1"/>
        <v>106.0531629</v>
      </c>
    </row>
    <row r="42" spans="1:6" x14ac:dyDescent="0.25">
      <c r="A42">
        <v>2044</v>
      </c>
      <c r="B42">
        <v>258277819.40000001</v>
      </c>
      <c r="C42">
        <v>101983950.59999999</v>
      </c>
      <c r="D42">
        <v>2044</v>
      </c>
      <c r="E42" s="319">
        <f t="shared" si="0"/>
        <v>258.2778194</v>
      </c>
      <c r="F42" s="319">
        <f t="shared" si="1"/>
        <v>101.9839506</v>
      </c>
    </row>
    <row r="43" spans="1:6" x14ac:dyDescent="0.25">
      <c r="A43">
        <v>2045</v>
      </c>
      <c r="B43">
        <v>256911142.19999999</v>
      </c>
      <c r="C43">
        <v>97597415.390000001</v>
      </c>
      <c r="D43">
        <v>2045</v>
      </c>
      <c r="E43" s="319">
        <f t="shared" si="0"/>
        <v>256.91114219999997</v>
      </c>
      <c r="F43" s="319">
        <f t="shared" si="1"/>
        <v>97.597415389999995</v>
      </c>
    </row>
    <row r="44" spans="1:6" x14ac:dyDescent="0.25">
      <c r="A44">
        <v>2046</v>
      </c>
      <c r="B44">
        <v>256859376.5</v>
      </c>
      <c r="C44">
        <v>94186015.819999903</v>
      </c>
      <c r="D44">
        <v>2046</v>
      </c>
      <c r="E44" s="319">
        <f t="shared" si="0"/>
        <v>256.8593765</v>
      </c>
      <c r="F44" s="319">
        <f t="shared" si="1"/>
        <v>94.186015819999909</v>
      </c>
    </row>
    <row r="45" spans="1:6" x14ac:dyDescent="0.25">
      <c r="A45">
        <v>2047</v>
      </c>
      <c r="B45">
        <v>256913370.69999999</v>
      </c>
      <c r="C45">
        <v>91295731.659999996</v>
      </c>
      <c r="D45">
        <v>2047</v>
      </c>
      <c r="E45" s="319">
        <f t="shared" si="0"/>
        <v>256.91337069999997</v>
      </c>
      <c r="F45" s="319">
        <f t="shared" si="1"/>
        <v>91.295731660000001</v>
      </c>
    </row>
    <row r="46" spans="1:6" x14ac:dyDescent="0.25">
      <c r="A46">
        <v>2048</v>
      </c>
      <c r="B46">
        <v>256941079.40000001</v>
      </c>
      <c r="C46">
        <v>89090550.659999996</v>
      </c>
      <c r="D46">
        <v>2048</v>
      </c>
      <c r="E46" s="319">
        <f t="shared" si="0"/>
        <v>256.94107939999998</v>
      </c>
      <c r="F46" s="319">
        <f t="shared" si="1"/>
        <v>89.090550659999991</v>
      </c>
    </row>
    <row r="47" spans="1:6" x14ac:dyDescent="0.25">
      <c r="A47">
        <v>2049</v>
      </c>
      <c r="B47">
        <v>256949233</v>
      </c>
      <c r="C47">
        <v>87016371.359999999</v>
      </c>
      <c r="D47">
        <v>2049</v>
      </c>
      <c r="E47" s="319">
        <f t="shared" si="0"/>
        <v>256.94923299999999</v>
      </c>
      <c r="F47" s="319">
        <f t="shared" si="1"/>
        <v>87.016371359999994</v>
      </c>
    </row>
    <row r="48" spans="1:6" x14ac:dyDescent="0.25">
      <c r="A48">
        <v>2050</v>
      </c>
      <c r="B48">
        <v>257080596.40000001</v>
      </c>
      <c r="C48">
        <v>84965323.25</v>
      </c>
      <c r="D48">
        <v>2050</v>
      </c>
      <c r="E48" s="319">
        <f t="shared" si="0"/>
        <v>257.08059639999999</v>
      </c>
      <c r="F48" s="319">
        <f t="shared" si="1"/>
        <v>84.965323249999997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8"/>
  <dimension ref="B4:B11"/>
  <sheetViews>
    <sheetView workbookViewId="0">
      <selection activeCell="B4" sqref="B4"/>
    </sheetView>
  </sheetViews>
  <sheetFormatPr baseColWidth="10" defaultRowHeight="15" x14ac:dyDescent="0.25"/>
  <cols>
    <col min="2" max="2" width="68.5703125" customWidth="1"/>
  </cols>
  <sheetData>
    <row r="4" spans="2:2" x14ac:dyDescent="0.25">
      <c r="B4" t="str">
        <f>Résultats!B1&amp;" : Energie finale par usage et énergie primaire (Mtep)"</f>
        <v>SNBC3 : Energie finale par usage et énergie primaire (Mtep)</v>
      </c>
    </row>
    <row r="5" spans="2:2" x14ac:dyDescent="0.25">
      <c r="B5" t="str">
        <f>Résultats!B1&amp;" : Ventilation du mix énergie (Mtep)"</f>
        <v>SNBC3 : Ventilation du mix énergie (Mtep)</v>
      </c>
    </row>
    <row r="6" spans="2:2" x14ac:dyDescent="0.25">
      <c r="B6" t="str">
        <f>Résultats!B1&amp;" : Ventilation du mix electrique (%)"</f>
        <v>SNBC3 : Ventilation du mix electrique (%)</v>
      </c>
    </row>
    <row r="7" spans="2:2" x14ac:dyDescent="0.25">
      <c r="B7" t="str">
        <f>Résultats!B1&amp;" : Ventilation du mix carburant (%)"</f>
        <v>SNBC3 : Ventilation du mix carburant (%)</v>
      </c>
    </row>
    <row r="8" spans="2:2" x14ac:dyDescent="0.25">
      <c r="B8" t="str">
        <f>Résultats!B1&amp;" : Ventilation du mix gaz (%)"</f>
        <v>SNBC3 : Ventilation du mix gaz (%)</v>
      </c>
    </row>
    <row r="9" spans="2:2" x14ac:dyDescent="0.25">
      <c r="B9" t="str">
        <f>Résultats!B1&amp;" : Emissions CO2 (Mt.eqCO2)"</f>
        <v>SNBC3 : Emissions CO2 (Mt.eqCO2)</v>
      </c>
    </row>
    <row r="10" spans="2:2" x14ac:dyDescent="0.25">
      <c r="B10" t="str">
        <f>Résultats!B1&amp;" : Ventilation du parc auto (%)"</f>
        <v>SNBC3 : Ventilation du parc auto (%)</v>
      </c>
    </row>
    <row r="11" spans="2:2" x14ac:dyDescent="0.25">
      <c r="B11" t="str">
        <f>Résultats!B1&amp;" : Ventilation du parc de logements (%)"</f>
        <v>SNBC3 : Ventilation du parc de logements (%)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9</vt:i4>
      </vt:variant>
      <vt:variant>
        <vt:lpstr>Graphiques</vt:lpstr>
      </vt:variant>
      <vt:variant>
        <vt:i4>10</vt:i4>
      </vt:variant>
      <vt:variant>
        <vt:lpstr>Plages nommées</vt:lpstr>
      </vt:variant>
      <vt:variant>
        <vt:i4>2</vt:i4>
      </vt:variant>
    </vt:vector>
  </HeadingPairs>
  <TitlesOfParts>
    <vt:vector size="21" baseType="lpstr">
      <vt:lpstr>T energie vecteurs</vt:lpstr>
      <vt:lpstr>T energie usages</vt:lpstr>
      <vt:lpstr>T transport</vt:lpstr>
      <vt:lpstr>Résultats</vt:lpstr>
      <vt:lpstr>T CO2</vt:lpstr>
      <vt:lpstr>T logement</vt:lpstr>
      <vt:lpstr>T parc auto</vt:lpstr>
      <vt:lpstr>Feuil1</vt:lpstr>
      <vt:lpstr>Table Graphs</vt:lpstr>
      <vt:lpstr>Graphique1</vt:lpstr>
      <vt:lpstr>Graphique2</vt:lpstr>
      <vt:lpstr>Graphique3</vt:lpstr>
      <vt:lpstr>Graphique4</vt:lpstr>
      <vt:lpstr>Graphique5</vt:lpstr>
      <vt:lpstr>Graphique6</vt:lpstr>
      <vt:lpstr>Graphique7</vt:lpstr>
      <vt:lpstr>Graphique8</vt:lpstr>
      <vt:lpstr>Graphique9</vt:lpstr>
      <vt:lpstr>Graphique10</vt:lpstr>
      <vt:lpstr>'T parc auto'!Zone_d_impression</vt:lpstr>
      <vt:lpstr>'T transport'!Zone_d_impression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GISSELA LANDA RIVERA</dc:creator>
  <cp:lastModifiedBy>CALLONNEC Gaël</cp:lastModifiedBy>
  <cp:lastPrinted>2018-11-29T16:44:02Z</cp:lastPrinted>
  <dcterms:created xsi:type="dcterms:W3CDTF">2016-06-15T08:53:28Z</dcterms:created>
  <dcterms:modified xsi:type="dcterms:W3CDTF">2025-12-04T12:40:32Z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2025-03-12T13:29:27Z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3cca8261-751f-4fae-93e7-83dd1c3f6774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